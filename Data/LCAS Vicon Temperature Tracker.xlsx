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newwb\Documents\brain\professional\university\LCAS\Vicon (EPSURIS) Main\Public Files\Data\"/>
    </mc:Choice>
  </mc:AlternateContent>
  <xr:revisionPtr revIDLastSave="0" documentId="13_ncr:1_{01C0ECD3-14F6-4925-87A4-0C91213EC4ED}" xr6:coauthVersionLast="47" xr6:coauthVersionMax="47" xr10:uidLastSave="{00000000-0000-0000-0000-000000000000}"/>
  <bookViews>
    <workbookView xWindow="-108" yWindow="-108" windowWidth="23256" windowHeight="13896" activeTab="2" xr2:uid="{00000000-000D-0000-FFFF-FFFF00000000}"/>
  </bookViews>
  <sheets>
    <sheet name="Instructions" sheetId="4" r:id="rId1"/>
    <sheet name="Log" sheetId="1" r:id="rId2"/>
    <sheet name="Daily Summary" sheetId="2" r:id="rId3"/>
    <sheet name="Visualisations" sheetId="3" r:id="rId4"/>
    <sheet name="DevScriptErrors" sheetId="5" state="hidden" r:id="rId5"/>
  </sheet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2" l="1"/>
  <c r="D4" i="2"/>
  <c r="D5" i="2"/>
  <c r="D6" i="2"/>
  <c r="D7" i="2"/>
  <c r="D8" i="2"/>
  <c r="D9" i="2"/>
  <c r="D10" i="2"/>
  <c r="D11" i="2"/>
  <c r="D12" i="2"/>
  <c r="D13" i="2"/>
  <c r="D14" i="2"/>
  <c r="D15" i="2"/>
  <c r="D16" i="2"/>
  <c r="D17" i="2"/>
  <c r="D18" i="2"/>
  <c r="D19" i="2"/>
  <c r="D20" i="2"/>
  <c r="D21" i="2"/>
  <c r="D22" i="2"/>
  <c r="D23" i="2"/>
  <c r="D24" i="2"/>
  <c r="D25" i="2"/>
  <c r="D26" i="2"/>
  <c r="D27" i="2"/>
  <c r="G335" i="1"/>
  <c r="G336" i="1"/>
  <c r="E336" i="1" s="1"/>
  <c r="G337" i="1"/>
  <c r="G338" i="1"/>
  <c r="G339" i="1"/>
  <c r="G340" i="1"/>
  <c r="G341" i="1"/>
  <c r="G342" i="1"/>
  <c r="G343" i="1"/>
  <c r="G344" i="1"/>
  <c r="E344" i="1" s="1"/>
  <c r="G345" i="1"/>
  <c r="G346" i="1"/>
  <c r="G347" i="1"/>
  <c r="G348" i="1"/>
  <c r="E348" i="1" s="1"/>
  <c r="E334" i="1"/>
  <c r="E335" i="1"/>
  <c r="E337" i="1"/>
  <c r="E338" i="1"/>
  <c r="E339" i="1"/>
  <c r="E340" i="1"/>
  <c r="E341" i="1"/>
  <c r="E342" i="1"/>
  <c r="E343" i="1"/>
  <c r="E345" i="1"/>
  <c r="E346" i="1"/>
  <c r="E347" i="1"/>
  <c r="F317" i="1"/>
  <c r="A2" i="2" a="1"/>
  <c r="A2" i="2" s="1"/>
  <c r="G9" i="1" s="1"/>
  <c r="E9" i="1" s="1"/>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F238" i="1"/>
  <c r="F239" i="1"/>
  <c r="F240" i="1"/>
  <c r="F241" i="1"/>
  <c r="F242" i="1"/>
  <c r="F243" i="1"/>
  <c r="F244" i="1"/>
  <c r="F245" i="1"/>
  <c r="F246" i="1"/>
  <c r="F247" i="1"/>
  <c r="F248" i="1"/>
  <c r="F249" i="1"/>
  <c r="F250" i="1"/>
  <c r="F251" i="1"/>
  <c r="F252" i="1"/>
  <c r="F253" i="1"/>
  <c r="G329" i="1" l="1"/>
  <c r="G331" i="1"/>
  <c r="G330" i="1"/>
  <c r="G328" i="1"/>
  <c r="G324" i="1"/>
  <c r="G321" i="1"/>
  <c r="G327" i="1"/>
  <c r="G326" i="1"/>
  <c r="G325" i="1"/>
  <c r="G323" i="1"/>
  <c r="G322" i="1"/>
  <c r="G320" i="1"/>
  <c r="G319" i="1"/>
  <c r="G332" i="1"/>
  <c r="G318" i="1"/>
  <c r="G282" i="1"/>
  <c r="E282" i="1" s="1"/>
  <c r="G212" i="1"/>
  <c r="E212" i="1" s="1"/>
  <c r="G274" i="1"/>
  <c r="E274" i="1" s="1"/>
  <c r="G260" i="1"/>
  <c r="E260" i="1" s="1"/>
  <c r="G246" i="1"/>
  <c r="E246" i="1" s="1"/>
  <c r="G232" i="1"/>
  <c r="E232" i="1" s="1"/>
  <c r="G218" i="1"/>
  <c r="E218" i="1" s="1"/>
  <c r="G204" i="1"/>
  <c r="E204" i="1" s="1"/>
  <c r="G190" i="1"/>
  <c r="E190" i="1" s="1"/>
  <c r="G176" i="1"/>
  <c r="E176" i="1" s="1"/>
  <c r="G162" i="1"/>
  <c r="E162" i="1" s="1"/>
  <c r="G148" i="1"/>
  <c r="E148" i="1" s="1"/>
  <c r="G134" i="1"/>
  <c r="E134" i="1" s="1"/>
  <c r="G120" i="1"/>
  <c r="E120" i="1" s="1"/>
  <c r="G106" i="1"/>
  <c r="E106" i="1" s="1"/>
  <c r="G92" i="1"/>
  <c r="E92" i="1" s="1"/>
  <c r="G78" i="1"/>
  <c r="E78" i="1" s="1"/>
  <c r="G64" i="1"/>
  <c r="E64" i="1" s="1"/>
  <c r="G50" i="1"/>
  <c r="E50" i="1" s="1"/>
  <c r="G36" i="1"/>
  <c r="E36" i="1" s="1"/>
  <c r="G22" i="1"/>
  <c r="E22" i="1" s="1"/>
  <c r="G8" i="1"/>
  <c r="E8" i="1" s="1"/>
  <c r="G268" i="1"/>
  <c r="E268" i="1" s="1"/>
  <c r="G100" i="1"/>
  <c r="E100" i="1" s="1"/>
  <c r="G99" i="1"/>
  <c r="E99" i="1" s="1"/>
  <c r="G57" i="1"/>
  <c r="E57" i="1" s="1"/>
  <c r="G237" i="1"/>
  <c r="E237" i="1" s="1"/>
  <c r="G290" i="1"/>
  <c r="E290" i="1" s="1"/>
  <c r="G234" i="1"/>
  <c r="E234" i="1" s="1"/>
  <c r="G192" i="1"/>
  <c r="E192" i="1" s="1"/>
  <c r="G136" i="1"/>
  <c r="E136" i="1" s="1"/>
  <c r="G80" i="1"/>
  <c r="E80" i="1" s="1"/>
  <c r="G24" i="1"/>
  <c r="E24" i="1" s="1"/>
  <c r="G317" i="1"/>
  <c r="E317" i="1" s="1"/>
  <c r="G316" i="1"/>
  <c r="E316" i="1" s="1"/>
  <c r="G302" i="1"/>
  <c r="E302" i="1" s="1"/>
  <c r="G288" i="1"/>
  <c r="E288" i="1" s="1"/>
  <c r="G315" i="1"/>
  <c r="E315" i="1" s="1"/>
  <c r="G301" i="1"/>
  <c r="E301" i="1" s="1"/>
  <c r="G287" i="1"/>
  <c r="E287" i="1" s="1"/>
  <c r="G273" i="1"/>
  <c r="E273" i="1" s="1"/>
  <c r="G259" i="1"/>
  <c r="E259" i="1" s="1"/>
  <c r="G245" i="1"/>
  <c r="E245" i="1" s="1"/>
  <c r="G231" i="1"/>
  <c r="E231" i="1" s="1"/>
  <c r="G217" i="1"/>
  <c r="E217" i="1" s="1"/>
  <c r="G203" i="1"/>
  <c r="E203" i="1" s="1"/>
  <c r="G189" i="1"/>
  <c r="E189" i="1" s="1"/>
  <c r="G175" i="1"/>
  <c r="E175" i="1" s="1"/>
  <c r="G161" i="1"/>
  <c r="E161" i="1" s="1"/>
  <c r="G147" i="1"/>
  <c r="E147" i="1" s="1"/>
  <c r="G133" i="1"/>
  <c r="E133" i="1" s="1"/>
  <c r="G119" i="1"/>
  <c r="E119" i="1" s="1"/>
  <c r="G105" i="1"/>
  <c r="E105" i="1" s="1"/>
  <c r="G91" i="1"/>
  <c r="E91" i="1" s="1"/>
  <c r="G77" i="1"/>
  <c r="E77" i="1" s="1"/>
  <c r="G63" i="1"/>
  <c r="E63" i="1" s="1"/>
  <c r="G49" i="1"/>
  <c r="E49" i="1" s="1"/>
  <c r="G35" i="1"/>
  <c r="E35" i="1" s="1"/>
  <c r="G21" i="1"/>
  <c r="E21" i="1" s="1"/>
  <c r="G7" i="1"/>
  <c r="E7" i="1" s="1"/>
  <c r="G272" i="1"/>
  <c r="E272" i="1" s="1"/>
  <c r="G258" i="1"/>
  <c r="E258" i="1" s="1"/>
  <c r="G244" i="1"/>
  <c r="E244" i="1" s="1"/>
  <c r="G230" i="1"/>
  <c r="E230" i="1" s="1"/>
  <c r="G216" i="1"/>
  <c r="E216" i="1" s="1"/>
  <c r="G202" i="1"/>
  <c r="E202" i="1" s="1"/>
  <c r="G188" i="1"/>
  <c r="E188" i="1" s="1"/>
  <c r="G174" i="1"/>
  <c r="E174" i="1" s="1"/>
  <c r="G160" i="1"/>
  <c r="E160" i="1" s="1"/>
  <c r="G146" i="1"/>
  <c r="E146" i="1" s="1"/>
  <c r="G132" i="1"/>
  <c r="E132" i="1" s="1"/>
  <c r="G118" i="1"/>
  <c r="E118" i="1" s="1"/>
  <c r="G104" i="1"/>
  <c r="E104" i="1" s="1"/>
  <c r="G90" i="1"/>
  <c r="E90" i="1" s="1"/>
  <c r="G76" i="1"/>
  <c r="E76" i="1" s="1"/>
  <c r="G62" i="1"/>
  <c r="E62" i="1" s="1"/>
  <c r="G48" i="1"/>
  <c r="E48" i="1" s="1"/>
  <c r="G34" i="1"/>
  <c r="E34" i="1" s="1"/>
  <c r="G20" i="1"/>
  <c r="E20" i="1" s="1"/>
  <c r="G6" i="1"/>
  <c r="E6" i="1" s="1"/>
  <c r="G254" i="1"/>
  <c r="E254" i="1" s="1"/>
  <c r="G184" i="1"/>
  <c r="E184" i="1" s="1"/>
  <c r="G156" i="1"/>
  <c r="E156" i="1" s="1"/>
  <c r="G128" i="1"/>
  <c r="E128" i="1" s="1"/>
  <c r="G86" i="1"/>
  <c r="E86" i="1" s="1"/>
  <c r="G72" i="1"/>
  <c r="E72" i="1" s="1"/>
  <c r="G44" i="1"/>
  <c r="E44" i="1" s="1"/>
  <c r="G30" i="1"/>
  <c r="E30" i="1" s="1"/>
  <c r="G309" i="1"/>
  <c r="E309" i="1" s="1"/>
  <c r="G281" i="1"/>
  <c r="E281" i="1" s="1"/>
  <c r="G253" i="1"/>
  <c r="E253" i="1" s="1"/>
  <c r="G225" i="1"/>
  <c r="E225" i="1" s="1"/>
  <c r="G197" i="1"/>
  <c r="E197" i="1" s="1"/>
  <c r="G169" i="1"/>
  <c r="E169" i="1" s="1"/>
  <c r="G141" i="1"/>
  <c r="E141" i="1" s="1"/>
  <c r="G127" i="1"/>
  <c r="E127" i="1" s="1"/>
  <c r="G29" i="1"/>
  <c r="E29" i="1" s="1"/>
  <c r="G279" i="1"/>
  <c r="E279" i="1" s="1"/>
  <c r="G304" i="1"/>
  <c r="E304" i="1" s="1"/>
  <c r="G262" i="1"/>
  <c r="E262" i="1" s="1"/>
  <c r="G206" i="1"/>
  <c r="E206" i="1" s="1"/>
  <c r="G150" i="1"/>
  <c r="E150" i="1" s="1"/>
  <c r="G108" i="1"/>
  <c r="E108" i="1" s="1"/>
  <c r="G38" i="1"/>
  <c r="E38" i="1" s="1"/>
  <c r="G289" i="1"/>
  <c r="E289" i="1" s="1"/>
  <c r="G314" i="1"/>
  <c r="E314" i="1" s="1"/>
  <c r="G300" i="1"/>
  <c r="E300" i="1" s="1"/>
  <c r="G286" i="1"/>
  <c r="E286" i="1" s="1"/>
  <c r="G313" i="1"/>
  <c r="E313" i="1" s="1"/>
  <c r="G299" i="1"/>
  <c r="E299" i="1" s="1"/>
  <c r="G285" i="1"/>
  <c r="E285" i="1" s="1"/>
  <c r="G271" i="1"/>
  <c r="E271" i="1" s="1"/>
  <c r="G257" i="1"/>
  <c r="E257" i="1" s="1"/>
  <c r="G243" i="1"/>
  <c r="E243" i="1" s="1"/>
  <c r="G229" i="1"/>
  <c r="E229" i="1" s="1"/>
  <c r="G215" i="1"/>
  <c r="E215" i="1" s="1"/>
  <c r="G201" i="1"/>
  <c r="E201" i="1" s="1"/>
  <c r="G187" i="1"/>
  <c r="E187" i="1" s="1"/>
  <c r="G173" i="1"/>
  <c r="E173" i="1" s="1"/>
  <c r="G159" i="1"/>
  <c r="E159" i="1" s="1"/>
  <c r="G145" i="1"/>
  <c r="E145" i="1" s="1"/>
  <c r="G131" i="1"/>
  <c r="E131" i="1" s="1"/>
  <c r="G117" i="1"/>
  <c r="E117" i="1" s="1"/>
  <c r="G103" i="1"/>
  <c r="E103" i="1" s="1"/>
  <c r="G89" i="1"/>
  <c r="E89" i="1" s="1"/>
  <c r="G75" i="1"/>
  <c r="E75" i="1" s="1"/>
  <c r="G61" i="1"/>
  <c r="E61" i="1" s="1"/>
  <c r="G47" i="1"/>
  <c r="E47" i="1" s="1"/>
  <c r="G33" i="1"/>
  <c r="E33" i="1" s="1"/>
  <c r="G19" i="1"/>
  <c r="E19" i="1" s="1"/>
  <c r="G5" i="1"/>
  <c r="E5" i="1" s="1"/>
  <c r="G295" i="1"/>
  <c r="E295" i="1" s="1"/>
  <c r="G267" i="1"/>
  <c r="E267" i="1" s="1"/>
  <c r="G239" i="1"/>
  <c r="E239" i="1" s="1"/>
  <c r="G211" i="1"/>
  <c r="E211" i="1" s="1"/>
  <c r="G183" i="1"/>
  <c r="E183" i="1" s="1"/>
  <c r="G155" i="1"/>
  <c r="E155" i="1" s="1"/>
  <c r="G43" i="1"/>
  <c r="E43" i="1" s="1"/>
  <c r="G293" i="1"/>
  <c r="E293" i="1" s="1"/>
  <c r="G52" i="1"/>
  <c r="E52" i="1" s="1"/>
  <c r="G312" i="1"/>
  <c r="E312" i="1" s="1"/>
  <c r="G298" i="1"/>
  <c r="E298" i="1" s="1"/>
  <c r="G284" i="1"/>
  <c r="E284" i="1" s="1"/>
  <c r="G270" i="1"/>
  <c r="E270" i="1" s="1"/>
  <c r="G256" i="1"/>
  <c r="E256" i="1" s="1"/>
  <c r="G242" i="1"/>
  <c r="E242" i="1" s="1"/>
  <c r="G228" i="1"/>
  <c r="E228" i="1" s="1"/>
  <c r="G214" i="1"/>
  <c r="E214" i="1" s="1"/>
  <c r="G200" i="1"/>
  <c r="E200" i="1" s="1"/>
  <c r="G186" i="1"/>
  <c r="E186" i="1" s="1"/>
  <c r="G172" i="1"/>
  <c r="E172" i="1" s="1"/>
  <c r="G158" i="1"/>
  <c r="E158" i="1" s="1"/>
  <c r="G144" i="1"/>
  <c r="E144" i="1" s="1"/>
  <c r="G130" i="1"/>
  <c r="E130" i="1" s="1"/>
  <c r="G116" i="1"/>
  <c r="E116" i="1" s="1"/>
  <c r="G102" i="1"/>
  <c r="E102" i="1" s="1"/>
  <c r="G88" i="1"/>
  <c r="E88" i="1" s="1"/>
  <c r="G74" i="1"/>
  <c r="E74" i="1" s="1"/>
  <c r="G60" i="1"/>
  <c r="E60" i="1" s="1"/>
  <c r="G46" i="1"/>
  <c r="E46" i="1" s="1"/>
  <c r="G32" i="1"/>
  <c r="E32" i="1" s="1"/>
  <c r="G18" i="1"/>
  <c r="E18" i="1" s="1"/>
  <c r="G4" i="1"/>
  <c r="E4" i="1" s="1"/>
  <c r="G226" i="1"/>
  <c r="E226" i="1" s="1"/>
  <c r="G113" i="1"/>
  <c r="E113" i="1" s="1"/>
  <c r="G71" i="1"/>
  <c r="E71" i="1" s="1"/>
  <c r="G251" i="1"/>
  <c r="E251" i="1" s="1"/>
  <c r="G333" i="1"/>
  <c r="E333" i="1" s="1"/>
  <c r="G276" i="1"/>
  <c r="E276" i="1" s="1"/>
  <c r="G248" i="1"/>
  <c r="E248" i="1" s="1"/>
  <c r="G220" i="1"/>
  <c r="E220" i="1" s="1"/>
  <c r="G178" i="1"/>
  <c r="E178" i="1" s="1"/>
  <c r="G164" i="1"/>
  <c r="E164" i="1" s="1"/>
  <c r="G122" i="1"/>
  <c r="E122" i="1" s="1"/>
  <c r="G94" i="1"/>
  <c r="E94" i="1" s="1"/>
  <c r="G66" i="1"/>
  <c r="E66" i="1" s="1"/>
  <c r="G303" i="1"/>
  <c r="E303" i="1" s="1"/>
  <c r="G311" i="1"/>
  <c r="E311" i="1" s="1"/>
  <c r="G297" i="1"/>
  <c r="E297" i="1" s="1"/>
  <c r="G283" i="1"/>
  <c r="E283" i="1" s="1"/>
  <c r="G269" i="1"/>
  <c r="E269" i="1" s="1"/>
  <c r="G255" i="1"/>
  <c r="E255" i="1" s="1"/>
  <c r="G241" i="1"/>
  <c r="E241" i="1" s="1"/>
  <c r="G227" i="1"/>
  <c r="E227" i="1" s="1"/>
  <c r="G213" i="1"/>
  <c r="E213" i="1" s="1"/>
  <c r="G199" i="1"/>
  <c r="E199" i="1" s="1"/>
  <c r="G185" i="1"/>
  <c r="E185" i="1" s="1"/>
  <c r="G171" i="1"/>
  <c r="E171" i="1" s="1"/>
  <c r="G157" i="1"/>
  <c r="E157" i="1" s="1"/>
  <c r="G143" i="1"/>
  <c r="E143" i="1" s="1"/>
  <c r="G129" i="1"/>
  <c r="E129" i="1" s="1"/>
  <c r="G115" i="1"/>
  <c r="E115" i="1" s="1"/>
  <c r="G101" i="1"/>
  <c r="E101" i="1" s="1"/>
  <c r="G87" i="1"/>
  <c r="E87" i="1" s="1"/>
  <c r="G73" i="1"/>
  <c r="E73" i="1" s="1"/>
  <c r="G59" i="1"/>
  <c r="E59" i="1" s="1"/>
  <c r="G45" i="1"/>
  <c r="E45" i="1" s="1"/>
  <c r="G31" i="1"/>
  <c r="E31" i="1" s="1"/>
  <c r="G17" i="1"/>
  <c r="E17" i="1" s="1"/>
  <c r="G334" i="1"/>
  <c r="G16" i="1"/>
  <c r="E16" i="1" s="1"/>
  <c r="G15" i="1"/>
  <c r="E15" i="1" s="1"/>
  <c r="G308" i="1"/>
  <c r="E308" i="1" s="1"/>
  <c r="G294" i="1"/>
  <c r="E294" i="1" s="1"/>
  <c r="G280" i="1"/>
  <c r="E280" i="1" s="1"/>
  <c r="G266" i="1"/>
  <c r="E266" i="1" s="1"/>
  <c r="G252" i="1"/>
  <c r="E252" i="1" s="1"/>
  <c r="G238" i="1"/>
  <c r="E238" i="1" s="1"/>
  <c r="G224" i="1"/>
  <c r="E224" i="1" s="1"/>
  <c r="G210" i="1"/>
  <c r="E210" i="1" s="1"/>
  <c r="G196" i="1"/>
  <c r="E196" i="1" s="1"/>
  <c r="G182" i="1"/>
  <c r="E182" i="1" s="1"/>
  <c r="G168" i="1"/>
  <c r="E168" i="1" s="1"/>
  <c r="G154" i="1"/>
  <c r="E154" i="1" s="1"/>
  <c r="G140" i="1"/>
  <c r="E140" i="1" s="1"/>
  <c r="G126" i="1"/>
  <c r="E126" i="1" s="1"/>
  <c r="G112" i="1"/>
  <c r="E112" i="1" s="1"/>
  <c r="G98" i="1"/>
  <c r="E98" i="1" s="1"/>
  <c r="G84" i="1"/>
  <c r="E84" i="1" s="1"/>
  <c r="G70" i="1"/>
  <c r="E70" i="1" s="1"/>
  <c r="G56" i="1"/>
  <c r="E56" i="1" s="1"/>
  <c r="G42" i="1"/>
  <c r="E42" i="1" s="1"/>
  <c r="G28" i="1"/>
  <c r="E28" i="1" s="1"/>
  <c r="G14" i="1"/>
  <c r="E14" i="1" s="1"/>
  <c r="G296" i="1"/>
  <c r="E296" i="1" s="1"/>
  <c r="G198" i="1"/>
  <c r="E198" i="1" s="1"/>
  <c r="G85" i="1"/>
  <c r="E85" i="1" s="1"/>
  <c r="G307" i="1"/>
  <c r="E307" i="1" s="1"/>
  <c r="G265" i="1"/>
  <c r="E265" i="1" s="1"/>
  <c r="G223" i="1"/>
  <c r="E223" i="1" s="1"/>
  <c r="G195" i="1"/>
  <c r="E195" i="1" s="1"/>
  <c r="G181" i="1"/>
  <c r="E181" i="1" s="1"/>
  <c r="G167" i="1"/>
  <c r="E167" i="1" s="1"/>
  <c r="G153" i="1"/>
  <c r="E153" i="1" s="1"/>
  <c r="G139" i="1"/>
  <c r="E139" i="1" s="1"/>
  <c r="G125" i="1"/>
  <c r="E125" i="1" s="1"/>
  <c r="G111" i="1"/>
  <c r="E111" i="1" s="1"/>
  <c r="G97" i="1"/>
  <c r="E97" i="1" s="1"/>
  <c r="G83" i="1"/>
  <c r="E83" i="1" s="1"/>
  <c r="G69" i="1"/>
  <c r="E69" i="1" s="1"/>
  <c r="G55" i="1"/>
  <c r="E55" i="1" s="1"/>
  <c r="G41" i="1"/>
  <c r="E41" i="1" s="1"/>
  <c r="G27" i="1"/>
  <c r="E27" i="1" s="1"/>
  <c r="G13" i="1"/>
  <c r="E13" i="1" s="1"/>
  <c r="G12" i="1"/>
  <c r="E12" i="1" s="1"/>
  <c r="G209" i="1"/>
  <c r="E209" i="1" s="1"/>
  <c r="G306" i="1"/>
  <c r="E306" i="1" s="1"/>
  <c r="G292" i="1"/>
  <c r="E292" i="1" s="1"/>
  <c r="G278" i="1"/>
  <c r="E278" i="1" s="1"/>
  <c r="G264" i="1"/>
  <c r="E264" i="1" s="1"/>
  <c r="G250" i="1"/>
  <c r="E250" i="1" s="1"/>
  <c r="G236" i="1"/>
  <c r="E236" i="1" s="1"/>
  <c r="G222" i="1"/>
  <c r="E222" i="1" s="1"/>
  <c r="G208" i="1"/>
  <c r="E208" i="1" s="1"/>
  <c r="G194" i="1"/>
  <c r="E194" i="1" s="1"/>
  <c r="G180" i="1"/>
  <c r="E180" i="1" s="1"/>
  <c r="G166" i="1"/>
  <c r="E166" i="1" s="1"/>
  <c r="G152" i="1"/>
  <c r="E152" i="1" s="1"/>
  <c r="G138" i="1"/>
  <c r="E138" i="1" s="1"/>
  <c r="G124" i="1"/>
  <c r="E124" i="1" s="1"/>
  <c r="G110" i="1"/>
  <c r="E110" i="1" s="1"/>
  <c r="G96" i="1"/>
  <c r="E96" i="1" s="1"/>
  <c r="G82" i="1"/>
  <c r="E82" i="1" s="1"/>
  <c r="G68" i="1"/>
  <c r="E68" i="1" s="1"/>
  <c r="G54" i="1"/>
  <c r="E54" i="1" s="1"/>
  <c r="G40" i="1"/>
  <c r="E40" i="1" s="1"/>
  <c r="G26" i="1"/>
  <c r="E26" i="1" s="1"/>
  <c r="G3" i="1"/>
  <c r="E3" i="1" s="1"/>
  <c r="G305" i="1"/>
  <c r="E305" i="1" s="1"/>
  <c r="G291" i="1"/>
  <c r="E291" i="1" s="1"/>
  <c r="G277" i="1"/>
  <c r="E277" i="1" s="1"/>
  <c r="G263" i="1"/>
  <c r="E263" i="1" s="1"/>
  <c r="G249" i="1"/>
  <c r="E249" i="1" s="1"/>
  <c r="G235" i="1"/>
  <c r="E235" i="1" s="1"/>
  <c r="G221" i="1"/>
  <c r="E221" i="1" s="1"/>
  <c r="G207" i="1"/>
  <c r="E207" i="1" s="1"/>
  <c r="G193" i="1"/>
  <c r="E193" i="1" s="1"/>
  <c r="G179" i="1"/>
  <c r="E179" i="1" s="1"/>
  <c r="G165" i="1"/>
  <c r="E165" i="1" s="1"/>
  <c r="G151" i="1"/>
  <c r="E151" i="1" s="1"/>
  <c r="G137" i="1"/>
  <c r="E137" i="1" s="1"/>
  <c r="G123" i="1"/>
  <c r="E123" i="1" s="1"/>
  <c r="G109" i="1"/>
  <c r="E109" i="1" s="1"/>
  <c r="G95" i="1"/>
  <c r="E95" i="1" s="1"/>
  <c r="G81" i="1"/>
  <c r="E81" i="1" s="1"/>
  <c r="G67" i="1"/>
  <c r="E67" i="1" s="1"/>
  <c r="G53" i="1"/>
  <c r="E53" i="1" s="1"/>
  <c r="G39" i="1"/>
  <c r="E39" i="1" s="1"/>
  <c r="G25" i="1"/>
  <c r="E25" i="1" s="1"/>
  <c r="G11" i="1"/>
  <c r="E11" i="1" s="1"/>
  <c r="G10" i="1"/>
  <c r="E10" i="1" s="1"/>
  <c r="G310" i="1"/>
  <c r="E310" i="1" s="1"/>
  <c r="G240" i="1"/>
  <c r="E240" i="1" s="1"/>
  <c r="G170" i="1"/>
  <c r="E170" i="1" s="1"/>
  <c r="G142" i="1"/>
  <c r="E142" i="1" s="1"/>
  <c r="G114" i="1"/>
  <c r="E114" i="1" s="1"/>
  <c r="G58" i="1"/>
  <c r="E58" i="1" s="1"/>
  <c r="G275" i="1"/>
  <c r="E275" i="1" s="1"/>
  <c r="G261" i="1"/>
  <c r="E261" i="1" s="1"/>
  <c r="G247" i="1"/>
  <c r="E247" i="1" s="1"/>
  <c r="G233" i="1"/>
  <c r="E233" i="1" s="1"/>
  <c r="G219" i="1"/>
  <c r="E219" i="1" s="1"/>
  <c r="G205" i="1"/>
  <c r="E205" i="1" s="1"/>
  <c r="G191" i="1"/>
  <c r="E191" i="1" s="1"/>
  <c r="G177" i="1"/>
  <c r="E177" i="1" s="1"/>
  <c r="G163" i="1"/>
  <c r="E163" i="1" s="1"/>
  <c r="G149" i="1"/>
  <c r="E149" i="1" s="1"/>
  <c r="G135" i="1"/>
  <c r="E135" i="1" s="1"/>
  <c r="G121" i="1"/>
  <c r="E121" i="1" s="1"/>
  <c r="G107" i="1"/>
  <c r="E107" i="1" s="1"/>
  <c r="G93" i="1"/>
  <c r="E93" i="1" s="1"/>
  <c r="G79" i="1"/>
  <c r="E79" i="1" s="1"/>
  <c r="G65" i="1"/>
  <c r="E65" i="1" s="1"/>
  <c r="G51" i="1"/>
  <c r="E51" i="1" s="1"/>
  <c r="G37" i="1"/>
  <c r="E37" i="1" s="1"/>
  <c r="G23" i="1"/>
  <c r="E23" i="1" s="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54" i="1"/>
  <c r="F255" i="1"/>
  <c r="F256" i="1"/>
  <c r="F257" i="1"/>
  <c r="F258" i="1"/>
  <c r="F259" i="1"/>
  <c r="F260" i="1"/>
  <c r="F261" i="1"/>
  <c r="F262" i="1"/>
  <c r="F263" i="1"/>
  <c r="F264" i="1"/>
  <c r="F265" i="1"/>
  <c r="F266" i="1"/>
  <c r="F267"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3" i="1"/>
  <c r="C3" i="5" l="1" a="1"/>
  <c r="C3" i="5"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33" i="1"/>
  <c r="F318" i="1"/>
  <c r="F319" i="1"/>
  <c r="F320" i="1"/>
  <c r="F321" i="1"/>
  <c r="F322" i="1"/>
  <c r="F323" i="1"/>
  <c r="F324" i="1"/>
  <c r="F325" i="1"/>
  <c r="F326" i="1"/>
  <c r="F327" i="1"/>
  <c r="F328" i="1"/>
  <c r="F329" i="1"/>
  <c r="F330" i="1"/>
  <c r="F331" i="1"/>
  <c r="F332"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E498" i="1" l="1"/>
  <c r="E520" i="1"/>
  <c r="E548" i="1"/>
  <c r="E671" i="1"/>
  <c r="E638" i="1"/>
  <c r="E642" i="1"/>
  <c r="E583" i="1"/>
  <c r="E547" i="1"/>
  <c r="E645" i="1"/>
  <c r="E615" i="1"/>
  <c r="E611" i="1"/>
  <c r="E545" i="1"/>
  <c r="E584" i="1"/>
  <c r="E602" i="1"/>
  <c r="E637" i="1"/>
  <c r="E517" i="1"/>
  <c r="E667" i="1"/>
  <c r="E569" i="1"/>
  <c r="E489" i="1"/>
  <c r="E630" i="1"/>
  <c r="E503" i="1"/>
  <c r="E531" i="1"/>
  <c r="E512" i="1"/>
  <c r="E572" i="1"/>
  <c r="E559" i="1"/>
  <c r="E562" i="1"/>
  <c r="E564" i="1"/>
  <c r="E634" i="1"/>
  <c r="E589" i="1"/>
  <c r="E595" i="1"/>
  <c r="E657" i="1"/>
  <c r="E655" i="1"/>
  <c r="E573" i="1"/>
  <c r="E641" i="1"/>
  <c r="E616" i="1"/>
  <c r="E518" i="1"/>
  <c r="E621" i="1"/>
  <c r="E536" i="1"/>
  <c r="E553" i="1"/>
  <c r="E514" i="1"/>
  <c r="E598" i="1"/>
  <c r="E538" i="1"/>
  <c r="E654" i="1"/>
  <c r="E633" i="1"/>
  <c r="E629" i="1"/>
  <c r="E669" i="1"/>
  <c r="E543" i="1"/>
  <c r="E546" i="1"/>
  <c r="E639" i="1"/>
  <c r="E613" i="1"/>
  <c r="E523" i="1"/>
  <c r="E660" i="1"/>
  <c r="E623" i="1"/>
  <c r="E556" i="1"/>
  <c r="E597" i="1"/>
  <c r="E606" i="1"/>
  <c r="E663" i="1"/>
  <c r="E591" i="1"/>
  <c r="E493" i="1"/>
  <c r="E571" i="1"/>
  <c r="E674" i="1"/>
  <c r="E631" i="1"/>
  <c r="E658" i="1"/>
  <c r="E486" i="1"/>
  <c r="E666" i="1"/>
  <c r="E649" i="1"/>
  <c r="E665" i="1"/>
  <c r="E574" i="1"/>
  <c r="E525" i="1"/>
  <c r="E557" i="1"/>
  <c r="E568" i="1"/>
  <c r="E500" i="1"/>
  <c r="E608" i="1"/>
  <c r="E519" i="1"/>
  <c r="E527" i="1"/>
  <c r="E646" i="1"/>
  <c r="E513" i="1"/>
  <c r="E508" i="1"/>
  <c r="E494" i="1"/>
  <c r="E592" i="1"/>
  <c r="E528" i="1"/>
  <c r="E491" i="1"/>
  <c r="E496" i="1"/>
  <c r="E609" i="1"/>
  <c r="E670" i="1"/>
  <c r="E586" i="1"/>
  <c r="E506" i="1"/>
  <c r="E643" i="1"/>
  <c r="E507" i="1"/>
  <c r="E526" i="1"/>
  <c r="E577" i="1"/>
  <c r="E521" i="1"/>
  <c r="E601" i="1"/>
  <c r="E549" i="1"/>
  <c r="E612" i="1"/>
  <c r="E587" i="1"/>
  <c r="E522" i="1"/>
  <c r="E596" i="1"/>
  <c r="E610" i="1"/>
  <c r="E576" i="1"/>
  <c r="E495" i="1"/>
  <c r="E624" i="1"/>
  <c r="E594" i="1"/>
  <c r="E664" i="1"/>
  <c r="E530" i="1"/>
  <c r="E636" i="1"/>
  <c r="E488" i="1"/>
  <c r="E502" i="1"/>
  <c r="E614" i="1"/>
  <c r="E626" i="1"/>
  <c r="E659" i="1"/>
  <c r="E566" i="1"/>
  <c r="E550" i="1"/>
  <c r="E510" i="1"/>
  <c r="E509" i="1"/>
  <c r="E647" i="1"/>
  <c r="E635" i="1"/>
  <c r="E675" i="1"/>
  <c r="E640" i="1"/>
  <c r="E678" i="1"/>
  <c r="E582" i="1"/>
  <c r="E492" i="1"/>
  <c r="E581" i="1"/>
  <c r="E497" i="1"/>
  <c r="E537" i="1"/>
  <c r="E490" i="1"/>
  <c r="E627" i="1"/>
  <c r="E516" i="1"/>
  <c r="E560" i="1"/>
  <c r="E541" i="1"/>
  <c r="E656" i="1"/>
  <c r="E511" i="1"/>
  <c r="E532" i="1"/>
  <c r="E588" i="1"/>
  <c r="E505" i="1"/>
  <c r="E563" i="1"/>
  <c r="E617" i="1"/>
  <c r="E628" i="1"/>
  <c r="E625" i="1"/>
  <c r="E676" i="1"/>
  <c r="E485" i="1"/>
  <c r="E650" i="1"/>
  <c r="E585" i="1"/>
  <c r="E599" i="1"/>
  <c r="E677" i="1"/>
  <c r="E590" i="1"/>
  <c r="E593" i="1"/>
  <c r="E619" i="1"/>
  <c r="E499" i="1"/>
  <c r="E661" i="1"/>
  <c r="E501" i="1"/>
  <c r="E607" i="1"/>
  <c r="E544" i="1"/>
  <c r="E524" i="1"/>
  <c r="E600" i="1"/>
  <c r="E540" i="1"/>
  <c r="E648" i="1"/>
  <c r="E605" i="1"/>
  <c r="E551" i="1"/>
  <c r="E679" i="1"/>
  <c r="E578" i="1"/>
  <c r="E622" i="1"/>
  <c r="E604" i="1"/>
  <c r="E539" i="1"/>
  <c r="E618" i="1"/>
  <c r="E487" i="1"/>
  <c r="E555" i="1"/>
  <c r="E515" i="1"/>
  <c r="E535" i="1"/>
  <c r="E673" i="1"/>
  <c r="E567" i="1"/>
  <c r="E552" i="1"/>
  <c r="E644" i="1"/>
  <c r="E672" i="1"/>
  <c r="E542" i="1"/>
  <c r="E554" i="1"/>
  <c r="E529" i="1"/>
  <c r="E558" i="1"/>
  <c r="E651" i="1"/>
  <c r="E504" i="1"/>
  <c r="E565" i="1"/>
  <c r="E662" i="1"/>
  <c r="E652" i="1"/>
  <c r="E575" i="1"/>
  <c r="E580" i="1"/>
  <c r="E561" i="1"/>
  <c r="E579" i="1"/>
  <c r="E668" i="1"/>
  <c r="E632" i="1"/>
  <c r="E570" i="1"/>
  <c r="E533" i="1"/>
  <c r="E653" i="1"/>
  <c r="E620" i="1"/>
  <c r="E603" i="1"/>
  <c r="E534" i="1"/>
  <c r="E422" i="1" l="1"/>
  <c r="E360" i="1"/>
  <c r="E327" i="1"/>
  <c r="E483" i="1"/>
  <c r="E325" i="1"/>
  <c r="E461" i="1"/>
  <c r="E354" i="1"/>
  <c r="E390" i="1"/>
  <c r="E392" i="1"/>
  <c r="E353" i="1"/>
  <c r="E477" i="1"/>
  <c r="E451" i="1"/>
  <c r="E324" i="1"/>
  <c r="E471" i="1"/>
  <c r="E407" i="1"/>
  <c r="E400" i="1"/>
  <c r="E478" i="1"/>
  <c r="E379" i="1"/>
  <c r="E323" i="1"/>
  <c r="E443" i="1"/>
  <c r="E384" i="1"/>
  <c r="E454" i="1"/>
  <c r="E433" i="1"/>
  <c r="E363" i="1"/>
  <c r="E431" i="1"/>
  <c r="E377" i="1"/>
  <c r="E375" i="1"/>
  <c r="E419" i="1"/>
  <c r="E439" i="1"/>
  <c r="E463" i="1"/>
  <c r="E420" i="1"/>
  <c r="E358" i="1"/>
  <c r="E387" i="1"/>
  <c r="E399" i="1"/>
  <c r="E349" i="1"/>
  <c r="E326" i="1"/>
  <c r="E370" i="1"/>
  <c r="E369" i="1"/>
  <c r="E467" i="1"/>
  <c r="E450" i="1"/>
  <c r="E449" i="1"/>
  <c r="E350" i="1"/>
  <c r="E321" i="1"/>
  <c r="E364" i="1"/>
  <c r="E434" i="1"/>
  <c r="E366" i="1"/>
  <c r="E440" i="1"/>
  <c r="E357" i="1"/>
  <c r="E423" i="1"/>
  <c r="E475" i="1"/>
  <c r="E468" i="1"/>
  <c r="E410" i="1"/>
  <c r="E482" i="1"/>
  <c r="E469" i="1"/>
  <c r="E480" i="1"/>
  <c r="E385" i="1"/>
  <c r="E331" i="1"/>
  <c r="E365" i="1"/>
  <c r="E426" i="1"/>
  <c r="E432" i="1"/>
  <c r="E484" i="1"/>
  <c r="E421" i="1"/>
  <c r="E470" i="1"/>
  <c r="E424" i="1"/>
  <c r="E381" i="1"/>
  <c r="E398" i="1"/>
  <c r="E394" i="1"/>
  <c r="E472" i="1"/>
  <c r="E402" i="1"/>
  <c r="E378" i="1"/>
  <c r="E466" i="1"/>
  <c r="E380" i="1"/>
  <c r="E388" i="1"/>
  <c r="E430" i="1"/>
  <c r="E412" i="1"/>
  <c r="E320" i="1"/>
  <c r="E479" i="1"/>
  <c r="E351" i="1"/>
  <c r="E409" i="1"/>
  <c r="E367" i="1"/>
  <c r="E425" i="1"/>
  <c r="E413" i="1"/>
  <c r="E436" i="1"/>
  <c r="E404" i="1"/>
  <c r="E376" i="1" l="1"/>
  <c r="E427" i="1"/>
  <c r="E457" i="1"/>
  <c r="E403" i="1"/>
  <c r="E417" i="1"/>
  <c r="E405" i="1"/>
  <c r="E352" i="1"/>
  <c r="E329" i="1"/>
  <c r="E418" i="1"/>
  <c r="E458" i="1"/>
  <c r="E401" i="1"/>
  <c r="E438" i="1"/>
  <c r="E441" i="1"/>
  <c r="E476" i="1"/>
  <c r="E373" i="1"/>
  <c r="E359" i="1"/>
  <c r="E408" i="1"/>
  <c r="E445" i="1"/>
  <c r="E465" i="1"/>
  <c r="E481" i="1"/>
  <c r="E416" i="1"/>
  <c r="E456" i="1"/>
  <c r="E371" i="1"/>
  <c r="E411" i="1"/>
  <c r="E462" i="1"/>
  <c r="E437" i="1"/>
  <c r="E464" i="1"/>
  <c r="E415" i="1"/>
  <c r="E361" i="1"/>
  <c r="E474" i="1"/>
  <c r="E460" i="1"/>
  <c r="E356" i="1"/>
  <c r="E414" i="1"/>
  <c r="E396" i="1"/>
  <c r="E459" i="1"/>
  <c r="E393" i="1"/>
  <c r="E322" i="1"/>
  <c r="E382" i="1"/>
  <c r="E428" i="1"/>
  <c r="E355" i="1"/>
  <c r="E397" i="1"/>
  <c r="E319" i="1"/>
  <c r="E442" i="1"/>
  <c r="E330" i="1"/>
  <c r="E383" i="1"/>
  <c r="E318" i="1"/>
  <c r="E406" i="1"/>
  <c r="E455" i="1"/>
  <c r="E447" i="1"/>
  <c r="E374" i="1"/>
  <c r="E391" i="1"/>
  <c r="E395" i="1"/>
  <c r="E368" i="1"/>
  <c r="E386" i="1"/>
  <c r="E429" i="1"/>
  <c r="E444" i="1"/>
  <c r="E389" i="1"/>
  <c r="E362" i="1"/>
  <c r="E473" i="1"/>
  <c r="E332" i="1"/>
  <c r="E328" i="1"/>
  <c r="E452" i="1"/>
  <c r="E453" i="1"/>
  <c r="E446" i="1"/>
  <c r="E372" i="1"/>
  <c r="E448" i="1"/>
  <c r="E435" i="1"/>
  <c r="D2"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212B7CA1-1D60-441F-B72D-2455352A7338}">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<sst xmlns="http://schemas.openxmlformats.org/spreadsheetml/2006/main" count="54" uniqueCount="53">
  <si>
    <t>Starting Time</t>
  </si>
  <si>
    <t>Blue columns are data to enter, orange columns are automatically calculated!</t>
  </si>
  <si>
    <t>Logging
Start Time</t>
  </si>
  <si>
    <t>Timestamp</t>
  </si>
  <si>
    <t>Minutes Passed</t>
  </si>
  <si>
    <t>Lowest Temperature</t>
  </si>
  <si>
    <t>Highest Temperature</t>
  </si>
  <si>
    <t>Range</t>
  </si>
  <si>
    <t>Notes</t>
  </si>
  <si>
    <r>
      <t xml:space="preserve">Minutes to Ready
</t>
    </r>
    <r>
      <rPr>
        <i/>
        <sz val="10"/>
        <color rgb="FFFFFFFF"/>
        <rFont val="Arial"/>
        <family val="2"/>
      </rPr>
      <t>(earliest minutes &gt;= 50°)</t>
    </r>
  </si>
  <si>
    <t>Cameras active 1m faster, at 'ready' temp 6-10m faster, 2° difference appears to have an impact on startup time</t>
  </si>
  <si>
    <r>
      <t xml:space="preserve">Key
</t>
    </r>
    <r>
      <rPr>
        <i/>
        <sz val="8"/>
        <color rgb="FFFFFFFF"/>
        <rFont val="Arial"/>
        <family val="2"/>
      </rPr>
      <t>invalid data recorded as non-date instead</t>
    </r>
  </si>
  <si>
    <r>
      <t xml:space="preserve">Key
</t>
    </r>
    <r>
      <rPr>
        <i/>
        <sz val="8"/>
        <color rgb="FFFFFFFF"/>
        <rFont val="Arial"/>
        <family val="2"/>
      </rPr>
      <t>usually date, but invalid data is labelled</t>
    </r>
  </si>
  <si>
    <r>
      <rPr>
        <b/>
        <u/>
        <sz val="8"/>
        <color theme="1"/>
        <rFont val="Calibri"/>
        <family val="2"/>
        <scheme val="minor"/>
      </rPr>
      <t>Note</t>
    </r>
    <r>
      <rPr>
        <b/>
        <sz val="8"/>
        <color theme="1"/>
        <rFont val="Calibri"/>
        <family val="2"/>
        <scheme val="minor"/>
      </rPr>
      <t xml:space="preserve">: </t>
    </r>
    <r>
      <rPr>
        <i/>
        <sz val="8"/>
        <color theme="1"/>
        <rFont val="Calibri"/>
        <family val="2"/>
        <scheme val="minor"/>
      </rPr>
      <t>Dark/red rows (see column B) are invalid data, and keys in A column/daily summary should not be dates if there's a data problem</t>
    </r>
  </si>
  <si>
    <t>About 2.5min startup</t>
  </si>
  <si>
    <t>Starting Temperature (°C)</t>
  </si>
  <si>
    <r>
      <t xml:space="preserve">Also 2m vs 3m startup - is possible I'm reacting faster to camera startup now I'm used to it or is temperature diff minimal?
</t>
    </r>
    <r>
      <rPr>
        <i/>
        <sz val="11"/>
        <color theme="1"/>
        <rFont val="Calibri"/>
        <family val="2"/>
        <scheme val="minor"/>
      </rPr>
      <t xml:space="preserve">(Starting at a </t>
    </r>
    <r>
      <rPr>
        <b/>
        <i/>
        <sz val="11"/>
        <color theme="1"/>
        <rFont val="Calibri"/>
        <family val="2"/>
        <scheme val="minor"/>
      </rPr>
      <t>lower</t>
    </r>
    <r>
      <rPr>
        <i/>
        <sz val="11"/>
        <color theme="1"/>
        <rFont val="Calibri"/>
        <family val="2"/>
        <scheme val="minor"/>
      </rPr>
      <t xml:space="preserve"> temp would be good data)</t>
    </r>
  </si>
  <si>
    <t>Step</t>
  </si>
  <si>
    <t>Task</t>
  </si>
  <si>
    <t>Record to 'Daily Summary' the starting time and temperature (use INB0104 thermostat room temperature, turn it on to read then off again if previously off to maintain temp)</t>
  </si>
  <si>
    <t>Open Nexus 2.18</t>
  </si>
  <si>
    <t>1 new</t>
  </si>
  <si>
    <t>Open VSCodium and start the nexus temp reader script AFTER cameras online</t>
  </si>
  <si>
    <t>4 old</t>
  </si>
  <si>
    <t>4 new</t>
  </si>
  <si>
    <t>Wait for cameras to turn on (all cameras reading enabled ADD SCREENSHOT OF STARTUP) then record the initial log entry manually to 'Log' sheet (add lowest temperature and highest temperature for range as well as timestamp and date key</t>
  </si>
  <si>
    <t>Every x minutes record the temp range as a new entry (5-10 mins is usually good enough but when the range gets close to 50deg try to record the minute it reaches all cameras 50 or higher)</t>
  </si>
  <si>
    <t>WIP</t>
  </si>
  <si>
    <t>In case anyone else has to use this sheet</t>
  </si>
  <si>
    <t>Ranges that can be edited</t>
  </si>
  <si>
    <t>Ranges that are calculated &amp; should not be edited</t>
  </si>
  <si>
    <r>
      <t xml:space="preserve">todo </t>
    </r>
    <r>
      <rPr>
        <sz val="11"/>
        <color theme="1"/>
        <rFont val="Calibri"/>
        <family val="2"/>
        <scheme val="minor"/>
      </rPr>
      <t>add sheet protection to orange ranges</t>
    </r>
  </si>
  <si>
    <t>from 01/08/26 started using camera script (more granular timestamps and regular measurements vs manual)</t>
  </si>
  <si>
    <t>Need to recalculate 'Camera temperature vs minutes since start' ,</t>
  </si>
  <si>
    <t>Not clearly useful data and manually adding series daily is time-consuming</t>
  </si>
  <si>
    <t>What other charts to plot from this data?</t>
  </si>
  <si>
    <t>Measuring initial camera temperature against room/startup?</t>
  </si>
  <si>
    <r>
      <rPr>
        <b/>
        <sz val="11"/>
        <color theme="1"/>
        <rFont val="Calibri"/>
        <family val="2"/>
        <scheme val="minor"/>
      </rPr>
      <t xml:space="preserve">Note on above chart: </t>
    </r>
    <r>
      <rPr>
        <sz val="11"/>
        <color theme="1"/>
        <rFont val="Calibri"/>
        <family val="2"/>
        <scheme val="minor"/>
      </rPr>
      <t>from 01/08 tracked by script not manual</t>
    </r>
  </si>
  <si>
    <t>Earlier recordings are not as granular &amp; have irregular time steps</t>
  </si>
  <si>
    <t>Recording with camera temperature tracking script from this day</t>
  </si>
  <si>
    <t>Date</t>
  </si>
  <si>
    <t>Camera by ID</t>
  </si>
  <si>
    <t>This is a dev troubleshooting record for the camera temperature script, checking which cameras are dropped from readings</t>
  </si>
  <si>
    <t>Cameras Missing from Temperature Script Log</t>
  </si>
  <si>
    <t>(04/08 is first day recording these errors)</t>
  </si>
  <si>
    <r>
      <t xml:space="preserve">(tested script against non-active system configs) - on selecting VCS on init, 1 cam active, temp not shown. </t>
    </r>
    <r>
      <rPr>
        <b/>
        <sz val="11"/>
        <color theme="1"/>
        <rFont val="Calibri"/>
        <family val="2"/>
        <scheme val="minor"/>
      </rPr>
      <t>Mix of auto &amp; manual logs!</t>
    </r>
    <r>
      <rPr>
        <sz val="11"/>
        <color theme="1"/>
        <rFont val="Calibri"/>
        <family val="2"/>
        <scheme val="minor"/>
      </rPr>
      <t xml:space="preserve">
</t>
    </r>
    <r>
      <rPr>
        <b/>
        <sz val="11"/>
        <color theme="1"/>
        <rFont val="Calibri"/>
        <family val="2"/>
        <scheme val="minor"/>
      </rPr>
      <t>note</t>
    </r>
    <r>
      <rPr>
        <sz val="11"/>
        <color theme="1"/>
        <rFont val="Calibri"/>
        <family val="2"/>
        <scheme val="minor"/>
      </rPr>
      <t xml:space="preserve"> - polling errors with camera temp script (</t>
    </r>
    <r>
      <rPr>
        <b/>
        <i/>
        <sz val="11"/>
        <color theme="1"/>
        <rFont val="Calibri"/>
        <family val="2"/>
        <scheme val="minor"/>
      </rPr>
      <t>window not selected!</t>
    </r>
    <r>
      <rPr>
        <sz val="11"/>
        <color theme="1"/>
        <rFont val="Calibri"/>
        <family val="2"/>
        <scheme val="minor"/>
      </rPr>
      <t xml:space="preserve">)
</t>
    </r>
    <r>
      <rPr>
        <b/>
        <i/>
        <sz val="11"/>
        <color theme="1"/>
        <rFont val="Calibri"/>
        <family val="2"/>
        <scheme val="minor"/>
      </rPr>
      <t>time to ready wasn't faster than yesterday despite higher starting temp</t>
    </r>
  </si>
  <si>
    <t>startup time may be off by 30 seconds, recorded after start</t>
  </si>
  <si>
    <t>no longer tracking - bug fixed</t>
  </si>
  <si>
    <r>
      <rPr>
        <b/>
        <sz val="11"/>
        <color theme="1"/>
        <rFont val="Calibri"/>
        <family val="2"/>
        <scheme val="minor"/>
      </rPr>
      <t>Next chart</t>
    </r>
    <r>
      <rPr>
        <sz val="11"/>
        <color theme="1"/>
        <rFont val="Calibri"/>
        <family val="2"/>
        <scheme val="minor"/>
      </rPr>
      <t xml:space="preserve"> - camera temperature at time (avg. between low/high no error data) cross-referenced against starting temperature</t>
    </r>
  </si>
  <si>
    <t>Attempted to cool room prior to test but thermostat is locked to 23° range and does not cool room quickly - room temperature used</t>
  </si>
  <si>
    <t>initial recording/camera startup time slightly delayed by interruption</t>
  </si>
  <si>
    <t>lab interruption, delay in starting reader &amp; adjusting window - script read for 12 cameras instead of 18 for several read cycles</t>
  </si>
  <si>
    <t>data saved but not in log - set postproc script needs to be able to accept a csv input as well as a during-proc generated array (update temp script to output a unique csv per 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</si>
</sst>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C\)"/>
    <numFmt numFmtId="165" formatCode="hh:mm:ss;@"/>
    <numFmt numFmtId="166" formatCode="h:mm:ss;@"/>
  </numFmts>
  <fonts count="27" x14ac:knownFonts="1">
    <font>
      <sz val="11"/>
      <color theme="1"/>
      <name val="Calibri"/>
      <family val="2"/>
      <scheme val="minor"/>
    </font>
    <font>
      <b/>
      <sz val="11"/>
      <color theme="1"/>
      <name val="Calibri"/>
      <family val="2"/>
      <scheme val="minor"/>
    </font>
    <font>
      <sz val="11"/>
      <color theme="1"/>
      <name val="Calibri"/>
      <family val="2"/>
      <charset val="1"/>
    </font>
    <font>
      <b/>
      <sz val="12"/>
      <color rgb="FFFFFFFF"/>
      <name val="Arial"/>
      <family val="2"/>
    </font>
    <font>
      <i/>
      <sz val="8"/>
      <color rgb="FFFFFFFF"/>
      <name val="Arial"/>
      <family val="2"/>
    </font>
    <font>
      <i/>
      <sz val="10"/>
      <color rgb="FFFFFFFF"/>
      <name val="Arial"/>
      <family val="2"/>
    </font>
    <font>
      <b/>
      <i/>
      <sz val="11"/>
      <color theme="1"/>
      <name val="Calibri"/>
      <family val="2"/>
      <scheme val="minor"/>
    </font>
    <font>
      <i/>
      <sz val="11"/>
      <color theme="1"/>
      <name val="Calibri"/>
      <family val="2"/>
      <scheme val="minor"/>
    </font>
    <font>
      <sz val="8"/>
      <name val="Calibri"/>
      <family val="2"/>
      <scheme val="minor"/>
    </font>
    <font>
      <i/>
      <sz val="8"/>
      <color theme="1"/>
      <name val="Calibri"/>
      <family val="2"/>
      <scheme val="minor"/>
    </font>
    <font>
      <b/>
      <u/>
      <sz val="8"/>
      <color theme="1"/>
      <name val="Calibri"/>
      <family val="2"/>
      <scheme val="minor"/>
    </font>
    <font>
      <b/>
      <sz val="8"/>
      <color theme="1"/>
      <name val="Calibri"/>
      <family val="2"/>
      <scheme val="minor"/>
    </font>
    <font>
      <b/>
      <u/>
      <sz val="11"/>
      <color theme="1"/>
      <name val="Calibri"/>
      <family val="2"/>
      <scheme val="minor"/>
    </font>
    <font>
      <sz val="11"/>
      <color theme="1"/>
      <name val="Calibri"/>
      <family val="2"/>
    </font>
    <font>
      <i/>
      <sz val="10"/>
      <color theme="1"/>
      <name val="Arial"/>
      <family val="2"/>
    </font>
    <font>
      <i/>
      <sz val="11"/>
      <color theme="1"/>
      <name val="Arial"/>
      <family val="2"/>
    </font>
    <font>
      <sz val="11"/>
      <color theme="0"/>
      <name val="Calibri"/>
      <family val="2"/>
      <charset val="1"/>
    </font>
    <font>
      <b/>
      <sz val="10"/>
      <color theme="0"/>
      <name val="Arial"/>
      <family val="2"/>
    </font>
    <font>
      <b/>
      <sz val="11"/>
      <color theme="0"/>
      <name val="Calibri"/>
      <family val="2"/>
      <charset val="1"/>
    </font>
    <font>
      <b/>
      <sz val="10"/>
      <color theme="1"/>
      <name val="Arial"/>
      <family val="2"/>
    </font>
    <font>
      <b/>
      <sz val="10"/>
      <color theme="1"/>
      <name val="Calibri"/>
      <family val="2"/>
    </font>
    <font>
      <sz val="11"/>
      <color theme="1"/>
      <name val="Arial"/>
      <family val="2"/>
    </font>
    <font>
      <sz val="10"/>
      <color theme="1"/>
      <name val="Calibri"/>
      <family val="2"/>
    </font>
    <font>
      <b/>
      <sz val="11"/>
      <color rgb="FFFF0000"/>
      <name val="Calibri"/>
      <family val="2"/>
      <charset val="1"/>
    </font>
    <font>
      <b/>
      <sz val="9"/>
      <color indexed="81"/>
      <name val="Tahoma"/>
      <family val="2"/>
    </font>
    <font>
      <sz val="9"/>
      <color indexed="81"/>
      <name val="Tahoma"/>
      <family val="2"/>
    </font>
    <font>
      <b/>
      <sz val="16"/>
      <color rgb="FFFF0000"/>
      <name val="Calibri"/>
      <family val="2"/>
    </font>
  </fonts>
  <fills count="11">
    <fill>
      <patternFill patternType="none"/>
    </fill>
    <fill>
      <patternFill patternType="gray125"/>
    </fill>
    <fill>
      <patternFill patternType="solid">
        <fgColor rgb="FF1F4E78"/>
        <bgColor rgb="FF003366"/>
      </patternFill>
    </fill>
    <fill>
      <patternFill patternType="solid">
        <fgColor theme="0" tint="-0.14999847407452621"/>
        <bgColor indexed="64"/>
      </patternFill>
    </fill>
    <fill>
      <patternFill patternType="solid">
        <fgColor theme="5" tint="-0.249977111117893"/>
        <bgColor rgb="FF003366"/>
      </patternFill>
    </fill>
    <fill>
      <patternFill patternType="solid">
        <fgColor rgb="FFC65911"/>
        <bgColor rgb="FF003366"/>
      </patternFill>
    </fill>
    <fill>
      <patternFill patternType="solid">
        <fgColor rgb="FFC65911"/>
        <bgColor indexed="64"/>
      </patternFill>
    </fill>
    <fill>
      <patternFill patternType="solid">
        <fgColor rgb="FF1F4E78"/>
        <bgColor indexed="64"/>
      </patternFill>
    </fill>
    <fill>
      <patternFill patternType="solid">
        <fgColor theme="4" tint="0.39997558519241921"/>
        <bgColor rgb="FF003366"/>
      </patternFill>
    </fill>
    <fill>
      <patternFill patternType="solid">
        <fgColor theme="4" tint="0.59999389629810485"/>
        <bgColor indexed="64"/>
      </patternFill>
    </fill>
    <fill>
      <patternFill patternType="solid">
        <fgColor rgb="FFBDD7EE"/>
        <bgColor indexed="64"/>
      </patternFill>
    </fill>
  </fills>
  <borders count="13">
    <border>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s>
  <cellStyleXfs count="2">
    <xf numFmtId="0" fontId="0" fillId="0" borderId="0"/>
    <xf numFmtId="0" fontId="2" fillId="0" borderId="0"/>
  </cellStyleXfs>
  <cellXfs count="51">
    <xf numFmtId="0" fontId="0" fillId="0" borderId="0" xfId="0"/>
    <xf numFmtId="14" fontId="0" fillId="0" borderId="2" xfId="0" applyNumberFormat="1" applyBorder="1" applyAlignment="1">
      <alignment horizontal="center" vertical="center" wrapText="1"/>
    </xf>
    <xf numFmtId="164" fontId="0" fillId="0" borderId="1" xfId="0" applyNumberFormat="1" applyBorder="1" applyAlignment="1">
      <alignment horizontal="center" vertical="center"/>
    </xf>
    <xf numFmtId="0" fontId="0" fillId="0" borderId="2" xfId="0" applyBorder="1" applyAlignment="1">
      <alignment horizontal="center" vertical="center"/>
    </xf>
    <xf numFmtId="0" fontId="3" fillId="2" borderId="3" xfId="1" applyFont="1" applyFill="1" applyBorder="1" applyAlignment="1">
      <alignment horizontal="center" vertical="center" wrapText="1"/>
    </xf>
    <xf numFmtId="49" fontId="3" fillId="2" borderId="3" xfId="1" applyNumberFormat="1" applyFont="1" applyFill="1" applyBorder="1" applyAlignment="1">
      <alignment horizontal="center" vertical="center" wrapText="1"/>
    </xf>
    <xf numFmtId="1" fontId="0" fillId="0" borderId="2" xfId="0" applyNumberFormat="1" applyBorder="1" applyAlignment="1">
      <alignment horizontal="center" vertical="center" wrapText="1"/>
    </xf>
    <xf numFmtId="164" fontId="0" fillId="0" borderId="2" xfId="0" applyNumberFormat="1" applyBorder="1" applyAlignment="1">
      <alignment horizontal="center" vertical="center"/>
    </xf>
    <xf numFmtId="165" fontId="0" fillId="0" borderId="1" xfId="0" applyNumberFormat="1" applyBorder="1" applyAlignment="1">
      <alignment horizontal="center" vertical="center"/>
    </xf>
    <xf numFmtId="166" fontId="0" fillId="0" borderId="2" xfId="0" applyNumberFormat="1" applyBorder="1" applyAlignment="1">
      <alignment horizontal="center" vertical="center" wrapText="1"/>
    </xf>
    <xf numFmtId="49" fontId="3" fillId="2" borderId="4" xfId="1" applyNumberFormat="1" applyFont="1" applyFill="1" applyBorder="1" applyAlignment="1">
      <alignment horizontal="center" vertical="center" wrapText="1"/>
    </xf>
    <xf numFmtId="166" fontId="3" fillId="2" borderId="4" xfId="1" applyNumberFormat="1" applyFont="1" applyFill="1" applyBorder="1" applyAlignment="1">
      <alignment horizontal="center" vertical="center" wrapText="1"/>
    </xf>
    <xf numFmtId="0" fontId="0" fillId="3" borderId="5" xfId="0" applyFill="1" applyBorder="1"/>
    <xf numFmtId="49" fontId="3" fillId="4" borderId="4" xfId="1" applyNumberFormat="1" applyFont="1" applyFill="1" applyBorder="1" applyAlignment="1">
      <alignment horizontal="center" vertical="center" wrapText="1"/>
    </xf>
    <xf numFmtId="1" fontId="3" fillId="4" borderId="4" xfId="1" applyNumberFormat="1" applyFont="1" applyFill="1" applyBorder="1" applyAlignment="1">
      <alignment horizontal="center" vertical="center" wrapText="1"/>
    </xf>
    <xf numFmtId="49" fontId="0" fillId="0" borderId="1" xfId="0" applyNumberFormat="1" applyBorder="1" applyAlignment="1">
      <alignment horizontal="center" vertical="center" wrapText="1"/>
    </xf>
    <xf numFmtId="0" fontId="1" fillId="0" borderId="0" xfId="0" applyFont="1"/>
    <xf numFmtId="0" fontId="9" fillId="3" borderId="5" xfId="0" applyFont="1" applyFill="1" applyBorder="1"/>
    <xf numFmtId="0" fontId="12" fillId="0" borderId="0" xfId="0" applyFont="1"/>
    <xf numFmtId="49" fontId="3" fillId="5" borderId="4" xfId="1" applyNumberFormat="1" applyFont="1" applyFill="1" applyBorder="1" applyAlignment="1">
      <alignment horizontal="center" vertical="center" wrapText="1"/>
    </xf>
    <xf numFmtId="0" fontId="0" fillId="6" borderId="0" xfId="0" applyFill="1"/>
    <xf numFmtId="0" fontId="0" fillId="7" borderId="0" xfId="0" applyFill="1"/>
    <xf numFmtId="1" fontId="3" fillId="2" borderId="3" xfId="1" applyNumberFormat="1" applyFont="1" applyFill="1" applyBorder="1" applyAlignment="1">
      <alignment horizontal="center" vertical="center" wrapText="1"/>
    </xf>
    <xf numFmtId="1" fontId="0" fillId="0" borderId="0" xfId="0" applyNumberFormat="1" applyAlignment="1">
      <alignment horizontal="center" vertical="center"/>
    </xf>
    <xf numFmtId="0" fontId="7" fillId="0" borderId="0" xfId="0" applyFont="1"/>
    <xf numFmtId="49" fontId="1" fillId="0" borderId="1" xfId="0" applyNumberFormat="1" applyFont="1" applyBorder="1" applyAlignment="1">
      <alignment horizontal="center" vertical="center" wrapText="1"/>
    </xf>
    <xf numFmtId="14" fontId="14" fillId="3" borderId="7" xfId="0" applyNumberFormat="1" applyFont="1" applyFill="1" applyBorder="1" applyAlignment="1">
      <alignment horizontal="left" vertical="center" indent="1"/>
    </xf>
    <xf numFmtId="14" fontId="15" fillId="3" borderId="7" xfId="0" applyNumberFormat="1" applyFont="1" applyFill="1" applyBorder="1" applyAlignment="1">
      <alignment horizontal="left" vertical="center" indent="1"/>
    </xf>
    <xf numFmtId="0" fontId="16" fillId="3" borderId="7" xfId="0" applyFont="1" applyFill="1" applyBorder="1" applyAlignment="1">
      <alignment horizontal="left" indent="1"/>
    </xf>
    <xf numFmtId="0" fontId="16" fillId="3" borderId="7" xfId="0" applyFont="1" applyFill="1" applyBorder="1" applyAlignment="1">
      <alignment horizontal="left" vertical="center" indent="1"/>
    </xf>
    <xf numFmtId="0" fontId="0" fillId="0" borderId="0" xfId="0" applyAlignment="1">
      <alignment horizontal="center" vertical="center"/>
    </xf>
    <xf numFmtId="0" fontId="17" fillId="2" borderId="6" xfId="0" applyFont="1" applyFill="1" applyBorder="1" applyAlignment="1">
      <alignment horizontal="center" vertical="center" wrapText="1"/>
    </xf>
    <xf numFmtId="0" fontId="19" fillId="8" borderId="6" xfId="0" applyFont="1" applyFill="1" applyBorder="1" applyAlignment="1">
      <alignment horizontal="center" vertical="center" wrapText="1"/>
    </xf>
    <xf numFmtId="0" fontId="20" fillId="9" borderId="6" xfId="0" applyFont="1" applyFill="1" applyBorder="1" applyAlignment="1">
      <alignment horizontal="center" vertical="center" wrapText="1"/>
    </xf>
    <xf numFmtId="0" fontId="16" fillId="0" borderId="0" xfId="0" applyFont="1"/>
    <xf numFmtId="0" fontId="16" fillId="0" borderId="0" xfId="0" applyFont="1" applyAlignment="1">
      <alignment horizontal="center" vertical="center"/>
    </xf>
    <xf numFmtId="14" fontId="21" fillId="0" borderId="0" xfId="0" applyNumberFormat="1" applyFont="1" applyAlignment="1">
      <alignment horizontal="center" vertical="center"/>
    </xf>
    <xf numFmtId="0" fontId="18" fillId="0" borderId="0" xfId="0" applyFont="1"/>
    <xf numFmtId="0" fontId="18" fillId="0" borderId="0" xfId="0" applyFont="1" applyAlignment="1">
      <alignment horizontal="center" vertical="center" wrapText="1"/>
    </xf>
    <xf numFmtId="14" fontId="0" fillId="0" borderId="0" xfId="0" applyNumberFormat="1"/>
    <xf numFmtId="0" fontId="23" fillId="0" borderId="0" xfId="0" applyFont="1" applyAlignment="1">
      <alignment horizontal="center" vertical="center" wrapText="1"/>
    </xf>
    <xf numFmtId="0" fontId="13" fillId="0" borderId="0" xfId="0" applyFont="1"/>
    <xf numFmtId="0" fontId="22" fillId="0" borderId="0" xfId="0" applyFont="1" applyAlignment="1">
      <alignment horizontal="left" indent="1"/>
    </xf>
    <xf numFmtId="0" fontId="20" fillId="0" borderId="0" xfId="0" applyFont="1" applyAlignment="1">
      <alignment horizontal="left"/>
    </xf>
    <xf numFmtId="0" fontId="20" fillId="10" borderId="6" xfId="0" applyFont="1" applyFill="1" applyBorder="1" applyAlignment="1">
      <alignment horizontal="center" vertical="center" wrapText="1"/>
    </xf>
    <xf numFmtId="14" fontId="1" fillId="3" borderId="11" xfId="0" applyNumberFormat="1" applyFont="1" applyFill="1" applyBorder="1" applyAlignment="1">
      <alignment horizontal="center" vertical="center" wrapText="1"/>
    </xf>
    <xf numFmtId="14" fontId="1" fillId="3" borderId="12" xfId="0" applyNumberFormat="1" applyFont="1" applyFill="1" applyBorder="1" applyAlignment="1">
      <alignment horizontal="center" vertical="center" wrapText="1"/>
    </xf>
    <xf numFmtId="0" fontId="17" fillId="4" borderId="8" xfId="0" applyFont="1" applyFill="1" applyBorder="1" applyAlignment="1">
      <alignment horizontal="center" vertical="center" wrapText="1"/>
    </xf>
    <xf numFmtId="0" fontId="17" fillId="4" borderId="9" xfId="0" applyFont="1" applyFill="1" applyBorder="1" applyAlignment="1">
      <alignment horizontal="center" vertical="center" wrapText="1"/>
    </xf>
    <xf numFmtId="0" fontId="17" fillId="4" borderId="10" xfId="0" applyFont="1" applyFill="1" applyBorder="1" applyAlignment="1">
      <alignment horizontal="center" vertical="center" wrapText="1"/>
    </xf>
    <xf numFmtId="0" fontId="26" fillId="0" borderId="0" xfId="0" applyFont="1" applyAlignment="1">
      <alignment horizontal="center" vertical="center" wrapText="1"/>
    </xf>
  </cellXfs>
  <cellStyles count="2">
    <cellStyle name="Normal" xfId="0" builtinId="0"/>
    <cellStyle name="Normal 2" xfId="1" xr:uid="{00000000-0005-0000-0000-000001000000}"/>
  </cellStyles>
  <dxfs count="4">
    <dxf>
      <fill>
        <patternFill>
          <bgColor theme="0" tint="-4.9989318521683403E-2"/>
        </patternFill>
      </fill>
    </dxf>
    <dxf>
      <fill>
        <patternFill>
          <bgColor theme="5" tint="-0.24994659260841701"/>
        </patternFill>
      </fill>
    </dxf>
    <dxf>
      <fill>
        <patternFill>
          <bgColor theme="5" tint="-0.24994659260841701"/>
        </patternFill>
      </fill>
    </dxf>
    <dxf>
      <fill>
        <patternFill>
          <bgColor theme="0" tint="-4.9989318521683403E-2"/>
        </patternFill>
      </fill>
    </dxf>
  </dxfs>
  <tableStyles count="0" defaultTableStyle="TableStyleMedium2" defaultPivotStyle="PivotStyleLight16"/>
  <colors>
    <mruColors>
      <color rgb="FFC65911"/>
      <color rgb="FFFF9B9B"/>
      <color rgb="FFBDD7EE"/>
      <color rgb="FF1F4E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Temperature</a:t>
            </a:r>
            <a:r>
              <a:rPr lang="en-GB" baseline="0"/>
              <a:t> Effect on Startup Time</a:t>
            </a:r>
          </a:p>
        </c:rich>
      </c:tx>
      <c:layout>
        <c:manualLayout>
          <c:xMode val="edge"/>
          <c:yMode val="edge"/>
          <c:x val="1.4270778652668405E-2"/>
          <c:y val="2.463054187192118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616229221347331E-2"/>
          <c:y val="0.20151888341543514"/>
          <c:w val="0.79954833770778655"/>
          <c:h val="0.58522781635054233"/>
        </c:manualLayout>
      </c:layout>
      <c:lineChart>
        <c:grouping val="standard"/>
        <c:varyColors val="0"/>
        <c:ser>
          <c:idx val="1"/>
          <c:order val="1"/>
          <c:tx>
            <c:strRef>
              <c:f>'Daily Summary'!$D$1</c:f>
              <c:strCache>
                <c:ptCount val="1"/>
                <c:pt idx="0">
                  <c:v>Minutes to Ready
(earliest minutes &gt;= 50°)</c:v>
                </c:pt>
              </c:strCache>
            </c:strRef>
          </c:tx>
          <c:spPr>
            <a:ln w="25400" cap="rnd">
              <a:solidFill>
                <a:srgbClr val="00B0F0"/>
              </a:solidFill>
              <a:round/>
            </a:ln>
            <a:effectLst/>
          </c:spPr>
          <c:marker>
            <c:symbol val="none"/>
          </c:marker>
          <c:cat>
            <c:numRef>
              <c:f>'Daily Summary'!$A$2:$A$200</c:f>
              <c:numCache>
                <c:formatCode>m/d/yyyy</c:formatCode>
                <c:ptCount val="199"/>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pt idx="21">
                  <c:v>46255</c:v>
                </c:pt>
                <c:pt idx="22">
                  <c:v>46258</c:v>
                </c:pt>
                <c:pt idx="23">
                  <c:v>46260</c:v>
                </c:pt>
                <c:pt idx="24">
                  <c:v>46262</c:v>
                </c:pt>
                <c:pt idx="25">
                  <c:v>46264</c:v>
                </c:pt>
                <c:pt idx="26">
                  <c:v>0</c:v>
                </c:pt>
              </c:numCache>
            </c:numRef>
          </c:cat>
          <c:val>
            <c:numRef>
              <c:f>'Daily Summary'!$D$2:$D$200</c:f>
              <c:numCache>
                <c:formatCode>0</c:formatCode>
                <c:ptCount val="199"/>
                <c:pt idx="0">
                  <c:v>25.000000000000071</c:v>
                </c:pt>
                <c:pt idx="1">
                  <c:v>24.000000000000234</c:v>
                </c:pt>
                <c:pt idx="2">
                  <c:v>26.000000000000068</c:v>
                </c:pt>
                <c:pt idx="3">
                  <c:v>15.999999999999943</c:v>
                </c:pt>
                <c:pt idx="4">
                  <c:v>19.000000000000014</c:v>
                </c:pt>
                <c:pt idx="5">
                  <c:v>20.999999999999925</c:v>
                </c:pt>
                <c:pt idx="6">
                  <c:v>21.583333333333243</c:v>
                </c:pt>
                <c:pt idx="7">
                  <c:v>21.216666666666654</c:v>
                </c:pt>
                <c:pt idx="8">
                  <c:v>21.066666666666627</c:v>
                </c:pt>
                <c:pt idx="9">
                  <c:v>19.600000000000026</c:v>
                </c:pt>
                <c:pt idx="10">
                  <c:v>20.133333333333336</c:v>
                </c:pt>
                <c:pt idx="11">
                  <c:v>19.616666666666642</c:v>
                </c:pt>
                <c:pt idx="12">
                  <c:v>18.850000000000069</c:v>
                </c:pt>
                <c:pt idx="13">
                  <c:v>21.350000000000058</c:v>
                </c:pt>
                <c:pt idx="14">
                  <c:v>21.449999999999996</c:v>
                </c:pt>
                <c:pt idx="15">
                  <c:v>19.000000000000014</c:v>
                </c:pt>
                <c:pt idx="16">
                  <c:v>17.899999999999999</c:v>
                </c:pt>
                <c:pt idx="17">
                  <c:v>21.483333333333388</c:v>
                </c:pt>
                <c:pt idx="18">
                  <c:v>19.63333333333334</c:v>
                </c:pt>
                <c:pt idx="19">
                  <c:v>20.11666666666672</c:v>
                </c:pt>
                <c:pt idx="20">
                  <c:v>20.883333333333454</c:v>
                </c:pt>
                <c:pt idx="21">
                  <c:v>18.816666666666677</c:v>
                </c:pt>
                <c:pt idx="22">
                  <c:v>23.766666666666652</c:v>
                </c:pt>
                <c:pt idx="23">
                  <c:v>21.116666666666639</c:v>
                </c:pt>
                <c:pt idx="24">
                  <c:v>21.34999999999998</c:v>
                </c:pt>
                <c:pt idx="25">
                  <c:v>23.666666666666796</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numCache>
            </c:numRef>
          </c:val>
          <c:smooth val="0"/>
          <c:extLst>
            <c:ext xmlns:c16="http://schemas.microsoft.com/office/drawing/2014/chart" uri="{C3380CC4-5D6E-409C-BE32-E72D297353CC}">
              <c16:uniqueId val="{00000001-F0FC-4467-A617-2617B7DA2AFF}"/>
            </c:ext>
          </c:extLst>
        </c:ser>
        <c:dLbls>
          <c:showLegendKey val="0"/>
          <c:showVal val="0"/>
          <c:showCatName val="0"/>
          <c:showSerName val="0"/>
          <c:showPercent val="0"/>
          <c:showBubbleSize val="0"/>
        </c:dLbls>
        <c:marker val="1"/>
        <c:smooth val="0"/>
        <c:axId val="1072957472"/>
        <c:axId val="1072952192"/>
      </c:lineChart>
      <c:lineChart>
        <c:grouping val="standard"/>
        <c:varyColors val="0"/>
        <c:ser>
          <c:idx val="0"/>
          <c:order val="0"/>
          <c:tx>
            <c:strRef>
              <c:f>'Daily Summary'!$B$1</c:f>
              <c:strCache>
                <c:ptCount val="1"/>
                <c:pt idx="0">
                  <c:v>Starting Temperature (°C)</c:v>
                </c:pt>
              </c:strCache>
            </c:strRef>
          </c:tx>
          <c:spPr>
            <a:ln w="25400" cap="rnd">
              <a:solidFill>
                <a:schemeClr val="accent2">
                  <a:lumMod val="75000"/>
                </a:schemeClr>
              </a:solidFill>
              <a:round/>
            </a:ln>
            <a:effectLst/>
          </c:spPr>
          <c:marker>
            <c:symbol val="none"/>
          </c:marker>
          <c:cat>
            <c:numRef>
              <c:f>'Daily Summary'!$A$3:$A$200</c:f>
              <c:numCache>
                <c:formatCode>m/d/yyyy</c:formatCode>
                <c:ptCount val="198"/>
                <c:pt idx="0">
                  <c:v>46230</c:v>
                </c:pt>
                <c:pt idx="1">
                  <c:v>46231</c:v>
                </c:pt>
                <c:pt idx="2">
                  <c:v>46232</c:v>
                </c:pt>
                <c:pt idx="3">
                  <c:v>46233</c:v>
                </c:pt>
                <c:pt idx="4">
                  <c:v>46234</c:v>
                </c:pt>
                <c:pt idx="5">
                  <c:v>46235</c:v>
                </c:pt>
                <c:pt idx="6">
                  <c:v>46237</c:v>
                </c:pt>
                <c:pt idx="7">
                  <c:v>46238</c:v>
                </c:pt>
                <c:pt idx="8">
                  <c:v>46239</c:v>
                </c:pt>
                <c:pt idx="9">
                  <c:v>46240</c:v>
                </c:pt>
                <c:pt idx="10">
                  <c:v>46242</c:v>
                </c:pt>
                <c:pt idx="11">
                  <c:v>46244</c:v>
                </c:pt>
                <c:pt idx="12">
                  <c:v>46245</c:v>
                </c:pt>
                <c:pt idx="13">
                  <c:v>46246</c:v>
                </c:pt>
                <c:pt idx="14">
                  <c:v>46247</c:v>
                </c:pt>
                <c:pt idx="15">
                  <c:v>46248</c:v>
                </c:pt>
                <c:pt idx="16">
                  <c:v>46251</c:v>
                </c:pt>
                <c:pt idx="17">
                  <c:v>46252</c:v>
                </c:pt>
                <c:pt idx="18">
                  <c:v>46253</c:v>
                </c:pt>
                <c:pt idx="19">
                  <c:v>46254</c:v>
                </c:pt>
                <c:pt idx="20">
                  <c:v>46255</c:v>
                </c:pt>
                <c:pt idx="21">
                  <c:v>46258</c:v>
                </c:pt>
                <c:pt idx="22">
                  <c:v>46260</c:v>
                </c:pt>
                <c:pt idx="23">
                  <c:v>46262</c:v>
                </c:pt>
                <c:pt idx="24">
                  <c:v>46264</c:v>
                </c:pt>
                <c:pt idx="25">
                  <c:v>0</c:v>
                </c:pt>
              </c:numCache>
            </c:numRef>
          </c:cat>
          <c:val>
            <c:numRef>
              <c:f>'Daily Summary'!$B$2:$B$200</c:f>
              <c:numCache>
                <c:formatCode>0.0\°\ \(\C\)</c:formatCode>
                <c:ptCount val="199"/>
                <c:pt idx="0">
                  <c:v>23.5</c:v>
                </c:pt>
                <c:pt idx="1">
                  <c:v>23.5</c:v>
                </c:pt>
                <c:pt idx="2">
                  <c:v>23.5</c:v>
                </c:pt>
                <c:pt idx="3">
                  <c:v>25.5</c:v>
                </c:pt>
                <c:pt idx="4">
                  <c:v>24.5</c:v>
                </c:pt>
                <c:pt idx="5">
                  <c:v>24</c:v>
                </c:pt>
                <c:pt idx="6">
                  <c:v>24</c:v>
                </c:pt>
                <c:pt idx="7">
                  <c:v>23.5</c:v>
                </c:pt>
                <c:pt idx="8">
                  <c:v>24.5</c:v>
                </c:pt>
                <c:pt idx="9">
                  <c:v>24.5</c:v>
                </c:pt>
                <c:pt idx="10">
                  <c:v>24</c:v>
                </c:pt>
                <c:pt idx="11">
                  <c:v>24</c:v>
                </c:pt>
                <c:pt idx="12">
                  <c:v>24</c:v>
                </c:pt>
                <c:pt idx="13">
                  <c:v>23.5</c:v>
                </c:pt>
                <c:pt idx="14">
                  <c:v>24</c:v>
                </c:pt>
                <c:pt idx="15">
                  <c:v>24.5</c:v>
                </c:pt>
                <c:pt idx="16">
                  <c:v>25</c:v>
                </c:pt>
                <c:pt idx="17">
                  <c:v>24.5</c:v>
                </c:pt>
                <c:pt idx="18">
                  <c:v>24.5</c:v>
                </c:pt>
                <c:pt idx="19">
                  <c:v>24.5</c:v>
                </c:pt>
                <c:pt idx="20">
                  <c:v>24.5</c:v>
                </c:pt>
                <c:pt idx="21">
                  <c:v>23.5</c:v>
                </c:pt>
                <c:pt idx="22">
                  <c:v>23</c:v>
                </c:pt>
                <c:pt idx="23">
                  <c:v>23.5</c:v>
                </c:pt>
                <c:pt idx="24">
                  <c:v>23.5</c:v>
                </c:pt>
                <c:pt idx="25">
                  <c:v>23.5</c:v>
                </c:pt>
              </c:numCache>
            </c:numRef>
          </c:val>
          <c:smooth val="0"/>
          <c:extLst>
            <c:ext xmlns:c16="http://schemas.microsoft.com/office/drawing/2014/chart" uri="{C3380CC4-5D6E-409C-BE32-E72D297353CC}">
              <c16:uniqueId val="{00000000-F0FC-4467-A617-2617B7DA2AFF}"/>
            </c:ext>
          </c:extLst>
        </c:ser>
        <c:dLbls>
          <c:showLegendKey val="0"/>
          <c:showVal val="0"/>
          <c:showCatName val="0"/>
          <c:showSerName val="0"/>
          <c:showPercent val="0"/>
          <c:showBubbleSize val="0"/>
        </c:dLbls>
        <c:marker val="1"/>
        <c:smooth val="0"/>
        <c:axId val="1637838255"/>
        <c:axId val="1612243471"/>
      </c:lineChart>
      <c:dateAx>
        <c:axId val="1072957472"/>
        <c:scaling>
          <c:orientation val="minMax"/>
          <c:min val="46228"/>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low"/>
        <c:spPr>
          <a:noFill/>
          <a:ln w="9525" cap="flat" cmpd="sng" algn="ctr">
            <a:solidFill>
              <a:schemeClr val="tx1">
                <a:lumMod val="25000"/>
                <a:lumOff val="75000"/>
              </a:schemeClr>
            </a:solidFill>
            <a:round/>
          </a:ln>
          <a:effectLst/>
        </c:spPr>
        <c:txPr>
          <a:bodyPr rot="-5400000" spcFirstLastPara="1" vertOverflow="ellipsis"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072952192"/>
        <c:crosses val="autoZero"/>
        <c:auto val="0"/>
        <c:lblOffset val="100"/>
        <c:baseTimeUnit val="days"/>
        <c:majorUnit val="2"/>
        <c:majorTimeUnit val="days"/>
      </c:dateAx>
      <c:valAx>
        <c:axId val="1072952192"/>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0"/>
        <c:majorTickMark val="out"/>
        <c:minorTickMark val="out"/>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957472"/>
        <c:crosses val="autoZero"/>
        <c:crossBetween val="midCat"/>
        <c:minorUnit val="0.25"/>
      </c:valAx>
      <c:valAx>
        <c:axId val="1612243471"/>
        <c:scaling>
          <c:orientation val="minMax"/>
        </c:scaling>
        <c:delete val="0"/>
        <c:axPos val="r"/>
        <c:numFmt formatCode="0.0\°\ \(\C\)"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7838255"/>
        <c:crosses val="max"/>
        <c:crossBetween val="between"/>
      </c:valAx>
      <c:dateAx>
        <c:axId val="1637838255"/>
        <c:scaling>
          <c:orientation val="minMax"/>
        </c:scaling>
        <c:delete val="1"/>
        <c:axPos val="b"/>
        <c:numFmt formatCode="m/d/yyyy" sourceLinked="1"/>
        <c:majorTickMark val="out"/>
        <c:minorTickMark val="none"/>
        <c:tickLblPos val="nextTo"/>
        <c:crossAx val="1612243471"/>
        <c:crosses val="autoZero"/>
        <c:auto val="1"/>
        <c:lblOffset val="100"/>
        <c:baseTimeUnit val="days"/>
        <c:majorUnit val="1"/>
        <c:minorUnit val="1"/>
      </c:dateAx>
      <c:spPr>
        <a:noFill/>
        <a:ln>
          <a:noFill/>
        </a:ln>
        <a:effectLst/>
      </c:spPr>
    </c:plotArea>
    <c:legend>
      <c:legendPos val="b"/>
      <c:layout>
        <c:manualLayout>
          <c:xMode val="edge"/>
          <c:yMode val="edge"/>
          <c:x val="0.66121281714785651"/>
          <c:y val="1.1698537682789651E-2"/>
          <c:w val="0.3359076990376203"/>
          <c:h val="0.14265285804791641"/>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span"/>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121920</xdr:colOff>
      <xdr:row>1</xdr:row>
      <xdr:rowOff>53340</xdr:rowOff>
    </xdr:from>
    <xdr:to>
      <xdr:col>8</xdr:col>
      <xdr:colOff>426720</xdr:colOff>
      <xdr:row>18</xdr:row>
      <xdr:rowOff>38100</xdr:rowOff>
    </xdr:to>
    <xdr:graphicFrame macro="">
      <xdr:nvGraphicFramePr>
        <xdr:cNvPr id="2" name="Chart 1">
          <a:extLst>
            <a:ext uri="{FF2B5EF4-FFF2-40B4-BE49-F238E27FC236}">
              <a16:creationId xmlns:a16="http://schemas.microsoft.com/office/drawing/2014/main" id="{80CAB3DB-791D-4F73-85EC-9F03EAE9EC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089DF-FA48-4B21-8D7E-AA398C394437}">
  <sheetPr>
    <tabColor theme="7" tint="0.59999389629810485"/>
  </sheetPr>
  <dimension ref="C2:D17"/>
  <sheetViews>
    <sheetView workbookViewId="0">
      <selection activeCell="C18" sqref="C18"/>
    </sheetView>
  </sheetViews>
  <sheetFormatPr defaultRowHeight="14.4" x14ac:dyDescent="0.3"/>
  <sheetData>
    <row r="2" spans="3:4" x14ac:dyDescent="0.3">
      <c r="C2" t="s">
        <v>17</v>
      </c>
      <c r="D2" s="16" t="s">
        <v>18</v>
      </c>
    </row>
    <row r="3" spans="3:4" x14ac:dyDescent="0.3">
      <c r="C3">
        <v>1</v>
      </c>
      <c r="D3" t="s">
        <v>20</v>
      </c>
    </row>
    <row r="4" spans="3:4" x14ac:dyDescent="0.3">
      <c r="C4" t="s">
        <v>21</v>
      </c>
      <c r="D4" t="s">
        <v>22</v>
      </c>
    </row>
    <row r="5" spans="3:4" x14ac:dyDescent="0.3">
      <c r="C5">
        <v>2</v>
      </c>
      <c r="D5" t="s">
        <v>19</v>
      </c>
    </row>
    <row r="7" spans="3:4" x14ac:dyDescent="0.3">
      <c r="C7">
        <v>3</v>
      </c>
      <c r="D7" t="s">
        <v>25</v>
      </c>
    </row>
    <row r="8" spans="3:4" x14ac:dyDescent="0.3">
      <c r="C8" t="s">
        <v>23</v>
      </c>
      <c r="D8" t="s">
        <v>26</v>
      </c>
    </row>
    <row r="9" spans="3:4" x14ac:dyDescent="0.3">
      <c r="C9" t="s">
        <v>24</v>
      </c>
      <c r="D9" t="s">
        <v>22</v>
      </c>
    </row>
    <row r="12" spans="3:4" x14ac:dyDescent="0.3">
      <c r="C12" s="18" t="s">
        <v>27</v>
      </c>
    </row>
    <row r="13" spans="3:4" x14ac:dyDescent="0.3">
      <c r="C13" t="s">
        <v>28</v>
      </c>
    </row>
    <row r="15" spans="3:4" x14ac:dyDescent="0.3">
      <c r="C15" s="21"/>
      <c r="D15" t="s">
        <v>29</v>
      </c>
    </row>
    <row r="16" spans="3:4" x14ac:dyDescent="0.3">
      <c r="C16" s="20"/>
      <c r="D16" t="s">
        <v>30</v>
      </c>
    </row>
    <row r="17" spans="3:3" x14ac:dyDescent="0.3">
      <c r="C17" s="16" t="s">
        <v>31</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I679"/>
  <sheetViews>
    <sheetView showZeros="0" workbookViewId="0">
      <pane ySplit="2" topLeftCell="A331" activePane="bottomLeft" state="frozen"/>
      <selection activeCell="B46" sqref="B46"/>
      <selection pane="bottomLeft" activeCell="I339" sqref="I339"/>
    </sheetView>
  </sheetViews>
  <sheetFormatPr defaultRowHeight="14.4" x14ac:dyDescent="0.3"/>
  <cols>
    <col min="1" max="1" width="15.77734375" style="1" customWidth="1"/>
    <col min="2" max="2" width="12.77734375" style="9" customWidth="1"/>
    <col min="3" max="3" width="20.77734375" style="7" customWidth="1"/>
    <col min="4" max="4" width="20.77734375" style="2" customWidth="1"/>
    <col min="5" max="5" width="12.77734375" style="6" customWidth="1"/>
    <col min="6" max="6" width="20.77734375" style="2" customWidth="1"/>
    <col min="7" max="7" width="15.77734375" style="9" customWidth="1"/>
    <col min="12" max="12" width="8.88671875" customWidth="1"/>
  </cols>
  <sheetData>
    <row r="1" spans="1:8" s="12" customFormat="1" ht="14.4" customHeight="1" x14ac:dyDescent="0.3">
      <c r="A1" s="45" t="s">
        <v>1</v>
      </c>
      <c r="B1" s="46"/>
      <c r="C1" s="46"/>
      <c r="D1" s="46"/>
      <c r="E1" s="46"/>
      <c r="F1" s="46"/>
      <c r="G1" s="46"/>
      <c r="H1" s="17" t="s">
        <v>13</v>
      </c>
    </row>
    <row r="2" spans="1:8" ht="36.6" thickBot="1" x14ac:dyDescent="0.35">
      <c r="A2" s="10" t="s">
        <v>12</v>
      </c>
      <c r="B2" s="11" t="s">
        <v>3</v>
      </c>
      <c r="C2" s="10" t="s">
        <v>5</v>
      </c>
      <c r="D2" s="10" t="s">
        <v>6</v>
      </c>
      <c r="E2" s="14" t="s">
        <v>4</v>
      </c>
      <c r="F2" s="19" t="s">
        <v>7</v>
      </c>
      <c r="G2" s="13" t="s">
        <v>2</v>
      </c>
    </row>
    <row r="3" spans="1:8" x14ac:dyDescent="0.3">
      <c r="A3" s="1">
        <v>46228</v>
      </c>
      <c r="B3" s="9">
        <v>0.79027777777777775</v>
      </c>
      <c r="C3" s="7">
        <v>32</v>
      </c>
      <c r="D3" s="2">
        <v>35</v>
      </c>
      <c r="E3" s="6">
        <f>IF(AND($B3&lt;&gt;"", $G3&lt;&gt;"TBD"), ($B3-$G3)*1440, "")</f>
        <v>2.9999999999999893</v>
      </c>
      <c r="F3" s="2">
        <f>IF(AND($D3&lt;&gt;"",$C3&lt;&gt;""), $D3-$C3, "")</f>
        <v>3</v>
      </c>
      <c r="G3" s="9">
        <f>_xlfn.XLOOKUP(Log!A3, 'Daily Summary'!A:A, 'Daily Summary'!C:C, "TBD")</f>
        <v>0.78819444444444442</v>
      </c>
    </row>
    <row r="4" spans="1:8" x14ac:dyDescent="0.3">
      <c r="A4" s="1">
        <v>46228</v>
      </c>
      <c r="B4" s="9">
        <v>0.7944444444444444</v>
      </c>
      <c r="C4" s="7">
        <v>41</v>
      </c>
      <c r="D4" s="2">
        <v>44</v>
      </c>
      <c r="E4" s="6">
        <f>IF(AND($B4&lt;&gt;"", $G4&lt;&gt;"TBD"), ($B4-$G4)*1440, "")</f>
        <v>8.999999999999968</v>
      </c>
      <c r="F4" s="2">
        <f t="shared" ref="F4:F60" si="0">IF(AND($D4&lt;&gt;"",$C4&lt;&gt;""), $D4-$C4, "")</f>
        <v>3</v>
      </c>
      <c r="G4" s="9">
        <f>_xlfn.XLOOKUP(Log!A4, 'Daily Summary'!A:A, 'Daily Summary'!C:C, "TBD")</f>
        <v>0.78819444444444442</v>
      </c>
    </row>
    <row r="5" spans="1:8" x14ac:dyDescent="0.3">
      <c r="A5" s="1">
        <v>46228</v>
      </c>
      <c r="B5" s="9">
        <v>0.80138888888888893</v>
      </c>
      <c r="C5" s="7">
        <v>49</v>
      </c>
      <c r="D5" s="2">
        <v>52</v>
      </c>
      <c r="E5" s="6">
        <f>IF(AND($B5&lt;&gt;"", $G5&lt;&gt;"TBD"), ($B5-$G5)*1440, "")</f>
        <v>19.000000000000092</v>
      </c>
      <c r="F5" s="2">
        <f t="shared" si="0"/>
        <v>3</v>
      </c>
      <c r="G5" s="9">
        <f>_xlfn.XLOOKUP(Log!A5, 'Daily Summary'!A:A, 'Daily Summary'!C:C, "TBD")</f>
        <v>0.78819444444444442</v>
      </c>
    </row>
    <row r="6" spans="1:8" x14ac:dyDescent="0.3">
      <c r="A6" s="1">
        <v>46228</v>
      </c>
      <c r="B6" s="9">
        <v>0.80555555555555558</v>
      </c>
      <c r="C6" s="7">
        <v>52</v>
      </c>
      <c r="D6" s="2">
        <v>55</v>
      </c>
      <c r="E6" s="6">
        <f>IF(AND($B6&lt;&gt;"", $G6&lt;&gt;"TBD"), ($B6-$G6)*1440, "")</f>
        <v>25.000000000000071</v>
      </c>
      <c r="F6" s="2">
        <f t="shared" si="0"/>
        <v>3</v>
      </c>
      <c r="G6" s="9">
        <f>_xlfn.XLOOKUP(Log!A6, 'Daily Summary'!A:A, 'Daily Summary'!C:C, "TBD")</f>
        <v>0.78819444444444442</v>
      </c>
    </row>
    <row r="7" spans="1:8" x14ac:dyDescent="0.3">
      <c r="A7" s="1">
        <v>46228</v>
      </c>
      <c r="B7" s="9">
        <v>0.81597222222222221</v>
      </c>
      <c r="C7" s="7">
        <v>57</v>
      </c>
      <c r="D7" s="2">
        <v>58</v>
      </c>
      <c r="E7" s="6">
        <f>IF(AND($B7&lt;&gt;"", $G7&lt;&gt;"TBD"), ($B7-$G7)*1440, "")</f>
        <v>40.000000000000014</v>
      </c>
      <c r="F7" s="2">
        <f t="shared" si="0"/>
        <v>1</v>
      </c>
      <c r="G7" s="9">
        <f>_xlfn.XLOOKUP(Log!A7, 'Daily Summary'!A:A, 'Daily Summary'!C:C, "TBD")</f>
        <v>0.78819444444444442</v>
      </c>
    </row>
    <row r="8" spans="1:8" x14ac:dyDescent="0.3">
      <c r="A8" s="1">
        <v>46228</v>
      </c>
      <c r="B8" s="9">
        <v>0.83194444444444449</v>
      </c>
      <c r="C8" s="7">
        <v>60</v>
      </c>
      <c r="D8" s="2">
        <v>61</v>
      </c>
      <c r="E8" s="6">
        <f>IF(AND($B8&lt;&gt;"", $G8&lt;&gt;"TBD"), ($B8-$G8)*1440, "")</f>
        <v>63.000000000000099</v>
      </c>
      <c r="F8" s="2">
        <f t="shared" si="0"/>
        <v>1</v>
      </c>
      <c r="G8" s="9">
        <f>_xlfn.XLOOKUP(Log!A8, 'Daily Summary'!A:A, 'Daily Summary'!C:C, "TBD")</f>
        <v>0.78819444444444442</v>
      </c>
    </row>
    <row r="9" spans="1:8" x14ac:dyDescent="0.3">
      <c r="A9" s="1">
        <v>46230</v>
      </c>
      <c r="B9" s="9">
        <v>0.43125000000000002</v>
      </c>
      <c r="C9" s="7">
        <v>32</v>
      </c>
      <c r="D9" s="2">
        <v>33</v>
      </c>
      <c r="E9" s="6">
        <f>IF(AND($B9&lt;&gt;"", $G9&lt;&gt;"TBD"), ($B9-$G9)*1440, "")</f>
        <v>3.0000000000001492</v>
      </c>
      <c r="F9" s="2">
        <f t="shared" si="0"/>
        <v>1</v>
      </c>
      <c r="G9" s="9">
        <f>_xlfn.XLOOKUP(Log!A9, 'Daily Summary'!A:A, 'Daily Summary'!C:C, "TBD")</f>
        <v>0.42916666666666659</v>
      </c>
    </row>
    <row r="10" spans="1:8" x14ac:dyDescent="0.3">
      <c r="A10" s="1">
        <v>46230</v>
      </c>
      <c r="B10" s="9">
        <v>0.43611111111111112</v>
      </c>
      <c r="C10" s="7">
        <v>42</v>
      </c>
      <c r="D10" s="2">
        <v>44</v>
      </c>
      <c r="E10" s="6">
        <f>IF(AND($B10&lt;&gt;"", $G10&lt;&gt;"TBD"), ($B10-$G10)*1440, "")</f>
        <v>10.000000000000124</v>
      </c>
      <c r="F10" s="2">
        <f t="shared" si="0"/>
        <v>2</v>
      </c>
      <c r="G10" s="9">
        <f>_xlfn.XLOOKUP(Log!A10, 'Daily Summary'!A:A, 'Daily Summary'!C:C, "TBD")</f>
        <v>0.42916666666666659</v>
      </c>
    </row>
    <row r="11" spans="1:8" x14ac:dyDescent="0.3">
      <c r="A11" s="1">
        <v>46230</v>
      </c>
      <c r="B11" s="9">
        <v>0.44027777777777782</v>
      </c>
      <c r="C11" s="7">
        <v>48</v>
      </c>
      <c r="D11" s="2">
        <v>49</v>
      </c>
      <c r="E11" s="6">
        <f>IF(AND($B11&lt;&gt;"", $G11&lt;&gt;"TBD"), ($B11-$G11)*1440, "")</f>
        <v>16.000000000000185</v>
      </c>
      <c r="F11" s="2">
        <f t="shared" si="0"/>
        <v>1</v>
      </c>
      <c r="G11" s="9">
        <f>_xlfn.XLOOKUP(Log!A11, 'Daily Summary'!A:A, 'Daily Summary'!C:C, "TBD")</f>
        <v>0.42916666666666659</v>
      </c>
    </row>
    <row r="12" spans="1:8" x14ac:dyDescent="0.3">
      <c r="A12" s="1">
        <v>46230</v>
      </c>
      <c r="B12" s="9">
        <v>0.44583333333333341</v>
      </c>
      <c r="C12" s="7">
        <v>51</v>
      </c>
      <c r="D12" s="2">
        <v>54</v>
      </c>
      <c r="E12" s="6">
        <f>IF(AND($B12&lt;&gt;"", $G12&lt;&gt;"TBD"), ($B12-$G12)*1440, "")</f>
        <v>24.000000000000234</v>
      </c>
      <c r="F12" s="2">
        <f t="shared" si="0"/>
        <v>3</v>
      </c>
      <c r="G12" s="9">
        <f>_xlfn.XLOOKUP(Log!A12, 'Daily Summary'!A:A, 'Daily Summary'!C:C, "TBD")</f>
        <v>0.42916666666666659</v>
      </c>
    </row>
    <row r="13" spans="1:8" x14ac:dyDescent="0.3">
      <c r="A13" s="1">
        <v>46230</v>
      </c>
      <c r="B13" s="9">
        <v>0.45902777777777781</v>
      </c>
      <c r="C13" s="7">
        <v>57</v>
      </c>
      <c r="D13" s="2">
        <v>60</v>
      </c>
      <c r="E13" s="6">
        <f>IF(AND($B13&lt;&gt;"", $G13&lt;&gt;"TBD"), ($B13-$G13)*1440, "")</f>
        <v>43.000000000000171</v>
      </c>
      <c r="F13" s="2">
        <f t="shared" si="0"/>
        <v>3</v>
      </c>
      <c r="G13" s="9">
        <f>_xlfn.XLOOKUP(Log!A13, 'Daily Summary'!A:A, 'Daily Summary'!C:C, "TBD")</f>
        <v>0.42916666666666659</v>
      </c>
    </row>
    <row r="14" spans="1:8" x14ac:dyDescent="0.3">
      <c r="A14" s="1">
        <v>46231</v>
      </c>
      <c r="B14" s="9">
        <v>0.3840277777777778</v>
      </c>
      <c r="C14" s="7">
        <v>31</v>
      </c>
      <c r="D14" s="2">
        <v>32</v>
      </c>
      <c r="E14" s="6">
        <f>IF(AND($B14&lt;&gt;"", $G14&lt;&gt;"TBD"), ($B14-$G14)*1440, "")</f>
        <v>3.0000000000000693</v>
      </c>
      <c r="F14" s="2">
        <f t="shared" si="0"/>
        <v>1</v>
      </c>
      <c r="G14" s="9">
        <f>_xlfn.XLOOKUP(Log!A14, 'Daily Summary'!A:A, 'Daily Summary'!C:C, "TBD")</f>
        <v>0.38194444444444442</v>
      </c>
    </row>
    <row r="15" spans="1:8" x14ac:dyDescent="0.3">
      <c r="A15" s="1">
        <v>46231</v>
      </c>
      <c r="B15" s="9">
        <v>0.3923611111111111</v>
      </c>
      <c r="C15" s="7">
        <v>47</v>
      </c>
      <c r="D15" s="2">
        <v>49</v>
      </c>
      <c r="E15" s="6">
        <f>IF(AND($B15&lt;&gt;"", $G15&lt;&gt;"TBD"), ($B15-$G15)*1440, "")</f>
        <v>15.000000000000027</v>
      </c>
      <c r="F15" s="2">
        <f t="shared" si="0"/>
        <v>2</v>
      </c>
      <c r="G15" s="9">
        <f>_xlfn.XLOOKUP(Log!A15, 'Daily Summary'!A:A, 'Daily Summary'!C:C, "TBD")</f>
        <v>0.38194444444444442</v>
      </c>
    </row>
    <row r="16" spans="1:8" x14ac:dyDescent="0.3">
      <c r="A16" s="1">
        <v>46231</v>
      </c>
      <c r="B16" s="9">
        <v>0.4</v>
      </c>
      <c r="C16" s="7">
        <v>52</v>
      </c>
      <c r="D16" s="2">
        <v>54</v>
      </c>
      <c r="E16" s="6">
        <f>IF(AND($B16&lt;&gt;"", $G16&lt;&gt;"TBD"), ($B16-$G16)*1440, "")</f>
        <v>26.000000000000068</v>
      </c>
      <c r="F16" s="2">
        <f t="shared" si="0"/>
        <v>2</v>
      </c>
      <c r="G16" s="9">
        <f>_xlfn.XLOOKUP(Log!A16, 'Daily Summary'!A:A, 'Daily Summary'!C:C, "TBD")</f>
        <v>0.38194444444444442</v>
      </c>
    </row>
    <row r="17" spans="1:7" x14ac:dyDescent="0.3">
      <c r="A17" s="1">
        <v>46231</v>
      </c>
      <c r="B17" s="9">
        <v>0.40555555555555561</v>
      </c>
      <c r="C17" s="7">
        <v>54</v>
      </c>
      <c r="D17" s="2">
        <v>58</v>
      </c>
      <c r="E17" s="6">
        <f>IF(AND($B17&lt;&gt;"", $G17&lt;&gt;"TBD"), ($B17-$G17)*1440, "")</f>
        <v>34.000000000000121</v>
      </c>
      <c r="F17" s="2">
        <f t="shared" si="0"/>
        <v>4</v>
      </c>
      <c r="G17" s="9">
        <f>_xlfn.XLOOKUP(Log!A17, 'Daily Summary'!A:A, 'Daily Summary'!C:C, "TBD")</f>
        <v>0.38194444444444442</v>
      </c>
    </row>
    <row r="18" spans="1:7" x14ac:dyDescent="0.3">
      <c r="A18" s="1">
        <v>46231</v>
      </c>
      <c r="B18" s="9">
        <v>0.41319444444444442</v>
      </c>
      <c r="C18" s="7">
        <v>57</v>
      </c>
      <c r="D18" s="2">
        <v>61</v>
      </c>
      <c r="E18" s="6">
        <f>IF(AND($B18&lt;&gt;"", $G18&lt;&gt;"TBD"), ($B18-$G18)*1440, "")</f>
        <v>45</v>
      </c>
      <c r="F18" s="2">
        <f t="shared" si="0"/>
        <v>4</v>
      </c>
      <c r="G18" s="9">
        <f>_xlfn.XLOOKUP(Log!A18, 'Daily Summary'!A:A, 'Daily Summary'!C:C, "TBD")</f>
        <v>0.38194444444444442</v>
      </c>
    </row>
    <row r="19" spans="1:7" x14ac:dyDescent="0.3">
      <c r="A19" s="1">
        <v>46232</v>
      </c>
      <c r="B19" s="9">
        <v>0.73611111111111116</v>
      </c>
      <c r="C19" s="7">
        <v>32</v>
      </c>
      <c r="D19" s="2">
        <v>33</v>
      </c>
      <c r="E19" s="6">
        <f>IF(AND($B19&lt;&gt;"", $G19&lt;&gt;"TBD"), ($B19-$G19)*1440, "")</f>
        <v>1.9999999999999929</v>
      </c>
      <c r="F19" s="2">
        <f t="shared" si="0"/>
        <v>1</v>
      </c>
      <c r="G19" s="9">
        <f>_xlfn.XLOOKUP(Log!A19, 'Daily Summary'!A:A, 'Daily Summary'!C:C, "TBD")</f>
        <v>0.73472222222222228</v>
      </c>
    </row>
    <row r="20" spans="1:7" x14ac:dyDescent="0.3">
      <c r="A20" s="1">
        <v>46232</v>
      </c>
      <c r="B20" s="9">
        <v>0.73888888888888893</v>
      </c>
      <c r="C20" s="7">
        <v>41</v>
      </c>
      <c r="D20" s="2">
        <v>42</v>
      </c>
      <c r="E20" s="6">
        <f>IF(AND($B20&lt;&gt;"", $G20&lt;&gt;"TBD"), ($B20-$G20)*1440, "")</f>
        <v>5.9999999999999787</v>
      </c>
      <c r="F20" s="2">
        <f t="shared" si="0"/>
        <v>1</v>
      </c>
      <c r="G20" s="9">
        <f>_xlfn.XLOOKUP(Log!A20, 'Daily Summary'!A:A, 'Daily Summary'!C:C, "TBD")</f>
        <v>0.73472222222222228</v>
      </c>
    </row>
    <row r="21" spans="1:7" x14ac:dyDescent="0.3">
      <c r="A21" s="1">
        <v>46232</v>
      </c>
      <c r="B21" s="9">
        <v>0.7416666666666667</v>
      </c>
      <c r="C21" s="7">
        <v>45</v>
      </c>
      <c r="D21" s="2">
        <v>48</v>
      </c>
      <c r="E21" s="6">
        <f>IF(AND($B21&lt;&gt;"", $G21&lt;&gt;"TBD"), ($B21-$G21)*1440, "")</f>
        <v>9.9999999999999645</v>
      </c>
      <c r="F21" s="2">
        <f t="shared" si="0"/>
        <v>3</v>
      </c>
      <c r="G21" s="9">
        <f>_xlfn.XLOOKUP(Log!A21, 'Daily Summary'!A:A, 'Daily Summary'!C:C, "TBD")</f>
        <v>0.73472222222222228</v>
      </c>
    </row>
    <row r="22" spans="1:7" x14ac:dyDescent="0.3">
      <c r="A22" s="1">
        <v>46232</v>
      </c>
      <c r="B22" s="9">
        <v>0.74583333333333335</v>
      </c>
      <c r="C22" s="7">
        <v>50</v>
      </c>
      <c r="D22" s="2">
        <v>52</v>
      </c>
      <c r="E22" s="6">
        <f>IF(AND($B22&lt;&gt;"", $G22&lt;&gt;"TBD"), ($B22-$G22)*1440, "")</f>
        <v>15.999999999999943</v>
      </c>
      <c r="F22" s="2">
        <f t="shared" si="0"/>
        <v>2</v>
      </c>
      <c r="G22" s="9">
        <f>_xlfn.XLOOKUP(Log!A22, 'Daily Summary'!A:A, 'Daily Summary'!C:C, "TBD")</f>
        <v>0.73472222222222228</v>
      </c>
    </row>
    <row r="23" spans="1:7" x14ac:dyDescent="0.3">
      <c r="A23" s="1">
        <v>46232</v>
      </c>
      <c r="B23" s="9">
        <v>0.74930555555555556</v>
      </c>
      <c r="C23" s="7">
        <v>52</v>
      </c>
      <c r="D23" s="2">
        <v>55</v>
      </c>
      <c r="E23" s="6">
        <f>IF(AND($B23&lt;&gt;"", $G23&lt;&gt;"TBD"), ($B23-$G23)*1440, "")</f>
        <v>20.999999999999925</v>
      </c>
      <c r="F23" s="2">
        <f t="shared" si="0"/>
        <v>3</v>
      </c>
      <c r="G23" s="9">
        <f>_xlfn.XLOOKUP(Log!A23, 'Daily Summary'!A:A, 'Daily Summary'!C:C, "TBD")</f>
        <v>0.73472222222222228</v>
      </c>
    </row>
    <row r="24" spans="1:7" x14ac:dyDescent="0.3">
      <c r="A24" s="1">
        <v>46233</v>
      </c>
      <c r="B24" s="9">
        <v>0.41111111111111109</v>
      </c>
      <c r="C24" s="7">
        <v>32</v>
      </c>
      <c r="D24" s="2">
        <v>33</v>
      </c>
      <c r="E24" s="6">
        <f>IF(AND($B24&lt;&gt;"", $G24&lt;&gt;"TBD"), ($B24-$G24)*1440, "")</f>
        <v>1.9999999999999929</v>
      </c>
      <c r="F24" s="2">
        <f t="shared" si="0"/>
        <v>1</v>
      </c>
      <c r="G24" s="9">
        <f>_xlfn.XLOOKUP(Log!A24, 'Daily Summary'!A:A, 'Daily Summary'!C:C, "TBD")</f>
        <v>0.40972222222222221</v>
      </c>
    </row>
    <row r="25" spans="1:7" x14ac:dyDescent="0.3">
      <c r="A25" s="1">
        <v>46233</v>
      </c>
      <c r="B25" s="9">
        <v>0.41319444444444442</v>
      </c>
      <c r="C25" s="7">
        <v>38</v>
      </c>
      <c r="D25" s="2">
        <v>41</v>
      </c>
      <c r="E25" s="6">
        <f>IF(AND($B25&lt;&gt;"", $G25&lt;&gt;"TBD"), ($B25-$G25)*1440, "")</f>
        <v>4.9999999999999822</v>
      </c>
      <c r="F25" s="2">
        <f t="shared" si="0"/>
        <v>3</v>
      </c>
      <c r="G25" s="9">
        <f>_xlfn.XLOOKUP(Log!A25, 'Daily Summary'!A:A, 'Daily Summary'!C:C, "TBD")</f>
        <v>0.40972222222222221</v>
      </c>
    </row>
    <row r="26" spans="1:7" x14ac:dyDescent="0.3">
      <c r="A26" s="1">
        <v>46233</v>
      </c>
      <c r="B26" s="9">
        <v>0.41666666666666669</v>
      </c>
      <c r="C26" s="7">
        <v>44</v>
      </c>
      <c r="D26" s="2">
        <v>45</v>
      </c>
      <c r="E26" s="6">
        <f>IF(AND($B26&lt;&gt;"", $G26&lt;&gt;"TBD"), ($B26-$G26)*1440, "")</f>
        <v>10.000000000000044</v>
      </c>
      <c r="F26" s="2">
        <f t="shared" si="0"/>
        <v>1</v>
      </c>
      <c r="G26" s="9">
        <f>_xlfn.XLOOKUP(Log!A26, 'Daily Summary'!A:A, 'Daily Summary'!C:C, "TBD")</f>
        <v>0.40972222222222221</v>
      </c>
    </row>
    <row r="27" spans="1:7" x14ac:dyDescent="0.3">
      <c r="A27" s="1">
        <v>46233</v>
      </c>
      <c r="B27" s="9">
        <v>0.41944444444444445</v>
      </c>
      <c r="C27" s="7">
        <v>47</v>
      </c>
      <c r="D27" s="2">
        <v>49</v>
      </c>
      <c r="E27" s="6">
        <f>IF(AND($B27&lt;&gt;"", $G27&lt;&gt;"TBD"), ($B27-$G27)*1440, "")</f>
        <v>14.00000000000003</v>
      </c>
      <c r="F27" s="2">
        <f t="shared" si="0"/>
        <v>2</v>
      </c>
      <c r="G27" s="9">
        <f>_xlfn.XLOOKUP(Log!A27, 'Daily Summary'!A:A, 'Daily Summary'!C:C, "TBD")</f>
        <v>0.40972222222222221</v>
      </c>
    </row>
    <row r="28" spans="1:7" x14ac:dyDescent="0.3">
      <c r="A28" s="1">
        <v>46233</v>
      </c>
      <c r="B28" s="9">
        <v>0.42222222222222222</v>
      </c>
      <c r="C28" s="7">
        <v>49</v>
      </c>
      <c r="D28" s="2">
        <v>52</v>
      </c>
      <c r="E28" s="6">
        <f>IF(AND($B28&lt;&gt;"", $G28&lt;&gt;"TBD"), ($B28-$G28)*1440, "")</f>
        <v>18.000000000000014</v>
      </c>
      <c r="F28" s="2">
        <f t="shared" si="0"/>
        <v>3</v>
      </c>
      <c r="G28" s="9">
        <f>_xlfn.XLOOKUP(Log!A28, 'Daily Summary'!A:A, 'Daily Summary'!C:C, "TBD")</f>
        <v>0.40972222222222221</v>
      </c>
    </row>
    <row r="29" spans="1:7" x14ac:dyDescent="0.3">
      <c r="A29" s="1">
        <v>46233</v>
      </c>
      <c r="B29" s="9">
        <v>0.42291666666666666</v>
      </c>
      <c r="C29" s="7">
        <v>51</v>
      </c>
      <c r="D29" s="2">
        <v>52</v>
      </c>
      <c r="E29" s="6">
        <f>IF(AND($B29&lt;&gt;"", $G29&lt;&gt;"TBD"), ($B29-$G29)*1440, "")</f>
        <v>19.000000000000014</v>
      </c>
      <c r="F29" s="2">
        <f t="shared" si="0"/>
        <v>1</v>
      </c>
      <c r="G29" s="9">
        <f>_xlfn.XLOOKUP(Log!A29, 'Daily Summary'!A:A, 'Daily Summary'!C:C, "TBD")</f>
        <v>0.40972222222222221</v>
      </c>
    </row>
    <row r="30" spans="1:7" x14ac:dyDescent="0.3">
      <c r="A30" s="1">
        <v>46233</v>
      </c>
      <c r="B30" s="9">
        <v>0.42638888888888887</v>
      </c>
      <c r="C30" s="7">
        <v>52</v>
      </c>
      <c r="D30" s="2">
        <v>55</v>
      </c>
      <c r="E30" s="6">
        <f>IF(AND($B30&lt;&gt;"", $G30&lt;&gt;"TBD"), ($B30-$G30)*1440, "")</f>
        <v>23.999999999999993</v>
      </c>
      <c r="F30" s="2">
        <f t="shared" si="0"/>
        <v>3</v>
      </c>
      <c r="G30" s="9">
        <f>_xlfn.XLOOKUP(Log!A30, 'Daily Summary'!A:A, 'Daily Summary'!C:C, "TBD")</f>
        <v>0.40972222222222221</v>
      </c>
    </row>
    <row r="31" spans="1:7" x14ac:dyDescent="0.3">
      <c r="A31" s="1">
        <v>46233</v>
      </c>
      <c r="B31" s="9">
        <v>0.4284722222222222</v>
      </c>
      <c r="C31" s="7">
        <v>54</v>
      </c>
      <c r="D31" s="2">
        <v>55</v>
      </c>
      <c r="E31" s="6">
        <f>IF(AND($B31&lt;&gt;"", $G31&lt;&gt;"TBD"), ($B31-$G31)*1440, "")</f>
        <v>26.999999999999986</v>
      </c>
      <c r="F31" s="2">
        <f t="shared" si="0"/>
        <v>1</v>
      </c>
      <c r="G31" s="9">
        <f>_xlfn.XLOOKUP(Log!A31, 'Daily Summary'!A:A, 'Daily Summary'!C:C, "TBD")</f>
        <v>0.40972222222222221</v>
      </c>
    </row>
    <row r="32" spans="1:7" x14ac:dyDescent="0.3">
      <c r="A32" s="1">
        <v>46234</v>
      </c>
      <c r="B32" s="9">
        <v>0.43194444444444446</v>
      </c>
      <c r="C32" s="7">
        <v>29</v>
      </c>
      <c r="D32" s="2">
        <v>32</v>
      </c>
      <c r="E32" s="6">
        <f>IF(AND($B32&lt;&gt;"", $G32&lt;&gt;"TBD"), ($B32-$G32)*1440, "")</f>
        <v>1.9999999999999929</v>
      </c>
      <c r="F32" s="2">
        <f t="shared" si="0"/>
        <v>3</v>
      </c>
      <c r="G32" s="9">
        <f>_xlfn.XLOOKUP(Log!A32, 'Daily Summary'!A:A, 'Daily Summary'!C:C, "TBD")</f>
        <v>0.43055555555555558</v>
      </c>
    </row>
    <row r="33" spans="1:9" x14ac:dyDescent="0.3">
      <c r="A33" s="1">
        <v>46234</v>
      </c>
      <c r="B33" s="9">
        <v>0.43472222222222223</v>
      </c>
      <c r="C33" s="7">
        <v>39</v>
      </c>
      <c r="D33" s="2">
        <v>41</v>
      </c>
      <c r="E33" s="6">
        <f>IF(AND($B33&lt;&gt;"", $G33&lt;&gt;"TBD"), ($B33-$G33)*1440, "")</f>
        <v>5.9999999999999787</v>
      </c>
      <c r="F33" s="2">
        <f t="shared" si="0"/>
        <v>2</v>
      </c>
      <c r="G33" s="9">
        <f>_xlfn.XLOOKUP(Log!A33, 'Daily Summary'!A:A, 'Daily Summary'!C:C, "TBD")</f>
        <v>0.43055555555555558</v>
      </c>
    </row>
    <row r="34" spans="1:9" x14ac:dyDescent="0.3">
      <c r="A34" s="1">
        <v>46234</v>
      </c>
      <c r="B34" s="9">
        <v>0.43888888888888888</v>
      </c>
      <c r="C34" s="7">
        <v>44</v>
      </c>
      <c r="D34" s="2">
        <v>47</v>
      </c>
      <c r="E34" s="6">
        <f>IF(AND($B34&lt;&gt;"", $G34&lt;&gt;"TBD"), ($B34-$G34)*1440, "")</f>
        <v>11.999999999999957</v>
      </c>
      <c r="F34" s="2">
        <f t="shared" si="0"/>
        <v>3</v>
      </c>
      <c r="G34" s="9">
        <f>_xlfn.XLOOKUP(Log!A34, 'Daily Summary'!A:A, 'Daily Summary'!C:C, "TBD")</f>
        <v>0.43055555555555558</v>
      </c>
    </row>
    <row r="35" spans="1:9" x14ac:dyDescent="0.3">
      <c r="A35" s="1">
        <v>46234</v>
      </c>
      <c r="B35" s="9">
        <v>0.44027777777777777</v>
      </c>
      <c r="C35" s="7">
        <v>47</v>
      </c>
      <c r="D35" s="2">
        <v>49</v>
      </c>
      <c r="E35" s="6">
        <f>IF(AND($B35&lt;&gt;"", $G35&lt;&gt;"TBD"), ($B35-$G35)*1440, "")</f>
        <v>13.99999999999995</v>
      </c>
      <c r="F35" s="2">
        <f t="shared" si="0"/>
        <v>2</v>
      </c>
      <c r="G35" s="9">
        <f>_xlfn.XLOOKUP(Log!A35, 'Daily Summary'!A:A, 'Daily Summary'!C:C, "TBD")</f>
        <v>0.43055555555555558</v>
      </c>
    </row>
    <row r="36" spans="1:9" x14ac:dyDescent="0.3">
      <c r="A36" s="1">
        <v>46234</v>
      </c>
      <c r="B36" s="9">
        <v>0.44513888888888886</v>
      </c>
      <c r="C36" s="7">
        <v>51</v>
      </c>
      <c r="D36" s="2">
        <v>52</v>
      </c>
      <c r="E36" s="6">
        <f>IF(AND($B36&lt;&gt;"", $G36&lt;&gt;"TBD"), ($B36-$G36)*1440, "")</f>
        <v>20.999999999999925</v>
      </c>
      <c r="F36" s="2">
        <f t="shared" si="0"/>
        <v>1</v>
      </c>
      <c r="G36" s="9">
        <f>_xlfn.XLOOKUP(Log!A36, 'Daily Summary'!A:A, 'Daily Summary'!C:C, "TBD")</f>
        <v>0.43055555555555558</v>
      </c>
    </row>
    <row r="37" spans="1:9" x14ac:dyDescent="0.3">
      <c r="A37" s="1">
        <v>46234</v>
      </c>
      <c r="B37" s="9">
        <v>0.44861111111111113</v>
      </c>
      <c r="C37" s="7">
        <v>54</v>
      </c>
      <c r="D37" s="2">
        <v>55</v>
      </c>
      <c r="E37" s="6">
        <f>IF(AND($B37&lt;&gt;"", $G37&lt;&gt;"TBD"), ($B37-$G37)*1440, "")</f>
        <v>25.999999999999986</v>
      </c>
      <c r="F37" s="2">
        <f t="shared" si="0"/>
        <v>1</v>
      </c>
      <c r="G37" s="9">
        <f>_xlfn.XLOOKUP(Log!A37, 'Daily Summary'!A:A, 'Daily Summary'!C:C, "TBD")</f>
        <v>0.43055555555555558</v>
      </c>
    </row>
    <row r="38" spans="1:9" x14ac:dyDescent="0.3">
      <c r="A38" s="1">
        <v>46235</v>
      </c>
      <c r="B38" s="9">
        <v>0.70763888888888893</v>
      </c>
      <c r="C38" s="7">
        <v>28</v>
      </c>
      <c r="D38" s="2">
        <v>30</v>
      </c>
      <c r="E38" s="6">
        <f>IF(AND($B38&lt;&gt;"", $G38&lt;&gt;"TBD"), ($B38-$G38)*1440, "")</f>
        <v>1.9999999999999929</v>
      </c>
      <c r="F38" s="2">
        <f t="shared" si="0"/>
        <v>2</v>
      </c>
      <c r="G38" s="9">
        <f>_xlfn.XLOOKUP(Log!A38, 'Daily Summary'!A:A, 'Daily Summary'!C:C, "TBD")</f>
        <v>0.70625000000000004</v>
      </c>
      <c r="I38" s="16" t="s">
        <v>32</v>
      </c>
    </row>
    <row r="39" spans="1:9" x14ac:dyDescent="0.3">
      <c r="A39" s="1">
        <v>46235</v>
      </c>
      <c r="B39" s="9">
        <v>0.7086689814814815</v>
      </c>
      <c r="C39" s="7">
        <v>32</v>
      </c>
      <c r="D39" s="2">
        <v>35</v>
      </c>
      <c r="E39" s="6">
        <f>IF(AND($B39&lt;&gt;"", $G39&lt;&gt;"TBD"), ($B39-$G39)*1440, "")</f>
        <v>3.4833333333332916</v>
      </c>
      <c r="F39" s="2">
        <f t="shared" si="0"/>
        <v>3</v>
      </c>
      <c r="G39" s="9">
        <f>_xlfn.XLOOKUP(Log!A39, 'Daily Summary'!A:A, 'Daily Summary'!C:C, "TBD")</f>
        <v>0.70625000000000004</v>
      </c>
    </row>
    <row r="40" spans="1:9" x14ac:dyDescent="0.3">
      <c r="A40" s="1">
        <v>46235</v>
      </c>
      <c r="B40" s="9">
        <v>0.71006944444444442</v>
      </c>
      <c r="C40" s="7">
        <v>36</v>
      </c>
      <c r="D40" s="2">
        <v>39</v>
      </c>
      <c r="E40" s="6">
        <f>IF(AND($B40&lt;&gt;"", $G40&lt;&gt;"TBD"), ($B40-$G40)*1440, "")</f>
        <v>5.4999999999999005</v>
      </c>
      <c r="F40" s="2">
        <f t="shared" si="0"/>
        <v>3</v>
      </c>
      <c r="G40" s="9">
        <f>_xlfn.XLOOKUP(Log!A40, 'Daily Summary'!A:A, 'Daily Summary'!C:C, "TBD")</f>
        <v>0.70625000000000004</v>
      </c>
    </row>
    <row r="41" spans="1:9" x14ac:dyDescent="0.3">
      <c r="A41" s="1">
        <v>46235</v>
      </c>
      <c r="B41" s="9">
        <v>0.71146990740740745</v>
      </c>
      <c r="C41" s="7">
        <v>39</v>
      </c>
      <c r="D41" s="2">
        <v>42</v>
      </c>
      <c r="E41" s="6">
        <f>IF(AND($B41&lt;&gt;"", $G41&lt;&gt;"TBD"), ($B41-$G41)*1440, "")</f>
        <v>7.5166666666666693</v>
      </c>
      <c r="F41" s="2">
        <f t="shared" si="0"/>
        <v>3</v>
      </c>
      <c r="G41" s="9">
        <f>_xlfn.XLOOKUP(Log!A41, 'Daily Summary'!A:A, 'Daily Summary'!C:C, "TBD")</f>
        <v>0.70625000000000004</v>
      </c>
    </row>
    <row r="42" spans="1:9" x14ac:dyDescent="0.3">
      <c r="A42" s="1">
        <v>46235</v>
      </c>
      <c r="B42" s="9">
        <v>0.71285879629629634</v>
      </c>
      <c r="C42" s="7">
        <v>42</v>
      </c>
      <c r="D42" s="2">
        <v>45</v>
      </c>
      <c r="E42" s="6">
        <f>IF(AND($B42&lt;&gt;"", $G42&lt;&gt;"TBD"), ($B42-$G42)*1440, "")</f>
        <v>9.5166666666666622</v>
      </c>
      <c r="F42" s="2">
        <f t="shared" si="0"/>
        <v>3</v>
      </c>
      <c r="G42" s="9">
        <f>_xlfn.XLOOKUP(Log!A42, 'Daily Summary'!A:A, 'Daily Summary'!C:C, "TBD")</f>
        <v>0.70625000000000004</v>
      </c>
    </row>
    <row r="43" spans="1:9" x14ac:dyDescent="0.3">
      <c r="A43" s="1">
        <v>46235</v>
      </c>
      <c r="B43" s="9">
        <v>0.71425925925925926</v>
      </c>
      <c r="C43" s="7">
        <v>44</v>
      </c>
      <c r="D43" s="2">
        <v>45</v>
      </c>
      <c r="E43" s="6">
        <f>IF(AND($B43&lt;&gt;"", $G43&lt;&gt;"TBD"), ($B43-$G43)*1440, "")</f>
        <v>11.533333333333271</v>
      </c>
      <c r="F43" s="2">
        <f t="shared" si="0"/>
        <v>1</v>
      </c>
      <c r="G43" s="9">
        <f>_xlfn.XLOOKUP(Log!A43, 'Daily Summary'!A:A, 'Daily Summary'!C:C, "TBD")</f>
        <v>0.70625000000000004</v>
      </c>
    </row>
    <row r="44" spans="1:9" x14ac:dyDescent="0.3">
      <c r="A44" s="1">
        <v>46235</v>
      </c>
      <c r="B44" s="9">
        <v>0.71564814814814814</v>
      </c>
      <c r="C44" s="7">
        <v>45</v>
      </c>
      <c r="D44" s="2">
        <v>48</v>
      </c>
      <c r="E44" s="6">
        <f>IF(AND($B44&lt;&gt;"", $G44&lt;&gt;"TBD"), ($B44-$G44)*1440, "")</f>
        <v>13.533333333333264</v>
      </c>
      <c r="F44" s="2">
        <f t="shared" si="0"/>
        <v>3</v>
      </c>
      <c r="G44" s="9">
        <f>_xlfn.XLOOKUP(Log!A44, 'Daily Summary'!A:A, 'Daily Summary'!C:C, "TBD")</f>
        <v>0.70625000000000004</v>
      </c>
    </row>
    <row r="45" spans="1:9" x14ac:dyDescent="0.3">
      <c r="A45" s="1">
        <v>46235</v>
      </c>
      <c r="B45" s="9">
        <v>0.71704861111111107</v>
      </c>
      <c r="C45" s="7">
        <v>48</v>
      </c>
      <c r="D45" s="2">
        <v>49</v>
      </c>
      <c r="E45" s="6">
        <f>IF(AND($B45&lt;&gt;"", $G45&lt;&gt;"TBD"), ($B45-$G45)*1440, "")</f>
        <v>15.549999999999873</v>
      </c>
      <c r="F45" s="2">
        <f t="shared" si="0"/>
        <v>1</v>
      </c>
      <c r="G45" s="9">
        <f>_xlfn.XLOOKUP(Log!A45, 'Daily Summary'!A:A, 'Daily Summary'!C:C, "TBD")</f>
        <v>0.70625000000000004</v>
      </c>
    </row>
    <row r="46" spans="1:9" x14ac:dyDescent="0.3">
      <c r="A46" s="1">
        <v>46235</v>
      </c>
      <c r="B46" s="9">
        <v>0.71843749999999995</v>
      </c>
      <c r="C46" s="7">
        <v>48</v>
      </c>
      <c r="D46" s="2">
        <v>51</v>
      </c>
      <c r="E46" s="6">
        <f>IF(AND($B46&lt;&gt;"", $G46&lt;&gt;"TBD"), ($B46-$G46)*1440, "")</f>
        <v>17.549999999999866</v>
      </c>
      <c r="F46" s="2">
        <f t="shared" si="0"/>
        <v>3</v>
      </c>
      <c r="G46" s="9">
        <f>_xlfn.XLOOKUP(Log!A46, 'Daily Summary'!A:A, 'Daily Summary'!C:C, "TBD")</f>
        <v>0.70625000000000004</v>
      </c>
    </row>
    <row r="47" spans="1:9" x14ac:dyDescent="0.3">
      <c r="A47" s="1">
        <v>46235</v>
      </c>
      <c r="B47" s="9">
        <v>0.71983796296296299</v>
      </c>
      <c r="C47" s="7">
        <v>49</v>
      </c>
      <c r="D47" s="2">
        <v>52</v>
      </c>
      <c r="E47" s="6">
        <f>IF(AND($B47&lt;&gt;"", $G47&lt;&gt;"TBD"), ($B47-$G47)*1440, "")</f>
        <v>19.566666666666634</v>
      </c>
      <c r="F47" s="2">
        <f t="shared" si="0"/>
        <v>3</v>
      </c>
      <c r="G47" s="9">
        <f>_xlfn.XLOOKUP(Log!A47, 'Daily Summary'!A:A, 'Daily Summary'!C:C, "TBD")</f>
        <v>0.70625000000000004</v>
      </c>
    </row>
    <row r="48" spans="1:9" x14ac:dyDescent="0.3">
      <c r="A48" s="1">
        <v>46235</v>
      </c>
      <c r="B48" s="9">
        <v>0.72123842592592591</v>
      </c>
      <c r="C48" s="7">
        <v>51</v>
      </c>
      <c r="D48" s="2">
        <v>52</v>
      </c>
      <c r="E48" s="6">
        <f>IF(AND($B48&lt;&gt;"", $G48&lt;&gt;"TBD"), ($B48-$G48)*1440, "")</f>
        <v>21.583333333333243</v>
      </c>
      <c r="F48" s="2">
        <f t="shared" si="0"/>
        <v>1</v>
      </c>
      <c r="G48" s="9">
        <f>_xlfn.XLOOKUP(Log!A48, 'Daily Summary'!A:A, 'Daily Summary'!C:C, "TBD")</f>
        <v>0.70625000000000004</v>
      </c>
    </row>
    <row r="49" spans="1:7" x14ac:dyDescent="0.3">
      <c r="A49" s="1">
        <v>46235</v>
      </c>
      <c r="B49" s="9">
        <v>0.72262731481481479</v>
      </c>
      <c r="C49" s="7">
        <v>51</v>
      </c>
      <c r="D49" s="2">
        <v>54</v>
      </c>
      <c r="E49" s="6">
        <f>IF(AND($B49&lt;&gt;"", $G49&lt;&gt;"TBD"), ($B49-$G49)*1440, "")</f>
        <v>23.583333333333236</v>
      </c>
      <c r="F49" s="2">
        <f t="shared" si="0"/>
        <v>3</v>
      </c>
      <c r="G49" s="9">
        <f>_xlfn.XLOOKUP(Log!A49, 'Daily Summary'!A:A, 'Daily Summary'!C:C, "TBD")</f>
        <v>0.70625000000000004</v>
      </c>
    </row>
    <row r="50" spans="1:7" x14ac:dyDescent="0.3">
      <c r="A50" s="1">
        <v>46235</v>
      </c>
      <c r="B50" s="9">
        <v>0.72401620370370368</v>
      </c>
      <c r="C50" s="7">
        <v>52</v>
      </c>
      <c r="D50" s="2">
        <v>55</v>
      </c>
      <c r="E50" s="6">
        <f>IF(AND($B50&lt;&gt;"", $G50&lt;&gt;"TBD"), ($B50-$G50)*1440, "")</f>
        <v>25.583333333333229</v>
      </c>
      <c r="F50" s="2">
        <f t="shared" si="0"/>
        <v>3</v>
      </c>
      <c r="G50" s="9">
        <f>_xlfn.XLOOKUP(Log!A50, 'Daily Summary'!A:A, 'Daily Summary'!C:C, "TBD")</f>
        <v>0.70625000000000004</v>
      </c>
    </row>
    <row r="51" spans="1:7" x14ac:dyDescent="0.3">
      <c r="A51" s="1">
        <v>46237</v>
      </c>
      <c r="B51" s="9">
        <v>0.41188657407407409</v>
      </c>
      <c r="C51" s="7">
        <v>32</v>
      </c>
      <c r="D51" s="2">
        <v>35</v>
      </c>
      <c r="E51" s="6">
        <f>IF(AND($B51&lt;&gt;"", $G51&lt;&gt;"TBD"), ($B51-$G51)*1440, "")</f>
        <v>3.1166666666667009</v>
      </c>
      <c r="F51" s="2">
        <f t="shared" si="0"/>
        <v>3</v>
      </c>
      <c r="G51" s="9">
        <f>_xlfn.XLOOKUP(Log!A51, 'Daily Summary'!A:A, 'Daily Summary'!C:C, "TBD")</f>
        <v>0.40972222222222221</v>
      </c>
    </row>
    <row r="52" spans="1:7" x14ac:dyDescent="0.3">
      <c r="A52" s="1">
        <v>46237</v>
      </c>
      <c r="B52" s="9">
        <v>0.41328703703703706</v>
      </c>
      <c r="C52" s="7">
        <v>38</v>
      </c>
      <c r="D52" s="2">
        <v>38</v>
      </c>
      <c r="E52" s="6">
        <f>IF(AND($B52&lt;&gt;"", $G52&lt;&gt;"TBD"), ($B52-$G52)*1440, "")</f>
        <v>5.1333333333333897</v>
      </c>
      <c r="F52" s="2">
        <f t="shared" si="0"/>
        <v>0</v>
      </c>
      <c r="G52" s="9">
        <f>_xlfn.XLOOKUP(Log!A52, 'Daily Summary'!A:A, 'Daily Summary'!C:C, "TBD")</f>
        <v>0.40972222222222221</v>
      </c>
    </row>
    <row r="53" spans="1:7" x14ac:dyDescent="0.3">
      <c r="A53" s="1">
        <v>46237</v>
      </c>
      <c r="B53" s="9">
        <v>0.41467592592592595</v>
      </c>
      <c r="C53" s="7">
        <v>41</v>
      </c>
      <c r="D53" s="2">
        <v>41</v>
      </c>
      <c r="E53" s="6">
        <f>IF(AND($B53&lt;&gt;"", $G53&lt;&gt;"TBD"), ($B53-$G53)*1440, "")</f>
        <v>7.1333333333333826</v>
      </c>
      <c r="F53" s="2">
        <f t="shared" si="0"/>
        <v>0</v>
      </c>
      <c r="G53" s="9">
        <f>_xlfn.XLOOKUP(Log!A53, 'Daily Summary'!A:A, 'Daily Summary'!C:C, "TBD")</f>
        <v>0.40972222222222221</v>
      </c>
    </row>
    <row r="54" spans="1:7" x14ac:dyDescent="0.3">
      <c r="A54" s="1">
        <v>46237</v>
      </c>
      <c r="B54" s="9">
        <v>0.41607638888888887</v>
      </c>
      <c r="C54" s="7">
        <v>41</v>
      </c>
      <c r="D54" s="2">
        <v>44</v>
      </c>
      <c r="E54" s="6">
        <f>IF(AND($B54&lt;&gt;"", $G54&lt;&gt;"TBD"), ($B54-$G54)*1440, "")</f>
        <v>9.1499999999999915</v>
      </c>
      <c r="F54" s="2">
        <f t="shared" si="0"/>
        <v>3</v>
      </c>
      <c r="G54" s="9">
        <f>_xlfn.XLOOKUP(Log!A54, 'Daily Summary'!A:A, 'Daily Summary'!C:C, "TBD")</f>
        <v>0.40972222222222221</v>
      </c>
    </row>
    <row r="55" spans="1:7" x14ac:dyDescent="0.3">
      <c r="A55" s="1">
        <v>46237</v>
      </c>
      <c r="B55" s="9">
        <v>0.41747685185185185</v>
      </c>
      <c r="C55" s="7">
        <v>44</v>
      </c>
      <c r="D55" s="2">
        <v>44</v>
      </c>
      <c r="E55" s="6">
        <f>IF(AND($B55&lt;&gt;"", $G55&lt;&gt;"TBD"), ($B55-$G55)*1440, "")</f>
        <v>11.16666666666668</v>
      </c>
      <c r="F55" s="2">
        <f t="shared" si="0"/>
        <v>0</v>
      </c>
      <c r="G55" s="9">
        <f>_xlfn.XLOOKUP(Log!A55, 'Daily Summary'!A:A, 'Daily Summary'!C:C, "TBD")</f>
        <v>0.40972222222222221</v>
      </c>
    </row>
    <row r="56" spans="1:7" x14ac:dyDescent="0.3">
      <c r="A56" s="1">
        <v>46237</v>
      </c>
      <c r="B56" s="9">
        <v>0.41886574074074073</v>
      </c>
      <c r="C56" s="7">
        <v>47</v>
      </c>
      <c r="D56" s="2">
        <v>47</v>
      </c>
      <c r="E56" s="6">
        <f>IF(AND($B56&lt;&gt;"", $G56&lt;&gt;"TBD"), ($B56-$G56)*1440, "")</f>
        <v>13.166666666666673</v>
      </c>
      <c r="F56" s="2">
        <f t="shared" si="0"/>
        <v>0</v>
      </c>
      <c r="G56" s="9">
        <f>_xlfn.XLOOKUP(Log!A56, 'Daily Summary'!A:A, 'Daily Summary'!C:C, "TBD")</f>
        <v>0.40972222222222221</v>
      </c>
    </row>
    <row r="57" spans="1:7" x14ac:dyDescent="0.3">
      <c r="A57" s="1">
        <v>46237</v>
      </c>
      <c r="B57" s="9">
        <v>0.42026620370370371</v>
      </c>
      <c r="C57" s="7">
        <v>47</v>
      </c>
      <c r="D57" s="2">
        <v>49</v>
      </c>
      <c r="E57" s="6">
        <f>IF(AND($B57&lt;&gt;"", $G57&lt;&gt;"TBD"), ($B57-$G57)*1440, "")</f>
        <v>15.183333333333362</v>
      </c>
      <c r="F57" s="2">
        <f t="shared" si="0"/>
        <v>2</v>
      </c>
      <c r="G57" s="9">
        <f>_xlfn.XLOOKUP(Log!A57, 'Daily Summary'!A:A, 'Daily Summary'!C:C, "TBD")</f>
        <v>0.40972222222222221</v>
      </c>
    </row>
    <row r="58" spans="1:7" x14ac:dyDescent="0.3">
      <c r="A58" s="1">
        <v>46237</v>
      </c>
      <c r="B58" s="9">
        <v>0.42166666666666669</v>
      </c>
      <c r="C58" s="7">
        <v>49</v>
      </c>
      <c r="D58" s="2">
        <v>49</v>
      </c>
      <c r="E58" s="6">
        <f>IF(AND($B58&lt;&gt;"", $G58&lt;&gt;"TBD"), ($B58-$G58)*1440, "")</f>
        <v>17.200000000000053</v>
      </c>
      <c r="F58" s="2">
        <f t="shared" si="0"/>
        <v>0</v>
      </c>
      <c r="G58" s="9">
        <f>_xlfn.XLOOKUP(Log!A58, 'Daily Summary'!A:A, 'Daily Summary'!C:C, "TBD")</f>
        <v>0.40972222222222221</v>
      </c>
    </row>
    <row r="59" spans="1:7" x14ac:dyDescent="0.3">
      <c r="A59" s="1">
        <v>46237</v>
      </c>
      <c r="B59" s="9">
        <v>0.42306712962962961</v>
      </c>
      <c r="C59" s="7">
        <v>49</v>
      </c>
      <c r="D59" s="2">
        <v>52</v>
      </c>
      <c r="E59" s="6">
        <f>IF(AND($B59&lt;&gt;"", $G59&lt;&gt;"TBD"), ($B59-$G59)*1440, "")</f>
        <v>19.216666666666661</v>
      </c>
      <c r="F59" s="2">
        <f t="shared" si="0"/>
        <v>3</v>
      </c>
      <c r="G59" s="9">
        <f>_xlfn.XLOOKUP(Log!A59, 'Daily Summary'!A:A, 'Daily Summary'!C:C, "TBD")</f>
        <v>0.40972222222222221</v>
      </c>
    </row>
    <row r="60" spans="1:7" x14ac:dyDescent="0.3">
      <c r="A60" s="1">
        <v>46237</v>
      </c>
      <c r="B60" s="9">
        <v>0.4244560185185185</v>
      </c>
      <c r="C60" s="7">
        <v>52</v>
      </c>
      <c r="D60" s="2">
        <v>52</v>
      </c>
      <c r="E60" s="6">
        <f>IF(AND($B60&lt;&gt;"", $G60&lt;&gt;"TBD"), ($B60-$G60)*1440, "")</f>
        <v>21.216666666666654</v>
      </c>
      <c r="F60" s="2">
        <f t="shared" si="0"/>
        <v>0</v>
      </c>
      <c r="G60" s="9">
        <f>_xlfn.XLOOKUP(Log!A60, 'Daily Summary'!A:A, 'Daily Summary'!C:C, "TBD")</f>
        <v>0.40972222222222221</v>
      </c>
    </row>
    <row r="61" spans="1:7" x14ac:dyDescent="0.3">
      <c r="A61" s="1">
        <v>46237</v>
      </c>
      <c r="B61" s="9">
        <v>0.42584490740740738</v>
      </c>
      <c r="C61" s="7">
        <v>52</v>
      </c>
      <c r="D61" s="2">
        <v>55</v>
      </c>
      <c r="E61" s="6">
        <f>IF(AND($B61&lt;&gt;"", $G61&lt;&gt;"TBD"), ($B61-$G61)*1440, "")</f>
        <v>23.216666666666647</v>
      </c>
      <c r="F61" s="2">
        <f t="shared" ref="F61:F124" si="1">IF(AND($D61&lt;&gt;"",$C61&lt;&gt;""), $D61-$C61, "")</f>
        <v>3</v>
      </c>
      <c r="G61" s="9">
        <f>_xlfn.XLOOKUP(Log!A61, 'Daily Summary'!A:A, 'Daily Summary'!C:C, "TBD")</f>
        <v>0.40972222222222221</v>
      </c>
    </row>
    <row r="62" spans="1:7" x14ac:dyDescent="0.3">
      <c r="A62" s="1">
        <v>46237</v>
      </c>
      <c r="B62" s="9">
        <v>0.42724537037037036</v>
      </c>
      <c r="C62" s="7">
        <v>52</v>
      </c>
      <c r="D62" s="2">
        <v>55</v>
      </c>
      <c r="E62" s="6">
        <f>IF(AND($B62&lt;&gt;"", $G62&lt;&gt;"TBD"), ($B62-$G62)*1440, "")</f>
        <v>25.233333333333334</v>
      </c>
      <c r="F62" s="2">
        <f t="shared" si="1"/>
        <v>3</v>
      </c>
      <c r="G62" s="9">
        <f>_xlfn.XLOOKUP(Log!A62, 'Daily Summary'!A:A, 'Daily Summary'!C:C, "TBD")</f>
        <v>0.40972222222222221</v>
      </c>
    </row>
    <row r="63" spans="1:7" x14ac:dyDescent="0.3">
      <c r="A63" s="1">
        <v>46237</v>
      </c>
      <c r="B63" s="9">
        <v>0.42863425925925924</v>
      </c>
      <c r="C63" s="7">
        <v>55</v>
      </c>
      <c r="D63" s="2">
        <v>55</v>
      </c>
      <c r="E63" s="6">
        <f>IF(AND($B63&lt;&gt;"", $G63&lt;&gt;"TBD"), ($B63-$G63)*1440, "")</f>
        <v>27.233333333333327</v>
      </c>
      <c r="F63" s="2">
        <f t="shared" si="1"/>
        <v>0</v>
      </c>
      <c r="G63" s="9">
        <f>_xlfn.XLOOKUP(Log!A63, 'Daily Summary'!A:A, 'Daily Summary'!C:C, "TBD")</f>
        <v>0.40972222222222221</v>
      </c>
    </row>
    <row r="64" spans="1:7" x14ac:dyDescent="0.3">
      <c r="A64" s="1">
        <v>46238</v>
      </c>
      <c r="B64" s="9">
        <v>0.43125000000000002</v>
      </c>
      <c r="C64" s="7">
        <v>29</v>
      </c>
      <c r="D64" s="2">
        <v>31</v>
      </c>
      <c r="E64" s="6">
        <f>IF(AND($B64&lt;&gt;"", $G64&lt;&gt;"TBD"), ($B64-$G64)*1440, "")</f>
        <v>1.9999999999999929</v>
      </c>
      <c r="F64" s="2">
        <f t="shared" si="1"/>
        <v>2</v>
      </c>
      <c r="G64" s="9">
        <f>_xlfn.XLOOKUP(Log!A64, 'Daily Summary'!A:A, 'Daily Summary'!C:C, "TBD")</f>
        <v>0.42986111111111114</v>
      </c>
    </row>
    <row r="65" spans="1:7" x14ac:dyDescent="0.3">
      <c r="A65" s="1">
        <v>46238</v>
      </c>
      <c r="B65" s="9">
        <v>0.43263888888888891</v>
      </c>
      <c r="C65" s="7">
        <v>35</v>
      </c>
      <c r="D65" s="2">
        <v>38</v>
      </c>
      <c r="E65" s="6">
        <f>IF(AND($B65&lt;&gt;"", $G65&lt;&gt;"TBD"), ($B65-$G65)*1440, "")</f>
        <v>3.9999999999999858</v>
      </c>
      <c r="F65" s="2">
        <f t="shared" si="1"/>
        <v>3</v>
      </c>
      <c r="G65" s="9">
        <f>_xlfn.XLOOKUP(Log!A65, 'Daily Summary'!A:A, 'Daily Summary'!C:C, "TBD")</f>
        <v>0.42986111111111114</v>
      </c>
    </row>
    <row r="66" spans="1:7" x14ac:dyDescent="0.3">
      <c r="A66" s="1">
        <v>46238</v>
      </c>
      <c r="B66" s="9">
        <v>0.43611111111111112</v>
      </c>
      <c r="C66" s="7">
        <v>41</v>
      </c>
      <c r="D66" s="2">
        <v>44</v>
      </c>
      <c r="E66" s="6">
        <f>IF(AND($B66&lt;&gt;"", $G66&lt;&gt;"TBD"), ($B66-$G66)*1440, "")</f>
        <v>8.999999999999968</v>
      </c>
      <c r="F66" s="2">
        <f t="shared" si="1"/>
        <v>3</v>
      </c>
      <c r="G66" s="9">
        <f>_xlfn.XLOOKUP(Log!A66, 'Daily Summary'!A:A, 'Daily Summary'!C:C, "TBD")</f>
        <v>0.42986111111111114</v>
      </c>
    </row>
    <row r="67" spans="1:7" x14ac:dyDescent="0.3">
      <c r="A67" s="1">
        <v>46238</v>
      </c>
      <c r="B67" s="9">
        <v>0.44166666666666665</v>
      </c>
      <c r="C67" s="7">
        <v>49</v>
      </c>
      <c r="D67" s="2">
        <v>51</v>
      </c>
      <c r="E67" s="6">
        <f>IF(AND($B67&lt;&gt;"", $G67&lt;&gt;"TBD"), ($B67-$G67)*1440, "")</f>
        <v>16.99999999999994</v>
      </c>
      <c r="F67" s="2">
        <f t="shared" si="1"/>
        <v>2</v>
      </c>
      <c r="G67" s="9">
        <f>_xlfn.XLOOKUP(Log!A67, 'Daily Summary'!A:A, 'Daily Summary'!C:C, "TBD")</f>
        <v>0.42986111111111114</v>
      </c>
    </row>
    <row r="68" spans="1:7" x14ac:dyDescent="0.3">
      <c r="A68" s="1">
        <v>46238</v>
      </c>
      <c r="B68" s="9">
        <v>0.43334490740740739</v>
      </c>
      <c r="C68" s="7">
        <v>38</v>
      </c>
      <c r="D68" s="2">
        <v>39</v>
      </c>
      <c r="E68" s="6">
        <f>IF(AND($B68&lt;&gt;"", $G68&lt;&gt;"TBD"), ($B68-$G68)*1440, "")</f>
        <v>5.0166666666665982</v>
      </c>
      <c r="F68" s="2">
        <f t="shared" si="1"/>
        <v>1</v>
      </c>
      <c r="G68" s="9">
        <f>_xlfn.XLOOKUP(Log!A68, 'Daily Summary'!A:A, 'Daily Summary'!C:C, "TBD")</f>
        <v>0.42986111111111114</v>
      </c>
    </row>
    <row r="69" spans="1:7" x14ac:dyDescent="0.3">
      <c r="A69" s="1">
        <v>46238</v>
      </c>
      <c r="B69" s="9">
        <v>0.43752314814814813</v>
      </c>
      <c r="C69" s="7">
        <v>44</v>
      </c>
      <c r="D69" s="2">
        <v>45</v>
      </c>
      <c r="E69" s="6">
        <f>IF(AND($B69&lt;&gt;"", $G69&lt;&gt;"TBD"), ($B69-$G69)*1440, "")</f>
        <v>11.033333333333273</v>
      </c>
      <c r="F69" s="2">
        <f t="shared" si="1"/>
        <v>1</v>
      </c>
      <c r="G69" s="9">
        <f>_xlfn.XLOOKUP(Log!A69, 'Daily Summary'!A:A, 'Daily Summary'!C:C, "TBD")</f>
        <v>0.42986111111111114</v>
      </c>
    </row>
    <row r="70" spans="1:7" x14ac:dyDescent="0.3">
      <c r="A70" s="1">
        <v>46238</v>
      </c>
      <c r="B70" s="9">
        <v>0.43892361111111111</v>
      </c>
      <c r="C70" s="7">
        <v>47</v>
      </c>
      <c r="D70" s="2">
        <v>48</v>
      </c>
      <c r="E70" s="6">
        <f>IF(AND($B70&lt;&gt;"", $G70&lt;&gt;"TBD"), ($B70-$G70)*1440, "")</f>
        <v>13.049999999999962</v>
      </c>
      <c r="F70" s="2">
        <f t="shared" si="1"/>
        <v>1</v>
      </c>
      <c r="G70" s="9">
        <f>_xlfn.XLOOKUP(Log!A70, 'Daily Summary'!A:A, 'Daily Summary'!C:C, "TBD")</f>
        <v>0.42986111111111114</v>
      </c>
    </row>
    <row r="71" spans="1:7" x14ac:dyDescent="0.3">
      <c r="A71" s="1">
        <v>46238</v>
      </c>
      <c r="B71" s="9">
        <v>0.4403125</v>
      </c>
      <c r="C71" s="7">
        <v>47</v>
      </c>
      <c r="D71" s="2">
        <v>49</v>
      </c>
      <c r="E71" s="6">
        <f>IF(AND($B71&lt;&gt;"", $G71&lt;&gt;"TBD"), ($B71-$G71)*1440, "")</f>
        <v>15.049999999999955</v>
      </c>
      <c r="F71" s="2">
        <f t="shared" si="1"/>
        <v>2</v>
      </c>
      <c r="G71" s="9">
        <f>_xlfn.XLOOKUP(Log!A71, 'Daily Summary'!A:A, 'Daily Summary'!C:C, "TBD")</f>
        <v>0.42986111111111114</v>
      </c>
    </row>
    <row r="72" spans="1:7" x14ac:dyDescent="0.3">
      <c r="A72" s="1">
        <v>46238</v>
      </c>
      <c r="B72" s="9">
        <v>0.44310185185185186</v>
      </c>
      <c r="C72" s="7">
        <v>49</v>
      </c>
      <c r="D72" s="2">
        <v>52</v>
      </c>
      <c r="E72" s="6">
        <f>IF(AND($B72&lt;&gt;"", $G72&lt;&gt;"TBD"), ($B72-$G72)*1440, "")</f>
        <v>19.066666666666634</v>
      </c>
      <c r="F72" s="2">
        <f t="shared" si="1"/>
        <v>3</v>
      </c>
      <c r="G72" s="9">
        <f>_xlfn.XLOOKUP(Log!A72, 'Daily Summary'!A:A, 'Daily Summary'!C:C, "TBD")</f>
        <v>0.42986111111111114</v>
      </c>
    </row>
    <row r="73" spans="1:7" x14ac:dyDescent="0.3">
      <c r="A73" s="1">
        <v>46238</v>
      </c>
      <c r="B73" s="9">
        <v>0.44449074074074074</v>
      </c>
      <c r="C73" s="7">
        <v>51</v>
      </c>
      <c r="D73" s="2">
        <v>52</v>
      </c>
      <c r="E73" s="6">
        <f>IF(AND($B73&lt;&gt;"", $G73&lt;&gt;"TBD"), ($B73-$G73)*1440, "")</f>
        <v>21.066666666666627</v>
      </c>
      <c r="F73" s="2">
        <f t="shared" si="1"/>
        <v>1</v>
      </c>
      <c r="G73" s="9">
        <f>_xlfn.XLOOKUP(Log!A73, 'Daily Summary'!A:A, 'Daily Summary'!C:C, "TBD")</f>
        <v>0.42986111111111114</v>
      </c>
    </row>
    <row r="74" spans="1:7" x14ac:dyDescent="0.3">
      <c r="A74" s="1">
        <v>46238</v>
      </c>
      <c r="B74" s="9">
        <v>0.44589120370370372</v>
      </c>
      <c r="C74" s="7">
        <v>52</v>
      </c>
      <c r="D74" s="2">
        <v>55</v>
      </c>
      <c r="E74" s="6">
        <f>IF(AND($B74&lt;&gt;"", $G74&lt;&gt;"TBD"), ($B74-$G74)*1440, "")</f>
        <v>23.083333333333318</v>
      </c>
      <c r="F74" s="2">
        <f t="shared" si="1"/>
        <v>3</v>
      </c>
      <c r="G74" s="9">
        <f>_xlfn.XLOOKUP(Log!A74, 'Daily Summary'!A:A, 'Daily Summary'!C:C, "TBD")</f>
        <v>0.42986111111111114</v>
      </c>
    </row>
    <row r="75" spans="1:7" x14ac:dyDescent="0.3">
      <c r="A75" s="1">
        <v>46238</v>
      </c>
      <c r="B75" s="9">
        <v>0.4472800925925926</v>
      </c>
      <c r="C75" s="7">
        <v>52</v>
      </c>
      <c r="D75" s="2">
        <v>55</v>
      </c>
      <c r="E75" s="6">
        <f>IF(AND($B75&lt;&gt;"", $G75&lt;&gt;"TBD"), ($B75-$G75)*1440, "")</f>
        <v>25.083333333333311</v>
      </c>
      <c r="F75" s="2">
        <f t="shared" si="1"/>
        <v>3</v>
      </c>
      <c r="G75" s="9">
        <f>_xlfn.XLOOKUP(Log!A75, 'Daily Summary'!A:A, 'Daily Summary'!C:C, "TBD")</f>
        <v>0.42986111111111114</v>
      </c>
    </row>
    <row r="76" spans="1:7" x14ac:dyDescent="0.3">
      <c r="A76" s="1">
        <v>46238</v>
      </c>
      <c r="B76" s="9">
        <v>0.44866898148148149</v>
      </c>
      <c r="C76" s="7">
        <v>54</v>
      </c>
      <c r="D76" s="2">
        <v>55</v>
      </c>
      <c r="E76" s="6">
        <f>IF(AND($B76&lt;&gt;"", $G76&lt;&gt;"TBD"), ($B76-$G76)*1440, "")</f>
        <v>27.083333333333304</v>
      </c>
      <c r="F76" s="2">
        <f t="shared" si="1"/>
        <v>1</v>
      </c>
      <c r="G76" s="9">
        <f>_xlfn.XLOOKUP(Log!A76, 'Daily Summary'!A:A, 'Daily Summary'!C:C, "TBD")</f>
        <v>0.42986111111111114</v>
      </c>
    </row>
    <row r="77" spans="1:7" x14ac:dyDescent="0.3">
      <c r="A77" s="1">
        <v>46238</v>
      </c>
      <c r="B77" s="9">
        <v>0.45005787037037037</v>
      </c>
      <c r="C77" s="7">
        <v>54</v>
      </c>
      <c r="D77" s="2">
        <v>55</v>
      </c>
      <c r="E77" s="6">
        <f>IF(AND($B77&lt;&gt;"", $G77&lt;&gt;"TBD"), ($B77-$G77)*1440, "")</f>
        <v>29.083333333333297</v>
      </c>
      <c r="F77" s="2">
        <f t="shared" si="1"/>
        <v>1</v>
      </c>
      <c r="G77" s="9">
        <f>_xlfn.XLOOKUP(Log!A77, 'Daily Summary'!A:A, 'Daily Summary'!C:C, "TBD")</f>
        <v>0.42986111111111114</v>
      </c>
    </row>
    <row r="78" spans="1:7" x14ac:dyDescent="0.3">
      <c r="A78" s="1">
        <v>46238</v>
      </c>
      <c r="B78" s="9">
        <v>0.45145833333333335</v>
      </c>
      <c r="C78" s="7">
        <v>55</v>
      </c>
      <c r="D78" s="2">
        <v>58</v>
      </c>
      <c r="E78" s="6">
        <f>IF(AND($B78&lt;&gt;"", $G78&lt;&gt;"TBD"), ($B78-$G78)*1440, "")</f>
        <v>31.099999999999987</v>
      </c>
      <c r="F78" s="2">
        <f t="shared" si="1"/>
        <v>3</v>
      </c>
      <c r="G78" s="9">
        <f>_xlfn.XLOOKUP(Log!A78, 'Daily Summary'!A:A, 'Daily Summary'!C:C, "TBD")</f>
        <v>0.42986111111111114</v>
      </c>
    </row>
    <row r="79" spans="1:7" x14ac:dyDescent="0.3">
      <c r="A79" s="1">
        <v>46239</v>
      </c>
      <c r="B79" s="9">
        <v>0.48472222222222222</v>
      </c>
      <c r="C79" s="7">
        <v>30</v>
      </c>
      <c r="D79" s="2">
        <v>31</v>
      </c>
      <c r="E79" s="6">
        <f>IF(AND($B79&lt;&gt;"", $G79&lt;&gt;"TBD"), ($B79-$G79)*1440, "")</f>
        <v>1.9999999999999929</v>
      </c>
      <c r="F79" s="2">
        <f t="shared" si="1"/>
        <v>1</v>
      </c>
      <c r="G79" s="9">
        <f>_xlfn.XLOOKUP(Log!A79, 'Daily Summary'!A:A, 'Daily Summary'!C:C, "TBD")</f>
        <v>0.48333333333333334</v>
      </c>
    </row>
    <row r="80" spans="1:7" x14ac:dyDescent="0.3">
      <c r="A80" s="1">
        <v>46239</v>
      </c>
      <c r="B80" s="9">
        <v>0.48716435185185186</v>
      </c>
      <c r="C80" s="7">
        <v>38</v>
      </c>
      <c r="D80" s="2">
        <v>39</v>
      </c>
      <c r="E80" s="6">
        <f>IF(AND($B80&lt;&gt;"", $G80&lt;&gt;"TBD"), ($B80-$G80)*1440, "")</f>
        <v>5.5166666666666764</v>
      </c>
      <c r="F80" s="2">
        <f t="shared" si="1"/>
        <v>1</v>
      </c>
      <c r="G80" s="9">
        <f>_xlfn.XLOOKUP(Log!A80, 'Daily Summary'!A:A, 'Daily Summary'!C:C, "TBD")</f>
        <v>0.48333333333333334</v>
      </c>
    </row>
    <row r="81" spans="1:7" x14ac:dyDescent="0.3">
      <c r="A81" s="1">
        <v>46239</v>
      </c>
      <c r="B81" s="9">
        <v>0.48856481481481484</v>
      </c>
      <c r="C81" s="7">
        <v>41</v>
      </c>
      <c r="D81" s="2">
        <v>42</v>
      </c>
      <c r="E81" s="6">
        <f>IF(AND($B81&lt;&gt;"", $G81&lt;&gt;"TBD"), ($B81-$G81)*1440, "")</f>
        <v>7.5333333333333652</v>
      </c>
      <c r="F81" s="2">
        <f t="shared" si="1"/>
        <v>1</v>
      </c>
      <c r="G81" s="9">
        <f>_xlfn.XLOOKUP(Log!A81, 'Daily Summary'!A:A, 'Daily Summary'!C:C, "TBD")</f>
        <v>0.48333333333333334</v>
      </c>
    </row>
    <row r="82" spans="1:7" x14ac:dyDescent="0.3">
      <c r="A82" s="1">
        <v>46239</v>
      </c>
      <c r="B82" s="9">
        <v>0.48995370370370372</v>
      </c>
      <c r="C82" s="7">
        <v>42</v>
      </c>
      <c r="D82" s="2">
        <v>45</v>
      </c>
      <c r="E82" s="6">
        <f>IF(AND($B82&lt;&gt;"", $G82&lt;&gt;"TBD"), ($B82-$G82)*1440, "")</f>
        <v>9.5333333333333581</v>
      </c>
      <c r="F82" s="2">
        <f t="shared" si="1"/>
        <v>3</v>
      </c>
      <c r="G82" s="9">
        <f>_xlfn.XLOOKUP(Log!A82, 'Daily Summary'!A:A, 'Daily Summary'!C:C, "TBD")</f>
        <v>0.48333333333333334</v>
      </c>
    </row>
    <row r="83" spans="1:7" x14ac:dyDescent="0.3">
      <c r="A83" s="1">
        <v>46239</v>
      </c>
      <c r="B83" s="9">
        <v>0.49135416666666665</v>
      </c>
      <c r="C83" s="7">
        <v>44</v>
      </c>
      <c r="D83" s="2">
        <v>47</v>
      </c>
      <c r="E83" s="6">
        <f>IF(AND($B83&lt;&gt;"", $G83&lt;&gt;"TBD"), ($B83-$G83)*1440, "")</f>
        <v>11.549999999999967</v>
      </c>
      <c r="F83" s="2">
        <f t="shared" si="1"/>
        <v>3</v>
      </c>
      <c r="G83" s="9">
        <f>_xlfn.XLOOKUP(Log!A83, 'Daily Summary'!A:A, 'Daily Summary'!C:C, "TBD")</f>
        <v>0.48333333333333334</v>
      </c>
    </row>
    <row r="84" spans="1:7" x14ac:dyDescent="0.3">
      <c r="A84" s="1">
        <v>46239</v>
      </c>
      <c r="B84" s="9">
        <v>0.49275462962962963</v>
      </c>
      <c r="C84" s="7">
        <v>47</v>
      </c>
      <c r="D84" s="2">
        <v>48</v>
      </c>
      <c r="E84" s="6">
        <f>IF(AND($B84&lt;&gt;"", $G84&lt;&gt;"TBD"), ($B84-$G84)*1440, "")</f>
        <v>13.566666666666656</v>
      </c>
      <c r="F84" s="2">
        <f t="shared" si="1"/>
        <v>1</v>
      </c>
      <c r="G84" s="9">
        <f>_xlfn.XLOOKUP(Log!A84, 'Daily Summary'!A:A, 'Daily Summary'!C:C, "TBD")</f>
        <v>0.48333333333333334</v>
      </c>
    </row>
    <row r="85" spans="1:7" x14ac:dyDescent="0.3">
      <c r="A85" s="1">
        <v>46239</v>
      </c>
      <c r="B85" s="9">
        <v>0.4941550925925926</v>
      </c>
      <c r="C85" s="7">
        <v>48</v>
      </c>
      <c r="D85" s="2">
        <v>49</v>
      </c>
      <c r="E85" s="6">
        <f>IF(AND($B85&lt;&gt;"", $G85&lt;&gt;"TBD"), ($B85-$G85)*1440, "")</f>
        <v>15.583333333333345</v>
      </c>
      <c r="F85" s="2">
        <f t="shared" si="1"/>
        <v>1</v>
      </c>
      <c r="G85" s="9">
        <f>_xlfn.XLOOKUP(Log!A85, 'Daily Summary'!A:A, 'Daily Summary'!C:C, "TBD")</f>
        <v>0.48333333333333334</v>
      </c>
    </row>
    <row r="86" spans="1:7" x14ac:dyDescent="0.3">
      <c r="A86" s="1">
        <v>46239</v>
      </c>
      <c r="B86" s="9">
        <v>0.49554398148148149</v>
      </c>
      <c r="C86" s="7">
        <v>49</v>
      </c>
      <c r="D86" s="2">
        <v>51</v>
      </c>
      <c r="E86" s="6">
        <f>IF(AND($B86&lt;&gt;"", $G86&lt;&gt;"TBD"), ($B86-$G86)*1440, "")</f>
        <v>17.583333333333336</v>
      </c>
      <c r="F86" s="2">
        <f t="shared" si="1"/>
        <v>2</v>
      </c>
      <c r="G86" s="9">
        <f>_xlfn.XLOOKUP(Log!A86, 'Daily Summary'!A:A, 'Daily Summary'!C:C, "TBD")</f>
        <v>0.48333333333333334</v>
      </c>
    </row>
    <row r="87" spans="1:7" x14ac:dyDescent="0.3">
      <c r="A87" s="1">
        <v>46239</v>
      </c>
      <c r="B87" s="9">
        <v>0.49694444444444447</v>
      </c>
      <c r="C87" s="7">
        <v>51</v>
      </c>
      <c r="D87" s="2">
        <v>52</v>
      </c>
      <c r="E87" s="6">
        <f>IF(AND($B87&lt;&gt;"", $G87&lt;&gt;"TBD"), ($B87-$G87)*1440, "")</f>
        <v>19.600000000000026</v>
      </c>
      <c r="F87" s="2">
        <f t="shared" si="1"/>
        <v>1</v>
      </c>
      <c r="G87" s="9">
        <f>_xlfn.XLOOKUP(Log!A87, 'Daily Summary'!A:A, 'Daily Summary'!C:C, "TBD")</f>
        <v>0.48333333333333334</v>
      </c>
    </row>
    <row r="88" spans="1:7" x14ac:dyDescent="0.3">
      <c r="A88" s="1">
        <v>46239</v>
      </c>
      <c r="B88" s="9">
        <v>0.49833333333333335</v>
      </c>
      <c r="C88" s="7">
        <v>51</v>
      </c>
      <c r="D88" s="2">
        <v>54</v>
      </c>
      <c r="E88" s="6">
        <f>IF(AND($B88&lt;&gt;"", $G88&lt;&gt;"TBD"), ($B88-$G88)*1440, "")</f>
        <v>21.600000000000019</v>
      </c>
      <c r="F88" s="2">
        <f t="shared" si="1"/>
        <v>3</v>
      </c>
      <c r="G88" s="9">
        <f>_xlfn.XLOOKUP(Log!A88, 'Daily Summary'!A:A, 'Daily Summary'!C:C, "TBD")</f>
        <v>0.48333333333333334</v>
      </c>
    </row>
    <row r="89" spans="1:7" x14ac:dyDescent="0.3">
      <c r="A89" s="1">
        <v>46239</v>
      </c>
      <c r="B89" s="9">
        <v>0.49972222222222223</v>
      </c>
      <c r="C89" s="7">
        <v>52</v>
      </c>
      <c r="D89" s="2">
        <v>55</v>
      </c>
      <c r="E89" s="6">
        <f>IF(AND($B89&lt;&gt;"", $G89&lt;&gt;"TBD"), ($B89-$G89)*1440, "")</f>
        <v>23.600000000000012</v>
      </c>
      <c r="F89" s="2">
        <f t="shared" si="1"/>
        <v>3</v>
      </c>
      <c r="G89" s="9">
        <f>_xlfn.XLOOKUP(Log!A89, 'Daily Summary'!A:A, 'Daily Summary'!C:C, "TBD")</f>
        <v>0.48333333333333334</v>
      </c>
    </row>
    <row r="90" spans="1:7" x14ac:dyDescent="0.3">
      <c r="A90" s="1">
        <v>46239</v>
      </c>
      <c r="B90" s="9">
        <v>0.50111111111111106</v>
      </c>
      <c r="C90" s="7">
        <v>54</v>
      </c>
      <c r="D90" s="2">
        <v>55</v>
      </c>
      <c r="E90" s="6">
        <f>IF(AND($B90&lt;&gt;"", $G90&lt;&gt;"TBD"), ($B90-$G90)*1440, "")</f>
        <v>25.599999999999923</v>
      </c>
      <c r="F90" s="2">
        <f t="shared" si="1"/>
        <v>1</v>
      </c>
      <c r="G90" s="9">
        <f>_xlfn.XLOOKUP(Log!A90, 'Daily Summary'!A:A, 'Daily Summary'!C:C, "TBD")</f>
        <v>0.48333333333333334</v>
      </c>
    </row>
    <row r="91" spans="1:7" x14ac:dyDescent="0.3">
      <c r="A91" s="1">
        <v>46239</v>
      </c>
      <c r="B91" s="9">
        <v>0.5025115740740741</v>
      </c>
      <c r="C91" s="7">
        <v>54</v>
      </c>
      <c r="D91" s="2">
        <v>57</v>
      </c>
      <c r="E91" s="6">
        <f>IF(AND($B91&lt;&gt;"", $G91&lt;&gt;"TBD"), ($B91-$G91)*1440, "")</f>
        <v>27.616666666666696</v>
      </c>
      <c r="F91" s="2">
        <f t="shared" si="1"/>
        <v>3</v>
      </c>
      <c r="G91" s="9">
        <f>_xlfn.XLOOKUP(Log!A91, 'Daily Summary'!A:A, 'Daily Summary'!C:C, "TBD")</f>
        <v>0.48333333333333334</v>
      </c>
    </row>
    <row r="92" spans="1:7" x14ac:dyDescent="0.3">
      <c r="A92" s="1">
        <v>46239</v>
      </c>
      <c r="B92" s="9">
        <v>0.50391203703703702</v>
      </c>
      <c r="C92" s="7">
        <v>55</v>
      </c>
      <c r="D92" s="2">
        <v>57</v>
      </c>
      <c r="E92" s="6">
        <f>IF(AND($B92&lt;&gt;"", $G92&lt;&gt;"TBD"), ($B92-$G92)*1440, "")</f>
        <v>29.633333333333304</v>
      </c>
      <c r="F92" s="2">
        <f t="shared" si="1"/>
        <v>2</v>
      </c>
      <c r="G92" s="9">
        <f>_xlfn.XLOOKUP(Log!A92, 'Daily Summary'!A:A, 'Daily Summary'!C:C, "TBD")</f>
        <v>0.48333333333333334</v>
      </c>
    </row>
    <row r="93" spans="1:7" x14ac:dyDescent="0.3">
      <c r="A93" s="1">
        <v>46239</v>
      </c>
      <c r="B93" s="9">
        <v>0.5053009259259259</v>
      </c>
      <c r="C93" s="7">
        <v>55</v>
      </c>
      <c r="D93" s="2">
        <v>58</v>
      </c>
      <c r="E93" s="6">
        <f>IF(AND($B93&lt;&gt;"", $G93&lt;&gt;"TBD"), ($B93-$G93)*1440, "")</f>
        <v>31.633333333333297</v>
      </c>
      <c r="F93" s="2">
        <f t="shared" si="1"/>
        <v>3</v>
      </c>
      <c r="G93" s="9">
        <f>_xlfn.XLOOKUP(Log!A93, 'Daily Summary'!A:A, 'Daily Summary'!C:C, "TBD")</f>
        <v>0.48333333333333334</v>
      </c>
    </row>
    <row r="94" spans="1:7" x14ac:dyDescent="0.3">
      <c r="A94" s="1">
        <v>46240</v>
      </c>
      <c r="B94" s="9">
        <v>0.44027777777777777</v>
      </c>
      <c r="C94" s="7">
        <v>32</v>
      </c>
      <c r="D94" s="2">
        <v>33</v>
      </c>
      <c r="E94" s="6">
        <f>IF(AND($B94&lt;&gt;"", $G94&lt;&gt;"TBD"), ($B94-$G94)*1440, "")</f>
        <v>1.9999999999999929</v>
      </c>
      <c r="F94" s="2">
        <f t="shared" si="1"/>
        <v>1</v>
      </c>
      <c r="G94" s="9">
        <f>_xlfn.XLOOKUP(Log!A94, 'Daily Summary'!A:A, 'Daily Summary'!C:C, "TBD")</f>
        <v>0.43888888888888888</v>
      </c>
    </row>
    <row r="95" spans="1:7" x14ac:dyDescent="0.3">
      <c r="A95" s="1">
        <v>46240</v>
      </c>
      <c r="B95" s="9">
        <v>0.44170138888888888</v>
      </c>
      <c r="C95" s="7">
        <v>35</v>
      </c>
      <c r="D95" s="2">
        <v>36</v>
      </c>
      <c r="E95" s="6">
        <f>IF(AND($B95&lt;&gt;"", $G95&lt;&gt;"TBD"), ($B95-$G95)*1440, "")</f>
        <v>4.0499999999999936</v>
      </c>
      <c r="F95" s="2">
        <f t="shared" si="1"/>
        <v>1</v>
      </c>
      <c r="G95" s="9">
        <f>_xlfn.XLOOKUP(Log!A95, 'Daily Summary'!A:A, 'Daily Summary'!C:C, "TBD")</f>
        <v>0.43888888888888888</v>
      </c>
    </row>
    <row r="96" spans="1:7" x14ac:dyDescent="0.3">
      <c r="A96" s="1">
        <v>46240</v>
      </c>
      <c r="B96" s="9">
        <v>0.44310185185185186</v>
      </c>
      <c r="C96" s="7">
        <v>38</v>
      </c>
      <c r="D96" s="2">
        <v>41</v>
      </c>
      <c r="E96" s="6">
        <f>IF(AND($B96&lt;&gt;"", $G96&lt;&gt;"TBD"), ($B96-$G96)*1440, "")</f>
        <v>6.0666666666666824</v>
      </c>
      <c r="F96" s="2">
        <f t="shared" si="1"/>
        <v>3</v>
      </c>
      <c r="G96" s="9">
        <f>_xlfn.XLOOKUP(Log!A96, 'Daily Summary'!A:A, 'Daily Summary'!C:C, "TBD")</f>
        <v>0.43888888888888888</v>
      </c>
    </row>
    <row r="97" spans="1:7" x14ac:dyDescent="0.3">
      <c r="A97" s="1">
        <v>46240</v>
      </c>
      <c r="B97" s="9">
        <v>0.44450231481481484</v>
      </c>
      <c r="C97" s="7">
        <v>41</v>
      </c>
      <c r="D97" s="2">
        <v>44</v>
      </c>
      <c r="E97" s="6">
        <f>IF(AND($B97&lt;&gt;"", $G97&lt;&gt;"TBD"), ($B97-$G97)*1440, "")</f>
        <v>8.0833333333333712</v>
      </c>
      <c r="F97" s="2">
        <f t="shared" si="1"/>
        <v>3</v>
      </c>
      <c r="G97" s="9">
        <f>_xlfn.XLOOKUP(Log!A97, 'Daily Summary'!A:A, 'Daily Summary'!C:C, "TBD")</f>
        <v>0.43888888888888888</v>
      </c>
    </row>
    <row r="98" spans="1:7" x14ac:dyDescent="0.3">
      <c r="A98" s="1">
        <v>46240</v>
      </c>
      <c r="B98" s="9">
        <v>0.44590277777777776</v>
      </c>
      <c r="C98" s="7">
        <v>44</v>
      </c>
      <c r="D98" s="2">
        <v>45</v>
      </c>
      <c r="E98" s="6">
        <f>IF(AND($B98&lt;&gt;"", $G98&lt;&gt;"TBD"), ($B98-$G98)*1440, "")</f>
        <v>10.09999999999998</v>
      </c>
      <c r="F98" s="2">
        <f t="shared" si="1"/>
        <v>1</v>
      </c>
      <c r="G98" s="9">
        <f>_xlfn.XLOOKUP(Log!A98, 'Daily Summary'!A:A, 'Daily Summary'!C:C, "TBD")</f>
        <v>0.43888888888888888</v>
      </c>
    </row>
    <row r="99" spans="1:7" x14ac:dyDescent="0.3">
      <c r="A99" s="1">
        <v>46240</v>
      </c>
      <c r="B99" s="9">
        <v>0.44729166666666664</v>
      </c>
      <c r="C99" s="7">
        <v>44</v>
      </c>
      <c r="D99" s="2">
        <v>47</v>
      </c>
      <c r="E99" s="6">
        <f>IF(AND($B99&lt;&gt;"", $G99&lt;&gt;"TBD"), ($B99-$G99)*1440, "")</f>
        <v>12.099999999999973</v>
      </c>
      <c r="F99" s="2">
        <f t="shared" si="1"/>
        <v>3</v>
      </c>
      <c r="G99" s="9">
        <f>_xlfn.XLOOKUP(Log!A99, 'Daily Summary'!A:A, 'Daily Summary'!C:C, "TBD")</f>
        <v>0.43888888888888888</v>
      </c>
    </row>
    <row r="100" spans="1:7" x14ac:dyDescent="0.3">
      <c r="A100" s="1">
        <v>46240</v>
      </c>
      <c r="B100" s="9">
        <v>0.44868055555555558</v>
      </c>
      <c r="C100" s="7">
        <v>47</v>
      </c>
      <c r="D100" s="2">
        <v>49</v>
      </c>
      <c r="E100" s="6">
        <f>IF(AND($B100&lt;&gt;"", $G100&lt;&gt;"TBD"), ($B100-$G100)*1440, "")</f>
        <v>14.100000000000046</v>
      </c>
      <c r="F100" s="2">
        <f t="shared" si="1"/>
        <v>2</v>
      </c>
      <c r="G100" s="9">
        <f>_xlfn.XLOOKUP(Log!A100, 'Daily Summary'!A:A, 'Daily Summary'!C:C, "TBD")</f>
        <v>0.43888888888888888</v>
      </c>
    </row>
    <row r="101" spans="1:7" x14ac:dyDescent="0.3">
      <c r="A101" s="1">
        <v>46240</v>
      </c>
      <c r="B101" s="9">
        <v>0.45008101851851851</v>
      </c>
      <c r="C101" s="7">
        <v>48</v>
      </c>
      <c r="D101" s="2">
        <v>51</v>
      </c>
      <c r="E101" s="6">
        <f>IF(AND($B101&lt;&gt;"", $G101&lt;&gt;"TBD"), ($B101-$G101)*1440, "")</f>
        <v>16.116666666666653</v>
      </c>
      <c r="F101" s="2">
        <f t="shared" si="1"/>
        <v>3</v>
      </c>
      <c r="G101" s="9">
        <f>_xlfn.XLOOKUP(Log!A101, 'Daily Summary'!A:A, 'Daily Summary'!C:C, "TBD")</f>
        <v>0.43888888888888888</v>
      </c>
    </row>
    <row r="102" spans="1:7" x14ac:dyDescent="0.3">
      <c r="A102" s="1">
        <v>46240</v>
      </c>
      <c r="B102" s="9">
        <v>0.45148148148148148</v>
      </c>
      <c r="C102" s="7">
        <v>49</v>
      </c>
      <c r="D102" s="2">
        <v>52</v>
      </c>
      <c r="E102" s="6">
        <f>IF(AND($B102&lt;&gt;"", $G102&lt;&gt;"TBD"), ($B102-$G102)*1440, "")</f>
        <v>18.133333333333344</v>
      </c>
      <c r="F102" s="2">
        <f t="shared" si="1"/>
        <v>3</v>
      </c>
      <c r="G102" s="9">
        <f>_xlfn.XLOOKUP(Log!A102, 'Daily Summary'!A:A, 'Daily Summary'!C:C, "TBD")</f>
        <v>0.43888888888888888</v>
      </c>
    </row>
    <row r="103" spans="1:7" x14ac:dyDescent="0.3">
      <c r="A103" s="1">
        <v>46240</v>
      </c>
      <c r="B103" s="9">
        <v>0.45287037037037037</v>
      </c>
      <c r="C103" s="7">
        <v>51</v>
      </c>
      <c r="D103" s="2">
        <v>52</v>
      </c>
      <c r="E103" s="6">
        <f>IF(AND($B103&lt;&gt;"", $G103&lt;&gt;"TBD"), ($B103-$G103)*1440, "")</f>
        <v>20.133333333333336</v>
      </c>
      <c r="F103" s="2">
        <f t="shared" si="1"/>
        <v>1</v>
      </c>
      <c r="G103" s="9">
        <f>_xlfn.XLOOKUP(Log!A103, 'Daily Summary'!A:A, 'Daily Summary'!C:C, "TBD")</f>
        <v>0.43888888888888888</v>
      </c>
    </row>
    <row r="104" spans="1:7" x14ac:dyDescent="0.3">
      <c r="A104" s="1">
        <v>46240</v>
      </c>
      <c r="B104" s="9">
        <v>0.45425925925925925</v>
      </c>
      <c r="C104" s="7">
        <v>51</v>
      </c>
      <c r="D104" s="2">
        <v>54</v>
      </c>
      <c r="E104" s="6">
        <f>IF(AND($B104&lt;&gt;"", $G104&lt;&gt;"TBD"), ($B104-$G104)*1440, "")</f>
        <v>22.133333333333329</v>
      </c>
      <c r="F104" s="2">
        <f t="shared" si="1"/>
        <v>3</v>
      </c>
      <c r="G104" s="9">
        <f>_xlfn.XLOOKUP(Log!A104, 'Daily Summary'!A:A, 'Daily Summary'!C:C, "TBD")</f>
        <v>0.43888888888888888</v>
      </c>
    </row>
    <row r="105" spans="1:7" x14ac:dyDescent="0.3">
      <c r="A105" s="1">
        <v>46240</v>
      </c>
      <c r="B105" s="9">
        <v>0.45565972222222223</v>
      </c>
      <c r="C105" s="7">
        <v>52</v>
      </c>
      <c r="D105" s="2">
        <v>55</v>
      </c>
      <c r="E105" s="6">
        <f>IF(AND($B105&lt;&gt;"", $G105&lt;&gt;"TBD"), ($B105-$G105)*1440, "")</f>
        <v>24.15000000000002</v>
      </c>
      <c r="F105" s="2">
        <f t="shared" si="1"/>
        <v>3</v>
      </c>
      <c r="G105" s="9">
        <f>_xlfn.XLOOKUP(Log!A105, 'Daily Summary'!A:A, 'Daily Summary'!C:C, "TBD")</f>
        <v>0.43888888888888888</v>
      </c>
    </row>
    <row r="106" spans="1:7" x14ac:dyDescent="0.3">
      <c r="A106" s="1">
        <v>46240</v>
      </c>
      <c r="B106" s="9">
        <v>0.45704861111111111</v>
      </c>
      <c r="C106" s="7">
        <v>54</v>
      </c>
      <c r="D106" s="2">
        <v>55</v>
      </c>
      <c r="E106" s="6">
        <f>IF(AND($B106&lt;&gt;"", $G106&lt;&gt;"TBD"), ($B106-$G106)*1440, "")</f>
        <v>26.150000000000013</v>
      </c>
      <c r="F106" s="2">
        <f t="shared" si="1"/>
        <v>1</v>
      </c>
      <c r="G106" s="9">
        <f>_xlfn.XLOOKUP(Log!A106, 'Daily Summary'!A:A, 'Daily Summary'!C:C, "TBD")</f>
        <v>0.43888888888888888</v>
      </c>
    </row>
    <row r="107" spans="1:7" x14ac:dyDescent="0.3">
      <c r="A107" s="1">
        <v>46240</v>
      </c>
      <c r="B107" s="9">
        <v>0.4584375</v>
      </c>
      <c r="C107" s="7">
        <v>54</v>
      </c>
      <c r="D107" s="2">
        <v>57</v>
      </c>
      <c r="E107" s="6">
        <f>IF(AND($B107&lt;&gt;"", $G107&lt;&gt;"TBD"), ($B107-$G107)*1440, "")</f>
        <v>28.150000000000006</v>
      </c>
      <c r="F107" s="2">
        <f t="shared" si="1"/>
        <v>3</v>
      </c>
      <c r="G107" s="9">
        <f>_xlfn.XLOOKUP(Log!A107, 'Daily Summary'!A:A, 'Daily Summary'!C:C, "TBD")</f>
        <v>0.43888888888888888</v>
      </c>
    </row>
    <row r="108" spans="1:7" x14ac:dyDescent="0.3">
      <c r="A108" s="1">
        <v>46240</v>
      </c>
      <c r="B108" s="9">
        <v>0.45983796296296298</v>
      </c>
      <c r="C108" s="7">
        <v>55</v>
      </c>
      <c r="D108" s="2">
        <v>58</v>
      </c>
      <c r="E108" s="6">
        <f>IF(AND($B108&lt;&gt;"", $G108&lt;&gt;"TBD"), ($B108-$G108)*1440, "")</f>
        <v>30.166666666666693</v>
      </c>
      <c r="F108" s="2">
        <f t="shared" si="1"/>
        <v>3</v>
      </c>
      <c r="G108" s="9">
        <f>_xlfn.XLOOKUP(Log!A108, 'Daily Summary'!A:A, 'Daily Summary'!C:C, "TBD")</f>
        <v>0.43888888888888888</v>
      </c>
    </row>
    <row r="109" spans="1:7" x14ac:dyDescent="0.3">
      <c r="A109" s="1">
        <v>46240</v>
      </c>
      <c r="B109" s="9">
        <v>0.46122685185185186</v>
      </c>
      <c r="C109" s="7">
        <v>55</v>
      </c>
      <c r="D109" s="2">
        <v>58</v>
      </c>
      <c r="E109" s="6">
        <f>IF(AND($B109&lt;&gt;"", $G109&lt;&gt;"TBD"), ($B109-$G109)*1440, "")</f>
        <v>32.166666666666686</v>
      </c>
      <c r="F109" s="2">
        <f t="shared" si="1"/>
        <v>3</v>
      </c>
      <c r="G109" s="9">
        <f>_xlfn.XLOOKUP(Log!A109, 'Daily Summary'!A:A, 'Daily Summary'!C:C, "TBD")</f>
        <v>0.43888888888888888</v>
      </c>
    </row>
    <row r="110" spans="1:7" x14ac:dyDescent="0.3">
      <c r="A110" s="1">
        <v>46242</v>
      </c>
      <c r="B110" s="9">
        <v>0.55972222222222223</v>
      </c>
      <c r="C110" s="7">
        <v>31</v>
      </c>
      <c r="D110" s="2">
        <v>33</v>
      </c>
      <c r="E110" s="6">
        <f>IF(AND($B110&lt;&gt;"", $G110&lt;&gt;"TBD"), ($B110-$G110)*1440, "")</f>
        <v>1.9999999999999929</v>
      </c>
      <c r="F110" s="2">
        <f t="shared" si="1"/>
        <v>2</v>
      </c>
      <c r="G110" s="9">
        <f>_xlfn.XLOOKUP(Log!A110, 'Daily Summary'!A:A, 'Daily Summary'!C:C, "TBD")</f>
        <v>0.55833333333333335</v>
      </c>
    </row>
    <row r="111" spans="1:7" x14ac:dyDescent="0.3">
      <c r="A111" s="1">
        <v>46242</v>
      </c>
      <c r="B111" s="9">
        <v>0.56081018518518522</v>
      </c>
      <c r="C111" s="7">
        <v>33</v>
      </c>
      <c r="D111" s="2">
        <v>35</v>
      </c>
      <c r="E111" s="6">
        <f>IF(AND($B111&lt;&gt;"", $G111&lt;&gt;"TBD"), ($B111-$G111)*1440, "")</f>
        <v>3.5666666666666913</v>
      </c>
      <c r="F111" s="2">
        <f t="shared" si="1"/>
        <v>2</v>
      </c>
      <c r="G111" s="9">
        <f>_xlfn.XLOOKUP(Log!A111, 'Daily Summary'!A:A, 'Daily Summary'!C:C, "TBD")</f>
        <v>0.55833333333333335</v>
      </c>
    </row>
    <row r="112" spans="1:7" x14ac:dyDescent="0.3">
      <c r="A112" s="1">
        <v>46242</v>
      </c>
      <c r="B112" s="9">
        <v>0.5621990740740741</v>
      </c>
      <c r="C112" s="7">
        <v>38</v>
      </c>
      <c r="D112" s="2">
        <v>39</v>
      </c>
      <c r="E112" s="6">
        <f>IF(AND($B112&lt;&gt;"", $G112&lt;&gt;"TBD"), ($B112-$G112)*1440, "")</f>
        <v>5.5666666666666842</v>
      </c>
      <c r="F112" s="2">
        <f t="shared" si="1"/>
        <v>1</v>
      </c>
      <c r="G112" s="9">
        <f>_xlfn.XLOOKUP(Log!A112, 'Daily Summary'!A:A, 'Daily Summary'!C:C, "TBD")</f>
        <v>0.55833333333333335</v>
      </c>
    </row>
    <row r="113" spans="1:7" x14ac:dyDescent="0.3">
      <c r="A113" s="1">
        <v>46242</v>
      </c>
      <c r="B113" s="9">
        <v>0.56359953703703702</v>
      </c>
      <c r="C113" s="7">
        <v>39</v>
      </c>
      <c r="D113" s="2">
        <v>42</v>
      </c>
      <c r="E113" s="6">
        <f>IF(AND($B113&lt;&gt;"", $G113&lt;&gt;"TBD"), ($B113-$G113)*1440, "")</f>
        <v>7.5833333333332931</v>
      </c>
      <c r="F113" s="2">
        <f t="shared" si="1"/>
        <v>3</v>
      </c>
      <c r="G113" s="9">
        <f>_xlfn.XLOOKUP(Log!A113, 'Daily Summary'!A:A, 'Daily Summary'!C:C, "TBD")</f>
        <v>0.55833333333333335</v>
      </c>
    </row>
    <row r="114" spans="1:7" x14ac:dyDescent="0.3">
      <c r="A114" s="1">
        <v>46242</v>
      </c>
      <c r="B114" s="9">
        <v>0.56498842592592591</v>
      </c>
      <c r="C114" s="7">
        <v>42</v>
      </c>
      <c r="D114" s="2">
        <v>45</v>
      </c>
      <c r="E114" s="6">
        <f>IF(AND($B114&lt;&gt;"", $G114&lt;&gt;"TBD"), ($B114-$G114)*1440, "")</f>
        <v>9.583333333333286</v>
      </c>
      <c r="F114" s="2">
        <f t="shared" si="1"/>
        <v>3</v>
      </c>
      <c r="G114" s="9">
        <f>_xlfn.XLOOKUP(Log!A114, 'Daily Summary'!A:A, 'Daily Summary'!C:C, "TBD")</f>
        <v>0.55833333333333335</v>
      </c>
    </row>
    <row r="115" spans="1:7" x14ac:dyDescent="0.3">
      <c r="A115" s="1">
        <v>46242</v>
      </c>
      <c r="B115" s="9">
        <v>0.56637731481481479</v>
      </c>
      <c r="C115" s="7">
        <v>44</v>
      </c>
      <c r="D115" s="2">
        <v>47</v>
      </c>
      <c r="E115" s="6">
        <f>IF(AND($B115&lt;&gt;"", $G115&lt;&gt;"TBD"), ($B115-$G115)*1440, "")</f>
        <v>11.583333333333279</v>
      </c>
      <c r="F115" s="2">
        <f t="shared" si="1"/>
        <v>3</v>
      </c>
      <c r="G115" s="9">
        <f>_xlfn.XLOOKUP(Log!A115, 'Daily Summary'!A:A, 'Daily Summary'!C:C, "TBD")</f>
        <v>0.55833333333333335</v>
      </c>
    </row>
    <row r="116" spans="1:7" x14ac:dyDescent="0.3">
      <c r="A116" s="1">
        <v>46242</v>
      </c>
      <c r="B116" s="9">
        <v>0.56777777777777783</v>
      </c>
      <c r="C116" s="7">
        <v>45</v>
      </c>
      <c r="D116" s="2">
        <v>49</v>
      </c>
      <c r="E116" s="6">
        <f>IF(AND($B116&lt;&gt;"", $G116&lt;&gt;"TBD"), ($B116-$G116)*1440, "")</f>
        <v>13.600000000000048</v>
      </c>
      <c r="F116" s="2">
        <f t="shared" si="1"/>
        <v>4</v>
      </c>
      <c r="G116" s="9">
        <f>_xlfn.XLOOKUP(Log!A116, 'Daily Summary'!A:A, 'Daily Summary'!C:C, "TBD")</f>
        <v>0.55833333333333335</v>
      </c>
    </row>
    <row r="117" spans="1:7" x14ac:dyDescent="0.3">
      <c r="A117" s="1">
        <v>46242</v>
      </c>
      <c r="B117" s="9">
        <v>0.56916666666666671</v>
      </c>
      <c r="C117" s="7">
        <v>48</v>
      </c>
      <c r="D117" s="2">
        <v>49</v>
      </c>
      <c r="E117" s="6">
        <f>IF(AND($B117&lt;&gt;"", $G117&lt;&gt;"TBD"), ($B117-$G117)*1440, "")</f>
        <v>15.600000000000041</v>
      </c>
      <c r="F117" s="2">
        <f t="shared" si="1"/>
        <v>1</v>
      </c>
      <c r="G117" s="9">
        <f>_xlfn.XLOOKUP(Log!A117, 'Daily Summary'!A:A, 'Daily Summary'!C:C, "TBD")</f>
        <v>0.55833333333333335</v>
      </c>
    </row>
    <row r="118" spans="1:7" x14ac:dyDescent="0.3">
      <c r="A118" s="1">
        <v>46242</v>
      </c>
      <c r="B118" s="9">
        <v>0.57056712962962963</v>
      </c>
      <c r="C118" s="7">
        <v>48</v>
      </c>
      <c r="D118" s="2">
        <v>52</v>
      </c>
      <c r="E118" s="6">
        <f>IF(AND($B118&lt;&gt;"", $G118&lt;&gt;"TBD"), ($B118-$G118)*1440, "")</f>
        <v>17.616666666666649</v>
      </c>
      <c r="F118" s="2">
        <f t="shared" si="1"/>
        <v>4</v>
      </c>
      <c r="G118" s="9">
        <f>_xlfn.XLOOKUP(Log!A118, 'Daily Summary'!A:A, 'Daily Summary'!C:C, "TBD")</f>
        <v>0.55833333333333335</v>
      </c>
    </row>
    <row r="119" spans="1:7" x14ac:dyDescent="0.3">
      <c r="A119" s="1">
        <v>46242</v>
      </c>
      <c r="B119" s="9">
        <v>0.57195601851851852</v>
      </c>
      <c r="C119" s="7">
        <v>51</v>
      </c>
      <c r="D119" s="2">
        <v>52</v>
      </c>
      <c r="E119" s="6">
        <f>IF(AND($B119&lt;&gt;"", $G119&lt;&gt;"TBD"), ($B119-$G119)*1440, "")</f>
        <v>19.616666666666642</v>
      </c>
      <c r="F119" s="2">
        <f t="shared" si="1"/>
        <v>1</v>
      </c>
      <c r="G119" s="9">
        <f>_xlfn.XLOOKUP(Log!A119, 'Daily Summary'!A:A, 'Daily Summary'!C:C, "TBD")</f>
        <v>0.55833333333333335</v>
      </c>
    </row>
    <row r="120" spans="1:7" x14ac:dyDescent="0.3">
      <c r="A120" s="1">
        <v>46242</v>
      </c>
      <c r="B120" s="9">
        <v>0.5733449074074074</v>
      </c>
      <c r="C120" s="7">
        <v>51</v>
      </c>
      <c r="D120" s="2">
        <v>54</v>
      </c>
      <c r="E120" s="6">
        <f>IF(AND($B120&lt;&gt;"", $G120&lt;&gt;"TBD"), ($B120-$G120)*1440, "")</f>
        <v>21.616666666666635</v>
      </c>
      <c r="F120" s="2">
        <f t="shared" si="1"/>
        <v>3</v>
      </c>
      <c r="G120" s="9">
        <f>_xlfn.XLOOKUP(Log!A120, 'Daily Summary'!A:A, 'Daily Summary'!C:C, "TBD")</f>
        <v>0.55833333333333335</v>
      </c>
    </row>
    <row r="121" spans="1:7" x14ac:dyDescent="0.3">
      <c r="A121" s="1">
        <v>46242</v>
      </c>
      <c r="B121" s="9">
        <v>0.57473379629629628</v>
      </c>
      <c r="C121" s="7">
        <v>52</v>
      </c>
      <c r="D121" s="2">
        <v>55</v>
      </c>
      <c r="E121" s="6">
        <f>IF(AND($B121&lt;&gt;"", $G121&lt;&gt;"TBD"), ($B121-$G121)*1440, "")</f>
        <v>23.616666666666628</v>
      </c>
      <c r="F121" s="2">
        <f t="shared" si="1"/>
        <v>3</v>
      </c>
      <c r="G121" s="9">
        <f>_xlfn.XLOOKUP(Log!A121, 'Daily Summary'!A:A, 'Daily Summary'!C:C, "TBD")</f>
        <v>0.55833333333333335</v>
      </c>
    </row>
    <row r="122" spans="1:7" x14ac:dyDescent="0.3">
      <c r="A122" s="1">
        <v>46242</v>
      </c>
      <c r="B122" s="9">
        <v>0.57613425925925921</v>
      </c>
      <c r="C122" s="7">
        <v>54</v>
      </c>
      <c r="D122" s="2">
        <v>55</v>
      </c>
      <c r="E122" s="6">
        <f>IF(AND($B122&lt;&gt;"", $G122&lt;&gt;"TBD"), ($B122-$G122)*1440, "")</f>
        <v>25.633333333333237</v>
      </c>
      <c r="F122" s="2">
        <f t="shared" si="1"/>
        <v>1</v>
      </c>
      <c r="G122" s="9">
        <f>_xlfn.XLOOKUP(Log!A122, 'Daily Summary'!A:A, 'Daily Summary'!C:C, "TBD")</f>
        <v>0.55833333333333335</v>
      </c>
    </row>
    <row r="123" spans="1:7" x14ac:dyDescent="0.3">
      <c r="A123" s="1">
        <v>46242</v>
      </c>
      <c r="B123" s="9">
        <v>0.5775231481481482</v>
      </c>
      <c r="C123" s="7">
        <v>54</v>
      </c>
      <c r="D123" s="2">
        <v>57</v>
      </c>
      <c r="E123" s="6">
        <f>IF(AND($B123&lt;&gt;"", $G123&lt;&gt;"TBD"), ($B123-$G123)*1440, "")</f>
        <v>27.63333333333339</v>
      </c>
      <c r="F123" s="2">
        <f t="shared" si="1"/>
        <v>3</v>
      </c>
      <c r="G123" s="9">
        <f>_xlfn.XLOOKUP(Log!A123, 'Daily Summary'!A:A, 'Daily Summary'!C:C, "TBD")</f>
        <v>0.55833333333333335</v>
      </c>
    </row>
    <row r="124" spans="1:7" x14ac:dyDescent="0.3">
      <c r="A124" s="1">
        <v>46242</v>
      </c>
      <c r="B124" s="9">
        <v>0.57892361111111112</v>
      </c>
      <c r="C124" s="7">
        <v>54</v>
      </c>
      <c r="D124" s="2">
        <v>58</v>
      </c>
      <c r="E124" s="6">
        <f>IF(AND($B124&lt;&gt;"", $G124&lt;&gt;"TBD"), ($B124-$G124)*1440, "")</f>
        <v>29.65</v>
      </c>
      <c r="F124" s="2">
        <f t="shared" si="1"/>
        <v>4</v>
      </c>
      <c r="G124" s="9">
        <f>_xlfn.XLOOKUP(Log!A124, 'Daily Summary'!A:A, 'Daily Summary'!C:C, "TBD")</f>
        <v>0.55833333333333335</v>
      </c>
    </row>
    <row r="125" spans="1:7" x14ac:dyDescent="0.3">
      <c r="A125" s="1">
        <v>46242</v>
      </c>
      <c r="B125" s="9">
        <v>0.58031250000000001</v>
      </c>
      <c r="C125" s="7">
        <v>55</v>
      </c>
      <c r="D125" s="2">
        <v>58</v>
      </c>
      <c r="E125" s="6">
        <f>IF(AND($B125&lt;&gt;"", $G125&lt;&gt;"TBD"), ($B125-$G125)*1440, "")</f>
        <v>31.649999999999991</v>
      </c>
      <c r="F125" s="2">
        <f t="shared" ref="F125:F188" si="2">IF(AND($D125&lt;&gt;"",$C125&lt;&gt;""), $D125-$C125, "")</f>
        <v>3</v>
      </c>
      <c r="G125" s="9">
        <f>_xlfn.XLOOKUP(Log!A125, 'Daily Summary'!A:A, 'Daily Summary'!C:C, "TBD")</f>
        <v>0.55833333333333335</v>
      </c>
    </row>
    <row r="126" spans="1:7" x14ac:dyDescent="0.3">
      <c r="A126" s="1">
        <v>46244</v>
      </c>
      <c r="B126" s="9">
        <v>0.44513888888888886</v>
      </c>
      <c r="C126" s="7">
        <v>28</v>
      </c>
      <c r="D126" s="2">
        <v>30</v>
      </c>
      <c r="E126" s="6">
        <f>IF(AND($B126&lt;&gt;"", $G126&lt;&gt;"TBD"), ($B126-$G126)*1440, "")</f>
        <v>1.9999999999999929</v>
      </c>
      <c r="F126" s="2">
        <f t="shared" si="2"/>
        <v>2</v>
      </c>
      <c r="G126" s="9">
        <f>_xlfn.XLOOKUP(Log!A126, 'Daily Summary'!A:A, 'Daily Summary'!C:C, "TBD")</f>
        <v>0.44374999999999998</v>
      </c>
    </row>
    <row r="127" spans="1:7" x14ac:dyDescent="0.3">
      <c r="A127" s="1">
        <v>46244</v>
      </c>
      <c r="B127" s="9">
        <v>0.44570601851851854</v>
      </c>
      <c r="C127" s="7">
        <v>32</v>
      </c>
      <c r="D127" s="2">
        <v>33</v>
      </c>
      <c r="E127" s="6">
        <f>IF(AND($B127&lt;&gt;"", $G127&lt;&gt;"TBD"), ($B127-$G127)*1440, "")</f>
        <v>2.8166666666667339</v>
      </c>
      <c r="F127" s="2">
        <f t="shared" si="2"/>
        <v>1</v>
      </c>
      <c r="G127" s="9">
        <f>_xlfn.XLOOKUP(Log!A127, 'Daily Summary'!A:A, 'Daily Summary'!C:C, "TBD")</f>
        <v>0.44374999999999998</v>
      </c>
    </row>
    <row r="128" spans="1:7" x14ac:dyDescent="0.3">
      <c r="A128" s="1">
        <v>46244</v>
      </c>
      <c r="B128" s="9">
        <v>0.44709490740740743</v>
      </c>
      <c r="C128" s="7">
        <v>38</v>
      </c>
      <c r="D128" s="2">
        <v>39</v>
      </c>
      <c r="E128" s="6">
        <f>IF(AND($B128&lt;&gt;"", $G128&lt;&gt;"TBD"), ($B128-$G128)*1440, "")</f>
        <v>4.8166666666667268</v>
      </c>
      <c r="F128" s="2">
        <f t="shared" si="2"/>
        <v>1</v>
      </c>
      <c r="G128" s="9">
        <f>_xlfn.XLOOKUP(Log!A128, 'Daily Summary'!A:A, 'Daily Summary'!C:C, "TBD")</f>
        <v>0.44374999999999998</v>
      </c>
    </row>
    <row r="129" spans="1:7" x14ac:dyDescent="0.3">
      <c r="A129" s="1">
        <v>46244</v>
      </c>
      <c r="B129" s="9">
        <v>0.44848379629629631</v>
      </c>
      <c r="C129" s="7">
        <v>39</v>
      </c>
      <c r="D129" s="2">
        <v>42</v>
      </c>
      <c r="E129" s="6">
        <f>IF(AND($B129&lt;&gt;"", $G129&lt;&gt;"TBD"), ($B129-$G129)*1440, "")</f>
        <v>6.8166666666667197</v>
      </c>
      <c r="F129" s="2">
        <f t="shared" si="2"/>
        <v>3</v>
      </c>
      <c r="G129" s="9">
        <f>_xlfn.XLOOKUP(Log!A129, 'Daily Summary'!A:A, 'Daily Summary'!C:C, "TBD")</f>
        <v>0.44374999999999998</v>
      </c>
    </row>
    <row r="130" spans="1:7" x14ac:dyDescent="0.3">
      <c r="A130" s="1">
        <v>46244</v>
      </c>
      <c r="B130" s="9">
        <v>0.44988425925925923</v>
      </c>
      <c r="C130" s="7">
        <v>41</v>
      </c>
      <c r="D130" s="2">
        <v>45</v>
      </c>
      <c r="E130" s="6">
        <f>IF(AND($B130&lt;&gt;"", $G130&lt;&gt;"TBD"), ($B130-$G130)*1440, "")</f>
        <v>8.8333333333333286</v>
      </c>
      <c r="F130" s="2">
        <f t="shared" si="2"/>
        <v>4</v>
      </c>
      <c r="G130" s="9">
        <f>_xlfn.XLOOKUP(Log!A130, 'Daily Summary'!A:A, 'Daily Summary'!C:C, "TBD")</f>
        <v>0.44374999999999998</v>
      </c>
    </row>
    <row r="131" spans="1:7" x14ac:dyDescent="0.3">
      <c r="A131" s="1">
        <v>46244</v>
      </c>
      <c r="B131" s="9">
        <v>0.45127314814814817</v>
      </c>
      <c r="C131" s="7">
        <v>44</v>
      </c>
      <c r="D131" s="2">
        <v>45</v>
      </c>
      <c r="E131" s="6">
        <f>IF(AND($B131&lt;&gt;"", $G131&lt;&gt;"TBD"), ($B131-$G131)*1440, "")</f>
        <v>10.833333333333401</v>
      </c>
      <c r="F131" s="2">
        <f t="shared" si="2"/>
        <v>1</v>
      </c>
      <c r="G131" s="9">
        <f>_xlfn.XLOOKUP(Log!A131, 'Daily Summary'!A:A, 'Daily Summary'!C:C, "TBD")</f>
        <v>0.44374999999999998</v>
      </c>
    </row>
    <row r="132" spans="1:7" x14ac:dyDescent="0.3">
      <c r="A132" s="1">
        <v>46244</v>
      </c>
      <c r="B132" s="9">
        <v>0.45266203703703706</v>
      </c>
      <c r="C132" s="7">
        <v>45</v>
      </c>
      <c r="D132" s="2">
        <v>48</v>
      </c>
      <c r="E132" s="6">
        <f>IF(AND($B132&lt;&gt;"", $G132&lt;&gt;"TBD"), ($B132-$G132)*1440, "")</f>
        <v>12.833333333333394</v>
      </c>
      <c r="F132" s="2">
        <f t="shared" si="2"/>
        <v>3</v>
      </c>
      <c r="G132" s="9">
        <f>_xlfn.XLOOKUP(Log!A132, 'Daily Summary'!A:A, 'Daily Summary'!C:C, "TBD")</f>
        <v>0.44374999999999998</v>
      </c>
    </row>
    <row r="133" spans="1:7" x14ac:dyDescent="0.3">
      <c r="A133" s="1">
        <v>46244</v>
      </c>
      <c r="B133" s="9">
        <v>0.45406249999999998</v>
      </c>
      <c r="C133" s="7">
        <v>48</v>
      </c>
      <c r="D133" s="2">
        <v>49</v>
      </c>
      <c r="E133" s="6">
        <f>IF(AND($B133&lt;&gt;"", $G133&lt;&gt;"TBD"), ($B133-$G133)*1440, "")</f>
        <v>14.850000000000003</v>
      </c>
      <c r="F133" s="2">
        <f t="shared" si="2"/>
        <v>1</v>
      </c>
      <c r="G133" s="9">
        <f>_xlfn.XLOOKUP(Log!A133, 'Daily Summary'!A:A, 'Daily Summary'!C:C, "TBD")</f>
        <v>0.44374999999999998</v>
      </c>
    </row>
    <row r="134" spans="1:7" x14ac:dyDescent="0.3">
      <c r="A134" s="1">
        <v>46244</v>
      </c>
      <c r="B134" s="9">
        <v>0.45545138888888886</v>
      </c>
      <c r="C134" s="7">
        <v>48</v>
      </c>
      <c r="D134" s="2">
        <v>51</v>
      </c>
      <c r="E134" s="6">
        <f>IF(AND($B134&lt;&gt;"", $G134&lt;&gt;"TBD"), ($B134-$G134)*1440, "")</f>
        <v>16.849999999999994</v>
      </c>
      <c r="F134" s="2">
        <f t="shared" si="2"/>
        <v>3</v>
      </c>
      <c r="G134" s="9">
        <f>_xlfn.XLOOKUP(Log!A134, 'Daily Summary'!A:A, 'Daily Summary'!C:C, "TBD")</f>
        <v>0.44374999999999998</v>
      </c>
    </row>
    <row r="135" spans="1:7" x14ac:dyDescent="0.3">
      <c r="A135" s="1">
        <v>46244</v>
      </c>
      <c r="B135" s="9">
        <v>0.4568402777777778</v>
      </c>
      <c r="C135" s="7">
        <v>51</v>
      </c>
      <c r="D135" s="2">
        <v>52</v>
      </c>
      <c r="E135" s="6">
        <f>IF(AND($B135&lt;&gt;"", $G135&lt;&gt;"TBD"), ($B135-$G135)*1440, "")</f>
        <v>18.850000000000069</v>
      </c>
      <c r="F135" s="2">
        <f t="shared" si="2"/>
        <v>1</v>
      </c>
      <c r="G135" s="9">
        <f>_xlfn.XLOOKUP(Log!A135, 'Daily Summary'!A:A, 'Daily Summary'!C:C, "TBD")</f>
        <v>0.44374999999999998</v>
      </c>
    </row>
    <row r="136" spans="1:7" x14ac:dyDescent="0.3">
      <c r="A136" s="1">
        <v>46244</v>
      </c>
      <c r="B136" s="9">
        <v>0.45824074074074073</v>
      </c>
      <c r="C136" s="7">
        <v>51</v>
      </c>
      <c r="D136" s="2">
        <v>54</v>
      </c>
      <c r="E136" s="6">
        <f>IF(AND($B136&lt;&gt;"", $G136&lt;&gt;"TBD"), ($B136-$G136)*1440, "")</f>
        <v>20.866666666666678</v>
      </c>
      <c r="F136" s="2">
        <f t="shared" si="2"/>
        <v>3</v>
      </c>
      <c r="G136" s="9">
        <f>_xlfn.XLOOKUP(Log!A136, 'Daily Summary'!A:A, 'Daily Summary'!C:C, "TBD")</f>
        <v>0.44374999999999998</v>
      </c>
    </row>
    <row r="137" spans="1:7" x14ac:dyDescent="0.3">
      <c r="A137" s="1">
        <v>46244</v>
      </c>
      <c r="B137" s="9">
        <v>0.45962962962962961</v>
      </c>
      <c r="C137" s="7">
        <v>52</v>
      </c>
      <c r="D137" s="2">
        <v>55</v>
      </c>
      <c r="E137" s="6">
        <f>IF(AND($B137&lt;&gt;"", $G137&lt;&gt;"TBD"), ($B137-$G137)*1440, "")</f>
        <v>22.866666666666671</v>
      </c>
      <c r="F137" s="2">
        <f t="shared" si="2"/>
        <v>3</v>
      </c>
      <c r="G137" s="9">
        <f>_xlfn.XLOOKUP(Log!A137, 'Daily Summary'!A:A, 'Daily Summary'!C:C, "TBD")</f>
        <v>0.44374999999999998</v>
      </c>
    </row>
    <row r="138" spans="1:7" x14ac:dyDescent="0.3">
      <c r="A138" s="1">
        <v>46244</v>
      </c>
      <c r="B138" s="9">
        <v>0.46103009259259259</v>
      </c>
      <c r="C138" s="7">
        <v>54</v>
      </c>
      <c r="D138" s="2">
        <v>55</v>
      </c>
      <c r="E138" s="6">
        <f>IF(AND($B138&lt;&gt;"", $G138&lt;&gt;"TBD"), ($B138-$G138)*1440, "")</f>
        <v>24.883333333333361</v>
      </c>
      <c r="F138" s="2">
        <f t="shared" si="2"/>
        <v>1</v>
      </c>
      <c r="G138" s="9">
        <f>_xlfn.XLOOKUP(Log!A138, 'Daily Summary'!A:A, 'Daily Summary'!C:C, "TBD")</f>
        <v>0.44374999999999998</v>
      </c>
    </row>
    <row r="139" spans="1:7" x14ac:dyDescent="0.3">
      <c r="A139" s="1">
        <v>46244</v>
      </c>
      <c r="B139" s="9">
        <v>0.46241898148148147</v>
      </c>
      <c r="C139" s="7">
        <v>54</v>
      </c>
      <c r="D139" s="2">
        <v>57</v>
      </c>
      <c r="E139" s="6">
        <f>IF(AND($B139&lt;&gt;"", $G139&lt;&gt;"TBD"), ($B139-$G139)*1440, "")</f>
        <v>26.883333333333354</v>
      </c>
      <c r="F139" s="2">
        <f t="shared" si="2"/>
        <v>3</v>
      </c>
      <c r="G139" s="9">
        <f>_xlfn.XLOOKUP(Log!A139, 'Daily Summary'!A:A, 'Daily Summary'!C:C, "TBD")</f>
        <v>0.44374999999999998</v>
      </c>
    </row>
    <row r="140" spans="1:7" x14ac:dyDescent="0.3">
      <c r="A140" s="1">
        <v>46244</v>
      </c>
      <c r="B140" s="9">
        <v>0.46380787037037036</v>
      </c>
      <c r="C140" s="7">
        <v>54</v>
      </c>
      <c r="D140" s="2">
        <v>58</v>
      </c>
      <c r="E140" s="6">
        <f>IF(AND($B140&lt;&gt;"", $G140&lt;&gt;"TBD"), ($B140-$G140)*1440, "")</f>
        <v>28.883333333333347</v>
      </c>
      <c r="F140" s="2">
        <f t="shared" si="2"/>
        <v>4</v>
      </c>
      <c r="G140" s="9">
        <f>_xlfn.XLOOKUP(Log!A140, 'Daily Summary'!A:A, 'Daily Summary'!C:C, "TBD")</f>
        <v>0.44374999999999998</v>
      </c>
    </row>
    <row r="141" spans="1:7" x14ac:dyDescent="0.3">
      <c r="A141" s="1">
        <v>46244</v>
      </c>
      <c r="B141" s="9">
        <v>0.46520833333333333</v>
      </c>
      <c r="C141" s="7">
        <v>55</v>
      </c>
      <c r="D141" s="2">
        <v>58</v>
      </c>
      <c r="E141" s="6">
        <f>IF(AND($B141&lt;&gt;"", $G141&lt;&gt;"TBD"), ($B141-$G141)*1440, "")</f>
        <v>30.900000000000034</v>
      </c>
      <c r="F141" s="2">
        <f t="shared" si="2"/>
        <v>3</v>
      </c>
      <c r="G141" s="9">
        <f>_xlfn.XLOOKUP(Log!A141, 'Daily Summary'!A:A, 'Daily Summary'!C:C, "TBD")</f>
        <v>0.44374999999999998</v>
      </c>
    </row>
    <row r="142" spans="1:7" x14ac:dyDescent="0.3">
      <c r="A142" s="1">
        <v>46245</v>
      </c>
      <c r="B142" s="9">
        <v>0.38472222222222224</v>
      </c>
      <c r="C142" s="7">
        <v>35</v>
      </c>
      <c r="D142" s="2">
        <v>36</v>
      </c>
      <c r="E142" s="6">
        <f>IF(AND($B142&lt;&gt;"", $G142&lt;&gt;"TBD"), ($B142-$G142)*1440, "")</f>
        <v>4.0000000000000657</v>
      </c>
      <c r="F142" s="2">
        <f t="shared" si="2"/>
        <v>1</v>
      </c>
      <c r="G142" s="9">
        <f>_xlfn.XLOOKUP(Log!A142, 'Daily Summary'!A:A, 'Daily Summary'!C:C, "TBD")</f>
        <v>0.38194444444444442</v>
      </c>
    </row>
    <row r="143" spans="1:7" x14ac:dyDescent="0.3">
      <c r="A143" s="1">
        <v>46245</v>
      </c>
      <c r="B143" s="9">
        <v>0.385625</v>
      </c>
      <c r="C143" s="7">
        <v>35</v>
      </c>
      <c r="D143" s="2">
        <v>38</v>
      </c>
      <c r="E143" s="6">
        <f>IF(AND($B143&lt;&gt;"", $G143&lt;&gt;"TBD"), ($B143-$G143)*1440, "")</f>
        <v>5.3000000000000291</v>
      </c>
      <c r="F143" s="2">
        <f t="shared" si="2"/>
        <v>3</v>
      </c>
      <c r="G143" s="9">
        <f>_xlfn.XLOOKUP(Log!A143, 'Daily Summary'!A:A, 'Daily Summary'!C:C, "TBD")</f>
        <v>0.38194444444444442</v>
      </c>
    </row>
    <row r="144" spans="1:7" x14ac:dyDescent="0.3">
      <c r="A144" s="1">
        <v>46245</v>
      </c>
      <c r="B144" s="9">
        <v>0.38702546296296297</v>
      </c>
      <c r="C144" s="7">
        <v>38</v>
      </c>
      <c r="D144" s="2">
        <v>41</v>
      </c>
      <c r="E144" s="6">
        <f>IF(AND($B144&lt;&gt;"", $G144&lt;&gt;"TBD"), ($B144-$G144)*1440, "")</f>
        <v>7.3166666666667179</v>
      </c>
      <c r="F144" s="2">
        <f t="shared" si="2"/>
        <v>3</v>
      </c>
      <c r="G144" s="9">
        <f>_xlfn.XLOOKUP(Log!A144, 'Daily Summary'!A:A, 'Daily Summary'!C:C, "TBD")</f>
        <v>0.38194444444444442</v>
      </c>
    </row>
    <row r="145" spans="1:7" x14ac:dyDescent="0.3">
      <c r="A145" s="1">
        <v>46245</v>
      </c>
      <c r="B145" s="9">
        <v>0.38841435185185186</v>
      </c>
      <c r="C145" s="7">
        <v>41</v>
      </c>
      <c r="D145" s="2">
        <v>44</v>
      </c>
      <c r="E145" s="6">
        <f>IF(AND($B145&lt;&gt;"", $G145&lt;&gt;"TBD"), ($B145-$G145)*1440, "")</f>
        <v>9.3166666666667108</v>
      </c>
      <c r="F145" s="2">
        <f t="shared" si="2"/>
        <v>3</v>
      </c>
      <c r="G145" s="9">
        <f>_xlfn.XLOOKUP(Log!A145, 'Daily Summary'!A:A, 'Daily Summary'!C:C, "TBD")</f>
        <v>0.38194444444444442</v>
      </c>
    </row>
    <row r="146" spans="1:7" x14ac:dyDescent="0.3">
      <c r="A146" s="1">
        <v>46245</v>
      </c>
      <c r="B146" s="9">
        <v>0.38980324074074074</v>
      </c>
      <c r="C146" s="7">
        <v>42</v>
      </c>
      <c r="D146" s="2">
        <v>45</v>
      </c>
      <c r="E146" s="6">
        <f>IF(AND($B146&lt;&gt;"", $G146&lt;&gt;"TBD"), ($B146-$G146)*1440, "")</f>
        <v>11.316666666666704</v>
      </c>
      <c r="F146" s="2">
        <f t="shared" si="2"/>
        <v>3</v>
      </c>
      <c r="G146" s="9">
        <f>_xlfn.XLOOKUP(Log!A146, 'Daily Summary'!A:A, 'Daily Summary'!C:C, "TBD")</f>
        <v>0.38194444444444442</v>
      </c>
    </row>
    <row r="147" spans="1:7" x14ac:dyDescent="0.3">
      <c r="A147" s="1">
        <v>46245</v>
      </c>
      <c r="B147" s="9">
        <v>0.39119212962962963</v>
      </c>
      <c r="C147" s="7">
        <v>44</v>
      </c>
      <c r="D147" s="2">
        <v>47</v>
      </c>
      <c r="E147" s="6">
        <f>IF(AND($B147&lt;&gt;"", $G147&lt;&gt;"TBD"), ($B147-$G147)*1440, "")</f>
        <v>13.316666666666697</v>
      </c>
      <c r="F147" s="2">
        <f t="shared" si="2"/>
        <v>3</v>
      </c>
      <c r="G147" s="9">
        <f>_xlfn.XLOOKUP(Log!A147, 'Daily Summary'!A:A, 'Daily Summary'!C:C, "TBD")</f>
        <v>0.38194444444444442</v>
      </c>
    </row>
    <row r="148" spans="1:7" x14ac:dyDescent="0.3">
      <c r="A148" s="1">
        <v>46245</v>
      </c>
      <c r="B148" s="9">
        <v>0.3925925925925926</v>
      </c>
      <c r="C148" s="7">
        <v>45</v>
      </c>
      <c r="D148" s="2">
        <v>49</v>
      </c>
      <c r="E148" s="6">
        <f>IF(AND($B148&lt;&gt;"", $G148&lt;&gt;"TBD"), ($B148-$G148)*1440, "")</f>
        <v>15.333333333333385</v>
      </c>
      <c r="F148" s="2">
        <f t="shared" si="2"/>
        <v>4</v>
      </c>
      <c r="G148" s="9">
        <f>_xlfn.XLOOKUP(Log!A148, 'Daily Summary'!A:A, 'Daily Summary'!C:C, "TBD")</f>
        <v>0.38194444444444442</v>
      </c>
    </row>
    <row r="149" spans="1:7" x14ac:dyDescent="0.3">
      <c r="A149" s="1">
        <v>46245</v>
      </c>
      <c r="B149" s="9">
        <v>0.39398148148148149</v>
      </c>
      <c r="C149" s="7">
        <v>48</v>
      </c>
      <c r="D149" s="2">
        <v>49</v>
      </c>
      <c r="E149" s="6">
        <f>IF(AND($B149&lt;&gt;"", $G149&lt;&gt;"TBD"), ($B149-$G149)*1440, "")</f>
        <v>17.333333333333378</v>
      </c>
      <c r="F149" s="2">
        <f t="shared" si="2"/>
        <v>1</v>
      </c>
      <c r="G149" s="9">
        <f>_xlfn.XLOOKUP(Log!A149, 'Daily Summary'!A:A, 'Daily Summary'!C:C, "TBD")</f>
        <v>0.38194444444444442</v>
      </c>
    </row>
    <row r="150" spans="1:7" x14ac:dyDescent="0.3">
      <c r="A150" s="1">
        <v>46245</v>
      </c>
      <c r="B150" s="9">
        <v>0.39538194444444447</v>
      </c>
      <c r="C150" s="7">
        <v>48</v>
      </c>
      <c r="D150" s="2">
        <v>52</v>
      </c>
      <c r="E150" s="6">
        <f>IF(AND($B150&lt;&gt;"", $G150&lt;&gt;"TBD"), ($B150-$G150)*1440, "")</f>
        <v>19.350000000000065</v>
      </c>
      <c r="F150" s="2">
        <f t="shared" si="2"/>
        <v>4</v>
      </c>
      <c r="G150" s="9">
        <f>_xlfn.XLOOKUP(Log!A150, 'Daily Summary'!A:A, 'Daily Summary'!C:C, "TBD")</f>
        <v>0.38194444444444442</v>
      </c>
    </row>
    <row r="151" spans="1:7" x14ac:dyDescent="0.3">
      <c r="A151" s="1">
        <v>46245</v>
      </c>
      <c r="B151" s="9">
        <v>0.39677083333333335</v>
      </c>
      <c r="C151" s="7">
        <v>51</v>
      </c>
      <c r="D151" s="2">
        <v>52</v>
      </c>
      <c r="E151" s="6">
        <f>IF(AND($B151&lt;&gt;"", $G151&lt;&gt;"TBD"), ($B151-$G151)*1440, "")</f>
        <v>21.350000000000058</v>
      </c>
      <c r="F151" s="2">
        <f t="shared" si="2"/>
        <v>1</v>
      </c>
      <c r="G151" s="9">
        <f>_xlfn.XLOOKUP(Log!A151, 'Daily Summary'!A:A, 'Daily Summary'!C:C, "TBD")</f>
        <v>0.38194444444444442</v>
      </c>
    </row>
    <row r="152" spans="1:7" x14ac:dyDescent="0.3">
      <c r="A152" s="1">
        <v>46245</v>
      </c>
      <c r="B152" s="9">
        <v>0.39815972222222223</v>
      </c>
      <c r="C152" s="7">
        <v>51</v>
      </c>
      <c r="D152" s="2">
        <v>54</v>
      </c>
      <c r="E152" s="6">
        <f>IF(AND($B152&lt;&gt;"", $G152&lt;&gt;"TBD"), ($B152-$G152)*1440, "")</f>
        <v>23.350000000000051</v>
      </c>
      <c r="F152" s="2">
        <f t="shared" si="2"/>
        <v>3</v>
      </c>
      <c r="G152" s="9">
        <f>_xlfn.XLOOKUP(Log!A152, 'Daily Summary'!A:A, 'Daily Summary'!C:C, "TBD")</f>
        <v>0.38194444444444442</v>
      </c>
    </row>
    <row r="153" spans="1:7" x14ac:dyDescent="0.3">
      <c r="A153" s="1">
        <v>46245</v>
      </c>
      <c r="B153" s="9">
        <v>0.39956018518518521</v>
      </c>
      <c r="C153" s="7">
        <v>51</v>
      </c>
      <c r="D153" s="2">
        <v>55</v>
      </c>
      <c r="E153" s="6">
        <f>IF(AND($B153&lt;&gt;"", $G153&lt;&gt;"TBD"), ($B153-$G153)*1440, "")</f>
        <v>25.366666666666742</v>
      </c>
      <c r="F153" s="2">
        <f t="shared" si="2"/>
        <v>4</v>
      </c>
      <c r="G153" s="9">
        <f>_xlfn.XLOOKUP(Log!A153, 'Daily Summary'!A:A, 'Daily Summary'!C:C, "TBD")</f>
        <v>0.38194444444444442</v>
      </c>
    </row>
    <row r="154" spans="1:7" x14ac:dyDescent="0.3">
      <c r="A154" s="1">
        <v>46245</v>
      </c>
      <c r="B154" s="9">
        <v>0.40096064814814814</v>
      </c>
      <c r="C154" s="7">
        <v>54</v>
      </c>
      <c r="D154" s="2">
        <v>55</v>
      </c>
      <c r="E154" s="6">
        <f>IF(AND($B154&lt;&gt;"", $G154&lt;&gt;"TBD"), ($B154-$G154)*1440, "")</f>
        <v>27.383333333333351</v>
      </c>
      <c r="F154" s="2">
        <f t="shared" si="2"/>
        <v>1</v>
      </c>
      <c r="G154" s="9">
        <f>_xlfn.XLOOKUP(Log!A154, 'Daily Summary'!A:A, 'Daily Summary'!C:C, "TBD")</f>
        <v>0.38194444444444442</v>
      </c>
    </row>
    <row r="155" spans="1:7" x14ac:dyDescent="0.3">
      <c r="A155" s="1">
        <v>46245</v>
      </c>
      <c r="B155" s="9">
        <v>0.40234953703703702</v>
      </c>
      <c r="C155" s="7">
        <v>54</v>
      </c>
      <c r="D155" s="2">
        <v>57</v>
      </c>
      <c r="E155" s="6">
        <f>IF(AND($B155&lt;&gt;"", $G155&lt;&gt;"TBD"), ($B155-$G155)*1440, "")</f>
        <v>29.383333333333344</v>
      </c>
      <c r="F155" s="2">
        <f t="shared" si="2"/>
        <v>3</v>
      </c>
      <c r="G155" s="9">
        <f>_xlfn.XLOOKUP(Log!A155, 'Daily Summary'!A:A, 'Daily Summary'!C:C, "TBD")</f>
        <v>0.38194444444444442</v>
      </c>
    </row>
    <row r="156" spans="1:7" x14ac:dyDescent="0.3">
      <c r="A156" s="1">
        <v>46245</v>
      </c>
      <c r="B156" s="9">
        <v>0.40375</v>
      </c>
      <c r="C156" s="7">
        <v>54</v>
      </c>
      <c r="D156" s="2">
        <v>57</v>
      </c>
      <c r="E156" s="6">
        <f>IF(AND($B156&lt;&gt;"", $G156&lt;&gt;"TBD"), ($B156-$G156)*1440, "")</f>
        <v>31.400000000000034</v>
      </c>
      <c r="F156" s="2">
        <f t="shared" si="2"/>
        <v>3</v>
      </c>
      <c r="G156" s="9">
        <f>_xlfn.XLOOKUP(Log!A156, 'Daily Summary'!A:A, 'Daily Summary'!C:C, "TBD")</f>
        <v>0.38194444444444442</v>
      </c>
    </row>
    <row r="157" spans="1:7" x14ac:dyDescent="0.3">
      <c r="A157" s="1">
        <v>46245</v>
      </c>
      <c r="B157" s="9">
        <v>0.40513888888888888</v>
      </c>
      <c r="C157" s="7">
        <v>54</v>
      </c>
      <c r="D157" s="2">
        <v>58</v>
      </c>
      <c r="E157" s="6">
        <f>IF(AND($B157&lt;&gt;"", $G157&lt;&gt;"TBD"), ($B157-$G157)*1440, "")</f>
        <v>33.400000000000027</v>
      </c>
      <c r="F157" s="2">
        <f t="shared" si="2"/>
        <v>4</v>
      </c>
      <c r="G157" s="9">
        <f>_xlfn.XLOOKUP(Log!A157, 'Daily Summary'!A:A, 'Daily Summary'!C:C, "TBD")</f>
        <v>0.38194444444444442</v>
      </c>
    </row>
    <row r="158" spans="1:7" x14ac:dyDescent="0.3">
      <c r="A158" s="1">
        <v>46246</v>
      </c>
      <c r="B158" s="9">
        <v>0.41736111111111113</v>
      </c>
      <c r="C158" s="7">
        <v>27</v>
      </c>
      <c r="D158" s="2">
        <v>29</v>
      </c>
      <c r="E158" s="6">
        <f>IF(AND($B158&lt;&gt;"", $G158&lt;&gt;"TBD"), ($B158-$G158)*1440, "")</f>
        <v>1.9999999999999929</v>
      </c>
      <c r="F158" s="2">
        <f t="shared" si="2"/>
        <v>2</v>
      </c>
      <c r="G158" s="9">
        <f>_xlfn.XLOOKUP(Log!A158, 'Daily Summary'!A:A, 'Daily Summary'!C:C, "TBD")</f>
        <v>0.41597222222222224</v>
      </c>
    </row>
    <row r="159" spans="1:7" x14ac:dyDescent="0.3">
      <c r="A159" s="1">
        <v>46246</v>
      </c>
      <c r="B159" s="9">
        <v>0.4183101851851852</v>
      </c>
      <c r="C159" s="7">
        <v>32</v>
      </c>
      <c r="D159" s="2">
        <v>33</v>
      </c>
      <c r="E159" s="6">
        <f>IF(AND($B159&lt;&gt;"", $G159&lt;&gt;"TBD"), ($B159-$G159)*1440, "")</f>
        <v>3.36666666666666</v>
      </c>
      <c r="F159" s="2">
        <f t="shared" si="2"/>
        <v>1</v>
      </c>
      <c r="G159" s="9">
        <f>_xlfn.XLOOKUP(Log!A159, 'Daily Summary'!A:A, 'Daily Summary'!C:C, "TBD")</f>
        <v>0.41597222222222224</v>
      </c>
    </row>
    <row r="160" spans="1:7" x14ac:dyDescent="0.3">
      <c r="A160" s="1">
        <v>46246</v>
      </c>
      <c r="B160" s="9">
        <v>0.41969907407407409</v>
      </c>
      <c r="C160" s="7">
        <v>36</v>
      </c>
      <c r="D160" s="2">
        <v>39</v>
      </c>
      <c r="E160" s="6">
        <f>IF(AND($B160&lt;&gt;"", $G160&lt;&gt;"TBD"), ($B160-$G160)*1440, "")</f>
        <v>5.3666666666666529</v>
      </c>
      <c r="F160" s="2">
        <f t="shared" si="2"/>
        <v>3</v>
      </c>
      <c r="G160" s="9">
        <f>_xlfn.XLOOKUP(Log!A160, 'Daily Summary'!A:A, 'Daily Summary'!C:C, "TBD")</f>
        <v>0.41597222222222224</v>
      </c>
    </row>
    <row r="161" spans="1:7" x14ac:dyDescent="0.3">
      <c r="A161" s="1">
        <v>46246</v>
      </c>
      <c r="B161" s="9">
        <v>0.42109953703703706</v>
      </c>
      <c r="C161" s="7">
        <v>39</v>
      </c>
      <c r="D161" s="2">
        <v>42</v>
      </c>
      <c r="E161" s="6">
        <f>IF(AND($B161&lt;&gt;"", $G161&lt;&gt;"TBD"), ($B161-$G161)*1440, "")</f>
        <v>7.3833333333333417</v>
      </c>
      <c r="F161" s="2">
        <f t="shared" si="2"/>
        <v>3</v>
      </c>
      <c r="G161" s="9">
        <f>_xlfn.XLOOKUP(Log!A161, 'Daily Summary'!A:A, 'Daily Summary'!C:C, "TBD")</f>
        <v>0.41597222222222224</v>
      </c>
    </row>
    <row r="162" spans="1:7" x14ac:dyDescent="0.3">
      <c r="A162" s="1">
        <v>46246</v>
      </c>
      <c r="B162" s="9">
        <v>0.42248842592592595</v>
      </c>
      <c r="C162" s="7">
        <v>41</v>
      </c>
      <c r="D162" s="2">
        <v>44</v>
      </c>
      <c r="E162" s="6">
        <f>IF(AND($B162&lt;&gt;"", $G162&lt;&gt;"TBD"), ($B162-$G162)*1440, "")</f>
        <v>9.3833333333333346</v>
      </c>
      <c r="F162" s="2">
        <f t="shared" si="2"/>
        <v>3</v>
      </c>
      <c r="G162" s="9">
        <f>_xlfn.XLOOKUP(Log!A162, 'Daily Summary'!A:A, 'Daily Summary'!C:C, "TBD")</f>
        <v>0.41597222222222224</v>
      </c>
    </row>
    <row r="163" spans="1:7" x14ac:dyDescent="0.3">
      <c r="A163" s="1">
        <v>46246</v>
      </c>
      <c r="B163" s="9">
        <v>0.42387731481481483</v>
      </c>
      <c r="C163" s="7">
        <v>44</v>
      </c>
      <c r="D163" s="2">
        <v>45</v>
      </c>
      <c r="E163" s="6">
        <f>IF(AND($B163&lt;&gt;"", $G163&lt;&gt;"TBD"), ($B163-$G163)*1440, "")</f>
        <v>11.383333333333328</v>
      </c>
      <c r="F163" s="2">
        <f t="shared" si="2"/>
        <v>1</v>
      </c>
      <c r="G163" s="9">
        <f>_xlfn.XLOOKUP(Log!A163, 'Daily Summary'!A:A, 'Daily Summary'!C:C, "TBD")</f>
        <v>0.41597222222222224</v>
      </c>
    </row>
    <row r="164" spans="1:7" x14ac:dyDescent="0.3">
      <c r="A164" s="1">
        <v>46246</v>
      </c>
      <c r="B164" s="9">
        <v>0.42526620370370372</v>
      </c>
      <c r="C164" s="7">
        <v>45</v>
      </c>
      <c r="D164" s="2">
        <v>48</v>
      </c>
      <c r="E164" s="6">
        <f>IF(AND($B164&lt;&gt;"", $G164&lt;&gt;"TBD"), ($B164-$G164)*1440, "")</f>
        <v>13.38333333333332</v>
      </c>
      <c r="F164" s="2">
        <f t="shared" si="2"/>
        <v>3</v>
      </c>
      <c r="G164" s="9">
        <f>_xlfn.XLOOKUP(Log!A164, 'Daily Summary'!A:A, 'Daily Summary'!C:C, "TBD")</f>
        <v>0.41597222222222224</v>
      </c>
    </row>
    <row r="165" spans="1:7" x14ac:dyDescent="0.3">
      <c r="A165" s="1">
        <v>46246</v>
      </c>
      <c r="B165" s="9">
        <v>0.42666666666666669</v>
      </c>
      <c r="C165" s="7">
        <v>47</v>
      </c>
      <c r="D165" s="2">
        <v>49</v>
      </c>
      <c r="E165" s="6">
        <f>IF(AND($B165&lt;&gt;"", $G165&lt;&gt;"TBD"), ($B165-$G165)*1440, "")</f>
        <v>15.400000000000009</v>
      </c>
      <c r="F165" s="2">
        <f t="shared" si="2"/>
        <v>2</v>
      </c>
      <c r="G165" s="9">
        <f>_xlfn.XLOOKUP(Log!A165, 'Daily Summary'!A:A, 'Daily Summary'!C:C, "TBD")</f>
        <v>0.41597222222222224</v>
      </c>
    </row>
    <row r="166" spans="1:7" x14ac:dyDescent="0.3">
      <c r="A166" s="1">
        <v>46246</v>
      </c>
      <c r="B166" s="9">
        <v>0.42806712962962962</v>
      </c>
      <c r="C166" s="7">
        <v>48</v>
      </c>
      <c r="D166" s="2">
        <v>51</v>
      </c>
      <c r="E166" s="6">
        <f>IF(AND($B166&lt;&gt;"", $G166&lt;&gt;"TBD"), ($B166-$G166)*1440, "")</f>
        <v>17.416666666666618</v>
      </c>
      <c r="F166" s="2">
        <f t="shared" si="2"/>
        <v>3</v>
      </c>
      <c r="G166" s="9">
        <f>_xlfn.XLOOKUP(Log!A166, 'Daily Summary'!A:A, 'Daily Summary'!C:C, "TBD")</f>
        <v>0.41597222222222224</v>
      </c>
    </row>
    <row r="167" spans="1:7" x14ac:dyDescent="0.3">
      <c r="A167" s="1">
        <v>46246</v>
      </c>
      <c r="B167" s="9">
        <v>0.4294675925925926</v>
      </c>
      <c r="C167" s="7">
        <v>49</v>
      </c>
      <c r="D167" s="2">
        <v>52</v>
      </c>
      <c r="E167" s="6">
        <f>IF(AND($B167&lt;&gt;"", $G167&lt;&gt;"TBD"), ($B167-$G167)*1440, "")</f>
        <v>19.433333333333309</v>
      </c>
      <c r="F167" s="2">
        <f t="shared" si="2"/>
        <v>3</v>
      </c>
      <c r="G167" s="9">
        <f>_xlfn.XLOOKUP(Log!A167, 'Daily Summary'!A:A, 'Daily Summary'!C:C, "TBD")</f>
        <v>0.41597222222222224</v>
      </c>
    </row>
    <row r="168" spans="1:7" x14ac:dyDescent="0.3">
      <c r="A168" s="1">
        <v>46246</v>
      </c>
      <c r="B168" s="9">
        <v>0.43086805555555557</v>
      </c>
      <c r="C168" s="7">
        <v>51</v>
      </c>
      <c r="D168" s="2">
        <v>54</v>
      </c>
      <c r="E168" s="6">
        <f>IF(AND($B168&lt;&gt;"", $G168&lt;&gt;"TBD"), ($B168-$G168)*1440, "")</f>
        <v>21.449999999999996</v>
      </c>
      <c r="F168" s="2">
        <f t="shared" si="2"/>
        <v>3</v>
      </c>
      <c r="G168" s="9">
        <f>_xlfn.XLOOKUP(Log!A168, 'Daily Summary'!A:A, 'Daily Summary'!C:C, "TBD")</f>
        <v>0.41597222222222224</v>
      </c>
    </row>
    <row r="169" spans="1:7" x14ac:dyDescent="0.3">
      <c r="A169" s="1">
        <v>46246</v>
      </c>
      <c r="B169" s="9">
        <v>0.43225694444444446</v>
      </c>
      <c r="C169" s="7">
        <v>51</v>
      </c>
      <c r="D169" s="2">
        <v>55</v>
      </c>
      <c r="E169" s="6">
        <f>IF(AND($B169&lt;&gt;"", $G169&lt;&gt;"TBD"), ($B169-$G169)*1440, "")</f>
        <v>23.449999999999989</v>
      </c>
      <c r="F169" s="2">
        <f t="shared" si="2"/>
        <v>4</v>
      </c>
      <c r="G169" s="9">
        <f>_xlfn.XLOOKUP(Log!A169, 'Daily Summary'!A:A, 'Daily Summary'!C:C, "TBD")</f>
        <v>0.41597222222222224</v>
      </c>
    </row>
    <row r="170" spans="1:7" x14ac:dyDescent="0.3">
      <c r="A170" s="1">
        <v>46246</v>
      </c>
      <c r="B170" s="9">
        <v>0.43364583333333334</v>
      </c>
      <c r="C170" s="7">
        <v>52</v>
      </c>
      <c r="D170" s="2">
        <v>55</v>
      </c>
      <c r="E170" s="6">
        <f>IF(AND($B170&lt;&gt;"", $G170&lt;&gt;"TBD"), ($B170-$G170)*1440, "")</f>
        <v>25.449999999999982</v>
      </c>
      <c r="F170" s="2">
        <f t="shared" si="2"/>
        <v>3</v>
      </c>
      <c r="G170" s="9">
        <f>_xlfn.XLOOKUP(Log!A170, 'Daily Summary'!A:A, 'Daily Summary'!C:C, "TBD")</f>
        <v>0.41597222222222224</v>
      </c>
    </row>
    <row r="171" spans="1:7" x14ac:dyDescent="0.3">
      <c r="A171" s="1">
        <v>46246</v>
      </c>
      <c r="B171" s="9">
        <v>0.43504629629629632</v>
      </c>
      <c r="C171" s="7">
        <v>54</v>
      </c>
      <c r="D171" s="2">
        <v>55</v>
      </c>
      <c r="E171" s="6">
        <f>IF(AND($B171&lt;&gt;"", $G171&lt;&gt;"TBD"), ($B171-$G171)*1440, "")</f>
        <v>27.466666666666669</v>
      </c>
      <c r="F171" s="2">
        <f t="shared" si="2"/>
        <v>1</v>
      </c>
      <c r="G171" s="9">
        <f>_xlfn.XLOOKUP(Log!A171, 'Daily Summary'!A:A, 'Daily Summary'!C:C, "TBD")</f>
        <v>0.41597222222222224</v>
      </c>
    </row>
    <row r="172" spans="1:7" x14ac:dyDescent="0.3">
      <c r="A172" s="1">
        <v>46246</v>
      </c>
      <c r="B172" s="9">
        <v>0.4364351851851852</v>
      </c>
      <c r="C172" s="7">
        <v>54</v>
      </c>
      <c r="D172" s="2">
        <v>57</v>
      </c>
      <c r="E172" s="6">
        <f>IF(AND($B172&lt;&gt;"", $G172&lt;&gt;"TBD"), ($B172-$G172)*1440, "")</f>
        <v>29.466666666666661</v>
      </c>
      <c r="F172" s="2">
        <f t="shared" si="2"/>
        <v>3</v>
      </c>
      <c r="G172" s="9">
        <f>_xlfn.XLOOKUP(Log!A172, 'Daily Summary'!A:A, 'Daily Summary'!C:C, "TBD")</f>
        <v>0.41597222222222224</v>
      </c>
    </row>
    <row r="173" spans="1:7" x14ac:dyDescent="0.3">
      <c r="A173" s="1">
        <v>46246</v>
      </c>
      <c r="B173" s="9">
        <v>0.43783564814814813</v>
      </c>
      <c r="C173" s="7">
        <v>55</v>
      </c>
      <c r="D173" s="2">
        <v>58</v>
      </c>
      <c r="E173" s="6">
        <f>IF(AND($B173&lt;&gt;"", $G173&lt;&gt;"TBD"), ($B173-$G173)*1440, "")</f>
        <v>31.48333333333327</v>
      </c>
      <c r="F173" s="2">
        <f t="shared" si="2"/>
        <v>3</v>
      </c>
      <c r="G173" s="9">
        <f>_xlfn.XLOOKUP(Log!A173, 'Daily Summary'!A:A, 'Daily Summary'!C:C, "TBD")</f>
        <v>0.41597222222222224</v>
      </c>
    </row>
    <row r="174" spans="1:7" x14ac:dyDescent="0.3">
      <c r="A174" s="1">
        <v>46247</v>
      </c>
      <c r="B174" s="9">
        <v>0.41111111111111109</v>
      </c>
      <c r="C174" s="7">
        <v>29</v>
      </c>
      <c r="D174" s="2">
        <v>30</v>
      </c>
      <c r="E174" s="6">
        <f>IF(AND($B174&lt;&gt;"", $G174&lt;&gt;"TBD"), ($B174-$G174)*1440, "")</f>
        <v>1.9999999999999929</v>
      </c>
      <c r="F174" s="2">
        <f t="shared" si="2"/>
        <v>1</v>
      </c>
      <c r="G174" s="9">
        <f>_xlfn.XLOOKUP(Log!A174, 'Daily Summary'!A:A, 'Daily Summary'!C:C, "TBD")</f>
        <v>0.40972222222222221</v>
      </c>
    </row>
    <row r="175" spans="1:7" x14ac:dyDescent="0.3">
      <c r="A175" s="1">
        <v>46247</v>
      </c>
      <c r="B175" s="9">
        <v>0.4117824074074074</v>
      </c>
      <c r="C175" s="7">
        <v>35</v>
      </c>
      <c r="D175" s="2">
        <v>35</v>
      </c>
      <c r="E175" s="6">
        <f>IF(AND($B175&lt;&gt;"", $G175&lt;&gt;"TBD"), ($B175-$G175)*1440, "")</f>
        <v>2.9666666666666774</v>
      </c>
      <c r="F175" s="2">
        <f t="shared" si="2"/>
        <v>0</v>
      </c>
      <c r="G175" s="9">
        <f>_xlfn.XLOOKUP(Log!A175, 'Daily Summary'!A:A, 'Daily Summary'!C:C, "TBD")</f>
        <v>0.40972222222222221</v>
      </c>
    </row>
    <row r="176" spans="1:7" x14ac:dyDescent="0.3">
      <c r="A176" s="1">
        <v>46247</v>
      </c>
      <c r="B176" s="9">
        <v>0.41317129629629629</v>
      </c>
      <c r="C176" s="7">
        <v>38</v>
      </c>
      <c r="D176" s="2">
        <v>41</v>
      </c>
      <c r="E176" s="6">
        <f>IF(AND($B176&lt;&gt;"", $G176&lt;&gt;"TBD"), ($B176-$G176)*1440, "")</f>
        <v>4.9666666666666703</v>
      </c>
      <c r="F176" s="2">
        <f t="shared" si="2"/>
        <v>3</v>
      </c>
      <c r="G176" s="9">
        <f>_xlfn.XLOOKUP(Log!A176, 'Daily Summary'!A:A, 'Daily Summary'!C:C, "TBD")</f>
        <v>0.40972222222222221</v>
      </c>
    </row>
    <row r="177" spans="1:7" x14ac:dyDescent="0.3">
      <c r="A177" s="1">
        <v>46247</v>
      </c>
      <c r="B177" s="9">
        <v>0.41457175925925926</v>
      </c>
      <c r="C177" s="7">
        <v>41</v>
      </c>
      <c r="D177" s="2">
        <v>44</v>
      </c>
      <c r="E177" s="6">
        <f>IF(AND($B177&lt;&gt;"", $G177&lt;&gt;"TBD"), ($B177-$G177)*1440, "")</f>
        <v>6.9833333333333591</v>
      </c>
      <c r="F177" s="2">
        <f t="shared" si="2"/>
        <v>3</v>
      </c>
      <c r="G177" s="9">
        <f>_xlfn.XLOOKUP(Log!A177, 'Daily Summary'!A:A, 'Daily Summary'!C:C, "TBD")</f>
        <v>0.40972222222222221</v>
      </c>
    </row>
    <row r="178" spans="1:7" x14ac:dyDescent="0.3">
      <c r="A178" s="1">
        <v>46247</v>
      </c>
      <c r="B178" s="9">
        <v>0.41596064814814815</v>
      </c>
      <c r="C178" s="7">
        <v>44</v>
      </c>
      <c r="D178" s="2">
        <v>44</v>
      </c>
      <c r="E178" s="6">
        <f>IF(AND($B178&lt;&gt;"", $G178&lt;&gt;"TBD"), ($B178-$G178)*1440, "")</f>
        <v>8.983333333333352</v>
      </c>
      <c r="F178" s="2">
        <f t="shared" si="2"/>
        <v>0</v>
      </c>
      <c r="G178" s="9">
        <f>_xlfn.XLOOKUP(Log!A178, 'Daily Summary'!A:A, 'Daily Summary'!C:C, "TBD")</f>
        <v>0.40972222222222221</v>
      </c>
    </row>
    <row r="179" spans="1:7" x14ac:dyDescent="0.3">
      <c r="A179" s="1">
        <v>46247</v>
      </c>
      <c r="B179" s="9">
        <v>0.41734953703703703</v>
      </c>
      <c r="C179" s="7">
        <v>44</v>
      </c>
      <c r="D179" s="2">
        <v>47</v>
      </c>
      <c r="E179" s="6">
        <f>IF(AND($B179&lt;&gt;"", $G179&lt;&gt;"TBD"), ($B179-$G179)*1440, "")</f>
        <v>10.983333333333345</v>
      </c>
      <c r="F179" s="2">
        <f t="shared" si="2"/>
        <v>3</v>
      </c>
      <c r="G179" s="9">
        <f>_xlfn.XLOOKUP(Log!A179, 'Daily Summary'!A:A, 'Daily Summary'!C:C, "TBD")</f>
        <v>0.40972222222222221</v>
      </c>
    </row>
    <row r="180" spans="1:7" x14ac:dyDescent="0.3">
      <c r="A180" s="1">
        <v>46247</v>
      </c>
      <c r="B180" s="9">
        <v>0.41873842592592592</v>
      </c>
      <c r="C180" s="7">
        <v>47</v>
      </c>
      <c r="D180" s="2">
        <v>49</v>
      </c>
      <c r="E180" s="6">
        <f>IF(AND($B180&lt;&gt;"", $G180&lt;&gt;"TBD"), ($B180-$G180)*1440, "")</f>
        <v>12.983333333333338</v>
      </c>
      <c r="F180" s="2">
        <f t="shared" si="2"/>
        <v>2</v>
      </c>
      <c r="G180" s="9">
        <f>_xlfn.XLOOKUP(Log!A180, 'Daily Summary'!A:A, 'Daily Summary'!C:C, "TBD")</f>
        <v>0.40972222222222221</v>
      </c>
    </row>
    <row r="181" spans="1:7" x14ac:dyDescent="0.3">
      <c r="A181" s="1">
        <v>46247</v>
      </c>
      <c r="B181" s="9">
        <v>0.4201388888888889</v>
      </c>
      <c r="C181" s="7">
        <v>49</v>
      </c>
      <c r="D181" s="2">
        <v>49</v>
      </c>
      <c r="E181" s="6">
        <f>IF(AND($B181&lt;&gt;"", $G181&lt;&gt;"TBD"), ($B181-$G181)*1440, "")</f>
        <v>15.000000000000027</v>
      </c>
      <c r="F181" s="2">
        <f t="shared" si="2"/>
        <v>0</v>
      </c>
      <c r="G181" s="9">
        <f>_xlfn.XLOOKUP(Log!A181, 'Daily Summary'!A:A, 'Daily Summary'!C:C, "TBD")</f>
        <v>0.40972222222222221</v>
      </c>
    </row>
    <row r="182" spans="1:7" x14ac:dyDescent="0.3">
      <c r="A182" s="1">
        <v>46247</v>
      </c>
      <c r="B182" s="9">
        <v>0.42152777777777778</v>
      </c>
      <c r="C182" s="7">
        <v>49</v>
      </c>
      <c r="D182" s="2">
        <v>52</v>
      </c>
      <c r="E182" s="6">
        <f>IF(AND($B182&lt;&gt;"", $G182&lt;&gt;"TBD"), ($B182-$G182)*1440, "")</f>
        <v>17.000000000000021</v>
      </c>
      <c r="F182" s="2">
        <f t="shared" si="2"/>
        <v>3</v>
      </c>
      <c r="G182" s="9">
        <f>_xlfn.XLOOKUP(Log!A182, 'Daily Summary'!A:A, 'Daily Summary'!C:C, "TBD")</f>
        <v>0.40972222222222221</v>
      </c>
    </row>
    <row r="183" spans="1:7" x14ac:dyDescent="0.3">
      <c r="A183" s="1">
        <v>46247</v>
      </c>
      <c r="B183" s="9">
        <v>0.42291666666666666</v>
      </c>
      <c r="C183" s="7">
        <v>52</v>
      </c>
      <c r="D183" s="2">
        <v>52</v>
      </c>
      <c r="E183" s="6">
        <f>IF(AND($B183&lt;&gt;"", $G183&lt;&gt;"TBD"), ($B183-$G183)*1440, "")</f>
        <v>19.000000000000014</v>
      </c>
      <c r="F183" s="2">
        <f t="shared" si="2"/>
        <v>0</v>
      </c>
      <c r="G183" s="9">
        <f>_xlfn.XLOOKUP(Log!A183, 'Daily Summary'!A:A, 'Daily Summary'!C:C, "TBD")</f>
        <v>0.40972222222222221</v>
      </c>
    </row>
    <row r="184" spans="1:7" x14ac:dyDescent="0.3">
      <c r="A184" s="1">
        <v>46247</v>
      </c>
      <c r="B184" s="9">
        <v>0.42431712962962964</v>
      </c>
      <c r="C184" s="7">
        <v>52</v>
      </c>
      <c r="D184" s="2">
        <v>55</v>
      </c>
      <c r="E184" s="6">
        <f>IF(AND($B184&lt;&gt;"", $G184&lt;&gt;"TBD"), ($B184-$G184)*1440, "")</f>
        <v>21.016666666666701</v>
      </c>
      <c r="F184" s="2">
        <f t="shared" si="2"/>
        <v>3</v>
      </c>
      <c r="G184" s="9">
        <f>_xlfn.XLOOKUP(Log!A184, 'Daily Summary'!A:A, 'Daily Summary'!C:C, "TBD")</f>
        <v>0.40972222222222221</v>
      </c>
    </row>
    <row r="185" spans="1:7" x14ac:dyDescent="0.3">
      <c r="A185" s="1">
        <v>46247</v>
      </c>
      <c r="B185" s="9">
        <v>0.42571759259259262</v>
      </c>
      <c r="C185" s="7">
        <v>52</v>
      </c>
      <c r="D185" s="2">
        <v>55</v>
      </c>
      <c r="E185" s="6">
        <f>IF(AND($B185&lt;&gt;"", $G185&lt;&gt;"TBD"), ($B185-$G185)*1440, "")</f>
        <v>23.033333333333388</v>
      </c>
      <c r="F185" s="2">
        <f t="shared" si="2"/>
        <v>3</v>
      </c>
      <c r="G185" s="9">
        <f>_xlfn.XLOOKUP(Log!A185, 'Daily Summary'!A:A, 'Daily Summary'!C:C, "TBD")</f>
        <v>0.40972222222222221</v>
      </c>
    </row>
    <row r="186" spans="1:7" x14ac:dyDescent="0.3">
      <c r="A186" s="1">
        <v>46247</v>
      </c>
      <c r="B186" s="9">
        <v>0.4271064814814815</v>
      </c>
      <c r="C186" s="7">
        <v>55</v>
      </c>
      <c r="D186" s="2">
        <v>55</v>
      </c>
      <c r="E186" s="6">
        <f>IF(AND($B186&lt;&gt;"", $G186&lt;&gt;"TBD"), ($B186-$G186)*1440, "")</f>
        <v>25.033333333333381</v>
      </c>
      <c r="F186" s="2">
        <f t="shared" si="2"/>
        <v>0</v>
      </c>
      <c r="G186" s="9">
        <f>_xlfn.XLOOKUP(Log!A186, 'Daily Summary'!A:A, 'Daily Summary'!C:C, "TBD")</f>
        <v>0.40972222222222221</v>
      </c>
    </row>
    <row r="187" spans="1:7" x14ac:dyDescent="0.3">
      <c r="A187" s="1">
        <v>46247</v>
      </c>
      <c r="B187" s="9">
        <v>0.42849537037037039</v>
      </c>
      <c r="C187" s="7">
        <v>55</v>
      </c>
      <c r="D187" s="2">
        <v>55</v>
      </c>
      <c r="E187" s="6">
        <f>IF(AND($B187&lt;&gt;"", $G187&lt;&gt;"TBD"), ($B187-$G187)*1440, "")</f>
        <v>27.033333333333374</v>
      </c>
      <c r="F187" s="2">
        <f t="shared" si="2"/>
        <v>0</v>
      </c>
      <c r="G187" s="9">
        <f>_xlfn.XLOOKUP(Log!A187, 'Daily Summary'!A:A, 'Daily Summary'!C:C, "TBD")</f>
        <v>0.40972222222222221</v>
      </c>
    </row>
    <row r="188" spans="1:7" x14ac:dyDescent="0.3">
      <c r="A188" s="1">
        <v>46247</v>
      </c>
      <c r="B188" s="9">
        <v>0.42989583333333331</v>
      </c>
      <c r="C188" s="7">
        <v>55</v>
      </c>
      <c r="D188" s="2">
        <v>58</v>
      </c>
      <c r="E188" s="6">
        <f>IF(AND($B188&lt;&gt;"", $G188&lt;&gt;"TBD"), ($B188-$G188)*1440, "")</f>
        <v>29.049999999999983</v>
      </c>
      <c r="F188" s="2">
        <f t="shared" si="2"/>
        <v>3</v>
      </c>
      <c r="G188" s="9">
        <f>_xlfn.XLOOKUP(Log!A188, 'Daily Summary'!A:A, 'Daily Summary'!C:C, "TBD")</f>
        <v>0.40972222222222221</v>
      </c>
    </row>
    <row r="189" spans="1:7" x14ac:dyDescent="0.3">
      <c r="A189" s="1">
        <v>46247</v>
      </c>
      <c r="B189" s="9">
        <v>0.43129629629629629</v>
      </c>
      <c r="C189" s="7">
        <v>55</v>
      </c>
      <c r="D189" s="2">
        <v>58</v>
      </c>
      <c r="E189" s="6">
        <f>IF(AND($B189&lt;&gt;"", $G189&lt;&gt;"TBD"), ($B189-$G189)*1440, "")</f>
        <v>31.066666666666674</v>
      </c>
      <c r="F189" s="2">
        <f t="shared" ref="F189:F267" si="3">IF(AND($D189&lt;&gt;"",$C189&lt;&gt;""), $D189-$C189, "")</f>
        <v>3</v>
      </c>
      <c r="G189" s="9">
        <f>_xlfn.XLOOKUP(Log!A189, 'Daily Summary'!A:A, 'Daily Summary'!C:C, "TBD")</f>
        <v>0.40972222222222221</v>
      </c>
    </row>
    <row r="190" spans="1:7" x14ac:dyDescent="0.3">
      <c r="A190" s="1">
        <v>46248</v>
      </c>
      <c r="B190" s="9">
        <v>0.4375</v>
      </c>
      <c r="C190" s="7">
        <v>38</v>
      </c>
      <c r="D190" s="2">
        <v>38</v>
      </c>
      <c r="E190" s="6">
        <f>IF(AND($B190&lt;&gt;"", $G190&lt;&gt;"TBD"), ($B190-$G190)*1440, "")</f>
        <v>3.9999999999999858</v>
      </c>
      <c r="F190" s="2">
        <f t="shared" si="3"/>
        <v>0</v>
      </c>
      <c r="G190" s="9">
        <f>_xlfn.XLOOKUP(Log!A190, 'Daily Summary'!A:A, 'Daily Summary'!C:C, "TBD")</f>
        <v>0.43472222222222223</v>
      </c>
    </row>
    <row r="191" spans="1:7" x14ac:dyDescent="0.3">
      <c r="A191" s="1">
        <v>46248</v>
      </c>
      <c r="B191" s="9">
        <v>0.4387847222222222</v>
      </c>
      <c r="C191" s="7">
        <v>41</v>
      </c>
      <c r="D191" s="2">
        <v>41</v>
      </c>
      <c r="E191" s="6">
        <f>IF(AND($B191&lt;&gt;"", $G191&lt;&gt;"TBD"), ($B191-$G191)*1440, "")</f>
        <v>5.8499999999999552</v>
      </c>
      <c r="F191" s="2">
        <f t="shared" si="3"/>
        <v>0</v>
      </c>
      <c r="G191" s="9">
        <f>_xlfn.XLOOKUP(Log!A191, 'Daily Summary'!A:A, 'Daily Summary'!C:C, "TBD")</f>
        <v>0.43472222222222223</v>
      </c>
    </row>
    <row r="192" spans="1:7" x14ac:dyDescent="0.3">
      <c r="A192" s="1">
        <v>46248</v>
      </c>
      <c r="B192" s="9">
        <v>0.44018518518518518</v>
      </c>
      <c r="C192" s="7">
        <v>44</v>
      </c>
      <c r="D192" s="2">
        <v>44</v>
      </c>
      <c r="E192" s="6">
        <f>IF(AND($B192&lt;&gt;"", $G192&lt;&gt;"TBD"), ($B192-$G192)*1440, "")</f>
        <v>7.866666666666644</v>
      </c>
      <c r="F192" s="2">
        <f t="shared" si="3"/>
        <v>0</v>
      </c>
      <c r="G192" s="9">
        <f>_xlfn.XLOOKUP(Log!A192, 'Daily Summary'!A:A, 'Daily Summary'!C:C, "TBD")</f>
        <v>0.43472222222222223</v>
      </c>
    </row>
    <row r="193" spans="1:7" x14ac:dyDescent="0.3">
      <c r="A193" s="1">
        <v>46248</v>
      </c>
      <c r="B193" s="9">
        <v>0.44157407407407406</v>
      </c>
      <c r="C193" s="7">
        <v>44</v>
      </c>
      <c r="D193" s="2">
        <v>47</v>
      </c>
      <c r="E193" s="6">
        <f>IF(AND($B193&lt;&gt;"", $G193&lt;&gt;"TBD"), ($B193-$G193)*1440, "")</f>
        <v>9.8666666666666369</v>
      </c>
      <c r="F193" s="2">
        <f t="shared" si="3"/>
        <v>3</v>
      </c>
      <c r="G193" s="9">
        <f>_xlfn.XLOOKUP(Log!A193, 'Daily Summary'!A:A, 'Daily Summary'!C:C, "TBD")</f>
        <v>0.43472222222222223</v>
      </c>
    </row>
    <row r="194" spans="1:7" x14ac:dyDescent="0.3">
      <c r="A194" s="1">
        <v>46248</v>
      </c>
      <c r="B194" s="9">
        <v>0.44436342592592593</v>
      </c>
      <c r="C194" s="7">
        <v>49</v>
      </c>
      <c r="D194" s="2">
        <v>49</v>
      </c>
      <c r="E194" s="6">
        <f>IF(AND($B194&lt;&gt;"", $G194&lt;&gt;"TBD"), ($B194-$G194)*1440, "")</f>
        <v>13.883333333333319</v>
      </c>
      <c r="F194" s="2">
        <f t="shared" si="3"/>
        <v>0</v>
      </c>
      <c r="G194" s="9">
        <f>_xlfn.XLOOKUP(Log!A194, 'Daily Summary'!A:A, 'Daily Summary'!C:C, "TBD")</f>
        <v>0.43472222222222223</v>
      </c>
    </row>
    <row r="195" spans="1:7" x14ac:dyDescent="0.3">
      <c r="A195" s="1">
        <v>46248</v>
      </c>
      <c r="B195" s="9">
        <v>0.44575231481481481</v>
      </c>
      <c r="C195" s="7">
        <v>49</v>
      </c>
      <c r="D195" s="2">
        <v>52</v>
      </c>
      <c r="E195" s="6">
        <f>IF(AND($B195&lt;&gt;"", $G195&lt;&gt;"TBD"), ($B195-$G195)*1440, "")</f>
        <v>15.883333333333312</v>
      </c>
      <c r="F195" s="2">
        <f t="shared" si="3"/>
        <v>3</v>
      </c>
      <c r="G195" s="9">
        <f>_xlfn.XLOOKUP(Log!A195, 'Daily Summary'!A:A, 'Daily Summary'!C:C, "TBD")</f>
        <v>0.43472222222222223</v>
      </c>
    </row>
    <row r="196" spans="1:7" x14ac:dyDescent="0.3">
      <c r="A196" s="1">
        <v>46248</v>
      </c>
      <c r="B196" s="9">
        <v>0.44715277777777779</v>
      </c>
      <c r="C196" s="7">
        <v>52</v>
      </c>
      <c r="D196" s="2">
        <v>52</v>
      </c>
      <c r="E196" s="6">
        <f>IF(AND($B196&lt;&gt;"", $G196&lt;&gt;"TBD"), ($B196-$G196)*1440, "")</f>
        <v>17.899999999999999</v>
      </c>
      <c r="F196" s="2">
        <f t="shared" si="3"/>
        <v>0</v>
      </c>
      <c r="G196" s="9">
        <f>_xlfn.XLOOKUP(Log!A196, 'Daily Summary'!A:A, 'Daily Summary'!C:C, "TBD")</f>
        <v>0.43472222222222223</v>
      </c>
    </row>
    <row r="197" spans="1:7" x14ac:dyDescent="0.3">
      <c r="A197" s="1">
        <v>46248</v>
      </c>
      <c r="B197" s="9">
        <v>0.44855324074074077</v>
      </c>
      <c r="C197" s="7">
        <v>52</v>
      </c>
      <c r="D197" s="2">
        <v>52</v>
      </c>
      <c r="E197" s="6">
        <f>IF(AND($B197&lt;&gt;"", $G197&lt;&gt;"TBD"), ($B197-$G197)*1440, "")</f>
        <v>19.916666666666689</v>
      </c>
      <c r="F197" s="2">
        <f t="shared" si="3"/>
        <v>0</v>
      </c>
      <c r="G197" s="9">
        <f>_xlfn.XLOOKUP(Log!A197, 'Daily Summary'!A:A, 'Daily Summary'!C:C, "TBD")</f>
        <v>0.43472222222222223</v>
      </c>
    </row>
    <row r="198" spans="1:7" x14ac:dyDescent="0.3">
      <c r="A198" s="1">
        <v>46248</v>
      </c>
      <c r="B198" s="9">
        <v>0.44994212962962965</v>
      </c>
      <c r="C198" s="7">
        <v>52</v>
      </c>
      <c r="D198" s="2">
        <v>55</v>
      </c>
      <c r="E198" s="6">
        <f>IF(AND($B198&lt;&gt;"", $G198&lt;&gt;"TBD"), ($B198-$G198)*1440, "")</f>
        <v>21.916666666666682</v>
      </c>
      <c r="F198" s="2">
        <f t="shared" si="3"/>
        <v>3</v>
      </c>
      <c r="G198" s="9">
        <f>_xlfn.XLOOKUP(Log!A198, 'Daily Summary'!A:A, 'Daily Summary'!C:C, "TBD")</f>
        <v>0.43472222222222223</v>
      </c>
    </row>
    <row r="199" spans="1:7" x14ac:dyDescent="0.3">
      <c r="A199" s="1">
        <v>46248</v>
      </c>
      <c r="B199" s="9">
        <v>0.45134259259259257</v>
      </c>
      <c r="C199" s="7">
        <v>55</v>
      </c>
      <c r="D199" s="2">
        <v>55</v>
      </c>
      <c r="E199" s="6">
        <f>IF(AND($B199&lt;&gt;"", $G199&lt;&gt;"TBD"), ($B199-$G199)*1440, "")</f>
        <v>23.933333333333291</v>
      </c>
      <c r="F199" s="2">
        <f t="shared" si="3"/>
        <v>0</v>
      </c>
      <c r="G199" s="9">
        <f>_xlfn.XLOOKUP(Log!A199, 'Daily Summary'!A:A, 'Daily Summary'!C:C, "TBD")</f>
        <v>0.43472222222222223</v>
      </c>
    </row>
    <row r="200" spans="1:7" x14ac:dyDescent="0.3">
      <c r="A200" s="1">
        <v>46248</v>
      </c>
      <c r="B200" s="9">
        <v>0.45274305555555555</v>
      </c>
      <c r="C200" s="7">
        <v>55</v>
      </c>
      <c r="D200" s="2">
        <v>55</v>
      </c>
      <c r="E200" s="6">
        <f>IF(AND($B200&lt;&gt;"", $G200&lt;&gt;"TBD"), ($B200-$G200)*1440, "")</f>
        <v>25.949999999999982</v>
      </c>
      <c r="F200" s="2">
        <f t="shared" si="3"/>
        <v>0</v>
      </c>
      <c r="G200" s="9">
        <f>_xlfn.XLOOKUP(Log!A200, 'Daily Summary'!A:A, 'Daily Summary'!C:C, "TBD")</f>
        <v>0.43472222222222223</v>
      </c>
    </row>
    <row r="201" spans="1:7" x14ac:dyDescent="0.3">
      <c r="A201" s="1">
        <v>46248</v>
      </c>
      <c r="B201" s="9">
        <v>0.45413194444444444</v>
      </c>
      <c r="C201" s="7">
        <v>55</v>
      </c>
      <c r="D201" s="2">
        <v>58</v>
      </c>
      <c r="E201" s="6">
        <f>IF(AND($B201&lt;&gt;"", $G201&lt;&gt;"TBD"), ($B201-$G201)*1440, "")</f>
        <v>27.949999999999974</v>
      </c>
      <c r="F201" s="2">
        <f t="shared" si="3"/>
        <v>3</v>
      </c>
      <c r="G201" s="9">
        <f>_xlfn.XLOOKUP(Log!A201, 'Daily Summary'!A:A, 'Daily Summary'!C:C, "TBD")</f>
        <v>0.43472222222222223</v>
      </c>
    </row>
    <row r="202" spans="1:7" x14ac:dyDescent="0.3">
      <c r="A202" s="1">
        <v>46248</v>
      </c>
      <c r="B202" s="9">
        <v>0.45553240740740741</v>
      </c>
      <c r="C202" s="7">
        <v>55</v>
      </c>
      <c r="D202" s="2">
        <v>58</v>
      </c>
      <c r="E202" s="6">
        <f>IF(AND($B202&lt;&gt;"", $G202&lt;&gt;"TBD"), ($B202-$G202)*1440, "")</f>
        <v>29.966666666666661</v>
      </c>
      <c r="F202" s="2">
        <f t="shared" si="3"/>
        <v>3</v>
      </c>
      <c r="G202" s="9">
        <f>_xlfn.XLOOKUP(Log!A202, 'Daily Summary'!A:A, 'Daily Summary'!C:C, "TBD")</f>
        <v>0.43472222222222223</v>
      </c>
    </row>
    <row r="203" spans="1:7" x14ac:dyDescent="0.3">
      <c r="A203" s="1">
        <v>46248</v>
      </c>
      <c r="B203" s="9">
        <v>0.4569212962962963</v>
      </c>
      <c r="C203" s="7">
        <v>58</v>
      </c>
      <c r="D203" s="2">
        <v>58</v>
      </c>
      <c r="E203" s="6">
        <f>IF(AND($B203&lt;&gt;"", $G203&lt;&gt;"TBD"), ($B203-$G203)*1440, "")</f>
        <v>31.966666666666654</v>
      </c>
      <c r="F203" s="2">
        <f t="shared" si="3"/>
        <v>0</v>
      </c>
      <c r="G203" s="9">
        <f>_xlfn.XLOOKUP(Log!A203, 'Daily Summary'!A:A, 'Daily Summary'!C:C, "TBD")</f>
        <v>0.43472222222222223</v>
      </c>
    </row>
    <row r="204" spans="1:7" x14ac:dyDescent="0.3">
      <c r="A204" s="1">
        <v>46248</v>
      </c>
      <c r="B204" s="9">
        <v>0.45831018518518518</v>
      </c>
      <c r="C204" s="7">
        <v>58</v>
      </c>
      <c r="D204" s="2">
        <v>58</v>
      </c>
      <c r="E204" s="6">
        <f>IF(AND($B204&lt;&gt;"", $G204&lt;&gt;"TBD"), ($B204-$G204)*1440, "")</f>
        <v>33.966666666666647</v>
      </c>
      <c r="F204" s="2">
        <f t="shared" si="3"/>
        <v>0</v>
      </c>
      <c r="G204" s="9">
        <f>_xlfn.XLOOKUP(Log!A204, 'Daily Summary'!A:A, 'Daily Summary'!C:C, "TBD")</f>
        <v>0.43472222222222223</v>
      </c>
    </row>
    <row r="205" spans="1:7" x14ac:dyDescent="0.3">
      <c r="A205" s="1">
        <v>46251</v>
      </c>
      <c r="B205" s="9">
        <v>0.56111111111111112</v>
      </c>
      <c r="C205" s="7">
        <v>29</v>
      </c>
      <c r="D205" s="2">
        <v>31</v>
      </c>
      <c r="E205" s="6">
        <f>IF(AND($B205&lt;&gt;"", $G205&lt;&gt;"TBD"), ($B205-$G205)*1440, "")</f>
        <v>2.9999999999999893</v>
      </c>
      <c r="F205" s="2">
        <f t="shared" si="3"/>
        <v>2</v>
      </c>
      <c r="G205" s="9">
        <f>_xlfn.XLOOKUP(Log!A205, 'Daily Summary'!A:A, 'Daily Summary'!C:C, "TBD")</f>
        <v>0.55902777777777779</v>
      </c>
    </row>
    <row r="206" spans="1:7" x14ac:dyDescent="0.3">
      <c r="A206" s="1">
        <v>46251</v>
      </c>
      <c r="B206" s="9">
        <v>0.56137731481481479</v>
      </c>
      <c r="C206" s="7">
        <v>32</v>
      </c>
      <c r="D206" s="2">
        <v>33</v>
      </c>
      <c r="E206" s="6">
        <f>IF(AND($B206&lt;&gt;"", $G206&lt;&gt;"TBD"), ($B206-$G206)*1440, "")</f>
        <v>3.383333333333276</v>
      </c>
      <c r="F206" s="2">
        <f t="shared" si="3"/>
        <v>1</v>
      </c>
      <c r="G206" s="9">
        <f>_xlfn.XLOOKUP(Log!A206, 'Daily Summary'!A:A, 'Daily Summary'!C:C, "TBD")</f>
        <v>0.55902777777777779</v>
      </c>
    </row>
    <row r="207" spans="1:7" x14ac:dyDescent="0.3">
      <c r="A207" s="1">
        <v>46251</v>
      </c>
      <c r="B207" s="9">
        <v>0.56277777777777782</v>
      </c>
      <c r="C207" s="7">
        <v>36</v>
      </c>
      <c r="D207" s="2">
        <v>38</v>
      </c>
      <c r="E207" s="6">
        <f>IF(AND($B207&lt;&gt;"", $G207&lt;&gt;"TBD"), ($B207-$G207)*1440, "")</f>
        <v>5.4000000000000448</v>
      </c>
      <c r="F207" s="2">
        <f t="shared" si="3"/>
        <v>2</v>
      </c>
      <c r="G207" s="9">
        <f>_xlfn.XLOOKUP(Log!A207, 'Daily Summary'!A:A, 'Daily Summary'!C:C, "TBD")</f>
        <v>0.55902777777777779</v>
      </c>
    </row>
    <row r="208" spans="1:7" x14ac:dyDescent="0.3">
      <c r="A208" s="1">
        <v>46251</v>
      </c>
      <c r="B208" s="9">
        <v>0.56417824074074074</v>
      </c>
      <c r="C208" s="7">
        <v>39</v>
      </c>
      <c r="D208" s="2">
        <v>41</v>
      </c>
      <c r="E208" s="6">
        <f>IF(AND($B208&lt;&gt;"", $G208&lt;&gt;"TBD"), ($B208-$G208)*1440, "")</f>
        <v>7.4166666666666536</v>
      </c>
      <c r="F208" s="2">
        <f t="shared" si="3"/>
        <v>2</v>
      </c>
      <c r="G208" s="9">
        <f>_xlfn.XLOOKUP(Log!A208, 'Daily Summary'!A:A, 'Daily Summary'!C:C, "TBD")</f>
        <v>0.55902777777777779</v>
      </c>
    </row>
    <row r="209" spans="1:7" x14ac:dyDescent="0.3">
      <c r="A209" s="1">
        <v>46251</v>
      </c>
      <c r="B209" s="9">
        <v>0.56557870370370367</v>
      </c>
      <c r="C209" s="7">
        <v>41</v>
      </c>
      <c r="D209" s="2">
        <v>44</v>
      </c>
      <c r="E209" s="6">
        <f>IF(AND($B209&lt;&gt;"", $G209&lt;&gt;"TBD"), ($B209-$G209)*1440, "")</f>
        <v>9.4333333333332625</v>
      </c>
      <c r="F209" s="2">
        <f t="shared" si="3"/>
        <v>3</v>
      </c>
      <c r="G209" s="9">
        <f>_xlfn.XLOOKUP(Log!A209, 'Daily Summary'!A:A, 'Daily Summary'!C:C, "TBD")</f>
        <v>0.55902777777777779</v>
      </c>
    </row>
    <row r="210" spans="1:7" x14ac:dyDescent="0.3">
      <c r="A210" s="1">
        <v>46251</v>
      </c>
      <c r="B210" s="9">
        <v>0.56696759259259255</v>
      </c>
      <c r="C210" s="7">
        <v>44</v>
      </c>
      <c r="D210" s="2">
        <v>45</v>
      </c>
      <c r="E210" s="6">
        <f>IF(AND($B210&lt;&gt;"", $G210&lt;&gt;"TBD"), ($B210-$G210)*1440, "")</f>
        <v>11.433333333333255</v>
      </c>
      <c r="F210" s="2">
        <f t="shared" si="3"/>
        <v>1</v>
      </c>
      <c r="G210" s="9">
        <f>_xlfn.XLOOKUP(Log!A210, 'Daily Summary'!A:A, 'Daily Summary'!C:C, "TBD")</f>
        <v>0.55902777777777779</v>
      </c>
    </row>
    <row r="211" spans="1:7" x14ac:dyDescent="0.3">
      <c r="A211" s="1">
        <v>46251</v>
      </c>
      <c r="B211" s="9">
        <v>0.56836805555555558</v>
      </c>
      <c r="C211" s="7">
        <v>45</v>
      </c>
      <c r="D211" s="2">
        <v>47</v>
      </c>
      <c r="E211" s="6">
        <f>IF(AND($B211&lt;&gt;"", $G211&lt;&gt;"TBD"), ($B211-$G211)*1440, "")</f>
        <v>13.450000000000024</v>
      </c>
      <c r="F211" s="2">
        <f t="shared" si="3"/>
        <v>2</v>
      </c>
      <c r="G211" s="9">
        <f>_xlfn.XLOOKUP(Log!A211, 'Daily Summary'!A:A, 'Daily Summary'!C:C, "TBD")</f>
        <v>0.55902777777777779</v>
      </c>
    </row>
    <row r="212" spans="1:7" x14ac:dyDescent="0.3">
      <c r="A212" s="1">
        <v>46251</v>
      </c>
      <c r="B212" s="9">
        <v>0.56975694444444447</v>
      </c>
      <c r="C212" s="7">
        <v>47</v>
      </c>
      <c r="D212" s="2">
        <v>49</v>
      </c>
      <c r="E212" s="6">
        <f>IF(AND($B212&lt;&gt;"", $G212&lt;&gt;"TBD"), ($B212-$G212)*1440, "")</f>
        <v>15.450000000000017</v>
      </c>
      <c r="F212" s="2">
        <f t="shared" si="3"/>
        <v>2</v>
      </c>
      <c r="G212" s="9">
        <f>_xlfn.XLOOKUP(Log!A212, 'Daily Summary'!A:A, 'Daily Summary'!C:C, "TBD")</f>
        <v>0.55902777777777779</v>
      </c>
    </row>
    <row r="213" spans="1:7" x14ac:dyDescent="0.3">
      <c r="A213" s="1">
        <v>46251</v>
      </c>
      <c r="B213" s="9">
        <v>0.57115740740740739</v>
      </c>
      <c r="C213" s="7">
        <v>48</v>
      </c>
      <c r="D213" s="2">
        <v>49</v>
      </c>
      <c r="E213" s="6">
        <f>IF(AND($B213&lt;&gt;"", $G213&lt;&gt;"TBD"), ($B213-$G213)*1440, "")</f>
        <v>17.466666666666626</v>
      </c>
      <c r="F213" s="2">
        <f t="shared" si="3"/>
        <v>1</v>
      </c>
      <c r="G213" s="9">
        <f>_xlfn.XLOOKUP(Log!A213, 'Daily Summary'!A:A, 'Daily Summary'!C:C, "TBD")</f>
        <v>0.55902777777777779</v>
      </c>
    </row>
    <row r="214" spans="1:7" x14ac:dyDescent="0.3">
      <c r="A214" s="1">
        <v>46251</v>
      </c>
      <c r="B214" s="9">
        <v>0.57255787037037043</v>
      </c>
      <c r="C214" s="7">
        <v>49</v>
      </c>
      <c r="D214" s="2">
        <v>52</v>
      </c>
      <c r="E214" s="6">
        <f>IF(AND($B214&lt;&gt;"", $G214&lt;&gt;"TBD"), ($B214-$G214)*1440, "")</f>
        <v>19.483333333333395</v>
      </c>
      <c r="F214" s="2">
        <f t="shared" si="3"/>
        <v>3</v>
      </c>
      <c r="G214" s="9">
        <f>_xlfn.XLOOKUP(Log!A214, 'Daily Summary'!A:A, 'Daily Summary'!C:C, "TBD")</f>
        <v>0.55902777777777779</v>
      </c>
    </row>
    <row r="215" spans="1:7" x14ac:dyDescent="0.3">
      <c r="A215" s="1">
        <v>46251</v>
      </c>
      <c r="B215" s="9">
        <v>0.57394675925925931</v>
      </c>
      <c r="C215" s="7">
        <v>51</v>
      </c>
      <c r="D215" s="2">
        <v>52</v>
      </c>
      <c r="E215" s="6">
        <f>IF(AND($B215&lt;&gt;"", $G215&lt;&gt;"TBD"), ($B215-$G215)*1440, "")</f>
        <v>21.483333333333388</v>
      </c>
      <c r="F215" s="2">
        <f t="shared" si="3"/>
        <v>1</v>
      </c>
      <c r="G215" s="9">
        <f>_xlfn.XLOOKUP(Log!A215, 'Daily Summary'!A:A, 'Daily Summary'!C:C, "TBD")</f>
        <v>0.55902777777777779</v>
      </c>
    </row>
    <row r="216" spans="1:7" x14ac:dyDescent="0.3">
      <c r="A216" s="1">
        <v>46251</v>
      </c>
      <c r="B216" s="9">
        <v>0.57534722222222223</v>
      </c>
      <c r="C216" s="7">
        <v>51</v>
      </c>
      <c r="D216" s="2">
        <v>52</v>
      </c>
      <c r="E216" s="6">
        <f>IF(AND($B216&lt;&gt;"", $G216&lt;&gt;"TBD"), ($B216-$G216)*1440, "")</f>
        <v>23.499999999999996</v>
      </c>
      <c r="F216" s="2">
        <f t="shared" si="3"/>
        <v>1</v>
      </c>
      <c r="G216" s="9">
        <f>_xlfn.XLOOKUP(Log!A216, 'Daily Summary'!A:A, 'Daily Summary'!C:C, "TBD")</f>
        <v>0.55902777777777779</v>
      </c>
    </row>
    <row r="217" spans="1:7" x14ac:dyDescent="0.3">
      <c r="A217" s="1">
        <v>46251</v>
      </c>
      <c r="B217" s="9">
        <v>0.57673611111111112</v>
      </c>
      <c r="C217" s="7">
        <v>52</v>
      </c>
      <c r="D217" s="2">
        <v>55</v>
      </c>
      <c r="E217" s="6">
        <f>IF(AND($B217&lt;&gt;"", $G217&lt;&gt;"TBD"), ($B217-$G217)*1440, "")</f>
        <v>25.499999999999989</v>
      </c>
      <c r="F217" s="2">
        <f t="shared" si="3"/>
        <v>3</v>
      </c>
      <c r="G217" s="9">
        <f>_xlfn.XLOOKUP(Log!A217, 'Daily Summary'!A:A, 'Daily Summary'!C:C, "TBD")</f>
        <v>0.55902777777777779</v>
      </c>
    </row>
    <row r="218" spans="1:7" x14ac:dyDescent="0.3">
      <c r="A218" s="1">
        <v>46251</v>
      </c>
      <c r="B218" s="9">
        <v>0.578125</v>
      </c>
      <c r="C218" s="7">
        <v>54</v>
      </c>
      <c r="D218" s="2">
        <v>55</v>
      </c>
      <c r="E218" s="6">
        <f>IF(AND($B218&lt;&gt;"", $G218&lt;&gt;"TBD"), ($B218-$G218)*1440, "")</f>
        <v>27.499999999999982</v>
      </c>
      <c r="F218" s="2">
        <f t="shared" si="3"/>
        <v>1</v>
      </c>
      <c r="G218" s="9">
        <f>_xlfn.XLOOKUP(Log!A218, 'Daily Summary'!A:A, 'Daily Summary'!C:C, "TBD")</f>
        <v>0.55902777777777779</v>
      </c>
    </row>
    <row r="219" spans="1:7" x14ac:dyDescent="0.3">
      <c r="A219" s="1">
        <v>46251</v>
      </c>
      <c r="B219" s="9">
        <v>0.57951388888888888</v>
      </c>
      <c r="C219" s="7">
        <v>54</v>
      </c>
      <c r="D219" s="2">
        <v>55</v>
      </c>
      <c r="E219" s="6">
        <f>IF(AND($B219&lt;&gt;"", $G219&lt;&gt;"TBD"), ($B219-$G219)*1440, "")</f>
        <v>29.499999999999975</v>
      </c>
      <c r="F219" s="2">
        <f t="shared" si="3"/>
        <v>1</v>
      </c>
      <c r="G219" s="9">
        <f>_xlfn.XLOOKUP(Log!A219, 'Daily Summary'!A:A, 'Daily Summary'!C:C, "TBD")</f>
        <v>0.55902777777777779</v>
      </c>
    </row>
    <row r="220" spans="1:7" x14ac:dyDescent="0.3">
      <c r="A220" s="1">
        <v>46251</v>
      </c>
      <c r="B220" s="9">
        <v>0.58090277777777777</v>
      </c>
      <c r="C220" s="7">
        <v>54</v>
      </c>
      <c r="D220" s="2">
        <v>55</v>
      </c>
      <c r="E220" s="6">
        <f>IF(AND($B220&lt;&gt;"", $G220&lt;&gt;"TBD"), ($B220-$G220)*1440, "")</f>
        <v>31.499999999999968</v>
      </c>
      <c r="F220" s="2">
        <f t="shared" si="3"/>
        <v>1</v>
      </c>
      <c r="G220" s="9">
        <f>_xlfn.XLOOKUP(Log!A220, 'Daily Summary'!A:A, 'Daily Summary'!C:C, "TBD")</f>
        <v>0.55902777777777779</v>
      </c>
    </row>
    <row r="221" spans="1:7" x14ac:dyDescent="0.3">
      <c r="A221" s="1">
        <v>46252</v>
      </c>
      <c r="B221" s="9">
        <v>0.42708333333333331</v>
      </c>
      <c r="C221" s="7">
        <v>29</v>
      </c>
      <c r="D221" s="2">
        <v>30</v>
      </c>
      <c r="E221" s="6">
        <f>IF(AND($B221&lt;&gt;"", $G221&lt;&gt;"TBD"), ($B221-$G221)*1440, "")</f>
        <v>0</v>
      </c>
      <c r="F221" s="2">
        <f t="shared" si="3"/>
        <v>1</v>
      </c>
      <c r="G221" s="9">
        <f>_xlfn.XLOOKUP(Log!A221, 'Daily Summary'!A:A, 'Daily Summary'!C:C, "TBD")</f>
        <v>0.42708333333333331</v>
      </c>
    </row>
    <row r="222" spans="1:7" x14ac:dyDescent="0.3">
      <c r="A222" s="1">
        <v>46252</v>
      </c>
      <c r="B222" s="9">
        <v>0.42815972222222221</v>
      </c>
      <c r="C222" s="7">
        <v>33</v>
      </c>
      <c r="D222" s="2">
        <v>35</v>
      </c>
      <c r="E222" s="6">
        <f>IF(AND($B222&lt;&gt;"", $G222&lt;&gt;"TBD"), ($B222-$G222)*1440, "")</f>
        <v>1.5500000000000025</v>
      </c>
      <c r="F222" s="2">
        <f t="shared" si="3"/>
        <v>2</v>
      </c>
      <c r="G222" s="9">
        <f>_xlfn.XLOOKUP(Log!A222, 'Daily Summary'!A:A, 'Daily Summary'!C:C, "TBD")</f>
        <v>0.42708333333333331</v>
      </c>
    </row>
    <row r="223" spans="1:7" x14ac:dyDescent="0.3">
      <c r="A223" s="1">
        <v>46252</v>
      </c>
      <c r="B223" s="9">
        <v>0.42956018518518518</v>
      </c>
      <c r="C223" s="7">
        <v>38</v>
      </c>
      <c r="D223" s="2">
        <v>39</v>
      </c>
      <c r="E223" s="6">
        <f>IF(AND($B223&lt;&gt;"", $G223&lt;&gt;"TBD"), ($B223-$G223)*1440, "")</f>
        <v>3.5666666666666913</v>
      </c>
      <c r="F223" s="2">
        <f t="shared" si="3"/>
        <v>1</v>
      </c>
      <c r="G223" s="9">
        <f>_xlfn.XLOOKUP(Log!A223, 'Daily Summary'!A:A, 'Daily Summary'!C:C, "TBD")</f>
        <v>0.42708333333333331</v>
      </c>
    </row>
    <row r="224" spans="1:7" x14ac:dyDescent="0.3">
      <c r="A224" s="1">
        <v>46252</v>
      </c>
      <c r="B224" s="9">
        <v>0.43094907407407407</v>
      </c>
      <c r="C224" s="7">
        <v>41</v>
      </c>
      <c r="D224" s="2">
        <v>42</v>
      </c>
      <c r="E224" s="6">
        <f>IF(AND($B224&lt;&gt;"", $G224&lt;&gt;"TBD"), ($B224-$G224)*1440, "")</f>
        <v>5.5666666666666842</v>
      </c>
      <c r="F224" s="2">
        <f t="shared" si="3"/>
        <v>1</v>
      </c>
      <c r="G224" s="9">
        <f>_xlfn.XLOOKUP(Log!A224, 'Daily Summary'!A:A, 'Daily Summary'!C:C, "TBD")</f>
        <v>0.42708333333333331</v>
      </c>
    </row>
    <row r="225" spans="1:7" x14ac:dyDescent="0.3">
      <c r="A225" s="1">
        <v>46252</v>
      </c>
      <c r="B225" s="9">
        <v>0.43234953703703705</v>
      </c>
      <c r="C225" s="7">
        <v>41</v>
      </c>
      <c r="D225" s="2">
        <v>44</v>
      </c>
      <c r="E225" s="6">
        <f>IF(AND($B225&lt;&gt;"", $G225&lt;&gt;"TBD"), ($B225-$G225)*1440, "")</f>
        <v>7.583333333333373</v>
      </c>
      <c r="F225" s="2">
        <f t="shared" si="3"/>
        <v>3</v>
      </c>
      <c r="G225" s="9">
        <f>_xlfn.XLOOKUP(Log!A225, 'Daily Summary'!A:A, 'Daily Summary'!C:C, "TBD")</f>
        <v>0.42708333333333331</v>
      </c>
    </row>
    <row r="226" spans="1:7" x14ac:dyDescent="0.3">
      <c r="A226" s="1">
        <v>46252</v>
      </c>
      <c r="B226" s="9">
        <v>0.43375000000000002</v>
      </c>
      <c r="C226" s="7">
        <v>44</v>
      </c>
      <c r="D226" s="2">
        <v>47</v>
      </c>
      <c r="E226" s="6">
        <f>IF(AND($B226&lt;&gt;"", $G226&lt;&gt;"TBD"), ($B226-$G226)*1440, "")</f>
        <v>9.6000000000000618</v>
      </c>
      <c r="F226" s="2">
        <f t="shared" si="3"/>
        <v>3</v>
      </c>
      <c r="G226" s="9">
        <f>_xlfn.XLOOKUP(Log!A226, 'Daily Summary'!A:A, 'Daily Summary'!C:C, "TBD")</f>
        <v>0.42708333333333331</v>
      </c>
    </row>
    <row r="227" spans="1:7" x14ac:dyDescent="0.3">
      <c r="A227" s="1">
        <v>46252</v>
      </c>
      <c r="B227" s="9">
        <v>0.43513888888888891</v>
      </c>
      <c r="C227" s="7">
        <v>45</v>
      </c>
      <c r="D227" s="2">
        <v>49</v>
      </c>
      <c r="E227" s="6">
        <f>IF(AND($B227&lt;&gt;"", $G227&lt;&gt;"TBD"), ($B227-$G227)*1440, "")</f>
        <v>11.600000000000055</v>
      </c>
      <c r="F227" s="2">
        <f t="shared" si="3"/>
        <v>4</v>
      </c>
      <c r="G227" s="9">
        <f>_xlfn.XLOOKUP(Log!A227, 'Daily Summary'!A:A, 'Daily Summary'!C:C, "TBD")</f>
        <v>0.42708333333333331</v>
      </c>
    </row>
    <row r="228" spans="1:7" x14ac:dyDescent="0.3">
      <c r="A228" s="1">
        <v>46252</v>
      </c>
      <c r="B228" s="9">
        <v>0.43653935185185183</v>
      </c>
      <c r="C228" s="7">
        <v>48</v>
      </c>
      <c r="D228" s="2">
        <v>49</v>
      </c>
      <c r="E228" s="6">
        <f>IF(AND($B228&lt;&gt;"", $G228&lt;&gt;"TBD"), ($B228-$G228)*1440, "")</f>
        <v>13.616666666666664</v>
      </c>
      <c r="F228" s="2">
        <f t="shared" si="3"/>
        <v>1</v>
      </c>
      <c r="G228" s="9">
        <f>_xlfn.XLOOKUP(Log!A228, 'Daily Summary'!A:A, 'Daily Summary'!C:C, "TBD")</f>
        <v>0.42708333333333331</v>
      </c>
    </row>
    <row r="229" spans="1:7" x14ac:dyDescent="0.3">
      <c r="A229" s="1">
        <v>46252</v>
      </c>
      <c r="B229" s="9">
        <v>0.43793981481481481</v>
      </c>
      <c r="C229" s="7">
        <v>48</v>
      </c>
      <c r="D229" s="2">
        <v>52</v>
      </c>
      <c r="E229" s="6">
        <f>IF(AND($B229&lt;&gt;"", $G229&lt;&gt;"TBD"), ($B229-$G229)*1440, "")</f>
        <v>15.633333333333352</v>
      </c>
      <c r="F229" s="2">
        <f t="shared" si="3"/>
        <v>4</v>
      </c>
      <c r="G229" s="9">
        <f>_xlfn.XLOOKUP(Log!A229, 'Daily Summary'!A:A, 'Daily Summary'!C:C, "TBD")</f>
        <v>0.42708333333333331</v>
      </c>
    </row>
    <row r="230" spans="1:7" x14ac:dyDescent="0.3">
      <c r="A230" s="1">
        <v>46252</v>
      </c>
      <c r="B230" s="9">
        <v>0.43932870370370369</v>
      </c>
      <c r="C230" s="7">
        <v>49</v>
      </c>
      <c r="D230" s="2">
        <v>52</v>
      </c>
      <c r="E230" s="6">
        <f>IF(AND($B230&lt;&gt;"", $G230&lt;&gt;"TBD"), ($B230-$G230)*1440, "")</f>
        <v>17.633333333333347</v>
      </c>
      <c r="F230" s="2">
        <f t="shared" si="3"/>
        <v>3</v>
      </c>
      <c r="G230" s="9">
        <f>_xlfn.XLOOKUP(Log!A230, 'Daily Summary'!A:A, 'Daily Summary'!C:C, "TBD")</f>
        <v>0.42708333333333331</v>
      </c>
    </row>
    <row r="231" spans="1:7" x14ac:dyDescent="0.3">
      <c r="A231" s="1">
        <v>46252</v>
      </c>
      <c r="B231" s="9">
        <v>0.44071759259259258</v>
      </c>
      <c r="C231" s="7">
        <v>51</v>
      </c>
      <c r="D231" s="2">
        <v>52</v>
      </c>
      <c r="E231" s="6">
        <f>IF(AND($B231&lt;&gt;"", $G231&lt;&gt;"TBD"), ($B231-$G231)*1440, "")</f>
        <v>19.63333333333334</v>
      </c>
      <c r="F231" s="2">
        <f t="shared" si="3"/>
        <v>1</v>
      </c>
      <c r="G231" s="9">
        <f>_xlfn.XLOOKUP(Log!A231, 'Daily Summary'!A:A, 'Daily Summary'!C:C, "TBD")</f>
        <v>0.42708333333333331</v>
      </c>
    </row>
    <row r="232" spans="1:7" x14ac:dyDescent="0.3">
      <c r="A232" s="1">
        <v>46252</v>
      </c>
      <c r="B232" s="9">
        <v>0.44211805555555556</v>
      </c>
      <c r="C232" s="7">
        <v>52</v>
      </c>
      <c r="D232" s="2">
        <v>55</v>
      </c>
      <c r="E232" s="6">
        <f>IF(AND($B232&lt;&gt;"", $G232&lt;&gt;"TBD"), ($B232-$G232)*1440, "")</f>
        <v>21.650000000000027</v>
      </c>
      <c r="F232" s="2">
        <f t="shared" si="3"/>
        <v>3</v>
      </c>
      <c r="G232" s="9">
        <f>_xlfn.XLOOKUP(Log!A232, 'Daily Summary'!A:A, 'Daily Summary'!C:C, "TBD")</f>
        <v>0.42708333333333331</v>
      </c>
    </row>
    <row r="233" spans="1:7" x14ac:dyDescent="0.3">
      <c r="A233" s="1">
        <v>46252</v>
      </c>
      <c r="B233" s="9">
        <v>0.44350694444444444</v>
      </c>
      <c r="C233" s="7">
        <v>52</v>
      </c>
      <c r="D233" s="2">
        <v>55</v>
      </c>
      <c r="E233" s="6">
        <f>IF(AND($B233&lt;&gt;"", $G233&lt;&gt;"TBD"), ($B233-$G233)*1440, "")</f>
        <v>23.65000000000002</v>
      </c>
      <c r="F233" s="2">
        <f t="shared" si="3"/>
        <v>3</v>
      </c>
      <c r="G233" s="9">
        <f>_xlfn.XLOOKUP(Log!A233, 'Daily Summary'!A:A, 'Daily Summary'!C:C, "TBD")</f>
        <v>0.42708333333333331</v>
      </c>
    </row>
    <row r="234" spans="1:7" x14ac:dyDescent="0.3">
      <c r="A234" s="1">
        <v>46252</v>
      </c>
      <c r="B234" s="9">
        <v>0.44489583333333332</v>
      </c>
      <c r="C234" s="7">
        <v>54</v>
      </c>
      <c r="D234" s="2">
        <v>55</v>
      </c>
      <c r="E234" s="6">
        <f>IF(AND($B234&lt;&gt;"", $G234&lt;&gt;"TBD"), ($B234-$G234)*1440, "")</f>
        <v>25.650000000000013</v>
      </c>
      <c r="F234" s="2">
        <f t="shared" si="3"/>
        <v>1</v>
      </c>
      <c r="G234" s="9">
        <f>_xlfn.XLOOKUP(Log!A234, 'Daily Summary'!A:A, 'Daily Summary'!C:C, "TBD")</f>
        <v>0.42708333333333331</v>
      </c>
    </row>
    <row r="235" spans="1:7" x14ac:dyDescent="0.3">
      <c r="A235" s="1">
        <v>46252</v>
      </c>
      <c r="B235" s="9">
        <v>0.4462962962962963</v>
      </c>
      <c r="C235" s="7">
        <v>54</v>
      </c>
      <c r="D235" s="2">
        <v>58</v>
      </c>
      <c r="E235" s="6">
        <f>IF(AND($B235&lt;&gt;"", $G235&lt;&gt;"TBD"), ($B235-$G235)*1440, "")</f>
        <v>27.6666666666667</v>
      </c>
      <c r="F235" s="2">
        <f t="shared" si="3"/>
        <v>4</v>
      </c>
      <c r="G235" s="9">
        <f>_xlfn.XLOOKUP(Log!A235, 'Daily Summary'!A:A, 'Daily Summary'!C:C, "TBD")</f>
        <v>0.42708333333333331</v>
      </c>
    </row>
    <row r="236" spans="1:7" x14ac:dyDescent="0.3">
      <c r="A236" s="1">
        <v>46252</v>
      </c>
      <c r="B236" s="9">
        <v>0.44769675925925928</v>
      </c>
      <c r="C236" s="7">
        <v>55</v>
      </c>
      <c r="D236" s="2">
        <v>58</v>
      </c>
      <c r="E236" s="6">
        <f>IF(AND($B236&lt;&gt;"", $G236&lt;&gt;"TBD"), ($B236-$G236)*1440, "")</f>
        <v>29.68333333333339</v>
      </c>
      <c r="F236" s="2">
        <f t="shared" si="3"/>
        <v>3</v>
      </c>
      <c r="G236" s="9">
        <f>_xlfn.XLOOKUP(Log!A236, 'Daily Summary'!A:A, 'Daily Summary'!C:C, "TBD")</f>
        <v>0.42708333333333331</v>
      </c>
    </row>
    <row r="237" spans="1:7" x14ac:dyDescent="0.3">
      <c r="A237" s="1">
        <v>46253</v>
      </c>
      <c r="B237" s="9">
        <v>0.46180555555555558</v>
      </c>
      <c r="C237" s="7">
        <v>38</v>
      </c>
      <c r="D237" s="2">
        <v>39</v>
      </c>
      <c r="E237" s="6">
        <f>IF(AND($B237&lt;&gt;"", $G237&lt;&gt;"TBD"), ($B237-$G237)*1440, "")</f>
        <v>4.0000000000000657</v>
      </c>
      <c r="F237" s="2">
        <f t="shared" si="3"/>
        <v>1</v>
      </c>
      <c r="G237" s="9">
        <f>_xlfn.XLOOKUP(Log!A237, 'Daily Summary'!A:A, 'Daily Summary'!C:C, "TBD")</f>
        <v>0.45902777777777776</v>
      </c>
    </row>
    <row r="238" spans="1:7" x14ac:dyDescent="0.3">
      <c r="A238" s="1">
        <v>46253</v>
      </c>
      <c r="B238" s="9">
        <v>0.46325231481481483</v>
      </c>
      <c r="C238" s="7">
        <v>38</v>
      </c>
      <c r="D238" s="2">
        <v>41</v>
      </c>
      <c r="E238" s="6">
        <f>IF(AND($B238&lt;&gt;"", $G238&lt;&gt;"TBD"), ($B238-$G238)*1440, "")</f>
        <v>6.0833333333333783</v>
      </c>
      <c r="F238" s="2">
        <f t="shared" si="3"/>
        <v>3</v>
      </c>
      <c r="G238" s="9">
        <f>_xlfn.XLOOKUP(Log!A238, 'Daily Summary'!A:A, 'Daily Summary'!C:C, "TBD")</f>
        <v>0.45902777777777776</v>
      </c>
    </row>
    <row r="239" spans="1:7" x14ac:dyDescent="0.3">
      <c r="A239" s="1">
        <v>46253</v>
      </c>
      <c r="B239" s="9">
        <v>0.4646527777777778</v>
      </c>
      <c r="C239" s="7">
        <v>41</v>
      </c>
      <c r="D239" s="2">
        <v>42</v>
      </c>
      <c r="E239" s="6">
        <f>IF(AND($B239&lt;&gt;"", $G239&lt;&gt;"TBD"), ($B239-$G239)*1440, "")</f>
        <v>8.1000000000000671</v>
      </c>
      <c r="F239" s="2">
        <f t="shared" si="3"/>
        <v>1</v>
      </c>
      <c r="G239" s="9">
        <f>_xlfn.XLOOKUP(Log!A239, 'Daily Summary'!A:A, 'Daily Summary'!C:C, "TBD")</f>
        <v>0.45902777777777776</v>
      </c>
    </row>
    <row r="240" spans="1:7" x14ac:dyDescent="0.3">
      <c r="A240" s="1">
        <v>46253</v>
      </c>
      <c r="B240" s="9">
        <v>0.46604166666666669</v>
      </c>
      <c r="C240" s="7">
        <v>42</v>
      </c>
      <c r="D240" s="2">
        <v>45</v>
      </c>
      <c r="E240" s="6">
        <f>IF(AND($B240&lt;&gt;"", $G240&lt;&gt;"TBD"), ($B240-$G240)*1440, "")</f>
        <v>10.10000000000006</v>
      </c>
      <c r="F240" s="2">
        <f t="shared" si="3"/>
        <v>3</v>
      </c>
      <c r="G240" s="9">
        <f>_xlfn.XLOOKUP(Log!A240, 'Daily Summary'!A:A, 'Daily Summary'!C:C, "TBD")</f>
        <v>0.45902777777777776</v>
      </c>
    </row>
    <row r="241" spans="1:9" x14ac:dyDescent="0.3">
      <c r="A241" s="1">
        <v>46253</v>
      </c>
      <c r="B241" s="9">
        <v>0.46743055555555557</v>
      </c>
      <c r="C241" s="7">
        <v>44</v>
      </c>
      <c r="D241" s="2">
        <v>47</v>
      </c>
      <c r="E241" s="6">
        <f>IF(AND($B241&lt;&gt;"", $G241&lt;&gt;"TBD"), ($B241-$G241)*1440, "")</f>
        <v>12.100000000000053</v>
      </c>
      <c r="F241" s="2">
        <f t="shared" si="3"/>
        <v>3</v>
      </c>
      <c r="G241" s="9">
        <f>_xlfn.XLOOKUP(Log!A241, 'Daily Summary'!A:A, 'Daily Summary'!C:C, "TBD")</f>
        <v>0.45902777777777776</v>
      </c>
    </row>
    <row r="242" spans="1:9" x14ac:dyDescent="0.3">
      <c r="A242" s="1">
        <v>46253</v>
      </c>
      <c r="B242" s="9">
        <v>0.46881944444444446</v>
      </c>
      <c r="C242" s="7">
        <v>47</v>
      </c>
      <c r="D242" s="2">
        <v>49</v>
      </c>
      <c r="E242" s="6">
        <f>IF(AND($B242&lt;&gt;"", $G242&lt;&gt;"TBD"), ($B242-$G242)*1440, "")</f>
        <v>14.100000000000046</v>
      </c>
      <c r="F242" s="2">
        <f t="shared" si="3"/>
        <v>2</v>
      </c>
      <c r="G242" s="9">
        <f>_xlfn.XLOOKUP(Log!A242, 'Daily Summary'!A:A, 'Daily Summary'!C:C, "TBD")</f>
        <v>0.45902777777777776</v>
      </c>
    </row>
    <row r="243" spans="1:9" x14ac:dyDescent="0.3">
      <c r="A243" s="1">
        <v>46253</v>
      </c>
      <c r="B243" s="9">
        <v>0.47021990740740743</v>
      </c>
      <c r="C243" s="7">
        <v>48</v>
      </c>
      <c r="D243" s="2">
        <v>51</v>
      </c>
      <c r="E243" s="6">
        <f>IF(AND($B243&lt;&gt;"", $G243&lt;&gt;"TBD"), ($B243-$G243)*1440, "")</f>
        <v>16.116666666666735</v>
      </c>
      <c r="F243" s="2">
        <f t="shared" si="3"/>
        <v>3</v>
      </c>
      <c r="G243" s="9">
        <f>_xlfn.XLOOKUP(Log!A243, 'Daily Summary'!A:A, 'Daily Summary'!C:C, "TBD")</f>
        <v>0.45902777777777776</v>
      </c>
    </row>
    <row r="244" spans="1:9" x14ac:dyDescent="0.3">
      <c r="A244" s="1">
        <v>46253</v>
      </c>
      <c r="B244" s="9">
        <v>0.47160879629629632</v>
      </c>
      <c r="C244" s="7">
        <v>49</v>
      </c>
      <c r="D244" s="2">
        <v>52</v>
      </c>
      <c r="E244" s="6">
        <f>IF(AND($B244&lt;&gt;"", $G244&lt;&gt;"TBD"), ($B244-$G244)*1440, "")</f>
        <v>18.116666666666728</v>
      </c>
      <c r="F244" s="2">
        <f t="shared" si="3"/>
        <v>3</v>
      </c>
      <c r="G244" s="9">
        <f>_xlfn.XLOOKUP(Log!A244, 'Daily Summary'!A:A, 'Daily Summary'!C:C, "TBD")</f>
        <v>0.45902777777777776</v>
      </c>
    </row>
    <row r="245" spans="1:9" x14ac:dyDescent="0.3">
      <c r="A245" s="1">
        <v>46253</v>
      </c>
      <c r="B245" s="9">
        <v>0.4729976851851852</v>
      </c>
      <c r="C245" s="7">
        <v>51</v>
      </c>
      <c r="D245" s="2">
        <v>52</v>
      </c>
      <c r="E245" s="6">
        <f>IF(AND($B245&lt;&gt;"", $G245&lt;&gt;"TBD"), ($B245-$G245)*1440, "")</f>
        <v>20.11666666666672</v>
      </c>
      <c r="F245" s="2">
        <f t="shared" si="3"/>
        <v>1</v>
      </c>
      <c r="G245" s="9">
        <f>_xlfn.XLOOKUP(Log!A245, 'Daily Summary'!A:A, 'Daily Summary'!C:C, "TBD")</f>
        <v>0.45902777777777776</v>
      </c>
    </row>
    <row r="246" spans="1:9" x14ac:dyDescent="0.3">
      <c r="A246" s="1">
        <v>46253</v>
      </c>
      <c r="B246" s="9">
        <v>0.47439814814814812</v>
      </c>
      <c r="C246" s="7">
        <v>51</v>
      </c>
      <c r="D246" s="2">
        <v>54</v>
      </c>
      <c r="E246" s="6">
        <f>IF(AND($B246&lt;&gt;"", $G246&lt;&gt;"TBD"), ($B246-$G246)*1440, "")</f>
        <v>22.133333333333329</v>
      </c>
      <c r="F246" s="2">
        <f t="shared" si="3"/>
        <v>3</v>
      </c>
      <c r="G246" s="9">
        <f>_xlfn.XLOOKUP(Log!A246, 'Daily Summary'!A:A, 'Daily Summary'!C:C, "TBD")</f>
        <v>0.45902777777777776</v>
      </c>
    </row>
    <row r="247" spans="1:9" x14ac:dyDescent="0.3">
      <c r="A247" s="1">
        <v>46253</v>
      </c>
      <c r="B247" s="9">
        <v>0.47578703703703706</v>
      </c>
      <c r="C247" s="7">
        <v>52</v>
      </c>
      <c r="D247" s="2">
        <v>55</v>
      </c>
      <c r="E247" s="6">
        <f>IF(AND($B247&lt;&gt;"", $G247&lt;&gt;"TBD"), ($B247-$G247)*1440, "")</f>
        <v>24.133333333333404</v>
      </c>
      <c r="F247" s="2">
        <f t="shared" si="3"/>
        <v>3</v>
      </c>
      <c r="G247" s="9">
        <f>_xlfn.XLOOKUP(Log!A247, 'Daily Summary'!A:A, 'Daily Summary'!C:C, "TBD")</f>
        <v>0.45902777777777776</v>
      </c>
    </row>
    <row r="248" spans="1:9" x14ac:dyDescent="0.3">
      <c r="A248" s="1">
        <v>46253</v>
      </c>
      <c r="B248" s="9">
        <v>0.47717592592592595</v>
      </c>
      <c r="C248" s="7">
        <v>54</v>
      </c>
      <c r="D248" s="2">
        <v>55</v>
      </c>
      <c r="E248" s="6">
        <f>IF(AND($B248&lt;&gt;"", $G248&lt;&gt;"TBD"), ($B248-$G248)*1440, "")</f>
        <v>26.133333333333397</v>
      </c>
      <c r="F248" s="2">
        <f t="shared" si="3"/>
        <v>1</v>
      </c>
      <c r="G248" s="9">
        <f>_xlfn.XLOOKUP(Log!A248, 'Daily Summary'!A:A, 'Daily Summary'!C:C, "TBD")</f>
        <v>0.45902777777777776</v>
      </c>
    </row>
    <row r="249" spans="1:9" x14ac:dyDescent="0.3">
      <c r="A249" s="1">
        <v>46253</v>
      </c>
      <c r="B249" s="9">
        <v>0.47857638888888887</v>
      </c>
      <c r="C249" s="7">
        <v>54</v>
      </c>
      <c r="D249" s="2">
        <v>57</v>
      </c>
      <c r="E249" s="6">
        <f>IF(AND($B249&lt;&gt;"", $G249&lt;&gt;"TBD"), ($B249-$G249)*1440, "")</f>
        <v>28.150000000000006</v>
      </c>
      <c r="F249" s="2">
        <f t="shared" si="3"/>
        <v>3</v>
      </c>
      <c r="G249" s="9">
        <f>_xlfn.XLOOKUP(Log!A249, 'Daily Summary'!A:A, 'Daily Summary'!C:C, "TBD")</f>
        <v>0.45902777777777776</v>
      </c>
    </row>
    <row r="250" spans="1:9" x14ac:dyDescent="0.3">
      <c r="A250" s="1">
        <v>46253</v>
      </c>
      <c r="B250" s="9">
        <v>0.47997685185185185</v>
      </c>
      <c r="C250" s="7">
        <v>55</v>
      </c>
      <c r="D250" s="2">
        <v>58</v>
      </c>
      <c r="E250" s="6">
        <f>IF(AND($B250&lt;&gt;"", $G250&lt;&gt;"TBD"), ($B250-$G250)*1440, "")</f>
        <v>30.166666666666693</v>
      </c>
      <c r="F250" s="2">
        <f t="shared" si="3"/>
        <v>3</v>
      </c>
      <c r="G250" s="9">
        <f>_xlfn.XLOOKUP(Log!A250, 'Daily Summary'!A:A, 'Daily Summary'!C:C, "TBD")</f>
        <v>0.45902777777777776</v>
      </c>
    </row>
    <row r="251" spans="1:9" x14ac:dyDescent="0.3">
      <c r="A251" s="1">
        <v>46253</v>
      </c>
      <c r="B251" s="9">
        <v>0.48136574074074073</v>
      </c>
      <c r="C251" s="7">
        <v>55</v>
      </c>
      <c r="D251" s="2">
        <v>58</v>
      </c>
      <c r="E251" s="6">
        <f>IF(AND($B251&lt;&gt;"", $G251&lt;&gt;"TBD"), ($B251-$G251)*1440, "")</f>
        <v>32.166666666666686</v>
      </c>
      <c r="F251" s="2">
        <f t="shared" si="3"/>
        <v>3</v>
      </c>
      <c r="G251" s="9">
        <f>_xlfn.XLOOKUP(Log!A251, 'Daily Summary'!A:A, 'Daily Summary'!C:C, "TBD")</f>
        <v>0.45902777777777776</v>
      </c>
    </row>
    <row r="252" spans="1:9" x14ac:dyDescent="0.3">
      <c r="A252" s="1">
        <v>46253</v>
      </c>
      <c r="B252" s="9">
        <v>0.48276620370370371</v>
      </c>
      <c r="C252" s="7">
        <v>55</v>
      </c>
      <c r="D252" s="2">
        <v>58</v>
      </c>
      <c r="E252" s="6">
        <f>IF(AND($B252&lt;&gt;"", $G252&lt;&gt;"TBD"), ($B252-$G252)*1440, "")</f>
        <v>34.183333333333373</v>
      </c>
      <c r="F252" s="2">
        <f t="shared" si="3"/>
        <v>3</v>
      </c>
      <c r="G252" s="9">
        <f>_xlfn.XLOOKUP(Log!A252, 'Daily Summary'!A:A, 'Daily Summary'!C:C, "TBD")</f>
        <v>0.45902777777777776</v>
      </c>
    </row>
    <row r="253" spans="1:9" x14ac:dyDescent="0.3">
      <c r="A253" s="1">
        <v>46254</v>
      </c>
      <c r="B253" s="9">
        <v>0.54374999999999996</v>
      </c>
      <c r="C253" s="7">
        <v>28</v>
      </c>
      <c r="D253" s="2">
        <v>31</v>
      </c>
      <c r="E253" s="6">
        <f>IF(AND($B253&lt;&gt;"", $G253&lt;&gt;"TBD"), ($B253-$G253)*1440, "")</f>
        <v>1.9999999999999929</v>
      </c>
      <c r="F253" s="2">
        <f t="shared" si="3"/>
        <v>3</v>
      </c>
      <c r="G253" s="9">
        <f>_xlfn.XLOOKUP(Log!A253, 'Daily Summary'!A:A, 'Daily Summary'!C:C, "TBD")</f>
        <v>0.54236111111111107</v>
      </c>
    </row>
    <row r="254" spans="1:9" x14ac:dyDescent="0.3">
      <c r="A254" s="1">
        <v>46254</v>
      </c>
      <c r="B254" s="9">
        <v>0.54432870370370368</v>
      </c>
      <c r="C254" s="7">
        <v>32</v>
      </c>
      <c r="D254" s="2">
        <v>33</v>
      </c>
      <c r="E254" s="6">
        <f>IF(AND($B254&lt;&gt;"", $G254&lt;&gt;"TBD"), ($B254-$G254)*1440, "")</f>
        <v>2.8333333333333499</v>
      </c>
      <c r="F254" s="2">
        <f t="shared" si="3"/>
        <v>1</v>
      </c>
      <c r="G254" s="9">
        <f>_xlfn.XLOOKUP(Log!A254, 'Daily Summary'!A:A, 'Daily Summary'!C:C, "TBD")</f>
        <v>0.54236111111111107</v>
      </c>
      <c r="I254" s="16"/>
    </row>
    <row r="255" spans="1:9" x14ac:dyDescent="0.3">
      <c r="A255" s="1">
        <v>46254</v>
      </c>
      <c r="B255" s="9">
        <v>0.54571759259259256</v>
      </c>
      <c r="C255" s="7">
        <v>36</v>
      </c>
      <c r="D255" s="2">
        <v>39</v>
      </c>
      <c r="E255" s="6">
        <f>IF(AND($B255&lt;&gt;"", $G255&lt;&gt;"TBD"), ($B255-$G255)*1440, "")</f>
        <v>4.8333333333333428</v>
      </c>
      <c r="F255" s="2">
        <f t="shared" si="3"/>
        <v>3</v>
      </c>
      <c r="G255" s="9">
        <f>_xlfn.XLOOKUP(Log!A255, 'Daily Summary'!A:A, 'Daily Summary'!C:C, "TBD")</f>
        <v>0.54236111111111107</v>
      </c>
    </row>
    <row r="256" spans="1:9" x14ac:dyDescent="0.3">
      <c r="A256" s="1">
        <v>46254</v>
      </c>
      <c r="B256" s="9">
        <v>0.54710648148148144</v>
      </c>
      <c r="C256" s="7">
        <v>39</v>
      </c>
      <c r="D256" s="2">
        <v>42</v>
      </c>
      <c r="E256" s="6">
        <f>IF(AND($B256&lt;&gt;"", $G256&lt;&gt;"TBD"), ($B256-$G256)*1440, "")</f>
        <v>6.8333333333333357</v>
      </c>
      <c r="F256" s="2">
        <f t="shared" si="3"/>
        <v>3</v>
      </c>
      <c r="G256" s="9">
        <f>_xlfn.XLOOKUP(Log!A256, 'Daily Summary'!A:A, 'Daily Summary'!C:C, "TBD")</f>
        <v>0.54236111111111107</v>
      </c>
    </row>
    <row r="257" spans="1:7" x14ac:dyDescent="0.3">
      <c r="A257" s="1">
        <v>46254</v>
      </c>
      <c r="B257" s="9">
        <v>0.54849537037037033</v>
      </c>
      <c r="C257" s="7">
        <v>41</v>
      </c>
      <c r="D257" s="2">
        <v>44</v>
      </c>
      <c r="E257" s="6">
        <f>IF(AND($B257&lt;&gt;"", $G257&lt;&gt;"TBD"), ($B257-$G257)*1440, "")</f>
        <v>8.8333333333333286</v>
      </c>
      <c r="F257" s="2">
        <f t="shared" si="3"/>
        <v>3</v>
      </c>
      <c r="G257" s="9">
        <f>_xlfn.XLOOKUP(Log!A257, 'Daily Summary'!A:A, 'Daily Summary'!C:C, "TBD")</f>
        <v>0.54236111111111107</v>
      </c>
    </row>
    <row r="258" spans="1:7" x14ac:dyDescent="0.3">
      <c r="A258" s="1">
        <v>46254</v>
      </c>
      <c r="B258" s="9">
        <v>0.54989583333333336</v>
      </c>
      <c r="C258" s="7">
        <v>44</v>
      </c>
      <c r="D258" s="2">
        <v>45</v>
      </c>
      <c r="E258" s="6">
        <f>IF(AND($B258&lt;&gt;"", $G258&lt;&gt;"TBD"), ($B258-$G258)*1440, "")</f>
        <v>10.850000000000097</v>
      </c>
      <c r="F258" s="2">
        <f t="shared" si="3"/>
        <v>1</v>
      </c>
      <c r="G258" s="9">
        <f>_xlfn.XLOOKUP(Log!A258, 'Daily Summary'!A:A, 'Daily Summary'!C:C, "TBD")</f>
        <v>0.54236111111111107</v>
      </c>
    </row>
    <row r="259" spans="1:7" x14ac:dyDescent="0.3">
      <c r="A259" s="1">
        <v>46254</v>
      </c>
      <c r="B259" s="9">
        <v>0.55128472222222225</v>
      </c>
      <c r="C259" s="7">
        <v>45</v>
      </c>
      <c r="D259" s="2">
        <v>48</v>
      </c>
      <c r="E259" s="6">
        <f>IF(AND($B259&lt;&gt;"", $G259&lt;&gt;"TBD"), ($B259-$G259)*1440, "")</f>
        <v>12.85000000000009</v>
      </c>
      <c r="F259" s="2">
        <f t="shared" si="3"/>
        <v>3</v>
      </c>
      <c r="G259" s="9">
        <f>_xlfn.XLOOKUP(Log!A259, 'Daily Summary'!A:A, 'Daily Summary'!C:C, "TBD")</f>
        <v>0.54236111111111107</v>
      </c>
    </row>
    <row r="260" spans="1:7" x14ac:dyDescent="0.3">
      <c r="A260" s="1">
        <v>46254</v>
      </c>
      <c r="B260" s="9">
        <v>0.55268518518518517</v>
      </c>
      <c r="C260" s="7">
        <v>47</v>
      </c>
      <c r="D260" s="2">
        <v>49</v>
      </c>
      <c r="E260" s="6">
        <f>IF(AND($B260&lt;&gt;"", $G260&lt;&gt;"TBD"), ($B260-$G260)*1440, "")</f>
        <v>14.866666666666699</v>
      </c>
      <c r="F260" s="2">
        <f t="shared" si="3"/>
        <v>2</v>
      </c>
      <c r="G260" s="9">
        <f>_xlfn.XLOOKUP(Log!A260, 'Daily Summary'!A:A, 'Daily Summary'!C:C, "TBD")</f>
        <v>0.54236111111111107</v>
      </c>
    </row>
    <row r="261" spans="1:7" x14ac:dyDescent="0.3">
      <c r="A261" s="1">
        <v>46254</v>
      </c>
      <c r="B261" s="9">
        <v>0.55407407407407405</v>
      </c>
      <c r="C261" s="7">
        <v>48</v>
      </c>
      <c r="D261" s="2">
        <v>51</v>
      </c>
      <c r="E261" s="6">
        <f>IF(AND($B261&lt;&gt;"", $G261&lt;&gt;"TBD"), ($B261-$G261)*1440, "")</f>
        <v>16.866666666666692</v>
      </c>
      <c r="F261" s="2">
        <f t="shared" si="3"/>
        <v>3</v>
      </c>
      <c r="G261" s="9">
        <f>_xlfn.XLOOKUP(Log!A261, 'Daily Summary'!A:A, 'Daily Summary'!C:C, "TBD")</f>
        <v>0.54236111111111107</v>
      </c>
    </row>
    <row r="262" spans="1:7" x14ac:dyDescent="0.3">
      <c r="A262" s="1">
        <v>46254</v>
      </c>
      <c r="B262" s="9">
        <v>0.55547453703703709</v>
      </c>
      <c r="C262" s="7">
        <v>49</v>
      </c>
      <c r="D262" s="2">
        <v>52</v>
      </c>
      <c r="E262" s="6">
        <f>IF(AND($B262&lt;&gt;"", $G262&lt;&gt;"TBD"), ($B262-$G262)*1440, "")</f>
        <v>18.883333333333461</v>
      </c>
      <c r="F262" s="2">
        <f t="shared" si="3"/>
        <v>3</v>
      </c>
      <c r="G262" s="9">
        <f>_xlfn.XLOOKUP(Log!A262, 'Daily Summary'!A:A, 'Daily Summary'!C:C, "TBD")</f>
        <v>0.54236111111111107</v>
      </c>
    </row>
    <row r="263" spans="1:7" x14ac:dyDescent="0.3">
      <c r="A263" s="1">
        <v>46254</v>
      </c>
      <c r="B263" s="9">
        <v>0.55686342592592597</v>
      </c>
      <c r="C263" s="7">
        <v>51</v>
      </c>
      <c r="D263" s="2">
        <v>54</v>
      </c>
      <c r="E263" s="6">
        <f>IF(AND($B263&lt;&gt;"", $G263&lt;&gt;"TBD"), ($B263-$G263)*1440, "")</f>
        <v>20.883333333333454</v>
      </c>
      <c r="F263" s="2">
        <f t="shared" si="3"/>
        <v>3</v>
      </c>
      <c r="G263" s="9">
        <f>_xlfn.XLOOKUP(Log!A263, 'Daily Summary'!A:A, 'Daily Summary'!C:C, "TBD")</f>
        <v>0.54236111111111107</v>
      </c>
    </row>
    <row r="264" spans="1:7" x14ac:dyDescent="0.3">
      <c r="A264" s="1">
        <v>46254</v>
      </c>
      <c r="B264" s="9">
        <v>0.55825231481481485</v>
      </c>
      <c r="C264" s="7">
        <v>51</v>
      </c>
      <c r="D264" s="2">
        <v>55</v>
      </c>
      <c r="E264" s="6">
        <f>IF(AND($B264&lt;&gt;"", $G264&lt;&gt;"TBD"), ($B264-$G264)*1440, "")</f>
        <v>22.883333333333447</v>
      </c>
      <c r="F264" s="2">
        <f t="shared" si="3"/>
        <v>4</v>
      </c>
      <c r="G264" s="9">
        <f>_xlfn.XLOOKUP(Log!A264, 'Daily Summary'!A:A, 'Daily Summary'!C:C, "TBD")</f>
        <v>0.54236111111111107</v>
      </c>
    </row>
    <row r="265" spans="1:7" x14ac:dyDescent="0.3">
      <c r="A265" s="1">
        <v>46254</v>
      </c>
      <c r="B265" s="9">
        <v>0.55965277777777778</v>
      </c>
      <c r="C265" s="7">
        <v>52</v>
      </c>
      <c r="D265" s="2">
        <v>55</v>
      </c>
      <c r="E265" s="6">
        <f>IF(AND($B265&lt;&gt;"", $G265&lt;&gt;"TBD"), ($B265-$G265)*1440, "")</f>
        <v>24.900000000000055</v>
      </c>
      <c r="F265" s="2">
        <f t="shared" si="3"/>
        <v>3</v>
      </c>
      <c r="G265" s="9">
        <f>_xlfn.XLOOKUP(Log!A265, 'Daily Summary'!A:A, 'Daily Summary'!C:C, "TBD")</f>
        <v>0.54236111111111107</v>
      </c>
    </row>
    <row r="266" spans="1:7" x14ac:dyDescent="0.3">
      <c r="A266" s="1">
        <v>46254</v>
      </c>
      <c r="B266" s="9">
        <v>0.56104166666666666</v>
      </c>
      <c r="C266" s="7">
        <v>54</v>
      </c>
      <c r="D266" s="2">
        <v>55</v>
      </c>
      <c r="E266" s="6">
        <f>IF(AND($B266&lt;&gt;"", $G266&lt;&gt;"TBD"), ($B266-$G266)*1440, "")</f>
        <v>26.900000000000048</v>
      </c>
      <c r="F266" s="2">
        <f t="shared" si="3"/>
        <v>1</v>
      </c>
      <c r="G266" s="9">
        <f>_xlfn.XLOOKUP(Log!A266, 'Daily Summary'!A:A, 'Daily Summary'!C:C, "TBD")</f>
        <v>0.54236111111111107</v>
      </c>
    </row>
    <row r="267" spans="1:7" x14ac:dyDescent="0.3">
      <c r="A267" s="1">
        <v>46254</v>
      </c>
      <c r="B267" s="9">
        <v>0.56243055555555554</v>
      </c>
      <c r="C267" s="7">
        <v>54</v>
      </c>
      <c r="D267" s="2">
        <v>57</v>
      </c>
      <c r="E267" s="6">
        <f>IF(AND($B267&lt;&gt;"", $G267&lt;&gt;"TBD"), ($B267-$G267)*1440, "")</f>
        <v>28.900000000000041</v>
      </c>
      <c r="F267" s="2">
        <f t="shared" si="3"/>
        <v>3</v>
      </c>
      <c r="G267" s="9">
        <f>_xlfn.XLOOKUP(Log!A267, 'Daily Summary'!A:A, 'Daily Summary'!C:C, "TBD")</f>
        <v>0.54236111111111107</v>
      </c>
    </row>
    <row r="268" spans="1:7" x14ac:dyDescent="0.3">
      <c r="A268" s="1">
        <v>46254</v>
      </c>
      <c r="B268" s="9">
        <v>0.56381944444444443</v>
      </c>
      <c r="C268" s="7">
        <v>54</v>
      </c>
      <c r="D268" s="2">
        <v>58</v>
      </c>
      <c r="E268" s="6">
        <f>IF(AND($B268&lt;&gt;"", $G268&lt;&gt;"TBD"), ($B268-$G268)*1440, "")</f>
        <v>30.900000000000034</v>
      </c>
      <c r="F268" s="2">
        <f t="shared" ref="F268:F296" si="4">IF(AND(D268&lt;&gt;"",C268&lt;&gt;""),D268-C268,"")</f>
        <v>4</v>
      </c>
      <c r="G268" s="9">
        <f>_xlfn.XLOOKUP(Log!A268, 'Daily Summary'!A:A, 'Daily Summary'!C:C, "TBD")</f>
        <v>0.54236111111111107</v>
      </c>
    </row>
    <row r="269" spans="1:7" x14ac:dyDescent="0.3">
      <c r="A269" s="1">
        <v>46255</v>
      </c>
      <c r="B269" s="9">
        <v>0.59375</v>
      </c>
      <c r="C269" s="7">
        <v>29</v>
      </c>
      <c r="D269" s="2">
        <v>31</v>
      </c>
      <c r="E269" s="6">
        <f>IF(AND($B269&lt;&gt;"", $G269&lt;&gt;"TBD"), ($B269-$G269)*1440, "")</f>
        <v>0.99999999999999645</v>
      </c>
      <c r="F269" s="2">
        <f t="shared" si="4"/>
        <v>2</v>
      </c>
      <c r="G269" s="9">
        <f>_xlfn.XLOOKUP(Log!A269, 'Daily Summary'!A:A, 'Daily Summary'!C:C, "TBD")</f>
        <v>0.59305555555555556</v>
      </c>
    </row>
    <row r="270" spans="1:7" x14ac:dyDescent="0.3">
      <c r="A270" s="1">
        <v>46255</v>
      </c>
      <c r="B270" s="9">
        <v>0.60334490740740743</v>
      </c>
      <c r="C270" s="7">
        <v>48</v>
      </c>
      <c r="D270" s="2">
        <v>49</v>
      </c>
      <c r="E270" s="6">
        <f>IF(AND($B270&lt;&gt;"", $G270&lt;&gt;"TBD"), ($B270-$G270)*1440, "")</f>
        <v>14.816666666666691</v>
      </c>
      <c r="F270" s="2">
        <f t="shared" si="4"/>
        <v>1</v>
      </c>
      <c r="G270" s="9">
        <f>_xlfn.XLOOKUP(Log!A270, 'Daily Summary'!A:A, 'Daily Summary'!C:C, "TBD")</f>
        <v>0.59305555555555556</v>
      </c>
    </row>
    <row r="271" spans="1:7" x14ac:dyDescent="0.3">
      <c r="A271" s="1">
        <v>46255</v>
      </c>
      <c r="B271" s="9">
        <v>0.60473379629629631</v>
      </c>
      <c r="C271" s="7">
        <v>49</v>
      </c>
      <c r="D271" s="2">
        <v>52</v>
      </c>
      <c r="E271" s="6">
        <f>IF(AND($B271&lt;&gt;"", $G271&lt;&gt;"TBD"), ($B271-$G271)*1440, "")</f>
        <v>16.816666666666684</v>
      </c>
      <c r="F271" s="2">
        <f t="shared" si="4"/>
        <v>3</v>
      </c>
      <c r="G271" s="9">
        <f>_xlfn.XLOOKUP(Log!A271, 'Daily Summary'!A:A, 'Daily Summary'!C:C, "TBD")</f>
        <v>0.59305555555555556</v>
      </c>
    </row>
    <row r="272" spans="1:7" x14ac:dyDescent="0.3">
      <c r="A272" s="1">
        <v>46255</v>
      </c>
      <c r="B272" s="9">
        <v>0.60612268518518519</v>
      </c>
      <c r="C272" s="7">
        <v>51</v>
      </c>
      <c r="D272" s="2">
        <v>52</v>
      </c>
      <c r="E272" s="6">
        <f>IF(AND($B272&lt;&gt;"", $G272&lt;&gt;"TBD"), ($B272-$G272)*1440, "")</f>
        <v>18.816666666666677</v>
      </c>
      <c r="F272" s="2">
        <f t="shared" si="4"/>
        <v>1</v>
      </c>
      <c r="G272" s="9">
        <f>_xlfn.XLOOKUP(Log!A272, 'Daily Summary'!A:A, 'Daily Summary'!C:C, "TBD")</f>
        <v>0.59305555555555556</v>
      </c>
    </row>
    <row r="273" spans="1:7" x14ac:dyDescent="0.3">
      <c r="A273" s="1">
        <v>46255</v>
      </c>
      <c r="B273" s="9">
        <v>0.60752314814814812</v>
      </c>
      <c r="C273" s="7">
        <v>51</v>
      </c>
      <c r="D273" s="2">
        <v>52</v>
      </c>
      <c r="E273" s="6">
        <f>IF(AND($B273&lt;&gt;"", $G273&lt;&gt;"TBD"), ($B273-$G273)*1440, "")</f>
        <v>20.833333333333286</v>
      </c>
      <c r="F273" s="2">
        <f t="shared" si="4"/>
        <v>1</v>
      </c>
      <c r="G273" s="9">
        <f>_xlfn.XLOOKUP(Log!A273, 'Daily Summary'!A:A, 'Daily Summary'!C:C, "TBD")</f>
        <v>0.59305555555555556</v>
      </c>
    </row>
    <row r="274" spans="1:7" x14ac:dyDescent="0.3">
      <c r="A274" s="1">
        <v>46255</v>
      </c>
      <c r="B274" s="9">
        <v>0.60892361111111115</v>
      </c>
      <c r="C274" s="7">
        <v>52</v>
      </c>
      <c r="D274" s="2">
        <v>55</v>
      </c>
      <c r="E274" s="6">
        <f>IF(AND($B274&lt;&gt;"", $G274&lt;&gt;"TBD"), ($B274-$G274)*1440, "")</f>
        <v>22.850000000000055</v>
      </c>
      <c r="F274" s="2">
        <f t="shared" si="4"/>
        <v>3</v>
      </c>
      <c r="G274" s="9">
        <f>_xlfn.XLOOKUP(Log!A274, 'Daily Summary'!A:A, 'Daily Summary'!C:C, "TBD")</f>
        <v>0.59305555555555556</v>
      </c>
    </row>
    <row r="275" spans="1:7" x14ac:dyDescent="0.3">
      <c r="A275" s="1">
        <v>46255</v>
      </c>
      <c r="B275" s="9">
        <v>0.61031250000000004</v>
      </c>
      <c r="C275" s="7">
        <v>54</v>
      </c>
      <c r="D275" s="2">
        <v>55</v>
      </c>
      <c r="E275" s="6">
        <f>IF(AND($B275&lt;&gt;"", $G275&lt;&gt;"TBD"), ($B275-$G275)*1440, "")</f>
        <v>24.850000000000048</v>
      </c>
      <c r="F275" s="2">
        <f t="shared" si="4"/>
        <v>1</v>
      </c>
      <c r="G275" s="9">
        <f>_xlfn.XLOOKUP(Log!A275, 'Daily Summary'!A:A, 'Daily Summary'!C:C, "TBD")</f>
        <v>0.59305555555555556</v>
      </c>
    </row>
    <row r="276" spans="1:7" x14ac:dyDescent="0.3">
      <c r="A276" s="1">
        <v>46255</v>
      </c>
      <c r="B276" s="9">
        <v>0.61171296296296296</v>
      </c>
      <c r="C276" s="7">
        <v>54</v>
      </c>
      <c r="D276" s="2">
        <v>55</v>
      </c>
      <c r="E276" s="6">
        <f>IF(AND($B276&lt;&gt;"", $G276&lt;&gt;"TBD"), ($B276-$G276)*1440, "")</f>
        <v>26.866666666666656</v>
      </c>
      <c r="F276" s="2">
        <f t="shared" si="4"/>
        <v>1</v>
      </c>
      <c r="G276" s="9">
        <f>_xlfn.XLOOKUP(Log!A276, 'Daily Summary'!A:A, 'Daily Summary'!C:C, "TBD")</f>
        <v>0.59305555555555556</v>
      </c>
    </row>
    <row r="277" spans="1:7" x14ac:dyDescent="0.3">
      <c r="A277" s="1">
        <v>46255</v>
      </c>
      <c r="B277" s="9">
        <v>0.61311342592592588</v>
      </c>
      <c r="C277" s="7">
        <v>54</v>
      </c>
      <c r="D277" s="2">
        <v>55</v>
      </c>
      <c r="E277" s="6">
        <f>IF(AND($B277&lt;&gt;"", $G277&lt;&gt;"TBD"), ($B277-$G277)*1440, "")</f>
        <v>28.883333333333265</v>
      </c>
      <c r="F277" s="2">
        <f t="shared" si="4"/>
        <v>1</v>
      </c>
      <c r="G277" s="9">
        <f>_xlfn.XLOOKUP(Log!A277, 'Daily Summary'!A:A, 'Daily Summary'!C:C, "TBD")</f>
        <v>0.59305555555555556</v>
      </c>
    </row>
    <row r="278" spans="1:7" x14ac:dyDescent="0.3">
      <c r="A278" s="1">
        <v>46255</v>
      </c>
      <c r="B278" s="9">
        <v>0.61450231481481477</v>
      </c>
      <c r="C278" s="7">
        <v>54</v>
      </c>
      <c r="D278" s="2">
        <v>58</v>
      </c>
      <c r="E278" s="6">
        <f>IF(AND($B278&lt;&gt;"", $G278&lt;&gt;"TBD"), ($B278-$G278)*1440, "")</f>
        <v>30.883333333333258</v>
      </c>
      <c r="F278" s="2">
        <f t="shared" si="4"/>
        <v>4</v>
      </c>
      <c r="G278" s="9">
        <f>_xlfn.XLOOKUP(Log!A278, 'Daily Summary'!A:A, 'Daily Summary'!C:C, "TBD")</f>
        <v>0.59305555555555556</v>
      </c>
    </row>
    <row r="279" spans="1:7" x14ac:dyDescent="0.3">
      <c r="A279" s="1">
        <v>46255</v>
      </c>
      <c r="B279" s="9">
        <v>0.6159027777777778</v>
      </c>
      <c r="C279" s="7">
        <v>55</v>
      </c>
      <c r="D279" s="2">
        <v>58</v>
      </c>
      <c r="E279" s="6">
        <f>IF(AND($B279&lt;&gt;"", $G279&lt;&gt;"TBD"), ($B279-$G279)*1440, "")</f>
        <v>32.900000000000027</v>
      </c>
      <c r="F279" s="2">
        <f t="shared" si="4"/>
        <v>3</v>
      </c>
      <c r="G279" s="9">
        <f>_xlfn.XLOOKUP(Log!A279, 'Daily Summary'!A:A, 'Daily Summary'!C:C, "TBD")</f>
        <v>0.59305555555555556</v>
      </c>
    </row>
    <row r="280" spans="1:7" x14ac:dyDescent="0.3">
      <c r="A280" s="1">
        <v>46255</v>
      </c>
      <c r="B280" s="9">
        <v>0.61730324074074072</v>
      </c>
      <c r="C280" s="7">
        <v>57</v>
      </c>
      <c r="D280" s="2">
        <v>58</v>
      </c>
      <c r="E280" s="6">
        <f>IF(AND($B280&lt;&gt;"", $G280&lt;&gt;"TBD"), ($B280-$G280)*1440, "")</f>
        <v>34.916666666666636</v>
      </c>
      <c r="F280" s="2">
        <f t="shared" si="4"/>
        <v>1</v>
      </c>
      <c r="G280" s="9">
        <f>_xlfn.XLOOKUP(Log!A280, 'Daily Summary'!A:A, 'Daily Summary'!C:C, "TBD")</f>
        <v>0.59305555555555556</v>
      </c>
    </row>
    <row r="281" spans="1:7" x14ac:dyDescent="0.3">
      <c r="A281" s="1">
        <v>46255</v>
      </c>
      <c r="B281" s="9">
        <v>0.61870370370370376</v>
      </c>
      <c r="C281" s="7">
        <v>57</v>
      </c>
      <c r="D281" s="2">
        <v>58</v>
      </c>
      <c r="E281" s="6">
        <f>IF(AND($B281&lt;&gt;"", $G281&lt;&gt;"TBD"), ($B281-$G281)*1440, "")</f>
        <v>36.933333333333408</v>
      </c>
      <c r="F281" s="2">
        <f t="shared" si="4"/>
        <v>1</v>
      </c>
      <c r="G281" s="9">
        <f>_xlfn.XLOOKUP(Log!A281, 'Daily Summary'!A:A, 'Daily Summary'!C:C, "TBD")</f>
        <v>0.59305555555555556</v>
      </c>
    </row>
    <row r="282" spans="1:7" x14ac:dyDescent="0.3">
      <c r="A282" s="1">
        <v>46255</v>
      </c>
      <c r="B282" s="9">
        <v>0.62009259259259264</v>
      </c>
      <c r="C282" s="7">
        <v>57</v>
      </c>
      <c r="D282" s="2">
        <v>58</v>
      </c>
      <c r="E282" s="6">
        <f>IF(AND($B282&lt;&gt;"", $G282&lt;&gt;"TBD"), ($B282-$G282)*1440, "")</f>
        <v>38.933333333333394</v>
      </c>
      <c r="F282" s="2">
        <f t="shared" si="4"/>
        <v>1</v>
      </c>
      <c r="G282" s="9">
        <f>_xlfn.XLOOKUP(Log!A282, 'Daily Summary'!A:A, 'Daily Summary'!C:C, "TBD")</f>
        <v>0.59305555555555556</v>
      </c>
    </row>
    <row r="283" spans="1:7" x14ac:dyDescent="0.3">
      <c r="A283" s="1">
        <v>46255</v>
      </c>
      <c r="B283" s="9">
        <v>0.62149305555555556</v>
      </c>
      <c r="C283" s="7">
        <v>57</v>
      </c>
      <c r="D283" s="2">
        <v>58</v>
      </c>
      <c r="E283" s="6">
        <f>IF(AND($B283&lt;&gt;"", $G283&lt;&gt;"TBD"), ($B283-$G283)*1440, "")</f>
        <v>40.950000000000003</v>
      </c>
      <c r="F283" s="2">
        <f t="shared" si="4"/>
        <v>1</v>
      </c>
      <c r="G283" s="9">
        <f>_xlfn.XLOOKUP(Log!A283, 'Daily Summary'!A:A, 'Daily Summary'!C:C, "TBD")</f>
        <v>0.59305555555555556</v>
      </c>
    </row>
    <row r="284" spans="1:7" x14ac:dyDescent="0.3">
      <c r="A284" s="1">
        <v>46255</v>
      </c>
      <c r="B284" s="9">
        <v>0.62288194444444445</v>
      </c>
      <c r="C284" s="7">
        <v>57</v>
      </c>
      <c r="D284" s="2">
        <v>61</v>
      </c>
      <c r="E284" s="6">
        <f>IF(AND($B284&lt;&gt;"", $G284&lt;&gt;"TBD"), ($B284-$G284)*1440, "")</f>
        <v>42.95</v>
      </c>
      <c r="F284" s="2">
        <f t="shared" si="4"/>
        <v>4</v>
      </c>
      <c r="G284" s="9">
        <f>_xlfn.XLOOKUP(Log!A284, 'Daily Summary'!A:A, 'Daily Summary'!C:C, "TBD")</f>
        <v>0.59305555555555556</v>
      </c>
    </row>
    <row r="285" spans="1:7" x14ac:dyDescent="0.3">
      <c r="A285" s="1">
        <v>46258</v>
      </c>
      <c r="B285" s="9">
        <v>0.49375000000000002</v>
      </c>
      <c r="C285" s="7">
        <v>27</v>
      </c>
      <c r="D285" s="2">
        <v>30</v>
      </c>
      <c r="E285" s="6">
        <f>IF(AND($B285&lt;&gt;"", $G285&lt;&gt;"TBD"), ($B285-$G285)*1440, "")</f>
        <v>1.9999999999999929</v>
      </c>
      <c r="F285" s="2">
        <f t="shared" si="4"/>
        <v>3</v>
      </c>
      <c r="G285" s="9">
        <f>_xlfn.XLOOKUP(Log!A285, 'Daily Summary'!A:A, 'Daily Summary'!C:C, "TBD")</f>
        <v>0.49236111111111114</v>
      </c>
    </row>
    <row r="286" spans="1:7" x14ac:dyDescent="0.3">
      <c r="A286" s="1">
        <v>46258</v>
      </c>
      <c r="B286" s="9">
        <v>0.49494212962962963</v>
      </c>
      <c r="C286" s="7">
        <v>32</v>
      </c>
      <c r="D286" s="2">
        <v>33</v>
      </c>
      <c r="E286" s="6">
        <f>IF(AND($B286&lt;&gt;"", $G286&lt;&gt;"TBD"), ($B286-$G286)*1440, "")</f>
        <v>3.7166666666666348</v>
      </c>
      <c r="F286" s="2">
        <f t="shared" si="4"/>
        <v>1</v>
      </c>
      <c r="G286" s="9">
        <f>_xlfn.XLOOKUP(Log!A286, 'Daily Summary'!A:A, 'Daily Summary'!C:C, "TBD")</f>
        <v>0.49236111111111114</v>
      </c>
    </row>
    <row r="287" spans="1:7" x14ac:dyDescent="0.3">
      <c r="A287" s="1">
        <v>46258</v>
      </c>
      <c r="B287" s="9">
        <v>0.49633101851851852</v>
      </c>
      <c r="C287" s="7">
        <v>35</v>
      </c>
      <c r="D287" s="2">
        <v>38</v>
      </c>
      <c r="E287" s="6">
        <f>IF(AND($B287&lt;&gt;"", $G287&lt;&gt;"TBD"), ($B287-$G287)*1440, "")</f>
        <v>5.7166666666666277</v>
      </c>
      <c r="F287" s="2">
        <f t="shared" si="4"/>
        <v>3</v>
      </c>
      <c r="G287" s="9">
        <f>_xlfn.XLOOKUP(Log!A287, 'Daily Summary'!A:A, 'Daily Summary'!C:C, "TBD")</f>
        <v>0.49236111111111114</v>
      </c>
    </row>
    <row r="288" spans="1:7" x14ac:dyDescent="0.3">
      <c r="A288" s="1">
        <v>46258</v>
      </c>
      <c r="B288" s="9">
        <v>0.4977314814814815</v>
      </c>
      <c r="C288" s="7">
        <v>38</v>
      </c>
      <c r="D288" s="2">
        <v>41</v>
      </c>
      <c r="E288" s="6">
        <f>IF(AND($B288&lt;&gt;"", $G288&lt;&gt;"TBD"), ($B288-$G288)*1440, "")</f>
        <v>7.7333333333333165</v>
      </c>
      <c r="F288" s="2">
        <f t="shared" si="4"/>
        <v>3</v>
      </c>
      <c r="G288" s="9">
        <f>_xlfn.XLOOKUP(Log!A288, 'Daily Summary'!A:A, 'Daily Summary'!C:C, "TBD")</f>
        <v>0.49236111111111114</v>
      </c>
    </row>
    <row r="289" spans="1:7" x14ac:dyDescent="0.3">
      <c r="A289" s="1">
        <v>46258</v>
      </c>
      <c r="B289" s="9">
        <v>0.49912037037037038</v>
      </c>
      <c r="C289" s="7">
        <v>41</v>
      </c>
      <c r="D289" s="2">
        <v>42</v>
      </c>
      <c r="E289" s="6">
        <f>IF(AND($B289&lt;&gt;"", $G289&lt;&gt;"TBD"), ($B289-$G289)*1440, "")</f>
        <v>9.7333333333333094</v>
      </c>
      <c r="F289" s="2">
        <f t="shared" si="4"/>
        <v>1</v>
      </c>
      <c r="G289" s="9">
        <f>_xlfn.XLOOKUP(Log!A289, 'Daily Summary'!A:A, 'Daily Summary'!C:C, "TBD")</f>
        <v>0.49236111111111114</v>
      </c>
    </row>
    <row r="290" spans="1:7" x14ac:dyDescent="0.3">
      <c r="A290" s="1">
        <v>46258</v>
      </c>
      <c r="B290" s="9">
        <v>0.50050925925925926</v>
      </c>
      <c r="C290" s="7">
        <v>42</v>
      </c>
      <c r="D290" s="2">
        <v>45</v>
      </c>
      <c r="E290" s="6">
        <f>IF(AND($B290&lt;&gt;"", $G290&lt;&gt;"TBD"), ($B290-$G290)*1440, "")</f>
        <v>11.733333333333302</v>
      </c>
      <c r="F290" s="2">
        <f t="shared" si="4"/>
        <v>3</v>
      </c>
      <c r="G290" s="9">
        <f>_xlfn.XLOOKUP(Log!A290, 'Daily Summary'!A:A, 'Daily Summary'!C:C, "TBD")</f>
        <v>0.49236111111111114</v>
      </c>
    </row>
    <row r="291" spans="1:7" x14ac:dyDescent="0.3">
      <c r="A291" s="1">
        <v>46258</v>
      </c>
      <c r="B291" s="9">
        <v>0.50189814814814815</v>
      </c>
      <c r="C291" s="7">
        <v>44</v>
      </c>
      <c r="D291" s="2">
        <v>47</v>
      </c>
      <c r="E291" s="6">
        <f>IF(AND($B291&lt;&gt;"", $G291&lt;&gt;"TBD"), ($B291-$G291)*1440, "")</f>
        <v>13.733333333333295</v>
      </c>
      <c r="F291" s="2">
        <f t="shared" si="4"/>
        <v>3</v>
      </c>
      <c r="G291" s="9">
        <f>_xlfn.XLOOKUP(Log!A291, 'Daily Summary'!A:A, 'Daily Summary'!C:C, "TBD")</f>
        <v>0.49236111111111114</v>
      </c>
    </row>
    <row r="292" spans="1:7" x14ac:dyDescent="0.3">
      <c r="A292" s="1">
        <v>46258</v>
      </c>
      <c r="B292" s="9">
        <v>0.50328703703703703</v>
      </c>
      <c r="C292" s="7">
        <v>45</v>
      </c>
      <c r="D292" s="2">
        <v>49</v>
      </c>
      <c r="E292" s="6">
        <f>IF(AND($B292&lt;&gt;"", $G292&lt;&gt;"TBD"), ($B292-$G292)*1440, "")</f>
        <v>15.733333333333288</v>
      </c>
      <c r="F292" s="2">
        <f t="shared" si="4"/>
        <v>4</v>
      </c>
      <c r="G292" s="9">
        <f>_xlfn.XLOOKUP(Log!A292, 'Daily Summary'!A:A, 'Daily Summary'!C:C, "TBD")</f>
        <v>0.49236111111111114</v>
      </c>
    </row>
    <row r="293" spans="1:7" x14ac:dyDescent="0.3">
      <c r="A293" s="1">
        <v>46258</v>
      </c>
      <c r="B293" s="9">
        <v>0.50468749999999996</v>
      </c>
      <c r="C293" s="7">
        <v>48</v>
      </c>
      <c r="D293" s="2">
        <v>49</v>
      </c>
      <c r="E293" s="6">
        <f>IF(AND($B293&lt;&gt;"", $G293&lt;&gt;"TBD"), ($B293-$G293)*1440, "")</f>
        <v>17.749999999999897</v>
      </c>
      <c r="F293" s="2">
        <f t="shared" si="4"/>
        <v>1</v>
      </c>
      <c r="G293" s="9">
        <f>_xlfn.XLOOKUP(Log!A293, 'Daily Summary'!A:A, 'Daily Summary'!C:C, "TBD")</f>
        <v>0.49236111111111114</v>
      </c>
    </row>
    <row r="294" spans="1:7" x14ac:dyDescent="0.3">
      <c r="A294" s="1">
        <v>46258</v>
      </c>
      <c r="B294" s="9">
        <v>0.50607638888888884</v>
      </c>
      <c r="C294" s="7">
        <v>48</v>
      </c>
      <c r="D294" s="2">
        <v>51</v>
      </c>
      <c r="E294" s="6">
        <f>IF(AND($B294&lt;&gt;"", $G294&lt;&gt;"TBD"), ($B294-$G294)*1440, "")</f>
        <v>19.74999999999989</v>
      </c>
      <c r="F294" s="2">
        <f t="shared" si="4"/>
        <v>3</v>
      </c>
      <c r="G294" s="9">
        <f>_xlfn.XLOOKUP(Log!A294, 'Daily Summary'!A:A, 'Daily Summary'!C:C, "TBD")</f>
        <v>0.49236111111111114</v>
      </c>
    </row>
    <row r="295" spans="1:7" x14ac:dyDescent="0.3">
      <c r="A295" s="1">
        <v>46258</v>
      </c>
      <c r="B295" s="9">
        <v>0.50747685185185187</v>
      </c>
      <c r="C295" s="7">
        <v>49</v>
      </c>
      <c r="D295" s="2">
        <v>52</v>
      </c>
      <c r="E295" s="6">
        <f>IF(AND($B295&lt;&gt;"", $G295&lt;&gt;"TBD"), ($B295-$G295)*1440, "")</f>
        <v>21.766666666666659</v>
      </c>
      <c r="F295" s="2">
        <f t="shared" si="4"/>
        <v>3</v>
      </c>
      <c r="G295" s="9">
        <f>_xlfn.XLOOKUP(Log!A295, 'Daily Summary'!A:A, 'Daily Summary'!C:C, "TBD")</f>
        <v>0.49236111111111114</v>
      </c>
    </row>
    <row r="296" spans="1:7" x14ac:dyDescent="0.3">
      <c r="A296" s="1">
        <v>46258</v>
      </c>
      <c r="B296" s="9">
        <v>0.50886574074074076</v>
      </c>
      <c r="C296" s="7">
        <v>51</v>
      </c>
      <c r="D296" s="2">
        <v>54</v>
      </c>
      <c r="E296" s="6">
        <f>IF(AND($B296&lt;&gt;"", $G296&lt;&gt;"TBD"), ($B296-$G296)*1440, "")</f>
        <v>23.766666666666652</v>
      </c>
      <c r="F296" s="2">
        <f t="shared" si="4"/>
        <v>3</v>
      </c>
      <c r="G296" s="9">
        <f>_xlfn.XLOOKUP(Log!A296, 'Daily Summary'!A:A, 'Daily Summary'!C:C, "TBD")</f>
        <v>0.49236111111111114</v>
      </c>
    </row>
    <row r="297" spans="1:7" x14ac:dyDescent="0.3">
      <c r="A297" s="1">
        <v>46258</v>
      </c>
      <c r="B297" s="9">
        <v>0.51026620370370368</v>
      </c>
      <c r="C297" s="7">
        <v>51</v>
      </c>
      <c r="D297" s="2">
        <v>55</v>
      </c>
      <c r="E297" s="6">
        <f>IF(AND($B297&lt;&gt;"", $G297&lt;&gt;"TBD"), ($B297-$G297)*1440, "")</f>
        <v>25.78333333333326</v>
      </c>
      <c r="F297" s="2">
        <f t="shared" ref="F297:F346" si="5">IF(AND(D297&lt;&gt;"",C297&lt;&gt;""),D297-C297,"")</f>
        <v>4</v>
      </c>
      <c r="G297" s="9">
        <f>_xlfn.XLOOKUP(Log!A297, 'Daily Summary'!A:A, 'Daily Summary'!C:C, "TBD")</f>
        <v>0.49236111111111114</v>
      </c>
    </row>
    <row r="298" spans="1:7" x14ac:dyDescent="0.3">
      <c r="A298" s="1">
        <v>46258</v>
      </c>
      <c r="B298" s="9">
        <v>0.51165509259259256</v>
      </c>
      <c r="C298" s="7">
        <v>52</v>
      </c>
      <c r="D298" s="2">
        <v>55</v>
      </c>
      <c r="E298" s="6">
        <f>IF(AND($B298&lt;&gt;"", $G298&lt;&gt;"TBD"), ($B298-$G298)*1440, "")</f>
        <v>27.783333333333253</v>
      </c>
      <c r="F298" s="2">
        <f t="shared" si="5"/>
        <v>3</v>
      </c>
      <c r="G298" s="9">
        <f>_xlfn.XLOOKUP(Log!A298, 'Daily Summary'!A:A, 'Daily Summary'!C:C, "TBD")</f>
        <v>0.49236111111111114</v>
      </c>
    </row>
    <row r="299" spans="1:7" x14ac:dyDescent="0.3">
      <c r="A299" s="1">
        <v>46258</v>
      </c>
      <c r="B299" s="9">
        <v>0.51304398148148145</v>
      </c>
      <c r="C299" s="7">
        <v>54</v>
      </c>
      <c r="D299" s="2">
        <v>55</v>
      </c>
      <c r="E299" s="6">
        <f>IF(AND($B299&lt;&gt;"", $G299&lt;&gt;"TBD"), ($B299-$G299)*1440, "")</f>
        <v>29.783333333333246</v>
      </c>
      <c r="F299" s="2">
        <f t="shared" si="5"/>
        <v>1</v>
      </c>
      <c r="G299" s="9">
        <f>_xlfn.XLOOKUP(Log!A299, 'Daily Summary'!A:A, 'Daily Summary'!C:C, "TBD")</f>
        <v>0.49236111111111114</v>
      </c>
    </row>
    <row r="300" spans="1:7" x14ac:dyDescent="0.3">
      <c r="A300" s="1">
        <v>46258</v>
      </c>
      <c r="B300" s="9">
        <v>0.51444444444444448</v>
      </c>
      <c r="C300" s="7">
        <v>54</v>
      </c>
      <c r="D300" s="2">
        <v>57</v>
      </c>
      <c r="E300" s="6">
        <f>IF(AND($B300&lt;&gt;"", $G300&lt;&gt;"TBD"), ($B300-$G300)*1440, "")</f>
        <v>31.800000000000015</v>
      </c>
      <c r="F300" s="2">
        <f t="shared" si="5"/>
        <v>3</v>
      </c>
      <c r="G300" s="9">
        <f>_xlfn.XLOOKUP(Log!A300, 'Daily Summary'!A:A, 'Daily Summary'!C:C, "TBD")</f>
        <v>0.49236111111111114</v>
      </c>
    </row>
    <row r="301" spans="1:7" x14ac:dyDescent="0.3">
      <c r="A301" s="1">
        <v>46260</v>
      </c>
      <c r="B301" s="9">
        <v>0.43611111111111112</v>
      </c>
      <c r="C301" s="7">
        <v>27</v>
      </c>
      <c r="D301" s="2">
        <v>29</v>
      </c>
      <c r="E301" s="6">
        <f>IF(AND($B301&lt;&gt;"", $G301&lt;&gt;"TBD"), ($B301-$G301)*1440, "")</f>
        <v>1.9999999999999929</v>
      </c>
      <c r="F301" s="2">
        <f t="shared" si="5"/>
        <v>2</v>
      </c>
      <c r="G301" s="9">
        <f>_xlfn.XLOOKUP(Log!A301, 'Daily Summary'!A:A, 'Daily Summary'!C:C, "TBD")</f>
        <v>0.43472222222222223</v>
      </c>
    </row>
    <row r="302" spans="1:7" x14ac:dyDescent="0.3">
      <c r="A302" s="1">
        <v>46260</v>
      </c>
      <c r="B302" s="9">
        <v>0.43684027777777779</v>
      </c>
      <c r="C302" s="7">
        <v>31</v>
      </c>
      <c r="D302" s="2">
        <v>32</v>
      </c>
      <c r="E302" s="6">
        <f>IF(AND($B302&lt;&gt;"", $G302&lt;&gt;"TBD"), ($B302-$G302)*1440, "")</f>
        <v>3.0499999999999972</v>
      </c>
      <c r="F302" s="2">
        <f t="shared" si="5"/>
        <v>1</v>
      </c>
      <c r="G302" s="9">
        <f>_xlfn.XLOOKUP(Log!A302, 'Daily Summary'!A:A, 'Daily Summary'!C:C, "TBD")</f>
        <v>0.43472222222222223</v>
      </c>
    </row>
    <row r="303" spans="1:7" x14ac:dyDescent="0.3">
      <c r="A303" s="1">
        <v>46260</v>
      </c>
      <c r="B303" s="9">
        <v>0.43824074074074076</v>
      </c>
      <c r="C303" s="7">
        <v>35</v>
      </c>
      <c r="D303" s="2">
        <v>38</v>
      </c>
      <c r="E303" s="6">
        <f>IF(AND($B303&lt;&gt;"", $G303&lt;&gt;"TBD"), ($B303-$G303)*1440, "")</f>
        <v>5.066666666666686</v>
      </c>
      <c r="F303" s="2">
        <f t="shared" si="5"/>
        <v>3</v>
      </c>
      <c r="G303" s="9">
        <f>_xlfn.XLOOKUP(Log!A303, 'Daily Summary'!A:A, 'Daily Summary'!C:C, "TBD")</f>
        <v>0.43472222222222223</v>
      </c>
    </row>
    <row r="304" spans="1:7" x14ac:dyDescent="0.3">
      <c r="A304" s="1">
        <v>46260</v>
      </c>
      <c r="B304" s="9">
        <v>0.43962962962962965</v>
      </c>
      <c r="C304" s="7">
        <v>38</v>
      </c>
      <c r="D304" s="2">
        <v>41</v>
      </c>
      <c r="E304" s="6">
        <f>IF(AND($B304&lt;&gt;"", $G304&lt;&gt;"TBD"), ($B304-$G304)*1440, "")</f>
        <v>7.0666666666666789</v>
      </c>
      <c r="F304" s="2">
        <f t="shared" si="5"/>
        <v>3</v>
      </c>
      <c r="G304" s="9">
        <f>_xlfn.XLOOKUP(Log!A304, 'Daily Summary'!A:A, 'Daily Summary'!C:C, "TBD")</f>
        <v>0.43472222222222223</v>
      </c>
    </row>
    <row r="305" spans="1:8" x14ac:dyDescent="0.3">
      <c r="A305" s="1">
        <v>46260</v>
      </c>
      <c r="B305" s="9">
        <v>0.44103009259259257</v>
      </c>
      <c r="C305" s="7">
        <v>41</v>
      </c>
      <c r="D305" s="2">
        <v>42</v>
      </c>
      <c r="E305" s="6">
        <f>IF(AND($B305&lt;&gt;"", $G305&lt;&gt;"TBD"), ($B305-$G305)*1440, "")</f>
        <v>9.0833333333332877</v>
      </c>
      <c r="F305" s="2">
        <f t="shared" si="5"/>
        <v>1</v>
      </c>
      <c r="G305" s="9">
        <f>_xlfn.XLOOKUP(Log!A305, 'Daily Summary'!A:A, 'Daily Summary'!C:C, "TBD")</f>
        <v>0.43472222222222223</v>
      </c>
    </row>
    <row r="306" spans="1:8" x14ac:dyDescent="0.3">
      <c r="A306" s="1">
        <v>46260</v>
      </c>
      <c r="B306" s="9">
        <v>0.44243055555555555</v>
      </c>
      <c r="C306" s="7">
        <v>42</v>
      </c>
      <c r="D306" s="2">
        <v>45</v>
      </c>
      <c r="E306" s="6">
        <f>IF(AND($B306&lt;&gt;"", $G306&lt;&gt;"TBD"), ($B306-$G306)*1440, "")</f>
        <v>11.099999999999977</v>
      </c>
      <c r="F306" s="2">
        <f t="shared" si="5"/>
        <v>3</v>
      </c>
      <c r="G306" s="9">
        <f>_xlfn.XLOOKUP(Log!A306, 'Daily Summary'!A:A, 'Daily Summary'!C:C, "TBD")</f>
        <v>0.43472222222222223</v>
      </c>
    </row>
    <row r="307" spans="1:8" x14ac:dyDescent="0.3">
      <c r="A307" s="1">
        <v>46260</v>
      </c>
      <c r="B307" s="9">
        <v>0.44381944444444443</v>
      </c>
      <c r="C307" s="7">
        <v>44</v>
      </c>
      <c r="D307" s="2">
        <v>47</v>
      </c>
      <c r="E307" s="6">
        <f>IF(AND($B307&lt;&gt;"", $G307&lt;&gt;"TBD"), ($B307-$G307)*1440, "")</f>
        <v>13.099999999999969</v>
      </c>
      <c r="F307" s="2">
        <f t="shared" si="5"/>
        <v>3</v>
      </c>
      <c r="G307" s="9">
        <f>_xlfn.XLOOKUP(Log!A307, 'Daily Summary'!A:A, 'Daily Summary'!C:C, "TBD")</f>
        <v>0.43472222222222223</v>
      </c>
    </row>
    <row r="308" spans="1:8" x14ac:dyDescent="0.3">
      <c r="A308" s="1">
        <v>46260</v>
      </c>
      <c r="B308" s="9">
        <v>0.44520833333333332</v>
      </c>
      <c r="C308" s="7">
        <v>47</v>
      </c>
      <c r="D308" s="2">
        <v>48</v>
      </c>
      <c r="E308" s="6">
        <f>IF(AND($B308&lt;&gt;"", $G308&lt;&gt;"TBD"), ($B308-$G308)*1440, "")</f>
        <v>15.099999999999962</v>
      </c>
      <c r="F308" s="2">
        <f t="shared" si="5"/>
        <v>1</v>
      </c>
      <c r="G308" s="9">
        <f>_xlfn.XLOOKUP(Log!A308, 'Daily Summary'!A:A, 'Daily Summary'!C:C, "TBD")</f>
        <v>0.43472222222222223</v>
      </c>
    </row>
    <row r="309" spans="1:8" x14ac:dyDescent="0.3">
      <c r="A309" s="1">
        <v>46260</v>
      </c>
      <c r="B309" s="9">
        <v>0.4465972222222222</v>
      </c>
      <c r="C309" s="7">
        <v>48</v>
      </c>
      <c r="D309" s="2">
        <v>49</v>
      </c>
      <c r="E309" s="6">
        <f>IF(AND($B309&lt;&gt;"", $G309&lt;&gt;"TBD"), ($B309-$G309)*1440, "")</f>
        <v>17.099999999999955</v>
      </c>
      <c r="F309" s="2">
        <f t="shared" si="5"/>
        <v>1</v>
      </c>
      <c r="G309" s="9">
        <f>_xlfn.XLOOKUP(Log!A309, 'Daily Summary'!A:A, 'Daily Summary'!C:C, "TBD")</f>
        <v>0.43472222222222223</v>
      </c>
    </row>
    <row r="310" spans="1:8" x14ac:dyDescent="0.3">
      <c r="A310" s="1">
        <v>46260</v>
      </c>
      <c r="B310" s="9">
        <v>0.44799768518518518</v>
      </c>
      <c r="C310" s="7">
        <v>48</v>
      </c>
      <c r="D310" s="2">
        <v>51</v>
      </c>
      <c r="E310" s="6">
        <f>IF(AND($B310&lt;&gt;"", $G310&lt;&gt;"TBD"), ($B310-$G310)*1440, "")</f>
        <v>19.116666666666646</v>
      </c>
      <c r="F310" s="2">
        <f t="shared" si="5"/>
        <v>3</v>
      </c>
      <c r="G310" s="9">
        <f>_xlfn.XLOOKUP(Log!A310, 'Daily Summary'!A:A, 'Daily Summary'!C:C, "TBD")</f>
        <v>0.43472222222222223</v>
      </c>
    </row>
    <row r="311" spans="1:8" x14ac:dyDescent="0.3">
      <c r="A311" s="1">
        <v>46260</v>
      </c>
      <c r="B311" s="9">
        <v>0.44938657407407406</v>
      </c>
      <c r="C311" s="7">
        <v>51</v>
      </c>
      <c r="D311" s="2">
        <v>52</v>
      </c>
      <c r="E311" s="6">
        <f>IF(AND($B311&lt;&gt;"", $G311&lt;&gt;"TBD"), ($B311-$G311)*1440, "")</f>
        <v>21.116666666666639</v>
      </c>
      <c r="F311" s="2">
        <f t="shared" si="5"/>
        <v>1</v>
      </c>
      <c r="G311" s="9">
        <f>_xlfn.XLOOKUP(Log!A311, 'Daily Summary'!A:A, 'Daily Summary'!C:C, "TBD")</f>
        <v>0.43472222222222223</v>
      </c>
    </row>
    <row r="312" spans="1:8" x14ac:dyDescent="0.3">
      <c r="A312" s="1">
        <v>46260</v>
      </c>
      <c r="B312" s="9">
        <v>0.45078703703703704</v>
      </c>
      <c r="C312" s="7">
        <v>51</v>
      </c>
      <c r="D312" s="2">
        <v>54</v>
      </c>
      <c r="E312" s="6">
        <f>IF(AND($B312&lt;&gt;"", $G312&lt;&gt;"TBD"), ($B312-$G312)*1440, "")</f>
        <v>23.133333333333326</v>
      </c>
      <c r="F312" s="2">
        <f t="shared" si="5"/>
        <v>3</v>
      </c>
      <c r="G312" s="9">
        <f>_xlfn.XLOOKUP(Log!A312, 'Daily Summary'!A:A, 'Daily Summary'!C:C, "TBD")</f>
        <v>0.43472222222222223</v>
      </c>
    </row>
    <row r="313" spans="1:8" x14ac:dyDescent="0.3">
      <c r="A313" s="1">
        <v>46260</v>
      </c>
      <c r="B313" s="9">
        <v>0.45218750000000002</v>
      </c>
      <c r="C313" s="7">
        <v>52</v>
      </c>
      <c r="D313" s="2">
        <v>54</v>
      </c>
      <c r="E313" s="6">
        <f>IF(AND($B313&lt;&gt;"", $G313&lt;&gt;"TBD"), ($B313-$G313)*1440, "")</f>
        <v>25.150000000000013</v>
      </c>
      <c r="F313" s="2">
        <f t="shared" si="5"/>
        <v>2</v>
      </c>
      <c r="G313" s="9">
        <f>_xlfn.XLOOKUP(Log!A313, 'Daily Summary'!A:A, 'Daily Summary'!C:C, "TBD")</f>
        <v>0.43472222222222223</v>
      </c>
    </row>
    <row r="314" spans="1:8" x14ac:dyDescent="0.3">
      <c r="A314" s="1">
        <v>46260</v>
      </c>
      <c r="B314" s="9">
        <v>0.4535763888888889</v>
      </c>
      <c r="C314" s="7">
        <v>52</v>
      </c>
      <c r="D314" s="2">
        <v>55</v>
      </c>
      <c r="E314" s="6">
        <f>IF(AND($B314&lt;&gt;"", $G314&lt;&gt;"TBD"), ($B314-$G314)*1440, "")</f>
        <v>27.150000000000006</v>
      </c>
      <c r="F314" s="2">
        <f t="shared" si="5"/>
        <v>3</v>
      </c>
      <c r="G314" s="9">
        <f>_xlfn.XLOOKUP(Log!A314, 'Daily Summary'!A:A, 'Daily Summary'!C:C, "TBD")</f>
        <v>0.43472222222222223</v>
      </c>
    </row>
    <row r="315" spans="1:8" x14ac:dyDescent="0.3">
      <c r="A315" s="1">
        <v>46260</v>
      </c>
      <c r="B315" s="9">
        <v>0.45497685185185183</v>
      </c>
      <c r="C315" s="7">
        <v>54</v>
      </c>
      <c r="D315" s="2">
        <v>57</v>
      </c>
      <c r="E315" s="6">
        <f>IF(AND($B315&lt;&gt;"", $G315&lt;&gt;"TBD"), ($B315-$G315)*1440, "")</f>
        <v>29.166666666666615</v>
      </c>
      <c r="F315" s="2">
        <f t="shared" si="5"/>
        <v>3</v>
      </c>
      <c r="G315" s="9">
        <f>_xlfn.XLOOKUP(Log!A315, 'Daily Summary'!A:A, 'Daily Summary'!C:C, "TBD")</f>
        <v>0.43472222222222223</v>
      </c>
    </row>
    <row r="316" spans="1:8" x14ac:dyDescent="0.3">
      <c r="A316" s="1">
        <v>46260</v>
      </c>
      <c r="B316" s="9">
        <v>0.45637731481481481</v>
      </c>
      <c r="C316" s="7">
        <v>54</v>
      </c>
      <c r="D316" s="2">
        <v>57</v>
      </c>
      <c r="E316" s="6">
        <f>IF(AND($B316&lt;&gt;"", $G316&lt;&gt;"TBD"), ($B316-$G316)*1440, "")</f>
        <v>31.183333333333305</v>
      </c>
      <c r="F316" s="2">
        <f t="shared" si="5"/>
        <v>3</v>
      </c>
      <c r="G316" s="9">
        <f>_xlfn.XLOOKUP(Log!A316, 'Daily Summary'!A:A, 'Daily Summary'!C:C, "TBD")</f>
        <v>0.43472222222222223</v>
      </c>
    </row>
    <row r="317" spans="1:8" x14ac:dyDescent="0.3">
      <c r="A317" s="1">
        <v>46262</v>
      </c>
      <c r="B317" s="9">
        <v>0.51736111111111116</v>
      </c>
      <c r="C317" s="7">
        <v>29</v>
      </c>
      <c r="D317" s="2">
        <v>30</v>
      </c>
      <c r="E317" s="6">
        <f>IF(AND($B317&lt;&gt;"", $G317&lt;&gt;"TBD"), ($B317-$G317)*1440, "")</f>
        <v>1.9999999999999929</v>
      </c>
      <c r="F317" s="2">
        <f t="shared" si="5"/>
        <v>1</v>
      </c>
      <c r="G317" s="9">
        <f>_xlfn.XLOOKUP(Log!A317, 'Daily Summary'!A:A, 'Daily Summary'!C:C, "TBD")</f>
        <v>0.51597222222222228</v>
      </c>
      <c r="H317" s="16"/>
    </row>
    <row r="318" spans="1:8" x14ac:dyDescent="0.3">
      <c r="A318" s="1">
        <v>46262</v>
      </c>
      <c r="B318" s="9">
        <v>0.51826388888888886</v>
      </c>
      <c r="C318" s="7">
        <v>32</v>
      </c>
      <c r="D318" s="2">
        <v>33</v>
      </c>
      <c r="E318" s="6">
        <f>IF(AND($B318&lt;&gt;"", $G318&lt;&gt;""), ($B318-$G318)*1440, "")</f>
        <v>3.2999999999998764</v>
      </c>
      <c r="F318" s="2">
        <f t="shared" si="5"/>
        <v>1</v>
      </c>
      <c r="G318" s="9">
        <f>_xlfn.XLOOKUP(Log!A318, 'Daily Summary'!A:A, 'Daily Summary'!C:C, "TBD")</f>
        <v>0.51597222222222228</v>
      </c>
    </row>
    <row r="319" spans="1:8" x14ac:dyDescent="0.3">
      <c r="A319" s="1">
        <v>46262</v>
      </c>
      <c r="B319" s="9">
        <v>0.51965277777777774</v>
      </c>
      <c r="C319" s="7">
        <v>35</v>
      </c>
      <c r="D319" s="2">
        <v>38</v>
      </c>
      <c r="E319" s="6">
        <f>IF(AND($B319&lt;&gt;"", $G319&lt;&gt;""), ($B319-$G319)*1440, "")</f>
        <v>5.2999999999998693</v>
      </c>
      <c r="F319" s="2">
        <f t="shared" si="5"/>
        <v>3</v>
      </c>
      <c r="G319" s="9">
        <f>_xlfn.XLOOKUP(Log!A319, 'Daily Summary'!A:A, 'Daily Summary'!C:C, "TBD")</f>
        <v>0.51597222222222228</v>
      </c>
    </row>
    <row r="320" spans="1:8" x14ac:dyDescent="0.3">
      <c r="A320" s="1">
        <v>46262</v>
      </c>
      <c r="B320" s="9">
        <v>0.52104166666666663</v>
      </c>
      <c r="C320" s="7">
        <v>38</v>
      </c>
      <c r="D320" s="2">
        <v>41</v>
      </c>
      <c r="E320" s="6">
        <f>IF(AND($B320&lt;&gt;"", $G320&lt;&gt;""), ($B320-$G320)*1440, "")</f>
        <v>7.2999999999998622</v>
      </c>
      <c r="F320" s="2">
        <f t="shared" si="5"/>
        <v>3</v>
      </c>
      <c r="G320" s="9">
        <f>_xlfn.XLOOKUP(Log!A320, 'Daily Summary'!A:A, 'Daily Summary'!C:C, "TBD")</f>
        <v>0.51597222222222228</v>
      </c>
    </row>
    <row r="321" spans="1:7" x14ac:dyDescent="0.3">
      <c r="A321" s="1">
        <v>46262</v>
      </c>
      <c r="B321" s="9">
        <v>0.52244212962962966</v>
      </c>
      <c r="C321" s="7">
        <v>41</v>
      </c>
      <c r="D321" s="2">
        <v>44</v>
      </c>
      <c r="E321" s="6">
        <f>IF(AND($B321&lt;&gt;"", $G321&lt;&gt;""), ($B321-$G321)*1440, "")</f>
        <v>9.3166666666666309</v>
      </c>
      <c r="F321" s="2">
        <f t="shared" si="5"/>
        <v>3</v>
      </c>
      <c r="G321" s="9">
        <f>_xlfn.XLOOKUP(Log!A321, 'Daily Summary'!A:A, 'Daily Summary'!C:C, "TBD")</f>
        <v>0.51597222222222228</v>
      </c>
    </row>
    <row r="322" spans="1:7" x14ac:dyDescent="0.3">
      <c r="A322" s="1">
        <v>46262</v>
      </c>
      <c r="B322" s="9">
        <v>0.52384259259259258</v>
      </c>
      <c r="C322" s="7">
        <v>42</v>
      </c>
      <c r="D322" s="2">
        <v>45</v>
      </c>
      <c r="E322" s="6">
        <f>IF(AND($B322&lt;&gt;"", $G322&lt;&gt;""), ($B322-$G322)*1440, "")</f>
        <v>11.33333333333324</v>
      </c>
      <c r="F322" s="2">
        <f t="shared" si="5"/>
        <v>3</v>
      </c>
      <c r="G322" s="9">
        <f>_xlfn.XLOOKUP(Log!A322, 'Daily Summary'!A:A, 'Daily Summary'!C:C, "TBD")</f>
        <v>0.51597222222222228</v>
      </c>
    </row>
    <row r="323" spans="1:7" x14ac:dyDescent="0.3">
      <c r="A323" s="1">
        <v>46262</v>
      </c>
      <c r="B323" s="9">
        <v>0.52523148148148147</v>
      </c>
      <c r="C323" s="7">
        <v>44</v>
      </c>
      <c r="D323" s="2">
        <v>47</v>
      </c>
      <c r="E323" s="6">
        <f>IF(AND($B323&lt;&gt;"", $G323&lt;&gt;""), ($B323-$G323)*1440, "")</f>
        <v>13.333333333333233</v>
      </c>
      <c r="F323" s="2">
        <f t="shared" si="5"/>
        <v>3</v>
      </c>
      <c r="G323" s="9">
        <f>_xlfn.XLOOKUP(Log!A323, 'Daily Summary'!A:A, 'Daily Summary'!C:C, "TBD")</f>
        <v>0.51597222222222228</v>
      </c>
    </row>
    <row r="324" spans="1:7" x14ac:dyDescent="0.3">
      <c r="A324" s="1">
        <v>46262</v>
      </c>
      <c r="B324" s="9">
        <v>0.5266319444444445</v>
      </c>
      <c r="C324" s="7">
        <v>47</v>
      </c>
      <c r="D324" s="2">
        <v>49</v>
      </c>
      <c r="E324" s="6">
        <f>IF(AND($B324&lt;&gt;"", $G324&lt;&gt;""), ($B324-$G324)*1440, "")</f>
        <v>15.350000000000001</v>
      </c>
      <c r="F324" s="2">
        <f t="shared" si="5"/>
        <v>2</v>
      </c>
      <c r="G324" s="9">
        <f>_xlfn.XLOOKUP(Log!A324, 'Daily Summary'!A:A, 'Daily Summary'!C:C, "TBD")</f>
        <v>0.51597222222222228</v>
      </c>
    </row>
    <row r="325" spans="1:7" x14ac:dyDescent="0.3">
      <c r="A325" s="1">
        <v>46262</v>
      </c>
      <c r="B325" s="9">
        <v>0.52802083333333338</v>
      </c>
      <c r="C325" s="7">
        <v>48</v>
      </c>
      <c r="D325" s="2">
        <v>49</v>
      </c>
      <c r="E325" s="6">
        <f>IF(AND($B325&lt;&gt;"", $G325&lt;&gt;""), ($B325-$G325)*1440, "")</f>
        <v>17.349999999999994</v>
      </c>
      <c r="F325" s="2">
        <f t="shared" si="5"/>
        <v>1</v>
      </c>
      <c r="G325" s="9">
        <f>_xlfn.XLOOKUP(Log!A325, 'Daily Summary'!A:A, 'Daily Summary'!C:C, "TBD")</f>
        <v>0.51597222222222228</v>
      </c>
    </row>
    <row r="326" spans="1:7" x14ac:dyDescent="0.3">
      <c r="A326" s="1">
        <v>46262</v>
      </c>
      <c r="B326" s="9">
        <v>0.52940972222222227</v>
      </c>
      <c r="C326" s="7">
        <v>48</v>
      </c>
      <c r="D326" s="2">
        <v>52</v>
      </c>
      <c r="E326" s="6">
        <f>IF(AND($B326&lt;&gt;"", $G326&lt;&gt;""), ($B326-$G326)*1440, "")</f>
        <v>19.349999999999987</v>
      </c>
      <c r="F326" s="2">
        <f t="shared" si="5"/>
        <v>4</v>
      </c>
      <c r="G326" s="9">
        <f>_xlfn.XLOOKUP(Log!A326, 'Daily Summary'!A:A, 'Daily Summary'!C:C, "TBD")</f>
        <v>0.51597222222222228</v>
      </c>
    </row>
    <row r="327" spans="1:7" x14ac:dyDescent="0.3">
      <c r="A327" s="1">
        <v>46262</v>
      </c>
      <c r="B327" s="9">
        <v>0.53079861111111115</v>
      </c>
      <c r="C327" s="7">
        <v>51</v>
      </c>
      <c r="D327" s="2">
        <v>52</v>
      </c>
      <c r="E327" s="6">
        <f>IF(AND($B327&lt;&gt;"", $G327&lt;&gt;""), ($B327-$G327)*1440, "")</f>
        <v>21.34999999999998</v>
      </c>
      <c r="F327" s="2">
        <f t="shared" si="5"/>
        <v>1</v>
      </c>
      <c r="G327" s="9">
        <f>_xlfn.XLOOKUP(Log!A327, 'Daily Summary'!A:A, 'Daily Summary'!C:C, "TBD")</f>
        <v>0.51597222222222228</v>
      </c>
    </row>
    <row r="328" spans="1:7" x14ac:dyDescent="0.3">
      <c r="A328" s="1">
        <v>46262</v>
      </c>
      <c r="B328" s="9">
        <v>0.53219907407407407</v>
      </c>
      <c r="C328" s="7">
        <v>51</v>
      </c>
      <c r="D328" s="2">
        <v>54</v>
      </c>
      <c r="E328" s="6">
        <f>IF(AND($B328&lt;&gt;"", $G328&lt;&gt;""), ($B328-$G328)*1440, "")</f>
        <v>23.366666666666589</v>
      </c>
      <c r="F328" s="2">
        <f t="shared" si="5"/>
        <v>3</v>
      </c>
      <c r="G328" s="9">
        <f>_xlfn.XLOOKUP(Log!A328, 'Daily Summary'!A:A, 'Daily Summary'!C:C, "TBD")</f>
        <v>0.51597222222222228</v>
      </c>
    </row>
    <row r="329" spans="1:7" x14ac:dyDescent="0.3">
      <c r="A329" s="1">
        <v>46262</v>
      </c>
      <c r="B329" s="9">
        <v>0.53358796296296296</v>
      </c>
      <c r="C329" s="7">
        <v>51</v>
      </c>
      <c r="D329" s="2">
        <v>55</v>
      </c>
      <c r="E329" s="6">
        <f>IF(AND($B329&lt;&gt;"", $G329&lt;&gt;""), ($B329-$G329)*1440, "")</f>
        <v>25.366666666666582</v>
      </c>
      <c r="F329" s="2">
        <f t="shared" si="5"/>
        <v>4</v>
      </c>
      <c r="G329" s="9">
        <f>_xlfn.XLOOKUP(Log!A329, 'Daily Summary'!A:A, 'Daily Summary'!C:C, "TBD")</f>
        <v>0.51597222222222228</v>
      </c>
    </row>
    <row r="330" spans="1:7" x14ac:dyDescent="0.3">
      <c r="A330" s="1">
        <v>46262</v>
      </c>
      <c r="B330" s="9">
        <v>0.53497685185185184</v>
      </c>
      <c r="C330" s="7">
        <v>54</v>
      </c>
      <c r="D330" s="2">
        <v>55</v>
      </c>
      <c r="E330" s="6">
        <f>IF(AND($B330&lt;&gt;"", $G330&lt;&gt;""), ($B330-$G330)*1440, "")</f>
        <v>27.366666666666575</v>
      </c>
      <c r="F330" s="2">
        <f t="shared" si="5"/>
        <v>1</v>
      </c>
      <c r="G330" s="9">
        <f>_xlfn.XLOOKUP(Log!A330, 'Daily Summary'!A:A, 'Daily Summary'!C:C, "TBD")</f>
        <v>0.51597222222222228</v>
      </c>
    </row>
    <row r="331" spans="1:7" x14ac:dyDescent="0.3">
      <c r="A331" s="1">
        <v>46262</v>
      </c>
      <c r="B331" s="9">
        <v>0.53637731481481477</v>
      </c>
      <c r="C331" s="7">
        <v>54</v>
      </c>
      <c r="D331" s="2">
        <v>57</v>
      </c>
      <c r="E331" s="6">
        <f>IF(AND($B331&lt;&gt;"", $G331&lt;&gt;""), ($B331-$G331)*1440, "")</f>
        <v>29.383333333333184</v>
      </c>
      <c r="F331" s="2">
        <f t="shared" si="5"/>
        <v>3</v>
      </c>
      <c r="G331" s="9">
        <f>_xlfn.XLOOKUP(Log!A331, 'Daily Summary'!A:A, 'Daily Summary'!C:C, "TBD")</f>
        <v>0.51597222222222228</v>
      </c>
    </row>
    <row r="332" spans="1:7" x14ac:dyDescent="0.3">
      <c r="A332" s="1">
        <v>46262</v>
      </c>
      <c r="B332" s="9">
        <v>0.53776620370370365</v>
      </c>
      <c r="C332" s="7">
        <v>54</v>
      </c>
      <c r="D332" s="2">
        <v>57</v>
      </c>
      <c r="E332" s="6">
        <f>IF(AND($B332&lt;&gt;"", $G332&lt;&gt;""), ($B332-$G332)*1440, "")</f>
        <v>31.383333333333177</v>
      </c>
      <c r="F332" s="2">
        <f t="shared" si="5"/>
        <v>3</v>
      </c>
      <c r="G332" s="9">
        <f>_xlfn.XLOOKUP(Log!A332, 'Daily Summary'!A:A, 'Daily Summary'!C:C, "TBD")</f>
        <v>0.51597222222222228</v>
      </c>
    </row>
    <row r="333" spans="1:7" x14ac:dyDescent="0.3">
      <c r="A333" s="1">
        <v>46264</v>
      </c>
      <c r="B333" s="9">
        <v>0.70416666666666672</v>
      </c>
      <c r="C333" s="7">
        <v>27</v>
      </c>
      <c r="D333" s="2">
        <v>29</v>
      </c>
      <c r="E333" s="6">
        <f>IF(AND($B333&lt;&gt;"", $G333&lt;&gt;"TBD"), ($B333-$G333)*1440, "")</f>
        <v>3.0000000000001492</v>
      </c>
      <c r="F333" s="2">
        <f>IF(AND(D333&lt;&gt;"",C333&lt;&gt;""),D333-C333,"")</f>
        <v>2</v>
      </c>
      <c r="G333" s="9">
        <f>_xlfn.XLOOKUP(Log!A333, 'Daily Summary'!A:A, 'Daily Summary'!C:C, "TBD")</f>
        <v>0.70208333333333328</v>
      </c>
    </row>
    <row r="334" spans="1:7" x14ac:dyDescent="0.3">
      <c r="A334" s="1">
        <v>46264</v>
      </c>
      <c r="B334" s="9">
        <v>0.70458333333333334</v>
      </c>
      <c r="C334" s="7">
        <v>32</v>
      </c>
      <c r="D334" s="2">
        <v>33</v>
      </c>
      <c r="E334" s="6">
        <f t="shared" ref="E334:E348" si="6">IF(AND($B334&lt;&gt;"", $G334&lt;&gt;"TBD"), ($B334-$G334)*1440, "")</f>
        <v>3.6000000000000831</v>
      </c>
      <c r="F334" s="2">
        <f t="shared" si="5"/>
        <v>1</v>
      </c>
      <c r="G334" s="9">
        <f>_xlfn.XLOOKUP(Log!A334, 'Daily Summary'!A:A, 'Daily Summary'!C:C, "TBD")</f>
        <v>0.70208333333333328</v>
      </c>
    </row>
    <row r="335" spans="1:7" x14ac:dyDescent="0.3">
      <c r="A335" s="1">
        <v>46264</v>
      </c>
      <c r="B335" s="9">
        <v>0.70597222222222222</v>
      </c>
      <c r="C335" s="7">
        <v>35</v>
      </c>
      <c r="D335" s="2">
        <v>38</v>
      </c>
      <c r="E335" s="6">
        <f t="shared" si="6"/>
        <v>5.600000000000076</v>
      </c>
      <c r="F335" s="2">
        <f t="shared" si="5"/>
        <v>3</v>
      </c>
      <c r="G335" s="9">
        <f>_xlfn.XLOOKUP(Log!A335, 'Daily Summary'!A:A, 'Daily Summary'!C:C, "TBD")</f>
        <v>0.70208333333333328</v>
      </c>
    </row>
    <row r="336" spans="1:7" x14ac:dyDescent="0.3">
      <c r="A336" s="1">
        <v>46264</v>
      </c>
      <c r="B336" s="9">
        <v>0.70737268518518515</v>
      </c>
      <c r="C336" s="7">
        <v>38</v>
      </c>
      <c r="D336" s="2">
        <v>41</v>
      </c>
      <c r="E336" s="6">
        <f t="shared" si="6"/>
        <v>7.6166666666666849</v>
      </c>
      <c r="F336" s="2">
        <f t="shared" si="5"/>
        <v>3</v>
      </c>
      <c r="G336" s="9">
        <f>_xlfn.XLOOKUP(Log!A336, 'Daily Summary'!A:A, 'Daily Summary'!C:C, "TBD")</f>
        <v>0.70208333333333328</v>
      </c>
    </row>
    <row r="337" spans="1:7" x14ac:dyDescent="0.3">
      <c r="A337" s="1">
        <v>46264</v>
      </c>
      <c r="B337" s="9">
        <v>0.70877314814814818</v>
      </c>
      <c r="C337" s="7">
        <v>41</v>
      </c>
      <c r="D337" s="2">
        <v>44</v>
      </c>
      <c r="E337" s="6">
        <f t="shared" si="6"/>
        <v>9.6333333333334537</v>
      </c>
      <c r="F337" s="2">
        <f t="shared" si="5"/>
        <v>3</v>
      </c>
      <c r="G337" s="9">
        <f>_xlfn.XLOOKUP(Log!A337, 'Daily Summary'!A:A, 'Daily Summary'!C:C, "TBD")</f>
        <v>0.70208333333333328</v>
      </c>
    </row>
    <row r="338" spans="1:7" x14ac:dyDescent="0.3">
      <c r="A338" s="1">
        <v>46264</v>
      </c>
      <c r="B338" s="9">
        <v>0.71016203703703706</v>
      </c>
      <c r="C338" s="7">
        <v>44</v>
      </c>
      <c r="D338" s="2">
        <v>45</v>
      </c>
      <c r="E338" s="6">
        <f t="shared" si="6"/>
        <v>11.633333333333447</v>
      </c>
      <c r="F338" s="2">
        <f t="shared" si="5"/>
        <v>1</v>
      </c>
      <c r="G338" s="9">
        <f>_xlfn.XLOOKUP(Log!A338, 'Daily Summary'!A:A, 'Daily Summary'!C:C, "TBD")</f>
        <v>0.70208333333333328</v>
      </c>
    </row>
    <row r="339" spans="1:7" x14ac:dyDescent="0.3">
      <c r="A339" s="1">
        <v>46264</v>
      </c>
      <c r="B339" s="9">
        <v>0.71156249999999999</v>
      </c>
      <c r="C339" s="7">
        <v>44</v>
      </c>
      <c r="D339" s="2">
        <v>47</v>
      </c>
      <c r="E339" s="6">
        <f t="shared" si="6"/>
        <v>13.650000000000055</v>
      </c>
      <c r="F339" s="2">
        <f t="shared" si="5"/>
        <v>3</v>
      </c>
      <c r="G339" s="9">
        <f>_xlfn.XLOOKUP(Log!A339, 'Daily Summary'!A:A, 'Daily Summary'!C:C, "TBD")</f>
        <v>0.70208333333333328</v>
      </c>
    </row>
    <row r="340" spans="1:7" x14ac:dyDescent="0.3">
      <c r="A340" s="1">
        <v>46264</v>
      </c>
      <c r="B340" s="9">
        <v>0.71295138888888887</v>
      </c>
      <c r="C340" s="7">
        <v>47</v>
      </c>
      <c r="D340" s="2">
        <v>49</v>
      </c>
      <c r="E340" s="6">
        <f t="shared" si="6"/>
        <v>15.650000000000048</v>
      </c>
      <c r="F340" s="2">
        <f t="shared" si="5"/>
        <v>2</v>
      </c>
      <c r="G340" s="9">
        <f>_xlfn.XLOOKUP(Log!A340, 'Daily Summary'!A:A, 'Daily Summary'!C:C, "TBD")</f>
        <v>0.70208333333333328</v>
      </c>
    </row>
    <row r="341" spans="1:7" x14ac:dyDescent="0.3">
      <c r="A341" s="1">
        <v>46264</v>
      </c>
      <c r="B341" s="9">
        <v>0.71434027777777775</v>
      </c>
      <c r="C341" s="7">
        <v>48</v>
      </c>
      <c r="D341" s="2">
        <v>49</v>
      </c>
      <c r="E341" s="6">
        <f t="shared" si="6"/>
        <v>17.650000000000041</v>
      </c>
      <c r="F341" s="2">
        <f t="shared" si="5"/>
        <v>1</v>
      </c>
      <c r="G341" s="9">
        <f>_xlfn.XLOOKUP(Log!A341, 'Daily Summary'!A:A, 'Daily Summary'!C:C, "TBD")</f>
        <v>0.70208333333333328</v>
      </c>
    </row>
    <row r="342" spans="1:7" x14ac:dyDescent="0.3">
      <c r="A342" s="1">
        <v>46264</v>
      </c>
      <c r="B342" s="9">
        <v>0.71572916666666664</v>
      </c>
      <c r="C342" s="7">
        <v>49</v>
      </c>
      <c r="D342" s="2">
        <v>52</v>
      </c>
      <c r="E342" s="6">
        <f t="shared" si="6"/>
        <v>19.650000000000034</v>
      </c>
      <c r="F342" s="2">
        <f t="shared" si="5"/>
        <v>3</v>
      </c>
      <c r="G342" s="9">
        <f>_xlfn.XLOOKUP(Log!A342, 'Daily Summary'!A:A, 'Daily Summary'!C:C, "TBD")</f>
        <v>0.70208333333333328</v>
      </c>
    </row>
    <row r="343" spans="1:7" x14ac:dyDescent="0.3">
      <c r="A343" s="1">
        <v>46264</v>
      </c>
      <c r="B343" s="9">
        <v>0.71712962962962967</v>
      </c>
      <c r="C343" s="7">
        <v>49</v>
      </c>
      <c r="D343" s="2">
        <v>52</v>
      </c>
      <c r="E343" s="6">
        <f t="shared" si="6"/>
        <v>21.666666666666803</v>
      </c>
      <c r="F343" s="2">
        <f t="shared" si="5"/>
        <v>3</v>
      </c>
      <c r="G343" s="9">
        <f>_xlfn.XLOOKUP(Log!A343, 'Daily Summary'!A:A, 'Daily Summary'!C:C, "TBD")</f>
        <v>0.70208333333333328</v>
      </c>
    </row>
    <row r="344" spans="1:7" x14ac:dyDescent="0.3">
      <c r="A344" s="1">
        <v>46264</v>
      </c>
      <c r="B344" s="9">
        <v>0.71851851851851856</v>
      </c>
      <c r="C344" s="7">
        <v>51</v>
      </c>
      <c r="D344" s="2">
        <v>54</v>
      </c>
      <c r="E344" s="6">
        <f t="shared" si="6"/>
        <v>23.666666666666796</v>
      </c>
      <c r="F344" s="2">
        <f t="shared" si="5"/>
        <v>3</v>
      </c>
      <c r="G344" s="9">
        <f>_xlfn.XLOOKUP(Log!A344, 'Daily Summary'!A:A, 'Daily Summary'!C:C, "TBD")</f>
        <v>0.70208333333333328</v>
      </c>
    </row>
    <row r="345" spans="1:7" x14ac:dyDescent="0.3">
      <c r="A345" s="1">
        <v>46264</v>
      </c>
      <c r="B345" s="9">
        <v>0.71991898148148148</v>
      </c>
      <c r="C345" s="7">
        <v>52</v>
      </c>
      <c r="D345" s="2">
        <v>55</v>
      </c>
      <c r="E345" s="6">
        <f t="shared" si="6"/>
        <v>25.683333333333405</v>
      </c>
      <c r="F345" s="2">
        <f t="shared" si="5"/>
        <v>3</v>
      </c>
      <c r="G345" s="9">
        <f>_xlfn.XLOOKUP(Log!A345, 'Daily Summary'!A:A, 'Daily Summary'!C:C, "TBD")</f>
        <v>0.70208333333333328</v>
      </c>
    </row>
    <row r="346" spans="1:7" x14ac:dyDescent="0.3">
      <c r="A346" s="1">
        <v>46264</v>
      </c>
      <c r="B346" s="9">
        <v>0.7213194444444444</v>
      </c>
      <c r="C346" s="7">
        <v>52</v>
      </c>
      <c r="D346" s="2">
        <v>55</v>
      </c>
      <c r="E346" s="6">
        <f t="shared" si="6"/>
        <v>27.700000000000014</v>
      </c>
      <c r="F346" s="2">
        <f t="shared" si="5"/>
        <v>3</v>
      </c>
      <c r="G346" s="9">
        <f>_xlfn.XLOOKUP(Log!A346, 'Daily Summary'!A:A, 'Daily Summary'!C:C, "TBD")</f>
        <v>0.70208333333333328</v>
      </c>
    </row>
    <row r="347" spans="1:7" x14ac:dyDescent="0.3">
      <c r="A347" s="1">
        <v>46264</v>
      </c>
      <c r="B347" s="9">
        <v>0.72270833333333329</v>
      </c>
      <c r="C347" s="7">
        <v>54</v>
      </c>
      <c r="D347" s="2">
        <v>55</v>
      </c>
      <c r="E347" s="6">
        <f t="shared" si="6"/>
        <v>29.700000000000006</v>
      </c>
      <c r="F347" s="2">
        <f t="shared" ref="F347:F369" si="7">IF(AND(D347&lt;&gt;"",C347&lt;&gt;""),D347-C347,"")</f>
        <v>1</v>
      </c>
      <c r="G347" s="9">
        <f>_xlfn.XLOOKUP(Log!A347, 'Daily Summary'!A:A, 'Daily Summary'!C:C, "TBD")</f>
        <v>0.70208333333333328</v>
      </c>
    </row>
    <row r="348" spans="1:7" x14ac:dyDescent="0.3">
      <c r="A348" s="1">
        <v>46264</v>
      </c>
      <c r="B348" s="9">
        <v>0.72410879629629632</v>
      </c>
      <c r="C348" s="7">
        <v>54</v>
      </c>
      <c r="D348" s="2">
        <v>57</v>
      </c>
      <c r="E348" s="6">
        <f t="shared" si="6"/>
        <v>31.716666666666775</v>
      </c>
      <c r="F348" s="2">
        <f t="shared" si="7"/>
        <v>3</v>
      </c>
      <c r="G348" s="9">
        <f>_xlfn.XLOOKUP(Log!A348, 'Daily Summary'!A:A, 'Daily Summary'!C:C, "TBD")</f>
        <v>0.70208333333333328</v>
      </c>
    </row>
    <row r="349" spans="1:7" x14ac:dyDescent="0.3">
      <c r="E349" s="6" t="str">
        <f>IF(AND($B349&lt;&gt;"", $G349&lt;&gt;""), ($B349-$G349)*1440, "")</f>
        <v/>
      </c>
      <c r="F349" s="2" t="str">
        <f t="shared" si="7"/>
        <v/>
      </c>
    </row>
    <row r="350" spans="1:7" x14ac:dyDescent="0.3">
      <c r="E350" s="6" t="str">
        <f>IF(AND($B350&lt;&gt;"", $G350&lt;&gt;""), ($B350-$G350)*1440, "")</f>
        <v/>
      </c>
      <c r="F350" s="2" t="str">
        <f t="shared" si="7"/>
        <v/>
      </c>
    </row>
    <row r="351" spans="1:7" x14ac:dyDescent="0.3">
      <c r="E351" s="6" t="str">
        <f>IF(AND($B351&lt;&gt;"", $G351&lt;&gt;""), ($B351-$G351)*1440, "")</f>
        <v/>
      </c>
      <c r="F351" s="2" t="str">
        <f t="shared" si="7"/>
        <v/>
      </c>
    </row>
    <row r="352" spans="1:7" x14ac:dyDescent="0.3">
      <c r="E352" s="6" t="str">
        <f>IF(AND($B352&lt;&gt;"", $G352&lt;&gt;""), ($B352-$G352)*1440, "")</f>
        <v/>
      </c>
      <c r="F352" s="2" t="str">
        <f t="shared" si="7"/>
        <v/>
      </c>
    </row>
    <row r="353" spans="5:6" x14ac:dyDescent="0.3">
      <c r="E353" s="6" t="str">
        <f>IF(AND($B353&lt;&gt;"", $G353&lt;&gt;""), ($B353-$G353)*1440, "")</f>
        <v/>
      </c>
      <c r="F353" s="2" t="str">
        <f t="shared" si="7"/>
        <v/>
      </c>
    </row>
    <row r="354" spans="5:6" x14ac:dyDescent="0.3">
      <c r="E354" s="6" t="str">
        <f>IF(AND($B354&lt;&gt;"", $G354&lt;&gt;""), ($B354-$G354)*1440, "")</f>
        <v/>
      </c>
      <c r="F354" s="2" t="str">
        <f t="shared" si="7"/>
        <v/>
      </c>
    </row>
    <row r="355" spans="5:6" x14ac:dyDescent="0.3">
      <c r="E355" s="6" t="str">
        <f>IF(AND($B355&lt;&gt;"", $G355&lt;&gt;""), ($B355-$G355)*1440, "")</f>
        <v/>
      </c>
      <c r="F355" s="2" t="str">
        <f t="shared" si="7"/>
        <v/>
      </c>
    </row>
    <row r="356" spans="5:6" x14ac:dyDescent="0.3">
      <c r="E356" s="6" t="str">
        <f>IF(AND($B356&lt;&gt;"", $G356&lt;&gt;""), ($B356-$G356)*1440, "")</f>
        <v/>
      </c>
      <c r="F356" s="2" t="str">
        <f t="shared" si="7"/>
        <v/>
      </c>
    </row>
    <row r="357" spans="5:6" x14ac:dyDescent="0.3">
      <c r="E357" s="6" t="str">
        <f>IF(AND($B357&lt;&gt;"", $G357&lt;&gt;""), ($B357-$G357)*1440, "")</f>
        <v/>
      </c>
      <c r="F357" s="2" t="str">
        <f t="shared" si="7"/>
        <v/>
      </c>
    </row>
    <row r="358" spans="5:6" x14ac:dyDescent="0.3">
      <c r="E358" s="6" t="str">
        <f>IF(AND($B358&lt;&gt;"", $G358&lt;&gt;""), ($B358-$G358)*1440, "")</f>
        <v/>
      </c>
      <c r="F358" s="2" t="str">
        <f t="shared" si="7"/>
        <v/>
      </c>
    </row>
    <row r="359" spans="5:6" x14ac:dyDescent="0.3">
      <c r="E359" s="6" t="str">
        <f>IF(AND($B359&lt;&gt;"", $G359&lt;&gt;""), ($B359-$G359)*1440, "")</f>
        <v/>
      </c>
      <c r="F359" s="2" t="str">
        <f t="shared" si="7"/>
        <v/>
      </c>
    </row>
    <row r="360" spans="5:6" x14ac:dyDescent="0.3">
      <c r="E360" s="6" t="str">
        <f>IF(AND($B360&lt;&gt;"", $G360&lt;&gt;""), ($B360-$G360)*1440, "")</f>
        <v/>
      </c>
      <c r="F360" s="2" t="str">
        <f t="shared" si="7"/>
        <v/>
      </c>
    </row>
    <row r="361" spans="5:6" x14ac:dyDescent="0.3">
      <c r="E361" s="6" t="str">
        <f>IF(AND($B361&lt;&gt;"", $G361&lt;&gt;""), ($B361-$G361)*1440, "")</f>
        <v/>
      </c>
      <c r="F361" s="2" t="str">
        <f t="shared" si="7"/>
        <v/>
      </c>
    </row>
    <row r="362" spans="5:6" x14ac:dyDescent="0.3">
      <c r="E362" s="6" t="str">
        <f>IF(AND($B362&lt;&gt;"", $G362&lt;&gt;""), ($B362-$G362)*1440, "")</f>
        <v/>
      </c>
      <c r="F362" s="2" t="str">
        <f t="shared" si="7"/>
        <v/>
      </c>
    </row>
    <row r="363" spans="5:6" x14ac:dyDescent="0.3">
      <c r="E363" s="6" t="str">
        <f>IF(AND($B363&lt;&gt;"", $G363&lt;&gt;""), ($B363-$G363)*1440, "")</f>
        <v/>
      </c>
      <c r="F363" s="2" t="str">
        <f t="shared" si="7"/>
        <v/>
      </c>
    </row>
    <row r="364" spans="5:6" x14ac:dyDescent="0.3">
      <c r="E364" s="6" t="str">
        <f>IF(AND($B364&lt;&gt;"", $G364&lt;&gt;""), ($B364-$G364)*1440, "")</f>
        <v/>
      </c>
      <c r="F364" s="2" t="str">
        <f t="shared" si="7"/>
        <v/>
      </c>
    </row>
    <row r="365" spans="5:6" x14ac:dyDescent="0.3">
      <c r="E365" s="6" t="str">
        <f>IF(AND($B365&lt;&gt;"", $G365&lt;&gt;""), ($B365-$G365)*1440, "")</f>
        <v/>
      </c>
      <c r="F365" s="2" t="str">
        <f t="shared" si="7"/>
        <v/>
      </c>
    </row>
    <row r="366" spans="5:6" x14ac:dyDescent="0.3">
      <c r="E366" s="6" t="str">
        <f>IF(AND($B366&lt;&gt;"", $G366&lt;&gt;""), ($B366-$G366)*1440, "")</f>
        <v/>
      </c>
      <c r="F366" s="2" t="str">
        <f t="shared" si="7"/>
        <v/>
      </c>
    </row>
    <row r="367" spans="5:6" x14ac:dyDescent="0.3">
      <c r="E367" s="6" t="str">
        <f>IF(AND($B367&lt;&gt;"", $G367&lt;&gt;""), ($B367-$G367)*1440, "")</f>
        <v/>
      </c>
      <c r="F367" s="2" t="str">
        <f t="shared" si="7"/>
        <v/>
      </c>
    </row>
    <row r="368" spans="5:6" x14ac:dyDescent="0.3">
      <c r="E368" s="6" t="str">
        <f>IF(AND($B368&lt;&gt;"", $G368&lt;&gt;""), ($B368-$G368)*1440, "")</f>
        <v/>
      </c>
      <c r="F368" s="2" t="str">
        <f t="shared" si="7"/>
        <v/>
      </c>
    </row>
    <row r="369" spans="5:6" x14ac:dyDescent="0.3">
      <c r="E369" s="6" t="str">
        <f>IF(AND($B369&lt;&gt;"", $G369&lt;&gt;""), ($B369-$G369)*1440, "")</f>
        <v/>
      </c>
      <c r="F369" s="2" t="str">
        <f t="shared" si="7"/>
        <v/>
      </c>
    </row>
    <row r="370" spans="5:6" x14ac:dyDescent="0.3">
      <c r="E370" s="6" t="str">
        <f>IF(AND($B370&lt;&gt;"", $G370&lt;&gt;""), ($B370-$G370)*1440, "")</f>
        <v/>
      </c>
    </row>
    <row r="371" spans="5:6" x14ac:dyDescent="0.3">
      <c r="E371" s="6" t="str">
        <f>IF(AND($B371&lt;&gt;"", $G371&lt;&gt;""), ($B371-$G371)*1440, "")</f>
        <v/>
      </c>
    </row>
    <row r="372" spans="5:6" x14ac:dyDescent="0.3">
      <c r="E372" s="6" t="str">
        <f>IF(AND($B372&lt;&gt;"", $G372&lt;&gt;""), ($B372-$G372)*1440, "")</f>
        <v/>
      </c>
    </row>
    <row r="373" spans="5:6" x14ac:dyDescent="0.3">
      <c r="E373" s="6" t="str">
        <f>IF(AND($B373&lt;&gt;"", $G373&lt;&gt;""), ($B373-$G373)*1440, "")</f>
        <v/>
      </c>
    </row>
    <row r="374" spans="5:6" x14ac:dyDescent="0.3">
      <c r="E374" s="6" t="str">
        <f>IF(AND($B374&lt;&gt;"", $G374&lt;&gt;""), ($B374-$G374)*1440, "")</f>
        <v/>
      </c>
    </row>
    <row r="375" spans="5:6" x14ac:dyDescent="0.3">
      <c r="E375" s="6" t="str">
        <f>IF(AND($B375&lt;&gt;"", $G375&lt;&gt;""), ($B375-$G375)*1440, "")</f>
        <v/>
      </c>
    </row>
    <row r="376" spans="5:6" x14ac:dyDescent="0.3">
      <c r="E376" s="6" t="str">
        <f>IF(AND($B376&lt;&gt;"", $G376&lt;&gt;""), ($B376-$G376)*1440, "")</f>
        <v/>
      </c>
    </row>
    <row r="377" spans="5:6" x14ac:dyDescent="0.3">
      <c r="E377" s="6" t="str">
        <f>IF(AND($B377&lt;&gt;"", $G377&lt;&gt;""), ($B377-$G377)*1440, "")</f>
        <v/>
      </c>
    </row>
    <row r="378" spans="5:6" x14ac:dyDescent="0.3">
      <c r="E378" s="6" t="str">
        <f>IF(AND($B378&lt;&gt;"", $G378&lt;&gt;""), ($B378-$G378)*1440, "")</f>
        <v/>
      </c>
    </row>
    <row r="379" spans="5:6" x14ac:dyDescent="0.3">
      <c r="E379" s="6" t="str">
        <f>IF(AND($B379&lt;&gt;"", $G379&lt;&gt;""), ($B379-$G379)*1440, "")</f>
        <v/>
      </c>
    </row>
    <row r="380" spans="5:6" x14ac:dyDescent="0.3">
      <c r="E380" s="6" t="str">
        <f>IF(AND($B380&lt;&gt;"", $G380&lt;&gt;""), ($B380-$G380)*1440, "")</f>
        <v/>
      </c>
    </row>
    <row r="381" spans="5:6" x14ac:dyDescent="0.3">
      <c r="E381" s="6" t="str">
        <f>IF(AND($B381&lt;&gt;"", $G381&lt;&gt;""), ($B381-$G381)*1440, "")</f>
        <v/>
      </c>
    </row>
    <row r="382" spans="5:6" x14ac:dyDescent="0.3">
      <c r="E382" s="6" t="str">
        <f>IF(AND($B382&lt;&gt;"", $G382&lt;&gt;""), ($B382-$G382)*1440, "")</f>
        <v/>
      </c>
    </row>
    <row r="383" spans="5:6" x14ac:dyDescent="0.3">
      <c r="E383" s="6" t="str">
        <f>IF(AND($B383&lt;&gt;"", $G383&lt;&gt;""), ($B383-$G383)*1440, "")</f>
        <v/>
      </c>
    </row>
    <row r="384" spans="5:6" x14ac:dyDescent="0.3">
      <c r="E384" s="6" t="str">
        <f>IF(AND($B384&lt;&gt;"", $G384&lt;&gt;""), ($B384-$G384)*1440, "")</f>
        <v/>
      </c>
    </row>
    <row r="385" spans="5:5" x14ac:dyDescent="0.3">
      <c r="E385" s="6" t="str">
        <f>IF(AND($B385&lt;&gt;"", $G385&lt;&gt;""), ($B385-$G385)*1440, "")</f>
        <v/>
      </c>
    </row>
    <row r="386" spans="5:5" x14ac:dyDescent="0.3">
      <c r="E386" s="6" t="str">
        <f>IF(AND($B386&lt;&gt;"", $G386&lt;&gt;""), ($B386-$G386)*1440, "")</f>
        <v/>
      </c>
    </row>
    <row r="387" spans="5:5" x14ac:dyDescent="0.3">
      <c r="E387" s="6" t="str">
        <f>IF(AND($B387&lt;&gt;"", $G387&lt;&gt;""), ($B387-$G387)*1440, "")</f>
        <v/>
      </c>
    </row>
    <row r="388" spans="5:5" x14ac:dyDescent="0.3">
      <c r="E388" s="6" t="str">
        <f>IF(AND($B388&lt;&gt;"", $G388&lt;&gt;""), ($B388-$G388)*1440, "")</f>
        <v/>
      </c>
    </row>
    <row r="389" spans="5:5" x14ac:dyDescent="0.3">
      <c r="E389" s="6" t="str">
        <f>IF(AND($B389&lt;&gt;"", $G389&lt;&gt;""), ($B389-$G389)*1440, "")</f>
        <v/>
      </c>
    </row>
    <row r="390" spans="5:5" x14ac:dyDescent="0.3">
      <c r="E390" s="6" t="str">
        <f>IF(AND($B390&lt;&gt;"", $G390&lt;&gt;""), ($B390-$G390)*1440, "")</f>
        <v/>
      </c>
    </row>
    <row r="391" spans="5:5" x14ac:dyDescent="0.3">
      <c r="E391" s="6" t="str">
        <f>IF(AND($B391&lt;&gt;"", $G391&lt;&gt;""), ($B391-$G391)*1440, "")</f>
        <v/>
      </c>
    </row>
    <row r="392" spans="5:5" x14ac:dyDescent="0.3">
      <c r="E392" s="6" t="str">
        <f>IF(AND($B392&lt;&gt;"", $G392&lt;&gt;""), ($B392-$G392)*1440, "")</f>
        <v/>
      </c>
    </row>
    <row r="393" spans="5:5" x14ac:dyDescent="0.3">
      <c r="E393" s="6" t="str">
        <f>IF(AND($B393&lt;&gt;"", $G393&lt;&gt;""), ($B393-$G393)*1440, "")</f>
        <v/>
      </c>
    </row>
    <row r="394" spans="5:5" x14ac:dyDescent="0.3">
      <c r="E394" s="6" t="str">
        <f>IF(AND($B394&lt;&gt;"", $G394&lt;&gt;""), ($B394-$G394)*1440, "")</f>
        <v/>
      </c>
    </row>
    <row r="395" spans="5:5" x14ac:dyDescent="0.3">
      <c r="E395" s="6" t="str">
        <f>IF(AND($B395&lt;&gt;"", $G395&lt;&gt;""), ($B395-$G395)*1440, "")</f>
        <v/>
      </c>
    </row>
    <row r="396" spans="5:5" x14ac:dyDescent="0.3">
      <c r="E396" s="6" t="str">
        <f>IF(AND($B396&lt;&gt;"", $G396&lt;&gt;""), ($B396-$G396)*1440, "")</f>
        <v/>
      </c>
    </row>
    <row r="397" spans="5:5" x14ac:dyDescent="0.3">
      <c r="E397" s="6" t="str">
        <f>IF(AND($B397&lt;&gt;"", $G397&lt;&gt;""), ($B397-$G397)*1440, "")</f>
        <v/>
      </c>
    </row>
    <row r="398" spans="5:5" x14ac:dyDescent="0.3">
      <c r="E398" s="6" t="str">
        <f>IF(AND($B398&lt;&gt;"", $G398&lt;&gt;""), ($B398-$G398)*1440, "")</f>
        <v/>
      </c>
    </row>
    <row r="399" spans="5:5" x14ac:dyDescent="0.3">
      <c r="E399" s="6" t="str">
        <f>IF(AND($B399&lt;&gt;"", $G399&lt;&gt;""), ($B399-$G399)*1440, "")</f>
        <v/>
      </c>
    </row>
    <row r="400" spans="5:5" x14ac:dyDescent="0.3">
      <c r="E400" s="6" t="str">
        <f>IF(AND($B400&lt;&gt;"", $G400&lt;&gt;""), ($B400-$G400)*1440, "")</f>
        <v/>
      </c>
    </row>
    <row r="401" spans="5:5" x14ac:dyDescent="0.3">
      <c r="E401" s="6" t="str">
        <f>IF(AND($B401&lt;&gt;"", $G401&lt;&gt;""), ($B401-$G401)*1440, "")</f>
        <v/>
      </c>
    </row>
    <row r="402" spans="5:5" x14ac:dyDescent="0.3">
      <c r="E402" s="6" t="str">
        <f>IF(AND($B402&lt;&gt;"", $G402&lt;&gt;""), ($B402-$G402)*1440, "")</f>
        <v/>
      </c>
    </row>
    <row r="403" spans="5:5" x14ac:dyDescent="0.3">
      <c r="E403" s="6" t="str">
        <f>IF(AND($B403&lt;&gt;"", $G403&lt;&gt;""), ($B403-$G403)*1440, "")</f>
        <v/>
      </c>
    </row>
    <row r="404" spans="5:5" x14ac:dyDescent="0.3">
      <c r="E404" s="6" t="str">
        <f>IF(AND($B404&lt;&gt;"", $G404&lt;&gt;""), ($B404-$G404)*1440, "")</f>
        <v/>
      </c>
    </row>
    <row r="405" spans="5:5" x14ac:dyDescent="0.3">
      <c r="E405" s="6" t="str">
        <f>IF(AND($B405&lt;&gt;"", $G405&lt;&gt;""), ($B405-$G405)*1440, "")</f>
        <v/>
      </c>
    </row>
    <row r="406" spans="5:5" x14ac:dyDescent="0.3">
      <c r="E406" s="6" t="str">
        <f>IF(AND($B406&lt;&gt;"", $G406&lt;&gt;""), ($B406-$G406)*1440, "")</f>
        <v/>
      </c>
    </row>
    <row r="407" spans="5:5" x14ac:dyDescent="0.3">
      <c r="E407" s="6" t="str">
        <f>IF(AND($B407&lt;&gt;"", $G407&lt;&gt;""), ($B407-$G407)*1440, "")</f>
        <v/>
      </c>
    </row>
    <row r="408" spans="5:5" x14ac:dyDescent="0.3">
      <c r="E408" s="6" t="str">
        <f>IF(AND($B408&lt;&gt;"", $G408&lt;&gt;""), ($B408-$G408)*1440, "")</f>
        <v/>
      </c>
    </row>
    <row r="409" spans="5:5" x14ac:dyDescent="0.3">
      <c r="E409" s="6" t="str">
        <f>IF(AND($B409&lt;&gt;"", $G409&lt;&gt;""), ($B409-$G409)*1440, "")</f>
        <v/>
      </c>
    </row>
    <row r="410" spans="5:5" x14ac:dyDescent="0.3">
      <c r="E410" s="6" t="str">
        <f>IF(AND($B410&lt;&gt;"", $G410&lt;&gt;""), ($B410-$G410)*1440, "")</f>
        <v/>
      </c>
    </row>
    <row r="411" spans="5:5" x14ac:dyDescent="0.3">
      <c r="E411" s="6" t="str">
        <f>IF(AND($B411&lt;&gt;"", $G411&lt;&gt;""), ($B411-$G411)*1440, "")</f>
        <v/>
      </c>
    </row>
    <row r="412" spans="5:5" x14ac:dyDescent="0.3">
      <c r="E412" s="6" t="str">
        <f>IF(AND($B412&lt;&gt;"", $G412&lt;&gt;""), ($B412-$G412)*1440, "")</f>
        <v/>
      </c>
    </row>
    <row r="413" spans="5:5" x14ac:dyDescent="0.3">
      <c r="E413" s="6" t="str">
        <f>IF(AND($B413&lt;&gt;"", $G413&lt;&gt;""), ($B413-$G413)*1440, "")</f>
        <v/>
      </c>
    </row>
    <row r="414" spans="5:5" x14ac:dyDescent="0.3">
      <c r="E414" s="6" t="str">
        <f>IF(AND($B414&lt;&gt;"", $G414&lt;&gt;""), ($B414-$G414)*1440, "")</f>
        <v/>
      </c>
    </row>
    <row r="415" spans="5:5" x14ac:dyDescent="0.3">
      <c r="E415" s="6" t="str">
        <f>IF(AND($B415&lt;&gt;"", $G415&lt;&gt;""), ($B415-$G415)*1440, "")</f>
        <v/>
      </c>
    </row>
    <row r="416" spans="5:5" x14ac:dyDescent="0.3">
      <c r="E416" s="6" t="str">
        <f>IF(AND($B416&lt;&gt;"", $G416&lt;&gt;""), ($B416-$G416)*1440, "")</f>
        <v/>
      </c>
    </row>
    <row r="417" spans="5:5" x14ac:dyDescent="0.3">
      <c r="E417" s="6" t="str">
        <f>IF(AND($B417&lt;&gt;"", $G417&lt;&gt;""), ($B417-$G417)*1440, "")</f>
        <v/>
      </c>
    </row>
    <row r="418" spans="5:5" x14ac:dyDescent="0.3">
      <c r="E418" s="6" t="str">
        <f>IF(AND($B418&lt;&gt;"", $G418&lt;&gt;""), ($B418-$G418)*1440, "")</f>
        <v/>
      </c>
    </row>
    <row r="419" spans="5:5" x14ac:dyDescent="0.3">
      <c r="E419" s="6" t="str">
        <f>IF(AND($B419&lt;&gt;"", $G419&lt;&gt;""), ($B419-$G419)*1440, "")</f>
        <v/>
      </c>
    </row>
    <row r="420" spans="5:5" x14ac:dyDescent="0.3">
      <c r="E420" s="6" t="str">
        <f>IF(AND($B420&lt;&gt;"", $G420&lt;&gt;""), ($B420-$G420)*1440, "")</f>
        <v/>
      </c>
    </row>
    <row r="421" spans="5:5" x14ac:dyDescent="0.3">
      <c r="E421" s="6" t="str">
        <f>IF(AND($B421&lt;&gt;"", $G421&lt;&gt;""), ($B421-$G421)*1440, "")</f>
        <v/>
      </c>
    </row>
    <row r="422" spans="5:5" x14ac:dyDescent="0.3">
      <c r="E422" s="6" t="str">
        <f>IF(AND($B422&lt;&gt;"", $G422&lt;&gt;""), ($B422-$G422)*1440, "")</f>
        <v/>
      </c>
    </row>
    <row r="423" spans="5:5" x14ac:dyDescent="0.3">
      <c r="E423" s="6" t="str">
        <f>IF(AND($B423&lt;&gt;"", $G423&lt;&gt;""), ($B423-$G423)*1440, "")</f>
        <v/>
      </c>
    </row>
    <row r="424" spans="5:5" x14ac:dyDescent="0.3">
      <c r="E424" s="6" t="str">
        <f>IF(AND($B424&lt;&gt;"", $G424&lt;&gt;""), ($B424-$G424)*1440, "")</f>
        <v/>
      </c>
    </row>
    <row r="425" spans="5:5" x14ac:dyDescent="0.3">
      <c r="E425" s="6" t="str">
        <f>IF(AND($B425&lt;&gt;"", $G425&lt;&gt;""), ($B425-$G425)*1440, "")</f>
        <v/>
      </c>
    </row>
    <row r="426" spans="5:5" x14ac:dyDescent="0.3">
      <c r="E426" s="6" t="str">
        <f>IF(AND($B426&lt;&gt;"", $G426&lt;&gt;""), ($B426-$G426)*1440, "")</f>
        <v/>
      </c>
    </row>
    <row r="427" spans="5:5" x14ac:dyDescent="0.3">
      <c r="E427" s="6" t="str">
        <f>IF(AND($B427&lt;&gt;"", $G427&lt;&gt;""), ($B427-$G427)*1440, "")</f>
        <v/>
      </c>
    </row>
    <row r="428" spans="5:5" x14ac:dyDescent="0.3">
      <c r="E428" s="6" t="str">
        <f>IF(AND($B428&lt;&gt;"", $G428&lt;&gt;""), ($B428-$G428)*1440, "")</f>
        <v/>
      </c>
    </row>
    <row r="429" spans="5:5" x14ac:dyDescent="0.3">
      <c r="E429" s="6" t="str">
        <f>IF(AND($B429&lt;&gt;"", $G429&lt;&gt;""), ($B429-$G429)*1440, "")</f>
        <v/>
      </c>
    </row>
    <row r="430" spans="5:5" x14ac:dyDescent="0.3">
      <c r="E430" s="6" t="str">
        <f>IF(AND($B430&lt;&gt;"", $G430&lt;&gt;""), ($B430-$G430)*1440, "")</f>
        <v/>
      </c>
    </row>
    <row r="431" spans="5:5" x14ac:dyDescent="0.3">
      <c r="E431" s="6" t="str">
        <f>IF(AND($B431&lt;&gt;"", $G431&lt;&gt;""), ($B431-$G431)*1440, "")</f>
        <v/>
      </c>
    </row>
    <row r="432" spans="5:5" x14ac:dyDescent="0.3">
      <c r="E432" s="6" t="str">
        <f>IF(AND($B432&lt;&gt;"", $G432&lt;&gt;""), ($B432-$G432)*1440, "")</f>
        <v/>
      </c>
    </row>
    <row r="433" spans="5:5" x14ac:dyDescent="0.3">
      <c r="E433" s="6" t="str">
        <f>IF(AND($B433&lt;&gt;"", $G433&lt;&gt;""), ($B433-$G433)*1440, "")</f>
        <v/>
      </c>
    </row>
    <row r="434" spans="5:5" x14ac:dyDescent="0.3">
      <c r="E434" s="6" t="str">
        <f>IF(AND($B434&lt;&gt;"", $G434&lt;&gt;""), ($B434-$G434)*1440, "")</f>
        <v/>
      </c>
    </row>
    <row r="435" spans="5:5" x14ac:dyDescent="0.3">
      <c r="E435" s="6" t="str">
        <f>IF(AND($B435&lt;&gt;"", $G435&lt;&gt;""), ($B435-$G435)*1440, "")</f>
        <v/>
      </c>
    </row>
    <row r="436" spans="5:5" x14ac:dyDescent="0.3">
      <c r="E436" s="6" t="str">
        <f>IF(AND($B436&lt;&gt;"", $G436&lt;&gt;""), ($B436-$G436)*1440, "")</f>
        <v/>
      </c>
    </row>
    <row r="437" spans="5:5" x14ac:dyDescent="0.3">
      <c r="E437" s="6" t="str">
        <f>IF(AND($B437&lt;&gt;"", $G437&lt;&gt;""), ($B437-$G437)*1440, "")</f>
        <v/>
      </c>
    </row>
    <row r="438" spans="5:5" x14ac:dyDescent="0.3">
      <c r="E438" s="6" t="str">
        <f>IF(AND($B438&lt;&gt;"", $G438&lt;&gt;""), ($B438-$G438)*1440, "")</f>
        <v/>
      </c>
    </row>
    <row r="439" spans="5:5" x14ac:dyDescent="0.3">
      <c r="E439" s="6" t="str">
        <f>IF(AND($B439&lt;&gt;"", $G439&lt;&gt;""), ($B439-$G439)*1440, "")</f>
        <v/>
      </c>
    </row>
    <row r="440" spans="5:5" x14ac:dyDescent="0.3">
      <c r="E440" s="6" t="str">
        <f>IF(AND($B440&lt;&gt;"", $G440&lt;&gt;""), ($B440-$G440)*1440, "")</f>
        <v/>
      </c>
    </row>
    <row r="441" spans="5:5" x14ac:dyDescent="0.3">
      <c r="E441" s="6" t="str">
        <f>IF(AND($B441&lt;&gt;"", $G441&lt;&gt;""), ($B441-$G441)*1440, "")</f>
        <v/>
      </c>
    </row>
    <row r="442" spans="5:5" x14ac:dyDescent="0.3">
      <c r="E442" s="6" t="str">
        <f>IF(AND($B442&lt;&gt;"", $G442&lt;&gt;""), ($B442-$G442)*1440, "")</f>
        <v/>
      </c>
    </row>
    <row r="443" spans="5:5" x14ac:dyDescent="0.3">
      <c r="E443" s="6" t="str">
        <f>IF(AND($B443&lt;&gt;"", $G443&lt;&gt;""), ($B443-$G443)*1440, "")</f>
        <v/>
      </c>
    </row>
    <row r="444" spans="5:5" x14ac:dyDescent="0.3">
      <c r="E444" s="6" t="str">
        <f>IF(AND($B444&lt;&gt;"", $G444&lt;&gt;""), ($B444-$G444)*1440, "")</f>
        <v/>
      </c>
    </row>
    <row r="445" spans="5:5" x14ac:dyDescent="0.3">
      <c r="E445" s="6" t="str">
        <f>IF(AND($B445&lt;&gt;"", $G445&lt;&gt;""), ($B445-$G445)*1440, "")</f>
        <v/>
      </c>
    </row>
    <row r="446" spans="5:5" x14ac:dyDescent="0.3">
      <c r="E446" s="6" t="str">
        <f>IF(AND($B446&lt;&gt;"", $G446&lt;&gt;""), ($B446-$G446)*1440, "")</f>
        <v/>
      </c>
    </row>
    <row r="447" spans="5:5" x14ac:dyDescent="0.3">
      <c r="E447" s="6" t="str">
        <f>IF(AND($B447&lt;&gt;"", $G447&lt;&gt;""), ($B447-$G447)*1440, "")</f>
        <v/>
      </c>
    </row>
    <row r="448" spans="5:5" x14ac:dyDescent="0.3">
      <c r="E448" s="6" t="str">
        <f>IF(AND($B448&lt;&gt;"", $G448&lt;&gt;""), ($B448-$G448)*1440, "")</f>
        <v/>
      </c>
    </row>
    <row r="449" spans="5:5" x14ac:dyDescent="0.3">
      <c r="E449" s="6" t="str">
        <f>IF(AND($B449&lt;&gt;"", $G449&lt;&gt;""), ($B449-$G449)*1440, "")</f>
        <v/>
      </c>
    </row>
    <row r="450" spans="5:5" x14ac:dyDescent="0.3">
      <c r="E450" s="6" t="str">
        <f>IF(AND($B450&lt;&gt;"", $G450&lt;&gt;""), ($B450-$G450)*1440, "")</f>
        <v/>
      </c>
    </row>
    <row r="451" spans="5:5" x14ac:dyDescent="0.3">
      <c r="E451" s="6" t="str">
        <f>IF(AND($B451&lt;&gt;"", $G451&lt;&gt;""), ($B451-$G451)*1440, "")</f>
        <v/>
      </c>
    </row>
    <row r="452" spans="5:5" x14ac:dyDescent="0.3">
      <c r="E452" s="6" t="str">
        <f>IF(AND($B452&lt;&gt;"", $G452&lt;&gt;""), ($B452-$G452)*1440, "")</f>
        <v/>
      </c>
    </row>
    <row r="453" spans="5:5" x14ac:dyDescent="0.3">
      <c r="E453" s="6" t="str">
        <f>IF(AND($B453&lt;&gt;"", $G453&lt;&gt;""), ($B453-$G453)*1440, "")</f>
        <v/>
      </c>
    </row>
    <row r="454" spans="5:5" x14ac:dyDescent="0.3">
      <c r="E454" s="6" t="str">
        <f>IF(AND($B454&lt;&gt;"", $G454&lt;&gt;""), ($B454-$G454)*1440, "")</f>
        <v/>
      </c>
    </row>
    <row r="455" spans="5:5" x14ac:dyDescent="0.3">
      <c r="E455" s="6" t="str">
        <f>IF(AND($B455&lt;&gt;"", $G455&lt;&gt;""), ($B455-$G455)*1440, "")</f>
        <v/>
      </c>
    </row>
    <row r="456" spans="5:5" x14ac:dyDescent="0.3">
      <c r="E456" s="6" t="str">
        <f>IF(AND($B456&lt;&gt;"", $G456&lt;&gt;""), ($B456-$G456)*1440, "")</f>
        <v/>
      </c>
    </row>
    <row r="457" spans="5:5" x14ac:dyDescent="0.3">
      <c r="E457" s="6" t="str">
        <f>IF(AND($B457&lt;&gt;"", $G457&lt;&gt;""), ($B457-$G457)*1440, "")</f>
        <v/>
      </c>
    </row>
    <row r="458" spans="5:5" x14ac:dyDescent="0.3">
      <c r="E458" s="6" t="str">
        <f>IF(AND($B458&lt;&gt;"", $G458&lt;&gt;""), ($B458-$G458)*1440, "")</f>
        <v/>
      </c>
    </row>
    <row r="459" spans="5:5" x14ac:dyDescent="0.3">
      <c r="E459" s="6" t="str">
        <f>IF(AND($B459&lt;&gt;"", $G459&lt;&gt;""), ($B459-$G459)*1440, "")</f>
        <v/>
      </c>
    </row>
    <row r="460" spans="5:5" x14ac:dyDescent="0.3">
      <c r="E460" s="6" t="str">
        <f>IF(AND($B460&lt;&gt;"", $G460&lt;&gt;""), ($B460-$G460)*1440, "")</f>
        <v/>
      </c>
    </row>
    <row r="461" spans="5:5" x14ac:dyDescent="0.3">
      <c r="E461" s="6" t="str">
        <f>IF(AND($B461&lt;&gt;"", $G461&lt;&gt;""), ($B461-$G461)*1440, "")</f>
        <v/>
      </c>
    </row>
    <row r="462" spans="5:5" x14ac:dyDescent="0.3">
      <c r="E462" s="6" t="str">
        <f>IF(AND($B462&lt;&gt;"", $G462&lt;&gt;""), ($B462-$G462)*1440, "")</f>
        <v/>
      </c>
    </row>
    <row r="463" spans="5:5" x14ac:dyDescent="0.3">
      <c r="E463" s="6" t="str">
        <f>IF(AND($B463&lt;&gt;"", $G463&lt;&gt;""), ($B463-$G463)*1440, "")</f>
        <v/>
      </c>
    </row>
    <row r="464" spans="5:5" x14ac:dyDescent="0.3">
      <c r="E464" s="6" t="str">
        <f>IF(AND($B464&lt;&gt;"", $G464&lt;&gt;""), ($B464-$G464)*1440, "")</f>
        <v/>
      </c>
    </row>
    <row r="465" spans="5:5" x14ac:dyDescent="0.3">
      <c r="E465" s="6" t="str">
        <f>IF(AND($B465&lt;&gt;"", $G465&lt;&gt;""), ($B465-$G465)*1440, "")</f>
        <v/>
      </c>
    </row>
    <row r="466" spans="5:5" x14ac:dyDescent="0.3">
      <c r="E466" s="6" t="str">
        <f>IF(AND($B466&lt;&gt;"", $G466&lt;&gt;""), ($B466-$G466)*1440, "")</f>
        <v/>
      </c>
    </row>
    <row r="467" spans="5:5" x14ac:dyDescent="0.3">
      <c r="E467" s="6" t="str">
        <f>IF(AND($B467&lt;&gt;"", $G467&lt;&gt;""), ($B467-$G467)*1440, "")</f>
        <v/>
      </c>
    </row>
    <row r="468" spans="5:5" x14ac:dyDescent="0.3">
      <c r="E468" s="6" t="str">
        <f>IF(AND($B468&lt;&gt;"", $G468&lt;&gt;""), ($B468-$G468)*1440, "")</f>
        <v/>
      </c>
    </row>
    <row r="469" spans="5:5" x14ac:dyDescent="0.3">
      <c r="E469" s="6" t="str">
        <f>IF(AND($B469&lt;&gt;"", $G469&lt;&gt;""), ($B469-$G469)*1440, "")</f>
        <v/>
      </c>
    </row>
    <row r="470" spans="5:5" x14ac:dyDescent="0.3">
      <c r="E470" s="6" t="str">
        <f>IF(AND($B470&lt;&gt;"", $G470&lt;&gt;""), ($B470-$G470)*1440, "")</f>
        <v/>
      </c>
    </row>
    <row r="471" spans="5:5" x14ac:dyDescent="0.3">
      <c r="E471" s="6" t="str">
        <f>IF(AND($B471&lt;&gt;"", $G471&lt;&gt;""), ($B471-$G471)*1440, "")</f>
        <v/>
      </c>
    </row>
    <row r="472" spans="5:5" x14ac:dyDescent="0.3">
      <c r="E472" s="6" t="str">
        <f>IF(AND($B472&lt;&gt;"", $G472&lt;&gt;""), ($B472-$G472)*1440, "")</f>
        <v/>
      </c>
    </row>
    <row r="473" spans="5:5" x14ac:dyDescent="0.3">
      <c r="E473" s="6" t="str">
        <f>IF(AND($B473&lt;&gt;"", $G473&lt;&gt;""), ($B473-$G473)*1440, "")</f>
        <v/>
      </c>
    </row>
    <row r="474" spans="5:5" x14ac:dyDescent="0.3">
      <c r="E474" s="6" t="str">
        <f>IF(AND($B474&lt;&gt;"", $G474&lt;&gt;""), ($B474-$G474)*1440, "")</f>
        <v/>
      </c>
    </row>
    <row r="475" spans="5:5" x14ac:dyDescent="0.3">
      <c r="E475" s="6" t="str">
        <f>IF(AND($B475&lt;&gt;"", $G475&lt;&gt;""), ($B475-$G475)*1440, "")</f>
        <v/>
      </c>
    </row>
    <row r="476" spans="5:5" x14ac:dyDescent="0.3">
      <c r="E476" s="6" t="str">
        <f>IF(AND($B476&lt;&gt;"", $G476&lt;&gt;""), ($B476-$G476)*1440, "")</f>
        <v/>
      </c>
    </row>
    <row r="477" spans="5:5" x14ac:dyDescent="0.3">
      <c r="E477" s="6" t="str">
        <f>IF(AND($B477&lt;&gt;"", $G477&lt;&gt;""), ($B477-$G477)*1440, "")</f>
        <v/>
      </c>
    </row>
    <row r="478" spans="5:5" x14ac:dyDescent="0.3">
      <c r="E478" s="6" t="str">
        <f>IF(AND($B478&lt;&gt;"", $G478&lt;&gt;""), ($B478-$G478)*1440, "")</f>
        <v/>
      </c>
    </row>
    <row r="479" spans="5:5" x14ac:dyDescent="0.3">
      <c r="E479" s="6" t="str">
        <f>IF(AND($B479&lt;&gt;"", $G479&lt;&gt;""), ($B479-$G479)*1440, "")</f>
        <v/>
      </c>
    </row>
    <row r="480" spans="5:5" x14ac:dyDescent="0.3">
      <c r="E480" s="6" t="str">
        <f>IF(AND($B480&lt;&gt;"", $G480&lt;&gt;""), ($B480-$G480)*1440, "")</f>
        <v/>
      </c>
    </row>
    <row r="481" spans="5:5" x14ac:dyDescent="0.3">
      <c r="E481" s="6" t="str">
        <f>IF(AND($B481&lt;&gt;"", $G481&lt;&gt;""), ($B481-$G481)*1440, "")</f>
        <v/>
      </c>
    </row>
    <row r="482" spans="5:5" x14ac:dyDescent="0.3">
      <c r="E482" s="6" t="str">
        <f>IF(AND($B482&lt;&gt;"", $G482&lt;&gt;""), ($B482-$G482)*1440, "")</f>
        <v/>
      </c>
    </row>
    <row r="483" spans="5:5" x14ac:dyDescent="0.3">
      <c r="E483" s="6" t="str">
        <f>IF(AND($B483&lt;&gt;"", $G483&lt;&gt;""), ($B483-$G483)*1440, "")</f>
        <v/>
      </c>
    </row>
    <row r="484" spans="5:5" x14ac:dyDescent="0.3">
      <c r="E484" s="6" t="str">
        <f>IF(AND($B484&lt;&gt;"", $G484&lt;&gt;""), ($B484-$G484)*1440, "")</f>
        <v/>
      </c>
    </row>
    <row r="485" spans="5:5" x14ac:dyDescent="0.3">
      <c r="E485" s="6" t="str">
        <f>IF(AND($B485&lt;&gt;"", $G485&lt;&gt;""), ($B485-$G485)*1440, "")</f>
        <v/>
      </c>
    </row>
    <row r="486" spans="5:5" x14ac:dyDescent="0.3">
      <c r="E486" s="6" t="str">
        <f>IF(AND($B486&lt;&gt;"", $G486&lt;&gt;""), ($B486-$G486)*1440, "")</f>
        <v/>
      </c>
    </row>
    <row r="487" spans="5:5" x14ac:dyDescent="0.3">
      <c r="E487" s="6" t="str">
        <f>IF(AND($B487&lt;&gt;"", $G487&lt;&gt;""), ($B487-$G487)*1440, "")</f>
        <v/>
      </c>
    </row>
    <row r="488" spans="5:5" x14ac:dyDescent="0.3">
      <c r="E488" s="6" t="str">
        <f>IF(AND($B488&lt;&gt;"", $G488&lt;&gt;""), ($B488-$G488)*1440, "")</f>
        <v/>
      </c>
    </row>
    <row r="489" spans="5:5" x14ac:dyDescent="0.3">
      <c r="E489" s="6" t="str">
        <f>IF(AND($B489&lt;&gt;"", $G489&lt;&gt;""), ($B489-$G489)*1440, "")</f>
        <v/>
      </c>
    </row>
    <row r="490" spans="5:5" x14ac:dyDescent="0.3">
      <c r="E490" s="6" t="str">
        <f>IF(AND($B490&lt;&gt;"", $G490&lt;&gt;""), ($B490-$G490)*1440, "")</f>
        <v/>
      </c>
    </row>
    <row r="491" spans="5:5" x14ac:dyDescent="0.3">
      <c r="E491" s="6" t="str">
        <f>IF(AND($B491&lt;&gt;"", $G491&lt;&gt;""), ($B491-$G491)*1440, "")</f>
        <v/>
      </c>
    </row>
    <row r="492" spans="5:5" x14ac:dyDescent="0.3">
      <c r="E492" s="6" t="str">
        <f>IF(AND($B492&lt;&gt;"", $G492&lt;&gt;""), ($B492-$G492)*1440, "")</f>
        <v/>
      </c>
    </row>
    <row r="493" spans="5:5" x14ac:dyDescent="0.3">
      <c r="E493" s="6" t="str">
        <f>IF(AND($B493&lt;&gt;"", $G493&lt;&gt;""), ($B493-$G493)*1440, "")</f>
        <v/>
      </c>
    </row>
    <row r="494" spans="5:5" x14ac:dyDescent="0.3">
      <c r="E494" s="6" t="str">
        <f>IF(AND($B494&lt;&gt;"", $G494&lt;&gt;""), ($B494-$G494)*1440, "")</f>
        <v/>
      </c>
    </row>
    <row r="495" spans="5:5" x14ac:dyDescent="0.3">
      <c r="E495" s="6" t="str">
        <f>IF(AND($B495&lt;&gt;"", $G495&lt;&gt;""), ($B495-$G495)*1440, "")</f>
        <v/>
      </c>
    </row>
    <row r="496" spans="5:5" x14ac:dyDescent="0.3">
      <c r="E496" s="6" t="str">
        <f>IF(AND($B496&lt;&gt;"", $G496&lt;&gt;""), ($B496-$G496)*1440, "")</f>
        <v/>
      </c>
    </row>
    <row r="497" spans="5:5" x14ac:dyDescent="0.3">
      <c r="E497" s="6" t="str">
        <f>IF(AND($B497&lt;&gt;"", $G497&lt;&gt;""), ($B497-$G497)*1440, "")</f>
        <v/>
      </c>
    </row>
    <row r="498" spans="5:5" x14ac:dyDescent="0.3">
      <c r="E498" s="6" t="str">
        <f>IF(AND($B498&lt;&gt;"", $G498&lt;&gt;""), ($B498-$G498)*1440, "")</f>
        <v/>
      </c>
    </row>
    <row r="499" spans="5:5" x14ac:dyDescent="0.3">
      <c r="E499" s="6" t="str">
        <f>IF(AND($B499&lt;&gt;"", $G499&lt;&gt;""), ($B499-$G499)*1440, "")</f>
        <v/>
      </c>
    </row>
    <row r="500" spans="5:5" x14ac:dyDescent="0.3">
      <c r="E500" s="6" t="str">
        <f>IF(AND($B500&lt;&gt;"", $G500&lt;&gt;""), ($B500-$G500)*1440, "")</f>
        <v/>
      </c>
    </row>
    <row r="501" spans="5:5" x14ac:dyDescent="0.3">
      <c r="E501" s="6" t="str">
        <f>IF(AND($B501&lt;&gt;"", $G501&lt;&gt;""), ($B501-$G501)*1440, "")</f>
        <v/>
      </c>
    </row>
    <row r="502" spans="5:5" x14ac:dyDescent="0.3">
      <c r="E502" s="6" t="str">
        <f>IF(AND($B502&lt;&gt;"", $G502&lt;&gt;""), ($B502-$G502)*1440, "")</f>
        <v/>
      </c>
    </row>
    <row r="503" spans="5:5" x14ac:dyDescent="0.3">
      <c r="E503" s="6" t="str">
        <f>IF(AND($B503&lt;&gt;"", $G503&lt;&gt;""), ($B503-$G503)*1440, "")</f>
        <v/>
      </c>
    </row>
    <row r="504" spans="5:5" x14ac:dyDescent="0.3">
      <c r="E504" s="6" t="str">
        <f>IF(AND($B504&lt;&gt;"", $G504&lt;&gt;""), ($B504-$G504)*1440, "")</f>
        <v/>
      </c>
    </row>
    <row r="505" spans="5:5" x14ac:dyDescent="0.3">
      <c r="E505" s="6" t="str">
        <f>IF(AND($B505&lt;&gt;"", $G505&lt;&gt;""), ($B505-$G505)*1440, "")</f>
        <v/>
      </c>
    </row>
    <row r="506" spans="5:5" x14ac:dyDescent="0.3">
      <c r="E506" s="6" t="str">
        <f>IF(AND($B506&lt;&gt;"", $G506&lt;&gt;""), ($B506-$G506)*1440, "")</f>
        <v/>
      </c>
    </row>
    <row r="507" spans="5:5" x14ac:dyDescent="0.3">
      <c r="E507" s="6" t="str">
        <f>IF(AND($B507&lt;&gt;"", $G507&lt;&gt;""), ($B507-$G507)*1440, "")</f>
        <v/>
      </c>
    </row>
    <row r="508" spans="5:5" x14ac:dyDescent="0.3">
      <c r="E508" s="6" t="str">
        <f>IF(AND($B508&lt;&gt;"", $G508&lt;&gt;""), ($B508-$G508)*1440, "")</f>
        <v/>
      </c>
    </row>
    <row r="509" spans="5:5" x14ac:dyDescent="0.3">
      <c r="E509" s="6" t="str">
        <f>IF(AND($B509&lt;&gt;"", $G509&lt;&gt;""), ($B509-$G509)*1440, "")</f>
        <v/>
      </c>
    </row>
    <row r="510" spans="5:5" x14ac:dyDescent="0.3">
      <c r="E510" s="6" t="str">
        <f>IF(AND($B510&lt;&gt;"", $G510&lt;&gt;""), ($B510-$G510)*1440, "")</f>
        <v/>
      </c>
    </row>
    <row r="511" spans="5:5" x14ac:dyDescent="0.3">
      <c r="E511" s="6" t="str">
        <f>IF(AND($B511&lt;&gt;"", $G511&lt;&gt;""), ($B511-$G511)*1440, "")</f>
        <v/>
      </c>
    </row>
    <row r="512" spans="5:5" x14ac:dyDescent="0.3">
      <c r="E512" s="6" t="str">
        <f>IF(AND($B512&lt;&gt;"", $G512&lt;&gt;""), ($B512-$G512)*1440, "")</f>
        <v/>
      </c>
    </row>
    <row r="513" spans="5:5" x14ac:dyDescent="0.3">
      <c r="E513" s="6" t="str">
        <f>IF(AND($B513&lt;&gt;"", $G513&lt;&gt;""), ($B513-$G513)*1440, "")</f>
        <v/>
      </c>
    </row>
    <row r="514" spans="5:5" x14ac:dyDescent="0.3">
      <c r="E514" s="6" t="str">
        <f>IF(AND($B514&lt;&gt;"", $G514&lt;&gt;""), ($B514-$G514)*1440, "")</f>
        <v/>
      </c>
    </row>
    <row r="515" spans="5:5" x14ac:dyDescent="0.3">
      <c r="E515" s="6" t="str">
        <f>IF(AND($B515&lt;&gt;"", $G515&lt;&gt;""), ($B515-$G515)*1440, "")</f>
        <v/>
      </c>
    </row>
    <row r="516" spans="5:5" x14ac:dyDescent="0.3">
      <c r="E516" s="6" t="str">
        <f>IF(AND($B516&lt;&gt;"", $G516&lt;&gt;""), ($B516-$G516)*1440, "")</f>
        <v/>
      </c>
    </row>
    <row r="517" spans="5:5" x14ac:dyDescent="0.3">
      <c r="E517" s="6" t="str">
        <f>IF(AND($B517&lt;&gt;"", $G517&lt;&gt;""), ($B517-$G517)*1440, "")</f>
        <v/>
      </c>
    </row>
    <row r="518" spans="5:5" x14ac:dyDescent="0.3">
      <c r="E518" s="6" t="str">
        <f>IF(AND($B518&lt;&gt;"", $G518&lt;&gt;""), ($B518-$G518)*1440, "")</f>
        <v/>
      </c>
    </row>
    <row r="519" spans="5:5" x14ac:dyDescent="0.3">
      <c r="E519" s="6" t="str">
        <f>IF(AND($B519&lt;&gt;"", $G519&lt;&gt;""), ($B519-$G519)*1440, "")</f>
        <v/>
      </c>
    </row>
    <row r="520" spans="5:5" x14ac:dyDescent="0.3">
      <c r="E520" s="6" t="str">
        <f>IF(AND($B520&lt;&gt;"", $G520&lt;&gt;""), ($B520-$G520)*1440, "")</f>
        <v/>
      </c>
    </row>
    <row r="521" spans="5:5" x14ac:dyDescent="0.3">
      <c r="E521" s="6" t="str">
        <f>IF(AND($B521&lt;&gt;"", $G521&lt;&gt;""), ($B521-$G521)*1440, "")</f>
        <v/>
      </c>
    </row>
    <row r="522" spans="5:5" x14ac:dyDescent="0.3">
      <c r="E522" s="6" t="str">
        <f>IF(AND($B522&lt;&gt;"", $G522&lt;&gt;""), ($B522-$G522)*1440, "")</f>
        <v/>
      </c>
    </row>
    <row r="523" spans="5:5" x14ac:dyDescent="0.3">
      <c r="E523" s="6" t="str">
        <f>IF(AND($B523&lt;&gt;"", $G523&lt;&gt;""), ($B523-$G523)*1440, "")</f>
        <v/>
      </c>
    </row>
    <row r="524" spans="5:5" x14ac:dyDescent="0.3">
      <c r="E524" s="6" t="str">
        <f>IF(AND($B524&lt;&gt;"", $G524&lt;&gt;""), ($B524-$G524)*1440, "")</f>
        <v/>
      </c>
    </row>
    <row r="525" spans="5:5" x14ac:dyDescent="0.3">
      <c r="E525" s="6" t="str">
        <f>IF(AND($B525&lt;&gt;"", $G525&lt;&gt;""), ($B525-$G525)*1440, "")</f>
        <v/>
      </c>
    </row>
    <row r="526" spans="5:5" x14ac:dyDescent="0.3">
      <c r="E526" s="6" t="str">
        <f>IF(AND($B526&lt;&gt;"", $G526&lt;&gt;""), ($B526-$G526)*1440, "")</f>
        <v/>
      </c>
    </row>
    <row r="527" spans="5:5" x14ac:dyDescent="0.3">
      <c r="E527" s="6" t="str">
        <f>IF(AND($B527&lt;&gt;"", $G527&lt;&gt;""), ($B527-$G527)*1440, "")</f>
        <v/>
      </c>
    </row>
    <row r="528" spans="5:5" x14ac:dyDescent="0.3">
      <c r="E528" s="6" t="str">
        <f>IF(AND($B528&lt;&gt;"", $G528&lt;&gt;""), ($B528-$G528)*1440, "")</f>
        <v/>
      </c>
    </row>
    <row r="529" spans="5:5" x14ac:dyDescent="0.3">
      <c r="E529" s="6" t="str">
        <f>IF(AND($B529&lt;&gt;"", $G529&lt;&gt;""), ($B529-$G529)*1440, "")</f>
        <v/>
      </c>
    </row>
    <row r="530" spans="5:5" x14ac:dyDescent="0.3">
      <c r="E530" s="6" t="str">
        <f>IF(AND($B530&lt;&gt;"", $G530&lt;&gt;""), ($B530-$G530)*1440, "")</f>
        <v/>
      </c>
    </row>
    <row r="531" spans="5:5" x14ac:dyDescent="0.3">
      <c r="E531" s="6" t="str">
        <f>IF(AND($B531&lt;&gt;"", $G531&lt;&gt;""), ($B531-$G531)*1440, "")</f>
        <v/>
      </c>
    </row>
    <row r="532" spans="5:5" x14ac:dyDescent="0.3">
      <c r="E532" s="6" t="str">
        <f>IF(AND($B532&lt;&gt;"", $G532&lt;&gt;""), ($B532-$G532)*1440, "")</f>
        <v/>
      </c>
    </row>
    <row r="533" spans="5:5" x14ac:dyDescent="0.3">
      <c r="E533" s="6" t="str">
        <f>IF(AND($B533&lt;&gt;"", $G533&lt;&gt;""), ($B533-$G533)*1440, "")</f>
        <v/>
      </c>
    </row>
    <row r="534" spans="5:5" x14ac:dyDescent="0.3">
      <c r="E534" s="6" t="str">
        <f>IF(AND($B534&lt;&gt;"", $G534&lt;&gt;""), ($B534-$G534)*1440, "")</f>
        <v/>
      </c>
    </row>
    <row r="535" spans="5:5" x14ac:dyDescent="0.3">
      <c r="E535" s="6" t="str">
        <f>IF(AND($B535&lt;&gt;"", $G535&lt;&gt;""), ($B535-$G535)*1440, "")</f>
        <v/>
      </c>
    </row>
    <row r="536" spans="5:5" x14ac:dyDescent="0.3">
      <c r="E536" s="6" t="str">
        <f>IF(AND($B536&lt;&gt;"", $G536&lt;&gt;""), ($B536-$G536)*1440, "")</f>
        <v/>
      </c>
    </row>
    <row r="537" spans="5:5" x14ac:dyDescent="0.3">
      <c r="E537" s="6" t="str">
        <f>IF(AND($B537&lt;&gt;"", $G537&lt;&gt;""), ($B537-$G537)*1440, "")</f>
        <v/>
      </c>
    </row>
    <row r="538" spans="5:5" x14ac:dyDescent="0.3">
      <c r="E538" s="6" t="str">
        <f>IF(AND($B538&lt;&gt;"", $G538&lt;&gt;""), ($B538-$G538)*1440, "")</f>
        <v/>
      </c>
    </row>
    <row r="539" spans="5:5" x14ac:dyDescent="0.3">
      <c r="E539" s="6" t="str">
        <f>IF(AND($B539&lt;&gt;"", $G539&lt;&gt;""), ($B539-$G539)*1440, "")</f>
        <v/>
      </c>
    </row>
    <row r="540" spans="5:5" x14ac:dyDescent="0.3">
      <c r="E540" s="6" t="str">
        <f>IF(AND($B540&lt;&gt;"", $G540&lt;&gt;""), ($B540-$G540)*1440, "")</f>
        <v/>
      </c>
    </row>
    <row r="541" spans="5:5" x14ac:dyDescent="0.3">
      <c r="E541" s="6" t="str">
        <f>IF(AND($B541&lt;&gt;"", $G541&lt;&gt;""), ($B541-$G541)*1440, "")</f>
        <v/>
      </c>
    </row>
    <row r="542" spans="5:5" x14ac:dyDescent="0.3">
      <c r="E542" s="6" t="str">
        <f>IF(AND($B542&lt;&gt;"", $G542&lt;&gt;""), ($B542-$G542)*1440, "")</f>
        <v/>
      </c>
    </row>
    <row r="543" spans="5:5" x14ac:dyDescent="0.3">
      <c r="E543" s="6" t="str">
        <f>IF(AND($B543&lt;&gt;"", $G543&lt;&gt;""), ($B543-$G543)*1440, "")</f>
        <v/>
      </c>
    </row>
    <row r="544" spans="5:5" x14ac:dyDescent="0.3">
      <c r="E544" s="6" t="str">
        <f>IF(AND($B544&lt;&gt;"", $G544&lt;&gt;""), ($B544-$G544)*1440, "")</f>
        <v/>
      </c>
    </row>
    <row r="545" spans="5:5" x14ac:dyDescent="0.3">
      <c r="E545" s="6" t="str">
        <f>IF(AND($B545&lt;&gt;"", $G545&lt;&gt;""), ($B545-$G545)*1440, "")</f>
        <v/>
      </c>
    </row>
    <row r="546" spans="5:5" x14ac:dyDescent="0.3">
      <c r="E546" s="6" t="str">
        <f>IF(AND($B546&lt;&gt;"", $G546&lt;&gt;""), ($B546-$G546)*1440, "")</f>
        <v/>
      </c>
    </row>
    <row r="547" spans="5:5" x14ac:dyDescent="0.3">
      <c r="E547" s="6" t="str">
        <f>IF(AND($B547&lt;&gt;"", $G547&lt;&gt;""), ($B547-$G547)*1440, "")</f>
        <v/>
      </c>
    </row>
    <row r="548" spans="5:5" x14ac:dyDescent="0.3">
      <c r="E548" s="6" t="str">
        <f>IF(AND($B548&lt;&gt;"", $G548&lt;&gt;""), ($B548-$G548)*1440, "")</f>
        <v/>
      </c>
    </row>
    <row r="549" spans="5:5" x14ac:dyDescent="0.3">
      <c r="E549" s="6" t="str">
        <f>IF(AND($B549&lt;&gt;"", $G549&lt;&gt;""), ($B549-$G549)*1440, "")</f>
        <v/>
      </c>
    </row>
    <row r="550" spans="5:5" x14ac:dyDescent="0.3">
      <c r="E550" s="6" t="str">
        <f>IF(AND($B550&lt;&gt;"", $G550&lt;&gt;""), ($B550-$G550)*1440, "")</f>
        <v/>
      </c>
    </row>
    <row r="551" spans="5:5" x14ac:dyDescent="0.3">
      <c r="E551" s="6" t="str">
        <f>IF(AND($B551&lt;&gt;"", $G551&lt;&gt;""), ($B551-$G551)*1440, "")</f>
        <v/>
      </c>
    </row>
    <row r="552" spans="5:5" x14ac:dyDescent="0.3">
      <c r="E552" s="6" t="str">
        <f>IF(AND($B552&lt;&gt;"", $G552&lt;&gt;""), ($B552-$G552)*1440, "")</f>
        <v/>
      </c>
    </row>
    <row r="553" spans="5:5" x14ac:dyDescent="0.3">
      <c r="E553" s="6" t="str">
        <f>IF(AND($B553&lt;&gt;"", $G553&lt;&gt;""), ($B553-$G553)*1440, "")</f>
        <v/>
      </c>
    </row>
    <row r="554" spans="5:5" x14ac:dyDescent="0.3">
      <c r="E554" s="6" t="str">
        <f>IF(AND($B554&lt;&gt;"", $G554&lt;&gt;""), ($B554-$G554)*1440, "")</f>
        <v/>
      </c>
    </row>
    <row r="555" spans="5:5" x14ac:dyDescent="0.3">
      <c r="E555" s="6" t="str">
        <f>IF(AND($B555&lt;&gt;"", $G555&lt;&gt;""), ($B555-$G555)*1440, "")</f>
        <v/>
      </c>
    </row>
    <row r="556" spans="5:5" x14ac:dyDescent="0.3">
      <c r="E556" s="6" t="str">
        <f>IF(AND($B556&lt;&gt;"", $G556&lt;&gt;""), ($B556-$G556)*1440, "")</f>
        <v/>
      </c>
    </row>
    <row r="557" spans="5:5" x14ac:dyDescent="0.3">
      <c r="E557" s="6" t="str">
        <f>IF(AND($B557&lt;&gt;"", $G557&lt;&gt;""), ($B557-$G557)*1440, "")</f>
        <v/>
      </c>
    </row>
    <row r="558" spans="5:5" x14ac:dyDescent="0.3">
      <c r="E558" s="6" t="str">
        <f>IF(AND($B558&lt;&gt;"", $G558&lt;&gt;""), ($B558-$G558)*1440, "")</f>
        <v/>
      </c>
    </row>
    <row r="559" spans="5:5" x14ac:dyDescent="0.3">
      <c r="E559" s="6" t="str">
        <f>IF(AND($B559&lt;&gt;"", $G559&lt;&gt;""), ($B559-$G559)*1440, "")</f>
        <v/>
      </c>
    </row>
    <row r="560" spans="5:5" x14ac:dyDescent="0.3">
      <c r="E560" s="6" t="str">
        <f>IF(AND($B560&lt;&gt;"", $G560&lt;&gt;""), ($B560-$G560)*1440, "")</f>
        <v/>
      </c>
    </row>
    <row r="561" spans="5:5" x14ac:dyDescent="0.3">
      <c r="E561" s="6" t="str">
        <f>IF(AND($B561&lt;&gt;"", $G561&lt;&gt;""), ($B561-$G561)*1440, "")</f>
        <v/>
      </c>
    </row>
    <row r="562" spans="5:5" x14ac:dyDescent="0.3">
      <c r="E562" s="6" t="str">
        <f>IF(AND($B562&lt;&gt;"", $G562&lt;&gt;""), ($B562-$G562)*1440, "")</f>
        <v/>
      </c>
    </row>
    <row r="563" spans="5:5" x14ac:dyDescent="0.3">
      <c r="E563" s="6" t="str">
        <f>IF(AND($B563&lt;&gt;"", $G563&lt;&gt;""), ($B563-$G563)*1440, "")</f>
        <v/>
      </c>
    </row>
    <row r="564" spans="5:5" x14ac:dyDescent="0.3">
      <c r="E564" s="6" t="str">
        <f>IF(AND($B564&lt;&gt;"", $G564&lt;&gt;""), ($B564-$G564)*1440, "")</f>
        <v/>
      </c>
    </row>
    <row r="565" spans="5:5" x14ac:dyDescent="0.3">
      <c r="E565" s="6" t="str">
        <f>IF(AND($B565&lt;&gt;"", $G565&lt;&gt;""), ($B565-$G565)*1440, "")</f>
        <v/>
      </c>
    </row>
    <row r="566" spans="5:5" x14ac:dyDescent="0.3">
      <c r="E566" s="6" t="str">
        <f>IF(AND($B566&lt;&gt;"", $G566&lt;&gt;""), ($B566-$G566)*1440, "")</f>
        <v/>
      </c>
    </row>
    <row r="567" spans="5:5" x14ac:dyDescent="0.3">
      <c r="E567" s="6" t="str">
        <f>IF(AND($B567&lt;&gt;"", $G567&lt;&gt;""), ($B567-$G567)*1440, "")</f>
        <v/>
      </c>
    </row>
    <row r="568" spans="5:5" x14ac:dyDescent="0.3">
      <c r="E568" s="6" t="str">
        <f>IF(AND($B568&lt;&gt;"", $G568&lt;&gt;""), ($B568-$G568)*1440, "")</f>
        <v/>
      </c>
    </row>
    <row r="569" spans="5:5" x14ac:dyDescent="0.3">
      <c r="E569" s="6" t="str">
        <f>IF(AND($B569&lt;&gt;"", $G569&lt;&gt;""), ($B569-$G569)*1440, "")</f>
        <v/>
      </c>
    </row>
    <row r="570" spans="5:5" x14ac:dyDescent="0.3">
      <c r="E570" s="6" t="str">
        <f>IF(AND($B570&lt;&gt;"", $G570&lt;&gt;""), ($B570-$G570)*1440, "")</f>
        <v/>
      </c>
    </row>
    <row r="571" spans="5:5" x14ac:dyDescent="0.3">
      <c r="E571" s="6" t="str">
        <f>IF(AND($B571&lt;&gt;"", $G571&lt;&gt;""), ($B571-$G571)*1440, "")</f>
        <v/>
      </c>
    </row>
    <row r="572" spans="5:5" x14ac:dyDescent="0.3">
      <c r="E572" s="6" t="str">
        <f>IF(AND($B572&lt;&gt;"", $G572&lt;&gt;""), ($B572-$G572)*1440, "")</f>
        <v/>
      </c>
    </row>
    <row r="573" spans="5:5" x14ac:dyDescent="0.3">
      <c r="E573" s="6" t="str">
        <f>IF(AND($B573&lt;&gt;"", $G573&lt;&gt;""), ($B573-$G573)*1440, "")</f>
        <v/>
      </c>
    </row>
    <row r="574" spans="5:5" x14ac:dyDescent="0.3">
      <c r="E574" s="6" t="str">
        <f>IF(AND($B574&lt;&gt;"", $G574&lt;&gt;""), ($B574-$G574)*1440, "")</f>
        <v/>
      </c>
    </row>
    <row r="575" spans="5:5" x14ac:dyDescent="0.3">
      <c r="E575" s="6" t="str">
        <f>IF(AND($B575&lt;&gt;"", $G575&lt;&gt;""), ($B575-$G575)*1440, "")</f>
        <v/>
      </c>
    </row>
    <row r="576" spans="5:5" x14ac:dyDescent="0.3">
      <c r="E576" s="6" t="str">
        <f>IF(AND($B576&lt;&gt;"", $G576&lt;&gt;""), ($B576-$G576)*1440, "")</f>
        <v/>
      </c>
    </row>
    <row r="577" spans="5:5" x14ac:dyDescent="0.3">
      <c r="E577" s="6" t="str">
        <f>IF(AND($B577&lt;&gt;"", $G577&lt;&gt;""), ($B577-$G577)*1440, "")</f>
        <v/>
      </c>
    </row>
    <row r="578" spans="5:5" x14ac:dyDescent="0.3">
      <c r="E578" s="6" t="str">
        <f>IF(AND($B578&lt;&gt;"", $G578&lt;&gt;""), ($B578-$G578)*1440, "")</f>
        <v/>
      </c>
    </row>
    <row r="579" spans="5:5" x14ac:dyDescent="0.3">
      <c r="E579" s="6" t="str">
        <f>IF(AND($B579&lt;&gt;"", $G579&lt;&gt;""), ($B579-$G579)*1440, "")</f>
        <v/>
      </c>
    </row>
    <row r="580" spans="5:5" x14ac:dyDescent="0.3">
      <c r="E580" s="6" t="str">
        <f>IF(AND($B580&lt;&gt;"", $G580&lt;&gt;""), ($B580-$G580)*1440, "")</f>
        <v/>
      </c>
    </row>
    <row r="581" spans="5:5" x14ac:dyDescent="0.3">
      <c r="E581" s="6" t="str">
        <f>IF(AND($B581&lt;&gt;"", $G581&lt;&gt;""), ($B581-$G581)*1440, "")</f>
        <v/>
      </c>
    </row>
    <row r="582" spans="5:5" x14ac:dyDescent="0.3">
      <c r="E582" s="6" t="str">
        <f>IF(AND($B582&lt;&gt;"", $G582&lt;&gt;""), ($B582-$G582)*1440, "")</f>
        <v/>
      </c>
    </row>
    <row r="583" spans="5:5" x14ac:dyDescent="0.3">
      <c r="E583" s="6" t="str">
        <f>IF(AND($B583&lt;&gt;"", $G583&lt;&gt;""), ($B583-$G583)*1440, "")</f>
        <v/>
      </c>
    </row>
    <row r="584" spans="5:5" x14ac:dyDescent="0.3">
      <c r="E584" s="6" t="str">
        <f>IF(AND($B584&lt;&gt;"", $G584&lt;&gt;""), ($B584-$G584)*1440, "")</f>
        <v/>
      </c>
    </row>
    <row r="585" spans="5:5" x14ac:dyDescent="0.3">
      <c r="E585" s="6" t="str">
        <f>IF(AND($B585&lt;&gt;"", $G585&lt;&gt;""), ($B585-$G585)*1440, "")</f>
        <v/>
      </c>
    </row>
    <row r="586" spans="5:5" x14ac:dyDescent="0.3">
      <c r="E586" s="6" t="str">
        <f>IF(AND($B586&lt;&gt;"", $G586&lt;&gt;""), ($B586-$G586)*1440, "")</f>
        <v/>
      </c>
    </row>
    <row r="587" spans="5:5" x14ac:dyDescent="0.3">
      <c r="E587" s="6" t="str">
        <f>IF(AND($B587&lt;&gt;"", $G587&lt;&gt;""), ($B587-$G587)*1440, "")</f>
        <v/>
      </c>
    </row>
    <row r="588" spans="5:5" x14ac:dyDescent="0.3">
      <c r="E588" s="6" t="str">
        <f>IF(AND($B588&lt;&gt;"", $G588&lt;&gt;""), ($B588-$G588)*1440, "")</f>
        <v/>
      </c>
    </row>
    <row r="589" spans="5:5" x14ac:dyDescent="0.3">
      <c r="E589" s="6" t="str">
        <f>IF(AND($B589&lt;&gt;"", $G589&lt;&gt;""), ($B589-$G589)*1440, "")</f>
        <v/>
      </c>
    </row>
    <row r="590" spans="5:5" x14ac:dyDescent="0.3">
      <c r="E590" s="6" t="str">
        <f>IF(AND($B590&lt;&gt;"", $G590&lt;&gt;""), ($B590-$G590)*1440, "")</f>
        <v/>
      </c>
    </row>
    <row r="591" spans="5:5" x14ac:dyDescent="0.3">
      <c r="E591" s="6" t="str">
        <f>IF(AND($B591&lt;&gt;"", $G591&lt;&gt;""), ($B591-$G591)*1440, "")</f>
        <v/>
      </c>
    </row>
    <row r="592" spans="5:5" x14ac:dyDescent="0.3">
      <c r="E592" s="6" t="str">
        <f>IF(AND($B592&lt;&gt;"", $G592&lt;&gt;""), ($B592-$G592)*1440, "")</f>
        <v/>
      </c>
    </row>
    <row r="593" spans="5:5" x14ac:dyDescent="0.3">
      <c r="E593" s="6" t="str">
        <f>IF(AND($B593&lt;&gt;"", $G593&lt;&gt;""), ($B593-$G593)*1440, "")</f>
        <v/>
      </c>
    </row>
    <row r="594" spans="5:5" x14ac:dyDescent="0.3">
      <c r="E594" s="6" t="str">
        <f>IF(AND($B594&lt;&gt;"", $G594&lt;&gt;""), ($B594-$G594)*1440, "")</f>
        <v/>
      </c>
    </row>
    <row r="595" spans="5:5" x14ac:dyDescent="0.3">
      <c r="E595" s="6" t="str">
        <f>IF(AND($B595&lt;&gt;"", $G595&lt;&gt;""), ($B595-$G595)*1440, "")</f>
        <v/>
      </c>
    </row>
    <row r="596" spans="5:5" x14ac:dyDescent="0.3">
      <c r="E596" s="6" t="str">
        <f>IF(AND($B596&lt;&gt;"", $G596&lt;&gt;""), ($B596-$G596)*1440, "")</f>
        <v/>
      </c>
    </row>
    <row r="597" spans="5:5" x14ac:dyDescent="0.3">
      <c r="E597" s="6" t="str">
        <f>IF(AND($B597&lt;&gt;"", $G597&lt;&gt;""), ($B597-$G597)*1440, "")</f>
        <v/>
      </c>
    </row>
    <row r="598" spans="5:5" x14ac:dyDescent="0.3">
      <c r="E598" s="6" t="str">
        <f>IF(AND($B598&lt;&gt;"", $G598&lt;&gt;""), ($B598-$G598)*1440, "")</f>
        <v/>
      </c>
    </row>
    <row r="599" spans="5:5" x14ac:dyDescent="0.3">
      <c r="E599" s="6" t="str">
        <f>IF(AND($B599&lt;&gt;"", $G599&lt;&gt;""), ($B599-$G599)*1440, "")</f>
        <v/>
      </c>
    </row>
    <row r="600" spans="5:5" x14ac:dyDescent="0.3">
      <c r="E600" s="6" t="str">
        <f>IF(AND($B600&lt;&gt;"", $G600&lt;&gt;""), ($B600-$G600)*1440, "")</f>
        <v/>
      </c>
    </row>
    <row r="601" spans="5:5" x14ac:dyDescent="0.3">
      <c r="E601" s="6" t="str">
        <f>IF(AND($B601&lt;&gt;"", $G601&lt;&gt;""), ($B601-$G601)*1440, "")</f>
        <v/>
      </c>
    </row>
    <row r="602" spans="5:5" x14ac:dyDescent="0.3">
      <c r="E602" s="6" t="str">
        <f>IF(AND($B602&lt;&gt;"", $G602&lt;&gt;""), ($B602-$G602)*1440, "")</f>
        <v/>
      </c>
    </row>
    <row r="603" spans="5:5" x14ac:dyDescent="0.3">
      <c r="E603" s="6" t="str">
        <f>IF(AND($B603&lt;&gt;"", $G603&lt;&gt;""), ($B603-$G603)*1440, "")</f>
        <v/>
      </c>
    </row>
    <row r="604" spans="5:5" x14ac:dyDescent="0.3">
      <c r="E604" s="6" t="str">
        <f>IF(AND($B604&lt;&gt;"", $G604&lt;&gt;""), ($B604-$G604)*1440, "")</f>
        <v/>
      </c>
    </row>
    <row r="605" spans="5:5" x14ac:dyDescent="0.3">
      <c r="E605" s="6" t="str">
        <f>IF(AND($B605&lt;&gt;"", $G605&lt;&gt;""), ($B605-$G605)*1440, "")</f>
        <v/>
      </c>
    </row>
    <row r="606" spans="5:5" x14ac:dyDescent="0.3">
      <c r="E606" s="6" t="str">
        <f>IF(AND($B606&lt;&gt;"", $G606&lt;&gt;""), ($B606-$G606)*1440, "")</f>
        <v/>
      </c>
    </row>
    <row r="607" spans="5:5" x14ac:dyDescent="0.3">
      <c r="E607" s="6" t="str">
        <f>IF(AND($B607&lt;&gt;"", $G607&lt;&gt;""), ($B607-$G607)*1440, "")</f>
        <v/>
      </c>
    </row>
    <row r="608" spans="5:5" x14ac:dyDescent="0.3">
      <c r="E608" s="6" t="str">
        <f>IF(AND($B608&lt;&gt;"", $G608&lt;&gt;""), ($B608-$G608)*1440, "")</f>
        <v/>
      </c>
    </row>
    <row r="609" spans="5:5" x14ac:dyDescent="0.3">
      <c r="E609" s="6" t="str">
        <f>IF(AND($B609&lt;&gt;"", $G609&lt;&gt;""), ($B609-$G609)*1440, "")</f>
        <v/>
      </c>
    </row>
    <row r="610" spans="5:5" x14ac:dyDescent="0.3">
      <c r="E610" s="6" t="str">
        <f>IF(AND($B610&lt;&gt;"", $G610&lt;&gt;""), ($B610-$G610)*1440, "")</f>
        <v/>
      </c>
    </row>
    <row r="611" spans="5:5" x14ac:dyDescent="0.3">
      <c r="E611" s="6" t="str">
        <f>IF(AND($B611&lt;&gt;"", $G611&lt;&gt;""), ($B611-$G611)*1440, "")</f>
        <v/>
      </c>
    </row>
    <row r="612" spans="5:5" x14ac:dyDescent="0.3">
      <c r="E612" s="6" t="str">
        <f>IF(AND($B612&lt;&gt;"", $G612&lt;&gt;""), ($B612-$G612)*1440, "")</f>
        <v/>
      </c>
    </row>
    <row r="613" spans="5:5" x14ac:dyDescent="0.3">
      <c r="E613" s="6" t="str">
        <f>IF(AND($B613&lt;&gt;"", $G613&lt;&gt;""), ($B613-$G613)*1440, "")</f>
        <v/>
      </c>
    </row>
    <row r="614" spans="5:5" x14ac:dyDescent="0.3">
      <c r="E614" s="6" t="str">
        <f>IF(AND($B614&lt;&gt;"", $G614&lt;&gt;""), ($B614-$G614)*1440, "")</f>
        <v/>
      </c>
    </row>
    <row r="615" spans="5:5" x14ac:dyDescent="0.3">
      <c r="E615" s="6" t="str">
        <f>IF(AND($B615&lt;&gt;"", $G615&lt;&gt;""), ($B615-$G615)*1440, "")</f>
        <v/>
      </c>
    </row>
    <row r="616" spans="5:5" x14ac:dyDescent="0.3">
      <c r="E616" s="6" t="str">
        <f>IF(AND($B616&lt;&gt;"", $G616&lt;&gt;""), ($B616-$G616)*1440, "")</f>
        <v/>
      </c>
    </row>
    <row r="617" spans="5:5" x14ac:dyDescent="0.3">
      <c r="E617" s="6" t="str">
        <f>IF(AND($B617&lt;&gt;"", $G617&lt;&gt;""), ($B617-$G617)*1440, "")</f>
        <v/>
      </c>
    </row>
    <row r="618" spans="5:5" x14ac:dyDescent="0.3">
      <c r="E618" s="6" t="str">
        <f>IF(AND($B618&lt;&gt;"", $G618&lt;&gt;""), ($B618-$G618)*1440, "")</f>
        <v/>
      </c>
    </row>
    <row r="619" spans="5:5" x14ac:dyDescent="0.3">
      <c r="E619" s="6" t="str">
        <f>IF(AND($B619&lt;&gt;"", $G619&lt;&gt;""), ($B619-$G619)*1440, "")</f>
        <v/>
      </c>
    </row>
    <row r="620" spans="5:5" x14ac:dyDescent="0.3">
      <c r="E620" s="6" t="str">
        <f>IF(AND($B620&lt;&gt;"", $G620&lt;&gt;""), ($B620-$G620)*1440, "")</f>
        <v/>
      </c>
    </row>
    <row r="621" spans="5:5" x14ac:dyDescent="0.3">
      <c r="E621" s="6" t="str">
        <f>IF(AND($B621&lt;&gt;"", $G621&lt;&gt;""), ($B621-$G621)*1440, "")</f>
        <v/>
      </c>
    </row>
    <row r="622" spans="5:5" x14ac:dyDescent="0.3">
      <c r="E622" s="6" t="str">
        <f>IF(AND($B622&lt;&gt;"", $G622&lt;&gt;""), ($B622-$G622)*1440, "")</f>
        <v/>
      </c>
    </row>
    <row r="623" spans="5:5" x14ac:dyDescent="0.3">
      <c r="E623" s="6" t="str">
        <f>IF(AND($B623&lt;&gt;"", $G623&lt;&gt;""), ($B623-$G623)*1440, "")</f>
        <v/>
      </c>
    </row>
    <row r="624" spans="5:5" x14ac:dyDescent="0.3">
      <c r="E624" s="6" t="str">
        <f>IF(AND($B624&lt;&gt;"", $G624&lt;&gt;""), ($B624-$G624)*1440, "")</f>
        <v/>
      </c>
    </row>
    <row r="625" spans="5:5" x14ac:dyDescent="0.3">
      <c r="E625" s="6" t="str">
        <f>IF(AND($B625&lt;&gt;"", $G625&lt;&gt;""), ($B625-$G625)*1440, "")</f>
        <v/>
      </c>
    </row>
    <row r="626" spans="5:5" x14ac:dyDescent="0.3">
      <c r="E626" s="6" t="str">
        <f>IF(AND($B626&lt;&gt;"", $G626&lt;&gt;""), ($B626-$G626)*1440, "")</f>
        <v/>
      </c>
    </row>
    <row r="627" spans="5:5" x14ac:dyDescent="0.3">
      <c r="E627" s="6" t="str">
        <f>IF(AND($B627&lt;&gt;"", $G627&lt;&gt;""), ($B627-$G627)*1440, "")</f>
        <v/>
      </c>
    </row>
    <row r="628" spans="5:5" x14ac:dyDescent="0.3">
      <c r="E628" s="6" t="str">
        <f>IF(AND($B628&lt;&gt;"", $G628&lt;&gt;""), ($B628-$G628)*1440, "")</f>
        <v/>
      </c>
    </row>
    <row r="629" spans="5:5" x14ac:dyDescent="0.3">
      <c r="E629" s="6" t="str">
        <f>IF(AND($B629&lt;&gt;"", $G629&lt;&gt;""), ($B629-$G629)*1440, "")</f>
        <v/>
      </c>
    </row>
    <row r="630" spans="5:5" x14ac:dyDescent="0.3">
      <c r="E630" s="6" t="str">
        <f>IF(AND($B630&lt;&gt;"", $G630&lt;&gt;""), ($B630-$G630)*1440, "")</f>
        <v/>
      </c>
    </row>
    <row r="631" spans="5:5" x14ac:dyDescent="0.3">
      <c r="E631" s="6" t="str">
        <f>IF(AND($B631&lt;&gt;"", $G631&lt;&gt;""), ($B631-$G631)*1440, "")</f>
        <v/>
      </c>
    </row>
    <row r="632" spans="5:5" x14ac:dyDescent="0.3">
      <c r="E632" s="6" t="str">
        <f>IF(AND($B632&lt;&gt;"", $G632&lt;&gt;""), ($B632-$G632)*1440, "")</f>
        <v/>
      </c>
    </row>
    <row r="633" spans="5:5" x14ac:dyDescent="0.3">
      <c r="E633" s="6" t="str">
        <f>IF(AND($B633&lt;&gt;"", $G633&lt;&gt;""), ($B633-$G633)*1440, "")</f>
        <v/>
      </c>
    </row>
    <row r="634" spans="5:5" x14ac:dyDescent="0.3">
      <c r="E634" s="6" t="str">
        <f>IF(AND($B634&lt;&gt;"", $G634&lt;&gt;""), ($B634-$G634)*1440, "")</f>
        <v/>
      </c>
    </row>
    <row r="635" spans="5:5" x14ac:dyDescent="0.3">
      <c r="E635" s="6" t="str">
        <f>IF(AND($B635&lt;&gt;"", $G635&lt;&gt;""), ($B635-$G635)*1440, "")</f>
        <v/>
      </c>
    </row>
    <row r="636" spans="5:5" x14ac:dyDescent="0.3">
      <c r="E636" s="6" t="str">
        <f>IF(AND($B636&lt;&gt;"", $G636&lt;&gt;""), ($B636-$G636)*1440, "")</f>
        <v/>
      </c>
    </row>
    <row r="637" spans="5:5" x14ac:dyDescent="0.3">
      <c r="E637" s="6" t="str">
        <f>IF(AND($B637&lt;&gt;"", $G637&lt;&gt;""), ($B637-$G637)*1440, "")</f>
        <v/>
      </c>
    </row>
    <row r="638" spans="5:5" x14ac:dyDescent="0.3">
      <c r="E638" s="6" t="str">
        <f>IF(AND($B638&lt;&gt;"", $G638&lt;&gt;""), ($B638-$G638)*1440, "")</f>
        <v/>
      </c>
    </row>
    <row r="639" spans="5:5" x14ac:dyDescent="0.3">
      <c r="E639" s="6" t="str">
        <f>IF(AND($B639&lt;&gt;"", $G639&lt;&gt;""), ($B639-$G639)*1440, "")</f>
        <v/>
      </c>
    </row>
    <row r="640" spans="5:5" x14ac:dyDescent="0.3">
      <c r="E640" s="6" t="str">
        <f>IF(AND($B640&lt;&gt;"", $G640&lt;&gt;""), ($B640-$G640)*1440, "")</f>
        <v/>
      </c>
    </row>
    <row r="641" spans="5:5" x14ac:dyDescent="0.3">
      <c r="E641" s="6" t="str">
        <f>IF(AND($B641&lt;&gt;"", $G641&lt;&gt;""), ($B641-$G641)*1440, "")</f>
        <v/>
      </c>
    </row>
    <row r="642" spans="5:5" x14ac:dyDescent="0.3">
      <c r="E642" s="6" t="str">
        <f>IF(AND($B642&lt;&gt;"", $G642&lt;&gt;""), ($B642-$G642)*1440, "")</f>
        <v/>
      </c>
    </row>
    <row r="643" spans="5:5" x14ac:dyDescent="0.3">
      <c r="E643" s="6" t="str">
        <f>IF(AND($B643&lt;&gt;"", $G643&lt;&gt;""), ($B643-$G643)*1440, "")</f>
        <v/>
      </c>
    </row>
    <row r="644" spans="5:5" x14ac:dyDescent="0.3">
      <c r="E644" s="6" t="str">
        <f>IF(AND($B644&lt;&gt;"", $G644&lt;&gt;""), ($B644-$G644)*1440, "")</f>
        <v/>
      </c>
    </row>
    <row r="645" spans="5:5" x14ac:dyDescent="0.3">
      <c r="E645" s="6" t="str">
        <f>IF(AND($B645&lt;&gt;"", $G645&lt;&gt;""), ($B645-$G645)*1440, "")</f>
        <v/>
      </c>
    </row>
    <row r="646" spans="5:5" x14ac:dyDescent="0.3">
      <c r="E646" s="6" t="str">
        <f>IF(AND($B646&lt;&gt;"", $G646&lt;&gt;""), ($B646-$G646)*1440, "")</f>
        <v/>
      </c>
    </row>
    <row r="647" spans="5:5" x14ac:dyDescent="0.3">
      <c r="E647" s="6" t="str">
        <f>IF(AND($B647&lt;&gt;"", $G647&lt;&gt;""), ($B647-$G647)*1440, "")</f>
        <v/>
      </c>
    </row>
    <row r="648" spans="5:5" x14ac:dyDescent="0.3">
      <c r="E648" s="6" t="str">
        <f>IF(AND($B648&lt;&gt;"", $G648&lt;&gt;""), ($B648-$G648)*1440, "")</f>
        <v/>
      </c>
    </row>
    <row r="649" spans="5:5" x14ac:dyDescent="0.3">
      <c r="E649" s="6" t="str">
        <f>IF(AND($B649&lt;&gt;"", $G649&lt;&gt;""), ($B649-$G649)*1440, "")</f>
        <v/>
      </c>
    </row>
    <row r="650" spans="5:5" x14ac:dyDescent="0.3">
      <c r="E650" s="6" t="str">
        <f>IF(AND($B650&lt;&gt;"", $G650&lt;&gt;""), ($B650-$G650)*1440, "")</f>
        <v/>
      </c>
    </row>
    <row r="651" spans="5:5" x14ac:dyDescent="0.3">
      <c r="E651" s="6" t="str">
        <f>IF(AND($B651&lt;&gt;"", $G651&lt;&gt;""), ($B651-$G651)*1440, "")</f>
        <v/>
      </c>
    </row>
    <row r="652" spans="5:5" x14ac:dyDescent="0.3">
      <c r="E652" s="6" t="str">
        <f>IF(AND($B652&lt;&gt;"", $G652&lt;&gt;""), ($B652-$G652)*1440, "")</f>
        <v/>
      </c>
    </row>
    <row r="653" spans="5:5" x14ac:dyDescent="0.3">
      <c r="E653" s="6" t="str">
        <f>IF(AND($B653&lt;&gt;"", $G653&lt;&gt;""), ($B653-$G653)*1440, "")</f>
        <v/>
      </c>
    </row>
    <row r="654" spans="5:5" x14ac:dyDescent="0.3">
      <c r="E654" s="6" t="str">
        <f>IF(AND($B654&lt;&gt;"", $G654&lt;&gt;""), ($B654-$G654)*1440, "")</f>
        <v/>
      </c>
    </row>
    <row r="655" spans="5:5" x14ac:dyDescent="0.3">
      <c r="E655" s="6" t="str">
        <f>IF(AND($B655&lt;&gt;"", $G655&lt;&gt;""), ($B655-$G655)*1440, "")</f>
        <v/>
      </c>
    </row>
    <row r="656" spans="5:5" x14ac:dyDescent="0.3">
      <c r="E656" s="6" t="str">
        <f>IF(AND($B656&lt;&gt;"", $G656&lt;&gt;""), ($B656-$G656)*1440, "")</f>
        <v/>
      </c>
    </row>
    <row r="657" spans="5:5" x14ac:dyDescent="0.3">
      <c r="E657" s="6" t="str">
        <f>IF(AND($B657&lt;&gt;"", $G657&lt;&gt;""), ($B657-$G657)*1440, "")</f>
        <v/>
      </c>
    </row>
    <row r="658" spans="5:5" x14ac:dyDescent="0.3">
      <c r="E658" s="6" t="str">
        <f>IF(AND($B658&lt;&gt;"", $G658&lt;&gt;""), ($B658-$G658)*1440, "")</f>
        <v/>
      </c>
    </row>
    <row r="659" spans="5:5" x14ac:dyDescent="0.3">
      <c r="E659" s="6" t="str">
        <f>IF(AND($B659&lt;&gt;"", $G659&lt;&gt;""), ($B659-$G659)*1440, "")</f>
        <v/>
      </c>
    </row>
    <row r="660" spans="5:5" x14ac:dyDescent="0.3">
      <c r="E660" s="6" t="str">
        <f>IF(AND($B660&lt;&gt;"", $G660&lt;&gt;""), ($B660-$G660)*1440, "")</f>
        <v/>
      </c>
    </row>
    <row r="661" spans="5:5" x14ac:dyDescent="0.3">
      <c r="E661" s="6" t="str">
        <f>IF(AND($B661&lt;&gt;"", $G661&lt;&gt;""), ($B661-$G661)*1440, "")</f>
        <v/>
      </c>
    </row>
    <row r="662" spans="5:5" x14ac:dyDescent="0.3">
      <c r="E662" s="6" t="str">
        <f>IF(AND($B662&lt;&gt;"", $G662&lt;&gt;""), ($B662-$G662)*1440, "")</f>
        <v/>
      </c>
    </row>
    <row r="663" spans="5:5" x14ac:dyDescent="0.3">
      <c r="E663" s="6" t="str">
        <f>IF(AND($B663&lt;&gt;"", $G663&lt;&gt;""), ($B663-$G663)*1440, "")</f>
        <v/>
      </c>
    </row>
    <row r="664" spans="5:5" x14ac:dyDescent="0.3">
      <c r="E664" s="6" t="str">
        <f>IF(AND($B664&lt;&gt;"", $G664&lt;&gt;""), ($B664-$G664)*1440, "")</f>
        <v/>
      </c>
    </row>
    <row r="665" spans="5:5" x14ac:dyDescent="0.3">
      <c r="E665" s="6" t="str">
        <f>IF(AND($B665&lt;&gt;"", $G665&lt;&gt;""), ($B665-$G665)*1440, "")</f>
        <v/>
      </c>
    </row>
    <row r="666" spans="5:5" x14ac:dyDescent="0.3">
      <c r="E666" s="6" t="str">
        <f>IF(AND($B666&lt;&gt;"", $G666&lt;&gt;""), ($B666-$G666)*1440, "")</f>
        <v/>
      </c>
    </row>
    <row r="667" spans="5:5" x14ac:dyDescent="0.3">
      <c r="E667" s="6" t="str">
        <f>IF(AND($B667&lt;&gt;"", $G667&lt;&gt;""), ($B667-$G667)*1440, "")</f>
        <v/>
      </c>
    </row>
    <row r="668" spans="5:5" x14ac:dyDescent="0.3">
      <c r="E668" s="6" t="str">
        <f>IF(AND($B668&lt;&gt;"", $G668&lt;&gt;""), ($B668-$G668)*1440, "")</f>
        <v/>
      </c>
    </row>
    <row r="669" spans="5:5" x14ac:dyDescent="0.3">
      <c r="E669" s="6" t="str">
        <f>IF(AND($B669&lt;&gt;"", $G669&lt;&gt;""), ($B669-$G669)*1440, "")</f>
        <v/>
      </c>
    </row>
    <row r="670" spans="5:5" x14ac:dyDescent="0.3">
      <c r="E670" s="6" t="str">
        <f>IF(AND($B670&lt;&gt;"", $G670&lt;&gt;""), ($B670-$G670)*1440, "")</f>
        <v/>
      </c>
    </row>
    <row r="671" spans="5:5" x14ac:dyDescent="0.3">
      <c r="E671" s="6" t="str">
        <f>IF(AND($B671&lt;&gt;"", $G671&lt;&gt;""), ($B671-$G671)*1440, "")</f>
        <v/>
      </c>
    </row>
    <row r="672" spans="5:5" x14ac:dyDescent="0.3">
      <c r="E672" s="6" t="str">
        <f>IF(AND($B672&lt;&gt;"", $G672&lt;&gt;""), ($B672-$G672)*1440, "")</f>
        <v/>
      </c>
    </row>
    <row r="673" spans="5:5" x14ac:dyDescent="0.3">
      <c r="E673" s="6" t="str">
        <f>IF(AND($B673&lt;&gt;"", $G673&lt;&gt;""), ($B673-$G673)*1440, "")</f>
        <v/>
      </c>
    </row>
    <row r="674" spans="5:5" x14ac:dyDescent="0.3">
      <c r="E674" s="6" t="str">
        <f>IF(AND($B674&lt;&gt;"", $G674&lt;&gt;""), ($B674-$G674)*1440, "")</f>
        <v/>
      </c>
    </row>
    <row r="675" spans="5:5" x14ac:dyDescent="0.3">
      <c r="E675" s="6" t="str">
        <f>IF(AND($B675&lt;&gt;"", $G675&lt;&gt;""), ($B675-$G675)*1440, "")</f>
        <v/>
      </c>
    </row>
    <row r="676" spans="5:5" x14ac:dyDescent="0.3">
      <c r="E676" s="6" t="str">
        <f>IF(AND($B676&lt;&gt;"", $G676&lt;&gt;""), ($B676-$G676)*1440, "")</f>
        <v/>
      </c>
    </row>
    <row r="677" spans="5:5" x14ac:dyDescent="0.3">
      <c r="E677" s="6" t="str">
        <f>IF(AND($B677&lt;&gt;"", $G677&lt;&gt;""), ($B677-$G677)*1440, "")</f>
        <v/>
      </c>
    </row>
    <row r="678" spans="5:5" x14ac:dyDescent="0.3">
      <c r="E678" s="6" t="str">
        <f>IF(AND($B678&lt;&gt;"", $G678&lt;&gt;""), ($B678-$G678)*1440, "")</f>
        <v/>
      </c>
    </row>
    <row r="679" spans="5:5" x14ac:dyDescent="0.3">
      <c r="E679" s="6" t="str">
        <f>IF(AND($B679&lt;&gt;"", $G679&lt;&gt;""), ($B679-$G679)*1440, "")</f>
        <v/>
      </c>
    </row>
  </sheetData>
  <mergeCells count="1">
    <mergeCell ref="A1:G1"/>
  </mergeCells>
  <phoneticPr fontId="8" type="noConversion"/>
  <conditionalFormatting sqref="C3:D189 E3:XFD3 F4:G204 C190:C204 D191:D204 H1:XFD1 C2:H2 J2:XFD2 H4:XFD25 H26:K33 N26:XFD33 H34:XFD37 I38:XFD38 H39:XFD204 C205:D317 B349:F1048576 H335:XFD1048576 B2:B317 F205:XFD317 E4:E317 B318:XFD333 A1:A1048576 G2:G1048576 F334:XFD334 B334:E348 F335:G348">
    <cfRule type="expression" dxfId="3" priority="2">
      <formula>AND(ROW()&gt;2, COLUMN()&lt;8, MOD(ROW(),2)=0)</formula>
    </cfRule>
  </conditionalFormatting>
  <conditionalFormatting sqref="C3:D189 C190:C204 C205:D317 B349:F9993 A3:B317 A318:A9993 E3:G317 G318:G9993 B318:G348">
    <cfRule type="expression" dxfId="2" priority="1">
      <formula>#REF!&lt;&gt;""</formula>
    </cfRule>
  </conditionalFormatting>
  <conditionalFormatting sqref="D191:D204">
    <cfRule type="expression" dxfId="1" priority="7">
      <formula>#REF!&lt;&gt;""</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tint="0.79998168889431442"/>
  </sheetPr>
  <dimension ref="A1:E98"/>
  <sheetViews>
    <sheetView showZeros="0" tabSelected="1" zoomScaleNormal="100" workbookViewId="0">
      <pane ySplit="1" topLeftCell="A11" activePane="bottomLeft" state="frozen"/>
      <selection pane="bottomLeft" activeCell="D22" sqref="D22"/>
    </sheetView>
  </sheetViews>
  <sheetFormatPr defaultRowHeight="14.4" x14ac:dyDescent="0.3"/>
  <cols>
    <col min="1" max="1" width="15.77734375" style="3" customWidth="1"/>
    <col min="2" max="2" width="20.77734375" style="2" customWidth="1"/>
    <col min="3" max="3" width="12.77734375" style="8" customWidth="1"/>
    <col min="4" max="4" width="22.77734375" style="23" customWidth="1"/>
    <col min="5" max="5" width="60.77734375" style="15" customWidth="1"/>
  </cols>
  <sheetData>
    <row r="1" spans="1:5" ht="36.6" thickBot="1" x14ac:dyDescent="0.35">
      <c r="A1" s="4" t="s">
        <v>11</v>
      </c>
      <c r="B1" s="5" t="s">
        <v>15</v>
      </c>
      <c r="C1" s="5" t="s">
        <v>0</v>
      </c>
      <c r="D1" s="22" t="s">
        <v>9</v>
      </c>
      <c r="E1" s="5" t="s">
        <v>8</v>
      </c>
    </row>
    <row r="2" spans="1:5" x14ac:dyDescent="0.3">
      <c r="A2" s="1" cm="1">
        <f t="array" ref="A2:A28">_xlfn.UNIQUE(Log!$A$3:$A$2486)</f>
        <v>46228</v>
      </c>
      <c r="B2" s="2">
        <v>23.5</v>
      </c>
      <c r="C2" s="8">
        <v>0.78819444444444442</v>
      </c>
      <c r="D2" s="23">
        <f>IF(C2="", "–", _xlfn.MINIFS(Log!$E$3:$E$1986, Log!$A$3:$A$1986, $A2, Log!$C$3:$C$1986,"&gt;=50"))</f>
        <v>25.000000000000071</v>
      </c>
    </row>
    <row r="3" spans="1:5" x14ac:dyDescent="0.3">
      <c r="A3" s="1">
        <v>46230</v>
      </c>
      <c r="B3" s="2">
        <v>23.5</v>
      </c>
      <c r="C3" s="8">
        <v>0.42916666666666659</v>
      </c>
      <c r="D3" s="23">
        <f>IF(C3="", "–", _xlfn.MINIFS(Log!$E$3:$E$1986, Log!$A$3:$A$1986, $A3, Log!$C$3:$C$1986,"&gt;=50"))</f>
        <v>24.000000000000234</v>
      </c>
    </row>
    <row r="4" spans="1:5" x14ac:dyDescent="0.3">
      <c r="A4" s="1">
        <v>46231</v>
      </c>
      <c r="B4" s="2">
        <v>23.5</v>
      </c>
      <c r="C4" s="8">
        <v>0.38194444444444442</v>
      </c>
      <c r="D4" s="23">
        <f>IF(C4="", "–", _xlfn.MINIFS(Log!$E$3:$E$1986, Log!$A$3:$A$1986, $A4, Log!$C$3:$C$1986,"&gt;=50"))</f>
        <v>26.000000000000068</v>
      </c>
    </row>
    <row r="5" spans="1:5" ht="28.8" x14ac:dyDescent="0.3">
      <c r="A5" s="1">
        <v>46232</v>
      </c>
      <c r="B5" s="2">
        <v>25.5</v>
      </c>
      <c r="C5" s="8">
        <v>0.73472222222222228</v>
      </c>
      <c r="D5" s="23">
        <f>IF(C5="", "–", _xlfn.MINIFS(Log!$E$3:$E$1986, Log!$A$3:$A$1986, $A5, Log!$C$3:$C$1986,"&gt;=50"))</f>
        <v>15.999999999999943</v>
      </c>
      <c r="E5" s="15" t="s">
        <v>10</v>
      </c>
    </row>
    <row r="6" spans="1:5" ht="43.2" x14ac:dyDescent="0.3">
      <c r="A6" s="1">
        <v>46233</v>
      </c>
      <c r="B6" s="2">
        <v>24.5</v>
      </c>
      <c r="C6" s="8">
        <v>0.40972222222222221</v>
      </c>
      <c r="D6" s="23">
        <f>IF(C6="", "–", _xlfn.MINIFS(Log!$E$3:$E$1986, Log!$A$3:$A$1986, $A6, Log!$C$3:$C$1986,"&gt;=50"))</f>
        <v>19.000000000000014</v>
      </c>
      <c r="E6" s="15" t="s">
        <v>16</v>
      </c>
    </row>
    <row r="7" spans="1:5" x14ac:dyDescent="0.3">
      <c r="A7" s="1">
        <v>46234</v>
      </c>
      <c r="B7" s="2">
        <v>24</v>
      </c>
      <c r="C7" s="8">
        <v>0.43055555555555558</v>
      </c>
      <c r="D7" s="23">
        <f>IF(C7="", "–", _xlfn.MINIFS(Log!$E$3:$E$1986, Log!$A$3:$A$1986, $A7, Log!$C$3:$C$1986,"&gt;=50"))</f>
        <v>20.999999999999925</v>
      </c>
      <c r="E7" s="15" t="s">
        <v>14</v>
      </c>
    </row>
    <row r="8" spans="1:5" x14ac:dyDescent="0.3">
      <c r="A8" s="1">
        <v>46235</v>
      </c>
      <c r="B8" s="2">
        <v>24</v>
      </c>
      <c r="C8" s="8">
        <v>0.70625000000000004</v>
      </c>
      <c r="D8" s="23">
        <f>IF(C8="", "–", _xlfn.MINIFS(Log!$E$3:$E$1986, Log!$A$3:$A$1986, $A8, Log!$C$3:$C$1986,"&gt;=50"))</f>
        <v>21.583333333333243</v>
      </c>
      <c r="E8" s="25" t="s">
        <v>39</v>
      </c>
    </row>
    <row r="9" spans="1:5" x14ac:dyDescent="0.3">
      <c r="A9" s="1">
        <v>46237</v>
      </c>
      <c r="B9" s="2">
        <v>23.5</v>
      </c>
      <c r="C9" s="8">
        <v>0.40972222222222221</v>
      </c>
      <c r="D9" s="23">
        <f>IF(C9="", "–", _xlfn.MINIFS(Log!$E$3:$E$1986, Log!$A$3:$A$1986, $A9, Log!$C$3:$C$1986,"&gt;=50"))</f>
        <v>21.216666666666654</v>
      </c>
    </row>
    <row r="10" spans="1:5" ht="72" x14ac:dyDescent="0.3">
      <c r="A10" s="1">
        <v>46238</v>
      </c>
      <c r="B10" s="2">
        <v>24.5</v>
      </c>
      <c r="C10" s="8">
        <v>0.42986111111111114</v>
      </c>
      <c r="D10" s="23">
        <f>IF(C10="", "–", _xlfn.MINIFS(Log!$E$3:$E$1986, Log!$A$3:$A$1986, $A10, Log!$C$3:$C$1986,"&gt;=50"))</f>
        <v>21.066666666666627</v>
      </c>
      <c r="E10" s="15" t="s">
        <v>45</v>
      </c>
    </row>
    <row r="11" spans="1:5" x14ac:dyDescent="0.3">
      <c r="A11" s="1">
        <v>46239</v>
      </c>
      <c r="B11" s="2">
        <v>24.5</v>
      </c>
      <c r="C11" s="8">
        <v>0.48333333333333334</v>
      </c>
      <c r="D11" s="23">
        <f>IF(C11="", "–", _xlfn.MINIFS(Log!$E$3:$E$1986, Log!$A$3:$A$1986, $A11, Log!$C$3:$C$1986,"&gt;=50"))</f>
        <v>19.600000000000026</v>
      </c>
      <c r="E11" s="15" t="s">
        <v>46</v>
      </c>
    </row>
    <row r="12" spans="1:5" x14ac:dyDescent="0.3">
      <c r="A12" s="1">
        <v>46240</v>
      </c>
      <c r="B12" s="2">
        <v>24</v>
      </c>
      <c r="C12" s="8">
        <v>0.43888888888888888</v>
      </c>
      <c r="D12" s="23">
        <f>IF(C12="", "–", _xlfn.MINIFS(Log!$E$3:$E$1986, Log!$A$3:$A$1986, $A12, Log!$C$3:$C$1986,"&gt;=50"))</f>
        <v>20.133333333333336</v>
      </c>
    </row>
    <row r="13" spans="1:5" x14ac:dyDescent="0.3">
      <c r="A13" s="1">
        <v>46242</v>
      </c>
      <c r="B13" s="2">
        <v>24</v>
      </c>
      <c r="C13" s="8">
        <v>0.55833333333333335</v>
      </c>
      <c r="D13" s="23">
        <f>IF(C13="", "–", _xlfn.MINIFS(Log!$E$3:$E$1986, Log!$A$3:$A$1986, $A13, Log!$C$3:$C$1986,"&gt;=50"))</f>
        <v>19.616666666666642</v>
      </c>
    </row>
    <row r="14" spans="1:5" ht="28.8" x14ac:dyDescent="0.3">
      <c r="A14" s="1">
        <v>46244</v>
      </c>
      <c r="B14" s="2">
        <v>24</v>
      </c>
      <c r="C14" s="8">
        <v>0.44374999999999998</v>
      </c>
      <c r="D14" s="23">
        <f>IF(C14="", "–", _xlfn.MINIFS(Log!$E$3:$E$1986, Log!$A$3:$A$1986, $A14, Log!$C$3:$C$1986,"&gt;=50"))</f>
        <v>18.850000000000069</v>
      </c>
      <c r="E14" s="15" t="s">
        <v>49</v>
      </c>
    </row>
    <row r="15" spans="1:5" x14ac:dyDescent="0.3">
      <c r="A15" s="1">
        <v>46245</v>
      </c>
      <c r="B15" s="2">
        <v>23.5</v>
      </c>
      <c r="C15" s="8">
        <v>0.38194444444444442</v>
      </c>
      <c r="D15" s="23">
        <f>IF(C15="", "–", _xlfn.MINIFS(Log!$E$3:$E$1986, Log!$A$3:$A$1986, $A15, Log!$C$3:$C$1986,"&gt;=50"))</f>
        <v>21.350000000000058</v>
      </c>
      <c r="E15" s="15" t="s">
        <v>50</v>
      </c>
    </row>
    <row r="16" spans="1:5" x14ac:dyDescent="0.3">
      <c r="A16" s="1">
        <v>46246</v>
      </c>
      <c r="B16" s="2">
        <v>24</v>
      </c>
      <c r="C16" s="8">
        <v>0.41597222222222224</v>
      </c>
      <c r="D16" s="23">
        <f>IF(C16="", "–", _xlfn.MINIFS(Log!$E$3:$E$1986, Log!$A$3:$A$1986, $A16, Log!$C$3:$C$1986,"&gt;=50"))</f>
        <v>21.449999999999996</v>
      </c>
    </row>
    <row r="17" spans="1:5" x14ac:dyDescent="0.3">
      <c r="A17" s="1">
        <v>46247</v>
      </c>
      <c r="B17" s="2">
        <v>24.5</v>
      </c>
      <c r="C17" s="8">
        <v>0.40972222222222221</v>
      </c>
      <c r="D17" s="23">
        <f>IF(C17="", "–", _xlfn.MINIFS(Log!$E$3:$E$1986, Log!$A$3:$A$1986, $A17, Log!$C$3:$C$1986,"&gt;=50"))</f>
        <v>19.000000000000014</v>
      </c>
    </row>
    <row r="18" spans="1:5" x14ac:dyDescent="0.3">
      <c r="A18" s="1">
        <v>46248</v>
      </c>
      <c r="B18" s="2">
        <v>25</v>
      </c>
      <c r="C18" s="8">
        <v>0.43472222222222223</v>
      </c>
      <c r="D18" s="23">
        <f>IF(C18="", "–", _xlfn.MINIFS(Log!$E$3:$E$1986, Log!$A$3:$A$1986, $A18, Log!$C$3:$C$1986,"&gt;=50"))</f>
        <v>17.899999999999999</v>
      </c>
    </row>
    <row r="19" spans="1:5" x14ac:dyDescent="0.3">
      <c r="A19" s="1">
        <v>46251</v>
      </c>
      <c r="B19" s="2">
        <v>24.5</v>
      </c>
      <c r="C19" s="8">
        <v>0.55902777777777779</v>
      </c>
      <c r="D19" s="23">
        <f>IF(C19="", "–", _xlfn.MINIFS(Log!$E$3:$E$1986, Log!$A$3:$A$1986, $A19, Log!$C$3:$C$1986,"&gt;=50"))</f>
        <v>21.483333333333388</v>
      </c>
    </row>
    <row r="20" spans="1:5" x14ac:dyDescent="0.3">
      <c r="A20" s="1">
        <v>46252</v>
      </c>
      <c r="B20" s="2">
        <v>24.5</v>
      </c>
      <c r="C20" s="8">
        <v>0.42708333333333331</v>
      </c>
      <c r="D20" s="23">
        <f>IF(C20="", "–", _xlfn.MINIFS(Log!$E$3:$E$1986, Log!$A$3:$A$1986, $A20, Log!$C$3:$C$1986,"&gt;=50"))</f>
        <v>19.63333333333334</v>
      </c>
    </row>
    <row r="21" spans="1:5" x14ac:dyDescent="0.3">
      <c r="A21" s="1">
        <v>46253</v>
      </c>
      <c r="B21" s="2">
        <v>24.5</v>
      </c>
      <c r="C21" s="8">
        <v>0.45902777777777776</v>
      </c>
      <c r="D21" s="23">
        <f>IF(C21="", "–", _xlfn.MINIFS(Log!$E$3:$E$1986, Log!$A$3:$A$1986, $A21, Log!$C$3:$C$1986,"&gt;=50"))</f>
        <v>20.11666666666672</v>
      </c>
    </row>
    <row r="22" spans="1:5" x14ac:dyDescent="0.3">
      <c r="A22" s="1">
        <v>46254</v>
      </c>
      <c r="B22" s="2">
        <v>24.5</v>
      </c>
      <c r="C22" s="8">
        <v>0.54236111111111107</v>
      </c>
      <c r="D22" s="23">
        <f>IF(C22="", "–", _xlfn.MINIFS(Log!$E$3:$E$1986, Log!$A$3:$A$1986, $A22, Log!$C$3:$C$1986,"&gt;=50"))</f>
        <v>20.883333333333454</v>
      </c>
    </row>
    <row r="23" spans="1:5" ht="28.8" x14ac:dyDescent="0.3">
      <c r="A23" s="1">
        <v>46255</v>
      </c>
      <c r="B23" s="2">
        <v>23.5</v>
      </c>
      <c r="C23" s="8">
        <v>0.59305555555555556</v>
      </c>
      <c r="D23" s="23">
        <f>IF(C23="", "–", _xlfn.MINIFS(Log!$E$3:$E$1986, Log!$A$3:$A$1986, $A23, Log!$C$3:$C$1986,"&gt;=50"))</f>
        <v>18.816666666666677</v>
      </c>
      <c r="E23" s="15" t="s">
        <v>51</v>
      </c>
    </row>
    <row r="24" spans="1:5" x14ac:dyDescent="0.3">
      <c r="A24" s="1">
        <v>46258</v>
      </c>
      <c r="B24" s="2">
        <v>23</v>
      </c>
      <c r="C24" s="8">
        <v>0.49236111111111114</v>
      </c>
      <c r="D24" s="23">
        <f>IF(C24="", "–", _xlfn.MINIFS(Log!$E$3:$E$1986, Log!$A$3:$A$1986, $A24, Log!$C$3:$C$1986,"&gt;=50"))</f>
        <v>23.766666666666652</v>
      </c>
    </row>
    <row r="25" spans="1:5" x14ac:dyDescent="0.3">
      <c r="A25" s="1">
        <v>46260</v>
      </c>
      <c r="B25" s="2">
        <v>23.5</v>
      </c>
      <c r="C25" s="8">
        <v>0.43472222222222223</v>
      </c>
      <c r="D25" s="23">
        <f>IF(C25="", "–", _xlfn.MINIFS(Log!$E$3:$E$1986, Log!$A$3:$A$1986, $A25, Log!$C$3:$C$1986,"&gt;=50"))</f>
        <v>21.116666666666639</v>
      </c>
    </row>
    <row r="26" spans="1:5" ht="43.2" x14ac:dyDescent="0.3">
      <c r="A26" s="1">
        <v>46262</v>
      </c>
      <c r="B26" s="2">
        <v>23.5</v>
      </c>
      <c r="C26" s="8">
        <v>0.51597222222222228</v>
      </c>
      <c r="D26" s="23">
        <f>IF(C26="", "–", _xlfn.MINIFS(Log!$E$3:$E$1986, Log!$A$3:$A$1986, $A26, Log!$C$3:$C$1986,"&gt;=50"))</f>
        <v>21.34999999999998</v>
      </c>
      <c r="E26" s="15" t="s">
        <v>52</v>
      </c>
    </row>
    <row r="27" spans="1:5" x14ac:dyDescent="0.3">
      <c r="A27" s="1">
        <v>46264</v>
      </c>
      <c r="B27" s="2">
        <v>23.5</v>
      </c>
      <c r="C27" s="8">
        <v>0.70208333333333328</v>
      </c>
      <c r="D27" s="23">
        <f>IF(C27="", "–", _xlfn.MINIFS(Log!$E$3:$E$1986, Log!$A$3:$A$1986, $A27, Log!$C$3:$C$1986,"&gt;=50"))</f>
        <v>23.666666666666796</v>
      </c>
    </row>
    <row r="28" spans="1:5" x14ac:dyDescent="0.3">
      <c r="A28" s="1">
        <v>0</v>
      </c>
    </row>
    <row r="29" spans="1:5" x14ac:dyDescent="0.3">
      <c r="A29" s="1"/>
    </row>
    <row r="30" spans="1:5" x14ac:dyDescent="0.3">
      <c r="A30" s="1"/>
    </row>
    <row r="31" spans="1:5" x14ac:dyDescent="0.3">
      <c r="A31" s="1"/>
    </row>
    <row r="32" spans="1:5" x14ac:dyDescent="0.3">
      <c r="A32" s="1"/>
    </row>
    <row r="33" spans="1:4" x14ac:dyDescent="0.3">
      <c r="A33" s="1"/>
    </row>
    <row r="34" spans="1:4" x14ac:dyDescent="0.3">
      <c r="A34" s="1"/>
    </row>
    <row r="35" spans="1:4" x14ac:dyDescent="0.3">
      <c r="A35" s="1"/>
    </row>
    <row r="36" spans="1:4" x14ac:dyDescent="0.3">
      <c r="A36" s="1"/>
    </row>
    <row r="37" spans="1:4" x14ac:dyDescent="0.3">
      <c r="A37" s="1"/>
    </row>
    <row r="38" spans="1:4" x14ac:dyDescent="0.3">
      <c r="A38" s="1"/>
    </row>
    <row r="39" spans="1:4" x14ac:dyDescent="0.3">
      <c r="A39" s="1"/>
    </row>
    <row r="40" spans="1:4" x14ac:dyDescent="0.3">
      <c r="A40" s="1"/>
    </row>
    <row r="41" spans="1:4" x14ac:dyDescent="0.3">
      <c r="A41" s="1"/>
    </row>
    <row r="42" spans="1:4" x14ac:dyDescent="0.3">
      <c r="A42" s="1"/>
    </row>
    <row r="43" spans="1:4" x14ac:dyDescent="0.3">
      <c r="A43" s="1"/>
      <c r="D43" s="23" t="str">
        <f>IF(AND(C43&lt;&gt;"", B43&lt;&gt;""), IF(COUNTIFS(Log!$A$3:$A$9993,#REF!,Log!$C$3:$C$9993,"&gt;=50")=0,"–",_xlfn.MINIFS(Log!$E$3:$E$9993,Log!$A$3:$A$9993,#REF!,Log!$C$3:$C$9993,"&gt;=50")), "")</f>
        <v/>
      </c>
    </row>
    <row r="44" spans="1:4" x14ac:dyDescent="0.3">
      <c r="A44" s="1"/>
      <c r="D44" s="23" t="str">
        <f>IF(AND(C44&lt;&gt;"", B44&lt;&gt;""), IF(COUNTIFS(Log!$A$3:$A$9993,#REF!,Log!$C$3:$C$9993,"&gt;=50")=0,"–",_xlfn.MINIFS(Log!$E$3:$E$9993,Log!$A$3:$A$9993,#REF!,Log!$C$3:$C$9993,"&gt;=50")), "")</f>
        <v/>
      </c>
    </row>
    <row r="45" spans="1:4" x14ac:dyDescent="0.3">
      <c r="A45" s="1"/>
      <c r="D45" s="23" t="str">
        <f>IF(AND(C45&lt;&gt;"", B45&lt;&gt;""), IF(COUNTIFS(Log!$A$3:$A$9993,#REF!,Log!$C$3:$C$9993,"&gt;=50")=0,"–",_xlfn.MINIFS(Log!$E$3:$E$9993,Log!$A$3:$A$9993,#REF!,Log!$C$3:$C$9993,"&gt;=50")), "")</f>
        <v/>
      </c>
    </row>
    <row r="46" spans="1:4" x14ac:dyDescent="0.3">
      <c r="A46" s="1"/>
      <c r="D46" s="23" t="str">
        <f>IF(AND(C46&lt;&gt;"", B46&lt;&gt;""), IF(COUNTIFS(Log!$A$3:$A$9993,#REF!,Log!$C$3:$C$9993,"&gt;=50")=0,"–",_xlfn.MINIFS(Log!$E$3:$E$9993,Log!$A$3:$A$9993,#REF!,Log!$C$3:$C$9993,"&gt;=50")), "")</f>
        <v/>
      </c>
    </row>
    <row r="47" spans="1:4" x14ac:dyDescent="0.3">
      <c r="A47" s="1"/>
      <c r="D47" s="23" t="str">
        <f>IF(AND(C47&lt;&gt;"", B47&lt;&gt;""), IF(COUNTIFS(Log!$A$3:$A$9993,#REF!,Log!$C$3:$C$9993,"&gt;=50")=0,"–",_xlfn.MINIFS(Log!$E$3:$E$9993,Log!$A$3:$A$9993,#REF!,Log!$C$3:$C$9993,"&gt;=50")), "")</f>
        <v/>
      </c>
    </row>
    <row r="48" spans="1:4" x14ac:dyDescent="0.3">
      <c r="A48" s="1"/>
      <c r="D48" s="23" t="str">
        <f>IF(AND(C48&lt;&gt;"", B48&lt;&gt;""), IF(COUNTIFS(Log!$A$3:$A$9993,#REF!,Log!$C$3:$C$9993,"&gt;=50")=0,"–",_xlfn.MINIFS(Log!$E$3:$E$9993,Log!$A$3:$A$9993,#REF!,Log!$C$3:$C$9993,"&gt;=50")), "")</f>
        <v/>
      </c>
    </row>
    <row r="49" spans="1:4" x14ac:dyDescent="0.3">
      <c r="A49" s="1"/>
      <c r="D49" s="23" t="str">
        <f>IF(AND(C49&lt;&gt;"", B49&lt;&gt;""), IF(COUNTIFS(Log!$A$3:$A$9993,#REF!,Log!$C$3:$C$9993,"&gt;=50")=0,"–",_xlfn.MINIFS(Log!$E$3:$E$9993,Log!$A$3:$A$9993,#REF!,Log!$C$3:$C$9993,"&gt;=50")), "")</f>
        <v/>
      </c>
    </row>
    <row r="50" spans="1:4" x14ac:dyDescent="0.3">
      <c r="A50" s="1"/>
      <c r="D50" s="23" t="str">
        <f>IF(AND(C50&lt;&gt;"", B50&lt;&gt;""), IF(COUNTIFS(Log!$A$3:$A$9993,#REF!,Log!$C$3:$C$9993,"&gt;=50")=0,"–",_xlfn.MINIFS(Log!$E$3:$E$9993,Log!$A$3:$A$9993,#REF!,Log!$C$3:$C$9993,"&gt;=50")), "")</f>
        <v/>
      </c>
    </row>
    <row r="51" spans="1:4" x14ac:dyDescent="0.3">
      <c r="A51" s="1"/>
      <c r="D51" s="23" t="str">
        <f>IF(AND(C51&lt;&gt;"", B51&lt;&gt;""), IF(COUNTIFS(Log!$A$3:$A$9993,#REF!,Log!$C$3:$C$9993,"&gt;=50")=0,"–",_xlfn.MINIFS(Log!$E$3:$E$9993,Log!$A$3:$A$9993,#REF!,Log!$C$3:$C$9993,"&gt;=50")), "")</f>
        <v/>
      </c>
    </row>
    <row r="52" spans="1:4" x14ac:dyDescent="0.3">
      <c r="A52" s="1"/>
      <c r="D52" s="23" t="str">
        <f>IF(AND(C52&lt;&gt;"", B52&lt;&gt;""), IF(COUNTIFS(Log!$A$3:$A$9993,#REF!,Log!$C$3:$C$9993,"&gt;=50")=0,"–",_xlfn.MINIFS(Log!$E$3:$E$9993,Log!$A$3:$A$9993,#REF!,Log!$C$3:$C$9993,"&gt;=50")), "")</f>
        <v/>
      </c>
    </row>
    <row r="53" spans="1:4" x14ac:dyDescent="0.3">
      <c r="A53" s="1"/>
      <c r="D53" s="23" t="str">
        <f>IF(AND(C53&lt;&gt;"", B53&lt;&gt;""), IF(COUNTIFS(Log!$A$3:$A$9993,#REF!,Log!$C$3:$C$9993,"&gt;=50")=0,"–",_xlfn.MINIFS(Log!$E$3:$E$9993,Log!$A$3:$A$9993,#REF!,Log!$C$3:$C$9993,"&gt;=50")), "")</f>
        <v/>
      </c>
    </row>
    <row r="54" spans="1:4" x14ac:dyDescent="0.3">
      <c r="A54" s="1"/>
      <c r="D54" s="23" t="str">
        <f>IF(AND(C54&lt;&gt;"", B54&lt;&gt;""), IF(COUNTIFS(Log!$A$3:$A$9993,#REF!,Log!$C$3:$C$9993,"&gt;=50")=0,"–",_xlfn.MINIFS(Log!$E$3:$E$9993,Log!$A$3:$A$9993,#REF!,Log!$C$3:$C$9993,"&gt;=50")), "")</f>
        <v/>
      </c>
    </row>
    <row r="55" spans="1:4" x14ac:dyDescent="0.3">
      <c r="A55" s="1"/>
      <c r="D55" s="23" t="str">
        <f>IF(AND(C55&lt;&gt;"", B55&lt;&gt;""), IF(COUNTIFS(Log!$A$3:$A$9993,#REF!,Log!$C$3:$C$9993,"&gt;=50")=0,"–",_xlfn.MINIFS(Log!$E$3:$E$9993,Log!$A$3:$A$9993,#REF!,Log!$C$3:$C$9993,"&gt;=50")), "")</f>
        <v/>
      </c>
    </row>
    <row r="56" spans="1:4" x14ac:dyDescent="0.3">
      <c r="A56" s="1"/>
      <c r="D56" s="23" t="str">
        <f>IF(AND(C56&lt;&gt;"", B56&lt;&gt;""), IF(COUNTIFS(Log!$A$3:$A$9993,#REF!,Log!$C$3:$C$9993,"&gt;=50")=0,"–",_xlfn.MINIFS(Log!$E$3:$E$9993,Log!$A$3:$A$9993,#REF!,Log!$C$3:$C$9993,"&gt;=50")), "")</f>
        <v/>
      </c>
    </row>
    <row r="57" spans="1:4" x14ac:dyDescent="0.3">
      <c r="D57" s="23" t="str">
        <f>IF(AND(C57&lt;&gt;"", B57&lt;&gt;""), IF(COUNTIFS(Log!$A$3:$A$9993,#REF!,Log!$C$3:$C$9993,"&gt;=50")=0,"–",_xlfn.MINIFS(Log!$E$3:$E$9993,Log!$A$3:$A$9993,#REF!,Log!$C$3:$C$9993,"&gt;=50")), "")</f>
        <v/>
      </c>
    </row>
    <row r="58" spans="1:4" x14ac:dyDescent="0.3">
      <c r="D58" s="23" t="str">
        <f>IF(AND(C58&lt;&gt;"", B58&lt;&gt;""), IF(COUNTIFS(Log!$A$3:$A$9993,#REF!,Log!$C$3:$C$9993,"&gt;=50")=0,"–",_xlfn.MINIFS(Log!$E$3:$E$9993,Log!$A$3:$A$9993,#REF!,Log!$C$3:$C$9993,"&gt;=50")), "")</f>
        <v/>
      </c>
    </row>
    <row r="59" spans="1:4" x14ac:dyDescent="0.3">
      <c r="D59" s="23" t="str">
        <f>IF(AND(C59&lt;&gt;"", B59&lt;&gt;""), IF(COUNTIFS(Log!$A$3:$A$9993,#REF!,Log!$C$3:$C$9993,"&gt;=50")=0,"–",_xlfn.MINIFS(Log!$E$3:$E$9993,Log!$A$3:$A$9993,#REF!,Log!$C$3:$C$9993,"&gt;=50")), "")</f>
        <v/>
      </c>
    </row>
    <row r="60" spans="1:4" x14ac:dyDescent="0.3">
      <c r="D60" s="23" t="str">
        <f>IF(AND(C60&lt;&gt;"", B60&lt;&gt;""), IF(COUNTIFS(Log!$A$3:$A$9993,#REF!,Log!$C$3:$C$9993,"&gt;=50")=0,"–",_xlfn.MINIFS(Log!$E$3:$E$9993,Log!$A$3:$A$9993,#REF!,Log!$C$3:$C$9993,"&gt;=50")), "")</f>
        <v/>
      </c>
    </row>
    <row r="61" spans="1:4" x14ac:dyDescent="0.3">
      <c r="D61" s="23" t="str">
        <f>IF(AND(C61&lt;&gt;"", B61&lt;&gt;""), IF(COUNTIFS(Log!$A$3:$A$9993,#REF!,Log!$C$3:$C$9993,"&gt;=50")=0,"–",_xlfn.MINIFS(Log!$E$3:$E$9993,Log!$A$3:$A$9993,#REF!,Log!$C$3:$C$9993,"&gt;=50")), "")</f>
        <v/>
      </c>
    </row>
    <row r="62" spans="1:4" x14ac:dyDescent="0.3">
      <c r="D62" s="23" t="str">
        <f>IF(AND(C62&lt;&gt;"", B62&lt;&gt;""), IF(COUNTIFS(Log!$A$3:$A$9993,#REF!,Log!$C$3:$C$9993,"&gt;=50")=0,"–",_xlfn.MINIFS(Log!$E$3:$E$9993,Log!$A$3:$A$9993,#REF!,Log!$C$3:$C$9993,"&gt;=50")), "")</f>
        <v/>
      </c>
    </row>
    <row r="63" spans="1:4" x14ac:dyDescent="0.3">
      <c r="D63" s="23" t="str">
        <f>IF(AND(C63&lt;&gt;"", B63&lt;&gt;""), IF(COUNTIFS(Log!$A$3:$A$9993,#REF!,Log!$C$3:$C$9993,"&gt;=50")=0,"–",_xlfn.MINIFS(Log!$E$3:$E$9993,Log!$A$3:$A$9993,#REF!,Log!$C$3:$C$9993,"&gt;=50")), "")</f>
        <v/>
      </c>
    </row>
    <row r="64" spans="1:4" x14ac:dyDescent="0.3">
      <c r="D64" s="23" t="str">
        <f>IF(AND(C64&lt;&gt;"", B64&lt;&gt;""), IF(COUNTIFS(Log!$A$3:$A$9993,#REF!,Log!$C$3:$C$9993,"&gt;=50")=0,"–",_xlfn.MINIFS(Log!$E$3:$E$9993,Log!$A$3:$A$9993,#REF!,Log!$C$3:$C$9993,"&gt;=50")), "")</f>
        <v/>
      </c>
    </row>
    <row r="65" spans="4:4" x14ac:dyDescent="0.3">
      <c r="D65" s="23" t="str">
        <f>IF(AND(C65&lt;&gt;"", B65&lt;&gt;""), IF(COUNTIFS(Log!$A$3:$A$9993,#REF!,Log!$C$3:$C$9993,"&gt;=50")=0,"–",_xlfn.MINIFS(Log!$E$3:$E$9993,Log!$A$3:$A$9993,#REF!,Log!$C$3:$C$9993,"&gt;=50")), "")</f>
        <v/>
      </c>
    </row>
    <row r="66" spans="4:4" x14ac:dyDescent="0.3">
      <c r="D66" s="23" t="str">
        <f>IF(AND(C66&lt;&gt;"", B66&lt;&gt;""), IF(COUNTIFS(Log!$A$3:$A$9993,#REF!,Log!$C$3:$C$9993,"&gt;=50")=0,"–",_xlfn.MINIFS(Log!$E$3:$E$9993,Log!$A$3:$A$9993,#REF!,Log!$C$3:$C$9993,"&gt;=50")), "")</f>
        <v/>
      </c>
    </row>
    <row r="67" spans="4:4" x14ac:dyDescent="0.3">
      <c r="D67" s="23" t="str">
        <f>IF(AND(C67&lt;&gt;"", B67&lt;&gt;""), IF(COUNTIFS(Log!$A$3:$A$9993,#REF!,Log!$C$3:$C$9993,"&gt;=50")=0,"–",_xlfn.MINIFS(Log!$E$3:$E$9993,Log!$A$3:$A$9993,#REF!,Log!$C$3:$C$9993,"&gt;=50")), "")</f>
        <v/>
      </c>
    </row>
    <row r="68" spans="4:4" x14ac:dyDescent="0.3">
      <c r="D68" s="23" t="str">
        <f>IF(AND(C68&lt;&gt;"", B68&lt;&gt;""), IF(COUNTIFS(Log!$A$3:$A$9993,#REF!,Log!$C$3:$C$9993,"&gt;=50")=0,"–",_xlfn.MINIFS(Log!$E$3:$E$9993,Log!$A$3:$A$9993,#REF!,Log!$C$3:$C$9993,"&gt;=50")), "")</f>
        <v/>
      </c>
    </row>
    <row r="69" spans="4:4" x14ac:dyDescent="0.3">
      <c r="D69" s="23" t="str">
        <f>IF(AND(C69&lt;&gt;"", B69&lt;&gt;""), IF(COUNTIFS(Log!$A$3:$A$9993,#REF!,Log!$C$3:$C$9993,"&gt;=50")=0,"–",_xlfn.MINIFS(Log!$E$3:$E$9993,Log!$A$3:$A$9993,#REF!,Log!$C$3:$C$9993,"&gt;=50")), "")</f>
        <v/>
      </c>
    </row>
    <row r="70" spans="4:4" x14ac:dyDescent="0.3">
      <c r="D70" s="23" t="str">
        <f>IF(AND(C70&lt;&gt;"", B70&lt;&gt;""), IF(COUNTIFS(Log!$A$3:$A$9993,#REF!,Log!$C$3:$C$9993,"&gt;=50")=0,"–",_xlfn.MINIFS(Log!$E$3:$E$9993,Log!$A$3:$A$9993,#REF!,Log!$C$3:$C$9993,"&gt;=50")), "")</f>
        <v/>
      </c>
    </row>
    <row r="71" spans="4:4" x14ac:dyDescent="0.3">
      <c r="D71" s="23" t="str">
        <f>IF(AND(C71&lt;&gt;"", B71&lt;&gt;""), IF(COUNTIFS(Log!$A$3:$A$9993,#REF!,Log!$C$3:$C$9993,"&gt;=50")=0,"–",_xlfn.MINIFS(Log!$E$3:$E$9993,Log!$A$3:$A$9993,#REF!,Log!$C$3:$C$9993,"&gt;=50")), "")</f>
        <v/>
      </c>
    </row>
    <row r="72" spans="4:4" x14ac:dyDescent="0.3">
      <c r="D72" s="23" t="str">
        <f>IF(AND(C72&lt;&gt;"", B72&lt;&gt;""), IF(COUNTIFS(Log!$A$3:$A$9993,#REF!,Log!$C$3:$C$9993,"&gt;=50")=0,"–",_xlfn.MINIFS(Log!$E$3:$E$9993,Log!$A$3:$A$9993,#REF!,Log!$C$3:$C$9993,"&gt;=50")), "")</f>
        <v/>
      </c>
    </row>
    <row r="73" spans="4:4" x14ac:dyDescent="0.3">
      <c r="D73" s="23" t="str">
        <f>IF(AND(C73&lt;&gt;"", B73&lt;&gt;""), IF(COUNTIFS(Log!$A$3:$A$9993,#REF!,Log!$C$3:$C$9993,"&gt;=50")=0,"–",_xlfn.MINIFS(Log!$E$3:$E$9993,Log!$A$3:$A$9993,#REF!,Log!$C$3:$C$9993,"&gt;=50")), "")</f>
        <v/>
      </c>
    </row>
    <row r="74" spans="4:4" x14ac:dyDescent="0.3">
      <c r="D74" s="23" t="str">
        <f>IF(AND(C74&lt;&gt;"", B74&lt;&gt;""), IF(COUNTIFS(Log!$A$3:$A$9993,#REF!,Log!$C$3:$C$9993,"&gt;=50")=0,"–",_xlfn.MINIFS(Log!$E$3:$E$9993,Log!$A$3:$A$9993,#REF!,Log!$C$3:$C$9993,"&gt;=50")), "")</f>
        <v/>
      </c>
    </row>
    <row r="75" spans="4:4" x14ac:dyDescent="0.3">
      <c r="D75" s="23" t="str">
        <f>IF(AND(C75&lt;&gt;"", B75&lt;&gt;""), IF(COUNTIFS(Log!$A$3:$A$9993,#REF!,Log!$C$3:$C$9993,"&gt;=50")=0,"–",_xlfn.MINIFS(Log!$E$3:$E$9993,Log!$A$3:$A$9993,#REF!,Log!$C$3:$C$9993,"&gt;=50")), "")</f>
        <v/>
      </c>
    </row>
    <row r="76" spans="4:4" x14ac:dyDescent="0.3">
      <c r="D76" s="23" t="str">
        <f>IF(AND(C76&lt;&gt;"", B76&lt;&gt;""), IF(COUNTIFS(Log!$A$3:$A$9993,#REF!,Log!$C$3:$C$9993,"&gt;=50")=0,"–",_xlfn.MINIFS(Log!$E$3:$E$9993,Log!$A$3:$A$9993,#REF!,Log!$C$3:$C$9993,"&gt;=50")), "")</f>
        <v/>
      </c>
    </row>
    <row r="77" spans="4:4" x14ac:dyDescent="0.3">
      <c r="D77" s="23" t="str">
        <f>IF(AND(C77&lt;&gt;"", B77&lt;&gt;""), IF(COUNTIFS(Log!$A$3:$A$9993,#REF!,Log!$C$3:$C$9993,"&gt;=50")=0,"–",_xlfn.MINIFS(Log!$E$3:$E$9993,Log!$A$3:$A$9993,#REF!,Log!$C$3:$C$9993,"&gt;=50")), "")</f>
        <v/>
      </c>
    </row>
    <row r="78" spans="4:4" x14ac:dyDescent="0.3">
      <c r="D78" s="23" t="str">
        <f>IF(AND(C78&lt;&gt;"", B78&lt;&gt;""), IF(COUNTIFS(Log!$A$3:$A$9993,#REF!,Log!$C$3:$C$9993,"&gt;=50")=0,"–",_xlfn.MINIFS(Log!$E$3:$E$9993,Log!$A$3:$A$9993,#REF!,Log!$C$3:$C$9993,"&gt;=50")), "")</f>
        <v/>
      </c>
    </row>
    <row r="79" spans="4:4" x14ac:dyDescent="0.3">
      <c r="D79" s="23" t="str">
        <f>IF(AND(C79&lt;&gt;"", B79&lt;&gt;""), IF(COUNTIFS(Log!$A$3:$A$9993,#REF!,Log!$C$3:$C$9993,"&gt;=50")=0,"–",_xlfn.MINIFS(Log!$E$3:$E$9993,Log!$A$3:$A$9993,#REF!,Log!$C$3:$C$9993,"&gt;=50")), "")</f>
        <v/>
      </c>
    </row>
    <row r="80" spans="4:4" x14ac:dyDescent="0.3">
      <c r="D80" s="23" t="str">
        <f>IF(AND(C80&lt;&gt;"", B80&lt;&gt;""), IF(COUNTIFS(Log!$A$3:$A$9993,#REF!,Log!$C$3:$C$9993,"&gt;=50")=0,"–",_xlfn.MINIFS(Log!$E$3:$E$9993,Log!$A$3:$A$9993,#REF!,Log!$C$3:$C$9993,"&gt;=50")), "")</f>
        <v/>
      </c>
    </row>
    <row r="81" spans="4:4" x14ac:dyDescent="0.3">
      <c r="D81" s="23" t="str">
        <f>IF(AND(C81&lt;&gt;"", B81&lt;&gt;""), IF(COUNTIFS(Log!$A$3:$A$9993,#REF!,Log!$C$3:$C$9993,"&gt;=50")=0,"–",_xlfn.MINIFS(Log!$E$3:$E$9993,Log!$A$3:$A$9993,#REF!,Log!$C$3:$C$9993,"&gt;=50")), "")</f>
        <v/>
      </c>
    </row>
    <row r="82" spans="4:4" x14ac:dyDescent="0.3">
      <c r="D82" s="23" t="str">
        <f>IF(AND(C82&lt;&gt;"", B82&lt;&gt;""), IF(COUNTIFS(Log!$A$3:$A$9993,#REF!,Log!$C$3:$C$9993,"&gt;=50")=0,"–",_xlfn.MINIFS(Log!$E$3:$E$9993,Log!$A$3:$A$9993,#REF!,Log!$C$3:$C$9993,"&gt;=50")), "")</f>
        <v/>
      </c>
    </row>
    <row r="83" spans="4:4" x14ac:dyDescent="0.3">
      <c r="D83" s="23" t="str">
        <f>IF(AND(C83&lt;&gt;"", B83&lt;&gt;""), IF(COUNTIFS(Log!$A$3:$A$9993,#REF!,Log!$C$3:$C$9993,"&gt;=50")=0,"–",_xlfn.MINIFS(Log!$E$3:$E$9993,Log!$A$3:$A$9993,#REF!,Log!$C$3:$C$9993,"&gt;=50")), "")</f>
        <v/>
      </c>
    </row>
    <row r="84" spans="4:4" x14ac:dyDescent="0.3">
      <c r="D84" s="23" t="str">
        <f>IF(AND(C84&lt;&gt;"", B84&lt;&gt;""), IF(COUNTIFS(Log!$A$3:$A$9993,#REF!,Log!$C$3:$C$9993,"&gt;=50")=0,"–",_xlfn.MINIFS(Log!$E$3:$E$9993,Log!$A$3:$A$9993,#REF!,Log!$C$3:$C$9993,"&gt;=50")), "")</f>
        <v/>
      </c>
    </row>
    <row r="85" spans="4:4" x14ac:dyDescent="0.3">
      <c r="D85" s="23" t="str">
        <f>IF(AND(C85&lt;&gt;"", B85&lt;&gt;""), IF(COUNTIFS(Log!$A$3:$A$9993,#REF!,Log!$C$3:$C$9993,"&gt;=50")=0,"–",_xlfn.MINIFS(Log!$E$3:$E$9993,Log!$A$3:$A$9993,#REF!,Log!$C$3:$C$9993,"&gt;=50")), "")</f>
        <v/>
      </c>
    </row>
    <row r="86" spans="4:4" x14ac:dyDescent="0.3">
      <c r="D86" s="23" t="str">
        <f>IF(AND(C86&lt;&gt;"", B86&lt;&gt;""), IF(COUNTIFS(Log!$A$3:$A$9993,#REF!,Log!$C$3:$C$9993,"&gt;=50")=0,"–",_xlfn.MINIFS(Log!$E$3:$E$9993,Log!$A$3:$A$9993,#REF!,Log!$C$3:$C$9993,"&gt;=50")), "")</f>
        <v/>
      </c>
    </row>
    <row r="87" spans="4:4" x14ac:dyDescent="0.3">
      <c r="D87" s="23" t="str">
        <f>IF(AND(C87&lt;&gt;"", B87&lt;&gt;""), IF(COUNTIFS(Log!$A$3:$A$9993,#REF!,Log!$C$3:$C$9993,"&gt;=50")=0,"–",_xlfn.MINIFS(Log!$E$3:$E$9993,Log!$A$3:$A$9993,#REF!,Log!$C$3:$C$9993,"&gt;=50")), "")</f>
        <v/>
      </c>
    </row>
    <row r="88" spans="4:4" x14ac:dyDescent="0.3">
      <c r="D88" s="23" t="str">
        <f>IF(AND(C88&lt;&gt;"", B88&lt;&gt;""), IF(COUNTIFS(Log!$A$3:$A$9993,#REF!,Log!$C$3:$C$9993,"&gt;=50")=0,"–",_xlfn.MINIFS(Log!$E$3:$E$9993,Log!$A$3:$A$9993,#REF!,Log!$C$3:$C$9993,"&gt;=50")), "")</f>
        <v/>
      </c>
    </row>
    <row r="89" spans="4:4" x14ac:dyDescent="0.3">
      <c r="D89" s="23" t="str">
        <f>IF(AND(C89&lt;&gt;"", B89&lt;&gt;""), IF(COUNTIFS(Log!$A$3:$A$9993,#REF!,Log!$C$3:$C$9993,"&gt;=50")=0,"–",_xlfn.MINIFS(Log!$E$3:$E$9993,Log!$A$3:$A$9993,#REF!,Log!$C$3:$C$9993,"&gt;=50")), "")</f>
        <v/>
      </c>
    </row>
    <row r="90" spans="4:4" x14ac:dyDescent="0.3">
      <c r="D90" s="23" t="str">
        <f>IF(AND(C90&lt;&gt;"", B90&lt;&gt;""), IF(COUNTIFS(Log!$A$3:$A$9993,#REF!,Log!$C$3:$C$9993,"&gt;=50")=0,"–",_xlfn.MINIFS(Log!$E$3:$E$9993,Log!$A$3:$A$9993,#REF!,Log!$C$3:$C$9993,"&gt;=50")), "")</f>
        <v/>
      </c>
    </row>
    <row r="91" spans="4:4" x14ac:dyDescent="0.3">
      <c r="D91" s="23" t="str">
        <f>IF(AND(C91&lt;&gt;"", B91&lt;&gt;""), IF(COUNTIFS(Log!$A$3:$A$9993,#REF!,Log!$C$3:$C$9993,"&gt;=50")=0,"–",_xlfn.MINIFS(Log!$E$3:$E$9993,Log!$A$3:$A$9993,#REF!,Log!$C$3:$C$9993,"&gt;=50")), "")</f>
        <v/>
      </c>
    </row>
    <row r="92" spans="4:4" x14ac:dyDescent="0.3">
      <c r="D92" s="23" t="str">
        <f>IF(AND(C92&lt;&gt;"", B92&lt;&gt;""), IF(COUNTIFS(Log!$A$3:$A$9993,#REF!,Log!$C$3:$C$9993,"&gt;=50")=0,"–",_xlfn.MINIFS(Log!$E$3:$E$9993,Log!$A$3:$A$9993,#REF!,Log!$C$3:$C$9993,"&gt;=50")), "")</f>
        <v/>
      </c>
    </row>
    <row r="93" spans="4:4" x14ac:dyDescent="0.3">
      <c r="D93" s="23" t="str">
        <f>IF(AND(C93&lt;&gt;"", B93&lt;&gt;""), IF(COUNTIFS(Log!$A$3:$A$9993,#REF!,Log!$C$3:$C$9993,"&gt;=50")=0,"–",_xlfn.MINIFS(Log!$E$3:$E$9993,Log!$A$3:$A$9993,#REF!,Log!$C$3:$C$9993,"&gt;=50")), "")</f>
        <v/>
      </c>
    </row>
    <row r="94" spans="4:4" x14ac:dyDescent="0.3">
      <c r="D94" s="23" t="str">
        <f>IF(AND(C94&lt;&gt;"", B94&lt;&gt;""), IF(COUNTIFS(Log!$A$3:$A$9993,#REF!,Log!$C$3:$C$9993,"&gt;=50")=0,"–",_xlfn.MINIFS(Log!$E$3:$E$9993,Log!$A$3:$A$9993,#REF!,Log!$C$3:$C$9993,"&gt;=50")), "")</f>
        <v/>
      </c>
    </row>
    <row r="95" spans="4:4" x14ac:dyDescent="0.3">
      <c r="D95" s="23" t="str">
        <f>IF(AND(C95&lt;&gt;"", B95&lt;&gt;""), IF(COUNTIFS(Log!$A$3:$A$9993,#REF!,Log!$C$3:$C$9993,"&gt;=50")=0,"–",_xlfn.MINIFS(Log!$E$3:$E$9993,Log!$A$3:$A$9993,#REF!,Log!$C$3:$C$9993,"&gt;=50")), "")</f>
        <v/>
      </c>
    </row>
    <row r="96" spans="4:4" x14ac:dyDescent="0.3">
      <c r="D96" s="23" t="str">
        <f>IF(AND(C96&lt;&gt;"", B96&lt;&gt;""), IF(COUNTIFS(Log!$A$3:$A$9993,#REF!,Log!$C$3:$C$9993,"&gt;=50")=0,"–",_xlfn.MINIFS(Log!$E$3:$E$9993,Log!$A$3:$A$9993,#REF!,Log!$C$3:$C$9993,"&gt;=50")), "")</f>
        <v/>
      </c>
    </row>
    <row r="97" spans="4:4" x14ac:dyDescent="0.3">
      <c r="D97" s="23" t="str">
        <f>IF(AND(C97&lt;&gt;"", B97&lt;&gt;""), IF(COUNTIFS(Log!$A$3:$A$9993,#REF!,Log!$C$3:$C$9993,"&gt;=50")=0,"–",_xlfn.MINIFS(Log!$E$3:$E$9993,Log!$A$3:$A$9993,#REF!,Log!$C$3:$C$9993,"&gt;=50")), "")</f>
        <v/>
      </c>
    </row>
    <row r="98" spans="4:4" x14ac:dyDescent="0.3">
      <c r="D98" s="23" t="str">
        <f>IF(AND(C98&lt;&gt;"", B98&lt;&gt;""), IF(COUNTIFS(Log!$A$3:$A$9993,#REF!,Log!$C$3:$C$9993,"&gt;=50")=0,"–",_xlfn.MINIFS(Log!$E$3:$E$9993,Log!$A$3:$A$9993,#REF!,Log!$C$3:$C$9993,"&gt;=50")), "")</f>
        <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8C04E-7786-4047-B158-79D276F5E1CA}">
  <sheetPr>
    <tabColor rgb="FFC65911"/>
  </sheetPr>
  <dimension ref="C19:K26"/>
  <sheetViews>
    <sheetView workbookViewId="0">
      <selection activeCell="L14" sqref="L14"/>
    </sheetView>
  </sheetViews>
  <sheetFormatPr defaultRowHeight="14.4" x14ac:dyDescent="0.3"/>
  <sheetData>
    <row r="19" spans="3:11" x14ac:dyDescent="0.3">
      <c r="K19" t="s">
        <v>48</v>
      </c>
    </row>
    <row r="22" spans="3:11" x14ac:dyDescent="0.3">
      <c r="C22" t="s">
        <v>37</v>
      </c>
    </row>
    <row r="23" spans="3:11" x14ac:dyDescent="0.3">
      <c r="C23" s="24" t="s">
        <v>38</v>
      </c>
      <c r="K23" s="16" t="s">
        <v>33</v>
      </c>
    </row>
    <row r="24" spans="3:11" x14ac:dyDescent="0.3">
      <c r="K24" s="24" t="s">
        <v>34</v>
      </c>
    </row>
    <row r="25" spans="3:11" x14ac:dyDescent="0.3">
      <c r="C25" s="16" t="s">
        <v>35</v>
      </c>
    </row>
    <row r="26" spans="3:11" x14ac:dyDescent="0.3">
      <c r="C26" s="16" t="s">
        <v>36</v>
      </c>
    </row>
  </sheetData>
  <conditionalFormatting sqref="K23">
    <cfRule type="expression" dxfId="0" priority="1">
      <formula>AND(ROW()&gt;2, COLUMN()&lt;8, MOD(ROW(),2)=0)</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01A83-1FDF-45BF-A1E3-B5167A4A0F21}">
  <dimension ref="A1:Y8"/>
  <sheetViews>
    <sheetView workbookViewId="0">
      <selection activeCell="N14" sqref="N14"/>
    </sheetView>
  </sheetViews>
  <sheetFormatPr defaultRowHeight="14.4" x14ac:dyDescent="0.3"/>
  <cols>
    <col min="1" max="1" width="25.77734375" style="39" customWidth="1"/>
    <col min="2" max="2" width="8.88671875" style="37"/>
    <col min="3" max="20" width="6.77734375" style="38" customWidth="1"/>
    <col min="21" max="21" width="2.77734375" style="34" customWidth="1"/>
    <col min="22" max="22" width="8.88671875" style="35"/>
    <col min="23" max="25" width="10.77734375" style="34" customWidth="1"/>
    <col min="26" max="16384" width="8.88671875" style="34"/>
  </cols>
  <sheetData>
    <row r="1" spans="1:25" s="28" customFormat="1" ht="15" thickBot="1" x14ac:dyDescent="0.35">
      <c r="A1" s="26" t="s">
        <v>42</v>
      </c>
      <c r="B1" s="27"/>
      <c r="C1" s="27"/>
      <c r="D1" s="27"/>
      <c r="E1" s="27"/>
      <c r="F1" s="27"/>
      <c r="G1" s="27"/>
      <c r="H1" s="27"/>
      <c r="I1" s="27"/>
      <c r="J1" s="27"/>
      <c r="K1" s="27"/>
      <c r="L1" s="27"/>
      <c r="M1" s="27"/>
      <c r="N1" s="27"/>
      <c r="O1" s="27"/>
      <c r="P1" s="27"/>
      <c r="Q1" s="27"/>
      <c r="R1" s="27"/>
      <c r="S1" s="27"/>
      <c r="T1" s="27"/>
      <c r="V1" s="29"/>
    </row>
    <row r="2" spans="1:25" customFormat="1" ht="15" customHeight="1" x14ac:dyDescent="0.3">
      <c r="A2" s="47" t="s">
        <v>43</v>
      </c>
      <c r="B2" s="48"/>
      <c r="C2" s="48"/>
      <c r="D2" s="48"/>
      <c r="E2" s="48"/>
      <c r="F2" s="48"/>
      <c r="G2" s="48"/>
      <c r="H2" s="48"/>
      <c r="I2" s="48"/>
      <c r="J2" s="48"/>
      <c r="K2" s="48"/>
      <c r="L2" s="48"/>
      <c r="M2" s="48"/>
      <c r="N2" s="48"/>
      <c r="O2" s="48"/>
      <c r="P2" s="48"/>
      <c r="Q2" s="48"/>
      <c r="R2" s="48"/>
      <c r="S2" s="48"/>
      <c r="T2" s="49"/>
      <c r="V2" s="30"/>
    </row>
    <row r="3" spans="1:25" ht="26.4" customHeight="1" x14ac:dyDescent="0.3">
      <c r="A3" s="31" t="s">
        <v>40</v>
      </c>
      <c r="B3" s="32" t="s">
        <v>41</v>
      </c>
      <c r="C3" s="33" t="e" cm="1">
        <f t="array" ref="C3">LEFT(TRANSPOSE(#REF!), 3)</f>
        <v>#REF!</v>
      </c>
      <c r="D3" s="33"/>
      <c r="E3" s="33"/>
      <c r="F3" s="33"/>
      <c r="G3" s="33"/>
      <c r="H3" s="33"/>
      <c r="I3" s="44"/>
      <c r="J3" s="44"/>
      <c r="K3" s="33"/>
      <c r="L3" s="33"/>
      <c r="M3" s="33"/>
      <c r="N3" s="33"/>
      <c r="O3" s="44"/>
      <c r="P3" s="33"/>
      <c r="Q3" s="33"/>
      <c r="R3" s="33"/>
      <c r="S3" s="33"/>
      <c r="T3" s="33"/>
    </row>
    <row r="4" spans="1:25" x14ac:dyDescent="0.3">
      <c r="A4" s="36">
        <v>46238</v>
      </c>
      <c r="C4" s="40">
        <v>5</v>
      </c>
      <c r="D4" s="40">
        <v>5</v>
      </c>
      <c r="E4" s="40">
        <v>2</v>
      </c>
      <c r="F4" s="40">
        <v>2</v>
      </c>
      <c r="G4" s="40">
        <v>2</v>
      </c>
      <c r="H4" s="40">
        <v>2</v>
      </c>
      <c r="I4" s="40">
        <v>2</v>
      </c>
      <c r="J4" s="40">
        <v>2</v>
      </c>
      <c r="K4" s="40">
        <v>2</v>
      </c>
      <c r="L4" s="40"/>
      <c r="M4" s="40"/>
      <c r="N4" s="40"/>
      <c r="O4" s="40"/>
      <c r="P4" s="40"/>
      <c r="Q4" s="40"/>
      <c r="R4" s="40">
        <v>1</v>
      </c>
      <c r="S4" s="40">
        <v>1</v>
      </c>
      <c r="T4" s="40">
        <v>2</v>
      </c>
      <c r="W4" s="43" t="s">
        <v>44</v>
      </c>
      <c r="X4" s="42"/>
      <c r="Y4" s="42"/>
    </row>
    <row r="5" spans="1:25" x14ac:dyDescent="0.3">
      <c r="A5" s="36"/>
      <c r="W5" s="41"/>
      <c r="X5" s="41"/>
    </row>
    <row r="6" spans="1:25" x14ac:dyDescent="0.3">
      <c r="X6" s="41"/>
    </row>
    <row r="7" spans="1:25" x14ac:dyDescent="0.3">
      <c r="W7" s="41"/>
      <c r="X7" s="41"/>
    </row>
    <row r="8" spans="1:25" ht="42" customHeight="1" x14ac:dyDescent="0.3">
      <c r="A8" s="50" t="s">
        <v>47</v>
      </c>
      <c r="B8" s="50"/>
      <c r="C8" s="50"/>
      <c r="D8" s="50"/>
      <c r="E8" s="50"/>
      <c r="F8" s="50"/>
      <c r="G8" s="50"/>
      <c r="H8" s="50"/>
      <c r="I8" s="50"/>
      <c r="J8" s="50"/>
      <c r="K8" s="50"/>
    </row>
  </sheetData>
  <mergeCells count="2">
    <mergeCell ref="A2:T2"/>
    <mergeCell ref="A8:K8"/>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Instructions</vt:lpstr>
      <vt:lpstr>Log</vt:lpstr>
      <vt:lpstr>Daily Summary</vt:lpstr>
      <vt:lpstr>Visualisations</vt:lpstr>
      <vt:lpstr>DevScriptErrors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Newby</dc:creator>
  <cp:lastModifiedBy>Daniel Newby</cp:lastModifiedBy>
  <dcterms:created xsi:type="dcterms:W3CDTF">2015-06-05T18:17:20Z</dcterms:created>
  <dcterms:modified xsi:type="dcterms:W3CDTF">2026-08-30T16:46:25Z</dcterms:modified>
</cp:coreProperties>
</file>