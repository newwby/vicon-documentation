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ewwb\Documents\brain\professional\university\LCAS\Vicon (EPSURIS) Main\Public Files\Data\"/>
    </mc:Choice>
  </mc:AlternateContent>
  <xr:revisionPtr revIDLastSave="0" documentId="13_ncr:1_{AA21A94D-56D7-4B12-8FC1-3CE6FC974D4D}" xr6:coauthVersionLast="47" xr6:coauthVersionMax="47" xr10:uidLastSave="{00000000-0000-0000-0000-000000000000}"/>
  <bookViews>
    <workbookView xWindow="-108" yWindow="-108" windowWidth="23256" windowHeight="13896" activeTab="3" xr2:uid="{00000000-000D-0000-FFFF-FFFF00000000}"/>
  </bookViews>
  <sheets>
    <sheet name="Instructions" sheetId="4" r:id="rId1"/>
    <sheet name="Log" sheetId="1" r:id="rId2"/>
    <sheet name="Daily Summary" sheetId="2" r:id="rId3"/>
    <sheet name="Visualisations" sheetId="3" r:id="rId4"/>
    <sheet name="DevScriptErrors" sheetId="5" state="hidden" r:id="rId5"/>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 l="1"/>
  <c r="D24" i="2"/>
  <c r="D23" i="2"/>
  <c r="D22" i="2"/>
  <c r="D21" i="2"/>
  <c r="D20" i="2"/>
  <c r="D19" i="2"/>
  <c r="D18" i="2"/>
  <c r="D17" i="2"/>
  <c r="D16" i="2"/>
  <c r="D15" i="2"/>
  <c r="D14" i="2"/>
  <c r="D13" i="2"/>
  <c r="D12" i="2"/>
  <c r="D11" i="2"/>
  <c r="D10" i="2"/>
  <c r="D9" i="2"/>
  <c r="D8" i="2"/>
  <c r="D7" i="2"/>
  <c r="D6" i="2"/>
  <c r="D5" i="2"/>
  <c r="D4" i="2"/>
  <c r="D3" i="2"/>
  <c r="A2" i="2" a="1"/>
  <c r="A2" i="2" s="1"/>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H238" i="1"/>
  <c r="H239" i="1"/>
  <c r="H240" i="1"/>
  <c r="H241" i="1"/>
  <c r="H242" i="1"/>
  <c r="H243" i="1"/>
  <c r="H244" i="1"/>
  <c r="H245" i="1"/>
  <c r="H246" i="1"/>
  <c r="H247" i="1"/>
  <c r="H248" i="1"/>
  <c r="H249" i="1"/>
  <c r="H250" i="1"/>
  <c r="H251" i="1"/>
  <c r="H252" i="1"/>
  <c r="H253" i="1"/>
  <c r="H205" i="1" l="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54" i="1"/>
  <c r="H255" i="1"/>
  <c r="H256" i="1"/>
  <c r="H257" i="1"/>
  <c r="H258" i="1"/>
  <c r="H259" i="1"/>
  <c r="H260" i="1"/>
  <c r="H261" i="1"/>
  <c r="H262" i="1"/>
  <c r="H263" i="1"/>
  <c r="H264" i="1"/>
  <c r="H265" i="1"/>
  <c r="H266" i="1"/>
  <c r="H267"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3" i="1"/>
  <c r="C3" i="5" l="1" a="1"/>
  <c r="C3" i="5" s="1"/>
  <c r="H268" i="1" l="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G512" i="1" l="1"/>
  <c r="G534" i="1"/>
  <c r="G562" i="1"/>
  <c r="G685" i="1"/>
  <c r="G652" i="1"/>
  <c r="G656" i="1"/>
  <c r="G597" i="1"/>
  <c r="G561" i="1"/>
  <c r="G659" i="1"/>
  <c r="G629" i="1"/>
  <c r="G625" i="1"/>
  <c r="G559" i="1"/>
  <c r="G598" i="1"/>
  <c r="G616" i="1"/>
  <c r="G651" i="1"/>
  <c r="G531" i="1"/>
  <c r="G681" i="1"/>
  <c r="G583" i="1"/>
  <c r="G503" i="1"/>
  <c r="G644" i="1"/>
  <c r="G517" i="1"/>
  <c r="G545" i="1"/>
  <c r="G526" i="1"/>
  <c r="G586" i="1"/>
  <c r="G573" i="1"/>
  <c r="G576" i="1"/>
  <c r="G578" i="1"/>
  <c r="G648" i="1"/>
  <c r="G603" i="1"/>
  <c r="G609" i="1"/>
  <c r="G671" i="1"/>
  <c r="G669" i="1"/>
  <c r="G587" i="1"/>
  <c r="G655" i="1"/>
  <c r="G630" i="1"/>
  <c r="G532" i="1"/>
  <c r="G635" i="1"/>
  <c r="G550" i="1"/>
  <c r="G567" i="1"/>
  <c r="G528" i="1"/>
  <c r="G612" i="1"/>
  <c r="G552" i="1"/>
  <c r="G668" i="1"/>
  <c r="G647" i="1"/>
  <c r="G643" i="1"/>
  <c r="G683" i="1"/>
  <c r="G557" i="1"/>
  <c r="G560" i="1"/>
  <c r="G653" i="1"/>
  <c r="G627" i="1"/>
  <c r="G537" i="1"/>
  <c r="G674" i="1"/>
  <c r="G637" i="1"/>
  <c r="G570" i="1"/>
  <c r="G611" i="1"/>
  <c r="G620" i="1"/>
  <c r="G677" i="1"/>
  <c r="G605" i="1"/>
  <c r="G507" i="1"/>
  <c r="G585" i="1"/>
  <c r="G688" i="1"/>
  <c r="G645" i="1"/>
  <c r="G672" i="1"/>
  <c r="G500" i="1"/>
  <c r="G680" i="1"/>
  <c r="G663" i="1"/>
  <c r="G679" i="1"/>
  <c r="G588" i="1"/>
  <c r="G539" i="1"/>
  <c r="G571" i="1"/>
  <c r="G582" i="1"/>
  <c r="G514" i="1"/>
  <c r="G622" i="1"/>
  <c r="G533" i="1"/>
  <c r="G541" i="1"/>
  <c r="G660" i="1"/>
  <c r="G527" i="1"/>
  <c r="G522" i="1"/>
  <c r="G508" i="1"/>
  <c r="G606" i="1"/>
  <c r="G542" i="1"/>
  <c r="G505" i="1"/>
  <c r="G510" i="1"/>
  <c r="G623" i="1"/>
  <c r="G684" i="1"/>
  <c r="G600" i="1"/>
  <c r="G520" i="1"/>
  <c r="G657" i="1"/>
  <c r="G521" i="1"/>
  <c r="G540" i="1"/>
  <c r="G591" i="1"/>
  <c r="G535" i="1"/>
  <c r="G615" i="1"/>
  <c r="G563" i="1"/>
  <c r="G626" i="1"/>
  <c r="G601" i="1"/>
  <c r="G536" i="1"/>
  <c r="G610" i="1"/>
  <c r="G624" i="1"/>
  <c r="G590" i="1"/>
  <c r="G509" i="1"/>
  <c r="G638" i="1"/>
  <c r="G608" i="1"/>
  <c r="G678" i="1"/>
  <c r="G544" i="1"/>
  <c r="G650" i="1"/>
  <c r="G502" i="1"/>
  <c r="G516" i="1"/>
  <c r="G628" i="1"/>
  <c r="G640" i="1"/>
  <c r="G673" i="1"/>
  <c r="G580" i="1"/>
  <c r="G564" i="1"/>
  <c r="G524" i="1"/>
  <c r="G523" i="1"/>
  <c r="G661" i="1"/>
  <c r="G649" i="1"/>
  <c r="G689" i="1"/>
  <c r="G654" i="1"/>
  <c r="G692" i="1"/>
  <c r="G596" i="1"/>
  <c r="G506" i="1"/>
  <c r="G595" i="1"/>
  <c r="G511" i="1"/>
  <c r="G551" i="1"/>
  <c r="G504" i="1"/>
  <c r="G641" i="1"/>
  <c r="G530" i="1"/>
  <c r="G574" i="1"/>
  <c r="G555" i="1"/>
  <c r="G670" i="1"/>
  <c r="G525" i="1"/>
  <c r="G546" i="1"/>
  <c r="G602" i="1"/>
  <c r="G519" i="1"/>
  <c r="G577" i="1"/>
  <c r="G631" i="1"/>
  <c r="G642" i="1"/>
  <c r="G639" i="1"/>
  <c r="G690" i="1"/>
  <c r="G499" i="1"/>
  <c r="G664" i="1"/>
  <c r="G599" i="1"/>
  <c r="G613" i="1"/>
  <c r="G691" i="1"/>
  <c r="G604" i="1"/>
  <c r="G607" i="1"/>
  <c r="G633" i="1"/>
  <c r="G513" i="1"/>
  <c r="G675" i="1"/>
  <c r="G515" i="1"/>
  <c r="G621" i="1"/>
  <c r="G558" i="1"/>
  <c r="G538" i="1"/>
  <c r="G614" i="1"/>
  <c r="G554" i="1"/>
  <c r="G662" i="1"/>
  <c r="G619" i="1"/>
  <c r="G565" i="1"/>
  <c r="G693" i="1"/>
  <c r="G592" i="1"/>
  <c r="G636" i="1"/>
  <c r="G618" i="1"/>
  <c r="G553" i="1"/>
  <c r="G632" i="1"/>
  <c r="G501" i="1"/>
  <c r="G569" i="1"/>
  <c r="G529" i="1"/>
  <c r="G549" i="1"/>
  <c r="G687" i="1"/>
  <c r="G581" i="1"/>
  <c r="G566" i="1"/>
  <c r="G658" i="1"/>
  <c r="G686" i="1"/>
  <c r="G556" i="1"/>
  <c r="G568" i="1"/>
  <c r="G543" i="1"/>
  <c r="G572" i="1"/>
  <c r="G665" i="1"/>
  <c r="G518" i="1"/>
  <c r="G579" i="1"/>
  <c r="G676" i="1"/>
  <c r="G666" i="1"/>
  <c r="G589" i="1"/>
  <c r="G594" i="1"/>
  <c r="G575" i="1"/>
  <c r="G593" i="1"/>
  <c r="G682" i="1"/>
  <c r="G646" i="1"/>
  <c r="G584" i="1"/>
  <c r="G547" i="1"/>
  <c r="G667" i="1"/>
  <c r="G634" i="1"/>
  <c r="G617" i="1"/>
  <c r="G548" i="1"/>
  <c r="C200" i="1" l="1"/>
  <c r="G200" i="1" s="1"/>
  <c r="C436" i="1"/>
  <c r="G436" i="1" s="1"/>
  <c r="C143" i="1"/>
  <c r="G143" i="1" s="1"/>
  <c r="C311" i="1"/>
  <c r="G311" i="1" s="1"/>
  <c r="C247" i="1"/>
  <c r="G247" i="1" s="1"/>
  <c r="C104" i="1"/>
  <c r="G104" i="1" s="1"/>
  <c r="C330" i="1"/>
  <c r="G330" i="1" s="1"/>
  <c r="C374" i="1"/>
  <c r="G374" i="1" s="1"/>
  <c r="C267" i="1"/>
  <c r="G267" i="1" s="1"/>
  <c r="C188" i="1"/>
  <c r="G188" i="1" s="1"/>
  <c r="C342" i="1"/>
  <c r="G342" i="1" s="1"/>
  <c r="C21" i="1"/>
  <c r="G21" i="1" s="1"/>
  <c r="C298" i="1"/>
  <c r="G298" i="1" s="1"/>
  <c r="C39" i="1"/>
  <c r="G39" i="1" s="1"/>
  <c r="C234" i="1"/>
  <c r="G234" i="1" s="1"/>
  <c r="C497" i="1"/>
  <c r="G497" i="1" s="1"/>
  <c r="C340" i="1"/>
  <c r="G340" i="1" s="1"/>
  <c r="C355" i="1"/>
  <c r="G355" i="1" s="1"/>
  <c r="C358" i="1"/>
  <c r="G358" i="1" s="1"/>
  <c r="C475" i="1"/>
  <c r="G475" i="1" s="1"/>
  <c r="C225" i="1"/>
  <c r="G225" i="1" s="1"/>
  <c r="C368" i="1"/>
  <c r="G368" i="1" s="1"/>
  <c r="C306" i="1"/>
  <c r="G306" i="1" s="1"/>
  <c r="C87" i="1"/>
  <c r="G87" i="1" s="1"/>
  <c r="C221" i="1"/>
  <c r="G221" i="1" s="1"/>
  <c r="C29" i="1"/>
  <c r="G29" i="1" s="1"/>
  <c r="C160" i="1"/>
  <c r="G160" i="1" s="1"/>
  <c r="C153" i="1"/>
  <c r="G153" i="1" s="1"/>
  <c r="C189" i="1"/>
  <c r="G189" i="1" s="1"/>
  <c r="C23" i="1"/>
  <c r="G23" i="1" s="1"/>
  <c r="C184" i="1"/>
  <c r="G184" i="1" s="1"/>
  <c r="C281" i="1"/>
  <c r="G281" i="1" s="1"/>
  <c r="C67" i="1"/>
  <c r="G67" i="1" s="1"/>
  <c r="C296" i="1"/>
  <c r="G296" i="1" s="1"/>
  <c r="C404" i="1"/>
  <c r="G404" i="1" s="1"/>
  <c r="C329" i="1"/>
  <c r="G329" i="1" s="1"/>
  <c r="C65" i="1"/>
  <c r="G65" i="1" s="1"/>
  <c r="C351" i="1"/>
  <c r="G351" i="1" s="1"/>
  <c r="C261" i="1"/>
  <c r="G261" i="1" s="1"/>
  <c r="C3" i="1"/>
  <c r="G3" i="1" s="1"/>
  <c r="C406" i="1"/>
  <c r="G406" i="1" s="1"/>
  <c r="C202" i="1"/>
  <c r="G202" i="1" s="1"/>
  <c r="C367" i="1"/>
  <c r="G367" i="1" s="1"/>
  <c r="C491" i="1"/>
  <c r="G491" i="1" s="1"/>
  <c r="C319" i="1"/>
  <c r="G319" i="1" s="1"/>
  <c r="C465" i="1"/>
  <c r="G465" i="1" s="1"/>
  <c r="C133" i="1"/>
  <c r="G133" i="1" s="1"/>
  <c r="C66" i="1"/>
  <c r="G66" i="1" s="1"/>
  <c r="C339" i="1"/>
  <c r="G339" i="1" s="1"/>
  <c r="C110" i="1"/>
  <c r="G110" i="1" s="1"/>
  <c r="C485" i="1"/>
  <c r="G485" i="1" s="1"/>
  <c r="C81" i="1"/>
  <c r="G81" i="1" s="1"/>
  <c r="C171" i="1"/>
  <c r="G171" i="1" s="1"/>
  <c r="C63" i="1"/>
  <c r="G63" i="1" s="1"/>
  <c r="C421" i="1"/>
  <c r="G421" i="1" s="1"/>
  <c r="C260" i="1"/>
  <c r="G260" i="1" s="1"/>
  <c r="C212" i="1"/>
  <c r="G212" i="1" s="1"/>
  <c r="C414" i="1"/>
  <c r="G414" i="1" s="1"/>
  <c r="C492" i="1"/>
  <c r="G492" i="1" s="1"/>
  <c r="C393" i="1"/>
  <c r="G393" i="1" s="1"/>
  <c r="C55" i="1"/>
  <c r="G55" i="1" s="1"/>
  <c r="C338" i="1"/>
  <c r="G338" i="1" s="1"/>
  <c r="C102" i="1"/>
  <c r="G102" i="1" s="1"/>
  <c r="C117" i="1"/>
  <c r="G117" i="1" s="1"/>
  <c r="C292" i="1"/>
  <c r="G292" i="1" s="1"/>
  <c r="C12" i="1"/>
  <c r="G12" i="1" s="1"/>
  <c r="C25" i="1"/>
  <c r="G25" i="1" s="1"/>
  <c r="C353" i="1"/>
  <c r="G353" i="1" s="1"/>
  <c r="C103" i="1"/>
  <c r="G103" i="1" s="1"/>
  <c r="C47" i="1"/>
  <c r="G47" i="1" s="1"/>
  <c r="C457" i="1"/>
  <c r="G457" i="1" s="1"/>
  <c r="C398" i="1"/>
  <c r="G398" i="1" s="1"/>
  <c r="C468" i="1"/>
  <c r="G468" i="1" s="1"/>
  <c r="C447" i="1"/>
  <c r="G447" i="1" s="1"/>
  <c r="C377" i="1"/>
  <c r="G377" i="1" s="1"/>
  <c r="C278" i="1"/>
  <c r="G278" i="1" s="1"/>
  <c r="C445" i="1"/>
  <c r="G445" i="1" s="1"/>
  <c r="C391" i="1"/>
  <c r="G391" i="1" s="1"/>
  <c r="C20" i="1"/>
  <c r="G20" i="1" s="1"/>
  <c r="C310" i="1"/>
  <c r="G310" i="1" s="1"/>
  <c r="C32" i="1"/>
  <c r="G32" i="1" s="1"/>
  <c r="C389" i="1"/>
  <c r="G389" i="1" s="1"/>
  <c r="C433" i="1"/>
  <c r="G433" i="1" s="1"/>
  <c r="C142" i="1"/>
  <c r="G142" i="1" s="1"/>
  <c r="C219" i="1"/>
  <c r="G219" i="1" s="1"/>
  <c r="C453" i="1"/>
  <c r="G453" i="1" s="1"/>
  <c r="C248" i="1"/>
  <c r="G248" i="1" s="1"/>
  <c r="C477" i="1"/>
  <c r="G477" i="1" s="1"/>
  <c r="C177" i="1"/>
  <c r="G177" i="1" s="1"/>
  <c r="C434" i="1"/>
  <c r="G434" i="1" s="1"/>
  <c r="C372" i="1"/>
  <c r="G372" i="1" s="1"/>
  <c r="C140" i="1"/>
  <c r="G140" i="1" s="1"/>
  <c r="C266" i="1"/>
  <c r="G266" i="1" s="1"/>
  <c r="C401" i="1"/>
  <c r="G401" i="1" s="1"/>
  <c r="C413" i="1"/>
  <c r="G413" i="1" s="1"/>
  <c r="C138" i="1"/>
  <c r="G138" i="1" s="1"/>
  <c r="C35" i="1"/>
  <c r="G35" i="1" s="1"/>
  <c r="C76" i="1"/>
  <c r="G76" i="1" s="1"/>
  <c r="C98" i="1"/>
  <c r="G98" i="1" s="1"/>
  <c r="C197" i="1"/>
  <c r="G197" i="1" s="1"/>
  <c r="C216" i="1"/>
  <c r="G216" i="1" s="1"/>
  <c r="C193" i="1"/>
  <c r="G193" i="1" s="1"/>
  <c r="C363" i="1"/>
  <c r="G363" i="1" s="1"/>
  <c r="C341" i="1"/>
  <c r="G341" i="1" s="1"/>
  <c r="C46" i="1"/>
  <c r="G46" i="1" s="1"/>
  <c r="C203" i="1"/>
  <c r="G203" i="1" s="1"/>
  <c r="C93" i="1"/>
  <c r="G93" i="1" s="1"/>
  <c r="C169" i="1"/>
  <c r="G169" i="1" s="1"/>
  <c r="C384" i="1"/>
  <c r="G384" i="1" s="1"/>
  <c r="C383" i="1"/>
  <c r="G383" i="1" s="1"/>
  <c r="C214" i="1"/>
  <c r="G214" i="1" s="1"/>
  <c r="C79" i="1"/>
  <c r="G79" i="1" s="1"/>
  <c r="C92" i="1"/>
  <c r="G92" i="1" s="1"/>
  <c r="C481" i="1"/>
  <c r="G481" i="1" s="1"/>
  <c r="C464" i="1"/>
  <c r="G464" i="1" s="1"/>
  <c r="C147" i="1"/>
  <c r="G147" i="1" s="1"/>
  <c r="C463" i="1"/>
  <c r="G463" i="1" s="1"/>
  <c r="C364" i="1"/>
  <c r="G364" i="1" s="1"/>
  <c r="C146" i="1"/>
  <c r="G146" i="1" s="1"/>
  <c r="C148" i="1"/>
  <c r="G148" i="1" s="1"/>
  <c r="C83" i="1"/>
  <c r="G83" i="1" s="1"/>
  <c r="C284" i="1"/>
  <c r="G284" i="1" s="1"/>
  <c r="C336" i="1"/>
  <c r="G336" i="1" s="1"/>
  <c r="C15" i="1"/>
  <c r="G15" i="1" s="1"/>
  <c r="C249" i="1"/>
  <c r="G249" i="1" s="1"/>
  <c r="C128" i="1"/>
  <c r="G128" i="1" s="1"/>
  <c r="C233" i="1"/>
  <c r="G233" i="1" s="1"/>
  <c r="C120" i="1"/>
  <c r="G120" i="1" s="1"/>
  <c r="C378" i="1"/>
  <c r="G378" i="1" s="1"/>
  <c r="C448" i="1"/>
  <c r="G448" i="1" s="1"/>
  <c r="C380" i="1"/>
  <c r="G380" i="1" s="1"/>
  <c r="C242" i="1"/>
  <c r="G242" i="1" s="1"/>
  <c r="C244" i="1"/>
  <c r="G244" i="1" s="1"/>
  <c r="C5" i="1"/>
  <c r="G5" i="1" s="1"/>
  <c r="C454" i="1"/>
  <c r="G454" i="1" s="1"/>
  <c r="C371" i="1"/>
  <c r="G371" i="1" s="1"/>
  <c r="C258" i="1"/>
  <c r="G258" i="1" s="1"/>
  <c r="C437" i="1"/>
  <c r="G437" i="1" s="1"/>
  <c r="C323" i="1"/>
  <c r="G323" i="1" s="1"/>
  <c r="C489" i="1"/>
  <c r="G489" i="1" s="1"/>
  <c r="C24" i="1"/>
  <c r="G24" i="1" s="1"/>
  <c r="C482" i="1"/>
  <c r="G482" i="1" s="1"/>
  <c r="C424" i="1"/>
  <c r="G424" i="1" s="1"/>
  <c r="C276" i="1"/>
  <c r="G276" i="1" s="1"/>
  <c r="C496" i="1"/>
  <c r="G496" i="1" s="1"/>
  <c r="C483" i="1"/>
  <c r="G483" i="1" s="1"/>
  <c r="C494" i="1"/>
  <c r="G494" i="1" s="1"/>
  <c r="C399" i="1"/>
  <c r="G399" i="1" s="1"/>
  <c r="C36" i="1"/>
  <c r="G36" i="1" s="1"/>
  <c r="C22" i="1"/>
  <c r="G22" i="1" s="1"/>
  <c r="C53" i="1"/>
  <c r="G53" i="1" s="1"/>
  <c r="C346" i="1"/>
  <c r="G346" i="1" s="1"/>
  <c r="C174" i="1"/>
  <c r="G174" i="1" s="1"/>
  <c r="C379" i="1"/>
  <c r="G379" i="1" s="1"/>
  <c r="C49" i="1"/>
  <c r="G49" i="1" s="1"/>
  <c r="C141" i="1"/>
  <c r="G141" i="1" s="1"/>
  <c r="C97" i="1"/>
  <c r="G97" i="1" s="1"/>
  <c r="C440" i="1"/>
  <c r="G440" i="1" s="1"/>
  <c r="C446" i="1"/>
  <c r="G446" i="1" s="1"/>
  <c r="C51" i="1"/>
  <c r="G51" i="1" s="1"/>
  <c r="C304" i="1"/>
  <c r="G304" i="1" s="1"/>
  <c r="C299" i="1"/>
  <c r="G299" i="1" s="1"/>
  <c r="C45" i="1"/>
  <c r="G45" i="1" s="1"/>
  <c r="C498" i="1"/>
  <c r="G498" i="1" s="1"/>
  <c r="C228" i="1"/>
  <c r="G228" i="1" s="1"/>
  <c r="C312" i="1"/>
  <c r="G312" i="1" s="1"/>
  <c r="C356" i="1"/>
  <c r="G356" i="1" s="1"/>
  <c r="C255" i="1"/>
  <c r="G255" i="1" s="1"/>
  <c r="C250" i="1"/>
  <c r="G250" i="1" s="1"/>
  <c r="C162" i="1"/>
  <c r="G162" i="1" s="1"/>
  <c r="C435" i="1"/>
  <c r="G435" i="1" s="1"/>
  <c r="C484" i="1"/>
  <c r="G484" i="1" s="1"/>
  <c r="C289" i="1"/>
  <c r="G289" i="1" s="1"/>
  <c r="C438" i="1"/>
  <c r="G438" i="1" s="1"/>
  <c r="C60" i="1"/>
  <c r="G60" i="1" s="1"/>
  <c r="C243" i="1"/>
  <c r="G243" i="1" s="1"/>
  <c r="C19" i="1"/>
  <c r="G19" i="1" s="1"/>
  <c r="C118" i="1"/>
  <c r="G118" i="1" s="1"/>
  <c r="C348" i="1"/>
  <c r="G348" i="1" s="1"/>
  <c r="C113" i="1"/>
  <c r="G113" i="1" s="1"/>
  <c r="C61" i="1"/>
  <c r="G61" i="1" s="1"/>
  <c r="C154" i="1"/>
  <c r="G154" i="1" s="1"/>
  <c r="C395" i="1"/>
  <c r="G395" i="1" s="1"/>
  <c r="C72" i="1"/>
  <c r="G72" i="1" s="1"/>
  <c r="C412" i="1"/>
  <c r="G412" i="1" s="1"/>
  <c r="C57" i="1"/>
  <c r="G57" i="1" s="1"/>
  <c r="C227" i="1"/>
  <c r="G227" i="1" s="1"/>
  <c r="C176" i="1"/>
  <c r="G176" i="1" s="1"/>
  <c r="C182" i="1"/>
  <c r="G182" i="1" s="1"/>
  <c r="C155" i="1"/>
  <c r="G155" i="1" s="1"/>
  <c r="C408" i="1"/>
  <c r="G408" i="1" s="1"/>
  <c r="C78" i="1"/>
  <c r="G78" i="1" s="1"/>
  <c r="C309" i="1"/>
  <c r="G309" i="1" s="1"/>
  <c r="C270" i="1"/>
  <c r="G270" i="1" s="1"/>
  <c r="C308" i="1"/>
  <c r="G308" i="1" s="1"/>
  <c r="C10" i="1"/>
  <c r="G10" i="1" s="1"/>
  <c r="C13" i="1"/>
  <c r="G13" i="1" s="1"/>
  <c r="C486" i="1"/>
  <c r="G486" i="1" s="1"/>
  <c r="C316" i="1"/>
  <c r="G316" i="1" s="1"/>
  <c r="C322" i="1"/>
  <c r="G322" i="1" s="1"/>
  <c r="C416" i="1"/>
  <c r="G416" i="1" s="1"/>
  <c r="C318" i="1"/>
  <c r="G318" i="1" s="1"/>
  <c r="C135" i="1"/>
  <c r="G135" i="1" s="1"/>
  <c r="C392" i="1"/>
  <c r="G392" i="1" s="1"/>
  <c r="C480" i="1"/>
  <c r="G480" i="1" s="1"/>
  <c r="C119" i="1"/>
  <c r="G119" i="1" s="1"/>
  <c r="C211" i="1"/>
  <c r="G211" i="1" s="1"/>
  <c r="C222" i="1"/>
  <c r="G222" i="1" s="1"/>
  <c r="C125" i="1"/>
  <c r="G125" i="1" s="1"/>
  <c r="C394" i="1"/>
  <c r="G394" i="1" s="1"/>
  <c r="C206" i="1"/>
  <c r="G206" i="1" s="1"/>
  <c r="C50" i="1"/>
  <c r="G50" i="1" s="1"/>
  <c r="C313" i="1"/>
  <c r="G313" i="1" s="1"/>
  <c r="C327" i="1"/>
  <c r="G327" i="1" s="1"/>
  <c r="C402" i="1"/>
  <c r="G402" i="1" s="1"/>
  <c r="C75" i="1"/>
  <c r="G75" i="1" s="1"/>
  <c r="C236" i="1"/>
  <c r="G236" i="1" s="1"/>
  <c r="C8" i="1"/>
  <c r="G8" i="1" s="1"/>
  <c r="C257" i="1"/>
  <c r="G257" i="1" s="1"/>
  <c r="C156" i="1"/>
  <c r="G156" i="1" s="1"/>
  <c r="C235" i="1"/>
  <c r="G235" i="1" s="1"/>
  <c r="C170" i="1"/>
  <c r="G170" i="1" s="1"/>
  <c r="C275" i="1"/>
  <c r="G275" i="1" s="1"/>
  <c r="C246" i="1"/>
  <c r="G246" i="1" s="1"/>
  <c r="C52" i="1"/>
  <c r="G52" i="1" s="1"/>
  <c r="C161" i="1"/>
  <c r="G161" i="1" s="1"/>
  <c r="C159" i="1"/>
  <c r="G159" i="1" s="1"/>
  <c r="C64" i="1"/>
  <c r="G64" i="1" s="1"/>
  <c r="C82" i="1"/>
  <c r="G82" i="1" s="1"/>
  <c r="C89" i="1"/>
  <c r="G89" i="1" s="1"/>
  <c r="C215" i="1"/>
  <c r="G215" i="1" s="1"/>
  <c r="C31" i="1"/>
  <c r="G31" i="1" s="1"/>
  <c r="C282" i="1"/>
  <c r="G282" i="1" s="1"/>
  <c r="C264" i="1"/>
  <c r="G264" i="1" s="1"/>
  <c r="C444" i="1"/>
  <c r="G444" i="1" s="1"/>
  <c r="C426" i="1"/>
  <c r="G426" i="1" s="1"/>
  <c r="C80" i="1"/>
  <c r="G80" i="1" s="1"/>
  <c r="C195" i="1"/>
  <c r="G195" i="1" s="1"/>
  <c r="C237" i="1"/>
  <c r="G237" i="1" s="1"/>
  <c r="C335" i="1"/>
  <c r="G335" i="1" s="1"/>
  <c r="C226" i="1"/>
  <c r="G226" i="1" s="1"/>
  <c r="C273" i="1"/>
  <c r="G273" i="1" s="1"/>
  <c r="C271" i="1"/>
  <c r="G271" i="1" s="1"/>
  <c r="C493" i="1"/>
  <c r="G493" i="1" s="1"/>
  <c r="C365" i="1"/>
  <c r="G365" i="1" s="1"/>
  <c r="C229" i="1"/>
  <c r="G229" i="1" s="1"/>
  <c r="C423" i="1"/>
  <c r="G423" i="1" s="1"/>
  <c r="C381" i="1"/>
  <c r="G381" i="1" s="1"/>
  <c r="C40" i="1"/>
  <c r="G40" i="1" s="1"/>
  <c r="C439" i="1"/>
  <c r="G439" i="1" s="1"/>
  <c r="C149" i="1"/>
  <c r="G149" i="1" s="1"/>
  <c r="C37" i="1"/>
  <c r="G37" i="1" s="1"/>
  <c r="C132" i="1"/>
  <c r="G132" i="1" s="1"/>
  <c r="C301" i="1"/>
  <c r="G301" i="1" s="1"/>
  <c r="C359" i="1"/>
  <c r="G359" i="1" s="1"/>
  <c r="C18" i="1"/>
  <c r="G18" i="1" s="1"/>
  <c r="C427" i="1"/>
  <c r="G427" i="1" s="1"/>
  <c r="C450" i="1"/>
  <c r="G450" i="1" s="1"/>
  <c r="C34" i="1"/>
  <c r="G34" i="1" s="1"/>
  <c r="C320" i="1"/>
  <c r="G320" i="1" s="1"/>
  <c r="C126" i="1"/>
  <c r="G126" i="1" s="1"/>
  <c r="C54" i="1"/>
  <c r="G54" i="1" s="1"/>
  <c r="C191" i="1"/>
  <c r="G191" i="1" s="1"/>
  <c r="C139" i="1"/>
  <c r="G139" i="1" s="1"/>
  <c r="C74" i="1"/>
  <c r="G74" i="1" s="1"/>
  <c r="C418" i="1"/>
  <c r="G418" i="1" s="1"/>
  <c r="C198" i="1"/>
  <c r="G198" i="1" s="1"/>
  <c r="C129" i="1"/>
  <c r="G129" i="1" s="1"/>
  <c r="C90" i="1"/>
  <c r="G90" i="1" s="1"/>
  <c r="C11" i="1"/>
  <c r="G11" i="1" s="1"/>
  <c r="C185" i="1"/>
  <c r="G185" i="1" s="1"/>
  <c r="C28" i="1" l="1"/>
  <c r="G28" i="1" s="1"/>
  <c r="C144" i="1"/>
  <c r="G144" i="1" s="1"/>
  <c r="C390" i="1"/>
  <c r="G390" i="1" s="1"/>
  <c r="C168" i="1"/>
  <c r="G168" i="1" s="1"/>
  <c r="C27" i="1"/>
  <c r="G27" i="1" s="1"/>
  <c r="C262" i="1"/>
  <c r="G262" i="1" s="1"/>
  <c r="C145" i="1"/>
  <c r="G145" i="1" s="1"/>
  <c r="C172" i="1"/>
  <c r="G172" i="1" s="1"/>
  <c r="C230" i="1"/>
  <c r="G230" i="1" s="1"/>
  <c r="C124" i="1"/>
  <c r="G124" i="1" s="1"/>
  <c r="C441" i="1"/>
  <c r="G441" i="1" s="1"/>
  <c r="C99" i="1"/>
  <c r="G99" i="1" s="1"/>
  <c r="C151" i="1"/>
  <c r="G151" i="1" s="1"/>
  <c r="C300" i="1"/>
  <c r="G300" i="1" s="1"/>
  <c r="C134" i="1"/>
  <c r="G134" i="1" s="1"/>
  <c r="C107" i="1"/>
  <c r="G107" i="1" s="1"/>
  <c r="C44" i="1"/>
  <c r="G44" i="1" s="1"/>
  <c r="C269" i="1"/>
  <c r="G269" i="1" s="1"/>
  <c r="C471" i="1"/>
  <c r="G471" i="1" s="1"/>
  <c r="C417" i="1"/>
  <c r="G417" i="1" s="1"/>
  <c r="C165" i="1"/>
  <c r="G165" i="1" s="1"/>
  <c r="C152" i="1"/>
  <c r="G152" i="1" s="1"/>
  <c r="C209" i="1"/>
  <c r="G209" i="1" s="1"/>
  <c r="C210" i="1"/>
  <c r="G210" i="1" s="1"/>
  <c r="C431" i="1"/>
  <c r="G431" i="1" s="1"/>
  <c r="C56" i="1"/>
  <c r="G56" i="1" s="1"/>
  <c r="C38" i="1"/>
  <c r="G38" i="1" s="1"/>
  <c r="C419" i="1"/>
  <c r="G419" i="1" s="1"/>
  <c r="C366" i="1"/>
  <c r="G366" i="1" s="1"/>
  <c r="C344" i="1"/>
  <c r="G344" i="1" s="1"/>
  <c r="C432" i="1"/>
  <c r="G432" i="1" s="1"/>
  <c r="C173" i="1"/>
  <c r="G173" i="1" s="1"/>
  <c r="C472" i="1"/>
  <c r="G472" i="1" s="1"/>
  <c r="C314" i="1"/>
  <c r="G314" i="1" s="1"/>
  <c r="C194" i="1"/>
  <c r="G194" i="1" s="1"/>
  <c r="C415" i="1"/>
  <c r="G415" i="1" s="1"/>
  <c r="C69" i="1"/>
  <c r="G69" i="1" s="1"/>
  <c r="C452" i="1"/>
  <c r="G452" i="1" s="1"/>
  <c r="C183" i="1"/>
  <c r="G183" i="1" s="1"/>
  <c r="C288" i="1"/>
  <c r="G288" i="1" s="1"/>
  <c r="C455" i="1"/>
  <c r="G455" i="1" s="1"/>
  <c r="C350" i="1"/>
  <c r="G350" i="1" s="1"/>
  <c r="C136" i="1"/>
  <c r="G136" i="1" s="1"/>
  <c r="C179" i="1"/>
  <c r="G179" i="1" s="1"/>
  <c r="C164" i="1"/>
  <c r="G164" i="1" s="1"/>
  <c r="C199" i="1"/>
  <c r="G199" i="1" s="1"/>
  <c r="C490" i="1"/>
  <c r="G490" i="1" s="1"/>
  <c r="C387" i="1"/>
  <c r="G387" i="1" s="1"/>
  <c r="C96" i="1"/>
  <c r="G96" i="1" s="1"/>
  <c r="C373" i="1"/>
  <c r="G373" i="1" s="1"/>
  <c r="C71" i="1"/>
  <c r="G71" i="1" s="1"/>
  <c r="C422" i="1"/>
  <c r="G422" i="1" s="1"/>
  <c r="C201" i="1"/>
  <c r="G201" i="1" s="1"/>
  <c r="C166" i="1"/>
  <c r="G166" i="1" s="1"/>
  <c r="C43" i="1"/>
  <c r="G43" i="1" s="1"/>
  <c r="C101" i="1"/>
  <c r="G101" i="1" s="1"/>
  <c r="C459" i="1"/>
  <c r="G459" i="1" s="1"/>
  <c r="C479" i="1"/>
  <c r="G479" i="1" s="1"/>
  <c r="C111" i="1"/>
  <c r="G111" i="1" s="1"/>
  <c r="C495" i="1"/>
  <c r="G495" i="1" s="1"/>
  <c r="C361" i="1"/>
  <c r="G361" i="1" s="1"/>
  <c r="C279" i="1"/>
  <c r="G279" i="1" s="1"/>
  <c r="C430" i="1"/>
  <c r="G430" i="1" s="1"/>
  <c r="C256" i="1"/>
  <c r="G256" i="1" s="1"/>
  <c r="C131" i="1"/>
  <c r="G131" i="1" s="1"/>
  <c r="C290" i="1"/>
  <c r="G290" i="1" s="1"/>
  <c r="C470" i="1"/>
  <c r="G470" i="1" s="1"/>
  <c r="C385" i="1"/>
  <c r="G385" i="1" s="1"/>
  <c r="C425" i="1"/>
  <c r="G425" i="1" s="1"/>
  <c r="C293" i="1"/>
  <c r="G293" i="1" s="1"/>
  <c r="C157" i="1"/>
  <c r="G157" i="1" s="1"/>
  <c r="C204" i="1"/>
  <c r="G204" i="1" s="1"/>
  <c r="C321" i="1"/>
  <c r="G321" i="1" s="1"/>
  <c r="C476" i="1"/>
  <c r="G476" i="1" s="1"/>
  <c r="C245" i="1"/>
  <c r="G245" i="1" s="1"/>
  <c r="C41" i="1"/>
  <c r="G41" i="1" s="1"/>
  <c r="C33" i="1"/>
  <c r="G33" i="1" s="1"/>
  <c r="C328" i="1"/>
  <c r="G328" i="1" s="1"/>
  <c r="C305" i="1"/>
  <c r="G305" i="1" s="1"/>
  <c r="C205" i="1"/>
  <c r="G205" i="1" s="1"/>
  <c r="C252" i="1"/>
  <c r="G252" i="1" s="1"/>
  <c r="C30" i="1"/>
  <c r="G30" i="1" s="1"/>
  <c r="C85" i="1"/>
  <c r="G85" i="1" s="1"/>
  <c r="C352" i="1"/>
  <c r="G352" i="1" s="1"/>
  <c r="C106" i="1"/>
  <c r="G106" i="1" s="1"/>
  <c r="C208" i="1"/>
  <c r="G208" i="1" s="1"/>
  <c r="C232" i="1"/>
  <c r="G232" i="1" s="1"/>
  <c r="C451" i="1"/>
  <c r="G451" i="1" s="1"/>
  <c r="C218" i="1"/>
  <c r="G218" i="1" s="1"/>
  <c r="C253" i="1"/>
  <c r="G253" i="1" s="1"/>
  <c r="C265" i="1"/>
  <c r="G265" i="1" s="1"/>
  <c r="C478" i="1"/>
  <c r="G478" i="1" s="1"/>
  <c r="C331" i="1"/>
  <c r="G331" i="1" s="1"/>
  <c r="C297" i="1"/>
  <c r="G297" i="1" s="1"/>
  <c r="C429" i="1"/>
  <c r="G429" i="1" s="1"/>
  <c r="C375" i="1"/>
  <c r="G375" i="1" s="1"/>
  <c r="C137" i="1"/>
  <c r="G137" i="1" s="1"/>
  <c r="C192" i="1"/>
  <c r="G192" i="1" s="1"/>
  <c r="C109" i="1"/>
  <c r="G109" i="1" s="1"/>
  <c r="C302" i="1"/>
  <c r="G302" i="1" s="1"/>
  <c r="C488" i="1"/>
  <c r="G488" i="1" s="1"/>
  <c r="C196" i="1"/>
  <c r="G196" i="1" s="1"/>
  <c r="C474" i="1"/>
  <c r="G474" i="1" s="1"/>
  <c r="C42" i="1"/>
  <c r="G42" i="1" s="1"/>
  <c r="C370" i="1"/>
  <c r="G370" i="1" s="1"/>
  <c r="C14" i="1"/>
  <c r="G14" i="1" s="1"/>
  <c r="C428" i="1"/>
  <c r="G428" i="1" s="1"/>
  <c r="C294" i="1"/>
  <c r="G294" i="1" s="1"/>
  <c r="C238" i="1"/>
  <c r="G238" i="1" s="1"/>
  <c r="C285" i="1"/>
  <c r="G285" i="1" s="1"/>
  <c r="C231" i="1"/>
  <c r="G231" i="1" s="1"/>
  <c r="C77" i="1"/>
  <c r="G77" i="1" s="1"/>
  <c r="C213" i="1"/>
  <c r="G213" i="1" s="1"/>
  <c r="C295" i="1"/>
  <c r="G295" i="1" s="1"/>
  <c r="C150" i="1"/>
  <c r="G150" i="1" s="1"/>
  <c r="C112" i="1"/>
  <c r="G112" i="1" s="1"/>
  <c r="C315" i="1"/>
  <c r="G315" i="1" s="1"/>
  <c r="C16" i="1"/>
  <c r="G16" i="1" s="1"/>
  <c r="C410" i="1"/>
  <c r="G410" i="1" s="1"/>
  <c r="C473" i="1"/>
  <c r="G473" i="1" s="1"/>
  <c r="C407" i="1"/>
  <c r="G407" i="1" s="1"/>
  <c r="C108" i="1"/>
  <c r="G108" i="1" s="1"/>
  <c r="C167" i="1"/>
  <c r="G167" i="1" s="1"/>
  <c r="C337" i="1"/>
  <c r="G337" i="1" s="1"/>
  <c r="C175" i="1"/>
  <c r="G175" i="1" s="1"/>
  <c r="C396" i="1"/>
  <c r="G396" i="1" s="1"/>
  <c r="C325" i="1"/>
  <c r="G325" i="1" s="1"/>
  <c r="C62" i="1"/>
  <c r="G62" i="1" s="1"/>
  <c r="C94" i="1"/>
  <c r="G94" i="1" s="1"/>
  <c r="C100" i="1"/>
  <c r="G100" i="1" s="1"/>
  <c r="C442" i="1"/>
  <c r="G442" i="1" s="1"/>
  <c r="C207" i="1"/>
  <c r="G207" i="1" s="1"/>
  <c r="C58" i="1"/>
  <c r="G58" i="1" s="1"/>
  <c r="C127" i="1"/>
  <c r="G127" i="1" s="1"/>
  <c r="C317" i="1"/>
  <c r="G317" i="1" s="1"/>
  <c r="C217" i="1"/>
  <c r="G217" i="1" s="1"/>
  <c r="C324" i="1"/>
  <c r="G324" i="1" s="1"/>
  <c r="C369" i="1"/>
  <c r="G369" i="1" s="1"/>
  <c r="C190" i="1"/>
  <c r="G190" i="1" s="1"/>
  <c r="C73" i="1"/>
  <c r="G73" i="1" s="1"/>
  <c r="C411" i="1"/>
  <c r="G411" i="1" s="1"/>
  <c r="C187" i="1"/>
  <c r="G187" i="1" s="1"/>
  <c r="C254" i="1"/>
  <c r="G254" i="1" s="1"/>
  <c r="C286" i="1"/>
  <c r="G286" i="1" s="1"/>
  <c r="C105" i="1"/>
  <c r="G105" i="1" s="1"/>
  <c r="C4" i="1"/>
  <c r="G4" i="1" s="1"/>
  <c r="C130" i="1"/>
  <c r="G130" i="1" s="1"/>
  <c r="C268" i="1"/>
  <c r="G268" i="1" s="1"/>
  <c r="C334" i="1"/>
  <c r="G334" i="1" s="1"/>
  <c r="C349" i="1"/>
  <c r="G349" i="1" s="1"/>
  <c r="C122" i="1"/>
  <c r="G122" i="1" s="1"/>
  <c r="C95" i="1"/>
  <c r="G95" i="1" s="1"/>
  <c r="C251" i="1"/>
  <c r="G251" i="1" s="1"/>
  <c r="C17" i="1"/>
  <c r="G17" i="1" s="1"/>
  <c r="C70" i="1"/>
  <c r="G70" i="1" s="1"/>
  <c r="C362" i="1"/>
  <c r="G362" i="1" s="1"/>
  <c r="C26" i="1"/>
  <c r="G26" i="1" s="1"/>
  <c r="C456" i="1"/>
  <c r="G456" i="1" s="1"/>
  <c r="C345" i="1"/>
  <c r="G345" i="1" s="1"/>
  <c r="C263" i="1"/>
  <c r="G263" i="1" s="1"/>
  <c r="C239" i="1"/>
  <c r="G239" i="1" s="1"/>
  <c r="C354" i="1"/>
  <c r="G354" i="1" s="1"/>
  <c r="C397" i="1"/>
  <c r="G397" i="1" s="1"/>
  <c r="C333" i="1"/>
  <c r="G333" i="1" s="1"/>
  <c r="C224" i="1"/>
  <c r="G224" i="1" s="1"/>
  <c r="C420" i="1"/>
  <c r="G420" i="1" s="1"/>
  <c r="C240" i="1"/>
  <c r="G240" i="1" s="1"/>
  <c r="C48" i="1"/>
  <c r="G48" i="1" s="1"/>
  <c r="C121" i="1"/>
  <c r="G121" i="1" s="1"/>
  <c r="C469" i="1"/>
  <c r="G469" i="1" s="1"/>
  <c r="C114" i="1"/>
  <c r="G114" i="1" s="1"/>
  <c r="C116" i="1"/>
  <c r="G116" i="1" s="1"/>
  <c r="C461" i="1"/>
  <c r="G461" i="1" s="1"/>
  <c r="C59" i="1"/>
  <c r="G59" i="1" s="1"/>
  <c r="C291" i="1"/>
  <c r="G291" i="1" s="1"/>
  <c r="C388" i="1"/>
  <c r="G388" i="1" s="1"/>
  <c r="C163" i="1"/>
  <c r="G163" i="1" s="1"/>
  <c r="C7" i="1"/>
  <c r="G7" i="1" s="1"/>
  <c r="C405" i="1"/>
  <c r="G405" i="1" s="1"/>
  <c r="C91" i="1"/>
  <c r="G91" i="1" s="1"/>
  <c r="C409" i="1"/>
  <c r="G409" i="1" s="1"/>
  <c r="C86" i="1"/>
  <c r="G86" i="1" s="1"/>
  <c r="C223" i="1"/>
  <c r="G223" i="1" s="1"/>
  <c r="C241" i="1"/>
  <c r="G241" i="1" s="1"/>
  <c r="C382" i="1"/>
  <c r="G382" i="1" s="1"/>
  <c r="C158" i="1"/>
  <c r="G158" i="1" s="1"/>
  <c r="C400" i="1"/>
  <c r="G400" i="1" s="1"/>
  <c r="C326" i="1"/>
  <c r="G326" i="1" s="1"/>
  <c r="C443" i="1"/>
  <c r="G443" i="1" s="1"/>
  <c r="C9" i="1"/>
  <c r="G9" i="1" s="1"/>
  <c r="C68" i="1"/>
  <c r="G68" i="1" s="1"/>
  <c r="C180" i="1"/>
  <c r="G180" i="1" s="1"/>
  <c r="C274" i="1"/>
  <c r="G274" i="1" s="1"/>
  <c r="C357" i="1"/>
  <c r="G357" i="1" s="1"/>
  <c r="C186" i="1"/>
  <c r="G186" i="1" s="1"/>
  <c r="C458" i="1"/>
  <c r="G458" i="1" s="1"/>
  <c r="C403" i="1"/>
  <c r="G403" i="1" s="1"/>
  <c r="C287" i="1"/>
  <c r="G287" i="1" s="1"/>
  <c r="C84" i="1"/>
  <c r="G84" i="1" s="1"/>
  <c r="C6" i="1"/>
  <c r="G6" i="1" s="1"/>
  <c r="C123" i="1"/>
  <c r="G123" i="1" s="1"/>
  <c r="C332" i="1"/>
  <c r="G332" i="1" s="1"/>
  <c r="C115" i="1"/>
  <c r="G115" i="1" s="1"/>
  <c r="C307" i="1"/>
  <c r="G307" i="1" s="1"/>
  <c r="C376" i="1"/>
  <c r="G376" i="1" s="1"/>
  <c r="C178" i="1"/>
  <c r="G178" i="1" s="1"/>
  <c r="C487" i="1"/>
  <c r="G487" i="1" s="1"/>
  <c r="C280" i="1"/>
  <c r="G280" i="1" s="1"/>
  <c r="C347" i="1"/>
  <c r="G347" i="1" s="1"/>
  <c r="C343" i="1"/>
  <c r="G343" i="1" s="1"/>
  <c r="C303" i="1"/>
  <c r="G303" i="1" s="1"/>
  <c r="C466" i="1"/>
  <c r="G466" i="1" s="1"/>
  <c r="C467" i="1"/>
  <c r="G467" i="1" s="1"/>
  <c r="C283" i="1"/>
  <c r="G283" i="1" s="1"/>
  <c r="C460" i="1"/>
  <c r="G460" i="1" s="1"/>
  <c r="C360" i="1"/>
  <c r="G360" i="1" s="1"/>
  <c r="C220" i="1"/>
  <c r="G220" i="1" s="1"/>
  <c r="C88" i="1"/>
  <c r="G88" i="1" s="1"/>
  <c r="C386" i="1"/>
  <c r="G386" i="1" s="1"/>
  <c r="C462" i="1"/>
  <c r="G462" i="1" s="1"/>
  <c r="C272" i="1"/>
  <c r="G272" i="1" s="1"/>
  <c r="C277" i="1"/>
  <c r="G277" i="1" s="1"/>
  <c r="C181" i="1"/>
  <c r="G181" i="1" s="1"/>
  <c r="C449" i="1"/>
  <c r="G449" i="1" s="1"/>
  <c r="C259" i="1"/>
  <c r="G259" i="1" s="1"/>
  <c r="D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Daniel Newby</author>
  </authors>
  <commentList>
    <comment ref="A2" authorId="0" shapeId="0" xr:uid="{212B7CA1-1D60-441F-B72D-2455352A7338}">
      <text>
        <r>
          <rPr>
            <b/>
            <sz val="9"/>
            <color indexed="81"/>
            <rFont val="Tahoma"/>
            <family val="2"/>
          </rPr>
          <t>Daniel Newby:</t>
        </r>
        <r>
          <rPr>
            <sz val="9"/>
            <color indexed="81"/>
            <rFont val="Tahoma"/>
            <family val="2"/>
          </rPr>
          <t xml:space="preserve">
From 28/07/2026 bumping experiment, recorded above cameras. Cameras without a value were unaffected by disturbances in the room.</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<sst xmlns="http://schemas.openxmlformats.org/spreadsheetml/2006/main" count="54" uniqueCount="53">
  <si>
    <t>Starting Time</t>
  </si>
  <si>
    <t>Blue columns are data to enter, orange columns are automatically calculated!</t>
  </si>
  <si>
    <t>Logging
Start Time</t>
  </si>
  <si>
    <t>Timestamp</t>
  </si>
  <si>
    <t>Minutes Passed</t>
  </si>
  <si>
    <t>Lowest Temperature</t>
  </si>
  <si>
    <t>Highest Temperature</t>
  </si>
  <si>
    <t>Range</t>
  </si>
  <si>
    <t>Notes</t>
  </si>
  <si>
    <r>
      <t xml:space="preserve">Minutes to Ready
</t>
    </r>
    <r>
      <rPr>
        <i/>
        <sz val="10"/>
        <color rgb="FFFFFFFF"/>
        <rFont val="Arial"/>
        <family val="2"/>
      </rPr>
      <t>(earliest minutes &gt;= 50°)</t>
    </r>
  </si>
  <si>
    <t>Cameras active 1m faster, at 'ready' temp 6-10m faster, 2° difference appears to have an impact on startup time</t>
  </si>
  <si>
    <r>
      <t xml:space="preserve">Key
</t>
    </r>
    <r>
      <rPr>
        <i/>
        <sz val="8"/>
        <color rgb="FFFFFFFF"/>
        <rFont val="Arial"/>
        <family val="2"/>
      </rPr>
      <t>invalid data recorded as non-date instead</t>
    </r>
  </si>
  <si>
    <r>
      <t xml:space="preserve">Key
</t>
    </r>
    <r>
      <rPr>
        <i/>
        <sz val="8"/>
        <color rgb="FFFFFFFF"/>
        <rFont val="Arial"/>
        <family val="2"/>
      </rPr>
      <t>usually date, but invalid data is labelled</t>
    </r>
  </si>
  <si>
    <r>
      <t xml:space="preserve">Is Invalid?
</t>
    </r>
    <r>
      <rPr>
        <i/>
        <sz val="8"/>
        <color rgb="FFFFFFFF"/>
        <rFont val="Arial"/>
        <family val="2"/>
      </rPr>
      <t>Mark if data is broken</t>
    </r>
  </si>
  <si>
    <r>
      <rPr>
        <b/>
        <u/>
        <sz val="8"/>
        <color theme="1"/>
        <rFont val="Calibri"/>
        <family val="2"/>
        <scheme val="minor"/>
      </rPr>
      <t>Note</t>
    </r>
    <r>
      <rPr>
        <b/>
        <sz val="8"/>
        <color theme="1"/>
        <rFont val="Calibri"/>
        <family val="2"/>
        <scheme val="minor"/>
      </rPr>
      <t xml:space="preserve">: </t>
    </r>
    <r>
      <rPr>
        <i/>
        <sz val="8"/>
        <color theme="1"/>
        <rFont val="Calibri"/>
        <family val="2"/>
        <scheme val="minor"/>
      </rPr>
      <t>Dark/red rows (see column B) are invalid data, and keys in A column/daily summary should not be dates if there's a data problem</t>
    </r>
  </si>
  <si>
    <t>About 2.5min startup</t>
  </si>
  <si>
    <t>Starting Temperature (°C)</t>
  </si>
  <si>
    <r>
      <t xml:space="preserve">Also 2m vs 3m startup - is possible I'm reacting faster to camera startup now I'm used to it or is temperature diff minimal?
</t>
    </r>
    <r>
      <rPr>
        <i/>
        <sz val="11"/>
        <color theme="1"/>
        <rFont val="Calibri"/>
        <family val="2"/>
        <scheme val="minor"/>
      </rPr>
      <t xml:space="preserve">(Starting at a </t>
    </r>
    <r>
      <rPr>
        <b/>
        <i/>
        <sz val="11"/>
        <color theme="1"/>
        <rFont val="Calibri"/>
        <family val="2"/>
        <scheme val="minor"/>
      </rPr>
      <t>lower</t>
    </r>
    <r>
      <rPr>
        <i/>
        <sz val="11"/>
        <color theme="1"/>
        <rFont val="Calibri"/>
        <family val="2"/>
        <scheme val="minor"/>
      </rPr>
      <t xml:space="preserve"> temp would be good data)</t>
    </r>
  </si>
  <si>
    <t>Step</t>
  </si>
  <si>
    <t>Task</t>
  </si>
  <si>
    <t>Record to 'Daily Summary' the starting time and temperature (use INB0104 thermostat room temperature, turn it on to read then off again if previously off to maintain temp)</t>
  </si>
  <si>
    <t>Open Nexus 2.18</t>
  </si>
  <si>
    <t>1 new</t>
  </si>
  <si>
    <t>Open VSCodium and start the nexus temp reader script AFTER cameras online</t>
  </si>
  <si>
    <t>4 old</t>
  </si>
  <si>
    <t>4 new</t>
  </si>
  <si>
    <t>Wait for cameras to turn on (all cameras reading enabled ADD SCREENSHOT OF STARTUP) then record the initial log entry manually to 'Log' sheet (add lowest temperature and highest temperature for range as well as timestamp and date key</t>
  </si>
  <si>
    <t>Every x minutes record the temp range as a new entry (5-10 mins is usually good enough but when the range gets close to 50deg try to record the minute it reaches all cameras 50 or higher)</t>
  </si>
  <si>
    <t>WIP</t>
  </si>
  <si>
    <t>In case anyone else has to use this sheet</t>
  </si>
  <si>
    <t>Ranges that can be edited</t>
  </si>
  <si>
    <t>Ranges that are calculated &amp; should not be edited</t>
  </si>
  <si>
    <r>
      <t xml:space="preserve">todo </t>
    </r>
    <r>
      <rPr>
        <sz val="11"/>
        <color theme="1"/>
        <rFont val="Calibri"/>
        <family val="2"/>
        <scheme val="minor"/>
      </rPr>
      <t>add sheet protection to orange ranges</t>
    </r>
  </si>
  <si>
    <t>from 01/08/26 started using camera script (more granular timestamps and regular measurements vs manual)</t>
  </si>
  <si>
    <t>Need to recalculate 'Camera temperature vs minutes since start' ,</t>
  </si>
  <si>
    <t>Not clearly useful data and manually adding series daily is time-consuming</t>
  </si>
  <si>
    <t>What other charts to plot from this data?</t>
  </si>
  <si>
    <t>Measuring initial camera temperature against room/startup?</t>
  </si>
  <si>
    <r>
      <rPr>
        <b/>
        <sz val="11"/>
        <color theme="1"/>
        <rFont val="Calibri"/>
        <family val="2"/>
        <scheme val="minor"/>
      </rPr>
      <t xml:space="preserve">Note on above chart: </t>
    </r>
    <r>
      <rPr>
        <sz val="11"/>
        <color theme="1"/>
        <rFont val="Calibri"/>
        <family val="2"/>
        <scheme val="minor"/>
      </rPr>
      <t>from 01/08 tracked by script not manual</t>
    </r>
  </si>
  <si>
    <t>Earlier recordings are not as granular &amp; have irregular time steps</t>
  </si>
  <si>
    <t>Recording with camera temperature tracking script from this day</t>
  </si>
  <si>
    <t>Date</t>
  </si>
  <si>
    <t>Camera by ID</t>
  </si>
  <si>
    <t>This is a dev troubleshooting record for the camera temperature script, checking which cameras are dropped from readings</t>
  </si>
  <si>
    <t>Cameras Missing from Temperature Script Log</t>
  </si>
  <si>
    <t>(04/08 is first day recording these errors)</t>
  </si>
  <si>
    <r>
      <t xml:space="preserve">(tested script against non-active system configs) - on selecting VCS on init, 1 cam active, temp not shown. </t>
    </r>
    <r>
      <rPr>
        <b/>
        <sz val="11"/>
        <color theme="1"/>
        <rFont val="Calibri"/>
        <family val="2"/>
        <scheme val="minor"/>
      </rPr>
      <t>Mix of auto &amp; manual logs!</t>
    </r>
    <r>
      <rPr>
        <sz val="11"/>
        <color theme="1"/>
        <rFont val="Calibri"/>
        <family val="2"/>
        <scheme val="minor"/>
      </rPr>
      <t xml:space="preserve">
</t>
    </r>
    <r>
      <rPr>
        <b/>
        <sz val="11"/>
        <color theme="1"/>
        <rFont val="Calibri"/>
        <family val="2"/>
        <scheme val="minor"/>
      </rPr>
      <t>note</t>
    </r>
    <r>
      <rPr>
        <sz val="11"/>
        <color theme="1"/>
        <rFont val="Calibri"/>
        <family val="2"/>
        <scheme val="minor"/>
      </rPr>
      <t xml:space="preserve"> - polling errors with camera temp script (</t>
    </r>
    <r>
      <rPr>
        <b/>
        <i/>
        <sz val="11"/>
        <color theme="1"/>
        <rFont val="Calibri"/>
        <family val="2"/>
        <scheme val="minor"/>
      </rPr>
      <t>window not selected!</t>
    </r>
    <r>
      <rPr>
        <sz val="11"/>
        <color theme="1"/>
        <rFont val="Calibri"/>
        <family val="2"/>
        <scheme val="minor"/>
      </rPr>
      <t xml:space="preserve">)
</t>
    </r>
    <r>
      <rPr>
        <b/>
        <i/>
        <sz val="11"/>
        <color theme="1"/>
        <rFont val="Calibri"/>
        <family val="2"/>
        <scheme val="minor"/>
      </rPr>
      <t>time to ready wasn't faster than yesterday despite higher starting temp</t>
    </r>
  </si>
  <si>
    <t>startup time may be off by 30 seconds, recorded after start</t>
  </si>
  <si>
    <t>no longer tracking - bug fixed</t>
  </si>
  <si>
    <r>
      <rPr>
        <b/>
        <sz val="11"/>
        <color theme="1"/>
        <rFont val="Calibri"/>
        <family val="2"/>
        <scheme val="minor"/>
      </rPr>
      <t>Next chart</t>
    </r>
    <r>
      <rPr>
        <sz val="11"/>
        <color theme="1"/>
        <rFont val="Calibri"/>
        <family val="2"/>
        <scheme val="minor"/>
      </rPr>
      <t xml:space="preserve"> - camera temperature at time (avg. between low/high no error data) cross-referenced against starting temperature</t>
    </r>
  </si>
  <si>
    <t>Attempted to cool room prior to test but thermostat is locked to 23° range and does not cool room quickly - room temperature used</t>
  </si>
  <si>
    <t>initial recording/camera startup time slightly delayed by interruption</t>
  </si>
  <si>
    <t>lab interruption, delay in starting reader &amp; adjusting window - script read for 12 cameras instead of 18 for several read cycles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</si>
</sst>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C\)"/>
    <numFmt numFmtId="165" formatCode="hh:mm:ss;@"/>
    <numFmt numFmtId="166" formatCode="h:mm:ss;@"/>
  </numFmts>
  <fonts count="27" x14ac:knownFonts="1">
    <font>
      <sz val="11"/>
      <color theme="1"/>
      <name val="Calibri"/>
      <family val="2"/>
      <scheme val="minor"/>
    </font>
    <font>
      <b/>
      <sz val="11"/>
      <color theme="1"/>
      <name val="Calibri"/>
      <family val="2"/>
      <scheme val="minor"/>
    </font>
    <font>
      <sz val="11"/>
      <color theme="1"/>
      <name val="Calibri"/>
      <family val="2"/>
      <charset val="1"/>
    </font>
    <font>
      <b/>
      <sz val="12"/>
      <color rgb="FFFFFFFF"/>
      <name val="Arial"/>
      <family val="2"/>
    </font>
    <font>
      <i/>
      <sz val="8"/>
      <color rgb="FFFFFFFF"/>
      <name val="Arial"/>
      <family val="2"/>
    </font>
    <font>
      <i/>
      <sz val="10"/>
      <color rgb="FFFFFFFF"/>
      <name val="Arial"/>
      <family val="2"/>
    </font>
    <font>
      <b/>
      <i/>
      <sz val="11"/>
      <color theme="1"/>
      <name val="Calibri"/>
      <family val="2"/>
      <scheme val="minor"/>
    </font>
    <font>
      <i/>
      <sz val="11"/>
      <color theme="1"/>
      <name val="Calibri"/>
      <family val="2"/>
      <scheme val="minor"/>
    </font>
    <font>
      <sz val="8"/>
      <name val="Calibri"/>
      <family val="2"/>
      <scheme val="minor"/>
    </font>
    <font>
      <i/>
      <sz val="8"/>
      <color theme="1"/>
      <name val="Calibri"/>
      <family val="2"/>
      <scheme val="minor"/>
    </font>
    <font>
      <b/>
      <u/>
      <sz val="8"/>
      <color theme="1"/>
      <name val="Calibri"/>
      <family val="2"/>
      <scheme val="minor"/>
    </font>
    <font>
      <b/>
      <sz val="8"/>
      <color theme="1"/>
      <name val="Calibri"/>
      <family val="2"/>
      <scheme val="minor"/>
    </font>
    <font>
      <b/>
      <u/>
      <sz val="11"/>
      <color theme="1"/>
      <name val="Calibri"/>
      <family val="2"/>
      <scheme val="minor"/>
    </font>
    <font>
      <sz val="11"/>
      <color theme="1"/>
      <name val="Calibri"/>
      <family val="2"/>
    </font>
    <font>
      <i/>
      <sz val="10"/>
      <color theme="1"/>
      <name val="Arial"/>
      <family val="2"/>
    </font>
    <font>
      <i/>
      <sz val="11"/>
      <color theme="1"/>
      <name val="Arial"/>
      <family val="2"/>
    </font>
    <font>
      <sz val="11"/>
      <color theme="0"/>
      <name val="Calibri"/>
      <family val="2"/>
      <charset val="1"/>
    </font>
    <font>
      <b/>
      <sz val="10"/>
      <color theme="0"/>
      <name val="Arial"/>
      <family val="2"/>
    </font>
    <font>
      <b/>
      <sz val="11"/>
      <color theme="0"/>
      <name val="Calibri"/>
      <family val="2"/>
      <charset val="1"/>
    </font>
    <font>
      <b/>
      <sz val="10"/>
      <color theme="1"/>
      <name val="Arial"/>
      <family val="2"/>
    </font>
    <font>
      <b/>
      <sz val="10"/>
      <color theme="1"/>
      <name val="Calibri"/>
      <family val="2"/>
    </font>
    <font>
      <sz val="11"/>
      <color theme="1"/>
      <name val="Arial"/>
      <family val="2"/>
    </font>
    <font>
      <sz val="10"/>
      <color theme="1"/>
      <name val="Calibri"/>
      <family val="2"/>
    </font>
    <font>
      <b/>
      <sz val="11"/>
      <color rgb="FFFF0000"/>
      <name val="Calibri"/>
      <family val="2"/>
      <charset val="1"/>
    </font>
    <font>
      <b/>
      <sz val="9"/>
      <color indexed="81"/>
      <name val="Tahoma"/>
      <family val="2"/>
    </font>
    <font>
      <sz val="9"/>
      <color indexed="81"/>
      <name val="Tahoma"/>
      <family val="2"/>
    </font>
    <font>
      <b/>
      <sz val="16"/>
      <color rgb="FFFF0000"/>
      <name val="Calibri"/>
      <family val="2"/>
    </font>
  </fonts>
  <fills count="11">
    <fill>
      <patternFill patternType="none"/>
    </fill>
    <fill>
      <patternFill patternType="gray125"/>
    </fill>
    <fill>
      <patternFill patternType="solid">
        <fgColor rgb="FF1F4E78"/>
        <bgColor rgb="FF003366"/>
      </patternFill>
    </fill>
    <fill>
      <patternFill patternType="solid">
        <fgColor theme="0" tint="-0.14999847407452621"/>
        <bgColor indexed="64"/>
      </patternFill>
    </fill>
    <fill>
      <patternFill patternType="solid">
        <fgColor theme="5" tint="-0.249977111117893"/>
        <bgColor rgb="FF003366"/>
      </patternFill>
    </fill>
    <fill>
      <patternFill patternType="solid">
        <fgColor rgb="FFC65911"/>
        <bgColor rgb="FF003366"/>
      </patternFill>
    </fill>
    <fill>
      <patternFill patternType="solid">
        <fgColor rgb="FFC65911"/>
        <bgColor indexed="64"/>
      </patternFill>
    </fill>
    <fill>
      <patternFill patternType="solid">
        <fgColor rgb="FF1F4E78"/>
        <bgColor indexed="64"/>
      </patternFill>
    </fill>
    <fill>
      <patternFill patternType="solid">
        <fgColor theme="4" tint="0.39997558519241921"/>
        <bgColor rgb="FF003366"/>
      </patternFill>
    </fill>
    <fill>
      <patternFill patternType="solid">
        <fgColor theme="4" tint="0.59999389629810485"/>
        <bgColor indexed="64"/>
      </patternFill>
    </fill>
    <fill>
      <patternFill patternType="solid">
        <fgColor rgb="FFBDD7EE"/>
        <bgColor indexed="64"/>
      </patternFill>
    </fill>
  </fills>
  <borders count="14">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53">
    <xf numFmtId="0" fontId="0" fillId="0" borderId="0" xfId="0"/>
    <xf numFmtId="14" fontId="0" fillId="0" borderId="2" xfId="0" applyNumberFormat="1" applyBorder="1" applyAlignment="1">
      <alignment horizontal="center" vertical="center" wrapText="1"/>
    </xf>
    <xf numFmtId="164" fontId="0" fillId="0" borderId="1" xfId="0" applyNumberFormat="1" applyBorder="1" applyAlignment="1">
      <alignment horizontal="center" vertical="center"/>
    </xf>
    <xf numFmtId="0" fontId="0" fillId="0" borderId="2" xfId="0" applyBorder="1" applyAlignment="1">
      <alignment horizontal="center" vertical="center"/>
    </xf>
    <xf numFmtId="0" fontId="3" fillId="2" borderId="3" xfId="1" applyFont="1" applyFill="1" applyBorder="1" applyAlignment="1">
      <alignment horizontal="center" vertical="center" wrapText="1"/>
    </xf>
    <xf numFmtId="49" fontId="3" fillId="2" borderId="3" xfId="1" applyNumberFormat="1" applyFont="1" applyFill="1" applyBorder="1" applyAlignment="1">
      <alignment horizontal="center" vertical="center" wrapText="1"/>
    </xf>
    <xf numFmtId="1" fontId="0" fillId="0" borderId="2" xfId="0" applyNumberFormat="1" applyBorder="1" applyAlignment="1">
      <alignment horizontal="center" vertical="center" wrapText="1"/>
    </xf>
    <xf numFmtId="164" fontId="0" fillId="0" borderId="2" xfId="0" applyNumberFormat="1" applyBorder="1" applyAlignment="1">
      <alignment horizontal="center" vertical="center"/>
    </xf>
    <xf numFmtId="165" fontId="0" fillId="0" borderId="1" xfId="0" applyNumberFormat="1" applyBorder="1" applyAlignment="1">
      <alignment horizontal="center" vertical="center"/>
    </xf>
    <xf numFmtId="166" fontId="0" fillId="0" borderId="2" xfId="0" applyNumberFormat="1" applyBorder="1" applyAlignment="1">
      <alignment horizontal="center" vertical="center" wrapText="1"/>
    </xf>
    <xf numFmtId="49" fontId="3" fillId="2" borderId="4" xfId="1" applyNumberFormat="1" applyFont="1" applyFill="1" applyBorder="1" applyAlignment="1">
      <alignment horizontal="center" vertical="center" wrapText="1"/>
    </xf>
    <xf numFmtId="166" fontId="3" fillId="2" borderId="4" xfId="1" applyNumberFormat="1" applyFont="1" applyFill="1" applyBorder="1" applyAlignment="1">
      <alignment horizontal="center" vertical="center" wrapText="1"/>
    </xf>
    <xf numFmtId="0" fontId="0" fillId="3" borderId="5" xfId="0" applyFill="1" applyBorder="1"/>
    <xf numFmtId="49" fontId="3" fillId="4" borderId="4" xfId="1" applyNumberFormat="1" applyFont="1" applyFill="1" applyBorder="1" applyAlignment="1">
      <alignment horizontal="center" vertical="center" wrapText="1"/>
    </xf>
    <xf numFmtId="1" fontId="3" fillId="4" borderId="4" xfId="1" applyNumberFormat="1" applyFont="1" applyFill="1" applyBorder="1" applyAlignment="1">
      <alignment horizontal="center" vertical="center" wrapText="1"/>
    </xf>
    <xf numFmtId="49" fontId="0" fillId="0" borderId="1" xfId="0" applyNumberFormat="1" applyBorder="1" applyAlignment="1">
      <alignment horizontal="center" vertical="center" wrapText="1"/>
    </xf>
    <xf numFmtId="0" fontId="1" fillId="0" borderId="0" xfId="0" applyFont="1"/>
    <xf numFmtId="49" fontId="0" fillId="0" borderId="2" xfId="0" applyNumberFormat="1" applyBorder="1" applyAlignment="1">
      <alignment horizontal="center" vertical="center" wrapText="1"/>
    </xf>
    <xf numFmtId="0" fontId="9" fillId="3" borderId="5" xfId="0" applyFont="1" applyFill="1" applyBorder="1"/>
    <xf numFmtId="0" fontId="12" fillId="0" borderId="0" xfId="0" applyFont="1"/>
    <xf numFmtId="49" fontId="3" fillId="5" borderId="4" xfId="1" applyNumberFormat="1" applyFont="1" applyFill="1" applyBorder="1" applyAlignment="1">
      <alignment horizontal="center" vertical="center" wrapText="1"/>
    </xf>
    <xf numFmtId="0" fontId="0" fillId="6" borderId="0" xfId="0" applyFill="1"/>
    <xf numFmtId="0" fontId="0" fillId="7" borderId="0" xfId="0" applyFill="1"/>
    <xf numFmtId="1" fontId="3" fillId="2" borderId="3" xfId="1" applyNumberFormat="1" applyFont="1" applyFill="1" applyBorder="1" applyAlignment="1">
      <alignment horizontal="center" vertical="center" wrapText="1"/>
    </xf>
    <xf numFmtId="1" fontId="0" fillId="0" borderId="0" xfId="0" applyNumberFormat="1" applyAlignment="1">
      <alignment horizontal="center" vertical="center"/>
    </xf>
    <xf numFmtId="0" fontId="7" fillId="0" borderId="0" xfId="0" applyFont="1"/>
    <xf numFmtId="49" fontId="1" fillId="0" borderId="1" xfId="0" applyNumberFormat="1" applyFont="1" applyBorder="1" applyAlignment="1">
      <alignment horizontal="center" vertical="center" wrapText="1"/>
    </xf>
    <xf numFmtId="14" fontId="14" fillId="3" borderId="7" xfId="0" applyNumberFormat="1" applyFont="1" applyFill="1" applyBorder="1" applyAlignment="1">
      <alignment horizontal="left" vertical="center" indent="1"/>
    </xf>
    <xf numFmtId="14" fontId="15" fillId="3" borderId="7" xfId="0" applyNumberFormat="1" applyFont="1" applyFill="1" applyBorder="1" applyAlignment="1">
      <alignment horizontal="left" vertical="center" indent="1"/>
    </xf>
    <xf numFmtId="0" fontId="16" fillId="3" borderId="7" xfId="0" applyFont="1" applyFill="1" applyBorder="1" applyAlignment="1">
      <alignment horizontal="left" indent="1"/>
    </xf>
    <xf numFmtId="0" fontId="16" fillId="3" borderId="7" xfId="0" applyFont="1" applyFill="1" applyBorder="1" applyAlignment="1">
      <alignment horizontal="left" vertical="center" indent="1"/>
    </xf>
    <xf numFmtId="0" fontId="0" fillId="0" borderId="0" xfId="0" applyAlignment="1">
      <alignment horizontal="center" vertical="center"/>
    </xf>
    <xf numFmtId="0" fontId="17" fillId="2" borderId="6" xfId="0" applyFont="1" applyFill="1" applyBorder="1" applyAlignment="1">
      <alignment horizontal="center" vertical="center" wrapText="1"/>
    </xf>
    <xf numFmtId="0" fontId="19" fillId="8" borderId="6" xfId="0" applyFont="1" applyFill="1" applyBorder="1" applyAlignment="1">
      <alignment horizontal="center" vertical="center" wrapText="1"/>
    </xf>
    <xf numFmtId="0" fontId="20" fillId="9" borderId="6" xfId="0" applyFont="1" applyFill="1" applyBorder="1" applyAlignment="1">
      <alignment horizontal="center" vertical="center" wrapText="1"/>
    </xf>
    <xf numFmtId="0" fontId="16" fillId="0" borderId="0" xfId="0" applyFont="1"/>
    <xf numFmtId="0" fontId="16" fillId="0" borderId="0" xfId="0" applyFont="1" applyAlignment="1">
      <alignment horizontal="center" vertical="center"/>
    </xf>
    <xf numFmtId="14" fontId="21" fillId="0" borderId="0" xfId="0" applyNumberFormat="1" applyFont="1" applyAlignment="1">
      <alignment horizontal="center" vertical="center"/>
    </xf>
    <xf numFmtId="0" fontId="18" fillId="0" borderId="0" xfId="0" applyFont="1"/>
    <xf numFmtId="0" fontId="18" fillId="0" borderId="0" xfId="0" applyFont="1" applyAlignment="1">
      <alignment horizontal="center" vertical="center" wrapText="1"/>
    </xf>
    <xf numFmtId="14" fontId="0" fillId="0" borderId="0" xfId="0" applyNumberFormat="1"/>
    <xf numFmtId="0" fontId="23" fillId="0" borderId="0" xfId="0" applyFont="1" applyAlignment="1">
      <alignment horizontal="center" vertical="center" wrapText="1"/>
    </xf>
    <xf numFmtId="0" fontId="13" fillId="0" borderId="0" xfId="0" applyFont="1"/>
    <xf numFmtId="0" fontId="22" fillId="0" borderId="0" xfId="0" applyFont="1" applyAlignment="1">
      <alignment horizontal="left" indent="1"/>
    </xf>
    <xf numFmtId="0" fontId="20" fillId="0" borderId="0" xfId="0" applyFont="1" applyAlignment="1">
      <alignment horizontal="left"/>
    </xf>
    <xf numFmtId="0" fontId="20" fillId="10" borderId="6" xfId="0" applyFont="1" applyFill="1" applyBorder="1" applyAlignment="1">
      <alignment horizontal="center" vertical="center" wrapText="1"/>
    </xf>
    <xf numFmtId="14" fontId="1" fillId="3" borderId="11" xfId="0" applyNumberFormat="1" applyFont="1" applyFill="1" applyBorder="1" applyAlignment="1">
      <alignment horizontal="center" vertical="center" wrapText="1"/>
    </xf>
    <xf numFmtId="14" fontId="1" fillId="3" borderId="12" xfId="0" applyNumberFormat="1" applyFont="1" applyFill="1" applyBorder="1" applyAlignment="1">
      <alignment horizontal="center" vertical="center" wrapText="1"/>
    </xf>
    <xf numFmtId="14" fontId="1" fillId="3" borderId="13" xfId="0" applyNumberFormat="1" applyFont="1" applyFill="1" applyBorder="1" applyAlignment="1">
      <alignment horizontal="center" vertical="center" wrapText="1"/>
    </xf>
    <xf numFmtId="0" fontId="17" fillId="4" borderId="8"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17" fillId="4" borderId="10" xfId="0" applyFont="1" applyFill="1" applyBorder="1" applyAlignment="1">
      <alignment horizontal="center" vertical="center" wrapText="1"/>
    </xf>
    <xf numFmtId="0" fontId="26" fillId="0" borderId="0" xfId="0" applyFont="1" applyAlignment="1">
      <alignment horizontal="center" vertical="center" wrapText="1"/>
    </xf>
  </cellXfs>
  <cellStyles count="2">
    <cellStyle name="Normal" xfId="0" builtinId="0"/>
    <cellStyle name="Normal 2" xfId="1" xr:uid="{00000000-0005-0000-0000-000001000000}"/>
  </cellStyles>
  <dxfs count="4">
    <dxf>
      <fill>
        <patternFill>
          <bgColor theme="0" tint="-4.9989318521683403E-2"/>
        </patternFill>
      </fill>
    </dxf>
    <dxf>
      <fill>
        <patternFill>
          <bgColor theme="5" tint="-0.24994659260841701"/>
        </patternFill>
      </fill>
    </dxf>
    <dxf>
      <fill>
        <patternFill>
          <bgColor theme="5" tint="-0.24994659260841701"/>
        </patternFill>
      </fill>
    </dxf>
    <dxf>
      <fill>
        <patternFill>
          <bgColor theme="0" tint="-4.9989318521683403E-2"/>
        </patternFill>
      </fill>
    </dxf>
  </dxfs>
  <tableStyles count="0" defaultTableStyle="TableStyleMedium2" defaultPivotStyle="PivotStyleLight16"/>
  <colors>
    <mruColors>
      <color rgb="FFC65911"/>
      <color rgb="FFFF9B9B"/>
      <color rgb="FFBDD7EE"/>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Temperature</a:t>
            </a:r>
            <a:r>
              <a:rPr lang="en-GB" baseline="0"/>
              <a:t> Effect on Startup Time</a:t>
            </a:r>
          </a:p>
        </c:rich>
      </c:tx>
      <c:layout>
        <c:manualLayout>
          <c:xMode val="edge"/>
          <c:yMode val="edge"/>
          <c:x val="1.4270778652668405E-2"/>
          <c:y val="2.46305418719211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616229221347331E-2"/>
          <c:y val="0.20151888341543514"/>
          <c:w val="0.79954833770778655"/>
          <c:h val="0.58522781635054233"/>
        </c:manualLayout>
      </c:layout>
      <c:lineChart>
        <c:grouping val="standard"/>
        <c:varyColors val="0"/>
        <c:ser>
          <c:idx val="1"/>
          <c:order val="1"/>
          <c:tx>
            <c:strRef>
              <c:f>'Daily Summary'!$D$1</c:f>
              <c:strCache>
                <c:ptCount val="1"/>
                <c:pt idx="0">
                  <c:v>Minutes to Ready
(earliest minutes &gt;= 50°)</c:v>
                </c:pt>
              </c:strCache>
            </c:strRef>
          </c:tx>
          <c:spPr>
            <a:ln w="25400" cap="rnd">
              <a:solidFill>
                <a:srgbClr val="00B0F0"/>
              </a:solidFill>
              <a:round/>
            </a:ln>
            <a:effectLst/>
          </c:spPr>
          <c:marker>
            <c:symbol val="none"/>
          </c:marker>
          <c:cat>
            <c:numRef>
              <c:f>'Daily Summary'!$A$2:$A$200</c:f>
              <c:numCache>
                <c:formatCode>m/d/yyyy</c:formatCode>
                <c:ptCount val="199"/>
                <c:pt idx="0">
                  <c:v>46228</c:v>
                </c:pt>
                <c:pt idx="1">
                  <c:v>46230</c:v>
                </c:pt>
                <c:pt idx="2">
                  <c:v>46231</c:v>
                </c:pt>
                <c:pt idx="3">
                  <c:v>46232</c:v>
                </c:pt>
                <c:pt idx="4">
                  <c:v>46233</c:v>
                </c:pt>
                <c:pt idx="5">
                  <c:v>46234</c:v>
                </c:pt>
                <c:pt idx="6">
                  <c:v>46235</c:v>
                </c:pt>
                <c:pt idx="7">
                  <c:v>46237</c:v>
                </c:pt>
                <c:pt idx="8">
                  <c:v>46238</c:v>
                </c:pt>
                <c:pt idx="9">
                  <c:v>46239</c:v>
                </c:pt>
                <c:pt idx="10">
                  <c:v>46240</c:v>
                </c:pt>
                <c:pt idx="11">
                  <c:v>46242</c:v>
                </c:pt>
                <c:pt idx="12">
                  <c:v>46244</c:v>
                </c:pt>
                <c:pt idx="13">
                  <c:v>46245</c:v>
                </c:pt>
                <c:pt idx="14">
                  <c:v>46246</c:v>
                </c:pt>
                <c:pt idx="15">
                  <c:v>46247</c:v>
                </c:pt>
                <c:pt idx="16">
                  <c:v>46248</c:v>
                </c:pt>
                <c:pt idx="17">
                  <c:v>46251</c:v>
                </c:pt>
                <c:pt idx="18">
                  <c:v>46252</c:v>
                </c:pt>
                <c:pt idx="19">
                  <c:v>46253</c:v>
                </c:pt>
                <c:pt idx="20">
                  <c:v>46254</c:v>
                </c:pt>
                <c:pt idx="21">
                  <c:v>46255</c:v>
                </c:pt>
                <c:pt idx="22">
                  <c:v>46258</c:v>
                </c:pt>
                <c:pt idx="23">
                  <c:v>46260</c:v>
                </c:pt>
                <c:pt idx="24">
                  <c:v>0</c:v>
                </c:pt>
              </c:numCache>
            </c:numRef>
          </c:cat>
          <c:val>
            <c:numRef>
              <c:f>'Daily Summary'!$D$2:$D$200</c:f>
              <c:numCache>
                <c:formatCode>0</c:formatCode>
                <c:ptCount val="199"/>
                <c:pt idx="0">
                  <c:v>25.000000000000071</c:v>
                </c:pt>
                <c:pt idx="1">
                  <c:v>24.000000000000234</c:v>
                </c:pt>
                <c:pt idx="2">
                  <c:v>26.000000000000068</c:v>
                </c:pt>
                <c:pt idx="3">
                  <c:v>15.999999999999943</c:v>
                </c:pt>
                <c:pt idx="4">
                  <c:v>19.000000000000014</c:v>
                </c:pt>
                <c:pt idx="5">
                  <c:v>20.999999999999925</c:v>
                </c:pt>
                <c:pt idx="6">
                  <c:v>21.583333333333243</c:v>
                </c:pt>
                <c:pt idx="7">
                  <c:v>21.216666666666654</c:v>
                </c:pt>
                <c:pt idx="8">
                  <c:v>21.066666666666627</c:v>
                </c:pt>
                <c:pt idx="9">
                  <c:v>19.600000000000026</c:v>
                </c:pt>
                <c:pt idx="10">
                  <c:v>20.133333333333336</c:v>
                </c:pt>
                <c:pt idx="11">
                  <c:v>19.616666666666642</c:v>
                </c:pt>
                <c:pt idx="12">
                  <c:v>18.850000000000069</c:v>
                </c:pt>
                <c:pt idx="13">
                  <c:v>21.350000000000058</c:v>
                </c:pt>
                <c:pt idx="14">
                  <c:v>21.449999999999996</c:v>
                </c:pt>
                <c:pt idx="15">
                  <c:v>19.000000000000014</c:v>
                </c:pt>
                <c:pt idx="16">
                  <c:v>17.899999999999999</c:v>
                </c:pt>
                <c:pt idx="17">
                  <c:v>21.483333333333388</c:v>
                </c:pt>
                <c:pt idx="18">
                  <c:v>19.63333333333334</c:v>
                </c:pt>
                <c:pt idx="19">
                  <c:v>20.11666666666672</c:v>
                </c:pt>
                <c:pt idx="20">
                  <c:v>20.883333333333454</c:v>
                </c:pt>
                <c:pt idx="21">
                  <c:v>18.816666666666677</c:v>
                </c:pt>
                <c:pt idx="22">
                  <c:v>23.766666666666652</c:v>
                </c:pt>
                <c:pt idx="23">
                  <c:v>21.116666666666639</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numCache>
            </c:numRef>
          </c:val>
          <c:smooth val="0"/>
          <c:extLst>
            <c:ext xmlns:c16="http://schemas.microsoft.com/office/drawing/2014/chart" uri="{C3380CC4-5D6E-409C-BE32-E72D297353CC}">
              <c16:uniqueId val="{00000001-F0FC-4467-A617-2617B7DA2AFF}"/>
            </c:ext>
          </c:extLst>
        </c:ser>
        <c:dLbls>
          <c:showLegendKey val="0"/>
          <c:showVal val="0"/>
          <c:showCatName val="0"/>
          <c:showSerName val="0"/>
          <c:showPercent val="0"/>
          <c:showBubbleSize val="0"/>
        </c:dLbls>
        <c:marker val="1"/>
        <c:smooth val="0"/>
        <c:axId val="1072957472"/>
        <c:axId val="1072952192"/>
      </c:lineChart>
      <c:lineChart>
        <c:grouping val="standard"/>
        <c:varyColors val="0"/>
        <c:ser>
          <c:idx val="0"/>
          <c:order val="0"/>
          <c:tx>
            <c:strRef>
              <c:f>'Daily Summary'!$B$1</c:f>
              <c:strCache>
                <c:ptCount val="1"/>
                <c:pt idx="0">
                  <c:v>Starting Temperature (°C)</c:v>
                </c:pt>
              </c:strCache>
            </c:strRef>
          </c:tx>
          <c:spPr>
            <a:ln w="25400" cap="rnd">
              <a:solidFill>
                <a:schemeClr val="accent2">
                  <a:lumMod val="75000"/>
                </a:schemeClr>
              </a:solidFill>
              <a:round/>
            </a:ln>
            <a:effectLst/>
          </c:spPr>
          <c:marker>
            <c:symbol val="none"/>
          </c:marker>
          <c:cat>
            <c:numRef>
              <c:f>'Daily Summary'!$A$3:$A$200</c:f>
              <c:numCache>
                <c:formatCode>m/d/yyyy</c:formatCode>
                <c:ptCount val="198"/>
                <c:pt idx="0">
                  <c:v>46230</c:v>
                </c:pt>
                <c:pt idx="1">
                  <c:v>46231</c:v>
                </c:pt>
                <c:pt idx="2">
                  <c:v>46232</c:v>
                </c:pt>
                <c:pt idx="3">
                  <c:v>46233</c:v>
                </c:pt>
                <c:pt idx="4">
                  <c:v>46234</c:v>
                </c:pt>
                <c:pt idx="5">
                  <c:v>46235</c:v>
                </c:pt>
                <c:pt idx="6">
                  <c:v>46237</c:v>
                </c:pt>
                <c:pt idx="7">
                  <c:v>46238</c:v>
                </c:pt>
                <c:pt idx="8">
                  <c:v>46239</c:v>
                </c:pt>
                <c:pt idx="9">
                  <c:v>46240</c:v>
                </c:pt>
                <c:pt idx="10">
                  <c:v>46242</c:v>
                </c:pt>
                <c:pt idx="11">
                  <c:v>46244</c:v>
                </c:pt>
                <c:pt idx="12">
                  <c:v>46245</c:v>
                </c:pt>
                <c:pt idx="13">
                  <c:v>46246</c:v>
                </c:pt>
                <c:pt idx="14">
                  <c:v>46247</c:v>
                </c:pt>
                <c:pt idx="15">
                  <c:v>46248</c:v>
                </c:pt>
                <c:pt idx="16">
                  <c:v>46251</c:v>
                </c:pt>
                <c:pt idx="17">
                  <c:v>46252</c:v>
                </c:pt>
                <c:pt idx="18">
                  <c:v>46253</c:v>
                </c:pt>
                <c:pt idx="19">
                  <c:v>46254</c:v>
                </c:pt>
                <c:pt idx="20">
                  <c:v>46255</c:v>
                </c:pt>
                <c:pt idx="21">
                  <c:v>46258</c:v>
                </c:pt>
                <c:pt idx="22">
                  <c:v>46260</c:v>
                </c:pt>
                <c:pt idx="23">
                  <c:v>0</c:v>
                </c:pt>
              </c:numCache>
            </c:numRef>
          </c:cat>
          <c:val>
            <c:numRef>
              <c:f>'Daily Summary'!$B$2:$B$200</c:f>
              <c:numCache>
                <c:formatCode>0.0\°\ \(\C\)</c:formatCode>
                <c:ptCount val="199"/>
                <c:pt idx="0">
                  <c:v>23.5</c:v>
                </c:pt>
                <c:pt idx="1">
                  <c:v>23.5</c:v>
                </c:pt>
                <c:pt idx="2">
                  <c:v>23.5</c:v>
                </c:pt>
                <c:pt idx="3">
                  <c:v>25.5</c:v>
                </c:pt>
                <c:pt idx="4">
                  <c:v>24.5</c:v>
                </c:pt>
                <c:pt idx="5">
                  <c:v>24</c:v>
                </c:pt>
                <c:pt idx="6">
                  <c:v>24</c:v>
                </c:pt>
                <c:pt idx="7">
                  <c:v>23.5</c:v>
                </c:pt>
                <c:pt idx="8">
                  <c:v>24.5</c:v>
                </c:pt>
                <c:pt idx="9">
                  <c:v>24.5</c:v>
                </c:pt>
                <c:pt idx="10">
                  <c:v>24</c:v>
                </c:pt>
                <c:pt idx="11">
                  <c:v>24</c:v>
                </c:pt>
                <c:pt idx="12">
                  <c:v>24</c:v>
                </c:pt>
                <c:pt idx="13">
                  <c:v>23.5</c:v>
                </c:pt>
                <c:pt idx="14">
                  <c:v>24</c:v>
                </c:pt>
                <c:pt idx="15">
                  <c:v>24.5</c:v>
                </c:pt>
                <c:pt idx="16">
                  <c:v>25</c:v>
                </c:pt>
                <c:pt idx="17">
                  <c:v>24.5</c:v>
                </c:pt>
                <c:pt idx="18">
                  <c:v>24.5</c:v>
                </c:pt>
                <c:pt idx="19">
                  <c:v>24.5</c:v>
                </c:pt>
                <c:pt idx="20">
                  <c:v>24.5</c:v>
                </c:pt>
                <c:pt idx="21">
                  <c:v>23.5</c:v>
                </c:pt>
                <c:pt idx="22">
                  <c:v>23</c:v>
                </c:pt>
                <c:pt idx="23">
                  <c:v>23.5</c:v>
                </c:pt>
              </c:numCache>
            </c:numRef>
          </c:val>
          <c:smooth val="0"/>
          <c:extLst>
            <c:ext xmlns:c16="http://schemas.microsoft.com/office/drawing/2014/chart" uri="{C3380CC4-5D6E-409C-BE32-E72D297353CC}">
              <c16:uniqueId val="{00000000-F0FC-4467-A617-2617B7DA2AFF}"/>
            </c:ext>
          </c:extLst>
        </c:ser>
        <c:dLbls>
          <c:showLegendKey val="0"/>
          <c:showVal val="0"/>
          <c:showCatName val="0"/>
          <c:showSerName val="0"/>
          <c:showPercent val="0"/>
          <c:showBubbleSize val="0"/>
        </c:dLbls>
        <c:marker val="1"/>
        <c:smooth val="0"/>
        <c:axId val="1637838255"/>
        <c:axId val="1612243471"/>
      </c:lineChart>
      <c:dateAx>
        <c:axId val="1072957472"/>
        <c:scaling>
          <c:orientation val="minMax"/>
          <c:min val="46228"/>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072952192"/>
        <c:crosses val="autoZero"/>
        <c:auto val="0"/>
        <c:lblOffset val="100"/>
        <c:baseTimeUnit val="days"/>
        <c:majorUnit val="2"/>
        <c:majorTimeUnit val="days"/>
      </c:dateAx>
      <c:valAx>
        <c:axId val="1072952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out"/>
        <c:minorTickMark val="out"/>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957472"/>
        <c:crosses val="autoZero"/>
        <c:crossBetween val="midCat"/>
        <c:minorUnit val="0.25"/>
      </c:valAx>
      <c:valAx>
        <c:axId val="1612243471"/>
        <c:scaling>
          <c:orientation val="minMax"/>
        </c:scaling>
        <c:delete val="0"/>
        <c:axPos val="r"/>
        <c:numFmt formatCode="0.0\°\ \(\C\)"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838255"/>
        <c:crosses val="max"/>
        <c:crossBetween val="between"/>
      </c:valAx>
      <c:dateAx>
        <c:axId val="1637838255"/>
        <c:scaling>
          <c:orientation val="minMax"/>
        </c:scaling>
        <c:delete val="1"/>
        <c:axPos val="b"/>
        <c:numFmt formatCode="m/d/yyyy" sourceLinked="1"/>
        <c:majorTickMark val="out"/>
        <c:minorTickMark val="none"/>
        <c:tickLblPos val="nextTo"/>
        <c:crossAx val="1612243471"/>
        <c:auto val="1"/>
        <c:lblOffset val="100"/>
        <c:baseTimeUnit val="days"/>
        <c:majorUnit val="1"/>
        <c:minorUnit val="1"/>
      </c:dateAx>
      <c:spPr>
        <a:noFill/>
        <a:ln>
          <a:noFill/>
        </a:ln>
        <a:effectLst/>
      </c:spPr>
    </c:plotArea>
    <c:legend>
      <c:legendPos val="b"/>
      <c:layout>
        <c:manualLayout>
          <c:xMode val="edge"/>
          <c:yMode val="edge"/>
          <c:x val="0.66121281714785651"/>
          <c:y val="1.1698537682789651E-2"/>
          <c:w val="0.3359076990376203"/>
          <c:h val="0.1426528580479164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121920</xdr:colOff>
      <xdr:row>1</xdr:row>
      <xdr:rowOff>53340</xdr:rowOff>
    </xdr:from>
    <xdr:to>
      <xdr:col>8</xdr:col>
      <xdr:colOff>426720</xdr:colOff>
      <xdr:row>18</xdr:row>
      <xdr:rowOff>38100</xdr:rowOff>
    </xdr:to>
    <xdr:graphicFrame macro="">
      <xdr:nvGraphicFramePr>
        <xdr:cNvPr id="2" name="Chart 1">
          <a:extLst>
            <a:ext uri="{FF2B5EF4-FFF2-40B4-BE49-F238E27FC236}">
              <a16:creationId xmlns:a16="http://schemas.microsoft.com/office/drawing/2014/main" id="{80CAB3DB-791D-4F73-85EC-9F03EAE9E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089DF-FA48-4B21-8D7E-AA398C394437}">
  <sheetPr>
    <tabColor theme="7" tint="0.59999389629810485"/>
  </sheetPr>
  <dimension ref="C2:D17"/>
  <sheetViews>
    <sheetView workbookViewId="0">
      <selection activeCell="C18" sqref="C18"/>
    </sheetView>
  </sheetViews>
  <sheetFormatPr defaultRowHeight="14.4" x14ac:dyDescent="0.3"/>
  <sheetData>
    <row r="2" spans="3:4" x14ac:dyDescent="0.3">
      <c r="C2" t="s">
        <v>18</v>
      </c>
      <c r="D2" s="16" t="s">
        <v>19</v>
      </c>
    </row>
    <row r="3" spans="3:4" x14ac:dyDescent="0.3">
      <c r="C3">
        <v>1</v>
      </c>
      <c r="D3" t="s">
        <v>21</v>
      </c>
    </row>
    <row r="4" spans="3:4" x14ac:dyDescent="0.3">
      <c r="C4" t="s">
        <v>22</v>
      </c>
      <c r="D4" t="s">
        <v>23</v>
      </c>
    </row>
    <row r="5" spans="3:4" x14ac:dyDescent="0.3">
      <c r="C5">
        <v>2</v>
      </c>
      <c r="D5" t="s">
        <v>20</v>
      </c>
    </row>
    <row r="7" spans="3:4" x14ac:dyDescent="0.3">
      <c r="C7">
        <v>3</v>
      </c>
      <c r="D7" t="s">
        <v>26</v>
      </c>
    </row>
    <row r="8" spans="3:4" x14ac:dyDescent="0.3">
      <c r="C8" t="s">
        <v>24</v>
      </c>
      <c r="D8" t="s">
        <v>27</v>
      </c>
    </row>
    <row r="9" spans="3:4" x14ac:dyDescent="0.3">
      <c r="C9" t="s">
        <v>25</v>
      </c>
      <c r="D9" t="s">
        <v>23</v>
      </c>
    </row>
    <row r="12" spans="3:4" x14ac:dyDescent="0.3">
      <c r="C12" s="19" t="s">
        <v>28</v>
      </c>
    </row>
    <row r="13" spans="3:4" x14ac:dyDescent="0.3">
      <c r="C13" t="s">
        <v>29</v>
      </c>
    </row>
    <row r="15" spans="3:4" x14ac:dyDescent="0.3">
      <c r="C15" s="22"/>
      <c r="D15" t="s">
        <v>30</v>
      </c>
    </row>
    <row r="16" spans="3:4" x14ac:dyDescent="0.3">
      <c r="C16" s="21"/>
      <c r="D16" t="s">
        <v>31</v>
      </c>
    </row>
    <row r="17" spans="3:3" x14ac:dyDescent="0.3">
      <c r="C17" s="16" t="s">
        <v>32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J693"/>
  <sheetViews>
    <sheetView workbookViewId="0">
      <pane ySplit="2" topLeftCell="A96" activePane="bottomLeft" state="frozen"/>
      <selection activeCell="B46" sqref="B46"/>
      <selection pane="bottomLeft" activeCell="J38" sqref="J38"/>
    </sheetView>
  </sheetViews>
  <sheetFormatPr defaultRowHeight="14.4" x14ac:dyDescent="0.3"/>
  <cols>
    <col min="1" max="1" width="15.77734375" style="1" customWidth="1"/>
    <col min="2" max="2" width="12.77734375" style="17" hidden="1" customWidth="1"/>
    <col min="3" max="3" width="15.77734375" style="9" hidden="1" customWidth="1"/>
    <col min="4" max="4" width="12.77734375" style="9" customWidth="1"/>
    <col min="5" max="5" width="20.77734375" style="7" customWidth="1"/>
    <col min="6" max="6" width="20.77734375" style="2" customWidth="1"/>
    <col min="7" max="7" width="12.77734375" style="6" customWidth="1"/>
    <col min="8" max="8" width="20.77734375" style="2" customWidth="1"/>
    <col min="13" max="13" width="8.88671875" customWidth="1"/>
  </cols>
  <sheetData>
    <row r="1" spans="1:9" s="12" customFormat="1" ht="14.4" customHeight="1" x14ac:dyDescent="0.3">
      <c r="A1" s="46" t="s">
        <v>1</v>
      </c>
      <c r="B1" s="47"/>
      <c r="C1" s="47"/>
      <c r="D1" s="47"/>
      <c r="E1" s="47"/>
      <c r="F1" s="47"/>
      <c r="G1" s="47"/>
      <c r="H1" s="48"/>
      <c r="I1" s="18" t="s">
        <v>14</v>
      </c>
    </row>
    <row r="2" spans="1:9" ht="36.6" thickBot="1" x14ac:dyDescent="0.35">
      <c r="A2" s="10" t="s">
        <v>12</v>
      </c>
      <c r="B2" s="10" t="s">
        <v>13</v>
      </c>
      <c r="C2" s="13" t="s">
        <v>2</v>
      </c>
      <c r="D2" s="11" t="s">
        <v>3</v>
      </c>
      <c r="E2" s="10" t="s">
        <v>5</v>
      </c>
      <c r="F2" s="10" t="s">
        <v>6</v>
      </c>
      <c r="G2" s="14" t="s">
        <v>4</v>
      </c>
      <c r="H2" s="20" t="s">
        <v>7</v>
      </c>
    </row>
    <row r="3" spans="1:9" x14ac:dyDescent="0.3">
      <c r="A3" s="1">
        <v>46228</v>
      </c>
      <c r="C3" s="9">
        <f>_xlfn.XLOOKUP(Log!A3, 'Daily Summary'!A:A, 'Daily Summary'!C:C, "Not found!")</f>
        <v>0.78819444444444442</v>
      </c>
      <c r="D3" s="9">
        <v>0.79027777777777775</v>
      </c>
      <c r="E3" s="7">
        <v>32</v>
      </c>
      <c r="F3" s="2">
        <v>35</v>
      </c>
      <c r="G3" s="6">
        <f t="shared" ref="G3:G59" si="0">IF(AND($D3&lt;&gt;"", $C3&lt;&gt;""), ($D3-$C3)*1440, "")</f>
        <v>2.9999999999999893</v>
      </c>
      <c r="H3" s="2">
        <f>IF(AND($F3&lt;&gt;"",$E3&lt;&gt;""), $F3-$E3, "")</f>
        <v>3</v>
      </c>
    </row>
    <row r="4" spans="1:9" x14ac:dyDescent="0.3">
      <c r="A4" s="1">
        <v>46228</v>
      </c>
      <c r="C4" s="9">
        <f>_xlfn.XLOOKUP(Log!A4, 'Daily Summary'!A:A, 'Daily Summary'!C:C, "Not found!")</f>
        <v>0.78819444444444442</v>
      </c>
      <c r="D4" s="9">
        <v>0.7944444444444444</v>
      </c>
      <c r="E4" s="7">
        <v>41</v>
      </c>
      <c r="F4" s="2">
        <v>44</v>
      </c>
      <c r="G4" s="6">
        <f t="shared" si="0"/>
        <v>8.999999999999968</v>
      </c>
      <c r="H4" s="2">
        <f t="shared" ref="H4:H60" si="1">IF(AND($F4&lt;&gt;"",$E4&lt;&gt;""), $F4-$E4, "")</f>
        <v>3</v>
      </c>
    </row>
    <row r="5" spans="1:9" x14ac:dyDescent="0.3">
      <c r="A5" s="1">
        <v>46228</v>
      </c>
      <c r="C5" s="9">
        <f>_xlfn.XLOOKUP(Log!A5, 'Daily Summary'!A:A, 'Daily Summary'!C:C, "Not found!")</f>
        <v>0.78819444444444442</v>
      </c>
      <c r="D5" s="9">
        <v>0.80138888888888893</v>
      </c>
      <c r="E5" s="7">
        <v>49</v>
      </c>
      <c r="F5" s="2">
        <v>52</v>
      </c>
      <c r="G5" s="6">
        <f t="shared" si="0"/>
        <v>19.000000000000092</v>
      </c>
      <c r="H5" s="2">
        <f t="shared" si="1"/>
        <v>3</v>
      </c>
    </row>
    <row r="6" spans="1:9" x14ac:dyDescent="0.3">
      <c r="A6" s="1">
        <v>46228</v>
      </c>
      <c r="C6" s="9">
        <f>_xlfn.XLOOKUP(Log!A6, 'Daily Summary'!A:A, 'Daily Summary'!C:C, "Not found!")</f>
        <v>0.78819444444444442</v>
      </c>
      <c r="D6" s="9">
        <v>0.80555555555555558</v>
      </c>
      <c r="E6" s="7">
        <v>52</v>
      </c>
      <c r="F6" s="2">
        <v>55</v>
      </c>
      <c r="G6" s="6">
        <f t="shared" si="0"/>
        <v>25.000000000000071</v>
      </c>
      <c r="H6" s="2">
        <f t="shared" si="1"/>
        <v>3</v>
      </c>
    </row>
    <row r="7" spans="1:9" x14ac:dyDescent="0.3">
      <c r="A7" s="1">
        <v>46228</v>
      </c>
      <c r="C7" s="9">
        <f>_xlfn.XLOOKUP(Log!A7, 'Daily Summary'!A:A, 'Daily Summary'!C:C, "Not found!")</f>
        <v>0.78819444444444442</v>
      </c>
      <c r="D7" s="9">
        <v>0.81597222222222221</v>
      </c>
      <c r="E7" s="7">
        <v>57</v>
      </c>
      <c r="F7" s="2">
        <v>58</v>
      </c>
      <c r="G7" s="6">
        <f t="shared" si="0"/>
        <v>40.000000000000014</v>
      </c>
      <c r="H7" s="2">
        <f t="shared" si="1"/>
        <v>1</v>
      </c>
    </row>
    <row r="8" spans="1:9" x14ac:dyDescent="0.3">
      <c r="A8" s="1">
        <v>46228</v>
      </c>
      <c r="C8" s="9">
        <f>_xlfn.XLOOKUP(Log!A8, 'Daily Summary'!A:A, 'Daily Summary'!C:C, "Not found!")</f>
        <v>0.78819444444444442</v>
      </c>
      <c r="D8" s="9">
        <v>0.83194444444444449</v>
      </c>
      <c r="E8" s="7">
        <v>60</v>
      </c>
      <c r="F8" s="2">
        <v>61</v>
      </c>
      <c r="G8" s="6">
        <f t="shared" si="0"/>
        <v>63.000000000000099</v>
      </c>
      <c r="H8" s="2">
        <f t="shared" si="1"/>
        <v>1</v>
      </c>
    </row>
    <row r="9" spans="1:9" x14ac:dyDescent="0.3">
      <c r="A9" s="1">
        <v>46230</v>
      </c>
      <c r="C9" s="9">
        <f>_xlfn.XLOOKUP(Log!A9, 'Daily Summary'!A:A, 'Daily Summary'!C:C, "Not found!")</f>
        <v>0.42916666666666659</v>
      </c>
      <c r="D9" s="9">
        <v>0.43125000000000002</v>
      </c>
      <c r="E9" s="7">
        <v>32</v>
      </c>
      <c r="F9" s="2">
        <v>33</v>
      </c>
      <c r="G9" s="6">
        <f t="shared" si="0"/>
        <v>3.0000000000001492</v>
      </c>
      <c r="H9" s="2">
        <f t="shared" si="1"/>
        <v>1</v>
      </c>
    </row>
    <row r="10" spans="1:9" x14ac:dyDescent="0.3">
      <c r="A10" s="1">
        <v>46230</v>
      </c>
      <c r="C10" s="9">
        <f>_xlfn.XLOOKUP(Log!A10, 'Daily Summary'!A:A, 'Daily Summary'!C:C, "Not found!")</f>
        <v>0.42916666666666659</v>
      </c>
      <c r="D10" s="9">
        <v>0.43611111111111112</v>
      </c>
      <c r="E10" s="7">
        <v>42</v>
      </c>
      <c r="F10" s="2">
        <v>44</v>
      </c>
      <c r="G10" s="6">
        <f t="shared" si="0"/>
        <v>10.000000000000124</v>
      </c>
      <c r="H10" s="2">
        <f t="shared" si="1"/>
        <v>2</v>
      </c>
    </row>
    <row r="11" spans="1:9" x14ac:dyDescent="0.3">
      <c r="A11" s="1">
        <v>46230</v>
      </c>
      <c r="C11" s="9">
        <f>_xlfn.XLOOKUP(Log!A11, 'Daily Summary'!A:A, 'Daily Summary'!C:C, "Not found!")</f>
        <v>0.42916666666666659</v>
      </c>
      <c r="D11" s="9">
        <v>0.44027777777777782</v>
      </c>
      <c r="E11" s="7">
        <v>48</v>
      </c>
      <c r="F11" s="2">
        <v>49</v>
      </c>
      <c r="G11" s="6">
        <f t="shared" si="0"/>
        <v>16.000000000000185</v>
      </c>
      <c r="H11" s="2">
        <f t="shared" si="1"/>
        <v>1</v>
      </c>
    </row>
    <row r="12" spans="1:9" x14ac:dyDescent="0.3">
      <c r="A12" s="1">
        <v>46230</v>
      </c>
      <c r="C12" s="9">
        <f>_xlfn.XLOOKUP(Log!A12, 'Daily Summary'!A:A, 'Daily Summary'!C:C, "Not found!")</f>
        <v>0.42916666666666659</v>
      </c>
      <c r="D12" s="9">
        <v>0.44583333333333341</v>
      </c>
      <c r="E12" s="7">
        <v>51</v>
      </c>
      <c r="F12" s="2">
        <v>54</v>
      </c>
      <c r="G12" s="6">
        <f t="shared" si="0"/>
        <v>24.000000000000234</v>
      </c>
      <c r="H12" s="2">
        <f t="shared" si="1"/>
        <v>3</v>
      </c>
    </row>
    <row r="13" spans="1:9" x14ac:dyDescent="0.3">
      <c r="A13" s="1">
        <v>46230</v>
      </c>
      <c r="C13" s="9">
        <f>_xlfn.XLOOKUP(Log!A13, 'Daily Summary'!A:A, 'Daily Summary'!C:C, "Not found!")</f>
        <v>0.42916666666666659</v>
      </c>
      <c r="D13" s="9">
        <v>0.45902777777777781</v>
      </c>
      <c r="E13" s="7">
        <v>57</v>
      </c>
      <c r="F13" s="2">
        <v>60</v>
      </c>
      <c r="G13" s="6">
        <f t="shared" si="0"/>
        <v>43.000000000000171</v>
      </c>
      <c r="H13" s="2">
        <f t="shared" si="1"/>
        <v>3</v>
      </c>
    </row>
    <row r="14" spans="1:9" x14ac:dyDescent="0.3">
      <c r="A14" s="1">
        <v>46231</v>
      </c>
      <c r="C14" s="9">
        <f>_xlfn.XLOOKUP(Log!A14, 'Daily Summary'!A:A, 'Daily Summary'!C:C, "Not found!")</f>
        <v>0.38194444444444442</v>
      </c>
      <c r="D14" s="9">
        <v>0.3840277777777778</v>
      </c>
      <c r="E14" s="7">
        <v>31</v>
      </c>
      <c r="F14" s="2">
        <v>32</v>
      </c>
      <c r="G14" s="6">
        <f t="shared" si="0"/>
        <v>3.0000000000000693</v>
      </c>
      <c r="H14" s="2">
        <f t="shared" si="1"/>
        <v>1</v>
      </c>
    </row>
    <row r="15" spans="1:9" x14ac:dyDescent="0.3">
      <c r="A15" s="1">
        <v>46231</v>
      </c>
      <c r="C15" s="9">
        <f>_xlfn.XLOOKUP(Log!A15, 'Daily Summary'!A:A, 'Daily Summary'!C:C, "Not found!")</f>
        <v>0.38194444444444442</v>
      </c>
      <c r="D15" s="9">
        <v>0.3923611111111111</v>
      </c>
      <c r="E15" s="7">
        <v>47</v>
      </c>
      <c r="F15" s="2">
        <v>49</v>
      </c>
      <c r="G15" s="6">
        <f t="shared" si="0"/>
        <v>15.000000000000027</v>
      </c>
      <c r="H15" s="2">
        <f t="shared" si="1"/>
        <v>2</v>
      </c>
    </row>
    <row r="16" spans="1:9" x14ac:dyDescent="0.3">
      <c r="A16" s="1">
        <v>46231</v>
      </c>
      <c r="C16" s="9">
        <f>_xlfn.XLOOKUP(Log!A16, 'Daily Summary'!A:A, 'Daily Summary'!C:C, "Not found!")</f>
        <v>0.38194444444444442</v>
      </c>
      <c r="D16" s="9">
        <v>0.4</v>
      </c>
      <c r="E16" s="7">
        <v>52</v>
      </c>
      <c r="F16" s="2">
        <v>54</v>
      </c>
      <c r="G16" s="6">
        <f t="shared" si="0"/>
        <v>26.000000000000068</v>
      </c>
      <c r="H16" s="2">
        <f t="shared" si="1"/>
        <v>2</v>
      </c>
    </row>
    <row r="17" spans="1:8" x14ac:dyDescent="0.3">
      <c r="A17" s="1">
        <v>46231</v>
      </c>
      <c r="C17" s="9">
        <f>_xlfn.XLOOKUP(Log!A17, 'Daily Summary'!A:A, 'Daily Summary'!C:C, "Not found!")</f>
        <v>0.38194444444444442</v>
      </c>
      <c r="D17" s="9">
        <v>0.40555555555555561</v>
      </c>
      <c r="E17" s="7">
        <v>54</v>
      </c>
      <c r="F17" s="2">
        <v>58</v>
      </c>
      <c r="G17" s="6">
        <f t="shared" si="0"/>
        <v>34.000000000000121</v>
      </c>
      <c r="H17" s="2">
        <f t="shared" si="1"/>
        <v>4</v>
      </c>
    </row>
    <row r="18" spans="1:8" x14ac:dyDescent="0.3">
      <c r="A18" s="1">
        <v>46231</v>
      </c>
      <c r="C18" s="9">
        <f>_xlfn.XLOOKUP(Log!A18, 'Daily Summary'!A:A, 'Daily Summary'!C:C, "Not found!")</f>
        <v>0.38194444444444442</v>
      </c>
      <c r="D18" s="9">
        <v>0.41319444444444442</v>
      </c>
      <c r="E18" s="7">
        <v>57</v>
      </c>
      <c r="F18" s="2">
        <v>61</v>
      </c>
      <c r="G18" s="6">
        <f t="shared" si="0"/>
        <v>45</v>
      </c>
      <c r="H18" s="2">
        <f t="shared" si="1"/>
        <v>4</v>
      </c>
    </row>
    <row r="19" spans="1:8" x14ac:dyDescent="0.3">
      <c r="A19" s="1">
        <v>46232</v>
      </c>
      <c r="C19" s="9">
        <f>_xlfn.XLOOKUP(Log!A19, 'Daily Summary'!A:A, 'Daily Summary'!C:C, "Not found!")</f>
        <v>0.73472222222222228</v>
      </c>
      <c r="D19" s="9">
        <v>0.73611111111111116</v>
      </c>
      <c r="E19" s="7">
        <v>32</v>
      </c>
      <c r="F19" s="2">
        <v>33</v>
      </c>
      <c r="G19" s="6">
        <f t="shared" si="0"/>
        <v>1.9999999999999929</v>
      </c>
      <c r="H19" s="2">
        <f t="shared" si="1"/>
        <v>1</v>
      </c>
    </row>
    <row r="20" spans="1:8" x14ac:dyDescent="0.3">
      <c r="A20" s="1">
        <v>46232</v>
      </c>
      <c r="C20" s="9">
        <f>_xlfn.XLOOKUP(Log!A20, 'Daily Summary'!A:A, 'Daily Summary'!C:C, "Not found!")</f>
        <v>0.73472222222222228</v>
      </c>
      <c r="D20" s="9">
        <v>0.73888888888888893</v>
      </c>
      <c r="E20" s="7">
        <v>41</v>
      </c>
      <c r="F20" s="2">
        <v>42</v>
      </c>
      <c r="G20" s="6">
        <f t="shared" si="0"/>
        <v>5.9999999999999787</v>
      </c>
      <c r="H20" s="2">
        <f t="shared" si="1"/>
        <v>1</v>
      </c>
    </row>
    <row r="21" spans="1:8" x14ac:dyDescent="0.3">
      <c r="A21" s="1">
        <v>46232</v>
      </c>
      <c r="C21" s="9">
        <f>_xlfn.XLOOKUP(Log!A21, 'Daily Summary'!A:A, 'Daily Summary'!C:C, "Not found!")</f>
        <v>0.73472222222222228</v>
      </c>
      <c r="D21" s="9">
        <v>0.7416666666666667</v>
      </c>
      <c r="E21" s="7">
        <v>45</v>
      </c>
      <c r="F21" s="2">
        <v>48</v>
      </c>
      <c r="G21" s="6">
        <f t="shared" si="0"/>
        <v>9.9999999999999645</v>
      </c>
      <c r="H21" s="2">
        <f t="shared" si="1"/>
        <v>3</v>
      </c>
    </row>
    <row r="22" spans="1:8" x14ac:dyDescent="0.3">
      <c r="A22" s="1">
        <v>46232</v>
      </c>
      <c r="C22" s="9">
        <f>_xlfn.XLOOKUP(Log!A22, 'Daily Summary'!A:A, 'Daily Summary'!C:C, "Not found!")</f>
        <v>0.73472222222222228</v>
      </c>
      <c r="D22" s="9">
        <v>0.74583333333333335</v>
      </c>
      <c r="E22" s="7">
        <v>50</v>
      </c>
      <c r="F22" s="2">
        <v>52</v>
      </c>
      <c r="G22" s="6">
        <f t="shared" si="0"/>
        <v>15.999999999999943</v>
      </c>
      <c r="H22" s="2">
        <f t="shared" si="1"/>
        <v>2</v>
      </c>
    </row>
    <row r="23" spans="1:8" x14ac:dyDescent="0.3">
      <c r="A23" s="1">
        <v>46232</v>
      </c>
      <c r="C23" s="9">
        <f>_xlfn.XLOOKUP(Log!A23, 'Daily Summary'!A:A, 'Daily Summary'!C:C, "Not found!")</f>
        <v>0.73472222222222228</v>
      </c>
      <c r="D23" s="9">
        <v>0.74930555555555556</v>
      </c>
      <c r="E23" s="7">
        <v>52</v>
      </c>
      <c r="F23" s="2">
        <v>55</v>
      </c>
      <c r="G23" s="6">
        <f t="shared" si="0"/>
        <v>20.999999999999925</v>
      </c>
      <c r="H23" s="2">
        <f t="shared" si="1"/>
        <v>3</v>
      </c>
    </row>
    <row r="24" spans="1:8" x14ac:dyDescent="0.3">
      <c r="A24" s="1">
        <v>46233</v>
      </c>
      <c r="C24" s="9">
        <f>_xlfn.XLOOKUP(Log!A24, 'Daily Summary'!A:A, 'Daily Summary'!C:C, "Not found!")</f>
        <v>0.40972222222222221</v>
      </c>
      <c r="D24" s="9">
        <v>0.41111111111111109</v>
      </c>
      <c r="E24" s="7">
        <v>32</v>
      </c>
      <c r="F24" s="2">
        <v>33</v>
      </c>
      <c r="G24" s="6">
        <f t="shared" si="0"/>
        <v>1.9999999999999929</v>
      </c>
      <c r="H24" s="2">
        <f t="shared" si="1"/>
        <v>1</v>
      </c>
    </row>
    <row r="25" spans="1:8" x14ac:dyDescent="0.3">
      <c r="A25" s="1">
        <v>46233</v>
      </c>
      <c r="C25" s="9">
        <f>_xlfn.XLOOKUP(Log!A25, 'Daily Summary'!A:A, 'Daily Summary'!C:C, "Not found!")</f>
        <v>0.40972222222222221</v>
      </c>
      <c r="D25" s="9">
        <v>0.41319444444444442</v>
      </c>
      <c r="E25" s="7">
        <v>38</v>
      </c>
      <c r="F25" s="2">
        <v>41</v>
      </c>
      <c r="G25" s="6">
        <f t="shared" si="0"/>
        <v>4.9999999999999822</v>
      </c>
      <c r="H25" s="2">
        <f t="shared" si="1"/>
        <v>3</v>
      </c>
    </row>
    <row r="26" spans="1:8" x14ac:dyDescent="0.3">
      <c r="A26" s="1">
        <v>46233</v>
      </c>
      <c r="C26" s="9">
        <f>_xlfn.XLOOKUP(Log!A26, 'Daily Summary'!A:A, 'Daily Summary'!C:C, "Not found!")</f>
        <v>0.40972222222222221</v>
      </c>
      <c r="D26" s="9">
        <v>0.41666666666666669</v>
      </c>
      <c r="E26" s="7">
        <v>44</v>
      </c>
      <c r="F26" s="2">
        <v>45</v>
      </c>
      <c r="G26" s="6">
        <f t="shared" si="0"/>
        <v>10.000000000000044</v>
      </c>
      <c r="H26" s="2">
        <f t="shared" si="1"/>
        <v>1</v>
      </c>
    </row>
    <row r="27" spans="1:8" x14ac:dyDescent="0.3">
      <c r="A27" s="1">
        <v>46233</v>
      </c>
      <c r="C27" s="9">
        <f>_xlfn.XLOOKUP(Log!A27, 'Daily Summary'!A:A, 'Daily Summary'!C:C, "Not found!")</f>
        <v>0.40972222222222221</v>
      </c>
      <c r="D27" s="9">
        <v>0.41944444444444445</v>
      </c>
      <c r="E27" s="7">
        <v>47</v>
      </c>
      <c r="F27" s="2">
        <v>49</v>
      </c>
      <c r="G27" s="6">
        <f t="shared" si="0"/>
        <v>14.00000000000003</v>
      </c>
      <c r="H27" s="2">
        <f t="shared" si="1"/>
        <v>2</v>
      </c>
    </row>
    <row r="28" spans="1:8" x14ac:dyDescent="0.3">
      <c r="A28" s="1">
        <v>46233</v>
      </c>
      <c r="C28" s="9">
        <f>_xlfn.XLOOKUP(Log!A28, 'Daily Summary'!A:A, 'Daily Summary'!C:C, "Not found!")</f>
        <v>0.40972222222222221</v>
      </c>
      <c r="D28" s="9">
        <v>0.42222222222222222</v>
      </c>
      <c r="E28" s="7">
        <v>49</v>
      </c>
      <c r="F28" s="2">
        <v>52</v>
      </c>
      <c r="G28" s="6">
        <f t="shared" si="0"/>
        <v>18.000000000000014</v>
      </c>
      <c r="H28" s="2">
        <f t="shared" si="1"/>
        <v>3</v>
      </c>
    </row>
    <row r="29" spans="1:8" x14ac:dyDescent="0.3">
      <c r="A29" s="1">
        <v>46233</v>
      </c>
      <c r="C29" s="9">
        <f>_xlfn.XLOOKUP(Log!A29, 'Daily Summary'!A:A, 'Daily Summary'!C:C, "Not found!")</f>
        <v>0.40972222222222221</v>
      </c>
      <c r="D29" s="9">
        <v>0.42291666666666666</v>
      </c>
      <c r="E29" s="7">
        <v>51</v>
      </c>
      <c r="F29" s="2">
        <v>52</v>
      </c>
      <c r="G29" s="6">
        <f t="shared" si="0"/>
        <v>19.000000000000014</v>
      </c>
      <c r="H29" s="2">
        <f t="shared" si="1"/>
        <v>1</v>
      </c>
    </row>
    <row r="30" spans="1:8" x14ac:dyDescent="0.3">
      <c r="A30" s="1">
        <v>46233</v>
      </c>
      <c r="C30" s="9">
        <f>_xlfn.XLOOKUP(Log!A30, 'Daily Summary'!A:A, 'Daily Summary'!C:C, "Not found!")</f>
        <v>0.40972222222222221</v>
      </c>
      <c r="D30" s="9">
        <v>0.42638888888888887</v>
      </c>
      <c r="E30" s="7">
        <v>52</v>
      </c>
      <c r="F30" s="2">
        <v>55</v>
      </c>
      <c r="G30" s="6">
        <f t="shared" si="0"/>
        <v>23.999999999999993</v>
      </c>
      <c r="H30" s="2">
        <f t="shared" si="1"/>
        <v>3</v>
      </c>
    </row>
    <row r="31" spans="1:8" x14ac:dyDescent="0.3">
      <c r="A31" s="1">
        <v>46233</v>
      </c>
      <c r="C31" s="9">
        <f>_xlfn.XLOOKUP(Log!A31, 'Daily Summary'!A:A, 'Daily Summary'!C:C, "Not found!")</f>
        <v>0.40972222222222221</v>
      </c>
      <c r="D31" s="9">
        <v>0.4284722222222222</v>
      </c>
      <c r="E31" s="7">
        <v>54</v>
      </c>
      <c r="F31" s="2">
        <v>55</v>
      </c>
      <c r="G31" s="6">
        <f t="shared" si="0"/>
        <v>26.999999999999986</v>
      </c>
      <c r="H31" s="2">
        <f t="shared" si="1"/>
        <v>1</v>
      </c>
    </row>
    <row r="32" spans="1:8" x14ac:dyDescent="0.3">
      <c r="A32" s="1">
        <v>46234</v>
      </c>
      <c r="C32" s="9">
        <f>_xlfn.XLOOKUP(Log!A32, 'Daily Summary'!A:A, 'Daily Summary'!C:C, "Not found!")</f>
        <v>0.43055555555555558</v>
      </c>
      <c r="D32" s="9">
        <v>0.43194444444444446</v>
      </c>
      <c r="E32" s="7">
        <v>29</v>
      </c>
      <c r="F32" s="2">
        <v>32</v>
      </c>
      <c r="G32" s="6">
        <f t="shared" si="0"/>
        <v>1.9999999999999929</v>
      </c>
      <c r="H32" s="2">
        <f t="shared" si="1"/>
        <v>3</v>
      </c>
    </row>
    <row r="33" spans="1:10" x14ac:dyDescent="0.3">
      <c r="A33" s="1">
        <v>46234</v>
      </c>
      <c r="C33" s="9">
        <f>_xlfn.XLOOKUP(Log!A33, 'Daily Summary'!A:A, 'Daily Summary'!C:C, "Not found!")</f>
        <v>0.43055555555555558</v>
      </c>
      <c r="D33" s="9">
        <v>0.43472222222222223</v>
      </c>
      <c r="E33" s="7">
        <v>39</v>
      </c>
      <c r="F33" s="2">
        <v>41</v>
      </c>
      <c r="G33" s="6">
        <f t="shared" si="0"/>
        <v>5.9999999999999787</v>
      </c>
      <c r="H33" s="2">
        <f t="shared" si="1"/>
        <v>2</v>
      </c>
    </row>
    <row r="34" spans="1:10" x14ac:dyDescent="0.3">
      <c r="A34" s="1">
        <v>46234</v>
      </c>
      <c r="C34" s="9">
        <f>_xlfn.XLOOKUP(Log!A34, 'Daily Summary'!A:A, 'Daily Summary'!C:C, "Not found!")</f>
        <v>0.43055555555555558</v>
      </c>
      <c r="D34" s="9">
        <v>0.43888888888888888</v>
      </c>
      <c r="E34" s="7">
        <v>44</v>
      </c>
      <c r="F34" s="2">
        <v>47</v>
      </c>
      <c r="G34" s="6">
        <f t="shared" si="0"/>
        <v>11.999999999999957</v>
      </c>
      <c r="H34" s="2">
        <f t="shared" si="1"/>
        <v>3</v>
      </c>
    </row>
    <row r="35" spans="1:10" x14ac:dyDescent="0.3">
      <c r="A35" s="1">
        <v>46234</v>
      </c>
      <c r="C35" s="9">
        <f>_xlfn.XLOOKUP(Log!A35, 'Daily Summary'!A:A, 'Daily Summary'!C:C, "Not found!")</f>
        <v>0.43055555555555558</v>
      </c>
      <c r="D35" s="9">
        <v>0.44027777777777777</v>
      </c>
      <c r="E35" s="7">
        <v>47</v>
      </c>
      <c r="F35" s="2">
        <v>49</v>
      </c>
      <c r="G35" s="6">
        <f t="shared" si="0"/>
        <v>13.99999999999995</v>
      </c>
      <c r="H35" s="2">
        <f t="shared" si="1"/>
        <v>2</v>
      </c>
    </row>
    <row r="36" spans="1:10" x14ac:dyDescent="0.3">
      <c r="A36" s="1">
        <v>46234</v>
      </c>
      <c r="C36" s="9">
        <f>_xlfn.XLOOKUP(Log!A36, 'Daily Summary'!A:A, 'Daily Summary'!C:C, "Not found!")</f>
        <v>0.43055555555555558</v>
      </c>
      <c r="D36" s="9">
        <v>0.44513888888888886</v>
      </c>
      <c r="E36" s="7">
        <v>51</v>
      </c>
      <c r="F36" s="2">
        <v>52</v>
      </c>
      <c r="G36" s="6">
        <f t="shared" si="0"/>
        <v>20.999999999999925</v>
      </c>
      <c r="H36" s="2">
        <f t="shared" si="1"/>
        <v>1</v>
      </c>
    </row>
    <row r="37" spans="1:10" x14ac:dyDescent="0.3">
      <c r="A37" s="1">
        <v>46234</v>
      </c>
      <c r="C37" s="9">
        <f>_xlfn.XLOOKUP(Log!A37, 'Daily Summary'!A:A, 'Daily Summary'!C:C, "Not found!")</f>
        <v>0.43055555555555558</v>
      </c>
      <c r="D37" s="9">
        <v>0.44861111111111113</v>
      </c>
      <c r="E37" s="7">
        <v>54</v>
      </c>
      <c r="F37" s="2">
        <v>55</v>
      </c>
      <c r="G37" s="6">
        <f t="shared" si="0"/>
        <v>25.999999999999986</v>
      </c>
      <c r="H37" s="2">
        <f t="shared" si="1"/>
        <v>1</v>
      </c>
    </row>
    <row r="38" spans="1:10" x14ac:dyDescent="0.3">
      <c r="A38" s="1">
        <v>46235</v>
      </c>
      <c r="C38" s="9">
        <f>_xlfn.XLOOKUP(Log!A38, 'Daily Summary'!A:A, 'Daily Summary'!C:C, "Not found!")</f>
        <v>0.70625000000000004</v>
      </c>
      <c r="D38" s="9">
        <v>0.70763888888888893</v>
      </c>
      <c r="E38" s="7">
        <v>28</v>
      </c>
      <c r="F38" s="2">
        <v>30</v>
      </c>
      <c r="G38" s="6">
        <f t="shared" si="0"/>
        <v>1.9999999999999929</v>
      </c>
      <c r="H38" s="2">
        <f t="shared" si="1"/>
        <v>2</v>
      </c>
      <c r="J38" s="16" t="s">
        <v>33</v>
      </c>
    </row>
    <row r="39" spans="1:10" x14ac:dyDescent="0.3">
      <c r="A39" s="1">
        <v>46235</v>
      </c>
      <c r="C39" s="9">
        <f>_xlfn.XLOOKUP(Log!A39, 'Daily Summary'!A:A, 'Daily Summary'!C:C, "Not found!")</f>
        <v>0.70625000000000004</v>
      </c>
      <c r="D39" s="9">
        <v>0.7086689814814815</v>
      </c>
      <c r="E39" s="7">
        <v>32</v>
      </c>
      <c r="F39" s="2">
        <v>35</v>
      </c>
      <c r="G39" s="6">
        <f t="shared" si="0"/>
        <v>3.4833333333332916</v>
      </c>
      <c r="H39" s="2">
        <f t="shared" si="1"/>
        <v>3</v>
      </c>
    </row>
    <row r="40" spans="1:10" x14ac:dyDescent="0.3">
      <c r="A40" s="1">
        <v>46235</v>
      </c>
      <c r="C40" s="9">
        <f>_xlfn.XLOOKUP(Log!A40, 'Daily Summary'!A:A, 'Daily Summary'!C:C, "Not found!")</f>
        <v>0.70625000000000004</v>
      </c>
      <c r="D40" s="9">
        <v>0.71006944444444442</v>
      </c>
      <c r="E40" s="7">
        <v>36</v>
      </c>
      <c r="F40" s="2">
        <v>39</v>
      </c>
      <c r="G40" s="6">
        <f t="shared" si="0"/>
        <v>5.4999999999999005</v>
      </c>
      <c r="H40" s="2">
        <f t="shared" si="1"/>
        <v>3</v>
      </c>
    </row>
    <row r="41" spans="1:10" x14ac:dyDescent="0.3">
      <c r="A41" s="1">
        <v>46235</v>
      </c>
      <c r="C41" s="9">
        <f>_xlfn.XLOOKUP(Log!A41, 'Daily Summary'!A:A, 'Daily Summary'!C:C, "Not found!")</f>
        <v>0.70625000000000004</v>
      </c>
      <c r="D41" s="9">
        <v>0.71146990740740745</v>
      </c>
      <c r="E41" s="7">
        <v>39</v>
      </c>
      <c r="F41" s="2">
        <v>42</v>
      </c>
      <c r="G41" s="6">
        <f t="shared" si="0"/>
        <v>7.5166666666666693</v>
      </c>
      <c r="H41" s="2">
        <f t="shared" si="1"/>
        <v>3</v>
      </c>
    </row>
    <row r="42" spans="1:10" x14ac:dyDescent="0.3">
      <c r="A42" s="1">
        <v>46235</v>
      </c>
      <c r="C42" s="9">
        <f>_xlfn.XLOOKUP(Log!A42, 'Daily Summary'!A:A, 'Daily Summary'!C:C, "Not found!")</f>
        <v>0.70625000000000004</v>
      </c>
      <c r="D42" s="9">
        <v>0.71285879629629634</v>
      </c>
      <c r="E42" s="7">
        <v>42</v>
      </c>
      <c r="F42" s="2">
        <v>45</v>
      </c>
      <c r="G42" s="6">
        <f t="shared" si="0"/>
        <v>9.5166666666666622</v>
      </c>
      <c r="H42" s="2">
        <f t="shared" si="1"/>
        <v>3</v>
      </c>
    </row>
    <row r="43" spans="1:10" x14ac:dyDescent="0.3">
      <c r="A43" s="1">
        <v>46235</v>
      </c>
      <c r="C43" s="9">
        <f>_xlfn.XLOOKUP(Log!A43, 'Daily Summary'!A:A, 'Daily Summary'!C:C, "Not found!")</f>
        <v>0.70625000000000004</v>
      </c>
      <c r="D43" s="9">
        <v>0.71425925925925926</v>
      </c>
      <c r="E43" s="7">
        <v>44</v>
      </c>
      <c r="F43" s="2">
        <v>45</v>
      </c>
      <c r="G43" s="6">
        <f t="shared" si="0"/>
        <v>11.533333333333271</v>
      </c>
      <c r="H43" s="2">
        <f t="shared" si="1"/>
        <v>1</v>
      </c>
    </row>
    <row r="44" spans="1:10" x14ac:dyDescent="0.3">
      <c r="A44" s="1">
        <v>46235</v>
      </c>
      <c r="C44" s="9">
        <f>_xlfn.XLOOKUP(Log!A44, 'Daily Summary'!A:A, 'Daily Summary'!C:C, "Not found!")</f>
        <v>0.70625000000000004</v>
      </c>
      <c r="D44" s="9">
        <v>0.71564814814814814</v>
      </c>
      <c r="E44" s="7">
        <v>45</v>
      </c>
      <c r="F44" s="2">
        <v>48</v>
      </c>
      <c r="G44" s="6">
        <f t="shared" si="0"/>
        <v>13.533333333333264</v>
      </c>
      <c r="H44" s="2">
        <f t="shared" si="1"/>
        <v>3</v>
      </c>
    </row>
    <row r="45" spans="1:10" x14ac:dyDescent="0.3">
      <c r="A45" s="1">
        <v>46235</v>
      </c>
      <c r="C45" s="9">
        <f>_xlfn.XLOOKUP(Log!A45, 'Daily Summary'!A:A, 'Daily Summary'!C:C, "Not found!")</f>
        <v>0.70625000000000004</v>
      </c>
      <c r="D45" s="9">
        <v>0.71704861111111107</v>
      </c>
      <c r="E45" s="7">
        <v>48</v>
      </c>
      <c r="F45" s="2">
        <v>49</v>
      </c>
      <c r="G45" s="6">
        <f t="shared" si="0"/>
        <v>15.549999999999873</v>
      </c>
      <c r="H45" s="2">
        <f t="shared" si="1"/>
        <v>1</v>
      </c>
    </row>
    <row r="46" spans="1:10" x14ac:dyDescent="0.3">
      <c r="A46" s="1">
        <v>46235</v>
      </c>
      <c r="C46" s="9">
        <f>_xlfn.XLOOKUP(Log!A46, 'Daily Summary'!A:A, 'Daily Summary'!C:C, "Not found!")</f>
        <v>0.70625000000000004</v>
      </c>
      <c r="D46" s="9">
        <v>0.71843749999999995</v>
      </c>
      <c r="E46" s="7">
        <v>48</v>
      </c>
      <c r="F46" s="2">
        <v>51</v>
      </c>
      <c r="G46" s="6">
        <f t="shared" si="0"/>
        <v>17.549999999999866</v>
      </c>
      <c r="H46" s="2">
        <f t="shared" si="1"/>
        <v>3</v>
      </c>
    </row>
    <row r="47" spans="1:10" x14ac:dyDescent="0.3">
      <c r="A47" s="1">
        <v>46235</v>
      </c>
      <c r="C47" s="9">
        <f>_xlfn.XLOOKUP(Log!A47, 'Daily Summary'!A:A, 'Daily Summary'!C:C, "Not found!")</f>
        <v>0.70625000000000004</v>
      </c>
      <c r="D47" s="9">
        <v>0.71983796296296299</v>
      </c>
      <c r="E47" s="7">
        <v>49</v>
      </c>
      <c r="F47" s="2">
        <v>52</v>
      </c>
      <c r="G47" s="6">
        <f t="shared" si="0"/>
        <v>19.566666666666634</v>
      </c>
      <c r="H47" s="2">
        <f t="shared" si="1"/>
        <v>3</v>
      </c>
    </row>
    <row r="48" spans="1:10" x14ac:dyDescent="0.3">
      <c r="A48" s="1">
        <v>46235</v>
      </c>
      <c r="C48" s="9">
        <f>_xlfn.XLOOKUP(Log!A48, 'Daily Summary'!A:A, 'Daily Summary'!C:C, "Not found!")</f>
        <v>0.70625000000000004</v>
      </c>
      <c r="D48" s="9">
        <v>0.72123842592592591</v>
      </c>
      <c r="E48" s="7">
        <v>51</v>
      </c>
      <c r="F48" s="2">
        <v>52</v>
      </c>
      <c r="G48" s="6">
        <f t="shared" si="0"/>
        <v>21.583333333333243</v>
      </c>
      <c r="H48" s="2">
        <f t="shared" si="1"/>
        <v>1</v>
      </c>
    </row>
    <row r="49" spans="1:8" x14ac:dyDescent="0.3">
      <c r="A49" s="1">
        <v>46235</v>
      </c>
      <c r="C49" s="9">
        <f>_xlfn.XLOOKUP(Log!A49, 'Daily Summary'!A:A, 'Daily Summary'!C:C, "Not found!")</f>
        <v>0.70625000000000004</v>
      </c>
      <c r="D49" s="9">
        <v>0.72262731481481479</v>
      </c>
      <c r="E49" s="7">
        <v>51</v>
      </c>
      <c r="F49" s="2">
        <v>54</v>
      </c>
      <c r="G49" s="6">
        <f t="shared" si="0"/>
        <v>23.583333333333236</v>
      </c>
      <c r="H49" s="2">
        <f t="shared" si="1"/>
        <v>3</v>
      </c>
    </row>
    <row r="50" spans="1:8" x14ac:dyDescent="0.3">
      <c r="A50" s="1">
        <v>46235</v>
      </c>
      <c r="C50" s="9">
        <f>_xlfn.XLOOKUP(Log!A50, 'Daily Summary'!A:A, 'Daily Summary'!C:C, "Not found!")</f>
        <v>0.70625000000000004</v>
      </c>
      <c r="D50" s="9">
        <v>0.72401620370370368</v>
      </c>
      <c r="E50" s="7">
        <v>52</v>
      </c>
      <c r="F50" s="2">
        <v>55</v>
      </c>
      <c r="G50" s="6">
        <f t="shared" si="0"/>
        <v>25.583333333333229</v>
      </c>
      <c r="H50" s="2">
        <f t="shared" si="1"/>
        <v>3</v>
      </c>
    </row>
    <row r="51" spans="1:8" x14ac:dyDescent="0.3">
      <c r="A51" s="1">
        <v>46237</v>
      </c>
      <c r="C51" s="9">
        <f>_xlfn.XLOOKUP(Log!A51, 'Daily Summary'!A:A, 'Daily Summary'!C:C, "Not found!")</f>
        <v>0.40972222222222221</v>
      </c>
      <c r="D51" s="9">
        <v>0.41188657407407409</v>
      </c>
      <c r="E51" s="7">
        <v>32</v>
      </c>
      <c r="F51" s="2">
        <v>35</v>
      </c>
      <c r="G51" s="6">
        <f t="shared" si="0"/>
        <v>3.1166666666667009</v>
      </c>
      <c r="H51" s="2">
        <f t="shared" si="1"/>
        <v>3</v>
      </c>
    </row>
    <row r="52" spans="1:8" x14ac:dyDescent="0.3">
      <c r="A52" s="1">
        <v>46237</v>
      </c>
      <c r="C52" s="9">
        <f>_xlfn.XLOOKUP(Log!A52, 'Daily Summary'!A:A, 'Daily Summary'!C:C, "Not found!")</f>
        <v>0.40972222222222221</v>
      </c>
      <c r="D52" s="9">
        <v>0.41328703703703706</v>
      </c>
      <c r="E52" s="7">
        <v>38</v>
      </c>
      <c r="F52" s="2">
        <v>38</v>
      </c>
      <c r="G52" s="6">
        <f t="shared" si="0"/>
        <v>5.1333333333333897</v>
      </c>
      <c r="H52" s="2">
        <f t="shared" si="1"/>
        <v>0</v>
      </c>
    </row>
    <row r="53" spans="1:8" x14ac:dyDescent="0.3">
      <c r="A53" s="1">
        <v>46237</v>
      </c>
      <c r="C53" s="9">
        <f>_xlfn.XLOOKUP(Log!A53, 'Daily Summary'!A:A, 'Daily Summary'!C:C, "Not found!")</f>
        <v>0.40972222222222221</v>
      </c>
      <c r="D53" s="9">
        <v>0.41467592592592595</v>
      </c>
      <c r="E53" s="7">
        <v>41</v>
      </c>
      <c r="F53" s="2">
        <v>41</v>
      </c>
      <c r="G53" s="6">
        <f t="shared" si="0"/>
        <v>7.1333333333333826</v>
      </c>
      <c r="H53" s="2">
        <f t="shared" si="1"/>
        <v>0</v>
      </c>
    </row>
    <row r="54" spans="1:8" x14ac:dyDescent="0.3">
      <c r="A54" s="1">
        <v>46237</v>
      </c>
      <c r="C54" s="9">
        <f>_xlfn.XLOOKUP(Log!A54, 'Daily Summary'!A:A, 'Daily Summary'!C:C, "Not found!")</f>
        <v>0.40972222222222221</v>
      </c>
      <c r="D54" s="9">
        <v>0.41607638888888887</v>
      </c>
      <c r="E54" s="7">
        <v>41</v>
      </c>
      <c r="F54" s="2">
        <v>44</v>
      </c>
      <c r="G54" s="6">
        <f t="shared" si="0"/>
        <v>9.1499999999999915</v>
      </c>
      <c r="H54" s="2">
        <f t="shared" si="1"/>
        <v>3</v>
      </c>
    </row>
    <row r="55" spans="1:8" x14ac:dyDescent="0.3">
      <c r="A55" s="1">
        <v>46237</v>
      </c>
      <c r="C55" s="9">
        <f>_xlfn.XLOOKUP(Log!A55, 'Daily Summary'!A:A, 'Daily Summary'!C:C, "Not found!")</f>
        <v>0.40972222222222221</v>
      </c>
      <c r="D55" s="9">
        <v>0.41747685185185185</v>
      </c>
      <c r="E55" s="7">
        <v>44</v>
      </c>
      <c r="F55" s="2">
        <v>44</v>
      </c>
      <c r="G55" s="6">
        <f t="shared" si="0"/>
        <v>11.16666666666668</v>
      </c>
      <c r="H55" s="2">
        <f t="shared" si="1"/>
        <v>0</v>
      </c>
    </row>
    <row r="56" spans="1:8" x14ac:dyDescent="0.3">
      <c r="A56" s="1">
        <v>46237</v>
      </c>
      <c r="C56" s="9">
        <f>_xlfn.XLOOKUP(Log!A56, 'Daily Summary'!A:A, 'Daily Summary'!C:C, "Not found!")</f>
        <v>0.40972222222222221</v>
      </c>
      <c r="D56" s="9">
        <v>0.41886574074074073</v>
      </c>
      <c r="E56" s="7">
        <v>47</v>
      </c>
      <c r="F56" s="2">
        <v>47</v>
      </c>
      <c r="G56" s="6">
        <f t="shared" si="0"/>
        <v>13.166666666666673</v>
      </c>
      <c r="H56" s="2">
        <f t="shared" si="1"/>
        <v>0</v>
      </c>
    </row>
    <row r="57" spans="1:8" x14ac:dyDescent="0.3">
      <c r="A57" s="1">
        <v>46237</v>
      </c>
      <c r="C57" s="9">
        <f>_xlfn.XLOOKUP(Log!A57, 'Daily Summary'!A:A, 'Daily Summary'!C:C, "Not found!")</f>
        <v>0.40972222222222221</v>
      </c>
      <c r="D57" s="9">
        <v>0.42026620370370371</v>
      </c>
      <c r="E57" s="7">
        <v>47</v>
      </c>
      <c r="F57" s="2">
        <v>49</v>
      </c>
      <c r="G57" s="6">
        <f t="shared" si="0"/>
        <v>15.183333333333362</v>
      </c>
      <c r="H57" s="2">
        <f t="shared" si="1"/>
        <v>2</v>
      </c>
    </row>
    <row r="58" spans="1:8" x14ac:dyDescent="0.3">
      <c r="A58" s="1">
        <v>46237</v>
      </c>
      <c r="C58" s="9">
        <f>_xlfn.XLOOKUP(Log!A58, 'Daily Summary'!A:A, 'Daily Summary'!C:C, "Not found!")</f>
        <v>0.40972222222222221</v>
      </c>
      <c r="D58" s="9">
        <v>0.42166666666666669</v>
      </c>
      <c r="E58" s="7">
        <v>49</v>
      </c>
      <c r="F58" s="2">
        <v>49</v>
      </c>
      <c r="G58" s="6">
        <f t="shared" si="0"/>
        <v>17.200000000000053</v>
      </c>
      <c r="H58" s="2">
        <f t="shared" si="1"/>
        <v>0</v>
      </c>
    </row>
    <row r="59" spans="1:8" x14ac:dyDescent="0.3">
      <c r="A59" s="1">
        <v>46237</v>
      </c>
      <c r="C59" s="9">
        <f>_xlfn.XLOOKUP(Log!A59, 'Daily Summary'!A:A, 'Daily Summary'!C:C, "Not found!")</f>
        <v>0.40972222222222221</v>
      </c>
      <c r="D59" s="9">
        <v>0.42306712962962961</v>
      </c>
      <c r="E59" s="7">
        <v>49</v>
      </c>
      <c r="F59" s="2">
        <v>52</v>
      </c>
      <c r="G59" s="6">
        <f t="shared" si="0"/>
        <v>19.216666666666661</v>
      </c>
      <c r="H59" s="2">
        <f t="shared" si="1"/>
        <v>3</v>
      </c>
    </row>
    <row r="60" spans="1:8" x14ac:dyDescent="0.3">
      <c r="A60" s="1">
        <v>46237</v>
      </c>
      <c r="C60" s="9">
        <f>_xlfn.XLOOKUP(Log!A60, 'Daily Summary'!A:A, 'Daily Summary'!C:C, "Not found!")</f>
        <v>0.40972222222222221</v>
      </c>
      <c r="D60" s="9">
        <v>0.4244560185185185</v>
      </c>
      <c r="E60" s="7">
        <v>52</v>
      </c>
      <c r="F60" s="2">
        <v>52</v>
      </c>
      <c r="G60" s="6">
        <f t="shared" ref="G60:G123" si="2">IF(AND($D60&lt;&gt;"", $C60&lt;&gt;""), ($D60-$C60)*1440, "")</f>
        <v>21.216666666666654</v>
      </c>
      <c r="H60" s="2">
        <f t="shared" si="1"/>
        <v>0</v>
      </c>
    </row>
    <row r="61" spans="1:8" x14ac:dyDescent="0.3">
      <c r="A61" s="1">
        <v>46237</v>
      </c>
      <c r="C61" s="9">
        <f>_xlfn.XLOOKUP(Log!A61, 'Daily Summary'!A:A, 'Daily Summary'!C:C, "Not found!")</f>
        <v>0.40972222222222221</v>
      </c>
      <c r="D61" s="9">
        <v>0.42584490740740738</v>
      </c>
      <c r="E61" s="7">
        <v>52</v>
      </c>
      <c r="F61" s="2">
        <v>55</v>
      </c>
      <c r="G61" s="6">
        <f t="shared" si="2"/>
        <v>23.216666666666647</v>
      </c>
      <c r="H61" s="2">
        <f t="shared" ref="H61:H124" si="3">IF(AND($F61&lt;&gt;"",$E61&lt;&gt;""), $F61-$E61, "")</f>
        <v>3</v>
      </c>
    </row>
    <row r="62" spans="1:8" x14ac:dyDescent="0.3">
      <c r="A62" s="1">
        <v>46237</v>
      </c>
      <c r="C62" s="9">
        <f>_xlfn.XLOOKUP(Log!A62, 'Daily Summary'!A:A, 'Daily Summary'!C:C, "Not found!")</f>
        <v>0.40972222222222221</v>
      </c>
      <c r="D62" s="9">
        <v>0.42724537037037036</v>
      </c>
      <c r="E62" s="7">
        <v>52</v>
      </c>
      <c r="F62" s="2">
        <v>55</v>
      </c>
      <c r="G62" s="6">
        <f t="shared" si="2"/>
        <v>25.233333333333334</v>
      </c>
      <c r="H62" s="2">
        <f t="shared" si="3"/>
        <v>3</v>
      </c>
    </row>
    <row r="63" spans="1:8" x14ac:dyDescent="0.3">
      <c r="A63" s="1">
        <v>46237</v>
      </c>
      <c r="C63" s="9">
        <f>_xlfn.XLOOKUP(Log!A63, 'Daily Summary'!A:A, 'Daily Summary'!C:C, "Not found!")</f>
        <v>0.40972222222222221</v>
      </c>
      <c r="D63" s="9">
        <v>0.42863425925925924</v>
      </c>
      <c r="E63" s="7">
        <v>55</v>
      </c>
      <c r="F63" s="2">
        <v>55</v>
      </c>
      <c r="G63" s="6">
        <f t="shared" si="2"/>
        <v>27.233333333333327</v>
      </c>
      <c r="H63" s="2">
        <f t="shared" si="3"/>
        <v>0</v>
      </c>
    </row>
    <row r="64" spans="1:8" x14ac:dyDescent="0.3">
      <c r="A64" s="1">
        <v>46238</v>
      </c>
      <c r="C64" s="9">
        <f>_xlfn.XLOOKUP(Log!A64, 'Daily Summary'!A:A, 'Daily Summary'!C:C, "Not found!")</f>
        <v>0.42986111111111114</v>
      </c>
      <c r="D64" s="9">
        <v>0.43125000000000002</v>
      </c>
      <c r="E64" s="7">
        <v>29</v>
      </c>
      <c r="F64" s="2">
        <v>31</v>
      </c>
      <c r="G64" s="6">
        <f t="shared" si="2"/>
        <v>1.9999999999999929</v>
      </c>
      <c r="H64" s="2">
        <f t="shared" si="3"/>
        <v>2</v>
      </c>
    </row>
    <row r="65" spans="1:8" x14ac:dyDescent="0.3">
      <c r="A65" s="1">
        <v>46238</v>
      </c>
      <c r="C65" s="9">
        <f>_xlfn.XLOOKUP(Log!A65, 'Daily Summary'!A:A, 'Daily Summary'!C:C, "Not found!")</f>
        <v>0.42986111111111114</v>
      </c>
      <c r="D65" s="9">
        <v>0.43263888888888891</v>
      </c>
      <c r="E65" s="7">
        <v>35</v>
      </c>
      <c r="F65" s="2">
        <v>38</v>
      </c>
      <c r="G65" s="6">
        <f t="shared" si="2"/>
        <v>3.9999999999999858</v>
      </c>
      <c r="H65" s="2">
        <f t="shared" si="3"/>
        <v>3</v>
      </c>
    </row>
    <row r="66" spans="1:8" x14ac:dyDescent="0.3">
      <c r="A66" s="1">
        <v>46238</v>
      </c>
      <c r="C66" s="9">
        <f>_xlfn.XLOOKUP(Log!A66, 'Daily Summary'!A:A, 'Daily Summary'!C:C, "Not found!")</f>
        <v>0.42986111111111114</v>
      </c>
      <c r="D66" s="9">
        <v>0.43611111111111112</v>
      </c>
      <c r="E66" s="7">
        <v>41</v>
      </c>
      <c r="F66" s="2">
        <v>44</v>
      </c>
      <c r="G66" s="6">
        <f t="shared" si="2"/>
        <v>8.999999999999968</v>
      </c>
      <c r="H66" s="2">
        <f t="shared" si="3"/>
        <v>3</v>
      </c>
    </row>
    <row r="67" spans="1:8" x14ac:dyDescent="0.3">
      <c r="A67" s="1">
        <v>46238</v>
      </c>
      <c r="C67" s="9">
        <f>_xlfn.XLOOKUP(Log!A67, 'Daily Summary'!A:A, 'Daily Summary'!C:C, "Not found!")</f>
        <v>0.42986111111111114</v>
      </c>
      <c r="D67" s="9">
        <v>0.44166666666666665</v>
      </c>
      <c r="E67" s="7">
        <v>49</v>
      </c>
      <c r="F67" s="2">
        <v>51</v>
      </c>
      <c r="G67" s="6">
        <f t="shared" si="2"/>
        <v>16.99999999999994</v>
      </c>
      <c r="H67" s="2">
        <f t="shared" si="3"/>
        <v>2</v>
      </c>
    </row>
    <row r="68" spans="1:8" x14ac:dyDescent="0.3">
      <c r="A68" s="1">
        <v>46238</v>
      </c>
      <c r="C68" s="9">
        <f>_xlfn.XLOOKUP(Log!A68, 'Daily Summary'!A:A, 'Daily Summary'!C:C, "Not found!")</f>
        <v>0.42986111111111114</v>
      </c>
      <c r="D68" s="9">
        <v>0.43334490740740739</v>
      </c>
      <c r="E68" s="7">
        <v>38</v>
      </c>
      <c r="F68" s="2">
        <v>39</v>
      </c>
      <c r="G68" s="6">
        <f t="shared" si="2"/>
        <v>5.0166666666665982</v>
      </c>
      <c r="H68" s="2">
        <f t="shared" si="3"/>
        <v>1</v>
      </c>
    </row>
    <row r="69" spans="1:8" x14ac:dyDescent="0.3">
      <c r="A69" s="1">
        <v>46238</v>
      </c>
      <c r="C69" s="9">
        <f>_xlfn.XLOOKUP(Log!A69, 'Daily Summary'!A:A, 'Daily Summary'!C:C, "Not found!")</f>
        <v>0.42986111111111114</v>
      </c>
      <c r="D69" s="9">
        <v>0.43752314814814813</v>
      </c>
      <c r="E69" s="7">
        <v>44</v>
      </c>
      <c r="F69" s="2">
        <v>45</v>
      </c>
      <c r="G69" s="6">
        <f t="shared" si="2"/>
        <v>11.033333333333273</v>
      </c>
      <c r="H69" s="2">
        <f t="shared" si="3"/>
        <v>1</v>
      </c>
    </row>
    <row r="70" spans="1:8" x14ac:dyDescent="0.3">
      <c r="A70" s="1">
        <v>46238</v>
      </c>
      <c r="C70" s="9">
        <f>_xlfn.XLOOKUP(Log!A70, 'Daily Summary'!A:A, 'Daily Summary'!C:C, "Not found!")</f>
        <v>0.42986111111111114</v>
      </c>
      <c r="D70" s="9">
        <v>0.43892361111111111</v>
      </c>
      <c r="E70" s="7">
        <v>47</v>
      </c>
      <c r="F70" s="2">
        <v>48</v>
      </c>
      <c r="G70" s="6">
        <f t="shared" si="2"/>
        <v>13.049999999999962</v>
      </c>
      <c r="H70" s="2">
        <f t="shared" si="3"/>
        <v>1</v>
      </c>
    </row>
    <row r="71" spans="1:8" x14ac:dyDescent="0.3">
      <c r="A71" s="1">
        <v>46238</v>
      </c>
      <c r="C71" s="9">
        <f>_xlfn.XLOOKUP(Log!A71, 'Daily Summary'!A:A, 'Daily Summary'!C:C, "Not found!")</f>
        <v>0.42986111111111114</v>
      </c>
      <c r="D71" s="9">
        <v>0.4403125</v>
      </c>
      <c r="E71" s="7">
        <v>47</v>
      </c>
      <c r="F71" s="2">
        <v>49</v>
      </c>
      <c r="G71" s="6">
        <f t="shared" si="2"/>
        <v>15.049999999999955</v>
      </c>
      <c r="H71" s="2">
        <f t="shared" si="3"/>
        <v>2</v>
      </c>
    </row>
    <row r="72" spans="1:8" x14ac:dyDescent="0.3">
      <c r="A72" s="1">
        <v>46238</v>
      </c>
      <c r="C72" s="9">
        <f>_xlfn.XLOOKUP(Log!A72, 'Daily Summary'!A:A, 'Daily Summary'!C:C, "Not found!")</f>
        <v>0.42986111111111114</v>
      </c>
      <c r="D72" s="9">
        <v>0.44310185185185186</v>
      </c>
      <c r="E72" s="7">
        <v>49</v>
      </c>
      <c r="F72" s="2">
        <v>52</v>
      </c>
      <c r="G72" s="6">
        <f t="shared" si="2"/>
        <v>19.066666666666634</v>
      </c>
      <c r="H72" s="2">
        <f t="shared" si="3"/>
        <v>3</v>
      </c>
    </row>
    <row r="73" spans="1:8" x14ac:dyDescent="0.3">
      <c r="A73" s="1">
        <v>46238</v>
      </c>
      <c r="C73" s="9">
        <f>_xlfn.XLOOKUP(Log!A73, 'Daily Summary'!A:A, 'Daily Summary'!C:C, "Not found!")</f>
        <v>0.42986111111111114</v>
      </c>
      <c r="D73" s="9">
        <v>0.44449074074074074</v>
      </c>
      <c r="E73" s="7">
        <v>51</v>
      </c>
      <c r="F73" s="2">
        <v>52</v>
      </c>
      <c r="G73" s="6">
        <f t="shared" si="2"/>
        <v>21.066666666666627</v>
      </c>
      <c r="H73" s="2">
        <f t="shared" si="3"/>
        <v>1</v>
      </c>
    </row>
    <row r="74" spans="1:8" x14ac:dyDescent="0.3">
      <c r="A74" s="1">
        <v>46238</v>
      </c>
      <c r="C74" s="9">
        <f>_xlfn.XLOOKUP(Log!A74, 'Daily Summary'!A:A, 'Daily Summary'!C:C, "Not found!")</f>
        <v>0.42986111111111114</v>
      </c>
      <c r="D74" s="9">
        <v>0.44589120370370372</v>
      </c>
      <c r="E74" s="7">
        <v>52</v>
      </c>
      <c r="F74" s="2">
        <v>55</v>
      </c>
      <c r="G74" s="6">
        <f t="shared" si="2"/>
        <v>23.083333333333318</v>
      </c>
      <c r="H74" s="2">
        <f t="shared" si="3"/>
        <v>3</v>
      </c>
    </row>
    <row r="75" spans="1:8" x14ac:dyDescent="0.3">
      <c r="A75" s="1">
        <v>46238</v>
      </c>
      <c r="C75" s="9">
        <f>_xlfn.XLOOKUP(Log!A75, 'Daily Summary'!A:A, 'Daily Summary'!C:C, "Not found!")</f>
        <v>0.42986111111111114</v>
      </c>
      <c r="D75" s="9">
        <v>0.4472800925925926</v>
      </c>
      <c r="E75" s="7">
        <v>52</v>
      </c>
      <c r="F75" s="2">
        <v>55</v>
      </c>
      <c r="G75" s="6">
        <f t="shared" si="2"/>
        <v>25.083333333333311</v>
      </c>
      <c r="H75" s="2">
        <f t="shared" si="3"/>
        <v>3</v>
      </c>
    </row>
    <row r="76" spans="1:8" x14ac:dyDescent="0.3">
      <c r="A76" s="1">
        <v>46238</v>
      </c>
      <c r="C76" s="9">
        <f>_xlfn.XLOOKUP(Log!A76, 'Daily Summary'!A:A, 'Daily Summary'!C:C, "Not found!")</f>
        <v>0.42986111111111114</v>
      </c>
      <c r="D76" s="9">
        <v>0.44866898148148149</v>
      </c>
      <c r="E76" s="7">
        <v>54</v>
      </c>
      <c r="F76" s="2">
        <v>55</v>
      </c>
      <c r="G76" s="6">
        <f t="shared" si="2"/>
        <v>27.083333333333304</v>
      </c>
      <c r="H76" s="2">
        <f t="shared" si="3"/>
        <v>1</v>
      </c>
    </row>
    <row r="77" spans="1:8" x14ac:dyDescent="0.3">
      <c r="A77" s="1">
        <v>46238</v>
      </c>
      <c r="C77" s="9">
        <f>_xlfn.XLOOKUP(Log!A77, 'Daily Summary'!A:A, 'Daily Summary'!C:C, "Not found!")</f>
        <v>0.42986111111111114</v>
      </c>
      <c r="D77" s="9">
        <v>0.45005787037037037</v>
      </c>
      <c r="E77" s="7">
        <v>54</v>
      </c>
      <c r="F77" s="2">
        <v>55</v>
      </c>
      <c r="G77" s="6">
        <f t="shared" si="2"/>
        <v>29.083333333333297</v>
      </c>
      <c r="H77" s="2">
        <f t="shared" si="3"/>
        <v>1</v>
      </c>
    </row>
    <row r="78" spans="1:8" x14ac:dyDescent="0.3">
      <c r="A78" s="1">
        <v>46238</v>
      </c>
      <c r="C78" s="9">
        <f>_xlfn.XLOOKUP(Log!A78, 'Daily Summary'!A:A, 'Daily Summary'!C:C, "Not found!")</f>
        <v>0.42986111111111114</v>
      </c>
      <c r="D78" s="9">
        <v>0.45145833333333335</v>
      </c>
      <c r="E78" s="7">
        <v>55</v>
      </c>
      <c r="F78" s="2">
        <v>58</v>
      </c>
      <c r="G78" s="6">
        <f t="shared" si="2"/>
        <v>31.099999999999987</v>
      </c>
      <c r="H78" s="2">
        <f t="shared" si="3"/>
        <v>3</v>
      </c>
    </row>
    <row r="79" spans="1:8" x14ac:dyDescent="0.3">
      <c r="A79" s="1">
        <v>46239</v>
      </c>
      <c r="C79" s="9">
        <f>_xlfn.XLOOKUP(Log!A79, 'Daily Summary'!A:A, 'Daily Summary'!C:C, "Not found!")</f>
        <v>0.48333333333333334</v>
      </c>
      <c r="D79" s="9">
        <v>0.48472222222222222</v>
      </c>
      <c r="E79" s="7">
        <v>30</v>
      </c>
      <c r="F79" s="2">
        <v>31</v>
      </c>
      <c r="G79" s="6">
        <f t="shared" si="2"/>
        <v>1.9999999999999929</v>
      </c>
      <c r="H79" s="2">
        <f t="shared" si="3"/>
        <v>1</v>
      </c>
    </row>
    <row r="80" spans="1:8" x14ac:dyDescent="0.3">
      <c r="A80" s="1">
        <v>46239</v>
      </c>
      <c r="C80" s="9">
        <f>_xlfn.XLOOKUP(Log!A80, 'Daily Summary'!A:A, 'Daily Summary'!C:C, "Not found!")</f>
        <v>0.48333333333333334</v>
      </c>
      <c r="D80" s="9">
        <v>0.48716435185185186</v>
      </c>
      <c r="E80" s="7">
        <v>38</v>
      </c>
      <c r="F80" s="2">
        <v>39</v>
      </c>
      <c r="G80" s="6">
        <f t="shared" si="2"/>
        <v>5.5166666666666764</v>
      </c>
      <c r="H80" s="2">
        <f t="shared" si="3"/>
        <v>1</v>
      </c>
    </row>
    <row r="81" spans="1:8" x14ac:dyDescent="0.3">
      <c r="A81" s="1">
        <v>46239</v>
      </c>
      <c r="C81" s="9">
        <f>_xlfn.XLOOKUP(Log!A81, 'Daily Summary'!A:A, 'Daily Summary'!C:C, "Not found!")</f>
        <v>0.48333333333333334</v>
      </c>
      <c r="D81" s="9">
        <v>0.48856481481481484</v>
      </c>
      <c r="E81" s="7">
        <v>41</v>
      </c>
      <c r="F81" s="2">
        <v>42</v>
      </c>
      <c r="G81" s="6">
        <f t="shared" si="2"/>
        <v>7.5333333333333652</v>
      </c>
      <c r="H81" s="2">
        <f t="shared" si="3"/>
        <v>1</v>
      </c>
    </row>
    <row r="82" spans="1:8" x14ac:dyDescent="0.3">
      <c r="A82" s="1">
        <v>46239</v>
      </c>
      <c r="C82" s="9">
        <f>_xlfn.XLOOKUP(Log!A82, 'Daily Summary'!A:A, 'Daily Summary'!C:C, "Not found!")</f>
        <v>0.48333333333333334</v>
      </c>
      <c r="D82" s="9">
        <v>0.48995370370370372</v>
      </c>
      <c r="E82" s="7">
        <v>42</v>
      </c>
      <c r="F82" s="2">
        <v>45</v>
      </c>
      <c r="G82" s="6">
        <f t="shared" si="2"/>
        <v>9.5333333333333581</v>
      </c>
      <c r="H82" s="2">
        <f t="shared" si="3"/>
        <v>3</v>
      </c>
    </row>
    <row r="83" spans="1:8" x14ac:dyDescent="0.3">
      <c r="A83" s="1">
        <v>46239</v>
      </c>
      <c r="C83" s="9">
        <f>_xlfn.XLOOKUP(Log!A83, 'Daily Summary'!A:A, 'Daily Summary'!C:C, "Not found!")</f>
        <v>0.48333333333333334</v>
      </c>
      <c r="D83" s="9">
        <v>0.49135416666666665</v>
      </c>
      <c r="E83" s="7">
        <v>44</v>
      </c>
      <c r="F83" s="2">
        <v>47</v>
      </c>
      <c r="G83" s="6">
        <f t="shared" si="2"/>
        <v>11.549999999999967</v>
      </c>
      <c r="H83" s="2">
        <f t="shared" si="3"/>
        <v>3</v>
      </c>
    </row>
    <row r="84" spans="1:8" x14ac:dyDescent="0.3">
      <c r="A84" s="1">
        <v>46239</v>
      </c>
      <c r="C84" s="9">
        <f>_xlfn.XLOOKUP(Log!A84, 'Daily Summary'!A:A, 'Daily Summary'!C:C, "Not found!")</f>
        <v>0.48333333333333334</v>
      </c>
      <c r="D84" s="9">
        <v>0.49275462962962963</v>
      </c>
      <c r="E84" s="7">
        <v>47</v>
      </c>
      <c r="F84" s="2">
        <v>48</v>
      </c>
      <c r="G84" s="6">
        <f t="shared" si="2"/>
        <v>13.566666666666656</v>
      </c>
      <c r="H84" s="2">
        <f t="shared" si="3"/>
        <v>1</v>
      </c>
    </row>
    <row r="85" spans="1:8" x14ac:dyDescent="0.3">
      <c r="A85" s="1">
        <v>46239</v>
      </c>
      <c r="C85" s="9">
        <f>_xlfn.XLOOKUP(Log!A85, 'Daily Summary'!A:A, 'Daily Summary'!C:C, "Not found!")</f>
        <v>0.48333333333333334</v>
      </c>
      <c r="D85" s="9">
        <v>0.4941550925925926</v>
      </c>
      <c r="E85" s="7">
        <v>48</v>
      </c>
      <c r="F85" s="2">
        <v>49</v>
      </c>
      <c r="G85" s="6">
        <f t="shared" si="2"/>
        <v>15.583333333333345</v>
      </c>
      <c r="H85" s="2">
        <f t="shared" si="3"/>
        <v>1</v>
      </c>
    </row>
    <row r="86" spans="1:8" x14ac:dyDescent="0.3">
      <c r="A86" s="1">
        <v>46239</v>
      </c>
      <c r="C86" s="9">
        <f>_xlfn.XLOOKUP(Log!A86, 'Daily Summary'!A:A, 'Daily Summary'!C:C, "Not found!")</f>
        <v>0.48333333333333334</v>
      </c>
      <c r="D86" s="9">
        <v>0.49554398148148149</v>
      </c>
      <c r="E86" s="7">
        <v>49</v>
      </c>
      <c r="F86" s="2">
        <v>51</v>
      </c>
      <c r="G86" s="6">
        <f t="shared" si="2"/>
        <v>17.583333333333336</v>
      </c>
      <c r="H86" s="2">
        <f t="shared" si="3"/>
        <v>2</v>
      </c>
    </row>
    <row r="87" spans="1:8" x14ac:dyDescent="0.3">
      <c r="A87" s="1">
        <v>46239</v>
      </c>
      <c r="C87" s="9">
        <f>_xlfn.XLOOKUP(Log!A87, 'Daily Summary'!A:A, 'Daily Summary'!C:C, "Not found!")</f>
        <v>0.48333333333333334</v>
      </c>
      <c r="D87" s="9">
        <v>0.49694444444444447</v>
      </c>
      <c r="E87" s="7">
        <v>51</v>
      </c>
      <c r="F87" s="2">
        <v>52</v>
      </c>
      <c r="G87" s="6">
        <f t="shared" si="2"/>
        <v>19.600000000000026</v>
      </c>
      <c r="H87" s="2">
        <f t="shared" si="3"/>
        <v>1</v>
      </c>
    </row>
    <row r="88" spans="1:8" x14ac:dyDescent="0.3">
      <c r="A88" s="1">
        <v>46239</v>
      </c>
      <c r="C88" s="9">
        <f>_xlfn.XLOOKUP(Log!A88, 'Daily Summary'!A:A, 'Daily Summary'!C:C, "Not found!")</f>
        <v>0.48333333333333334</v>
      </c>
      <c r="D88" s="9">
        <v>0.49833333333333335</v>
      </c>
      <c r="E88" s="7">
        <v>51</v>
      </c>
      <c r="F88" s="2">
        <v>54</v>
      </c>
      <c r="G88" s="6">
        <f t="shared" si="2"/>
        <v>21.600000000000019</v>
      </c>
      <c r="H88" s="2">
        <f t="shared" si="3"/>
        <v>3</v>
      </c>
    </row>
    <row r="89" spans="1:8" x14ac:dyDescent="0.3">
      <c r="A89" s="1">
        <v>46239</v>
      </c>
      <c r="C89" s="9">
        <f>_xlfn.XLOOKUP(Log!A89, 'Daily Summary'!A:A, 'Daily Summary'!C:C, "Not found!")</f>
        <v>0.48333333333333334</v>
      </c>
      <c r="D89" s="9">
        <v>0.49972222222222223</v>
      </c>
      <c r="E89" s="7">
        <v>52</v>
      </c>
      <c r="F89" s="2">
        <v>55</v>
      </c>
      <c r="G89" s="6">
        <f t="shared" si="2"/>
        <v>23.600000000000012</v>
      </c>
      <c r="H89" s="2">
        <f t="shared" si="3"/>
        <v>3</v>
      </c>
    </row>
    <row r="90" spans="1:8" x14ac:dyDescent="0.3">
      <c r="A90" s="1">
        <v>46239</v>
      </c>
      <c r="C90" s="9">
        <f>_xlfn.XLOOKUP(Log!A90, 'Daily Summary'!A:A, 'Daily Summary'!C:C, "Not found!")</f>
        <v>0.48333333333333334</v>
      </c>
      <c r="D90" s="9">
        <v>0.50111111111111106</v>
      </c>
      <c r="E90" s="7">
        <v>54</v>
      </c>
      <c r="F90" s="2">
        <v>55</v>
      </c>
      <c r="G90" s="6">
        <f t="shared" si="2"/>
        <v>25.599999999999923</v>
      </c>
      <c r="H90" s="2">
        <f t="shared" si="3"/>
        <v>1</v>
      </c>
    </row>
    <row r="91" spans="1:8" x14ac:dyDescent="0.3">
      <c r="A91" s="1">
        <v>46239</v>
      </c>
      <c r="C91" s="9">
        <f>_xlfn.XLOOKUP(Log!A91, 'Daily Summary'!A:A, 'Daily Summary'!C:C, "Not found!")</f>
        <v>0.48333333333333334</v>
      </c>
      <c r="D91" s="9">
        <v>0.5025115740740741</v>
      </c>
      <c r="E91" s="7">
        <v>54</v>
      </c>
      <c r="F91" s="2">
        <v>57</v>
      </c>
      <c r="G91" s="6">
        <f t="shared" si="2"/>
        <v>27.616666666666696</v>
      </c>
      <c r="H91" s="2">
        <f t="shared" si="3"/>
        <v>3</v>
      </c>
    </row>
    <row r="92" spans="1:8" x14ac:dyDescent="0.3">
      <c r="A92" s="1">
        <v>46239</v>
      </c>
      <c r="C92" s="9">
        <f>_xlfn.XLOOKUP(Log!A92, 'Daily Summary'!A:A, 'Daily Summary'!C:C, "Not found!")</f>
        <v>0.48333333333333334</v>
      </c>
      <c r="D92" s="9">
        <v>0.50391203703703702</v>
      </c>
      <c r="E92" s="7">
        <v>55</v>
      </c>
      <c r="F92" s="2">
        <v>57</v>
      </c>
      <c r="G92" s="6">
        <f t="shared" si="2"/>
        <v>29.633333333333304</v>
      </c>
      <c r="H92" s="2">
        <f t="shared" si="3"/>
        <v>2</v>
      </c>
    </row>
    <row r="93" spans="1:8" x14ac:dyDescent="0.3">
      <c r="A93" s="1">
        <v>46239</v>
      </c>
      <c r="C93" s="9">
        <f>_xlfn.XLOOKUP(Log!A93, 'Daily Summary'!A:A, 'Daily Summary'!C:C, "Not found!")</f>
        <v>0.48333333333333334</v>
      </c>
      <c r="D93" s="9">
        <v>0.5053009259259259</v>
      </c>
      <c r="E93" s="7">
        <v>55</v>
      </c>
      <c r="F93" s="2">
        <v>58</v>
      </c>
      <c r="G93" s="6">
        <f t="shared" si="2"/>
        <v>31.633333333333297</v>
      </c>
      <c r="H93" s="2">
        <f t="shared" si="3"/>
        <v>3</v>
      </c>
    </row>
    <row r="94" spans="1:8" x14ac:dyDescent="0.3">
      <c r="A94" s="1">
        <v>46240</v>
      </c>
      <c r="C94" s="9">
        <f>_xlfn.XLOOKUP(Log!A94, 'Daily Summary'!A:A, 'Daily Summary'!C:C, "Not found!")</f>
        <v>0.43888888888888888</v>
      </c>
      <c r="D94" s="9">
        <v>0.44027777777777777</v>
      </c>
      <c r="E94" s="7">
        <v>32</v>
      </c>
      <c r="F94" s="2">
        <v>33</v>
      </c>
      <c r="G94" s="6">
        <f t="shared" si="2"/>
        <v>1.9999999999999929</v>
      </c>
      <c r="H94" s="2">
        <f t="shared" si="3"/>
        <v>1</v>
      </c>
    </row>
    <row r="95" spans="1:8" x14ac:dyDescent="0.3">
      <c r="A95" s="1">
        <v>46240</v>
      </c>
      <c r="C95" s="9">
        <f>_xlfn.XLOOKUP(Log!A95, 'Daily Summary'!A:A, 'Daily Summary'!C:C, "Not found!")</f>
        <v>0.43888888888888888</v>
      </c>
      <c r="D95" s="9">
        <v>0.44170138888888888</v>
      </c>
      <c r="E95" s="7">
        <v>35</v>
      </c>
      <c r="F95" s="2">
        <v>36</v>
      </c>
      <c r="G95" s="6">
        <f t="shared" si="2"/>
        <v>4.0499999999999936</v>
      </c>
      <c r="H95" s="2">
        <f t="shared" si="3"/>
        <v>1</v>
      </c>
    </row>
    <row r="96" spans="1:8" x14ac:dyDescent="0.3">
      <c r="A96" s="1">
        <v>46240</v>
      </c>
      <c r="C96" s="9">
        <f>_xlfn.XLOOKUP(Log!A96, 'Daily Summary'!A:A, 'Daily Summary'!C:C, "Not found!")</f>
        <v>0.43888888888888888</v>
      </c>
      <c r="D96" s="9">
        <v>0.44310185185185186</v>
      </c>
      <c r="E96" s="7">
        <v>38</v>
      </c>
      <c r="F96" s="2">
        <v>41</v>
      </c>
      <c r="G96" s="6">
        <f t="shared" si="2"/>
        <v>6.0666666666666824</v>
      </c>
      <c r="H96" s="2">
        <f t="shared" si="3"/>
        <v>3</v>
      </c>
    </row>
    <row r="97" spans="1:8" x14ac:dyDescent="0.3">
      <c r="A97" s="1">
        <v>46240</v>
      </c>
      <c r="C97" s="9">
        <f>_xlfn.XLOOKUP(Log!A97, 'Daily Summary'!A:A, 'Daily Summary'!C:C, "Not found!")</f>
        <v>0.43888888888888888</v>
      </c>
      <c r="D97" s="9">
        <v>0.44450231481481484</v>
      </c>
      <c r="E97" s="7">
        <v>41</v>
      </c>
      <c r="F97" s="2">
        <v>44</v>
      </c>
      <c r="G97" s="6">
        <f t="shared" si="2"/>
        <v>8.0833333333333712</v>
      </c>
      <c r="H97" s="2">
        <f t="shared" si="3"/>
        <v>3</v>
      </c>
    </row>
    <row r="98" spans="1:8" x14ac:dyDescent="0.3">
      <c r="A98" s="1">
        <v>46240</v>
      </c>
      <c r="C98" s="9">
        <f>_xlfn.XLOOKUP(Log!A98, 'Daily Summary'!A:A, 'Daily Summary'!C:C, "Not found!")</f>
        <v>0.43888888888888888</v>
      </c>
      <c r="D98" s="9">
        <v>0.44590277777777776</v>
      </c>
      <c r="E98" s="7">
        <v>44</v>
      </c>
      <c r="F98" s="2">
        <v>45</v>
      </c>
      <c r="G98" s="6">
        <f t="shared" si="2"/>
        <v>10.09999999999998</v>
      </c>
      <c r="H98" s="2">
        <f t="shared" si="3"/>
        <v>1</v>
      </c>
    </row>
    <row r="99" spans="1:8" x14ac:dyDescent="0.3">
      <c r="A99" s="1">
        <v>46240</v>
      </c>
      <c r="C99" s="9">
        <f>_xlfn.XLOOKUP(Log!A99, 'Daily Summary'!A:A, 'Daily Summary'!C:C, "Not found!")</f>
        <v>0.43888888888888888</v>
      </c>
      <c r="D99" s="9">
        <v>0.44729166666666664</v>
      </c>
      <c r="E99" s="7">
        <v>44</v>
      </c>
      <c r="F99" s="2">
        <v>47</v>
      </c>
      <c r="G99" s="6">
        <f t="shared" si="2"/>
        <v>12.099999999999973</v>
      </c>
      <c r="H99" s="2">
        <f t="shared" si="3"/>
        <v>3</v>
      </c>
    </row>
    <row r="100" spans="1:8" x14ac:dyDescent="0.3">
      <c r="A100" s="1">
        <v>46240</v>
      </c>
      <c r="C100" s="9">
        <f>_xlfn.XLOOKUP(Log!A100, 'Daily Summary'!A:A, 'Daily Summary'!C:C, "Not found!")</f>
        <v>0.43888888888888888</v>
      </c>
      <c r="D100" s="9">
        <v>0.44868055555555558</v>
      </c>
      <c r="E100" s="7">
        <v>47</v>
      </c>
      <c r="F100" s="2">
        <v>49</v>
      </c>
      <c r="G100" s="6">
        <f t="shared" si="2"/>
        <v>14.100000000000046</v>
      </c>
      <c r="H100" s="2">
        <f t="shared" si="3"/>
        <v>2</v>
      </c>
    </row>
    <row r="101" spans="1:8" x14ac:dyDescent="0.3">
      <c r="A101" s="1">
        <v>46240</v>
      </c>
      <c r="C101" s="9">
        <f>_xlfn.XLOOKUP(Log!A101, 'Daily Summary'!A:A, 'Daily Summary'!C:C, "Not found!")</f>
        <v>0.43888888888888888</v>
      </c>
      <c r="D101" s="9">
        <v>0.45008101851851851</v>
      </c>
      <c r="E101" s="7">
        <v>48</v>
      </c>
      <c r="F101" s="2">
        <v>51</v>
      </c>
      <c r="G101" s="6">
        <f t="shared" si="2"/>
        <v>16.116666666666653</v>
      </c>
      <c r="H101" s="2">
        <f t="shared" si="3"/>
        <v>3</v>
      </c>
    </row>
    <row r="102" spans="1:8" x14ac:dyDescent="0.3">
      <c r="A102" s="1">
        <v>46240</v>
      </c>
      <c r="C102" s="9">
        <f>_xlfn.XLOOKUP(Log!A102, 'Daily Summary'!A:A, 'Daily Summary'!C:C, "Not found!")</f>
        <v>0.43888888888888888</v>
      </c>
      <c r="D102" s="9">
        <v>0.45148148148148148</v>
      </c>
      <c r="E102" s="7">
        <v>49</v>
      </c>
      <c r="F102" s="2">
        <v>52</v>
      </c>
      <c r="G102" s="6">
        <f t="shared" si="2"/>
        <v>18.133333333333344</v>
      </c>
      <c r="H102" s="2">
        <f t="shared" si="3"/>
        <v>3</v>
      </c>
    </row>
    <row r="103" spans="1:8" x14ac:dyDescent="0.3">
      <c r="A103" s="1">
        <v>46240</v>
      </c>
      <c r="C103" s="9">
        <f>_xlfn.XLOOKUP(Log!A103, 'Daily Summary'!A:A, 'Daily Summary'!C:C, "Not found!")</f>
        <v>0.43888888888888888</v>
      </c>
      <c r="D103" s="9">
        <v>0.45287037037037037</v>
      </c>
      <c r="E103" s="7">
        <v>51</v>
      </c>
      <c r="F103" s="2">
        <v>52</v>
      </c>
      <c r="G103" s="6">
        <f t="shared" si="2"/>
        <v>20.133333333333336</v>
      </c>
      <c r="H103" s="2">
        <f t="shared" si="3"/>
        <v>1</v>
      </c>
    </row>
    <row r="104" spans="1:8" x14ac:dyDescent="0.3">
      <c r="A104" s="1">
        <v>46240</v>
      </c>
      <c r="C104" s="9">
        <f>_xlfn.XLOOKUP(Log!A104, 'Daily Summary'!A:A, 'Daily Summary'!C:C, "Not found!")</f>
        <v>0.43888888888888888</v>
      </c>
      <c r="D104" s="9">
        <v>0.45425925925925925</v>
      </c>
      <c r="E104" s="7">
        <v>51</v>
      </c>
      <c r="F104" s="2">
        <v>54</v>
      </c>
      <c r="G104" s="6">
        <f t="shared" si="2"/>
        <v>22.133333333333329</v>
      </c>
      <c r="H104" s="2">
        <f t="shared" si="3"/>
        <v>3</v>
      </c>
    </row>
    <row r="105" spans="1:8" x14ac:dyDescent="0.3">
      <c r="A105" s="1">
        <v>46240</v>
      </c>
      <c r="C105" s="9">
        <f>_xlfn.XLOOKUP(Log!A105, 'Daily Summary'!A:A, 'Daily Summary'!C:C, "Not found!")</f>
        <v>0.43888888888888888</v>
      </c>
      <c r="D105" s="9">
        <v>0.45565972222222223</v>
      </c>
      <c r="E105" s="7">
        <v>52</v>
      </c>
      <c r="F105" s="2">
        <v>55</v>
      </c>
      <c r="G105" s="6">
        <f t="shared" si="2"/>
        <v>24.15000000000002</v>
      </c>
      <c r="H105" s="2">
        <f t="shared" si="3"/>
        <v>3</v>
      </c>
    </row>
    <row r="106" spans="1:8" x14ac:dyDescent="0.3">
      <c r="A106" s="1">
        <v>46240</v>
      </c>
      <c r="C106" s="9">
        <f>_xlfn.XLOOKUP(Log!A106, 'Daily Summary'!A:A, 'Daily Summary'!C:C, "Not found!")</f>
        <v>0.43888888888888888</v>
      </c>
      <c r="D106" s="9">
        <v>0.45704861111111111</v>
      </c>
      <c r="E106" s="7">
        <v>54</v>
      </c>
      <c r="F106" s="2">
        <v>55</v>
      </c>
      <c r="G106" s="6">
        <f t="shared" si="2"/>
        <v>26.150000000000013</v>
      </c>
      <c r="H106" s="2">
        <f t="shared" si="3"/>
        <v>1</v>
      </c>
    </row>
    <row r="107" spans="1:8" x14ac:dyDescent="0.3">
      <c r="A107" s="1">
        <v>46240</v>
      </c>
      <c r="C107" s="9">
        <f>_xlfn.XLOOKUP(Log!A107, 'Daily Summary'!A:A, 'Daily Summary'!C:C, "Not found!")</f>
        <v>0.43888888888888888</v>
      </c>
      <c r="D107" s="9">
        <v>0.4584375</v>
      </c>
      <c r="E107" s="7">
        <v>54</v>
      </c>
      <c r="F107" s="2">
        <v>57</v>
      </c>
      <c r="G107" s="6">
        <f t="shared" si="2"/>
        <v>28.150000000000006</v>
      </c>
      <c r="H107" s="2">
        <f t="shared" si="3"/>
        <v>3</v>
      </c>
    </row>
    <row r="108" spans="1:8" x14ac:dyDescent="0.3">
      <c r="A108" s="1">
        <v>46240</v>
      </c>
      <c r="C108" s="9">
        <f>_xlfn.XLOOKUP(Log!A108, 'Daily Summary'!A:A, 'Daily Summary'!C:C, "Not found!")</f>
        <v>0.43888888888888888</v>
      </c>
      <c r="D108" s="9">
        <v>0.45983796296296298</v>
      </c>
      <c r="E108" s="7">
        <v>55</v>
      </c>
      <c r="F108" s="2">
        <v>58</v>
      </c>
      <c r="G108" s="6">
        <f t="shared" si="2"/>
        <v>30.166666666666693</v>
      </c>
      <c r="H108" s="2">
        <f t="shared" si="3"/>
        <v>3</v>
      </c>
    </row>
    <row r="109" spans="1:8" x14ac:dyDescent="0.3">
      <c r="A109" s="1">
        <v>46240</v>
      </c>
      <c r="C109" s="9">
        <f>_xlfn.XLOOKUP(Log!A109, 'Daily Summary'!A:A, 'Daily Summary'!C:C, "Not found!")</f>
        <v>0.43888888888888888</v>
      </c>
      <c r="D109" s="9">
        <v>0.46122685185185186</v>
      </c>
      <c r="E109" s="7">
        <v>55</v>
      </c>
      <c r="F109" s="2">
        <v>58</v>
      </c>
      <c r="G109" s="6">
        <f t="shared" si="2"/>
        <v>32.166666666666686</v>
      </c>
      <c r="H109" s="2">
        <f t="shared" si="3"/>
        <v>3</v>
      </c>
    </row>
    <row r="110" spans="1:8" x14ac:dyDescent="0.3">
      <c r="A110" s="1">
        <v>46242</v>
      </c>
      <c r="C110" s="9">
        <f>_xlfn.XLOOKUP(Log!A110, 'Daily Summary'!A:A, 'Daily Summary'!C:C, "Not found!")</f>
        <v>0.55833333333333335</v>
      </c>
      <c r="D110" s="9">
        <v>0.55972222222222223</v>
      </c>
      <c r="E110" s="7">
        <v>31</v>
      </c>
      <c r="F110" s="2">
        <v>33</v>
      </c>
      <c r="G110" s="6">
        <f t="shared" si="2"/>
        <v>1.9999999999999929</v>
      </c>
      <c r="H110" s="2">
        <f t="shared" si="3"/>
        <v>2</v>
      </c>
    </row>
    <row r="111" spans="1:8" x14ac:dyDescent="0.3">
      <c r="A111" s="1">
        <v>46242</v>
      </c>
      <c r="C111" s="9">
        <f>_xlfn.XLOOKUP(Log!A111, 'Daily Summary'!A:A, 'Daily Summary'!C:C, "Not found!")</f>
        <v>0.55833333333333335</v>
      </c>
      <c r="D111" s="9">
        <v>0.56081018518518522</v>
      </c>
      <c r="E111" s="7">
        <v>33</v>
      </c>
      <c r="F111" s="2">
        <v>35</v>
      </c>
      <c r="G111" s="6">
        <f t="shared" si="2"/>
        <v>3.5666666666666913</v>
      </c>
      <c r="H111" s="2">
        <f t="shared" si="3"/>
        <v>2</v>
      </c>
    </row>
    <row r="112" spans="1:8" x14ac:dyDescent="0.3">
      <c r="A112" s="1">
        <v>46242</v>
      </c>
      <c r="C112" s="9">
        <f>_xlfn.XLOOKUP(Log!A112, 'Daily Summary'!A:A, 'Daily Summary'!C:C, "Not found!")</f>
        <v>0.55833333333333335</v>
      </c>
      <c r="D112" s="9">
        <v>0.5621990740740741</v>
      </c>
      <c r="E112" s="7">
        <v>38</v>
      </c>
      <c r="F112" s="2">
        <v>39</v>
      </c>
      <c r="G112" s="6">
        <f t="shared" si="2"/>
        <v>5.5666666666666842</v>
      </c>
      <c r="H112" s="2">
        <f t="shared" si="3"/>
        <v>1</v>
      </c>
    </row>
    <row r="113" spans="1:8" x14ac:dyDescent="0.3">
      <c r="A113" s="1">
        <v>46242</v>
      </c>
      <c r="C113" s="9">
        <f>_xlfn.XLOOKUP(Log!A113, 'Daily Summary'!A:A, 'Daily Summary'!C:C, "Not found!")</f>
        <v>0.55833333333333335</v>
      </c>
      <c r="D113" s="9">
        <v>0.56359953703703702</v>
      </c>
      <c r="E113" s="7">
        <v>39</v>
      </c>
      <c r="F113" s="2">
        <v>42</v>
      </c>
      <c r="G113" s="6">
        <f t="shared" si="2"/>
        <v>7.5833333333332931</v>
      </c>
      <c r="H113" s="2">
        <f t="shared" si="3"/>
        <v>3</v>
      </c>
    </row>
    <row r="114" spans="1:8" x14ac:dyDescent="0.3">
      <c r="A114" s="1">
        <v>46242</v>
      </c>
      <c r="C114" s="9">
        <f>_xlfn.XLOOKUP(Log!A114, 'Daily Summary'!A:A, 'Daily Summary'!C:C, "Not found!")</f>
        <v>0.55833333333333335</v>
      </c>
      <c r="D114" s="9">
        <v>0.56498842592592591</v>
      </c>
      <c r="E114" s="7">
        <v>42</v>
      </c>
      <c r="F114" s="2">
        <v>45</v>
      </c>
      <c r="G114" s="6">
        <f t="shared" si="2"/>
        <v>9.583333333333286</v>
      </c>
      <c r="H114" s="2">
        <f t="shared" si="3"/>
        <v>3</v>
      </c>
    </row>
    <row r="115" spans="1:8" x14ac:dyDescent="0.3">
      <c r="A115" s="1">
        <v>46242</v>
      </c>
      <c r="C115" s="9">
        <f>_xlfn.XLOOKUP(Log!A115, 'Daily Summary'!A:A, 'Daily Summary'!C:C, "Not found!")</f>
        <v>0.55833333333333335</v>
      </c>
      <c r="D115" s="9">
        <v>0.56637731481481479</v>
      </c>
      <c r="E115" s="7">
        <v>44</v>
      </c>
      <c r="F115" s="2">
        <v>47</v>
      </c>
      <c r="G115" s="6">
        <f t="shared" si="2"/>
        <v>11.583333333333279</v>
      </c>
      <c r="H115" s="2">
        <f t="shared" si="3"/>
        <v>3</v>
      </c>
    </row>
    <row r="116" spans="1:8" x14ac:dyDescent="0.3">
      <c r="A116" s="1">
        <v>46242</v>
      </c>
      <c r="C116" s="9">
        <f>_xlfn.XLOOKUP(Log!A116, 'Daily Summary'!A:A, 'Daily Summary'!C:C, "Not found!")</f>
        <v>0.55833333333333335</v>
      </c>
      <c r="D116" s="9">
        <v>0.56777777777777783</v>
      </c>
      <c r="E116" s="7">
        <v>45</v>
      </c>
      <c r="F116" s="2">
        <v>49</v>
      </c>
      <c r="G116" s="6">
        <f t="shared" si="2"/>
        <v>13.600000000000048</v>
      </c>
      <c r="H116" s="2">
        <f t="shared" si="3"/>
        <v>4</v>
      </c>
    </row>
    <row r="117" spans="1:8" x14ac:dyDescent="0.3">
      <c r="A117" s="1">
        <v>46242</v>
      </c>
      <c r="C117" s="9">
        <f>_xlfn.XLOOKUP(Log!A117, 'Daily Summary'!A:A, 'Daily Summary'!C:C, "Not found!")</f>
        <v>0.55833333333333335</v>
      </c>
      <c r="D117" s="9">
        <v>0.56916666666666671</v>
      </c>
      <c r="E117" s="7">
        <v>48</v>
      </c>
      <c r="F117" s="2">
        <v>49</v>
      </c>
      <c r="G117" s="6">
        <f t="shared" si="2"/>
        <v>15.600000000000041</v>
      </c>
      <c r="H117" s="2">
        <f t="shared" si="3"/>
        <v>1</v>
      </c>
    </row>
    <row r="118" spans="1:8" x14ac:dyDescent="0.3">
      <c r="A118" s="1">
        <v>46242</v>
      </c>
      <c r="C118" s="9">
        <f>_xlfn.XLOOKUP(Log!A118, 'Daily Summary'!A:A, 'Daily Summary'!C:C, "Not found!")</f>
        <v>0.55833333333333335</v>
      </c>
      <c r="D118" s="9">
        <v>0.57056712962962963</v>
      </c>
      <c r="E118" s="7">
        <v>48</v>
      </c>
      <c r="F118" s="2">
        <v>52</v>
      </c>
      <c r="G118" s="6">
        <f t="shared" si="2"/>
        <v>17.616666666666649</v>
      </c>
      <c r="H118" s="2">
        <f t="shared" si="3"/>
        <v>4</v>
      </c>
    </row>
    <row r="119" spans="1:8" x14ac:dyDescent="0.3">
      <c r="A119" s="1">
        <v>46242</v>
      </c>
      <c r="C119" s="9">
        <f>_xlfn.XLOOKUP(Log!A119, 'Daily Summary'!A:A, 'Daily Summary'!C:C, "Not found!")</f>
        <v>0.55833333333333335</v>
      </c>
      <c r="D119" s="9">
        <v>0.57195601851851852</v>
      </c>
      <c r="E119" s="7">
        <v>51</v>
      </c>
      <c r="F119" s="2">
        <v>52</v>
      </c>
      <c r="G119" s="6">
        <f t="shared" si="2"/>
        <v>19.616666666666642</v>
      </c>
      <c r="H119" s="2">
        <f t="shared" si="3"/>
        <v>1</v>
      </c>
    </row>
    <row r="120" spans="1:8" x14ac:dyDescent="0.3">
      <c r="A120" s="1">
        <v>46242</v>
      </c>
      <c r="C120" s="9">
        <f>_xlfn.XLOOKUP(Log!A120, 'Daily Summary'!A:A, 'Daily Summary'!C:C, "Not found!")</f>
        <v>0.55833333333333335</v>
      </c>
      <c r="D120" s="9">
        <v>0.5733449074074074</v>
      </c>
      <c r="E120" s="7">
        <v>51</v>
      </c>
      <c r="F120" s="2">
        <v>54</v>
      </c>
      <c r="G120" s="6">
        <f t="shared" si="2"/>
        <v>21.616666666666635</v>
      </c>
      <c r="H120" s="2">
        <f t="shared" si="3"/>
        <v>3</v>
      </c>
    </row>
    <row r="121" spans="1:8" x14ac:dyDescent="0.3">
      <c r="A121" s="1">
        <v>46242</v>
      </c>
      <c r="C121" s="9">
        <f>_xlfn.XLOOKUP(Log!A121, 'Daily Summary'!A:A, 'Daily Summary'!C:C, "Not found!")</f>
        <v>0.55833333333333335</v>
      </c>
      <c r="D121" s="9">
        <v>0.57473379629629628</v>
      </c>
      <c r="E121" s="7">
        <v>52</v>
      </c>
      <c r="F121" s="2">
        <v>55</v>
      </c>
      <c r="G121" s="6">
        <f t="shared" si="2"/>
        <v>23.616666666666628</v>
      </c>
      <c r="H121" s="2">
        <f t="shared" si="3"/>
        <v>3</v>
      </c>
    </row>
    <row r="122" spans="1:8" x14ac:dyDescent="0.3">
      <c r="A122" s="1">
        <v>46242</v>
      </c>
      <c r="C122" s="9">
        <f>_xlfn.XLOOKUP(Log!A122, 'Daily Summary'!A:A, 'Daily Summary'!C:C, "Not found!")</f>
        <v>0.55833333333333335</v>
      </c>
      <c r="D122" s="9">
        <v>0.57613425925925921</v>
      </c>
      <c r="E122" s="7">
        <v>54</v>
      </c>
      <c r="F122" s="2">
        <v>55</v>
      </c>
      <c r="G122" s="6">
        <f t="shared" si="2"/>
        <v>25.633333333333237</v>
      </c>
      <c r="H122" s="2">
        <f t="shared" si="3"/>
        <v>1</v>
      </c>
    </row>
    <row r="123" spans="1:8" x14ac:dyDescent="0.3">
      <c r="A123" s="1">
        <v>46242</v>
      </c>
      <c r="C123" s="9">
        <f>_xlfn.XLOOKUP(Log!A123, 'Daily Summary'!A:A, 'Daily Summary'!C:C, "Not found!")</f>
        <v>0.55833333333333335</v>
      </c>
      <c r="D123" s="9">
        <v>0.5775231481481482</v>
      </c>
      <c r="E123" s="7">
        <v>54</v>
      </c>
      <c r="F123" s="2">
        <v>57</v>
      </c>
      <c r="G123" s="6">
        <f t="shared" si="2"/>
        <v>27.63333333333339</v>
      </c>
      <c r="H123" s="2">
        <f t="shared" si="3"/>
        <v>3</v>
      </c>
    </row>
    <row r="124" spans="1:8" x14ac:dyDescent="0.3">
      <c r="A124" s="1">
        <v>46242</v>
      </c>
      <c r="C124" s="9">
        <f>_xlfn.XLOOKUP(Log!A124, 'Daily Summary'!A:A, 'Daily Summary'!C:C, "Not found!")</f>
        <v>0.55833333333333335</v>
      </c>
      <c r="D124" s="9">
        <v>0.57892361111111112</v>
      </c>
      <c r="E124" s="7">
        <v>54</v>
      </c>
      <c r="F124" s="2">
        <v>58</v>
      </c>
      <c r="G124" s="6">
        <f t="shared" ref="G124:G187" si="4">IF(AND($D124&lt;&gt;"", $C124&lt;&gt;""), ($D124-$C124)*1440, "")</f>
        <v>29.65</v>
      </c>
      <c r="H124" s="2">
        <f t="shared" si="3"/>
        <v>4</v>
      </c>
    </row>
    <row r="125" spans="1:8" x14ac:dyDescent="0.3">
      <c r="A125" s="1">
        <v>46242</v>
      </c>
      <c r="C125" s="9">
        <f>_xlfn.XLOOKUP(Log!A125, 'Daily Summary'!A:A, 'Daily Summary'!C:C, "Not found!")</f>
        <v>0.55833333333333335</v>
      </c>
      <c r="D125" s="9">
        <v>0.58031250000000001</v>
      </c>
      <c r="E125" s="7">
        <v>55</v>
      </c>
      <c r="F125" s="2">
        <v>58</v>
      </c>
      <c r="G125" s="6">
        <f t="shared" si="4"/>
        <v>31.649999999999991</v>
      </c>
      <c r="H125" s="2">
        <f t="shared" ref="H125:H188" si="5">IF(AND($F125&lt;&gt;"",$E125&lt;&gt;""), $F125-$E125, "")</f>
        <v>3</v>
      </c>
    </row>
    <row r="126" spans="1:8" x14ac:dyDescent="0.3">
      <c r="A126" s="1">
        <v>46244</v>
      </c>
      <c r="C126" s="9">
        <f>_xlfn.XLOOKUP(Log!A126, 'Daily Summary'!A:A, 'Daily Summary'!C:C, "Not found!")</f>
        <v>0.44374999999999998</v>
      </c>
      <c r="D126" s="9">
        <v>0.44513888888888886</v>
      </c>
      <c r="E126" s="7">
        <v>28</v>
      </c>
      <c r="F126" s="2">
        <v>30</v>
      </c>
      <c r="G126" s="6">
        <f t="shared" si="4"/>
        <v>1.9999999999999929</v>
      </c>
      <c r="H126" s="2">
        <f t="shared" si="5"/>
        <v>2</v>
      </c>
    </row>
    <row r="127" spans="1:8" x14ac:dyDescent="0.3">
      <c r="A127" s="1">
        <v>46244</v>
      </c>
      <c r="C127" s="9">
        <f>_xlfn.XLOOKUP(Log!A127, 'Daily Summary'!A:A, 'Daily Summary'!C:C, "Not found!")</f>
        <v>0.44374999999999998</v>
      </c>
      <c r="D127" s="9">
        <v>0.44570601851851854</v>
      </c>
      <c r="E127" s="7">
        <v>32</v>
      </c>
      <c r="F127" s="2">
        <v>33</v>
      </c>
      <c r="G127" s="6">
        <f t="shared" si="4"/>
        <v>2.8166666666667339</v>
      </c>
      <c r="H127" s="2">
        <f t="shared" si="5"/>
        <v>1</v>
      </c>
    </row>
    <row r="128" spans="1:8" x14ac:dyDescent="0.3">
      <c r="A128" s="1">
        <v>46244</v>
      </c>
      <c r="C128" s="9">
        <f>_xlfn.XLOOKUP(Log!A128, 'Daily Summary'!A:A, 'Daily Summary'!C:C, "Not found!")</f>
        <v>0.44374999999999998</v>
      </c>
      <c r="D128" s="9">
        <v>0.44709490740740743</v>
      </c>
      <c r="E128" s="7">
        <v>38</v>
      </c>
      <c r="F128" s="2">
        <v>39</v>
      </c>
      <c r="G128" s="6">
        <f t="shared" si="4"/>
        <v>4.8166666666667268</v>
      </c>
      <c r="H128" s="2">
        <f t="shared" si="5"/>
        <v>1</v>
      </c>
    </row>
    <row r="129" spans="1:8" x14ac:dyDescent="0.3">
      <c r="A129" s="1">
        <v>46244</v>
      </c>
      <c r="C129" s="9">
        <f>_xlfn.XLOOKUP(Log!A129, 'Daily Summary'!A:A, 'Daily Summary'!C:C, "Not found!")</f>
        <v>0.44374999999999998</v>
      </c>
      <c r="D129" s="9">
        <v>0.44848379629629631</v>
      </c>
      <c r="E129" s="7">
        <v>39</v>
      </c>
      <c r="F129" s="2">
        <v>42</v>
      </c>
      <c r="G129" s="6">
        <f t="shared" si="4"/>
        <v>6.8166666666667197</v>
      </c>
      <c r="H129" s="2">
        <f t="shared" si="5"/>
        <v>3</v>
      </c>
    </row>
    <row r="130" spans="1:8" x14ac:dyDescent="0.3">
      <c r="A130" s="1">
        <v>46244</v>
      </c>
      <c r="C130" s="9">
        <f>_xlfn.XLOOKUP(Log!A130, 'Daily Summary'!A:A, 'Daily Summary'!C:C, "Not found!")</f>
        <v>0.44374999999999998</v>
      </c>
      <c r="D130" s="9">
        <v>0.44988425925925923</v>
      </c>
      <c r="E130" s="7">
        <v>41</v>
      </c>
      <c r="F130" s="2">
        <v>45</v>
      </c>
      <c r="G130" s="6">
        <f t="shared" si="4"/>
        <v>8.8333333333333286</v>
      </c>
      <c r="H130" s="2">
        <f t="shared" si="5"/>
        <v>4</v>
      </c>
    </row>
    <row r="131" spans="1:8" x14ac:dyDescent="0.3">
      <c r="A131" s="1">
        <v>46244</v>
      </c>
      <c r="C131" s="9">
        <f>_xlfn.XLOOKUP(Log!A131, 'Daily Summary'!A:A, 'Daily Summary'!C:C, "Not found!")</f>
        <v>0.44374999999999998</v>
      </c>
      <c r="D131" s="9">
        <v>0.45127314814814817</v>
      </c>
      <c r="E131" s="7">
        <v>44</v>
      </c>
      <c r="F131" s="2">
        <v>45</v>
      </c>
      <c r="G131" s="6">
        <f t="shared" si="4"/>
        <v>10.833333333333401</v>
      </c>
      <c r="H131" s="2">
        <f t="shared" si="5"/>
        <v>1</v>
      </c>
    </row>
    <row r="132" spans="1:8" x14ac:dyDescent="0.3">
      <c r="A132" s="1">
        <v>46244</v>
      </c>
      <c r="C132" s="9">
        <f>_xlfn.XLOOKUP(Log!A132, 'Daily Summary'!A:A, 'Daily Summary'!C:C, "Not found!")</f>
        <v>0.44374999999999998</v>
      </c>
      <c r="D132" s="9">
        <v>0.45266203703703706</v>
      </c>
      <c r="E132" s="7">
        <v>45</v>
      </c>
      <c r="F132" s="2">
        <v>48</v>
      </c>
      <c r="G132" s="6">
        <f t="shared" si="4"/>
        <v>12.833333333333394</v>
      </c>
      <c r="H132" s="2">
        <f t="shared" si="5"/>
        <v>3</v>
      </c>
    </row>
    <row r="133" spans="1:8" x14ac:dyDescent="0.3">
      <c r="A133" s="1">
        <v>46244</v>
      </c>
      <c r="C133" s="9">
        <f>_xlfn.XLOOKUP(Log!A133, 'Daily Summary'!A:A, 'Daily Summary'!C:C, "Not found!")</f>
        <v>0.44374999999999998</v>
      </c>
      <c r="D133" s="9">
        <v>0.45406249999999998</v>
      </c>
      <c r="E133" s="7">
        <v>48</v>
      </c>
      <c r="F133" s="2">
        <v>49</v>
      </c>
      <c r="G133" s="6">
        <f t="shared" si="4"/>
        <v>14.850000000000003</v>
      </c>
      <c r="H133" s="2">
        <f t="shared" si="5"/>
        <v>1</v>
      </c>
    </row>
    <row r="134" spans="1:8" x14ac:dyDescent="0.3">
      <c r="A134" s="1">
        <v>46244</v>
      </c>
      <c r="C134" s="9">
        <f>_xlfn.XLOOKUP(Log!A134, 'Daily Summary'!A:A, 'Daily Summary'!C:C, "Not found!")</f>
        <v>0.44374999999999998</v>
      </c>
      <c r="D134" s="9">
        <v>0.45545138888888886</v>
      </c>
      <c r="E134" s="7">
        <v>48</v>
      </c>
      <c r="F134" s="2">
        <v>51</v>
      </c>
      <c r="G134" s="6">
        <f t="shared" si="4"/>
        <v>16.849999999999994</v>
      </c>
      <c r="H134" s="2">
        <f t="shared" si="5"/>
        <v>3</v>
      </c>
    </row>
    <row r="135" spans="1:8" x14ac:dyDescent="0.3">
      <c r="A135" s="1">
        <v>46244</v>
      </c>
      <c r="C135" s="9">
        <f>_xlfn.XLOOKUP(Log!A135, 'Daily Summary'!A:A, 'Daily Summary'!C:C, "Not found!")</f>
        <v>0.44374999999999998</v>
      </c>
      <c r="D135" s="9">
        <v>0.4568402777777778</v>
      </c>
      <c r="E135" s="7">
        <v>51</v>
      </c>
      <c r="F135" s="2">
        <v>52</v>
      </c>
      <c r="G135" s="6">
        <f t="shared" si="4"/>
        <v>18.850000000000069</v>
      </c>
      <c r="H135" s="2">
        <f t="shared" si="5"/>
        <v>1</v>
      </c>
    </row>
    <row r="136" spans="1:8" x14ac:dyDescent="0.3">
      <c r="A136" s="1">
        <v>46244</v>
      </c>
      <c r="C136" s="9">
        <f>_xlfn.XLOOKUP(Log!A136, 'Daily Summary'!A:A, 'Daily Summary'!C:C, "Not found!")</f>
        <v>0.44374999999999998</v>
      </c>
      <c r="D136" s="9">
        <v>0.45824074074074073</v>
      </c>
      <c r="E136" s="7">
        <v>51</v>
      </c>
      <c r="F136" s="2">
        <v>54</v>
      </c>
      <c r="G136" s="6">
        <f t="shared" si="4"/>
        <v>20.866666666666678</v>
      </c>
      <c r="H136" s="2">
        <f t="shared" si="5"/>
        <v>3</v>
      </c>
    </row>
    <row r="137" spans="1:8" x14ac:dyDescent="0.3">
      <c r="A137" s="1">
        <v>46244</v>
      </c>
      <c r="C137" s="9">
        <f>_xlfn.XLOOKUP(Log!A137, 'Daily Summary'!A:A, 'Daily Summary'!C:C, "Not found!")</f>
        <v>0.44374999999999998</v>
      </c>
      <c r="D137" s="9">
        <v>0.45962962962962961</v>
      </c>
      <c r="E137" s="7">
        <v>52</v>
      </c>
      <c r="F137" s="2">
        <v>55</v>
      </c>
      <c r="G137" s="6">
        <f t="shared" si="4"/>
        <v>22.866666666666671</v>
      </c>
      <c r="H137" s="2">
        <f t="shared" si="5"/>
        <v>3</v>
      </c>
    </row>
    <row r="138" spans="1:8" x14ac:dyDescent="0.3">
      <c r="A138" s="1">
        <v>46244</v>
      </c>
      <c r="C138" s="9">
        <f>_xlfn.XLOOKUP(Log!A138, 'Daily Summary'!A:A, 'Daily Summary'!C:C, "Not found!")</f>
        <v>0.44374999999999998</v>
      </c>
      <c r="D138" s="9">
        <v>0.46103009259259259</v>
      </c>
      <c r="E138" s="7">
        <v>54</v>
      </c>
      <c r="F138" s="2">
        <v>55</v>
      </c>
      <c r="G138" s="6">
        <f t="shared" si="4"/>
        <v>24.883333333333361</v>
      </c>
      <c r="H138" s="2">
        <f t="shared" si="5"/>
        <v>1</v>
      </c>
    </row>
    <row r="139" spans="1:8" x14ac:dyDescent="0.3">
      <c r="A139" s="1">
        <v>46244</v>
      </c>
      <c r="C139" s="9">
        <f>_xlfn.XLOOKUP(Log!A139, 'Daily Summary'!A:A, 'Daily Summary'!C:C, "Not found!")</f>
        <v>0.44374999999999998</v>
      </c>
      <c r="D139" s="9">
        <v>0.46241898148148147</v>
      </c>
      <c r="E139" s="7">
        <v>54</v>
      </c>
      <c r="F139" s="2">
        <v>57</v>
      </c>
      <c r="G139" s="6">
        <f t="shared" si="4"/>
        <v>26.883333333333354</v>
      </c>
      <c r="H139" s="2">
        <f t="shared" si="5"/>
        <v>3</v>
      </c>
    </row>
    <row r="140" spans="1:8" x14ac:dyDescent="0.3">
      <c r="A140" s="1">
        <v>46244</v>
      </c>
      <c r="C140" s="9">
        <f>_xlfn.XLOOKUP(Log!A140, 'Daily Summary'!A:A, 'Daily Summary'!C:C, "Not found!")</f>
        <v>0.44374999999999998</v>
      </c>
      <c r="D140" s="9">
        <v>0.46380787037037036</v>
      </c>
      <c r="E140" s="7">
        <v>54</v>
      </c>
      <c r="F140" s="2">
        <v>58</v>
      </c>
      <c r="G140" s="6">
        <f t="shared" si="4"/>
        <v>28.883333333333347</v>
      </c>
      <c r="H140" s="2">
        <f t="shared" si="5"/>
        <v>4</v>
      </c>
    </row>
    <row r="141" spans="1:8" x14ac:dyDescent="0.3">
      <c r="A141" s="1">
        <v>46244</v>
      </c>
      <c r="C141" s="9">
        <f>_xlfn.XLOOKUP(Log!A141, 'Daily Summary'!A:A, 'Daily Summary'!C:C, "Not found!")</f>
        <v>0.44374999999999998</v>
      </c>
      <c r="D141" s="9">
        <v>0.46520833333333333</v>
      </c>
      <c r="E141" s="7">
        <v>55</v>
      </c>
      <c r="F141" s="2">
        <v>58</v>
      </c>
      <c r="G141" s="6">
        <f t="shared" si="4"/>
        <v>30.900000000000034</v>
      </c>
      <c r="H141" s="2">
        <f t="shared" si="5"/>
        <v>3</v>
      </c>
    </row>
    <row r="142" spans="1:8" x14ac:dyDescent="0.3">
      <c r="A142" s="1">
        <v>46245</v>
      </c>
      <c r="C142" s="9">
        <f>_xlfn.XLOOKUP(Log!A142, 'Daily Summary'!A:A, 'Daily Summary'!C:C, "Not found!")</f>
        <v>0.38194444444444442</v>
      </c>
      <c r="D142" s="9">
        <v>0.38472222222222224</v>
      </c>
      <c r="E142" s="7">
        <v>35</v>
      </c>
      <c r="F142" s="2">
        <v>36</v>
      </c>
      <c r="G142" s="6">
        <f t="shared" si="4"/>
        <v>4.0000000000000657</v>
      </c>
      <c r="H142" s="2">
        <f t="shared" si="5"/>
        <v>1</v>
      </c>
    </row>
    <row r="143" spans="1:8" x14ac:dyDescent="0.3">
      <c r="A143" s="1">
        <v>46245</v>
      </c>
      <c r="C143" s="9">
        <f>_xlfn.XLOOKUP(Log!A143, 'Daily Summary'!A:A, 'Daily Summary'!C:C, "Not found!")</f>
        <v>0.38194444444444442</v>
      </c>
      <c r="D143" s="9">
        <v>0.385625</v>
      </c>
      <c r="E143" s="7">
        <v>35</v>
      </c>
      <c r="F143" s="2">
        <v>38</v>
      </c>
      <c r="G143" s="6">
        <f t="shared" si="4"/>
        <v>5.3000000000000291</v>
      </c>
      <c r="H143" s="2">
        <f t="shared" si="5"/>
        <v>3</v>
      </c>
    </row>
    <row r="144" spans="1:8" x14ac:dyDescent="0.3">
      <c r="A144" s="1">
        <v>46245</v>
      </c>
      <c r="C144" s="9">
        <f>_xlfn.XLOOKUP(Log!A144, 'Daily Summary'!A:A, 'Daily Summary'!C:C, "Not found!")</f>
        <v>0.38194444444444442</v>
      </c>
      <c r="D144" s="9">
        <v>0.38702546296296297</v>
      </c>
      <c r="E144" s="7">
        <v>38</v>
      </c>
      <c r="F144" s="2">
        <v>41</v>
      </c>
      <c r="G144" s="6">
        <f t="shared" si="4"/>
        <v>7.3166666666667179</v>
      </c>
      <c r="H144" s="2">
        <f t="shared" si="5"/>
        <v>3</v>
      </c>
    </row>
    <row r="145" spans="1:8" x14ac:dyDescent="0.3">
      <c r="A145" s="1">
        <v>46245</v>
      </c>
      <c r="C145" s="9">
        <f>_xlfn.XLOOKUP(Log!A145, 'Daily Summary'!A:A, 'Daily Summary'!C:C, "Not found!")</f>
        <v>0.38194444444444442</v>
      </c>
      <c r="D145" s="9">
        <v>0.38841435185185186</v>
      </c>
      <c r="E145" s="7">
        <v>41</v>
      </c>
      <c r="F145" s="2">
        <v>44</v>
      </c>
      <c r="G145" s="6">
        <f t="shared" si="4"/>
        <v>9.3166666666667108</v>
      </c>
      <c r="H145" s="2">
        <f t="shared" si="5"/>
        <v>3</v>
      </c>
    </row>
    <row r="146" spans="1:8" x14ac:dyDescent="0.3">
      <c r="A146" s="1">
        <v>46245</v>
      </c>
      <c r="C146" s="9">
        <f>_xlfn.XLOOKUP(Log!A146, 'Daily Summary'!A:A, 'Daily Summary'!C:C, "Not found!")</f>
        <v>0.38194444444444442</v>
      </c>
      <c r="D146" s="9">
        <v>0.38980324074074074</v>
      </c>
      <c r="E146" s="7">
        <v>42</v>
      </c>
      <c r="F146" s="2">
        <v>45</v>
      </c>
      <c r="G146" s="6">
        <f t="shared" si="4"/>
        <v>11.316666666666704</v>
      </c>
      <c r="H146" s="2">
        <f t="shared" si="5"/>
        <v>3</v>
      </c>
    </row>
    <row r="147" spans="1:8" x14ac:dyDescent="0.3">
      <c r="A147" s="1">
        <v>46245</v>
      </c>
      <c r="C147" s="9">
        <f>_xlfn.XLOOKUP(Log!A147, 'Daily Summary'!A:A, 'Daily Summary'!C:C, "Not found!")</f>
        <v>0.38194444444444442</v>
      </c>
      <c r="D147" s="9">
        <v>0.39119212962962963</v>
      </c>
      <c r="E147" s="7">
        <v>44</v>
      </c>
      <c r="F147" s="2">
        <v>47</v>
      </c>
      <c r="G147" s="6">
        <f t="shared" si="4"/>
        <v>13.316666666666697</v>
      </c>
      <c r="H147" s="2">
        <f t="shared" si="5"/>
        <v>3</v>
      </c>
    </row>
    <row r="148" spans="1:8" x14ac:dyDescent="0.3">
      <c r="A148" s="1">
        <v>46245</v>
      </c>
      <c r="C148" s="9">
        <f>_xlfn.XLOOKUP(Log!A148, 'Daily Summary'!A:A, 'Daily Summary'!C:C, "Not found!")</f>
        <v>0.38194444444444442</v>
      </c>
      <c r="D148" s="9">
        <v>0.3925925925925926</v>
      </c>
      <c r="E148" s="7">
        <v>45</v>
      </c>
      <c r="F148" s="2">
        <v>49</v>
      </c>
      <c r="G148" s="6">
        <f t="shared" si="4"/>
        <v>15.333333333333385</v>
      </c>
      <c r="H148" s="2">
        <f t="shared" si="5"/>
        <v>4</v>
      </c>
    </row>
    <row r="149" spans="1:8" x14ac:dyDescent="0.3">
      <c r="A149" s="1">
        <v>46245</v>
      </c>
      <c r="C149" s="9">
        <f>_xlfn.XLOOKUP(Log!A149, 'Daily Summary'!A:A, 'Daily Summary'!C:C, "Not found!")</f>
        <v>0.38194444444444442</v>
      </c>
      <c r="D149" s="9">
        <v>0.39398148148148149</v>
      </c>
      <c r="E149" s="7">
        <v>48</v>
      </c>
      <c r="F149" s="2">
        <v>49</v>
      </c>
      <c r="G149" s="6">
        <f t="shared" si="4"/>
        <v>17.333333333333378</v>
      </c>
      <c r="H149" s="2">
        <f t="shared" si="5"/>
        <v>1</v>
      </c>
    </row>
    <row r="150" spans="1:8" x14ac:dyDescent="0.3">
      <c r="A150" s="1">
        <v>46245</v>
      </c>
      <c r="C150" s="9">
        <f>_xlfn.XLOOKUP(Log!A150, 'Daily Summary'!A:A, 'Daily Summary'!C:C, "Not found!")</f>
        <v>0.38194444444444442</v>
      </c>
      <c r="D150" s="9">
        <v>0.39538194444444447</v>
      </c>
      <c r="E150" s="7">
        <v>48</v>
      </c>
      <c r="F150" s="2">
        <v>52</v>
      </c>
      <c r="G150" s="6">
        <f t="shared" si="4"/>
        <v>19.350000000000065</v>
      </c>
      <c r="H150" s="2">
        <f t="shared" si="5"/>
        <v>4</v>
      </c>
    </row>
    <row r="151" spans="1:8" x14ac:dyDescent="0.3">
      <c r="A151" s="1">
        <v>46245</v>
      </c>
      <c r="C151" s="9">
        <f>_xlfn.XLOOKUP(Log!A151, 'Daily Summary'!A:A, 'Daily Summary'!C:C, "Not found!")</f>
        <v>0.38194444444444442</v>
      </c>
      <c r="D151" s="9">
        <v>0.39677083333333335</v>
      </c>
      <c r="E151" s="7">
        <v>51</v>
      </c>
      <c r="F151" s="2">
        <v>52</v>
      </c>
      <c r="G151" s="6">
        <f t="shared" si="4"/>
        <v>21.350000000000058</v>
      </c>
      <c r="H151" s="2">
        <f t="shared" si="5"/>
        <v>1</v>
      </c>
    </row>
    <row r="152" spans="1:8" x14ac:dyDescent="0.3">
      <c r="A152" s="1">
        <v>46245</v>
      </c>
      <c r="C152" s="9">
        <f>_xlfn.XLOOKUP(Log!A152, 'Daily Summary'!A:A, 'Daily Summary'!C:C, "Not found!")</f>
        <v>0.38194444444444442</v>
      </c>
      <c r="D152" s="9">
        <v>0.39815972222222223</v>
      </c>
      <c r="E152" s="7">
        <v>51</v>
      </c>
      <c r="F152" s="2">
        <v>54</v>
      </c>
      <c r="G152" s="6">
        <f t="shared" si="4"/>
        <v>23.350000000000051</v>
      </c>
      <c r="H152" s="2">
        <f t="shared" si="5"/>
        <v>3</v>
      </c>
    </row>
    <row r="153" spans="1:8" x14ac:dyDescent="0.3">
      <c r="A153" s="1">
        <v>46245</v>
      </c>
      <c r="C153" s="9">
        <f>_xlfn.XLOOKUP(Log!A153, 'Daily Summary'!A:A, 'Daily Summary'!C:C, "Not found!")</f>
        <v>0.38194444444444442</v>
      </c>
      <c r="D153" s="9">
        <v>0.39956018518518521</v>
      </c>
      <c r="E153" s="7">
        <v>51</v>
      </c>
      <c r="F153" s="2">
        <v>55</v>
      </c>
      <c r="G153" s="6">
        <f t="shared" si="4"/>
        <v>25.366666666666742</v>
      </c>
      <c r="H153" s="2">
        <f t="shared" si="5"/>
        <v>4</v>
      </c>
    </row>
    <row r="154" spans="1:8" x14ac:dyDescent="0.3">
      <c r="A154" s="1">
        <v>46245</v>
      </c>
      <c r="C154" s="9">
        <f>_xlfn.XLOOKUP(Log!A154, 'Daily Summary'!A:A, 'Daily Summary'!C:C, "Not found!")</f>
        <v>0.38194444444444442</v>
      </c>
      <c r="D154" s="9">
        <v>0.40096064814814814</v>
      </c>
      <c r="E154" s="7">
        <v>54</v>
      </c>
      <c r="F154" s="2">
        <v>55</v>
      </c>
      <c r="G154" s="6">
        <f t="shared" si="4"/>
        <v>27.383333333333351</v>
      </c>
      <c r="H154" s="2">
        <f t="shared" si="5"/>
        <v>1</v>
      </c>
    </row>
    <row r="155" spans="1:8" x14ac:dyDescent="0.3">
      <c r="A155" s="1">
        <v>46245</v>
      </c>
      <c r="C155" s="9">
        <f>_xlfn.XLOOKUP(Log!A155, 'Daily Summary'!A:A, 'Daily Summary'!C:C, "Not found!")</f>
        <v>0.38194444444444442</v>
      </c>
      <c r="D155" s="9">
        <v>0.40234953703703702</v>
      </c>
      <c r="E155" s="7">
        <v>54</v>
      </c>
      <c r="F155" s="2">
        <v>57</v>
      </c>
      <c r="G155" s="6">
        <f t="shared" si="4"/>
        <v>29.383333333333344</v>
      </c>
      <c r="H155" s="2">
        <f t="shared" si="5"/>
        <v>3</v>
      </c>
    </row>
    <row r="156" spans="1:8" x14ac:dyDescent="0.3">
      <c r="A156" s="1">
        <v>46245</v>
      </c>
      <c r="C156" s="9">
        <f>_xlfn.XLOOKUP(Log!A156, 'Daily Summary'!A:A, 'Daily Summary'!C:C, "Not found!")</f>
        <v>0.38194444444444442</v>
      </c>
      <c r="D156" s="9">
        <v>0.40375</v>
      </c>
      <c r="E156" s="7">
        <v>54</v>
      </c>
      <c r="F156" s="2">
        <v>57</v>
      </c>
      <c r="G156" s="6">
        <f t="shared" si="4"/>
        <v>31.400000000000034</v>
      </c>
      <c r="H156" s="2">
        <f t="shared" si="5"/>
        <v>3</v>
      </c>
    </row>
    <row r="157" spans="1:8" x14ac:dyDescent="0.3">
      <c r="A157" s="1">
        <v>46245</v>
      </c>
      <c r="C157" s="9">
        <f>_xlfn.XLOOKUP(Log!A157, 'Daily Summary'!A:A, 'Daily Summary'!C:C, "Not found!")</f>
        <v>0.38194444444444442</v>
      </c>
      <c r="D157" s="9">
        <v>0.40513888888888888</v>
      </c>
      <c r="E157" s="7">
        <v>54</v>
      </c>
      <c r="F157" s="2">
        <v>58</v>
      </c>
      <c r="G157" s="6">
        <f t="shared" si="4"/>
        <v>33.400000000000027</v>
      </c>
      <c r="H157" s="2">
        <f t="shared" si="5"/>
        <v>4</v>
      </c>
    </row>
    <row r="158" spans="1:8" x14ac:dyDescent="0.3">
      <c r="A158" s="1">
        <v>46246</v>
      </c>
      <c r="C158" s="9">
        <f>_xlfn.XLOOKUP(Log!A158, 'Daily Summary'!A:A, 'Daily Summary'!C:C, "Not found!")</f>
        <v>0.41597222222222224</v>
      </c>
      <c r="D158" s="9">
        <v>0.41736111111111113</v>
      </c>
      <c r="E158" s="7">
        <v>27</v>
      </c>
      <c r="F158" s="2">
        <v>29</v>
      </c>
      <c r="G158" s="6">
        <f t="shared" si="4"/>
        <v>1.9999999999999929</v>
      </c>
      <c r="H158" s="2">
        <f t="shared" si="5"/>
        <v>2</v>
      </c>
    </row>
    <row r="159" spans="1:8" x14ac:dyDescent="0.3">
      <c r="A159" s="1">
        <v>46246</v>
      </c>
      <c r="C159" s="9">
        <f>_xlfn.XLOOKUP(Log!A159, 'Daily Summary'!A:A, 'Daily Summary'!C:C, "Not found!")</f>
        <v>0.41597222222222224</v>
      </c>
      <c r="D159" s="9">
        <v>0.4183101851851852</v>
      </c>
      <c r="E159" s="7">
        <v>32</v>
      </c>
      <c r="F159" s="2">
        <v>33</v>
      </c>
      <c r="G159" s="6">
        <f t="shared" si="4"/>
        <v>3.36666666666666</v>
      </c>
      <c r="H159" s="2">
        <f t="shared" si="5"/>
        <v>1</v>
      </c>
    </row>
    <row r="160" spans="1:8" x14ac:dyDescent="0.3">
      <c r="A160" s="1">
        <v>46246</v>
      </c>
      <c r="C160" s="9">
        <f>_xlfn.XLOOKUP(Log!A160, 'Daily Summary'!A:A, 'Daily Summary'!C:C, "Not found!")</f>
        <v>0.41597222222222224</v>
      </c>
      <c r="D160" s="9">
        <v>0.41969907407407409</v>
      </c>
      <c r="E160" s="7">
        <v>36</v>
      </c>
      <c r="F160" s="2">
        <v>39</v>
      </c>
      <c r="G160" s="6">
        <f t="shared" si="4"/>
        <v>5.3666666666666529</v>
      </c>
      <c r="H160" s="2">
        <f t="shared" si="5"/>
        <v>3</v>
      </c>
    </row>
    <row r="161" spans="1:8" x14ac:dyDescent="0.3">
      <c r="A161" s="1">
        <v>46246</v>
      </c>
      <c r="C161" s="9">
        <f>_xlfn.XLOOKUP(Log!A161, 'Daily Summary'!A:A, 'Daily Summary'!C:C, "Not found!")</f>
        <v>0.41597222222222224</v>
      </c>
      <c r="D161" s="9">
        <v>0.42109953703703706</v>
      </c>
      <c r="E161" s="7">
        <v>39</v>
      </c>
      <c r="F161" s="2">
        <v>42</v>
      </c>
      <c r="G161" s="6">
        <f t="shared" si="4"/>
        <v>7.3833333333333417</v>
      </c>
      <c r="H161" s="2">
        <f t="shared" si="5"/>
        <v>3</v>
      </c>
    </row>
    <row r="162" spans="1:8" x14ac:dyDescent="0.3">
      <c r="A162" s="1">
        <v>46246</v>
      </c>
      <c r="C162" s="9">
        <f>_xlfn.XLOOKUP(Log!A162, 'Daily Summary'!A:A, 'Daily Summary'!C:C, "Not found!")</f>
        <v>0.41597222222222224</v>
      </c>
      <c r="D162" s="9">
        <v>0.42248842592592595</v>
      </c>
      <c r="E162" s="7">
        <v>41</v>
      </c>
      <c r="F162" s="2">
        <v>44</v>
      </c>
      <c r="G162" s="6">
        <f t="shared" si="4"/>
        <v>9.3833333333333346</v>
      </c>
      <c r="H162" s="2">
        <f t="shared" si="5"/>
        <v>3</v>
      </c>
    </row>
    <row r="163" spans="1:8" x14ac:dyDescent="0.3">
      <c r="A163" s="1">
        <v>46246</v>
      </c>
      <c r="C163" s="9">
        <f>_xlfn.XLOOKUP(Log!A163, 'Daily Summary'!A:A, 'Daily Summary'!C:C, "Not found!")</f>
        <v>0.41597222222222224</v>
      </c>
      <c r="D163" s="9">
        <v>0.42387731481481483</v>
      </c>
      <c r="E163" s="7">
        <v>44</v>
      </c>
      <c r="F163" s="2">
        <v>45</v>
      </c>
      <c r="G163" s="6">
        <f t="shared" si="4"/>
        <v>11.383333333333328</v>
      </c>
      <c r="H163" s="2">
        <f t="shared" si="5"/>
        <v>1</v>
      </c>
    </row>
    <row r="164" spans="1:8" x14ac:dyDescent="0.3">
      <c r="A164" s="1">
        <v>46246</v>
      </c>
      <c r="C164" s="9">
        <f>_xlfn.XLOOKUP(Log!A164, 'Daily Summary'!A:A, 'Daily Summary'!C:C, "Not found!")</f>
        <v>0.41597222222222224</v>
      </c>
      <c r="D164" s="9">
        <v>0.42526620370370372</v>
      </c>
      <c r="E164" s="7">
        <v>45</v>
      </c>
      <c r="F164" s="2">
        <v>48</v>
      </c>
      <c r="G164" s="6">
        <f t="shared" si="4"/>
        <v>13.38333333333332</v>
      </c>
      <c r="H164" s="2">
        <f t="shared" si="5"/>
        <v>3</v>
      </c>
    </row>
    <row r="165" spans="1:8" x14ac:dyDescent="0.3">
      <c r="A165" s="1">
        <v>46246</v>
      </c>
      <c r="C165" s="9">
        <f>_xlfn.XLOOKUP(Log!A165, 'Daily Summary'!A:A, 'Daily Summary'!C:C, "Not found!")</f>
        <v>0.41597222222222224</v>
      </c>
      <c r="D165" s="9">
        <v>0.42666666666666669</v>
      </c>
      <c r="E165" s="7">
        <v>47</v>
      </c>
      <c r="F165" s="2">
        <v>49</v>
      </c>
      <c r="G165" s="6">
        <f t="shared" si="4"/>
        <v>15.400000000000009</v>
      </c>
      <c r="H165" s="2">
        <f t="shared" si="5"/>
        <v>2</v>
      </c>
    </row>
    <row r="166" spans="1:8" x14ac:dyDescent="0.3">
      <c r="A166" s="1">
        <v>46246</v>
      </c>
      <c r="C166" s="9">
        <f>_xlfn.XLOOKUP(Log!A166, 'Daily Summary'!A:A, 'Daily Summary'!C:C, "Not found!")</f>
        <v>0.41597222222222224</v>
      </c>
      <c r="D166" s="9">
        <v>0.42806712962962962</v>
      </c>
      <c r="E166" s="7">
        <v>48</v>
      </c>
      <c r="F166" s="2">
        <v>51</v>
      </c>
      <c r="G166" s="6">
        <f t="shared" si="4"/>
        <v>17.416666666666618</v>
      </c>
      <c r="H166" s="2">
        <f t="shared" si="5"/>
        <v>3</v>
      </c>
    </row>
    <row r="167" spans="1:8" x14ac:dyDescent="0.3">
      <c r="A167" s="1">
        <v>46246</v>
      </c>
      <c r="C167" s="9">
        <f>_xlfn.XLOOKUP(Log!A167, 'Daily Summary'!A:A, 'Daily Summary'!C:C, "Not found!")</f>
        <v>0.41597222222222224</v>
      </c>
      <c r="D167" s="9">
        <v>0.4294675925925926</v>
      </c>
      <c r="E167" s="7">
        <v>49</v>
      </c>
      <c r="F167" s="2">
        <v>52</v>
      </c>
      <c r="G167" s="6">
        <f t="shared" si="4"/>
        <v>19.433333333333309</v>
      </c>
      <c r="H167" s="2">
        <f t="shared" si="5"/>
        <v>3</v>
      </c>
    </row>
    <row r="168" spans="1:8" x14ac:dyDescent="0.3">
      <c r="A168" s="1">
        <v>46246</v>
      </c>
      <c r="C168" s="9">
        <f>_xlfn.XLOOKUP(Log!A168, 'Daily Summary'!A:A, 'Daily Summary'!C:C, "Not found!")</f>
        <v>0.41597222222222224</v>
      </c>
      <c r="D168" s="9">
        <v>0.43086805555555557</v>
      </c>
      <c r="E168" s="7">
        <v>51</v>
      </c>
      <c r="F168" s="2">
        <v>54</v>
      </c>
      <c r="G168" s="6">
        <f t="shared" si="4"/>
        <v>21.449999999999996</v>
      </c>
      <c r="H168" s="2">
        <f t="shared" si="5"/>
        <v>3</v>
      </c>
    </row>
    <row r="169" spans="1:8" x14ac:dyDescent="0.3">
      <c r="A169" s="1">
        <v>46246</v>
      </c>
      <c r="C169" s="9">
        <f>_xlfn.XLOOKUP(Log!A169, 'Daily Summary'!A:A, 'Daily Summary'!C:C, "Not found!")</f>
        <v>0.41597222222222224</v>
      </c>
      <c r="D169" s="9">
        <v>0.43225694444444446</v>
      </c>
      <c r="E169" s="7">
        <v>51</v>
      </c>
      <c r="F169" s="2">
        <v>55</v>
      </c>
      <c r="G169" s="6">
        <f t="shared" si="4"/>
        <v>23.449999999999989</v>
      </c>
      <c r="H169" s="2">
        <f t="shared" si="5"/>
        <v>4</v>
      </c>
    </row>
    <row r="170" spans="1:8" x14ac:dyDescent="0.3">
      <c r="A170" s="1">
        <v>46246</v>
      </c>
      <c r="C170" s="9">
        <f>_xlfn.XLOOKUP(Log!A170, 'Daily Summary'!A:A, 'Daily Summary'!C:C, "Not found!")</f>
        <v>0.41597222222222224</v>
      </c>
      <c r="D170" s="9">
        <v>0.43364583333333334</v>
      </c>
      <c r="E170" s="7">
        <v>52</v>
      </c>
      <c r="F170" s="2">
        <v>55</v>
      </c>
      <c r="G170" s="6">
        <f t="shared" si="4"/>
        <v>25.449999999999982</v>
      </c>
      <c r="H170" s="2">
        <f t="shared" si="5"/>
        <v>3</v>
      </c>
    </row>
    <row r="171" spans="1:8" x14ac:dyDescent="0.3">
      <c r="A171" s="1">
        <v>46246</v>
      </c>
      <c r="C171" s="9">
        <f>_xlfn.XLOOKUP(Log!A171, 'Daily Summary'!A:A, 'Daily Summary'!C:C, "Not found!")</f>
        <v>0.41597222222222224</v>
      </c>
      <c r="D171" s="9">
        <v>0.43504629629629632</v>
      </c>
      <c r="E171" s="7">
        <v>54</v>
      </c>
      <c r="F171" s="2">
        <v>55</v>
      </c>
      <c r="G171" s="6">
        <f t="shared" si="4"/>
        <v>27.466666666666669</v>
      </c>
      <c r="H171" s="2">
        <f t="shared" si="5"/>
        <v>1</v>
      </c>
    </row>
    <row r="172" spans="1:8" x14ac:dyDescent="0.3">
      <c r="A172" s="1">
        <v>46246</v>
      </c>
      <c r="C172" s="9">
        <f>_xlfn.XLOOKUP(Log!A172, 'Daily Summary'!A:A, 'Daily Summary'!C:C, "Not found!")</f>
        <v>0.41597222222222224</v>
      </c>
      <c r="D172" s="9">
        <v>0.4364351851851852</v>
      </c>
      <c r="E172" s="7">
        <v>54</v>
      </c>
      <c r="F172" s="2">
        <v>57</v>
      </c>
      <c r="G172" s="6">
        <f t="shared" si="4"/>
        <v>29.466666666666661</v>
      </c>
      <c r="H172" s="2">
        <f t="shared" si="5"/>
        <v>3</v>
      </c>
    </row>
    <row r="173" spans="1:8" x14ac:dyDescent="0.3">
      <c r="A173" s="1">
        <v>46246</v>
      </c>
      <c r="C173" s="9">
        <f>_xlfn.XLOOKUP(Log!A173, 'Daily Summary'!A:A, 'Daily Summary'!C:C, "Not found!")</f>
        <v>0.41597222222222224</v>
      </c>
      <c r="D173" s="9">
        <v>0.43783564814814813</v>
      </c>
      <c r="E173" s="7">
        <v>55</v>
      </c>
      <c r="F173" s="2">
        <v>58</v>
      </c>
      <c r="G173" s="6">
        <f t="shared" si="4"/>
        <v>31.48333333333327</v>
      </c>
      <c r="H173" s="2">
        <f t="shared" si="5"/>
        <v>3</v>
      </c>
    </row>
    <row r="174" spans="1:8" x14ac:dyDescent="0.3">
      <c r="A174" s="1">
        <v>46247</v>
      </c>
      <c r="C174" s="9">
        <f>_xlfn.XLOOKUP(Log!A174, 'Daily Summary'!A:A, 'Daily Summary'!C:C, "Not found!")</f>
        <v>0.40972222222222221</v>
      </c>
      <c r="D174" s="9">
        <v>0.41111111111111109</v>
      </c>
      <c r="E174" s="7">
        <v>29</v>
      </c>
      <c r="F174" s="2">
        <v>30</v>
      </c>
      <c r="G174" s="6">
        <f t="shared" si="4"/>
        <v>1.9999999999999929</v>
      </c>
      <c r="H174" s="2">
        <f t="shared" si="5"/>
        <v>1</v>
      </c>
    </row>
    <row r="175" spans="1:8" x14ac:dyDescent="0.3">
      <c r="A175" s="1">
        <v>46247</v>
      </c>
      <c r="C175" s="9">
        <f>_xlfn.XLOOKUP(Log!A175, 'Daily Summary'!A:A, 'Daily Summary'!C:C, "Not found!")</f>
        <v>0.40972222222222221</v>
      </c>
      <c r="D175" s="9">
        <v>0.4117824074074074</v>
      </c>
      <c r="E175" s="7">
        <v>35</v>
      </c>
      <c r="F175" s="2">
        <v>35</v>
      </c>
      <c r="G175" s="6">
        <f t="shared" si="4"/>
        <v>2.9666666666666774</v>
      </c>
      <c r="H175" s="2">
        <f t="shared" si="5"/>
        <v>0</v>
      </c>
    </row>
    <row r="176" spans="1:8" x14ac:dyDescent="0.3">
      <c r="A176" s="1">
        <v>46247</v>
      </c>
      <c r="C176" s="9">
        <f>_xlfn.XLOOKUP(Log!A176, 'Daily Summary'!A:A, 'Daily Summary'!C:C, "Not found!")</f>
        <v>0.40972222222222221</v>
      </c>
      <c r="D176" s="9">
        <v>0.41317129629629629</v>
      </c>
      <c r="E176" s="7">
        <v>38</v>
      </c>
      <c r="F176" s="2">
        <v>41</v>
      </c>
      <c r="G176" s="6">
        <f t="shared" si="4"/>
        <v>4.9666666666666703</v>
      </c>
      <c r="H176" s="2">
        <f t="shared" si="5"/>
        <v>3</v>
      </c>
    </row>
    <row r="177" spans="1:8" x14ac:dyDescent="0.3">
      <c r="A177" s="1">
        <v>46247</v>
      </c>
      <c r="C177" s="9">
        <f>_xlfn.XLOOKUP(Log!A177, 'Daily Summary'!A:A, 'Daily Summary'!C:C, "Not found!")</f>
        <v>0.40972222222222221</v>
      </c>
      <c r="D177" s="9">
        <v>0.41457175925925926</v>
      </c>
      <c r="E177" s="7">
        <v>41</v>
      </c>
      <c r="F177" s="2">
        <v>44</v>
      </c>
      <c r="G177" s="6">
        <f t="shared" si="4"/>
        <v>6.9833333333333591</v>
      </c>
      <c r="H177" s="2">
        <f t="shared" si="5"/>
        <v>3</v>
      </c>
    </row>
    <row r="178" spans="1:8" x14ac:dyDescent="0.3">
      <c r="A178" s="1">
        <v>46247</v>
      </c>
      <c r="C178" s="9">
        <f>_xlfn.XLOOKUP(Log!A178, 'Daily Summary'!A:A, 'Daily Summary'!C:C, "Not found!")</f>
        <v>0.40972222222222221</v>
      </c>
      <c r="D178" s="9">
        <v>0.41596064814814815</v>
      </c>
      <c r="E178" s="7">
        <v>44</v>
      </c>
      <c r="F178" s="2">
        <v>44</v>
      </c>
      <c r="G178" s="6">
        <f t="shared" si="4"/>
        <v>8.983333333333352</v>
      </c>
      <c r="H178" s="2">
        <f t="shared" si="5"/>
        <v>0</v>
      </c>
    </row>
    <row r="179" spans="1:8" x14ac:dyDescent="0.3">
      <c r="A179" s="1">
        <v>46247</v>
      </c>
      <c r="C179" s="9">
        <f>_xlfn.XLOOKUP(Log!A179, 'Daily Summary'!A:A, 'Daily Summary'!C:C, "Not found!")</f>
        <v>0.40972222222222221</v>
      </c>
      <c r="D179" s="9">
        <v>0.41734953703703703</v>
      </c>
      <c r="E179" s="7">
        <v>44</v>
      </c>
      <c r="F179" s="2">
        <v>47</v>
      </c>
      <c r="G179" s="6">
        <f t="shared" si="4"/>
        <v>10.983333333333345</v>
      </c>
      <c r="H179" s="2">
        <f t="shared" si="5"/>
        <v>3</v>
      </c>
    </row>
    <row r="180" spans="1:8" x14ac:dyDescent="0.3">
      <c r="A180" s="1">
        <v>46247</v>
      </c>
      <c r="C180" s="9">
        <f>_xlfn.XLOOKUP(Log!A180, 'Daily Summary'!A:A, 'Daily Summary'!C:C, "Not found!")</f>
        <v>0.40972222222222221</v>
      </c>
      <c r="D180" s="9">
        <v>0.41873842592592592</v>
      </c>
      <c r="E180" s="7">
        <v>47</v>
      </c>
      <c r="F180" s="2">
        <v>49</v>
      </c>
      <c r="G180" s="6">
        <f t="shared" si="4"/>
        <v>12.983333333333338</v>
      </c>
      <c r="H180" s="2">
        <f t="shared" si="5"/>
        <v>2</v>
      </c>
    </row>
    <row r="181" spans="1:8" x14ac:dyDescent="0.3">
      <c r="A181" s="1">
        <v>46247</v>
      </c>
      <c r="C181" s="9">
        <f>_xlfn.XLOOKUP(Log!A181, 'Daily Summary'!A:A, 'Daily Summary'!C:C, "Not found!")</f>
        <v>0.40972222222222221</v>
      </c>
      <c r="D181" s="9">
        <v>0.4201388888888889</v>
      </c>
      <c r="E181" s="7">
        <v>49</v>
      </c>
      <c r="F181" s="2">
        <v>49</v>
      </c>
      <c r="G181" s="6">
        <f t="shared" si="4"/>
        <v>15.000000000000027</v>
      </c>
      <c r="H181" s="2">
        <f t="shared" si="5"/>
        <v>0</v>
      </c>
    </row>
    <row r="182" spans="1:8" x14ac:dyDescent="0.3">
      <c r="A182" s="1">
        <v>46247</v>
      </c>
      <c r="C182" s="9">
        <f>_xlfn.XLOOKUP(Log!A182, 'Daily Summary'!A:A, 'Daily Summary'!C:C, "Not found!")</f>
        <v>0.40972222222222221</v>
      </c>
      <c r="D182" s="9">
        <v>0.42152777777777778</v>
      </c>
      <c r="E182" s="7">
        <v>49</v>
      </c>
      <c r="F182" s="2">
        <v>52</v>
      </c>
      <c r="G182" s="6">
        <f t="shared" si="4"/>
        <v>17.000000000000021</v>
      </c>
      <c r="H182" s="2">
        <f t="shared" si="5"/>
        <v>3</v>
      </c>
    </row>
    <row r="183" spans="1:8" x14ac:dyDescent="0.3">
      <c r="A183" s="1">
        <v>46247</v>
      </c>
      <c r="C183" s="9">
        <f>_xlfn.XLOOKUP(Log!A183, 'Daily Summary'!A:A, 'Daily Summary'!C:C, "Not found!")</f>
        <v>0.40972222222222221</v>
      </c>
      <c r="D183" s="9">
        <v>0.42291666666666666</v>
      </c>
      <c r="E183" s="7">
        <v>52</v>
      </c>
      <c r="F183" s="2">
        <v>52</v>
      </c>
      <c r="G183" s="6">
        <f t="shared" si="4"/>
        <v>19.000000000000014</v>
      </c>
      <c r="H183" s="2">
        <f t="shared" si="5"/>
        <v>0</v>
      </c>
    </row>
    <row r="184" spans="1:8" x14ac:dyDescent="0.3">
      <c r="A184" s="1">
        <v>46247</v>
      </c>
      <c r="C184" s="9">
        <f>_xlfn.XLOOKUP(Log!A184, 'Daily Summary'!A:A, 'Daily Summary'!C:C, "Not found!")</f>
        <v>0.40972222222222221</v>
      </c>
      <c r="D184" s="9">
        <v>0.42431712962962964</v>
      </c>
      <c r="E184" s="7">
        <v>52</v>
      </c>
      <c r="F184" s="2">
        <v>55</v>
      </c>
      <c r="G184" s="6">
        <f t="shared" si="4"/>
        <v>21.016666666666701</v>
      </c>
      <c r="H184" s="2">
        <f t="shared" si="5"/>
        <v>3</v>
      </c>
    </row>
    <row r="185" spans="1:8" x14ac:dyDescent="0.3">
      <c r="A185" s="1">
        <v>46247</v>
      </c>
      <c r="C185" s="9">
        <f>_xlfn.XLOOKUP(Log!A185, 'Daily Summary'!A:A, 'Daily Summary'!C:C, "Not found!")</f>
        <v>0.40972222222222221</v>
      </c>
      <c r="D185" s="9">
        <v>0.42571759259259262</v>
      </c>
      <c r="E185" s="7">
        <v>52</v>
      </c>
      <c r="F185" s="2">
        <v>55</v>
      </c>
      <c r="G185" s="6">
        <f t="shared" si="4"/>
        <v>23.033333333333388</v>
      </c>
      <c r="H185" s="2">
        <f t="shared" si="5"/>
        <v>3</v>
      </c>
    </row>
    <row r="186" spans="1:8" x14ac:dyDescent="0.3">
      <c r="A186" s="1">
        <v>46247</v>
      </c>
      <c r="C186" s="9">
        <f>_xlfn.XLOOKUP(Log!A186, 'Daily Summary'!A:A, 'Daily Summary'!C:C, "Not found!")</f>
        <v>0.40972222222222221</v>
      </c>
      <c r="D186" s="9">
        <v>0.4271064814814815</v>
      </c>
      <c r="E186" s="7">
        <v>55</v>
      </c>
      <c r="F186" s="2">
        <v>55</v>
      </c>
      <c r="G186" s="6">
        <f t="shared" si="4"/>
        <v>25.033333333333381</v>
      </c>
      <c r="H186" s="2">
        <f t="shared" si="5"/>
        <v>0</v>
      </c>
    </row>
    <row r="187" spans="1:8" x14ac:dyDescent="0.3">
      <c r="A187" s="1">
        <v>46247</v>
      </c>
      <c r="C187" s="9">
        <f>_xlfn.XLOOKUP(Log!A187, 'Daily Summary'!A:A, 'Daily Summary'!C:C, "Not found!")</f>
        <v>0.40972222222222221</v>
      </c>
      <c r="D187" s="9">
        <v>0.42849537037037039</v>
      </c>
      <c r="E187" s="7">
        <v>55</v>
      </c>
      <c r="F187" s="2">
        <v>55</v>
      </c>
      <c r="G187" s="6">
        <f t="shared" si="4"/>
        <v>27.033333333333374</v>
      </c>
      <c r="H187" s="2">
        <f t="shared" si="5"/>
        <v>0</v>
      </c>
    </row>
    <row r="188" spans="1:8" x14ac:dyDescent="0.3">
      <c r="A188" s="1">
        <v>46247</v>
      </c>
      <c r="C188" s="9">
        <f>_xlfn.XLOOKUP(Log!A188, 'Daily Summary'!A:A, 'Daily Summary'!C:C, "Not found!")</f>
        <v>0.40972222222222221</v>
      </c>
      <c r="D188" s="9">
        <v>0.42989583333333331</v>
      </c>
      <c r="E188" s="7">
        <v>55</v>
      </c>
      <c r="F188" s="2">
        <v>58</v>
      </c>
      <c r="G188" s="6">
        <f t="shared" ref="G188:G266" si="6">IF(AND($D188&lt;&gt;"", $C188&lt;&gt;""), ($D188-$C188)*1440, "")</f>
        <v>29.049999999999983</v>
      </c>
      <c r="H188" s="2">
        <f t="shared" si="5"/>
        <v>3</v>
      </c>
    </row>
    <row r="189" spans="1:8" x14ac:dyDescent="0.3">
      <c r="A189" s="1">
        <v>46247</v>
      </c>
      <c r="C189" s="9">
        <f>_xlfn.XLOOKUP(Log!A189, 'Daily Summary'!A:A, 'Daily Summary'!C:C, "Not found!")</f>
        <v>0.40972222222222221</v>
      </c>
      <c r="D189" s="9">
        <v>0.43129629629629629</v>
      </c>
      <c r="E189" s="7">
        <v>55</v>
      </c>
      <c r="F189" s="2">
        <v>58</v>
      </c>
      <c r="G189" s="6">
        <f t="shared" si="6"/>
        <v>31.066666666666674</v>
      </c>
      <c r="H189" s="2">
        <f t="shared" ref="H189:H267" si="7">IF(AND($F189&lt;&gt;"",$E189&lt;&gt;""), $F189-$E189, "")</f>
        <v>3</v>
      </c>
    </row>
    <row r="190" spans="1:8" x14ac:dyDescent="0.3">
      <c r="A190" s="1">
        <v>46248</v>
      </c>
      <c r="C190" s="9">
        <f>_xlfn.XLOOKUP(Log!A190, 'Daily Summary'!A:A, 'Daily Summary'!C:C, "Not found!")</f>
        <v>0.43472222222222223</v>
      </c>
      <c r="D190" s="9">
        <v>0.4375</v>
      </c>
      <c r="E190" s="7">
        <v>38</v>
      </c>
      <c r="F190" s="2">
        <v>38</v>
      </c>
      <c r="G190" s="6">
        <f t="shared" si="6"/>
        <v>3.9999999999999858</v>
      </c>
      <c r="H190" s="2">
        <f t="shared" si="7"/>
        <v>0</v>
      </c>
    </row>
    <row r="191" spans="1:8" x14ac:dyDescent="0.3">
      <c r="A191" s="1">
        <v>46248</v>
      </c>
      <c r="C191" s="9">
        <f>_xlfn.XLOOKUP(Log!A191, 'Daily Summary'!A:A, 'Daily Summary'!C:C, "Not found!")</f>
        <v>0.43472222222222223</v>
      </c>
      <c r="D191" s="9">
        <v>0.4387847222222222</v>
      </c>
      <c r="E191" s="7">
        <v>41</v>
      </c>
      <c r="F191" s="2">
        <v>41</v>
      </c>
      <c r="G191" s="6">
        <f t="shared" si="6"/>
        <v>5.8499999999999552</v>
      </c>
      <c r="H191" s="2">
        <f t="shared" si="7"/>
        <v>0</v>
      </c>
    </row>
    <row r="192" spans="1:8" x14ac:dyDescent="0.3">
      <c r="A192" s="1">
        <v>46248</v>
      </c>
      <c r="C192" s="9">
        <f>_xlfn.XLOOKUP(Log!A192, 'Daily Summary'!A:A, 'Daily Summary'!C:C, "Not found!")</f>
        <v>0.43472222222222223</v>
      </c>
      <c r="D192" s="9">
        <v>0.44018518518518518</v>
      </c>
      <c r="E192" s="7">
        <v>44</v>
      </c>
      <c r="F192" s="2">
        <v>44</v>
      </c>
      <c r="G192" s="6">
        <f t="shared" si="6"/>
        <v>7.866666666666644</v>
      </c>
      <c r="H192" s="2">
        <f t="shared" si="7"/>
        <v>0</v>
      </c>
    </row>
    <row r="193" spans="1:8" x14ac:dyDescent="0.3">
      <c r="A193" s="1">
        <v>46248</v>
      </c>
      <c r="C193" s="9">
        <f>_xlfn.XLOOKUP(Log!A193, 'Daily Summary'!A:A, 'Daily Summary'!C:C, "Not found!")</f>
        <v>0.43472222222222223</v>
      </c>
      <c r="D193" s="9">
        <v>0.44157407407407406</v>
      </c>
      <c r="E193" s="7">
        <v>44</v>
      </c>
      <c r="F193" s="2">
        <v>47</v>
      </c>
      <c r="G193" s="6">
        <f t="shared" si="6"/>
        <v>9.8666666666666369</v>
      </c>
      <c r="H193" s="2">
        <f t="shared" si="7"/>
        <v>3</v>
      </c>
    </row>
    <row r="194" spans="1:8" x14ac:dyDescent="0.3">
      <c r="A194" s="1">
        <v>46248</v>
      </c>
      <c r="C194" s="9">
        <f>_xlfn.XLOOKUP(Log!A194, 'Daily Summary'!A:A, 'Daily Summary'!C:C, "Not found!")</f>
        <v>0.43472222222222223</v>
      </c>
      <c r="D194" s="9">
        <v>0.44436342592592593</v>
      </c>
      <c r="E194" s="7">
        <v>49</v>
      </c>
      <c r="F194" s="2">
        <v>49</v>
      </c>
      <c r="G194" s="6">
        <f t="shared" si="6"/>
        <v>13.883333333333319</v>
      </c>
      <c r="H194" s="2">
        <f t="shared" si="7"/>
        <v>0</v>
      </c>
    </row>
    <row r="195" spans="1:8" x14ac:dyDescent="0.3">
      <c r="A195" s="1">
        <v>46248</v>
      </c>
      <c r="C195" s="9">
        <f>_xlfn.XLOOKUP(Log!A195, 'Daily Summary'!A:A, 'Daily Summary'!C:C, "Not found!")</f>
        <v>0.43472222222222223</v>
      </c>
      <c r="D195" s="9">
        <v>0.44575231481481481</v>
      </c>
      <c r="E195" s="7">
        <v>49</v>
      </c>
      <c r="F195" s="2">
        <v>52</v>
      </c>
      <c r="G195" s="6">
        <f t="shared" si="6"/>
        <v>15.883333333333312</v>
      </c>
      <c r="H195" s="2">
        <f t="shared" si="7"/>
        <v>3</v>
      </c>
    </row>
    <row r="196" spans="1:8" x14ac:dyDescent="0.3">
      <c r="A196" s="1">
        <v>46248</v>
      </c>
      <c r="C196" s="9">
        <f>_xlfn.XLOOKUP(Log!A196, 'Daily Summary'!A:A, 'Daily Summary'!C:C, "Not found!")</f>
        <v>0.43472222222222223</v>
      </c>
      <c r="D196" s="9">
        <v>0.44715277777777779</v>
      </c>
      <c r="E196" s="7">
        <v>52</v>
      </c>
      <c r="F196" s="2">
        <v>52</v>
      </c>
      <c r="G196" s="6">
        <f t="shared" si="6"/>
        <v>17.899999999999999</v>
      </c>
      <c r="H196" s="2">
        <f t="shared" si="7"/>
        <v>0</v>
      </c>
    </row>
    <row r="197" spans="1:8" x14ac:dyDescent="0.3">
      <c r="A197" s="1">
        <v>46248</v>
      </c>
      <c r="C197" s="9">
        <f>_xlfn.XLOOKUP(Log!A197, 'Daily Summary'!A:A, 'Daily Summary'!C:C, "Not found!")</f>
        <v>0.43472222222222223</v>
      </c>
      <c r="D197" s="9">
        <v>0.44855324074074077</v>
      </c>
      <c r="E197" s="7">
        <v>52</v>
      </c>
      <c r="F197" s="2">
        <v>52</v>
      </c>
      <c r="G197" s="6">
        <f t="shared" si="6"/>
        <v>19.916666666666689</v>
      </c>
      <c r="H197" s="2">
        <f t="shared" si="7"/>
        <v>0</v>
      </c>
    </row>
    <row r="198" spans="1:8" x14ac:dyDescent="0.3">
      <c r="A198" s="1">
        <v>46248</v>
      </c>
      <c r="C198" s="9">
        <f>_xlfn.XLOOKUP(Log!A198, 'Daily Summary'!A:A, 'Daily Summary'!C:C, "Not found!")</f>
        <v>0.43472222222222223</v>
      </c>
      <c r="D198" s="9">
        <v>0.44994212962962965</v>
      </c>
      <c r="E198" s="7">
        <v>52</v>
      </c>
      <c r="F198" s="2">
        <v>55</v>
      </c>
      <c r="G198" s="6">
        <f t="shared" si="6"/>
        <v>21.916666666666682</v>
      </c>
      <c r="H198" s="2">
        <f t="shared" si="7"/>
        <v>3</v>
      </c>
    </row>
    <row r="199" spans="1:8" x14ac:dyDescent="0.3">
      <c r="A199" s="1">
        <v>46248</v>
      </c>
      <c r="C199" s="9">
        <f>_xlfn.XLOOKUP(Log!A199, 'Daily Summary'!A:A, 'Daily Summary'!C:C, "Not found!")</f>
        <v>0.43472222222222223</v>
      </c>
      <c r="D199" s="9">
        <v>0.45134259259259257</v>
      </c>
      <c r="E199" s="7">
        <v>55</v>
      </c>
      <c r="F199" s="2">
        <v>55</v>
      </c>
      <c r="G199" s="6">
        <f t="shared" si="6"/>
        <v>23.933333333333291</v>
      </c>
      <c r="H199" s="2">
        <f t="shared" si="7"/>
        <v>0</v>
      </c>
    </row>
    <row r="200" spans="1:8" x14ac:dyDescent="0.3">
      <c r="A200" s="1">
        <v>46248</v>
      </c>
      <c r="C200" s="9">
        <f>_xlfn.XLOOKUP(Log!A200, 'Daily Summary'!A:A, 'Daily Summary'!C:C, "Not found!")</f>
        <v>0.43472222222222223</v>
      </c>
      <c r="D200" s="9">
        <v>0.45274305555555555</v>
      </c>
      <c r="E200" s="7">
        <v>55</v>
      </c>
      <c r="F200" s="2">
        <v>55</v>
      </c>
      <c r="G200" s="6">
        <f t="shared" si="6"/>
        <v>25.949999999999982</v>
      </c>
      <c r="H200" s="2">
        <f t="shared" si="7"/>
        <v>0</v>
      </c>
    </row>
    <row r="201" spans="1:8" x14ac:dyDescent="0.3">
      <c r="A201" s="1">
        <v>46248</v>
      </c>
      <c r="C201" s="9">
        <f>_xlfn.XLOOKUP(Log!A201, 'Daily Summary'!A:A, 'Daily Summary'!C:C, "Not found!")</f>
        <v>0.43472222222222223</v>
      </c>
      <c r="D201" s="9">
        <v>0.45413194444444444</v>
      </c>
      <c r="E201" s="7">
        <v>55</v>
      </c>
      <c r="F201" s="2">
        <v>58</v>
      </c>
      <c r="G201" s="6">
        <f t="shared" si="6"/>
        <v>27.949999999999974</v>
      </c>
      <c r="H201" s="2">
        <f t="shared" si="7"/>
        <v>3</v>
      </c>
    </row>
    <row r="202" spans="1:8" x14ac:dyDescent="0.3">
      <c r="A202" s="1">
        <v>46248</v>
      </c>
      <c r="C202" s="9">
        <f>_xlfn.XLOOKUP(Log!A202, 'Daily Summary'!A:A, 'Daily Summary'!C:C, "Not found!")</f>
        <v>0.43472222222222223</v>
      </c>
      <c r="D202" s="9">
        <v>0.45553240740740741</v>
      </c>
      <c r="E202" s="7">
        <v>55</v>
      </c>
      <c r="F202" s="2">
        <v>58</v>
      </c>
      <c r="G202" s="6">
        <f t="shared" si="6"/>
        <v>29.966666666666661</v>
      </c>
      <c r="H202" s="2">
        <f t="shared" si="7"/>
        <v>3</v>
      </c>
    </row>
    <row r="203" spans="1:8" x14ac:dyDescent="0.3">
      <c r="A203" s="1">
        <v>46248</v>
      </c>
      <c r="C203" s="9">
        <f>_xlfn.XLOOKUP(Log!A203, 'Daily Summary'!A:A, 'Daily Summary'!C:C, "Not found!")</f>
        <v>0.43472222222222223</v>
      </c>
      <c r="D203" s="9">
        <v>0.4569212962962963</v>
      </c>
      <c r="E203" s="7">
        <v>58</v>
      </c>
      <c r="F203" s="2">
        <v>58</v>
      </c>
      <c r="G203" s="6">
        <f t="shared" si="6"/>
        <v>31.966666666666654</v>
      </c>
      <c r="H203" s="2">
        <f t="shared" si="7"/>
        <v>0</v>
      </c>
    </row>
    <row r="204" spans="1:8" x14ac:dyDescent="0.3">
      <c r="A204" s="1">
        <v>46248</v>
      </c>
      <c r="C204" s="9">
        <f>_xlfn.XLOOKUP(Log!A204, 'Daily Summary'!A:A, 'Daily Summary'!C:C, "Not found!")</f>
        <v>0.43472222222222223</v>
      </c>
      <c r="D204" s="9">
        <v>0.45831018518518518</v>
      </c>
      <c r="E204" s="7">
        <v>58</v>
      </c>
      <c r="F204" s="2">
        <v>58</v>
      </c>
      <c r="G204" s="6">
        <f t="shared" si="6"/>
        <v>33.966666666666647</v>
      </c>
      <c r="H204" s="2">
        <f t="shared" si="7"/>
        <v>0</v>
      </c>
    </row>
    <row r="205" spans="1:8" x14ac:dyDescent="0.3">
      <c r="A205" s="1">
        <v>46251</v>
      </c>
      <c r="C205" s="9">
        <f>_xlfn.XLOOKUP(Log!A205, 'Daily Summary'!A:A, 'Daily Summary'!C:C, "Not found!")</f>
        <v>0.55902777777777779</v>
      </c>
      <c r="D205" s="9">
        <v>0.56111111111111112</v>
      </c>
      <c r="E205" s="7">
        <v>29</v>
      </c>
      <c r="F205" s="2">
        <v>31</v>
      </c>
      <c r="G205" s="6">
        <f t="shared" si="6"/>
        <v>2.9999999999999893</v>
      </c>
      <c r="H205" s="2">
        <f t="shared" si="7"/>
        <v>2</v>
      </c>
    </row>
    <row r="206" spans="1:8" x14ac:dyDescent="0.3">
      <c r="A206" s="1">
        <v>46251</v>
      </c>
      <c r="C206" s="9">
        <f>_xlfn.XLOOKUP(Log!A206, 'Daily Summary'!A:A, 'Daily Summary'!C:C, "Not found!")</f>
        <v>0.55902777777777779</v>
      </c>
      <c r="D206" s="9">
        <v>0.56137731481481479</v>
      </c>
      <c r="E206" s="7">
        <v>32</v>
      </c>
      <c r="F206" s="2">
        <v>33</v>
      </c>
      <c r="G206" s="6">
        <f t="shared" si="6"/>
        <v>3.383333333333276</v>
      </c>
      <c r="H206" s="2">
        <f t="shared" si="7"/>
        <v>1</v>
      </c>
    </row>
    <row r="207" spans="1:8" x14ac:dyDescent="0.3">
      <c r="A207" s="1">
        <v>46251</v>
      </c>
      <c r="C207" s="9">
        <f>_xlfn.XLOOKUP(Log!A207, 'Daily Summary'!A:A, 'Daily Summary'!C:C, "Not found!")</f>
        <v>0.55902777777777779</v>
      </c>
      <c r="D207" s="9">
        <v>0.56277777777777782</v>
      </c>
      <c r="E207" s="7">
        <v>36</v>
      </c>
      <c r="F207" s="2">
        <v>38</v>
      </c>
      <c r="G207" s="6">
        <f t="shared" si="6"/>
        <v>5.4000000000000448</v>
      </c>
      <c r="H207" s="2">
        <f t="shared" si="7"/>
        <v>2</v>
      </c>
    </row>
    <row r="208" spans="1:8" x14ac:dyDescent="0.3">
      <c r="A208" s="1">
        <v>46251</v>
      </c>
      <c r="C208" s="9">
        <f>_xlfn.XLOOKUP(Log!A208, 'Daily Summary'!A:A, 'Daily Summary'!C:C, "Not found!")</f>
        <v>0.55902777777777779</v>
      </c>
      <c r="D208" s="9">
        <v>0.56417824074074074</v>
      </c>
      <c r="E208" s="7">
        <v>39</v>
      </c>
      <c r="F208" s="2">
        <v>41</v>
      </c>
      <c r="G208" s="6">
        <f t="shared" si="6"/>
        <v>7.4166666666666536</v>
      </c>
      <c r="H208" s="2">
        <f t="shared" si="7"/>
        <v>2</v>
      </c>
    </row>
    <row r="209" spans="1:8" x14ac:dyDescent="0.3">
      <c r="A209" s="1">
        <v>46251</v>
      </c>
      <c r="C209" s="9">
        <f>_xlfn.XLOOKUP(Log!A209, 'Daily Summary'!A:A, 'Daily Summary'!C:C, "Not found!")</f>
        <v>0.55902777777777779</v>
      </c>
      <c r="D209" s="9">
        <v>0.56557870370370367</v>
      </c>
      <c r="E209" s="7">
        <v>41</v>
      </c>
      <c r="F209" s="2">
        <v>44</v>
      </c>
      <c r="G209" s="6">
        <f t="shared" si="6"/>
        <v>9.4333333333332625</v>
      </c>
      <c r="H209" s="2">
        <f t="shared" si="7"/>
        <v>3</v>
      </c>
    </row>
    <row r="210" spans="1:8" x14ac:dyDescent="0.3">
      <c r="A210" s="1">
        <v>46251</v>
      </c>
      <c r="C210" s="9">
        <f>_xlfn.XLOOKUP(Log!A210, 'Daily Summary'!A:A, 'Daily Summary'!C:C, "Not found!")</f>
        <v>0.55902777777777779</v>
      </c>
      <c r="D210" s="9">
        <v>0.56696759259259255</v>
      </c>
      <c r="E210" s="7">
        <v>44</v>
      </c>
      <c r="F210" s="2">
        <v>45</v>
      </c>
      <c r="G210" s="6">
        <f t="shared" si="6"/>
        <v>11.433333333333255</v>
      </c>
      <c r="H210" s="2">
        <f t="shared" si="7"/>
        <v>1</v>
      </c>
    </row>
    <row r="211" spans="1:8" x14ac:dyDescent="0.3">
      <c r="A211" s="1">
        <v>46251</v>
      </c>
      <c r="C211" s="9">
        <f>_xlfn.XLOOKUP(Log!A211, 'Daily Summary'!A:A, 'Daily Summary'!C:C, "Not found!")</f>
        <v>0.55902777777777779</v>
      </c>
      <c r="D211" s="9">
        <v>0.56836805555555558</v>
      </c>
      <c r="E211" s="7">
        <v>45</v>
      </c>
      <c r="F211" s="2">
        <v>47</v>
      </c>
      <c r="G211" s="6">
        <f t="shared" si="6"/>
        <v>13.450000000000024</v>
      </c>
      <c r="H211" s="2">
        <f t="shared" si="7"/>
        <v>2</v>
      </c>
    </row>
    <row r="212" spans="1:8" x14ac:dyDescent="0.3">
      <c r="A212" s="1">
        <v>46251</v>
      </c>
      <c r="C212" s="9">
        <f>_xlfn.XLOOKUP(Log!A212, 'Daily Summary'!A:A, 'Daily Summary'!C:C, "Not found!")</f>
        <v>0.55902777777777779</v>
      </c>
      <c r="D212" s="9">
        <v>0.56975694444444447</v>
      </c>
      <c r="E212" s="7">
        <v>47</v>
      </c>
      <c r="F212" s="2">
        <v>49</v>
      </c>
      <c r="G212" s="6">
        <f t="shared" si="6"/>
        <v>15.450000000000017</v>
      </c>
      <c r="H212" s="2">
        <f t="shared" si="7"/>
        <v>2</v>
      </c>
    </row>
    <row r="213" spans="1:8" x14ac:dyDescent="0.3">
      <c r="A213" s="1">
        <v>46251</v>
      </c>
      <c r="C213" s="9">
        <f>_xlfn.XLOOKUP(Log!A213, 'Daily Summary'!A:A, 'Daily Summary'!C:C, "Not found!")</f>
        <v>0.55902777777777779</v>
      </c>
      <c r="D213" s="9">
        <v>0.57115740740740739</v>
      </c>
      <c r="E213" s="7">
        <v>48</v>
      </c>
      <c r="F213" s="2">
        <v>49</v>
      </c>
      <c r="G213" s="6">
        <f t="shared" si="6"/>
        <v>17.466666666666626</v>
      </c>
      <c r="H213" s="2">
        <f t="shared" si="7"/>
        <v>1</v>
      </c>
    </row>
    <row r="214" spans="1:8" x14ac:dyDescent="0.3">
      <c r="A214" s="1">
        <v>46251</v>
      </c>
      <c r="C214" s="9">
        <f>_xlfn.XLOOKUP(Log!A214, 'Daily Summary'!A:A, 'Daily Summary'!C:C, "Not found!")</f>
        <v>0.55902777777777779</v>
      </c>
      <c r="D214" s="9">
        <v>0.57255787037037043</v>
      </c>
      <c r="E214" s="7">
        <v>49</v>
      </c>
      <c r="F214" s="2">
        <v>52</v>
      </c>
      <c r="G214" s="6">
        <f t="shared" si="6"/>
        <v>19.483333333333395</v>
      </c>
      <c r="H214" s="2">
        <f t="shared" si="7"/>
        <v>3</v>
      </c>
    </row>
    <row r="215" spans="1:8" x14ac:dyDescent="0.3">
      <c r="A215" s="1">
        <v>46251</v>
      </c>
      <c r="C215" s="9">
        <f>_xlfn.XLOOKUP(Log!A215, 'Daily Summary'!A:A, 'Daily Summary'!C:C, "Not found!")</f>
        <v>0.55902777777777779</v>
      </c>
      <c r="D215" s="9">
        <v>0.57394675925925931</v>
      </c>
      <c r="E215" s="7">
        <v>51</v>
      </c>
      <c r="F215" s="2">
        <v>52</v>
      </c>
      <c r="G215" s="6">
        <f t="shared" si="6"/>
        <v>21.483333333333388</v>
      </c>
      <c r="H215" s="2">
        <f t="shared" si="7"/>
        <v>1</v>
      </c>
    </row>
    <row r="216" spans="1:8" x14ac:dyDescent="0.3">
      <c r="A216" s="1">
        <v>46251</v>
      </c>
      <c r="C216" s="9">
        <f>_xlfn.XLOOKUP(Log!A216, 'Daily Summary'!A:A, 'Daily Summary'!C:C, "Not found!")</f>
        <v>0.55902777777777779</v>
      </c>
      <c r="D216" s="9">
        <v>0.57534722222222223</v>
      </c>
      <c r="E216" s="7">
        <v>51</v>
      </c>
      <c r="F216" s="2">
        <v>52</v>
      </c>
      <c r="G216" s="6">
        <f t="shared" si="6"/>
        <v>23.499999999999996</v>
      </c>
      <c r="H216" s="2">
        <f t="shared" si="7"/>
        <v>1</v>
      </c>
    </row>
    <row r="217" spans="1:8" x14ac:dyDescent="0.3">
      <c r="A217" s="1">
        <v>46251</v>
      </c>
      <c r="C217" s="9">
        <f>_xlfn.XLOOKUP(Log!A217, 'Daily Summary'!A:A, 'Daily Summary'!C:C, "Not found!")</f>
        <v>0.55902777777777779</v>
      </c>
      <c r="D217" s="9">
        <v>0.57673611111111112</v>
      </c>
      <c r="E217" s="7">
        <v>52</v>
      </c>
      <c r="F217" s="2">
        <v>55</v>
      </c>
      <c r="G217" s="6">
        <f t="shared" si="6"/>
        <v>25.499999999999989</v>
      </c>
      <c r="H217" s="2">
        <f t="shared" si="7"/>
        <v>3</v>
      </c>
    </row>
    <row r="218" spans="1:8" x14ac:dyDescent="0.3">
      <c r="A218" s="1">
        <v>46251</v>
      </c>
      <c r="C218" s="9">
        <f>_xlfn.XLOOKUP(Log!A218, 'Daily Summary'!A:A, 'Daily Summary'!C:C, "Not found!")</f>
        <v>0.55902777777777779</v>
      </c>
      <c r="D218" s="9">
        <v>0.578125</v>
      </c>
      <c r="E218" s="7">
        <v>54</v>
      </c>
      <c r="F218" s="2">
        <v>55</v>
      </c>
      <c r="G218" s="6">
        <f t="shared" si="6"/>
        <v>27.499999999999982</v>
      </c>
      <c r="H218" s="2">
        <f t="shared" si="7"/>
        <v>1</v>
      </c>
    </row>
    <row r="219" spans="1:8" x14ac:dyDescent="0.3">
      <c r="A219" s="1">
        <v>46251</v>
      </c>
      <c r="C219" s="9">
        <f>_xlfn.XLOOKUP(Log!A219, 'Daily Summary'!A:A, 'Daily Summary'!C:C, "Not found!")</f>
        <v>0.55902777777777779</v>
      </c>
      <c r="D219" s="9">
        <v>0.57951388888888888</v>
      </c>
      <c r="E219" s="7">
        <v>54</v>
      </c>
      <c r="F219" s="2">
        <v>55</v>
      </c>
      <c r="G219" s="6">
        <f t="shared" si="6"/>
        <v>29.499999999999975</v>
      </c>
      <c r="H219" s="2">
        <f t="shared" si="7"/>
        <v>1</v>
      </c>
    </row>
    <row r="220" spans="1:8" x14ac:dyDescent="0.3">
      <c r="A220" s="1">
        <v>46251</v>
      </c>
      <c r="C220" s="9">
        <f>_xlfn.XLOOKUP(Log!A220, 'Daily Summary'!A:A, 'Daily Summary'!C:C, "Not found!")</f>
        <v>0.55902777777777779</v>
      </c>
      <c r="D220" s="9">
        <v>0.58090277777777777</v>
      </c>
      <c r="E220" s="7">
        <v>54</v>
      </c>
      <c r="F220" s="2">
        <v>55</v>
      </c>
      <c r="G220" s="6">
        <f t="shared" si="6"/>
        <v>31.499999999999968</v>
      </c>
      <c r="H220" s="2">
        <f t="shared" si="7"/>
        <v>1</v>
      </c>
    </row>
    <row r="221" spans="1:8" x14ac:dyDescent="0.3">
      <c r="A221" s="1">
        <v>46252</v>
      </c>
      <c r="C221" s="9">
        <f>_xlfn.XLOOKUP(Log!A221, 'Daily Summary'!A:A, 'Daily Summary'!C:C, "Not found!")</f>
        <v>0.42708333333333331</v>
      </c>
      <c r="D221" s="9">
        <v>0.42708333333333331</v>
      </c>
      <c r="E221" s="7">
        <v>29</v>
      </c>
      <c r="F221" s="2">
        <v>30</v>
      </c>
      <c r="G221" s="6">
        <f t="shared" si="6"/>
        <v>0</v>
      </c>
      <c r="H221" s="2">
        <f t="shared" si="7"/>
        <v>1</v>
      </c>
    </row>
    <row r="222" spans="1:8" x14ac:dyDescent="0.3">
      <c r="A222" s="1">
        <v>46252</v>
      </c>
      <c r="C222" s="9">
        <f>_xlfn.XLOOKUP(Log!A222, 'Daily Summary'!A:A, 'Daily Summary'!C:C, "Not found!")</f>
        <v>0.42708333333333331</v>
      </c>
      <c r="D222" s="9">
        <v>0.42815972222222221</v>
      </c>
      <c r="E222" s="7">
        <v>33</v>
      </c>
      <c r="F222" s="2">
        <v>35</v>
      </c>
      <c r="G222" s="6">
        <f t="shared" si="6"/>
        <v>1.5500000000000025</v>
      </c>
      <c r="H222" s="2">
        <f t="shared" si="7"/>
        <v>2</v>
      </c>
    </row>
    <row r="223" spans="1:8" x14ac:dyDescent="0.3">
      <c r="A223" s="1">
        <v>46252</v>
      </c>
      <c r="C223" s="9">
        <f>_xlfn.XLOOKUP(Log!A223, 'Daily Summary'!A:A, 'Daily Summary'!C:C, "Not found!")</f>
        <v>0.42708333333333331</v>
      </c>
      <c r="D223" s="9">
        <v>0.42956018518518518</v>
      </c>
      <c r="E223" s="7">
        <v>38</v>
      </c>
      <c r="F223" s="2">
        <v>39</v>
      </c>
      <c r="G223" s="6">
        <f t="shared" si="6"/>
        <v>3.5666666666666913</v>
      </c>
      <c r="H223" s="2">
        <f t="shared" si="7"/>
        <v>1</v>
      </c>
    </row>
    <row r="224" spans="1:8" x14ac:dyDescent="0.3">
      <c r="A224" s="1">
        <v>46252</v>
      </c>
      <c r="C224" s="9">
        <f>_xlfn.XLOOKUP(Log!A224, 'Daily Summary'!A:A, 'Daily Summary'!C:C, "Not found!")</f>
        <v>0.42708333333333331</v>
      </c>
      <c r="D224" s="9">
        <v>0.43094907407407407</v>
      </c>
      <c r="E224" s="7">
        <v>41</v>
      </c>
      <c r="F224" s="2">
        <v>42</v>
      </c>
      <c r="G224" s="6">
        <f t="shared" si="6"/>
        <v>5.5666666666666842</v>
      </c>
      <c r="H224" s="2">
        <f t="shared" si="7"/>
        <v>1</v>
      </c>
    </row>
    <row r="225" spans="1:8" x14ac:dyDescent="0.3">
      <c r="A225" s="1">
        <v>46252</v>
      </c>
      <c r="C225" s="9">
        <f>_xlfn.XLOOKUP(Log!A225, 'Daily Summary'!A:A, 'Daily Summary'!C:C, "Not found!")</f>
        <v>0.42708333333333331</v>
      </c>
      <c r="D225" s="9">
        <v>0.43234953703703705</v>
      </c>
      <c r="E225" s="7">
        <v>41</v>
      </c>
      <c r="F225" s="2">
        <v>44</v>
      </c>
      <c r="G225" s="6">
        <f t="shared" si="6"/>
        <v>7.583333333333373</v>
      </c>
      <c r="H225" s="2">
        <f t="shared" si="7"/>
        <v>3</v>
      </c>
    </row>
    <row r="226" spans="1:8" x14ac:dyDescent="0.3">
      <c r="A226" s="1">
        <v>46252</v>
      </c>
      <c r="C226" s="9">
        <f>_xlfn.XLOOKUP(Log!A226, 'Daily Summary'!A:A, 'Daily Summary'!C:C, "Not found!")</f>
        <v>0.42708333333333331</v>
      </c>
      <c r="D226" s="9">
        <v>0.43375000000000002</v>
      </c>
      <c r="E226" s="7">
        <v>44</v>
      </c>
      <c r="F226" s="2">
        <v>47</v>
      </c>
      <c r="G226" s="6">
        <f t="shared" si="6"/>
        <v>9.6000000000000618</v>
      </c>
      <c r="H226" s="2">
        <f t="shared" si="7"/>
        <v>3</v>
      </c>
    </row>
    <row r="227" spans="1:8" x14ac:dyDescent="0.3">
      <c r="A227" s="1">
        <v>46252</v>
      </c>
      <c r="C227" s="9">
        <f>_xlfn.XLOOKUP(Log!A227, 'Daily Summary'!A:A, 'Daily Summary'!C:C, "Not found!")</f>
        <v>0.42708333333333331</v>
      </c>
      <c r="D227" s="9">
        <v>0.43513888888888891</v>
      </c>
      <c r="E227" s="7">
        <v>45</v>
      </c>
      <c r="F227" s="2">
        <v>49</v>
      </c>
      <c r="G227" s="6">
        <f t="shared" si="6"/>
        <v>11.600000000000055</v>
      </c>
      <c r="H227" s="2">
        <f t="shared" si="7"/>
        <v>4</v>
      </c>
    </row>
    <row r="228" spans="1:8" x14ac:dyDescent="0.3">
      <c r="A228" s="1">
        <v>46252</v>
      </c>
      <c r="C228" s="9">
        <f>_xlfn.XLOOKUP(Log!A228, 'Daily Summary'!A:A, 'Daily Summary'!C:C, "Not found!")</f>
        <v>0.42708333333333331</v>
      </c>
      <c r="D228" s="9">
        <v>0.43653935185185183</v>
      </c>
      <c r="E228" s="7">
        <v>48</v>
      </c>
      <c r="F228" s="2">
        <v>49</v>
      </c>
      <c r="G228" s="6">
        <f t="shared" si="6"/>
        <v>13.616666666666664</v>
      </c>
      <c r="H228" s="2">
        <f t="shared" si="7"/>
        <v>1</v>
      </c>
    </row>
    <row r="229" spans="1:8" x14ac:dyDescent="0.3">
      <c r="A229" s="1">
        <v>46252</v>
      </c>
      <c r="C229" s="9">
        <f>_xlfn.XLOOKUP(Log!A229, 'Daily Summary'!A:A, 'Daily Summary'!C:C, "Not found!")</f>
        <v>0.42708333333333331</v>
      </c>
      <c r="D229" s="9">
        <v>0.43793981481481481</v>
      </c>
      <c r="E229" s="7">
        <v>48</v>
      </c>
      <c r="F229" s="2">
        <v>52</v>
      </c>
      <c r="G229" s="6">
        <f t="shared" si="6"/>
        <v>15.633333333333352</v>
      </c>
      <c r="H229" s="2">
        <f t="shared" si="7"/>
        <v>4</v>
      </c>
    </row>
    <row r="230" spans="1:8" x14ac:dyDescent="0.3">
      <c r="A230" s="1">
        <v>46252</v>
      </c>
      <c r="C230" s="9">
        <f>_xlfn.XLOOKUP(Log!A230, 'Daily Summary'!A:A, 'Daily Summary'!C:C, "Not found!")</f>
        <v>0.42708333333333331</v>
      </c>
      <c r="D230" s="9">
        <v>0.43932870370370369</v>
      </c>
      <c r="E230" s="7">
        <v>49</v>
      </c>
      <c r="F230" s="2">
        <v>52</v>
      </c>
      <c r="G230" s="6">
        <f t="shared" si="6"/>
        <v>17.633333333333347</v>
      </c>
      <c r="H230" s="2">
        <f t="shared" si="7"/>
        <v>3</v>
      </c>
    </row>
    <row r="231" spans="1:8" x14ac:dyDescent="0.3">
      <c r="A231" s="1">
        <v>46252</v>
      </c>
      <c r="C231" s="9">
        <f>_xlfn.XLOOKUP(Log!A231, 'Daily Summary'!A:A, 'Daily Summary'!C:C, "Not found!")</f>
        <v>0.42708333333333331</v>
      </c>
      <c r="D231" s="9">
        <v>0.44071759259259258</v>
      </c>
      <c r="E231" s="7">
        <v>51</v>
      </c>
      <c r="F231" s="2">
        <v>52</v>
      </c>
      <c r="G231" s="6">
        <f t="shared" si="6"/>
        <v>19.63333333333334</v>
      </c>
      <c r="H231" s="2">
        <f t="shared" si="7"/>
        <v>1</v>
      </c>
    </row>
    <row r="232" spans="1:8" x14ac:dyDescent="0.3">
      <c r="A232" s="1">
        <v>46252</v>
      </c>
      <c r="C232" s="9">
        <f>_xlfn.XLOOKUP(Log!A232, 'Daily Summary'!A:A, 'Daily Summary'!C:C, "Not found!")</f>
        <v>0.42708333333333331</v>
      </c>
      <c r="D232" s="9">
        <v>0.44211805555555556</v>
      </c>
      <c r="E232" s="7">
        <v>52</v>
      </c>
      <c r="F232" s="2">
        <v>55</v>
      </c>
      <c r="G232" s="6">
        <f t="shared" si="6"/>
        <v>21.650000000000027</v>
      </c>
      <c r="H232" s="2">
        <f t="shared" si="7"/>
        <v>3</v>
      </c>
    </row>
    <row r="233" spans="1:8" x14ac:dyDescent="0.3">
      <c r="A233" s="1">
        <v>46252</v>
      </c>
      <c r="C233" s="9">
        <f>_xlfn.XLOOKUP(Log!A233, 'Daily Summary'!A:A, 'Daily Summary'!C:C, "Not found!")</f>
        <v>0.42708333333333331</v>
      </c>
      <c r="D233" s="9">
        <v>0.44350694444444444</v>
      </c>
      <c r="E233" s="7">
        <v>52</v>
      </c>
      <c r="F233" s="2">
        <v>55</v>
      </c>
      <c r="G233" s="6">
        <f t="shared" si="6"/>
        <v>23.65000000000002</v>
      </c>
      <c r="H233" s="2">
        <f t="shared" si="7"/>
        <v>3</v>
      </c>
    </row>
    <row r="234" spans="1:8" x14ac:dyDescent="0.3">
      <c r="A234" s="1">
        <v>46252</v>
      </c>
      <c r="C234" s="9">
        <f>_xlfn.XLOOKUP(Log!A234, 'Daily Summary'!A:A, 'Daily Summary'!C:C, "Not found!")</f>
        <v>0.42708333333333331</v>
      </c>
      <c r="D234" s="9">
        <v>0.44489583333333332</v>
      </c>
      <c r="E234" s="7">
        <v>54</v>
      </c>
      <c r="F234" s="2">
        <v>55</v>
      </c>
      <c r="G234" s="6">
        <f t="shared" si="6"/>
        <v>25.650000000000013</v>
      </c>
      <c r="H234" s="2">
        <f t="shared" si="7"/>
        <v>1</v>
      </c>
    </row>
    <row r="235" spans="1:8" x14ac:dyDescent="0.3">
      <c r="A235" s="1">
        <v>46252</v>
      </c>
      <c r="C235" s="9">
        <f>_xlfn.XLOOKUP(Log!A235, 'Daily Summary'!A:A, 'Daily Summary'!C:C, "Not found!")</f>
        <v>0.42708333333333331</v>
      </c>
      <c r="D235" s="9">
        <v>0.4462962962962963</v>
      </c>
      <c r="E235" s="7">
        <v>54</v>
      </c>
      <c r="F235" s="2">
        <v>58</v>
      </c>
      <c r="G235" s="6">
        <f t="shared" si="6"/>
        <v>27.6666666666667</v>
      </c>
      <c r="H235" s="2">
        <f t="shared" si="7"/>
        <v>4</v>
      </c>
    </row>
    <row r="236" spans="1:8" x14ac:dyDescent="0.3">
      <c r="A236" s="1">
        <v>46252</v>
      </c>
      <c r="C236" s="9">
        <f>_xlfn.XLOOKUP(Log!A236, 'Daily Summary'!A:A, 'Daily Summary'!C:C, "Not found!")</f>
        <v>0.42708333333333331</v>
      </c>
      <c r="D236" s="9">
        <v>0.44769675925925928</v>
      </c>
      <c r="E236" s="7">
        <v>55</v>
      </c>
      <c r="F236" s="2">
        <v>58</v>
      </c>
      <c r="G236" s="6">
        <f t="shared" si="6"/>
        <v>29.68333333333339</v>
      </c>
      <c r="H236" s="2">
        <f t="shared" si="7"/>
        <v>3</v>
      </c>
    </row>
    <row r="237" spans="1:8" x14ac:dyDescent="0.3">
      <c r="A237" s="1">
        <v>46253</v>
      </c>
      <c r="C237" s="9">
        <f>_xlfn.XLOOKUP(Log!A237, 'Daily Summary'!A:A, 'Daily Summary'!C:C, "Not found!")</f>
        <v>0.45902777777777776</v>
      </c>
      <c r="D237" s="9">
        <v>0.46180555555555558</v>
      </c>
      <c r="E237" s="7">
        <v>38</v>
      </c>
      <c r="F237" s="2">
        <v>39</v>
      </c>
      <c r="G237" s="6">
        <f t="shared" si="6"/>
        <v>4.0000000000000657</v>
      </c>
      <c r="H237" s="2">
        <f t="shared" si="7"/>
        <v>1</v>
      </c>
    </row>
    <row r="238" spans="1:8" x14ac:dyDescent="0.3">
      <c r="A238" s="1">
        <v>46253</v>
      </c>
      <c r="C238" s="9">
        <f>_xlfn.XLOOKUP(Log!A238, 'Daily Summary'!A:A, 'Daily Summary'!C:C, "Not found!")</f>
        <v>0.45902777777777776</v>
      </c>
      <c r="D238" s="9">
        <v>0.46325231481481483</v>
      </c>
      <c r="E238" s="7">
        <v>38</v>
      </c>
      <c r="F238" s="2">
        <v>41</v>
      </c>
      <c r="G238" s="6">
        <f t="shared" si="6"/>
        <v>6.0833333333333783</v>
      </c>
      <c r="H238" s="2">
        <f t="shared" si="7"/>
        <v>3</v>
      </c>
    </row>
    <row r="239" spans="1:8" x14ac:dyDescent="0.3">
      <c r="A239" s="1">
        <v>46253</v>
      </c>
      <c r="C239" s="9">
        <f>_xlfn.XLOOKUP(Log!A239, 'Daily Summary'!A:A, 'Daily Summary'!C:C, "Not found!")</f>
        <v>0.45902777777777776</v>
      </c>
      <c r="D239" s="9">
        <v>0.4646527777777778</v>
      </c>
      <c r="E239" s="7">
        <v>41</v>
      </c>
      <c r="F239" s="2">
        <v>42</v>
      </c>
      <c r="G239" s="6">
        <f t="shared" si="6"/>
        <v>8.1000000000000671</v>
      </c>
      <c r="H239" s="2">
        <f t="shared" si="7"/>
        <v>1</v>
      </c>
    </row>
    <row r="240" spans="1:8" x14ac:dyDescent="0.3">
      <c r="A240" s="1">
        <v>46253</v>
      </c>
      <c r="C240" s="9">
        <f>_xlfn.XLOOKUP(Log!A240, 'Daily Summary'!A:A, 'Daily Summary'!C:C, "Not found!")</f>
        <v>0.45902777777777776</v>
      </c>
      <c r="D240" s="9">
        <v>0.46604166666666669</v>
      </c>
      <c r="E240" s="7">
        <v>42</v>
      </c>
      <c r="F240" s="2">
        <v>45</v>
      </c>
      <c r="G240" s="6">
        <f t="shared" si="6"/>
        <v>10.10000000000006</v>
      </c>
      <c r="H240" s="2">
        <f t="shared" si="7"/>
        <v>3</v>
      </c>
    </row>
    <row r="241" spans="1:10" x14ac:dyDescent="0.3">
      <c r="A241" s="1">
        <v>46253</v>
      </c>
      <c r="C241" s="9">
        <f>_xlfn.XLOOKUP(Log!A241, 'Daily Summary'!A:A, 'Daily Summary'!C:C, "Not found!")</f>
        <v>0.45902777777777776</v>
      </c>
      <c r="D241" s="9">
        <v>0.46743055555555557</v>
      </c>
      <c r="E241" s="7">
        <v>44</v>
      </c>
      <c r="F241" s="2">
        <v>47</v>
      </c>
      <c r="G241" s="6">
        <f t="shared" si="6"/>
        <v>12.100000000000053</v>
      </c>
      <c r="H241" s="2">
        <f t="shared" si="7"/>
        <v>3</v>
      </c>
    </row>
    <row r="242" spans="1:10" x14ac:dyDescent="0.3">
      <c r="A242" s="1">
        <v>46253</v>
      </c>
      <c r="C242" s="9">
        <f>_xlfn.XLOOKUP(Log!A242, 'Daily Summary'!A:A, 'Daily Summary'!C:C, "Not found!")</f>
        <v>0.45902777777777776</v>
      </c>
      <c r="D242" s="9">
        <v>0.46881944444444446</v>
      </c>
      <c r="E242" s="7">
        <v>47</v>
      </c>
      <c r="F242" s="2">
        <v>49</v>
      </c>
      <c r="G242" s="6">
        <f t="shared" si="6"/>
        <v>14.100000000000046</v>
      </c>
      <c r="H242" s="2">
        <f t="shared" si="7"/>
        <v>2</v>
      </c>
    </row>
    <row r="243" spans="1:10" x14ac:dyDescent="0.3">
      <c r="A243" s="1">
        <v>46253</v>
      </c>
      <c r="C243" s="9">
        <f>_xlfn.XLOOKUP(Log!A243, 'Daily Summary'!A:A, 'Daily Summary'!C:C, "Not found!")</f>
        <v>0.45902777777777776</v>
      </c>
      <c r="D243" s="9">
        <v>0.47021990740740743</v>
      </c>
      <c r="E243" s="7">
        <v>48</v>
      </c>
      <c r="F243" s="2">
        <v>51</v>
      </c>
      <c r="G243" s="6">
        <f t="shared" si="6"/>
        <v>16.116666666666735</v>
      </c>
      <c r="H243" s="2">
        <f t="shared" si="7"/>
        <v>3</v>
      </c>
    </row>
    <row r="244" spans="1:10" x14ac:dyDescent="0.3">
      <c r="A244" s="1">
        <v>46253</v>
      </c>
      <c r="C244" s="9">
        <f>_xlfn.XLOOKUP(Log!A244, 'Daily Summary'!A:A, 'Daily Summary'!C:C, "Not found!")</f>
        <v>0.45902777777777776</v>
      </c>
      <c r="D244" s="9">
        <v>0.47160879629629632</v>
      </c>
      <c r="E244" s="7">
        <v>49</v>
      </c>
      <c r="F244" s="2">
        <v>52</v>
      </c>
      <c r="G244" s="6">
        <f t="shared" si="6"/>
        <v>18.116666666666728</v>
      </c>
      <c r="H244" s="2">
        <f t="shared" si="7"/>
        <v>3</v>
      </c>
    </row>
    <row r="245" spans="1:10" x14ac:dyDescent="0.3">
      <c r="A245" s="1">
        <v>46253</v>
      </c>
      <c r="C245" s="9">
        <f>_xlfn.XLOOKUP(Log!A245, 'Daily Summary'!A:A, 'Daily Summary'!C:C, "Not found!")</f>
        <v>0.45902777777777776</v>
      </c>
      <c r="D245" s="9">
        <v>0.4729976851851852</v>
      </c>
      <c r="E245" s="7">
        <v>51</v>
      </c>
      <c r="F245" s="2">
        <v>52</v>
      </c>
      <c r="G245" s="6">
        <f t="shared" si="6"/>
        <v>20.11666666666672</v>
      </c>
      <c r="H245" s="2">
        <f t="shared" si="7"/>
        <v>1</v>
      </c>
    </row>
    <row r="246" spans="1:10" x14ac:dyDescent="0.3">
      <c r="A246" s="1">
        <v>46253</v>
      </c>
      <c r="C246" s="9">
        <f>_xlfn.XLOOKUP(Log!A246, 'Daily Summary'!A:A, 'Daily Summary'!C:C, "Not found!")</f>
        <v>0.45902777777777776</v>
      </c>
      <c r="D246" s="9">
        <v>0.47439814814814812</v>
      </c>
      <c r="E246" s="7">
        <v>51</v>
      </c>
      <c r="F246" s="2">
        <v>54</v>
      </c>
      <c r="G246" s="6">
        <f t="shared" si="6"/>
        <v>22.133333333333329</v>
      </c>
      <c r="H246" s="2">
        <f t="shared" si="7"/>
        <v>3</v>
      </c>
    </row>
    <row r="247" spans="1:10" x14ac:dyDescent="0.3">
      <c r="A247" s="1">
        <v>46253</v>
      </c>
      <c r="C247" s="9">
        <f>_xlfn.XLOOKUP(Log!A247, 'Daily Summary'!A:A, 'Daily Summary'!C:C, "Not found!")</f>
        <v>0.45902777777777776</v>
      </c>
      <c r="D247" s="9">
        <v>0.47578703703703706</v>
      </c>
      <c r="E247" s="7">
        <v>52</v>
      </c>
      <c r="F247" s="2">
        <v>55</v>
      </c>
      <c r="G247" s="6">
        <f t="shared" si="6"/>
        <v>24.133333333333404</v>
      </c>
      <c r="H247" s="2">
        <f t="shared" si="7"/>
        <v>3</v>
      </c>
    </row>
    <row r="248" spans="1:10" x14ac:dyDescent="0.3">
      <c r="A248" s="1">
        <v>46253</v>
      </c>
      <c r="C248" s="9">
        <f>_xlfn.XLOOKUP(Log!A248, 'Daily Summary'!A:A, 'Daily Summary'!C:C, "Not found!")</f>
        <v>0.45902777777777776</v>
      </c>
      <c r="D248" s="9">
        <v>0.47717592592592595</v>
      </c>
      <c r="E248" s="7">
        <v>54</v>
      </c>
      <c r="F248" s="2">
        <v>55</v>
      </c>
      <c r="G248" s="6">
        <f t="shared" si="6"/>
        <v>26.133333333333397</v>
      </c>
      <c r="H248" s="2">
        <f t="shared" si="7"/>
        <v>1</v>
      </c>
    </row>
    <row r="249" spans="1:10" x14ac:dyDescent="0.3">
      <c r="A249" s="1">
        <v>46253</v>
      </c>
      <c r="C249" s="9">
        <f>_xlfn.XLOOKUP(Log!A249, 'Daily Summary'!A:A, 'Daily Summary'!C:C, "Not found!")</f>
        <v>0.45902777777777776</v>
      </c>
      <c r="D249" s="9">
        <v>0.47857638888888887</v>
      </c>
      <c r="E249" s="7">
        <v>54</v>
      </c>
      <c r="F249" s="2">
        <v>57</v>
      </c>
      <c r="G249" s="6">
        <f t="shared" si="6"/>
        <v>28.150000000000006</v>
      </c>
      <c r="H249" s="2">
        <f t="shared" si="7"/>
        <v>3</v>
      </c>
    </row>
    <row r="250" spans="1:10" x14ac:dyDescent="0.3">
      <c r="A250" s="1">
        <v>46253</v>
      </c>
      <c r="C250" s="9">
        <f>_xlfn.XLOOKUP(Log!A250, 'Daily Summary'!A:A, 'Daily Summary'!C:C, "Not found!")</f>
        <v>0.45902777777777776</v>
      </c>
      <c r="D250" s="9">
        <v>0.47997685185185185</v>
      </c>
      <c r="E250" s="7">
        <v>55</v>
      </c>
      <c r="F250" s="2">
        <v>58</v>
      </c>
      <c r="G250" s="6">
        <f t="shared" si="6"/>
        <v>30.166666666666693</v>
      </c>
      <c r="H250" s="2">
        <f t="shared" si="7"/>
        <v>3</v>
      </c>
    </row>
    <row r="251" spans="1:10" x14ac:dyDescent="0.3">
      <c r="A251" s="1">
        <v>46253</v>
      </c>
      <c r="C251" s="9">
        <f>_xlfn.XLOOKUP(Log!A251, 'Daily Summary'!A:A, 'Daily Summary'!C:C, "Not found!")</f>
        <v>0.45902777777777776</v>
      </c>
      <c r="D251" s="9">
        <v>0.48136574074074073</v>
      </c>
      <c r="E251" s="7">
        <v>55</v>
      </c>
      <c r="F251" s="2">
        <v>58</v>
      </c>
      <c r="G251" s="6">
        <f t="shared" si="6"/>
        <v>32.166666666666686</v>
      </c>
      <c r="H251" s="2">
        <f t="shared" si="7"/>
        <v>3</v>
      </c>
    </row>
    <row r="252" spans="1:10" x14ac:dyDescent="0.3">
      <c r="A252" s="1">
        <v>46253</v>
      </c>
      <c r="C252" s="9">
        <f>_xlfn.XLOOKUP(Log!A252, 'Daily Summary'!A:A, 'Daily Summary'!C:C, "Not found!")</f>
        <v>0.45902777777777776</v>
      </c>
      <c r="D252" s="9">
        <v>0.48276620370370371</v>
      </c>
      <c r="E252" s="7">
        <v>55</v>
      </c>
      <c r="F252" s="2">
        <v>58</v>
      </c>
      <c r="G252" s="6">
        <f t="shared" si="6"/>
        <v>34.183333333333373</v>
      </c>
      <c r="H252" s="2">
        <f t="shared" si="7"/>
        <v>3</v>
      </c>
    </row>
    <row r="253" spans="1:10" x14ac:dyDescent="0.3">
      <c r="A253" s="1">
        <v>46254</v>
      </c>
      <c r="C253" s="9">
        <f>_xlfn.XLOOKUP(Log!A253, 'Daily Summary'!A:A, 'Daily Summary'!C:C, "Not found!")</f>
        <v>0.54236111111111107</v>
      </c>
      <c r="D253" s="9">
        <v>0.54374999999999996</v>
      </c>
      <c r="E253" s="7">
        <v>28</v>
      </c>
      <c r="F253" s="2">
        <v>31</v>
      </c>
      <c r="G253" s="6">
        <f t="shared" si="6"/>
        <v>1.9999999999999929</v>
      </c>
      <c r="H253" s="2">
        <f t="shared" si="7"/>
        <v>3</v>
      </c>
    </row>
    <row r="254" spans="1:10" x14ac:dyDescent="0.3">
      <c r="A254" s="1">
        <v>46254</v>
      </c>
      <c r="C254" s="9">
        <f>_xlfn.XLOOKUP(Log!A254, 'Daily Summary'!A:A, 'Daily Summary'!C:C, "Not found!")</f>
        <v>0.54236111111111107</v>
      </c>
      <c r="D254" s="9">
        <v>0.54432870370370368</v>
      </c>
      <c r="E254" s="7">
        <v>32</v>
      </c>
      <c r="F254" s="2">
        <v>33</v>
      </c>
      <c r="G254" s="6">
        <f t="shared" si="6"/>
        <v>2.8333333333333499</v>
      </c>
      <c r="H254" s="2">
        <f t="shared" si="7"/>
        <v>1</v>
      </c>
      <c r="J254" s="16"/>
    </row>
    <row r="255" spans="1:10" x14ac:dyDescent="0.3">
      <c r="A255" s="1">
        <v>46254</v>
      </c>
      <c r="C255" s="9">
        <f>_xlfn.XLOOKUP(Log!A255, 'Daily Summary'!A:A, 'Daily Summary'!C:C, "Not found!")</f>
        <v>0.54236111111111107</v>
      </c>
      <c r="D255" s="9">
        <v>0.54571759259259256</v>
      </c>
      <c r="E255" s="7">
        <v>36</v>
      </c>
      <c r="F255" s="2">
        <v>39</v>
      </c>
      <c r="G255" s="6">
        <f t="shared" si="6"/>
        <v>4.8333333333333428</v>
      </c>
      <c r="H255" s="2">
        <f t="shared" si="7"/>
        <v>3</v>
      </c>
    </row>
    <row r="256" spans="1:10" x14ac:dyDescent="0.3">
      <c r="A256" s="1">
        <v>46254</v>
      </c>
      <c r="C256" s="9">
        <f>_xlfn.XLOOKUP(Log!A256, 'Daily Summary'!A:A, 'Daily Summary'!C:C, "Not found!")</f>
        <v>0.54236111111111107</v>
      </c>
      <c r="D256" s="9">
        <v>0.54710648148148144</v>
      </c>
      <c r="E256" s="7">
        <v>39</v>
      </c>
      <c r="F256" s="2">
        <v>42</v>
      </c>
      <c r="G256" s="6">
        <f t="shared" si="6"/>
        <v>6.8333333333333357</v>
      </c>
      <c r="H256" s="2">
        <f t="shared" si="7"/>
        <v>3</v>
      </c>
    </row>
    <row r="257" spans="1:8" x14ac:dyDescent="0.3">
      <c r="A257" s="1">
        <v>46254</v>
      </c>
      <c r="C257" s="9">
        <f>_xlfn.XLOOKUP(Log!A257, 'Daily Summary'!A:A, 'Daily Summary'!C:C, "Not found!")</f>
        <v>0.54236111111111107</v>
      </c>
      <c r="D257" s="9">
        <v>0.54849537037037033</v>
      </c>
      <c r="E257" s="7">
        <v>41</v>
      </c>
      <c r="F257" s="2">
        <v>44</v>
      </c>
      <c r="G257" s="6">
        <f t="shared" si="6"/>
        <v>8.8333333333333286</v>
      </c>
      <c r="H257" s="2">
        <f t="shared" si="7"/>
        <v>3</v>
      </c>
    </row>
    <row r="258" spans="1:8" x14ac:dyDescent="0.3">
      <c r="A258" s="1">
        <v>46254</v>
      </c>
      <c r="C258" s="9">
        <f>_xlfn.XLOOKUP(Log!A258, 'Daily Summary'!A:A, 'Daily Summary'!C:C, "Not found!")</f>
        <v>0.54236111111111107</v>
      </c>
      <c r="D258" s="9">
        <v>0.54989583333333336</v>
      </c>
      <c r="E258" s="7">
        <v>44</v>
      </c>
      <c r="F258" s="2">
        <v>45</v>
      </c>
      <c r="G258" s="6">
        <f t="shared" si="6"/>
        <v>10.850000000000097</v>
      </c>
      <c r="H258" s="2">
        <f t="shared" si="7"/>
        <v>1</v>
      </c>
    </row>
    <row r="259" spans="1:8" x14ac:dyDescent="0.3">
      <c r="A259" s="1">
        <v>46254</v>
      </c>
      <c r="C259" s="9">
        <f>_xlfn.XLOOKUP(Log!A259, 'Daily Summary'!A:A, 'Daily Summary'!C:C, "Not found!")</f>
        <v>0.54236111111111107</v>
      </c>
      <c r="D259" s="9">
        <v>0.55128472222222225</v>
      </c>
      <c r="E259" s="7">
        <v>45</v>
      </c>
      <c r="F259" s="2">
        <v>48</v>
      </c>
      <c r="G259" s="6">
        <f t="shared" si="6"/>
        <v>12.85000000000009</v>
      </c>
      <c r="H259" s="2">
        <f t="shared" si="7"/>
        <v>3</v>
      </c>
    </row>
    <row r="260" spans="1:8" x14ac:dyDescent="0.3">
      <c r="A260" s="1">
        <v>46254</v>
      </c>
      <c r="C260" s="9">
        <f>_xlfn.XLOOKUP(Log!A260, 'Daily Summary'!A:A, 'Daily Summary'!C:C, "Not found!")</f>
        <v>0.54236111111111107</v>
      </c>
      <c r="D260" s="9">
        <v>0.55268518518518517</v>
      </c>
      <c r="E260" s="7">
        <v>47</v>
      </c>
      <c r="F260" s="2">
        <v>49</v>
      </c>
      <c r="G260" s="6">
        <f t="shared" si="6"/>
        <v>14.866666666666699</v>
      </c>
      <c r="H260" s="2">
        <f t="shared" si="7"/>
        <v>2</v>
      </c>
    </row>
    <row r="261" spans="1:8" x14ac:dyDescent="0.3">
      <c r="A261" s="1">
        <v>46254</v>
      </c>
      <c r="C261" s="9">
        <f>_xlfn.XLOOKUP(Log!A261, 'Daily Summary'!A:A, 'Daily Summary'!C:C, "Not found!")</f>
        <v>0.54236111111111107</v>
      </c>
      <c r="D261" s="9">
        <v>0.55407407407407405</v>
      </c>
      <c r="E261" s="7">
        <v>48</v>
      </c>
      <c r="F261" s="2">
        <v>51</v>
      </c>
      <c r="G261" s="6">
        <f t="shared" si="6"/>
        <v>16.866666666666692</v>
      </c>
      <c r="H261" s="2">
        <f t="shared" si="7"/>
        <v>3</v>
      </c>
    </row>
    <row r="262" spans="1:8" x14ac:dyDescent="0.3">
      <c r="A262" s="1">
        <v>46254</v>
      </c>
      <c r="C262" s="9">
        <f>_xlfn.XLOOKUP(Log!A262, 'Daily Summary'!A:A, 'Daily Summary'!C:C, "Not found!")</f>
        <v>0.54236111111111107</v>
      </c>
      <c r="D262" s="9">
        <v>0.55547453703703709</v>
      </c>
      <c r="E262" s="7">
        <v>49</v>
      </c>
      <c r="F262" s="2">
        <v>52</v>
      </c>
      <c r="G262" s="6">
        <f t="shared" si="6"/>
        <v>18.883333333333461</v>
      </c>
      <c r="H262" s="2">
        <f t="shared" si="7"/>
        <v>3</v>
      </c>
    </row>
    <row r="263" spans="1:8" x14ac:dyDescent="0.3">
      <c r="A263" s="1">
        <v>46254</v>
      </c>
      <c r="C263" s="9">
        <f>_xlfn.XLOOKUP(Log!A263, 'Daily Summary'!A:A, 'Daily Summary'!C:C, "Not found!")</f>
        <v>0.54236111111111107</v>
      </c>
      <c r="D263" s="9">
        <v>0.55686342592592597</v>
      </c>
      <c r="E263" s="7">
        <v>51</v>
      </c>
      <c r="F263" s="2">
        <v>54</v>
      </c>
      <c r="G263" s="6">
        <f t="shared" si="6"/>
        <v>20.883333333333454</v>
      </c>
      <c r="H263" s="2">
        <f t="shared" si="7"/>
        <v>3</v>
      </c>
    </row>
    <row r="264" spans="1:8" x14ac:dyDescent="0.3">
      <c r="A264" s="1">
        <v>46254</v>
      </c>
      <c r="C264" s="9">
        <f>_xlfn.XLOOKUP(Log!A264, 'Daily Summary'!A:A, 'Daily Summary'!C:C, "Not found!")</f>
        <v>0.54236111111111107</v>
      </c>
      <c r="D264" s="9">
        <v>0.55825231481481485</v>
      </c>
      <c r="E264" s="7">
        <v>51</v>
      </c>
      <c r="F264" s="2">
        <v>55</v>
      </c>
      <c r="G264" s="6">
        <f t="shared" si="6"/>
        <v>22.883333333333447</v>
      </c>
      <c r="H264" s="2">
        <f t="shared" si="7"/>
        <v>4</v>
      </c>
    </row>
    <row r="265" spans="1:8" x14ac:dyDescent="0.3">
      <c r="A265" s="1">
        <v>46254</v>
      </c>
      <c r="C265" s="9">
        <f>_xlfn.XLOOKUP(Log!A265, 'Daily Summary'!A:A, 'Daily Summary'!C:C, "Not found!")</f>
        <v>0.54236111111111107</v>
      </c>
      <c r="D265" s="9">
        <v>0.55965277777777778</v>
      </c>
      <c r="E265" s="7">
        <v>52</v>
      </c>
      <c r="F265" s="2">
        <v>55</v>
      </c>
      <c r="G265" s="6">
        <f t="shared" si="6"/>
        <v>24.900000000000055</v>
      </c>
      <c r="H265" s="2">
        <f t="shared" si="7"/>
        <v>3</v>
      </c>
    </row>
    <row r="266" spans="1:8" x14ac:dyDescent="0.3">
      <c r="A266" s="1">
        <v>46254</v>
      </c>
      <c r="C266" s="9">
        <f>_xlfn.XLOOKUP(Log!A266, 'Daily Summary'!A:A, 'Daily Summary'!C:C, "Not found!")</f>
        <v>0.54236111111111107</v>
      </c>
      <c r="D266" s="9">
        <v>0.56104166666666666</v>
      </c>
      <c r="E266" s="7">
        <v>54</v>
      </c>
      <c r="F266" s="2">
        <v>55</v>
      </c>
      <c r="G266" s="6">
        <f t="shared" si="6"/>
        <v>26.900000000000048</v>
      </c>
      <c r="H266" s="2">
        <f t="shared" si="7"/>
        <v>1</v>
      </c>
    </row>
    <row r="267" spans="1:8" x14ac:dyDescent="0.3">
      <c r="A267" s="1">
        <v>46254</v>
      </c>
      <c r="C267" s="9">
        <f>_xlfn.XLOOKUP(Log!A267, 'Daily Summary'!A:A, 'Daily Summary'!C:C, "Not found!")</f>
        <v>0.54236111111111107</v>
      </c>
      <c r="D267" s="9">
        <v>0.56243055555555554</v>
      </c>
      <c r="E267" s="7">
        <v>54</v>
      </c>
      <c r="F267" s="2">
        <v>57</v>
      </c>
      <c r="G267" s="6">
        <f t="shared" ref="G267:G330" si="8">IF(AND($D267&lt;&gt;"", $C267&lt;&gt;""), ($D267-$C267)*1440, "")</f>
        <v>28.900000000000041</v>
      </c>
      <c r="H267" s="2">
        <f t="shared" si="7"/>
        <v>3</v>
      </c>
    </row>
    <row r="268" spans="1:8" x14ac:dyDescent="0.3">
      <c r="A268" s="1">
        <v>46254</v>
      </c>
      <c r="C268" s="9">
        <f>_xlfn.XLOOKUP(Log!A268, 'Daily Summary'!A:A, 'Daily Summary'!C:C, "Not found!")</f>
        <v>0.54236111111111107</v>
      </c>
      <c r="D268" s="9">
        <v>0.56381944444444443</v>
      </c>
      <c r="E268" s="7">
        <v>54</v>
      </c>
      <c r="F268" s="2">
        <v>58</v>
      </c>
      <c r="G268" s="6">
        <f t="shared" si="8"/>
        <v>30.900000000000034</v>
      </c>
      <c r="H268" s="2">
        <f t="shared" ref="H268:H296" si="9">IF(AND(F268&lt;&gt;"",E268&lt;&gt;""),F268-E268,"")</f>
        <v>4</v>
      </c>
    </row>
    <row r="269" spans="1:8" x14ac:dyDescent="0.3">
      <c r="A269" s="1">
        <v>46255</v>
      </c>
      <c r="C269" s="9">
        <f>_xlfn.XLOOKUP(Log!A269, 'Daily Summary'!A:A, 'Daily Summary'!C:C, "Not found!")</f>
        <v>0.59305555555555556</v>
      </c>
      <c r="D269" s="9">
        <v>0.59375</v>
      </c>
      <c r="E269" s="7">
        <v>29</v>
      </c>
      <c r="F269" s="2">
        <v>31</v>
      </c>
      <c r="G269" s="6">
        <f t="shared" si="8"/>
        <v>0.99999999999999645</v>
      </c>
      <c r="H269" s="2">
        <f t="shared" si="9"/>
        <v>2</v>
      </c>
    </row>
    <row r="270" spans="1:8" x14ac:dyDescent="0.3">
      <c r="A270" s="1">
        <v>46255</v>
      </c>
      <c r="C270" s="9">
        <f>_xlfn.XLOOKUP(Log!A270, 'Daily Summary'!A:A, 'Daily Summary'!C:C, "Not found!")</f>
        <v>0.59305555555555556</v>
      </c>
      <c r="D270" s="9">
        <v>0.60334490740740743</v>
      </c>
      <c r="E270" s="7">
        <v>48</v>
      </c>
      <c r="F270" s="2">
        <v>49</v>
      </c>
      <c r="G270" s="6">
        <f t="shared" si="8"/>
        <v>14.816666666666691</v>
      </c>
      <c r="H270" s="2">
        <f t="shared" si="9"/>
        <v>1</v>
      </c>
    </row>
    <row r="271" spans="1:8" x14ac:dyDescent="0.3">
      <c r="A271" s="1">
        <v>46255</v>
      </c>
      <c r="C271" s="9">
        <f>_xlfn.XLOOKUP(Log!A271, 'Daily Summary'!A:A, 'Daily Summary'!C:C, "Not found!")</f>
        <v>0.59305555555555556</v>
      </c>
      <c r="D271" s="9">
        <v>0.60473379629629631</v>
      </c>
      <c r="E271" s="7">
        <v>49</v>
      </c>
      <c r="F271" s="2">
        <v>52</v>
      </c>
      <c r="G271" s="6">
        <f t="shared" si="8"/>
        <v>16.816666666666684</v>
      </c>
      <c r="H271" s="2">
        <f t="shared" si="9"/>
        <v>3</v>
      </c>
    </row>
    <row r="272" spans="1:8" x14ac:dyDescent="0.3">
      <c r="A272" s="1">
        <v>46255</v>
      </c>
      <c r="C272" s="9">
        <f>_xlfn.XLOOKUP(Log!A272, 'Daily Summary'!A:A, 'Daily Summary'!C:C, "Not found!")</f>
        <v>0.59305555555555556</v>
      </c>
      <c r="D272" s="9">
        <v>0.60612268518518519</v>
      </c>
      <c r="E272" s="7">
        <v>51</v>
      </c>
      <c r="F272" s="2">
        <v>52</v>
      </c>
      <c r="G272" s="6">
        <f t="shared" si="8"/>
        <v>18.816666666666677</v>
      </c>
      <c r="H272" s="2">
        <f t="shared" si="9"/>
        <v>1</v>
      </c>
    </row>
    <row r="273" spans="1:8" x14ac:dyDescent="0.3">
      <c r="A273" s="1">
        <v>46255</v>
      </c>
      <c r="C273" s="9">
        <f>_xlfn.XLOOKUP(Log!A273, 'Daily Summary'!A:A, 'Daily Summary'!C:C, "Not found!")</f>
        <v>0.59305555555555556</v>
      </c>
      <c r="D273" s="9">
        <v>0.60752314814814812</v>
      </c>
      <c r="E273" s="7">
        <v>51</v>
      </c>
      <c r="F273" s="2">
        <v>52</v>
      </c>
      <c r="G273" s="6">
        <f t="shared" si="8"/>
        <v>20.833333333333286</v>
      </c>
      <c r="H273" s="2">
        <f t="shared" si="9"/>
        <v>1</v>
      </c>
    </row>
    <row r="274" spans="1:8" x14ac:dyDescent="0.3">
      <c r="A274" s="1">
        <v>46255</v>
      </c>
      <c r="C274" s="9">
        <f>_xlfn.XLOOKUP(Log!A274, 'Daily Summary'!A:A, 'Daily Summary'!C:C, "Not found!")</f>
        <v>0.59305555555555556</v>
      </c>
      <c r="D274" s="9">
        <v>0.60892361111111115</v>
      </c>
      <c r="E274" s="7">
        <v>52</v>
      </c>
      <c r="F274" s="2">
        <v>55</v>
      </c>
      <c r="G274" s="6">
        <f t="shared" si="8"/>
        <v>22.850000000000055</v>
      </c>
      <c r="H274" s="2">
        <f t="shared" si="9"/>
        <v>3</v>
      </c>
    </row>
    <row r="275" spans="1:8" x14ac:dyDescent="0.3">
      <c r="A275" s="1">
        <v>46255</v>
      </c>
      <c r="C275" s="9">
        <f>_xlfn.XLOOKUP(Log!A275, 'Daily Summary'!A:A, 'Daily Summary'!C:C, "Not found!")</f>
        <v>0.59305555555555556</v>
      </c>
      <c r="D275" s="9">
        <v>0.61031250000000004</v>
      </c>
      <c r="E275" s="7">
        <v>54</v>
      </c>
      <c r="F275" s="2">
        <v>55</v>
      </c>
      <c r="G275" s="6">
        <f t="shared" si="8"/>
        <v>24.850000000000048</v>
      </c>
      <c r="H275" s="2">
        <f t="shared" si="9"/>
        <v>1</v>
      </c>
    </row>
    <row r="276" spans="1:8" x14ac:dyDescent="0.3">
      <c r="A276" s="1">
        <v>46255</v>
      </c>
      <c r="C276" s="9">
        <f>_xlfn.XLOOKUP(Log!A276, 'Daily Summary'!A:A, 'Daily Summary'!C:C, "Not found!")</f>
        <v>0.59305555555555556</v>
      </c>
      <c r="D276" s="9">
        <v>0.61171296296296296</v>
      </c>
      <c r="E276" s="7">
        <v>54</v>
      </c>
      <c r="F276" s="2">
        <v>55</v>
      </c>
      <c r="G276" s="6">
        <f t="shared" si="8"/>
        <v>26.866666666666656</v>
      </c>
      <c r="H276" s="2">
        <f t="shared" si="9"/>
        <v>1</v>
      </c>
    </row>
    <row r="277" spans="1:8" x14ac:dyDescent="0.3">
      <c r="A277" s="1">
        <v>46255</v>
      </c>
      <c r="C277" s="9">
        <f>_xlfn.XLOOKUP(Log!A277, 'Daily Summary'!A:A, 'Daily Summary'!C:C, "Not found!")</f>
        <v>0.59305555555555556</v>
      </c>
      <c r="D277" s="9">
        <v>0.61311342592592588</v>
      </c>
      <c r="E277" s="7">
        <v>54</v>
      </c>
      <c r="F277" s="2">
        <v>55</v>
      </c>
      <c r="G277" s="6">
        <f t="shared" si="8"/>
        <v>28.883333333333265</v>
      </c>
      <c r="H277" s="2">
        <f t="shared" si="9"/>
        <v>1</v>
      </c>
    </row>
    <row r="278" spans="1:8" x14ac:dyDescent="0.3">
      <c r="A278" s="1">
        <v>46255</v>
      </c>
      <c r="C278" s="9">
        <f>_xlfn.XLOOKUP(Log!A278, 'Daily Summary'!A:A, 'Daily Summary'!C:C, "Not found!")</f>
        <v>0.59305555555555556</v>
      </c>
      <c r="D278" s="9">
        <v>0.61450231481481477</v>
      </c>
      <c r="E278" s="7">
        <v>54</v>
      </c>
      <c r="F278" s="2">
        <v>58</v>
      </c>
      <c r="G278" s="6">
        <f t="shared" si="8"/>
        <v>30.883333333333258</v>
      </c>
      <c r="H278" s="2">
        <f t="shared" si="9"/>
        <v>4</v>
      </c>
    </row>
    <row r="279" spans="1:8" x14ac:dyDescent="0.3">
      <c r="A279" s="1">
        <v>46255</v>
      </c>
      <c r="C279" s="9">
        <f>_xlfn.XLOOKUP(Log!A279, 'Daily Summary'!A:A, 'Daily Summary'!C:C, "Not found!")</f>
        <v>0.59305555555555556</v>
      </c>
      <c r="D279" s="9">
        <v>0.6159027777777778</v>
      </c>
      <c r="E279" s="7">
        <v>55</v>
      </c>
      <c r="F279" s="2">
        <v>58</v>
      </c>
      <c r="G279" s="6">
        <f t="shared" si="8"/>
        <v>32.900000000000027</v>
      </c>
      <c r="H279" s="2">
        <f t="shared" si="9"/>
        <v>3</v>
      </c>
    </row>
    <row r="280" spans="1:8" x14ac:dyDescent="0.3">
      <c r="A280" s="1">
        <v>46255</v>
      </c>
      <c r="C280" s="9">
        <f>_xlfn.XLOOKUP(Log!A280, 'Daily Summary'!A:A, 'Daily Summary'!C:C, "Not found!")</f>
        <v>0.59305555555555556</v>
      </c>
      <c r="D280" s="9">
        <v>0.61730324074074072</v>
      </c>
      <c r="E280" s="7">
        <v>57</v>
      </c>
      <c r="F280" s="2">
        <v>58</v>
      </c>
      <c r="G280" s="6">
        <f t="shared" si="8"/>
        <v>34.916666666666636</v>
      </c>
      <c r="H280" s="2">
        <f t="shared" si="9"/>
        <v>1</v>
      </c>
    </row>
    <row r="281" spans="1:8" x14ac:dyDescent="0.3">
      <c r="A281" s="1">
        <v>46255</v>
      </c>
      <c r="C281" s="9">
        <f>_xlfn.XLOOKUP(Log!A281, 'Daily Summary'!A:A, 'Daily Summary'!C:C, "Not found!")</f>
        <v>0.59305555555555556</v>
      </c>
      <c r="D281" s="9">
        <v>0.61870370370370376</v>
      </c>
      <c r="E281" s="7">
        <v>57</v>
      </c>
      <c r="F281" s="2">
        <v>58</v>
      </c>
      <c r="G281" s="6">
        <f t="shared" si="8"/>
        <v>36.933333333333408</v>
      </c>
      <c r="H281" s="2">
        <f t="shared" si="9"/>
        <v>1</v>
      </c>
    </row>
    <row r="282" spans="1:8" x14ac:dyDescent="0.3">
      <c r="A282" s="1">
        <v>46255</v>
      </c>
      <c r="C282" s="9">
        <f>_xlfn.XLOOKUP(Log!A282, 'Daily Summary'!A:A, 'Daily Summary'!C:C, "Not found!")</f>
        <v>0.59305555555555556</v>
      </c>
      <c r="D282" s="9">
        <v>0.62009259259259264</v>
      </c>
      <c r="E282" s="7">
        <v>57</v>
      </c>
      <c r="F282" s="2">
        <v>58</v>
      </c>
      <c r="G282" s="6">
        <f t="shared" si="8"/>
        <v>38.933333333333394</v>
      </c>
      <c r="H282" s="2">
        <f t="shared" si="9"/>
        <v>1</v>
      </c>
    </row>
    <row r="283" spans="1:8" x14ac:dyDescent="0.3">
      <c r="A283" s="1">
        <v>46255</v>
      </c>
      <c r="C283" s="9">
        <f>_xlfn.XLOOKUP(Log!A283, 'Daily Summary'!A:A, 'Daily Summary'!C:C, "Not found!")</f>
        <v>0.59305555555555556</v>
      </c>
      <c r="D283" s="9">
        <v>0.62149305555555556</v>
      </c>
      <c r="E283" s="7">
        <v>57</v>
      </c>
      <c r="F283" s="2">
        <v>58</v>
      </c>
      <c r="G283" s="6">
        <f t="shared" si="8"/>
        <v>40.950000000000003</v>
      </c>
      <c r="H283" s="2">
        <f t="shared" si="9"/>
        <v>1</v>
      </c>
    </row>
    <row r="284" spans="1:8" x14ac:dyDescent="0.3">
      <c r="A284" s="1">
        <v>46255</v>
      </c>
      <c r="C284" s="9">
        <f>_xlfn.XLOOKUP(Log!A284, 'Daily Summary'!A:A, 'Daily Summary'!C:C, "Not found!")</f>
        <v>0.59305555555555556</v>
      </c>
      <c r="D284" s="9">
        <v>0.62288194444444445</v>
      </c>
      <c r="E284" s="7">
        <v>57</v>
      </c>
      <c r="F284" s="2">
        <v>61</v>
      </c>
      <c r="G284" s="6">
        <f t="shared" si="8"/>
        <v>42.95</v>
      </c>
      <c r="H284" s="2">
        <f t="shared" si="9"/>
        <v>4</v>
      </c>
    </row>
    <row r="285" spans="1:8" x14ac:dyDescent="0.3">
      <c r="A285" s="1">
        <v>46258</v>
      </c>
      <c r="C285" s="9">
        <f>_xlfn.XLOOKUP(Log!A285, 'Daily Summary'!A:A, 'Daily Summary'!C:C, "Not found!")</f>
        <v>0.49236111111111114</v>
      </c>
      <c r="D285" s="9">
        <v>0.49375000000000002</v>
      </c>
      <c r="E285" s="7">
        <v>27</v>
      </c>
      <c r="F285" s="2">
        <v>30</v>
      </c>
      <c r="G285" s="6">
        <f t="shared" si="8"/>
        <v>1.9999999999999929</v>
      </c>
      <c r="H285" s="2">
        <f t="shared" si="9"/>
        <v>3</v>
      </c>
    </row>
    <row r="286" spans="1:8" x14ac:dyDescent="0.3">
      <c r="A286" s="1">
        <v>46258</v>
      </c>
      <c r="C286" s="9">
        <f>_xlfn.XLOOKUP(Log!A286, 'Daily Summary'!A:A, 'Daily Summary'!C:C, "Not found!")</f>
        <v>0.49236111111111114</v>
      </c>
      <c r="D286" s="9">
        <v>0.49494212962962963</v>
      </c>
      <c r="E286" s="7">
        <v>32</v>
      </c>
      <c r="F286" s="2">
        <v>33</v>
      </c>
      <c r="G286" s="6">
        <f t="shared" si="8"/>
        <v>3.7166666666666348</v>
      </c>
      <c r="H286" s="2">
        <f t="shared" si="9"/>
        <v>1</v>
      </c>
    </row>
    <row r="287" spans="1:8" x14ac:dyDescent="0.3">
      <c r="A287" s="1">
        <v>46258</v>
      </c>
      <c r="C287" s="9">
        <f>_xlfn.XLOOKUP(Log!A287, 'Daily Summary'!A:A, 'Daily Summary'!C:C, "Not found!")</f>
        <v>0.49236111111111114</v>
      </c>
      <c r="D287" s="9">
        <v>0.49633101851851852</v>
      </c>
      <c r="E287" s="7">
        <v>35</v>
      </c>
      <c r="F287" s="2">
        <v>38</v>
      </c>
      <c r="G287" s="6">
        <f t="shared" si="8"/>
        <v>5.7166666666666277</v>
      </c>
      <c r="H287" s="2">
        <f t="shared" si="9"/>
        <v>3</v>
      </c>
    </row>
    <row r="288" spans="1:8" x14ac:dyDescent="0.3">
      <c r="A288" s="1">
        <v>46258</v>
      </c>
      <c r="C288" s="9">
        <f>_xlfn.XLOOKUP(Log!A288, 'Daily Summary'!A:A, 'Daily Summary'!C:C, "Not found!")</f>
        <v>0.49236111111111114</v>
      </c>
      <c r="D288" s="9">
        <v>0.4977314814814815</v>
      </c>
      <c r="E288" s="7">
        <v>38</v>
      </c>
      <c r="F288" s="2">
        <v>41</v>
      </c>
      <c r="G288" s="6">
        <f t="shared" si="8"/>
        <v>7.7333333333333165</v>
      </c>
      <c r="H288" s="2">
        <f t="shared" si="9"/>
        <v>3</v>
      </c>
    </row>
    <row r="289" spans="1:8" x14ac:dyDescent="0.3">
      <c r="A289" s="1">
        <v>46258</v>
      </c>
      <c r="C289" s="9">
        <f>_xlfn.XLOOKUP(Log!A289, 'Daily Summary'!A:A, 'Daily Summary'!C:C, "Not found!")</f>
        <v>0.49236111111111114</v>
      </c>
      <c r="D289" s="9">
        <v>0.49912037037037038</v>
      </c>
      <c r="E289" s="7">
        <v>41</v>
      </c>
      <c r="F289" s="2">
        <v>42</v>
      </c>
      <c r="G289" s="6">
        <f t="shared" si="8"/>
        <v>9.7333333333333094</v>
      </c>
      <c r="H289" s="2">
        <f t="shared" si="9"/>
        <v>1</v>
      </c>
    </row>
    <row r="290" spans="1:8" x14ac:dyDescent="0.3">
      <c r="A290" s="1">
        <v>46258</v>
      </c>
      <c r="C290" s="9">
        <f>_xlfn.XLOOKUP(Log!A290, 'Daily Summary'!A:A, 'Daily Summary'!C:C, "Not found!")</f>
        <v>0.49236111111111114</v>
      </c>
      <c r="D290" s="9">
        <v>0.50050925925925926</v>
      </c>
      <c r="E290" s="7">
        <v>42</v>
      </c>
      <c r="F290" s="2">
        <v>45</v>
      </c>
      <c r="G290" s="6">
        <f t="shared" si="8"/>
        <v>11.733333333333302</v>
      </c>
      <c r="H290" s="2">
        <f t="shared" si="9"/>
        <v>3</v>
      </c>
    </row>
    <row r="291" spans="1:8" x14ac:dyDescent="0.3">
      <c r="A291" s="1">
        <v>46258</v>
      </c>
      <c r="C291" s="9">
        <f>_xlfn.XLOOKUP(Log!A291, 'Daily Summary'!A:A, 'Daily Summary'!C:C, "Not found!")</f>
        <v>0.49236111111111114</v>
      </c>
      <c r="D291" s="9">
        <v>0.50189814814814815</v>
      </c>
      <c r="E291" s="7">
        <v>44</v>
      </c>
      <c r="F291" s="2">
        <v>47</v>
      </c>
      <c r="G291" s="6">
        <f t="shared" si="8"/>
        <v>13.733333333333295</v>
      </c>
      <c r="H291" s="2">
        <f t="shared" si="9"/>
        <v>3</v>
      </c>
    </row>
    <row r="292" spans="1:8" x14ac:dyDescent="0.3">
      <c r="A292" s="1">
        <v>46258</v>
      </c>
      <c r="C292" s="9">
        <f>_xlfn.XLOOKUP(Log!A292, 'Daily Summary'!A:A, 'Daily Summary'!C:C, "Not found!")</f>
        <v>0.49236111111111114</v>
      </c>
      <c r="D292" s="9">
        <v>0.50328703703703703</v>
      </c>
      <c r="E292" s="7">
        <v>45</v>
      </c>
      <c r="F292" s="2">
        <v>49</v>
      </c>
      <c r="G292" s="6">
        <f t="shared" si="8"/>
        <v>15.733333333333288</v>
      </c>
      <c r="H292" s="2">
        <f t="shared" si="9"/>
        <v>4</v>
      </c>
    </row>
    <row r="293" spans="1:8" x14ac:dyDescent="0.3">
      <c r="A293" s="1">
        <v>46258</v>
      </c>
      <c r="C293" s="9">
        <f>_xlfn.XLOOKUP(Log!A293, 'Daily Summary'!A:A, 'Daily Summary'!C:C, "Not found!")</f>
        <v>0.49236111111111114</v>
      </c>
      <c r="D293" s="9">
        <v>0.50468749999999996</v>
      </c>
      <c r="E293" s="7">
        <v>48</v>
      </c>
      <c r="F293" s="2">
        <v>49</v>
      </c>
      <c r="G293" s="6">
        <f t="shared" si="8"/>
        <v>17.749999999999897</v>
      </c>
      <c r="H293" s="2">
        <f t="shared" si="9"/>
        <v>1</v>
      </c>
    </row>
    <row r="294" spans="1:8" x14ac:dyDescent="0.3">
      <c r="A294" s="1">
        <v>46258</v>
      </c>
      <c r="C294" s="9">
        <f>_xlfn.XLOOKUP(Log!A294, 'Daily Summary'!A:A, 'Daily Summary'!C:C, "Not found!")</f>
        <v>0.49236111111111114</v>
      </c>
      <c r="D294" s="9">
        <v>0.50607638888888884</v>
      </c>
      <c r="E294" s="7">
        <v>48</v>
      </c>
      <c r="F294" s="2">
        <v>51</v>
      </c>
      <c r="G294" s="6">
        <f t="shared" si="8"/>
        <v>19.74999999999989</v>
      </c>
      <c r="H294" s="2">
        <f t="shared" si="9"/>
        <v>3</v>
      </c>
    </row>
    <row r="295" spans="1:8" x14ac:dyDescent="0.3">
      <c r="A295" s="1">
        <v>46258</v>
      </c>
      <c r="C295" s="9">
        <f>_xlfn.XLOOKUP(Log!A295, 'Daily Summary'!A:A, 'Daily Summary'!C:C, "Not found!")</f>
        <v>0.49236111111111114</v>
      </c>
      <c r="D295" s="9">
        <v>0.50747685185185187</v>
      </c>
      <c r="E295" s="7">
        <v>49</v>
      </c>
      <c r="F295" s="2">
        <v>52</v>
      </c>
      <c r="G295" s="6">
        <f t="shared" si="8"/>
        <v>21.766666666666659</v>
      </c>
      <c r="H295" s="2">
        <f t="shared" si="9"/>
        <v>3</v>
      </c>
    </row>
    <row r="296" spans="1:8" x14ac:dyDescent="0.3">
      <c r="A296" s="1">
        <v>46258</v>
      </c>
      <c r="C296" s="9">
        <f>_xlfn.XLOOKUP(Log!A296, 'Daily Summary'!A:A, 'Daily Summary'!C:C, "Not found!")</f>
        <v>0.49236111111111114</v>
      </c>
      <c r="D296" s="9">
        <v>0.50886574074074076</v>
      </c>
      <c r="E296" s="7">
        <v>51</v>
      </c>
      <c r="F296" s="2">
        <v>54</v>
      </c>
      <c r="G296" s="6">
        <f t="shared" si="8"/>
        <v>23.766666666666652</v>
      </c>
      <c r="H296" s="2">
        <f t="shared" si="9"/>
        <v>3</v>
      </c>
    </row>
    <row r="297" spans="1:8" x14ac:dyDescent="0.3">
      <c r="A297" s="1">
        <v>46258</v>
      </c>
      <c r="C297" s="9">
        <f>_xlfn.XLOOKUP(Log!A297, 'Daily Summary'!A:A, 'Daily Summary'!C:C, "Not found!")</f>
        <v>0.49236111111111114</v>
      </c>
      <c r="D297" s="9">
        <v>0.51026620370370368</v>
      </c>
      <c r="E297" s="7">
        <v>51</v>
      </c>
      <c r="F297" s="2">
        <v>55</v>
      </c>
      <c r="G297" s="6">
        <f t="shared" si="8"/>
        <v>25.78333333333326</v>
      </c>
      <c r="H297" s="2">
        <f t="shared" ref="H297:H360" si="10">IF(AND(F297&lt;&gt;"",E297&lt;&gt;""),F297-E297,"")</f>
        <v>4</v>
      </c>
    </row>
    <row r="298" spans="1:8" x14ac:dyDescent="0.3">
      <c r="A298" s="1">
        <v>46258</v>
      </c>
      <c r="C298" s="9">
        <f>_xlfn.XLOOKUP(Log!A298, 'Daily Summary'!A:A, 'Daily Summary'!C:C, "Not found!")</f>
        <v>0.49236111111111114</v>
      </c>
      <c r="D298" s="9">
        <v>0.51165509259259256</v>
      </c>
      <c r="E298" s="7">
        <v>52</v>
      </c>
      <c r="F298" s="2">
        <v>55</v>
      </c>
      <c r="G298" s="6">
        <f t="shared" si="8"/>
        <v>27.783333333333253</v>
      </c>
      <c r="H298" s="2">
        <f t="shared" si="10"/>
        <v>3</v>
      </c>
    </row>
    <row r="299" spans="1:8" x14ac:dyDescent="0.3">
      <c r="A299" s="1">
        <v>46258</v>
      </c>
      <c r="C299" s="9">
        <f>_xlfn.XLOOKUP(Log!A299, 'Daily Summary'!A:A, 'Daily Summary'!C:C, "Not found!")</f>
        <v>0.49236111111111114</v>
      </c>
      <c r="D299" s="9">
        <v>0.51304398148148145</v>
      </c>
      <c r="E299" s="7">
        <v>54</v>
      </c>
      <c r="F299" s="2">
        <v>55</v>
      </c>
      <c r="G299" s="6">
        <f t="shared" si="8"/>
        <v>29.783333333333246</v>
      </c>
      <c r="H299" s="2">
        <f t="shared" si="10"/>
        <v>1</v>
      </c>
    </row>
    <row r="300" spans="1:8" x14ac:dyDescent="0.3">
      <c r="A300" s="1">
        <v>46258</v>
      </c>
      <c r="C300" s="9">
        <f>_xlfn.XLOOKUP(Log!A300, 'Daily Summary'!A:A, 'Daily Summary'!C:C, "Not found!")</f>
        <v>0.49236111111111114</v>
      </c>
      <c r="D300" s="9">
        <v>0.51444444444444448</v>
      </c>
      <c r="E300" s="7">
        <v>54</v>
      </c>
      <c r="F300" s="2">
        <v>57</v>
      </c>
      <c r="G300" s="6">
        <f t="shared" si="8"/>
        <v>31.800000000000015</v>
      </c>
      <c r="H300" s="2">
        <f t="shared" si="10"/>
        <v>3</v>
      </c>
    </row>
    <row r="301" spans="1:8" x14ac:dyDescent="0.3">
      <c r="A301" s="1">
        <v>46260</v>
      </c>
      <c r="C301" s="9">
        <f>_xlfn.XLOOKUP(Log!A301, 'Daily Summary'!A:A, 'Daily Summary'!C:C, "Not found!")</f>
        <v>0.43472222222222223</v>
      </c>
      <c r="D301" s="9">
        <v>0.43611111111111112</v>
      </c>
      <c r="E301" s="7">
        <v>27</v>
      </c>
      <c r="F301" s="2">
        <v>29</v>
      </c>
      <c r="G301" s="6">
        <f t="shared" si="8"/>
        <v>1.9999999999999929</v>
      </c>
      <c r="H301" s="2">
        <f t="shared" si="10"/>
        <v>2</v>
      </c>
    </row>
    <row r="302" spans="1:8" x14ac:dyDescent="0.3">
      <c r="A302" s="1">
        <v>46260</v>
      </c>
      <c r="C302" s="9">
        <f>_xlfn.XLOOKUP(Log!A302, 'Daily Summary'!A:A, 'Daily Summary'!C:C, "Not found!")</f>
        <v>0.43472222222222223</v>
      </c>
      <c r="D302" s="9">
        <v>0.43684027777777779</v>
      </c>
      <c r="E302" s="7">
        <v>31</v>
      </c>
      <c r="F302" s="2">
        <v>32</v>
      </c>
      <c r="G302" s="6">
        <f t="shared" si="8"/>
        <v>3.0499999999999972</v>
      </c>
      <c r="H302" s="2">
        <f t="shared" si="10"/>
        <v>1</v>
      </c>
    </row>
    <row r="303" spans="1:8" x14ac:dyDescent="0.3">
      <c r="A303" s="1">
        <v>46260</v>
      </c>
      <c r="C303" s="9">
        <f>_xlfn.XLOOKUP(Log!A303, 'Daily Summary'!A:A, 'Daily Summary'!C:C, "Not found!")</f>
        <v>0.43472222222222223</v>
      </c>
      <c r="D303" s="9">
        <v>0.43824074074074076</v>
      </c>
      <c r="E303" s="7">
        <v>35</v>
      </c>
      <c r="F303" s="2">
        <v>38</v>
      </c>
      <c r="G303" s="6">
        <f t="shared" si="8"/>
        <v>5.066666666666686</v>
      </c>
      <c r="H303" s="2">
        <f t="shared" si="10"/>
        <v>3</v>
      </c>
    </row>
    <row r="304" spans="1:8" x14ac:dyDescent="0.3">
      <c r="A304" s="1">
        <v>46260</v>
      </c>
      <c r="C304" s="9">
        <f>_xlfn.XLOOKUP(Log!A304, 'Daily Summary'!A:A, 'Daily Summary'!C:C, "Not found!")</f>
        <v>0.43472222222222223</v>
      </c>
      <c r="D304" s="9">
        <v>0.43962962962962965</v>
      </c>
      <c r="E304" s="7">
        <v>38</v>
      </c>
      <c r="F304" s="2">
        <v>41</v>
      </c>
      <c r="G304" s="6">
        <f t="shared" si="8"/>
        <v>7.0666666666666789</v>
      </c>
      <c r="H304" s="2">
        <f t="shared" si="10"/>
        <v>3</v>
      </c>
    </row>
    <row r="305" spans="1:8" x14ac:dyDescent="0.3">
      <c r="A305" s="1">
        <v>46260</v>
      </c>
      <c r="C305" s="9">
        <f>_xlfn.XLOOKUP(Log!A305, 'Daily Summary'!A:A, 'Daily Summary'!C:C, "Not found!")</f>
        <v>0.43472222222222223</v>
      </c>
      <c r="D305" s="9">
        <v>0.44103009259259257</v>
      </c>
      <c r="E305" s="7">
        <v>41</v>
      </c>
      <c r="F305" s="2">
        <v>42</v>
      </c>
      <c r="G305" s="6">
        <f t="shared" si="8"/>
        <v>9.0833333333332877</v>
      </c>
      <c r="H305" s="2">
        <f t="shared" si="10"/>
        <v>1</v>
      </c>
    </row>
    <row r="306" spans="1:8" x14ac:dyDescent="0.3">
      <c r="A306" s="1">
        <v>46260</v>
      </c>
      <c r="C306" s="9">
        <f>_xlfn.XLOOKUP(Log!A306, 'Daily Summary'!A:A, 'Daily Summary'!C:C, "Not found!")</f>
        <v>0.43472222222222223</v>
      </c>
      <c r="D306" s="9">
        <v>0.44243055555555555</v>
      </c>
      <c r="E306" s="7">
        <v>42</v>
      </c>
      <c r="F306" s="2">
        <v>45</v>
      </c>
      <c r="G306" s="6">
        <f t="shared" si="8"/>
        <v>11.099999999999977</v>
      </c>
      <c r="H306" s="2">
        <f t="shared" si="10"/>
        <v>3</v>
      </c>
    </row>
    <row r="307" spans="1:8" x14ac:dyDescent="0.3">
      <c r="A307" s="1">
        <v>46260</v>
      </c>
      <c r="C307" s="9">
        <f>_xlfn.XLOOKUP(Log!A307, 'Daily Summary'!A:A, 'Daily Summary'!C:C, "Not found!")</f>
        <v>0.43472222222222223</v>
      </c>
      <c r="D307" s="9">
        <v>0.44381944444444443</v>
      </c>
      <c r="E307" s="7">
        <v>44</v>
      </c>
      <c r="F307" s="2">
        <v>47</v>
      </c>
      <c r="G307" s="6">
        <f t="shared" si="8"/>
        <v>13.099999999999969</v>
      </c>
      <c r="H307" s="2">
        <f t="shared" si="10"/>
        <v>3</v>
      </c>
    </row>
    <row r="308" spans="1:8" x14ac:dyDescent="0.3">
      <c r="A308" s="1">
        <v>46260</v>
      </c>
      <c r="C308" s="9">
        <f>_xlfn.XLOOKUP(Log!A308, 'Daily Summary'!A:A, 'Daily Summary'!C:C, "Not found!")</f>
        <v>0.43472222222222223</v>
      </c>
      <c r="D308" s="9">
        <v>0.44520833333333332</v>
      </c>
      <c r="E308" s="7">
        <v>47</v>
      </c>
      <c r="F308" s="2">
        <v>48</v>
      </c>
      <c r="G308" s="6">
        <f t="shared" si="8"/>
        <v>15.099999999999962</v>
      </c>
      <c r="H308" s="2">
        <f t="shared" si="10"/>
        <v>1</v>
      </c>
    </row>
    <row r="309" spans="1:8" x14ac:dyDescent="0.3">
      <c r="A309" s="1">
        <v>46260</v>
      </c>
      <c r="C309" s="9">
        <f>_xlfn.XLOOKUP(Log!A309, 'Daily Summary'!A:A, 'Daily Summary'!C:C, "Not found!")</f>
        <v>0.43472222222222223</v>
      </c>
      <c r="D309" s="9">
        <v>0.4465972222222222</v>
      </c>
      <c r="E309" s="7">
        <v>48</v>
      </c>
      <c r="F309" s="2">
        <v>49</v>
      </c>
      <c r="G309" s="6">
        <f t="shared" si="8"/>
        <v>17.099999999999955</v>
      </c>
      <c r="H309" s="2">
        <f t="shared" si="10"/>
        <v>1</v>
      </c>
    </row>
    <row r="310" spans="1:8" x14ac:dyDescent="0.3">
      <c r="A310" s="1">
        <v>46260</v>
      </c>
      <c r="C310" s="9">
        <f>_xlfn.XLOOKUP(Log!A310, 'Daily Summary'!A:A, 'Daily Summary'!C:C, "Not found!")</f>
        <v>0.43472222222222223</v>
      </c>
      <c r="D310" s="9">
        <v>0.44799768518518518</v>
      </c>
      <c r="E310" s="7">
        <v>48</v>
      </c>
      <c r="F310" s="2">
        <v>51</v>
      </c>
      <c r="G310" s="6">
        <f t="shared" si="8"/>
        <v>19.116666666666646</v>
      </c>
      <c r="H310" s="2">
        <f t="shared" si="10"/>
        <v>3</v>
      </c>
    </row>
    <row r="311" spans="1:8" x14ac:dyDescent="0.3">
      <c r="A311" s="1">
        <v>46260</v>
      </c>
      <c r="C311" s="9">
        <f>_xlfn.XLOOKUP(Log!A311, 'Daily Summary'!A:A, 'Daily Summary'!C:C, "Not found!")</f>
        <v>0.43472222222222223</v>
      </c>
      <c r="D311" s="9">
        <v>0.44938657407407406</v>
      </c>
      <c r="E311" s="7">
        <v>51</v>
      </c>
      <c r="F311" s="2">
        <v>52</v>
      </c>
      <c r="G311" s="6">
        <f t="shared" si="8"/>
        <v>21.116666666666639</v>
      </c>
      <c r="H311" s="2">
        <f t="shared" si="10"/>
        <v>1</v>
      </c>
    </row>
    <row r="312" spans="1:8" x14ac:dyDescent="0.3">
      <c r="A312" s="1">
        <v>46260</v>
      </c>
      <c r="C312" s="9">
        <f>_xlfn.XLOOKUP(Log!A312, 'Daily Summary'!A:A, 'Daily Summary'!C:C, "Not found!")</f>
        <v>0.43472222222222223</v>
      </c>
      <c r="D312" s="9">
        <v>0.45078703703703704</v>
      </c>
      <c r="E312" s="7">
        <v>51</v>
      </c>
      <c r="F312" s="2">
        <v>54</v>
      </c>
      <c r="G312" s="6">
        <f t="shared" si="8"/>
        <v>23.133333333333326</v>
      </c>
      <c r="H312" s="2">
        <f t="shared" si="10"/>
        <v>3</v>
      </c>
    </row>
    <row r="313" spans="1:8" x14ac:dyDescent="0.3">
      <c r="A313" s="1">
        <v>46260</v>
      </c>
      <c r="C313" s="9">
        <f>_xlfn.XLOOKUP(Log!A313, 'Daily Summary'!A:A, 'Daily Summary'!C:C, "Not found!")</f>
        <v>0.43472222222222223</v>
      </c>
      <c r="D313" s="9">
        <v>0.45218750000000002</v>
      </c>
      <c r="E313" s="7">
        <v>52</v>
      </c>
      <c r="F313" s="2">
        <v>54</v>
      </c>
      <c r="G313" s="6">
        <f t="shared" si="8"/>
        <v>25.150000000000013</v>
      </c>
      <c r="H313" s="2">
        <f t="shared" si="10"/>
        <v>2</v>
      </c>
    </row>
    <row r="314" spans="1:8" x14ac:dyDescent="0.3">
      <c r="A314" s="1">
        <v>46260</v>
      </c>
      <c r="C314" s="9">
        <f>_xlfn.XLOOKUP(Log!A314, 'Daily Summary'!A:A, 'Daily Summary'!C:C, "Not found!")</f>
        <v>0.43472222222222223</v>
      </c>
      <c r="D314" s="9">
        <v>0.4535763888888889</v>
      </c>
      <c r="E314" s="7">
        <v>52</v>
      </c>
      <c r="F314" s="2">
        <v>55</v>
      </c>
      <c r="G314" s="6">
        <f t="shared" si="8"/>
        <v>27.150000000000006</v>
      </c>
      <c r="H314" s="2">
        <f t="shared" si="10"/>
        <v>3</v>
      </c>
    </row>
    <row r="315" spans="1:8" x14ac:dyDescent="0.3">
      <c r="A315" s="1">
        <v>46260</v>
      </c>
      <c r="C315" s="9">
        <f>_xlfn.XLOOKUP(Log!A315, 'Daily Summary'!A:A, 'Daily Summary'!C:C, "Not found!")</f>
        <v>0.43472222222222223</v>
      </c>
      <c r="D315" s="9">
        <v>0.45497685185185183</v>
      </c>
      <c r="E315" s="7">
        <v>54</v>
      </c>
      <c r="F315" s="2">
        <v>57</v>
      </c>
      <c r="G315" s="6">
        <f t="shared" si="8"/>
        <v>29.166666666666615</v>
      </c>
      <c r="H315" s="2">
        <f t="shared" si="10"/>
        <v>3</v>
      </c>
    </row>
    <row r="316" spans="1:8" x14ac:dyDescent="0.3">
      <c r="A316" s="1">
        <v>46260</v>
      </c>
      <c r="C316" s="9">
        <f>_xlfn.XLOOKUP(Log!A316, 'Daily Summary'!A:A, 'Daily Summary'!C:C, "Not found!")</f>
        <v>0.43472222222222223</v>
      </c>
      <c r="D316" s="9">
        <v>0.45637731481481481</v>
      </c>
      <c r="E316" s="7">
        <v>54</v>
      </c>
      <c r="F316" s="2">
        <v>57</v>
      </c>
      <c r="G316" s="6">
        <f t="shared" si="8"/>
        <v>31.183333333333305</v>
      </c>
      <c r="H316" s="2">
        <f t="shared" si="10"/>
        <v>3</v>
      </c>
    </row>
    <row r="317" spans="1:8" x14ac:dyDescent="0.3">
      <c r="C317" s="9">
        <f>_xlfn.XLOOKUP(Log!A317, 'Daily Summary'!A:A, 'Daily Summary'!C:C, "Not found!")</f>
        <v>0</v>
      </c>
      <c r="G317" s="6" t="str">
        <f t="shared" si="8"/>
        <v/>
      </c>
      <c r="H317" s="2" t="str">
        <f t="shared" si="10"/>
        <v/>
      </c>
    </row>
    <row r="318" spans="1:8" x14ac:dyDescent="0.3">
      <c r="C318" s="9">
        <f>_xlfn.XLOOKUP(Log!A318, 'Daily Summary'!A:A, 'Daily Summary'!C:C, "Not found!")</f>
        <v>0</v>
      </c>
      <c r="G318" s="6" t="str">
        <f t="shared" si="8"/>
        <v/>
      </c>
      <c r="H318" s="2" t="str">
        <f t="shared" si="10"/>
        <v/>
      </c>
    </row>
    <row r="319" spans="1:8" x14ac:dyDescent="0.3">
      <c r="C319" s="9">
        <f>_xlfn.XLOOKUP(Log!A319, 'Daily Summary'!A:A, 'Daily Summary'!C:C, "Not found!")</f>
        <v>0</v>
      </c>
      <c r="G319" s="6" t="str">
        <f t="shared" si="8"/>
        <v/>
      </c>
      <c r="H319" s="2" t="str">
        <f t="shared" si="10"/>
        <v/>
      </c>
    </row>
    <row r="320" spans="1:8" x14ac:dyDescent="0.3">
      <c r="C320" s="9">
        <f>_xlfn.XLOOKUP(Log!A320, 'Daily Summary'!A:A, 'Daily Summary'!C:C, "Not found!")</f>
        <v>0</v>
      </c>
      <c r="G320" s="6" t="str">
        <f t="shared" si="8"/>
        <v/>
      </c>
      <c r="H320" s="2" t="str">
        <f t="shared" si="10"/>
        <v/>
      </c>
    </row>
    <row r="321" spans="3:8" x14ac:dyDescent="0.3">
      <c r="C321" s="9">
        <f>_xlfn.XLOOKUP(Log!A321, 'Daily Summary'!A:A, 'Daily Summary'!C:C, "Not found!")</f>
        <v>0</v>
      </c>
      <c r="G321" s="6" t="str">
        <f t="shared" si="8"/>
        <v/>
      </c>
      <c r="H321" s="2" t="str">
        <f t="shared" si="10"/>
        <v/>
      </c>
    </row>
    <row r="322" spans="3:8" x14ac:dyDescent="0.3">
      <c r="C322" s="9">
        <f>_xlfn.XLOOKUP(Log!A322, 'Daily Summary'!A:A, 'Daily Summary'!C:C, "Not found!")</f>
        <v>0</v>
      </c>
      <c r="G322" s="6" t="str">
        <f t="shared" si="8"/>
        <v/>
      </c>
      <c r="H322" s="2" t="str">
        <f t="shared" si="10"/>
        <v/>
      </c>
    </row>
    <row r="323" spans="3:8" x14ac:dyDescent="0.3">
      <c r="C323" s="9">
        <f>_xlfn.XLOOKUP(Log!A323, 'Daily Summary'!A:A, 'Daily Summary'!C:C, "Not found!")</f>
        <v>0</v>
      </c>
      <c r="G323" s="6" t="str">
        <f t="shared" si="8"/>
        <v/>
      </c>
      <c r="H323" s="2" t="str">
        <f t="shared" si="10"/>
        <v/>
      </c>
    </row>
    <row r="324" spans="3:8" x14ac:dyDescent="0.3">
      <c r="C324" s="9">
        <f>_xlfn.XLOOKUP(Log!A324, 'Daily Summary'!A:A, 'Daily Summary'!C:C, "Not found!")</f>
        <v>0</v>
      </c>
      <c r="G324" s="6" t="str">
        <f t="shared" si="8"/>
        <v/>
      </c>
      <c r="H324" s="2" t="str">
        <f t="shared" si="10"/>
        <v/>
      </c>
    </row>
    <row r="325" spans="3:8" x14ac:dyDescent="0.3">
      <c r="C325" s="9">
        <f>_xlfn.XLOOKUP(Log!A325, 'Daily Summary'!A:A, 'Daily Summary'!C:C, "Not found!")</f>
        <v>0</v>
      </c>
      <c r="G325" s="6" t="str">
        <f t="shared" si="8"/>
        <v/>
      </c>
      <c r="H325" s="2" t="str">
        <f t="shared" si="10"/>
        <v/>
      </c>
    </row>
    <row r="326" spans="3:8" x14ac:dyDescent="0.3">
      <c r="C326" s="9">
        <f>_xlfn.XLOOKUP(Log!A326, 'Daily Summary'!A:A, 'Daily Summary'!C:C, "Not found!")</f>
        <v>0</v>
      </c>
      <c r="G326" s="6" t="str">
        <f t="shared" si="8"/>
        <v/>
      </c>
      <c r="H326" s="2" t="str">
        <f t="shared" si="10"/>
        <v/>
      </c>
    </row>
    <row r="327" spans="3:8" x14ac:dyDescent="0.3">
      <c r="C327" s="9">
        <f>_xlfn.XLOOKUP(Log!A327, 'Daily Summary'!A:A, 'Daily Summary'!C:C, "Not found!")</f>
        <v>0</v>
      </c>
      <c r="G327" s="6" t="str">
        <f t="shared" si="8"/>
        <v/>
      </c>
      <c r="H327" s="2" t="str">
        <f t="shared" si="10"/>
        <v/>
      </c>
    </row>
    <row r="328" spans="3:8" x14ac:dyDescent="0.3">
      <c r="C328" s="9">
        <f>_xlfn.XLOOKUP(Log!A328, 'Daily Summary'!A:A, 'Daily Summary'!C:C, "Not found!")</f>
        <v>0</v>
      </c>
      <c r="G328" s="6" t="str">
        <f t="shared" si="8"/>
        <v/>
      </c>
      <c r="H328" s="2" t="str">
        <f t="shared" si="10"/>
        <v/>
      </c>
    </row>
    <row r="329" spans="3:8" x14ac:dyDescent="0.3">
      <c r="C329" s="9">
        <f>_xlfn.XLOOKUP(Log!A329, 'Daily Summary'!A:A, 'Daily Summary'!C:C, "Not found!")</f>
        <v>0</v>
      </c>
      <c r="G329" s="6" t="str">
        <f t="shared" si="8"/>
        <v/>
      </c>
      <c r="H329" s="2" t="str">
        <f t="shared" si="10"/>
        <v/>
      </c>
    </row>
    <row r="330" spans="3:8" x14ac:dyDescent="0.3">
      <c r="C330" s="9">
        <f>_xlfn.XLOOKUP(Log!A330, 'Daily Summary'!A:A, 'Daily Summary'!C:C, "Not found!")</f>
        <v>0</v>
      </c>
      <c r="G330" s="6" t="str">
        <f t="shared" si="8"/>
        <v/>
      </c>
      <c r="H330" s="2" t="str">
        <f t="shared" si="10"/>
        <v/>
      </c>
    </row>
    <row r="331" spans="3:8" x14ac:dyDescent="0.3">
      <c r="C331" s="9">
        <f>_xlfn.XLOOKUP(Log!A331, 'Daily Summary'!A:A, 'Daily Summary'!C:C, "Not found!")</f>
        <v>0</v>
      </c>
      <c r="G331" s="6" t="str">
        <f t="shared" ref="G331:G394" si="11">IF(AND($D331&lt;&gt;"", $C331&lt;&gt;""), ($D331-$C331)*1440, "")</f>
        <v/>
      </c>
      <c r="H331" s="2" t="str">
        <f t="shared" si="10"/>
        <v/>
      </c>
    </row>
    <row r="332" spans="3:8" x14ac:dyDescent="0.3">
      <c r="C332" s="9">
        <f>_xlfn.XLOOKUP(Log!A332, 'Daily Summary'!A:A, 'Daily Summary'!C:C, "Not found!")</f>
        <v>0</v>
      </c>
      <c r="G332" s="6" t="str">
        <f t="shared" si="11"/>
        <v/>
      </c>
      <c r="H332" s="2" t="str">
        <f t="shared" si="10"/>
        <v/>
      </c>
    </row>
    <row r="333" spans="3:8" x14ac:dyDescent="0.3">
      <c r="C333" s="9">
        <f>_xlfn.XLOOKUP(Log!A333, 'Daily Summary'!A:A, 'Daily Summary'!C:C, "Not found!")</f>
        <v>0</v>
      </c>
      <c r="G333" s="6" t="str">
        <f t="shared" si="11"/>
        <v/>
      </c>
      <c r="H333" s="2" t="str">
        <f t="shared" si="10"/>
        <v/>
      </c>
    </row>
    <row r="334" spans="3:8" x14ac:dyDescent="0.3">
      <c r="C334" s="9">
        <f>_xlfn.XLOOKUP(Log!A334, 'Daily Summary'!A:A, 'Daily Summary'!C:C, "Not found!")</f>
        <v>0</v>
      </c>
      <c r="G334" s="6" t="str">
        <f t="shared" si="11"/>
        <v/>
      </c>
      <c r="H334" s="2" t="str">
        <f t="shared" si="10"/>
        <v/>
      </c>
    </row>
    <row r="335" spans="3:8" x14ac:dyDescent="0.3">
      <c r="C335" s="9">
        <f>_xlfn.XLOOKUP(Log!A335, 'Daily Summary'!A:A, 'Daily Summary'!C:C, "Not found!")</f>
        <v>0</v>
      </c>
      <c r="G335" s="6" t="str">
        <f t="shared" si="11"/>
        <v/>
      </c>
      <c r="H335" s="2" t="str">
        <f t="shared" si="10"/>
        <v/>
      </c>
    </row>
    <row r="336" spans="3:8" x14ac:dyDescent="0.3">
      <c r="C336" s="9">
        <f>_xlfn.XLOOKUP(Log!A336, 'Daily Summary'!A:A, 'Daily Summary'!C:C, "Not found!")</f>
        <v>0</v>
      </c>
      <c r="G336" s="6" t="str">
        <f t="shared" si="11"/>
        <v/>
      </c>
      <c r="H336" s="2" t="str">
        <f t="shared" si="10"/>
        <v/>
      </c>
    </row>
    <row r="337" spans="3:8" x14ac:dyDescent="0.3">
      <c r="C337" s="9">
        <f>_xlfn.XLOOKUP(Log!A337, 'Daily Summary'!A:A, 'Daily Summary'!C:C, "Not found!")</f>
        <v>0</v>
      </c>
      <c r="G337" s="6" t="str">
        <f t="shared" si="11"/>
        <v/>
      </c>
      <c r="H337" s="2" t="str">
        <f t="shared" si="10"/>
        <v/>
      </c>
    </row>
    <row r="338" spans="3:8" x14ac:dyDescent="0.3">
      <c r="C338" s="9">
        <f>_xlfn.XLOOKUP(Log!A338, 'Daily Summary'!A:A, 'Daily Summary'!C:C, "Not found!")</f>
        <v>0</v>
      </c>
      <c r="G338" s="6" t="str">
        <f t="shared" si="11"/>
        <v/>
      </c>
      <c r="H338" s="2" t="str">
        <f t="shared" si="10"/>
        <v/>
      </c>
    </row>
    <row r="339" spans="3:8" x14ac:dyDescent="0.3">
      <c r="C339" s="9">
        <f>_xlfn.XLOOKUP(Log!A339, 'Daily Summary'!A:A, 'Daily Summary'!C:C, "Not found!")</f>
        <v>0</v>
      </c>
      <c r="G339" s="6" t="str">
        <f t="shared" si="11"/>
        <v/>
      </c>
      <c r="H339" s="2" t="str">
        <f t="shared" si="10"/>
        <v/>
      </c>
    </row>
    <row r="340" spans="3:8" x14ac:dyDescent="0.3">
      <c r="C340" s="9">
        <f>_xlfn.XLOOKUP(Log!A340, 'Daily Summary'!A:A, 'Daily Summary'!C:C, "Not found!")</f>
        <v>0</v>
      </c>
      <c r="G340" s="6" t="str">
        <f t="shared" si="11"/>
        <v/>
      </c>
      <c r="H340" s="2" t="str">
        <f t="shared" si="10"/>
        <v/>
      </c>
    </row>
    <row r="341" spans="3:8" x14ac:dyDescent="0.3">
      <c r="C341" s="9">
        <f>_xlfn.XLOOKUP(Log!A341, 'Daily Summary'!A:A, 'Daily Summary'!C:C, "Not found!")</f>
        <v>0</v>
      </c>
      <c r="G341" s="6" t="str">
        <f t="shared" si="11"/>
        <v/>
      </c>
      <c r="H341" s="2" t="str">
        <f t="shared" si="10"/>
        <v/>
      </c>
    </row>
    <row r="342" spans="3:8" x14ac:dyDescent="0.3">
      <c r="C342" s="9">
        <f>_xlfn.XLOOKUP(Log!A342, 'Daily Summary'!A:A, 'Daily Summary'!C:C, "Not found!")</f>
        <v>0</v>
      </c>
      <c r="G342" s="6" t="str">
        <f t="shared" si="11"/>
        <v/>
      </c>
      <c r="H342" s="2" t="str">
        <f t="shared" si="10"/>
        <v/>
      </c>
    </row>
    <row r="343" spans="3:8" x14ac:dyDescent="0.3">
      <c r="C343" s="9">
        <f>_xlfn.XLOOKUP(Log!A343, 'Daily Summary'!A:A, 'Daily Summary'!C:C, "Not found!")</f>
        <v>0</v>
      </c>
      <c r="G343" s="6" t="str">
        <f t="shared" si="11"/>
        <v/>
      </c>
      <c r="H343" s="2" t="str">
        <f t="shared" si="10"/>
        <v/>
      </c>
    </row>
    <row r="344" spans="3:8" x14ac:dyDescent="0.3">
      <c r="C344" s="9">
        <f>_xlfn.XLOOKUP(Log!A344, 'Daily Summary'!A:A, 'Daily Summary'!C:C, "Not found!")</f>
        <v>0</v>
      </c>
      <c r="G344" s="6" t="str">
        <f t="shared" si="11"/>
        <v/>
      </c>
      <c r="H344" s="2" t="str">
        <f t="shared" si="10"/>
        <v/>
      </c>
    </row>
    <row r="345" spans="3:8" x14ac:dyDescent="0.3">
      <c r="C345" s="9">
        <f>_xlfn.XLOOKUP(Log!A345, 'Daily Summary'!A:A, 'Daily Summary'!C:C, "Not found!")</f>
        <v>0</v>
      </c>
      <c r="G345" s="6" t="str">
        <f t="shared" si="11"/>
        <v/>
      </c>
      <c r="H345" s="2" t="str">
        <f t="shared" si="10"/>
        <v/>
      </c>
    </row>
    <row r="346" spans="3:8" x14ac:dyDescent="0.3">
      <c r="C346" s="9">
        <f>_xlfn.XLOOKUP(Log!A346, 'Daily Summary'!A:A, 'Daily Summary'!C:C, "Not found!")</f>
        <v>0</v>
      </c>
      <c r="G346" s="6" t="str">
        <f t="shared" si="11"/>
        <v/>
      </c>
      <c r="H346" s="2" t="str">
        <f t="shared" si="10"/>
        <v/>
      </c>
    </row>
    <row r="347" spans="3:8" x14ac:dyDescent="0.3">
      <c r="C347" s="9">
        <f>_xlfn.XLOOKUP(Log!A347, 'Daily Summary'!A:A, 'Daily Summary'!C:C, "Not found!")</f>
        <v>0</v>
      </c>
      <c r="G347" s="6" t="str">
        <f t="shared" si="11"/>
        <v/>
      </c>
      <c r="H347" s="2" t="str">
        <f t="shared" si="10"/>
        <v/>
      </c>
    </row>
    <row r="348" spans="3:8" x14ac:dyDescent="0.3">
      <c r="C348" s="9">
        <f>_xlfn.XLOOKUP(Log!A348, 'Daily Summary'!A:A, 'Daily Summary'!C:C, "Not found!")</f>
        <v>0</v>
      </c>
      <c r="G348" s="6" t="str">
        <f t="shared" si="11"/>
        <v/>
      </c>
      <c r="H348" s="2" t="str">
        <f t="shared" si="10"/>
        <v/>
      </c>
    </row>
    <row r="349" spans="3:8" x14ac:dyDescent="0.3">
      <c r="C349" s="9">
        <f>_xlfn.XLOOKUP(Log!A349, 'Daily Summary'!A:A, 'Daily Summary'!C:C, "Not found!")</f>
        <v>0</v>
      </c>
      <c r="G349" s="6" t="str">
        <f t="shared" si="11"/>
        <v/>
      </c>
      <c r="H349" s="2" t="str">
        <f t="shared" si="10"/>
        <v/>
      </c>
    </row>
    <row r="350" spans="3:8" x14ac:dyDescent="0.3">
      <c r="C350" s="9">
        <f>_xlfn.XLOOKUP(Log!A350, 'Daily Summary'!A:A, 'Daily Summary'!C:C, "Not found!")</f>
        <v>0</v>
      </c>
      <c r="G350" s="6" t="str">
        <f t="shared" si="11"/>
        <v/>
      </c>
      <c r="H350" s="2" t="str">
        <f t="shared" si="10"/>
        <v/>
      </c>
    </row>
    <row r="351" spans="3:8" x14ac:dyDescent="0.3">
      <c r="C351" s="9">
        <f>_xlfn.XLOOKUP(Log!A351, 'Daily Summary'!A:A, 'Daily Summary'!C:C, "Not found!")</f>
        <v>0</v>
      </c>
      <c r="G351" s="6" t="str">
        <f t="shared" si="11"/>
        <v/>
      </c>
      <c r="H351" s="2" t="str">
        <f t="shared" si="10"/>
        <v/>
      </c>
    </row>
    <row r="352" spans="3:8" x14ac:dyDescent="0.3">
      <c r="C352" s="9">
        <f>_xlfn.XLOOKUP(Log!A352, 'Daily Summary'!A:A, 'Daily Summary'!C:C, "Not found!")</f>
        <v>0</v>
      </c>
      <c r="G352" s="6" t="str">
        <f t="shared" si="11"/>
        <v/>
      </c>
      <c r="H352" s="2" t="str">
        <f t="shared" si="10"/>
        <v/>
      </c>
    </row>
    <row r="353" spans="3:8" x14ac:dyDescent="0.3">
      <c r="C353" s="9">
        <f>_xlfn.XLOOKUP(Log!A353, 'Daily Summary'!A:A, 'Daily Summary'!C:C, "Not found!")</f>
        <v>0</v>
      </c>
      <c r="G353" s="6" t="str">
        <f t="shared" si="11"/>
        <v/>
      </c>
      <c r="H353" s="2" t="str">
        <f t="shared" si="10"/>
        <v/>
      </c>
    </row>
    <row r="354" spans="3:8" x14ac:dyDescent="0.3">
      <c r="C354" s="9">
        <f>_xlfn.XLOOKUP(Log!A354, 'Daily Summary'!A:A, 'Daily Summary'!C:C, "Not found!")</f>
        <v>0</v>
      </c>
      <c r="G354" s="6" t="str">
        <f t="shared" si="11"/>
        <v/>
      </c>
      <c r="H354" s="2" t="str">
        <f t="shared" si="10"/>
        <v/>
      </c>
    </row>
    <row r="355" spans="3:8" x14ac:dyDescent="0.3">
      <c r="C355" s="9">
        <f>_xlfn.XLOOKUP(Log!A355, 'Daily Summary'!A:A, 'Daily Summary'!C:C, "Not found!")</f>
        <v>0</v>
      </c>
      <c r="G355" s="6" t="str">
        <f t="shared" si="11"/>
        <v/>
      </c>
      <c r="H355" s="2" t="str">
        <f t="shared" si="10"/>
        <v/>
      </c>
    </row>
    <row r="356" spans="3:8" x14ac:dyDescent="0.3">
      <c r="C356" s="9">
        <f>_xlfn.XLOOKUP(Log!A356, 'Daily Summary'!A:A, 'Daily Summary'!C:C, "Not found!")</f>
        <v>0</v>
      </c>
      <c r="G356" s="6" t="str">
        <f t="shared" si="11"/>
        <v/>
      </c>
      <c r="H356" s="2" t="str">
        <f t="shared" si="10"/>
        <v/>
      </c>
    </row>
    <row r="357" spans="3:8" x14ac:dyDescent="0.3">
      <c r="C357" s="9">
        <f>_xlfn.XLOOKUP(Log!A357, 'Daily Summary'!A:A, 'Daily Summary'!C:C, "Not found!")</f>
        <v>0</v>
      </c>
      <c r="G357" s="6" t="str">
        <f t="shared" si="11"/>
        <v/>
      </c>
      <c r="H357" s="2" t="str">
        <f t="shared" si="10"/>
        <v/>
      </c>
    </row>
    <row r="358" spans="3:8" x14ac:dyDescent="0.3">
      <c r="C358" s="9">
        <f>_xlfn.XLOOKUP(Log!A358, 'Daily Summary'!A:A, 'Daily Summary'!C:C, "Not found!")</f>
        <v>0</v>
      </c>
      <c r="G358" s="6" t="str">
        <f t="shared" si="11"/>
        <v/>
      </c>
      <c r="H358" s="2" t="str">
        <f t="shared" si="10"/>
        <v/>
      </c>
    </row>
    <row r="359" spans="3:8" x14ac:dyDescent="0.3">
      <c r="C359" s="9">
        <f>_xlfn.XLOOKUP(Log!A359, 'Daily Summary'!A:A, 'Daily Summary'!C:C, "Not found!")</f>
        <v>0</v>
      </c>
      <c r="G359" s="6" t="str">
        <f t="shared" si="11"/>
        <v/>
      </c>
      <c r="H359" s="2" t="str">
        <f t="shared" si="10"/>
        <v/>
      </c>
    </row>
    <row r="360" spans="3:8" x14ac:dyDescent="0.3">
      <c r="C360" s="9">
        <f>_xlfn.XLOOKUP(Log!A360, 'Daily Summary'!A:A, 'Daily Summary'!C:C, "Not found!")</f>
        <v>0</v>
      </c>
      <c r="G360" s="6" t="str">
        <f t="shared" si="11"/>
        <v/>
      </c>
      <c r="H360" s="2" t="str">
        <f t="shared" si="10"/>
        <v/>
      </c>
    </row>
    <row r="361" spans="3:8" x14ac:dyDescent="0.3">
      <c r="C361" s="9">
        <f>_xlfn.XLOOKUP(Log!A361, 'Daily Summary'!A:A, 'Daily Summary'!C:C, "Not found!")</f>
        <v>0</v>
      </c>
      <c r="G361" s="6" t="str">
        <f t="shared" si="11"/>
        <v/>
      </c>
      <c r="H361" s="2" t="str">
        <f t="shared" ref="H361:H383" si="12">IF(AND(F361&lt;&gt;"",E361&lt;&gt;""),F361-E361,"")</f>
        <v/>
      </c>
    </row>
    <row r="362" spans="3:8" x14ac:dyDescent="0.3">
      <c r="C362" s="9">
        <f>_xlfn.XLOOKUP(Log!A362, 'Daily Summary'!A:A, 'Daily Summary'!C:C, "Not found!")</f>
        <v>0</v>
      </c>
      <c r="G362" s="6" t="str">
        <f t="shared" si="11"/>
        <v/>
      </c>
      <c r="H362" s="2" t="str">
        <f t="shared" si="12"/>
        <v/>
      </c>
    </row>
    <row r="363" spans="3:8" x14ac:dyDescent="0.3">
      <c r="C363" s="9">
        <f>_xlfn.XLOOKUP(Log!A363, 'Daily Summary'!A:A, 'Daily Summary'!C:C, "Not found!")</f>
        <v>0</v>
      </c>
      <c r="G363" s="6" t="str">
        <f t="shared" si="11"/>
        <v/>
      </c>
      <c r="H363" s="2" t="str">
        <f t="shared" si="12"/>
        <v/>
      </c>
    </row>
    <row r="364" spans="3:8" x14ac:dyDescent="0.3">
      <c r="C364" s="9">
        <f>_xlfn.XLOOKUP(Log!A364, 'Daily Summary'!A:A, 'Daily Summary'!C:C, "Not found!")</f>
        <v>0</v>
      </c>
      <c r="G364" s="6" t="str">
        <f t="shared" si="11"/>
        <v/>
      </c>
      <c r="H364" s="2" t="str">
        <f t="shared" si="12"/>
        <v/>
      </c>
    </row>
    <row r="365" spans="3:8" x14ac:dyDescent="0.3">
      <c r="C365" s="9">
        <f>_xlfn.XLOOKUP(Log!A365, 'Daily Summary'!A:A, 'Daily Summary'!C:C, "Not found!")</f>
        <v>0</v>
      </c>
      <c r="G365" s="6" t="str">
        <f t="shared" si="11"/>
        <v/>
      </c>
      <c r="H365" s="2" t="str">
        <f t="shared" si="12"/>
        <v/>
      </c>
    </row>
    <row r="366" spans="3:8" x14ac:dyDescent="0.3">
      <c r="C366" s="9">
        <f>_xlfn.XLOOKUP(Log!A366, 'Daily Summary'!A:A, 'Daily Summary'!C:C, "Not found!")</f>
        <v>0</v>
      </c>
      <c r="G366" s="6" t="str">
        <f t="shared" si="11"/>
        <v/>
      </c>
      <c r="H366" s="2" t="str">
        <f t="shared" si="12"/>
        <v/>
      </c>
    </row>
    <row r="367" spans="3:8" x14ac:dyDescent="0.3">
      <c r="C367" s="9">
        <f>_xlfn.XLOOKUP(Log!A367, 'Daily Summary'!A:A, 'Daily Summary'!C:C, "Not found!")</f>
        <v>0</v>
      </c>
      <c r="G367" s="6" t="str">
        <f t="shared" si="11"/>
        <v/>
      </c>
      <c r="H367" s="2" t="str">
        <f t="shared" si="12"/>
        <v/>
      </c>
    </row>
    <row r="368" spans="3:8" x14ac:dyDescent="0.3">
      <c r="C368" s="9">
        <f>_xlfn.XLOOKUP(Log!A368, 'Daily Summary'!A:A, 'Daily Summary'!C:C, "Not found!")</f>
        <v>0</v>
      </c>
      <c r="G368" s="6" t="str">
        <f t="shared" si="11"/>
        <v/>
      </c>
      <c r="H368" s="2" t="str">
        <f t="shared" si="12"/>
        <v/>
      </c>
    </row>
    <row r="369" spans="3:8" x14ac:dyDescent="0.3">
      <c r="C369" s="9">
        <f>_xlfn.XLOOKUP(Log!A369, 'Daily Summary'!A:A, 'Daily Summary'!C:C, "Not found!")</f>
        <v>0</v>
      </c>
      <c r="G369" s="6" t="str">
        <f t="shared" si="11"/>
        <v/>
      </c>
      <c r="H369" s="2" t="str">
        <f t="shared" si="12"/>
        <v/>
      </c>
    </row>
    <row r="370" spans="3:8" x14ac:dyDescent="0.3">
      <c r="C370" s="9">
        <f>_xlfn.XLOOKUP(Log!A370, 'Daily Summary'!A:A, 'Daily Summary'!C:C, "Not found!")</f>
        <v>0</v>
      </c>
      <c r="G370" s="6" t="str">
        <f t="shared" si="11"/>
        <v/>
      </c>
      <c r="H370" s="2" t="str">
        <f t="shared" si="12"/>
        <v/>
      </c>
    </row>
    <row r="371" spans="3:8" x14ac:dyDescent="0.3">
      <c r="C371" s="9">
        <f>_xlfn.XLOOKUP(Log!A371, 'Daily Summary'!A:A, 'Daily Summary'!C:C, "Not found!")</f>
        <v>0</v>
      </c>
      <c r="G371" s="6" t="str">
        <f t="shared" si="11"/>
        <v/>
      </c>
      <c r="H371" s="2" t="str">
        <f t="shared" si="12"/>
        <v/>
      </c>
    </row>
    <row r="372" spans="3:8" x14ac:dyDescent="0.3">
      <c r="C372" s="9">
        <f>_xlfn.XLOOKUP(Log!A372, 'Daily Summary'!A:A, 'Daily Summary'!C:C, "Not found!")</f>
        <v>0</v>
      </c>
      <c r="G372" s="6" t="str">
        <f t="shared" si="11"/>
        <v/>
      </c>
      <c r="H372" s="2" t="str">
        <f t="shared" si="12"/>
        <v/>
      </c>
    </row>
    <row r="373" spans="3:8" x14ac:dyDescent="0.3">
      <c r="C373" s="9">
        <f>_xlfn.XLOOKUP(Log!A373, 'Daily Summary'!A:A, 'Daily Summary'!C:C, "Not found!")</f>
        <v>0</v>
      </c>
      <c r="G373" s="6" t="str">
        <f t="shared" si="11"/>
        <v/>
      </c>
      <c r="H373" s="2" t="str">
        <f t="shared" si="12"/>
        <v/>
      </c>
    </row>
    <row r="374" spans="3:8" x14ac:dyDescent="0.3">
      <c r="C374" s="9">
        <f>_xlfn.XLOOKUP(Log!A374, 'Daily Summary'!A:A, 'Daily Summary'!C:C, "Not found!")</f>
        <v>0</v>
      </c>
      <c r="G374" s="6" t="str">
        <f t="shared" si="11"/>
        <v/>
      </c>
      <c r="H374" s="2" t="str">
        <f t="shared" si="12"/>
        <v/>
      </c>
    </row>
    <row r="375" spans="3:8" x14ac:dyDescent="0.3">
      <c r="C375" s="9">
        <f>_xlfn.XLOOKUP(Log!A375, 'Daily Summary'!A:A, 'Daily Summary'!C:C, "Not found!")</f>
        <v>0</v>
      </c>
      <c r="G375" s="6" t="str">
        <f t="shared" si="11"/>
        <v/>
      </c>
      <c r="H375" s="2" t="str">
        <f t="shared" si="12"/>
        <v/>
      </c>
    </row>
    <row r="376" spans="3:8" x14ac:dyDescent="0.3">
      <c r="C376" s="9">
        <f>_xlfn.XLOOKUP(Log!A376, 'Daily Summary'!A:A, 'Daily Summary'!C:C, "Not found!")</f>
        <v>0</v>
      </c>
      <c r="G376" s="6" t="str">
        <f t="shared" si="11"/>
        <v/>
      </c>
      <c r="H376" s="2" t="str">
        <f t="shared" si="12"/>
        <v/>
      </c>
    </row>
    <row r="377" spans="3:8" x14ac:dyDescent="0.3">
      <c r="C377" s="9">
        <f>_xlfn.XLOOKUP(Log!A377, 'Daily Summary'!A:A, 'Daily Summary'!C:C, "Not found!")</f>
        <v>0</v>
      </c>
      <c r="G377" s="6" t="str">
        <f t="shared" si="11"/>
        <v/>
      </c>
      <c r="H377" s="2" t="str">
        <f t="shared" si="12"/>
        <v/>
      </c>
    </row>
    <row r="378" spans="3:8" x14ac:dyDescent="0.3">
      <c r="C378" s="9">
        <f>_xlfn.XLOOKUP(Log!A378, 'Daily Summary'!A:A, 'Daily Summary'!C:C, "Not found!")</f>
        <v>0</v>
      </c>
      <c r="G378" s="6" t="str">
        <f t="shared" si="11"/>
        <v/>
      </c>
      <c r="H378" s="2" t="str">
        <f t="shared" si="12"/>
        <v/>
      </c>
    </row>
    <row r="379" spans="3:8" x14ac:dyDescent="0.3">
      <c r="C379" s="9">
        <f>_xlfn.XLOOKUP(Log!A379, 'Daily Summary'!A:A, 'Daily Summary'!C:C, "Not found!")</f>
        <v>0</v>
      </c>
      <c r="G379" s="6" t="str">
        <f t="shared" si="11"/>
        <v/>
      </c>
      <c r="H379" s="2" t="str">
        <f t="shared" si="12"/>
        <v/>
      </c>
    </row>
    <row r="380" spans="3:8" x14ac:dyDescent="0.3">
      <c r="C380" s="9">
        <f>_xlfn.XLOOKUP(Log!A380, 'Daily Summary'!A:A, 'Daily Summary'!C:C, "Not found!")</f>
        <v>0</v>
      </c>
      <c r="G380" s="6" t="str">
        <f t="shared" si="11"/>
        <v/>
      </c>
      <c r="H380" s="2" t="str">
        <f t="shared" si="12"/>
        <v/>
      </c>
    </row>
    <row r="381" spans="3:8" x14ac:dyDescent="0.3">
      <c r="C381" s="9">
        <f>_xlfn.XLOOKUP(Log!A381, 'Daily Summary'!A:A, 'Daily Summary'!C:C, "Not found!")</f>
        <v>0</v>
      </c>
      <c r="G381" s="6" t="str">
        <f t="shared" si="11"/>
        <v/>
      </c>
      <c r="H381" s="2" t="str">
        <f t="shared" si="12"/>
        <v/>
      </c>
    </row>
    <row r="382" spans="3:8" x14ac:dyDescent="0.3">
      <c r="C382" s="9">
        <f>_xlfn.XLOOKUP(Log!A382, 'Daily Summary'!A:A, 'Daily Summary'!C:C, "Not found!")</f>
        <v>0</v>
      </c>
      <c r="G382" s="6" t="str">
        <f t="shared" si="11"/>
        <v/>
      </c>
      <c r="H382" s="2" t="str">
        <f t="shared" si="12"/>
        <v/>
      </c>
    </row>
    <row r="383" spans="3:8" x14ac:dyDescent="0.3">
      <c r="C383" s="9">
        <f>_xlfn.XLOOKUP(Log!A383, 'Daily Summary'!A:A, 'Daily Summary'!C:C, "Not found!")</f>
        <v>0</v>
      </c>
      <c r="G383" s="6" t="str">
        <f t="shared" si="11"/>
        <v/>
      </c>
      <c r="H383" s="2" t="str">
        <f t="shared" si="12"/>
        <v/>
      </c>
    </row>
    <row r="384" spans="3:8" x14ac:dyDescent="0.3">
      <c r="C384" s="9">
        <f>_xlfn.XLOOKUP(Log!A384, 'Daily Summary'!A:A, 'Daily Summary'!C:C, "Not found!")</f>
        <v>0</v>
      </c>
      <c r="G384" s="6" t="str">
        <f t="shared" si="11"/>
        <v/>
      </c>
    </row>
    <row r="385" spans="3:7" x14ac:dyDescent="0.3">
      <c r="C385" s="9">
        <f>_xlfn.XLOOKUP(Log!A385, 'Daily Summary'!A:A, 'Daily Summary'!C:C, "Not found!")</f>
        <v>0</v>
      </c>
      <c r="G385" s="6" t="str">
        <f t="shared" si="11"/>
        <v/>
      </c>
    </row>
    <row r="386" spans="3:7" x14ac:dyDescent="0.3">
      <c r="C386" s="9">
        <f>_xlfn.XLOOKUP(Log!A386, 'Daily Summary'!A:A, 'Daily Summary'!C:C, "Not found!")</f>
        <v>0</v>
      </c>
      <c r="G386" s="6" t="str">
        <f t="shared" si="11"/>
        <v/>
      </c>
    </row>
    <row r="387" spans="3:7" x14ac:dyDescent="0.3">
      <c r="C387" s="9">
        <f>_xlfn.XLOOKUP(Log!A387, 'Daily Summary'!A:A, 'Daily Summary'!C:C, "Not found!")</f>
        <v>0</v>
      </c>
      <c r="G387" s="6" t="str">
        <f t="shared" si="11"/>
        <v/>
      </c>
    </row>
    <row r="388" spans="3:7" x14ac:dyDescent="0.3">
      <c r="C388" s="9">
        <f>_xlfn.XLOOKUP(Log!A388, 'Daily Summary'!A:A, 'Daily Summary'!C:C, "Not found!")</f>
        <v>0</v>
      </c>
      <c r="G388" s="6" t="str">
        <f t="shared" si="11"/>
        <v/>
      </c>
    </row>
    <row r="389" spans="3:7" x14ac:dyDescent="0.3">
      <c r="C389" s="9">
        <f>_xlfn.XLOOKUP(Log!A389, 'Daily Summary'!A:A, 'Daily Summary'!C:C, "Not found!")</f>
        <v>0</v>
      </c>
      <c r="G389" s="6" t="str">
        <f t="shared" si="11"/>
        <v/>
      </c>
    </row>
    <row r="390" spans="3:7" x14ac:dyDescent="0.3">
      <c r="C390" s="9">
        <f>_xlfn.XLOOKUP(Log!A390, 'Daily Summary'!A:A, 'Daily Summary'!C:C, "Not found!")</f>
        <v>0</v>
      </c>
      <c r="G390" s="6" t="str">
        <f t="shared" si="11"/>
        <v/>
      </c>
    </row>
    <row r="391" spans="3:7" x14ac:dyDescent="0.3">
      <c r="C391" s="9">
        <f>_xlfn.XLOOKUP(Log!A391, 'Daily Summary'!A:A, 'Daily Summary'!C:C, "Not found!")</f>
        <v>0</v>
      </c>
      <c r="G391" s="6" t="str">
        <f t="shared" si="11"/>
        <v/>
      </c>
    </row>
    <row r="392" spans="3:7" x14ac:dyDescent="0.3">
      <c r="C392" s="9">
        <f>_xlfn.XLOOKUP(Log!A392, 'Daily Summary'!A:A, 'Daily Summary'!C:C, "Not found!")</f>
        <v>0</v>
      </c>
      <c r="G392" s="6" t="str">
        <f t="shared" si="11"/>
        <v/>
      </c>
    </row>
    <row r="393" spans="3:7" x14ac:dyDescent="0.3">
      <c r="C393" s="9">
        <f>_xlfn.XLOOKUP(Log!A393, 'Daily Summary'!A:A, 'Daily Summary'!C:C, "Not found!")</f>
        <v>0</v>
      </c>
      <c r="G393" s="6" t="str">
        <f t="shared" si="11"/>
        <v/>
      </c>
    </row>
    <row r="394" spans="3:7" x14ac:dyDescent="0.3">
      <c r="C394" s="9">
        <f>_xlfn.XLOOKUP(Log!A394, 'Daily Summary'!A:A, 'Daily Summary'!C:C, "Not found!")</f>
        <v>0</v>
      </c>
      <c r="G394" s="6" t="str">
        <f t="shared" si="11"/>
        <v/>
      </c>
    </row>
    <row r="395" spans="3:7" x14ac:dyDescent="0.3">
      <c r="C395" s="9">
        <f>_xlfn.XLOOKUP(Log!A395, 'Daily Summary'!A:A, 'Daily Summary'!C:C, "Not found!")</f>
        <v>0</v>
      </c>
      <c r="G395" s="6" t="str">
        <f t="shared" ref="G395:G458" si="13">IF(AND($D395&lt;&gt;"", $C395&lt;&gt;""), ($D395-$C395)*1440, "")</f>
        <v/>
      </c>
    </row>
    <row r="396" spans="3:7" x14ac:dyDescent="0.3">
      <c r="C396" s="9">
        <f>_xlfn.XLOOKUP(Log!A396, 'Daily Summary'!A:A, 'Daily Summary'!C:C, "Not found!")</f>
        <v>0</v>
      </c>
      <c r="G396" s="6" t="str">
        <f t="shared" si="13"/>
        <v/>
      </c>
    </row>
    <row r="397" spans="3:7" x14ac:dyDescent="0.3">
      <c r="C397" s="9">
        <f>_xlfn.XLOOKUP(Log!A397, 'Daily Summary'!A:A, 'Daily Summary'!C:C, "Not found!")</f>
        <v>0</v>
      </c>
      <c r="G397" s="6" t="str">
        <f t="shared" si="13"/>
        <v/>
      </c>
    </row>
    <row r="398" spans="3:7" x14ac:dyDescent="0.3">
      <c r="C398" s="9">
        <f>_xlfn.XLOOKUP(Log!A398, 'Daily Summary'!A:A, 'Daily Summary'!C:C, "Not found!")</f>
        <v>0</v>
      </c>
      <c r="G398" s="6" t="str">
        <f t="shared" si="13"/>
        <v/>
      </c>
    </row>
    <row r="399" spans="3:7" x14ac:dyDescent="0.3">
      <c r="C399" s="9">
        <f>_xlfn.XLOOKUP(Log!A399, 'Daily Summary'!A:A, 'Daily Summary'!C:C, "Not found!")</f>
        <v>0</v>
      </c>
      <c r="G399" s="6" t="str">
        <f t="shared" si="13"/>
        <v/>
      </c>
    </row>
    <row r="400" spans="3:7" x14ac:dyDescent="0.3">
      <c r="C400" s="9">
        <f>_xlfn.XLOOKUP(Log!A400, 'Daily Summary'!A:A, 'Daily Summary'!C:C, "Not found!")</f>
        <v>0</v>
      </c>
      <c r="G400" s="6" t="str">
        <f t="shared" si="13"/>
        <v/>
      </c>
    </row>
    <row r="401" spans="3:7" x14ac:dyDescent="0.3">
      <c r="C401" s="9">
        <f>_xlfn.XLOOKUP(Log!A401, 'Daily Summary'!A:A, 'Daily Summary'!C:C, "Not found!")</f>
        <v>0</v>
      </c>
      <c r="G401" s="6" t="str">
        <f t="shared" si="13"/>
        <v/>
      </c>
    </row>
    <row r="402" spans="3:7" x14ac:dyDescent="0.3">
      <c r="C402" s="9">
        <f>_xlfn.XLOOKUP(Log!A402, 'Daily Summary'!A:A, 'Daily Summary'!C:C, "Not found!")</f>
        <v>0</v>
      </c>
      <c r="G402" s="6" t="str">
        <f t="shared" si="13"/>
        <v/>
      </c>
    </row>
    <row r="403" spans="3:7" x14ac:dyDescent="0.3">
      <c r="C403" s="9">
        <f>_xlfn.XLOOKUP(Log!A403, 'Daily Summary'!A:A, 'Daily Summary'!C:C, "Not found!")</f>
        <v>0</v>
      </c>
      <c r="G403" s="6" t="str">
        <f t="shared" si="13"/>
        <v/>
      </c>
    </row>
    <row r="404" spans="3:7" x14ac:dyDescent="0.3">
      <c r="C404" s="9">
        <f>_xlfn.XLOOKUP(Log!A404, 'Daily Summary'!A:A, 'Daily Summary'!C:C, "Not found!")</f>
        <v>0</v>
      </c>
      <c r="G404" s="6" t="str">
        <f t="shared" si="13"/>
        <v/>
      </c>
    </row>
    <row r="405" spans="3:7" x14ac:dyDescent="0.3">
      <c r="C405" s="9">
        <f>_xlfn.XLOOKUP(Log!A405, 'Daily Summary'!A:A, 'Daily Summary'!C:C, "Not found!")</f>
        <v>0</v>
      </c>
      <c r="G405" s="6" t="str">
        <f t="shared" si="13"/>
        <v/>
      </c>
    </row>
    <row r="406" spans="3:7" x14ac:dyDescent="0.3">
      <c r="C406" s="9">
        <f>_xlfn.XLOOKUP(Log!A406, 'Daily Summary'!A:A, 'Daily Summary'!C:C, "Not found!")</f>
        <v>0</v>
      </c>
      <c r="G406" s="6" t="str">
        <f t="shared" si="13"/>
        <v/>
      </c>
    </row>
    <row r="407" spans="3:7" x14ac:dyDescent="0.3">
      <c r="C407" s="9">
        <f>_xlfn.XLOOKUP(Log!A407, 'Daily Summary'!A:A, 'Daily Summary'!C:C, "Not found!")</f>
        <v>0</v>
      </c>
      <c r="G407" s="6" t="str">
        <f t="shared" si="13"/>
        <v/>
      </c>
    </row>
    <row r="408" spans="3:7" x14ac:dyDescent="0.3">
      <c r="C408" s="9">
        <f>_xlfn.XLOOKUP(Log!A408, 'Daily Summary'!A:A, 'Daily Summary'!C:C, "Not found!")</f>
        <v>0</v>
      </c>
      <c r="G408" s="6" t="str">
        <f t="shared" si="13"/>
        <v/>
      </c>
    </row>
    <row r="409" spans="3:7" x14ac:dyDescent="0.3">
      <c r="C409" s="9">
        <f>_xlfn.XLOOKUP(Log!A409, 'Daily Summary'!A:A, 'Daily Summary'!C:C, "Not found!")</f>
        <v>0</v>
      </c>
      <c r="G409" s="6" t="str">
        <f t="shared" si="13"/>
        <v/>
      </c>
    </row>
    <row r="410" spans="3:7" x14ac:dyDescent="0.3">
      <c r="C410" s="9">
        <f>_xlfn.XLOOKUP(Log!A410, 'Daily Summary'!A:A, 'Daily Summary'!C:C, "Not found!")</f>
        <v>0</v>
      </c>
      <c r="G410" s="6" t="str">
        <f t="shared" si="13"/>
        <v/>
      </c>
    </row>
    <row r="411" spans="3:7" x14ac:dyDescent="0.3">
      <c r="C411" s="9">
        <f>_xlfn.XLOOKUP(Log!A411, 'Daily Summary'!A:A, 'Daily Summary'!C:C, "Not found!")</f>
        <v>0</v>
      </c>
      <c r="G411" s="6" t="str">
        <f t="shared" si="13"/>
        <v/>
      </c>
    </row>
    <row r="412" spans="3:7" x14ac:dyDescent="0.3">
      <c r="C412" s="9">
        <f>_xlfn.XLOOKUP(Log!A412, 'Daily Summary'!A:A, 'Daily Summary'!C:C, "Not found!")</f>
        <v>0</v>
      </c>
      <c r="G412" s="6" t="str">
        <f t="shared" si="13"/>
        <v/>
      </c>
    </row>
    <row r="413" spans="3:7" x14ac:dyDescent="0.3">
      <c r="C413" s="9">
        <f>_xlfn.XLOOKUP(Log!A413, 'Daily Summary'!A:A, 'Daily Summary'!C:C, "Not found!")</f>
        <v>0</v>
      </c>
      <c r="G413" s="6" t="str">
        <f t="shared" si="13"/>
        <v/>
      </c>
    </row>
    <row r="414" spans="3:7" x14ac:dyDescent="0.3">
      <c r="C414" s="9">
        <f>_xlfn.XLOOKUP(Log!A414, 'Daily Summary'!A:A, 'Daily Summary'!C:C, "Not found!")</f>
        <v>0</v>
      </c>
      <c r="G414" s="6" t="str">
        <f t="shared" si="13"/>
        <v/>
      </c>
    </row>
    <row r="415" spans="3:7" x14ac:dyDescent="0.3">
      <c r="C415" s="9">
        <f>_xlfn.XLOOKUP(Log!A415, 'Daily Summary'!A:A, 'Daily Summary'!C:C, "Not found!")</f>
        <v>0</v>
      </c>
      <c r="G415" s="6" t="str">
        <f t="shared" si="13"/>
        <v/>
      </c>
    </row>
    <row r="416" spans="3:7" x14ac:dyDescent="0.3">
      <c r="C416" s="9">
        <f>_xlfn.XLOOKUP(Log!A416, 'Daily Summary'!A:A, 'Daily Summary'!C:C, "Not found!")</f>
        <v>0</v>
      </c>
      <c r="G416" s="6" t="str">
        <f t="shared" si="13"/>
        <v/>
      </c>
    </row>
    <row r="417" spans="3:7" x14ac:dyDescent="0.3">
      <c r="C417" s="9">
        <f>_xlfn.XLOOKUP(Log!A417, 'Daily Summary'!A:A, 'Daily Summary'!C:C, "Not found!")</f>
        <v>0</v>
      </c>
      <c r="G417" s="6" t="str">
        <f t="shared" si="13"/>
        <v/>
      </c>
    </row>
    <row r="418" spans="3:7" x14ac:dyDescent="0.3">
      <c r="C418" s="9">
        <f>_xlfn.XLOOKUP(Log!A418, 'Daily Summary'!A:A, 'Daily Summary'!C:C, "Not found!")</f>
        <v>0</v>
      </c>
      <c r="G418" s="6" t="str">
        <f t="shared" si="13"/>
        <v/>
      </c>
    </row>
    <row r="419" spans="3:7" x14ac:dyDescent="0.3">
      <c r="C419" s="9">
        <f>_xlfn.XLOOKUP(Log!A419, 'Daily Summary'!A:A, 'Daily Summary'!C:C, "Not found!")</f>
        <v>0</v>
      </c>
      <c r="G419" s="6" t="str">
        <f t="shared" si="13"/>
        <v/>
      </c>
    </row>
    <row r="420" spans="3:7" x14ac:dyDescent="0.3">
      <c r="C420" s="9">
        <f>_xlfn.XLOOKUP(Log!A420, 'Daily Summary'!A:A, 'Daily Summary'!C:C, "Not found!")</f>
        <v>0</v>
      </c>
      <c r="G420" s="6" t="str">
        <f t="shared" si="13"/>
        <v/>
      </c>
    </row>
    <row r="421" spans="3:7" x14ac:dyDescent="0.3">
      <c r="C421" s="9">
        <f>_xlfn.XLOOKUP(Log!A421, 'Daily Summary'!A:A, 'Daily Summary'!C:C, "Not found!")</f>
        <v>0</v>
      </c>
      <c r="G421" s="6" t="str">
        <f t="shared" si="13"/>
        <v/>
      </c>
    </row>
    <row r="422" spans="3:7" x14ac:dyDescent="0.3">
      <c r="C422" s="9">
        <f>_xlfn.XLOOKUP(Log!A422, 'Daily Summary'!A:A, 'Daily Summary'!C:C, "Not found!")</f>
        <v>0</v>
      </c>
      <c r="G422" s="6" t="str">
        <f t="shared" si="13"/>
        <v/>
      </c>
    </row>
    <row r="423" spans="3:7" x14ac:dyDescent="0.3">
      <c r="C423" s="9">
        <f>_xlfn.XLOOKUP(Log!A423, 'Daily Summary'!A:A, 'Daily Summary'!C:C, "Not found!")</f>
        <v>0</v>
      </c>
      <c r="G423" s="6" t="str">
        <f t="shared" si="13"/>
        <v/>
      </c>
    </row>
    <row r="424" spans="3:7" x14ac:dyDescent="0.3">
      <c r="C424" s="9">
        <f>_xlfn.XLOOKUP(Log!A424, 'Daily Summary'!A:A, 'Daily Summary'!C:C, "Not found!")</f>
        <v>0</v>
      </c>
      <c r="G424" s="6" t="str">
        <f t="shared" si="13"/>
        <v/>
      </c>
    </row>
    <row r="425" spans="3:7" x14ac:dyDescent="0.3">
      <c r="C425" s="9">
        <f>_xlfn.XLOOKUP(Log!A425, 'Daily Summary'!A:A, 'Daily Summary'!C:C, "Not found!")</f>
        <v>0</v>
      </c>
      <c r="G425" s="6" t="str">
        <f t="shared" si="13"/>
        <v/>
      </c>
    </row>
    <row r="426" spans="3:7" x14ac:dyDescent="0.3">
      <c r="C426" s="9">
        <f>_xlfn.XLOOKUP(Log!A426, 'Daily Summary'!A:A, 'Daily Summary'!C:C, "Not found!")</f>
        <v>0</v>
      </c>
      <c r="G426" s="6" t="str">
        <f t="shared" si="13"/>
        <v/>
      </c>
    </row>
    <row r="427" spans="3:7" x14ac:dyDescent="0.3">
      <c r="C427" s="9">
        <f>_xlfn.XLOOKUP(Log!A427, 'Daily Summary'!A:A, 'Daily Summary'!C:C, "Not found!")</f>
        <v>0</v>
      </c>
      <c r="G427" s="6" t="str">
        <f t="shared" si="13"/>
        <v/>
      </c>
    </row>
    <row r="428" spans="3:7" x14ac:dyDescent="0.3">
      <c r="C428" s="9">
        <f>_xlfn.XLOOKUP(Log!A428, 'Daily Summary'!A:A, 'Daily Summary'!C:C, "Not found!")</f>
        <v>0</v>
      </c>
      <c r="G428" s="6" t="str">
        <f t="shared" si="13"/>
        <v/>
      </c>
    </row>
    <row r="429" spans="3:7" x14ac:dyDescent="0.3">
      <c r="C429" s="9">
        <f>_xlfn.XLOOKUP(Log!A429, 'Daily Summary'!A:A, 'Daily Summary'!C:C, "Not found!")</f>
        <v>0</v>
      </c>
      <c r="G429" s="6" t="str">
        <f t="shared" si="13"/>
        <v/>
      </c>
    </row>
    <row r="430" spans="3:7" x14ac:dyDescent="0.3">
      <c r="C430" s="9">
        <f>_xlfn.XLOOKUP(Log!A430, 'Daily Summary'!A:A, 'Daily Summary'!C:C, "Not found!")</f>
        <v>0</v>
      </c>
      <c r="G430" s="6" t="str">
        <f t="shared" si="13"/>
        <v/>
      </c>
    </row>
    <row r="431" spans="3:7" x14ac:dyDescent="0.3">
      <c r="C431" s="9">
        <f>_xlfn.XLOOKUP(Log!A431, 'Daily Summary'!A:A, 'Daily Summary'!C:C, "Not found!")</f>
        <v>0</v>
      </c>
      <c r="G431" s="6" t="str">
        <f t="shared" si="13"/>
        <v/>
      </c>
    </row>
    <row r="432" spans="3:7" x14ac:dyDescent="0.3">
      <c r="C432" s="9">
        <f>_xlfn.XLOOKUP(Log!A432, 'Daily Summary'!A:A, 'Daily Summary'!C:C, "Not found!")</f>
        <v>0</v>
      </c>
      <c r="G432" s="6" t="str">
        <f t="shared" si="13"/>
        <v/>
      </c>
    </row>
    <row r="433" spans="3:7" x14ac:dyDescent="0.3">
      <c r="C433" s="9">
        <f>_xlfn.XLOOKUP(Log!A433, 'Daily Summary'!A:A, 'Daily Summary'!C:C, "Not found!")</f>
        <v>0</v>
      </c>
      <c r="G433" s="6" t="str">
        <f t="shared" si="13"/>
        <v/>
      </c>
    </row>
    <row r="434" spans="3:7" x14ac:dyDescent="0.3">
      <c r="C434" s="9">
        <f>_xlfn.XLOOKUP(Log!A434, 'Daily Summary'!A:A, 'Daily Summary'!C:C, "Not found!")</f>
        <v>0</v>
      </c>
      <c r="G434" s="6" t="str">
        <f t="shared" si="13"/>
        <v/>
      </c>
    </row>
    <row r="435" spans="3:7" x14ac:dyDescent="0.3">
      <c r="C435" s="9">
        <f>_xlfn.XLOOKUP(Log!A435, 'Daily Summary'!A:A, 'Daily Summary'!C:C, "Not found!")</f>
        <v>0</v>
      </c>
      <c r="G435" s="6" t="str">
        <f t="shared" si="13"/>
        <v/>
      </c>
    </row>
    <row r="436" spans="3:7" x14ac:dyDescent="0.3">
      <c r="C436" s="9">
        <f>_xlfn.XLOOKUP(Log!A436, 'Daily Summary'!A:A, 'Daily Summary'!C:C, "Not found!")</f>
        <v>0</v>
      </c>
      <c r="G436" s="6" t="str">
        <f t="shared" si="13"/>
        <v/>
      </c>
    </row>
    <row r="437" spans="3:7" x14ac:dyDescent="0.3">
      <c r="C437" s="9">
        <f>_xlfn.XLOOKUP(Log!A437, 'Daily Summary'!A:A, 'Daily Summary'!C:C, "Not found!")</f>
        <v>0</v>
      </c>
      <c r="G437" s="6" t="str">
        <f t="shared" si="13"/>
        <v/>
      </c>
    </row>
    <row r="438" spans="3:7" x14ac:dyDescent="0.3">
      <c r="C438" s="9">
        <f>_xlfn.XLOOKUP(Log!A438, 'Daily Summary'!A:A, 'Daily Summary'!C:C, "Not found!")</f>
        <v>0</v>
      </c>
      <c r="G438" s="6" t="str">
        <f t="shared" si="13"/>
        <v/>
      </c>
    </row>
    <row r="439" spans="3:7" x14ac:dyDescent="0.3">
      <c r="C439" s="9">
        <f>_xlfn.XLOOKUP(Log!A439, 'Daily Summary'!A:A, 'Daily Summary'!C:C, "Not found!")</f>
        <v>0</v>
      </c>
      <c r="G439" s="6" t="str">
        <f t="shared" si="13"/>
        <v/>
      </c>
    </row>
    <row r="440" spans="3:7" x14ac:dyDescent="0.3">
      <c r="C440" s="9">
        <f>_xlfn.XLOOKUP(Log!A440, 'Daily Summary'!A:A, 'Daily Summary'!C:C, "Not found!")</f>
        <v>0</v>
      </c>
      <c r="G440" s="6" t="str">
        <f t="shared" si="13"/>
        <v/>
      </c>
    </row>
    <row r="441" spans="3:7" x14ac:dyDescent="0.3">
      <c r="C441" s="9">
        <f>_xlfn.XLOOKUP(Log!A441, 'Daily Summary'!A:A, 'Daily Summary'!C:C, "Not found!")</f>
        <v>0</v>
      </c>
      <c r="G441" s="6" t="str">
        <f t="shared" si="13"/>
        <v/>
      </c>
    </row>
    <row r="442" spans="3:7" x14ac:dyDescent="0.3">
      <c r="C442" s="9">
        <f>_xlfn.XLOOKUP(Log!A442, 'Daily Summary'!A:A, 'Daily Summary'!C:C, "Not found!")</f>
        <v>0</v>
      </c>
      <c r="G442" s="6" t="str">
        <f t="shared" si="13"/>
        <v/>
      </c>
    </row>
    <row r="443" spans="3:7" x14ac:dyDescent="0.3">
      <c r="C443" s="9">
        <f>_xlfn.XLOOKUP(Log!A443, 'Daily Summary'!A:A, 'Daily Summary'!C:C, "Not found!")</f>
        <v>0</v>
      </c>
      <c r="G443" s="6" t="str">
        <f t="shared" si="13"/>
        <v/>
      </c>
    </row>
    <row r="444" spans="3:7" x14ac:dyDescent="0.3">
      <c r="C444" s="9">
        <f>_xlfn.XLOOKUP(Log!A444, 'Daily Summary'!A:A, 'Daily Summary'!C:C, "Not found!")</f>
        <v>0</v>
      </c>
      <c r="G444" s="6" t="str">
        <f t="shared" si="13"/>
        <v/>
      </c>
    </row>
    <row r="445" spans="3:7" x14ac:dyDescent="0.3">
      <c r="C445" s="9">
        <f>_xlfn.XLOOKUP(Log!A445, 'Daily Summary'!A:A, 'Daily Summary'!C:C, "Not found!")</f>
        <v>0</v>
      </c>
      <c r="G445" s="6" t="str">
        <f t="shared" si="13"/>
        <v/>
      </c>
    </row>
    <row r="446" spans="3:7" x14ac:dyDescent="0.3">
      <c r="C446" s="9">
        <f>_xlfn.XLOOKUP(Log!A446, 'Daily Summary'!A:A, 'Daily Summary'!C:C, "Not found!")</f>
        <v>0</v>
      </c>
      <c r="G446" s="6" t="str">
        <f t="shared" si="13"/>
        <v/>
      </c>
    </row>
    <row r="447" spans="3:7" x14ac:dyDescent="0.3">
      <c r="C447" s="9">
        <f>_xlfn.XLOOKUP(Log!A447, 'Daily Summary'!A:A, 'Daily Summary'!C:C, "Not found!")</f>
        <v>0</v>
      </c>
      <c r="G447" s="6" t="str">
        <f t="shared" si="13"/>
        <v/>
      </c>
    </row>
    <row r="448" spans="3:7" x14ac:dyDescent="0.3">
      <c r="C448" s="9">
        <f>_xlfn.XLOOKUP(Log!A448, 'Daily Summary'!A:A, 'Daily Summary'!C:C, "Not found!")</f>
        <v>0</v>
      </c>
      <c r="G448" s="6" t="str">
        <f t="shared" si="13"/>
        <v/>
      </c>
    </row>
    <row r="449" spans="3:7" x14ac:dyDescent="0.3">
      <c r="C449" s="9">
        <f>_xlfn.XLOOKUP(Log!A449, 'Daily Summary'!A:A, 'Daily Summary'!C:C, "Not found!")</f>
        <v>0</v>
      </c>
      <c r="G449" s="6" t="str">
        <f t="shared" si="13"/>
        <v/>
      </c>
    </row>
    <row r="450" spans="3:7" x14ac:dyDescent="0.3">
      <c r="C450" s="9">
        <f>_xlfn.XLOOKUP(Log!A450, 'Daily Summary'!A:A, 'Daily Summary'!C:C, "Not found!")</f>
        <v>0</v>
      </c>
      <c r="G450" s="6" t="str">
        <f t="shared" si="13"/>
        <v/>
      </c>
    </row>
    <row r="451" spans="3:7" x14ac:dyDescent="0.3">
      <c r="C451" s="9">
        <f>_xlfn.XLOOKUP(Log!A451, 'Daily Summary'!A:A, 'Daily Summary'!C:C, "Not found!")</f>
        <v>0</v>
      </c>
      <c r="G451" s="6" t="str">
        <f t="shared" si="13"/>
        <v/>
      </c>
    </row>
    <row r="452" spans="3:7" x14ac:dyDescent="0.3">
      <c r="C452" s="9">
        <f>_xlfn.XLOOKUP(Log!A452, 'Daily Summary'!A:A, 'Daily Summary'!C:C, "Not found!")</f>
        <v>0</v>
      </c>
      <c r="G452" s="6" t="str">
        <f t="shared" si="13"/>
        <v/>
      </c>
    </row>
    <row r="453" spans="3:7" x14ac:dyDescent="0.3">
      <c r="C453" s="9">
        <f>_xlfn.XLOOKUP(Log!A453, 'Daily Summary'!A:A, 'Daily Summary'!C:C, "Not found!")</f>
        <v>0</v>
      </c>
      <c r="G453" s="6" t="str">
        <f t="shared" si="13"/>
        <v/>
      </c>
    </row>
    <row r="454" spans="3:7" x14ac:dyDescent="0.3">
      <c r="C454" s="9">
        <f>_xlfn.XLOOKUP(Log!A454, 'Daily Summary'!A:A, 'Daily Summary'!C:C, "Not found!")</f>
        <v>0</v>
      </c>
      <c r="G454" s="6" t="str">
        <f t="shared" si="13"/>
        <v/>
      </c>
    </row>
    <row r="455" spans="3:7" x14ac:dyDescent="0.3">
      <c r="C455" s="9">
        <f>_xlfn.XLOOKUP(Log!A455, 'Daily Summary'!A:A, 'Daily Summary'!C:C, "Not found!")</f>
        <v>0</v>
      </c>
      <c r="G455" s="6" t="str">
        <f t="shared" si="13"/>
        <v/>
      </c>
    </row>
    <row r="456" spans="3:7" x14ac:dyDescent="0.3">
      <c r="C456" s="9">
        <f>_xlfn.XLOOKUP(Log!A456, 'Daily Summary'!A:A, 'Daily Summary'!C:C, "Not found!")</f>
        <v>0</v>
      </c>
      <c r="G456" s="6" t="str">
        <f t="shared" si="13"/>
        <v/>
      </c>
    </row>
    <row r="457" spans="3:7" x14ac:dyDescent="0.3">
      <c r="C457" s="9">
        <f>_xlfn.XLOOKUP(Log!A457, 'Daily Summary'!A:A, 'Daily Summary'!C:C, "Not found!")</f>
        <v>0</v>
      </c>
      <c r="G457" s="6" t="str">
        <f t="shared" si="13"/>
        <v/>
      </c>
    </row>
    <row r="458" spans="3:7" x14ac:dyDescent="0.3">
      <c r="C458" s="9">
        <f>_xlfn.XLOOKUP(Log!A458, 'Daily Summary'!A:A, 'Daily Summary'!C:C, "Not found!")</f>
        <v>0</v>
      </c>
      <c r="G458" s="6" t="str">
        <f t="shared" si="13"/>
        <v/>
      </c>
    </row>
    <row r="459" spans="3:7" x14ac:dyDescent="0.3">
      <c r="C459" s="9">
        <f>_xlfn.XLOOKUP(Log!A459, 'Daily Summary'!A:A, 'Daily Summary'!C:C, "Not found!")</f>
        <v>0</v>
      </c>
      <c r="G459" s="6" t="str">
        <f t="shared" ref="G459:G522" si="14">IF(AND($D459&lt;&gt;"", $C459&lt;&gt;""), ($D459-$C459)*1440, "")</f>
        <v/>
      </c>
    </row>
    <row r="460" spans="3:7" x14ac:dyDescent="0.3">
      <c r="C460" s="9">
        <f>_xlfn.XLOOKUP(Log!A460, 'Daily Summary'!A:A, 'Daily Summary'!C:C, "Not found!")</f>
        <v>0</v>
      </c>
      <c r="G460" s="6" t="str">
        <f t="shared" si="14"/>
        <v/>
      </c>
    </row>
    <row r="461" spans="3:7" x14ac:dyDescent="0.3">
      <c r="C461" s="9">
        <f>_xlfn.XLOOKUP(Log!A461, 'Daily Summary'!A:A, 'Daily Summary'!C:C, "Not found!")</f>
        <v>0</v>
      </c>
      <c r="G461" s="6" t="str">
        <f t="shared" si="14"/>
        <v/>
      </c>
    </row>
    <row r="462" spans="3:7" x14ac:dyDescent="0.3">
      <c r="C462" s="9">
        <f>_xlfn.XLOOKUP(Log!A462, 'Daily Summary'!A:A, 'Daily Summary'!C:C, "Not found!")</f>
        <v>0</v>
      </c>
      <c r="G462" s="6" t="str">
        <f t="shared" si="14"/>
        <v/>
      </c>
    </row>
    <row r="463" spans="3:7" x14ac:dyDescent="0.3">
      <c r="C463" s="9">
        <f>_xlfn.XLOOKUP(Log!A463, 'Daily Summary'!A:A, 'Daily Summary'!C:C, "Not found!")</f>
        <v>0</v>
      </c>
      <c r="G463" s="6" t="str">
        <f t="shared" si="14"/>
        <v/>
      </c>
    </row>
    <row r="464" spans="3:7" x14ac:dyDescent="0.3">
      <c r="C464" s="9">
        <f>_xlfn.XLOOKUP(Log!A464, 'Daily Summary'!A:A, 'Daily Summary'!C:C, "Not found!")</f>
        <v>0</v>
      </c>
      <c r="G464" s="6" t="str">
        <f t="shared" si="14"/>
        <v/>
      </c>
    </row>
    <row r="465" spans="3:7" x14ac:dyDescent="0.3">
      <c r="C465" s="9">
        <f>_xlfn.XLOOKUP(Log!A465, 'Daily Summary'!A:A, 'Daily Summary'!C:C, "Not found!")</f>
        <v>0</v>
      </c>
      <c r="G465" s="6" t="str">
        <f t="shared" si="14"/>
        <v/>
      </c>
    </row>
    <row r="466" spans="3:7" x14ac:dyDescent="0.3">
      <c r="C466" s="9">
        <f>_xlfn.XLOOKUP(Log!A466, 'Daily Summary'!A:A, 'Daily Summary'!C:C, "Not found!")</f>
        <v>0</v>
      </c>
      <c r="G466" s="6" t="str">
        <f t="shared" si="14"/>
        <v/>
      </c>
    </row>
    <row r="467" spans="3:7" x14ac:dyDescent="0.3">
      <c r="C467" s="9">
        <f>_xlfn.XLOOKUP(Log!A467, 'Daily Summary'!A:A, 'Daily Summary'!C:C, "Not found!")</f>
        <v>0</v>
      </c>
      <c r="G467" s="6" t="str">
        <f t="shared" si="14"/>
        <v/>
      </c>
    </row>
    <row r="468" spans="3:7" x14ac:dyDescent="0.3">
      <c r="C468" s="9">
        <f>_xlfn.XLOOKUP(Log!A468, 'Daily Summary'!A:A, 'Daily Summary'!C:C, "Not found!")</f>
        <v>0</v>
      </c>
      <c r="G468" s="6" t="str">
        <f t="shared" si="14"/>
        <v/>
      </c>
    </row>
    <row r="469" spans="3:7" x14ac:dyDescent="0.3">
      <c r="C469" s="9">
        <f>_xlfn.XLOOKUP(Log!A469, 'Daily Summary'!A:A, 'Daily Summary'!C:C, "Not found!")</f>
        <v>0</v>
      </c>
      <c r="G469" s="6" t="str">
        <f t="shared" si="14"/>
        <v/>
      </c>
    </row>
    <row r="470" spans="3:7" x14ac:dyDescent="0.3">
      <c r="C470" s="9">
        <f>_xlfn.XLOOKUP(Log!A470, 'Daily Summary'!A:A, 'Daily Summary'!C:C, "Not found!")</f>
        <v>0</v>
      </c>
      <c r="G470" s="6" t="str">
        <f t="shared" si="14"/>
        <v/>
      </c>
    </row>
    <row r="471" spans="3:7" x14ac:dyDescent="0.3">
      <c r="C471" s="9">
        <f>_xlfn.XLOOKUP(Log!A471, 'Daily Summary'!A:A, 'Daily Summary'!C:C, "Not found!")</f>
        <v>0</v>
      </c>
      <c r="G471" s="6" t="str">
        <f t="shared" si="14"/>
        <v/>
      </c>
    </row>
    <row r="472" spans="3:7" x14ac:dyDescent="0.3">
      <c r="C472" s="9">
        <f>_xlfn.XLOOKUP(Log!A472, 'Daily Summary'!A:A, 'Daily Summary'!C:C, "Not found!")</f>
        <v>0</v>
      </c>
      <c r="G472" s="6" t="str">
        <f t="shared" si="14"/>
        <v/>
      </c>
    </row>
    <row r="473" spans="3:7" x14ac:dyDescent="0.3">
      <c r="C473" s="9">
        <f>_xlfn.XLOOKUP(Log!A473, 'Daily Summary'!A:A, 'Daily Summary'!C:C, "Not found!")</f>
        <v>0</v>
      </c>
      <c r="G473" s="6" t="str">
        <f t="shared" si="14"/>
        <v/>
      </c>
    </row>
    <row r="474" spans="3:7" x14ac:dyDescent="0.3">
      <c r="C474" s="9">
        <f>_xlfn.XLOOKUP(Log!A474, 'Daily Summary'!A:A, 'Daily Summary'!C:C, "Not found!")</f>
        <v>0</v>
      </c>
      <c r="G474" s="6" t="str">
        <f t="shared" si="14"/>
        <v/>
      </c>
    </row>
    <row r="475" spans="3:7" x14ac:dyDescent="0.3">
      <c r="C475" s="9">
        <f>_xlfn.XLOOKUP(Log!A475, 'Daily Summary'!A:A, 'Daily Summary'!C:C, "Not found!")</f>
        <v>0</v>
      </c>
      <c r="G475" s="6" t="str">
        <f t="shared" si="14"/>
        <v/>
      </c>
    </row>
    <row r="476" spans="3:7" x14ac:dyDescent="0.3">
      <c r="C476" s="9">
        <f>_xlfn.XLOOKUP(Log!A476, 'Daily Summary'!A:A, 'Daily Summary'!C:C, "Not found!")</f>
        <v>0</v>
      </c>
      <c r="G476" s="6" t="str">
        <f t="shared" si="14"/>
        <v/>
      </c>
    </row>
    <row r="477" spans="3:7" x14ac:dyDescent="0.3">
      <c r="C477" s="9">
        <f>_xlfn.XLOOKUP(Log!A477, 'Daily Summary'!A:A, 'Daily Summary'!C:C, "Not found!")</f>
        <v>0</v>
      </c>
      <c r="G477" s="6" t="str">
        <f t="shared" si="14"/>
        <v/>
      </c>
    </row>
    <row r="478" spans="3:7" x14ac:dyDescent="0.3">
      <c r="C478" s="9">
        <f>_xlfn.XLOOKUP(Log!A478, 'Daily Summary'!A:A, 'Daily Summary'!C:C, "Not found!")</f>
        <v>0</v>
      </c>
      <c r="G478" s="6" t="str">
        <f t="shared" si="14"/>
        <v/>
      </c>
    </row>
    <row r="479" spans="3:7" x14ac:dyDescent="0.3">
      <c r="C479" s="9">
        <f>_xlfn.XLOOKUP(Log!A479, 'Daily Summary'!A:A, 'Daily Summary'!C:C, "Not found!")</f>
        <v>0</v>
      </c>
      <c r="G479" s="6" t="str">
        <f t="shared" si="14"/>
        <v/>
      </c>
    </row>
    <row r="480" spans="3:7" x14ac:dyDescent="0.3">
      <c r="C480" s="9">
        <f>_xlfn.XLOOKUP(Log!A480, 'Daily Summary'!A:A, 'Daily Summary'!C:C, "Not found!")</f>
        <v>0</v>
      </c>
      <c r="G480" s="6" t="str">
        <f t="shared" si="14"/>
        <v/>
      </c>
    </row>
    <row r="481" spans="3:7" x14ac:dyDescent="0.3">
      <c r="C481" s="9">
        <f>_xlfn.XLOOKUP(Log!A481, 'Daily Summary'!A:A, 'Daily Summary'!C:C, "Not found!")</f>
        <v>0</v>
      </c>
      <c r="G481" s="6" t="str">
        <f t="shared" si="14"/>
        <v/>
      </c>
    </row>
    <row r="482" spans="3:7" x14ac:dyDescent="0.3">
      <c r="C482" s="9">
        <f>_xlfn.XLOOKUP(Log!A482, 'Daily Summary'!A:A, 'Daily Summary'!C:C, "Not found!")</f>
        <v>0</v>
      </c>
      <c r="G482" s="6" t="str">
        <f t="shared" si="14"/>
        <v/>
      </c>
    </row>
    <row r="483" spans="3:7" x14ac:dyDescent="0.3">
      <c r="C483" s="9">
        <f>_xlfn.XLOOKUP(Log!A483, 'Daily Summary'!A:A, 'Daily Summary'!C:C, "Not found!")</f>
        <v>0</v>
      </c>
      <c r="G483" s="6" t="str">
        <f t="shared" si="14"/>
        <v/>
      </c>
    </row>
    <row r="484" spans="3:7" x14ac:dyDescent="0.3">
      <c r="C484" s="9">
        <f>_xlfn.XLOOKUP(Log!A484, 'Daily Summary'!A:A, 'Daily Summary'!C:C, "Not found!")</f>
        <v>0</v>
      </c>
      <c r="G484" s="6" t="str">
        <f t="shared" si="14"/>
        <v/>
      </c>
    </row>
    <row r="485" spans="3:7" x14ac:dyDescent="0.3">
      <c r="C485" s="9">
        <f>_xlfn.XLOOKUP(Log!A485, 'Daily Summary'!A:A, 'Daily Summary'!C:C, "Not found!")</f>
        <v>0</v>
      </c>
      <c r="G485" s="6" t="str">
        <f t="shared" si="14"/>
        <v/>
      </c>
    </row>
    <row r="486" spans="3:7" x14ac:dyDescent="0.3">
      <c r="C486" s="9">
        <f>_xlfn.XLOOKUP(Log!A486, 'Daily Summary'!A:A, 'Daily Summary'!C:C, "Not found!")</f>
        <v>0</v>
      </c>
      <c r="G486" s="6" t="str">
        <f t="shared" si="14"/>
        <v/>
      </c>
    </row>
    <row r="487" spans="3:7" x14ac:dyDescent="0.3">
      <c r="C487" s="9">
        <f>_xlfn.XLOOKUP(Log!A487, 'Daily Summary'!A:A, 'Daily Summary'!C:C, "Not found!")</f>
        <v>0</v>
      </c>
      <c r="G487" s="6" t="str">
        <f t="shared" si="14"/>
        <v/>
      </c>
    </row>
    <row r="488" spans="3:7" x14ac:dyDescent="0.3">
      <c r="C488" s="9">
        <f>_xlfn.XLOOKUP(Log!A488, 'Daily Summary'!A:A, 'Daily Summary'!C:C, "Not found!")</f>
        <v>0</v>
      </c>
      <c r="G488" s="6" t="str">
        <f t="shared" si="14"/>
        <v/>
      </c>
    </row>
    <row r="489" spans="3:7" x14ac:dyDescent="0.3">
      <c r="C489" s="9">
        <f>_xlfn.XLOOKUP(Log!A489, 'Daily Summary'!A:A, 'Daily Summary'!C:C, "Not found!")</f>
        <v>0</v>
      </c>
      <c r="G489" s="6" t="str">
        <f t="shared" si="14"/>
        <v/>
      </c>
    </row>
    <row r="490" spans="3:7" x14ac:dyDescent="0.3">
      <c r="C490" s="9">
        <f>_xlfn.XLOOKUP(Log!A490, 'Daily Summary'!A:A, 'Daily Summary'!C:C, "Not found!")</f>
        <v>0</v>
      </c>
      <c r="G490" s="6" t="str">
        <f t="shared" si="14"/>
        <v/>
      </c>
    </row>
    <row r="491" spans="3:7" x14ac:dyDescent="0.3">
      <c r="C491" s="9">
        <f>_xlfn.XLOOKUP(Log!A491, 'Daily Summary'!A:A, 'Daily Summary'!C:C, "Not found!")</f>
        <v>0</v>
      </c>
      <c r="G491" s="6" t="str">
        <f t="shared" si="14"/>
        <v/>
      </c>
    </row>
    <row r="492" spans="3:7" x14ac:dyDescent="0.3">
      <c r="C492" s="9">
        <f>_xlfn.XLOOKUP(Log!A492, 'Daily Summary'!A:A, 'Daily Summary'!C:C, "Not found!")</f>
        <v>0</v>
      </c>
      <c r="G492" s="6" t="str">
        <f t="shared" si="14"/>
        <v/>
      </c>
    </row>
    <row r="493" spans="3:7" x14ac:dyDescent="0.3">
      <c r="C493" s="9">
        <f>_xlfn.XLOOKUP(Log!A493, 'Daily Summary'!A:A, 'Daily Summary'!C:C, "Not found!")</f>
        <v>0</v>
      </c>
      <c r="G493" s="6" t="str">
        <f t="shared" si="14"/>
        <v/>
      </c>
    </row>
    <row r="494" spans="3:7" x14ac:dyDescent="0.3">
      <c r="C494" s="9">
        <f>_xlfn.XLOOKUP(Log!A494, 'Daily Summary'!A:A, 'Daily Summary'!C:C, "Not found!")</f>
        <v>0</v>
      </c>
      <c r="G494" s="6" t="str">
        <f t="shared" si="14"/>
        <v/>
      </c>
    </row>
    <row r="495" spans="3:7" x14ac:dyDescent="0.3">
      <c r="C495" s="9">
        <f>_xlfn.XLOOKUP(Log!A495, 'Daily Summary'!A:A, 'Daily Summary'!C:C, "Not found!")</f>
        <v>0</v>
      </c>
      <c r="G495" s="6" t="str">
        <f t="shared" si="14"/>
        <v/>
      </c>
    </row>
    <row r="496" spans="3:7" x14ac:dyDescent="0.3">
      <c r="C496" s="9">
        <f>_xlfn.XLOOKUP(Log!A496, 'Daily Summary'!A:A, 'Daily Summary'!C:C, "Not found!")</f>
        <v>0</v>
      </c>
      <c r="G496" s="6" t="str">
        <f t="shared" si="14"/>
        <v/>
      </c>
    </row>
    <row r="497" spans="3:7" x14ac:dyDescent="0.3">
      <c r="C497" s="9">
        <f>_xlfn.XLOOKUP(Log!A497, 'Daily Summary'!A:A, 'Daily Summary'!C:C, "Not found!")</f>
        <v>0</v>
      </c>
      <c r="G497" s="6" t="str">
        <f t="shared" si="14"/>
        <v/>
      </c>
    </row>
    <row r="498" spans="3:7" x14ac:dyDescent="0.3">
      <c r="C498" s="9">
        <f>_xlfn.XLOOKUP(Log!A498, 'Daily Summary'!A:A, 'Daily Summary'!C:C, "Not found!")</f>
        <v>0</v>
      </c>
      <c r="G498" s="6" t="str">
        <f t="shared" si="14"/>
        <v/>
      </c>
    </row>
    <row r="499" spans="3:7" x14ac:dyDescent="0.3">
      <c r="G499" s="6" t="str">
        <f t="shared" si="14"/>
        <v/>
      </c>
    </row>
    <row r="500" spans="3:7" x14ac:dyDescent="0.3">
      <c r="G500" s="6" t="str">
        <f t="shared" si="14"/>
        <v/>
      </c>
    </row>
    <row r="501" spans="3:7" x14ac:dyDescent="0.3">
      <c r="G501" s="6" t="str">
        <f t="shared" si="14"/>
        <v/>
      </c>
    </row>
    <row r="502" spans="3:7" x14ac:dyDescent="0.3">
      <c r="G502" s="6" t="str">
        <f t="shared" si="14"/>
        <v/>
      </c>
    </row>
    <row r="503" spans="3:7" x14ac:dyDescent="0.3">
      <c r="G503" s="6" t="str">
        <f t="shared" si="14"/>
        <v/>
      </c>
    </row>
    <row r="504" spans="3:7" x14ac:dyDescent="0.3">
      <c r="G504" s="6" t="str">
        <f t="shared" si="14"/>
        <v/>
      </c>
    </row>
    <row r="505" spans="3:7" x14ac:dyDescent="0.3">
      <c r="G505" s="6" t="str">
        <f t="shared" si="14"/>
        <v/>
      </c>
    </row>
    <row r="506" spans="3:7" x14ac:dyDescent="0.3">
      <c r="G506" s="6" t="str">
        <f t="shared" si="14"/>
        <v/>
      </c>
    </row>
    <row r="507" spans="3:7" x14ac:dyDescent="0.3">
      <c r="G507" s="6" t="str">
        <f t="shared" si="14"/>
        <v/>
      </c>
    </row>
    <row r="508" spans="3:7" x14ac:dyDescent="0.3">
      <c r="G508" s="6" t="str">
        <f t="shared" si="14"/>
        <v/>
      </c>
    </row>
    <row r="509" spans="3:7" x14ac:dyDescent="0.3">
      <c r="G509" s="6" t="str">
        <f t="shared" si="14"/>
        <v/>
      </c>
    </row>
    <row r="510" spans="3:7" x14ac:dyDescent="0.3">
      <c r="G510" s="6" t="str">
        <f t="shared" si="14"/>
        <v/>
      </c>
    </row>
    <row r="511" spans="3:7" x14ac:dyDescent="0.3">
      <c r="G511" s="6" t="str">
        <f t="shared" si="14"/>
        <v/>
      </c>
    </row>
    <row r="512" spans="3:7" x14ac:dyDescent="0.3">
      <c r="G512" s="6" t="str">
        <f t="shared" si="14"/>
        <v/>
      </c>
    </row>
    <row r="513" spans="7:7" x14ac:dyDescent="0.3">
      <c r="G513" s="6" t="str">
        <f t="shared" si="14"/>
        <v/>
      </c>
    </row>
    <row r="514" spans="7:7" x14ac:dyDescent="0.3">
      <c r="G514" s="6" t="str">
        <f t="shared" si="14"/>
        <v/>
      </c>
    </row>
    <row r="515" spans="7:7" x14ac:dyDescent="0.3">
      <c r="G515" s="6" t="str">
        <f t="shared" si="14"/>
        <v/>
      </c>
    </row>
    <row r="516" spans="7:7" x14ac:dyDescent="0.3">
      <c r="G516" s="6" t="str">
        <f t="shared" si="14"/>
        <v/>
      </c>
    </row>
    <row r="517" spans="7:7" x14ac:dyDescent="0.3">
      <c r="G517" s="6" t="str">
        <f t="shared" si="14"/>
        <v/>
      </c>
    </row>
    <row r="518" spans="7:7" x14ac:dyDescent="0.3">
      <c r="G518" s="6" t="str">
        <f t="shared" si="14"/>
        <v/>
      </c>
    </row>
    <row r="519" spans="7:7" x14ac:dyDescent="0.3">
      <c r="G519" s="6" t="str">
        <f t="shared" si="14"/>
        <v/>
      </c>
    </row>
    <row r="520" spans="7:7" x14ac:dyDescent="0.3">
      <c r="G520" s="6" t="str">
        <f t="shared" si="14"/>
        <v/>
      </c>
    </row>
    <row r="521" spans="7:7" x14ac:dyDescent="0.3">
      <c r="G521" s="6" t="str">
        <f t="shared" si="14"/>
        <v/>
      </c>
    </row>
    <row r="522" spans="7:7" x14ac:dyDescent="0.3">
      <c r="G522" s="6" t="str">
        <f t="shared" si="14"/>
        <v/>
      </c>
    </row>
    <row r="523" spans="7:7" x14ac:dyDescent="0.3">
      <c r="G523" s="6" t="str">
        <f t="shared" ref="G523:G586" si="15">IF(AND($D523&lt;&gt;"", $C523&lt;&gt;""), ($D523-$C523)*1440, "")</f>
        <v/>
      </c>
    </row>
    <row r="524" spans="7:7" x14ac:dyDescent="0.3">
      <c r="G524" s="6" t="str">
        <f t="shared" si="15"/>
        <v/>
      </c>
    </row>
    <row r="525" spans="7:7" x14ac:dyDescent="0.3">
      <c r="G525" s="6" t="str">
        <f t="shared" si="15"/>
        <v/>
      </c>
    </row>
    <row r="526" spans="7:7" x14ac:dyDescent="0.3">
      <c r="G526" s="6" t="str">
        <f t="shared" si="15"/>
        <v/>
      </c>
    </row>
    <row r="527" spans="7:7" x14ac:dyDescent="0.3">
      <c r="G527" s="6" t="str">
        <f t="shared" si="15"/>
        <v/>
      </c>
    </row>
    <row r="528" spans="7:7" x14ac:dyDescent="0.3">
      <c r="G528" s="6" t="str">
        <f t="shared" si="15"/>
        <v/>
      </c>
    </row>
    <row r="529" spans="7:7" x14ac:dyDescent="0.3">
      <c r="G529" s="6" t="str">
        <f t="shared" si="15"/>
        <v/>
      </c>
    </row>
    <row r="530" spans="7:7" x14ac:dyDescent="0.3">
      <c r="G530" s="6" t="str">
        <f t="shared" si="15"/>
        <v/>
      </c>
    </row>
    <row r="531" spans="7:7" x14ac:dyDescent="0.3">
      <c r="G531" s="6" t="str">
        <f t="shared" si="15"/>
        <v/>
      </c>
    </row>
    <row r="532" spans="7:7" x14ac:dyDescent="0.3">
      <c r="G532" s="6" t="str">
        <f t="shared" si="15"/>
        <v/>
      </c>
    </row>
    <row r="533" spans="7:7" x14ac:dyDescent="0.3">
      <c r="G533" s="6" t="str">
        <f t="shared" si="15"/>
        <v/>
      </c>
    </row>
    <row r="534" spans="7:7" x14ac:dyDescent="0.3">
      <c r="G534" s="6" t="str">
        <f t="shared" si="15"/>
        <v/>
      </c>
    </row>
    <row r="535" spans="7:7" x14ac:dyDescent="0.3">
      <c r="G535" s="6" t="str">
        <f t="shared" si="15"/>
        <v/>
      </c>
    </row>
    <row r="536" spans="7:7" x14ac:dyDescent="0.3">
      <c r="G536" s="6" t="str">
        <f t="shared" si="15"/>
        <v/>
      </c>
    </row>
    <row r="537" spans="7:7" x14ac:dyDescent="0.3">
      <c r="G537" s="6" t="str">
        <f t="shared" si="15"/>
        <v/>
      </c>
    </row>
    <row r="538" spans="7:7" x14ac:dyDescent="0.3">
      <c r="G538" s="6" t="str">
        <f t="shared" si="15"/>
        <v/>
      </c>
    </row>
    <row r="539" spans="7:7" x14ac:dyDescent="0.3">
      <c r="G539" s="6" t="str">
        <f t="shared" si="15"/>
        <v/>
      </c>
    </row>
    <row r="540" spans="7:7" x14ac:dyDescent="0.3">
      <c r="G540" s="6" t="str">
        <f t="shared" si="15"/>
        <v/>
      </c>
    </row>
    <row r="541" spans="7:7" x14ac:dyDescent="0.3">
      <c r="G541" s="6" t="str">
        <f t="shared" si="15"/>
        <v/>
      </c>
    </row>
    <row r="542" spans="7:7" x14ac:dyDescent="0.3">
      <c r="G542" s="6" t="str">
        <f t="shared" si="15"/>
        <v/>
      </c>
    </row>
    <row r="543" spans="7:7" x14ac:dyDescent="0.3">
      <c r="G543" s="6" t="str">
        <f t="shared" si="15"/>
        <v/>
      </c>
    </row>
    <row r="544" spans="7:7" x14ac:dyDescent="0.3">
      <c r="G544" s="6" t="str">
        <f t="shared" si="15"/>
        <v/>
      </c>
    </row>
    <row r="545" spans="7:7" x14ac:dyDescent="0.3">
      <c r="G545" s="6" t="str">
        <f t="shared" si="15"/>
        <v/>
      </c>
    </row>
    <row r="546" spans="7:7" x14ac:dyDescent="0.3">
      <c r="G546" s="6" t="str">
        <f t="shared" si="15"/>
        <v/>
      </c>
    </row>
    <row r="547" spans="7:7" x14ac:dyDescent="0.3">
      <c r="G547" s="6" t="str">
        <f t="shared" si="15"/>
        <v/>
      </c>
    </row>
    <row r="548" spans="7:7" x14ac:dyDescent="0.3">
      <c r="G548" s="6" t="str">
        <f t="shared" si="15"/>
        <v/>
      </c>
    </row>
    <row r="549" spans="7:7" x14ac:dyDescent="0.3">
      <c r="G549" s="6" t="str">
        <f t="shared" si="15"/>
        <v/>
      </c>
    </row>
    <row r="550" spans="7:7" x14ac:dyDescent="0.3">
      <c r="G550" s="6" t="str">
        <f t="shared" si="15"/>
        <v/>
      </c>
    </row>
    <row r="551" spans="7:7" x14ac:dyDescent="0.3">
      <c r="G551" s="6" t="str">
        <f t="shared" si="15"/>
        <v/>
      </c>
    </row>
    <row r="552" spans="7:7" x14ac:dyDescent="0.3">
      <c r="G552" s="6" t="str">
        <f t="shared" si="15"/>
        <v/>
      </c>
    </row>
    <row r="553" spans="7:7" x14ac:dyDescent="0.3">
      <c r="G553" s="6" t="str">
        <f t="shared" si="15"/>
        <v/>
      </c>
    </row>
    <row r="554" spans="7:7" x14ac:dyDescent="0.3">
      <c r="G554" s="6" t="str">
        <f t="shared" si="15"/>
        <v/>
      </c>
    </row>
    <row r="555" spans="7:7" x14ac:dyDescent="0.3">
      <c r="G555" s="6" t="str">
        <f t="shared" si="15"/>
        <v/>
      </c>
    </row>
    <row r="556" spans="7:7" x14ac:dyDescent="0.3">
      <c r="G556" s="6" t="str">
        <f t="shared" si="15"/>
        <v/>
      </c>
    </row>
    <row r="557" spans="7:7" x14ac:dyDescent="0.3">
      <c r="G557" s="6" t="str">
        <f t="shared" si="15"/>
        <v/>
      </c>
    </row>
    <row r="558" spans="7:7" x14ac:dyDescent="0.3">
      <c r="G558" s="6" t="str">
        <f t="shared" si="15"/>
        <v/>
      </c>
    </row>
    <row r="559" spans="7:7" x14ac:dyDescent="0.3">
      <c r="G559" s="6" t="str">
        <f t="shared" si="15"/>
        <v/>
      </c>
    </row>
    <row r="560" spans="7:7" x14ac:dyDescent="0.3">
      <c r="G560" s="6" t="str">
        <f t="shared" si="15"/>
        <v/>
      </c>
    </row>
    <row r="561" spans="7:7" x14ac:dyDescent="0.3">
      <c r="G561" s="6" t="str">
        <f t="shared" si="15"/>
        <v/>
      </c>
    </row>
    <row r="562" spans="7:7" x14ac:dyDescent="0.3">
      <c r="G562" s="6" t="str">
        <f t="shared" si="15"/>
        <v/>
      </c>
    </row>
    <row r="563" spans="7:7" x14ac:dyDescent="0.3">
      <c r="G563" s="6" t="str">
        <f t="shared" si="15"/>
        <v/>
      </c>
    </row>
    <row r="564" spans="7:7" x14ac:dyDescent="0.3">
      <c r="G564" s="6" t="str">
        <f t="shared" si="15"/>
        <v/>
      </c>
    </row>
    <row r="565" spans="7:7" x14ac:dyDescent="0.3">
      <c r="G565" s="6" t="str">
        <f t="shared" si="15"/>
        <v/>
      </c>
    </row>
    <row r="566" spans="7:7" x14ac:dyDescent="0.3">
      <c r="G566" s="6" t="str">
        <f t="shared" si="15"/>
        <v/>
      </c>
    </row>
    <row r="567" spans="7:7" x14ac:dyDescent="0.3">
      <c r="G567" s="6" t="str">
        <f t="shared" si="15"/>
        <v/>
      </c>
    </row>
    <row r="568" spans="7:7" x14ac:dyDescent="0.3">
      <c r="G568" s="6" t="str">
        <f t="shared" si="15"/>
        <v/>
      </c>
    </row>
    <row r="569" spans="7:7" x14ac:dyDescent="0.3">
      <c r="G569" s="6" t="str">
        <f t="shared" si="15"/>
        <v/>
      </c>
    </row>
    <row r="570" spans="7:7" x14ac:dyDescent="0.3">
      <c r="G570" s="6" t="str">
        <f t="shared" si="15"/>
        <v/>
      </c>
    </row>
    <row r="571" spans="7:7" x14ac:dyDescent="0.3">
      <c r="G571" s="6" t="str">
        <f t="shared" si="15"/>
        <v/>
      </c>
    </row>
    <row r="572" spans="7:7" x14ac:dyDescent="0.3">
      <c r="G572" s="6" t="str">
        <f t="shared" si="15"/>
        <v/>
      </c>
    </row>
    <row r="573" spans="7:7" x14ac:dyDescent="0.3">
      <c r="G573" s="6" t="str">
        <f t="shared" si="15"/>
        <v/>
      </c>
    </row>
    <row r="574" spans="7:7" x14ac:dyDescent="0.3">
      <c r="G574" s="6" t="str">
        <f t="shared" si="15"/>
        <v/>
      </c>
    </row>
    <row r="575" spans="7:7" x14ac:dyDescent="0.3">
      <c r="G575" s="6" t="str">
        <f t="shared" si="15"/>
        <v/>
      </c>
    </row>
    <row r="576" spans="7:7" x14ac:dyDescent="0.3">
      <c r="G576" s="6" t="str">
        <f t="shared" si="15"/>
        <v/>
      </c>
    </row>
    <row r="577" spans="7:7" x14ac:dyDescent="0.3">
      <c r="G577" s="6" t="str">
        <f t="shared" si="15"/>
        <v/>
      </c>
    </row>
    <row r="578" spans="7:7" x14ac:dyDescent="0.3">
      <c r="G578" s="6" t="str">
        <f t="shared" si="15"/>
        <v/>
      </c>
    </row>
    <row r="579" spans="7:7" x14ac:dyDescent="0.3">
      <c r="G579" s="6" t="str">
        <f t="shared" si="15"/>
        <v/>
      </c>
    </row>
    <row r="580" spans="7:7" x14ac:dyDescent="0.3">
      <c r="G580" s="6" t="str">
        <f t="shared" si="15"/>
        <v/>
      </c>
    </row>
    <row r="581" spans="7:7" x14ac:dyDescent="0.3">
      <c r="G581" s="6" t="str">
        <f t="shared" si="15"/>
        <v/>
      </c>
    </row>
    <row r="582" spans="7:7" x14ac:dyDescent="0.3">
      <c r="G582" s="6" t="str">
        <f t="shared" si="15"/>
        <v/>
      </c>
    </row>
    <row r="583" spans="7:7" x14ac:dyDescent="0.3">
      <c r="G583" s="6" t="str">
        <f t="shared" si="15"/>
        <v/>
      </c>
    </row>
    <row r="584" spans="7:7" x14ac:dyDescent="0.3">
      <c r="G584" s="6" t="str">
        <f t="shared" si="15"/>
        <v/>
      </c>
    </row>
    <row r="585" spans="7:7" x14ac:dyDescent="0.3">
      <c r="G585" s="6" t="str">
        <f t="shared" si="15"/>
        <v/>
      </c>
    </row>
    <row r="586" spans="7:7" x14ac:dyDescent="0.3">
      <c r="G586" s="6" t="str">
        <f t="shared" si="15"/>
        <v/>
      </c>
    </row>
    <row r="587" spans="7:7" x14ac:dyDescent="0.3">
      <c r="G587" s="6" t="str">
        <f t="shared" ref="G587:G650" si="16">IF(AND($D587&lt;&gt;"", $C587&lt;&gt;""), ($D587-$C587)*1440, "")</f>
        <v/>
      </c>
    </row>
    <row r="588" spans="7:7" x14ac:dyDescent="0.3">
      <c r="G588" s="6" t="str">
        <f t="shared" si="16"/>
        <v/>
      </c>
    </row>
    <row r="589" spans="7:7" x14ac:dyDescent="0.3">
      <c r="G589" s="6" t="str">
        <f t="shared" si="16"/>
        <v/>
      </c>
    </row>
    <row r="590" spans="7:7" x14ac:dyDescent="0.3">
      <c r="G590" s="6" t="str">
        <f t="shared" si="16"/>
        <v/>
      </c>
    </row>
    <row r="591" spans="7:7" x14ac:dyDescent="0.3">
      <c r="G591" s="6" t="str">
        <f t="shared" si="16"/>
        <v/>
      </c>
    </row>
    <row r="592" spans="7:7" x14ac:dyDescent="0.3">
      <c r="G592" s="6" t="str">
        <f t="shared" si="16"/>
        <v/>
      </c>
    </row>
    <row r="593" spans="7:7" x14ac:dyDescent="0.3">
      <c r="G593" s="6" t="str">
        <f t="shared" si="16"/>
        <v/>
      </c>
    </row>
    <row r="594" spans="7:7" x14ac:dyDescent="0.3">
      <c r="G594" s="6" t="str">
        <f t="shared" si="16"/>
        <v/>
      </c>
    </row>
    <row r="595" spans="7:7" x14ac:dyDescent="0.3">
      <c r="G595" s="6" t="str">
        <f t="shared" si="16"/>
        <v/>
      </c>
    </row>
    <row r="596" spans="7:7" x14ac:dyDescent="0.3">
      <c r="G596" s="6" t="str">
        <f t="shared" si="16"/>
        <v/>
      </c>
    </row>
    <row r="597" spans="7:7" x14ac:dyDescent="0.3">
      <c r="G597" s="6" t="str">
        <f t="shared" si="16"/>
        <v/>
      </c>
    </row>
    <row r="598" spans="7:7" x14ac:dyDescent="0.3">
      <c r="G598" s="6" t="str">
        <f t="shared" si="16"/>
        <v/>
      </c>
    </row>
    <row r="599" spans="7:7" x14ac:dyDescent="0.3">
      <c r="G599" s="6" t="str">
        <f t="shared" si="16"/>
        <v/>
      </c>
    </row>
    <row r="600" spans="7:7" x14ac:dyDescent="0.3">
      <c r="G600" s="6" t="str">
        <f t="shared" si="16"/>
        <v/>
      </c>
    </row>
    <row r="601" spans="7:7" x14ac:dyDescent="0.3">
      <c r="G601" s="6" t="str">
        <f t="shared" si="16"/>
        <v/>
      </c>
    </row>
    <row r="602" spans="7:7" x14ac:dyDescent="0.3">
      <c r="G602" s="6" t="str">
        <f t="shared" si="16"/>
        <v/>
      </c>
    </row>
    <row r="603" spans="7:7" x14ac:dyDescent="0.3">
      <c r="G603" s="6" t="str">
        <f t="shared" si="16"/>
        <v/>
      </c>
    </row>
    <row r="604" spans="7:7" x14ac:dyDescent="0.3">
      <c r="G604" s="6" t="str">
        <f t="shared" si="16"/>
        <v/>
      </c>
    </row>
    <row r="605" spans="7:7" x14ac:dyDescent="0.3">
      <c r="G605" s="6" t="str">
        <f t="shared" si="16"/>
        <v/>
      </c>
    </row>
    <row r="606" spans="7:7" x14ac:dyDescent="0.3">
      <c r="G606" s="6" t="str">
        <f t="shared" si="16"/>
        <v/>
      </c>
    </row>
    <row r="607" spans="7:7" x14ac:dyDescent="0.3">
      <c r="G607" s="6" t="str">
        <f t="shared" si="16"/>
        <v/>
      </c>
    </row>
    <row r="608" spans="7:7" x14ac:dyDescent="0.3">
      <c r="G608" s="6" t="str">
        <f t="shared" si="16"/>
        <v/>
      </c>
    </row>
    <row r="609" spans="7:7" x14ac:dyDescent="0.3">
      <c r="G609" s="6" t="str">
        <f t="shared" si="16"/>
        <v/>
      </c>
    </row>
    <row r="610" spans="7:7" x14ac:dyDescent="0.3">
      <c r="G610" s="6" t="str">
        <f t="shared" si="16"/>
        <v/>
      </c>
    </row>
    <row r="611" spans="7:7" x14ac:dyDescent="0.3">
      <c r="G611" s="6" t="str">
        <f t="shared" si="16"/>
        <v/>
      </c>
    </row>
    <row r="612" spans="7:7" x14ac:dyDescent="0.3">
      <c r="G612" s="6" t="str">
        <f t="shared" si="16"/>
        <v/>
      </c>
    </row>
    <row r="613" spans="7:7" x14ac:dyDescent="0.3">
      <c r="G613" s="6" t="str">
        <f t="shared" si="16"/>
        <v/>
      </c>
    </row>
    <row r="614" spans="7:7" x14ac:dyDescent="0.3">
      <c r="G614" s="6" t="str">
        <f t="shared" si="16"/>
        <v/>
      </c>
    </row>
    <row r="615" spans="7:7" x14ac:dyDescent="0.3">
      <c r="G615" s="6" t="str">
        <f t="shared" si="16"/>
        <v/>
      </c>
    </row>
    <row r="616" spans="7:7" x14ac:dyDescent="0.3">
      <c r="G616" s="6" t="str">
        <f t="shared" si="16"/>
        <v/>
      </c>
    </row>
    <row r="617" spans="7:7" x14ac:dyDescent="0.3">
      <c r="G617" s="6" t="str">
        <f t="shared" si="16"/>
        <v/>
      </c>
    </row>
    <row r="618" spans="7:7" x14ac:dyDescent="0.3">
      <c r="G618" s="6" t="str">
        <f t="shared" si="16"/>
        <v/>
      </c>
    </row>
    <row r="619" spans="7:7" x14ac:dyDescent="0.3">
      <c r="G619" s="6" t="str">
        <f t="shared" si="16"/>
        <v/>
      </c>
    </row>
    <row r="620" spans="7:7" x14ac:dyDescent="0.3">
      <c r="G620" s="6" t="str">
        <f t="shared" si="16"/>
        <v/>
      </c>
    </row>
    <row r="621" spans="7:7" x14ac:dyDescent="0.3">
      <c r="G621" s="6" t="str">
        <f t="shared" si="16"/>
        <v/>
      </c>
    </row>
    <row r="622" spans="7:7" x14ac:dyDescent="0.3">
      <c r="G622" s="6" t="str">
        <f t="shared" si="16"/>
        <v/>
      </c>
    </row>
    <row r="623" spans="7:7" x14ac:dyDescent="0.3">
      <c r="G623" s="6" t="str">
        <f t="shared" si="16"/>
        <v/>
      </c>
    </row>
    <row r="624" spans="7:7" x14ac:dyDescent="0.3">
      <c r="G624" s="6" t="str">
        <f t="shared" si="16"/>
        <v/>
      </c>
    </row>
    <row r="625" spans="7:7" x14ac:dyDescent="0.3">
      <c r="G625" s="6" t="str">
        <f t="shared" si="16"/>
        <v/>
      </c>
    </row>
    <row r="626" spans="7:7" x14ac:dyDescent="0.3">
      <c r="G626" s="6" t="str">
        <f t="shared" si="16"/>
        <v/>
      </c>
    </row>
    <row r="627" spans="7:7" x14ac:dyDescent="0.3">
      <c r="G627" s="6" t="str">
        <f t="shared" si="16"/>
        <v/>
      </c>
    </row>
    <row r="628" spans="7:7" x14ac:dyDescent="0.3">
      <c r="G628" s="6" t="str">
        <f t="shared" si="16"/>
        <v/>
      </c>
    </row>
    <row r="629" spans="7:7" x14ac:dyDescent="0.3">
      <c r="G629" s="6" t="str">
        <f t="shared" si="16"/>
        <v/>
      </c>
    </row>
    <row r="630" spans="7:7" x14ac:dyDescent="0.3">
      <c r="G630" s="6" t="str">
        <f t="shared" si="16"/>
        <v/>
      </c>
    </row>
    <row r="631" spans="7:7" x14ac:dyDescent="0.3">
      <c r="G631" s="6" t="str">
        <f t="shared" si="16"/>
        <v/>
      </c>
    </row>
    <row r="632" spans="7:7" x14ac:dyDescent="0.3">
      <c r="G632" s="6" t="str">
        <f t="shared" si="16"/>
        <v/>
      </c>
    </row>
    <row r="633" spans="7:7" x14ac:dyDescent="0.3">
      <c r="G633" s="6" t="str">
        <f t="shared" si="16"/>
        <v/>
      </c>
    </row>
    <row r="634" spans="7:7" x14ac:dyDescent="0.3">
      <c r="G634" s="6" t="str">
        <f t="shared" si="16"/>
        <v/>
      </c>
    </row>
    <row r="635" spans="7:7" x14ac:dyDescent="0.3">
      <c r="G635" s="6" t="str">
        <f t="shared" si="16"/>
        <v/>
      </c>
    </row>
    <row r="636" spans="7:7" x14ac:dyDescent="0.3">
      <c r="G636" s="6" t="str">
        <f t="shared" si="16"/>
        <v/>
      </c>
    </row>
    <row r="637" spans="7:7" x14ac:dyDescent="0.3">
      <c r="G637" s="6" t="str">
        <f t="shared" si="16"/>
        <v/>
      </c>
    </row>
    <row r="638" spans="7:7" x14ac:dyDescent="0.3">
      <c r="G638" s="6" t="str">
        <f t="shared" si="16"/>
        <v/>
      </c>
    </row>
    <row r="639" spans="7:7" x14ac:dyDescent="0.3">
      <c r="G639" s="6" t="str">
        <f t="shared" si="16"/>
        <v/>
      </c>
    </row>
    <row r="640" spans="7:7" x14ac:dyDescent="0.3">
      <c r="G640" s="6" t="str">
        <f t="shared" si="16"/>
        <v/>
      </c>
    </row>
    <row r="641" spans="7:7" x14ac:dyDescent="0.3">
      <c r="G641" s="6" t="str">
        <f t="shared" si="16"/>
        <v/>
      </c>
    </row>
    <row r="642" spans="7:7" x14ac:dyDescent="0.3">
      <c r="G642" s="6" t="str">
        <f t="shared" si="16"/>
        <v/>
      </c>
    </row>
    <row r="643" spans="7:7" x14ac:dyDescent="0.3">
      <c r="G643" s="6" t="str">
        <f t="shared" si="16"/>
        <v/>
      </c>
    </row>
    <row r="644" spans="7:7" x14ac:dyDescent="0.3">
      <c r="G644" s="6" t="str">
        <f t="shared" si="16"/>
        <v/>
      </c>
    </row>
    <row r="645" spans="7:7" x14ac:dyDescent="0.3">
      <c r="G645" s="6" t="str">
        <f t="shared" si="16"/>
        <v/>
      </c>
    </row>
    <row r="646" spans="7:7" x14ac:dyDescent="0.3">
      <c r="G646" s="6" t="str">
        <f t="shared" si="16"/>
        <v/>
      </c>
    </row>
    <row r="647" spans="7:7" x14ac:dyDescent="0.3">
      <c r="G647" s="6" t="str">
        <f t="shared" si="16"/>
        <v/>
      </c>
    </row>
    <row r="648" spans="7:7" x14ac:dyDescent="0.3">
      <c r="G648" s="6" t="str">
        <f t="shared" si="16"/>
        <v/>
      </c>
    </row>
    <row r="649" spans="7:7" x14ac:dyDescent="0.3">
      <c r="G649" s="6" t="str">
        <f t="shared" si="16"/>
        <v/>
      </c>
    </row>
    <row r="650" spans="7:7" x14ac:dyDescent="0.3">
      <c r="G650" s="6" t="str">
        <f t="shared" si="16"/>
        <v/>
      </c>
    </row>
    <row r="651" spans="7:7" x14ac:dyDescent="0.3">
      <c r="G651" s="6" t="str">
        <f t="shared" ref="G651:G693" si="17">IF(AND($D651&lt;&gt;"", $C651&lt;&gt;""), ($D651-$C651)*1440, "")</f>
        <v/>
      </c>
    </row>
    <row r="652" spans="7:7" x14ac:dyDescent="0.3">
      <c r="G652" s="6" t="str">
        <f t="shared" si="17"/>
        <v/>
      </c>
    </row>
    <row r="653" spans="7:7" x14ac:dyDescent="0.3">
      <c r="G653" s="6" t="str">
        <f t="shared" si="17"/>
        <v/>
      </c>
    </row>
    <row r="654" spans="7:7" x14ac:dyDescent="0.3">
      <c r="G654" s="6" t="str">
        <f t="shared" si="17"/>
        <v/>
      </c>
    </row>
    <row r="655" spans="7:7" x14ac:dyDescent="0.3">
      <c r="G655" s="6" t="str">
        <f t="shared" si="17"/>
        <v/>
      </c>
    </row>
    <row r="656" spans="7:7" x14ac:dyDescent="0.3">
      <c r="G656" s="6" t="str">
        <f t="shared" si="17"/>
        <v/>
      </c>
    </row>
    <row r="657" spans="7:7" x14ac:dyDescent="0.3">
      <c r="G657" s="6" t="str">
        <f t="shared" si="17"/>
        <v/>
      </c>
    </row>
    <row r="658" spans="7:7" x14ac:dyDescent="0.3">
      <c r="G658" s="6" t="str">
        <f t="shared" si="17"/>
        <v/>
      </c>
    </row>
    <row r="659" spans="7:7" x14ac:dyDescent="0.3">
      <c r="G659" s="6" t="str">
        <f t="shared" si="17"/>
        <v/>
      </c>
    </row>
    <row r="660" spans="7:7" x14ac:dyDescent="0.3">
      <c r="G660" s="6" t="str">
        <f t="shared" si="17"/>
        <v/>
      </c>
    </row>
    <row r="661" spans="7:7" x14ac:dyDescent="0.3">
      <c r="G661" s="6" t="str">
        <f t="shared" si="17"/>
        <v/>
      </c>
    </row>
    <row r="662" spans="7:7" x14ac:dyDescent="0.3">
      <c r="G662" s="6" t="str">
        <f t="shared" si="17"/>
        <v/>
      </c>
    </row>
    <row r="663" spans="7:7" x14ac:dyDescent="0.3">
      <c r="G663" s="6" t="str">
        <f t="shared" si="17"/>
        <v/>
      </c>
    </row>
    <row r="664" spans="7:7" x14ac:dyDescent="0.3">
      <c r="G664" s="6" t="str">
        <f t="shared" si="17"/>
        <v/>
      </c>
    </row>
    <row r="665" spans="7:7" x14ac:dyDescent="0.3">
      <c r="G665" s="6" t="str">
        <f t="shared" si="17"/>
        <v/>
      </c>
    </row>
    <row r="666" spans="7:7" x14ac:dyDescent="0.3">
      <c r="G666" s="6" t="str">
        <f t="shared" si="17"/>
        <v/>
      </c>
    </row>
    <row r="667" spans="7:7" x14ac:dyDescent="0.3">
      <c r="G667" s="6" t="str">
        <f t="shared" si="17"/>
        <v/>
      </c>
    </row>
    <row r="668" spans="7:7" x14ac:dyDescent="0.3">
      <c r="G668" s="6" t="str">
        <f t="shared" si="17"/>
        <v/>
      </c>
    </row>
    <row r="669" spans="7:7" x14ac:dyDescent="0.3">
      <c r="G669" s="6" t="str">
        <f t="shared" si="17"/>
        <v/>
      </c>
    </row>
    <row r="670" spans="7:7" x14ac:dyDescent="0.3">
      <c r="G670" s="6" t="str">
        <f t="shared" si="17"/>
        <v/>
      </c>
    </row>
    <row r="671" spans="7:7" x14ac:dyDescent="0.3">
      <c r="G671" s="6" t="str">
        <f t="shared" si="17"/>
        <v/>
      </c>
    </row>
    <row r="672" spans="7:7" x14ac:dyDescent="0.3">
      <c r="G672" s="6" t="str">
        <f t="shared" si="17"/>
        <v/>
      </c>
    </row>
    <row r="673" spans="7:7" x14ac:dyDescent="0.3">
      <c r="G673" s="6" t="str">
        <f t="shared" si="17"/>
        <v/>
      </c>
    </row>
    <row r="674" spans="7:7" x14ac:dyDescent="0.3">
      <c r="G674" s="6" t="str">
        <f t="shared" si="17"/>
        <v/>
      </c>
    </row>
    <row r="675" spans="7:7" x14ac:dyDescent="0.3">
      <c r="G675" s="6" t="str">
        <f t="shared" si="17"/>
        <v/>
      </c>
    </row>
    <row r="676" spans="7:7" x14ac:dyDescent="0.3">
      <c r="G676" s="6" t="str">
        <f t="shared" si="17"/>
        <v/>
      </c>
    </row>
    <row r="677" spans="7:7" x14ac:dyDescent="0.3">
      <c r="G677" s="6" t="str">
        <f t="shared" si="17"/>
        <v/>
      </c>
    </row>
    <row r="678" spans="7:7" x14ac:dyDescent="0.3">
      <c r="G678" s="6" t="str">
        <f t="shared" si="17"/>
        <v/>
      </c>
    </row>
    <row r="679" spans="7:7" x14ac:dyDescent="0.3">
      <c r="G679" s="6" t="str">
        <f t="shared" si="17"/>
        <v/>
      </c>
    </row>
    <row r="680" spans="7:7" x14ac:dyDescent="0.3">
      <c r="G680" s="6" t="str">
        <f t="shared" si="17"/>
        <v/>
      </c>
    </row>
    <row r="681" spans="7:7" x14ac:dyDescent="0.3">
      <c r="G681" s="6" t="str">
        <f t="shared" si="17"/>
        <v/>
      </c>
    </row>
    <row r="682" spans="7:7" x14ac:dyDescent="0.3">
      <c r="G682" s="6" t="str">
        <f t="shared" si="17"/>
        <v/>
      </c>
    </row>
    <row r="683" spans="7:7" x14ac:dyDescent="0.3">
      <c r="G683" s="6" t="str">
        <f t="shared" si="17"/>
        <v/>
      </c>
    </row>
    <row r="684" spans="7:7" x14ac:dyDescent="0.3">
      <c r="G684" s="6" t="str">
        <f t="shared" si="17"/>
        <v/>
      </c>
    </row>
    <row r="685" spans="7:7" x14ac:dyDescent="0.3">
      <c r="G685" s="6" t="str">
        <f t="shared" si="17"/>
        <v/>
      </c>
    </row>
    <row r="686" spans="7:7" x14ac:dyDescent="0.3">
      <c r="G686" s="6" t="str">
        <f t="shared" si="17"/>
        <v/>
      </c>
    </row>
    <row r="687" spans="7:7" x14ac:dyDescent="0.3">
      <c r="G687" s="6" t="str">
        <f t="shared" si="17"/>
        <v/>
      </c>
    </row>
    <row r="688" spans="7:7" x14ac:dyDescent="0.3">
      <c r="G688" s="6" t="str">
        <f t="shared" si="17"/>
        <v/>
      </c>
    </row>
    <row r="689" spans="7:7" x14ac:dyDescent="0.3">
      <c r="G689" s="6" t="str">
        <f t="shared" si="17"/>
        <v/>
      </c>
    </row>
    <row r="690" spans="7:7" x14ac:dyDescent="0.3">
      <c r="G690" s="6" t="str">
        <f t="shared" si="17"/>
        <v/>
      </c>
    </row>
    <row r="691" spans="7:7" x14ac:dyDescent="0.3">
      <c r="G691" s="6" t="str">
        <f t="shared" si="17"/>
        <v/>
      </c>
    </row>
    <row r="692" spans="7:7" x14ac:dyDescent="0.3">
      <c r="G692" s="6" t="str">
        <f t="shared" si="17"/>
        <v/>
      </c>
    </row>
    <row r="693" spans="7:7" x14ac:dyDescent="0.3">
      <c r="G693" s="6" t="str">
        <f t="shared" si="17"/>
        <v/>
      </c>
    </row>
  </sheetData>
  <mergeCells count="1">
    <mergeCell ref="A1:H1"/>
  </mergeCells>
  <phoneticPr fontId="8" type="noConversion"/>
  <conditionalFormatting sqref="H3:XFD3 E190:E204 F191:G204 E205:XFD1048576 A1 I1:XFD1 E2:I2 K2:XFD2 I26:L33 O26:XFD33 I34:XFD37 J38:XFD38 I39:XFD204 A2:D1048576 E3:F189 G3:G204 H4:H204 I4:XFD25">
    <cfRule type="expression" dxfId="3" priority="2">
      <formula>AND(ROW()&gt;2, COLUMN()&lt;8, MOD(ROW(),2)=0)</formula>
    </cfRule>
  </conditionalFormatting>
  <conditionalFormatting sqref="E190:E204 E205:H10007 E3:F189 G3:H204 A3:D10007">
    <cfRule type="expression" dxfId="2" priority="1">
      <formula>$B3&lt;&gt;""</formula>
    </cfRule>
  </conditionalFormatting>
  <conditionalFormatting sqref="F191:G204">
    <cfRule type="expression" dxfId="1" priority="7">
      <formula>$B190&lt;&gt;""</formula>
    </cfRule>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79998168889431442"/>
  </sheetPr>
  <dimension ref="A1:E98"/>
  <sheetViews>
    <sheetView showZeros="0" zoomScaleNormal="100" workbookViewId="0">
      <pane ySplit="1" topLeftCell="A3" activePane="bottomLeft" state="frozen"/>
      <selection pane="bottomLeft" activeCell="D10" sqref="D10"/>
    </sheetView>
  </sheetViews>
  <sheetFormatPr defaultRowHeight="14.4" x14ac:dyDescent="0.3"/>
  <cols>
    <col min="1" max="1" width="15.77734375" style="3" customWidth="1"/>
    <col min="2" max="2" width="20.77734375" style="2" customWidth="1"/>
    <col min="3" max="3" width="12.77734375" style="8" customWidth="1"/>
    <col min="4" max="4" width="22.77734375" style="24" customWidth="1"/>
    <col min="5" max="5" width="60.77734375" style="15" customWidth="1"/>
  </cols>
  <sheetData>
    <row r="1" spans="1:5" ht="36.6" thickBot="1" x14ac:dyDescent="0.35">
      <c r="A1" s="4" t="s">
        <v>11</v>
      </c>
      <c r="B1" s="5" t="s">
        <v>16</v>
      </c>
      <c r="C1" s="5" t="s">
        <v>0</v>
      </c>
      <c r="D1" s="23" t="s">
        <v>9</v>
      </c>
      <c r="E1" s="5" t="s">
        <v>8</v>
      </c>
    </row>
    <row r="2" spans="1:5" x14ac:dyDescent="0.3">
      <c r="A2" s="1" cm="1">
        <f t="array" ref="A2:A26">_xlfn.UNIQUE(Log!$A$3:$A$2500)</f>
        <v>46228</v>
      </c>
      <c r="B2" s="2">
        <v>23.5</v>
      </c>
      <c r="C2" s="8">
        <v>0.78819444444444442</v>
      </c>
      <c r="D2" s="24">
        <f>IF(C2="", "–", _xlfn.MINIFS(Log!$G$3:$G$2000, Log!$A$3:$A$2000, $A2, Log!$E$3:$E$2000,"&gt;=50"))</f>
        <v>25.000000000000071</v>
      </c>
    </row>
    <row r="3" spans="1:5" x14ac:dyDescent="0.3">
      <c r="A3" s="1">
        <v>46230</v>
      </c>
      <c r="B3" s="2">
        <v>23.5</v>
      </c>
      <c r="C3" s="8">
        <v>0.42916666666666659</v>
      </c>
      <c r="D3" s="24">
        <f>IF(C3="", "–", _xlfn.MINIFS(Log!$G$3:$G$2000, Log!$A$3:$A$2000, $A3, Log!$E$3:$E$2000,"&gt;=50"))</f>
        <v>24.000000000000234</v>
      </c>
    </row>
    <row r="4" spans="1:5" x14ac:dyDescent="0.3">
      <c r="A4" s="1">
        <v>46231</v>
      </c>
      <c r="B4" s="2">
        <v>23.5</v>
      </c>
      <c r="C4" s="8">
        <v>0.38194444444444442</v>
      </c>
      <c r="D4" s="24">
        <f>IF(C4="", "–", _xlfn.MINIFS(Log!$G$3:$G$2000, Log!$A$3:$A$2000, $A4, Log!$E$3:$E$2000,"&gt;=50"))</f>
        <v>26.000000000000068</v>
      </c>
    </row>
    <row r="5" spans="1:5" ht="28.8" x14ac:dyDescent="0.3">
      <c r="A5" s="1">
        <v>46232</v>
      </c>
      <c r="B5" s="2">
        <v>25.5</v>
      </c>
      <c r="C5" s="8">
        <v>0.73472222222222228</v>
      </c>
      <c r="D5" s="24">
        <f>IF(C5="", "–", _xlfn.MINIFS(Log!$G$3:$G$2000, Log!$A$3:$A$2000, $A5, Log!$E$3:$E$2000,"&gt;=50"))</f>
        <v>15.999999999999943</v>
      </c>
      <c r="E5" s="15" t="s">
        <v>10</v>
      </c>
    </row>
    <row r="6" spans="1:5" ht="43.2" x14ac:dyDescent="0.3">
      <c r="A6" s="1">
        <v>46233</v>
      </c>
      <c r="B6" s="2">
        <v>24.5</v>
      </c>
      <c r="C6" s="8">
        <v>0.40972222222222221</v>
      </c>
      <c r="D6" s="24">
        <f>IF(C6="", "–", _xlfn.MINIFS(Log!$G$3:$G$2000, Log!$A$3:$A$2000, $A6, Log!$E$3:$E$2000,"&gt;=50"))</f>
        <v>19.000000000000014</v>
      </c>
      <c r="E6" s="15" t="s">
        <v>17</v>
      </c>
    </row>
    <row r="7" spans="1:5" x14ac:dyDescent="0.3">
      <c r="A7" s="1">
        <v>46234</v>
      </c>
      <c r="B7" s="2">
        <v>24</v>
      </c>
      <c r="C7" s="8">
        <v>0.43055555555555558</v>
      </c>
      <c r="D7" s="24">
        <f>IF(C7="", "–", _xlfn.MINIFS(Log!$G$3:$G$2000, Log!$A$3:$A$2000, $A7, Log!$E$3:$E$2000,"&gt;=50"))</f>
        <v>20.999999999999925</v>
      </c>
      <c r="E7" s="15" t="s">
        <v>15</v>
      </c>
    </row>
    <row r="8" spans="1:5" x14ac:dyDescent="0.3">
      <c r="A8" s="1">
        <v>46235</v>
      </c>
      <c r="B8" s="2">
        <v>24</v>
      </c>
      <c r="C8" s="8">
        <v>0.70625000000000004</v>
      </c>
      <c r="D8" s="24">
        <f>IF(C8="", "–", _xlfn.MINIFS(Log!$G$3:$G$2000, Log!$A$3:$A$2000, $A8, Log!$E$3:$E$2000,"&gt;=50"))</f>
        <v>21.583333333333243</v>
      </c>
      <c r="E8" s="26" t="s">
        <v>40</v>
      </c>
    </row>
    <row r="9" spans="1:5" x14ac:dyDescent="0.3">
      <c r="A9" s="1">
        <v>46237</v>
      </c>
      <c r="B9" s="2">
        <v>23.5</v>
      </c>
      <c r="C9" s="8">
        <v>0.40972222222222221</v>
      </c>
      <c r="D9" s="24">
        <f>IF(C9="", "–", _xlfn.MINIFS(Log!$G$3:$G$2000, Log!$A$3:$A$2000, $A9, Log!$E$3:$E$2000,"&gt;=50"))</f>
        <v>21.216666666666654</v>
      </c>
    </row>
    <row r="10" spans="1:5" ht="72" x14ac:dyDescent="0.3">
      <c r="A10" s="1">
        <v>46238</v>
      </c>
      <c r="B10" s="2">
        <v>24.5</v>
      </c>
      <c r="C10" s="8">
        <v>0.42986111111111114</v>
      </c>
      <c r="D10" s="24">
        <f>IF(C10="", "–", _xlfn.MINIFS(Log!$G$3:$G$2000, Log!$A$3:$A$2000, $A10, Log!$E$3:$E$2000,"&gt;=50"))</f>
        <v>21.066666666666627</v>
      </c>
      <c r="E10" s="15" t="s">
        <v>46</v>
      </c>
    </row>
    <row r="11" spans="1:5" x14ac:dyDescent="0.3">
      <c r="A11" s="1">
        <v>46239</v>
      </c>
      <c r="B11" s="2">
        <v>24.5</v>
      </c>
      <c r="C11" s="8">
        <v>0.48333333333333334</v>
      </c>
      <c r="D11" s="24">
        <f>IF(C11="", "–", _xlfn.MINIFS(Log!$G$3:$G$2000, Log!$A$3:$A$2000, $A11, Log!$E$3:$E$2000,"&gt;=50"))</f>
        <v>19.600000000000026</v>
      </c>
      <c r="E11" s="15" t="s">
        <v>47</v>
      </c>
    </row>
    <row r="12" spans="1:5" x14ac:dyDescent="0.3">
      <c r="A12" s="1">
        <v>46240</v>
      </c>
      <c r="B12" s="2">
        <v>24</v>
      </c>
      <c r="C12" s="8">
        <v>0.43888888888888888</v>
      </c>
      <c r="D12" s="24">
        <f>IF(C12="", "–", _xlfn.MINIFS(Log!$G$3:$G$2000, Log!$A$3:$A$2000, $A12, Log!$E$3:$E$2000,"&gt;=50"))</f>
        <v>20.133333333333336</v>
      </c>
    </row>
    <row r="13" spans="1:5" x14ac:dyDescent="0.3">
      <c r="A13" s="1">
        <v>46242</v>
      </c>
      <c r="B13" s="2">
        <v>24</v>
      </c>
      <c r="C13" s="8">
        <v>0.55833333333333335</v>
      </c>
      <c r="D13" s="24">
        <f>IF(C13="", "–", _xlfn.MINIFS(Log!$G$3:$G$2000, Log!$A$3:$A$2000, $A13, Log!$E$3:$E$2000,"&gt;=50"))</f>
        <v>19.616666666666642</v>
      </c>
    </row>
    <row r="14" spans="1:5" ht="28.8" x14ac:dyDescent="0.3">
      <c r="A14" s="1">
        <v>46244</v>
      </c>
      <c r="B14" s="2">
        <v>24</v>
      </c>
      <c r="C14" s="8">
        <v>0.44374999999999998</v>
      </c>
      <c r="D14" s="24">
        <f>IF(C14="", "–", _xlfn.MINIFS(Log!$G$3:$G$2000, Log!$A$3:$A$2000, $A14, Log!$E$3:$E$2000,"&gt;=50"))</f>
        <v>18.850000000000069</v>
      </c>
      <c r="E14" s="15" t="s">
        <v>50</v>
      </c>
    </row>
    <row r="15" spans="1:5" x14ac:dyDescent="0.3">
      <c r="A15" s="1">
        <v>46245</v>
      </c>
      <c r="B15" s="2">
        <v>23.5</v>
      </c>
      <c r="C15" s="8">
        <v>0.38194444444444442</v>
      </c>
      <c r="D15" s="24">
        <f>IF(C15="", "–", _xlfn.MINIFS(Log!$G$3:$G$2000, Log!$A$3:$A$2000, $A15, Log!$E$3:$E$2000,"&gt;=50"))</f>
        <v>21.350000000000058</v>
      </c>
      <c r="E15" s="15" t="s">
        <v>51</v>
      </c>
    </row>
    <row r="16" spans="1:5" x14ac:dyDescent="0.3">
      <c r="A16" s="1">
        <v>46246</v>
      </c>
      <c r="B16" s="2">
        <v>24</v>
      </c>
      <c r="C16" s="8">
        <v>0.41597222222222224</v>
      </c>
      <c r="D16" s="24">
        <f>IF(C16="", "–", _xlfn.MINIFS(Log!$G$3:$G$2000, Log!$A$3:$A$2000, $A16, Log!$E$3:$E$2000,"&gt;=50"))</f>
        <v>21.449999999999996</v>
      </c>
    </row>
    <row r="17" spans="1:5" x14ac:dyDescent="0.3">
      <c r="A17" s="1">
        <v>46247</v>
      </c>
      <c r="B17" s="2">
        <v>24.5</v>
      </c>
      <c r="C17" s="8">
        <v>0.40972222222222221</v>
      </c>
      <c r="D17" s="24">
        <f>IF(C17="", "–", _xlfn.MINIFS(Log!$G$3:$G$2000, Log!$A$3:$A$2000, $A17, Log!$E$3:$E$2000,"&gt;=50"))</f>
        <v>19.000000000000014</v>
      </c>
    </row>
    <row r="18" spans="1:5" x14ac:dyDescent="0.3">
      <c r="A18" s="1">
        <v>46248</v>
      </c>
      <c r="B18" s="2">
        <v>25</v>
      </c>
      <c r="C18" s="8">
        <v>0.43472222222222223</v>
      </c>
      <c r="D18" s="24">
        <f>IF(C18="", "–", _xlfn.MINIFS(Log!$G$3:$G$2000, Log!$A$3:$A$2000, $A18, Log!$E$3:$E$2000,"&gt;=50"))</f>
        <v>17.899999999999999</v>
      </c>
    </row>
    <row r="19" spans="1:5" x14ac:dyDescent="0.3">
      <c r="A19" s="1">
        <v>46251</v>
      </c>
      <c r="B19" s="2">
        <v>24.5</v>
      </c>
      <c r="C19" s="8">
        <v>0.55902777777777779</v>
      </c>
      <c r="D19" s="24">
        <f>IF(C19="", "–", _xlfn.MINIFS(Log!$G$3:$G$2000, Log!$A$3:$A$2000, $A19, Log!$E$3:$E$2000,"&gt;=50"))</f>
        <v>21.483333333333388</v>
      </c>
    </row>
    <row r="20" spans="1:5" x14ac:dyDescent="0.3">
      <c r="A20" s="1">
        <v>46252</v>
      </c>
      <c r="B20" s="2">
        <v>24.5</v>
      </c>
      <c r="C20" s="8">
        <v>0.42708333333333331</v>
      </c>
      <c r="D20" s="24">
        <f>IF(C20="", "–", _xlfn.MINIFS(Log!$G$3:$G$2000, Log!$A$3:$A$2000, $A20, Log!$E$3:$E$2000,"&gt;=50"))</f>
        <v>19.63333333333334</v>
      </c>
    </row>
    <row r="21" spans="1:5" x14ac:dyDescent="0.3">
      <c r="A21" s="1">
        <v>46253</v>
      </c>
      <c r="B21" s="2">
        <v>24.5</v>
      </c>
      <c r="C21" s="8">
        <v>0.45902777777777776</v>
      </c>
      <c r="D21" s="24">
        <f>IF(C21="", "–", _xlfn.MINIFS(Log!$G$3:$G$2000, Log!$A$3:$A$2000, $A21, Log!$E$3:$E$2000,"&gt;=50"))</f>
        <v>20.11666666666672</v>
      </c>
    </row>
    <row r="22" spans="1:5" x14ac:dyDescent="0.3">
      <c r="A22" s="1">
        <v>46254</v>
      </c>
      <c r="B22" s="2">
        <v>24.5</v>
      </c>
      <c r="C22" s="8">
        <v>0.54236111111111107</v>
      </c>
      <c r="D22" s="24">
        <f>IF(C22="", "–", _xlfn.MINIFS(Log!$G$3:$G$2000, Log!$A$3:$A$2000, $A22, Log!$E$3:$E$2000,"&gt;=50"))</f>
        <v>20.883333333333454</v>
      </c>
    </row>
    <row r="23" spans="1:5" ht="28.8" x14ac:dyDescent="0.3">
      <c r="A23" s="1">
        <v>46255</v>
      </c>
      <c r="B23" s="2">
        <v>23.5</v>
      </c>
      <c r="C23" s="8">
        <v>0.59305555555555556</v>
      </c>
      <c r="D23" s="24">
        <f>IF(C23="", "–", _xlfn.MINIFS(Log!$G$3:$G$2000, Log!$A$3:$A$2000, $A23, Log!$E$3:$E$2000,"&gt;=50"))</f>
        <v>18.816666666666677</v>
      </c>
      <c r="E23" s="15" t="s">
        <v>52</v>
      </c>
    </row>
    <row r="24" spans="1:5" x14ac:dyDescent="0.3">
      <c r="A24" s="1">
        <v>46258</v>
      </c>
      <c r="B24" s="2">
        <v>23</v>
      </c>
      <c r="C24" s="8">
        <v>0.49236111111111114</v>
      </c>
      <c r="D24" s="24">
        <f>IF(C24="", "–", _xlfn.MINIFS(Log!$G$3:$G$2000, Log!$A$3:$A$2000, $A24, Log!$E$3:$E$2000,"&gt;=50"))</f>
        <v>23.766666666666652</v>
      </c>
    </row>
    <row r="25" spans="1:5" x14ac:dyDescent="0.3">
      <c r="A25" s="1">
        <v>46260</v>
      </c>
      <c r="B25" s="2">
        <v>23.5</v>
      </c>
      <c r="C25" s="8">
        <v>0.43472222222222223</v>
      </c>
      <c r="D25" s="24">
        <f>IF(C25="", "–", _xlfn.MINIFS(Log!$G$3:$G$2000, Log!$A$3:$A$2000, $A25, Log!$E$3:$E$2000,"&gt;=50"))</f>
        <v>21.116666666666639</v>
      </c>
    </row>
    <row r="26" spans="1:5" x14ac:dyDescent="0.3">
      <c r="A26" s="1">
        <v>0</v>
      </c>
      <c r="D26" s="24" t="str">
        <f>IF(AND(C26&lt;&gt;"", B26&lt;&gt;""), IF(COUNTIFS(Log!$A$3:$A$10007,#REF!,Log!$E$3:$E$10007,"&gt;=50")=0,"–",_xlfn.MINIFS(Log!$G$3:$G$10007,Log!$A$3:$A$10007,#REF!,Log!$E$3:$E$10007,"&gt;=50")), "")</f>
        <v/>
      </c>
    </row>
    <row r="27" spans="1:5" x14ac:dyDescent="0.3">
      <c r="A27" s="1"/>
      <c r="D27" s="24" t="str">
        <f>IF(AND(C27&lt;&gt;"", B27&lt;&gt;""), IF(COUNTIFS(Log!$A$3:$A$10007,#REF!,Log!$E$3:$E$10007,"&gt;=50")=0,"–",_xlfn.MINIFS(Log!$G$3:$G$10007,Log!$A$3:$A$10007,#REF!,Log!$E$3:$E$10007,"&gt;=50")), "")</f>
        <v/>
      </c>
    </row>
    <row r="28" spans="1:5" x14ac:dyDescent="0.3">
      <c r="A28" s="1"/>
      <c r="D28" s="24" t="str">
        <f>IF(AND(C28&lt;&gt;"", B28&lt;&gt;""), IF(COUNTIFS(Log!$A$3:$A$10007,#REF!,Log!$E$3:$E$10007,"&gt;=50")=0,"–",_xlfn.MINIFS(Log!$G$3:$G$10007,Log!$A$3:$A$10007,#REF!,Log!$E$3:$E$10007,"&gt;=50")), "")</f>
        <v/>
      </c>
    </row>
    <row r="29" spans="1:5" x14ac:dyDescent="0.3">
      <c r="A29" s="1"/>
      <c r="D29" s="24" t="str">
        <f>IF(AND(C29&lt;&gt;"", B29&lt;&gt;""), IF(COUNTIFS(Log!$A$3:$A$10007,#REF!,Log!$E$3:$E$10007,"&gt;=50")=0,"–",_xlfn.MINIFS(Log!$G$3:$G$10007,Log!$A$3:$A$10007,#REF!,Log!$E$3:$E$10007,"&gt;=50")), "")</f>
        <v/>
      </c>
    </row>
    <row r="30" spans="1:5" x14ac:dyDescent="0.3">
      <c r="A30" s="1"/>
      <c r="D30" s="24" t="str">
        <f>IF(AND(C30&lt;&gt;"", B30&lt;&gt;""), IF(COUNTIFS(Log!$A$3:$A$10007,#REF!,Log!$E$3:$E$10007,"&gt;=50")=0,"–",_xlfn.MINIFS(Log!$G$3:$G$10007,Log!$A$3:$A$10007,#REF!,Log!$E$3:$E$10007,"&gt;=50")), "")</f>
        <v/>
      </c>
    </row>
    <row r="31" spans="1:5" x14ac:dyDescent="0.3">
      <c r="A31" s="1"/>
      <c r="D31" s="24" t="str">
        <f>IF(AND(C31&lt;&gt;"", B31&lt;&gt;""), IF(COUNTIFS(Log!$A$3:$A$10007,#REF!,Log!$E$3:$E$10007,"&gt;=50")=0,"–",_xlfn.MINIFS(Log!$G$3:$G$10007,Log!$A$3:$A$10007,#REF!,Log!$E$3:$E$10007,"&gt;=50")), "")</f>
        <v/>
      </c>
    </row>
    <row r="32" spans="1:5" x14ac:dyDescent="0.3">
      <c r="A32" s="1"/>
      <c r="D32" s="24" t="str">
        <f>IF(AND(C32&lt;&gt;"", B32&lt;&gt;""), IF(COUNTIFS(Log!$A$3:$A$10007,#REF!,Log!$E$3:$E$10007,"&gt;=50")=0,"–",_xlfn.MINIFS(Log!$G$3:$G$10007,Log!$A$3:$A$10007,#REF!,Log!$E$3:$E$10007,"&gt;=50")), "")</f>
        <v/>
      </c>
    </row>
    <row r="33" spans="1:4" x14ac:dyDescent="0.3">
      <c r="A33" s="1"/>
      <c r="D33" s="24" t="str">
        <f>IF(AND(C33&lt;&gt;"", B33&lt;&gt;""), IF(COUNTIFS(Log!$A$3:$A$10007,#REF!,Log!$E$3:$E$10007,"&gt;=50")=0,"–",_xlfn.MINIFS(Log!$G$3:$G$10007,Log!$A$3:$A$10007,#REF!,Log!$E$3:$E$10007,"&gt;=50")), "")</f>
        <v/>
      </c>
    </row>
    <row r="34" spans="1:4" x14ac:dyDescent="0.3">
      <c r="A34" s="1"/>
      <c r="D34" s="24" t="str">
        <f>IF(AND(C34&lt;&gt;"", B34&lt;&gt;""), IF(COUNTIFS(Log!$A$3:$A$10007,#REF!,Log!$E$3:$E$10007,"&gt;=50")=0,"–",_xlfn.MINIFS(Log!$G$3:$G$10007,Log!$A$3:$A$10007,#REF!,Log!$E$3:$E$10007,"&gt;=50")), "")</f>
        <v/>
      </c>
    </row>
    <row r="35" spans="1:4" x14ac:dyDescent="0.3">
      <c r="A35" s="1"/>
      <c r="D35" s="24" t="str">
        <f>IF(AND(C35&lt;&gt;"", B35&lt;&gt;""), IF(COUNTIFS(Log!$A$3:$A$10007,#REF!,Log!$E$3:$E$10007,"&gt;=50")=0,"–",_xlfn.MINIFS(Log!$G$3:$G$10007,Log!$A$3:$A$10007,#REF!,Log!$E$3:$E$10007,"&gt;=50")), "")</f>
        <v/>
      </c>
    </row>
    <row r="36" spans="1:4" x14ac:dyDescent="0.3">
      <c r="A36" s="1"/>
      <c r="D36" s="24" t="str">
        <f>IF(AND(C36&lt;&gt;"", B36&lt;&gt;""), IF(COUNTIFS(Log!$A$3:$A$10007,#REF!,Log!$E$3:$E$10007,"&gt;=50")=0,"–",_xlfn.MINIFS(Log!$G$3:$G$10007,Log!$A$3:$A$10007,#REF!,Log!$E$3:$E$10007,"&gt;=50")), "")</f>
        <v/>
      </c>
    </row>
    <row r="37" spans="1:4" x14ac:dyDescent="0.3">
      <c r="A37" s="1"/>
      <c r="D37" s="24" t="str">
        <f>IF(AND(C37&lt;&gt;"", B37&lt;&gt;""), IF(COUNTIFS(Log!$A$3:$A$10007,#REF!,Log!$E$3:$E$10007,"&gt;=50")=0,"–",_xlfn.MINIFS(Log!$G$3:$G$10007,Log!$A$3:$A$10007,#REF!,Log!$E$3:$E$10007,"&gt;=50")), "")</f>
        <v/>
      </c>
    </row>
    <row r="38" spans="1:4" x14ac:dyDescent="0.3">
      <c r="A38" s="1"/>
      <c r="D38" s="24" t="str">
        <f>IF(AND(C38&lt;&gt;"", B38&lt;&gt;""), IF(COUNTIFS(Log!$A$3:$A$10007,#REF!,Log!$E$3:$E$10007,"&gt;=50")=0,"–",_xlfn.MINIFS(Log!$G$3:$G$10007,Log!$A$3:$A$10007,#REF!,Log!$E$3:$E$10007,"&gt;=50")), "")</f>
        <v/>
      </c>
    </row>
    <row r="39" spans="1:4" x14ac:dyDescent="0.3">
      <c r="A39" s="1"/>
      <c r="D39" s="24" t="str">
        <f>IF(AND(C39&lt;&gt;"", B39&lt;&gt;""), IF(COUNTIFS(Log!$A$3:$A$10007,#REF!,Log!$E$3:$E$10007,"&gt;=50")=0,"–",_xlfn.MINIFS(Log!$G$3:$G$10007,Log!$A$3:$A$10007,#REF!,Log!$E$3:$E$10007,"&gt;=50")), "")</f>
        <v/>
      </c>
    </row>
    <row r="40" spans="1:4" x14ac:dyDescent="0.3">
      <c r="A40" s="1"/>
      <c r="D40" s="24" t="str">
        <f>IF(AND(C40&lt;&gt;"", B40&lt;&gt;""), IF(COUNTIFS(Log!$A$3:$A$10007,#REF!,Log!$E$3:$E$10007,"&gt;=50")=0,"–",_xlfn.MINIFS(Log!$G$3:$G$10007,Log!$A$3:$A$10007,#REF!,Log!$E$3:$E$10007,"&gt;=50")), "")</f>
        <v/>
      </c>
    </row>
    <row r="41" spans="1:4" x14ac:dyDescent="0.3">
      <c r="A41" s="1"/>
      <c r="D41" s="24" t="str">
        <f>IF(AND(C41&lt;&gt;"", B41&lt;&gt;""), IF(COUNTIFS(Log!$A$3:$A$10007,#REF!,Log!$E$3:$E$10007,"&gt;=50")=0,"–",_xlfn.MINIFS(Log!$G$3:$G$10007,Log!$A$3:$A$10007,#REF!,Log!$E$3:$E$10007,"&gt;=50")), "")</f>
        <v/>
      </c>
    </row>
    <row r="42" spans="1:4" x14ac:dyDescent="0.3">
      <c r="A42" s="1"/>
      <c r="D42" s="24" t="str">
        <f>IF(AND(C42&lt;&gt;"", B42&lt;&gt;""), IF(COUNTIFS(Log!$A$3:$A$10007,#REF!,Log!$E$3:$E$10007,"&gt;=50")=0,"–",_xlfn.MINIFS(Log!$G$3:$G$10007,Log!$A$3:$A$10007,#REF!,Log!$E$3:$E$10007,"&gt;=50")), "")</f>
        <v/>
      </c>
    </row>
    <row r="43" spans="1:4" x14ac:dyDescent="0.3">
      <c r="A43" s="1"/>
      <c r="D43" s="24" t="str">
        <f>IF(AND(C43&lt;&gt;"", B43&lt;&gt;""), IF(COUNTIFS(Log!$A$3:$A$10007,#REF!,Log!$E$3:$E$10007,"&gt;=50")=0,"–",_xlfn.MINIFS(Log!$G$3:$G$10007,Log!$A$3:$A$10007,#REF!,Log!$E$3:$E$10007,"&gt;=50")), "")</f>
        <v/>
      </c>
    </row>
    <row r="44" spans="1:4" x14ac:dyDescent="0.3">
      <c r="A44" s="1"/>
      <c r="D44" s="24" t="str">
        <f>IF(AND(C44&lt;&gt;"", B44&lt;&gt;""), IF(COUNTIFS(Log!$A$3:$A$10007,#REF!,Log!$E$3:$E$10007,"&gt;=50")=0,"–",_xlfn.MINIFS(Log!$G$3:$G$10007,Log!$A$3:$A$10007,#REF!,Log!$E$3:$E$10007,"&gt;=50")), "")</f>
        <v/>
      </c>
    </row>
    <row r="45" spans="1:4" x14ac:dyDescent="0.3">
      <c r="A45" s="1"/>
      <c r="D45" s="24" t="str">
        <f>IF(AND(C45&lt;&gt;"", B45&lt;&gt;""), IF(COUNTIFS(Log!$A$3:$A$10007,#REF!,Log!$E$3:$E$10007,"&gt;=50")=0,"–",_xlfn.MINIFS(Log!$G$3:$G$10007,Log!$A$3:$A$10007,#REF!,Log!$E$3:$E$10007,"&gt;=50")), "")</f>
        <v/>
      </c>
    </row>
    <row r="46" spans="1:4" x14ac:dyDescent="0.3">
      <c r="A46" s="1"/>
      <c r="D46" s="24" t="str">
        <f>IF(AND(C46&lt;&gt;"", B46&lt;&gt;""), IF(COUNTIFS(Log!$A$3:$A$10007,#REF!,Log!$E$3:$E$10007,"&gt;=50")=0,"–",_xlfn.MINIFS(Log!$G$3:$G$10007,Log!$A$3:$A$10007,#REF!,Log!$E$3:$E$10007,"&gt;=50")), "")</f>
        <v/>
      </c>
    </row>
    <row r="47" spans="1:4" x14ac:dyDescent="0.3">
      <c r="A47" s="1"/>
      <c r="D47" s="24" t="str">
        <f>IF(AND(C47&lt;&gt;"", B47&lt;&gt;""), IF(COUNTIFS(Log!$A$3:$A$10007,#REF!,Log!$E$3:$E$10007,"&gt;=50")=0,"–",_xlfn.MINIFS(Log!$G$3:$G$10007,Log!$A$3:$A$10007,#REF!,Log!$E$3:$E$10007,"&gt;=50")), "")</f>
        <v/>
      </c>
    </row>
    <row r="48" spans="1:4" x14ac:dyDescent="0.3">
      <c r="A48" s="1"/>
      <c r="D48" s="24" t="str">
        <f>IF(AND(C48&lt;&gt;"", B48&lt;&gt;""), IF(COUNTIFS(Log!$A$3:$A$10007,#REF!,Log!$E$3:$E$10007,"&gt;=50")=0,"–",_xlfn.MINIFS(Log!$G$3:$G$10007,Log!$A$3:$A$10007,#REF!,Log!$E$3:$E$10007,"&gt;=50")), "")</f>
        <v/>
      </c>
    </row>
    <row r="49" spans="1:4" x14ac:dyDescent="0.3">
      <c r="A49" s="1"/>
      <c r="D49" s="24" t="str">
        <f>IF(AND(C49&lt;&gt;"", B49&lt;&gt;""), IF(COUNTIFS(Log!$A$3:$A$10007,#REF!,Log!$E$3:$E$10007,"&gt;=50")=0,"–",_xlfn.MINIFS(Log!$G$3:$G$10007,Log!$A$3:$A$10007,#REF!,Log!$E$3:$E$10007,"&gt;=50")), "")</f>
        <v/>
      </c>
    </row>
    <row r="50" spans="1:4" x14ac:dyDescent="0.3">
      <c r="A50" s="1"/>
      <c r="D50" s="24" t="str">
        <f>IF(AND(C50&lt;&gt;"", B50&lt;&gt;""), IF(COUNTIFS(Log!$A$3:$A$10007,#REF!,Log!$E$3:$E$10007,"&gt;=50")=0,"–",_xlfn.MINIFS(Log!$G$3:$G$10007,Log!$A$3:$A$10007,#REF!,Log!$E$3:$E$10007,"&gt;=50")), "")</f>
        <v/>
      </c>
    </row>
    <row r="51" spans="1:4" x14ac:dyDescent="0.3">
      <c r="A51" s="1"/>
      <c r="D51" s="24" t="str">
        <f>IF(AND(C51&lt;&gt;"", B51&lt;&gt;""), IF(COUNTIFS(Log!$A$3:$A$10007,#REF!,Log!$E$3:$E$10007,"&gt;=50")=0,"–",_xlfn.MINIFS(Log!$G$3:$G$10007,Log!$A$3:$A$10007,#REF!,Log!$E$3:$E$10007,"&gt;=50")), "")</f>
        <v/>
      </c>
    </row>
    <row r="52" spans="1:4" x14ac:dyDescent="0.3">
      <c r="A52" s="1"/>
      <c r="D52" s="24" t="str">
        <f>IF(AND(C52&lt;&gt;"", B52&lt;&gt;""), IF(COUNTIFS(Log!$A$3:$A$10007,#REF!,Log!$E$3:$E$10007,"&gt;=50")=0,"–",_xlfn.MINIFS(Log!$G$3:$G$10007,Log!$A$3:$A$10007,#REF!,Log!$E$3:$E$10007,"&gt;=50")), "")</f>
        <v/>
      </c>
    </row>
    <row r="53" spans="1:4" x14ac:dyDescent="0.3">
      <c r="A53" s="1"/>
      <c r="D53" s="24" t="str">
        <f>IF(AND(C53&lt;&gt;"", B53&lt;&gt;""), IF(COUNTIFS(Log!$A$3:$A$10007,#REF!,Log!$E$3:$E$10007,"&gt;=50")=0,"–",_xlfn.MINIFS(Log!$G$3:$G$10007,Log!$A$3:$A$10007,#REF!,Log!$E$3:$E$10007,"&gt;=50")), "")</f>
        <v/>
      </c>
    </row>
    <row r="54" spans="1:4" x14ac:dyDescent="0.3">
      <c r="A54" s="1"/>
      <c r="D54" s="24" t="str">
        <f>IF(AND(C54&lt;&gt;"", B54&lt;&gt;""), IF(COUNTIFS(Log!$A$3:$A$10007,#REF!,Log!$E$3:$E$10007,"&gt;=50")=0,"–",_xlfn.MINIFS(Log!$G$3:$G$10007,Log!$A$3:$A$10007,#REF!,Log!$E$3:$E$10007,"&gt;=50")), "")</f>
        <v/>
      </c>
    </row>
    <row r="55" spans="1:4" x14ac:dyDescent="0.3">
      <c r="A55" s="1"/>
      <c r="D55" s="24" t="str">
        <f>IF(AND(C55&lt;&gt;"", B55&lt;&gt;""), IF(COUNTIFS(Log!$A$3:$A$10007,#REF!,Log!$E$3:$E$10007,"&gt;=50")=0,"–",_xlfn.MINIFS(Log!$G$3:$G$10007,Log!$A$3:$A$10007,#REF!,Log!$E$3:$E$10007,"&gt;=50")), "")</f>
        <v/>
      </c>
    </row>
    <row r="56" spans="1:4" x14ac:dyDescent="0.3">
      <c r="A56" s="1"/>
      <c r="D56" s="24" t="str">
        <f>IF(AND(C56&lt;&gt;"", B56&lt;&gt;""), IF(COUNTIFS(Log!$A$3:$A$10007,#REF!,Log!$E$3:$E$10007,"&gt;=50")=0,"–",_xlfn.MINIFS(Log!$G$3:$G$10007,Log!$A$3:$A$10007,#REF!,Log!$E$3:$E$10007,"&gt;=50")), "")</f>
        <v/>
      </c>
    </row>
    <row r="57" spans="1:4" x14ac:dyDescent="0.3">
      <c r="D57" s="24" t="str">
        <f>IF(AND(C57&lt;&gt;"", B57&lt;&gt;""), IF(COUNTIFS(Log!$A$3:$A$10007,#REF!,Log!$E$3:$E$10007,"&gt;=50")=0,"–",_xlfn.MINIFS(Log!$G$3:$G$10007,Log!$A$3:$A$10007,#REF!,Log!$E$3:$E$10007,"&gt;=50")), "")</f>
        <v/>
      </c>
    </row>
    <row r="58" spans="1:4" x14ac:dyDescent="0.3">
      <c r="D58" s="24" t="str">
        <f>IF(AND(C58&lt;&gt;"", B58&lt;&gt;""), IF(COUNTIFS(Log!$A$3:$A$10007,#REF!,Log!$E$3:$E$10007,"&gt;=50")=0,"–",_xlfn.MINIFS(Log!$G$3:$G$10007,Log!$A$3:$A$10007,#REF!,Log!$E$3:$E$10007,"&gt;=50")), "")</f>
        <v/>
      </c>
    </row>
    <row r="59" spans="1:4" x14ac:dyDescent="0.3">
      <c r="D59" s="24" t="str">
        <f>IF(AND(C59&lt;&gt;"", B59&lt;&gt;""), IF(COUNTIFS(Log!$A$3:$A$10007,#REF!,Log!$E$3:$E$10007,"&gt;=50")=0,"–",_xlfn.MINIFS(Log!$G$3:$G$10007,Log!$A$3:$A$10007,#REF!,Log!$E$3:$E$10007,"&gt;=50")), "")</f>
        <v/>
      </c>
    </row>
    <row r="60" spans="1:4" x14ac:dyDescent="0.3">
      <c r="D60" s="24" t="str">
        <f>IF(AND(C60&lt;&gt;"", B60&lt;&gt;""), IF(COUNTIFS(Log!$A$3:$A$10007,#REF!,Log!$E$3:$E$10007,"&gt;=50")=0,"–",_xlfn.MINIFS(Log!$G$3:$G$10007,Log!$A$3:$A$10007,#REF!,Log!$E$3:$E$10007,"&gt;=50")), "")</f>
        <v/>
      </c>
    </row>
    <row r="61" spans="1:4" x14ac:dyDescent="0.3">
      <c r="D61" s="24" t="str">
        <f>IF(AND(C61&lt;&gt;"", B61&lt;&gt;""), IF(COUNTIFS(Log!$A$3:$A$10007,#REF!,Log!$E$3:$E$10007,"&gt;=50")=0,"–",_xlfn.MINIFS(Log!$G$3:$G$10007,Log!$A$3:$A$10007,#REF!,Log!$E$3:$E$10007,"&gt;=50")), "")</f>
        <v/>
      </c>
    </row>
    <row r="62" spans="1:4" x14ac:dyDescent="0.3">
      <c r="D62" s="24" t="str">
        <f>IF(AND(C62&lt;&gt;"", B62&lt;&gt;""), IF(COUNTIFS(Log!$A$3:$A$10007,#REF!,Log!$E$3:$E$10007,"&gt;=50")=0,"–",_xlfn.MINIFS(Log!$G$3:$G$10007,Log!$A$3:$A$10007,#REF!,Log!$E$3:$E$10007,"&gt;=50")), "")</f>
        <v/>
      </c>
    </row>
    <row r="63" spans="1:4" x14ac:dyDescent="0.3">
      <c r="D63" s="24" t="str">
        <f>IF(AND(C63&lt;&gt;"", B63&lt;&gt;""), IF(COUNTIFS(Log!$A$3:$A$10007,#REF!,Log!$E$3:$E$10007,"&gt;=50")=0,"–",_xlfn.MINIFS(Log!$G$3:$G$10007,Log!$A$3:$A$10007,#REF!,Log!$E$3:$E$10007,"&gt;=50")), "")</f>
        <v/>
      </c>
    </row>
    <row r="64" spans="1:4" x14ac:dyDescent="0.3">
      <c r="D64" s="24" t="str">
        <f>IF(AND(C64&lt;&gt;"", B64&lt;&gt;""), IF(COUNTIFS(Log!$A$3:$A$10007,#REF!,Log!$E$3:$E$10007,"&gt;=50")=0,"–",_xlfn.MINIFS(Log!$G$3:$G$10007,Log!$A$3:$A$10007,#REF!,Log!$E$3:$E$10007,"&gt;=50")), "")</f>
        <v/>
      </c>
    </row>
    <row r="65" spans="4:4" x14ac:dyDescent="0.3">
      <c r="D65" s="24" t="str">
        <f>IF(AND(C65&lt;&gt;"", B65&lt;&gt;""), IF(COUNTIFS(Log!$A$3:$A$10007,#REF!,Log!$E$3:$E$10007,"&gt;=50")=0,"–",_xlfn.MINIFS(Log!$G$3:$G$10007,Log!$A$3:$A$10007,#REF!,Log!$E$3:$E$10007,"&gt;=50")), "")</f>
        <v/>
      </c>
    </row>
    <row r="66" spans="4:4" x14ac:dyDescent="0.3">
      <c r="D66" s="24" t="str">
        <f>IF(AND(C66&lt;&gt;"", B66&lt;&gt;""), IF(COUNTIFS(Log!$A$3:$A$10007,#REF!,Log!$E$3:$E$10007,"&gt;=50")=0,"–",_xlfn.MINIFS(Log!$G$3:$G$10007,Log!$A$3:$A$10007,#REF!,Log!$E$3:$E$10007,"&gt;=50")), "")</f>
        <v/>
      </c>
    </row>
    <row r="67" spans="4:4" x14ac:dyDescent="0.3">
      <c r="D67" s="24" t="str">
        <f>IF(AND(C67&lt;&gt;"", B67&lt;&gt;""), IF(COUNTIFS(Log!$A$3:$A$10007,#REF!,Log!$E$3:$E$10007,"&gt;=50")=0,"–",_xlfn.MINIFS(Log!$G$3:$G$10007,Log!$A$3:$A$10007,#REF!,Log!$E$3:$E$10007,"&gt;=50")), "")</f>
        <v/>
      </c>
    </row>
    <row r="68" spans="4:4" x14ac:dyDescent="0.3">
      <c r="D68" s="24" t="str">
        <f>IF(AND(C68&lt;&gt;"", B68&lt;&gt;""), IF(COUNTIFS(Log!$A$3:$A$10007,#REF!,Log!$E$3:$E$10007,"&gt;=50")=0,"–",_xlfn.MINIFS(Log!$G$3:$G$10007,Log!$A$3:$A$10007,#REF!,Log!$E$3:$E$10007,"&gt;=50")), "")</f>
        <v/>
      </c>
    </row>
    <row r="69" spans="4:4" x14ac:dyDescent="0.3">
      <c r="D69" s="24" t="str">
        <f>IF(AND(C69&lt;&gt;"", B69&lt;&gt;""), IF(COUNTIFS(Log!$A$3:$A$10007,#REF!,Log!$E$3:$E$10007,"&gt;=50")=0,"–",_xlfn.MINIFS(Log!$G$3:$G$10007,Log!$A$3:$A$10007,#REF!,Log!$E$3:$E$10007,"&gt;=50")), "")</f>
        <v/>
      </c>
    </row>
    <row r="70" spans="4:4" x14ac:dyDescent="0.3">
      <c r="D70" s="24" t="str">
        <f>IF(AND(C70&lt;&gt;"", B70&lt;&gt;""), IF(COUNTIFS(Log!$A$3:$A$10007,#REF!,Log!$E$3:$E$10007,"&gt;=50")=0,"–",_xlfn.MINIFS(Log!$G$3:$G$10007,Log!$A$3:$A$10007,#REF!,Log!$E$3:$E$10007,"&gt;=50")), "")</f>
        <v/>
      </c>
    </row>
    <row r="71" spans="4:4" x14ac:dyDescent="0.3">
      <c r="D71" s="24" t="str">
        <f>IF(AND(C71&lt;&gt;"", B71&lt;&gt;""), IF(COUNTIFS(Log!$A$3:$A$10007,#REF!,Log!$E$3:$E$10007,"&gt;=50")=0,"–",_xlfn.MINIFS(Log!$G$3:$G$10007,Log!$A$3:$A$10007,#REF!,Log!$E$3:$E$10007,"&gt;=50")), "")</f>
        <v/>
      </c>
    </row>
    <row r="72" spans="4:4" x14ac:dyDescent="0.3">
      <c r="D72" s="24" t="str">
        <f>IF(AND(C72&lt;&gt;"", B72&lt;&gt;""), IF(COUNTIFS(Log!$A$3:$A$10007,#REF!,Log!$E$3:$E$10007,"&gt;=50")=0,"–",_xlfn.MINIFS(Log!$G$3:$G$10007,Log!$A$3:$A$10007,#REF!,Log!$E$3:$E$10007,"&gt;=50")), "")</f>
        <v/>
      </c>
    </row>
    <row r="73" spans="4:4" x14ac:dyDescent="0.3">
      <c r="D73" s="24" t="str">
        <f>IF(AND(C73&lt;&gt;"", B73&lt;&gt;""), IF(COUNTIFS(Log!$A$3:$A$10007,#REF!,Log!$E$3:$E$10007,"&gt;=50")=0,"–",_xlfn.MINIFS(Log!$G$3:$G$10007,Log!$A$3:$A$10007,#REF!,Log!$E$3:$E$10007,"&gt;=50")), "")</f>
        <v/>
      </c>
    </row>
    <row r="74" spans="4:4" x14ac:dyDescent="0.3">
      <c r="D74" s="24" t="str">
        <f>IF(AND(C74&lt;&gt;"", B74&lt;&gt;""), IF(COUNTIFS(Log!$A$3:$A$10007,#REF!,Log!$E$3:$E$10007,"&gt;=50")=0,"–",_xlfn.MINIFS(Log!$G$3:$G$10007,Log!$A$3:$A$10007,#REF!,Log!$E$3:$E$10007,"&gt;=50")), "")</f>
        <v/>
      </c>
    </row>
    <row r="75" spans="4:4" x14ac:dyDescent="0.3">
      <c r="D75" s="24" t="str">
        <f>IF(AND(C75&lt;&gt;"", B75&lt;&gt;""), IF(COUNTIFS(Log!$A$3:$A$10007,#REF!,Log!$E$3:$E$10007,"&gt;=50")=0,"–",_xlfn.MINIFS(Log!$G$3:$G$10007,Log!$A$3:$A$10007,#REF!,Log!$E$3:$E$10007,"&gt;=50")), "")</f>
        <v/>
      </c>
    </row>
    <row r="76" spans="4:4" x14ac:dyDescent="0.3">
      <c r="D76" s="24" t="str">
        <f>IF(AND(C76&lt;&gt;"", B76&lt;&gt;""), IF(COUNTIFS(Log!$A$3:$A$10007,#REF!,Log!$E$3:$E$10007,"&gt;=50")=0,"–",_xlfn.MINIFS(Log!$G$3:$G$10007,Log!$A$3:$A$10007,#REF!,Log!$E$3:$E$10007,"&gt;=50")), "")</f>
        <v/>
      </c>
    </row>
    <row r="77" spans="4:4" x14ac:dyDescent="0.3">
      <c r="D77" s="24" t="str">
        <f>IF(AND(C77&lt;&gt;"", B77&lt;&gt;""), IF(COUNTIFS(Log!$A$3:$A$10007,#REF!,Log!$E$3:$E$10007,"&gt;=50")=0,"–",_xlfn.MINIFS(Log!$G$3:$G$10007,Log!$A$3:$A$10007,#REF!,Log!$E$3:$E$10007,"&gt;=50")), "")</f>
        <v/>
      </c>
    </row>
    <row r="78" spans="4:4" x14ac:dyDescent="0.3">
      <c r="D78" s="24" t="str">
        <f>IF(AND(C78&lt;&gt;"", B78&lt;&gt;""), IF(COUNTIFS(Log!$A$3:$A$10007,#REF!,Log!$E$3:$E$10007,"&gt;=50")=0,"–",_xlfn.MINIFS(Log!$G$3:$G$10007,Log!$A$3:$A$10007,#REF!,Log!$E$3:$E$10007,"&gt;=50")), "")</f>
        <v/>
      </c>
    </row>
    <row r="79" spans="4:4" x14ac:dyDescent="0.3">
      <c r="D79" s="24" t="str">
        <f>IF(AND(C79&lt;&gt;"", B79&lt;&gt;""), IF(COUNTIFS(Log!$A$3:$A$10007,#REF!,Log!$E$3:$E$10007,"&gt;=50")=0,"–",_xlfn.MINIFS(Log!$G$3:$G$10007,Log!$A$3:$A$10007,#REF!,Log!$E$3:$E$10007,"&gt;=50")), "")</f>
        <v/>
      </c>
    </row>
    <row r="80" spans="4:4" x14ac:dyDescent="0.3">
      <c r="D80" s="24" t="str">
        <f>IF(AND(C80&lt;&gt;"", B80&lt;&gt;""), IF(COUNTIFS(Log!$A$3:$A$10007,#REF!,Log!$E$3:$E$10007,"&gt;=50")=0,"–",_xlfn.MINIFS(Log!$G$3:$G$10007,Log!$A$3:$A$10007,#REF!,Log!$E$3:$E$10007,"&gt;=50")), "")</f>
        <v/>
      </c>
    </row>
    <row r="81" spans="4:4" x14ac:dyDescent="0.3">
      <c r="D81" s="24" t="str">
        <f>IF(AND(C81&lt;&gt;"", B81&lt;&gt;""), IF(COUNTIFS(Log!$A$3:$A$10007,#REF!,Log!$E$3:$E$10007,"&gt;=50")=0,"–",_xlfn.MINIFS(Log!$G$3:$G$10007,Log!$A$3:$A$10007,#REF!,Log!$E$3:$E$10007,"&gt;=50")), "")</f>
        <v/>
      </c>
    </row>
    <row r="82" spans="4:4" x14ac:dyDescent="0.3">
      <c r="D82" s="24" t="str">
        <f>IF(AND(C82&lt;&gt;"", B82&lt;&gt;""), IF(COUNTIFS(Log!$A$3:$A$10007,#REF!,Log!$E$3:$E$10007,"&gt;=50")=0,"–",_xlfn.MINIFS(Log!$G$3:$G$10007,Log!$A$3:$A$10007,#REF!,Log!$E$3:$E$10007,"&gt;=50")), "")</f>
        <v/>
      </c>
    </row>
    <row r="83" spans="4:4" x14ac:dyDescent="0.3">
      <c r="D83" s="24" t="str">
        <f>IF(AND(C83&lt;&gt;"", B83&lt;&gt;""), IF(COUNTIFS(Log!$A$3:$A$10007,#REF!,Log!$E$3:$E$10007,"&gt;=50")=0,"–",_xlfn.MINIFS(Log!$G$3:$G$10007,Log!$A$3:$A$10007,#REF!,Log!$E$3:$E$10007,"&gt;=50")), "")</f>
        <v/>
      </c>
    </row>
    <row r="84" spans="4:4" x14ac:dyDescent="0.3">
      <c r="D84" s="24" t="str">
        <f>IF(AND(C84&lt;&gt;"", B84&lt;&gt;""), IF(COUNTIFS(Log!$A$3:$A$10007,#REF!,Log!$E$3:$E$10007,"&gt;=50")=0,"–",_xlfn.MINIFS(Log!$G$3:$G$10007,Log!$A$3:$A$10007,#REF!,Log!$E$3:$E$10007,"&gt;=50")), "")</f>
        <v/>
      </c>
    </row>
    <row r="85" spans="4:4" x14ac:dyDescent="0.3">
      <c r="D85" s="24" t="str">
        <f>IF(AND(C85&lt;&gt;"", B85&lt;&gt;""), IF(COUNTIFS(Log!$A$3:$A$10007,#REF!,Log!$E$3:$E$10007,"&gt;=50")=0,"–",_xlfn.MINIFS(Log!$G$3:$G$10007,Log!$A$3:$A$10007,#REF!,Log!$E$3:$E$10007,"&gt;=50")), "")</f>
        <v/>
      </c>
    </row>
    <row r="86" spans="4:4" x14ac:dyDescent="0.3">
      <c r="D86" s="24" t="str">
        <f>IF(AND(C86&lt;&gt;"", B86&lt;&gt;""), IF(COUNTIFS(Log!$A$3:$A$10007,#REF!,Log!$E$3:$E$10007,"&gt;=50")=0,"–",_xlfn.MINIFS(Log!$G$3:$G$10007,Log!$A$3:$A$10007,#REF!,Log!$E$3:$E$10007,"&gt;=50")), "")</f>
        <v/>
      </c>
    </row>
    <row r="87" spans="4:4" x14ac:dyDescent="0.3">
      <c r="D87" s="24" t="str">
        <f>IF(AND(C87&lt;&gt;"", B87&lt;&gt;""), IF(COUNTIFS(Log!$A$3:$A$10007,#REF!,Log!$E$3:$E$10007,"&gt;=50")=0,"–",_xlfn.MINIFS(Log!$G$3:$G$10007,Log!$A$3:$A$10007,#REF!,Log!$E$3:$E$10007,"&gt;=50")), "")</f>
        <v/>
      </c>
    </row>
    <row r="88" spans="4:4" x14ac:dyDescent="0.3">
      <c r="D88" s="24" t="str">
        <f>IF(AND(C88&lt;&gt;"", B88&lt;&gt;""), IF(COUNTIFS(Log!$A$3:$A$10007,#REF!,Log!$E$3:$E$10007,"&gt;=50")=0,"–",_xlfn.MINIFS(Log!$G$3:$G$10007,Log!$A$3:$A$10007,#REF!,Log!$E$3:$E$10007,"&gt;=50")), "")</f>
        <v/>
      </c>
    </row>
    <row r="89" spans="4:4" x14ac:dyDescent="0.3">
      <c r="D89" s="24" t="str">
        <f>IF(AND(C89&lt;&gt;"", B89&lt;&gt;""), IF(COUNTIFS(Log!$A$3:$A$10007,#REF!,Log!$E$3:$E$10007,"&gt;=50")=0,"–",_xlfn.MINIFS(Log!$G$3:$G$10007,Log!$A$3:$A$10007,#REF!,Log!$E$3:$E$10007,"&gt;=50")), "")</f>
        <v/>
      </c>
    </row>
    <row r="90" spans="4:4" x14ac:dyDescent="0.3">
      <c r="D90" s="24" t="str">
        <f>IF(AND(C90&lt;&gt;"", B90&lt;&gt;""), IF(COUNTIFS(Log!$A$3:$A$10007,#REF!,Log!$E$3:$E$10007,"&gt;=50")=0,"–",_xlfn.MINIFS(Log!$G$3:$G$10007,Log!$A$3:$A$10007,#REF!,Log!$E$3:$E$10007,"&gt;=50")), "")</f>
        <v/>
      </c>
    </row>
    <row r="91" spans="4:4" x14ac:dyDescent="0.3">
      <c r="D91" s="24" t="str">
        <f>IF(AND(C91&lt;&gt;"", B91&lt;&gt;""), IF(COUNTIFS(Log!$A$3:$A$10007,#REF!,Log!$E$3:$E$10007,"&gt;=50")=0,"–",_xlfn.MINIFS(Log!$G$3:$G$10007,Log!$A$3:$A$10007,#REF!,Log!$E$3:$E$10007,"&gt;=50")), "")</f>
        <v/>
      </c>
    </row>
    <row r="92" spans="4:4" x14ac:dyDescent="0.3">
      <c r="D92" s="24" t="str">
        <f>IF(AND(C92&lt;&gt;"", B92&lt;&gt;""), IF(COUNTIFS(Log!$A$3:$A$10007,#REF!,Log!$E$3:$E$10007,"&gt;=50")=0,"–",_xlfn.MINIFS(Log!$G$3:$G$10007,Log!$A$3:$A$10007,#REF!,Log!$E$3:$E$10007,"&gt;=50")), "")</f>
        <v/>
      </c>
    </row>
    <row r="93" spans="4:4" x14ac:dyDescent="0.3">
      <c r="D93" s="24" t="str">
        <f>IF(AND(C93&lt;&gt;"", B93&lt;&gt;""), IF(COUNTIFS(Log!$A$3:$A$10007,#REF!,Log!$E$3:$E$10007,"&gt;=50")=0,"–",_xlfn.MINIFS(Log!$G$3:$G$10007,Log!$A$3:$A$10007,#REF!,Log!$E$3:$E$10007,"&gt;=50")), "")</f>
        <v/>
      </c>
    </row>
    <row r="94" spans="4:4" x14ac:dyDescent="0.3">
      <c r="D94" s="24" t="str">
        <f>IF(AND(C94&lt;&gt;"", B94&lt;&gt;""), IF(COUNTIFS(Log!$A$3:$A$10007,#REF!,Log!$E$3:$E$10007,"&gt;=50")=0,"–",_xlfn.MINIFS(Log!$G$3:$G$10007,Log!$A$3:$A$10007,#REF!,Log!$E$3:$E$10007,"&gt;=50")), "")</f>
        <v/>
      </c>
    </row>
    <row r="95" spans="4:4" x14ac:dyDescent="0.3">
      <c r="D95" s="24" t="str">
        <f>IF(AND(C95&lt;&gt;"", B95&lt;&gt;""), IF(COUNTIFS(Log!$A$3:$A$10007,#REF!,Log!$E$3:$E$10007,"&gt;=50")=0,"–",_xlfn.MINIFS(Log!$G$3:$G$10007,Log!$A$3:$A$10007,#REF!,Log!$E$3:$E$10007,"&gt;=50")), "")</f>
        <v/>
      </c>
    </row>
    <row r="96" spans="4:4" x14ac:dyDescent="0.3">
      <c r="D96" s="24" t="str">
        <f>IF(AND(C96&lt;&gt;"", B96&lt;&gt;""), IF(COUNTIFS(Log!$A$3:$A$10007,#REF!,Log!$E$3:$E$10007,"&gt;=50")=0,"–",_xlfn.MINIFS(Log!$G$3:$G$10007,Log!$A$3:$A$10007,#REF!,Log!$E$3:$E$10007,"&gt;=50")), "")</f>
        <v/>
      </c>
    </row>
    <row r="97" spans="4:4" x14ac:dyDescent="0.3">
      <c r="D97" s="24" t="str">
        <f>IF(AND(C97&lt;&gt;"", B97&lt;&gt;""), IF(COUNTIFS(Log!$A$3:$A$10007,#REF!,Log!$E$3:$E$10007,"&gt;=50")=0,"–",_xlfn.MINIFS(Log!$G$3:$G$10007,Log!$A$3:$A$10007,#REF!,Log!$E$3:$E$10007,"&gt;=50")), "")</f>
        <v/>
      </c>
    </row>
    <row r="98" spans="4:4" x14ac:dyDescent="0.3">
      <c r="D98" s="24" t="str">
        <f>IF(AND(C98&lt;&gt;"", B98&lt;&gt;""), IF(COUNTIFS(Log!$A$3:$A$10007,#REF!,Log!$E$3:$E$10007,"&gt;=50")=0,"–",_xlfn.MINIFS(Log!$G$3:$G$10007,Log!$A$3:$A$10007,#REF!,Log!$E$3:$E$10007,"&gt;=50")), "")</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8C04E-7786-4047-B158-79D276F5E1CA}">
  <sheetPr>
    <tabColor rgb="FFC65911"/>
  </sheetPr>
  <dimension ref="C19:K26"/>
  <sheetViews>
    <sheetView tabSelected="1" workbookViewId="0">
      <selection activeCell="L14" sqref="L14"/>
    </sheetView>
  </sheetViews>
  <sheetFormatPr defaultRowHeight="14.4" x14ac:dyDescent="0.3"/>
  <sheetData>
    <row r="19" spans="3:11" x14ac:dyDescent="0.3">
      <c r="K19" t="s">
        <v>49</v>
      </c>
    </row>
    <row r="22" spans="3:11" x14ac:dyDescent="0.3">
      <c r="C22" t="s">
        <v>38</v>
      </c>
    </row>
    <row r="23" spans="3:11" x14ac:dyDescent="0.3">
      <c r="C23" s="25" t="s">
        <v>39</v>
      </c>
      <c r="K23" s="16" t="s">
        <v>34</v>
      </c>
    </row>
    <row r="24" spans="3:11" x14ac:dyDescent="0.3">
      <c r="K24" s="25" t="s">
        <v>35</v>
      </c>
    </row>
    <row r="25" spans="3:11" x14ac:dyDescent="0.3">
      <c r="C25" s="16" t="s">
        <v>36</v>
      </c>
    </row>
    <row r="26" spans="3:11" x14ac:dyDescent="0.3">
      <c r="C26" s="16" t="s">
        <v>37</v>
      </c>
    </row>
  </sheetData>
  <conditionalFormatting sqref="K23">
    <cfRule type="expression" dxfId="0" priority="1">
      <formula>AND(ROW()&gt;2, COLUMN()&lt;8, MOD(ROW(),2)=0)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01A83-1FDF-45BF-A1E3-B5167A4A0F21}">
  <dimension ref="A1:Y8"/>
  <sheetViews>
    <sheetView workbookViewId="0">
      <selection activeCell="N14" sqref="N14"/>
    </sheetView>
  </sheetViews>
  <sheetFormatPr defaultRowHeight="14.4" x14ac:dyDescent="0.3"/>
  <cols>
    <col min="1" max="1" width="25.77734375" style="40" customWidth="1"/>
    <col min="2" max="2" width="8.88671875" style="38"/>
    <col min="3" max="20" width="6.77734375" style="39" customWidth="1"/>
    <col min="21" max="21" width="2.77734375" style="35" customWidth="1"/>
    <col min="22" max="22" width="8.88671875" style="36"/>
    <col min="23" max="25" width="10.77734375" style="35" customWidth="1"/>
    <col min="26" max="16384" width="8.88671875" style="35"/>
  </cols>
  <sheetData>
    <row r="1" spans="1:25" s="29" customFormat="1" ht="15" thickBot="1" x14ac:dyDescent="0.35">
      <c r="A1" s="27" t="s">
        <v>43</v>
      </c>
      <c r="B1" s="28"/>
      <c r="C1" s="28"/>
      <c r="D1" s="28"/>
      <c r="E1" s="28"/>
      <c r="F1" s="28"/>
      <c r="G1" s="28"/>
      <c r="H1" s="28"/>
      <c r="I1" s="28"/>
      <c r="J1" s="28"/>
      <c r="K1" s="28"/>
      <c r="L1" s="28"/>
      <c r="M1" s="28"/>
      <c r="N1" s="28"/>
      <c r="O1" s="28"/>
      <c r="P1" s="28"/>
      <c r="Q1" s="28"/>
      <c r="R1" s="28"/>
      <c r="S1" s="28"/>
      <c r="T1" s="28"/>
      <c r="V1" s="30"/>
    </row>
    <row r="2" spans="1:25" customFormat="1" ht="15" customHeight="1" x14ac:dyDescent="0.3">
      <c r="A2" s="49" t="s">
        <v>44</v>
      </c>
      <c r="B2" s="50"/>
      <c r="C2" s="50"/>
      <c r="D2" s="50"/>
      <c r="E2" s="50"/>
      <c r="F2" s="50"/>
      <c r="G2" s="50"/>
      <c r="H2" s="50"/>
      <c r="I2" s="50"/>
      <c r="J2" s="50"/>
      <c r="K2" s="50"/>
      <c r="L2" s="50"/>
      <c r="M2" s="50"/>
      <c r="N2" s="50"/>
      <c r="O2" s="50"/>
      <c r="P2" s="50"/>
      <c r="Q2" s="50"/>
      <c r="R2" s="50"/>
      <c r="S2" s="50"/>
      <c r="T2" s="51"/>
      <c r="V2" s="31"/>
    </row>
    <row r="3" spans="1:25" ht="26.4" customHeight="1" x14ac:dyDescent="0.3">
      <c r="A3" s="32" t="s">
        <v>41</v>
      </c>
      <c r="B3" s="33" t="s">
        <v>42</v>
      </c>
      <c r="C3" s="34" t="e" cm="1">
        <f t="array" ref="C3">LEFT(TRANSPOSE(#REF!), 3)</f>
        <v>#REF!</v>
      </c>
      <c r="D3" s="34"/>
      <c r="E3" s="34"/>
      <c r="F3" s="34"/>
      <c r="G3" s="34"/>
      <c r="H3" s="34"/>
      <c r="I3" s="45"/>
      <c r="J3" s="45"/>
      <c r="K3" s="34"/>
      <c r="L3" s="34"/>
      <c r="M3" s="34"/>
      <c r="N3" s="34"/>
      <c r="O3" s="45"/>
      <c r="P3" s="34"/>
      <c r="Q3" s="34"/>
      <c r="R3" s="34"/>
      <c r="S3" s="34"/>
      <c r="T3" s="34"/>
    </row>
    <row r="4" spans="1:25" x14ac:dyDescent="0.3">
      <c r="A4" s="37">
        <v>46238</v>
      </c>
      <c r="C4" s="41">
        <v>5</v>
      </c>
      <c r="D4" s="41">
        <v>5</v>
      </c>
      <c r="E4" s="41">
        <v>2</v>
      </c>
      <c r="F4" s="41">
        <v>2</v>
      </c>
      <c r="G4" s="41">
        <v>2</v>
      </c>
      <c r="H4" s="41">
        <v>2</v>
      </c>
      <c r="I4" s="41">
        <v>2</v>
      </c>
      <c r="J4" s="41">
        <v>2</v>
      </c>
      <c r="K4" s="41">
        <v>2</v>
      </c>
      <c r="L4" s="41"/>
      <c r="M4" s="41"/>
      <c r="N4" s="41"/>
      <c r="O4" s="41"/>
      <c r="P4" s="41"/>
      <c r="Q4" s="41"/>
      <c r="R4" s="41">
        <v>1</v>
      </c>
      <c r="S4" s="41">
        <v>1</v>
      </c>
      <c r="T4" s="41">
        <v>2</v>
      </c>
      <c r="W4" s="44" t="s">
        <v>45</v>
      </c>
      <c r="X4" s="43"/>
      <c r="Y4" s="43"/>
    </row>
    <row r="5" spans="1:25" x14ac:dyDescent="0.3">
      <c r="A5" s="37"/>
      <c r="W5" s="42"/>
      <c r="X5" s="42"/>
    </row>
    <row r="6" spans="1:25" x14ac:dyDescent="0.3">
      <c r="X6" s="42"/>
    </row>
    <row r="7" spans="1:25" x14ac:dyDescent="0.3">
      <c r="W7" s="42"/>
      <c r="X7" s="42"/>
    </row>
    <row r="8" spans="1:25" ht="42" customHeight="1" x14ac:dyDescent="0.3">
      <c r="A8" s="52" t="s">
        <v>48</v>
      </c>
      <c r="B8" s="52"/>
      <c r="C8" s="52"/>
      <c r="D8" s="52"/>
      <c r="E8" s="52"/>
      <c r="F8" s="52"/>
      <c r="G8" s="52"/>
      <c r="H8" s="52"/>
      <c r="I8" s="52"/>
      <c r="J8" s="52"/>
      <c r="K8" s="52"/>
    </row>
  </sheetData>
  <mergeCells count="2">
    <mergeCell ref="A2:T2"/>
    <mergeCell ref="A8:K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Log</vt:lpstr>
      <vt:lpstr>Daily Summary</vt:lpstr>
      <vt:lpstr>Visualisations</vt:lpstr>
      <vt:lpstr>DevScriptErrors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Newby</dc:creator>
  <cp:lastModifiedBy>Daniel Newby</cp:lastModifiedBy>
  <dcterms:created xsi:type="dcterms:W3CDTF">2015-06-05T18:17:20Z</dcterms:created>
  <dcterms:modified xsi:type="dcterms:W3CDTF">2026-08-29T19:57:28Z</dcterms:modified>
</cp:coreProperties>
</file>