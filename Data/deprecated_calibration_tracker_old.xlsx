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D071FB6B-10DA-4F8A-9FC9-EB7E7866CA61}" xr6:coauthVersionLast="47" xr6:coauthVersionMax="47" xr10:uidLastSave="{00000000-0000-0000-0000-000000000000}"/>
  <bookViews>
    <workbookView xWindow="-108" yWindow="-108" windowWidth="23256" windowHeight="13896" tabRatio="713" activeTab="4" xr2:uid="{00000000-000D-0000-FFFF-FFFF00000000}"/>
  </bookViews>
  <sheets>
    <sheet name="WIP" sheetId="1" r:id="rId1"/>
    <sheet name="Data-Lists" sheetId="2" r:id="rId2"/>
    <sheet name="Legend" sheetId="7" r:id="rId3"/>
    <sheet name="Log" sheetId="19" r:id="rId4"/>
    <sheet name="Daily IE" sheetId="21" r:id="rId5"/>
    <sheet name="Daily WE" sheetId="4" r:id="rId6"/>
    <sheet name="Errors" sheetId="16" r:id="rId7"/>
    <sheet name="Trials" sheetId="17" r:id="rId8"/>
    <sheet name="Visualisations" sheetId="18" r:id="rId9"/>
    <sheet name="Daily Camera Trends" sheetId="5" r:id="rId10"/>
    <sheet name="Daily Averages" sheetId="6" r:id="rId11"/>
    <sheet name="Daily Rank" sheetId="20" r:id="rId12"/>
    <sheet name="Daily Error Rates" sheetId="13" r:id="rId13"/>
    <sheet name="Problem Cameras" sheetId="14" r:id="rId14"/>
  </sheets>
  <definedNames>
    <definedName name="_xlnm._FilterDatabase" localSheetId="10" hidden="1">'Daily Averages'!$A$3:$K$60</definedName>
    <definedName name="_xlnm._FilterDatabase" localSheetId="5" hidden="1">'Daily WE'!$H$2:$S$653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62" i="17" l="1"/>
  <c r="T57" i="17"/>
  <c r="T56" i="17"/>
  <c r="T55" i="17"/>
  <c r="T54" i="17"/>
  <c r="T53" i="17"/>
  <c r="T52" i="17"/>
  <c r="T42" i="17"/>
  <c r="T41" i="17"/>
  <c r="T40" i="17"/>
  <c r="T39" i="17"/>
  <c r="T38" i="17"/>
  <c r="T37" i="17"/>
  <c r="T36" i="17"/>
  <c r="T35" i="17"/>
  <c r="T34" i="17"/>
  <c r="T33" i="17"/>
  <c r="T32" i="17"/>
  <c r="T31" i="17"/>
  <c r="T30" i="17"/>
  <c r="T29" i="17"/>
  <c r="T28" i="17"/>
  <c r="T27" i="17"/>
  <c r="T26" i="17"/>
  <c r="T25" i="17"/>
  <c r="T24" i="17"/>
  <c r="T23" i="17"/>
  <c r="T22" i="17"/>
  <c r="T21" i="17"/>
  <c r="T20" i="17"/>
  <c r="T19" i="17"/>
  <c r="T18" i="17"/>
  <c r="T17" i="17"/>
  <c r="T16" i="17"/>
  <c r="T15" i="17"/>
  <c r="T13" i="17"/>
  <c r="T12" i="17"/>
  <c r="T11" i="17"/>
  <c r="T10" i="17"/>
  <c r="T9" i="17"/>
  <c r="T8" i="17"/>
  <c r="T7" i="17"/>
  <c r="T5" i="17"/>
  <c r="T4" i="17"/>
  <c r="O191" i="17"/>
  <c r="N191" i="17"/>
  <c r="O190" i="17"/>
  <c r="N190" i="17"/>
  <c r="N62" i="17"/>
  <c r="U61" i="17"/>
  <c r="O61" i="17"/>
  <c r="N61" i="17"/>
  <c r="U58" i="17"/>
  <c r="O58" i="17"/>
  <c r="N58" i="17"/>
  <c r="N57" i="17"/>
  <c r="N56" i="17"/>
  <c r="N55" i="17"/>
  <c r="N54" i="17"/>
  <c r="N53" i="17"/>
  <c r="N52" i="17"/>
  <c r="U51" i="17"/>
  <c r="O51" i="17"/>
  <c r="N51" i="17"/>
  <c r="U43" i="17"/>
  <c r="O43" i="17"/>
  <c r="N43"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U14" i="17"/>
  <c r="O14" i="17"/>
  <c r="N14" i="17"/>
  <c r="N13" i="17"/>
  <c r="N12" i="17"/>
  <c r="N11" i="17"/>
  <c r="N10" i="17"/>
  <c r="N9" i="17"/>
  <c r="N8" i="17"/>
  <c r="N7" i="17"/>
  <c r="U6" i="17"/>
  <c r="O6" i="17"/>
  <c r="N6" i="17"/>
  <c r="N5" i="17"/>
  <c r="N4" i="17"/>
  <c r="U3" i="17"/>
  <c r="O3" i="17"/>
  <c r="N3" i="17"/>
  <c r="W62" i="17" l="1"/>
  <c r="V62" i="17"/>
  <c r="Q62" i="17"/>
  <c r="P62" i="17"/>
  <c r="J62" i="17"/>
  <c r="I62" i="17"/>
  <c r="H62" i="17"/>
  <c r="K62" i="17" s="1"/>
  <c r="J3" i="4" a="1"/>
  <c r="J3" i="4" s="1"/>
  <c r="E63" i="17"/>
  <c r="F63" i="17"/>
  <c r="G63" i="17"/>
  <c r="D63" i="17"/>
  <c r="AP62" i="17"/>
  <c r="H53" i="17"/>
  <c r="K53" i="17" s="1"/>
  <c r="I53" i="17"/>
  <c r="J53" i="17"/>
  <c r="P53" i="17"/>
  <c r="Q53" i="17"/>
  <c r="V53" i="17"/>
  <c r="W53" i="17"/>
  <c r="H54" i="17"/>
  <c r="K54" i="17" s="1"/>
  <c r="I54" i="17"/>
  <c r="J54" i="17"/>
  <c r="P54" i="17"/>
  <c r="Q54" i="17"/>
  <c r="V54" i="17"/>
  <c r="W54" i="17"/>
  <c r="H55" i="17"/>
  <c r="I55" i="17"/>
  <c r="J55" i="17"/>
  <c r="P55" i="17"/>
  <c r="Q55" i="17"/>
  <c r="V55" i="17"/>
  <c r="W55" i="17"/>
  <c r="H56" i="17"/>
  <c r="K56" i="17" s="1"/>
  <c r="I56" i="17"/>
  <c r="J56" i="17"/>
  <c r="P56" i="17"/>
  <c r="Q56" i="17"/>
  <c r="V56" i="17"/>
  <c r="W56" i="17"/>
  <c r="H57" i="17"/>
  <c r="K57" i="17" s="1"/>
  <c r="I57" i="17"/>
  <c r="J57" i="17"/>
  <c r="P57" i="17"/>
  <c r="Q57" i="17"/>
  <c r="V57" i="17"/>
  <c r="W57" i="17"/>
  <c r="W52" i="17"/>
  <c r="V52" i="17"/>
  <c r="Q52" i="17"/>
  <c r="P52" i="17"/>
  <c r="J52" i="17"/>
  <c r="J59" i="17" s="1"/>
  <c r="I52" i="17"/>
  <c r="H52" i="17"/>
  <c r="K52" i="17" s="1"/>
  <c r="A10" i="16"/>
  <c r="W58" i="17"/>
  <c r="V58" i="17"/>
  <c r="T58" i="17"/>
  <c r="Q58" i="17"/>
  <c r="P58" i="17"/>
  <c r="H58" i="17"/>
  <c r="K58" i="17" s="1"/>
  <c r="C60" i="17"/>
  <c r="C59" i="17"/>
  <c r="W61" i="17"/>
  <c r="V61" i="17"/>
  <c r="T61" i="17"/>
  <c r="Q61" i="17"/>
  <c r="P61" i="17"/>
  <c r="H61" i="17"/>
  <c r="K61" i="17" s="1"/>
  <c r="W51" i="17"/>
  <c r="V51" i="17"/>
  <c r="T51" i="17"/>
  <c r="Q51" i="17"/>
  <c r="P51" i="17"/>
  <c r="H51" i="17"/>
  <c r="K51" i="17" s="1"/>
  <c r="C28" i="21" a="1"/>
  <c r="C28" i="21" s="1"/>
  <c r="D28" i="21" a="1"/>
  <c r="D28" i="21" s="1"/>
  <c r="E28" i="21" a="1"/>
  <c r="E28" i="21" s="1"/>
  <c r="F28" i="21" a="1"/>
  <c r="F28" i="21" s="1"/>
  <c r="G28" i="21" a="1"/>
  <c r="G28" i="21" s="1"/>
  <c r="H28" i="21" a="1"/>
  <c r="H28" i="21" s="1"/>
  <c r="I28" i="21" a="1"/>
  <c r="I28" i="21" s="1"/>
  <c r="J28" i="21" a="1"/>
  <c r="J28" i="21" s="1"/>
  <c r="K28" i="21" a="1"/>
  <c r="K28" i="21" s="1"/>
  <c r="L28" i="21" a="1"/>
  <c r="L28" i="21" s="1"/>
  <c r="M28" i="21" a="1"/>
  <c r="M28" i="21" s="1"/>
  <c r="N28" i="21" a="1"/>
  <c r="N28" i="21" s="1"/>
  <c r="O28" i="21" a="1"/>
  <c r="O28" i="21" s="1"/>
  <c r="P28" i="21" a="1"/>
  <c r="P28" i="21" s="1"/>
  <c r="Q28" i="21" a="1"/>
  <c r="Q28" i="21" s="1"/>
  <c r="R28" i="21" a="1"/>
  <c r="R28" i="21" s="1"/>
  <c r="S28" i="21" a="1"/>
  <c r="S28" i="21" s="1"/>
  <c r="T28" i="21" a="1"/>
  <c r="T28" i="21" s="1"/>
  <c r="W28" i="21"/>
  <c r="X28" i="21"/>
  <c r="Y28" i="21"/>
  <c r="Z28" i="21"/>
  <c r="AA28" i="21"/>
  <c r="AB28" i="21"/>
  <c r="AC28" i="21"/>
  <c r="AD28" i="21"/>
  <c r="AE28" i="21"/>
  <c r="AF28" i="21"/>
  <c r="AG28" i="21"/>
  <c r="AH28" i="21"/>
  <c r="AI28" i="21"/>
  <c r="AJ28" i="21"/>
  <c r="AK28" i="21"/>
  <c r="AL28" i="21"/>
  <c r="AM28" i="21"/>
  <c r="AN28" i="21"/>
  <c r="C29" i="21" a="1"/>
  <c r="C29" i="21" s="1"/>
  <c r="D29" i="21" a="1"/>
  <c r="D29" i="21" s="1"/>
  <c r="E29" i="21" a="1"/>
  <c r="E29" i="21" s="1"/>
  <c r="F29" i="21" a="1"/>
  <c r="F29" i="21" s="1"/>
  <c r="G29" i="21" a="1"/>
  <c r="G29" i="21" s="1"/>
  <c r="H29" i="21" a="1"/>
  <c r="H29" i="21" s="1"/>
  <c r="I29" i="21" a="1"/>
  <c r="I29" i="21" s="1"/>
  <c r="J29" i="21" a="1"/>
  <c r="J29" i="21" s="1"/>
  <c r="K29" i="21" a="1"/>
  <c r="K29" i="21" s="1"/>
  <c r="L29" i="21" a="1"/>
  <c r="L29" i="21" s="1"/>
  <c r="M29" i="21" a="1"/>
  <c r="M29" i="21" s="1"/>
  <c r="N29" i="21" a="1"/>
  <c r="N29" i="21" s="1"/>
  <c r="O29" i="21" a="1"/>
  <c r="O29" i="21" s="1"/>
  <c r="P29" i="21" a="1"/>
  <c r="P29" i="21" s="1"/>
  <c r="Q29" i="21" a="1"/>
  <c r="Q29" i="21" s="1"/>
  <c r="R29" i="21" a="1"/>
  <c r="R29" i="21" s="1"/>
  <c r="S29" i="21" a="1"/>
  <c r="S29" i="21" s="1"/>
  <c r="T29" i="21" a="1"/>
  <c r="T29" i="21" s="1"/>
  <c r="W29" i="21"/>
  <c r="X29" i="21"/>
  <c r="Y29" i="21"/>
  <c r="Z29" i="21"/>
  <c r="AA29" i="21"/>
  <c r="AB29" i="21"/>
  <c r="AC29" i="21"/>
  <c r="AD29" i="21"/>
  <c r="AE29" i="21"/>
  <c r="AF29" i="21"/>
  <c r="AG29" i="21"/>
  <c r="AH29" i="21"/>
  <c r="AI29" i="21"/>
  <c r="AJ29" i="21"/>
  <c r="AK29" i="21"/>
  <c r="AL29" i="21"/>
  <c r="AM29" i="21"/>
  <c r="AN29" i="21"/>
  <c r="C30" i="21" a="1"/>
  <c r="C30" i="21" s="1"/>
  <c r="D30" i="21" a="1"/>
  <c r="D30" i="21" s="1"/>
  <c r="E30" i="21" a="1"/>
  <c r="E30" i="21" s="1"/>
  <c r="F30" i="21" a="1"/>
  <c r="F30" i="21" s="1"/>
  <c r="G30" i="21" a="1"/>
  <c r="G30" i="21" s="1"/>
  <c r="H30" i="21" a="1"/>
  <c r="H30" i="21" s="1"/>
  <c r="I30" i="21" a="1"/>
  <c r="I30" i="21" s="1"/>
  <c r="J30" i="21" a="1"/>
  <c r="J30" i="21" s="1"/>
  <c r="K30" i="21" a="1"/>
  <c r="K30" i="21" s="1"/>
  <c r="L30" i="21" a="1"/>
  <c r="L30" i="21" s="1"/>
  <c r="M30" i="21" a="1"/>
  <c r="M30" i="21" s="1"/>
  <c r="N30" i="21" a="1"/>
  <c r="N30" i="21" s="1"/>
  <c r="O30" i="21" a="1"/>
  <c r="O30" i="21" s="1"/>
  <c r="P30" i="21" a="1"/>
  <c r="P30" i="21" s="1"/>
  <c r="Q30" i="21" a="1"/>
  <c r="Q30" i="21" s="1"/>
  <c r="R30" i="21" a="1"/>
  <c r="R30" i="21" s="1"/>
  <c r="S30" i="21" a="1"/>
  <c r="S30" i="21" s="1"/>
  <c r="T30" i="21" a="1"/>
  <c r="T30" i="21" s="1"/>
  <c r="W30" i="21"/>
  <c r="X30" i="21"/>
  <c r="Y30" i="21"/>
  <c r="Z30" i="21"/>
  <c r="AA30" i="21"/>
  <c r="AB30" i="21"/>
  <c r="AC30" i="21"/>
  <c r="AD30" i="21"/>
  <c r="AE30" i="21"/>
  <c r="AF30" i="21"/>
  <c r="AG30" i="21"/>
  <c r="AH30" i="21"/>
  <c r="AI30" i="21"/>
  <c r="AJ30" i="21"/>
  <c r="AK30" i="21"/>
  <c r="AL30" i="21"/>
  <c r="AM30" i="21"/>
  <c r="AN30" i="21"/>
  <c r="C31" i="21" a="1"/>
  <c r="C31" i="21" s="1"/>
  <c r="D31" i="21" a="1"/>
  <c r="D31" i="21" s="1"/>
  <c r="E31" i="21" a="1"/>
  <c r="E31" i="21" s="1"/>
  <c r="F31" i="21" a="1"/>
  <c r="F31" i="21" s="1"/>
  <c r="G31" i="21" a="1"/>
  <c r="G31" i="21" s="1"/>
  <c r="H31" i="21" a="1"/>
  <c r="H31" i="21" s="1"/>
  <c r="I31" i="21" a="1"/>
  <c r="I31" i="21" s="1"/>
  <c r="J31" i="21" a="1"/>
  <c r="J31" i="21" s="1"/>
  <c r="K31" i="21" a="1"/>
  <c r="K31" i="21" s="1"/>
  <c r="L31" i="21" a="1"/>
  <c r="L31" i="21" s="1"/>
  <c r="M31" i="21" a="1"/>
  <c r="M31" i="21" s="1"/>
  <c r="N31" i="21" a="1"/>
  <c r="N31" i="21" s="1"/>
  <c r="O31" i="21" a="1"/>
  <c r="O31" i="21" s="1"/>
  <c r="P31" i="21" a="1"/>
  <c r="P31" i="21" s="1"/>
  <c r="Q31" i="21" a="1"/>
  <c r="Q31" i="21" s="1"/>
  <c r="R31" i="21" a="1"/>
  <c r="R31" i="21" s="1"/>
  <c r="S31" i="21" a="1"/>
  <c r="S31" i="21" s="1"/>
  <c r="T31" i="21" a="1"/>
  <c r="T31" i="21" s="1"/>
  <c r="W31" i="21"/>
  <c r="X31" i="21"/>
  <c r="Y31" i="21"/>
  <c r="Z31" i="21"/>
  <c r="AA31" i="21"/>
  <c r="AB31" i="21"/>
  <c r="AC31" i="21"/>
  <c r="AD31" i="21"/>
  <c r="AE31" i="21"/>
  <c r="AF31" i="21"/>
  <c r="AG31" i="21"/>
  <c r="AH31" i="21"/>
  <c r="AI31" i="21"/>
  <c r="AJ31" i="21"/>
  <c r="AK31" i="21"/>
  <c r="AL31" i="21"/>
  <c r="AM31" i="21"/>
  <c r="AN31" i="21"/>
  <c r="C32" i="21" a="1"/>
  <c r="C32" i="21" s="1"/>
  <c r="D32" i="21" a="1"/>
  <c r="D32" i="21" s="1"/>
  <c r="E32" i="21" a="1"/>
  <c r="E32" i="21" s="1"/>
  <c r="F32" i="21" a="1"/>
  <c r="F32" i="21" s="1"/>
  <c r="G32" i="21" a="1"/>
  <c r="G32" i="21" s="1"/>
  <c r="H32" i="21" a="1"/>
  <c r="H32" i="21" s="1"/>
  <c r="I32" i="21" a="1"/>
  <c r="I32" i="21" s="1"/>
  <c r="J32" i="21" a="1"/>
  <c r="J32" i="21" s="1"/>
  <c r="K32" i="21" a="1"/>
  <c r="K32" i="21" s="1"/>
  <c r="L32" i="21" a="1"/>
  <c r="L32" i="21" s="1"/>
  <c r="M32" i="21" a="1"/>
  <c r="M32" i="21" s="1"/>
  <c r="N32" i="21" a="1"/>
  <c r="N32" i="21" s="1"/>
  <c r="O32" i="21" a="1"/>
  <c r="O32" i="21" s="1"/>
  <c r="P32" i="21" a="1"/>
  <c r="P32" i="21" s="1"/>
  <c r="Q32" i="21" a="1"/>
  <c r="Q32" i="21" s="1"/>
  <c r="R32" i="21" a="1"/>
  <c r="R32" i="21" s="1"/>
  <c r="S32" i="21" a="1"/>
  <c r="S32" i="21" s="1"/>
  <c r="T32" i="21" a="1"/>
  <c r="T32" i="21" s="1"/>
  <c r="W32" i="21"/>
  <c r="X32" i="21"/>
  <c r="Y32" i="21"/>
  <c r="Z32" i="21"/>
  <c r="AA32" i="21"/>
  <c r="AB32" i="21"/>
  <c r="AC32" i="21"/>
  <c r="AD32" i="21"/>
  <c r="AE32" i="21"/>
  <c r="AF32" i="21"/>
  <c r="AG32" i="21"/>
  <c r="AH32" i="21"/>
  <c r="AI32" i="21"/>
  <c r="AJ32" i="21"/>
  <c r="AK32" i="21"/>
  <c r="AL32" i="21"/>
  <c r="AM32" i="21"/>
  <c r="AN32" i="21"/>
  <c r="C33" i="21" a="1"/>
  <c r="C33" i="21" s="1"/>
  <c r="D33" i="21" a="1"/>
  <c r="D33" i="21" s="1"/>
  <c r="E33" i="21" a="1"/>
  <c r="E33" i="21" s="1"/>
  <c r="F33" i="21" a="1"/>
  <c r="F33" i="21" s="1"/>
  <c r="G33" i="21" a="1"/>
  <c r="G33" i="21" s="1"/>
  <c r="H33" i="21" a="1"/>
  <c r="H33" i="21" s="1"/>
  <c r="I33" i="21" a="1"/>
  <c r="I33" i="21" s="1"/>
  <c r="J33" i="21" a="1"/>
  <c r="J33" i="21" s="1"/>
  <c r="K33" i="21" a="1"/>
  <c r="K33" i="21" s="1"/>
  <c r="L33" i="21" a="1"/>
  <c r="L33" i="21" s="1"/>
  <c r="M33" i="21" a="1"/>
  <c r="M33" i="21" s="1"/>
  <c r="N33" i="21" a="1"/>
  <c r="N33" i="21" s="1"/>
  <c r="O33" i="21" a="1"/>
  <c r="O33" i="21" s="1"/>
  <c r="P33" i="21" a="1"/>
  <c r="P33" i="21" s="1"/>
  <c r="Q33" i="21" a="1"/>
  <c r="Q33" i="21" s="1"/>
  <c r="R33" i="21" a="1"/>
  <c r="R33" i="21" s="1"/>
  <c r="S33" i="21" a="1"/>
  <c r="S33" i="21" s="1"/>
  <c r="T33" i="21" a="1"/>
  <c r="T33" i="21" s="1"/>
  <c r="W33" i="21"/>
  <c r="X33" i="21"/>
  <c r="Y33" i="21"/>
  <c r="Z33" i="21"/>
  <c r="AA33" i="21"/>
  <c r="AB33" i="21"/>
  <c r="AC33" i="21"/>
  <c r="AD33" i="21"/>
  <c r="AE33" i="21"/>
  <c r="AF33" i="21"/>
  <c r="AG33" i="21"/>
  <c r="AH33" i="21"/>
  <c r="AI33" i="21"/>
  <c r="AJ33" i="21"/>
  <c r="AK33" i="21"/>
  <c r="AL33" i="21"/>
  <c r="AM33" i="21"/>
  <c r="AN33" i="21"/>
  <c r="C34" i="21" a="1"/>
  <c r="C34" i="21" s="1"/>
  <c r="D34" i="21" a="1"/>
  <c r="D34" i="21" s="1"/>
  <c r="E34" i="21" a="1"/>
  <c r="E34" i="21" s="1"/>
  <c r="F34" i="21" a="1"/>
  <c r="F34" i="21" s="1"/>
  <c r="G34" i="21" a="1"/>
  <c r="G34" i="21" s="1"/>
  <c r="H34" i="21" a="1"/>
  <c r="H34" i="21" s="1"/>
  <c r="I34" i="21" a="1"/>
  <c r="I34" i="21" s="1"/>
  <c r="J34" i="21" a="1"/>
  <c r="J34" i="21" s="1"/>
  <c r="K34" i="21" a="1"/>
  <c r="K34" i="21" s="1"/>
  <c r="L34" i="21" a="1"/>
  <c r="L34" i="21" s="1"/>
  <c r="M34" i="21" a="1"/>
  <c r="M34" i="21" s="1"/>
  <c r="N34" i="21" a="1"/>
  <c r="N34" i="21" s="1"/>
  <c r="O34" i="21" a="1"/>
  <c r="O34" i="21" s="1"/>
  <c r="P34" i="21" a="1"/>
  <c r="P34" i="21" s="1"/>
  <c r="Q34" i="21" a="1"/>
  <c r="Q34" i="21" s="1"/>
  <c r="R34" i="21" a="1"/>
  <c r="R34" i="21" s="1"/>
  <c r="S34" i="21" a="1"/>
  <c r="S34" i="21" s="1"/>
  <c r="T34" i="21" a="1"/>
  <c r="T34" i="21" s="1"/>
  <c r="W34" i="21"/>
  <c r="X34" i="21"/>
  <c r="Y34" i="21"/>
  <c r="Z34" i="21"/>
  <c r="AA34" i="21"/>
  <c r="AB34" i="21"/>
  <c r="AC34" i="21"/>
  <c r="AD34" i="21"/>
  <c r="AE34" i="21"/>
  <c r="AF34" i="21"/>
  <c r="AG34" i="21"/>
  <c r="AH34" i="21"/>
  <c r="AI34" i="21"/>
  <c r="AJ34" i="21"/>
  <c r="AK34" i="21"/>
  <c r="AL34" i="21"/>
  <c r="AM34" i="21"/>
  <c r="AN34" i="21"/>
  <c r="C35" i="21" a="1"/>
  <c r="C35" i="21" s="1"/>
  <c r="D35" i="21" a="1"/>
  <c r="D35" i="21" s="1"/>
  <c r="E35" i="21" a="1"/>
  <c r="E35" i="21" s="1"/>
  <c r="F35" i="21" a="1"/>
  <c r="F35" i="21" s="1"/>
  <c r="G35" i="21" a="1"/>
  <c r="G35" i="21" s="1"/>
  <c r="H35" i="21" a="1"/>
  <c r="H35" i="21" s="1"/>
  <c r="I35" i="21" a="1"/>
  <c r="I35" i="21" s="1"/>
  <c r="J35" i="21" a="1"/>
  <c r="J35" i="21" s="1"/>
  <c r="K35" i="21" a="1"/>
  <c r="K35" i="21" s="1"/>
  <c r="L35" i="21" a="1"/>
  <c r="L35" i="21" s="1"/>
  <c r="M35" i="21" a="1"/>
  <c r="M35" i="21" s="1"/>
  <c r="N35" i="21" a="1"/>
  <c r="N35" i="21" s="1"/>
  <c r="O35" i="21" a="1"/>
  <c r="O35" i="21" s="1"/>
  <c r="P35" i="21" a="1"/>
  <c r="P35" i="21" s="1"/>
  <c r="Q35" i="21" a="1"/>
  <c r="Q35" i="21" s="1"/>
  <c r="R35" i="21" a="1"/>
  <c r="R35" i="21" s="1"/>
  <c r="S35" i="21" a="1"/>
  <c r="S35" i="21" s="1"/>
  <c r="T35" i="21" a="1"/>
  <c r="T35" i="21" s="1"/>
  <c r="W35" i="21"/>
  <c r="X35" i="21"/>
  <c r="Y35" i="21"/>
  <c r="Z35" i="21"/>
  <c r="AA35" i="21"/>
  <c r="AB35" i="21"/>
  <c r="AC35" i="21"/>
  <c r="AD35" i="21"/>
  <c r="AE35" i="21"/>
  <c r="AF35" i="21"/>
  <c r="AG35" i="21"/>
  <c r="AH35" i="21"/>
  <c r="AI35" i="21"/>
  <c r="AJ35" i="21"/>
  <c r="AK35" i="21"/>
  <c r="AL35" i="21"/>
  <c r="AM35" i="21"/>
  <c r="AN35" i="21"/>
  <c r="C36" i="21" a="1"/>
  <c r="C36" i="21" s="1"/>
  <c r="D36" i="21" a="1"/>
  <c r="D36" i="21" s="1"/>
  <c r="E36" i="21" a="1"/>
  <c r="E36" i="21" s="1"/>
  <c r="F36" i="21" a="1"/>
  <c r="F36" i="21" s="1"/>
  <c r="G36" i="21" a="1"/>
  <c r="G36" i="21" s="1"/>
  <c r="H36" i="21" a="1"/>
  <c r="H36" i="21" s="1"/>
  <c r="I36" i="21" a="1"/>
  <c r="I36" i="21" s="1"/>
  <c r="J36" i="21" a="1"/>
  <c r="J36" i="21" s="1"/>
  <c r="K36" i="21" a="1"/>
  <c r="K36" i="21" s="1"/>
  <c r="L36" i="21" a="1"/>
  <c r="L36" i="21" s="1"/>
  <c r="M36" i="21" a="1"/>
  <c r="M36" i="21" s="1"/>
  <c r="N36" i="21" a="1"/>
  <c r="N36" i="21" s="1"/>
  <c r="O36" i="21" a="1"/>
  <c r="O36" i="21" s="1"/>
  <c r="P36" i="21" a="1"/>
  <c r="P36" i="21" s="1"/>
  <c r="Q36" i="21" a="1"/>
  <c r="Q36" i="21" s="1"/>
  <c r="R36" i="21" a="1"/>
  <c r="R36" i="21" s="1"/>
  <c r="S36" i="21" a="1"/>
  <c r="S36" i="21" s="1"/>
  <c r="T36" i="21" a="1"/>
  <c r="T36" i="21" s="1"/>
  <c r="W36" i="21"/>
  <c r="X36" i="21"/>
  <c r="Y36" i="21"/>
  <c r="Z36" i="21"/>
  <c r="AA36" i="21"/>
  <c r="AB36" i="21"/>
  <c r="AC36" i="21"/>
  <c r="AD36" i="21"/>
  <c r="AE36" i="21"/>
  <c r="AF36" i="21"/>
  <c r="AG36" i="21"/>
  <c r="AH36" i="21"/>
  <c r="AI36" i="21"/>
  <c r="AJ36" i="21"/>
  <c r="AK36" i="21"/>
  <c r="AL36" i="21"/>
  <c r="AM36" i="21"/>
  <c r="AN36" i="21"/>
  <c r="C37" i="21" a="1"/>
  <c r="C37" i="21" s="1"/>
  <c r="D37" i="21" a="1"/>
  <c r="D37" i="21" s="1"/>
  <c r="E37" i="21" a="1"/>
  <c r="E37" i="21" s="1"/>
  <c r="F37" i="21" a="1"/>
  <c r="F37" i="21" s="1"/>
  <c r="G37" i="21" a="1"/>
  <c r="G37" i="21" s="1"/>
  <c r="H37" i="21" a="1"/>
  <c r="H37" i="21" s="1"/>
  <c r="I37" i="21" a="1"/>
  <c r="I37" i="21" s="1"/>
  <c r="J37" i="21" a="1"/>
  <c r="J37" i="21" s="1"/>
  <c r="K37" i="21" a="1"/>
  <c r="K37" i="21" s="1"/>
  <c r="L37" i="21" a="1"/>
  <c r="L37" i="21" s="1"/>
  <c r="M37" i="21" a="1"/>
  <c r="M37" i="21" s="1"/>
  <c r="N37" i="21" a="1"/>
  <c r="N37" i="21" s="1"/>
  <c r="O37" i="21" a="1"/>
  <c r="O37" i="21" s="1"/>
  <c r="P37" i="21" a="1"/>
  <c r="P37" i="21" s="1"/>
  <c r="Q37" i="21" a="1"/>
  <c r="Q37" i="21" s="1"/>
  <c r="R37" i="21" a="1"/>
  <c r="R37" i="21" s="1"/>
  <c r="S37" i="21" a="1"/>
  <c r="S37" i="21" s="1"/>
  <c r="T37" i="21" a="1"/>
  <c r="T37" i="21" s="1"/>
  <c r="W37" i="21"/>
  <c r="X37" i="21"/>
  <c r="Y37" i="21"/>
  <c r="Z37" i="21"/>
  <c r="AA37" i="21"/>
  <c r="AB37" i="21"/>
  <c r="AC37" i="21"/>
  <c r="AD37" i="21"/>
  <c r="AE37" i="21"/>
  <c r="AF37" i="21"/>
  <c r="AG37" i="21"/>
  <c r="AH37" i="21"/>
  <c r="AI37" i="21"/>
  <c r="AJ37" i="21"/>
  <c r="AK37" i="21"/>
  <c r="AL37" i="21"/>
  <c r="AM37" i="21"/>
  <c r="AN37" i="21"/>
  <c r="C38" i="21" a="1"/>
  <c r="C38" i="21" s="1"/>
  <c r="D38" i="21" a="1"/>
  <c r="D38" i="21" s="1"/>
  <c r="E38" i="21" a="1"/>
  <c r="E38" i="21" s="1"/>
  <c r="F38" i="21" a="1"/>
  <c r="F38" i="21" s="1"/>
  <c r="G38" i="21" a="1"/>
  <c r="G38" i="21" s="1"/>
  <c r="H38" i="21" a="1"/>
  <c r="H38" i="21" s="1"/>
  <c r="I38" i="21" a="1"/>
  <c r="I38" i="21" s="1"/>
  <c r="J38" i="21" a="1"/>
  <c r="J38" i="21" s="1"/>
  <c r="K38" i="21" a="1"/>
  <c r="K38" i="21" s="1"/>
  <c r="L38" i="21" a="1"/>
  <c r="L38" i="21" s="1"/>
  <c r="M38" i="21" a="1"/>
  <c r="M38" i="21" s="1"/>
  <c r="N38" i="21" a="1"/>
  <c r="N38" i="21" s="1"/>
  <c r="O38" i="21" a="1"/>
  <c r="O38" i="21" s="1"/>
  <c r="P38" i="21" a="1"/>
  <c r="P38" i="21" s="1"/>
  <c r="Q38" i="21" a="1"/>
  <c r="Q38" i="21" s="1"/>
  <c r="R38" i="21" a="1"/>
  <c r="R38" i="21" s="1"/>
  <c r="S38" i="21" a="1"/>
  <c r="S38" i="21" s="1"/>
  <c r="T38" i="21" a="1"/>
  <c r="T38" i="21" s="1"/>
  <c r="W38" i="21"/>
  <c r="X38" i="21"/>
  <c r="Y38" i="21"/>
  <c r="Z38" i="21"/>
  <c r="AA38" i="21"/>
  <c r="AB38" i="21"/>
  <c r="AC38" i="21"/>
  <c r="AD38" i="21"/>
  <c r="AE38" i="21"/>
  <c r="AF38" i="21"/>
  <c r="AG38" i="21"/>
  <c r="AH38" i="21"/>
  <c r="AI38" i="21"/>
  <c r="AJ38" i="21"/>
  <c r="AK38" i="21"/>
  <c r="AL38" i="21"/>
  <c r="AM38" i="21"/>
  <c r="AN38" i="21"/>
  <c r="C39" i="21" a="1"/>
  <c r="C39" i="21" s="1"/>
  <c r="D39" i="21" a="1"/>
  <c r="D39" i="21" s="1"/>
  <c r="E39" i="21" a="1"/>
  <c r="E39" i="21" s="1"/>
  <c r="F39" i="21" a="1"/>
  <c r="F39" i="21" s="1"/>
  <c r="G39" i="21" a="1"/>
  <c r="G39" i="21" s="1"/>
  <c r="H39" i="21" a="1"/>
  <c r="H39" i="21" s="1"/>
  <c r="I39" i="21" a="1"/>
  <c r="I39" i="21" s="1"/>
  <c r="J39" i="21" a="1"/>
  <c r="J39" i="21" s="1"/>
  <c r="K39" i="21" a="1"/>
  <c r="K39" i="21" s="1"/>
  <c r="L39" i="21" a="1"/>
  <c r="L39" i="21" s="1"/>
  <c r="M39" i="21" a="1"/>
  <c r="M39" i="21" s="1"/>
  <c r="N39" i="21" a="1"/>
  <c r="N39" i="21" s="1"/>
  <c r="O39" i="21" a="1"/>
  <c r="O39" i="21" s="1"/>
  <c r="P39" i="21" a="1"/>
  <c r="P39" i="21" s="1"/>
  <c r="Q39" i="21" a="1"/>
  <c r="Q39" i="21" s="1"/>
  <c r="R39" i="21" a="1"/>
  <c r="R39" i="21" s="1"/>
  <c r="S39" i="21" a="1"/>
  <c r="S39" i="21" s="1"/>
  <c r="T39" i="21" a="1"/>
  <c r="T39" i="21" s="1"/>
  <c r="W39" i="21"/>
  <c r="X39" i="21"/>
  <c r="Y39" i="21"/>
  <c r="Z39" i="21"/>
  <c r="AA39" i="21"/>
  <c r="AB39" i="21"/>
  <c r="AC39" i="21"/>
  <c r="AD39" i="21"/>
  <c r="AE39" i="21"/>
  <c r="AF39" i="21"/>
  <c r="AG39" i="21"/>
  <c r="AH39" i="21"/>
  <c r="AI39" i="21"/>
  <c r="AJ39" i="21"/>
  <c r="AK39" i="21"/>
  <c r="AL39" i="21"/>
  <c r="AM39" i="21"/>
  <c r="AN39" i="21"/>
  <c r="C40" i="21" a="1"/>
  <c r="C40" i="21" s="1"/>
  <c r="D40" i="21" a="1"/>
  <c r="D40" i="21" s="1"/>
  <c r="E40" i="21" a="1"/>
  <c r="E40" i="21" s="1"/>
  <c r="F40" i="21" a="1"/>
  <c r="F40" i="21" s="1"/>
  <c r="G40" i="21" a="1"/>
  <c r="G40" i="21" s="1"/>
  <c r="H40" i="21" a="1"/>
  <c r="H40" i="21" s="1"/>
  <c r="I40" i="21" a="1"/>
  <c r="I40" i="21" s="1"/>
  <c r="J40" i="21" a="1"/>
  <c r="J40" i="21" s="1"/>
  <c r="K40" i="21" a="1"/>
  <c r="K40" i="21" s="1"/>
  <c r="L40" i="21" a="1"/>
  <c r="L40" i="21" s="1"/>
  <c r="M40" i="21" a="1"/>
  <c r="M40" i="21" s="1"/>
  <c r="N40" i="21" a="1"/>
  <c r="N40" i="21" s="1"/>
  <c r="O40" i="21" a="1"/>
  <c r="O40" i="21" s="1"/>
  <c r="P40" i="21" a="1"/>
  <c r="P40" i="21" s="1"/>
  <c r="Q40" i="21" a="1"/>
  <c r="Q40" i="21" s="1"/>
  <c r="R40" i="21" a="1"/>
  <c r="R40" i="21" s="1"/>
  <c r="S40" i="21" a="1"/>
  <c r="S40" i="21" s="1"/>
  <c r="T40" i="21" a="1"/>
  <c r="T40" i="21" s="1"/>
  <c r="W40" i="21"/>
  <c r="X40" i="21"/>
  <c r="Y40" i="21"/>
  <c r="Z40" i="21"/>
  <c r="AA40" i="21"/>
  <c r="AB40" i="21"/>
  <c r="AC40" i="21"/>
  <c r="AD40" i="21"/>
  <c r="AE40" i="21"/>
  <c r="AF40" i="21"/>
  <c r="AG40" i="21"/>
  <c r="AH40" i="21"/>
  <c r="AI40" i="21"/>
  <c r="AJ40" i="21"/>
  <c r="AK40" i="21"/>
  <c r="AL40" i="21"/>
  <c r="AM40" i="21"/>
  <c r="AN40" i="21"/>
  <c r="C41" i="21" a="1"/>
  <c r="C41" i="21" s="1"/>
  <c r="D41" i="21" a="1"/>
  <c r="D41" i="21" s="1"/>
  <c r="E41" i="21" a="1"/>
  <c r="E41" i="21" s="1"/>
  <c r="F41" i="21" a="1"/>
  <c r="F41" i="21" s="1"/>
  <c r="G41" i="21" a="1"/>
  <c r="G41" i="21" s="1"/>
  <c r="H41" i="21" a="1"/>
  <c r="H41" i="21" s="1"/>
  <c r="I41" i="21" a="1"/>
  <c r="I41" i="21" s="1"/>
  <c r="J41" i="21" a="1"/>
  <c r="J41" i="21" s="1"/>
  <c r="K41" i="21" a="1"/>
  <c r="K41" i="21" s="1"/>
  <c r="L41" i="21" a="1"/>
  <c r="L41" i="21" s="1"/>
  <c r="M41" i="21" a="1"/>
  <c r="M41" i="21" s="1"/>
  <c r="N41" i="21" a="1"/>
  <c r="N41" i="21" s="1"/>
  <c r="O41" i="21" a="1"/>
  <c r="O41" i="21" s="1"/>
  <c r="P41" i="21" a="1"/>
  <c r="P41" i="21" s="1"/>
  <c r="Q41" i="21" a="1"/>
  <c r="Q41" i="21" s="1"/>
  <c r="R41" i="21" a="1"/>
  <c r="R41" i="21" s="1"/>
  <c r="S41" i="21" a="1"/>
  <c r="S41" i="21" s="1"/>
  <c r="T41" i="21" a="1"/>
  <c r="T41" i="21" s="1"/>
  <c r="W41" i="21"/>
  <c r="X41" i="21"/>
  <c r="Y41" i="21"/>
  <c r="Z41" i="21"/>
  <c r="AA41" i="21"/>
  <c r="AB41" i="21"/>
  <c r="AC41" i="21"/>
  <c r="AD41" i="21"/>
  <c r="AE41" i="21"/>
  <c r="AF41" i="21"/>
  <c r="AG41" i="21"/>
  <c r="AH41" i="21"/>
  <c r="AI41" i="21"/>
  <c r="AJ41" i="21"/>
  <c r="AK41" i="21"/>
  <c r="AL41" i="21"/>
  <c r="AM41" i="21"/>
  <c r="AN41" i="21"/>
  <c r="C42" i="21" a="1"/>
  <c r="C42" i="21" s="1"/>
  <c r="D42" i="21" a="1"/>
  <c r="D42" i="21" s="1"/>
  <c r="E42" i="21" a="1"/>
  <c r="E42" i="21" s="1"/>
  <c r="F42" i="21" a="1"/>
  <c r="F42" i="21" s="1"/>
  <c r="G42" i="21" a="1"/>
  <c r="G42" i="21" s="1"/>
  <c r="H42" i="21" a="1"/>
  <c r="H42" i="21" s="1"/>
  <c r="I42" i="21" a="1"/>
  <c r="I42" i="21" s="1"/>
  <c r="J42" i="21" a="1"/>
  <c r="J42" i="21" s="1"/>
  <c r="K42" i="21" a="1"/>
  <c r="K42" i="21" s="1"/>
  <c r="L42" i="21" a="1"/>
  <c r="L42" i="21" s="1"/>
  <c r="M42" i="21" a="1"/>
  <c r="M42" i="21" s="1"/>
  <c r="N42" i="21" a="1"/>
  <c r="N42" i="21" s="1"/>
  <c r="O42" i="21" a="1"/>
  <c r="O42" i="21" s="1"/>
  <c r="P42" i="21" a="1"/>
  <c r="P42" i="21" s="1"/>
  <c r="Q42" i="21" a="1"/>
  <c r="Q42" i="21" s="1"/>
  <c r="R42" i="21" a="1"/>
  <c r="R42" i="21" s="1"/>
  <c r="S42" i="21" a="1"/>
  <c r="S42" i="21" s="1"/>
  <c r="T42" i="21" a="1"/>
  <c r="T42" i="21" s="1"/>
  <c r="W42" i="21"/>
  <c r="X42" i="21"/>
  <c r="Y42" i="21"/>
  <c r="Z42" i="21"/>
  <c r="AA42" i="21"/>
  <c r="AB42" i="21"/>
  <c r="AC42" i="21"/>
  <c r="AD42" i="21"/>
  <c r="AE42" i="21"/>
  <c r="AF42" i="21"/>
  <c r="AG42" i="21"/>
  <c r="AH42" i="21"/>
  <c r="AI42" i="21"/>
  <c r="AJ42" i="21"/>
  <c r="AK42" i="21"/>
  <c r="AL42" i="21"/>
  <c r="AM42" i="21"/>
  <c r="AN42" i="21"/>
  <c r="C43" i="21" a="1"/>
  <c r="C43" i="21" s="1"/>
  <c r="D43" i="21" a="1"/>
  <c r="D43" i="21" s="1"/>
  <c r="E43" i="21" a="1"/>
  <c r="E43" i="21" s="1"/>
  <c r="F43" i="21" a="1"/>
  <c r="F43" i="21" s="1"/>
  <c r="G43" i="21" a="1"/>
  <c r="G43" i="21" s="1"/>
  <c r="H43" i="21" a="1"/>
  <c r="H43" i="21" s="1"/>
  <c r="I43" i="21" a="1"/>
  <c r="I43" i="21" s="1"/>
  <c r="J43" i="21" a="1"/>
  <c r="J43" i="21" s="1"/>
  <c r="K43" i="21" a="1"/>
  <c r="K43" i="21" s="1"/>
  <c r="L43" i="21" a="1"/>
  <c r="L43" i="21" s="1"/>
  <c r="M43" i="21" a="1"/>
  <c r="M43" i="21" s="1"/>
  <c r="N43" i="21" a="1"/>
  <c r="N43" i="21" s="1"/>
  <c r="O43" i="21" a="1"/>
  <c r="O43" i="21" s="1"/>
  <c r="P43" i="21" a="1"/>
  <c r="P43" i="21" s="1"/>
  <c r="Q43" i="21" a="1"/>
  <c r="Q43" i="21" s="1"/>
  <c r="R43" i="21" a="1"/>
  <c r="R43" i="21" s="1"/>
  <c r="S43" i="21" a="1"/>
  <c r="S43" i="21" s="1"/>
  <c r="T43" i="21" a="1"/>
  <c r="T43" i="21" s="1"/>
  <c r="W43" i="21"/>
  <c r="X43" i="21"/>
  <c r="Y43" i="21"/>
  <c r="Z43" i="21"/>
  <c r="AA43" i="21"/>
  <c r="AB43" i="21"/>
  <c r="AC43" i="21"/>
  <c r="AD43" i="21"/>
  <c r="AE43" i="21"/>
  <c r="AF43" i="21"/>
  <c r="AG43" i="21"/>
  <c r="AH43" i="21"/>
  <c r="AI43" i="21"/>
  <c r="AJ43" i="21"/>
  <c r="AK43" i="21"/>
  <c r="AL43" i="21"/>
  <c r="AM43" i="21"/>
  <c r="AN43" i="21"/>
  <c r="C44" i="21" a="1"/>
  <c r="C44" i="21" s="1"/>
  <c r="D44" i="21" a="1"/>
  <c r="D44" i="21" s="1"/>
  <c r="E44" i="21" a="1"/>
  <c r="E44" i="21" s="1"/>
  <c r="F44" i="21" a="1"/>
  <c r="F44" i="21" s="1"/>
  <c r="G44" i="21" a="1"/>
  <c r="G44" i="21" s="1"/>
  <c r="H44" i="21" a="1"/>
  <c r="H44" i="21" s="1"/>
  <c r="I44" i="21" a="1"/>
  <c r="I44" i="21" s="1"/>
  <c r="J44" i="21" a="1"/>
  <c r="J44" i="21" s="1"/>
  <c r="K44" i="21" a="1"/>
  <c r="K44" i="21" s="1"/>
  <c r="L44" i="21" a="1"/>
  <c r="L44" i="21" s="1"/>
  <c r="M44" i="21" a="1"/>
  <c r="M44" i="21" s="1"/>
  <c r="N44" i="21" a="1"/>
  <c r="N44" i="21" s="1"/>
  <c r="O44" i="21" a="1"/>
  <c r="O44" i="21" s="1"/>
  <c r="P44" i="21" a="1"/>
  <c r="P44" i="21" s="1"/>
  <c r="Q44" i="21" a="1"/>
  <c r="Q44" i="21" s="1"/>
  <c r="R44" i="21" a="1"/>
  <c r="R44" i="21" s="1"/>
  <c r="S44" i="21" a="1"/>
  <c r="S44" i="21" s="1"/>
  <c r="T44" i="21" a="1"/>
  <c r="T44" i="21" s="1"/>
  <c r="W44" i="21"/>
  <c r="X44" i="21"/>
  <c r="Y44" i="21"/>
  <c r="Z44" i="21"/>
  <c r="AA44" i="21"/>
  <c r="AB44" i="21"/>
  <c r="AC44" i="21"/>
  <c r="AD44" i="21"/>
  <c r="AE44" i="21"/>
  <c r="AF44" i="21"/>
  <c r="AG44" i="21"/>
  <c r="AH44" i="21"/>
  <c r="AI44" i="21"/>
  <c r="AJ44" i="21"/>
  <c r="AK44" i="21"/>
  <c r="AL44" i="21"/>
  <c r="AM44" i="21"/>
  <c r="AN44" i="21"/>
  <c r="C45" i="21" a="1"/>
  <c r="C45" i="21" s="1"/>
  <c r="D45" i="21" a="1"/>
  <c r="D45" i="21" s="1"/>
  <c r="E45" i="21" a="1"/>
  <c r="E45" i="21" s="1"/>
  <c r="F45" i="21" a="1"/>
  <c r="F45" i="21" s="1"/>
  <c r="G45" i="21" a="1"/>
  <c r="G45" i="21" s="1"/>
  <c r="H45" i="21" a="1"/>
  <c r="H45" i="21" s="1"/>
  <c r="I45" i="21" a="1"/>
  <c r="I45" i="21" s="1"/>
  <c r="J45" i="21" a="1"/>
  <c r="J45" i="21" s="1"/>
  <c r="K45" i="21" a="1"/>
  <c r="K45" i="21" s="1"/>
  <c r="L45" i="21" a="1"/>
  <c r="L45" i="21" s="1"/>
  <c r="M45" i="21" a="1"/>
  <c r="M45" i="21" s="1"/>
  <c r="N45" i="21" a="1"/>
  <c r="N45" i="21" s="1"/>
  <c r="O45" i="21" a="1"/>
  <c r="O45" i="21" s="1"/>
  <c r="P45" i="21" a="1"/>
  <c r="P45" i="21" s="1"/>
  <c r="Q45" i="21" a="1"/>
  <c r="Q45" i="21" s="1"/>
  <c r="R45" i="21" a="1"/>
  <c r="R45" i="21" s="1"/>
  <c r="S45" i="21" a="1"/>
  <c r="S45" i="21" s="1"/>
  <c r="T45" i="21" a="1"/>
  <c r="T45" i="21" s="1"/>
  <c r="W45" i="21"/>
  <c r="X45" i="21"/>
  <c r="Y45" i="21"/>
  <c r="Z45" i="21"/>
  <c r="AA45" i="21"/>
  <c r="AB45" i="21"/>
  <c r="AC45" i="21"/>
  <c r="AD45" i="21"/>
  <c r="AE45" i="21"/>
  <c r="AF45" i="21"/>
  <c r="AG45" i="21"/>
  <c r="AH45" i="21"/>
  <c r="AI45" i="21"/>
  <c r="AJ45" i="21"/>
  <c r="AK45" i="21"/>
  <c r="AL45" i="21"/>
  <c r="AM45" i="21"/>
  <c r="AN45" i="21"/>
  <c r="C46" i="21" a="1"/>
  <c r="C46" i="21" s="1"/>
  <c r="D46" i="21" a="1"/>
  <c r="D46" i="21" s="1"/>
  <c r="E46" i="21" a="1"/>
  <c r="E46" i="21" s="1"/>
  <c r="F46" i="21" a="1"/>
  <c r="F46" i="21" s="1"/>
  <c r="G46" i="21" a="1"/>
  <c r="G46" i="21" s="1"/>
  <c r="H46" i="21" a="1"/>
  <c r="H46" i="21" s="1"/>
  <c r="I46" i="21" a="1"/>
  <c r="I46" i="21" s="1"/>
  <c r="J46" i="21" a="1"/>
  <c r="J46" i="21" s="1"/>
  <c r="K46" i="21" a="1"/>
  <c r="K46" i="21" s="1"/>
  <c r="L46" i="21" a="1"/>
  <c r="L46" i="21" s="1"/>
  <c r="M46" i="21" a="1"/>
  <c r="M46" i="21" s="1"/>
  <c r="N46" i="21" a="1"/>
  <c r="N46" i="21" s="1"/>
  <c r="O46" i="21" a="1"/>
  <c r="O46" i="21" s="1"/>
  <c r="P46" i="21" a="1"/>
  <c r="P46" i="21" s="1"/>
  <c r="Q46" i="21" a="1"/>
  <c r="Q46" i="21" s="1"/>
  <c r="R46" i="21" a="1"/>
  <c r="R46" i="21" s="1"/>
  <c r="S46" i="21" a="1"/>
  <c r="S46" i="21" s="1"/>
  <c r="T46" i="21" a="1"/>
  <c r="T46" i="21" s="1"/>
  <c r="W46" i="21"/>
  <c r="X46" i="21"/>
  <c r="Y46" i="21"/>
  <c r="Z46" i="21"/>
  <c r="AA46" i="21"/>
  <c r="AB46" i="21"/>
  <c r="AC46" i="21"/>
  <c r="AD46" i="21"/>
  <c r="AE46" i="21"/>
  <c r="AF46" i="21"/>
  <c r="AG46" i="21"/>
  <c r="AH46" i="21"/>
  <c r="AI46" i="21"/>
  <c r="AJ46" i="21"/>
  <c r="AK46" i="21"/>
  <c r="AL46" i="21"/>
  <c r="AM46" i="21"/>
  <c r="AN46" i="21"/>
  <c r="C47" i="21" a="1"/>
  <c r="C47" i="21" s="1"/>
  <c r="D47" i="21" a="1"/>
  <c r="D47" i="21" s="1"/>
  <c r="E47" i="21" a="1"/>
  <c r="E47" i="21" s="1"/>
  <c r="F47" i="21" a="1"/>
  <c r="F47" i="21" s="1"/>
  <c r="G47" i="21" a="1"/>
  <c r="G47" i="21" s="1"/>
  <c r="H47" i="21" a="1"/>
  <c r="H47" i="21" s="1"/>
  <c r="I47" i="21" a="1"/>
  <c r="I47" i="21" s="1"/>
  <c r="J47" i="21" a="1"/>
  <c r="J47" i="21" s="1"/>
  <c r="K47" i="21" a="1"/>
  <c r="K47" i="21" s="1"/>
  <c r="L47" i="21" a="1"/>
  <c r="L47" i="21" s="1"/>
  <c r="M47" i="21" a="1"/>
  <c r="M47" i="21" s="1"/>
  <c r="N47" i="21" a="1"/>
  <c r="N47" i="21" s="1"/>
  <c r="O47" i="21" a="1"/>
  <c r="O47" i="21" s="1"/>
  <c r="P47" i="21" a="1"/>
  <c r="P47" i="21" s="1"/>
  <c r="Q47" i="21" a="1"/>
  <c r="Q47" i="21" s="1"/>
  <c r="R47" i="21" a="1"/>
  <c r="R47" i="21" s="1"/>
  <c r="S47" i="21" a="1"/>
  <c r="S47" i="21" s="1"/>
  <c r="T47" i="21" a="1"/>
  <c r="T47" i="21" s="1"/>
  <c r="W47" i="21"/>
  <c r="X47" i="21"/>
  <c r="Y47" i="21"/>
  <c r="Z47" i="21"/>
  <c r="AA47" i="21"/>
  <c r="AB47" i="21"/>
  <c r="AC47" i="21"/>
  <c r="AD47" i="21"/>
  <c r="AE47" i="21"/>
  <c r="AF47" i="21"/>
  <c r="AG47" i="21"/>
  <c r="AH47" i="21"/>
  <c r="AI47" i="21"/>
  <c r="AJ47" i="21"/>
  <c r="AK47" i="21"/>
  <c r="AL47" i="21"/>
  <c r="AM47" i="21"/>
  <c r="AN47" i="21"/>
  <c r="C48" i="21" a="1"/>
  <c r="C48" i="21" s="1"/>
  <c r="D48" i="21" a="1"/>
  <c r="D48" i="21" s="1"/>
  <c r="E48" i="21" a="1"/>
  <c r="E48" i="21" s="1"/>
  <c r="F48" i="21" a="1"/>
  <c r="F48" i="21" s="1"/>
  <c r="G48" i="21" a="1"/>
  <c r="G48" i="21" s="1"/>
  <c r="H48" i="21" a="1"/>
  <c r="H48" i="21" s="1"/>
  <c r="I48" i="21" a="1"/>
  <c r="I48" i="21" s="1"/>
  <c r="J48" i="21" a="1"/>
  <c r="J48" i="21" s="1"/>
  <c r="K48" i="21" a="1"/>
  <c r="K48" i="21" s="1"/>
  <c r="L48" i="21" a="1"/>
  <c r="L48" i="21" s="1"/>
  <c r="M48" i="21" a="1"/>
  <c r="M48" i="21" s="1"/>
  <c r="N48" i="21" a="1"/>
  <c r="N48" i="21" s="1"/>
  <c r="O48" i="21" a="1"/>
  <c r="O48" i="21" s="1"/>
  <c r="P48" i="21" a="1"/>
  <c r="P48" i="21" s="1"/>
  <c r="Q48" i="21" a="1"/>
  <c r="Q48" i="21" s="1"/>
  <c r="R48" i="21" a="1"/>
  <c r="R48" i="21" s="1"/>
  <c r="S48" i="21" a="1"/>
  <c r="S48" i="21" s="1"/>
  <c r="T48" i="21" a="1"/>
  <c r="T48" i="21" s="1"/>
  <c r="W48" i="21"/>
  <c r="X48" i="21"/>
  <c r="Y48" i="21"/>
  <c r="Z48" i="21"/>
  <c r="AA48" i="21"/>
  <c r="AB48" i="21"/>
  <c r="AC48" i="21"/>
  <c r="AD48" i="21"/>
  <c r="AE48" i="21"/>
  <c r="AF48" i="21"/>
  <c r="AG48" i="21"/>
  <c r="AH48" i="21"/>
  <c r="AI48" i="21"/>
  <c r="AJ48" i="21"/>
  <c r="AK48" i="21"/>
  <c r="AL48" i="21"/>
  <c r="AM48" i="21"/>
  <c r="AN48" i="21"/>
  <c r="C49" i="21" a="1"/>
  <c r="C49" i="21" s="1"/>
  <c r="D49" i="21" a="1"/>
  <c r="D49" i="21" s="1"/>
  <c r="E49" i="21" a="1"/>
  <c r="E49" i="21" s="1"/>
  <c r="F49" i="21" a="1"/>
  <c r="F49" i="21" s="1"/>
  <c r="G49" i="21" a="1"/>
  <c r="G49" i="21" s="1"/>
  <c r="H49" i="21" a="1"/>
  <c r="H49" i="21" s="1"/>
  <c r="I49" i="21" a="1"/>
  <c r="I49" i="21" s="1"/>
  <c r="J49" i="21" a="1"/>
  <c r="J49" i="21" s="1"/>
  <c r="K49" i="21" a="1"/>
  <c r="K49" i="21" s="1"/>
  <c r="L49" i="21" a="1"/>
  <c r="L49" i="21" s="1"/>
  <c r="M49" i="21" a="1"/>
  <c r="M49" i="21" s="1"/>
  <c r="N49" i="21" a="1"/>
  <c r="N49" i="21" s="1"/>
  <c r="O49" i="21" a="1"/>
  <c r="O49" i="21" s="1"/>
  <c r="P49" i="21" a="1"/>
  <c r="P49" i="21" s="1"/>
  <c r="Q49" i="21" a="1"/>
  <c r="Q49" i="21" s="1"/>
  <c r="R49" i="21" a="1"/>
  <c r="R49" i="21" s="1"/>
  <c r="S49" i="21" a="1"/>
  <c r="S49" i="21" s="1"/>
  <c r="T49" i="21" a="1"/>
  <c r="T49" i="21" s="1"/>
  <c r="W49" i="21"/>
  <c r="X49" i="21"/>
  <c r="Y49" i="21"/>
  <c r="Z49" i="21"/>
  <c r="AA49" i="21"/>
  <c r="AB49" i="21"/>
  <c r="AC49" i="21"/>
  <c r="AD49" i="21"/>
  <c r="AE49" i="21"/>
  <c r="AF49" i="21"/>
  <c r="AG49" i="21"/>
  <c r="AH49" i="21"/>
  <c r="AI49" i="21"/>
  <c r="AJ49" i="21"/>
  <c r="AK49" i="21"/>
  <c r="AL49" i="21"/>
  <c r="AM49" i="21"/>
  <c r="AN49" i="21"/>
  <c r="M10" i="16" l="1"/>
  <c r="L10" i="16"/>
  <c r="K10" i="16"/>
  <c r="J10" i="16"/>
  <c r="W59" i="17"/>
  <c r="Q59" i="17"/>
  <c r="V60" i="17"/>
  <c r="Q60" i="17"/>
  <c r="P60" i="17"/>
  <c r="V59" i="17"/>
  <c r="K59" i="17"/>
  <c r="H60" i="17"/>
  <c r="W60" i="17"/>
  <c r="T60" i="17"/>
  <c r="N60" i="17"/>
  <c r="T59" i="17"/>
  <c r="I59" i="17"/>
  <c r="H59" i="17"/>
  <c r="K55" i="17"/>
  <c r="K60" i="17" s="1"/>
  <c r="I60" i="17"/>
  <c r="J60" i="17"/>
  <c r="P59" i="17"/>
  <c r="N59" i="17"/>
  <c r="BS4" i="18" a="1"/>
  <c r="BS4" i="18" s="1"/>
  <c r="F4" i="2" a="1"/>
  <c r="F4" i="2" s="1"/>
  <c r="B28" i="21"/>
  <c r="B29" i="21"/>
  <c r="B30" i="21"/>
  <c r="B31" i="21"/>
  <c r="B32" i="21"/>
  <c r="B33" i="21"/>
  <c r="B34" i="21"/>
  <c r="B35" i="21"/>
  <c r="B36" i="21"/>
  <c r="B37" i="21"/>
  <c r="B38" i="21"/>
  <c r="B39" i="21"/>
  <c r="B1120" i="19"/>
  <c r="B1121" i="19"/>
  <c r="B1122" i="19"/>
  <c r="B1123" i="19"/>
  <c r="B1124" i="19"/>
  <c r="B1125" i="19"/>
  <c r="B1126" i="19"/>
  <c r="B1127" i="19"/>
  <c r="B1128" i="19"/>
  <c r="B1129" i="19"/>
  <c r="B1130" i="19"/>
  <c r="B1131" i="19"/>
  <c r="B1132" i="19"/>
  <c r="B1133" i="19"/>
  <c r="B1134" i="19"/>
  <c r="B1135" i="19"/>
  <c r="B1136" i="19"/>
  <c r="B1119" i="19"/>
  <c r="W50" i="21" l="1"/>
  <c r="X50" i="21"/>
  <c r="Y50" i="21"/>
  <c r="Z50" i="21"/>
  <c r="AA50" i="21"/>
  <c r="AB50" i="21"/>
  <c r="AC50" i="21"/>
  <c r="AD50" i="21"/>
  <c r="AE50" i="21"/>
  <c r="AF50" i="21"/>
  <c r="AG50" i="21"/>
  <c r="AH50" i="21"/>
  <c r="AI50" i="21"/>
  <c r="AJ50" i="21"/>
  <c r="AK50" i="21"/>
  <c r="AL50" i="21"/>
  <c r="AM50" i="21"/>
  <c r="AN50" i="21"/>
  <c r="W51" i="21"/>
  <c r="X51" i="21"/>
  <c r="Y51" i="21"/>
  <c r="Z51" i="21"/>
  <c r="AA51" i="21"/>
  <c r="AB51" i="21"/>
  <c r="AC51" i="21"/>
  <c r="AD51" i="21"/>
  <c r="AE51" i="21"/>
  <c r="AF51" i="21"/>
  <c r="AG51" i="21"/>
  <c r="AH51" i="21"/>
  <c r="AI51" i="21"/>
  <c r="AJ51" i="21"/>
  <c r="AK51" i="21"/>
  <c r="AL51" i="21"/>
  <c r="AM51" i="21"/>
  <c r="AN51" i="21"/>
  <c r="W52" i="21"/>
  <c r="X52" i="21"/>
  <c r="Y52" i="21"/>
  <c r="Z52" i="21"/>
  <c r="AA52" i="21"/>
  <c r="AB52" i="21"/>
  <c r="AC52" i="21"/>
  <c r="AD52" i="21"/>
  <c r="AE52" i="21"/>
  <c r="AF52" i="21"/>
  <c r="AG52" i="21"/>
  <c r="AH52" i="21"/>
  <c r="AI52" i="21"/>
  <c r="AJ52" i="21"/>
  <c r="AK52" i="21"/>
  <c r="AL52" i="21"/>
  <c r="AM52" i="21"/>
  <c r="AN52" i="21"/>
  <c r="W53" i="21"/>
  <c r="X53" i="21"/>
  <c r="Y53" i="21"/>
  <c r="Z53" i="21"/>
  <c r="AA53" i="21"/>
  <c r="AB53" i="21"/>
  <c r="AC53" i="21"/>
  <c r="AD53" i="21"/>
  <c r="AE53" i="21"/>
  <c r="AF53" i="21"/>
  <c r="AG53" i="21"/>
  <c r="AH53" i="21"/>
  <c r="AI53" i="21"/>
  <c r="AJ53" i="21"/>
  <c r="AK53" i="21"/>
  <c r="AL53" i="21"/>
  <c r="AM53" i="21"/>
  <c r="AN53" i="21"/>
  <c r="W54" i="21"/>
  <c r="X54" i="21"/>
  <c r="Y54" i="21"/>
  <c r="Z54" i="21"/>
  <c r="AA54" i="21"/>
  <c r="AB54" i="21"/>
  <c r="AC54" i="21"/>
  <c r="AD54" i="21"/>
  <c r="AE54" i="21"/>
  <c r="AF54" i="21"/>
  <c r="AG54" i="21"/>
  <c r="AH54" i="21"/>
  <c r="AI54" i="21"/>
  <c r="AJ54" i="21"/>
  <c r="AK54" i="21"/>
  <c r="AL54" i="21"/>
  <c r="AM54" i="21"/>
  <c r="AN54" i="21"/>
  <c r="C50" i="21" a="1"/>
  <c r="C50" i="21" s="1"/>
  <c r="D50" i="21" a="1"/>
  <c r="D50" i="21" s="1"/>
  <c r="E50" i="21" a="1"/>
  <c r="E50" i="21" s="1"/>
  <c r="F50" i="21" a="1"/>
  <c r="F50" i="21" s="1"/>
  <c r="G50" i="21" a="1"/>
  <c r="G50" i="21" s="1"/>
  <c r="H50" i="21" a="1"/>
  <c r="H50" i="21" s="1"/>
  <c r="I50" i="21" a="1"/>
  <c r="I50" i="21" s="1"/>
  <c r="J50" i="21" a="1"/>
  <c r="J50" i="21" s="1"/>
  <c r="K50" i="21" a="1"/>
  <c r="K50" i="21" s="1"/>
  <c r="L50" i="21" a="1"/>
  <c r="L50" i="21" s="1"/>
  <c r="M50" i="21" a="1"/>
  <c r="M50" i="21" s="1"/>
  <c r="N50" i="21" a="1"/>
  <c r="N50" i="21" s="1"/>
  <c r="O50" i="21" a="1"/>
  <c r="O50" i="21" s="1"/>
  <c r="P50" i="21" a="1"/>
  <c r="P50" i="21" s="1"/>
  <c r="Q50" i="21" a="1"/>
  <c r="Q50" i="21" s="1"/>
  <c r="R50" i="21" a="1"/>
  <c r="R50" i="21" s="1"/>
  <c r="S50" i="21" a="1"/>
  <c r="S50" i="21" s="1"/>
  <c r="T50" i="21" a="1"/>
  <c r="T50" i="21" s="1"/>
  <c r="C51" i="21" a="1"/>
  <c r="C51" i="21" s="1"/>
  <c r="D51" i="21" a="1"/>
  <c r="D51" i="21" s="1"/>
  <c r="E51" i="21" a="1"/>
  <c r="E51" i="21" s="1"/>
  <c r="F51" i="21" a="1"/>
  <c r="F51" i="21" s="1"/>
  <c r="G51" i="21" a="1"/>
  <c r="G51" i="21" s="1"/>
  <c r="H51" i="21" a="1"/>
  <c r="H51" i="21" s="1"/>
  <c r="I51" i="21" a="1"/>
  <c r="I51" i="21" s="1"/>
  <c r="J51" i="21" a="1"/>
  <c r="J51" i="21" s="1"/>
  <c r="K51" i="21" a="1"/>
  <c r="K51" i="21" s="1"/>
  <c r="L51" i="21" a="1"/>
  <c r="L51" i="21" s="1"/>
  <c r="M51" i="21" a="1"/>
  <c r="M51" i="21" s="1"/>
  <c r="N51" i="21" a="1"/>
  <c r="N51" i="21" s="1"/>
  <c r="O51" i="21" a="1"/>
  <c r="O51" i="21" s="1"/>
  <c r="P51" i="21" a="1"/>
  <c r="P51" i="21" s="1"/>
  <c r="Q51" i="21" a="1"/>
  <c r="Q51" i="21" s="1"/>
  <c r="R51" i="21" a="1"/>
  <c r="R51" i="21" s="1"/>
  <c r="S51" i="21" a="1"/>
  <c r="S51" i="21" s="1"/>
  <c r="T51" i="21" a="1"/>
  <c r="T51" i="21" s="1"/>
  <c r="C52" i="21" a="1"/>
  <c r="C52" i="21" s="1"/>
  <c r="D52" i="21" a="1"/>
  <c r="D52" i="21" s="1"/>
  <c r="E52" i="21" a="1"/>
  <c r="E52" i="21" s="1"/>
  <c r="F52" i="21" a="1"/>
  <c r="F52" i="21" s="1"/>
  <c r="G52" i="21" a="1"/>
  <c r="G52" i="21" s="1"/>
  <c r="H52" i="21" a="1"/>
  <c r="H52" i="21" s="1"/>
  <c r="I52" i="21" a="1"/>
  <c r="I52" i="21" s="1"/>
  <c r="J52" i="21" a="1"/>
  <c r="J52" i="21" s="1"/>
  <c r="K52" i="21" a="1"/>
  <c r="K52" i="21" s="1"/>
  <c r="L52" i="21" a="1"/>
  <c r="L52" i="21" s="1"/>
  <c r="M52" i="21" a="1"/>
  <c r="M52" i="21" s="1"/>
  <c r="N52" i="21" a="1"/>
  <c r="N52" i="21" s="1"/>
  <c r="O52" i="21" a="1"/>
  <c r="O52" i="21" s="1"/>
  <c r="P52" i="21" a="1"/>
  <c r="P52" i="21" s="1"/>
  <c r="Q52" i="21" a="1"/>
  <c r="Q52" i="21" s="1"/>
  <c r="R52" i="21" a="1"/>
  <c r="R52" i="21" s="1"/>
  <c r="S52" i="21" a="1"/>
  <c r="S52" i="21" s="1"/>
  <c r="T52" i="21" a="1"/>
  <c r="T52" i="21" s="1"/>
  <c r="C53" i="21" a="1"/>
  <c r="C53" i="21" s="1"/>
  <c r="D53" i="21" a="1"/>
  <c r="D53" i="21" s="1"/>
  <c r="E53" i="21" a="1"/>
  <c r="E53" i="21" s="1"/>
  <c r="F53" i="21" a="1"/>
  <c r="F53" i="21" s="1"/>
  <c r="G53" i="21" a="1"/>
  <c r="G53" i="21" s="1"/>
  <c r="H53" i="21" a="1"/>
  <c r="H53" i="21" s="1"/>
  <c r="I53" i="21" a="1"/>
  <c r="I53" i="21" s="1"/>
  <c r="J53" i="21" a="1"/>
  <c r="J53" i="21" s="1"/>
  <c r="K53" i="21" a="1"/>
  <c r="K53" i="21" s="1"/>
  <c r="L53" i="21" a="1"/>
  <c r="L53" i="21" s="1"/>
  <c r="M53" i="21" a="1"/>
  <c r="M53" i="21" s="1"/>
  <c r="N53" i="21" a="1"/>
  <c r="N53" i="21" s="1"/>
  <c r="O53" i="21" a="1"/>
  <c r="O53" i="21" s="1"/>
  <c r="P53" i="21" a="1"/>
  <c r="P53" i="21" s="1"/>
  <c r="Q53" i="21" a="1"/>
  <c r="Q53" i="21" s="1"/>
  <c r="R53" i="21" a="1"/>
  <c r="R53" i="21" s="1"/>
  <c r="S53" i="21" a="1"/>
  <c r="S53" i="21" s="1"/>
  <c r="T53" i="21" a="1"/>
  <c r="T53" i="21" s="1"/>
  <c r="C54" i="21" a="1"/>
  <c r="C54" i="21" s="1"/>
  <c r="D54" i="21" a="1"/>
  <c r="D54" i="21" s="1"/>
  <c r="E54" i="21" a="1"/>
  <c r="E54" i="21" s="1"/>
  <c r="F54" i="21" a="1"/>
  <c r="F54" i="21" s="1"/>
  <c r="G54" i="21" a="1"/>
  <c r="G54" i="21" s="1"/>
  <c r="H54" i="21" a="1"/>
  <c r="H54" i="21" s="1"/>
  <c r="I54" i="21" a="1"/>
  <c r="I54" i="21" s="1"/>
  <c r="J54" i="21" a="1"/>
  <c r="J54" i="21" s="1"/>
  <c r="K54" i="21" a="1"/>
  <c r="K54" i="21" s="1"/>
  <c r="L54" i="21" a="1"/>
  <c r="L54" i="21" s="1"/>
  <c r="M54" i="21" a="1"/>
  <c r="M54" i="21" s="1"/>
  <c r="N54" i="21" a="1"/>
  <c r="N54" i="21" s="1"/>
  <c r="O54" i="21" a="1"/>
  <c r="O54" i="21" s="1"/>
  <c r="P54" i="21" a="1"/>
  <c r="P54" i="21" s="1"/>
  <c r="Q54" i="21" a="1"/>
  <c r="Q54" i="21" s="1"/>
  <c r="R54" i="21" a="1"/>
  <c r="R54" i="21" s="1"/>
  <c r="S54" i="21" a="1"/>
  <c r="S54" i="21" s="1"/>
  <c r="T54" i="21" a="1"/>
  <c r="T54" i="21" s="1"/>
  <c r="C55" i="21" a="1"/>
  <c r="C55" i="21" s="1"/>
  <c r="D55" i="21" a="1"/>
  <c r="D55" i="21" s="1"/>
  <c r="E55" i="21" a="1"/>
  <c r="E55" i="21" s="1"/>
  <c r="F55" i="21" a="1"/>
  <c r="F55" i="21" s="1"/>
  <c r="G55" i="21" a="1"/>
  <c r="G55" i="21" s="1"/>
  <c r="H55" i="21" a="1"/>
  <c r="H55" i="21" s="1"/>
  <c r="I55" i="21" a="1"/>
  <c r="I55" i="21" s="1"/>
  <c r="J55" i="21" a="1"/>
  <c r="J55" i="21" s="1"/>
  <c r="K55" i="21" a="1"/>
  <c r="K55" i="21" s="1"/>
  <c r="L55" i="21" a="1"/>
  <c r="L55" i="21" s="1"/>
  <c r="M55" i="21" a="1"/>
  <c r="M55" i="21" s="1"/>
  <c r="N55" i="21" a="1"/>
  <c r="N55" i="21" s="1"/>
  <c r="O55" i="21" a="1"/>
  <c r="O55" i="21" s="1"/>
  <c r="P55" i="21" a="1"/>
  <c r="P55" i="21" s="1"/>
  <c r="Q55" i="21" a="1"/>
  <c r="Q55" i="21" s="1"/>
  <c r="R55" i="21" a="1"/>
  <c r="R55" i="21" s="1"/>
  <c r="S55" i="21" a="1"/>
  <c r="S55" i="21" s="1"/>
  <c r="T55" i="21" a="1"/>
  <c r="T55" i="21" s="1"/>
  <c r="C56" i="21" a="1"/>
  <c r="C56" i="21" s="1"/>
  <c r="D56" i="21" a="1"/>
  <c r="D56" i="21" s="1"/>
  <c r="E56" i="21" a="1"/>
  <c r="E56" i="21" s="1"/>
  <c r="F56" i="21" a="1"/>
  <c r="F56" i="21" s="1"/>
  <c r="G56" i="21" a="1"/>
  <c r="G56" i="21" s="1"/>
  <c r="H56" i="21" a="1"/>
  <c r="H56" i="21" s="1"/>
  <c r="I56" i="21" a="1"/>
  <c r="I56" i="21" s="1"/>
  <c r="J56" i="21" a="1"/>
  <c r="J56" i="21" s="1"/>
  <c r="K56" i="21" a="1"/>
  <c r="K56" i="21" s="1"/>
  <c r="L56" i="21" a="1"/>
  <c r="L56" i="21" s="1"/>
  <c r="M56" i="21" a="1"/>
  <c r="M56" i="21" s="1"/>
  <c r="N56" i="21" a="1"/>
  <c r="N56" i="21" s="1"/>
  <c r="O56" i="21" a="1"/>
  <c r="O56" i="21" s="1"/>
  <c r="P56" i="21" a="1"/>
  <c r="P56" i="21" s="1"/>
  <c r="Q56" i="21" a="1"/>
  <c r="Q56" i="21" s="1"/>
  <c r="R56" i="21" a="1"/>
  <c r="R56" i="21" s="1"/>
  <c r="S56" i="21" a="1"/>
  <c r="S56" i="21" s="1"/>
  <c r="T56" i="21" a="1"/>
  <c r="T56" i="21" s="1"/>
  <c r="C57" i="21" a="1"/>
  <c r="C57" i="21" s="1"/>
  <c r="D57" i="21" a="1"/>
  <c r="D57" i="21" s="1"/>
  <c r="E57" i="21" a="1"/>
  <c r="E57" i="21" s="1"/>
  <c r="F57" i="21" a="1"/>
  <c r="F57" i="21" s="1"/>
  <c r="G57" i="21" a="1"/>
  <c r="G57" i="21" s="1"/>
  <c r="H57" i="21" a="1"/>
  <c r="H57" i="21" s="1"/>
  <c r="I57" i="21" a="1"/>
  <c r="I57" i="21" s="1"/>
  <c r="J57" i="21" a="1"/>
  <c r="J57" i="21" s="1"/>
  <c r="K57" i="21" a="1"/>
  <c r="K57" i="21" s="1"/>
  <c r="L57" i="21" a="1"/>
  <c r="L57" i="21" s="1"/>
  <c r="M57" i="21" a="1"/>
  <c r="M57" i="21" s="1"/>
  <c r="N57" i="21" a="1"/>
  <c r="N57" i="21" s="1"/>
  <c r="O57" i="21" a="1"/>
  <c r="O57" i="21" s="1"/>
  <c r="P57" i="21" a="1"/>
  <c r="P57" i="21" s="1"/>
  <c r="Q57" i="21" a="1"/>
  <c r="Q57" i="21" s="1"/>
  <c r="R57" i="21" a="1"/>
  <c r="R57" i="21" s="1"/>
  <c r="S57" i="21" a="1"/>
  <c r="S57" i="21" s="1"/>
  <c r="T57" i="21" a="1"/>
  <c r="T57" i="21" s="1"/>
  <c r="C58" i="21" a="1"/>
  <c r="C58" i="21" s="1"/>
  <c r="D58" i="21" a="1"/>
  <c r="D58" i="21" s="1"/>
  <c r="E58" i="21" a="1"/>
  <c r="E58" i="21" s="1"/>
  <c r="F58" i="21" a="1"/>
  <c r="F58" i="21" s="1"/>
  <c r="G58" i="21" a="1"/>
  <c r="G58" i="21" s="1"/>
  <c r="H58" i="21" a="1"/>
  <c r="H58" i="21" s="1"/>
  <c r="I58" i="21" a="1"/>
  <c r="I58" i="21" s="1"/>
  <c r="J58" i="21" a="1"/>
  <c r="J58" i="21" s="1"/>
  <c r="K58" i="21" a="1"/>
  <c r="K58" i="21" s="1"/>
  <c r="L58" i="21" a="1"/>
  <c r="L58" i="21" s="1"/>
  <c r="M58" i="21" a="1"/>
  <c r="M58" i="21" s="1"/>
  <c r="N58" i="21" a="1"/>
  <c r="N58" i="21" s="1"/>
  <c r="O58" i="21" a="1"/>
  <c r="O58" i="21" s="1"/>
  <c r="P58" i="21" a="1"/>
  <c r="P58" i="21" s="1"/>
  <c r="Q58" i="21" a="1"/>
  <c r="Q58" i="21" s="1"/>
  <c r="R58" i="21" a="1"/>
  <c r="R58" i="21" s="1"/>
  <c r="S58" i="21" a="1"/>
  <c r="S58" i="21" s="1"/>
  <c r="T58" i="21" a="1"/>
  <c r="T58" i="21" s="1"/>
  <c r="C59" i="21" a="1"/>
  <c r="C59" i="21" s="1"/>
  <c r="D59" i="21" a="1"/>
  <c r="D59" i="21" s="1"/>
  <c r="E59" i="21" a="1"/>
  <c r="E59" i="21" s="1"/>
  <c r="F59" i="21" a="1"/>
  <c r="F59" i="21" s="1"/>
  <c r="G59" i="21" a="1"/>
  <c r="G59" i="21" s="1"/>
  <c r="H59" i="21" a="1"/>
  <c r="H59" i="21" s="1"/>
  <c r="I59" i="21" a="1"/>
  <c r="I59" i="21" s="1"/>
  <c r="J59" i="21" a="1"/>
  <c r="J59" i="21" s="1"/>
  <c r="K59" i="21" a="1"/>
  <c r="K59" i="21" s="1"/>
  <c r="L59" i="21" a="1"/>
  <c r="L59" i="21" s="1"/>
  <c r="M59" i="21" a="1"/>
  <c r="M59" i="21" s="1"/>
  <c r="N59" i="21" a="1"/>
  <c r="N59" i="21" s="1"/>
  <c r="O59" i="21" a="1"/>
  <c r="O59" i="21" s="1"/>
  <c r="P59" i="21" a="1"/>
  <c r="P59" i="21" s="1"/>
  <c r="Q59" i="21" a="1"/>
  <c r="Q59" i="21" s="1"/>
  <c r="R59" i="21" a="1"/>
  <c r="R59" i="21" s="1"/>
  <c r="S59" i="21" a="1"/>
  <c r="S59" i="21" s="1"/>
  <c r="T59" i="21" a="1"/>
  <c r="T59" i="21" s="1"/>
  <c r="C4" i="21" a="1"/>
  <c r="B3" i="20" a="1"/>
  <c r="B1029" i="19"/>
  <c r="B1030" i="19"/>
  <c r="B1031" i="19"/>
  <c r="B1032" i="19"/>
  <c r="B1033" i="19"/>
  <c r="B1034" i="19"/>
  <c r="B1035" i="19"/>
  <c r="B1036" i="19"/>
  <c r="B1037" i="19"/>
  <c r="B1038" i="19"/>
  <c r="B1039" i="19"/>
  <c r="B1040" i="19"/>
  <c r="B1041" i="19"/>
  <c r="B1042" i="19"/>
  <c r="B1043" i="19"/>
  <c r="B1044" i="19"/>
  <c r="B1045" i="19"/>
  <c r="B1046" i="19"/>
  <c r="B1065" i="19"/>
  <c r="B1066" i="19"/>
  <c r="B1067" i="19"/>
  <c r="B1068" i="19"/>
  <c r="B1069" i="19"/>
  <c r="B1070" i="19"/>
  <c r="B1071" i="19"/>
  <c r="B1072" i="19"/>
  <c r="B1073" i="19"/>
  <c r="B1074" i="19"/>
  <c r="B1075" i="19"/>
  <c r="B1076" i="19"/>
  <c r="B1077" i="19"/>
  <c r="B1078" i="19"/>
  <c r="B1079" i="19"/>
  <c r="B1080" i="19"/>
  <c r="B1081" i="19"/>
  <c r="B1082" i="19"/>
  <c r="B1233" i="19"/>
  <c r="B1234" i="19"/>
  <c r="B1235" i="19"/>
  <c r="B1236" i="19"/>
  <c r="B1237" i="19"/>
  <c r="B1238" i="19"/>
  <c r="B1239" i="19"/>
  <c r="B1240" i="19"/>
  <c r="B1241" i="19"/>
  <c r="B1242" i="19"/>
  <c r="B1243" i="19"/>
  <c r="B1244" i="19"/>
  <c r="B1245" i="19"/>
  <c r="B1246" i="19"/>
  <c r="B1247" i="19"/>
  <c r="B1248" i="19"/>
  <c r="B1249" i="19"/>
  <c r="B1250"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B3117" i="19"/>
  <c r="Y62" i="17" l="1" a="1"/>
  <c r="Y62" i="17" s="1"/>
  <c r="X62" i="17" a="1"/>
  <c r="X62" i="17" s="1"/>
  <c r="U62" i="17" a="1"/>
  <c r="U62" i="17" s="1"/>
  <c r="S62" i="17" a="1"/>
  <c r="S62" i="17" s="1"/>
  <c r="R62" i="17" a="1"/>
  <c r="R62" i="17" s="1"/>
  <c r="M62" i="17" a="1"/>
  <c r="M62" i="17" s="1"/>
  <c r="L62" i="17" a="1"/>
  <c r="L62" i="17" s="1"/>
  <c r="O62" i="17" a="1"/>
  <c r="O62" i="17" s="1"/>
  <c r="M55" i="17" a="1"/>
  <c r="M55" i="17" s="1"/>
  <c r="M54" i="17" a="1"/>
  <c r="M54" i="17" s="1"/>
  <c r="L53" i="17" a="1"/>
  <c r="L53" i="17" s="1"/>
  <c r="M58" i="17" a="1"/>
  <c r="M58" i="17" s="1"/>
  <c r="L51" i="17" a="1"/>
  <c r="L51" i="17" s="1"/>
  <c r="M53" i="17" a="1"/>
  <c r="M53" i="17" s="1"/>
  <c r="M52" i="17" a="1"/>
  <c r="M52" i="17" s="1"/>
  <c r="L58" i="17" a="1"/>
  <c r="L58" i="17" s="1"/>
  <c r="L61" i="17" a="1"/>
  <c r="L61" i="17" s="1"/>
  <c r="L57" i="17" a="1"/>
  <c r="L57" i="17" s="1"/>
  <c r="M61" i="17" a="1"/>
  <c r="M61" i="17" s="1"/>
  <c r="M51" i="17" a="1"/>
  <c r="M51" i="17" s="1"/>
  <c r="L56" i="17" a="1"/>
  <c r="L56" i="17" s="1"/>
  <c r="M57" i="17" a="1"/>
  <c r="M57" i="17" s="1"/>
  <c r="L55" i="17" a="1"/>
  <c r="L55" i="17" s="1"/>
  <c r="L52" i="17" a="1"/>
  <c r="L52" i="17" s="1"/>
  <c r="L54" i="17" a="1"/>
  <c r="L54" i="17" s="1"/>
  <c r="M56" i="17" a="1"/>
  <c r="M56" i="17" s="1"/>
  <c r="Z5" i="21"/>
  <c r="AN5" i="21"/>
  <c r="AE5" i="21"/>
  <c r="AF5" i="21"/>
  <c r="AH5" i="21"/>
  <c r="AI5" i="21"/>
  <c r="AJ5" i="21"/>
  <c r="AK5" i="21"/>
  <c r="X5" i="21"/>
  <c r="AL5" i="21"/>
  <c r="AG5" i="21"/>
  <c r="Y5" i="21"/>
  <c r="AM5" i="21"/>
  <c r="AB5" i="21"/>
  <c r="AA5" i="21"/>
  <c r="AC5" i="21"/>
  <c r="AD5" i="21"/>
  <c r="B4" i="2" a="1"/>
  <c r="B4" i="2" s="1"/>
  <c r="C3" i="4" a="1"/>
  <c r="A6" i="5" a="1"/>
  <c r="A6" i="5" s="1"/>
  <c r="A7" i="20" a="1"/>
  <c r="A7" i="20" s="1"/>
  <c r="A6" i="21" a="1"/>
  <c r="D5" i="21"/>
  <c r="P5" i="21"/>
  <c r="N5" i="21"/>
  <c r="G5" i="21"/>
  <c r="M5" i="21"/>
  <c r="H5" i="21"/>
  <c r="E5" i="21"/>
  <c r="Q5" i="21"/>
  <c r="O5" i="21"/>
  <c r="L5" i="21"/>
  <c r="K5" i="21"/>
  <c r="J5" i="21"/>
  <c r="C4" i="21"/>
  <c r="W5" i="21" s="1"/>
  <c r="I5" i="21"/>
  <c r="F5" i="21"/>
  <c r="T5" i="21"/>
  <c r="S5" i="21"/>
  <c r="R5" i="21"/>
  <c r="S6" i="20"/>
  <c r="R6" i="20"/>
  <c r="E6" i="20"/>
  <c r="Q6" i="20"/>
  <c r="D6" i="20"/>
  <c r="P6" i="20"/>
  <c r="L6" i="20"/>
  <c r="J6" i="20"/>
  <c r="C6" i="20"/>
  <c r="F6" i="20"/>
  <c r="G6" i="20"/>
  <c r="H6" i="20"/>
  <c r="I6" i="20"/>
  <c r="K6" i="20"/>
  <c r="M6" i="20"/>
  <c r="N6" i="20"/>
  <c r="B3" i="20"/>
  <c r="O6" i="20"/>
  <c r="A8" i="16"/>
  <c r="U8" i="16"/>
  <c r="M8" i="16" l="1"/>
  <c r="K8" i="16"/>
  <c r="J8" i="16"/>
  <c r="L8" i="16"/>
  <c r="G27" i="21" a="1"/>
  <c r="G27" i="21" s="1"/>
  <c r="H27" i="21" a="1"/>
  <c r="H27" i="21" s="1"/>
  <c r="O27" i="21" a="1"/>
  <c r="O27" i="21" s="1"/>
  <c r="C27" i="21" a="1"/>
  <c r="C27" i="21" s="1"/>
  <c r="Q27" i="21" a="1"/>
  <c r="Q27" i="21" s="1"/>
  <c r="T27" i="21" a="1"/>
  <c r="T27" i="21" s="1"/>
  <c r="I27" i="21" a="1"/>
  <c r="I27" i="21" s="1"/>
  <c r="P27" i="21" a="1"/>
  <c r="P27" i="21" s="1"/>
  <c r="D27" i="21" a="1"/>
  <c r="D27" i="21" s="1"/>
  <c r="R27" i="21" a="1"/>
  <c r="R27" i="21" s="1"/>
  <c r="J27" i="21" a="1"/>
  <c r="J27" i="21" s="1"/>
  <c r="K27" i="21" a="1"/>
  <c r="K27" i="21" s="1"/>
  <c r="L27" i="21" a="1"/>
  <c r="L27" i="21" s="1"/>
  <c r="M27" i="21" a="1"/>
  <c r="M27" i="21" s="1"/>
  <c r="N27" i="21" a="1"/>
  <c r="N27" i="21" s="1"/>
  <c r="E27" i="21" a="1"/>
  <c r="E27" i="21" s="1"/>
  <c r="S27" i="21" a="1"/>
  <c r="S27" i="21" s="1"/>
  <c r="F27" i="21" a="1"/>
  <c r="F27" i="21" s="1"/>
  <c r="J25" i="21" a="1"/>
  <c r="J25" i="21" s="1"/>
  <c r="F26" i="21" a="1"/>
  <c r="F26" i="21" s="1"/>
  <c r="T26" i="21" a="1"/>
  <c r="T26" i="21" s="1"/>
  <c r="K25" i="21" a="1"/>
  <c r="K25" i="21" s="1"/>
  <c r="G26" i="21" a="1"/>
  <c r="G26" i="21" s="1"/>
  <c r="L25" i="21" a="1"/>
  <c r="L25" i="21" s="1"/>
  <c r="H26" i="21" a="1"/>
  <c r="H26" i="21" s="1"/>
  <c r="M25" i="21" a="1"/>
  <c r="M25" i="21" s="1"/>
  <c r="I26" i="21" a="1"/>
  <c r="I26" i="21" s="1"/>
  <c r="S25" i="21" a="1"/>
  <c r="S25" i="21" s="1"/>
  <c r="N25" i="21" a="1"/>
  <c r="N25" i="21" s="1"/>
  <c r="J26" i="21" a="1"/>
  <c r="J26" i="21" s="1"/>
  <c r="O25" i="21" a="1"/>
  <c r="O25" i="21" s="1"/>
  <c r="K26" i="21" a="1"/>
  <c r="K26" i="21" s="1"/>
  <c r="C25" i="21" a="1"/>
  <c r="C25" i="21" s="1"/>
  <c r="Q25" i="21" a="1"/>
  <c r="Q25" i="21" s="1"/>
  <c r="M26" i="21" a="1"/>
  <c r="M26" i="21" s="1"/>
  <c r="D25" i="21" a="1"/>
  <c r="D25" i="21" s="1"/>
  <c r="R25" i="21" a="1"/>
  <c r="R25" i="21" s="1"/>
  <c r="N26" i="21" a="1"/>
  <c r="N26" i="21" s="1"/>
  <c r="P25" i="21" a="1"/>
  <c r="P25" i="21" s="1"/>
  <c r="L26" i="21" a="1"/>
  <c r="L26" i="21" s="1"/>
  <c r="E25" i="21" a="1"/>
  <c r="E25" i="21" s="1"/>
  <c r="O26" i="21" a="1"/>
  <c r="O26" i="21" s="1"/>
  <c r="G25" i="21" a="1"/>
  <c r="G25" i="21" s="1"/>
  <c r="C26" i="21" a="1"/>
  <c r="C26" i="21" s="1"/>
  <c r="Q26" i="21" a="1"/>
  <c r="Q26" i="21" s="1"/>
  <c r="D26" i="21" a="1"/>
  <c r="D26" i="21" s="1"/>
  <c r="F25" i="21" a="1"/>
  <c r="F25" i="21" s="1"/>
  <c r="T25" i="21" a="1"/>
  <c r="T25" i="21" s="1"/>
  <c r="P26" i="21" a="1"/>
  <c r="P26" i="21" s="1"/>
  <c r="H25" i="21" a="1"/>
  <c r="H25" i="21" s="1"/>
  <c r="R26" i="21" a="1"/>
  <c r="R26" i="21" s="1"/>
  <c r="I25" i="21" a="1"/>
  <c r="I25" i="21" s="1"/>
  <c r="E26" i="21" a="1"/>
  <c r="E26" i="21" s="1"/>
  <c r="S26" i="21" a="1"/>
  <c r="S26" i="21" s="1"/>
  <c r="J24" i="21" a="1"/>
  <c r="J24" i="21" s="1"/>
  <c r="K24" i="21" a="1"/>
  <c r="K24" i="21" s="1"/>
  <c r="L24" i="21" a="1"/>
  <c r="L24" i="21" s="1"/>
  <c r="M24" i="21" a="1"/>
  <c r="M24" i="21" s="1"/>
  <c r="N24" i="21" a="1"/>
  <c r="N24" i="21" s="1"/>
  <c r="O24" i="21" a="1"/>
  <c r="O24" i="21" s="1"/>
  <c r="P24" i="21" a="1"/>
  <c r="P24" i="21" s="1"/>
  <c r="C24" i="21" a="1"/>
  <c r="C24" i="21" s="1"/>
  <c r="Q24" i="21" a="1"/>
  <c r="Q24" i="21" s="1"/>
  <c r="D24" i="21" a="1"/>
  <c r="D24" i="21" s="1"/>
  <c r="R24" i="21" a="1"/>
  <c r="R24" i="21" s="1"/>
  <c r="E24" i="21" a="1"/>
  <c r="E24" i="21" s="1"/>
  <c r="S24" i="21" a="1"/>
  <c r="S24" i="21" s="1"/>
  <c r="F24" i="21" a="1"/>
  <c r="F24" i="21" s="1"/>
  <c r="T24" i="21" a="1"/>
  <c r="T24" i="21" s="1"/>
  <c r="G24" i="21" a="1"/>
  <c r="G24" i="21" s="1"/>
  <c r="H24" i="21" a="1"/>
  <c r="H24" i="21" s="1"/>
  <c r="I24" i="21" a="1"/>
  <c r="I24" i="21" s="1"/>
  <c r="O8" i="20"/>
  <c r="R23" i="21" a="1"/>
  <c r="R23" i="21" s="1"/>
  <c r="H23" i="21" a="1"/>
  <c r="H23" i="21" s="1"/>
  <c r="K23" i="21" a="1"/>
  <c r="K23" i="21" s="1"/>
  <c r="J23" i="21" a="1"/>
  <c r="J23" i="21" s="1"/>
  <c r="L23" i="21" a="1"/>
  <c r="L23" i="21" s="1"/>
  <c r="M23" i="21" a="1"/>
  <c r="M23" i="21" s="1"/>
  <c r="P23" i="21" a="1"/>
  <c r="P23" i="21" s="1"/>
  <c r="N23" i="21" a="1"/>
  <c r="N23" i="21" s="1"/>
  <c r="D23" i="21" a="1"/>
  <c r="D23" i="21" s="1"/>
  <c r="F23" i="21" a="1"/>
  <c r="F23" i="21" s="1"/>
  <c r="T23" i="21" a="1"/>
  <c r="T23" i="21" s="1"/>
  <c r="O23" i="21" a="1"/>
  <c r="O23" i="21" s="1"/>
  <c r="Q23" i="21" a="1"/>
  <c r="Q23" i="21" s="1"/>
  <c r="E23" i="21" a="1"/>
  <c r="E23" i="21" s="1"/>
  <c r="S23" i="21" a="1"/>
  <c r="S23" i="21" s="1"/>
  <c r="G23" i="21" a="1"/>
  <c r="G23" i="21" s="1"/>
  <c r="C23" i="21" a="1"/>
  <c r="C23" i="21" s="1"/>
  <c r="I23" i="21" a="1"/>
  <c r="I23" i="21" s="1"/>
  <c r="C3" i="4"/>
  <c r="A21" i="4"/>
  <c r="A22" i="4"/>
  <c r="K11" i="20"/>
  <c r="M18" i="20"/>
  <c r="D16" i="20"/>
  <c r="M20" i="20"/>
  <c r="D15" i="20"/>
  <c r="P14" i="20"/>
  <c r="P17" i="20"/>
  <c r="F12" i="20"/>
  <c r="J14" i="20"/>
  <c r="M23" i="20"/>
  <c r="O12" i="20"/>
  <c r="H16" i="20"/>
  <c r="P10" i="20"/>
  <c r="K14" i="20"/>
  <c r="O9" i="20"/>
  <c r="R11" i="20"/>
  <c r="O18" i="20"/>
  <c r="N15" i="20"/>
  <c r="H13" i="20"/>
  <c r="C13" i="20"/>
  <c r="D10" i="20"/>
  <c r="P20" i="20"/>
  <c r="D12" i="20"/>
  <c r="N16" i="20"/>
  <c r="J19" i="20"/>
  <c r="R20" i="20"/>
  <c r="H15" i="20"/>
  <c r="D19" i="20"/>
  <c r="K10" i="20"/>
  <c r="G14" i="20"/>
  <c r="L22" i="20"/>
  <c r="N14" i="20"/>
  <c r="E19" i="20"/>
  <c r="E15" i="20"/>
  <c r="J13" i="20"/>
  <c r="J9" i="20"/>
  <c r="O22" i="20"/>
  <c r="E17" i="20"/>
  <c r="Q21" i="20"/>
  <c r="M15" i="20"/>
  <c r="L18" i="20"/>
  <c r="G15" i="20"/>
  <c r="R22" i="20"/>
  <c r="J10" i="20"/>
  <c r="O21" i="20"/>
  <c r="S23" i="20"/>
  <c r="I18" i="20"/>
  <c r="I21" i="20"/>
  <c r="O19" i="20"/>
  <c r="Q8" i="20"/>
  <c r="Q17" i="20"/>
  <c r="D23" i="20"/>
  <c r="H18" i="20"/>
  <c r="N19" i="20"/>
  <c r="C14" i="20"/>
  <c r="M22" i="20"/>
  <c r="C11" i="20"/>
  <c r="M12" i="20"/>
  <c r="R17" i="20"/>
  <c r="R19" i="20"/>
  <c r="O11" i="20"/>
  <c r="L21" i="20"/>
  <c r="M13" i="20"/>
  <c r="G13" i="20"/>
  <c r="H8" i="20"/>
  <c r="P11" i="20"/>
  <c r="Q10" i="20"/>
  <c r="M8" i="20"/>
  <c r="F16" i="20"/>
  <c r="E12" i="20"/>
  <c r="D22" i="20"/>
  <c r="N9" i="20"/>
  <c r="I19" i="20"/>
  <c r="I22" i="20"/>
  <c r="C16" i="20"/>
  <c r="C19" i="20"/>
  <c r="S18" i="20"/>
  <c r="C8" i="20"/>
  <c r="K15" i="20"/>
  <c r="N17" i="20"/>
  <c r="N13" i="20"/>
  <c r="R18" i="20"/>
  <c r="C18" i="20"/>
  <c r="F10" i="20"/>
  <c r="J16" i="20"/>
  <c r="G17" i="20"/>
  <c r="Q20" i="20"/>
  <c r="H23" i="20"/>
  <c r="D13" i="20"/>
  <c r="G8" i="20"/>
  <c r="H21" i="20"/>
  <c r="R8" i="20"/>
  <c r="C17" i="20"/>
  <c r="C20" i="20"/>
  <c r="O13" i="20"/>
  <c r="O16" i="20"/>
  <c r="E18" i="20"/>
  <c r="I16" i="20"/>
  <c r="E13" i="20"/>
  <c r="L14" i="20"/>
  <c r="H11" i="20"/>
  <c r="D18" i="20"/>
  <c r="R21" i="20"/>
  <c r="Q18" i="20"/>
  <c r="G20" i="20"/>
  <c r="D21" i="20"/>
  <c r="N8" i="20"/>
  <c r="E9" i="20"/>
  <c r="K8" i="20"/>
  <c r="S19" i="20"/>
  <c r="E8" i="20"/>
  <c r="P12" i="20"/>
  <c r="L8" i="20"/>
  <c r="L11" i="20"/>
  <c r="C23" i="20"/>
  <c r="P9" i="20"/>
  <c r="G21" i="20"/>
  <c r="I10" i="20"/>
  <c r="K22" i="20"/>
  <c r="G19" i="20"/>
  <c r="Q9" i="20"/>
  <c r="F21" i="20"/>
  <c r="L9" i="20"/>
  <c r="E14" i="20"/>
  <c r="M19" i="20"/>
  <c r="F17" i="20"/>
  <c r="I13" i="20"/>
  <c r="I8" i="20"/>
  <c r="J22" i="20"/>
  <c r="M17" i="20"/>
  <c r="N23" i="20"/>
  <c r="F11" i="20"/>
  <c r="G23" i="20"/>
  <c r="F9" i="20"/>
  <c r="O20" i="20"/>
  <c r="O23" i="20"/>
  <c r="K20" i="20"/>
  <c r="M9" i="20"/>
  <c r="E20" i="20"/>
  <c r="M14" i="20"/>
  <c r="N20" i="20"/>
  <c r="J20" i="20"/>
  <c r="P8" i="20"/>
  <c r="P18" i="20"/>
  <c r="J23" i="20"/>
  <c r="C21" i="20"/>
  <c r="K18" i="20"/>
  <c r="F20" i="20"/>
  <c r="M21" i="20"/>
  <c r="F22" i="20"/>
  <c r="L20" i="20"/>
  <c r="D8" i="20"/>
  <c r="O14" i="20"/>
  <c r="E16" i="20"/>
  <c r="M10" i="20"/>
  <c r="S15" i="20"/>
  <c r="I17" i="20"/>
  <c r="Q14" i="20"/>
  <c r="M11" i="20"/>
  <c r="J11" i="20"/>
  <c r="F8" i="20"/>
  <c r="H17" i="20"/>
  <c r="R14" i="20"/>
  <c r="N22" i="20"/>
  <c r="K23" i="20"/>
  <c r="E21" i="20"/>
  <c r="O17" i="20"/>
  <c r="I15" i="20"/>
  <c r="P19" i="20"/>
  <c r="I12" i="20"/>
  <c r="C9" i="20"/>
  <c r="M16" i="20"/>
  <c r="G9" i="20"/>
  <c r="E22" i="20"/>
  <c r="L16" i="20"/>
  <c r="I23" i="20"/>
  <c r="G10" i="20"/>
  <c r="S16" i="20"/>
  <c r="L15" i="20"/>
  <c r="R23" i="20"/>
  <c r="L17" i="20"/>
  <c r="F18" i="20"/>
  <c r="E10" i="20"/>
  <c r="C10" i="20"/>
  <c r="F19" i="20"/>
  <c r="P23" i="20"/>
  <c r="C12" i="20"/>
  <c r="Q15" i="20"/>
  <c r="K12" i="20"/>
  <c r="N21" i="20"/>
  <c r="Q23" i="20"/>
  <c r="Q19" i="20"/>
  <c r="P15" i="20"/>
  <c r="K16" i="20"/>
  <c r="S14" i="20"/>
  <c r="H20" i="20"/>
  <c r="Q13" i="20"/>
  <c r="F13" i="20"/>
  <c r="H22" i="20"/>
  <c r="F15" i="20"/>
  <c r="J17" i="20"/>
  <c r="P21" i="20"/>
  <c r="F23" i="20"/>
  <c r="R16" i="20"/>
  <c r="J21" i="20"/>
  <c r="G11" i="20"/>
  <c r="C15" i="20"/>
  <c r="I9" i="20"/>
  <c r="H19" i="20"/>
  <c r="K21" i="20"/>
  <c r="G18" i="20"/>
  <c r="F14" i="20"/>
  <c r="S17" i="20"/>
  <c r="K19" i="20"/>
  <c r="Q11" i="20"/>
  <c r="B15" i="20"/>
  <c r="G12" i="20"/>
  <c r="S20" i="20"/>
  <c r="J18" i="20"/>
  <c r="S22" i="20"/>
  <c r="R15" i="20"/>
  <c r="D17" i="20"/>
  <c r="D20" i="20"/>
  <c r="P13" i="20"/>
  <c r="P16" i="20"/>
  <c r="S8" i="20"/>
  <c r="K13" i="20"/>
  <c r="N18" i="20"/>
  <c r="H12" i="20"/>
  <c r="Q16" i="20"/>
  <c r="Q12" i="20"/>
  <c r="N12" i="20"/>
  <c r="D14" i="20"/>
  <c r="S10" i="20"/>
  <c r="I20" i="20"/>
  <c r="O10" i="20"/>
  <c r="G16" i="20"/>
  <c r="D9" i="20"/>
  <c r="K17" i="20"/>
  <c r="H14" i="20"/>
  <c r="J12" i="20"/>
  <c r="J15" i="20"/>
  <c r="N10" i="20"/>
  <c r="R12" i="20"/>
  <c r="Q22" i="20"/>
  <c r="S11" i="20"/>
  <c r="N11" i="20"/>
  <c r="J8" i="20"/>
  <c r="S12" i="20"/>
  <c r="L23" i="20"/>
  <c r="D11" i="20"/>
  <c r="S21" i="20"/>
  <c r="L19" i="20"/>
  <c r="Q15" i="5" a="1"/>
  <c r="Q15" i="5" s="1"/>
  <c r="S9" i="20"/>
  <c r="S13" i="20"/>
  <c r="G22" i="20"/>
  <c r="I14" i="20"/>
  <c r="L13" i="20"/>
  <c r="R10" i="20"/>
  <c r="R13" i="20"/>
  <c r="R9" i="20"/>
  <c r="L10" i="20"/>
  <c r="C22" i="20"/>
  <c r="E11" i="20"/>
  <c r="H9" i="20"/>
  <c r="E23" i="20"/>
  <c r="I11" i="20"/>
  <c r="P22" i="20"/>
  <c r="H10" i="20"/>
  <c r="K9" i="20"/>
  <c r="O15" i="20"/>
  <c r="L12" i="20"/>
  <c r="A6" i="21"/>
  <c r="N7" i="21" a="1"/>
  <c r="N7" i="21" s="1"/>
  <c r="P8" i="21" a="1"/>
  <c r="P8" i="21" s="1"/>
  <c r="R9" i="21" a="1"/>
  <c r="R9" i="21" s="1"/>
  <c r="M10" i="21" a="1"/>
  <c r="M10" i="21" s="1"/>
  <c r="O11" i="21" a="1"/>
  <c r="O11" i="21" s="1"/>
  <c r="H12" i="21" a="1"/>
  <c r="H12" i="21" s="1"/>
  <c r="T12" i="21" a="1"/>
  <c r="T12" i="21" s="1"/>
  <c r="N13" i="21" a="1"/>
  <c r="N13" i="21" s="1"/>
  <c r="G15" i="21" a="1"/>
  <c r="G15" i="21" s="1"/>
  <c r="Q15" i="21" a="1"/>
  <c r="Q15" i="21" s="1"/>
  <c r="T16" i="21" a="1"/>
  <c r="T16" i="21" s="1"/>
  <c r="C18" i="21" a="1"/>
  <c r="C18" i="21" s="1"/>
  <c r="N18" i="21" a="1"/>
  <c r="N18" i="21" s="1"/>
  <c r="F19" i="21" a="1"/>
  <c r="F19" i="21" s="1"/>
  <c r="O19" i="21" a="1"/>
  <c r="O19" i="21" s="1"/>
  <c r="Q20" i="21" a="1"/>
  <c r="Q20" i="21" s="1"/>
  <c r="J21" i="21" a="1"/>
  <c r="J21" i="21" s="1"/>
  <c r="C22" i="21" a="1"/>
  <c r="C22" i="21" s="1"/>
  <c r="L22" i="21" a="1"/>
  <c r="L22" i="21" s="1"/>
  <c r="O7" i="21" a="1"/>
  <c r="O7" i="21" s="1"/>
  <c r="H8" i="21" a="1"/>
  <c r="H8" i="21" s="1"/>
  <c r="Q8" i="21" a="1"/>
  <c r="Q8" i="21" s="1"/>
  <c r="H9" i="21" a="1"/>
  <c r="H9" i="21" s="1"/>
  <c r="F11" i="21" a="1"/>
  <c r="F11" i="21" s="1"/>
  <c r="P11" i="21" a="1"/>
  <c r="P11" i="21" s="1"/>
  <c r="I12" i="21" a="1"/>
  <c r="I12" i="21" s="1"/>
  <c r="O13" i="21" a="1"/>
  <c r="O13" i="21" s="1"/>
  <c r="F14" i="21" a="1"/>
  <c r="F14" i="21" s="1"/>
  <c r="P14" i="21" a="1"/>
  <c r="P14" i="21" s="1"/>
  <c r="R15" i="21" a="1"/>
  <c r="R15" i="21" s="1"/>
  <c r="K16" i="21" a="1"/>
  <c r="K16" i="21" s="1"/>
  <c r="L17" i="21" a="1"/>
  <c r="L17" i="21" s="1"/>
  <c r="G20" i="21" a="1"/>
  <c r="G20" i="21" s="1"/>
  <c r="R20" i="21" a="1"/>
  <c r="R20" i="21" s="1"/>
  <c r="K21" i="21" a="1"/>
  <c r="K21" i="21" s="1"/>
  <c r="M22" i="21" a="1"/>
  <c r="M22" i="21" s="1"/>
  <c r="P7" i="21" a="1"/>
  <c r="P7" i="21" s="1"/>
  <c r="S9" i="21" a="1"/>
  <c r="S9" i="21" s="1"/>
  <c r="N10" i="21" a="1"/>
  <c r="N10" i="21" s="1"/>
  <c r="G11" i="21" a="1"/>
  <c r="G11" i="21" s="1"/>
  <c r="Q11" i="21" a="1"/>
  <c r="Q11" i="21" s="1"/>
  <c r="J12" i="21" a="1"/>
  <c r="J12" i="21" s="1"/>
  <c r="C13" i="21" a="1"/>
  <c r="C13" i="21" s="1"/>
  <c r="G14" i="21" a="1"/>
  <c r="G14" i="21" s="1"/>
  <c r="H15" i="21" a="1"/>
  <c r="H15" i="21" s="1"/>
  <c r="S15" i="21" a="1"/>
  <c r="S15" i="21" s="1"/>
  <c r="C17" i="21" a="1"/>
  <c r="C17" i="21" s="1"/>
  <c r="M17" i="21" a="1"/>
  <c r="M17" i="21" s="1"/>
  <c r="D18" i="21" a="1"/>
  <c r="D18" i="21" s="1"/>
  <c r="O18" i="21" a="1"/>
  <c r="O18" i="21" s="1"/>
  <c r="G19" i="21" a="1"/>
  <c r="G19" i="21" s="1"/>
  <c r="P19" i="21" a="1"/>
  <c r="P19" i="21" s="1"/>
  <c r="H20" i="21" a="1"/>
  <c r="H20" i="21" s="1"/>
  <c r="S20" i="21" a="1"/>
  <c r="S20" i="21" s="1"/>
  <c r="D22" i="21" a="1"/>
  <c r="D22" i="21" s="1"/>
  <c r="N22" i="21" a="1"/>
  <c r="N22" i="21" s="1"/>
  <c r="C7" i="21" a="1"/>
  <c r="C7" i="21" s="1"/>
  <c r="Q7" i="21" a="1"/>
  <c r="Q7" i="21" s="1"/>
  <c r="I8" i="21" a="1"/>
  <c r="I8" i="21" s="1"/>
  <c r="R8" i="21" a="1"/>
  <c r="R8" i="21" s="1"/>
  <c r="I9" i="21" a="1"/>
  <c r="I9" i="21" s="1"/>
  <c r="T9" i="21" a="1"/>
  <c r="T9" i="21" s="1"/>
  <c r="O10" i="21" a="1"/>
  <c r="O10" i="21" s="1"/>
  <c r="H11" i="21" a="1"/>
  <c r="H11" i="21" s="1"/>
  <c r="K12" i="21" a="1"/>
  <c r="K12" i="21" s="1"/>
  <c r="D13" i="21" a="1"/>
  <c r="D13" i="21" s="1"/>
  <c r="P13" i="21" a="1"/>
  <c r="P13" i="21" s="1"/>
  <c r="Q14" i="21" a="1"/>
  <c r="Q14" i="21" s="1"/>
  <c r="L16" i="21" a="1"/>
  <c r="L16" i="21" s="1"/>
  <c r="E18" i="21" a="1"/>
  <c r="E18" i="21" s="1"/>
  <c r="P18" i="21" a="1"/>
  <c r="P18" i="21" s="1"/>
  <c r="H19" i="21" a="1"/>
  <c r="H19" i="21" s="1"/>
  <c r="I20" i="21" a="1"/>
  <c r="I20" i="21" s="1"/>
  <c r="L21" i="21" a="1"/>
  <c r="L21" i="21" s="1"/>
  <c r="E22" i="21" a="1"/>
  <c r="E22" i="21" s="1"/>
  <c r="O22" i="21" a="1"/>
  <c r="O22" i="21" s="1"/>
  <c r="D7" i="21" a="1"/>
  <c r="D7" i="21" s="1"/>
  <c r="R7" i="21" a="1"/>
  <c r="R7" i="21" s="1"/>
  <c r="J8" i="21" a="1"/>
  <c r="J8" i="21" s="1"/>
  <c r="J9" i="21" a="1"/>
  <c r="J9" i="21" s="1"/>
  <c r="C10" i="21" a="1"/>
  <c r="C10" i="21" s="1"/>
  <c r="P10" i="21" a="1"/>
  <c r="P10" i="21" s="1"/>
  <c r="I11" i="21" a="1"/>
  <c r="I11" i="21" s="1"/>
  <c r="R11" i="21" a="1"/>
  <c r="R11" i="21" s="1"/>
  <c r="L12" i="21" a="1"/>
  <c r="L12" i="21" s="1"/>
  <c r="E13" i="21" a="1"/>
  <c r="E13" i="21" s="1"/>
  <c r="H14" i="21" a="1"/>
  <c r="H14" i="21" s="1"/>
  <c r="R14" i="21" a="1"/>
  <c r="R14" i="21" s="1"/>
  <c r="I15" i="21" a="1"/>
  <c r="I15" i="21" s="1"/>
  <c r="T15" i="21" a="1"/>
  <c r="T15" i="21" s="1"/>
  <c r="M16" i="21" a="1"/>
  <c r="M16" i="21" s="1"/>
  <c r="D17" i="21" a="1"/>
  <c r="D17" i="21" s="1"/>
  <c r="N17" i="21" a="1"/>
  <c r="N17" i="21" s="1"/>
  <c r="F18" i="21" a="1"/>
  <c r="F18" i="21" s="1"/>
  <c r="Q19" i="21" a="1"/>
  <c r="Q19" i="21" s="1"/>
  <c r="J20" i="21" a="1"/>
  <c r="J20" i="21" s="1"/>
  <c r="T20" i="21" a="1"/>
  <c r="T20" i="21" s="1"/>
  <c r="M21" i="21" a="1"/>
  <c r="M21" i="21" s="1"/>
  <c r="F22" i="21" a="1"/>
  <c r="F22" i="21" s="1"/>
  <c r="F7" i="21" a="1"/>
  <c r="F7" i="21" s="1"/>
  <c r="S7" i="21" a="1"/>
  <c r="S7" i="21" s="1"/>
  <c r="K8" i="21" a="1"/>
  <c r="K8" i="21" s="1"/>
  <c r="T8" i="21" a="1"/>
  <c r="T8" i="21" s="1"/>
  <c r="K9" i="21" a="1"/>
  <c r="K9" i="21" s="1"/>
  <c r="E10" i="21" a="1"/>
  <c r="E10" i="21" s="1"/>
  <c r="R10" i="21" a="1"/>
  <c r="R10" i="21" s="1"/>
  <c r="J11" i="21" a="1"/>
  <c r="J11" i="21" s="1"/>
  <c r="T11" i="21" a="1"/>
  <c r="T11" i="21" s="1"/>
  <c r="M12" i="21" a="1"/>
  <c r="M12" i="21" s="1"/>
  <c r="G13" i="21" a="1"/>
  <c r="G13" i="21" s="1"/>
  <c r="R13" i="21" a="1"/>
  <c r="R13" i="21" s="1"/>
  <c r="I14" i="21" a="1"/>
  <c r="I14" i="21" s="1"/>
  <c r="S14" i="21" a="1"/>
  <c r="S14" i="21" s="1"/>
  <c r="K15" i="21" a="1"/>
  <c r="K15" i="21" s="1"/>
  <c r="N16" i="21" a="1"/>
  <c r="N16" i="21" s="1"/>
  <c r="F17" i="21" a="1"/>
  <c r="F17" i="21" s="1"/>
  <c r="P17" i="21" a="1"/>
  <c r="P17" i="21" s="1"/>
  <c r="G18" i="21" a="1"/>
  <c r="G18" i="21" s="1"/>
  <c r="R18" i="21" a="1"/>
  <c r="R18" i="21" s="1"/>
  <c r="S19" i="21" a="1"/>
  <c r="S19" i="21" s="1"/>
  <c r="D21" i="21" a="1"/>
  <c r="D21" i="21" s="1"/>
  <c r="O21" i="21" a="1"/>
  <c r="O21" i="21" s="1"/>
  <c r="Q22" i="21" a="1"/>
  <c r="Q22" i="21" s="1"/>
  <c r="G7" i="21" a="1"/>
  <c r="G7" i="21" s="1"/>
  <c r="T7" i="21" a="1"/>
  <c r="T7" i="21" s="1"/>
  <c r="C9" i="21" a="1"/>
  <c r="C9" i="21" s="1"/>
  <c r="L9" i="21" a="1"/>
  <c r="L9" i="21" s="1"/>
  <c r="F10" i="21" a="1"/>
  <c r="F10" i="21" s="1"/>
  <c r="S10" i="21" a="1"/>
  <c r="S10" i="21" s="1"/>
  <c r="C12" i="21" a="1"/>
  <c r="C12" i="21" s="1"/>
  <c r="H13" i="21" a="1"/>
  <c r="H13" i="21" s="1"/>
  <c r="J14" i="21" a="1"/>
  <c r="J14" i="21" s="1"/>
  <c r="T14" i="21" a="1"/>
  <c r="T14" i="21" s="1"/>
  <c r="D16" i="21" a="1"/>
  <c r="D16" i="21" s="1"/>
  <c r="O16" i="21" a="1"/>
  <c r="O16" i="21" s="1"/>
  <c r="G17" i="21" a="1"/>
  <c r="G17" i="21" s="1"/>
  <c r="H18" i="21" a="1"/>
  <c r="H18" i="21" s="1"/>
  <c r="S18" i="21" a="1"/>
  <c r="S18" i="21" s="1"/>
  <c r="J19" i="21" a="1"/>
  <c r="J19" i="21" s="1"/>
  <c r="T19" i="21" a="1"/>
  <c r="T19" i="21" s="1"/>
  <c r="L20" i="21" a="1"/>
  <c r="L20" i="21" s="1"/>
  <c r="E21" i="21" a="1"/>
  <c r="E21" i="21" s="1"/>
  <c r="P21" i="21" a="1"/>
  <c r="P21" i="21" s="1"/>
  <c r="H22" i="21" a="1"/>
  <c r="H22" i="21" s="1"/>
  <c r="R22" i="21" a="1"/>
  <c r="R22" i="21" s="1"/>
  <c r="H7" i="21" a="1"/>
  <c r="H7" i="21" s="1"/>
  <c r="C8" i="21" a="1"/>
  <c r="C8" i="21" s="1"/>
  <c r="L8" i="21" a="1"/>
  <c r="L8" i="21" s="1"/>
  <c r="M9" i="21" a="1"/>
  <c r="M9" i="21" s="1"/>
  <c r="G10" i="21" a="1"/>
  <c r="G10" i="21" s="1"/>
  <c r="T10" i="21" a="1"/>
  <c r="T10" i="21" s="1"/>
  <c r="K11" i="21" a="1"/>
  <c r="K11" i="21" s="1"/>
  <c r="N12" i="21" a="1"/>
  <c r="N12" i="21" s="1"/>
  <c r="S13" i="21" a="1"/>
  <c r="S13" i="21" s="1"/>
  <c r="K14" i="21" a="1"/>
  <c r="K14" i="21" s="1"/>
  <c r="C15" i="21" a="1"/>
  <c r="C15" i="21" s="1"/>
  <c r="L15" i="21" a="1"/>
  <c r="L15" i="21" s="1"/>
  <c r="E16" i="21" a="1"/>
  <c r="E16" i="21" s="1"/>
  <c r="P16" i="21" a="1"/>
  <c r="P16" i="21" s="1"/>
  <c r="Q17" i="21" a="1"/>
  <c r="Q17" i="21" s="1"/>
  <c r="I18" i="21" a="1"/>
  <c r="I18" i="21" s="1"/>
  <c r="K19" i="21" a="1"/>
  <c r="K19" i="21" s="1"/>
  <c r="M20" i="21" a="1"/>
  <c r="M20" i="21" s="1"/>
  <c r="F21" i="21" a="1"/>
  <c r="F21" i="21" s="1"/>
  <c r="Q21" i="21" a="1"/>
  <c r="Q21" i="21" s="1"/>
  <c r="I7" i="21" a="1"/>
  <c r="I7" i="21" s="1"/>
  <c r="M8" i="21" a="1"/>
  <c r="M8" i="21" s="1"/>
  <c r="D9" i="21" a="1"/>
  <c r="D9" i="21" s="1"/>
  <c r="N9" i="21" a="1"/>
  <c r="N9" i="21" s="1"/>
  <c r="H10" i="21" a="1"/>
  <c r="H10" i="21" s="1"/>
  <c r="L11" i="21" a="1"/>
  <c r="L11" i="21" s="1"/>
  <c r="D12" i="21" a="1"/>
  <c r="D12" i="21" s="1"/>
  <c r="O12" i="21" a="1"/>
  <c r="O12" i="21" s="1"/>
  <c r="I13" i="21" a="1"/>
  <c r="I13" i="21" s="1"/>
  <c r="T13" i="21" a="1"/>
  <c r="T13" i="21" s="1"/>
  <c r="L14" i="21" a="1"/>
  <c r="L14" i="21" s="1"/>
  <c r="M15" i="21" a="1"/>
  <c r="M15" i="21" s="1"/>
  <c r="F16" i="21" a="1"/>
  <c r="F16" i="21" s="1"/>
  <c r="Q16" i="21" a="1"/>
  <c r="Q16" i="21" s="1"/>
  <c r="H17" i="21" a="1"/>
  <c r="H17" i="21" s="1"/>
  <c r="R17" i="21" a="1"/>
  <c r="R17" i="21" s="1"/>
  <c r="J18" i="21" a="1"/>
  <c r="J18" i="21" s="1"/>
  <c r="T18" i="21" a="1"/>
  <c r="T18" i="21" s="1"/>
  <c r="L19" i="21" a="1"/>
  <c r="L19" i="21" s="1"/>
  <c r="C20" i="21" a="1"/>
  <c r="C20" i="21" s="1"/>
  <c r="G21" i="21" a="1"/>
  <c r="G21" i="21" s="1"/>
  <c r="R21" i="21" a="1"/>
  <c r="R21" i="21" s="1"/>
  <c r="I22" i="21" a="1"/>
  <c r="I22" i="21" s="1"/>
  <c r="S22" i="21" a="1"/>
  <c r="S22" i="21" s="1"/>
  <c r="K7" i="21" a="1"/>
  <c r="K7" i="21" s="1"/>
  <c r="E8" i="21" a="1"/>
  <c r="E8" i="21" s="1"/>
  <c r="E9" i="21" a="1"/>
  <c r="E9" i="21" s="1"/>
  <c r="P9" i="21" a="1"/>
  <c r="P9" i="21" s="1"/>
  <c r="J10" i="21" a="1"/>
  <c r="J10" i="21" s="1"/>
  <c r="M11" i="21" a="1"/>
  <c r="M11" i="21" s="1"/>
  <c r="Q12" i="21" a="1"/>
  <c r="Q12" i="21" s="1"/>
  <c r="K13" i="21" a="1"/>
  <c r="K13" i="21" s="1"/>
  <c r="D14" i="21" a="1"/>
  <c r="D14" i="21" s="1"/>
  <c r="M14" i="21" a="1"/>
  <c r="M14" i="21" s="1"/>
  <c r="E15" i="21" a="1"/>
  <c r="E15" i="21" s="1"/>
  <c r="O15" i="21" a="1"/>
  <c r="O15" i="21" s="1"/>
  <c r="H16" i="21" a="1"/>
  <c r="H16" i="21" s="1"/>
  <c r="R16" i="21" a="1"/>
  <c r="R16" i="21" s="1"/>
  <c r="J17" i="21" a="1"/>
  <c r="J17" i="21" s="1"/>
  <c r="S17" i="21" a="1"/>
  <c r="S17" i="21" s="1"/>
  <c r="K18" i="21" a="1"/>
  <c r="K18" i="21" s="1"/>
  <c r="D19" i="21" a="1"/>
  <c r="D19" i="21" s="1"/>
  <c r="M19" i="21" a="1"/>
  <c r="M19" i="21" s="1"/>
  <c r="E20" i="21" a="1"/>
  <c r="E20" i="21" s="1"/>
  <c r="O20" i="21" a="1"/>
  <c r="O20" i="21" s="1"/>
  <c r="H21" i="21" a="1"/>
  <c r="H21" i="21" s="1"/>
  <c r="S21" i="21" a="1"/>
  <c r="S21" i="21" s="1"/>
  <c r="T22" i="21" a="1"/>
  <c r="T22" i="21" s="1"/>
  <c r="L7" i="21" a="1"/>
  <c r="L7" i="21" s="1"/>
  <c r="F8" i="21" a="1"/>
  <c r="F8" i="21" s="1"/>
  <c r="O8" i="21" a="1"/>
  <c r="O8" i="21" s="1"/>
  <c r="F9" i="21" a="1"/>
  <c r="F9" i="21" s="1"/>
  <c r="Q9" i="21" a="1"/>
  <c r="Q9" i="21" s="1"/>
  <c r="K10" i="21" a="1"/>
  <c r="K10" i="21" s="1"/>
  <c r="D11" i="21" a="1"/>
  <c r="D11" i="21" s="1"/>
  <c r="F12" i="21" a="1"/>
  <c r="F12" i="21" s="1"/>
  <c r="R12" i="21" a="1"/>
  <c r="R12" i="21" s="1"/>
  <c r="L13" i="21" a="1"/>
  <c r="L13" i="21" s="1"/>
  <c r="N14" i="21" a="1"/>
  <c r="N14" i="21" s="1"/>
  <c r="I16" i="21" a="1"/>
  <c r="I16" i="21" s="1"/>
  <c r="T17" i="21" a="1"/>
  <c r="T17" i="21" s="1"/>
  <c r="L18" i="21" a="1"/>
  <c r="L18" i="21" s="1"/>
  <c r="E19" i="21" a="1"/>
  <c r="E19" i="21" s="1"/>
  <c r="I21" i="21" a="1"/>
  <c r="I21" i="21" s="1"/>
  <c r="K22" i="21" a="1"/>
  <c r="K22" i="21" s="1"/>
  <c r="E7" i="21" a="1"/>
  <c r="E7" i="21" s="1"/>
  <c r="P12" i="21" a="1"/>
  <c r="P12" i="21" s="1"/>
  <c r="J15" i="21" a="1"/>
  <c r="J15" i="21" s="1"/>
  <c r="N20" i="21" a="1"/>
  <c r="N20" i="21" s="1"/>
  <c r="J7" i="21" a="1"/>
  <c r="J7" i="21" s="1"/>
  <c r="D10" i="21" a="1"/>
  <c r="D10" i="21" s="1"/>
  <c r="S12" i="21" a="1"/>
  <c r="S12" i="21" s="1"/>
  <c r="N15" i="21" a="1"/>
  <c r="N15" i="21" s="1"/>
  <c r="P20" i="21" a="1"/>
  <c r="P20" i="21" s="1"/>
  <c r="M7" i="21" a="1"/>
  <c r="M7" i="21" s="1"/>
  <c r="I10" i="21" a="1"/>
  <c r="I10" i="21" s="1"/>
  <c r="F13" i="21" a="1"/>
  <c r="F13" i="21" s="1"/>
  <c r="P15" i="21" a="1"/>
  <c r="P15" i="21" s="1"/>
  <c r="C21" i="21" a="1"/>
  <c r="C21" i="21" s="1"/>
  <c r="L10" i="21" a="1"/>
  <c r="L10" i="21" s="1"/>
  <c r="J13" i="21" a="1"/>
  <c r="J13" i="21" s="1"/>
  <c r="C16" i="21" a="1"/>
  <c r="C16" i="21" s="1"/>
  <c r="M18" i="21" a="1"/>
  <c r="M18" i="21" s="1"/>
  <c r="D8" i="21" a="1"/>
  <c r="D8" i="21" s="1"/>
  <c r="Q10" i="21" a="1"/>
  <c r="Q10" i="21" s="1"/>
  <c r="M13" i="21" a="1"/>
  <c r="M13" i="21" s="1"/>
  <c r="G16" i="21" a="1"/>
  <c r="G16" i="21" s="1"/>
  <c r="Q18" i="21" a="1"/>
  <c r="Q18" i="21" s="1"/>
  <c r="G8" i="21" a="1"/>
  <c r="G8" i="21" s="1"/>
  <c r="C11" i="21" a="1"/>
  <c r="C11" i="21" s="1"/>
  <c r="Q13" i="21" a="1"/>
  <c r="Q13" i="21" s="1"/>
  <c r="J16" i="21" a="1"/>
  <c r="J16" i="21" s="1"/>
  <c r="C19" i="21" a="1"/>
  <c r="C19" i="21" s="1"/>
  <c r="N21" i="21" a="1"/>
  <c r="N21" i="21" s="1"/>
  <c r="E11" i="21" a="1"/>
  <c r="E11" i="21" s="1"/>
  <c r="C14" i="21" a="1"/>
  <c r="C14" i="21" s="1"/>
  <c r="N8" i="21" a="1"/>
  <c r="N8" i="21" s="1"/>
  <c r="E14" i="21" a="1"/>
  <c r="E14" i="21" s="1"/>
  <c r="I19" i="21" a="1"/>
  <c r="I19" i="21" s="1"/>
  <c r="T21" i="21" a="1"/>
  <c r="T21" i="21" s="1"/>
  <c r="S16" i="21" a="1"/>
  <c r="S16" i="21" s="1"/>
  <c r="G22" i="21" a="1"/>
  <c r="G22" i="21" s="1"/>
  <c r="S8" i="21" a="1"/>
  <c r="S8" i="21" s="1"/>
  <c r="N11" i="21" a="1"/>
  <c r="N11" i="21" s="1"/>
  <c r="E17" i="21" a="1"/>
  <c r="E17" i="21" s="1"/>
  <c r="N19" i="21" a="1"/>
  <c r="N19" i="21" s="1"/>
  <c r="J22" i="21" a="1"/>
  <c r="J22" i="21" s="1"/>
  <c r="S11" i="21" a="1"/>
  <c r="S11" i="21" s="1"/>
  <c r="O14" i="21" a="1"/>
  <c r="O14" i="21" s="1"/>
  <c r="I17" i="21" a="1"/>
  <c r="I17" i="21" s="1"/>
  <c r="R19" i="21" a="1"/>
  <c r="R19" i="21" s="1"/>
  <c r="G9" i="21" a="1"/>
  <c r="G9" i="21" s="1"/>
  <c r="E12" i="21" a="1"/>
  <c r="E12" i="21" s="1"/>
  <c r="K17" i="21" a="1"/>
  <c r="K17" i="21" s="1"/>
  <c r="D20" i="21" a="1"/>
  <c r="D20" i="21" s="1"/>
  <c r="P22" i="21" a="1"/>
  <c r="P22" i="21" s="1"/>
  <c r="G12" i="21" a="1"/>
  <c r="G12" i="21" s="1"/>
  <c r="D15" i="21" a="1"/>
  <c r="D15" i="21" s="1"/>
  <c r="O17" i="21" a="1"/>
  <c r="O17" i="21" s="1"/>
  <c r="F20" i="21" a="1"/>
  <c r="F20" i="21" s="1"/>
  <c r="O9" i="21" a="1"/>
  <c r="O9" i="21" s="1"/>
  <c r="F15" i="21" a="1"/>
  <c r="F15" i="21" s="1"/>
  <c r="K20" i="21" a="1"/>
  <c r="K20" i="21" s="1"/>
  <c r="C5" i="21"/>
  <c r="B19" i="20"/>
  <c r="B23" i="20"/>
  <c r="B20" i="20"/>
  <c r="B22" i="20"/>
  <c r="I7" i="20"/>
  <c r="L7" i="20"/>
  <c r="P7" i="20"/>
  <c r="C7" i="20"/>
  <c r="R7" i="20"/>
  <c r="S7" i="20"/>
  <c r="J7" i="20"/>
  <c r="O7" i="20"/>
  <c r="E7" i="20"/>
  <c r="E4" i="20" s="1" a="1"/>
  <c r="E4" i="20" s="1"/>
  <c r="K7" i="20"/>
  <c r="M7" i="20"/>
  <c r="N7" i="20"/>
  <c r="Q7" i="20"/>
  <c r="D7" i="20"/>
  <c r="F7" i="20"/>
  <c r="G7" i="20"/>
  <c r="H7" i="20"/>
  <c r="B7" i="20"/>
  <c r="B18" i="20"/>
  <c r="B21" i="20"/>
  <c r="B8" i="20"/>
  <c r="B14" i="20"/>
  <c r="B13" i="20"/>
  <c r="B16" i="20"/>
  <c r="B11" i="20"/>
  <c r="B10" i="20"/>
  <c r="B12" i="20"/>
  <c r="B9" i="20"/>
  <c r="B17" i="20"/>
  <c r="B6" i="20"/>
  <c r="L43" i="17" a="1"/>
  <c r="L43" i="17" s="1"/>
  <c r="M43" i="17" a="1"/>
  <c r="M43" i="17" s="1"/>
  <c r="I5" i="17"/>
  <c r="L5" i="17" s="1" a="1"/>
  <c r="L5" i="17" s="1"/>
  <c r="J5" i="17"/>
  <c r="M5" i="17" s="1" a="1"/>
  <c r="M5" i="17" s="1"/>
  <c r="I6" i="17"/>
  <c r="L6" i="17" s="1" a="1"/>
  <c r="L6" i="17" s="1"/>
  <c r="J6" i="17"/>
  <c r="M6" i="17" s="1" a="1"/>
  <c r="M6" i="17" s="1"/>
  <c r="I7" i="17"/>
  <c r="L7" i="17" s="1" a="1"/>
  <c r="L7" i="17" s="1"/>
  <c r="J7" i="17"/>
  <c r="M7" i="17" s="1" a="1"/>
  <c r="M7" i="17" s="1"/>
  <c r="I8" i="17"/>
  <c r="L8" i="17" s="1" a="1"/>
  <c r="L8" i="17" s="1"/>
  <c r="J8" i="17"/>
  <c r="M8" i="17" s="1" a="1"/>
  <c r="M8" i="17" s="1"/>
  <c r="I9" i="17"/>
  <c r="L9" i="17" s="1" a="1"/>
  <c r="L9" i="17" s="1"/>
  <c r="J9" i="17"/>
  <c r="M9" i="17" s="1" a="1"/>
  <c r="M9" i="17" s="1"/>
  <c r="I10" i="17"/>
  <c r="L10" i="17" s="1" a="1"/>
  <c r="L10" i="17" s="1"/>
  <c r="J10" i="17"/>
  <c r="M10" i="17" s="1" a="1"/>
  <c r="M10" i="17" s="1"/>
  <c r="I11" i="17"/>
  <c r="L11" i="17" s="1" a="1"/>
  <c r="L11" i="17" s="1"/>
  <c r="J11" i="17"/>
  <c r="M11" i="17" s="1" a="1"/>
  <c r="M11" i="17" s="1"/>
  <c r="I12" i="17"/>
  <c r="L12" i="17" s="1" a="1"/>
  <c r="L12" i="17" s="1"/>
  <c r="J12" i="17"/>
  <c r="M12" i="17" s="1" a="1"/>
  <c r="M12" i="17" s="1"/>
  <c r="I13" i="17"/>
  <c r="L13" i="17" s="1" a="1"/>
  <c r="L13" i="17" s="1"/>
  <c r="J13" i="17"/>
  <c r="M13" i="17" s="1" a="1"/>
  <c r="M13" i="17" s="1"/>
  <c r="I14" i="17"/>
  <c r="L14" i="17" s="1" a="1"/>
  <c r="L14" i="17" s="1"/>
  <c r="J14" i="17"/>
  <c r="M14" i="17" s="1" a="1"/>
  <c r="M14" i="17" s="1"/>
  <c r="I15" i="17"/>
  <c r="J15" i="17"/>
  <c r="M15" i="17" s="1" a="1"/>
  <c r="M15" i="17" s="1"/>
  <c r="I16" i="17"/>
  <c r="L16" i="17" s="1" a="1"/>
  <c r="L16" i="17" s="1"/>
  <c r="J16" i="17"/>
  <c r="M16" i="17" s="1" a="1"/>
  <c r="M16" i="17" s="1"/>
  <c r="I17" i="17"/>
  <c r="L17" i="17" s="1" a="1"/>
  <c r="L17" i="17" s="1"/>
  <c r="J17" i="17"/>
  <c r="M17" i="17" s="1" a="1"/>
  <c r="M17" i="17" s="1"/>
  <c r="I18" i="17"/>
  <c r="L18" i="17" s="1" a="1"/>
  <c r="L18" i="17" s="1"/>
  <c r="J18" i="17"/>
  <c r="M18" i="17" s="1" a="1"/>
  <c r="M18" i="17" s="1"/>
  <c r="I19" i="17"/>
  <c r="L19" i="17" s="1" a="1"/>
  <c r="L19" i="17" s="1"/>
  <c r="J19" i="17"/>
  <c r="M19" i="17" s="1" a="1"/>
  <c r="M19" i="17" s="1"/>
  <c r="I20" i="17"/>
  <c r="L20" i="17" s="1" a="1"/>
  <c r="L20" i="17" s="1"/>
  <c r="J20" i="17"/>
  <c r="M20" i="17" s="1" a="1"/>
  <c r="M20" i="17" s="1"/>
  <c r="I21" i="17"/>
  <c r="L21" i="17" s="1" a="1"/>
  <c r="L21" i="17" s="1"/>
  <c r="J21" i="17"/>
  <c r="M21" i="17" s="1" a="1"/>
  <c r="M21" i="17" s="1"/>
  <c r="I22" i="17"/>
  <c r="L22" i="17" s="1" a="1"/>
  <c r="L22" i="17" s="1"/>
  <c r="J22" i="17"/>
  <c r="M22" i="17" s="1" a="1"/>
  <c r="M22" i="17" s="1"/>
  <c r="I23" i="17"/>
  <c r="L23" i="17" s="1" a="1"/>
  <c r="L23" i="17" s="1"/>
  <c r="J23" i="17"/>
  <c r="M23" i="17" s="1" a="1"/>
  <c r="M23" i="17" s="1"/>
  <c r="I24" i="17"/>
  <c r="L24" i="17" s="1" a="1"/>
  <c r="L24" i="17" s="1"/>
  <c r="J24" i="17"/>
  <c r="I25" i="17"/>
  <c r="L25" i="17" s="1" a="1"/>
  <c r="L25" i="17" s="1"/>
  <c r="J25" i="17"/>
  <c r="M25" i="17" s="1" a="1"/>
  <c r="M25" i="17" s="1"/>
  <c r="I26" i="17"/>
  <c r="L26" i="17" s="1" a="1"/>
  <c r="L26" i="17" s="1"/>
  <c r="J26" i="17"/>
  <c r="M26" i="17" s="1" a="1"/>
  <c r="M26" i="17" s="1"/>
  <c r="I27" i="17"/>
  <c r="J27" i="17"/>
  <c r="M27" i="17" s="1" a="1"/>
  <c r="M27" i="17" s="1"/>
  <c r="I28" i="17"/>
  <c r="L28" i="17" s="1" a="1"/>
  <c r="L28" i="17" s="1"/>
  <c r="J28" i="17"/>
  <c r="I29" i="17"/>
  <c r="L29" i="17" s="1" a="1"/>
  <c r="L29" i="17" s="1"/>
  <c r="J29" i="17"/>
  <c r="M29" i="17" s="1" a="1"/>
  <c r="M29" i="17" s="1"/>
  <c r="I30" i="17"/>
  <c r="L30" i="17" s="1" a="1"/>
  <c r="L30" i="17" s="1"/>
  <c r="J30" i="17"/>
  <c r="M30" i="17" s="1" a="1"/>
  <c r="M30" i="17" s="1"/>
  <c r="I31" i="17"/>
  <c r="J31" i="17"/>
  <c r="I32" i="17"/>
  <c r="L32" i="17" s="1" a="1"/>
  <c r="L32" i="17" s="1"/>
  <c r="J32" i="17"/>
  <c r="M32" i="17" s="1" a="1"/>
  <c r="M32" i="17" s="1"/>
  <c r="I33" i="17"/>
  <c r="L33" i="17" s="1" a="1"/>
  <c r="L33" i="17" s="1"/>
  <c r="J33" i="17"/>
  <c r="M33" i="17" s="1" a="1"/>
  <c r="M33" i="17" s="1"/>
  <c r="I34" i="17"/>
  <c r="L34" i="17" s="1" a="1"/>
  <c r="L34" i="17" s="1"/>
  <c r="J34" i="17"/>
  <c r="M34" i="17" s="1" a="1"/>
  <c r="M34" i="17" s="1"/>
  <c r="I35" i="17"/>
  <c r="J35" i="17"/>
  <c r="I36" i="17"/>
  <c r="L36" i="17" s="1" a="1"/>
  <c r="L36" i="17" s="1"/>
  <c r="J36" i="17"/>
  <c r="M36" i="17" s="1" a="1"/>
  <c r="M36" i="17" s="1"/>
  <c r="I37" i="17"/>
  <c r="L37" i="17" s="1" a="1"/>
  <c r="L37" i="17" s="1"/>
  <c r="J37" i="17"/>
  <c r="M37" i="17" s="1" a="1"/>
  <c r="M37" i="17" s="1"/>
  <c r="I38" i="17"/>
  <c r="L38" i="17" s="1" a="1"/>
  <c r="L38" i="17" s="1"/>
  <c r="J38" i="17"/>
  <c r="M38" i="17" s="1" a="1"/>
  <c r="M38" i="17" s="1"/>
  <c r="I39" i="17"/>
  <c r="L39" i="17" s="1" a="1"/>
  <c r="L39" i="17" s="1"/>
  <c r="J39" i="17"/>
  <c r="M39" i="17" s="1" a="1"/>
  <c r="M39" i="17" s="1"/>
  <c r="I40" i="17"/>
  <c r="L40" i="17" s="1" a="1"/>
  <c r="L40" i="17" s="1"/>
  <c r="J40" i="17"/>
  <c r="M40" i="17" s="1" a="1"/>
  <c r="M40" i="17" s="1"/>
  <c r="I41" i="17"/>
  <c r="L41" i="17" s="1" a="1"/>
  <c r="L41" i="17" s="1"/>
  <c r="J41" i="17"/>
  <c r="M41" i="17" s="1" a="1"/>
  <c r="M41" i="17" s="1"/>
  <c r="I42" i="17"/>
  <c r="L42" i="17" s="1" a="1"/>
  <c r="L42" i="17" s="1"/>
  <c r="J42" i="17"/>
  <c r="M42" i="17" s="1" a="1"/>
  <c r="M42" i="17" s="1"/>
  <c r="J4" i="17"/>
  <c r="M4" i="17" s="1" a="1"/>
  <c r="M4" i="17" s="1"/>
  <c r="I4" i="17"/>
  <c r="L4" i="17" s="1" a="1"/>
  <c r="L4" i="17" s="1"/>
  <c r="C45" i="17"/>
  <c r="C46" i="17"/>
  <c r="C47" i="17"/>
  <c r="C48" i="17"/>
  <c r="C49" i="17"/>
  <c r="C50" i="17"/>
  <c r="C44" i="17"/>
  <c r="AD45" i="17"/>
  <c r="AD46" i="17"/>
  <c r="AD47" i="17"/>
  <c r="AD48" i="17"/>
  <c r="AD49" i="17"/>
  <c r="AD50" i="17"/>
  <c r="AD44" i="17"/>
  <c r="W43" i="17"/>
  <c r="V43" i="17"/>
  <c r="T43" i="17"/>
  <c r="Q43" i="17"/>
  <c r="P43" i="17"/>
  <c r="H43" i="17"/>
  <c r="K43" i="17" s="1"/>
  <c r="H16" i="17"/>
  <c r="K16" i="17" s="1"/>
  <c r="P16" i="17"/>
  <c r="R16" i="17" s="1" a="1"/>
  <c r="R16" i="17" s="1"/>
  <c r="Q16" i="17"/>
  <c r="S16" i="17" s="1" a="1"/>
  <c r="S16" i="17" s="1"/>
  <c r="V16" i="17"/>
  <c r="X16" i="17" s="1" a="1"/>
  <c r="X16" i="17" s="1"/>
  <c r="W16" i="17"/>
  <c r="Y16" i="17" s="1" a="1"/>
  <c r="Y16" i="17" s="1"/>
  <c r="H17" i="17"/>
  <c r="K17" i="17" s="1"/>
  <c r="P17" i="17"/>
  <c r="R17" i="17" s="1" a="1"/>
  <c r="R17" i="17" s="1"/>
  <c r="Q17" i="17"/>
  <c r="S17" i="17" s="1" a="1"/>
  <c r="S17" i="17" s="1"/>
  <c r="V17" i="17"/>
  <c r="X17" i="17" s="1" a="1"/>
  <c r="X17" i="17" s="1"/>
  <c r="W17" i="17"/>
  <c r="Y17" i="17" s="1" a="1"/>
  <c r="Y17" i="17" s="1"/>
  <c r="H18" i="17"/>
  <c r="K18" i="17" s="1"/>
  <c r="P18" i="17"/>
  <c r="R18" i="17" s="1" a="1"/>
  <c r="R18" i="17" s="1"/>
  <c r="Q18" i="17"/>
  <c r="S18" i="17" s="1" a="1"/>
  <c r="S18" i="17" s="1"/>
  <c r="V18" i="17"/>
  <c r="X18" i="17" s="1" a="1"/>
  <c r="X18" i="17" s="1"/>
  <c r="W18" i="17"/>
  <c r="Y18" i="17" s="1" a="1"/>
  <c r="Y18" i="17" s="1"/>
  <c r="H19" i="17"/>
  <c r="K19" i="17" s="1"/>
  <c r="P19" i="17"/>
  <c r="R19" i="17" s="1" a="1"/>
  <c r="R19" i="17" s="1"/>
  <c r="Q19" i="17"/>
  <c r="S19" i="17" s="1" a="1"/>
  <c r="S19" i="17" s="1"/>
  <c r="V19" i="17"/>
  <c r="X19" i="17" s="1" a="1"/>
  <c r="X19" i="17" s="1"/>
  <c r="W19" i="17"/>
  <c r="Y19" i="17" s="1" a="1"/>
  <c r="Y19" i="17" s="1"/>
  <c r="H20" i="17"/>
  <c r="K20" i="17" s="1"/>
  <c r="P20" i="17"/>
  <c r="R20" i="17" s="1" a="1"/>
  <c r="R20" i="17" s="1"/>
  <c r="Q20" i="17"/>
  <c r="S20" i="17" s="1" a="1"/>
  <c r="S20" i="17" s="1"/>
  <c r="V20" i="17"/>
  <c r="X20" i="17" s="1" a="1"/>
  <c r="X20" i="17" s="1"/>
  <c r="W20" i="17"/>
  <c r="Y20" i="17" s="1" a="1"/>
  <c r="Y20" i="17" s="1"/>
  <c r="H21" i="17"/>
  <c r="K21" i="17" s="1"/>
  <c r="P21" i="17"/>
  <c r="R21" i="17" s="1" a="1"/>
  <c r="R21" i="17" s="1"/>
  <c r="Q21" i="17"/>
  <c r="S21" i="17" s="1" a="1"/>
  <c r="S21" i="17" s="1"/>
  <c r="V21" i="17"/>
  <c r="X21" i="17" s="1" a="1"/>
  <c r="X21" i="17" s="1"/>
  <c r="W21" i="17"/>
  <c r="Y21" i="17" s="1" a="1"/>
  <c r="Y21" i="17" s="1"/>
  <c r="H22" i="17"/>
  <c r="K22" i="17" s="1"/>
  <c r="P22" i="17"/>
  <c r="R22" i="17" s="1" a="1"/>
  <c r="R22" i="17" s="1"/>
  <c r="Q22" i="17"/>
  <c r="S22" i="17" s="1" a="1"/>
  <c r="S22" i="17" s="1"/>
  <c r="V22" i="17"/>
  <c r="X22" i="17" s="1" a="1"/>
  <c r="X22" i="17" s="1"/>
  <c r="W22" i="17"/>
  <c r="Y22" i="17" s="1" a="1"/>
  <c r="Y22" i="17" s="1"/>
  <c r="H23" i="17"/>
  <c r="K23" i="17" s="1"/>
  <c r="P23" i="17"/>
  <c r="R23" i="17" s="1" a="1"/>
  <c r="R23" i="17" s="1"/>
  <c r="Q23" i="17"/>
  <c r="S23" i="17" s="1" a="1"/>
  <c r="S23" i="17" s="1"/>
  <c r="V23" i="17"/>
  <c r="X23" i="17" s="1" a="1"/>
  <c r="X23" i="17" s="1"/>
  <c r="W23" i="17"/>
  <c r="Y23" i="17" s="1" a="1"/>
  <c r="Y23" i="17" s="1"/>
  <c r="H24" i="17"/>
  <c r="K24" i="17" s="1"/>
  <c r="P24" i="17"/>
  <c r="R24" i="17" s="1" a="1"/>
  <c r="R24" i="17" s="1"/>
  <c r="Q24" i="17"/>
  <c r="S24" i="17" s="1" a="1"/>
  <c r="S24" i="17" s="1"/>
  <c r="V24" i="17"/>
  <c r="X24" i="17" s="1" a="1"/>
  <c r="X24" i="17" s="1"/>
  <c r="W24" i="17"/>
  <c r="Y24" i="17" s="1" a="1"/>
  <c r="Y24" i="17" s="1"/>
  <c r="H25" i="17"/>
  <c r="K25" i="17" s="1"/>
  <c r="P25" i="17"/>
  <c r="R25" i="17" s="1" a="1"/>
  <c r="R25" i="17" s="1"/>
  <c r="Q25" i="17"/>
  <c r="S25" i="17" s="1" a="1"/>
  <c r="S25" i="17" s="1"/>
  <c r="V25" i="17"/>
  <c r="X25" i="17" s="1" a="1"/>
  <c r="X25" i="17" s="1"/>
  <c r="W25" i="17"/>
  <c r="Y25" i="17" s="1" a="1"/>
  <c r="Y25" i="17" s="1"/>
  <c r="H26" i="17"/>
  <c r="K26" i="17" s="1"/>
  <c r="P26" i="17"/>
  <c r="R26" i="17" s="1" a="1"/>
  <c r="R26" i="17" s="1"/>
  <c r="Q26" i="17"/>
  <c r="S26" i="17" s="1" a="1"/>
  <c r="S26" i="17" s="1"/>
  <c r="V26" i="17"/>
  <c r="X26" i="17" s="1" a="1"/>
  <c r="X26" i="17" s="1"/>
  <c r="W26" i="17"/>
  <c r="Y26" i="17" s="1" a="1"/>
  <c r="Y26" i="17" s="1"/>
  <c r="H27" i="17"/>
  <c r="K27" i="17" s="1"/>
  <c r="P27" i="17"/>
  <c r="R27" i="17" s="1" a="1"/>
  <c r="R27" i="17" s="1"/>
  <c r="Q27" i="17"/>
  <c r="S27" i="17" s="1" a="1"/>
  <c r="S27" i="17" s="1"/>
  <c r="V27" i="17"/>
  <c r="X27" i="17" s="1" a="1"/>
  <c r="X27" i="17" s="1"/>
  <c r="W27" i="17"/>
  <c r="Y27" i="17" s="1" a="1"/>
  <c r="Y27" i="17" s="1"/>
  <c r="H28" i="17"/>
  <c r="K28" i="17" s="1"/>
  <c r="P28" i="17"/>
  <c r="R28" i="17" s="1" a="1"/>
  <c r="R28" i="17" s="1"/>
  <c r="Q28" i="17"/>
  <c r="S28" i="17" s="1" a="1"/>
  <c r="S28" i="17" s="1"/>
  <c r="V28" i="17"/>
  <c r="X28" i="17" s="1" a="1"/>
  <c r="X28" i="17" s="1"/>
  <c r="W28" i="17"/>
  <c r="Y28" i="17" s="1" a="1"/>
  <c r="Y28" i="17" s="1"/>
  <c r="H29" i="17"/>
  <c r="K29" i="17" s="1"/>
  <c r="P29" i="17"/>
  <c r="R29" i="17" s="1" a="1"/>
  <c r="R29" i="17" s="1"/>
  <c r="Q29" i="17"/>
  <c r="S29" i="17" s="1" a="1"/>
  <c r="S29" i="17" s="1"/>
  <c r="V29" i="17"/>
  <c r="X29" i="17" s="1" a="1"/>
  <c r="X29" i="17" s="1"/>
  <c r="W29" i="17"/>
  <c r="Y29" i="17" s="1" a="1"/>
  <c r="Y29" i="17" s="1"/>
  <c r="H30" i="17"/>
  <c r="K30" i="17" s="1"/>
  <c r="P30" i="17"/>
  <c r="R30" i="17" s="1" a="1"/>
  <c r="R30" i="17" s="1"/>
  <c r="Q30" i="17"/>
  <c r="S30" i="17" s="1" a="1"/>
  <c r="S30" i="17" s="1"/>
  <c r="V30" i="17"/>
  <c r="X30" i="17" s="1" a="1"/>
  <c r="X30" i="17" s="1"/>
  <c r="W30" i="17"/>
  <c r="Y30" i="17" s="1" a="1"/>
  <c r="Y30" i="17" s="1"/>
  <c r="H31" i="17"/>
  <c r="K31" i="17" s="1"/>
  <c r="P31" i="17"/>
  <c r="R31" i="17" s="1" a="1"/>
  <c r="R31" i="17" s="1"/>
  <c r="Q31" i="17"/>
  <c r="S31" i="17" s="1" a="1"/>
  <c r="S31" i="17" s="1"/>
  <c r="V31" i="17"/>
  <c r="X31" i="17" s="1" a="1"/>
  <c r="X31" i="17" s="1"/>
  <c r="W31" i="17"/>
  <c r="Y31" i="17" s="1" a="1"/>
  <c r="Y31" i="17" s="1"/>
  <c r="H32" i="17"/>
  <c r="K32" i="17" s="1"/>
  <c r="P32" i="17"/>
  <c r="R32" i="17" s="1" a="1"/>
  <c r="R32" i="17" s="1"/>
  <c r="Q32" i="17"/>
  <c r="S32" i="17" s="1" a="1"/>
  <c r="S32" i="17" s="1"/>
  <c r="V32" i="17"/>
  <c r="X32" i="17" s="1" a="1"/>
  <c r="X32" i="17" s="1"/>
  <c r="W32" i="17"/>
  <c r="Y32" i="17" s="1" a="1"/>
  <c r="Y32" i="17" s="1"/>
  <c r="H33" i="17"/>
  <c r="K33" i="17" s="1"/>
  <c r="P33" i="17"/>
  <c r="R33" i="17" s="1" a="1"/>
  <c r="R33" i="17" s="1"/>
  <c r="Q33" i="17"/>
  <c r="S33" i="17" s="1" a="1"/>
  <c r="S33" i="17" s="1"/>
  <c r="V33" i="17"/>
  <c r="X33" i="17" s="1" a="1"/>
  <c r="X33" i="17" s="1"/>
  <c r="W33" i="17"/>
  <c r="Y33" i="17" s="1" a="1"/>
  <c r="Y33" i="17" s="1"/>
  <c r="H34" i="17"/>
  <c r="K34" i="17" s="1"/>
  <c r="P34" i="17"/>
  <c r="R34" i="17" s="1" a="1"/>
  <c r="R34" i="17" s="1"/>
  <c r="Q34" i="17"/>
  <c r="S34" i="17" s="1" a="1"/>
  <c r="S34" i="17" s="1"/>
  <c r="V34" i="17"/>
  <c r="X34" i="17" s="1" a="1"/>
  <c r="X34" i="17" s="1"/>
  <c r="W34" i="17"/>
  <c r="Y34" i="17" s="1" a="1"/>
  <c r="Y34" i="17" s="1"/>
  <c r="H35" i="17"/>
  <c r="K35" i="17" s="1"/>
  <c r="P35" i="17"/>
  <c r="R35" i="17" s="1" a="1"/>
  <c r="R35" i="17" s="1"/>
  <c r="Q35" i="17"/>
  <c r="S35" i="17" s="1" a="1"/>
  <c r="S35" i="17" s="1"/>
  <c r="V35" i="17"/>
  <c r="X35" i="17" s="1" a="1"/>
  <c r="X35" i="17" s="1"/>
  <c r="W35" i="17"/>
  <c r="Y35" i="17" s="1" a="1"/>
  <c r="Y35" i="17" s="1"/>
  <c r="H36" i="17"/>
  <c r="K36" i="17" s="1"/>
  <c r="P36" i="17"/>
  <c r="R36" i="17" s="1" a="1"/>
  <c r="R36" i="17" s="1"/>
  <c r="Q36" i="17"/>
  <c r="S36" i="17" s="1" a="1"/>
  <c r="S36" i="17" s="1"/>
  <c r="V36" i="17"/>
  <c r="X36" i="17" s="1" a="1"/>
  <c r="X36" i="17" s="1"/>
  <c r="W36" i="17"/>
  <c r="Y36" i="17" s="1" a="1"/>
  <c r="Y36" i="17" s="1"/>
  <c r="H37" i="17"/>
  <c r="K37" i="17" s="1"/>
  <c r="P37" i="17"/>
  <c r="R37" i="17" s="1" a="1"/>
  <c r="R37" i="17" s="1"/>
  <c r="Q37" i="17"/>
  <c r="S37" i="17" s="1" a="1"/>
  <c r="S37" i="17" s="1"/>
  <c r="V37" i="17"/>
  <c r="X37" i="17" s="1" a="1"/>
  <c r="X37" i="17" s="1"/>
  <c r="W37" i="17"/>
  <c r="Y37" i="17" s="1" a="1"/>
  <c r="Y37" i="17" s="1"/>
  <c r="H38" i="17"/>
  <c r="K38" i="17" s="1"/>
  <c r="P38" i="17"/>
  <c r="R38" i="17" s="1" a="1"/>
  <c r="R38" i="17" s="1"/>
  <c r="Q38" i="17"/>
  <c r="S38" i="17" s="1" a="1"/>
  <c r="S38" i="17" s="1"/>
  <c r="V38" i="17"/>
  <c r="X38" i="17" s="1" a="1"/>
  <c r="X38" i="17" s="1"/>
  <c r="W38" i="17"/>
  <c r="Y38" i="17" s="1" a="1"/>
  <c r="Y38" i="17" s="1"/>
  <c r="H39" i="17"/>
  <c r="K39" i="17" s="1"/>
  <c r="P39" i="17"/>
  <c r="R39" i="17" s="1" a="1"/>
  <c r="R39" i="17" s="1"/>
  <c r="Q39" i="17"/>
  <c r="S39" i="17" s="1" a="1"/>
  <c r="S39" i="17" s="1"/>
  <c r="V39" i="17"/>
  <c r="X39" i="17" s="1" a="1"/>
  <c r="X39" i="17" s="1"/>
  <c r="W39" i="17"/>
  <c r="Y39" i="17" s="1" a="1"/>
  <c r="Y39" i="17" s="1"/>
  <c r="H40" i="17"/>
  <c r="K40" i="17" s="1"/>
  <c r="P40" i="17"/>
  <c r="R40" i="17" s="1" a="1"/>
  <c r="R40" i="17" s="1"/>
  <c r="Q40" i="17"/>
  <c r="S40" i="17" s="1" a="1"/>
  <c r="S40" i="17" s="1"/>
  <c r="V40" i="17"/>
  <c r="X40" i="17" s="1" a="1"/>
  <c r="X40" i="17" s="1"/>
  <c r="W40" i="17"/>
  <c r="Y40" i="17" s="1" a="1"/>
  <c r="Y40" i="17" s="1"/>
  <c r="H41" i="17"/>
  <c r="K41" i="17" s="1"/>
  <c r="P41" i="17"/>
  <c r="R41" i="17" s="1" a="1"/>
  <c r="R41" i="17" s="1"/>
  <c r="Q41" i="17"/>
  <c r="S41" i="17" s="1" a="1"/>
  <c r="S41" i="17" s="1"/>
  <c r="V41" i="17"/>
  <c r="X41" i="17" s="1" a="1"/>
  <c r="X41" i="17" s="1"/>
  <c r="W41" i="17"/>
  <c r="Y41" i="17" s="1" a="1"/>
  <c r="Y41" i="17" s="1"/>
  <c r="H42" i="17"/>
  <c r="K42" i="17" s="1"/>
  <c r="P42" i="17"/>
  <c r="R42" i="17" s="1" a="1"/>
  <c r="R42" i="17" s="1"/>
  <c r="Q42" i="17"/>
  <c r="S42" i="17" s="1" a="1"/>
  <c r="S42" i="17" s="1"/>
  <c r="V42" i="17"/>
  <c r="X42" i="17" s="1" a="1"/>
  <c r="X42" i="17" s="1"/>
  <c r="W42" i="17"/>
  <c r="Y42" i="17" s="1" a="1"/>
  <c r="Y42" i="17" s="1"/>
  <c r="O25" i="17" a="1"/>
  <c r="O25" i="17" s="1"/>
  <c r="O27" i="17" a="1"/>
  <c r="O27" i="17" s="1"/>
  <c r="O29" i="17" a="1"/>
  <c r="O29" i="17" s="1"/>
  <c r="O31" i="17" a="1"/>
  <c r="O31" i="17" s="1"/>
  <c r="O38" i="17" a="1"/>
  <c r="O38" i="17" s="1"/>
  <c r="O20" i="17" a="1"/>
  <c r="O20" i="17" s="1"/>
  <c r="U22" i="17" a="1"/>
  <c r="U22" i="17" s="1"/>
  <c r="A7" i="16"/>
  <c r="W14" i="17"/>
  <c r="Y14" i="17" s="1" a="1"/>
  <c r="Y14" i="17" s="1"/>
  <c r="V14" i="17"/>
  <c r="X14" i="17" s="1" a="1"/>
  <c r="X14" i="17" s="1"/>
  <c r="T14" i="17"/>
  <c r="Q14" i="17"/>
  <c r="S14" i="17" s="1" a="1"/>
  <c r="S14" i="17" s="1"/>
  <c r="P14" i="17"/>
  <c r="R14" i="17" s="1" a="1"/>
  <c r="R14" i="17" s="1"/>
  <c r="H14" i="17"/>
  <c r="K14" i="17" s="1"/>
  <c r="L7" i="16" l="1"/>
  <c r="K7" i="16"/>
  <c r="M7" i="16"/>
  <c r="J7" i="16"/>
  <c r="Q22" i="4"/>
  <c r="P22" i="4"/>
  <c r="N22" i="4"/>
  <c r="O22" i="4"/>
  <c r="O21" i="4"/>
  <c r="N21" i="4"/>
  <c r="Q21" i="4"/>
  <c r="P21" i="4"/>
  <c r="J22" i="4"/>
  <c r="K22" i="4"/>
  <c r="M22" i="4" a="1"/>
  <c r="M22" i="4" s="1"/>
  <c r="J21" i="4"/>
  <c r="K21" i="4"/>
  <c r="M21" i="4" a="1"/>
  <c r="M21" i="4" s="1"/>
  <c r="V19" i="21" a="1"/>
  <c r="V19" i="21" s="1"/>
  <c r="V25" i="21" a="1"/>
  <c r="V25" i="21" s="1"/>
  <c r="V26" i="21" a="1"/>
  <c r="V26" i="21" s="1"/>
  <c r="U27" i="21" a="1"/>
  <c r="U27" i="21" s="1"/>
  <c r="V27" i="21" a="1"/>
  <c r="V27" i="21" s="1"/>
  <c r="U26" i="21" a="1"/>
  <c r="U26" i="21" s="1"/>
  <c r="U25" i="21" a="1"/>
  <c r="U25" i="21" s="1"/>
  <c r="B25" i="21"/>
  <c r="AK25" i="21" s="1"/>
  <c r="B27" i="21"/>
  <c r="AB27" i="21" s="1"/>
  <c r="B26" i="21"/>
  <c r="AB26" i="21" s="1"/>
  <c r="AD26" i="21"/>
  <c r="AB25" i="21"/>
  <c r="AM25" i="21"/>
  <c r="AD25" i="21"/>
  <c r="I4" i="20" a="1"/>
  <c r="I4" i="20" s="1"/>
  <c r="C4" i="20" a="1"/>
  <c r="C4" i="20" s="1"/>
  <c r="H4" i="20" a="1"/>
  <c r="H4" i="20" s="1"/>
  <c r="B24" i="21"/>
  <c r="AK24" i="21" s="1"/>
  <c r="B23" i="21"/>
  <c r="X23" i="21" s="1"/>
  <c r="V24" i="21" a="1"/>
  <c r="V24" i="21" s="1"/>
  <c r="S4" i="20" a="1"/>
  <c r="S4" i="20" s="1"/>
  <c r="U24" i="21" a="1"/>
  <c r="U24" i="21" s="1"/>
  <c r="B15" i="21"/>
  <c r="AM15" i="21" s="1"/>
  <c r="V12" i="21" a="1"/>
  <c r="V12" i="21" s="1"/>
  <c r="B7" i="21"/>
  <c r="B13" i="21"/>
  <c r="V21" i="21" a="1"/>
  <c r="V21" i="21" s="1"/>
  <c r="F4" i="20" a="1"/>
  <c r="F4" i="20" s="1"/>
  <c r="B9" i="21"/>
  <c r="B18" i="21"/>
  <c r="U18" i="21" a="1"/>
  <c r="U18" i="21" s="1"/>
  <c r="V14" i="21" a="1"/>
  <c r="V14" i="21" s="1"/>
  <c r="U11" i="21" a="1"/>
  <c r="U11" i="21" s="1"/>
  <c r="V16" i="21" a="1"/>
  <c r="V16" i="21" s="1"/>
  <c r="V7" i="21" a="1"/>
  <c r="V7" i="21" s="1"/>
  <c r="B10" i="21"/>
  <c r="AJ10" i="21" s="1"/>
  <c r="U21" i="21" a="1"/>
  <c r="U21" i="21" s="1"/>
  <c r="V9" i="21" a="1"/>
  <c r="V9" i="21" s="1"/>
  <c r="U14" i="21" a="1"/>
  <c r="U14" i="21" s="1"/>
  <c r="U22" i="21" a="1"/>
  <c r="U22" i="21" s="1"/>
  <c r="U16" i="21" a="1"/>
  <c r="U16" i="21" s="1"/>
  <c r="U7" i="21" a="1"/>
  <c r="U7" i="21" s="1"/>
  <c r="U12" i="21" a="1"/>
  <c r="U12" i="21" s="1"/>
  <c r="U9" i="21" a="1"/>
  <c r="U9" i="21" s="1"/>
  <c r="V20" i="21" a="1"/>
  <c r="V20" i="21" s="1"/>
  <c r="B14" i="21"/>
  <c r="AG14" i="21" s="1"/>
  <c r="B16" i="21"/>
  <c r="AC16" i="21" s="1"/>
  <c r="V13" i="21" a="1"/>
  <c r="V13" i="21" s="1"/>
  <c r="V18" i="21" a="1"/>
  <c r="V18" i="21" s="1"/>
  <c r="V22" i="21" a="1"/>
  <c r="V22" i="21" s="1"/>
  <c r="V23" i="21" a="1"/>
  <c r="V23" i="21" s="1"/>
  <c r="B8" i="21"/>
  <c r="AD8" i="21" s="1"/>
  <c r="V11" i="21" a="1"/>
  <c r="V11" i="21" s="1"/>
  <c r="V17" i="21" a="1"/>
  <c r="V17" i="21" s="1"/>
  <c r="V15" i="21" a="1"/>
  <c r="V15" i="21" s="1"/>
  <c r="U13" i="21" a="1"/>
  <c r="U13" i="21" s="1"/>
  <c r="B19" i="21"/>
  <c r="B21" i="21"/>
  <c r="AN21" i="21" s="1"/>
  <c r="V10" i="21" a="1"/>
  <c r="V10" i="21" s="1"/>
  <c r="V8" i="21" a="1"/>
  <c r="V8" i="21" s="1"/>
  <c r="U23" i="21" a="1"/>
  <c r="U23" i="21" s="1"/>
  <c r="U17" i="21" a="1"/>
  <c r="U17" i="21" s="1"/>
  <c r="U15" i="21" a="1"/>
  <c r="U15" i="21" s="1"/>
  <c r="U20" i="21" a="1"/>
  <c r="U20" i="21" s="1"/>
  <c r="B17" i="21"/>
  <c r="AJ17" i="21" s="1"/>
  <c r="B12" i="21"/>
  <c r="Y12" i="21" s="1"/>
  <c r="B22" i="21"/>
  <c r="X22" i="21" s="1"/>
  <c r="U10" i="21" a="1"/>
  <c r="U10" i="21" s="1"/>
  <c r="U8" i="21" a="1"/>
  <c r="U8" i="21" s="1"/>
  <c r="B11" i="21"/>
  <c r="X11" i="21" s="1"/>
  <c r="B20" i="21"/>
  <c r="W20" i="21" s="1"/>
  <c r="U19" i="21" a="1"/>
  <c r="U19" i="21" s="1"/>
  <c r="V6" i="21" a="1"/>
  <c r="V6" i="21" s="1"/>
  <c r="U6" i="21" a="1"/>
  <c r="U6" i="21" s="1"/>
  <c r="J4" i="20" a="1"/>
  <c r="J4" i="20" s="1"/>
  <c r="R4" i="20" a="1"/>
  <c r="R4" i="20" s="1"/>
  <c r="P4" i="20" a="1"/>
  <c r="P4" i="20" s="1"/>
  <c r="L4" i="20" a="1"/>
  <c r="L4" i="20" s="1"/>
  <c r="O4" i="20" a="1"/>
  <c r="O4" i="20" s="1"/>
  <c r="D4" i="20" a="1"/>
  <c r="D4" i="20" s="1"/>
  <c r="G4" i="20" a="1"/>
  <c r="G4" i="20" s="1"/>
  <c r="Q4" i="20" a="1"/>
  <c r="Q4" i="20" s="1"/>
  <c r="N4" i="20" a="1"/>
  <c r="N4" i="20" s="1"/>
  <c r="M4" i="20" a="1"/>
  <c r="M4" i="20" s="1"/>
  <c r="K4" i="20" a="1"/>
  <c r="K4" i="20" s="1"/>
  <c r="Y19" i="21"/>
  <c r="W7" i="21"/>
  <c r="AB13" i="21"/>
  <c r="AL9" i="21"/>
  <c r="B4" i="20" a="1"/>
  <c r="B4" i="20" s="1"/>
  <c r="AK18" i="21"/>
  <c r="E6" i="21" a="1"/>
  <c r="E6" i="21" s="1"/>
  <c r="O6" i="21" a="1"/>
  <c r="O6" i="21" s="1"/>
  <c r="P6" i="21" a="1"/>
  <c r="P6" i="21" s="1"/>
  <c r="F6" i="21" a="1"/>
  <c r="F6" i="21" s="1"/>
  <c r="G6" i="21" a="1"/>
  <c r="G6" i="21" s="1"/>
  <c r="Q6" i="21" a="1"/>
  <c r="Q6" i="21" s="1"/>
  <c r="H6" i="21" a="1"/>
  <c r="H6" i="21" s="1"/>
  <c r="R6" i="21" a="1"/>
  <c r="R6" i="21" s="1"/>
  <c r="S6" i="21" a="1"/>
  <c r="S6" i="21" s="1"/>
  <c r="J6" i="21" a="1"/>
  <c r="J6" i="21" s="1"/>
  <c r="AD6" i="21" s="1"/>
  <c r="C6" i="21" a="1"/>
  <c r="C6" i="21" s="1"/>
  <c r="C3" i="21" s="1" a="1"/>
  <c r="C3" i="21" s="1"/>
  <c r="M6" i="21" a="1"/>
  <c r="M6" i="21" s="1"/>
  <c r="N6" i="21" a="1"/>
  <c r="N6" i="21" s="1"/>
  <c r="T6" i="21" a="1"/>
  <c r="T6" i="21" s="1"/>
  <c r="D6" i="21" a="1"/>
  <c r="D6" i="21" s="1"/>
  <c r="I6" i="21" a="1"/>
  <c r="I6" i="21" s="1"/>
  <c r="K6" i="21" a="1"/>
  <c r="K6" i="21" s="1"/>
  <c r="L6" i="21" a="1"/>
  <c r="L6" i="21" s="1"/>
  <c r="J49" i="17"/>
  <c r="J47" i="17"/>
  <c r="I49" i="17"/>
  <c r="I47" i="17"/>
  <c r="J44" i="17"/>
  <c r="M44" i="17" s="1" a="1"/>
  <c r="M44" i="17" s="1"/>
  <c r="J50" i="17"/>
  <c r="J48" i="17"/>
  <c r="J46" i="17"/>
  <c r="I48" i="17"/>
  <c r="U39" i="17" a="1"/>
  <c r="U39" i="17" s="1"/>
  <c r="U25" i="17" a="1"/>
  <c r="U25" i="17" s="1"/>
  <c r="I46" i="17"/>
  <c r="M31" i="17" a="1"/>
  <c r="M31" i="17" s="1"/>
  <c r="M24" i="17" a="1"/>
  <c r="M24" i="17" s="1"/>
  <c r="J45" i="17"/>
  <c r="M45" i="17" s="1" a="1"/>
  <c r="M45" i="17" s="1"/>
  <c r="L31" i="17" a="1"/>
  <c r="L31" i="17" s="1"/>
  <c r="O22" i="17" a="1"/>
  <c r="O22" i="17" s="1"/>
  <c r="O39" i="17" a="1"/>
  <c r="O39" i="17" s="1"/>
  <c r="O32" i="17" a="1"/>
  <c r="O32" i="17" s="1"/>
  <c r="U20" i="17" a="1"/>
  <c r="U20" i="17" s="1"/>
  <c r="U37" i="17" a="1"/>
  <c r="U37" i="17" s="1"/>
  <c r="U32" i="17" a="1"/>
  <c r="U32" i="17" s="1"/>
  <c r="U30" i="17" a="1"/>
  <c r="U30" i="17" s="1"/>
  <c r="U28" i="17" a="1"/>
  <c r="U28" i="17" s="1"/>
  <c r="U26" i="17" a="1"/>
  <c r="U26" i="17" s="1"/>
  <c r="U24" i="17" a="1"/>
  <c r="U24" i="17" s="1"/>
  <c r="U23" i="17" a="1"/>
  <c r="U23" i="17" s="1"/>
  <c r="O37" i="17" a="1"/>
  <c r="O37" i="17" s="1"/>
  <c r="O30" i="17" a="1"/>
  <c r="O30" i="17" s="1"/>
  <c r="O23" i="17" a="1"/>
  <c r="O23" i="17" s="1"/>
  <c r="I45" i="17"/>
  <c r="L45" i="17" s="1" a="1"/>
  <c r="L45" i="17" s="1"/>
  <c r="U17" i="17" a="1"/>
  <c r="U17" i="17" s="1"/>
  <c r="U42" i="17" a="1"/>
  <c r="U42" i="17" s="1"/>
  <c r="U35" i="17" a="1"/>
  <c r="U35" i="17" s="1"/>
  <c r="I44" i="17"/>
  <c r="L44" i="17" s="1" a="1"/>
  <c r="L44" i="17" s="1"/>
  <c r="U40" i="17" a="1"/>
  <c r="U40" i="17" s="1"/>
  <c r="U33" i="17" a="1"/>
  <c r="U33" i="17" s="1"/>
  <c r="L15" i="17" a="1"/>
  <c r="L15" i="17" s="1"/>
  <c r="I50" i="17"/>
  <c r="M35" i="17" a="1"/>
  <c r="M35" i="17" s="1"/>
  <c r="M28" i="17" a="1"/>
  <c r="M28" i="17" s="1"/>
  <c r="O40" i="17" a="1"/>
  <c r="O40" i="17" s="1"/>
  <c r="O33" i="17" a="1"/>
  <c r="O33" i="17" s="1"/>
  <c r="O26" i="17" a="1"/>
  <c r="O26" i="17" s="1"/>
  <c r="L35" i="17" a="1"/>
  <c r="L35" i="17" s="1"/>
  <c r="O17" i="17" a="1"/>
  <c r="O17" i="17" s="1"/>
  <c r="O42" i="17" a="1"/>
  <c r="O42" i="17" s="1"/>
  <c r="O35" i="17" a="1"/>
  <c r="O35" i="17" s="1"/>
  <c r="O28" i="17" a="1"/>
  <c r="O28" i="17" s="1"/>
  <c r="O18" i="17" a="1"/>
  <c r="O18" i="17" s="1"/>
  <c r="O21" i="17" a="1"/>
  <c r="O21" i="17" s="1"/>
  <c r="O24" i="17" a="1"/>
  <c r="O24" i="17" s="1"/>
  <c r="O41" i="17" a="1"/>
  <c r="O41" i="17" s="1"/>
  <c r="O34" i="17" a="1"/>
  <c r="O34" i="17" s="1"/>
  <c r="L27" i="17" a="1"/>
  <c r="L27" i="17" s="1"/>
  <c r="U18" i="17" a="1"/>
  <c r="U18" i="17" s="1"/>
  <c r="U21" i="17" a="1"/>
  <c r="U21" i="17" s="1"/>
  <c r="U38" i="17" a="1"/>
  <c r="U38" i="17" s="1"/>
  <c r="U31" i="17" a="1"/>
  <c r="U31" i="17" s="1"/>
  <c r="U19" i="17" a="1"/>
  <c r="U19" i="17" s="1"/>
  <c r="U36" i="17" a="1"/>
  <c r="U36" i="17" s="1"/>
  <c r="U29" i="17" a="1"/>
  <c r="U29" i="17" s="1"/>
  <c r="O19" i="17" a="1"/>
  <c r="O19" i="17" s="1"/>
  <c r="O36" i="17" a="1"/>
  <c r="O36" i="17" s="1"/>
  <c r="U41" i="17" a="1"/>
  <c r="U41" i="17" s="1"/>
  <c r="U50" i="17" s="1"/>
  <c r="U34" i="17" a="1"/>
  <c r="U34" i="17" s="1"/>
  <c r="U27" i="17" a="1"/>
  <c r="U27" i="17" s="1"/>
  <c r="V46" i="17"/>
  <c r="W50" i="17"/>
  <c r="P48" i="17"/>
  <c r="W46" i="17"/>
  <c r="P45" i="17"/>
  <c r="V50" i="17"/>
  <c r="W48" i="17"/>
  <c r="Q50" i="17"/>
  <c r="V48" i="17"/>
  <c r="P50" i="17"/>
  <c r="Q48" i="17"/>
  <c r="Q46" i="17"/>
  <c r="P46" i="17"/>
  <c r="W49" i="17"/>
  <c r="V49" i="17"/>
  <c r="W47" i="17"/>
  <c r="Q49" i="17"/>
  <c r="V47" i="17"/>
  <c r="P49" i="17"/>
  <c r="Q47" i="17"/>
  <c r="W45" i="17"/>
  <c r="P47" i="17"/>
  <c r="V45" i="17"/>
  <c r="Q45" i="17"/>
  <c r="H50" i="17"/>
  <c r="K49" i="17"/>
  <c r="K48" i="17"/>
  <c r="K47" i="17"/>
  <c r="K50" i="17"/>
  <c r="K46" i="17"/>
  <c r="K45" i="17"/>
  <c r="H48" i="17"/>
  <c r="H46" i="17"/>
  <c r="H49" i="17"/>
  <c r="H47" i="17"/>
  <c r="H45" i="17"/>
  <c r="AC26" i="21" l="1"/>
  <c r="AH26" i="21"/>
  <c r="W25" i="21"/>
  <c r="X25" i="21"/>
  <c r="W26" i="21"/>
  <c r="AH27" i="21"/>
  <c r="AC25" i="21"/>
  <c r="AL25" i="21"/>
  <c r="Z26" i="21"/>
  <c r="Y27" i="21"/>
  <c r="AG25" i="21"/>
  <c r="AN25" i="21"/>
  <c r="X26" i="21"/>
  <c r="AI27" i="21"/>
  <c r="AE25" i="21"/>
  <c r="AA25" i="21"/>
  <c r="AF26" i="21"/>
  <c r="AM27" i="21"/>
  <c r="AI25" i="21"/>
  <c r="AJ26" i="21"/>
  <c r="AM26" i="21"/>
  <c r="Z27" i="21"/>
  <c r="AJ25" i="21"/>
  <c r="AK26" i="21"/>
  <c r="AL26" i="21"/>
  <c r="W27" i="21"/>
  <c r="Y25" i="21"/>
  <c r="AN26" i="21"/>
  <c r="Z25" i="21"/>
  <c r="AK27" i="21"/>
  <c r="AH25" i="21"/>
  <c r="AE26" i="21"/>
  <c r="Y26" i="21"/>
  <c r="AN27" i="21"/>
  <c r="AC27" i="21"/>
  <c r="AJ27" i="21"/>
  <c r="X27" i="21"/>
  <c r="AF25" i="21"/>
  <c r="AA26" i="21"/>
  <c r="AF27" i="21"/>
  <c r="AL27" i="21"/>
  <c r="AI26" i="21"/>
  <c r="AG27" i="21"/>
  <c r="AD27" i="21"/>
  <c r="AG26" i="21"/>
  <c r="AA27" i="21"/>
  <c r="AE27" i="21"/>
  <c r="AC24" i="21"/>
  <c r="AJ23" i="21"/>
  <c r="Y23" i="21"/>
  <c r="AM23" i="21"/>
  <c r="AA23" i="21"/>
  <c r="AN23" i="21"/>
  <c r="Y24" i="21"/>
  <c r="AI23" i="21"/>
  <c r="AI24" i="21"/>
  <c r="AK23" i="21"/>
  <c r="AG24" i="21"/>
  <c r="X24" i="21"/>
  <c r="AL23" i="21"/>
  <c r="AL24" i="21"/>
  <c r="AM24" i="21"/>
  <c r="AB23" i="21"/>
  <c r="W24" i="21"/>
  <c r="AN24" i="21"/>
  <c r="AJ24" i="21"/>
  <c r="AE23" i="21"/>
  <c r="AD24" i="21"/>
  <c r="AB24" i="21"/>
  <c r="W23" i="21"/>
  <c r="AE24" i="21"/>
  <c r="AA24" i="21"/>
  <c r="AD23" i="21"/>
  <c r="AF24" i="21"/>
  <c r="Z24" i="21"/>
  <c r="AH23" i="21"/>
  <c r="AH24" i="21"/>
  <c r="Z23" i="21"/>
  <c r="AC23" i="21"/>
  <c r="AF23" i="21"/>
  <c r="AG23" i="21"/>
  <c r="M46" i="17" a="1"/>
  <c r="M46" i="17" s="1"/>
  <c r="N50" i="17"/>
  <c r="B6" i="21"/>
  <c r="N47" i="17"/>
  <c r="U46" i="17"/>
  <c r="AA18" i="21"/>
  <c r="X16" i="21"/>
  <c r="AN12" i="21"/>
  <c r="AL16" i="21"/>
  <c r="AM9" i="21"/>
  <c r="AH20" i="21"/>
  <c r="AK21" i="21"/>
  <c r="AD20" i="21"/>
  <c r="AN7" i="21"/>
  <c r="X9" i="21"/>
  <c r="AE12" i="21"/>
  <c r="AJ18" i="21"/>
  <c r="AA22" i="21"/>
  <c r="Z10" i="21"/>
  <c r="AD17" i="21"/>
  <c r="AD21" i="21"/>
  <c r="AN22" i="21"/>
  <c r="AL8" i="21"/>
  <c r="AK13" i="21"/>
  <c r="AL22" i="21"/>
  <c r="AD14" i="21"/>
  <c r="AF8" i="21"/>
  <c r="AB8" i="21"/>
  <c r="Z9" i="21"/>
  <c r="AJ19" i="21"/>
  <c r="AG18" i="21"/>
  <c r="AK16" i="21"/>
  <c r="AA13" i="21"/>
  <c r="W18" i="21"/>
  <c r="AD18" i="21"/>
  <c r="AG20" i="21"/>
  <c r="AF12" i="21"/>
  <c r="AJ22" i="21"/>
  <c r="Y21" i="21"/>
  <c r="AD13" i="21"/>
  <c r="AE16" i="21"/>
  <c r="AF18" i="21"/>
  <c r="AF21" i="21"/>
  <c r="Y17" i="21"/>
  <c r="AJ16" i="21"/>
  <c r="AB7" i="21"/>
  <c r="AE7" i="21"/>
  <c r="AE21" i="21"/>
  <c r="Y7" i="21"/>
  <c r="X13" i="21"/>
  <c r="AH8" i="21"/>
  <c r="AJ9" i="21"/>
  <c r="AA7" i="21"/>
  <c r="AH18" i="21"/>
  <c r="AK12" i="21"/>
  <c r="AM17" i="21"/>
  <c r="Z22" i="21"/>
  <c r="AI18" i="21"/>
  <c r="W15" i="21"/>
  <c r="AE20" i="21"/>
  <c r="AB15" i="21"/>
  <c r="AC10" i="21"/>
  <c r="AL14" i="21"/>
  <c r="AI17" i="21"/>
  <c r="AI12" i="21"/>
  <c r="AK17" i="21"/>
  <c r="AJ12" i="21"/>
  <c r="X18" i="21"/>
  <c r="AF10" i="21"/>
  <c r="AD9" i="21"/>
  <c r="AN16" i="21"/>
  <c r="X19" i="21"/>
  <c r="AM18" i="21"/>
  <c r="Z19" i="21"/>
  <c r="AI20" i="21"/>
  <c r="AD15" i="21"/>
  <c r="AM14" i="21"/>
  <c r="AD11" i="21"/>
  <c r="AB10" i="21"/>
  <c r="AJ7" i="21"/>
  <c r="AC8" i="21"/>
  <c r="W11" i="21"/>
  <c r="AE8" i="21"/>
  <c r="AL10" i="21"/>
  <c r="AL21" i="21"/>
  <c r="AC13" i="21"/>
  <c r="AI14" i="21"/>
  <c r="AI10" i="21"/>
  <c r="AH21" i="21"/>
  <c r="Z18" i="21"/>
  <c r="AJ11" i="21"/>
  <c r="Z12" i="21"/>
  <c r="AE11" i="21"/>
  <c r="Z14" i="21"/>
  <c r="AH14" i="21"/>
  <c r="AC17" i="21"/>
  <c r="AF9" i="21"/>
  <c r="AK11" i="21"/>
  <c r="AF19" i="21"/>
  <c r="AI16" i="21"/>
  <c r="AC20" i="21"/>
  <c r="AH11" i="21"/>
  <c r="Z17" i="21"/>
  <c r="AI11" i="21"/>
  <c r="AI15" i="21"/>
  <c r="AC22" i="21"/>
  <c r="AA19" i="21"/>
  <c r="X7" i="21"/>
  <c r="AM11" i="21"/>
  <c r="AN11" i="21"/>
  <c r="AH10" i="21"/>
  <c r="AD7" i="21"/>
  <c r="AC7" i="21"/>
  <c r="AD12" i="21"/>
  <c r="AH15" i="21"/>
  <c r="AF16" i="21"/>
  <c r="AF20" i="21"/>
  <c r="AJ8" i="21"/>
  <c r="X14" i="21"/>
  <c r="AG15" i="21"/>
  <c r="AB14" i="21"/>
  <c r="X15" i="21"/>
  <c r="W12" i="21"/>
  <c r="AF22" i="21"/>
  <c r="Z8" i="21"/>
  <c r="AB12" i="21"/>
  <c r="AB16" i="21"/>
  <c r="AG9" i="21"/>
  <c r="AG16" i="21"/>
  <c r="Z15" i="21"/>
  <c r="AI21" i="21"/>
  <c r="AB20" i="21"/>
  <c r="X8" i="21"/>
  <c r="AB17" i="21"/>
  <c r="AH22" i="21"/>
  <c r="AA16" i="21"/>
  <c r="AH12" i="21"/>
  <c r="AE14" i="21"/>
  <c r="AK20" i="21"/>
  <c r="AM21" i="21"/>
  <c r="AE10" i="21"/>
  <c r="AM7" i="21"/>
  <c r="AL7" i="21"/>
  <c r="AB22" i="21"/>
  <c r="AA20" i="21"/>
  <c r="AC21" i="21"/>
  <c r="AI7" i="21"/>
  <c r="AI8" i="21"/>
  <c r="Y8" i="21"/>
  <c r="Y10" i="21"/>
  <c r="AK8" i="21"/>
  <c r="AA17" i="21"/>
  <c r="AJ13" i="21"/>
  <c r="Y14" i="21"/>
  <c r="AD10" i="21"/>
  <c r="Y18" i="21"/>
  <c r="AM16" i="21"/>
  <c r="AG11" i="21"/>
  <c r="AH9" i="21"/>
  <c r="AL15" i="21"/>
  <c r="AN17" i="21"/>
  <c r="W14" i="21"/>
  <c r="AH16" i="21"/>
  <c r="X21" i="21"/>
  <c r="Y16" i="21"/>
  <c r="W17" i="21"/>
  <c r="AJ15" i="21"/>
  <c r="AL20" i="21"/>
  <c r="AE22" i="21"/>
  <c r="W16" i="21"/>
  <c r="AL18" i="21"/>
  <c r="AH17" i="21"/>
  <c r="AA10" i="21"/>
  <c r="W10" i="21"/>
  <c r="AA9" i="21"/>
  <c r="AG19" i="21"/>
  <c r="AL11" i="21"/>
  <c r="X20" i="21"/>
  <c r="AM12" i="21"/>
  <c r="AN18" i="21"/>
  <c r="AA14" i="21"/>
  <c r="AG7" i="21"/>
  <c r="AC11" i="21"/>
  <c r="AM10" i="21"/>
  <c r="AN20" i="21"/>
  <c r="X12" i="21"/>
  <c r="AC9" i="21"/>
  <c r="AD16" i="21"/>
  <c r="AG17" i="21"/>
  <c r="W21" i="21"/>
  <c r="AL19" i="21"/>
  <c r="AN14" i="21"/>
  <c r="AL13" i="21"/>
  <c r="Z21" i="21"/>
  <c r="AK19" i="21"/>
  <c r="AC12" i="21"/>
  <c r="AL12" i="21"/>
  <c r="AG21" i="21"/>
  <c r="AB11" i="21"/>
  <c r="AH7" i="21"/>
  <c r="AE13" i="21"/>
  <c r="AK7" i="21"/>
  <c r="AA8" i="21"/>
  <c r="AD19" i="21"/>
  <c r="AJ21" i="21"/>
  <c r="AE17" i="21"/>
  <c r="AA21" i="21"/>
  <c r="Y22" i="21"/>
  <c r="AH19" i="21"/>
  <c r="AN9" i="21"/>
  <c r="W19" i="21"/>
  <c r="AI13" i="21"/>
  <c r="W8" i="21"/>
  <c r="AH13" i="21"/>
  <c r="Z16" i="21"/>
  <c r="AG12" i="21"/>
  <c r="AA11" i="21"/>
  <c r="X10" i="21"/>
  <c r="AC14" i="21"/>
  <c r="AE19" i="21"/>
  <c r="AI19" i="21"/>
  <c r="AB21" i="21"/>
  <c r="AB19" i="21"/>
  <c r="AM8" i="21"/>
  <c r="AL17" i="21"/>
  <c r="AF15" i="21"/>
  <c r="AG10" i="21"/>
  <c r="Y15" i="21"/>
  <c r="AC15" i="21"/>
  <c r="Z20" i="21"/>
  <c r="AI22" i="21"/>
  <c r="AD22" i="21"/>
  <c r="AG8" i="21"/>
  <c r="AC18" i="21"/>
  <c r="AA15" i="21"/>
  <c r="Y9" i="21"/>
  <c r="AK22" i="21"/>
  <c r="AM20" i="21"/>
  <c r="AK10" i="21"/>
  <c r="W9" i="21"/>
  <c r="AK9" i="21"/>
  <c r="AJ14" i="21"/>
  <c r="Y13" i="21"/>
  <c r="AA12" i="21"/>
  <c r="Y20" i="21"/>
  <c r="AF11" i="21"/>
  <c r="W22" i="21"/>
  <c r="AF7" i="21"/>
  <c r="AN8" i="21"/>
  <c r="AM19" i="21"/>
  <c r="AN15" i="21"/>
  <c r="AI9" i="21"/>
  <c r="AF13" i="21"/>
  <c r="AN13" i="21"/>
  <c r="AK15" i="21"/>
  <c r="AE18" i="21"/>
  <c r="AB18" i="21"/>
  <c r="AK14" i="21"/>
  <c r="AC19" i="21"/>
  <c r="AN19" i="21"/>
  <c r="Y11" i="21"/>
  <c r="W13" i="21"/>
  <c r="AJ20" i="21"/>
  <c r="Z7" i="21"/>
  <c r="X17" i="21"/>
  <c r="AG13" i="21"/>
  <c r="AF17" i="21"/>
  <c r="AE9" i="21"/>
  <c r="AG22" i="21"/>
  <c r="AM22" i="21"/>
  <c r="Z11" i="21"/>
  <c r="AN10" i="21"/>
  <c r="AM13" i="21"/>
  <c r="AB9" i="21"/>
  <c r="AE15" i="21"/>
  <c r="AF14" i="21"/>
  <c r="Z13" i="21"/>
  <c r="L3" i="21" a="1"/>
  <c r="L3" i="21" s="1"/>
  <c r="K3" i="21" a="1"/>
  <c r="K3" i="21" s="1"/>
  <c r="I3" i="21" a="1"/>
  <c r="I3" i="21" s="1"/>
  <c r="D3" i="21" a="1"/>
  <c r="D3" i="21" s="1"/>
  <c r="T3" i="21" a="1"/>
  <c r="T3" i="21" s="1"/>
  <c r="N3" i="21" a="1"/>
  <c r="N3" i="21" s="1"/>
  <c r="M3" i="21" a="1"/>
  <c r="M3" i="21" s="1"/>
  <c r="J3" i="21" a="1"/>
  <c r="J3" i="21" s="1"/>
  <c r="S3" i="21" a="1"/>
  <c r="S3" i="21" s="1"/>
  <c r="R3" i="21" a="1"/>
  <c r="R3" i="21" s="1"/>
  <c r="H3" i="21" a="1"/>
  <c r="H3" i="21" s="1"/>
  <c r="Q3" i="21" a="1"/>
  <c r="Q3" i="21" s="1"/>
  <c r="G3" i="21" a="1"/>
  <c r="G3" i="21" s="1"/>
  <c r="F3" i="21" a="1"/>
  <c r="F3" i="21" s="1"/>
  <c r="P3" i="21" a="1"/>
  <c r="P3" i="21" s="1"/>
  <c r="O3" i="21" a="1"/>
  <c r="O3" i="21" s="1"/>
  <c r="E3" i="21" a="1"/>
  <c r="E3" i="21" s="1"/>
  <c r="AG6" i="21"/>
  <c r="O48" i="17"/>
  <c r="O47" i="17"/>
  <c r="N49" i="17"/>
  <c r="T49" i="17"/>
  <c r="T46" i="17"/>
  <c r="O46" i="17"/>
  <c r="O45" i="17"/>
  <c r="T47" i="17"/>
  <c r="U47" i="17"/>
  <c r="L50" i="17" a="1"/>
  <c r="L50" i="17" s="1"/>
  <c r="U48" i="17"/>
  <c r="O50" i="17"/>
  <c r="O49" i="17"/>
  <c r="U49" i="17"/>
  <c r="U45" i="17"/>
  <c r="T50" i="17"/>
  <c r="L46" i="17" a="1"/>
  <c r="L46" i="17" s="1"/>
  <c r="N45" i="17"/>
  <c r="N46" i="17"/>
  <c r="L48" i="17" a="1"/>
  <c r="L48" i="17" s="1"/>
  <c r="T45" i="17"/>
  <c r="M48" i="17" a="1"/>
  <c r="M48" i="17" s="1"/>
  <c r="M50" i="17" a="1"/>
  <c r="M50" i="17" s="1"/>
  <c r="L47" i="17" a="1"/>
  <c r="L47" i="17" s="1"/>
  <c r="M47" i="17" a="1"/>
  <c r="M47" i="17" s="1"/>
  <c r="M49" i="17" a="1"/>
  <c r="M49" i="17" s="1"/>
  <c r="L49" i="17" a="1"/>
  <c r="L49" i="17" s="1"/>
  <c r="N48" i="17"/>
  <c r="T48" i="17"/>
  <c r="Y45" i="17" a="1"/>
  <c r="Y45" i="17" s="1"/>
  <c r="S45" i="17" a="1"/>
  <c r="S45" i="17" s="1"/>
  <c r="X45" i="17" a="1"/>
  <c r="X45" i="17" s="1"/>
  <c r="R45" i="17" a="1"/>
  <c r="R45" i="17" s="1"/>
  <c r="A4" i="16"/>
  <c r="A5" i="16"/>
  <c r="A6" i="16"/>
  <c r="A9" i="16"/>
  <c r="H10" i="16"/>
  <c r="I10" i="16" s="1"/>
  <c r="A11" i="16"/>
  <c r="L11" i="16" s="1"/>
  <c r="A12" i="16"/>
  <c r="H12" i="16" s="1"/>
  <c r="I12" i="16" s="1"/>
  <c r="A13" i="16"/>
  <c r="L13" i="16" s="1"/>
  <c r="A14" i="16"/>
  <c r="J14" i="16" s="1"/>
  <c r="A15" i="16"/>
  <c r="L15" i="16" s="1"/>
  <c r="A16" i="16"/>
  <c r="A17" i="16"/>
  <c r="H17" i="16" s="1"/>
  <c r="I17" i="16" s="1"/>
  <c r="A18" i="16"/>
  <c r="H18" i="16" s="1"/>
  <c r="I18" i="16" s="1"/>
  <c r="A19" i="16"/>
  <c r="L19" i="16" s="1"/>
  <c r="A20" i="16"/>
  <c r="H20" i="16" s="1"/>
  <c r="I20" i="16" s="1"/>
  <c r="A21" i="16"/>
  <c r="H21" i="16" s="1"/>
  <c r="I21" i="16" s="1"/>
  <c r="A22" i="16"/>
  <c r="H22" i="16" s="1"/>
  <c r="I22" i="16" s="1"/>
  <c r="A23" i="16"/>
  <c r="L23" i="16" s="1"/>
  <c r="A24" i="16"/>
  <c r="N24" i="16" s="1"/>
  <c r="A25" i="16"/>
  <c r="L25" i="16" s="1"/>
  <c r="A26" i="16"/>
  <c r="O26" i="16" s="1"/>
  <c r="A27" i="16"/>
  <c r="L27" i="16" s="1"/>
  <c r="A28" i="16"/>
  <c r="J28" i="16" s="1"/>
  <c r="A29" i="16"/>
  <c r="A30" i="16"/>
  <c r="H30" i="16" s="1"/>
  <c r="I30" i="16" s="1"/>
  <c r="A31" i="16"/>
  <c r="H31" i="16" s="1"/>
  <c r="I31" i="16" s="1"/>
  <c r="A32" i="16"/>
  <c r="H32" i="16" s="1"/>
  <c r="I32" i="16" s="1"/>
  <c r="A33" i="16"/>
  <c r="L33" i="16" s="1"/>
  <c r="A34" i="16"/>
  <c r="H34" i="16" s="1"/>
  <c r="I34" i="16" s="1"/>
  <c r="A35" i="16"/>
  <c r="N35" i="16" s="1"/>
  <c r="A36" i="16"/>
  <c r="L36" i="16" s="1"/>
  <c r="A37" i="16"/>
  <c r="L37" i="16" s="1"/>
  <c r="A38" i="16"/>
  <c r="H38" i="16" s="1"/>
  <c r="I38" i="16" s="1"/>
  <c r="A39" i="16"/>
  <c r="L39" i="16" s="1"/>
  <c r="A40" i="16"/>
  <c r="H40" i="16" s="1"/>
  <c r="I40" i="16" s="1"/>
  <c r="A41" i="16"/>
  <c r="L41" i="16" s="1"/>
  <c r="A42" i="16"/>
  <c r="A43" i="16"/>
  <c r="L43" i="16" s="1"/>
  <c r="A44" i="16"/>
  <c r="H44" i="16" s="1"/>
  <c r="I44" i="16" s="1"/>
  <c r="A45" i="16"/>
  <c r="H45" i="16" s="1"/>
  <c r="I45" i="16" s="1"/>
  <c r="A46" i="16"/>
  <c r="H46" i="16" s="1"/>
  <c r="I46" i="16" s="1"/>
  <c r="A47" i="16"/>
  <c r="L47" i="16" s="1"/>
  <c r="A48" i="16"/>
  <c r="H48" i="16" s="1"/>
  <c r="I48" i="16" s="1"/>
  <c r="A49" i="16"/>
  <c r="H49" i="16" s="1"/>
  <c r="I49" i="16" s="1"/>
  <c r="A50" i="16"/>
  <c r="J50" i="16" s="1"/>
  <c r="A51" i="16"/>
  <c r="L51" i="16" s="1"/>
  <c r="A52" i="16"/>
  <c r="H52" i="16" s="1"/>
  <c r="I52" i="16" s="1"/>
  <c r="A53" i="16"/>
  <c r="J53" i="16" s="1"/>
  <c r="A54" i="16"/>
  <c r="J54" i="16" s="1"/>
  <c r="A55" i="16"/>
  <c r="L55" i="16" s="1"/>
  <c r="A56" i="16"/>
  <c r="J56" i="16" s="1"/>
  <c r="A57" i="16"/>
  <c r="A58" i="16"/>
  <c r="A59" i="16"/>
  <c r="H59" i="16" s="1"/>
  <c r="I59" i="16" s="1"/>
  <c r="A60" i="16"/>
  <c r="H60" i="16" s="1"/>
  <c r="I60" i="16" s="1"/>
  <c r="A61" i="16"/>
  <c r="L61" i="16" s="1"/>
  <c r="A62" i="16"/>
  <c r="H62" i="16" s="1"/>
  <c r="I62" i="16" s="1"/>
  <c r="A63" i="16"/>
  <c r="O63" i="16" s="1"/>
  <c r="A64" i="16"/>
  <c r="M64" i="16" s="1"/>
  <c r="A65" i="16"/>
  <c r="L65" i="16" s="1"/>
  <c r="A66" i="16"/>
  <c r="J66" i="16" s="1"/>
  <c r="A67" i="16"/>
  <c r="H67" i="16" s="1"/>
  <c r="I67" i="16" s="1"/>
  <c r="A68" i="16"/>
  <c r="J68" i="16" s="1"/>
  <c r="A69" i="16"/>
  <c r="L69" i="16" s="1"/>
  <c r="A70" i="16"/>
  <c r="J70" i="16" s="1"/>
  <c r="A71" i="16"/>
  <c r="L71" i="16" s="1"/>
  <c r="A72" i="16"/>
  <c r="H72" i="16" s="1"/>
  <c r="I72" i="16" s="1"/>
  <c r="A73" i="16"/>
  <c r="H73" i="16" s="1"/>
  <c r="I73" i="16" s="1"/>
  <c r="A74" i="16"/>
  <c r="H74" i="16" s="1"/>
  <c r="I74" i="16" s="1"/>
  <c r="A75" i="16"/>
  <c r="L75" i="16" s="1"/>
  <c r="A76" i="16"/>
  <c r="H76" i="16" s="1"/>
  <c r="I76" i="16" s="1"/>
  <c r="A77" i="16"/>
  <c r="H77" i="16" s="1"/>
  <c r="I77" i="16" s="1"/>
  <c r="A78" i="16"/>
  <c r="M78" i="16" s="1"/>
  <c r="A79" i="16"/>
  <c r="L79" i="16" s="1"/>
  <c r="A80" i="16"/>
  <c r="O80" i="16" s="1"/>
  <c r="A81" i="16"/>
  <c r="J81" i="16" s="1"/>
  <c r="A82" i="16"/>
  <c r="J82" i="16" s="1"/>
  <c r="A83" i="16"/>
  <c r="L83" i="16" s="1"/>
  <c r="A84" i="16"/>
  <c r="J84" i="16" s="1"/>
  <c r="A85" i="16"/>
  <c r="A86" i="16"/>
  <c r="A87" i="16"/>
  <c r="H87" i="16" s="1"/>
  <c r="I87" i="16" s="1"/>
  <c r="A88" i="16"/>
  <c r="H88" i="16" s="1"/>
  <c r="I88" i="16" s="1"/>
  <c r="A89" i="16"/>
  <c r="L89" i="16" s="1"/>
  <c r="A90" i="16"/>
  <c r="H90" i="16" s="1"/>
  <c r="I90" i="16" s="1"/>
  <c r="A91" i="16"/>
  <c r="O91" i="16" s="1"/>
  <c r="A92" i="16"/>
  <c r="M92" i="16" s="1"/>
  <c r="A93" i="16"/>
  <c r="O93" i="16" s="1"/>
  <c r="A94" i="16"/>
  <c r="H94" i="16" s="1"/>
  <c r="I94" i="16" s="1"/>
  <c r="A95" i="16"/>
  <c r="O95" i="16" s="1"/>
  <c r="A96" i="16"/>
  <c r="H96" i="16" s="1"/>
  <c r="I96" i="16" s="1"/>
  <c r="A97" i="16"/>
  <c r="O97" i="16" s="1"/>
  <c r="A98" i="16"/>
  <c r="H98" i="16" s="1"/>
  <c r="I98" i="16" s="1"/>
  <c r="A99" i="16"/>
  <c r="A100" i="16"/>
  <c r="H100" i="16" s="1"/>
  <c r="I100" i="16" s="1"/>
  <c r="A101" i="16"/>
  <c r="H101" i="16" s="1"/>
  <c r="I101" i="16" s="1"/>
  <c r="A102" i="16"/>
  <c r="O102" i="16" s="1"/>
  <c r="A103" i="16"/>
  <c r="M103" i="16" s="1"/>
  <c r="A104" i="16"/>
  <c r="J104" i="16" s="1"/>
  <c r="A105" i="16"/>
  <c r="H105" i="16" s="1"/>
  <c r="I105" i="16" s="1"/>
  <c r="A106" i="16"/>
  <c r="O106" i="16" s="1"/>
  <c r="A107" i="16"/>
  <c r="H107" i="16" s="1"/>
  <c r="I107" i="16" s="1"/>
  <c r="A108" i="16"/>
  <c r="J108" i="16" s="1"/>
  <c r="A109" i="16"/>
  <c r="H109" i="16" s="1"/>
  <c r="I109" i="16" s="1"/>
  <c r="A110" i="16"/>
  <c r="J110" i="16" s="1"/>
  <c r="A111" i="16"/>
  <c r="J111" i="16" s="1"/>
  <c r="A112" i="16"/>
  <c r="J112" i="16" s="1"/>
  <c r="A113" i="16"/>
  <c r="M113" i="16" s="1"/>
  <c r="A114" i="16"/>
  <c r="J114" i="16" s="1"/>
  <c r="A115" i="16"/>
  <c r="K115" i="16" s="1"/>
  <c r="A116" i="16"/>
  <c r="K116" i="16" s="1"/>
  <c r="A117" i="16"/>
  <c r="H117" i="16" s="1"/>
  <c r="I117" i="16" s="1"/>
  <c r="A118" i="16"/>
  <c r="K118" i="16" s="1"/>
  <c r="A119" i="16"/>
  <c r="H119" i="16" s="1"/>
  <c r="I119" i="16" s="1"/>
  <c r="A120" i="16"/>
  <c r="L120" i="16" s="1"/>
  <c r="A121" i="16"/>
  <c r="K121" i="16" s="1"/>
  <c r="A122" i="16"/>
  <c r="K122" i="16" s="1"/>
  <c r="A123" i="16"/>
  <c r="H123" i="16" s="1"/>
  <c r="I123" i="16" s="1"/>
  <c r="A124" i="16"/>
  <c r="K124" i="16" s="1"/>
  <c r="A125" i="16"/>
  <c r="K125" i="16" s="1"/>
  <c r="A126" i="16"/>
  <c r="H126" i="16" s="1"/>
  <c r="I126" i="16" s="1"/>
  <c r="A127" i="16"/>
  <c r="A128" i="16"/>
  <c r="A129" i="16"/>
  <c r="K129" i="16" s="1"/>
  <c r="A130" i="16"/>
  <c r="N130" i="16" s="1"/>
  <c r="A131" i="16"/>
  <c r="J131" i="16" s="1"/>
  <c r="A132" i="16"/>
  <c r="K132" i="16" s="1"/>
  <c r="A133" i="16"/>
  <c r="H133" i="16" s="1"/>
  <c r="I133" i="16" s="1"/>
  <c r="A134" i="16"/>
  <c r="H134" i="16" s="1"/>
  <c r="I134" i="16" s="1"/>
  <c r="A135" i="16"/>
  <c r="J135" i="16" s="1"/>
  <c r="A136" i="16"/>
  <c r="K136" i="16" s="1"/>
  <c r="A137" i="16"/>
  <c r="H137" i="16" s="1"/>
  <c r="I137" i="16" s="1"/>
  <c r="A138" i="16"/>
  <c r="K138" i="16" s="1"/>
  <c r="A139" i="16"/>
  <c r="K139" i="16" s="1"/>
  <c r="A140" i="16"/>
  <c r="A141" i="16"/>
  <c r="A142" i="16"/>
  <c r="A143" i="16"/>
  <c r="L143" i="16" s="1"/>
  <c r="A144" i="16"/>
  <c r="K144" i="16" s="1"/>
  <c r="A145" i="16"/>
  <c r="L145" i="16" s="1"/>
  <c r="A146" i="16"/>
  <c r="K146" i="16" s="1"/>
  <c r="A147" i="16"/>
  <c r="H147" i="16" s="1"/>
  <c r="I147" i="16" s="1"/>
  <c r="A148" i="16"/>
  <c r="H148" i="16" s="1"/>
  <c r="I148" i="16" s="1"/>
  <c r="A149" i="16"/>
  <c r="N149" i="16" s="1"/>
  <c r="A150" i="16"/>
  <c r="K150" i="16" s="1"/>
  <c r="A151" i="16"/>
  <c r="H151" i="16" s="1"/>
  <c r="I151" i="16" s="1"/>
  <c r="A152" i="16"/>
  <c r="K152" i="16" s="1"/>
  <c r="A153" i="16"/>
  <c r="K153" i="16" s="1"/>
  <c r="A154" i="16"/>
  <c r="A155" i="16"/>
  <c r="A156" i="16"/>
  <c r="K156" i="16" s="1"/>
  <c r="A157" i="16"/>
  <c r="L157" i="16" s="1"/>
  <c r="A158" i="16"/>
  <c r="H158" i="16" s="1"/>
  <c r="I158" i="16" s="1"/>
  <c r="A159" i="16"/>
  <c r="L159" i="16" s="1"/>
  <c r="A160" i="16"/>
  <c r="K160" i="16" s="1"/>
  <c r="A161" i="16"/>
  <c r="H161" i="16" s="1"/>
  <c r="I161" i="16" s="1"/>
  <c r="A162" i="16"/>
  <c r="M162" i="16" s="1"/>
  <c r="A163" i="16"/>
  <c r="H163" i="16" s="1"/>
  <c r="I163" i="16" s="1"/>
  <c r="A164" i="16"/>
  <c r="K164" i="16" s="1"/>
  <c r="A165" i="16"/>
  <c r="H165" i="16" s="1"/>
  <c r="I165" i="16" s="1"/>
  <c r="A166" i="16"/>
  <c r="K166" i="16" s="1"/>
  <c r="A167" i="16"/>
  <c r="K167" i="16" s="1"/>
  <c r="A168" i="16"/>
  <c r="K168" i="16" s="1"/>
  <c r="A169" i="16"/>
  <c r="K169" i="16" s="1"/>
  <c r="A170" i="16"/>
  <c r="A171" i="16"/>
  <c r="K171" i="16" s="1"/>
  <c r="A172" i="16"/>
  <c r="H172" i="16" s="1"/>
  <c r="I172" i="16" s="1"/>
  <c r="A173" i="16"/>
  <c r="L173" i="16" s="1"/>
  <c r="A174" i="16"/>
  <c r="K174" i="16" s="1"/>
  <c r="A175" i="16"/>
  <c r="H175" i="16" s="1"/>
  <c r="I175" i="16" s="1"/>
  <c r="A176" i="16"/>
  <c r="H176" i="16" s="1"/>
  <c r="I176" i="16" s="1"/>
  <c r="A177" i="16"/>
  <c r="L177" i="16" s="1"/>
  <c r="A178" i="16"/>
  <c r="K178" i="16" s="1"/>
  <c r="A179" i="16"/>
  <c r="H179" i="16" s="1"/>
  <c r="I179" i="16" s="1"/>
  <c r="A3" i="16"/>
  <c r="A20"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X8" i="18"/>
  <c r="X7" i="18"/>
  <c r="N5" i="5"/>
  <c r="M5" i="5"/>
  <c r="CQ235" i="4"/>
  <c r="CQ234" i="4"/>
  <c r="CQ233" i="4"/>
  <c r="CQ232" i="4"/>
  <c r="A5" i="14" a="1"/>
  <c r="A5" i="14" s="1"/>
  <c r="A18" i="4"/>
  <c r="A7" i="13" a="1"/>
  <c r="A4" i="6" a="1"/>
  <c r="A4" i="6" s="1"/>
  <c r="D17" i="6"/>
  <c r="D19" i="6"/>
  <c r="D20"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5" i="6"/>
  <c r="D22" i="6"/>
  <c r="X8" i="5"/>
  <c r="X7" i="5"/>
  <c r="W6" i="17"/>
  <c r="Y6" i="17" s="1" a="1"/>
  <c r="Y6" i="17" s="1"/>
  <c r="V6" i="17"/>
  <c r="X6" i="17" s="1" a="1"/>
  <c r="X6" i="17" s="1"/>
  <c r="T6" i="17"/>
  <c r="Q6" i="17"/>
  <c r="S6" i="17" s="1" a="1"/>
  <c r="S6" i="17" s="1"/>
  <c r="P6" i="17"/>
  <c r="R6" i="17" s="1" a="1"/>
  <c r="R6" i="17" s="1"/>
  <c r="H6" i="17"/>
  <c r="K6" i="17" s="1"/>
  <c r="W3" i="17"/>
  <c r="V3" i="17"/>
  <c r="T3" i="17"/>
  <c r="Q3" i="17"/>
  <c r="P3" i="17"/>
  <c r="H3" i="17"/>
  <c r="K3" i="17" s="1"/>
  <c r="H7" i="16"/>
  <c r="I7" i="16" s="1"/>
  <c r="N9" i="16"/>
  <c r="O9" i="16"/>
  <c r="O10" i="16"/>
  <c r="H11" i="16"/>
  <c r="I11" i="16" s="1"/>
  <c r="J11" i="16"/>
  <c r="K11" i="16"/>
  <c r="N12" i="16"/>
  <c r="J24" i="16"/>
  <c r="K24" i="16"/>
  <c r="M26" i="16"/>
  <c r="O37" i="16"/>
  <c r="L38" i="16"/>
  <c r="O38" i="16"/>
  <c r="H39" i="16"/>
  <c r="I39" i="16" s="1"/>
  <c r="J39" i="16"/>
  <c r="K39" i="16"/>
  <c r="N48" i="16"/>
  <c r="J52" i="16"/>
  <c r="K52" i="16"/>
  <c r="L52" i="16"/>
  <c r="L54" i="16"/>
  <c r="H66" i="16"/>
  <c r="I66" i="16" s="1"/>
  <c r="L66" i="16"/>
  <c r="M67" i="16"/>
  <c r="N67" i="16"/>
  <c r="O69" i="16"/>
  <c r="M70" i="16"/>
  <c r="O79" i="16"/>
  <c r="H80" i="16"/>
  <c r="I80" i="16" s="1"/>
  <c r="J80" i="16"/>
  <c r="N80" i="16"/>
  <c r="N82" i="16"/>
  <c r="N88" i="16"/>
  <c r="O88" i="16"/>
  <c r="L93" i="16"/>
  <c r="M93" i="16"/>
  <c r="N93" i="16"/>
  <c r="J94" i="16"/>
  <c r="O94" i="16"/>
  <c r="H95" i="16"/>
  <c r="I95" i="16" s="1"/>
  <c r="J95" i="16"/>
  <c r="J102" i="16"/>
  <c r="K102" i="16"/>
  <c r="L102" i="16"/>
  <c r="K105" i="16"/>
  <c r="O105" i="16"/>
  <c r="H106" i="16"/>
  <c r="I106" i="16" s="1"/>
  <c r="J106" i="16"/>
  <c r="H108" i="16"/>
  <c r="I108" i="16" s="1"/>
  <c r="L108" i="16"/>
  <c r="M108" i="16"/>
  <c r="J109" i="16"/>
  <c r="J116" i="16"/>
  <c r="M121" i="16"/>
  <c r="N121" i="16"/>
  <c r="O121" i="16"/>
  <c r="H122" i="16"/>
  <c r="I122" i="16" s="1"/>
  <c r="M125" i="16"/>
  <c r="N125" i="16"/>
  <c r="O125" i="16"/>
  <c r="N129" i="16"/>
  <c r="M130" i="16"/>
  <c r="O131" i="16"/>
  <c r="L133" i="16"/>
  <c r="M133" i="16"/>
  <c r="L134" i="16"/>
  <c r="H135" i="16"/>
  <c r="I135" i="16" s="1"/>
  <c r="H136" i="16"/>
  <c r="I136" i="16" s="1"/>
  <c r="N136" i="16"/>
  <c r="M137" i="16"/>
  <c r="N137" i="16"/>
  <c r="L139" i="16"/>
  <c r="N143" i="16"/>
  <c r="O143" i="16"/>
  <c r="H144" i="16"/>
  <c r="I144" i="16" s="1"/>
  <c r="J144" i="16"/>
  <c r="M146" i="16"/>
  <c r="K149" i="16"/>
  <c r="L149" i="16"/>
  <c r="M149" i="16"/>
  <c r="J150" i="16"/>
  <c r="L151" i="16"/>
  <c r="M151" i="16"/>
  <c r="J158" i="16"/>
  <c r="K158" i="16"/>
  <c r="L158" i="16"/>
  <c r="N160" i="16"/>
  <c r="J161" i="16"/>
  <c r="K161" i="16"/>
  <c r="N161" i="16"/>
  <c r="H162" i="16"/>
  <c r="I162" i="16" s="1"/>
  <c r="H164" i="16"/>
  <c r="I164" i="16" s="1"/>
  <c r="J164" i="16"/>
  <c r="O167" i="16"/>
  <c r="H168" i="16"/>
  <c r="I168" i="16" s="1"/>
  <c r="O169" i="16"/>
  <c r="J172" i="16"/>
  <c r="K172" i="16"/>
  <c r="L172" i="16"/>
  <c r="N174" i="16"/>
  <c r="H177" i="16"/>
  <c r="I177" i="16" s="1"/>
  <c r="J177" i="16"/>
  <c r="K177" i="16"/>
  <c r="M178" i="16"/>
  <c r="N178" i="16"/>
  <c r="K179" i="16"/>
  <c r="H180" i="16"/>
  <c r="I180" i="16" s="1"/>
  <c r="J180" i="16"/>
  <c r="K180" i="16"/>
  <c r="L180" i="16"/>
  <c r="M180" i="16"/>
  <c r="N180" i="16"/>
  <c r="O180" i="16"/>
  <c r="H181" i="16"/>
  <c r="I181" i="16" s="1"/>
  <c r="J181" i="16"/>
  <c r="K181" i="16"/>
  <c r="L181" i="16"/>
  <c r="M181" i="16"/>
  <c r="N181" i="16"/>
  <c r="O181" i="16"/>
  <c r="H182" i="16"/>
  <c r="I182" i="16" s="1"/>
  <c r="J182" i="16"/>
  <c r="K182" i="16"/>
  <c r="L182" i="16"/>
  <c r="M182" i="16"/>
  <c r="N182" i="16"/>
  <c r="O182" i="16"/>
  <c r="H183" i="16"/>
  <c r="I183" i="16" s="1"/>
  <c r="J183" i="16"/>
  <c r="K183" i="16"/>
  <c r="L183" i="16"/>
  <c r="M183" i="16"/>
  <c r="N183" i="16"/>
  <c r="O183" i="16"/>
  <c r="H5" i="17"/>
  <c r="K5" i="17" s="1"/>
  <c r="P5" i="17"/>
  <c r="R5" i="17" s="1" a="1"/>
  <c r="R5" i="17" s="1"/>
  <c r="Q5" i="17"/>
  <c r="S5" i="17" s="1" a="1"/>
  <c r="S5" i="17" s="1"/>
  <c r="V5" i="17"/>
  <c r="X5" i="17" s="1" a="1"/>
  <c r="X5" i="17" s="1"/>
  <c r="W5" i="17"/>
  <c r="Y5" i="17" s="1" a="1"/>
  <c r="Y5" i="17" s="1"/>
  <c r="H7" i="17"/>
  <c r="K7" i="17" s="1"/>
  <c r="P7" i="17"/>
  <c r="R7" i="17" s="1" a="1"/>
  <c r="R7" i="17" s="1"/>
  <c r="Q7" i="17"/>
  <c r="S7" i="17" s="1" a="1"/>
  <c r="S7" i="17" s="1"/>
  <c r="V7" i="17"/>
  <c r="X7" i="17" s="1" a="1"/>
  <c r="X7" i="17" s="1"/>
  <c r="W7" i="17"/>
  <c r="Y7" i="17" s="1" a="1"/>
  <c r="Y7" i="17" s="1"/>
  <c r="H8" i="17"/>
  <c r="K8" i="17" s="1"/>
  <c r="P8" i="17"/>
  <c r="R8" i="17" s="1" a="1"/>
  <c r="R8" i="17" s="1"/>
  <c r="Q8" i="17"/>
  <c r="S8" i="17" s="1" a="1"/>
  <c r="S8" i="17" s="1"/>
  <c r="V8" i="17"/>
  <c r="X8" i="17" s="1" a="1"/>
  <c r="X8" i="17" s="1"/>
  <c r="W8" i="17"/>
  <c r="Y8" i="17" s="1" a="1"/>
  <c r="Y8" i="17" s="1"/>
  <c r="H9" i="17"/>
  <c r="K9" i="17" s="1"/>
  <c r="P9" i="17"/>
  <c r="R9" i="17" s="1" a="1"/>
  <c r="R9" i="17" s="1"/>
  <c r="Q9" i="17"/>
  <c r="S9" i="17" s="1" a="1"/>
  <c r="S9" i="17" s="1"/>
  <c r="V9" i="17"/>
  <c r="X9" i="17" s="1" a="1"/>
  <c r="X9" i="17" s="1"/>
  <c r="W9" i="17"/>
  <c r="Y9" i="17" s="1" a="1"/>
  <c r="Y9" i="17" s="1"/>
  <c r="H10" i="17"/>
  <c r="K10" i="17" s="1"/>
  <c r="P10" i="17"/>
  <c r="R10" i="17" s="1" a="1"/>
  <c r="R10" i="17" s="1"/>
  <c r="Q10" i="17"/>
  <c r="S10" i="17" s="1" a="1"/>
  <c r="S10" i="17" s="1"/>
  <c r="V10" i="17"/>
  <c r="X10" i="17" s="1" a="1"/>
  <c r="X10" i="17" s="1"/>
  <c r="W10" i="17"/>
  <c r="Y10" i="17" s="1" a="1"/>
  <c r="Y10" i="17" s="1"/>
  <c r="H11" i="17"/>
  <c r="K11" i="17" s="1"/>
  <c r="P11" i="17"/>
  <c r="R11" i="17" s="1" a="1"/>
  <c r="R11" i="17" s="1"/>
  <c r="Q11" i="17"/>
  <c r="S11" i="17" s="1" a="1"/>
  <c r="S11" i="17" s="1"/>
  <c r="V11" i="17"/>
  <c r="X11" i="17" s="1" a="1"/>
  <c r="X11" i="17" s="1"/>
  <c r="W11" i="17"/>
  <c r="Y11" i="17" s="1" a="1"/>
  <c r="Y11" i="17" s="1"/>
  <c r="H12" i="17"/>
  <c r="K12" i="17" s="1"/>
  <c r="P12" i="17"/>
  <c r="R12" i="17" s="1" a="1"/>
  <c r="R12" i="17" s="1"/>
  <c r="Q12" i="17"/>
  <c r="S12" i="17" s="1" a="1"/>
  <c r="S12" i="17" s="1"/>
  <c r="V12" i="17"/>
  <c r="X12" i="17" s="1" a="1"/>
  <c r="X12" i="17" s="1"/>
  <c r="W12" i="17"/>
  <c r="Y12" i="17" s="1" a="1"/>
  <c r="Y12" i="17" s="1"/>
  <c r="H13" i="17"/>
  <c r="K13" i="17" s="1"/>
  <c r="P13" i="17"/>
  <c r="R13" i="17" s="1" a="1"/>
  <c r="R13" i="17" s="1"/>
  <c r="Q13" i="17"/>
  <c r="S13" i="17" s="1" a="1"/>
  <c r="S13" i="17" s="1"/>
  <c r="V13" i="17"/>
  <c r="X13" i="17" s="1" a="1"/>
  <c r="X13" i="17" s="1"/>
  <c r="W13" i="17"/>
  <c r="Y13" i="17" s="1" a="1"/>
  <c r="Y13" i="17" s="1"/>
  <c r="H15" i="17"/>
  <c r="P15" i="17"/>
  <c r="R15" i="17" s="1" a="1"/>
  <c r="R15" i="17" s="1"/>
  <c r="Q15" i="17"/>
  <c r="V15" i="17"/>
  <c r="W15" i="17"/>
  <c r="W64" i="17"/>
  <c r="W65" i="17"/>
  <c r="D3" i="2"/>
  <c r="E3" i="2"/>
  <c r="E4" i="2" a="1"/>
  <c r="E4" i="2" s="1"/>
  <c r="D4" i="2" a="1"/>
  <c r="D4" i="2" s="1"/>
  <c r="K5" i="5"/>
  <c r="L5" i="5"/>
  <c r="W191" i="17"/>
  <c r="V191" i="17"/>
  <c r="T191" i="17"/>
  <c r="Q191" i="17"/>
  <c r="P191" i="17"/>
  <c r="H191" i="17"/>
  <c r="W190" i="17"/>
  <c r="V190" i="17"/>
  <c r="T190" i="17"/>
  <c r="Q190" i="17"/>
  <c r="P190" i="17"/>
  <c r="H190" i="17"/>
  <c r="E12" i="6" a="1"/>
  <c r="E12" i="6" s="1"/>
  <c r="F12" i="6" a="1"/>
  <c r="F12" i="6" s="1"/>
  <c r="F11" i="6" a="1"/>
  <c r="F11" i="6" s="1"/>
  <c r="D15" i="6" l="1"/>
  <c r="D12" i="6"/>
  <c r="D5" i="6"/>
  <c r="O3" i="16"/>
  <c r="M3" i="16"/>
  <c r="J3" i="16"/>
  <c r="K9" i="16"/>
  <c r="J9" i="16"/>
  <c r="L9" i="16"/>
  <c r="M9" i="16"/>
  <c r="H6" i="16"/>
  <c r="I6" i="16" s="1"/>
  <c r="J6" i="16"/>
  <c r="M6" i="16"/>
  <c r="L6" i="16"/>
  <c r="K6" i="16"/>
  <c r="H5" i="16"/>
  <c r="I5" i="16" s="1"/>
  <c r="K5" i="16"/>
  <c r="M5" i="16"/>
  <c r="L5" i="16"/>
  <c r="J5" i="16"/>
  <c r="O4" i="16"/>
  <c r="J4" i="16"/>
  <c r="L4" i="16"/>
  <c r="M4" i="16"/>
  <c r="K4" i="16"/>
  <c r="N27" i="4"/>
  <c r="Q27" i="4"/>
  <c r="P27" i="4"/>
  <c r="O27" i="4"/>
  <c r="D18" i="6"/>
  <c r="P18" i="4"/>
  <c r="Q18" i="4"/>
  <c r="O18" i="4"/>
  <c r="N18" i="4"/>
  <c r="O26" i="4"/>
  <c r="N26" i="4"/>
  <c r="Q26" i="4"/>
  <c r="P26" i="4"/>
  <c r="P25" i="4"/>
  <c r="Q25" i="4"/>
  <c r="O25" i="4"/>
  <c r="N25" i="4"/>
  <c r="Q24" i="4"/>
  <c r="O24" i="4"/>
  <c r="P24" i="4"/>
  <c r="N24" i="4"/>
  <c r="Q23" i="4"/>
  <c r="P23" i="4"/>
  <c r="O23" i="4"/>
  <c r="N23" i="4"/>
  <c r="Q20" i="4"/>
  <c r="O20" i="4"/>
  <c r="P20" i="4"/>
  <c r="N20" i="4"/>
  <c r="M27" i="4" a="1"/>
  <c r="M27" i="4" s="1"/>
  <c r="J27" i="4"/>
  <c r="K27" i="4"/>
  <c r="K26" i="4"/>
  <c r="J26" i="4"/>
  <c r="M26" i="4" a="1"/>
  <c r="M26" i="4" s="1"/>
  <c r="J25" i="4"/>
  <c r="K25" i="4"/>
  <c r="M25" i="4" a="1"/>
  <c r="M25" i="4" s="1"/>
  <c r="J24" i="4"/>
  <c r="K24" i="4"/>
  <c r="M24" i="4" a="1"/>
  <c r="M24" i="4" s="1"/>
  <c r="J23" i="4"/>
  <c r="K23" i="4"/>
  <c r="M23" i="4" a="1"/>
  <c r="M23" i="4" s="1"/>
  <c r="R20" i="4"/>
  <c r="J20" i="4"/>
  <c r="K20" i="4"/>
  <c r="M20" i="4" a="1"/>
  <c r="M20" i="4" s="1"/>
  <c r="K18" i="4"/>
  <c r="M18" i="4" a="1"/>
  <c r="M18" i="4" s="1"/>
  <c r="J18" i="4"/>
  <c r="L175" i="16"/>
  <c r="N163" i="16"/>
  <c r="M160" i="16"/>
  <c r="O148" i="16"/>
  <c r="M132" i="16"/>
  <c r="J121" i="16"/>
  <c r="O107" i="16"/>
  <c r="M104" i="16"/>
  <c r="H93" i="16"/>
  <c r="I93" i="16" s="1"/>
  <c r="J79" i="16"/>
  <c r="K65" i="16"/>
  <c r="N51" i="16"/>
  <c r="J37" i="16"/>
  <c r="K23" i="16"/>
  <c r="K175" i="16"/>
  <c r="M163" i="16"/>
  <c r="N148" i="16"/>
  <c r="J132" i="16"/>
  <c r="H121" i="16"/>
  <c r="I121" i="16" s="1"/>
  <c r="N107" i="16"/>
  <c r="O92" i="16"/>
  <c r="H79" i="16"/>
  <c r="I79" i="16" s="1"/>
  <c r="J65" i="16"/>
  <c r="K51" i="16"/>
  <c r="H37" i="16"/>
  <c r="I37" i="16" s="1"/>
  <c r="J23" i="16"/>
  <c r="H9" i="16"/>
  <c r="I9" i="16" s="1"/>
  <c r="N176" i="16"/>
  <c r="J149" i="16"/>
  <c r="L121" i="16"/>
  <c r="K93" i="16"/>
  <c r="O65" i="16"/>
  <c r="N37" i="16"/>
  <c r="O23" i="16"/>
  <c r="J175" i="16"/>
  <c r="L163" i="16"/>
  <c r="M148" i="16"/>
  <c r="K120" i="16"/>
  <c r="M107" i="16"/>
  <c r="N92" i="16"/>
  <c r="L78" i="16"/>
  <c r="H65" i="16"/>
  <c r="I65" i="16" s="1"/>
  <c r="J51" i="16"/>
  <c r="K36" i="16"/>
  <c r="H23" i="16"/>
  <c r="I23" i="16" s="1"/>
  <c r="N79" i="16"/>
  <c r="M175" i="16"/>
  <c r="H149" i="16"/>
  <c r="I149" i="16" s="1"/>
  <c r="K133" i="16"/>
  <c r="J105" i="16"/>
  <c r="N65" i="16"/>
  <c r="K37" i="16"/>
  <c r="K163" i="16"/>
  <c r="L148" i="16"/>
  <c r="O135" i="16"/>
  <c r="J120" i="16"/>
  <c r="L107" i="16"/>
  <c r="L92" i="16"/>
  <c r="K78" i="16"/>
  <c r="N64" i="16"/>
  <c r="H51" i="16"/>
  <c r="I51" i="16" s="1"/>
  <c r="J36" i="16"/>
  <c r="K22" i="16"/>
  <c r="J174" i="16"/>
  <c r="J163" i="16"/>
  <c r="N146" i="16"/>
  <c r="N135" i="16"/>
  <c r="H120" i="16"/>
  <c r="I120" i="16" s="1"/>
  <c r="K107" i="16"/>
  <c r="K92" i="16"/>
  <c r="J78" i="16"/>
  <c r="M63" i="16"/>
  <c r="K50" i="16"/>
  <c r="H36" i="16"/>
  <c r="I36" i="16" s="1"/>
  <c r="O20" i="16"/>
  <c r="O6" i="16"/>
  <c r="N20" i="16"/>
  <c r="M35" i="16"/>
  <c r="O163" i="16"/>
  <c r="J93" i="16"/>
  <c r="K79" i="16"/>
  <c r="O51" i="16"/>
  <c r="N23" i="16"/>
  <c r="O177" i="16"/>
  <c r="M135" i="16"/>
  <c r="J119" i="16"/>
  <c r="J107" i="16"/>
  <c r="H78" i="16"/>
  <c r="I78" i="16" s="1"/>
  <c r="J63" i="16"/>
  <c r="N177" i="16"/>
  <c r="L162" i="16"/>
  <c r="J146" i="16"/>
  <c r="L135" i="16"/>
  <c r="N118" i="16"/>
  <c r="H63" i="16"/>
  <c r="I63" i="16" s="1"/>
  <c r="L35" i="16"/>
  <c r="M177" i="16"/>
  <c r="K162" i="16"/>
  <c r="O149" i="16"/>
  <c r="H146" i="16"/>
  <c r="I146" i="16" s="1"/>
  <c r="K135" i="16"/>
  <c r="M118" i="16"/>
  <c r="L106" i="16"/>
  <c r="O62" i="16"/>
  <c r="O34" i="16"/>
  <c r="J162" i="16"/>
  <c r="K117" i="16"/>
  <c r="K106" i="16"/>
  <c r="N62" i="16"/>
  <c r="N34" i="16"/>
  <c r="AD2" i="21"/>
  <c r="D6" i="6"/>
  <c r="D16" i="6"/>
  <c r="D14" i="6"/>
  <c r="D13" i="6"/>
  <c r="D11" i="6"/>
  <c r="J11" i="6" s="1"/>
  <c r="D10" i="6"/>
  <c r="D9" i="6"/>
  <c r="D8" i="6"/>
  <c r="D21" i="6"/>
  <c r="D7" i="6"/>
  <c r="AG2" i="21"/>
  <c r="AD4" i="21"/>
  <c r="AG4" i="21"/>
  <c r="X6" i="21"/>
  <c r="AC6" i="21"/>
  <c r="AJ6" i="21"/>
  <c r="AJ2" i="21" s="1"/>
  <c r="AE6" i="21"/>
  <c r="AF6" i="21"/>
  <c r="Z6" i="21"/>
  <c r="W6" i="21"/>
  <c r="W2" i="21" s="1"/>
  <c r="AA6" i="21"/>
  <c r="AK6" i="21"/>
  <c r="AB6" i="21"/>
  <c r="AL6" i="21"/>
  <c r="AM6" i="21"/>
  <c r="Y6" i="21"/>
  <c r="AH6" i="21"/>
  <c r="AI6" i="21"/>
  <c r="AN6" i="21"/>
  <c r="F7" i="5"/>
  <c r="F14" i="5"/>
  <c r="F21" i="5"/>
  <c r="F16" i="5"/>
  <c r="G16" i="5"/>
  <c r="F17" i="5"/>
  <c r="G10" i="5"/>
  <c r="F11" i="5"/>
  <c r="G11" i="5"/>
  <c r="G19" i="5"/>
  <c r="F20" i="5"/>
  <c r="G20" i="5"/>
  <c r="G7" i="5"/>
  <c r="G14" i="5"/>
  <c r="G21" i="5"/>
  <c r="F8" i="5"/>
  <c r="F15" i="5"/>
  <c r="F22" i="5"/>
  <c r="G8" i="5"/>
  <c r="G15" i="5"/>
  <c r="G22" i="5"/>
  <c r="F9" i="5"/>
  <c r="G9" i="5"/>
  <c r="F10" i="5"/>
  <c r="G17" i="5"/>
  <c r="F18" i="5"/>
  <c r="G18" i="5"/>
  <c r="F19" i="5"/>
  <c r="G12" i="5"/>
  <c r="F13" i="5"/>
  <c r="G13" i="5"/>
  <c r="F12" i="5"/>
  <c r="A19" i="4"/>
  <c r="S15" i="17" a="1"/>
  <c r="S15" i="17" s="1"/>
  <c r="F17" i="6" a="1"/>
  <c r="F17" i="6" s="1"/>
  <c r="J17" i="6" s="1"/>
  <c r="E9" i="6" a="1"/>
  <c r="E9" i="6" s="1"/>
  <c r="F10" i="6" a="1"/>
  <c r="F10" i="6" s="1"/>
  <c r="J47" i="16"/>
  <c r="N3" i="16"/>
  <c r="O175" i="16"/>
  <c r="O172" i="16"/>
  <c r="N164" i="16"/>
  <c r="O158" i="16"/>
  <c r="N150" i="16"/>
  <c r="O147" i="16"/>
  <c r="M144" i="16"/>
  <c r="M136" i="16"/>
  <c r="J133" i="16"/>
  <c r="J130" i="16"/>
  <c r="J118" i="16"/>
  <c r="N115" i="16"/>
  <c r="H103" i="16"/>
  <c r="I103" i="16" s="1"/>
  <c r="N94" i="16"/>
  <c r="L91" i="16"/>
  <c r="N74" i="16"/>
  <c r="L63" i="16"/>
  <c r="O52" i="16"/>
  <c r="H47" i="16"/>
  <c r="I47" i="16" s="1"/>
  <c r="M24" i="16"/>
  <c r="H19" i="16"/>
  <c r="I19" i="16" s="1"/>
  <c r="K173" i="16"/>
  <c r="K159" i="16"/>
  <c r="H145" i="16"/>
  <c r="I145" i="16" s="1"/>
  <c r="L103" i="16"/>
  <c r="J75" i="16"/>
  <c r="J173" i="16"/>
  <c r="H166" i="16"/>
  <c r="I166" i="16" s="1"/>
  <c r="J159" i="16"/>
  <c r="O144" i="16"/>
  <c r="L130" i="16"/>
  <c r="K103" i="16"/>
  <c r="H75" i="16"/>
  <c r="I75" i="16" s="1"/>
  <c r="K54" i="16"/>
  <c r="K47" i="16"/>
  <c r="L26" i="16"/>
  <c r="L3" i="16"/>
  <c r="H173" i="16"/>
  <c r="I173" i="16" s="1"/>
  <c r="O165" i="16"/>
  <c r="H159" i="16"/>
  <c r="I159" i="16" s="1"/>
  <c r="K151" i="16"/>
  <c r="N144" i="16"/>
  <c r="K130" i="16"/>
  <c r="O115" i="16"/>
  <c r="J103" i="16"/>
  <c r="O74" i="16"/>
  <c r="H53" i="16"/>
  <c r="I53" i="16" s="1"/>
  <c r="K26" i="16"/>
  <c r="K19" i="16"/>
  <c r="O179" i="16"/>
  <c r="N175" i="16"/>
  <c r="N172" i="16"/>
  <c r="M164" i="16"/>
  <c r="O161" i="16"/>
  <c r="N158" i="16"/>
  <c r="M150" i="16"/>
  <c r="N147" i="16"/>
  <c r="L144" i="16"/>
  <c r="J136" i="16"/>
  <c r="N132" i="16"/>
  <c r="H130" i="16"/>
  <c r="I130" i="16" s="1"/>
  <c r="N117" i="16"/>
  <c r="H110" i="16"/>
  <c r="I110" i="16" s="1"/>
  <c r="N102" i="16"/>
  <c r="K94" i="16"/>
  <c r="K91" i="16"/>
  <c r="K63" i="16"/>
  <c r="M52" i="16"/>
  <c r="O46" i="16"/>
  <c r="L24" i="16"/>
  <c r="O18" i="16"/>
  <c r="N8" i="16"/>
  <c r="T8" i="16" s="1"/>
  <c r="O8" i="16"/>
  <c r="R8" i="16"/>
  <c r="H8" i="16"/>
  <c r="I8" i="16" s="1"/>
  <c r="H116" i="16"/>
  <c r="I116" i="16" s="1"/>
  <c r="L179" i="16"/>
  <c r="M172" i="16"/>
  <c r="M158" i="16"/>
  <c r="O129" i="16"/>
  <c r="M117" i="16"/>
  <c r="K109" i="16"/>
  <c r="M102" i="16"/>
  <c r="H89" i="16"/>
  <c r="I89" i="16" s="1"/>
  <c r="N46" i="16"/>
  <c r="N18" i="16"/>
  <c r="L117" i="16"/>
  <c r="N131" i="16"/>
  <c r="J117" i="16"/>
  <c r="M82" i="16"/>
  <c r="H174" i="16"/>
  <c r="I174" i="16" s="1"/>
  <c r="N171" i="16"/>
  <c r="N159" i="16"/>
  <c r="N157" i="16"/>
  <c r="M145" i="16"/>
  <c r="J138" i="16"/>
  <c r="H131" i="16"/>
  <c r="I131" i="16" s="1"/>
  <c r="N123" i="16"/>
  <c r="O119" i="16"/>
  <c r="M116" i="16"/>
  <c r="O103" i="16"/>
  <c r="N101" i="16"/>
  <c r="M80" i="16"/>
  <c r="O77" i="16"/>
  <c r="O54" i="16"/>
  <c r="K38" i="16"/>
  <c r="O32" i="16"/>
  <c r="N10" i="16"/>
  <c r="H4" i="16"/>
  <c r="I4" i="16" s="1"/>
  <c r="O145" i="16"/>
  <c r="M131" i="16"/>
  <c r="H102" i="16"/>
  <c r="I102" i="16" s="1"/>
  <c r="O60" i="16"/>
  <c r="O171" i="16"/>
  <c r="O159" i="16"/>
  <c r="O157" i="16"/>
  <c r="L131" i="16"/>
  <c r="O123" i="16"/>
  <c r="N116" i="16"/>
  <c r="O101" i="16"/>
  <c r="N60" i="16"/>
  <c r="O173" i="16"/>
  <c r="M159" i="16"/>
  <c r="H156" i="16"/>
  <c r="I156" i="16" s="1"/>
  <c r="K145" i="16"/>
  <c r="H138" i="16"/>
  <c r="I138" i="16" s="1"/>
  <c r="O130" i="16"/>
  <c r="M122" i="16"/>
  <c r="N119" i="16"/>
  <c r="L116" i="16"/>
  <c r="N103" i="16"/>
  <c r="M101" i="16"/>
  <c r="L80" i="16"/>
  <c r="N76" i="16"/>
  <c r="N54" i="16"/>
  <c r="N32" i="16"/>
  <c r="N4" i="16"/>
  <c r="O116" i="16"/>
  <c r="N145" i="16"/>
  <c r="K33" i="16"/>
  <c r="N173" i="16"/>
  <c r="N151" i="16"/>
  <c r="J145" i="16"/>
  <c r="O137" i="16"/>
  <c r="J122" i="16"/>
  <c r="M119" i="16"/>
  <c r="K95" i="16"/>
  <c r="K80" i="16"/>
  <c r="K75" i="16"/>
  <c r="M54" i="16"/>
  <c r="N26" i="16"/>
  <c r="L21" i="16"/>
  <c r="W44" i="17"/>
  <c r="Y15" i="17" a="1"/>
  <c r="Y15" i="17" s="1"/>
  <c r="V44" i="17"/>
  <c r="X15" i="17" a="1"/>
  <c r="X15" i="17" s="1"/>
  <c r="Q44" i="17"/>
  <c r="P44" i="17"/>
  <c r="K190" i="17"/>
  <c r="U190" i="17" s="1"/>
  <c r="K191" i="17"/>
  <c r="U191" i="17" s="1"/>
  <c r="K170" i="16"/>
  <c r="H170" i="16"/>
  <c r="I170" i="16" s="1"/>
  <c r="J170" i="16"/>
  <c r="K142" i="16"/>
  <c r="H142" i="16"/>
  <c r="I142" i="16" s="1"/>
  <c r="J142" i="16"/>
  <c r="K128" i="16"/>
  <c r="H128" i="16"/>
  <c r="I128" i="16" s="1"/>
  <c r="J128" i="16"/>
  <c r="H86" i="16"/>
  <c r="I86" i="16" s="1"/>
  <c r="N86" i="16"/>
  <c r="H58" i="16"/>
  <c r="I58" i="16" s="1"/>
  <c r="N58" i="16"/>
  <c r="H16" i="16"/>
  <c r="I16" i="16" s="1"/>
  <c r="N16" i="16"/>
  <c r="O16" i="16"/>
  <c r="J168" i="16"/>
  <c r="J156" i="16"/>
  <c r="L70" i="16"/>
  <c r="N155" i="16"/>
  <c r="O155" i="16"/>
  <c r="N141" i="16"/>
  <c r="O141" i="16"/>
  <c r="K127" i="16"/>
  <c r="O127" i="16"/>
  <c r="O99" i="16"/>
  <c r="L99" i="16"/>
  <c r="M99" i="16"/>
  <c r="L85" i="16"/>
  <c r="K85" i="16"/>
  <c r="O85" i="16"/>
  <c r="L57" i="16"/>
  <c r="O57" i="16"/>
  <c r="K57" i="16"/>
  <c r="L29" i="16"/>
  <c r="K29" i="16"/>
  <c r="K140" i="16"/>
  <c r="H140" i="16"/>
  <c r="I140" i="16" s="1"/>
  <c r="J140" i="16"/>
  <c r="H70" i="16"/>
  <c r="I70" i="16" s="1"/>
  <c r="N113" i="16"/>
  <c r="J29" i="16"/>
  <c r="H114" i="16"/>
  <c r="I114" i="16" s="1"/>
  <c r="H112" i="16"/>
  <c r="I112" i="16" s="1"/>
  <c r="K154" i="16"/>
  <c r="H154" i="16"/>
  <c r="I154" i="16" s="1"/>
  <c r="J154" i="16"/>
  <c r="K126" i="16"/>
  <c r="J126" i="16"/>
  <c r="J42" i="16"/>
  <c r="L42" i="16"/>
  <c r="N99" i="16"/>
  <c r="O113" i="16"/>
  <c r="N167" i="16"/>
  <c r="L125" i="16"/>
  <c r="O111" i="16"/>
  <c r="J92" i="16"/>
  <c r="N69" i="16"/>
  <c r="O50" i="16"/>
  <c r="O22" i="16"/>
  <c r="M167" i="16"/>
  <c r="K148" i="16"/>
  <c r="O134" i="16"/>
  <c r="L124" i="16"/>
  <c r="N111" i="16"/>
  <c r="N105" i="16"/>
  <c r="N97" i="16"/>
  <c r="H92" i="16"/>
  <c r="I92" i="16" s="1"/>
  <c r="N77" i="16"/>
  <c r="K69" i="16"/>
  <c r="N50" i="16"/>
  <c r="K35" i="16"/>
  <c r="J26" i="16"/>
  <c r="N22" i="16"/>
  <c r="N179" i="16"/>
  <c r="L167" i="16"/>
  <c r="M161" i="16"/>
  <c r="J148" i="16"/>
  <c r="L137" i="16"/>
  <c r="N134" i="16"/>
  <c r="J124" i="16"/>
  <c r="L119" i="16"/>
  <c r="M111" i="16"/>
  <c r="M105" i="16"/>
  <c r="M97" i="16"/>
  <c r="N91" i="16"/>
  <c r="H83" i="16"/>
  <c r="I83" i="16" s="1"/>
  <c r="K77" i="16"/>
  <c r="H68" i="16"/>
  <c r="I68" i="16" s="1"/>
  <c r="M50" i="16"/>
  <c r="J35" i="16"/>
  <c r="H26" i="16"/>
  <c r="I26" i="16" s="1"/>
  <c r="M22" i="16"/>
  <c r="M179" i="16"/>
  <c r="O176" i="16"/>
  <c r="M174" i="16"/>
  <c r="J166" i="16"/>
  <c r="L161" i="16"/>
  <c r="O153" i="16"/>
  <c r="H150" i="16"/>
  <c r="I150" i="16" s="1"/>
  <c r="K137" i="16"/>
  <c r="M134" i="16"/>
  <c r="H132" i="16"/>
  <c r="I132" i="16" s="1"/>
  <c r="H124" i="16"/>
  <c r="I124" i="16" s="1"/>
  <c r="K119" i="16"/>
  <c r="L111" i="16"/>
  <c r="L105" i="16"/>
  <c r="L97" i="16"/>
  <c r="M91" i="16"/>
  <c r="O82" i="16"/>
  <c r="J77" i="16"/>
  <c r="O67" i="16"/>
  <c r="O64" i="16"/>
  <c r="H61" i="16"/>
  <c r="I61" i="16" s="1"/>
  <c r="N52" i="16"/>
  <c r="L50" i="16"/>
  <c r="O41" i="16"/>
  <c r="H35" i="16"/>
  <c r="I35" i="16" s="1"/>
  <c r="O25" i="16"/>
  <c r="L22" i="16"/>
  <c r="J22" i="16"/>
  <c r="L67" i="16"/>
  <c r="K64" i="16"/>
  <c r="H50" i="16"/>
  <c r="I50" i="16" s="1"/>
  <c r="K13" i="16"/>
  <c r="N6" i="16"/>
  <c r="O13" i="16"/>
  <c r="M153" i="16"/>
  <c r="J97" i="16"/>
  <c r="L64" i="16"/>
  <c r="N165" i="16"/>
  <c r="L153" i="16"/>
  <c r="J178" i="16"/>
  <c r="J176" i="16"/>
  <c r="M173" i="16"/>
  <c r="L165" i="16"/>
  <c r="N162" i="16"/>
  <c r="J160" i="16"/>
  <c r="H152" i="16"/>
  <c r="I152" i="16" s="1"/>
  <c r="K147" i="16"/>
  <c r="N139" i="16"/>
  <c r="O133" i="16"/>
  <c r="K131" i="16"/>
  <c r="K123" i="16"/>
  <c r="M120" i="16"/>
  <c r="H118" i="16"/>
  <c r="I118" i="16" s="1"/>
  <c r="M109" i="16"/>
  <c r="N106" i="16"/>
  <c r="L104" i="16"/>
  <c r="M95" i="16"/>
  <c r="O90" i="16"/>
  <c r="H81" i="16"/>
  <c r="I81" i="16" s="1"/>
  <c r="N78" i="16"/>
  <c r="J67" i="16"/>
  <c r="H64" i="16"/>
  <c r="I64" i="16" s="1"/>
  <c r="K49" i="16"/>
  <c r="M39" i="16"/>
  <c r="N36" i="16"/>
  <c r="H24" i="16"/>
  <c r="I24" i="16" s="1"/>
  <c r="N21" i="16"/>
  <c r="H13" i="16"/>
  <c r="I13" i="16" s="1"/>
  <c r="N153" i="16"/>
  <c r="K111" i="16"/>
  <c r="K97" i="16"/>
  <c r="K41" i="16"/>
  <c r="M176" i="16"/>
  <c r="K134" i="16"/>
  <c r="J41" i="16"/>
  <c r="L176" i="16"/>
  <c r="M147" i="16"/>
  <c r="J134" i="16"/>
  <c r="M123" i="16"/>
  <c r="O120" i="16"/>
  <c r="O109" i="16"/>
  <c r="H97" i="16"/>
  <c r="I97" i="16" s="1"/>
  <c r="J91" i="16"/>
  <c r="L82" i="16"/>
  <c r="O39" i="16"/>
  <c r="K176" i="16"/>
  <c r="M165" i="16"/>
  <c r="O162" i="16"/>
  <c r="J152" i="16"/>
  <c r="L147" i="16"/>
  <c r="O139" i="16"/>
  <c r="L123" i="16"/>
  <c r="N120" i="16"/>
  <c r="N109" i="16"/>
  <c r="N95" i="16"/>
  <c r="H91" i="16"/>
  <c r="I91" i="16" s="1"/>
  <c r="K82" i="16"/>
  <c r="O78" i="16"/>
  <c r="K67" i="16"/>
  <c r="J64" i="16"/>
  <c r="O49" i="16"/>
  <c r="N39" i="16"/>
  <c r="O36" i="16"/>
  <c r="O21" i="16"/>
  <c r="J13" i="16"/>
  <c r="H178" i="16"/>
  <c r="I178" i="16" s="1"/>
  <c r="K165" i="16"/>
  <c r="H160" i="16"/>
  <c r="I160" i="16" s="1"/>
  <c r="O151" i="16"/>
  <c r="J147" i="16"/>
  <c r="M139" i="16"/>
  <c r="N133" i="16"/>
  <c r="N122" i="16"/>
  <c r="O117" i="16"/>
  <c r="L109" i="16"/>
  <c r="M106" i="16"/>
  <c r="H104" i="16"/>
  <c r="I104" i="16" s="1"/>
  <c r="L95" i="16"/>
  <c r="N90" i="16"/>
  <c r="M66" i="16"/>
  <c r="N63" i="16"/>
  <c r="H55" i="16"/>
  <c r="I55" i="16" s="1"/>
  <c r="J49" i="16"/>
  <c r="M36" i="16"/>
  <c r="M21" i="16"/>
  <c r="O12" i="16"/>
  <c r="R18" i="4"/>
  <c r="S18" i="4"/>
  <c r="A17" i="4"/>
  <c r="U16" i="17" a="1"/>
  <c r="U16" i="17" s="1"/>
  <c r="K15" i="17"/>
  <c r="K44" i="17" s="1"/>
  <c r="H44" i="17"/>
  <c r="U15" i="17" a="1"/>
  <c r="U15" i="17" s="1"/>
  <c r="E5" i="6" a="1"/>
  <c r="E5" i="6" s="1"/>
  <c r="I5" i="6" s="1"/>
  <c r="E13" i="6" a="1"/>
  <c r="E13" i="6" s="1"/>
  <c r="I13" i="6" s="1"/>
  <c r="M42" i="16"/>
  <c r="O29" i="16"/>
  <c r="L169" i="16"/>
  <c r="N28" i="16"/>
  <c r="O15" i="16"/>
  <c r="J179" i="16"/>
  <c r="J171" i="16"/>
  <c r="J169" i="16"/>
  <c r="J167" i="16"/>
  <c r="J165" i="16"/>
  <c r="J157" i="16"/>
  <c r="J155" i="16"/>
  <c r="J153" i="16"/>
  <c r="J151" i="16"/>
  <c r="J143" i="16"/>
  <c r="J141" i="16"/>
  <c r="J139" i="16"/>
  <c r="J137" i="16"/>
  <c r="J129" i="16"/>
  <c r="J127" i="16"/>
  <c r="J125" i="16"/>
  <c r="J123" i="16"/>
  <c r="H115" i="16"/>
  <c r="I115" i="16" s="1"/>
  <c r="H113" i="16"/>
  <c r="I113" i="16" s="1"/>
  <c r="H111" i="16"/>
  <c r="I111" i="16" s="1"/>
  <c r="N100" i="16"/>
  <c r="N98" i="16"/>
  <c r="N96" i="16"/>
  <c r="M84" i="16"/>
  <c r="H82" i="16"/>
  <c r="I82" i="16" s="1"/>
  <c r="N72" i="16"/>
  <c r="H69" i="16"/>
  <c r="I69" i="16" s="1"/>
  <c r="M56" i="16"/>
  <c r="H54" i="16"/>
  <c r="I54" i="16" s="1"/>
  <c r="N49" i="16"/>
  <c r="N44" i="16"/>
  <c r="O40" i="16"/>
  <c r="L28" i="16"/>
  <c r="N25" i="16"/>
  <c r="K21" i="16"/>
  <c r="J15" i="16"/>
  <c r="L12" i="16"/>
  <c r="H169" i="16"/>
  <c r="I169" i="16" s="1"/>
  <c r="H167" i="16"/>
  <c r="I167" i="16" s="1"/>
  <c r="H157" i="16"/>
  <c r="I157" i="16" s="1"/>
  <c r="H125" i="16"/>
  <c r="I125" i="16" s="1"/>
  <c r="O114" i="16"/>
  <c r="O112" i="16"/>
  <c r="O110" i="16"/>
  <c r="O108" i="16"/>
  <c r="O104" i="16"/>
  <c r="M100" i="16"/>
  <c r="M98" i="16"/>
  <c r="M96" i="16"/>
  <c r="M94" i="16"/>
  <c r="K89" i="16"/>
  <c r="L84" i="16"/>
  <c r="O81" i="16"/>
  <c r="M77" i="16"/>
  <c r="O71" i="16"/>
  <c r="O68" i="16"/>
  <c r="O66" i="16"/>
  <c r="K61" i="16"/>
  <c r="L56" i="16"/>
  <c r="O53" i="16"/>
  <c r="M49" i="16"/>
  <c r="O43" i="16"/>
  <c r="N40" i="16"/>
  <c r="N38" i="16"/>
  <c r="J33" i="16"/>
  <c r="H28" i="16"/>
  <c r="I28" i="16" s="1"/>
  <c r="M25" i="16"/>
  <c r="J21" i="16"/>
  <c r="H15" i="16"/>
  <c r="I15" i="16" s="1"/>
  <c r="K12" i="16"/>
  <c r="O7" i="16"/>
  <c r="M28" i="16"/>
  <c r="H171" i="16"/>
  <c r="I171" i="16" s="1"/>
  <c r="H155" i="16"/>
  <c r="I155" i="16" s="1"/>
  <c r="H153" i="16"/>
  <c r="I153" i="16" s="1"/>
  <c r="H143" i="16"/>
  <c r="I143" i="16" s="1"/>
  <c r="H141" i="16"/>
  <c r="I141" i="16" s="1"/>
  <c r="H139" i="16"/>
  <c r="I139" i="16" s="1"/>
  <c r="H129" i="16"/>
  <c r="I129" i="16" s="1"/>
  <c r="H127" i="16"/>
  <c r="I127" i="16" s="1"/>
  <c r="O178" i="16"/>
  <c r="O174" i="16"/>
  <c r="O170" i="16"/>
  <c r="O168" i="16"/>
  <c r="O166" i="16"/>
  <c r="O164" i="16"/>
  <c r="O160" i="16"/>
  <c r="O156" i="16"/>
  <c r="O154" i="16"/>
  <c r="O152" i="16"/>
  <c r="O150" i="16"/>
  <c r="O146" i="16"/>
  <c r="O142" i="16"/>
  <c r="O140" i="16"/>
  <c r="O138" i="16"/>
  <c r="O136" i="16"/>
  <c r="O132" i="16"/>
  <c r="O128" i="16"/>
  <c r="O126" i="16"/>
  <c r="O124" i="16"/>
  <c r="O122" i="16"/>
  <c r="O118" i="16"/>
  <c r="N114" i="16"/>
  <c r="N112" i="16"/>
  <c r="N110" i="16"/>
  <c r="N108" i="16"/>
  <c r="N104" i="16"/>
  <c r="L100" i="16"/>
  <c r="L98" i="16"/>
  <c r="L96" i="16"/>
  <c r="L94" i="16"/>
  <c r="J89" i="16"/>
  <c r="H84" i="16"/>
  <c r="I84" i="16" s="1"/>
  <c r="N81" i="16"/>
  <c r="L77" i="16"/>
  <c r="K71" i="16"/>
  <c r="N68" i="16"/>
  <c r="N66" i="16"/>
  <c r="J61" i="16"/>
  <c r="H56" i="16"/>
  <c r="I56" i="16" s="1"/>
  <c r="N53" i="16"/>
  <c r="L49" i="16"/>
  <c r="K43" i="16"/>
  <c r="M40" i="16"/>
  <c r="M38" i="16"/>
  <c r="H33" i="16"/>
  <c r="I33" i="16" s="1"/>
  <c r="O27" i="16"/>
  <c r="K25" i="16"/>
  <c r="O14" i="16"/>
  <c r="J12" i="16"/>
  <c r="N7" i="16"/>
  <c r="H42" i="16"/>
  <c r="I42" i="16" s="1"/>
  <c r="N169" i="16"/>
  <c r="N127" i="16"/>
  <c r="H29" i="16"/>
  <c r="I29" i="16" s="1"/>
  <c r="M171" i="16"/>
  <c r="M169" i="16"/>
  <c r="M157" i="16"/>
  <c r="M155" i="16"/>
  <c r="M143" i="16"/>
  <c r="M141" i="16"/>
  <c r="M129" i="16"/>
  <c r="M127" i="16"/>
  <c r="M115" i="16"/>
  <c r="L113" i="16"/>
  <c r="L101" i="16"/>
  <c r="J99" i="16"/>
  <c r="H85" i="16"/>
  <c r="I85" i="16" s="1"/>
  <c r="H57" i="16"/>
  <c r="I57" i="16" s="1"/>
  <c r="O28" i="16"/>
  <c r="L171" i="16"/>
  <c r="L155" i="16"/>
  <c r="L141" i="16"/>
  <c r="L129" i="16"/>
  <c r="L127" i="16"/>
  <c r="L115" i="16"/>
  <c r="K113" i="16"/>
  <c r="J101" i="16"/>
  <c r="O84" i="16"/>
  <c r="O56" i="16"/>
  <c r="K157" i="16"/>
  <c r="K155" i="16"/>
  <c r="K143" i="16"/>
  <c r="K141" i="16"/>
  <c r="J115" i="16"/>
  <c r="J113" i="16"/>
  <c r="O98" i="16"/>
  <c r="O96" i="16"/>
  <c r="N84" i="16"/>
  <c r="O72" i="16"/>
  <c r="N56" i="16"/>
  <c r="O44" i="16"/>
  <c r="H41" i="16"/>
  <c r="I41" i="16" s="1"/>
  <c r="K15" i="16"/>
  <c r="M12" i="16"/>
  <c r="N170" i="16"/>
  <c r="N168" i="16"/>
  <c r="N166" i="16"/>
  <c r="N156" i="16"/>
  <c r="N152" i="16"/>
  <c r="N142" i="16"/>
  <c r="N140" i="16"/>
  <c r="N138" i="16"/>
  <c r="N128" i="16"/>
  <c r="N126" i="16"/>
  <c r="N124" i="16"/>
  <c r="M114" i="16"/>
  <c r="M112" i="16"/>
  <c r="M110" i="16"/>
  <c r="K100" i="16"/>
  <c r="K98" i="16"/>
  <c r="K96" i="16"/>
  <c r="O83" i="16"/>
  <c r="M81" i="16"/>
  <c r="J71" i="16"/>
  <c r="M68" i="16"/>
  <c r="O55" i="16"/>
  <c r="M53" i="16"/>
  <c r="J43" i="16"/>
  <c r="L40" i="16"/>
  <c r="K27" i="16"/>
  <c r="J25" i="16"/>
  <c r="N14" i="16"/>
  <c r="K99" i="16"/>
  <c r="J85" i="16"/>
  <c r="J57" i="16"/>
  <c r="H99" i="16"/>
  <c r="I99" i="16" s="1"/>
  <c r="O100" i="16"/>
  <c r="J69" i="16"/>
  <c r="N154" i="16"/>
  <c r="M170" i="16"/>
  <c r="M168" i="16"/>
  <c r="M166" i="16"/>
  <c r="M156" i="16"/>
  <c r="M154" i="16"/>
  <c r="M152" i="16"/>
  <c r="M142" i="16"/>
  <c r="M140" i="16"/>
  <c r="M138" i="16"/>
  <c r="M128" i="16"/>
  <c r="M126" i="16"/>
  <c r="M124" i="16"/>
  <c r="L114" i="16"/>
  <c r="L112" i="16"/>
  <c r="L110" i="16"/>
  <c r="J100" i="16"/>
  <c r="J98" i="16"/>
  <c r="J96" i="16"/>
  <c r="N83" i="16"/>
  <c r="L81" i="16"/>
  <c r="H71" i="16"/>
  <c r="I71" i="16" s="1"/>
  <c r="L68" i="16"/>
  <c r="N55" i="16"/>
  <c r="L53" i="16"/>
  <c r="H43" i="16"/>
  <c r="I43" i="16" s="1"/>
  <c r="K40" i="16"/>
  <c r="J27" i="16"/>
  <c r="H25" i="16"/>
  <c r="I25" i="16" s="1"/>
  <c r="M14" i="16"/>
  <c r="O11" i="16"/>
  <c r="L178" i="16"/>
  <c r="L174" i="16"/>
  <c r="L170" i="16"/>
  <c r="L168" i="16"/>
  <c r="L166" i="16"/>
  <c r="L164" i="16"/>
  <c r="L160" i="16"/>
  <c r="L156" i="16"/>
  <c r="L154" i="16"/>
  <c r="L152" i="16"/>
  <c r="L150" i="16"/>
  <c r="L146" i="16"/>
  <c r="L142" i="16"/>
  <c r="L140" i="16"/>
  <c r="L138" i="16"/>
  <c r="L136" i="16"/>
  <c r="L132" i="16"/>
  <c r="L128" i="16"/>
  <c r="L126" i="16"/>
  <c r="L122" i="16"/>
  <c r="L118" i="16"/>
  <c r="K114" i="16"/>
  <c r="K112" i="16"/>
  <c r="K110" i="16"/>
  <c r="K108" i="16"/>
  <c r="K104" i="16"/>
  <c r="K83" i="16"/>
  <c r="K81" i="16"/>
  <c r="O70" i="16"/>
  <c r="K68" i="16"/>
  <c r="K66" i="16"/>
  <c r="K55" i="16"/>
  <c r="K53" i="16"/>
  <c r="O42" i="16"/>
  <c r="J40" i="16"/>
  <c r="J38" i="16"/>
  <c r="O35" i="16"/>
  <c r="O30" i="16"/>
  <c r="H27" i="16"/>
  <c r="I27" i="16" s="1"/>
  <c r="O24" i="16"/>
  <c r="L14" i="16"/>
  <c r="N11" i="16"/>
  <c r="K3" i="16"/>
  <c r="O86" i="16"/>
  <c r="J83" i="16"/>
  <c r="O76" i="16"/>
  <c r="N70" i="16"/>
  <c r="O58" i="16"/>
  <c r="J55" i="16"/>
  <c r="O48" i="16"/>
  <c r="N42" i="16"/>
  <c r="N30" i="16"/>
  <c r="J19" i="16"/>
  <c r="H14" i="16"/>
  <c r="I14" i="16" s="1"/>
  <c r="M11" i="16"/>
  <c r="A16" i="4"/>
  <c r="A15" i="4"/>
  <c r="A7" i="13"/>
  <c r="K5" i="6"/>
  <c r="E11" i="6" a="1"/>
  <c r="E11" i="6" s="1"/>
  <c r="I11" i="6" s="1"/>
  <c r="E18" i="6" a="1"/>
  <c r="E18" i="6" s="1"/>
  <c r="I18" i="6" s="1"/>
  <c r="L18" i="6"/>
  <c r="L11" i="6"/>
  <c r="A8" i="4"/>
  <c r="F18" i="6" a="1"/>
  <c r="F18" i="6" s="1"/>
  <c r="J18" i="6" s="1"/>
  <c r="K18" i="6"/>
  <c r="K11" i="6"/>
  <c r="A7" i="4"/>
  <c r="E19" i="6" a="1"/>
  <c r="E19" i="6" s="1"/>
  <c r="I19" i="6" s="1"/>
  <c r="L17" i="6"/>
  <c r="L10" i="6"/>
  <c r="A6" i="4"/>
  <c r="F19" i="6" a="1"/>
  <c r="F19" i="6" s="1"/>
  <c r="J19" i="6" s="1"/>
  <c r="K17" i="6"/>
  <c r="K10" i="6"/>
  <c r="A5" i="4"/>
  <c r="E20" i="6" a="1"/>
  <c r="E20" i="6" s="1"/>
  <c r="I20" i="6" s="1"/>
  <c r="L16" i="6"/>
  <c r="L9" i="6"/>
  <c r="A4" i="4"/>
  <c r="F6" i="6" a="1"/>
  <c r="F6" i="6" s="1"/>
  <c r="J6" i="6" s="1"/>
  <c r="F13" i="6" a="1"/>
  <c r="F13" i="6" s="1"/>
  <c r="J13" i="6" s="1"/>
  <c r="F20" i="6" a="1"/>
  <c r="F20" i="6" s="1"/>
  <c r="J20" i="6" s="1"/>
  <c r="K16" i="6"/>
  <c r="K9" i="6"/>
  <c r="E7" i="6" a="1"/>
  <c r="E7" i="6" s="1"/>
  <c r="I7" i="6" s="1"/>
  <c r="E14" i="6" a="1"/>
  <c r="E14" i="6" s="1"/>
  <c r="E21" i="6" a="1"/>
  <c r="E21" i="6" s="1"/>
  <c r="I21" i="6" s="1"/>
  <c r="L15" i="6"/>
  <c r="L8" i="6"/>
  <c r="F21" i="6" a="1"/>
  <c r="F21" i="6" s="1"/>
  <c r="J21" i="6" s="1"/>
  <c r="K15" i="6"/>
  <c r="K8" i="6"/>
  <c r="E8" i="6" a="1"/>
  <c r="E8" i="6" s="1"/>
  <c r="E15" i="6" a="1"/>
  <c r="E15" i="6" s="1"/>
  <c r="I15" i="6" s="1"/>
  <c r="L21" i="6"/>
  <c r="L14" i="6"/>
  <c r="L7" i="6"/>
  <c r="A14" i="4"/>
  <c r="F5" i="6" a="1"/>
  <c r="F5" i="6" s="1"/>
  <c r="J5" i="6" s="1"/>
  <c r="F14" i="6" a="1"/>
  <c r="F14" i="6" s="1"/>
  <c r="F8" i="6" a="1"/>
  <c r="F8" i="6" s="1"/>
  <c r="F15" i="6" a="1"/>
  <c r="F15" i="6" s="1"/>
  <c r="J15" i="6" s="1"/>
  <c r="K21" i="6"/>
  <c r="K14" i="6"/>
  <c r="K7" i="6"/>
  <c r="A13" i="4"/>
  <c r="E16" i="6" a="1"/>
  <c r="E16" i="6" s="1"/>
  <c r="I16" i="6" s="1"/>
  <c r="L20" i="6"/>
  <c r="L13" i="6"/>
  <c r="L6" i="6"/>
  <c r="A12" i="4"/>
  <c r="E6" i="6" a="1"/>
  <c r="E6" i="6" s="1"/>
  <c r="I6" i="6" s="1"/>
  <c r="F7" i="6" a="1"/>
  <c r="F7" i="6" s="1"/>
  <c r="J7" i="6" s="1"/>
  <c r="U13" i="17" a="1"/>
  <c r="U13" i="17" s="1"/>
  <c r="F9" i="6" a="1"/>
  <c r="F9" i="6" s="1"/>
  <c r="J9" i="6" s="1"/>
  <c r="F16" i="6" a="1"/>
  <c r="F16" i="6" s="1"/>
  <c r="J16" i="6" s="1"/>
  <c r="K20" i="6"/>
  <c r="K13" i="6"/>
  <c r="K6" i="6"/>
  <c r="A11" i="4"/>
  <c r="E10" i="6" a="1"/>
  <c r="E10" i="6" s="1"/>
  <c r="I10" i="6" s="1"/>
  <c r="E17" i="6" a="1"/>
  <c r="E17" i="6" s="1"/>
  <c r="I17" i="6" s="1"/>
  <c r="L19" i="6"/>
  <c r="L12" i="6"/>
  <c r="L5" i="6"/>
  <c r="A10" i="4"/>
  <c r="K19" i="6"/>
  <c r="K12" i="6"/>
  <c r="A9" i="4"/>
  <c r="M90" i="16"/>
  <c r="M88" i="16"/>
  <c r="M86" i="16"/>
  <c r="M76" i="16"/>
  <c r="M74" i="16"/>
  <c r="M72" i="16"/>
  <c r="M62" i="16"/>
  <c r="M60" i="16"/>
  <c r="M58" i="16"/>
  <c r="M48" i="16"/>
  <c r="M46" i="16"/>
  <c r="M44" i="16"/>
  <c r="M34" i="16"/>
  <c r="M32" i="16"/>
  <c r="M30" i="16"/>
  <c r="M20" i="16"/>
  <c r="M18" i="16"/>
  <c r="M16" i="16"/>
  <c r="L90" i="16"/>
  <c r="L88" i="16"/>
  <c r="L86" i="16"/>
  <c r="L76" i="16"/>
  <c r="L74" i="16"/>
  <c r="L72" i="16"/>
  <c r="L62" i="16"/>
  <c r="L60" i="16"/>
  <c r="L58" i="16"/>
  <c r="L48" i="16"/>
  <c r="L46" i="16"/>
  <c r="L44" i="16"/>
  <c r="L34" i="16"/>
  <c r="L32" i="16"/>
  <c r="L30" i="16"/>
  <c r="L20" i="16"/>
  <c r="L18" i="16"/>
  <c r="L16" i="16"/>
  <c r="K90" i="16"/>
  <c r="K88" i="16"/>
  <c r="K86" i="16"/>
  <c r="K84" i="16"/>
  <c r="K76" i="16"/>
  <c r="K74" i="16"/>
  <c r="K72" i="16"/>
  <c r="K70" i="16"/>
  <c r="K62" i="16"/>
  <c r="K60" i="16"/>
  <c r="K58" i="16"/>
  <c r="K56" i="16"/>
  <c r="K48" i="16"/>
  <c r="K46" i="16"/>
  <c r="K44" i="16"/>
  <c r="K42" i="16"/>
  <c r="K34" i="16"/>
  <c r="K32" i="16"/>
  <c r="K30" i="16"/>
  <c r="K28" i="16"/>
  <c r="K20" i="16"/>
  <c r="K18" i="16"/>
  <c r="K16" i="16"/>
  <c r="K14" i="16"/>
  <c r="J90" i="16"/>
  <c r="J88" i="16"/>
  <c r="J86" i="16"/>
  <c r="J76" i="16"/>
  <c r="J74" i="16"/>
  <c r="J72" i="16"/>
  <c r="J62" i="16"/>
  <c r="J60" i="16"/>
  <c r="J58" i="16"/>
  <c r="J48" i="16"/>
  <c r="J46" i="16"/>
  <c r="J44" i="16"/>
  <c r="J34" i="16"/>
  <c r="J32" i="16"/>
  <c r="J30" i="16"/>
  <c r="J20" i="16"/>
  <c r="J18" i="16"/>
  <c r="J16" i="16"/>
  <c r="O5" i="16"/>
  <c r="N5" i="16"/>
  <c r="O89" i="16"/>
  <c r="O87" i="16"/>
  <c r="O75" i="16"/>
  <c r="O73" i="16"/>
  <c r="O61" i="16"/>
  <c r="O59" i="16"/>
  <c r="O47" i="16"/>
  <c r="O45" i="16"/>
  <c r="O33" i="16"/>
  <c r="O31" i="16"/>
  <c r="O19" i="16"/>
  <c r="O17" i="16"/>
  <c r="N89" i="16"/>
  <c r="N87" i="16"/>
  <c r="N85" i="16"/>
  <c r="N75" i="16"/>
  <c r="N73" i="16"/>
  <c r="N71" i="16"/>
  <c r="N61" i="16"/>
  <c r="N59" i="16"/>
  <c r="N57" i="16"/>
  <c r="N47" i="16"/>
  <c r="N45" i="16"/>
  <c r="N43" i="16"/>
  <c r="N41" i="16"/>
  <c r="N33" i="16"/>
  <c r="N31" i="16"/>
  <c r="N29" i="16"/>
  <c r="N27" i="16"/>
  <c r="N19" i="16"/>
  <c r="N17" i="16"/>
  <c r="N15" i="16"/>
  <c r="N13" i="16"/>
  <c r="M89" i="16"/>
  <c r="M87" i="16"/>
  <c r="M85" i="16"/>
  <c r="M83" i="16"/>
  <c r="M79" i="16"/>
  <c r="M75" i="16"/>
  <c r="M73" i="16"/>
  <c r="M71" i="16"/>
  <c r="M69" i="16"/>
  <c r="M65" i="16"/>
  <c r="M61" i="16"/>
  <c r="M59" i="16"/>
  <c r="M57" i="16"/>
  <c r="M55" i="16"/>
  <c r="M51" i="16"/>
  <c r="M47" i="16"/>
  <c r="M45" i="16"/>
  <c r="M43" i="16"/>
  <c r="M41" i="16"/>
  <c r="M37" i="16"/>
  <c r="M33" i="16"/>
  <c r="M31" i="16"/>
  <c r="M29" i="16"/>
  <c r="M27" i="16"/>
  <c r="M23" i="16"/>
  <c r="M19" i="16"/>
  <c r="M17" i="16"/>
  <c r="M15" i="16"/>
  <c r="M13" i="16"/>
  <c r="L87" i="16"/>
  <c r="L73" i="16"/>
  <c r="L59" i="16"/>
  <c r="L45" i="16"/>
  <c r="L31" i="16"/>
  <c r="L17" i="16"/>
  <c r="K101" i="16"/>
  <c r="K87" i="16"/>
  <c r="K73" i="16"/>
  <c r="K59" i="16"/>
  <c r="K45" i="16"/>
  <c r="K31" i="16"/>
  <c r="K17" i="16"/>
  <c r="J87" i="16"/>
  <c r="J73" i="16"/>
  <c r="J59" i="16"/>
  <c r="J45" i="16"/>
  <c r="J31" i="16"/>
  <c r="J17" i="16"/>
  <c r="J12" i="6"/>
  <c r="F4" i="6" a="1"/>
  <c r="F4" i="6" s="1"/>
  <c r="L4" i="6"/>
  <c r="E4" i="6" a="1"/>
  <c r="E4" i="6" s="1"/>
  <c r="K4" i="6"/>
  <c r="D4" i="6"/>
  <c r="I12" i="6"/>
  <c r="I9" i="6"/>
  <c r="D6" i="5"/>
  <c r="C6" i="5"/>
  <c r="U12" i="17" a="1"/>
  <c r="U12" i="17" s="1"/>
  <c r="U11" i="17" a="1"/>
  <c r="U11" i="17" s="1"/>
  <c r="U10" i="17" a="1"/>
  <c r="U10" i="17" s="1"/>
  <c r="U9" i="17" a="1"/>
  <c r="U9" i="17" s="1"/>
  <c r="U8" i="17" a="1"/>
  <c r="U8" i="17" s="1"/>
  <c r="U7" i="17" a="1"/>
  <c r="U7" i="17" s="1"/>
  <c r="W4" i="17"/>
  <c r="Y4" i="17" s="1" a="1"/>
  <c r="Y4" i="17" s="1"/>
  <c r="Q4" i="17"/>
  <c r="S4" i="17" s="1" a="1"/>
  <c r="S4" i="17" s="1"/>
  <c r="V4" i="17"/>
  <c r="X4" i="17" s="1" a="1"/>
  <c r="X4" i="17" s="1"/>
  <c r="P4" i="17"/>
  <c r="R4" i="17" s="1" a="1"/>
  <c r="R4" i="17" s="1"/>
  <c r="U5" i="17" a="1"/>
  <c r="U5" i="17" s="1"/>
  <c r="U4" i="17" a="1"/>
  <c r="U4" i="17" s="1"/>
  <c r="H4" i="17"/>
  <c r="J8" i="6" l="1"/>
  <c r="I8" i="6"/>
  <c r="Q9" i="4"/>
  <c r="O9" i="4"/>
  <c r="P9" i="4"/>
  <c r="N9" i="4"/>
  <c r="Q10" i="4"/>
  <c r="P10" i="4"/>
  <c r="O10" i="4"/>
  <c r="N10" i="4"/>
  <c r="P11" i="4"/>
  <c r="Q11" i="4"/>
  <c r="O11" i="4"/>
  <c r="N11" i="4"/>
  <c r="O12" i="4"/>
  <c r="N12" i="4"/>
  <c r="Q12" i="4"/>
  <c r="P12" i="4"/>
  <c r="Q13" i="4"/>
  <c r="O13" i="4"/>
  <c r="P13" i="4"/>
  <c r="N13" i="4"/>
  <c r="O14" i="4"/>
  <c r="N14" i="4"/>
  <c r="Q14" i="4"/>
  <c r="P14" i="4"/>
  <c r="P4" i="4"/>
  <c r="Q4" i="4"/>
  <c r="O4" i="4"/>
  <c r="N4" i="4"/>
  <c r="O5" i="4"/>
  <c r="N5" i="4"/>
  <c r="Q5" i="4"/>
  <c r="P5" i="4"/>
  <c r="Q6" i="4"/>
  <c r="O6" i="4"/>
  <c r="P6" i="4"/>
  <c r="N6" i="4"/>
  <c r="O7" i="4"/>
  <c r="N7" i="4"/>
  <c r="Q7" i="4"/>
  <c r="P7" i="4"/>
  <c r="Q8" i="4"/>
  <c r="P8" i="4"/>
  <c r="N8" i="4"/>
  <c r="O8" i="4"/>
  <c r="Q15" i="4"/>
  <c r="P15" i="4"/>
  <c r="N15" i="4"/>
  <c r="O15" i="4"/>
  <c r="Q16" i="4"/>
  <c r="P16" i="4"/>
  <c r="O16" i="4"/>
  <c r="N16" i="4"/>
  <c r="Q17" i="4"/>
  <c r="P17" i="4"/>
  <c r="O17" i="4"/>
  <c r="N17" i="4"/>
  <c r="O19" i="4"/>
  <c r="N19" i="4"/>
  <c r="Q19" i="4"/>
  <c r="P19" i="4"/>
  <c r="J10" i="6"/>
  <c r="J14" i="6"/>
  <c r="I14" i="6"/>
  <c r="J7" i="4"/>
  <c r="K7" i="4"/>
  <c r="M7" i="4" a="1"/>
  <c r="M7" i="4" s="1"/>
  <c r="J11" i="4"/>
  <c r="K11" i="4"/>
  <c r="M11" i="4" a="1"/>
  <c r="M11" i="4" s="1"/>
  <c r="J4" i="4"/>
  <c r="K4" i="4"/>
  <c r="M4" i="4" a="1"/>
  <c r="M4" i="4" s="1"/>
  <c r="J8" i="4"/>
  <c r="K8" i="4"/>
  <c r="M8" i="4" a="1"/>
  <c r="M8" i="4" s="1"/>
  <c r="M13" i="4" a="1"/>
  <c r="M13" i="4" s="1"/>
  <c r="J13" i="4"/>
  <c r="K13" i="4"/>
  <c r="J17" i="4"/>
  <c r="K17" i="4"/>
  <c r="M17" i="4" a="1"/>
  <c r="M17" i="4" s="1"/>
  <c r="K5" i="4"/>
  <c r="J5" i="4"/>
  <c r="M5" i="4" a="1"/>
  <c r="M5" i="4" s="1"/>
  <c r="K12" i="4"/>
  <c r="J12" i="4"/>
  <c r="M12" i="4" a="1"/>
  <c r="M12" i="4" s="1"/>
  <c r="J16" i="4"/>
  <c r="K16" i="4"/>
  <c r="M16" i="4" a="1"/>
  <c r="M16" i="4" s="1"/>
  <c r="J9" i="4"/>
  <c r="K9" i="4"/>
  <c r="M9" i="4" a="1"/>
  <c r="M9" i="4" s="1"/>
  <c r="J10" i="4"/>
  <c r="K10" i="4"/>
  <c r="M10" i="4" a="1"/>
  <c r="M10" i="4" s="1"/>
  <c r="M6" i="4" a="1"/>
  <c r="M6" i="4" s="1"/>
  <c r="J6" i="4"/>
  <c r="K6" i="4"/>
  <c r="K19" i="4"/>
  <c r="J19" i="4"/>
  <c r="M19" i="4" a="1"/>
  <c r="M19" i="4" s="1"/>
  <c r="J14" i="4"/>
  <c r="K14" i="4"/>
  <c r="M14" i="4" a="1"/>
  <c r="M14" i="4" s="1"/>
  <c r="M15" i="4" a="1"/>
  <c r="M15" i="4" s="1"/>
  <c r="J15" i="4"/>
  <c r="K15" i="4"/>
  <c r="AM4" i="21"/>
  <c r="AM2" i="21"/>
  <c r="AL4" i="21"/>
  <c r="AL2" i="21"/>
  <c r="AB4" i="21"/>
  <c r="AB2" i="21"/>
  <c r="AK4" i="21"/>
  <c r="AK2" i="21"/>
  <c r="AA4" i="21"/>
  <c r="AA2" i="21"/>
  <c r="Z4" i="21"/>
  <c r="Z2" i="21"/>
  <c r="AF4" i="21"/>
  <c r="AF2" i="21"/>
  <c r="AE4" i="21"/>
  <c r="AE2" i="21"/>
  <c r="AN4" i="21"/>
  <c r="AN2" i="21"/>
  <c r="AC4" i="21"/>
  <c r="AC2" i="21"/>
  <c r="AI4" i="21"/>
  <c r="AI2" i="21"/>
  <c r="X4" i="21"/>
  <c r="X2" i="21"/>
  <c r="AH4" i="21"/>
  <c r="AH2" i="21"/>
  <c r="Y4" i="21"/>
  <c r="Y2" i="21"/>
  <c r="W4" i="21"/>
  <c r="AO19" i="21" a="1"/>
  <c r="AO19" i="21" s="1"/>
  <c r="AO16" i="21" a="1"/>
  <c r="AO16" i="21" s="1"/>
  <c r="AO7" i="21" a="1"/>
  <c r="AO7" i="21" s="1"/>
  <c r="AO11" i="21" a="1"/>
  <c r="AO11" i="21" s="1"/>
  <c r="AO17" i="21" a="1"/>
  <c r="AO17" i="21" s="1"/>
  <c r="AO8" i="21" a="1"/>
  <c r="AO8" i="21" s="1"/>
  <c r="AO15" i="21" a="1"/>
  <c r="AO15" i="21" s="1"/>
  <c r="AO13" i="21" a="1"/>
  <c r="AO13" i="21" s="1"/>
  <c r="AO10" i="21" a="1"/>
  <c r="AO10" i="21" s="1"/>
  <c r="AO14" i="21" a="1"/>
  <c r="AO14" i="21" s="1"/>
  <c r="AO20" i="21" a="1"/>
  <c r="AO20" i="21" s="1"/>
  <c r="AO18" i="21" a="1"/>
  <c r="AO18" i="21" s="1"/>
  <c r="AO12" i="21" a="1"/>
  <c r="AO12" i="21" s="1"/>
  <c r="AO9" i="21" a="1"/>
  <c r="AO9" i="21" s="1"/>
  <c r="AJ4" i="21"/>
  <c r="E6" i="5"/>
  <c r="AO6" i="21"/>
  <c r="S44" i="17" a="1"/>
  <c r="S44" i="17" s="1"/>
  <c r="G6" i="5"/>
  <c r="F6" i="5"/>
  <c r="K4" i="17"/>
  <c r="X47" i="17" a="1"/>
  <c r="X47" i="17" s="1"/>
  <c r="X50" i="17" a="1"/>
  <c r="X50" i="17" s="1"/>
  <c r="R47" i="17" a="1"/>
  <c r="R47" i="17" s="1"/>
  <c r="R50" i="17" a="1"/>
  <c r="R50" i="17" s="1"/>
  <c r="X49" i="17" a="1"/>
  <c r="X49" i="17" s="1"/>
  <c r="R49" i="17" a="1"/>
  <c r="R49" i="17" s="1"/>
  <c r="R48" i="17" a="1"/>
  <c r="R48" i="17" s="1"/>
  <c r="X48" i="17" a="1"/>
  <c r="X48" i="17" s="1"/>
  <c r="R46" i="17" a="1"/>
  <c r="R46" i="17" s="1"/>
  <c r="X46" i="17" a="1"/>
  <c r="X46" i="17" s="1"/>
  <c r="Y48" i="17" a="1"/>
  <c r="Y48" i="17" s="1"/>
  <c r="S48" i="17" a="1"/>
  <c r="S48" i="17" s="1"/>
  <c r="S47" i="17" a="1"/>
  <c r="S47" i="17" s="1"/>
  <c r="Y50" i="17" a="1"/>
  <c r="Y50" i="17" s="1"/>
  <c r="Y47" i="17" a="1"/>
  <c r="Y47" i="17" s="1"/>
  <c r="S50" i="17" a="1"/>
  <c r="S50" i="17" s="1"/>
  <c r="Y49" i="17" a="1"/>
  <c r="Y49" i="17" s="1"/>
  <c r="S49" i="17" a="1"/>
  <c r="S49" i="17" s="1"/>
  <c r="S46" i="17" a="1"/>
  <c r="S46" i="17" s="1"/>
  <c r="Y46" i="17" a="1"/>
  <c r="Y46" i="17" s="1"/>
  <c r="R44" i="17" a="1"/>
  <c r="R44" i="17" s="1"/>
  <c r="X44" i="17" a="1"/>
  <c r="X44" i="17" s="1"/>
  <c r="Y44" i="17" a="1"/>
  <c r="Y44" i="17" s="1"/>
  <c r="U44" i="17"/>
  <c r="O9" i="17" a="1"/>
  <c r="O9" i="17" s="1"/>
  <c r="O10" i="17" a="1"/>
  <c r="O10" i="17" s="1"/>
  <c r="O16" i="17" a="1"/>
  <c r="O16" i="17" s="1"/>
  <c r="O8" i="17" a="1"/>
  <c r="O8" i="17" s="1"/>
  <c r="O5" i="17" a="1"/>
  <c r="O5" i="17" s="1"/>
  <c r="O11" i="17" a="1"/>
  <c r="O11" i="17" s="1"/>
  <c r="O12" i="17" a="1"/>
  <c r="O12" i="17" s="1"/>
  <c r="O4" i="17" a="1"/>
  <c r="O4" i="17" s="1"/>
  <c r="O7" i="17" a="1"/>
  <c r="O7" i="17" s="1"/>
  <c r="O13" i="17" a="1"/>
  <c r="O13" i="17" s="1"/>
  <c r="N44" i="17"/>
  <c r="O15" i="17" a="1"/>
  <c r="O15" i="17" s="1"/>
  <c r="R5" i="4"/>
  <c r="S5" i="4"/>
  <c r="R9" i="4"/>
  <c r="S9" i="4"/>
  <c r="R8" i="4"/>
  <c r="S8" i="4"/>
  <c r="R12" i="4"/>
  <c r="S12" i="4"/>
  <c r="S10" i="4"/>
  <c r="R10" i="4"/>
  <c r="R6" i="4"/>
  <c r="S6" i="4"/>
  <c r="R15" i="4"/>
  <c r="S15" i="4"/>
  <c r="S14" i="4"/>
  <c r="R14" i="4"/>
  <c r="R7" i="4"/>
  <c r="S7" i="4"/>
  <c r="R11" i="4"/>
  <c r="S11" i="4"/>
  <c r="R4" i="4"/>
  <c r="S4" i="4"/>
  <c r="R17" i="4"/>
  <c r="S17" i="4"/>
  <c r="R13" i="4"/>
  <c r="S13" i="4"/>
  <c r="R16" i="4"/>
  <c r="S16" i="4"/>
  <c r="T44" i="17"/>
  <c r="H17" i="4"/>
  <c r="A3" i="4"/>
  <c r="I4" i="6"/>
  <c r="J4" i="6"/>
  <c r="I17" i="4" l="1"/>
  <c r="O44" i="17"/>
  <c r="N3" i="4"/>
  <c r="Q3" i="4"/>
  <c r="H3" i="16"/>
  <c r="I3" i="16" s="1"/>
  <c r="L17" i="4" l="1" a="1"/>
  <c r="L17" i="4" s="1"/>
  <c r="V15" i="14" a="1"/>
  <c r="V15" i="14" s="1"/>
  <c r="B4" i="13" a="1"/>
  <c r="C4" i="14" a="1"/>
  <c r="C4" i="14" s="1"/>
  <c r="O5" i="5"/>
  <c r="D25" i="13" l="1"/>
  <c r="R25" i="13"/>
  <c r="N26" i="13"/>
  <c r="J27" i="13"/>
  <c r="F28" i="13"/>
  <c r="P29" i="13"/>
  <c r="L30" i="13"/>
  <c r="H31" i="13"/>
  <c r="D32" i="13"/>
  <c r="R32" i="13"/>
  <c r="N33" i="13"/>
  <c r="J34" i="13"/>
  <c r="F35" i="13"/>
  <c r="P36" i="13"/>
  <c r="L37" i="13"/>
  <c r="H38" i="13"/>
  <c r="D39" i="13"/>
  <c r="R39" i="13"/>
  <c r="N40" i="13"/>
  <c r="J41" i="13"/>
  <c r="F42" i="13"/>
  <c r="P43" i="13"/>
  <c r="L44" i="13"/>
  <c r="H45" i="13"/>
  <c r="D46" i="13"/>
  <c r="R46" i="13"/>
  <c r="N47" i="13"/>
  <c r="J48" i="13"/>
  <c r="F49" i="13"/>
  <c r="P50" i="13"/>
  <c r="L51" i="13"/>
  <c r="H52" i="13"/>
  <c r="D53" i="13"/>
  <c r="R53" i="13"/>
  <c r="N54" i="13"/>
  <c r="J55" i="13"/>
  <c r="F56" i="13"/>
  <c r="P57" i="13"/>
  <c r="L58" i="13"/>
  <c r="H59" i="13"/>
  <c r="D60" i="13"/>
  <c r="R60" i="13"/>
  <c r="N61" i="13"/>
  <c r="J62" i="13"/>
  <c r="F63" i="13"/>
  <c r="P64" i="13"/>
  <c r="L65" i="13"/>
  <c r="H66" i="13"/>
  <c r="D67" i="13"/>
  <c r="R67" i="13"/>
  <c r="N68" i="13"/>
  <c r="J69" i="13"/>
  <c r="F70" i="13"/>
  <c r="P71" i="13"/>
  <c r="L72" i="13"/>
  <c r="H73" i="13"/>
  <c r="D74" i="13"/>
  <c r="R74" i="13"/>
  <c r="N75" i="13"/>
  <c r="J76" i="13"/>
  <c r="F77" i="13"/>
  <c r="P78" i="13"/>
  <c r="L79" i="13"/>
  <c r="H80" i="13"/>
  <c r="D81" i="13"/>
  <c r="R81" i="13"/>
  <c r="N82" i="13"/>
  <c r="J83" i="13"/>
  <c r="F84" i="13"/>
  <c r="P85" i="13"/>
  <c r="L86" i="13"/>
  <c r="H87" i="13"/>
  <c r="D88" i="13"/>
  <c r="R88" i="13"/>
  <c r="N89" i="13"/>
  <c r="J90" i="13"/>
  <c r="E25" i="13"/>
  <c r="S25" i="13"/>
  <c r="O26" i="13"/>
  <c r="K27" i="13"/>
  <c r="G28" i="13"/>
  <c r="C29" i="13"/>
  <c r="Q29" i="13"/>
  <c r="M30" i="13"/>
  <c r="I31" i="13"/>
  <c r="E32" i="13"/>
  <c r="S32" i="13"/>
  <c r="O33" i="13"/>
  <c r="K34" i="13"/>
  <c r="G35" i="13"/>
  <c r="C36" i="13"/>
  <c r="Q36" i="13"/>
  <c r="M37" i="13"/>
  <c r="I38" i="13"/>
  <c r="E39" i="13"/>
  <c r="S39" i="13"/>
  <c r="O40" i="13"/>
  <c r="K41" i="13"/>
  <c r="G42" i="13"/>
  <c r="C43" i="13"/>
  <c r="Q43" i="13"/>
  <c r="M44" i="13"/>
  <c r="I45" i="13"/>
  <c r="E46" i="13"/>
  <c r="S46" i="13"/>
  <c r="O47" i="13"/>
  <c r="K48" i="13"/>
  <c r="G49" i="13"/>
  <c r="C50" i="13"/>
  <c r="Q50" i="13"/>
  <c r="M51" i="13"/>
  <c r="I52" i="13"/>
  <c r="E53" i="13"/>
  <c r="S53" i="13"/>
  <c r="O54" i="13"/>
  <c r="K55" i="13"/>
  <c r="G56" i="13"/>
  <c r="C57" i="13"/>
  <c r="Q57" i="13"/>
  <c r="M58" i="13"/>
  <c r="I59" i="13"/>
  <c r="E60" i="13"/>
  <c r="S60" i="13"/>
  <c r="O61" i="13"/>
  <c r="K62" i="13"/>
  <c r="G63" i="13"/>
  <c r="C64" i="13"/>
  <c r="Q64" i="13"/>
  <c r="M65" i="13"/>
  <c r="I66" i="13"/>
  <c r="E67" i="13"/>
  <c r="S67" i="13"/>
  <c r="O68" i="13"/>
  <c r="K69" i="13"/>
  <c r="G70" i="13"/>
  <c r="C71" i="13"/>
  <c r="Q71" i="13"/>
  <c r="M72" i="13"/>
  <c r="I73" i="13"/>
  <c r="E74" i="13"/>
  <c r="S74" i="13"/>
  <c r="O75" i="13"/>
  <c r="K76" i="13"/>
  <c r="G77" i="13"/>
  <c r="C78" i="13"/>
  <c r="Q78" i="13"/>
  <c r="M79" i="13"/>
  <c r="I80" i="13"/>
  <c r="E81" i="13"/>
  <c r="S81" i="13"/>
  <c r="O82" i="13"/>
  <c r="K83" i="13"/>
  <c r="G84" i="13"/>
  <c r="C85" i="13"/>
  <c r="Q85" i="13"/>
  <c r="M86" i="13"/>
  <c r="I87" i="13"/>
  <c r="E88" i="13"/>
  <c r="S88" i="13"/>
  <c r="O89" i="13"/>
  <c r="K90" i="13"/>
  <c r="F25" i="13"/>
  <c r="P26" i="13"/>
  <c r="L27" i="13"/>
  <c r="H28" i="13"/>
  <c r="D29" i="13"/>
  <c r="R29" i="13"/>
  <c r="N30" i="13"/>
  <c r="J31" i="13"/>
  <c r="F32" i="13"/>
  <c r="P33" i="13"/>
  <c r="L34" i="13"/>
  <c r="H35" i="13"/>
  <c r="D36" i="13"/>
  <c r="R36" i="13"/>
  <c r="N37" i="13"/>
  <c r="J38" i="13"/>
  <c r="F39" i="13"/>
  <c r="P40" i="13"/>
  <c r="L41" i="13"/>
  <c r="H42" i="13"/>
  <c r="D43" i="13"/>
  <c r="R43" i="13"/>
  <c r="N44" i="13"/>
  <c r="J45" i="13"/>
  <c r="F46" i="13"/>
  <c r="P47" i="13"/>
  <c r="L48" i="13"/>
  <c r="H49" i="13"/>
  <c r="D50" i="13"/>
  <c r="R50" i="13"/>
  <c r="N51" i="13"/>
  <c r="J52" i="13"/>
  <c r="F53" i="13"/>
  <c r="P54" i="13"/>
  <c r="L55" i="13"/>
  <c r="H56" i="13"/>
  <c r="D57" i="13"/>
  <c r="R57" i="13"/>
  <c r="N58" i="13"/>
  <c r="J59" i="13"/>
  <c r="F60" i="13"/>
  <c r="P61" i="13"/>
  <c r="L62" i="13"/>
  <c r="H63" i="13"/>
  <c r="D64" i="13"/>
  <c r="R64" i="13"/>
  <c r="N65" i="13"/>
  <c r="J66" i="13"/>
  <c r="F67" i="13"/>
  <c r="P68" i="13"/>
  <c r="L69" i="13"/>
  <c r="H70" i="13"/>
  <c r="D71" i="13"/>
  <c r="R71" i="13"/>
  <c r="N72" i="13"/>
  <c r="J73" i="13"/>
  <c r="F74" i="13"/>
  <c r="P75" i="13"/>
  <c r="L76" i="13"/>
  <c r="H77" i="13"/>
  <c r="D78" i="13"/>
  <c r="R78" i="13"/>
  <c r="N79" i="13"/>
  <c r="J80" i="13"/>
  <c r="F81" i="13"/>
  <c r="P82" i="13"/>
  <c r="L83" i="13"/>
  <c r="H84" i="13"/>
  <c r="D85" i="13"/>
  <c r="R85" i="13"/>
  <c r="N86" i="13"/>
  <c r="J87" i="13"/>
  <c r="F88" i="13"/>
  <c r="P89" i="13"/>
  <c r="L90" i="13"/>
  <c r="G25" i="13"/>
  <c r="C26" i="13"/>
  <c r="Q26" i="13"/>
  <c r="M27" i="13"/>
  <c r="I28" i="13"/>
  <c r="E29" i="13"/>
  <c r="S29" i="13"/>
  <c r="O30" i="13"/>
  <c r="K31" i="13"/>
  <c r="G32" i="13"/>
  <c r="C33" i="13"/>
  <c r="Q33" i="13"/>
  <c r="M34" i="13"/>
  <c r="I35" i="13"/>
  <c r="E36" i="13"/>
  <c r="S36" i="13"/>
  <c r="O37" i="13"/>
  <c r="K38" i="13"/>
  <c r="G39" i="13"/>
  <c r="C40" i="13"/>
  <c r="Q40" i="13"/>
  <c r="M41" i="13"/>
  <c r="I42" i="13"/>
  <c r="E43" i="13"/>
  <c r="S43" i="13"/>
  <c r="O44" i="13"/>
  <c r="K45" i="13"/>
  <c r="G46" i="13"/>
  <c r="C47" i="13"/>
  <c r="Q47" i="13"/>
  <c r="M48" i="13"/>
  <c r="I49" i="13"/>
  <c r="E50" i="13"/>
  <c r="S50" i="13"/>
  <c r="O51" i="13"/>
  <c r="K52" i="13"/>
  <c r="G53" i="13"/>
  <c r="C54" i="13"/>
  <c r="Q54" i="13"/>
  <c r="M55" i="13"/>
  <c r="I56" i="13"/>
  <c r="E57" i="13"/>
  <c r="S57" i="13"/>
  <c r="O58" i="13"/>
  <c r="K59" i="13"/>
  <c r="G60" i="13"/>
  <c r="C61" i="13"/>
  <c r="Q61" i="13"/>
  <c r="M62" i="13"/>
  <c r="I63" i="13"/>
  <c r="E64" i="13"/>
  <c r="S64" i="13"/>
  <c r="O65" i="13"/>
  <c r="K66" i="13"/>
  <c r="G67" i="13"/>
  <c r="C68" i="13"/>
  <c r="Q68" i="13"/>
  <c r="M69" i="13"/>
  <c r="I70" i="13"/>
  <c r="E71" i="13"/>
  <c r="S71" i="13"/>
  <c r="O72" i="13"/>
  <c r="K73" i="13"/>
  <c r="G74" i="13"/>
  <c r="C75" i="13"/>
  <c r="Q75" i="13"/>
  <c r="M76" i="13"/>
  <c r="I77" i="13"/>
  <c r="E78" i="13"/>
  <c r="S78" i="13"/>
  <c r="O79" i="13"/>
  <c r="K80" i="13"/>
  <c r="G81" i="13"/>
  <c r="C82" i="13"/>
  <c r="Q82" i="13"/>
  <c r="M83" i="13"/>
  <c r="I84" i="13"/>
  <c r="E85" i="13"/>
  <c r="S85" i="13"/>
  <c r="O86" i="13"/>
  <c r="K87" i="13"/>
  <c r="G88" i="13"/>
  <c r="C89" i="13"/>
  <c r="Q89" i="13"/>
  <c r="M90" i="13"/>
  <c r="H25" i="13"/>
  <c r="D26" i="13"/>
  <c r="R26" i="13"/>
  <c r="N27" i="13"/>
  <c r="J28" i="13"/>
  <c r="F29" i="13"/>
  <c r="P30" i="13"/>
  <c r="L31" i="13"/>
  <c r="H32" i="13"/>
  <c r="D33" i="13"/>
  <c r="R33" i="13"/>
  <c r="N34" i="13"/>
  <c r="J35" i="13"/>
  <c r="F36" i="13"/>
  <c r="P37" i="13"/>
  <c r="L38" i="13"/>
  <c r="H39" i="13"/>
  <c r="D40" i="13"/>
  <c r="R40" i="13"/>
  <c r="N41" i="13"/>
  <c r="J42" i="13"/>
  <c r="F43" i="13"/>
  <c r="P44" i="13"/>
  <c r="L45" i="13"/>
  <c r="H46" i="13"/>
  <c r="D47" i="13"/>
  <c r="R47" i="13"/>
  <c r="N48" i="13"/>
  <c r="J49" i="13"/>
  <c r="F50" i="13"/>
  <c r="P51" i="13"/>
  <c r="L52" i="13"/>
  <c r="H53" i="13"/>
  <c r="D54" i="13"/>
  <c r="R54" i="13"/>
  <c r="N55" i="13"/>
  <c r="J56" i="13"/>
  <c r="F57" i="13"/>
  <c r="P58" i="13"/>
  <c r="L59" i="13"/>
  <c r="H60" i="13"/>
  <c r="D61" i="13"/>
  <c r="R61" i="13"/>
  <c r="N62" i="13"/>
  <c r="J63" i="13"/>
  <c r="F64" i="13"/>
  <c r="P65" i="13"/>
  <c r="L66" i="13"/>
  <c r="H67" i="13"/>
  <c r="D68" i="13"/>
  <c r="R68" i="13"/>
  <c r="N69" i="13"/>
  <c r="J70" i="13"/>
  <c r="F71" i="13"/>
  <c r="P72" i="13"/>
  <c r="L73" i="13"/>
  <c r="H74" i="13"/>
  <c r="D75" i="13"/>
  <c r="R75" i="13"/>
  <c r="N76" i="13"/>
  <c r="J77" i="13"/>
  <c r="F78" i="13"/>
  <c r="P79" i="13"/>
  <c r="L80" i="13"/>
  <c r="H81" i="13"/>
  <c r="D82" i="13"/>
  <c r="R82" i="13"/>
  <c r="N83" i="13"/>
  <c r="J84" i="13"/>
  <c r="F85" i="13"/>
  <c r="P86" i="13"/>
  <c r="L87" i="13"/>
  <c r="H88" i="13"/>
  <c r="D89" i="13"/>
  <c r="R89" i="13"/>
  <c r="N90" i="13"/>
  <c r="J25" i="13"/>
  <c r="F26" i="13"/>
  <c r="P27" i="13"/>
  <c r="L28" i="13"/>
  <c r="H29" i="13"/>
  <c r="D30" i="13"/>
  <c r="R30" i="13"/>
  <c r="N31" i="13"/>
  <c r="J32" i="13"/>
  <c r="F33" i="13"/>
  <c r="P34" i="13"/>
  <c r="L35" i="13"/>
  <c r="H36" i="13"/>
  <c r="D37" i="13"/>
  <c r="R37" i="13"/>
  <c r="N38" i="13"/>
  <c r="J39" i="13"/>
  <c r="F40" i="13"/>
  <c r="P41" i="13"/>
  <c r="L42" i="13"/>
  <c r="H43" i="13"/>
  <c r="D44" i="13"/>
  <c r="R44" i="13"/>
  <c r="N45" i="13"/>
  <c r="J46" i="13"/>
  <c r="F47" i="13"/>
  <c r="P48" i="13"/>
  <c r="L49" i="13"/>
  <c r="H50" i="13"/>
  <c r="D51" i="13"/>
  <c r="R51" i="13"/>
  <c r="N52" i="13"/>
  <c r="J53" i="13"/>
  <c r="F54" i="13"/>
  <c r="P55" i="13"/>
  <c r="L56" i="13"/>
  <c r="H57" i="13"/>
  <c r="D58" i="13"/>
  <c r="R58" i="13"/>
  <c r="N59" i="13"/>
  <c r="J60" i="13"/>
  <c r="F61" i="13"/>
  <c r="P62" i="13"/>
  <c r="L63" i="13"/>
  <c r="H64" i="13"/>
  <c r="D65" i="13"/>
  <c r="R65" i="13"/>
  <c r="N66" i="13"/>
  <c r="J67" i="13"/>
  <c r="F68" i="13"/>
  <c r="P69" i="13"/>
  <c r="L70" i="13"/>
  <c r="H71" i="13"/>
  <c r="D72" i="13"/>
  <c r="R72" i="13"/>
  <c r="N73" i="13"/>
  <c r="J74" i="13"/>
  <c r="F75" i="13"/>
  <c r="P76" i="13"/>
  <c r="L77" i="13"/>
  <c r="H78" i="13"/>
  <c r="D79" i="13"/>
  <c r="R79" i="13"/>
  <c r="N80" i="13"/>
  <c r="J81" i="13"/>
  <c r="F82" i="13"/>
  <c r="P83" i="13"/>
  <c r="L84" i="13"/>
  <c r="H85" i="13"/>
  <c r="D86" i="13"/>
  <c r="R86" i="13"/>
  <c r="N87" i="13"/>
  <c r="J88" i="13"/>
  <c r="F89" i="13"/>
  <c r="P90" i="13"/>
  <c r="K25" i="13"/>
  <c r="G26" i="13"/>
  <c r="C27" i="13"/>
  <c r="Q27" i="13"/>
  <c r="M28" i="13"/>
  <c r="I29" i="13"/>
  <c r="E30" i="13"/>
  <c r="S30" i="13"/>
  <c r="O31" i="13"/>
  <c r="K32" i="13"/>
  <c r="G33" i="13"/>
  <c r="C34" i="13"/>
  <c r="Q34" i="13"/>
  <c r="M35" i="13"/>
  <c r="I36" i="13"/>
  <c r="E37" i="13"/>
  <c r="S37" i="13"/>
  <c r="O38" i="13"/>
  <c r="K39" i="13"/>
  <c r="G40" i="13"/>
  <c r="C41" i="13"/>
  <c r="Q41" i="13"/>
  <c r="M42" i="13"/>
  <c r="I43" i="13"/>
  <c r="E44" i="13"/>
  <c r="S44" i="13"/>
  <c r="O45" i="13"/>
  <c r="K46" i="13"/>
  <c r="G47" i="13"/>
  <c r="C48" i="13"/>
  <c r="Q48" i="13"/>
  <c r="M49" i="13"/>
  <c r="I50" i="13"/>
  <c r="E51" i="13"/>
  <c r="S51" i="13"/>
  <c r="O52" i="13"/>
  <c r="K53" i="13"/>
  <c r="G54" i="13"/>
  <c r="C55" i="13"/>
  <c r="Q55" i="13"/>
  <c r="M56" i="13"/>
  <c r="I57" i="13"/>
  <c r="E58" i="13"/>
  <c r="S58" i="13"/>
  <c r="O59" i="13"/>
  <c r="K60" i="13"/>
  <c r="G61" i="13"/>
  <c r="C62" i="13"/>
  <c r="Q62" i="13"/>
  <c r="M63" i="13"/>
  <c r="I64" i="13"/>
  <c r="E65" i="13"/>
  <c r="S65" i="13"/>
  <c r="O66" i="13"/>
  <c r="K67" i="13"/>
  <c r="G68" i="13"/>
  <c r="C69" i="13"/>
  <c r="Q69" i="13"/>
  <c r="M70" i="13"/>
  <c r="I71" i="13"/>
  <c r="E72" i="13"/>
  <c r="S72" i="13"/>
  <c r="O73" i="13"/>
  <c r="K74" i="13"/>
  <c r="G75" i="13"/>
  <c r="C76" i="13"/>
  <c r="Q76" i="13"/>
  <c r="M77" i="13"/>
  <c r="I78" i="13"/>
  <c r="E79" i="13"/>
  <c r="S79" i="13"/>
  <c r="O80" i="13"/>
  <c r="K81" i="13"/>
  <c r="G82" i="13"/>
  <c r="C83" i="13"/>
  <c r="Q83" i="13"/>
  <c r="M84" i="13"/>
  <c r="I85" i="13"/>
  <c r="E86" i="13"/>
  <c r="S86" i="13"/>
  <c r="O87" i="13"/>
  <c r="K88" i="13"/>
  <c r="G89" i="13"/>
  <c r="C90" i="13"/>
  <c r="Q90" i="13"/>
  <c r="O25" i="13"/>
  <c r="K26" i="13"/>
  <c r="G27" i="13"/>
  <c r="C28" i="13"/>
  <c r="Q28" i="13"/>
  <c r="M29" i="13"/>
  <c r="I30" i="13"/>
  <c r="E31" i="13"/>
  <c r="S31" i="13"/>
  <c r="O32" i="13"/>
  <c r="K33" i="13"/>
  <c r="G34" i="13"/>
  <c r="C35" i="13"/>
  <c r="Q35" i="13"/>
  <c r="M36" i="13"/>
  <c r="I37" i="13"/>
  <c r="E38" i="13"/>
  <c r="S38" i="13"/>
  <c r="O39" i="13"/>
  <c r="K40" i="13"/>
  <c r="G41" i="13"/>
  <c r="C42" i="13"/>
  <c r="Q42" i="13"/>
  <c r="M43" i="13"/>
  <c r="I44" i="13"/>
  <c r="E45" i="13"/>
  <c r="S45" i="13"/>
  <c r="O46" i="13"/>
  <c r="K47" i="13"/>
  <c r="G48" i="13"/>
  <c r="C49" i="13"/>
  <c r="Q49" i="13"/>
  <c r="M50" i="13"/>
  <c r="I51" i="13"/>
  <c r="E52" i="13"/>
  <c r="S52" i="13"/>
  <c r="O53" i="13"/>
  <c r="K54" i="13"/>
  <c r="G55" i="13"/>
  <c r="C56" i="13"/>
  <c r="Q56" i="13"/>
  <c r="M57" i="13"/>
  <c r="I58" i="13"/>
  <c r="E59" i="13"/>
  <c r="S59" i="13"/>
  <c r="O60" i="13"/>
  <c r="K61" i="13"/>
  <c r="G62" i="13"/>
  <c r="C63" i="13"/>
  <c r="Q63" i="13"/>
  <c r="M64" i="13"/>
  <c r="I65" i="13"/>
  <c r="E66" i="13"/>
  <c r="S66" i="13"/>
  <c r="O67" i="13"/>
  <c r="K68" i="13"/>
  <c r="G69" i="13"/>
  <c r="C70" i="13"/>
  <c r="Q70" i="13"/>
  <c r="M71" i="13"/>
  <c r="I72" i="13"/>
  <c r="E73" i="13"/>
  <c r="S73" i="13"/>
  <c r="O74" i="13"/>
  <c r="K75" i="13"/>
  <c r="G76" i="13"/>
  <c r="C77" i="13"/>
  <c r="Q77" i="13"/>
  <c r="M78" i="13"/>
  <c r="I79" i="13"/>
  <c r="E80" i="13"/>
  <c r="S80" i="13"/>
  <c r="O81" i="13"/>
  <c r="K82" i="13"/>
  <c r="G83" i="13"/>
  <c r="C84" i="13"/>
  <c r="Q84" i="13"/>
  <c r="M85" i="13"/>
  <c r="I86" i="13"/>
  <c r="E87" i="13"/>
  <c r="S87" i="13"/>
  <c r="O88" i="13"/>
  <c r="K89" i="13"/>
  <c r="G90" i="13"/>
  <c r="C91" i="13"/>
  <c r="P25" i="13"/>
  <c r="L26" i="13"/>
  <c r="H27" i="13"/>
  <c r="D28" i="13"/>
  <c r="R28" i="13"/>
  <c r="N29" i="13"/>
  <c r="J30" i="13"/>
  <c r="F31" i="13"/>
  <c r="P32" i="13"/>
  <c r="L33" i="13"/>
  <c r="H34" i="13"/>
  <c r="D35" i="13"/>
  <c r="R35" i="13"/>
  <c r="N36" i="13"/>
  <c r="J37" i="13"/>
  <c r="F38" i="13"/>
  <c r="P39" i="13"/>
  <c r="L40" i="13"/>
  <c r="H41" i="13"/>
  <c r="D42" i="13"/>
  <c r="R42" i="13"/>
  <c r="N43" i="13"/>
  <c r="J44" i="13"/>
  <c r="F45" i="13"/>
  <c r="P46" i="13"/>
  <c r="L47" i="13"/>
  <c r="H48" i="13"/>
  <c r="D49" i="13"/>
  <c r="R49" i="13"/>
  <c r="N50" i="13"/>
  <c r="J51" i="13"/>
  <c r="F52" i="13"/>
  <c r="P53" i="13"/>
  <c r="L54" i="13"/>
  <c r="H55" i="13"/>
  <c r="D56" i="13"/>
  <c r="R56" i="13"/>
  <c r="N57" i="13"/>
  <c r="J58" i="13"/>
  <c r="F59" i="13"/>
  <c r="P60" i="13"/>
  <c r="L61" i="13"/>
  <c r="H62" i="13"/>
  <c r="D63" i="13"/>
  <c r="R63" i="13"/>
  <c r="N64" i="13"/>
  <c r="J65" i="13"/>
  <c r="F66" i="13"/>
  <c r="P67" i="13"/>
  <c r="L68" i="13"/>
  <c r="H69" i="13"/>
  <c r="D70" i="13"/>
  <c r="R70" i="13"/>
  <c r="N71" i="13"/>
  <c r="J72" i="13"/>
  <c r="F73" i="13"/>
  <c r="P74" i="13"/>
  <c r="L75" i="13"/>
  <c r="H76" i="13"/>
  <c r="D77" i="13"/>
  <c r="R77" i="13"/>
  <c r="N78" i="13"/>
  <c r="J79" i="13"/>
  <c r="F80" i="13"/>
  <c r="P81" i="13"/>
  <c r="L82" i="13"/>
  <c r="H83" i="13"/>
  <c r="D84" i="13"/>
  <c r="R84" i="13"/>
  <c r="N85" i="13"/>
  <c r="J86" i="13"/>
  <c r="F87" i="13"/>
  <c r="P88" i="13"/>
  <c r="L89" i="13"/>
  <c r="H90" i="13"/>
  <c r="C25" i="13"/>
  <c r="Q25" i="13"/>
  <c r="M26" i="13"/>
  <c r="I27" i="13"/>
  <c r="E28" i="13"/>
  <c r="S28" i="13"/>
  <c r="O29" i="13"/>
  <c r="K30" i="13"/>
  <c r="G31" i="13"/>
  <c r="C32" i="13"/>
  <c r="Q32" i="13"/>
  <c r="M33" i="13"/>
  <c r="I34" i="13"/>
  <c r="E35" i="13"/>
  <c r="S35" i="13"/>
  <c r="O36" i="13"/>
  <c r="K37" i="13"/>
  <c r="G38" i="13"/>
  <c r="C39" i="13"/>
  <c r="Q39" i="13"/>
  <c r="M40" i="13"/>
  <c r="I41" i="13"/>
  <c r="E42" i="13"/>
  <c r="S42" i="13"/>
  <c r="O43" i="13"/>
  <c r="K44" i="13"/>
  <c r="G45" i="13"/>
  <c r="C46" i="13"/>
  <c r="Q46" i="13"/>
  <c r="M47" i="13"/>
  <c r="I48" i="13"/>
  <c r="E49" i="13"/>
  <c r="S49" i="13"/>
  <c r="O50" i="13"/>
  <c r="K51" i="13"/>
  <c r="G52" i="13"/>
  <c r="C53" i="13"/>
  <c r="Q53" i="13"/>
  <c r="M54" i="13"/>
  <c r="I55" i="13"/>
  <c r="E56" i="13"/>
  <c r="S56" i="13"/>
  <c r="O57" i="13"/>
  <c r="K58" i="13"/>
  <c r="G59" i="13"/>
  <c r="C60" i="13"/>
  <c r="Q60" i="13"/>
  <c r="M61" i="13"/>
  <c r="I62" i="13"/>
  <c r="E63" i="13"/>
  <c r="S63" i="13"/>
  <c r="O64" i="13"/>
  <c r="K65" i="13"/>
  <c r="G66" i="13"/>
  <c r="C67" i="13"/>
  <c r="Q67" i="13"/>
  <c r="M68" i="13"/>
  <c r="I69" i="13"/>
  <c r="E70" i="13"/>
  <c r="S70" i="13"/>
  <c r="O71" i="13"/>
  <c r="K72" i="13"/>
  <c r="G73" i="13"/>
  <c r="C74" i="13"/>
  <c r="Q74" i="13"/>
  <c r="M75" i="13"/>
  <c r="I76" i="13"/>
  <c r="E77" i="13"/>
  <c r="S77" i="13"/>
  <c r="O78" i="13"/>
  <c r="K79" i="13"/>
  <c r="G80" i="13"/>
  <c r="C81" i="13"/>
  <c r="Q81" i="13"/>
  <c r="M82" i="13"/>
  <c r="I83" i="13"/>
  <c r="E84" i="13"/>
  <c r="S84" i="13"/>
  <c r="O85" i="13"/>
  <c r="K86" i="13"/>
  <c r="G87" i="13"/>
  <c r="C88" i="13"/>
  <c r="Q88" i="13"/>
  <c r="M89" i="13"/>
  <c r="I90" i="13"/>
  <c r="M25" i="13"/>
  <c r="K28" i="13"/>
  <c r="C31" i="13"/>
  <c r="S33" i="13"/>
  <c r="K36" i="13"/>
  <c r="I39" i="13"/>
  <c r="S41" i="13"/>
  <c r="Q44" i="13"/>
  <c r="I47" i="13"/>
  <c r="G50" i="13"/>
  <c r="Q52" i="13"/>
  <c r="O55" i="13"/>
  <c r="G58" i="13"/>
  <c r="E61" i="13"/>
  <c r="O63" i="13"/>
  <c r="M66" i="13"/>
  <c r="E69" i="13"/>
  <c r="C72" i="13"/>
  <c r="M74" i="13"/>
  <c r="K77" i="13"/>
  <c r="C80" i="13"/>
  <c r="S82" i="13"/>
  <c r="K85" i="13"/>
  <c r="I88" i="13"/>
  <c r="S90" i="13"/>
  <c r="P91" i="13"/>
  <c r="L92" i="13"/>
  <c r="H93" i="13"/>
  <c r="D94" i="13"/>
  <c r="R94" i="13"/>
  <c r="N95" i="13"/>
  <c r="J96" i="13"/>
  <c r="F97" i="13"/>
  <c r="P98" i="13"/>
  <c r="L99" i="13"/>
  <c r="H100" i="13"/>
  <c r="D101" i="13"/>
  <c r="R101" i="13"/>
  <c r="N102" i="13"/>
  <c r="J103" i="13"/>
  <c r="F104" i="13"/>
  <c r="P105" i="13"/>
  <c r="L106" i="13"/>
  <c r="H107" i="13"/>
  <c r="D108" i="13"/>
  <c r="R108" i="13"/>
  <c r="N109" i="13"/>
  <c r="J110" i="13"/>
  <c r="F111" i="13"/>
  <c r="P112" i="13"/>
  <c r="L113" i="13"/>
  <c r="H114" i="13"/>
  <c r="D115" i="13"/>
  <c r="R115" i="13"/>
  <c r="N116" i="13"/>
  <c r="J117" i="13"/>
  <c r="F118" i="13"/>
  <c r="P119" i="13"/>
  <c r="L120" i="13"/>
  <c r="H121" i="13"/>
  <c r="D122" i="13"/>
  <c r="R122" i="13"/>
  <c r="N123" i="13"/>
  <c r="J124" i="13"/>
  <c r="F125" i="13"/>
  <c r="P126" i="13"/>
  <c r="L127" i="13"/>
  <c r="H128" i="13"/>
  <c r="D129" i="13"/>
  <c r="R129" i="13"/>
  <c r="N130" i="13"/>
  <c r="J131" i="13"/>
  <c r="F132" i="13"/>
  <c r="P133" i="13"/>
  <c r="L134" i="13"/>
  <c r="N25" i="13"/>
  <c r="N28" i="13"/>
  <c r="D31" i="13"/>
  <c r="D34" i="13"/>
  <c r="L36" i="13"/>
  <c r="L39" i="13"/>
  <c r="J47" i="13"/>
  <c r="J50" i="13"/>
  <c r="R52" i="13"/>
  <c r="R55" i="13"/>
  <c r="H58" i="13"/>
  <c r="H61" i="13"/>
  <c r="P63" i="13"/>
  <c r="P66" i="13"/>
  <c r="F69" i="13"/>
  <c r="F72" i="13"/>
  <c r="N74" i="13"/>
  <c r="N77" i="13"/>
  <c r="D80" i="13"/>
  <c r="D83" i="13"/>
  <c r="L85" i="13"/>
  <c r="L88" i="13"/>
  <c r="Q91" i="13"/>
  <c r="M92" i="13"/>
  <c r="I93" i="13"/>
  <c r="E94" i="13"/>
  <c r="S94" i="13"/>
  <c r="O95" i="13"/>
  <c r="K96" i="13"/>
  <c r="G97" i="13"/>
  <c r="C98" i="13"/>
  <c r="Q98" i="13"/>
  <c r="M99" i="13"/>
  <c r="I100" i="13"/>
  <c r="E101" i="13"/>
  <c r="S101" i="13"/>
  <c r="O102" i="13"/>
  <c r="K103" i="13"/>
  <c r="G104" i="13"/>
  <c r="C105" i="13"/>
  <c r="Q105" i="13"/>
  <c r="M106" i="13"/>
  <c r="I107" i="13"/>
  <c r="E108" i="13"/>
  <c r="S108" i="13"/>
  <c r="O109" i="13"/>
  <c r="K110" i="13"/>
  <c r="G111" i="13"/>
  <c r="C112" i="13"/>
  <c r="Q112" i="13"/>
  <c r="M113" i="13"/>
  <c r="I114" i="13"/>
  <c r="E115" i="13"/>
  <c r="S115" i="13"/>
  <c r="O116" i="13"/>
  <c r="K117" i="13"/>
  <c r="G118" i="13"/>
  <c r="C119" i="13"/>
  <c r="Q119" i="13"/>
  <c r="M120" i="13"/>
  <c r="I121" i="13"/>
  <c r="E122" i="13"/>
  <c r="S122" i="13"/>
  <c r="O123" i="13"/>
  <c r="K124" i="13"/>
  <c r="G125" i="13"/>
  <c r="C126" i="13"/>
  <c r="Q126" i="13"/>
  <c r="M127" i="13"/>
  <c r="I128" i="13"/>
  <c r="E129" i="13"/>
  <c r="S129" i="13"/>
  <c r="O130" i="13"/>
  <c r="K131" i="13"/>
  <c r="G132" i="13"/>
  <c r="C133" i="13"/>
  <c r="Q133" i="13"/>
  <c r="M134" i="13"/>
  <c r="I135" i="13"/>
  <c r="E136" i="13"/>
  <c r="S136" i="13"/>
  <c r="O137" i="13"/>
  <c r="E26" i="13"/>
  <c r="O28" i="13"/>
  <c r="M31" i="13"/>
  <c r="E34" i="13"/>
  <c r="C37" i="13"/>
  <c r="M39" i="13"/>
  <c r="K42" i="13"/>
  <c r="C45" i="13"/>
  <c r="S47" i="13"/>
  <c r="K50" i="13"/>
  <c r="I53" i="13"/>
  <c r="S55" i="13"/>
  <c r="Q58" i="13"/>
  <c r="I61" i="13"/>
  <c r="G64" i="13"/>
  <c r="Q66" i="13"/>
  <c r="O69" i="13"/>
  <c r="G72" i="13"/>
  <c r="E75" i="13"/>
  <c r="O77" i="13"/>
  <c r="M80" i="13"/>
  <c r="E83" i="13"/>
  <c r="C86" i="13"/>
  <c r="M88" i="13"/>
  <c r="D91" i="13"/>
  <c r="R91" i="13"/>
  <c r="N92" i="13"/>
  <c r="J93" i="13"/>
  <c r="F94" i="13"/>
  <c r="P95" i="13"/>
  <c r="L96" i="13"/>
  <c r="H97" i="13"/>
  <c r="D98" i="13"/>
  <c r="R98" i="13"/>
  <c r="N99" i="13"/>
  <c r="J100" i="13"/>
  <c r="F101" i="13"/>
  <c r="P102" i="13"/>
  <c r="L103" i="13"/>
  <c r="H104" i="13"/>
  <c r="D105" i="13"/>
  <c r="R105" i="13"/>
  <c r="N106" i="13"/>
  <c r="J107" i="13"/>
  <c r="F108" i="13"/>
  <c r="P109" i="13"/>
  <c r="L110" i="13"/>
  <c r="H111" i="13"/>
  <c r="D112" i="13"/>
  <c r="R112" i="13"/>
  <c r="N113" i="13"/>
  <c r="J114" i="13"/>
  <c r="F115" i="13"/>
  <c r="P116" i="13"/>
  <c r="L117" i="13"/>
  <c r="H118" i="13"/>
  <c r="D119" i="13"/>
  <c r="R119" i="13"/>
  <c r="N120" i="13"/>
  <c r="J121" i="13"/>
  <c r="F122" i="13"/>
  <c r="P123" i="13"/>
  <c r="L124" i="13"/>
  <c r="H125" i="13"/>
  <c r="D126" i="13"/>
  <c r="R126" i="13"/>
  <c r="N127" i="13"/>
  <c r="J128" i="13"/>
  <c r="F129" i="13"/>
  <c r="P130" i="13"/>
  <c r="L131" i="13"/>
  <c r="H132" i="13"/>
  <c r="D133" i="13"/>
  <c r="R133" i="13"/>
  <c r="N134" i="13"/>
  <c r="J135" i="13"/>
  <c r="F136" i="13"/>
  <c r="H26" i="13"/>
  <c r="P28" i="13"/>
  <c r="P31" i="13"/>
  <c r="F34" i="13"/>
  <c r="F37" i="13"/>
  <c r="N39" i="13"/>
  <c r="N42" i="13"/>
  <c r="D45" i="13"/>
  <c r="D48" i="13"/>
  <c r="L50" i="13"/>
  <c r="L53" i="13"/>
  <c r="J61" i="13"/>
  <c r="J64" i="13"/>
  <c r="R66" i="13"/>
  <c r="R69" i="13"/>
  <c r="H72" i="13"/>
  <c r="H75" i="13"/>
  <c r="P77" i="13"/>
  <c r="P80" i="13"/>
  <c r="F83" i="13"/>
  <c r="F86" i="13"/>
  <c r="N88" i="13"/>
  <c r="E91" i="13"/>
  <c r="S91" i="13"/>
  <c r="O92" i="13"/>
  <c r="K93" i="13"/>
  <c r="G94" i="13"/>
  <c r="C95" i="13"/>
  <c r="Q95" i="13"/>
  <c r="M96" i="13"/>
  <c r="I97" i="13"/>
  <c r="E98" i="13"/>
  <c r="S98" i="13"/>
  <c r="O99" i="13"/>
  <c r="K100" i="13"/>
  <c r="G101" i="13"/>
  <c r="C102" i="13"/>
  <c r="Q102" i="13"/>
  <c r="M103" i="13"/>
  <c r="I104" i="13"/>
  <c r="E105" i="13"/>
  <c r="S105" i="13"/>
  <c r="O106" i="13"/>
  <c r="K107" i="13"/>
  <c r="G108" i="13"/>
  <c r="C109" i="13"/>
  <c r="Q109" i="13"/>
  <c r="M110" i="13"/>
  <c r="I111" i="13"/>
  <c r="E112" i="13"/>
  <c r="S112" i="13"/>
  <c r="O113" i="13"/>
  <c r="K114" i="13"/>
  <c r="G115" i="13"/>
  <c r="C116" i="13"/>
  <c r="Q116" i="13"/>
  <c r="M117" i="13"/>
  <c r="I118" i="13"/>
  <c r="E119" i="13"/>
  <c r="S119" i="13"/>
  <c r="O120" i="13"/>
  <c r="K121" i="13"/>
  <c r="G122" i="13"/>
  <c r="C123" i="13"/>
  <c r="Q123" i="13"/>
  <c r="M124" i="13"/>
  <c r="I125" i="13"/>
  <c r="E126" i="13"/>
  <c r="S126" i="13"/>
  <c r="O127" i="13"/>
  <c r="K128" i="13"/>
  <c r="G129" i="13"/>
  <c r="C130" i="13"/>
  <c r="Q130" i="13"/>
  <c r="M131" i="13"/>
  <c r="I132" i="13"/>
  <c r="E133" i="13"/>
  <c r="S133" i="13"/>
  <c r="O134" i="13"/>
  <c r="K135" i="13"/>
  <c r="G136" i="13"/>
  <c r="I26" i="13"/>
  <c r="G29" i="13"/>
  <c r="Q31" i="13"/>
  <c r="O34" i="13"/>
  <c r="G37" i="13"/>
  <c r="E40" i="13"/>
  <c r="O42" i="13"/>
  <c r="M45" i="13"/>
  <c r="E48" i="13"/>
  <c r="C51" i="13"/>
  <c r="M53" i="13"/>
  <c r="K56" i="13"/>
  <c r="C59" i="13"/>
  <c r="S61" i="13"/>
  <c r="K64" i="13"/>
  <c r="I67" i="13"/>
  <c r="S69" i="13"/>
  <c r="Q72" i="13"/>
  <c r="I75" i="13"/>
  <c r="G78" i="13"/>
  <c r="Q80" i="13"/>
  <c r="O83" i="13"/>
  <c r="G86" i="13"/>
  <c r="E89" i="13"/>
  <c r="F91" i="13"/>
  <c r="P92" i="13"/>
  <c r="L93" i="13"/>
  <c r="H94" i="13"/>
  <c r="D95" i="13"/>
  <c r="R95" i="13"/>
  <c r="N96" i="13"/>
  <c r="J97" i="13"/>
  <c r="F98" i="13"/>
  <c r="P99" i="13"/>
  <c r="L100" i="13"/>
  <c r="H101" i="13"/>
  <c r="D102" i="13"/>
  <c r="R102" i="13"/>
  <c r="N103" i="13"/>
  <c r="J104" i="13"/>
  <c r="F105" i="13"/>
  <c r="P106" i="13"/>
  <c r="L107" i="13"/>
  <c r="H108" i="13"/>
  <c r="D109" i="13"/>
  <c r="R109" i="13"/>
  <c r="N110" i="13"/>
  <c r="J111" i="13"/>
  <c r="F112" i="13"/>
  <c r="P113" i="13"/>
  <c r="L114" i="13"/>
  <c r="H115" i="13"/>
  <c r="D116" i="13"/>
  <c r="R116" i="13"/>
  <c r="N117" i="13"/>
  <c r="J118" i="13"/>
  <c r="F119" i="13"/>
  <c r="P120" i="13"/>
  <c r="L121" i="13"/>
  <c r="H122" i="13"/>
  <c r="D123" i="13"/>
  <c r="R123" i="13"/>
  <c r="N124" i="13"/>
  <c r="J125" i="13"/>
  <c r="F126" i="13"/>
  <c r="P127" i="13"/>
  <c r="L128" i="13"/>
  <c r="H129" i="13"/>
  <c r="D130" i="13"/>
  <c r="R130" i="13"/>
  <c r="N131" i="13"/>
  <c r="J132" i="13"/>
  <c r="F133" i="13"/>
  <c r="P134" i="13"/>
  <c r="L135" i="13"/>
  <c r="J26" i="13"/>
  <c r="J29" i="13"/>
  <c r="R31" i="13"/>
  <c r="R34" i="13"/>
  <c r="H37" i="13"/>
  <c r="H40" i="13"/>
  <c r="P42" i="13"/>
  <c r="P45" i="13"/>
  <c r="F48" i="13"/>
  <c r="F51" i="13"/>
  <c r="N53" i="13"/>
  <c r="N56" i="13"/>
  <c r="D59" i="13"/>
  <c r="D62" i="13"/>
  <c r="L64" i="13"/>
  <c r="L67" i="13"/>
  <c r="J75" i="13"/>
  <c r="J78" i="13"/>
  <c r="R80" i="13"/>
  <c r="R83" i="13"/>
  <c r="H86" i="13"/>
  <c r="H89" i="13"/>
  <c r="G91" i="13"/>
  <c r="C92" i="13"/>
  <c r="Q92" i="13"/>
  <c r="M93" i="13"/>
  <c r="I94" i="13"/>
  <c r="E95" i="13"/>
  <c r="S95" i="13"/>
  <c r="O96" i="13"/>
  <c r="K97" i="13"/>
  <c r="G98" i="13"/>
  <c r="C99" i="13"/>
  <c r="Q99" i="13"/>
  <c r="M100" i="13"/>
  <c r="I101" i="13"/>
  <c r="E102" i="13"/>
  <c r="S102" i="13"/>
  <c r="O103" i="13"/>
  <c r="K104" i="13"/>
  <c r="G105" i="13"/>
  <c r="C106" i="13"/>
  <c r="Q106" i="13"/>
  <c r="M107" i="13"/>
  <c r="I108" i="13"/>
  <c r="E109" i="13"/>
  <c r="S109" i="13"/>
  <c r="O110" i="13"/>
  <c r="K111" i="13"/>
  <c r="G112" i="13"/>
  <c r="C113" i="13"/>
  <c r="Q113" i="13"/>
  <c r="M114" i="13"/>
  <c r="I115" i="13"/>
  <c r="E116" i="13"/>
  <c r="S116" i="13"/>
  <c r="O117" i="13"/>
  <c r="K118" i="13"/>
  <c r="G119" i="13"/>
  <c r="C120" i="13"/>
  <c r="Q120" i="13"/>
  <c r="M121" i="13"/>
  <c r="I122" i="13"/>
  <c r="E123" i="13"/>
  <c r="S123" i="13"/>
  <c r="O124" i="13"/>
  <c r="K125" i="13"/>
  <c r="G126" i="13"/>
  <c r="C127" i="13"/>
  <c r="Q127" i="13"/>
  <c r="M128" i="13"/>
  <c r="I129" i="13"/>
  <c r="E130" i="13"/>
  <c r="S130" i="13"/>
  <c r="O131" i="13"/>
  <c r="K132" i="13"/>
  <c r="G133" i="13"/>
  <c r="C134" i="13"/>
  <c r="Q134" i="13"/>
  <c r="M135" i="13"/>
  <c r="I136" i="13"/>
  <c r="S26" i="13"/>
  <c r="K29" i="13"/>
  <c r="I32" i="13"/>
  <c r="S34" i="13"/>
  <c r="Q37" i="13"/>
  <c r="I40" i="13"/>
  <c r="G43" i="13"/>
  <c r="Q45" i="13"/>
  <c r="O48" i="13"/>
  <c r="G51" i="13"/>
  <c r="E54" i="13"/>
  <c r="O56" i="13"/>
  <c r="M59" i="13"/>
  <c r="E62" i="13"/>
  <c r="C65" i="13"/>
  <c r="M67" i="13"/>
  <c r="K70" i="13"/>
  <c r="C73" i="13"/>
  <c r="S75" i="13"/>
  <c r="K78" i="13"/>
  <c r="I81" i="13"/>
  <c r="S83" i="13"/>
  <c r="Q86" i="13"/>
  <c r="I89" i="13"/>
  <c r="H91" i="13"/>
  <c r="D92" i="13"/>
  <c r="R92" i="13"/>
  <c r="N93" i="13"/>
  <c r="J94" i="13"/>
  <c r="F95" i="13"/>
  <c r="P96" i="13"/>
  <c r="L97" i="13"/>
  <c r="H98" i="13"/>
  <c r="D99" i="13"/>
  <c r="R99" i="13"/>
  <c r="N100" i="13"/>
  <c r="J101" i="13"/>
  <c r="F102" i="13"/>
  <c r="P103" i="13"/>
  <c r="L104" i="13"/>
  <c r="H105" i="13"/>
  <c r="D106" i="13"/>
  <c r="R106" i="13"/>
  <c r="N107" i="13"/>
  <c r="J108" i="13"/>
  <c r="F109" i="13"/>
  <c r="P110" i="13"/>
  <c r="L111" i="13"/>
  <c r="H112" i="13"/>
  <c r="D113" i="13"/>
  <c r="R113" i="13"/>
  <c r="N114" i="13"/>
  <c r="J115" i="13"/>
  <c r="F116" i="13"/>
  <c r="P117" i="13"/>
  <c r="L118" i="13"/>
  <c r="H119" i="13"/>
  <c r="D120" i="13"/>
  <c r="R120" i="13"/>
  <c r="N121" i="13"/>
  <c r="J122" i="13"/>
  <c r="F123" i="13"/>
  <c r="P124" i="13"/>
  <c r="L125" i="13"/>
  <c r="H126" i="13"/>
  <c r="D127" i="13"/>
  <c r="R127" i="13"/>
  <c r="N128" i="13"/>
  <c r="J129" i="13"/>
  <c r="F130" i="13"/>
  <c r="P131" i="13"/>
  <c r="L132" i="13"/>
  <c r="H133" i="13"/>
  <c r="D134" i="13"/>
  <c r="R134" i="13"/>
  <c r="N135" i="13"/>
  <c r="J136" i="13"/>
  <c r="D27" i="13"/>
  <c r="L29" i="13"/>
  <c r="L32" i="13"/>
  <c r="J40" i="13"/>
  <c r="J43" i="13"/>
  <c r="R45" i="13"/>
  <c r="R48" i="13"/>
  <c r="H51" i="13"/>
  <c r="H54" i="13"/>
  <c r="P56" i="13"/>
  <c r="P59" i="13"/>
  <c r="F62" i="13"/>
  <c r="F65" i="13"/>
  <c r="N67" i="13"/>
  <c r="N70" i="13"/>
  <c r="D73" i="13"/>
  <c r="D76" i="13"/>
  <c r="L78" i="13"/>
  <c r="L81" i="13"/>
  <c r="J89" i="13"/>
  <c r="I91" i="13"/>
  <c r="E92" i="13"/>
  <c r="S92" i="13"/>
  <c r="O93" i="13"/>
  <c r="K94" i="13"/>
  <c r="G95" i="13"/>
  <c r="C96" i="13"/>
  <c r="Q96" i="13"/>
  <c r="M97" i="13"/>
  <c r="I98" i="13"/>
  <c r="E99" i="13"/>
  <c r="S99" i="13"/>
  <c r="O100" i="13"/>
  <c r="K101" i="13"/>
  <c r="G102" i="13"/>
  <c r="C103" i="13"/>
  <c r="Q103" i="13"/>
  <c r="M104" i="13"/>
  <c r="I105" i="13"/>
  <c r="E106" i="13"/>
  <c r="S106" i="13"/>
  <c r="O107" i="13"/>
  <c r="K108" i="13"/>
  <c r="G109" i="13"/>
  <c r="C110" i="13"/>
  <c r="Q110" i="13"/>
  <c r="M111" i="13"/>
  <c r="I112" i="13"/>
  <c r="E113" i="13"/>
  <c r="S113" i="13"/>
  <c r="O114" i="13"/>
  <c r="K115" i="13"/>
  <c r="G116" i="13"/>
  <c r="C117" i="13"/>
  <c r="Q117" i="13"/>
  <c r="M118" i="13"/>
  <c r="I119" i="13"/>
  <c r="E120" i="13"/>
  <c r="S120" i="13"/>
  <c r="O121" i="13"/>
  <c r="K122" i="13"/>
  <c r="G123" i="13"/>
  <c r="C124" i="13"/>
  <c r="Q124" i="13"/>
  <c r="M125" i="13"/>
  <c r="I126" i="13"/>
  <c r="E127" i="13"/>
  <c r="S127" i="13"/>
  <c r="O128" i="13"/>
  <c r="K129" i="13"/>
  <c r="G130" i="13"/>
  <c r="C131" i="13"/>
  <c r="Q131" i="13"/>
  <c r="M132" i="13"/>
  <c r="I133" i="13"/>
  <c r="E134" i="13"/>
  <c r="S134" i="13"/>
  <c r="O135" i="13"/>
  <c r="K136" i="13"/>
  <c r="G137" i="13"/>
  <c r="C138" i="13"/>
  <c r="E27" i="13"/>
  <c r="C30" i="13"/>
  <c r="M32" i="13"/>
  <c r="K35" i="13"/>
  <c r="C38" i="13"/>
  <c r="S40" i="13"/>
  <c r="K43" i="13"/>
  <c r="I46" i="13"/>
  <c r="S48" i="13"/>
  <c r="Q51" i="13"/>
  <c r="I54" i="13"/>
  <c r="G57" i="13"/>
  <c r="Q59" i="13"/>
  <c r="O62" i="13"/>
  <c r="G65" i="13"/>
  <c r="E68" i="13"/>
  <c r="O70" i="13"/>
  <c r="M73" i="13"/>
  <c r="E76" i="13"/>
  <c r="C79" i="13"/>
  <c r="M81" i="13"/>
  <c r="K84" i="13"/>
  <c r="C87" i="13"/>
  <c r="S89" i="13"/>
  <c r="J91" i="13"/>
  <c r="F92" i="13"/>
  <c r="P93" i="13"/>
  <c r="L94" i="13"/>
  <c r="H95" i="13"/>
  <c r="D96" i="13"/>
  <c r="R96" i="13"/>
  <c r="N97" i="13"/>
  <c r="J98" i="13"/>
  <c r="F99" i="13"/>
  <c r="P100" i="13"/>
  <c r="L101" i="13"/>
  <c r="H102" i="13"/>
  <c r="D103" i="13"/>
  <c r="R103" i="13"/>
  <c r="N104" i="13"/>
  <c r="J105" i="13"/>
  <c r="F106" i="13"/>
  <c r="P107" i="13"/>
  <c r="L108" i="13"/>
  <c r="H109" i="13"/>
  <c r="D110" i="13"/>
  <c r="R110" i="13"/>
  <c r="N111" i="13"/>
  <c r="J112" i="13"/>
  <c r="F113" i="13"/>
  <c r="P114" i="13"/>
  <c r="L115" i="13"/>
  <c r="H116" i="13"/>
  <c r="D117" i="13"/>
  <c r="R117" i="13"/>
  <c r="N118" i="13"/>
  <c r="J119" i="13"/>
  <c r="F120" i="13"/>
  <c r="P121" i="13"/>
  <c r="L122" i="13"/>
  <c r="H123" i="13"/>
  <c r="D124" i="13"/>
  <c r="R124" i="13"/>
  <c r="N125" i="13"/>
  <c r="J126" i="13"/>
  <c r="F127" i="13"/>
  <c r="P128" i="13"/>
  <c r="L129" i="13"/>
  <c r="H130" i="13"/>
  <c r="D131" i="13"/>
  <c r="R131" i="13"/>
  <c r="N132" i="13"/>
  <c r="J133" i="13"/>
  <c r="F134" i="13"/>
  <c r="P135" i="13"/>
  <c r="L136" i="13"/>
  <c r="H137" i="13"/>
  <c r="D138" i="13"/>
  <c r="F27" i="13"/>
  <c r="F30" i="13"/>
  <c r="N32" i="13"/>
  <c r="N35" i="13"/>
  <c r="D38" i="13"/>
  <c r="D41" i="13"/>
  <c r="L43" i="13"/>
  <c r="L46" i="13"/>
  <c r="J54" i="13"/>
  <c r="J57" i="13"/>
  <c r="R59" i="13"/>
  <c r="R62" i="13"/>
  <c r="H65" i="13"/>
  <c r="H68" i="13"/>
  <c r="P70" i="13"/>
  <c r="P73" i="13"/>
  <c r="F76" i="13"/>
  <c r="F79" i="13"/>
  <c r="N81" i="13"/>
  <c r="N84" i="13"/>
  <c r="D87" i="13"/>
  <c r="D90" i="13"/>
  <c r="K91" i="13"/>
  <c r="G92" i="13"/>
  <c r="C93" i="13"/>
  <c r="Q93" i="13"/>
  <c r="M94" i="13"/>
  <c r="I95" i="13"/>
  <c r="E96" i="13"/>
  <c r="S96" i="13"/>
  <c r="O97" i="13"/>
  <c r="K98" i="13"/>
  <c r="G99" i="13"/>
  <c r="C100" i="13"/>
  <c r="Q100" i="13"/>
  <c r="M101" i="13"/>
  <c r="I102" i="13"/>
  <c r="E103" i="13"/>
  <c r="S103" i="13"/>
  <c r="O104" i="13"/>
  <c r="K105" i="13"/>
  <c r="G106" i="13"/>
  <c r="C107" i="13"/>
  <c r="Q107" i="13"/>
  <c r="M108" i="13"/>
  <c r="I109" i="13"/>
  <c r="E110" i="13"/>
  <c r="S110" i="13"/>
  <c r="O111" i="13"/>
  <c r="K112" i="13"/>
  <c r="G113" i="13"/>
  <c r="C114" i="13"/>
  <c r="Q114" i="13"/>
  <c r="M115" i="13"/>
  <c r="I116" i="13"/>
  <c r="E117" i="13"/>
  <c r="S117" i="13"/>
  <c r="O118" i="13"/>
  <c r="K119" i="13"/>
  <c r="G120" i="13"/>
  <c r="C121" i="13"/>
  <c r="Q121" i="13"/>
  <c r="M122" i="13"/>
  <c r="I123" i="13"/>
  <c r="E124" i="13"/>
  <c r="S124" i="13"/>
  <c r="O125" i="13"/>
  <c r="K126" i="13"/>
  <c r="G127" i="13"/>
  <c r="C128" i="13"/>
  <c r="Q128" i="13"/>
  <c r="M129" i="13"/>
  <c r="I130" i="13"/>
  <c r="E131" i="13"/>
  <c r="S131" i="13"/>
  <c r="O132" i="13"/>
  <c r="K133" i="13"/>
  <c r="G134" i="13"/>
  <c r="C135" i="13"/>
  <c r="O27" i="13"/>
  <c r="G30" i="13"/>
  <c r="E33" i="13"/>
  <c r="O35" i="13"/>
  <c r="M38" i="13"/>
  <c r="E41" i="13"/>
  <c r="C44" i="13"/>
  <c r="M46" i="13"/>
  <c r="K49" i="13"/>
  <c r="C52" i="13"/>
  <c r="S54" i="13"/>
  <c r="K57" i="13"/>
  <c r="I60" i="13"/>
  <c r="S62" i="13"/>
  <c r="Q65" i="13"/>
  <c r="I68" i="13"/>
  <c r="G71" i="13"/>
  <c r="Q73" i="13"/>
  <c r="O76" i="13"/>
  <c r="G79" i="13"/>
  <c r="E82" i="13"/>
  <c r="O84" i="13"/>
  <c r="M87" i="13"/>
  <c r="E90" i="13"/>
  <c r="L91" i="13"/>
  <c r="H92" i="13"/>
  <c r="D93" i="13"/>
  <c r="R93" i="13"/>
  <c r="N94" i="13"/>
  <c r="J95" i="13"/>
  <c r="F96" i="13"/>
  <c r="P97" i="13"/>
  <c r="L98" i="13"/>
  <c r="H99" i="13"/>
  <c r="D100" i="13"/>
  <c r="R100" i="13"/>
  <c r="N101" i="13"/>
  <c r="J102" i="13"/>
  <c r="F103" i="13"/>
  <c r="P104" i="13"/>
  <c r="L105" i="13"/>
  <c r="H106" i="13"/>
  <c r="D107" i="13"/>
  <c r="R107" i="13"/>
  <c r="N108" i="13"/>
  <c r="J109" i="13"/>
  <c r="F110" i="13"/>
  <c r="P111" i="13"/>
  <c r="L112" i="13"/>
  <c r="H113" i="13"/>
  <c r="D114" i="13"/>
  <c r="R114" i="13"/>
  <c r="N115" i="13"/>
  <c r="J116" i="13"/>
  <c r="F117" i="13"/>
  <c r="P118" i="13"/>
  <c r="L119" i="13"/>
  <c r="H120" i="13"/>
  <c r="D121" i="13"/>
  <c r="R121" i="13"/>
  <c r="N122" i="13"/>
  <c r="J123" i="13"/>
  <c r="F124" i="13"/>
  <c r="P125" i="13"/>
  <c r="L126" i="13"/>
  <c r="H127" i="13"/>
  <c r="D128" i="13"/>
  <c r="R128" i="13"/>
  <c r="N129" i="13"/>
  <c r="J130" i="13"/>
  <c r="F131" i="13"/>
  <c r="P132" i="13"/>
  <c r="L133" i="13"/>
  <c r="H134" i="13"/>
  <c r="D135" i="13"/>
  <c r="R135" i="13"/>
  <c r="N136" i="13"/>
  <c r="R27" i="13"/>
  <c r="H30" i="13"/>
  <c r="H33" i="13"/>
  <c r="P35" i="13"/>
  <c r="P38" i="13"/>
  <c r="F41" i="13"/>
  <c r="F44" i="13"/>
  <c r="N46" i="13"/>
  <c r="N49" i="13"/>
  <c r="D52" i="13"/>
  <c r="D55" i="13"/>
  <c r="L57" i="13"/>
  <c r="L60" i="13"/>
  <c r="J68" i="13"/>
  <c r="J71" i="13"/>
  <c r="R73" i="13"/>
  <c r="R76" i="13"/>
  <c r="H79" i="13"/>
  <c r="H82" i="13"/>
  <c r="P84" i="13"/>
  <c r="P87" i="13"/>
  <c r="F90" i="13"/>
  <c r="M91" i="13"/>
  <c r="I92" i="13"/>
  <c r="E93" i="13"/>
  <c r="S93" i="13"/>
  <c r="O94" i="13"/>
  <c r="K95" i="13"/>
  <c r="G96" i="13"/>
  <c r="C97" i="13"/>
  <c r="Q97" i="13"/>
  <c r="M98" i="13"/>
  <c r="I99" i="13"/>
  <c r="E100" i="13"/>
  <c r="S100" i="13"/>
  <c r="O101" i="13"/>
  <c r="K102" i="13"/>
  <c r="G103" i="13"/>
  <c r="C104" i="13"/>
  <c r="Q104" i="13"/>
  <c r="M105" i="13"/>
  <c r="I106" i="13"/>
  <c r="E107" i="13"/>
  <c r="S107" i="13"/>
  <c r="O108" i="13"/>
  <c r="K109" i="13"/>
  <c r="G110" i="13"/>
  <c r="C111" i="13"/>
  <c r="Q111" i="13"/>
  <c r="M112" i="13"/>
  <c r="I113" i="13"/>
  <c r="E114" i="13"/>
  <c r="S114" i="13"/>
  <c r="O115" i="13"/>
  <c r="K116" i="13"/>
  <c r="G117" i="13"/>
  <c r="C118" i="13"/>
  <c r="Q118" i="13"/>
  <c r="M119" i="13"/>
  <c r="I120" i="13"/>
  <c r="E121" i="13"/>
  <c r="S121" i="13"/>
  <c r="O122" i="13"/>
  <c r="K123" i="13"/>
  <c r="G124" i="13"/>
  <c r="C125" i="13"/>
  <c r="Q125" i="13"/>
  <c r="M126" i="13"/>
  <c r="I127" i="13"/>
  <c r="E128" i="13"/>
  <c r="S128" i="13"/>
  <c r="O129" i="13"/>
  <c r="K130" i="13"/>
  <c r="G131" i="13"/>
  <c r="C132" i="13"/>
  <c r="Q132" i="13"/>
  <c r="M133" i="13"/>
  <c r="I134" i="13"/>
  <c r="I25" i="13"/>
  <c r="S27" i="13"/>
  <c r="Q30" i="13"/>
  <c r="I33" i="13"/>
  <c r="G36" i="13"/>
  <c r="Q38" i="13"/>
  <c r="O41" i="13"/>
  <c r="G44" i="13"/>
  <c r="E47" i="13"/>
  <c r="O49" i="13"/>
  <c r="M52" i="13"/>
  <c r="E55" i="13"/>
  <c r="C58" i="13"/>
  <c r="M60" i="13"/>
  <c r="K63" i="13"/>
  <c r="C66" i="13"/>
  <c r="S68" i="13"/>
  <c r="K71" i="13"/>
  <c r="I74" i="13"/>
  <c r="S76" i="13"/>
  <c r="Q79" i="13"/>
  <c r="I82" i="13"/>
  <c r="G85" i="13"/>
  <c r="Q87" i="13"/>
  <c r="O90" i="13"/>
  <c r="N91" i="13"/>
  <c r="J92" i="13"/>
  <c r="F93" i="13"/>
  <c r="P94" i="13"/>
  <c r="L95" i="13"/>
  <c r="H96" i="13"/>
  <c r="D97" i="13"/>
  <c r="R97" i="13"/>
  <c r="N98" i="13"/>
  <c r="J99" i="13"/>
  <c r="F100" i="13"/>
  <c r="P101" i="13"/>
  <c r="L102" i="13"/>
  <c r="H103" i="13"/>
  <c r="D104" i="13"/>
  <c r="R104" i="13"/>
  <c r="N105" i="13"/>
  <c r="J106" i="13"/>
  <c r="F107" i="13"/>
  <c r="P108" i="13"/>
  <c r="L109" i="13"/>
  <c r="H110" i="13"/>
  <c r="D111" i="13"/>
  <c r="R111" i="13"/>
  <c r="N112" i="13"/>
  <c r="J113" i="13"/>
  <c r="F114" i="13"/>
  <c r="P115" i="13"/>
  <c r="L116" i="13"/>
  <c r="H117" i="13"/>
  <c r="D118" i="13"/>
  <c r="R118" i="13"/>
  <c r="N119" i="13"/>
  <c r="J120" i="13"/>
  <c r="F121" i="13"/>
  <c r="P122" i="13"/>
  <c r="L123" i="13"/>
  <c r="H124" i="13"/>
  <c r="D125" i="13"/>
  <c r="R125" i="13"/>
  <c r="N126" i="13"/>
  <c r="J127" i="13"/>
  <c r="F128" i="13"/>
  <c r="P129" i="13"/>
  <c r="L130" i="13"/>
  <c r="H131" i="13"/>
  <c r="D132" i="13"/>
  <c r="R132" i="13"/>
  <c r="N133" i="13"/>
  <c r="J134" i="13"/>
  <c r="F135" i="13"/>
  <c r="P136" i="13"/>
  <c r="L25" i="13"/>
  <c r="J33" i="13"/>
  <c r="J36" i="13"/>
  <c r="R38" i="13"/>
  <c r="R41" i="13"/>
  <c r="H44" i="13"/>
  <c r="H47" i="13"/>
  <c r="P49" i="13"/>
  <c r="P52" i="13"/>
  <c r="F55" i="13"/>
  <c r="F58" i="13"/>
  <c r="N60" i="13"/>
  <c r="N63" i="13"/>
  <c r="D66" i="13"/>
  <c r="D69" i="13"/>
  <c r="L71" i="13"/>
  <c r="L74" i="13"/>
  <c r="J82" i="13"/>
  <c r="J85" i="13"/>
  <c r="R87" i="13"/>
  <c r="R90" i="13"/>
  <c r="O91" i="13"/>
  <c r="K92" i="13"/>
  <c r="G93" i="13"/>
  <c r="C94" i="13"/>
  <c r="Q94" i="13"/>
  <c r="M95" i="13"/>
  <c r="I96" i="13"/>
  <c r="E97" i="13"/>
  <c r="S97" i="13"/>
  <c r="O98" i="13"/>
  <c r="K99" i="13"/>
  <c r="G100" i="13"/>
  <c r="C101" i="13"/>
  <c r="Q101" i="13"/>
  <c r="M102" i="13"/>
  <c r="I103" i="13"/>
  <c r="E104" i="13"/>
  <c r="S104" i="13"/>
  <c r="O105" i="13"/>
  <c r="K106" i="13"/>
  <c r="G107" i="13"/>
  <c r="C108" i="13"/>
  <c r="Q108" i="13"/>
  <c r="M109" i="13"/>
  <c r="I110" i="13"/>
  <c r="E111" i="13"/>
  <c r="S111" i="13"/>
  <c r="O112" i="13"/>
  <c r="K113" i="13"/>
  <c r="G114" i="13"/>
  <c r="C115" i="13"/>
  <c r="Q115" i="13"/>
  <c r="M116" i="13"/>
  <c r="I117" i="13"/>
  <c r="E118" i="13"/>
  <c r="S118" i="13"/>
  <c r="O119" i="13"/>
  <c r="K120" i="13"/>
  <c r="G121" i="13"/>
  <c r="C122" i="13"/>
  <c r="Q122" i="13"/>
  <c r="M123" i="13"/>
  <c r="I124" i="13"/>
  <c r="E125" i="13"/>
  <c r="S125" i="13"/>
  <c r="O126" i="13"/>
  <c r="K127" i="13"/>
  <c r="G128" i="13"/>
  <c r="C129" i="13"/>
  <c r="Q129" i="13"/>
  <c r="M130" i="13"/>
  <c r="I131" i="13"/>
  <c r="E132" i="13"/>
  <c r="S132" i="13"/>
  <c r="O133" i="13"/>
  <c r="K134" i="13"/>
  <c r="G135" i="13"/>
  <c r="Q135" i="13"/>
  <c r="I137" i="13"/>
  <c r="H138" i="13"/>
  <c r="D139" i="13"/>
  <c r="R139" i="13"/>
  <c r="N140" i="13"/>
  <c r="J141" i="13"/>
  <c r="F142" i="13"/>
  <c r="P143" i="13"/>
  <c r="L144" i="13"/>
  <c r="H145" i="13"/>
  <c r="D146" i="13"/>
  <c r="R146" i="13"/>
  <c r="N147" i="13"/>
  <c r="J148" i="13"/>
  <c r="F149" i="13"/>
  <c r="P150" i="13"/>
  <c r="L151" i="13"/>
  <c r="H152" i="13"/>
  <c r="D153" i="13"/>
  <c r="R153" i="13"/>
  <c r="N154" i="13"/>
  <c r="J155" i="13"/>
  <c r="F156" i="13"/>
  <c r="P157" i="13"/>
  <c r="L158" i="13"/>
  <c r="H159" i="13"/>
  <c r="D160" i="13"/>
  <c r="R160" i="13"/>
  <c r="N161" i="13"/>
  <c r="J162" i="13"/>
  <c r="F163" i="13"/>
  <c r="P164" i="13"/>
  <c r="L165" i="13"/>
  <c r="H166" i="13"/>
  <c r="D167" i="13"/>
  <c r="R167" i="13"/>
  <c r="N168" i="13"/>
  <c r="J169" i="13"/>
  <c r="F170" i="13"/>
  <c r="P171" i="13"/>
  <c r="L172" i="13"/>
  <c r="H173" i="13"/>
  <c r="D174" i="13"/>
  <c r="R174" i="13"/>
  <c r="N175" i="13"/>
  <c r="J176" i="13"/>
  <c r="F177" i="13"/>
  <c r="P178" i="13"/>
  <c r="L179" i="13"/>
  <c r="H180" i="13"/>
  <c r="D181" i="13"/>
  <c r="R181" i="13"/>
  <c r="N182" i="13"/>
  <c r="J183" i="13"/>
  <c r="F184" i="13"/>
  <c r="P185" i="13"/>
  <c r="L186" i="13"/>
  <c r="H187" i="13"/>
  <c r="D188" i="13"/>
  <c r="R188" i="13"/>
  <c r="N189" i="13"/>
  <c r="J190" i="13"/>
  <c r="F191" i="13"/>
  <c r="P192" i="13"/>
  <c r="L193" i="13"/>
  <c r="H194" i="13"/>
  <c r="D195" i="13"/>
  <c r="R195" i="13"/>
  <c r="N196" i="13"/>
  <c r="J197" i="13"/>
  <c r="F198" i="13"/>
  <c r="P199" i="13"/>
  <c r="L200" i="13"/>
  <c r="H201" i="13"/>
  <c r="S135" i="13"/>
  <c r="J137" i="13"/>
  <c r="I138" i="13"/>
  <c r="E139" i="13"/>
  <c r="S139" i="13"/>
  <c r="O140" i="13"/>
  <c r="K141" i="13"/>
  <c r="G142" i="13"/>
  <c r="C143" i="13"/>
  <c r="Q143" i="13"/>
  <c r="M144" i="13"/>
  <c r="I145" i="13"/>
  <c r="E146" i="13"/>
  <c r="S146" i="13"/>
  <c r="O147" i="13"/>
  <c r="K148" i="13"/>
  <c r="G149" i="13"/>
  <c r="C150" i="13"/>
  <c r="Q150" i="13"/>
  <c r="M151" i="13"/>
  <c r="I152" i="13"/>
  <c r="E153" i="13"/>
  <c r="S153" i="13"/>
  <c r="O154" i="13"/>
  <c r="K155" i="13"/>
  <c r="G156" i="13"/>
  <c r="C157" i="13"/>
  <c r="Q157" i="13"/>
  <c r="M158" i="13"/>
  <c r="I159" i="13"/>
  <c r="E160" i="13"/>
  <c r="S160" i="13"/>
  <c r="O161" i="13"/>
  <c r="K162" i="13"/>
  <c r="G163" i="13"/>
  <c r="C164" i="13"/>
  <c r="Q164" i="13"/>
  <c r="M165" i="13"/>
  <c r="I166" i="13"/>
  <c r="E167" i="13"/>
  <c r="S167" i="13"/>
  <c r="O168" i="13"/>
  <c r="K169" i="13"/>
  <c r="G170" i="13"/>
  <c r="C171" i="13"/>
  <c r="Q171" i="13"/>
  <c r="M172" i="13"/>
  <c r="I173" i="13"/>
  <c r="E174" i="13"/>
  <c r="S174" i="13"/>
  <c r="O175" i="13"/>
  <c r="K176" i="13"/>
  <c r="G177" i="13"/>
  <c r="C178" i="13"/>
  <c r="Q178" i="13"/>
  <c r="M179" i="13"/>
  <c r="I180" i="13"/>
  <c r="E181" i="13"/>
  <c r="S181" i="13"/>
  <c r="O182" i="13"/>
  <c r="K183" i="13"/>
  <c r="G184" i="13"/>
  <c r="C185" i="13"/>
  <c r="Q185" i="13"/>
  <c r="M186" i="13"/>
  <c r="I187" i="13"/>
  <c r="E188" i="13"/>
  <c r="S188" i="13"/>
  <c r="O189" i="13"/>
  <c r="K190" i="13"/>
  <c r="G191" i="13"/>
  <c r="C192" i="13"/>
  <c r="Q192" i="13"/>
  <c r="M193" i="13"/>
  <c r="I194" i="13"/>
  <c r="E195" i="13"/>
  <c r="S195" i="13"/>
  <c r="O196" i="13"/>
  <c r="K197" i="13"/>
  <c r="G198" i="13"/>
  <c r="C199" i="13"/>
  <c r="C136" i="13"/>
  <c r="K137" i="13"/>
  <c r="J138" i="13"/>
  <c r="F139" i="13"/>
  <c r="P140" i="13"/>
  <c r="L141" i="13"/>
  <c r="H142" i="13"/>
  <c r="D143" i="13"/>
  <c r="R143" i="13"/>
  <c r="N144" i="13"/>
  <c r="J145" i="13"/>
  <c r="F146" i="13"/>
  <c r="P147" i="13"/>
  <c r="L148" i="13"/>
  <c r="H149" i="13"/>
  <c r="D150" i="13"/>
  <c r="R150" i="13"/>
  <c r="N151" i="13"/>
  <c r="J152" i="13"/>
  <c r="F153" i="13"/>
  <c r="P154" i="13"/>
  <c r="L155" i="13"/>
  <c r="H156" i="13"/>
  <c r="D157" i="13"/>
  <c r="R157" i="13"/>
  <c r="N158" i="13"/>
  <c r="J159" i="13"/>
  <c r="F160" i="13"/>
  <c r="P161" i="13"/>
  <c r="L162" i="13"/>
  <c r="H163" i="13"/>
  <c r="D164" i="13"/>
  <c r="R164" i="13"/>
  <c r="N165" i="13"/>
  <c r="J166" i="13"/>
  <c r="F167" i="13"/>
  <c r="P168" i="13"/>
  <c r="L169" i="13"/>
  <c r="H170" i="13"/>
  <c r="D171" i="13"/>
  <c r="R171" i="13"/>
  <c r="N172" i="13"/>
  <c r="J173" i="13"/>
  <c r="F174" i="13"/>
  <c r="P175" i="13"/>
  <c r="L176" i="13"/>
  <c r="H177" i="13"/>
  <c r="D178" i="13"/>
  <c r="R178" i="13"/>
  <c r="N179" i="13"/>
  <c r="J180" i="13"/>
  <c r="F181" i="13"/>
  <c r="P182" i="13"/>
  <c r="L183" i="13"/>
  <c r="H184" i="13"/>
  <c r="D185" i="13"/>
  <c r="R185" i="13"/>
  <c r="N186" i="13"/>
  <c r="J187" i="13"/>
  <c r="F188" i="13"/>
  <c r="P189" i="13"/>
  <c r="L190" i="13"/>
  <c r="H191" i="13"/>
  <c r="D192" i="13"/>
  <c r="R192" i="13"/>
  <c r="N193" i="13"/>
  <c r="J194" i="13"/>
  <c r="F195" i="13"/>
  <c r="P196" i="13"/>
  <c r="L197" i="13"/>
  <c r="H198" i="13"/>
  <c r="D199" i="13"/>
  <c r="R199" i="13"/>
  <c r="N200" i="13"/>
  <c r="J201" i="13"/>
  <c r="D136" i="13"/>
  <c r="L137" i="13"/>
  <c r="K138" i="13"/>
  <c r="G139" i="13"/>
  <c r="C140" i="13"/>
  <c r="Q140" i="13"/>
  <c r="M141" i="13"/>
  <c r="I142" i="13"/>
  <c r="E143" i="13"/>
  <c r="S143" i="13"/>
  <c r="O144" i="13"/>
  <c r="K145" i="13"/>
  <c r="G146" i="13"/>
  <c r="C147" i="13"/>
  <c r="Q147" i="13"/>
  <c r="M148" i="13"/>
  <c r="I149" i="13"/>
  <c r="E150" i="13"/>
  <c r="S150" i="13"/>
  <c r="O151" i="13"/>
  <c r="K152" i="13"/>
  <c r="G153" i="13"/>
  <c r="C154" i="13"/>
  <c r="Q154" i="13"/>
  <c r="M155" i="13"/>
  <c r="I156" i="13"/>
  <c r="E157" i="13"/>
  <c r="S157" i="13"/>
  <c r="O158" i="13"/>
  <c r="K159" i="13"/>
  <c r="G160" i="13"/>
  <c r="C161" i="13"/>
  <c r="Q161" i="13"/>
  <c r="M162" i="13"/>
  <c r="I163" i="13"/>
  <c r="E164" i="13"/>
  <c r="S164" i="13"/>
  <c r="O165" i="13"/>
  <c r="K166" i="13"/>
  <c r="G167" i="13"/>
  <c r="C168" i="13"/>
  <c r="Q168" i="13"/>
  <c r="M169" i="13"/>
  <c r="I170" i="13"/>
  <c r="E171" i="13"/>
  <c r="S171" i="13"/>
  <c r="O172" i="13"/>
  <c r="K173" i="13"/>
  <c r="G174" i="13"/>
  <c r="C175" i="13"/>
  <c r="Q175" i="13"/>
  <c r="M176" i="13"/>
  <c r="I177" i="13"/>
  <c r="E178" i="13"/>
  <c r="S178" i="13"/>
  <c r="O179" i="13"/>
  <c r="K180" i="13"/>
  <c r="G181" i="13"/>
  <c r="C182" i="13"/>
  <c r="Q182" i="13"/>
  <c r="M183" i="13"/>
  <c r="I184" i="13"/>
  <c r="E185" i="13"/>
  <c r="S185" i="13"/>
  <c r="O186" i="13"/>
  <c r="K187" i="13"/>
  <c r="G188" i="13"/>
  <c r="C189" i="13"/>
  <c r="Q189" i="13"/>
  <c r="M190" i="13"/>
  <c r="I191" i="13"/>
  <c r="E192" i="13"/>
  <c r="S192" i="13"/>
  <c r="O193" i="13"/>
  <c r="K194" i="13"/>
  <c r="G195" i="13"/>
  <c r="C196" i="13"/>
  <c r="Q196" i="13"/>
  <c r="M197" i="13"/>
  <c r="I198" i="13"/>
  <c r="E199" i="13"/>
  <c r="H136" i="13"/>
  <c r="M137" i="13"/>
  <c r="L138" i="13"/>
  <c r="H139" i="13"/>
  <c r="D140" i="13"/>
  <c r="R140" i="13"/>
  <c r="N141" i="13"/>
  <c r="J142" i="13"/>
  <c r="F143" i="13"/>
  <c r="P144" i="13"/>
  <c r="L145" i="13"/>
  <c r="H146" i="13"/>
  <c r="D147" i="13"/>
  <c r="R147" i="13"/>
  <c r="N148" i="13"/>
  <c r="J149" i="13"/>
  <c r="F150" i="13"/>
  <c r="P151" i="13"/>
  <c r="L152" i="13"/>
  <c r="H153" i="13"/>
  <c r="D154" i="13"/>
  <c r="R154" i="13"/>
  <c r="N155" i="13"/>
  <c r="J156" i="13"/>
  <c r="F157" i="13"/>
  <c r="P158" i="13"/>
  <c r="L159" i="13"/>
  <c r="H160" i="13"/>
  <c r="D161" i="13"/>
  <c r="R161" i="13"/>
  <c r="N162" i="13"/>
  <c r="J163" i="13"/>
  <c r="F164" i="13"/>
  <c r="P165" i="13"/>
  <c r="L166" i="13"/>
  <c r="H167" i="13"/>
  <c r="D168" i="13"/>
  <c r="R168" i="13"/>
  <c r="N169" i="13"/>
  <c r="J170" i="13"/>
  <c r="F171" i="13"/>
  <c r="P172" i="13"/>
  <c r="L173" i="13"/>
  <c r="H174" i="13"/>
  <c r="D175" i="13"/>
  <c r="R175" i="13"/>
  <c r="N176" i="13"/>
  <c r="J177" i="13"/>
  <c r="F178" i="13"/>
  <c r="P179" i="13"/>
  <c r="L180" i="13"/>
  <c r="H181" i="13"/>
  <c r="D182" i="13"/>
  <c r="R182" i="13"/>
  <c r="N183" i="13"/>
  <c r="J184" i="13"/>
  <c r="F185" i="13"/>
  <c r="P186" i="13"/>
  <c r="L187" i="13"/>
  <c r="H188" i="13"/>
  <c r="D189" i="13"/>
  <c r="R189" i="13"/>
  <c r="N190" i="13"/>
  <c r="J191" i="13"/>
  <c r="F192" i="13"/>
  <c r="P193" i="13"/>
  <c r="L194" i="13"/>
  <c r="H195" i="13"/>
  <c r="D196" i="13"/>
  <c r="R196" i="13"/>
  <c r="N197" i="13"/>
  <c r="J198" i="13"/>
  <c r="F199" i="13"/>
  <c r="P200" i="13"/>
  <c r="M136" i="13"/>
  <c r="N137" i="13"/>
  <c r="M138" i="13"/>
  <c r="I139" i="13"/>
  <c r="E140" i="13"/>
  <c r="S140" i="13"/>
  <c r="O141" i="13"/>
  <c r="K142" i="13"/>
  <c r="G143" i="13"/>
  <c r="C144" i="13"/>
  <c r="Q144" i="13"/>
  <c r="M145" i="13"/>
  <c r="I146" i="13"/>
  <c r="E147" i="13"/>
  <c r="S147" i="13"/>
  <c r="O148" i="13"/>
  <c r="K149" i="13"/>
  <c r="G150" i="13"/>
  <c r="C151" i="13"/>
  <c r="Q151" i="13"/>
  <c r="M152" i="13"/>
  <c r="I153" i="13"/>
  <c r="E154" i="13"/>
  <c r="S154" i="13"/>
  <c r="O155" i="13"/>
  <c r="K156" i="13"/>
  <c r="G157" i="13"/>
  <c r="C158" i="13"/>
  <c r="Q158" i="13"/>
  <c r="M159" i="13"/>
  <c r="I160" i="13"/>
  <c r="E161" i="13"/>
  <c r="S161" i="13"/>
  <c r="O162" i="13"/>
  <c r="K163" i="13"/>
  <c r="G164" i="13"/>
  <c r="C165" i="13"/>
  <c r="Q165" i="13"/>
  <c r="M166" i="13"/>
  <c r="I167" i="13"/>
  <c r="E168" i="13"/>
  <c r="S168" i="13"/>
  <c r="O169" i="13"/>
  <c r="K170" i="13"/>
  <c r="G171" i="13"/>
  <c r="C172" i="13"/>
  <c r="Q172" i="13"/>
  <c r="M173" i="13"/>
  <c r="I174" i="13"/>
  <c r="E175" i="13"/>
  <c r="S175" i="13"/>
  <c r="O176" i="13"/>
  <c r="K177" i="13"/>
  <c r="G178" i="13"/>
  <c r="C179" i="13"/>
  <c r="Q179" i="13"/>
  <c r="M180" i="13"/>
  <c r="I181" i="13"/>
  <c r="E182" i="13"/>
  <c r="S182" i="13"/>
  <c r="O183" i="13"/>
  <c r="K184" i="13"/>
  <c r="G185" i="13"/>
  <c r="C186" i="13"/>
  <c r="Q186" i="13"/>
  <c r="M187" i="13"/>
  <c r="I188" i="13"/>
  <c r="E189" i="13"/>
  <c r="S189" i="13"/>
  <c r="O190" i="13"/>
  <c r="K191" i="13"/>
  <c r="G192" i="13"/>
  <c r="C193" i="13"/>
  <c r="Q193" i="13"/>
  <c r="M194" i="13"/>
  <c r="I195" i="13"/>
  <c r="E196" i="13"/>
  <c r="S196" i="13"/>
  <c r="O197" i="13"/>
  <c r="K198" i="13"/>
  <c r="G199" i="13"/>
  <c r="C200" i="13"/>
  <c r="Q200" i="13"/>
  <c r="M201" i="13"/>
  <c r="I202" i="13"/>
  <c r="O136" i="13"/>
  <c r="P137" i="13"/>
  <c r="N138" i="13"/>
  <c r="J139" i="13"/>
  <c r="F140" i="13"/>
  <c r="P141" i="13"/>
  <c r="L142" i="13"/>
  <c r="H143" i="13"/>
  <c r="D144" i="13"/>
  <c r="R144" i="13"/>
  <c r="N145" i="13"/>
  <c r="J146" i="13"/>
  <c r="F147" i="13"/>
  <c r="P148" i="13"/>
  <c r="L149" i="13"/>
  <c r="H150" i="13"/>
  <c r="D151" i="13"/>
  <c r="R151" i="13"/>
  <c r="N152" i="13"/>
  <c r="J153" i="13"/>
  <c r="F154" i="13"/>
  <c r="P155" i="13"/>
  <c r="L156" i="13"/>
  <c r="H157" i="13"/>
  <c r="D158" i="13"/>
  <c r="R158" i="13"/>
  <c r="N159" i="13"/>
  <c r="J160" i="13"/>
  <c r="F161" i="13"/>
  <c r="P162" i="13"/>
  <c r="L163" i="13"/>
  <c r="H164" i="13"/>
  <c r="D165" i="13"/>
  <c r="R165" i="13"/>
  <c r="N166" i="13"/>
  <c r="J167" i="13"/>
  <c r="F168" i="13"/>
  <c r="P169" i="13"/>
  <c r="L170" i="13"/>
  <c r="H171" i="13"/>
  <c r="D172" i="13"/>
  <c r="R172" i="13"/>
  <c r="N173" i="13"/>
  <c r="J174" i="13"/>
  <c r="F175" i="13"/>
  <c r="P176" i="13"/>
  <c r="L177" i="13"/>
  <c r="H178" i="13"/>
  <c r="D179" i="13"/>
  <c r="R179" i="13"/>
  <c r="N180" i="13"/>
  <c r="J181" i="13"/>
  <c r="F182" i="13"/>
  <c r="P183" i="13"/>
  <c r="L184" i="13"/>
  <c r="H185" i="13"/>
  <c r="D186" i="13"/>
  <c r="R186" i="13"/>
  <c r="N187" i="13"/>
  <c r="J188" i="13"/>
  <c r="F189" i="13"/>
  <c r="P190" i="13"/>
  <c r="L191" i="13"/>
  <c r="H192" i="13"/>
  <c r="D193" i="13"/>
  <c r="R193" i="13"/>
  <c r="N194" i="13"/>
  <c r="J195" i="13"/>
  <c r="F196" i="13"/>
  <c r="P197" i="13"/>
  <c r="L198" i="13"/>
  <c r="H199" i="13"/>
  <c r="D200" i="13"/>
  <c r="R200" i="13"/>
  <c r="N201" i="13"/>
  <c r="Q136" i="13"/>
  <c r="Q137" i="13"/>
  <c r="O138" i="13"/>
  <c r="K139" i="13"/>
  <c r="G140" i="13"/>
  <c r="C141" i="13"/>
  <c r="Q141" i="13"/>
  <c r="M142" i="13"/>
  <c r="I143" i="13"/>
  <c r="E144" i="13"/>
  <c r="S144" i="13"/>
  <c r="O145" i="13"/>
  <c r="K146" i="13"/>
  <c r="G147" i="13"/>
  <c r="C148" i="13"/>
  <c r="Q148" i="13"/>
  <c r="M149" i="13"/>
  <c r="I150" i="13"/>
  <c r="E151" i="13"/>
  <c r="S151" i="13"/>
  <c r="O152" i="13"/>
  <c r="K153" i="13"/>
  <c r="G154" i="13"/>
  <c r="C155" i="13"/>
  <c r="Q155" i="13"/>
  <c r="M156" i="13"/>
  <c r="I157" i="13"/>
  <c r="E158" i="13"/>
  <c r="S158" i="13"/>
  <c r="O159" i="13"/>
  <c r="K160" i="13"/>
  <c r="G161" i="13"/>
  <c r="C162" i="13"/>
  <c r="Q162" i="13"/>
  <c r="M163" i="13"/>
  <c r="I164" i="13"/>
  <c r="E165" i="13"/>
  <c r="S165" i="13"/>
  <c r="O166" i="13"/>
  <c r="K167" i="13"/>
  <c r="G168" i="13"/>
  <c r="C169" i="13"/>
  <c r="Q169" i="13"/>
  <c r="M170" i="13"/>
  <c r="I171" i="13"/>
  <c r="E172" i="13"/>
  <c r="S172" i="13"/>
  <c r="O173" i="13"/>
  <c r="K174" i="13"/>
  <c r="G175" i="13"/>
  <c r="C176" i="13"/>
  <c r="Q176" i="13"/>
  <c r="M177" i="13"/>
  <c r="I178" i="13"/>
  <c r="E179" i="13"/>
  <c r="S179" i="13"/>
  <c r="O180" i="13"/>
  <c r="K181" i="13"/>
  <c r="G182" i="13"/>
  <c r="C183" i="13"/>
  <c r="Q183" i="13"/>
  <c r="M184" i="13"/>
  <c r="I185" i="13"/>
  <c r="E186" i="13"/>
  <c r="S186" i="13"/>
  <c r="O187" i="13"/>
  <c r="K188" i="13"/>
  <c r="G189" i="13"/>
  <c r="C190" i="13"/>
  <c r="Q190" i="13"/>
  <c r="M191" i="13"/>
  <c r="I192" i="13"/>
  <c r="E193" i="13"/>
  <c r="S193" i="13"/>
  <c r="O194" i="13"/>
  <c r="K195" i="13"/>
  <c r="G196" i="13"/>
  <c r="C197" i="13"/>
  <c r="Q197" i="13"/>
  <c r="M198" i="13"/>
  <c r="I199" i="13"/>
  <c r="E200" i="13"/>
  <c r="S200" i="13"/>
  <c r="O201" i="13"/>
  <c r="K202" i="13"/>
  <c r="G203" i="13"/>
  <c r="R136" i="13"/>
  <c r="R137" i="13"/>
  <c r="P138" i="13"/>
  <c r="L139" i="13"/>
  <c r="H140" i="13"/>
  <c r="D141" i="13"/>
  <c r="R141" i="13"/>
  <c r="N142" i="13"/>
  <c r="J143" i="13"/>
  <c r="F144" i="13"/>
  <c r="P145" i="13"/>
  <c r="L146" i="13"/>
  <c r="H147" i="13"/>
  <c r="D148" i="13"/>
  <c r="R148" i="13"/>
  <c r="N149" i="13"/>
  <c r="J150" i="13"/>
  <c r="F151" i="13"/>
  <c r="P152" i="13"/>
  <c r="L153" i="13"/>
  <c r="H154" i="13"/>
  <c r="D155" i="13"/>
  <c r="R155" i="13"/>
  <c r="N156" i="13"/>
  <c r="J157" i="13"/>
  <c r="F158" i="13"/>
  <c r="P159" i="13"/>
  <c r="L160" i="13"/>
  <c r="H161" i="13"/>
  <c r="D162" i="13"/>
  <c r="R162" i="13"/>
  <c r="N163" i="13"/>
  <c r="J164" i="13"/>
  <c r="F165" i="13"/>
  <c r="P166" i="13"/>
  <c r="L167" i="13"/>
  <c r="H168" i="13"/>
  <c r="D169" i="13"/>
  <c r="R169" i="13"/>
  <c r="N170" i="13"/>
  <c r="J171" i="13"/>
  <c r="F172" i="13"/>
  <c r="P173" i="13"/>
  <c r="L174" i="13"/>
  <c r="H175" i="13"/>
  <c r="D176" i="13"/>
  <c r="R176" i="13"/>
  <c r="N177" i="13"/>
  <c r="J178" i="13"/>
  <c r="F179" i="13"/>
  <c r="P180" i="13"/>
  <c r="L181" i="13"/>
  <c r="H182" i="13"/>
  <c r="D183" i="13"/>
  <c r="R183" i="13"/>
  <c r="N184" i="13"/>
  <c r="J185" i="13"/>
  <c r="F186" i="13"/>
  <c r="P187" i="13"/>
  <c r="L188" i="13"/>
  <c r="H189" i="13"/>
  <c r="D190" i="13"/>
  <c r="R190" i="13"/>
  <c r="N191" i="13"/>
  <c r="J192" i="13"/>
  <c r="F193" i="13"/>
  <c r="P194" i="13"/>
  <c r="L195" i="13"/>
  <c r="H196" i="13"/>
  <c r="D197" i="13"/>
  <c r="R197" i="13"/>
  <c r="N198" i="13"/>
  <c r="J199" i="13"/>
  <c r="F200" i="13"/>
  <c r="S137" i="13"/>
  <c r="Q138" i="13"/>
  <c r="M139" i="13"/>
  <c r="I140" i="13"/>
  <c r="E141" i="13"/>
  <c r="S141" i="13"/>
  <c r="O142" i="13"/>
  <c r="K143" i="13"/>
  <c r="G144" i="13"/>
  <c r="C145" i="13"/>
  <c r="Q145" i="13"/>
  <c r="M146" i="13"/>
  <c r="I147" i="13"/>
  <c r="E148" i="13"/>
  <c r="S148" i="13"/>
  <c r="O149" i="13"/>
  <c r="K150" i="13"/>
  <c r="G151" i="13"/>
  <c r="C152" i="13"/>
  <c r="Q152" i="13"/>
  <c r="M153" i="13"/>
  <c r="I154" i="13"/>
  <c r="E155" i="13"/>
  <c r="S155" i="13"/>
  <c r="O156" i="13"/>
  <c r="K157" i="13"/>
  <c r="G158" i="13"/>
  <c r="C159" i="13"/>
  <c r="Q159" i="13"/>
  <c r="M160" i="13"/>
  <c r="I161" i="13"/>
  <c r="E162" i="13"/>
  <c r="S162" i="13"/>
  <c r="O163" i="13"/>
  <c r="K164" i="13"/>
  <c r="G165" i="13"/>
  <c r="C166" i="13"/>
  <c r="Q166" i="13"/>
  <c r="M167" i="13"/>
  <c r="I168" i="13"/>
  <c r="E169" i="13"/>
  <c r="S169" i="13"/>
  <c r="O170" i="13"/>
  <c r="K171" i="13"/>
  <c r="G172" i="13"/>
  <c r="C173" i="13"/>
  <c r="Q173" i="13"/>
  <c r="M174" i="13"/>
  <c r="I175" i="13"/>
  <c r="E176" i="13"/>
  <c r="S176" i="13"/>
  <c r="O177" i="13"/>
  <c r="K178" i="13"/>
  <c r="G179" i="13"/>
  <c r="C180" i="13"/>
  <c r="Q180" i="13"/>
  <c r="M181" i="13"/>
  <c r="I182" i="13"/>
  <c r="E183" i="13"/>
  <c r="S183" i="13"/>
  <c r="O184" i="13"/>
  <c r="K185" i="13"/>
  <c r="G186" i="13"/>
  <c r="C187" i="13"/>
  <c r="Q187" i="13"/>
  <c r="M188" i="13"/>
  <c r="I189" i="13"/>
  <c r="E190" i="13"/>
  <c r="S190" i="13"/>
  <c r="O191" i="13"/>
  <c r="K192" i="13"/>
  <c r="G193" i="13"/>
  <c r="C194" i="13"/>
  <c r="Q194" i="13"/>
  <c r="M195" i="13"/>
  <c r="I196" i="13"/>
  <c r="E197" i="13"/>
  <c r="S197" i="13"/>
  <c r="O198" i="13"/>
  <c r="K199" i="13"/>
  <c r="G200" i="13"/>
  <c r="C137" i="13"/>
  <c r="R138" i="13"/>
  <c r="N139" i="13"/>
  <c r="J140" i="13"/>
  <c r="F141" i="13"/>
  <c r="P142" i="13"/>
  <c r="L143" i="13"/>
  <c r="H144" i="13"/>
  <c r="D145" i="13"/>
  <c r="R145" i="13"/>
  <c r="N146" i="13"/>
  <c r="J147" i="13"/>
  <c r="F148" i="13"/>
  <c r="P149" i="13"/>
  <c r="L150" i="13"/>
  <c r="H151" i="13"/>
  <c r="D152" i="13"/>
  <c r="R152" i="13"/>
  <c r="N153" i="13"/>
  <c r="J154" i="13"/>
  <c r="F155" i="13"/>
  <c r="P156" i="13"/>
  <c r="L157" i="13"/>
  <c r="H158" i="13"/>
  <c r="D159" i="13"/>
  <c r="R159" i="13"/>
  <c r="N160" i="13"/>
  <c r="J161" i="13"/>
  <c r="F162" i="13"/>
  <c r="P163" i="13"/>
  <c r="L164" i="13"/>
  <c r="H165" i="13"/>
  <c r="D166" i="13"/>
  <c r="R166" i="13"/>
  <c r="N167" i="13"/>
  <c r="J168" i="13"/>
  <c r="F169" i="13"/>
  <c r="P170" i="13"/>
  <c r="L171" i="13"/>
  <c r="H172" i="13"/>
  <c r="D173" i="13"/>
  <c r="R173" i="13"/>
  <c r="N174" i="13"/>
  <c r="J175" i="13"/>
  <c r="F176" i="13"/>
  <c r="P177" i="13"/>
  <c r="L178" i="13"/>
  <c r="H179" i="13"/>
  <c r="D180" i="13"/>
  <c r="R180" i="13"/>
  <c r="N181" i="13"/>
  <c r="J182" i="13"/>
  <c r="F183" i="13"/>
  <c r="P184" i="13"/>
  <c r="L185" i="13"/>
  <c r="H186" i="13"/>
  <c r="D187" i="13"/>
  <c r="R187" i="13"/>
  <c r="N188" i="13"/>
  <c r="J189" i="13"/>
  <c r="F190" i="13"/>
  <c r="P191" i="13"/>
  <c r="L192" i="13"/>
  <c r="H193" i="13"/>
  <c r="D194" i="13"/>
  <c r="R194" i="13"/>
  <c r="N195" i="13"/>
  <c r="J196" i="13"/>
  <c r="F197" i="13"/>
  <c r="P198" i="13"/>
  <c r="L199" i="13"/>
  <c r="H200" i="13"/>
  <c r="D201" i="13"/>
  <c r="R201" i="13"/>
  <c r="N202" i="13"/>
  <c r="D137" i="13"/>
  <c r="E138" i="13"/>
  <c r="S138" i="13"/>
  <c r="O139" i="13"/>
  <c r="K140" i="13"/>
  <c r="G141" i="13"/>
  <c r="C142" i="13"/>
  <c r="Q142" i="13"/>
  <c r="M143" i="13"/>
  <c r="I144" i="13"/>
  <c r="E145" i="13"/>
  <c r="S145" i="13"/>
  <c r="O146" i="13"/>
  <c r="K147" i="13"/>
  <c r="G148" i="13"/>
  <c r="C149" i="13"/>
  <c r="Q149" i="13"/>
  <c r="M150" i="13"/>
  <c r="I151" i="13"/>
  <c r="E152" i="13"/>
  <c r="S152" i="13"/>
  <c r="O153" i="13"/>
  <c r="K154" i="13"/>
  <c r="G155" i="13"/>
  <c r="C156" i="13"/>
  <c r="Q156" i="13"/>
  <c r="M157" i="13"/>
  <c r="I158" i="13"/>
  <c r="E159" i="13"/>
  <c r="S159" i="13"/>
  <c r="O160" i="13"/>
  <c r="K161" i="13"/>
  <c r="G162" i="13"/>
  <c r="C163" i="13"/>
  <c r="Q163" i="13"/>
  <c r="M164" i="13"/>
  <c r="I165" i="13"/>
  <c r="E166" i="13"/>
  <c r="S166" i="13"/>
  <c r="O167" i="13"/>
  <c r="K168" i="13"/>
  <c r="G169" i="13"/>
  <c r="C170" i="13"/>
  <c r="Q170" i="13"/>
  <c r="M171" i="13"/>
  <c r="I172" i="13"/>
  <c r="E173" i="13"/>
  <c r="S173" i="13"/>
  <c r="O174" i="13"/>
  <c r="K175" i="13"/>
  <c r="G176" i="13"/>
  <c r="C177" i="13"/>
  <c r="Q177" i="13"/>
  <c r="M178" i="13"/>
  <c r="I179" i="13"/>
  <c r="E180" i="13"/>
  <c r="S180" i="13"/>
  <c r="O181" i="13"/>
  <c r="K182" i="13"/>
  <c r="G183" i="13"/>
  <c r="C184" i="13"/>
  <c r="Q184" i="13"/>
  <c r="M185" i="13"/>
  <c r="I186" i="13"/>
  <c r="E187" i="13"/>
  <c r="S187" i="13"/>
  <c r="O188" i="13"/>
  <c r="K189" i="13"/>
  <c r="G190" i="13"/>
  <c r="C191" i="13"/>
  <c r="Q191" i="13"/>
  <c r="M192" i="13"/>
  <c r="I193" i="13"/>
  <c r="E194" i="13"/>
  <c r="S194" i="13"/>
  <c r="O195" i="13"/>
  <c r="K196" i="13"/>
  <c r="G197" i="13"/>
  <c r="C198" i="13"/>
  <c r="Q198" i="13"/>
  <c r="E135" i="13"/>
  <c r="E137" i="13"/>
  <c r="F138" i="13"/>
  <c r="P139" i="13"/>
  <c r="L140" i="13"/>
  <c r="H141" i="13"/>
  <c r="D142" i="13"/>
  <c r="R142" i="13"/>
  <c r="N143" i="13"/>
  <c r="J144" i="13"/>
  <c r="F145" i="13"/>
  <c r="P146" i="13"/>
  <c r="L147" i="13"/>
  <c r="H148" i="13"/>
  <c r="D149" i="13"/>
  <c r="R149" i="13"/>
  <c r="N150" i="13"/>
  <c r="J151" i="13"/>
  <c r="F152" i="13"/>
  <c r="P153" i="13"/>
  <c r="L154" i="13"/>
  <c r="H155" i="13"/>
  <c r="D156" i="13"/>
  <c r="R156" i="13"/>
  <c r="N157" i="13"/>
  <c r="J158" i="13"/>
  <c r="F159" i="13"/>
  <c r="P160" i="13"/>
  <c r="L161" i="13"/>
  <c r="H162" i="13"/>
  <c r="D163" i="13"/>
  <c r="R163" i="13"/>
  <c r="N164" i="13"/>
  <c r="J165" i="13"/>
  <c r="F166" i="13"/>
  <c r="P167" i="13"/>
  <c r="L168" i="13"/>
  <c r="H169" i="13"/>
  <c r="D170" i="13"/>
  <c r="R170" i="13"/>
  <c r="N171" i="13"/>
  <c r="J172" i="13"/>
  <c r="F173" i="13"/>
  <c r="P174" i="13"/>
  <c r="L175" i="13"/>
  <c r="H176" i="13"/>
  <c r="D177" i="13"/>
  <c r="R177" i="13"/>
  <c r="N178" i="13"/>
  <c r="J179" i="13"/>
  <c r="F180" i="13"/>
  <c r="P181" i="13"/>
  <c r="L182" i="13"/>
  <c r="H183" i="13"/>
  <c r="D184" i="13"/>
  <c r="R184" i="13"/>
  <c r="N185" i="13"/>
  <c r="J186" i="13"/>
  <c r="F187" i="13"/>
  <c r="P188" i="13"/>
  <c r="L189" i="13"/>
  <c r="H190" i="13"/>
  <c r="D191" i="13"/>
  <c r="R191" i="13"/>
  <c r="N192" i="13"/>
  <c r="J193" i="13"/>
  <c r="F194" i="13"/>
  <c r="P195" i="13"/>
  <c r="L196" i="13"/>
  <c r="H197" i="13"/>
  <c r="D198" i="13"/>
  <c r="R198" i="13"/>
  <c r="N199" i="13"/>
  <c r="J200" i="13"/>
  <c r="H135" i="13"/>
  <c r="F137" i="13"/>
  <c r="G138" i="13"/>
  <c r="C139" i="13"/>
  <c r="Q139" i="13"/>
  <c r="M140" i="13"/>
  <c r="I141" i="13"/>
  <c r="E142" i="13"/>
  <c r="S142" i="13"/>
  <c r="O143" i="13"/>
  <c r="K144" i="13"/>
  <c r="G145" i="13"/>
  <c r="C146" i="13"/>
  <c r="Q146" i="13"/>
  <c r="M147" i="13"/>
  <c r="I148" i="13"/>
  <c r="E149" i="13"/>
  <c r="S149" i="13"/>
  <c r="O150" i="13"/>
  <c r="K151" i="13"/>
  <c r="G152" i="13"/>
  <c r="C153" i="13"/>
  <c r="Q153" i="13"/>
  <c r="M154" i="13"/>
  <c r="I155" i="13"/>
  <c r="E156" i="13"/>
  <c r="S156" i="13"/>
  <c r="O157" i="13"/>
  <c r="K158" i="13"/>
  <c r="G159" i="13"/>
  <c r="C160" i="13"/>
  <c r="Q160" i="13"/>
  <c r="M161" i="13"/>
  <c r="I162" i="13"/>
  <c r="E163" i="13"/>
  <c r="S163" i="13"/>
  <c r="O164" i="13"/>
  <c r="K165" i="13"/>
  <c r="G166" i="13"/>
  <c r="C167" i="13"/>
  <c r="Q167" i="13"/>
  <c r="M168" i="13"/>
  <c r="I169" i="13"/>
  <c r="E170" i="13"/>
  <c r="S170" i="13"/>
  <c r="O171" i="13"/>
  <c r="K172" i="13"/>
  <c r="G173" i="13"/>
  <c r="C174" i="13"/>
  <c r="Q174" i="13"/>
  <c r="M175" i="13"/>
  <c r="I176" i="13"/>
  <c r="E177" i="13"/>
  <c r="S177" i="13"/>
  <c r="O178" i="13"/>
  <c r="K179" i="13"/>
  <c r="G180" i="13"/>
  <c r="C181" i="13"/>
  <c r="Q181" i="13"/>
  <c r="M182" i="13"/>
  <c r="I183" i="13"/>
  <c r="E184" i="13"/>
  <c r="S184" i="13"/>
  <c r="O185" i="13"/>
  <c r="K186" i="13"/>
  <c r="G187" i="13"/>
  <c r="C188" i="13"/>
  <c r="Q188" i="13"/>
  <c r="M189" i="13"/>
  <c r="I190" i="13"/>
  <c r="E191" i="13"/>
  <c r="S191" i="13"/>
  <c r="O192" i="13"/>
  <c r="K193" i="13"/>
  <c r="G194" i="13"/>
  <c r="C195" i="13"/>
  <c r="Q195" i="13"/>
  <c r="M196" i="13"/>
  <c r="I197" i="13"/>
  <c r="E198" i="13"/>
  <c r="S198" i="13"/>
  <c r="O199" i="13"/>
  <c r="K200" i="13"/>
  <c r="S199" i="13"/>
  <c r="S202" i="13"/>
  <c r="P203" i="13"/>
  <c r="L204" i="13"/>
  <c r="H205" i="13"/>
  <c r="D206" i="13"/>
  <c r="R206" i="13"/>
  <c r="N207" i="13"/>
  <c r="J208" i="13"/>
  <c r="F209" i="13"/>
  <c r="P210" i="13"/>
  <c r="L211" i="13"/>
  <c r="H212" i="13"/>
  <c r="D213" i="13"/>
  <c r="R213" i="13"/>
  <c r="N214" i="13"/>
  <c r="J215" i="13"/>
  <c r="F216" i="13"/>
  <c r="P217" i="13"/>
  <c r="L218" i="13"/>
  <c r="H219" i="13"/>
  <c r="D220" i="13"/>
  <c r="R220" i="13"/>
  <c r="N221" i="13"/>
  <c r="J222" i="13"/>
  <c r="F223" i="13"/>
  <c r="P224" i="13"/>
  <c r="L225" i="13"/>
  <c r="H226" i="13"/>
  <c r="D227" i="13"/>
  <c r="R227" i="13"/>
  <c r="N228" i="13"/>
  <c r="J229" i="13"/>
  <c r="F230" i="13"/>
  <c r="P231" i="13"/>
  <c r="L232" i="13"/>
  <c r="H233" i="13"/>
  <c r="D234" i="13"/>
  <c r="R234" i="13"/>
  <c r="N235" i="13"/>
  <c r="J236" i="13"/>
  <c r="F237" i="13"/>
  <c r="P238" i="13"/>
  <c r="L239" i="13"/>
  <c r="H240" i="13"/>
  <c r="D241" i="13"/>
  <c r="R241" i="13"/>
  <c r="N242" i="13"/>
  <c r="J243" i="13"/>
  <c r="F244" i="13"/>
  <c r="O24" i="13"/>
  <c r="I200" i="13"/>
  <c r="C202" i="13"/>
  <c r="Q203" i="13"/>
  <c r="M204" i="13"/>
  <c r="I205" i="13"/>
  <c r="E206" i="13"/>
  <c r="S206" i="13"/>
  <c r="O207" i="13"/>
  <c r="K208" i="13"/>
  <c r="G209" i="13"/>
  <c r="C210" i="13"/>
  <c r="Q210" i="13"/>
  <c r="M211" i="13"/>
  <c r="I212" i="13"/>
  <c r="E213" i="13"/>
  <c r="S213" i="13"/>
  <c r="O214" i="13"/>
  <c r="K215" i="13"/>
  <c r="G216" i="13"/>
  <c r="C217" i="13"/>
  <c r="Q217" i="13"/>
  <c r="M218" i="13"/>
  <c r="I219" i="13"/>
  <c r="E220" i="13"/>
  <c r="S220" i="13"/>
  <c r="O221" i="13"/>
  <c r="K222" i="13"/>
  <c r="G223" i="13"/>
  <c r="C224" i="13"/>
  <c r="Q224" i="13"/>
  <c r="M225" i="13"/>
  <c r="I226" i="13"/>
  <c r="E227" i="13"/>
  <c r="S227" i="13"/>
  <c r="O228" i="13"/>
  <c r="K229" i="13"/>
  <c r="G230" i="13"/>
  <c r="C231" i="13"/>
  <c r="Q231" i="13"/>
  <c r="M232" i="13"/>
  <c r="I233" i="13"/>
  <c r="E234" i="13"/>
  <c r="S234" i="13"/>
  <c r="O235" i="13"/>
  <c r="K236" i="13"/>
  <c r="G237" i="13"/>
  <c r="C238" i="13"/>
  <c r="Q238" i="13"/>
  <c r="M239" i="13"/>
  <c r="I240" i="13"/>
  <c r="E241" i="13"/>
  <c r="S241" i="13"/>
  <c r="O242" i="13"/>
  <c r="K243" i="13"/>
  <c r="G244" i="13"/>
  <c r="P24" i="13"/>
  <c r="M200" i="13"/>
  <c r="D202" i="13"/>
  <c r="C203" i="13"/>
  <c r="R203" i="13"/>
  <c r="N204" i="13"/>
  <c r="J205" i="13"/>
  <c r="F206" i="13"/>
  <c r="P207" i="13"/>
  <c r="L208" i="13"/>
  <c r="H209" i="13"/>
  <c r="D210" i="13"/>
  <c r="R210" i="13"/>
  <c r="N211" i="13"/>
  <c r="J212" i="13"/>
  <c r="F213" i="13"/>
  <c r="P214" i="13"/>
  <c r="L215" i="13"/>
  <c r="H216" i="13"/>
  <c r="D217" i="13"/>
  <c r="R217" i="13"/>
  <c r="N218" i="13"/>
  <c r="J219" i="13"/>
  <c r="F220" i="13"/>
  <c r="P221" i="13"/>
  <c r="L222" i="13"/>
  <c r="H223" i="13"/>
  <c r="D224" i="13"/>
  <c r="R224" i="13"/>
  <c r="N225" i="13"/>
  <c r="J226" i="13"/>
  <c r="F227" i="13"/>
  <c r="P228" i="13"/>
  <c r="L229" i="13"/>
  <c r="H230" i="13"/>
  <c r="D231" i="13"/>
  <c r="R231" i="13"/>
  <c r="N232" i="13"/>
  <c r="J233" i="13"/>
  <c r="F234" i="13"/>
  <c r="P235" i="13"/>
  <c r="L236" i="13"/>
  <c r="H237" i="13"/>
  <c r="D238" i="13"/>
  <c r="R238" i="13"/>
  <c r="N239" i="13"/>
  <c r="J240" i="13"/>
  <c r="F241" i="13"/>
  <c r="P242" i="13"/>
  <c r="L243" i="13"/>
  <c r="H244" i="13"/>
  <c r="C24" i="13"/>
  <c r="Q24" i="13"/>
  <c r="O200" i="13"/>
  <c r="E202" i="13"/>
  <c r="D203" i="13"/>
  <c r="S203" i="13"/>
  <c r="O204" i="13"/>
  <c r="K205" i="13"/>
  <c r="G206" i="13"/>
  <c r="C207" i="13"/>
  <c r="Q207" i="13"/>
  <c r="M208" i="13"/>
  <c r="I209" i="13"/>
  <c r="E210" i="13"/>
  <c r="S210" i="13"/>
  <c r="O211" i="13"/>
  <c r="K212" i="13"/>
  <c r="G213" i="13"/>
  <c r="C214" i="13"/>
  <c r="Q214" i="13"/>
  <c r="M215" i="13"/>
  <c r="I216" i="13"/>
  <c r="E217" i="13"/>
  <c r="S217" i="13"/>
  <c r="O218" i="13"/>
  <c r="K219" i="13"/>
  <c r="G220" i="13"/>
  <c r="C221" i="13"/>
  <c r="Q221" i="13"/>
  <c r="M222" i="13"/>
  <c r="I223" i="13"/>
  <c r="E224" i="13"/>
  <c r="S224" i="13"/>
  <c r="O225" i="13"/>
  <c r="K226" i="13"/>
  <c r="G227" i="13"/>
  <c r="C228" i="13"/>
  <c r="Q228" i="13"/>
  <c r="M229" i="13"/>
  <c r="I230" i="13"/>
  <c r="E231" i="13"/>
  <c r="S231" i="13"/>
  <c r="O232" i="13"/>
  <c r="K233" i="13"/>
  <c r="G234" i="13"/>
  <c r="C235" i="13"/>
  <c r="Q235" i="13"/>
  <c r="M236" i="13"/>
  <c r="I237" i="13"/>
  <c r="E238" i="13"/>
  <c r="S238" i="13"/>
  <c r="O239" i="13"/>
  <c r="K240" i="13"/>
  <c r="G241" i="13"/>
  <c r="C242" i="13"/>
  <c r="Q242" i="13"/>
  <c r="M243" i="13"/>
  <c r="I244" i="13"/>
  <c r="D24" i="13"/>
  <c r="R24" i="13"/>
  <c r="C201" i="13"/>
  <c r="F202" i="13"/>
  <c r="E203" i="13"/>
  <c r="P204" i="13"/>
  <c r="L205" i="13"/>
  <c r="H206" i="13"/>
  <c r="D207" i="13"/>
  <c r="R207" i="13"/>
  <c r="N208" i="13"/>
  <c r="J209" i="13"/>
  <c r="F210" i="13"/>
  <c r="P211" i="13"/>
  <c r="L212" i="13"/>
  <c r="H213" i="13"/>
  <c r="D214" i="13"/>
  <c r="R214" i="13"/>
  <c r="N215" i="13"/>
  <c r="J216" i="13"/>
  <c r="F217" i="13"/>
  <c r="P218" i="13"/>
  <c r="L219" i="13"/>
  <c r="H220" i="13"/>
  <c r="D221" i="13"/>
  <c r="R221" i="13"/>
  <c r="N222" i="13"/>
  <c r="J223" i="13"/>
  <c r="F224" i="13"/>
  <c r="P225" i="13"/>
  <c r="L226" i="13"/>
  <c r="H227" i="13"/>
  <c r="D228" i="13"/>
  <c r="R228" i="13"/>
  <c r="N229" i="13"/>
  <c r="J230" i="13"/>
  <c r="F231" i="13"/>
  <c r="P232" i="13"/>
  <c r="L233" i="13"/>
  <c r="H234" i="13"/>
  <c r="D235" i="13"/>
  <c r="R235" i="13"/>
  <c r="N236" i="13"/>
  <c r="J237" i="13"/>
  <c r="F238" i="13"/>
  <c r="P239" i="13"/>
  <c r="L240" i="13"/>
  <c r="H241" i="13"/>
  <c r="D242" i="13"/>
  <c r="R242" i="13"/>
  <c r="N243" i="13"/>
  <c r="J244" i="13"/>
  <c r="E24" i="13"/>
  <c r="S24" i="13"/>
  <c r="E201" i="13"/>
  <c r="G202" i="13"/>
  <c r="F203" i="13"/>
  <c r="C204" i="13"/>
  <c r="Q204" i="13"/>
  <c r="M205" i="13"/>
  <c r="I206" i="13"/>
  <c r="E207" i="13"/>
  <c r="S207" i="13"/>
  <c r="O208" i="13"/>
  <c r="K209" i="13"/>
  <c r="G210" i="13"/>
  <c r="C211" i="13"/>
  <c r="Q211" i="13"/>
  <c r="M212" i="13"/>
  <c r="I213" i="13"/>
  <c r="E214" i="13"/>
  <c r="S214" i="13"/>
  <c r="O215" i="13"/>
  <c r="K216" i="13"/>
  <c r="G217" i="13"/>
  <c r="C218" i="13"/>
  <c r="Q218" i="13"/>
  <c r="M219" i="13"/>
  <c r="I220" i="13"/>
  <c r="E221" i="13"/>
  <c r="S221" i="13"/>
  <c r="O222" i="13"/>
  <c r="K223" i="13"/>
  <c r="G224" i="13"/>
  <c r="C225" i="13"/>
  <c r="Q225" i="13"/>
  <c r="M226" i="13"/>
  <c r="I227" i="13"/>
  <c r="E228" i="13"/>
  <c r="S228" i="13"/>
  <c r="O229" i="13"/>
  <c r="K230" i="13"/>
  <c r="G231" i="13"/>
  <c r="C232" i="13"/>
  <c r="Q232" i="13"/>
  <c r="M233" i="13"/>
  <c r="I234" i="13"/>
  <c r="E235" i="13"/>
  <c r="S235" i="13"/>
  <c r="O236" i="13"/>
  <c r="K237" i="13"/>
  <c r="G238" i="13"/>
  <c r="C239" i="13"/>
  <c r="Q239" i="13"/>
  <c r="M240" i="13"/>
  <c r="I241" i="13"/>
  <c r="E242" i="13"/>
  <c r="S242" i="13"/>
  <c r="O243" i="13"/>
  <c r="K244" i="13"/>
  <c r="F24" i="13"/>
  <c r="F201" i="13"/>
  <c r="H202" i="13"/>
  <c r="H203" i="13"/>
  <c r="D204" i="13"/>
  <c r="R204" i="13"/>
  <c r="N205" i="13"/>
  <c r="J206" i="13"/>
  <c r="F207" i="13"/>
  <c r="P208" i="13"/>
  <c r="L209" i="13"/>
  <c r="H210" i="13"/>
  <c r="D211" i="13"/>
  <c r="R211" i="13"/>
  <c r="N212" i="13"/>
  <c r="J213" i="13"/>
  <c r="F214" i="13"/>
  <c r="P215" i="13"/>
  <c r="L216" i="13"/>
  <c r="H217" i="13"/>
  <c r="D218" i="13"/>
  <c r="R218" i="13"/>
  <c r="N219" i="13"/>
  <c r="J220" i="13"/>
  <c r="F221" i="13"/>
  <c r="P222" i="13"/>
  <c r="L223" i="13"/>
  <c r="H224" i="13"/>
  <c r="D225" i="13"/>
  <c r="R225" i="13"/>
  <c r="N226" i="13"/>
  <c r="J227" i="13"/>
  <c r="F228" i="13"/>
  <c r="P229" i="13"/>
  <c r="L230" i="13"/>
  <c r="H231" i="13"/>
  <c r="D232" i="13"/>
  <c r="R232" i="13"/>
  <c r="N233" i="13"/>
  <c r="J234" i="13"/>
  <c r="F235" i="13"/>
  <c r="P236" i="13"/>
  <c r="L237" i="13"/>
  <c r="H238" i="13"/>
  <c r="D239" i="13"/>
  <c r="R239" i="13"/>
  <c r="N240" i="13"/>
  <c r="J241" i="13"/>
  <c r="F242" i="13"/>
  <c r="P243" i="13"/>
  <c r="L244" i="13"/>
  <c r="G24" i="13"/>
  <c r="G201" i="13"/>
  <c r="J202" i="13"/>
  <c r="I203" i="13"/>
  <c r="E204" i="13"/>
  <c r="S204" i="13"/>
  <c r="O205" i="13"/>
  <c r="K206" i="13"/>
  <c r="G207" i="13"/>
  <c r="C208" i="13"/>
  <c r="Q208" i="13"/>
  <c r="M209" i="13"/>
  <c r="I210" i="13"/>
  <c r="E211" i="13"/>
  <c r="S211" i="13"/>
  <c r="O212" i="13"/>
  <c r="K213" i="13"/>
  <c r="G214" i="13"/>
  <c r="C215" i="13"/>
  <c r="Q215" i="13"/>
  <c r="M216" i="13"/>
  <c r="I217" i="13"/>
  <c r="E218" i="13"/>
  <c r="S218" i="13"/>
  <c r="O219" i="13"/>
  <c r="K220" i="13"/>
  <c r="G221" i="13"/>
  <c r="C222" i="13"/>
  <c r="Q222" i="13"/>
  <c r="M223" i="13"/>
  <c r="I224" i="13"/>
  <c r="E225" i="13"/>
  <c r="S225" i="13"/>
  <c r="O226" i="13"/>
  <c r="K227" i="13"/>
  <c r="G228" i="13"/>
  <c r="C229" i="13"/>
  <c r="Q229" i="13"/>
  <c r="M230" i="13"/>
  <c r="I231" i="13"/>
  <c r="E232" i="13"/>
  <c r="S232" i="13"/>
  <c r="O233" i="13"/>
  <c r="K234" i="13"/>
  <c r="G235" i="13"/>
  <c r="C236" i="13"/>
  <c r="Q236" i="13"/>
  <c r="M237" i="13"/>
  <c r="I238" i="13"/>
  <c r="E239" i="13"/>
  <c r="S239" i="13"/>
  <c r="O240" i="13"/>
  <c r="K241" i="13"/>
  <c r="G242" i="13"/>
  <c r="C243" i="13"/>
  <c r="Q243" i="13"/>
  <c r="M244" i="13"/>
  <c r="H24" i="13"/>
  <c r="I201" i="13"/>
  <c r="L202" i="13"/>
  <c r="J203" i="13"/>
  <c r="F204" i="13"/>
  <c r="P205" i="13"/>
  <c r="L206" i="13"/>
  <c r="H207" i="13"/>
  <c r="D208" i="13"/>
  <c r="R208" i="13"/>
  <c r="N209" i="13"/>
  <c r="J210" i="13"/>
  <c r="F211" i="13"/>
  <c r="P212" i="13"/>
  <c r="L213" i="13"/>
  <c r="H214" i="13"/>
  <c r="D215" i="13"/>
  <c r="R215" i="13"/>
  <c r="N216" i="13"/>
  <c r="J217" i="13"/>
  <c r="F218" i="13"/>
  <c r="P219" i="13"/>
  <c r="L220" i="13"/>
  <c r="H221" i="13"/>
  <c r="D222" i="13"/>
  <c r="R222" i="13"/>
  <c r="N223" i="13"/>
  <c r="J224" i="13"/>
  <c r="F225" i="13"/>
  <c r="P226" i="13"/>
  <c r="L227" i="13"/>
  <c r="H228" i="13"/>
  <c r="D229" i="13"/>
  <c r="R229" i="13"/>
  <c r="N230" i="13"/>
  <c r="J231" i="13"/>
  <c r="F232" i="13"/>
  <c r="P233" i="13"/>
  <c r="L234" i="13"/>
  <c r="H235" i="13"/>
  <c r="D236" i="13"/>
  <c r="R236" i="13"/>
  <c r="N237" i="13"/>
  <c r="J238" i="13"/>
  <c r="F239" i="13"/>
  <c r="P240" i="13"/>
  <c r="L241" i="13"/>
  <c r="H242" i="13"/>
  <c r="D243" i="13"/>
  <c r="R243" i="13"/>
  <c r="N244" i="13"/>
  <c r="I24" i="13"/>
  <c r="K201" i="13"/>
  <c r="M202" i="13"/>
  <c r="K203" i="13"/>
  <c r="G204" i="13"/>
  <c r="C205" i="13"/>
  <c r="Q205" i="13"/>
  <c r="M206" i="13"/>
  <c r="I207" i="13"/>
  <c r="E208" i="13"/>
  <c r="S208" i="13"/>
  <c r="O209" i="13"/>
  <c r="K210" i="13"/>
  <c r="G211" i="13"/>
  <c r="C212" i="13"/>
  <c r="Q212" i="13"/>
  <c r="M213" i="13"/>
  <c r="I214" i="13"/>
  <c r="E215" i="13"/>
  <c r="S215" i="13"/>
  <c r="O216" i="13"/>
  <c r="K217" i="13"/>
  <c r="G218" i="13"/>
  <c r="C219" i="13"/>
  <c r="Q219" i="13"/>
  <c r="M220" i="13"/>
  <c r="I221" i="13"/>
  <c r="E222" i="13"/>
  <c r="S222" i="13"/>
  <c r="O223" i="13"/>
  <c r="K224" i="13"/>
  <c r="G225" i="13"/>
  <c r="C226" i="13"/>
  <c r="Q226" i="13"/>
  <c r="M227" i="13"/>
  <c r="I228" i="13"/>
  <c r="E229" i="13"/>
  <c r="S229" i="13"/>
  <c r="O230" i="13"/>
  <c r="K231" i="13"/>
  <c r="G232" i="13"/>
  <c r="C233" i="13"/>
  <c r="Q233" i="13"/>
  <c r="M234" i="13"/>
  <c r="I235" i="13"/>
  <c r="E236" i="13"/>
  <c r="S236" i="13"/>
  <c r="O237" i="13"/>
  <c r="K238" i="13"/>
  <c r="G239" i="13"/>
  <c r="C240" i="13"/>
  <c r="Q240" i="13"/>
  <c r="M241" i="13"/>
  <c r="I242" i="13"/>
  <c r="E243" i="13"/>
  <c r="S243" i="13"/>
  <c r="O244" i="13"/>
  <c r="J24" i="13"/>
  <c r="L201" i="13"/>
  <c r="O202" i="13"/>
  <c r="L203" i="13"/>
  <c r="H204" i="13"/>
  <c r="D205" i="13"/>
  <c r="R205" i="13"/>
  <c r="N206" i="13"/>
  <c r="J207" i="13"/>
  <c r="F208" i="13"/>
  <c r="P209" i="13"/>
  <c r="L210" i="13"/>
  <c r="H211" i="13"/>
  <c r="D212" i="13"/>
  <c r="R212" i="13"/>
  <c r="N213" i="13"/>
  <c r="J214" i="13"/>
  <c r="F215" i="13"/>
  <c r="P216" i="13"/>
  <c r="L217" i="13"/>
  <c r="H218" i="13"/>
  <c r="D219" i="13"/>
  <c r="R219" i="13"/>
  <c r="N220" i="13"/>
  <c r="J221" i="13"/>
  <c r="F222" i="13"/>
  <c r="P223" i="13"/>
  <c r="L224" i="13"/>
  <c r="H225" i="13"/>
  <c r="D226" i="13"/>
  <c r="R226" i="13"/>
  <c r="N227" i="13"/>
  <c r="J228" i="13"/>
  <c r="F229" i="13"/>
  <c r="P230" i="13"/>
  <c r="L231" i="13"/>
  <c r="H232" i="13"/>
  <c r="D233" i="13"/>
  <c r="R233" i="13"/>
  <c r="N234" i="13"/>
  <c r="J235" i="13"/>
  <c r="F236" i="13"/>
  <c r="P237" i="13"/>
  <c r="L238" i="13"/>
  <c r="H239" i="13"/>
  <c r="D240" i="13"/>
  <c r="R240" i="13"/>
  <c r="N241" i="13"/>
  <c r="J242" i="13"/>
  <c r="F243" i="13"/>
  <c r="P244" i="13"/>
  <c r="K24" i="13"/>
  <c r="P201" i="13"/>
  <c r="P202" i="13"/>
  <c r="M203" i="13"/>
  <c r="I204" i="13"/>
  <c r="E205" i="13"/>
  <c r="S205" i="13"/>
  <c r="O206" i="13"/>
  <c r="K207" i="13"/>
  <c r="G208" i="13"/>
  <c r="C209" i="13"/>
  <c r="Q209" i="13"/>
  <c r="M210" i="13"/>
  <c r="I211" i="13"/>
  <c r="E212" i="13"/>
  <c r="S212" i="13"/>
  <c r="O213" i="13"/>
  <c r="K214" i="13"/>
  <c r="G215" i="13"/>
  <c r="C216" i="13"/>
  <c r="Q216" i="13"/>
  <c r="M217" i="13"/>
  <c r="I218" i="13"/>
  <c r="E219" i="13"/>
  <c r="S219" i="13"/>
  <c r="O220" i="13"/>
  <c r="K221" i="13"/>
  <c r="G222" i="13"/>
  <c r="C223" i="13"/>
  <c r="Q223" i="13"/>
  <c r="M224" i="13"/>
  <c r="I225" i="13"/>
  <c r="E226" i="13"/>
  <c r="S226" i="13"/>
  <c r="O227" i="13"/>
  <c r="K228" i="13"/>
  <c r="G229" i="13"/>
  <c r="C230" i="13"/>
  <c r="Q230" i="13"/>
  <c r="M231" i="13"/>
  <c r="I232" i="13"/>
  <c r="E233" i="13"/>
  <c r="S233" i="13"/>
  <c r="O234" i="13"/>
  <c r="K235" i="13"/>
  <c r="G236" i="13"/>
  <c r="C237" i="13"/>
  <c r="Q237" i="13"/>
  <c r="M238" i="13"/>
  <c r="I239" i="13"/>
  <c r="E240" i="13"/>
  <c r="S240" i="13"/>
  <c r="O241" i="13"/>
  <c r="K242" i="13"/>
  <c r="G243" i="13"/>
  <c r="C244" i="13"/>
  <c r="Q244" i="13"/>
  <c r="L24" i="13"/>
  <c r="M199" i="13"/>
  <c r="Q201" i="13"/>
  <c r="Q202" i="13"/>
  <c r="N203" i="13"/>
  <c r="J204" i="13"/>
  <c r="F205" i="13"/>
  <c r="P206" i="13"/>
  <c r="L207" i="13"/>
  <c r="H208" i="13"/>
  <c r="D209" i="13"/>
  <c r="R209" i="13"/>
  <c r="N210" i="13"/>
  <c r="J211" i="13"/>
  <c r="F212" i="13"/>
  <c r="P213" i="13"/>
  <c r="L214" i="13"/>
  <c r="H215" i="13"/>
  <c r="D216" i="13"/>
  <c r="R216" i="13"/>
  <c r="N217" i="13"/>
  <c r="J218" i="13"/>
  <c r="F219" i="13"/>
  <c r="P220" i="13"/>
  <c r="L221" i="13"/>
  <c r="H222" i="13"/>
  <c r="D223" i="13"/>
  <c r="R223" i="13"/>
  <c r="N224" i="13"/>
  <c r="J225" i="13"/>
  <c r="F226" i="13"/>
  <c r="P227" i="13"/>
  <c r="L228" i="13"/>
  <c r="H229" i="13"/>
  <c r="D230" i="13"/>
  <c r="R230" i="13"/>
  <c r="N231" i="13"/>
  <c r="J232" i="13"/>
  <c r="F233" i="13"/>
  <c r="P234" i="13"/>
  <c r="L235" i="13"/>
  <c r="H236" i="13"/>
  <c r="D237" i="13"/>
  <c r="R237" i="13"/>
  <c r="N238" i="13"/>
  <c r="J239" i="13"/>
  <c r="F240" i="13"/>
  <c r="P241" i="13"/>
  <c r="L242" i="13"/>
  <c r="H243" i="13"/>
  <c r="D244" i="13"/>
  <c r="R244" i="13"/>
  <c r="M24" i="13"/>
  <c r="Q199" i="13"/>
  <c r="S201" i="13"/>
  <c r="R202" i="13"/>
  <c r="O203" i="13"/>
  <c r="K204" i="13"/>
  <c r="G205" i="13"/>
  <c r="C206" i="13"/>
  <c r="Q206" i="13"/>
  <c r="M207" i="13"/>
  <c r="I208" i="13"/>
  <c r="E209" i="13"/>
  <c r="S209" i="13"/>
  <c r="O210" i="13"/>
  <c r="K211" i="13"/>
  <c r="G212" i="13"/>
  <c r="C213" i="13"/>
  <c r="Q213" i="13"/>
  <c r="M214" i="13"/>
  <c r="I215" i="13"/>
  <c r="E216" i="13"/>
  <c r="S216" i="13"/>
  <c r="O217" i="13"/>
  <c r="K218" i="13"/>
  <c r="G219" i="13"/>
  <c r="C220" i="13"/>
  <c r="Q220" i="13"/>
  <c r="M221" i="13"/>
  <c r="I222" i="13"/>
  <c r="E223" i="13"/>
  <c r="S223" i="13"/>
  <c r="O224" i="13"/>
  <c r="K225" i="13"/>
  <c r="G226" i="13"/>
  <c r="C227" i="13"/>
  <c r="Q227" i="13"/>
  <c r="M228" i="13"/>
  <c r="I229" i="13"/>
  <c r="E230" i="13"/>
  <c r="S230" i="13"/>
  <c r="O231" i="13"/>
  <c r="K232" i="13"/>
  <c r="G233" i="13"/>
  <c r="C234" i="13"/>
  <c r="Q234" i="13"/>
  <c r="M235" i="13"/>
  <c r="I236" i="13"/>
  <c r="E237" i="13"/>
  <c r="S237" i="13"/>
  <c r="O238" i="13"/>
  <c r="K239" i="13"/>
  <c r="G240" i="13"/>
  <c r="C241" i="13"/>
  <c r="Q241" i="13"/>
  <c r="M242" i="13"/>
  <c r="I243" i="13"/>
  <c r="E244" i="13"/>
  <c r="S244" i="13"/>
  <c r="N24" i="13"/>
  <c r="E19" i="13"/>
  <c r="Q23" i="13"/>
  <c r="D22" i="13"/>
  <c r="I21" i="13"/>
  <c r="G20" i="13"/>
  <c r="G8" i="13"/>
  <c r="F10" i="13"/>
  <c r="C12" i="13"/>
  <c r="Q15" i="13"/>
  <c r="D14" i="13"/>
  <c r="S15" i="13"/>
  <c r="K11" i="13"/>
  <c r="G15" i="13"/>
  <c r="Q8" i="13"/>
  <c r="R8" i="13"/>
  <c r="K13" i="13"/>
  <c r="H17" i="13"/>
  <c r="I12" i="13"/>
  <c r="P13" i="13"/>
  <c r="N23" i="13"/>
  <c r="M22" i="13"/>
  <c r="Q22" i="13"/>
  <c r="H21" i="13"/>
  <c r="K20" i="13"/>
  <c r="F9" i="13"/>
  <c r="D11" i="13"/>
  <c r="S12" i="13"/>
  <c r="R14" i="13"/>
  <c r="O16" i="13"/>
  <c r="Q16" i="13"/>
  <c r="J12" i="13"/>
  <c r="C18" i="13"/>
  <c r="O9" i="13"/>
  <c r="P9" i="13"/>
  <c r="F16" i="13"/>
  <c r="F18" i="13"/>
  <c r="S23" i="13"/>
  <c r="L22" i="13"/>
  <c r="C22" i="13"/>
  <c r="G21" i="13"/>
  <c r="J20" i="13"/>
  <c r="M19" i="13"/>
  <c r="E10" i="13"/>
  <c r="R13" i="13"/>
  <c r="P15" i="13"/>
  <c r="M17" i="13"/>
  <c r="R15" i="13"/>
  <c r="P17" i="13"/>
  <c r="H13" i="13"/>
  <c r="D8" i="13"/>
  <c r="M10" i="13"/>
  <c r="O10" i="13"/>
  <c r="E17" i="13"/>
  <c r="F12" i="13"/>
  <c r="E23" i="13"/>
  <c r="F21" i="13"/>
  <c r="F20" i="13"/>
  <c r="L19" i="13"/>
  <c r="C11" i="13"/>
  <c r="R12" i="13"/>
  <c r="Q14" i="13"/>
  <c r="N16" i="13"/>
  <c r="L18" i="13"/>
  <c r="P16" i="13"/>
  <c r="O18" i="13"/>
  <c r="F14" i="13"/>
  <c r="L11" i="13"/>
  <c r="N11" i="13"/>
  <c r="S18" i="13"/>
  <c r="C10" i="13"/>
  <c r="J11" i="13"/>
  <c r="Q21" i="13"/>
  <c r="S21" i="13"/>
  <c r="S20" i="13"/>
  <c r="K19" i="13"/>
  <c r="S11" i="13"/>
  <c r="Q13" i="13"/>
  <c r="O15" i="13"/>
  <c r="L17" i="13"/>
  <c r="C9" i="13"/>
  <c r="O17" i="13"/>
  <c r="E8" i="13"/>
  <c r="D15" i="13"/>
  <c r="S9" i="13"/>
  <c r="K12" i="13"/>
  <c r="L12" i="13"/>
  <c r="F8" i="13"/>
  <c r="N10" i="13"/>
  <c r="R23" i="13"/>
  <c r="G9" i="13"/>
  <c r="D23" i="13"/>
  <c r="J22" i="13"/>
  <c r="C21" i="13"/>
  <c r="E21" i="13"/>
  <c r="E20" i="13"/>
  <c r="J19" i="13"/>
  <c r="Q12" i="13"/>
  <c r="P14" i="13"/>
  <c r="M16" i="13"/>
  <c r="K18" i="13"/>
  <c r="S10" i="13"/>
  <c r="N18" i="13"/>
  <c r="R10" i="13"/>
  <c r="I13" i="13"/>
  <c r="J13" i="13"/>
  <c r="E9" i="13"/>
  <c r="K8" i="13"/>
  <c r="R9" i="13"/>
  <c r="O23" i="13"/>
  <c r="P23" i="13"/>
  <c r="I22" i="13"/>
  <c r="P21" i="13"/>
  <c r="R21" i="13"/>
  <c r="I20" i="13"/>
  <c r="I19" i="13"/>
  <c r="O13" i="13"/>
  <c r="N15" i="13"/>
  <c r="K17" i="13"/>
  <c r="M8" i="13"/>
  <c r="M13" i="13"/>
  <c r="O8" i="13"/>
  <c r="Q11" i="13"/>
  <c r="S16" i="13"/>
  <c r="P11" i="13"/>
  <c r="G14" i="13"/>
  <c r="H14" i="13"/>
  <c r="D10" i="13"/>
  <c r="M18" i="13"/>
  <c r="D9" i="13"/>
  <c r="D21" i="13"/>
  <c r="R20" i="13"/>
  <c r="O19" i="13"/>
  <c r="N14" i="13"/>
  <c r="L16" i="13"/>
  <c r="I18" i="13"/>
  <c r="K9" i="13"/>
  <c r="I16" i="13"/>
  <c r="M9" i="13"/>
  <c r="O12" i="13"/>
  <c r="R17" i="13"/>
  <c r="N12" i="13"/>
  <c r="E15" i="13"/>
  <c r="F15" i="13"/>
  <c r="Q17" i="13"/>
  <c r="H8" i="13"/>
  <c r="M21" i="13"/>
  <c r="C20" i="13"/>
  <c r="D19" i="13"/>
  <c r="F19" i="13"/>
  <c r="I17" i="13"/>
  <c r="J8" i="13"/>
  <c r="H10" i="13"/>
  <c r="E12" i="13"/>
  <c r="J10" i="13"/>
  <c r="H12" i="13"/>
  <c r="E18" i="13"/>
  <c r="Q9" i="13"/>
  <c r="I15" i="13"/>
  <c r="S17" i="13"/>
  <c r="N13" i="13"/>
  <c r="K7" i="13"/>
  <c r="K23" i="13"/>
  <c r="N17" i="13"/>
  <c r="R16" i="13"/>
  <c r="J23" i="13"/>
  <c r="M23" i="13"/>
  <c r="H22" i="13"/>
  <c r="O21" i="13"/>
  <c r="D20" i="13"/>
  <c r="N19" i="13"/>
  <c r="M15" i="13"/>
  <c r="J17" i="13"/>
  <c r="L8" i="13"/>
  <c r="I10" i="13"/>
  <c r="N8" i="13"/>
  <c r="K10" i="13"/>
  <c r="K14" i="13"/>
  <c r="P18" i="13"/>
  <c r="L13" i="13"/>
  <c r="C16" i="13"/>
  <c r="E16" i="13"/>
  <c r="R11" i="13"/>
  <c r="C17" i="13"/>
  <c r="J18" i="13"/>
  <c r="Q20" i="13"/>
  <c r="R19" i="13"/>
  <c r="H19" i="13"/>
  <c r="K16" i="13"/>
  <c r="H18" i="13"/>
  <c r="J9" i="13"/>
  <c r="G11" i="13"/>
  <c r="L9" i="13"/>
  <c r="I11" i="13"/>
  <c r="G17" i="13"/>
  <c r="S8" i="13"/>
  <c r="J14" i="13"/>
  <c r="D17" i="13"/>
  <c r="P12" i="13"/>
  <c r="G16" i="13"/>
  <c r="Q10" i="13"/>
  <c r="I23" i="13"/>
  <c r="N22" i="13"/>
  <c r="G22" i="13"/>
  <c r="M7" i="13"/>
  <c r="K15" i="13"/>
  <c r="S13" i="13"/>
  <c r="H15" i="13"/>
  <c r="Q7" i="13"/>
  <c r="F23" i="13"/>
  <c r="L23" i="13"/>
  <c r="F22" i="13"/>
  <c r="L21" i="13"/>
  <c r="C23" i="13"/>
  <c r="K22" i="13"/>
  <c r="S22" i="13"/>
  <c r="K21" i="13"/>
  <c r="P20" i="13"/>
  <c r="L20" i="13"/>
  <c r="Q19" i="13"/>
  <c r="G19" i="13"/>
  <c r="G18" i="13"/>
  <c r="I9" i="13"/>
  <c r="F11" i="13"/>
  <c r="D13" i="13"/>
  <c r="H11" i="13"/>
  <c r="G13" i="13"/>
  <c r="P8" i="13"/>
  <c r="O11" i="13"/>
  <c r="H16" i="13"/>
  <c r="Q18" i="13"/>
  <c r="R18" i="13"/>
  <c r="M14" i="13"/>
  <c r="O14" i="13"/>
  <c r="D16" i="13"/>
  <c r="C7" i="13"/>
  <c r="P22" i="13"/>
  <c r="H23" i="13"/>
  <c r="E22" i="13"/>
  <c r="J21" i="13"/>
  <c r="O20" i="13"/>
  <c r="N20" i="13"/>
  <c r="C19" i="13"/>
  <c r="S19" i="13"/>
  <c r="I8" i="13"/>
  <c r="G10" i="13"/>
  <c r="D12" i="13"/>
  <c r="C14" i="13"/>
  <c r="G12" i="13"/>
  <c r="E14" i="13"/>
  <c r="N9" i="13"/>
  <c r="M12" i="13"/>
  <c r="F17" i="13"/>
  <c r="J15" i="13"/>
  <c r="C8" i="13"/>
  <c r="L15" i="13"/>
  <c r="O22" i="13"/>
  <c r="G23" i="13"/>
  <c r="R22" i="13"/>
  <c r="N21" i="13"/>
  <c r="H20" i="13"/>
  <c r="M20" i="13"/>
  <c r="P19" i="13"/>
  <c r="H9" i="13"/>
  <c r="E11" i="13"/>
  <c r="C13" i="13"/>
  <c r="S14" i="13"/>
  <c r="F13" i="13"/>
  <c r="C15" i="13"/>
  <c r="L10" i="13"/>
  <c r="I14" i="13"/>
  <c r="D18" i="13"/>
  <c r="P10" i="13"/>
  <c r="J16" i="13"/>
  <c r="E13" i="13"/>
  <c r="L14" i="13"/>
  <c r="L7" i="13"/>
  <c r="O7" i="13"/>
  <c r="M11" i="13"/>
  <c r="R7" i="13"/>
  <c r="D7" i="13"/>
  <c r="G7" i="13"/>
  <c r="N3" i="13" a="1"/>
  <c r="N3" i="13" s="1"/>
  <c r="Q3" i="13" a="1"/>
  <c r="Q3" i="13" s="1"/>
  <c r="J7" i="13"/>
  <c r="P7" i="13"/>
  <c r="O3" i="13" a="1"/>
  <c r="O3" i="13" s="1"/>
  <c r="F3" i="13" a="1"/>
  <c r="F3" i="13" s="1"/>
  <c r="S7" i="13"/>
  <c r="G3" i="13" a="1"/>
  <c r="G3" i="13" s="1"/>
  <c r="E7" i="13"/>
  <c r="F7" i="13"/>
  <c r="N7" i="13"/>
  <c r="S3" i="13" a="1"/>
  <c r="S3" i="13" s="1"/>
  <c r="J3" i="13" a="1"/>
  <c r="J3" i="13" s="1"/>
  <c r="R3" i="13" a="1"/>
  <c r="R3" i="13" s="1"/>
  <c r="I7" i="13"/>
  <c r="H7" i="13"/>
  <c r="M3" i="13" a="1"/>
  <c r="M3" i="13" s="1"/>
  <c r="K3" i="13" a="1"/>
  <c r="K3" i="13" s="1"/>
  <c r="L3" i="13" a="1"/>
  <c r="L3" i="13" s="1"/>
  <c r="I3" i="13" a="1"/>
  <c r="I3" i="13" s="1"/>
  <c r="H3" i="13" a="1"/>
  <c r="H3" i="13" s="1"/>
  <c r="P3" i="13" a="1"/>
  <c r="P3" i="13" s="1"/>
  <c r="D3" i="13" a="1"/>
  <c r="D3" i="13" s="1"/>
  <c r="C3" i="13" a="1"/>
  <c r="C3" i="13" s="1"/>
  <c r="E3" i="13" a="1"/>
  <c r="E3" i="13" s="1"/>
  <c r="P5" i="5"/>
  <c r="P6" i="13"/>
  <c r="I6" i="13"/>
  <c r="O6" i="13"/>
  <c r="N6" i="13"/>
  <c r="M6" i="13"/>
  <c r="L6" i="13"/>
  <c r="K6" i="13"/>
  <c r="J6" i="13"/>
  <c r="B4" i="13"/>
  <c r="H6" i="13"/>
  <c r="G6" i="13"/>
  <c r="F6" i="13"/>
  <c r="E6" i="13"/>
  <c r="R6" i="13"/>
  <c r="D6" i="13"/>
  <c r="Q6" i="13"/>
  <c r="C6" i="13"/>
  <c r="S6" i="13"/>
  <c r="B29" i="13" l="1"/>
  <c r="B36" i="13"/>
  <c r="B43" i="13"/>
  <c r="B50" i="13"/>
  <c r="B57" i="13"/>
  <c r="B64" i="13"/>
  <c r="B71" i="13"/>
  <c r="B78" i="13"/>
  <c r="B85" i="13"/>
  <c r="B26" i="13"/>
  <c r="B33" i="13"/>
  <c r="B40" i="13"/>
  <c r="B47" i="13"/>
  <c r="B54" i="13"/>
  <c r="B61" i="13"/>
  <c r="B68" i="13"/>
  <c r="B75" i="13"/>
  <c r="B82" i="13"/>
  <c r="B89" i="13"/>
  <c r="B30" i="13"/>
  <c r="B37" i="13"/>
  <c r="B44" i="13"/>
  <c r="B51" i="13"/>
  <c r="B58" i="13"/>
  <c r="B65" i="13"/>
  <c r="B72" i="13"/>
  <c r="B79" i="13"/>
  <c r="B86" i="13"/>
  <c r="B27" i="13"/>
  <c r="B34" i="13"/>
  <c r="B41" i="13"/>
  <c r="B48" i="13"/>
  <c r="B55" i="13"/>
  <c r="B62" i="13"/>
  <c r="B69" i="13"/>
  <c r="B76" i="13"/>
  <c r="B83" i="13"/>
  <c r="B90" i="13"/>
  <c r="B25" i="13"/>
  <c r="B32" i="13"/>
  <c r="B39" i="13"/>
  <c r="B46" i="13"/>
  <c r="B53" i="13"/>
  <c r="B60" i="13"/>
  <c r="B67" i="13"/>
  <c r="B74" i="13"/>
  <c r="B81" i="13"/>
  <c r="B88" i="13"/>
  <c r="B98" i="13"/>
  <c r="B105" i="13"/>
  <c r="B112" i="13"/>
  <c r="B119" i="13"/>
  <c r="B126" i="13"/>
  <c r="B133" i="13"/>
  <c r="B42" i="13"/>
  <c r="B45" i="13"/>
  <c r="B91" i="13"/>
  <c r="B95" i="13"/>
  <c r="B102" i="13"/>
  <c r="B109" i="13"/>
  <c r="B116" i="13"/>
  <c r="B123" i="13"/>
  <c r="B130" i="13"/>
  <c r="B56" i="13"/>
  <c r="B59" i="13"/>
  <c r="B92" i="13"/>
  <c r="B99" i="13"/>
  <c r="B106" i="13"/>
  <c r="B113" i="13"/>
  <c r="B120" i="13"/>
  <c r="B127" i="13"/>
  <c r="B134" i="13"/>
  <c r="B70" i="13"/>
  <c r="B73" i="13"/>
  <c r="B96" i="13"/>
  <c r="B103" i="13"/>
  <c r="B110" i="13"/>
  <c r="B117" i="13"/>
  <c r="B124" i="13"/>
  <c r="B131" i="13"/>
  <c r="B35" i="13"/>
  <c r="B38" i="13"/>
  <c r="B84" i="13"/>
  <c r="B87" i="13"/>
  <c r="B93" i="13"/>
  <c r="B100" i="13"/>
  <c r="B107" i="13"/>
  <c r="B114" i="13"/>
  <c r="B121" i="13"/>
  <c r="B128" i="13"/>
  <c r="B135" i="13"/>
  <c r="B49" i="13"/>
  <c r="B52" i="13"/>
  <c r="B97" i="13"/>
  <c r="B104" i="13"/>
  <c r="B111" i="13"/>
  <c r="B118" i="13"/>
  <c r="B125" i="13"/>
  <c r="B132" i="13"/>
  <c r="B63" i="13"/>
  <c r="B66" i="13"/>
  <c r="B94" i="13"/>
  <c r="B101" i="13"/>
  <c r="B108" i="13"/>
  <c r="B115" i="13"/>
  <c r="B122" i="13"/>
  <c r="B129" i="13"/>
  <c r="B136" i="13"/>
  <c r="B28" i="13"/>
  <c r="B31" i="13"/>
  <c r="B77" i="13"/>
  <c r="B80" i="13"/>
  <c r="B143" i="13"/>
  <c r="B150" i="13"/>
  <c r="B157" i="13"/>
  <c r="B164" i="13"/>
  <c r="B171" i="13"/>
  <c r="B178" i="13"/>
  <c r="B185" i="13"/>
  <c r="B192" i="13"/>
  <c r="B199" i="13"/>
  <c r="B140" i="13"/>
  <c r="B147" i="13"/>
  <c r="B154" i="13"/>
  <c r="B161" i="13"/>
  <c r="B168" i="13"/>
  <c r="B175" i="13"/>
  <c r="B182" i="13"/>
  <c r="B189" i="13"/>
  <c r="B196" i="13"/>
  <c r="B144" i="13"/>
  <c r="B151" i="13"/>
  <c r="B158" i="13"/>
  <c r="B165" i="13"/>
  <c r="B172" i="13"/>
  <c r="B179" i="13"/>
  <c r="B186" i="13"/>
  <c r="B193" i="13"/>
  <c r="B200" i="13"/>
  <c r="B141" i="13"/>
  <c r="B148" i="13"/>
  <c r="B155" i="13"/>
  <c r="B162" i="13"/>
  <c r="B169" i="13"/>
  <c r="B176" i="13"/>
  <c r="B183" i="13"/>
  <c r="B190" i="13"/>
  <c r="B197" i="13"/>
  <c r="B145" i="13"/>
  <c r="B152" i="13"/>
  <c r="B159" i="13"/>
  <c r="B166" i="13"/>
  <c r="B173" i="13"/>
  <c r="B180" i="13"/>
  <c r="B187" i="13"/>
  <c r="B194" i="13"/>
  <c r="B201" i="13"/>
  <c r="B137" i="13"/>
  <c r="B138" i="13"/>
  <c r="B142" i="13"/>
  <c r="B149" i="13"/>
  <c r="B156" i="13"/>
  <c r="B163" i="13"/>
  <c r="B170" i="13"/>
  <c r="B177" i="13"/>
  <c r="B184" i="13"/>
  <c r="B191" i="13"/>
  <c r="B198" i="13"/>
  <c r="B139" i="13"/>
  <c r="B146" i="13"/>
  <c r="B153" i="13"/>
  <c r="B160" i="13"/>
  <c r="B167" i="13"/>
  <c r="B174" i="13"/>
  <c r="B181" i="13"/>
  <c r="B188" i="13"/>
  <c r="B195" i="13"/>
  <c r="B202" i="13"/>
  <c r="B210" i="13"/>
  <c r="B217" i="13"/>
  <c r="B224" i="13"/>
  <c r="B231" i="13"/>
  <c r="B238" i="13"/>
  <c r="B22" i="13"/>
  <c r="B203" i="13"/>
  <c r="B24" i="13"/>
  <c r="B207" i="13"/>
  <c r="B214" i="13"/>
  <c r="B221" i="13"/>
  <c r="B228" i="13"/>
  <c r="B235" i="13"/>
  <c r="B242" i="13"/>
  <c r="B204" i="13"/>
  <c r="B211" i="13"/>
  <c r="B218" i="13"/>
  <c r="B225" i="13"/>
  <c r="B232" i="13"/>
  <c r="B239" i="13"/>
  <c r="B208" i="13"/>
  <c r="B215" i="13"/>
  <c r="B222" i="13"/>
  <c r="B229" i="13"/>
  <c r="B236" i="13"/>
  <c r="B243" i="13"/>
  <c r="B205" i="13"/>
  <c r="B212" i="13"/>
  <c r="B219" i="13"/>
  <c r="B226" i="13"/>
  <c r="B233" i="13"/>
  <c r="B240" i="13"/>
  <c r="B209" i="13"/>
  <c r="B216" i="13"/>
  <c r="B223" i="13"/>
  <c r="B230" i="13"/>
  <c r="B237" i="13"/>
  <c r="B244" i="13"/>
  <c r="B206" i="13"/>
  <c r="B213" i="13"/>
  <c r="B220" i="13"/>
  <c r="B227" i="13"/>
  <c r="B234" i="13"/>
  <c r="B241" i="13"/>
  <c r="B19" i="13"/>
  <c r="B14" i="13"/>
  <c r="B15" i="13"/>
  <c r="B12" i="13"/>
  <c r="B9" i="13"/>
  <c r="B10" i="13"/>
  <c r="B16" i="13"/>
  <c r="B21" i="13"/>
  <c r="B11" i="13"/>
  <c r="B18" i="13"/>
  <c r="B23" i="13"/>
  <c r="B20" i="13"/>
  <c r="B17" i="13"/>
  <c r="B13" i="13"/>
  <c r="B8" i="13"/>
  <c r="B3" i="13" a="1"/>
  <c r="B3" i="13" s="1"/>
  <c r="B7" i="13"/>
  <c r="B6" i="13"/>
  <c r="H4" i="4" l="1"/>
  <c r="S19" i="4"/>
  <c r="S26" i="4"/>
  <c r="W63" i="17" s="1"/>
  <c r="S33" i="4"/>
  <c r="S40" i="4"/>
  <c r="S47" i="4"/>
  <c r="S54" i="4"/>
  <c r="S61" i="4"/>
  <c r="S68" i="4"/>
  <c r="S75" i="4"/>
  <c r="S82" i="4"/>
  <c r="S89" i="4"/>
  <c r="S96" i="4"/>
  <c r="S103" i="4"/>
  <c r="S110" i="4"/>
  <c r="Q112" i="4"/>
  <c r="O114" i="4"/>
  <c r="S117" i="4"/>
  <c r="Q119" i="4"/>
  <c r="O121" i="4"/>
  <c r="S124" i="4"/>
  <c r="Q126" i="4"/>
  <c r="O128" i="4"/>
  <c r="S131" i="4"/>
  <c r="Q133" i="4"/>
  <c r="O135" i="4"/>
  <c r="S138" i="4"/>
  <c r="Q140" i="4"/>
  <c r="O142" i="4"/>
  <c r="S145" i="4"/>
  <c r="Q147" i="4"/>
  <c r="O149" i="4"/>
  <c r="H8" i="4"/>
  <c r="H23" i="4"/>
  <c r="S24" i="4"/>
  <c r="R26" i="4"/>
  <c r="V63" i="17" s="1"/>
  <c r="R28" i="4"/>
  <c r="CP36" i="4"/>
  <c r="S41" i="4"/>
  <c r="R43" i="4"/>
  <c r="S58" i="4"/>
  <c r="R60" i="4"/>
  <c r="CP68" i="4"/>
  <c r="S73" i="4"/>
  <c r="R75" i="4"/>
  <c r="R77" i="4"/>
  <c r="S90" i="4"/>
  <c r="R92" i="4"/>
  <c r="CP100" i="4"/>
  <c r="S107" i="4"/>
  <c r="R109" i="4"/>
  <c r="Q111" i="4"/>
  <c r="P113" i="4"/>
  <c r="O115" i="4"/>
  <c r="N117" i="4"/>
  <c r="H121" i="4"/>
  <c r="I121" i="4" s="1"/>
  <c r="S122" i="4"/>
  <c r="R124" i="4"/>
  <c r="R126" i="4"/>
  <c r="Q128" i="4"/>
  <c r="P130" i="4"/>
  <c r="O132" i="4"/>
  <c r="N134" i="4"/>
  <c r="H138" i="4"/>
  <c r="I138" i="4" s="1"/>
  <c r="S139" i="4"/>
  <c r="R141" i="4"/>
  <c r="Q143" i="4"/>
  <c r="P145" i="4"/>
  <c r="O147" i="4"/>
  <c r="N149" i="4"/>
  <c r="N151" i="4"/>
  <c r="H153" i="4"/>
  <c r="I153" i="4" s="1"/>
  <c r="R154" i="4"/>
  <c r="P156" i="4"/>
  <c r="N158" i="4"/>
  <c r="CP158" i="4" s="1"/>
  <c r="H160" i="4"/>
  <c r="I160" i="4" s="1"/>
  <c r="R161" i="4"/>
  <c r="Q63" i="17"/>
  <c r="R30" i="4"/>
  <c r="R32" i="4"/>
  <c r="R34" i="4"/>
  <c r="R36" i="4"/>
  <c r="R38" i="4"/>
  <c r="R40" i="4"/>
  <c r="S42" i="4"/>
  <c r="S44" i="4"/>
  <c r="S46" i="4"/>
  <c r="S48" i="4"/>
  <c r="S50" i="4"/>
  <c r="S52" i="4"/>
  <c r="CP67" i="4"/>
  <c r="CP69" i="4"/>
  <c r="CP75" i="4"/>
  <c r="CP77" i="4"/>
  <c r="CP79" i="4"/>
  <c r="R105" i="4"/>
  <c r="R107" i="4"/>
  <c r="S109" i="4"/>
  <c r="S111" i="4"/>
  <c r="S113" i="4"/>
  <c r="S115" i="4"/>
  <c r="H118" i="4"/>
  <c r="I118" i="4" s="1"/>
  <c r="H120" i="4"/>
  <c r="I120" i="4" s="1"/>
  <c r="H122" i="4"/>
  <c r="I122" i="4" s="1"/>
  <c r="H124" i="4"/>
  <c r="I124" i="4" s="1"/>
  <c r="H126" i="4"/>
  <c r="I126" i="4" s="1"/>
  <c r="H128" i="4"/>
  <c r="I128" i="4" s="1"/>
  <c r="H130" i="4"/>
  <c r="I130" i="4" s="1"/>
  <c r="N136" i="4"/>
  <c r="CP136" i="4" s="1"/>
  <c r="N138" i="4"/>
  <c r="CP138" i="4" s="1"/>
  <c r="N140" i="4"/>
  <c r="N142" i="4"/>
  <c r="CP142" i="4" s="1"/>
  <c r="O144" i="4"/>
  <c r="O146" i="4"/>
  <c r="O148" i="4"/>
  <c r="O150" i="4"/>
  <c r="O152" i="4"/>
  <c r="N154" i="4"/>
  <c r="CP154" i="4" s="1"/>
  <c r="H158" i="4"/>
  <c r="I158" i="4" s="1"/>
  <c r="S159" i="4"/>
  <c r="S161" i="4"/>
  <c r="Q163" i="4"/>
  <c r="O165" i="4"/>
  <c r="S168" i="4"/>
  <c r="Q170" i="4"/>
  <c r="O172" i="4"/>
  <c r="S175" i="4"/>
  <c r="Q177" i="4"/>
  <c r="O179" i="4"/>
  <c r="S182" i="4"/>
  <c r="Q184" i="4"/>
  <c r="O186" i="4"/>
  <c r="S189" i="4"/>
  <c r="Q191" i="4"/>
  <c r="O193" i="4"/>
  <c r="S196" i="4"/>
  <c r="Q198" i="4"/>
  <c r="O200" i="4"/>
  <c r="S203" i="4"/>
  <c r="Q205" i="4"/>
  <c r="O207" i="4"/>
  <c r="S210" i="4"/>
  <c r="Q212" i="4"/>
  <c r="O214" i="4"/>
  <c r="S217" i="4"/>
  <c r="Q219" i="4"/>
  <c r="O221" i="4"/>
  <c r="S224" i="4"/>
  <c r="Q226" i="4"/>
  <c r="O228" i="4"/>
  <c r="S231" i="4"/>
  <c r="Q233" i="4"/>
  <c r="U233" i="4" s="1"/>
  <c r="O235" i="4"/>
  <c r="S238" i="4"/>
  <c r="Q240" i="4"/>
  <c r="O242" i="4"/>
  <c r="S245" i="4"/>
  <c r="Q247" i="4"/>
  <c r="O249" i="4"/>
  <c r="S252" i="4"/>
  <c r="Q254" i="4"/>
  <c r="O256" i="4"/>
  <c r="S259" i="4"/>
  <c r="Q261" i="4"/>
  <c r="O263" i="4"/>
  <c r="S266" i="4"/>
  <c r="Q268" i="4"/>
  <c r="I271" i="5" s="1"/>
  <c r="O270" i="4"/>
  <c r="S273" i="4"/>
  <c r="Q275" i="4"/>
  <c r="O277" i="4"/>
  <c r="S280" i="4"/>
  <c r="Q282" i="4"/>
  <c r="I285" i="5" s="1"/>
  <c r="O284" i="4"/>
  <c r="S287" i="4"/>
  <c r="Q289" i="4"/>
  <c r="O291" i="4"/>
  <c r="S294" i="4"/>
  <c r="Q296" i="4"/>
  <c r="O298" i="4"/>
  <c r="S301" i="4"/>
  <c r="Q303" i="4"/>
  <c r="O305" i="4"/>
  <c r="S308" i="4"/>
  <c r="Q310" i="4"/>
  <c r="O312" i="4"/>
  <c r="S315" i="4"/>
  <c r="Q317" i="4"/>
  <c r="O319" i="4"/>
  <c r="S21" i="4"/>
  <c r="H24" i="4"/>
  <c r="CP28" i="4"/>
  <c r="S32" i="4"/>
  <c r="S45" i="4"/>
  <c r="CP50" i="4"/>
  <c r="R56" i="4"/>
  <c r="R67" i="4"/>
  <c r="S69" i="4"/>
  <c r="R80" i="4"/>
  <c r="S91" i="4"/>
  <c r="CP98" i="4"/>
  <c r="R102" i="4"/>
  <c r="S104" i="4"/>
  <c r="O111" i="4"/>
  <c r="Q113" i="4"/>
  <c r="R115" i="4"/>
  <c r="N120" i="4"/>
  <c r="O122" i="4"/>
  <c r="P124" i="4"/>
  <c r="S126" i="4"/>
  <c r="H129" i="4"/>
  <c r="I129" i="4" s="1"/>
  <c r="N133" i="4"/>
  <c r="CP133" i="4" s="1"/>
  <c r="P135" i="4"/>
  <c r="Q137" i="4"/>
  <c r="R139" i="4"/>
  <c r="H142" i="4"/>
  <c r="I142" i="4" s="1"/>
  <c r="N144" i="4"/>
  <c r="P146" i="4"/>
  <c r="Q148" i="4"/>
  <c r="R150" i="4"/>
  <c r="S152" i="4"/>
  <c r="H155" i="4"/>
  <c r="I155" i="4" s="1"/>
  <c r="H157" i="4"/>
  <c r="I157" i="4" s="1"/>
  <c r="H159" i="4"/>
  <c r="I159" i="4" s="1"/>
  <c r="H161" i="4"/>
  <c r="I161" i="4" s="1"/>
  <c r="H163" i="4"/>
  <c r="I163" i="4" s="1"/>
  <c r="S164" i="4"/>
  <c r="R166" i="4"/>
  <c r="Q168" i="4"/>
  <c r="P170" i="4"/>
  <c r="P172" i="4"/>
  <c r="O174" i="4"/>
  <c r="N176" i="4"/>
  <c r="H180" i="4"/>
  <c r="I180" i="4" s="1"/>
  <c r="S181" i="4"/>
  <c r="R183" i="4"/>
  <c r="Q185" i="4"/>
  <c r="P187" i="4"/>
  <c r="O189" i="4"/>
  <c r="N191" i="4"/>
  <c r="H195" i="4"/>
  <c r="I195" i="4" s="1"/>
  <c r="H197" i="4"/>
  <c r="I197" i="4" s="1"/>
  <c r="S198" i="4"/>
  <c r="R200" i="4"/>
  <c r="Q202" i="4"/>
  <c r="P204" i="4"/>
  <c r="O206" i="4"/>
  <c r="N208" i="4"/>
  <c r="H212" i="4"/>
  <c r="I212" i="4" s="1"/>
  <c r="S213" i="4"/>
  <c r="R215" i="4"/>
  <c r="Q217" i="4"/>
  <c r="P219" i="4"/>
  <c r="P221" i="4"/>
  <c r="O223" i="4"/>
  <c r="N225" i="4"/>
  <c r="CP225" i="4" s="1"/>
  <c r="H229" i="4"/>
  <c r="I229" i="4" s="1"/>
  <c r="S230" i="4"/>
  <c r="R232" i="4"/>
  <c r="Q234" i="4"/>
  <c r="P236" i="4"/>
  <c r="O238" i="4"/>
  <c r="N240" i="4"/>
  <c r="H244" i="4"/>
  <c r="I244" i="4" s="1"/>
  <c r="H246" i="4"/>
  <c r="I246" i="4" s="1"/>
  <c r="S247" i="4"/>
  <c r="R249" i="4"/>
  <c r="Q251" i="4"/>
  <c r="P253" i="4"/>
  <c r="O255" i="4"/>
  <c r="N257" i="4"/>
  <c r="H260" i="5" s="1"/>
  <c r="H261" i="4"/>
  <c r="I261" i="4" s="1"/>
  <c r="S262" i="4"/>
  <c r="R264" i="4"/>
  <c r="Q266" i="4"/>
  <c r="P268" i="4"/>
  <c r="P270" i="4"/>
  <c r="O272" i="4"/>
  <c r="N274" i="4"/>
  <c r="H278" i="4"/>
  <c r="I278" i="4" s="1"/>
  <c r="S279" i="4"/>
  <c r="R281" i="4"/>
  <c r="Q283" i="4"/>
  <c r="P285" i="4"/>
  <c r="O287" i="4"/>
  <c r="N289" i="4"/>
  <c r="H292" i="5" s="1"/>
  <c r="H293" i="4"/>
  <c r="I293" i="4" s="1"/>
  <c r="H295" i="4"/>
  <c r="I295" i="4" s="1"/>
  <c r="S296" i="4"/>
  <c r="R298" i="4"/>
  <c r="Q300" i="4"/>
  <c r="P302" i="4"/>
  <c r="O304" i="4"/>
  <c r="N306" i="4"/>
  <c r="H310" i="4"/>
  <c r="I310" i="4" s="1"/>
  <c r="S311" i="4"/>
  <c r="R313" i="4"/>
  <c r="Q315" i="4"/>
  <c r="P317" i="4"/>
  <c r="P319" i="4"/>
  <c r="O321" i="4"/>
  <c r="S324" i="4"/>
  <c r="Q326" i="4"/>
  <c r="O328" i="4"/>
  <c r="S331" i="4"/>
  <c r="Q333" i="4"/>
  <c r="O335" i="4"/>
  <c r="S338" i="4"/>
  <c r="Q340" i="4"/>
  <c r="O342" i="4"/>
  <c r="S345" i="4"/>
  <c r="Q347" i="4"/>
  <c r="O349" i="4"/>
  <c r="S352" i="4"/>
  <c r="Q354" i="4"/>
  <c r="O356" i="4"/>
  <c r="S359" i="4"/>
  <c r="Q361" i="4"/>
  <c r="O363" i="4"/>
  <c r="S366" i="4"/>
  <c r="Q368" i="4"/>
  <c r="O370" i="4"/>
  <c r="S373" i="4"/>
  <c r="Q375" i="4"/>
  <c r="O377" i="4"/>
  <c r="S380" i="4"/>
  <c r="Q382" i="4"/>
  <c r="O384" i="4"/>
  <c r="S387" i="4"/>
  <c r="Q389" i="4"/>
  <c r="O391" i="4"/>
  <c r="S394" i="4"/>
  <c r="Q396" i="4"/>
  <c r="O398" i="4"/>
  <c r="S401" i="4"/>
  <c r="Q403" i="4"/>
  <c r="O405" i="4"/>
  <c r="H11" i="4"/>
  <c r="R19" i="4"/>
  <c r="H22" i="4"/>
  <c r="S30" i="4"/>
  <c r="CP37" i="4"/>
  <c r="S43" i="4"/>
  <c r="S56" i="4"/>
  <c r="CP59" i="4"/>
  <c r="R65" i="4"/>
  <c r="S67" i="4"/>
  <c r="R78" i="4"/>
  <c r="S80" i="4"/>
  <c r="R89" i="4"/>
  <c r="R100" i="4"/>
  <c r="S102" i="4"/>
  <c r="P111" i="4"/>
  <c r="R113" i="4"/>
  <c r="H116" i="4"/>
  <c r="I116" i="4" s="1"/>
  <c r="N118" i="4"/>
  <c r="CP118" i="4" s="1"/>
  <c r="O120" i="4"/>
  <c r="P122" i="4"/>
  <c r="Q124" i="4"/>
  <c r="H127" i="4"/>
  <c r="I127" i="4" s="1"/>
  <c r="N131" i="4"/>
  <c r="O133" i="4"/>
  <c r="Q135" i="4"/>
  <c r="R137" i="4"/>
  <c r="H140" i="4"/>
  <c r="I140" i="4" s="1"/>
  <c r="P144" i="4"/>
  <c r="Q146" i="4"/>
  <c r="R148" i="4"/>
  <c r="S150" i="4"/>
  <c r="H165" i="4"/>
  <c r="I165" i="4" s="1"/>
  <c r="S166" i="4"/>
  <c r="R168" i="4"/>
  <c r="R170" i="4"/>
  <c r="Q172" i="4"/>
  <c r="P174" i="4"/>
  <c r="O176" i="4"/>
  <c r="N178" i="4"/>
  <c r="H182" i="4"/>
  <c r="I182" i="4" s="1"/>
  <c r="S183" i="4"/>
  <c r="R185" i="4"/>
  <c r="Q187" i="4"/>
  <c r="P189" i="4"/>
  <c r="O191" i="4"/>
  <c r="N193" i="4"/>
  <c r="N195" i="4"/>
  <c r="H199" i="4"/>
  <c r="I199" i="4" s="1"/>
  <c r="S200" i="4"/>
  <c r="R202" i="4"/>
  <c r="Q204" i="4"/>
  <c r="P206" i="4"/>
  <c r="O208" i="4"/>
  <c r="N210" i="4"/>
  <c r="CP210" i="4" s="1"/>
  <c r="H214" i="4"/>
  <c r="I214" i="4" s="1"/>
  <c r="S215" i="4"/>
  <c r="R217" i="4"/>
  <c r="R219" i="4"/>
  <c r="Q221" i="4"/>
  <c r="CQ9" i="4"/>
  <c r="H20" i="4"/>
  <c r="H25" i="4"/>
  <c r="S29" i="4"/>
  <c r="R37" i="4"/>
  <c r="R42" i="4"/>
  <c r="CP45" i="4"/>
  <c r="R47" i="4"/>
  <c r="S65" i="4"/>
  <c r="S70" i="4"/>
  <c r="R83" i="4"/>
  <c r="R93" i="4"/>
  <c r="S108" i="4"/>
  <c r="R111" i="4"/>
  <c r="N114" i="4"/>
  <c r="R116" i="4"/>
  <c r="N119" i="4"/>
  <c r="R121" i="4"/>
  <c r="N124" i="4"/>
  <c r="P129" i="4"/>
  <c r="H132" i="4"/>
  <c r="I132" i="4" s="1"/>
  <c r="Q134" i="4"/>
  <c r="H137" i="4"/>
  <c r="I137" i="4" s="1"/>
  <c r="P139" i="4"/>
  <c r="P142" i="4"/>
  <c r="S144" i="4"/>
  <c r="N147" i="4"/>
  <c r="S149" i="4"/>
  <c r="N152" i="4"/>
  <c r="Q154" i="4"/>
  <c r="N157" i="4"/>
  <c r="CP157" i="4" s="1"/>
  <c r="P159" i="4"/>
  <c r="H162" i="4"/>
  <c r="I162" i="4" s="1"/>
  <c r="N166" i="4"/>
  <c r="O168" i="4"/>
  <c r="S170" i="4"/>
  <c r="H173" i="4"/>
  <c r="I173" i="4" s="1"/>
  <c r="N177" i="4"/>
  <c r="CP177" i="4" s="1"/>
  <c r="P179" i="4"/>
  <c r="Q181" i="4"/>
  <c r="H184" i="4"/>
  <c r="I184" i="4" s="1"/>
  <c r="O188" i="4"/>
  <c r="P190" i="4"/>
  <c r="Q192" i="4"/>
  <c r="R194" i="4"/>
  <c r="N197" i="4"/>
  <c r="O199" i="4"/>
  <c r="P201" i="4"/>
  <c r="Q203" i="4"/>
  <c r="S205" i="4"/>
  <c r="H208" i="4"/>
  <c r="I208" i="4" s="1"/>
  <c r="O210" i="4"/>
  <c r="P212" i="4"/>
  <c r="R214" i="4"/>
  <c r="S216" i="4"/>
  <c r="H219" i="4"/>
  <c r="I219" i="4" s="1"/>
  <c r="P223" i="4"/>
  <c r="P225" i="4"/>
  <c r="P227" i="4"/>
  <c r="P229" i="4"/>
  <c r="P231" i="4"/>
  <c r="P233" i="4"/>
  <c r="Q235" i="4"/>
  <c r="U235" i="4" s="1"/>
  <c r="Q237" i="4"/>
  <c r="Q239" i="4"/>
  <c r="Q241" i="4"/>
  <c r="Q243" i="4"/>
  <c r="Q245" i="4"/>
  <c r="R247" i="4"/>
  <c r="S249" i="4"/>
  <c r="S251" i="4"/>
  <c r="S253" i="4"/>
  <c r="S255" i="4"/>
  <c r="S257" i="4"/>
  <c r="H260" i="4"/>
  <c r="I260" i="4" s="1"/>
  <c r="H262" i="4"/>
  <c r="I262" i="4" s="1"/>
  <c r="H264" i="4"/>
  <c r="I264" i="4" s="1"/>
  <c r="H266" i="4"/>
  <c r="I266" i="4" s="1"/>
  <c r="H268" i="4"/>
  <c r="I268" i="4" s="1"/>
  <c r="H270" i="4"/>
  <c r="I270" i="4" s="1"/>
  <c r="H272" i="4"/>
  <c r="I272" i="4" s="1"/>
  <c r="N276" i="4"/>
  <c r="N278" i="4"/>
  <c r="N280" i="4"/>
  <c r="N282" i="4"/>
  <c r="H285" i="5" s="1"/>
  <c r="N284" i="4"/>
  <c r="H287" i="5" s="1"/>
  <c r="O286" i="4"/>
  <c r="O288" i="4"/>
  <c r="O290" i="4"/>
  <c r="O292" i="4"/>
  <c r="O294" i="4"/>
  <c r="O296" i="4"/>
  <c r="P298" i="4"/>
  <c r="P300" i="4"/>
  <c r="Q302" i="4"/>
  <c r="Q304" i="4"/>
  <c r="Q306" i="4"/>
  <c r="Q308" i="4"/>
  <c r="R310" i="4"/>
  <c r="R312" i="4"/>
  <c r="R314" i="4"/>
  <c r="R316" i="4"/>
  <c r="R318" i="4"/>
  <c r="R320" i="4"/>
  <c r="R322" i="4"/>
  <c r="Q324" i="4"/>
  <c r="P326" i="4"/>
  <c r="P328" i="4"/>
  <c r="O330" i="4"/>
  <c r="N332" i="4"/>
  <c r="H336" i="4"/>
  <c r="I336" i="4" s="1"/>
  <c r="S337" i="4"/>
  <c r="R339" i="4"/>
  <c r="Q341" i="4"/>
  <c r="P343" i="4"/>
  <c r="O345" i="4"/>
  <c r="N347" i="4"/>
  <c r="H351" i="4"/>
  <c r="I351" i="4" s="1"/>
  <c r="H353" i="4"/>
  <c r="I353" i="4" s="1"/>
  <c r="S354" i="4"/>
  <c r="R356" i="4"/>
  <c r="Q358" i="4"/>
  <c r="P360" i="4"/>
  <c r="O362" i="4"/>
  <c r="N364" i="4"/>
  <c r="H368" i="4"/>
  <c r="I368" i="4" s="1"/>
  <c r="S369" i="4"/>
  <c r="R371" i="4"/>
  <c r="Q373" i="4"/>
  <c r="P375" i="4"/>
  <c r="P377" i="4"/>
  <c r="O379" i="4"/>
  <c r="N381" i="4"/>
  <c r="H385" i="4"/>
  <c r="I385" i="4" s="1"/>
  <c r="S386" i="4"/>
  <c r="R388" i="4"/>
  <c r="Q390" i="4"/>
  <c r="P392" i="4"/>
  <c r="O394" i="4"/>
  <c r="N396" i="4"/>
  <c r="H400" i="4"/>
  <c r="I400" i="4" s="1"/>
  <c r="H402" i="4"/>
  <c r="I402" i="4" s="1"/>
  <c r="S403" i="4"/>
  <c r="R405" i="4"/>
  <c r="CP7" i="4"/>
  <c r="CP25" i="4"/>
  <c r="S37" i="4"/>
  <c r="R55" i="4"/>
  <c r="S83" i="4"/>
  <c r="CP86" i="4"/>
  <c r="R88" i="4"/>
  <c r="S93" i="4"/>
  <c r="H112" i="4"/>
  <c r="I112" i="4" s="1"/>
  <c r="P114" i="4"/>
  <c r="S116" i="4"/>
  <c r="O119" i="4"/>
  <c r="S121" i="4"/>
  <c r="O124" i="4"/>
  <c r="N127" i="4"/>
  <c r="Q129" i="4"/>
  <c r="N132" i="4"/>
  <c r="R134" i="4"/>
  <c r="N137" i="4"/>
  <c r="Q139" i="4"/>
  <c r="Q142" i="4"/>
  <c r="H145" i="4"/>
  <c r="I145" i="4" s="1"/>
  <c r="P147" i="4"/>
  <c r="H150" i="4"/>
  <c r="I150" i="4" s="1"/>
  <c r="P152" i="4"/>
  <c r="S154" i="4"/>
  <c r="O157" i="4"/>
  <c r="Q159" i="4"/>
  <c r="N164" i="4"/>
  <c r="CP164" i="4" s="1"/>
  <c r="O166" i="4"/>
  <c r="P168" i="4"/>
  <c r="H171" i="4"/>
  <c r="I171" i="4" s="1"/>
  <c r="N175" i="4"/>
  <c r="O177" i="4"/>
  <c r="Q179" i="4"/>
  <c r="R181" i="4"/>
  <c r="N186" i="4"/>
  <c r="CP186" i="4" s="1"/>
  <c r="P188" i="4"/>
  <c r="Q190" i="4"/>
  <c r="R192" i="4"/>
  <c r="S194" i="4"/>
  <c r="O197" i="4"/>
  <c r="P199" i="4"/>
  <c r="Q201" i="4"/>
  <c r="R203" i="4"/>
  <c r="H206" i="4"/>
  <c r="I206" i="4" s="1"/>
  <c r="P210" i="4"/>
  <c r="R212" i="4"/>
  <c r="S214" i="4"/>
  <c r="H217" i="4"/>
  <c r="I217" i="4" s="1"/>
  <c r="N221" i="4"/>
  <c r="CP221" i="4" s="1"/>
  <c r="Q223" i="4"/>
  <c r="Q225" i="4"/>
  <c r="Q227" i="4"/>
  <c r="Q229" i="4"/>
  <c r="Q231" i="4"/>
  <c r="R233" i="4"/>
  <c r="R235" i="4"/>
  <c r="R237" i="4"/>
  <c r="R239" i="4"/>
  <c r="R241" i="4"/>
  <c r="R243" i="4"/>
  <c r="R245" i="4"/>
  <c r="H248" i="4"/>
  <c r="I248" i="4" s="1"/>
  <c r="H250" i="4"/>
  <c r="I250" i="4" s="1"/>
  <c r="H252" i="4"/>
  <c r="I252" i="4" s="1"/>
  <c r="H254" i="4"/>
  <c r="I254" i="4" s="1"/>
  <c r="H256" i="4"/>
  <c r="I256" i="4" s="1"/>
  <c r="H258" i="4"/>
  <c r="I258" i="4" s="1"/>
  <c r="N272" i="4"/>
  <c r="O274" i="4"/>
  <c r="O276" i="4"/>
  <c r="O278" i="4"/>
  <c r="O280" i="4"/>
  <c r="O282" i="4"/>
  <c r="P284" i="4"/>
  <c r="P286" i="4"/>
  <c r="P288" i="4"/>
  <c r="P290" i="4"/>
  <c r="P292" i="4"/>
  <c r="P294" i="4"/>
  <c r="P296" i="4"/>
  <c r="Q298" i="4"/>
  <c r="R300" i="4"/>
  <c r="R302" i="4"/>
  <c r="R304" i="4"/>
  <c r="R306" i="4"/>
  <c r="R308" i="4"/>
  <c r="S310" i="4"/>
  <c r="S312" i="4"/>
  <c r="S314" i="4"/>
  <c r="S316" i="4"/>
  <c r="S318" i="4"/>
  <c r="S320" i="4"/>
  <c r="S322" i="4"/>
  <c r="R324" i="4"/>
  <c r="R326" i="4"/>
  <c r="Q328" i="4"/>
  <c r="P330" i="4"/>
  <c r="O332" i="4"/>
  <c r="N334" i="4"/>
  <c r="H338" i="4"/>
  <c r="I338" i="4" s="1"/>
  <c r="S339" i="4"/>
  <c r="R341" i="4"/>
  <c r="Q343" i="4"/>
  <c r="P345" i="4"/>
  <c r="O347" i="4"/>
  <c r="N349" i="4"/>
  <c r="N351" i="4"/>
  <c r="H355" i="4"/>
  <c r="I355" i="4" s="1"/>
  <c r="S356" i="4"/>
  <c r="R358" i="4"/>
  <c r="Q360" i="4"/>
  <c r="P362" i="4"/>
  <c r="O364" i="4"/>
  <c r="N366" i="4"/>
  <c r="H370" i="4"/>
  <c r="I370" i="4" s="1"/>
  <c r="S371" i="4"/>
  <c r="R373" i="4"/>
  <c r="R375" i="4"/>
  <c r="Q377" i="4"/>
  <c r="P379" i="4"/>
  <c r="P63" i="17"/>
  <c r="S64" i="4"/>
  <c r="S85" i="4"/>
  <c r="S88" i="4"/>
  <c r="S94" i="4"/>
  <c r="R97" i="4"/>
  <c r="S100" i="4"/>
  <c r="R106" i="4"/>
  <c r="R112" i="4"/>
  <c r="P115" i="4"/>
  <c r="Q118" i="4"/>
  <c r="P121" i="4"/>
  <c r="H125" i="4"/>
  <c r="I125" i="4" s="1"/>
  <c r="Q127" i="4"/>
  <c r="Q130" i="4"/>
  <c r="P133" i="4"/>
  <c r="H9" i="4"/>
  <c r="H15" i="4"/>
  <c r="H18" i="4"/>
  <c r="S20" i="4"/>
  <c r="R23" i="4"/>
  <c r="H27" i="4"/>
  <c r="S35" i="4"/>
  <c r="R41" i="4"/>
  <c r="R50" i="4"/>
  <c r="R53" i="4"/>
  <c r="CP65" i="4"/>
  <c r="CP80" i="4"/>
  <c r="CP89" i="4"/>
  <c r="CP110" i="4"/>
  <c r="H113" i="4"/>
  <c r="I113" i="4" s="1"/>
  <c r="N116" i="4"/>
  <c r="CP116" i="4" s="1"/>
  <c r="S118" i="4"/>
  <c r="N125" i="4"/>
  <c r="S127" i="4"/>
  <c r="S130" i="4"/>
  <c r="S133" i="4"/>
  <c r="R136" i="4"/>
  <c r="H143" i="4"/>
  <c r="I143" i="4" s="1"/>
  <c r="R145" i="4"/>
  <c r="S148" i="4"/>
  <c r="R151" i="4"/>
  <c r="O154" i="4"/>
  <c r="P157" i="4"/>
  <c r="N160" i="4"/>
  <c r="CP160" i="4" s="1"/>
  <c r="R162" i="4"/>
  <c r="P165" i="4"/>
  <c r="S167" i="4"/>
  <c r="N170" i="4"/>
  <c r="N173" i="4"/>
  <c r="Q175" i="4"/>
  <c r="O178" i="4"/>
  <c r="R180" i="4"/>
  <c r="N183" i="4"/>
  <c r="CP183" i="4" s="1"/>
  <c r="S185" i="4"/>
  <c r="Q188" i="4"/>
  <c r="H191" i="4"/>
  <c r="I191" i="4" s="1"/>
  <c r="R193" i="4"/>
  <c r="P198" i="4"/>
  <c r="N201" i="4"/>
  <c r="CP201" i="4" s="1"/>
  <c r="H204" i="4"/>
  <c r="I204" i="4" s="1"/>
  <c r="Q206" i="4"/>
  <c r="H209" i="4"/>
  <c r="I209" i="4" s="1"/>
  <c r="P211" i="4"/>
  <c r="Q216" i="4"/>
  <c r="N219" i="4"/>
  <c r="H222" i="4"/>
  <c r="I222" i="4" s="1"/>
  <c r="N224" i="4"/>
  <c r="CP224" i="4" s="1"/>
  <c r="P226" i="4"/>
  <c r="S228" i="4"/>
  <c r="N231" i="4"/>
  <c r="S233" i="4"/>
  <c r="P238" i="4"/>
  <c r="S240" i="4"/>
  <c r="H5" i="4"/>
  <c r="CP32" i="4"/>
  <c r="R49" i="4"/>
  <c r="CP57" i="4"/>
  <c r="CP60" i="4"/>
  <c r="CP74" i="4"/>
  <c r="S77" i="4"/>
  <c r="R98" i="4"/>
  <c r="O112" i="4"/>
  <c r="Q115" i="4"/>
  <c r="P119" i="4"/>
  <c r="H123" i="4"/>
  <c r="I123" i="4" s="1"/>
  <c r="R129" i="4"/>
  <c r="H133" i="4"/>
  <c r="I133" i="4" s="1"/>
  <c r="P136" i="4"/>
  <c r="O139" i="4"/>
  <c r="P149" i="4"/>
  <c r="Q152" i="4"/>
  <c r="Q155" i="4"/>
  <c r="P158" i="4"/>
  <c r="O161" i="4"/>
  <c r="CQ5" i="4"/>
  <c r="S36" i="4"/>
  <c r="R57" i="4"/>
  <c r="R71" i="4"/>
  <c r="S78" i="4"/>
  <c r="S95" i="4"/>
  <c r="CP106" i="4"/>
  <c r="N113" i="4"/>
  <c r="H117" i="4"/>
  <c r="I117" i="4" s="1"/>
  <c r="P120" i="4"/>
  <c r="Q123" i="4"/>
  <c r="O127" i="4"/>
  <c r="R130" i="4"/>
  <c r="O134" i="4"/>
  <c r="P137" i="4"/>
  <c r="S140" i="4"/>
  <c r="R143" i="4"/>
  <c r="H147" i="4"/>
  <c r="I147" i="4" s="1"/>
  <c r="N150" i="4"/>
  <c r="CP150" i="4" s="1"/>
  <c r="P153" i="4"/>
  <c r="N156" i="4"/>
  <c r="N159" i="4"/>
  <c r="O162" i="4"/>
  <c r="R167" i="4"/>
  <c r="O170" i="4"/>
  <c r="P173" i="4"/>
  <c r="S178" i="4"/>
  <c r="P181" i="4"/>
  <c r="P184" i="4"/>
  <c r="H190" i="4"/>
  <c r="I190" i="4" s="1"/>
  <c r="P192" i="4"/>
  <c r="Q195" i="4"/>
  <c r="H201" i="4"/>
  <c r="I201" i="4" s="1"/>
  <c r="P203" i="4"/>
  <c r="R206" i="4"/>
  <c r="O209" i="4"/>
  <c r="S211" i="4"/>
  <c r="H215" i="4"/>
  <c r="I215" i="4" s="1"/>
  <c r="P217" i="4"/>
  <c r="O220" i="4"/>
  <c r="S222" i="4"/>
  <c r="R225" i="4"/>
  <c r="Q230" i="4"/>
  <c r="S235" i="4"/>
  <c r="N238" i="4"/>
  <c r="H241" i="4"/>
  <c r="I241" i="4" s="1"/>
  <c r="N243" i="4"/>
  <c r="P245" i="4"/>
  <c r="N248" i="4"/>
  <c r="P250" i="4"/>
  <c r="R252" i="4"/>
  <c r="P257" i="4"/>
  <c r="R259" i="4"/>
  <c r="O262" i="4"/>
  <c r="H6" i="4"/>
  <c r="R22" i="4"/>
  <c r="S38" i="4"/>
  <c r="R46" i="4"/>
  <c r="CP55" i="4"/>
  <c r="R58" i="4"/>
  <c r="S62" i="4"/>
  <c r="S66" i="4"/>
  <c r="CP87" i="4"/>
  <c r="R99" i="4"/>
  <c r="N111" i="4"/>
  <c r="CP111" i="4" s="1"/>
  <c r="N115" i="4"/>
  <c r="CP115" i="4" s="1"/>
  <c r="S119" i="4"/>
  <c r="R123" i="4"/>
  <c r="R131" i="4"/>
  <c r="S135" i="4"/>
  <c r="N139" i="4"/>
  <c r="O143" i="4"/>
  <c r="H151" i="4"/>
  <c r="I151" i="4" s="1"/>
  <c r="S157" i="4"/>
  <c r="N161" i="4"/>
  <c r="P164" i="4"/>
  <c r="P167" i="4"/>
  <c r="Q173" i="4"/>
  <c r="Q176" i="4"/>
  <c r="N179" i="4"/>
  <c r="P182" i="4"/>
  <c r="N185" i="4"/>
  <c r="N188" i="4"/>
  <c r="P191" i="4"/>
  <c r="N194" i="4"/>
  <c r="CP194" i="4" s="1"/>
  <c r="P197" i="4"/>
  <c r="N209" i="4"/>
  <c r="N212" i="4"/>
  <c r="N215" i="4"/>
  <c r="CP215" i="4" s="1"/>
  <c r="N218" i="4"/>
  <c r="CP218" i="4" s="1"/>
  <c r="S220" i="4"/>
  <c r="H224" i="4"/>
  <c r="I224" i="4" s="1"/>
  <c r="R226" i="4"/>
  <c r="O229" i="4"/>
  <c r="N232" i="4"/>
  <c r="S234" i="4"/>
  <c r="P237" i="4"/>
  <c r="O240" i="4"/>
  <c r="H243" i="4"/>
  <c r="I243" i="4" s="1"/>
  <c r="O245" i="4"/>
  <c r="O248" i="4"/>
  <c r="R250" i="4"/>
  <c r="N253" i="4"/>
  <c r="R255" i="4"/>
  <c r="P258" i="4"/>
  <c r="S260" i="4"/>
  <c r="P263" i="4"/>
  <c r="R265" i="4"/>
  <c r="N268" i="4"/>
  <c r="R270" i="4"/>
  <c r="H273" i="4"/>
  <c r="I273" i="4" s="1"/>
  <c r="N275" i="4"/>
  <c r="Q277" i="4"/>
  <c r="H280" i="4"/>
  <c r="I280" i="4" s="1"/>
  <c r="P282" i="4"/>
  <c r="S284" i="4"/>
  <c r="P289" i="4"/>
  <c r="S291" i="4"/>
  <c r="R296" i="4"/>
  <c r="O301" i="4"/>
  <c r="R303" i="4"/>
  <c r="H306" i="4"/>
  <c r="I306" i="4" s="1"/>
  <c r="O308" i="4"/>
  <c r="H311" i="4"/>
  <c r="I311" i="4" s="1"/>
  <c r="N313" i="4"/>
  <c r="P315" i="4"/>
  <c r="H318" i="4"/>
  <c r="I318" i="4" s="1"/>
  <c r="N320" i="4"/>
  <c r="P322" i="4"/>
  <c r="H325" i="4"/>
  <c r="I325" i="4" s="1"/>
  <c r="N329" i="4"/>
  <c r="O331" i="4"/>
  <c r="P333" i="4"/>
  <c r="R335" i="4"/>
  <c r="N340" i="4"/>
  <c r="P342" i="4"/>
  <c r="Q344" i="4"/>
  <c r="R346" i="4"/>
  <c r="S348" i="4"/>
  <c r="O351" i="4"/>
  <c r="P353" i="4"/>
  <c r="Q355" i="4"/>
  <c r="R357" i="4"/>
  <c r="H360" i="4"/>
  <c r="I360" i="4" s="1"/>
  <c r="P364" i="4"/>
  <c r="Q366" i="4"/>
  <c r="S368" i="4"/>
  <c r="H371" i="4"/>
  <c r="I371" i="4" s="1"/>
  <c r="N375" i="4"/>
  <c r="R377" i="4"/>
  <c r="S379" i="4"/>
  <c r="S381" i="4"/>
  <c r="S383" i="4"/>
  <c r="S385" i="4"/>
  <c r="H388" i="4"/>
  <c r="I388" i="4" s="1"/>
  <c r="H390" i="4"/>
  <c r="I390" i="4" s="1"/>
  <c r="H392" i="4"/>
  <c r="I392" i="4" s="1"/>
  <c r="H394" i="4"/>
  <c r="I394" i="4" s="1"/>
  <c r="H396" i="4"/>
  <c r="I396" i="4" s="1"/>
  <c r="H398" i="4"/>
  <c r="I398" i="4" s="1"/>
  <c r="N400" i="4"/>
  <c r="N402" i="4"/>
  <c r="N404" i="4"/>
  <c r="S22" i="4"/>
  <c r="CP31" i="4"/>
  <c r="R63" i="4"/>
  <c r="R79" i="4"/>
  <c r="R87" i="4"/>
  <c r="R91" i="4"/>
  <c r="R95" i="4"/>
  <c r="S99" i="4"/>
  <c r="R103" i="4"/>
  <c r="O116" i="4"/>
  <c r="S123" i="4"/>
  <c r="N128" i="4"/>
  <c r="CP128" i="4" s="1"/>
  <c r="P132" i="4"/>
  <c r="H136" i="4"/>
  <c r="I136" i="4" s="1"/>
  <c r="O140" i="4"/>
  <c r="P143" i="4"/>
  <c r="R147" i="4"/>
  <c r="O151" i="4"/>
  <c r="P154" i="4"/>
  <c r="P161" i="4"/>
  <c r="Q164" i="4"/>
  <c r="Q167" i="4"/>
  <c r="R173" i="4"/>
  <c r="R176" i="4"/>
  <c r="R179" i="4"/>
  <c r="Q182" i="4"/>
  <c r="O185" i="4"/>
  <c r="R188" i="4"/>
  <c r="R191" i="4"/>
  <c r="O194" i="4"/>
  <c r="Q197" i="4"/>
  <c r="N200" i="4"/>
  <c r="N203" i="4"/>
  <c r="N206" i="4"/>
  <c r="P209" i="4"/>
  <c r="O212" i="4"/>
  <c r="O215" i="4"/>
  <c r="O218" i="4"/>
  <c r="H221" i="4"/>
  <c r="I221" i="4" s="1"/>
  <c r="S226" i="4"/>
  <c r="R229" i="4"/>
  <c r="O232" i="4"/>
  <c r="H235" i="4"/>
  <c r="I235" i="4" s="1"/>
  <c r="S237" i="4"/>
  <c r="P240" i="4"/>
  <c r="P248" i="4"/>
  <c r="S250" i="4"/>
  <c r="O253" i="4"/>
  <c r="Q258" i="4"/>
  <c r="Q263" i="4"/>
  <c r="I266" i="5" s="1"/>
  <c r="S265" i="4"/>
  <c r="O268" i="4"/>
  <c r="S270" i="4"/>
  <c r="O275" i="4"/>
  <c r="R277" i="4"/>
  <c r="R282" i="4"/>
  <c r="H285" i="4"/>
  <c r="I285" i="4" s="1"/>
  <c r="H7" i="4"/>
  <c r="H21" i="4"/>
  <c r="S34" i="4"/>
  <c r="S39" i="4"/>
  <c r="R44" i="4"/>
  <c r="S63" i="4"/>
  <c r="R68" i="4"/>
  <c r="S72" i="4"/>
  <c r="CP82" i="4"/>
  <c r="S86" i="4"/>
  <c r="CP101" i="4"/>
  <c r="S105" i="4"/>
  <c r="H115" i="4"/>
  <c r="I115" i="4" s="1"/>
  <c r="Q120" i="4"/>
  <c r="O125" i="4"/>
  <c r="O129" i="4"/>
  <c r="P134" i="4"/>
  <c r="Q138" i="4"/>
  <c r="S142" i="4"/>
  <c r="S147" i="4"/>
  <c r="S151" i="4"/>
  <c r="S155" i="4"/>
  <c r="R163" i="4"/>
  <c r="N167" i="4"/>
  <c r="N171" i="4"/>
  <c r="CP171" i="4" s="1"/>
  <c r="N174" i="4"/>
  <c r="R177" i="4"/>
  <c r="H181" i="4"/>
  <c r="I181" i="4" s="1"/>
  <c r="R184" i="4"/>
  <c r="S187" i="4"/>
  <c r="S191" i="4"/>
  <c r="O195" i="4"/>
  <c r="O198" i="4"/>
  <c r="H202" i="4"/>
  <c r="I202" i="4" s="1"/>
  <c r="N205" i="4"/>
  <c r="R208" i="4"/>
  <c r="S212" i="4"/>
  <c r="H216" i="4"/>
  <c r="I216" i="4" s="1"/>
  <c r="O219" i="4"/>
  <c r="Q222" i="4"/>
  <c r="H226" i="4"/>
  <c r="I226" i="4" s="1"/>
  <c r="P232" i="4"/>
  <c r="P235" i="4"/>
  <c r="H239" i="4"/>
  <c r="I239" i="4" s="1"/>
  <c r="H242" i="4"/>
  <c r="I242" i="4" s="1"/>
  <c r="S244" i="4"/>
  <c r="P247" i="4"/>
  <c r="H251" i="4"/>
  <c r="I251" i="4" s="1"/>
  <c r="S256" i="4"/>
  <c r="Q259" i="4"/>
  <c r="I262" i="5" s="1"/>
  <c r="R262" i="4"/>
  <c r="P265" i="4"/>
  <c r="R268" i="4"/>
  <c r="N271" i="4"/>
  <c r="R273" i="4"/>
  <c r="R276" i="4"/>
  <c r="O279" i="4"/>
  <c r="H282" i="4"/>
  <c r="I282" i="4" s="1"/>
  <c r="Q287" i="4"/>
  <c r="R292" i="4"/>
  <c r="O295" i="4"/>
  <c r="R297" i="4"/>
  <c r="N300" i="4"/>
  <c r="H303" i="4"/>
  <c r="I303" i="4" s="1"/>
  <c r="P305" i="4"/>
  <c r="S307" i="4"/>
  <c r="O310" i="4"/>
  <c r="R315" i="4"/>
  <c r="N318" i="4"/>
  <c r="Q320" i="4"/>
  <c r="O323" i="4"/>
  <c r="Q325" i="4"/>
  <c r="S327" i="4"/>
  <c r="N330" i="4"/>
  <c r="R332" i="4"/>
  <c r="H335" i="4"/>
  <c r="I335" i="4" s="1"/>
  <c r="O337" i="4"/>
  <c r="Q339" i="4"/>
  <c r="P344" i="4"/>
  <c r="S346" i="4"/>
  <c r="P349" i="4"/>
  <c r="R351" i="4"/>
  <c r="H354" i="4"/>
  <c r="I354" i="4" s="1"/>
  <c r="N356" i="4"/>
  <c r="S358" i="4"/>
  <c r="P363" i="4"/>
  <c r="R365" i="4"/>
  <c r="N368" i="4"/>
  <c r="Q370" i="4"/>
  <c r="S372" i="4"/>
  <c r="S377" i="4"/>
  <c r="N382" i="4"/>
  <c r="P384" i="4"/>
  <c r="Q386" i="4"/>
  <c r="S388" i="4"/>
  <c r="H391" i="4"/>
  <c r="I391" i="4" s="1"/>
  <c r="N393" i="4"/>
  <c r="O395" i="4"/>
  <c r="P397" i="4"/>
  <c r="Q399" i="4"/>
  <c r="R401" i="4"/>
  <c r="H12" i="4"/>
  <c r="CP21" i="4"/>
  <c r="R25" i="4"/>
  <c r="R35" i="4"/>
  <c r="R101" i="4"/>
  <c r="R110" i="4"/>
  <c r="R120" i="4"/>
  <c r="P125" i="4"/>
  <c r="S129" i="4"/>
  <c r="S134" i="4"/>
  <c r="R138" i="4"/>
  <c r="N143" i="4"/>
  <c r="CP143" i="4" s="1"/>
  <c r="H148" i="4"/>
  <c r="I148" i="4" s="1"/>
  <c r="H152" i="4"/>
  <c r="I152" i="4" s="1"/>
  <c r="H156" i="4"/>
  <c r="I156" i="4" s="1"/>
  <c r="O160" i="4"/>
  <c r="S163" i="4"/>
  <c r="O167" i="4"/>
  <c r="O171" i="4"/>
  <c r="Q174" i="4"/>
  <c r="S177" i="4"/>
  <c r="N181" i="4"/>
  <c r="S184" i="4"/>
  <c r="H188" i="4"/>
  <c r="I188" i="4" s="1"/>
  <c r="H192" i="4"/>
  <c r="I192" i="4" s="1"/>
  <c r="P195" i="4"/>
  <c r="R198" i="4"/>
  <c r="N202" i="4"/>
  <c r="O205" i="4"/>
  <c r="S208" i="4"/>
  <c r="H213" i="4"/>
  <c r="I213" i="4" s="1"/>
  <c r="N216" i="4"/>
  <c r="CP216" i="4" s="1"/>
  <c r="S219" i="4"/>
  <c r="R222" i="4"/>
  <c r="N229" i="4"/>
  <c r="Q232" i="4"/>
  <c r="H236" i="4"/>
  <c r="I236" i="4" s="1"/>
  <c r="N242" i="4"/>
  <c r="H245" i="4"/>
  <c r="I245" i="4" s="1"/>
  <c r="N251" i="4"/>
  <c r="N254" i="4"/>
  <c r="H257" i="5" s="1"/>
  <c r="H257" i="4"/>
  <c r="I257" i="4" s="1"/>
  <c r="N260" i="4"/>
  <c r="H263" i="5" s="1"/>
  <c r="H263" i="4"/>
  <c r="I263" i="4" s="1"/>
  <c r="Q265" i="4"/>
  <c r="S268" i="4"/>
  <c r="O271" i="4"/>
  <c r="H274" i="4"/>
  <c r="I274" i="4" s="1"/>
  <c r="S276" i="4"/>
  <c r="P279" i="4"/>
  <c r="N285" i="4"/>
  <c r="R287" i="4"/>
  <c r="N290" i="4"/>
  <c r="H293" i="5" s="1"/>
  <c r="S292" i="4"/>
  <c r="P295" i="4"/>
  <c r="S297" i="4"/>
  <c r="O300" i="4"/>
  <c r="Q305" i="4"/>
  <c r="H308" i="4"/>
  <c r="I308" i="4" s="1"/>
  <c r="P310" i="4"/>
  <c r="O313" i="4"/>
  <c r="H316" i="4"/>
  <c r="I316" i="4" s="1"/>
  <c r="O318" i="4"/>
  <c r="H321" i="4"/>
  <c r="I321" i="4" s="1"/>
  <c r="P323" i="4"/>
  <c r="R325" i="4"/>
  <c r="H328" i="4"/>
  <c r="I328" i="4" s="1"/>
  <c r="Q330" i="4"/>
  <c r="S332" i="4"/>
  <c r="P337" i="4"/>
  <c r="H340" i="4"/>
  <c r="I340" i="4" s="1"/>
  <c r="N342" i="4"/>
  <c r="R344" i="4"/>
  <c r="H347" i="4"/>
  <c r="I347" i="4" s="1"/>
  <c r="Q349" i="4"/>
  <c r="S351" i="4"/>
  <c r="P356" i="4"/>
  <c r="H359" i="4"/>
  <c r="I359" i="4" s="1"/>
  <c r="N361" i="4"/>
  <c r="Q363" i="4"/>
  <c r="S365" i="4"/>
  <c r="O368" i="4"/>
  <c r="R370" i="4"/>
  <c r="H373" i="4"/>
  <c r="I373" i="4" s="1"/>
  <c r="O375" i="4"/>
  <c r="H378" i="4"/>
  <c r="I378" i="4" s="1"/>
  <c r="N380" i="4"/>
  <c r="O382" i="4"/>
  <c r="Q384" i="4"/>
  <c r="R386" i="4"/>
  <c r="H389" i="4"/>
  <c r="I389" i="4" s="1"/>
  <c r="O393" i="4"/>
  <c r="P395" i="4"/>
  <c r="Q397" i="4"/>
  <c r="R399" i="4"/>
  <c r="O404" i="4"/>
  <c r="S25" i="4"/>
  <c r="R59" i="4"/>
  <c r="S87" i="4"/>
  <c r="S92" i="4"/>
  <c r="CP97" i="4"/>
  <c r="S101" i="4"/>
  <c r="H111" i="4"/>
  <c r="I111" i="4" s="1"/>
  <c r="P116" i="4"/>
  <c r="S120" i="4"/>
  <c r="Q125" i="4"/>
  <c r="N130" i="4"/>
  <c r="CP130" i="4" s="1"/>
  <c r="H135" i="4"/>
  <c r="I135" i="4" s="1"/>
  <c r="H139" i="4"/>
  <c r="I139" i="4" s="1"/>
  <c r="S143" i="4"/>
  <c r="O156" i="4"/>
  <c r="P160" i="4"/>
  <c r="H164" i="4"/>
  <c r="I164" i="4" s="1"/>
  <c r="H168" i="4"/>
  <c r="I168" i="4" s="1"/>
  <c r="P171" i="4"/>
  <c r="R174" i="4"/>
  <c r="H178" i="4"/>
  <c r="I178" i="4" s="1"/>
  <c r="O181" i="4"/>
  <c r="CP11" i="4"/>
  <c r="S23" i="4"/>
  <c r="CP29" i="4"/>
  <c r="R52" i="4"/>
  <c r="S71" i="4"/>
  <c r="CP108" i="4"/>
  <c r="H114" i="4"/>
  <c r="I114" i="4" s="1"/>
  <c r="H119" i="4"/>
  <c r="I119" i="4" s="1"/>
  <c r="R24" i="4"/>
  <c r="S55" i="4"/>
  <c r="R66" i="4"/>
  <c r="S79" i="4"/>
  <c r="CP103" i="4"/>
  <c r="S114" i="4"/>
  <c r="Q121" i="4"/>
  <c r="P127" i="4"/>
  <c r="P155" i="4"/>
  <c r="R160" i="4"/>
  <c r="R165" i="4"/>
  <c r="Q169" i="4"/>
  <c r="H174" i="4"/>
  <c r="I174" i="4" s="1"/>
  <c r="R178" i="4"/>
  <c r="H187" i="4"/>
  <c r="I187" i="4" s="1"/>
  <c r="S190" i="4"/>
  <c r="R195" i="4"/>
  <c r="Q199" i="4"/>
  <c r="O203" i="4"/>
  <c r="P207" i="4"/>
  <c r="N211" i="4"/>
  <c r="CP211" i="4" s="1"/>
  <c r="P215" i="4"/>
  <c r="H220" i="4"/>
  <c r="I220" i="4" s="1"/>
  <c r="R223" i="4"/>
  <c r="O227" i="4"/>
  <c r="H231" i="4"/>
  <c r="I231" i="4" s="1"/>
  <c r="P234" i="4"/>
  <c r="Q238" i="4"/>
  <c r="P242" i="4"/>
  <c r="N246" i="4"/>
  <c r="P252" i="4"/>
  <c r="N256" i="4"/>
  <c r="H259" i="5" s="1"/>
  <c r="O259" i="4"/>
  <c r="P266" i="4"/>
  <c r="P269" i="4"/>
  <c r="R272" i="4"/>
  <c r="S275" i="4"/>
  <c r="H279" i="4"/>
  <c r="I279" i="4" s="1"/>
  <c r="S282" i="4"/>
  <c r="R285" i="4"/>
  <c r="R288" i="4"/>
  <c r="Q291" i="4"/>
  <c r="I294" i="5" s="1"/>
  <c r="Q294" i="4"/>
  <c r="P297" i="4"/>
  <c r="S300" i="4"/>
  <c r="P303" i="4"/>
  <c r="P306" i="4"/>
  <c r="P309" i="4"/>
  <c r="N312" i="4"/>
  <c r="N315" i="4"/>
  <c r="P318" i="4"/>
  <c r="Q321" i="4"/>
  <c r="H327" i="4"/>
  <c r="I327" i="4" s="1"/>
  <c r="Q329" i="4"/>
  <c r="P332" i="4"/>
  <c r="N335" i="4"/>
  <c r="N338" i="4"/>
  <c r="S340" i="4"/>
  <c r="O343" i="4"/>
  <c r="N346" i="4"/>
  <c r="R348" i="4"/>
  <c r="H352" i="4"/>
  <c r="I352" i="4" s="1"/>
  <c r="P354" i="4"/>
  <c r="O357" i="4"/>
  <c r="S362" i="4"/>
  <c r="P365" i="4"/>
  <c r="P368" i="4"/>
  <c r="N371" i="4"/>
  <c r="Q376" i="4"/>
  <c r="N379" i="4"/>
  <c r="H382" i="4"/>
  <c r="I382" i="4" s="1"/>
  <c r="R384" i="4"/>
  <c r="N387" i="4"/>
  <c r="R389" i="4"/>
  <c r="N392" i="4"/>
  <c r="R394" i="4"/>
  <c r="N397" i="4"/>
  <c r="S399" i="4"/>
  <c r="Q402" i="4"/>
  <c r="H405" i="4"/>
  <c r="I405" i="4" s="1"/>
  <c r="H166" i="4"/>
  <c r="I166" i="4" s="1"/>
  <c r="Q279" i="4"/>
  <c r="I282" i="5" s="1"/>
  <c r="H298" i="4"/>
  <c r="I298" i="4" s="1"/>
  <c r="Q312" i="4"/>
  <c r="H319" i="4"/>
  <c r="I319" i="4" s="1"/>
  <c r="O324" i="4"/>
  <c r="S329" i="4"/>
  <c r="Q335" i="4"/>
  <c r="S343" i="4"/>
  <c r="R349" i="4"/>
  <c r="N352" i="4"/>
  <c r="Q357" i="4"/>
  <c r="H369" i="4"/>
  <c r="I369" i="4" s="1"/>
  <c r="O374" i="4"/>
  <c r="S376" i="4"/>
  <c r="P382" i="4"/>
  <c r="P387" i="4"/>
  <c r="Q392" i="4"/>
  <c r="S402" i="4"/>
  <c r="H14" i="4"/>
  <c r="CP33" i="4"/>
  <c r="S74" i="4"/>
  <c r="S98" i="4"/>
  <c r="R122" i="4"/>
  <c r="H141" i="4"/>
  <c r="I141" i="4" s="1"/>
  <c r="P151" i="4"/>
  <c r="N162" i="4"/>
  <c r="CP162" i="4" s="1"/>
  <c r="H170" i="4"/>
  <c r="I170" i="4" s="1"/>
  <c r="S179" i="4"/>
  <c r="R187" i="4"/>
  <c r="N196" i="4"/>
  <c r="CP196" i="4" s="1"/>
  <c r="O204" i="4"/>
  <c r="R211" i="4"/>
  <c r="P224" i="4"/>
  <c r="R231" i="4"/>
  <c r="O239" i="4"/>
  <c r="Q246" i="4"/>
  <c r="Q249" i="4"/>
  <c r="R256" i="4"/>
  <c r="S263" i="4"/>
  <c r="S269" i="4"/>
  <c r="Q276" i="4"/>
  <c r="R279" i="4"/>
  <c r="N286" i="4"/>
  <c r="H289" i="5" s="1"/>
  <c r="N295" i="4"/>
  <c r="R31" i="4"/>
  <c r="S49" i="4"/>
  <c r="R61" i="4"/>
  <c r="R73" i="4"/>
  <c r="R85" i="4"/>
  <c r="R90" i="4"/>
  <c r="S97" i="4"/>
  <c r="Q116" i="4"/>
  <c r="N122" i="4"/>
  <c r="R127" i="4"/>
  <c r="R133" i="4"/>
  <c r="P140" i="4"/>
  <c r="N145" i="4"/>
  <c r="CP145" i="4" s="1"/>
  <c r="P150" i="4"/>
  <c r="R155" i="4"/>
  <c r="S160" i="4"/>
  <c r="S165" i="4"/>
  <c r="R169" i="4"/>
  <c r="S174" i="4"/>
  <c r="H179" i="4"/>
  <c r="I179" i="4" s="1"/>
  <c r="O183" i="4"/>
  <c r="N187" i="4"/>
  <c r="S195" i="4"/>
  <c r="R199" i="4"/>
  <c r="Q207" i="4"/>
  <c r="O211" i="4"/>
  <c r="Q215" i="4"/>
  <c r="S223" i="4"/>
  <c r="R227" i="4"/>
  <c r="R234" i="4"/>
  <c r="R238" i="4"/>
  <c r="Q242" i="4"/>
  <c r="O246" i="4"/>
  <c r="N249" i="4"/>
  <c r="Q252" i="4"/>
  <c r="P256" i="4"/>
  <c r="P259" i="4"/>
  <c r="N263" i="4"/>
  <c r="R266" i="4"/>
  <c r="Q269" i="4"/>
  <c r="I272" i="5" s="1"/>
  <c r="S272" i="4"/>
  <c r="H276" i="4"/>
  <c r="I276" i="4" s="1"/>
  <c r="N279" i="4"/>
  <c r="H283" i="4"/>
  <c r="I283" i="4" s="1"/>
  <c r="S285" i="4"/>
  <c r="S288" i="4"/>
  <c r="R291" i="4"/>
  <c r="R294" i="4"/>
  <c r="Q297" i="4"/>
  <c r="H301" i="4"/>
  <c r="I301" i="4" s="1"/>
  <c r="S303" i="4"/>
  <c r="S306" i="4"/>
  <c r="Q309" i="4"/>
  <c r="P312" i="4"/>
  <c r="O315" i="4"/>
  <c r="Q318" i="4"/>
  <c r="R321" i="4"/>
  <c r="N324" i="4"/>
  <c r="N327" i="4"/>
  <c r="R329" i="4"/>
  <c r="Q332" i="4"/>
  <c r="P335" i="4"/>
  <c r="O338" i="4"/>
  <c r="H341" i="4"/>
  <c r="I341" i="4" s="1"/>
  <c r="R343" i="4"/>
  <c r="O346" i="4"/>
  <c r="H349" i="4"/>
  <c r="I349" i="4" s="1"/>
  <c r="R354" i="4"/>
  <c r="P357" i="4"/>
  <c r="N360" i="4"/>
  <c r="H363" i="4"/>
  <c r="I363" i="4" s="1"/>
  <c r="Q365" i="4"/>
  <c r="R368" i="4"/>
  <c r="O371" i="4"/>
  <c r="N374" i="4"/>
  <c r="R376" i="4"/>
  <c r="Q379" i="4"/>
  <c r="S384" i="4"/>
  <c r="O387" i="4"/>
  <c r="S389" i="4"/>
  <c r="O392" i="4"/>
  <c r="H395" i="4"/>
  <c r="I395" i="4" s="1"/>
  <c r="O397" i="4"/>
  <c r="O400" i="4"/>
  <c r="R402" i="4"/>
  <c r="H26" i="4"/>
  <c r="H63" i="17" s="1"/>
  <c r="S31" i="4"/>
  <c r="CP56" i="4"/>
  <c r="R74" i="4"/>
  <c r="Q122" i="4"/>
  <c r="P128" i="4"/>
  <c r="H134" i="4"/>
  <c r="I134" i="4" s="1"/>
  <c r="R140" i="4"/>
  <c r="O145" i="4"/>
  <c r="Q150" i="4"/>
  <c r="Q156" i="4"/>
  <c r="Q161" i="4"/>
  <c r="S169" i="4"/>
  <c r="H175" i="4"/>
  <c r="I175" i="4" s="1"/>
  <c r="P183" i="4"/>
  <c r="O187" i="4"/>
  <c r="H196" i="4"/>
  <c r="I196" i="4" s="1"/>
  <c r="S199" i="4"/>
  <c r="N204" i="4"/>
  <c r="R207" i="4"/>
  <c r="Q211" i="4"/>
  <c r="O216" i="4"/>
  <c r="N220" i="4"/>
  <c r="O224" i="4"/>
  <c r="S227" i="4"/>
  <c r="O231" i="4"/>
  <c r="N239" i="4"/>
  <c r="R242" i="4"/>
  <c r="P246" i="4"/>
  <c r="P249" i="4"/>
  <c r="H253" i="4"/>
  <c r="I253" i="4" s="1"/>
  <c r="Q256" i="4"/>
  <c r="I259" i="5" s="1"/>
  <c r="O260" i="4"/>
  <c r="R263" i="4"/>
  <c r="H267" i="4"/>
  <c r="I267" i="4" s="1"/>
  <c r="R269" i="4"/>
  <c r="N273" i="4"/>
  <c r="P276" i="4"/>
  <c r="H286" i="4"/>
  <c r="I286" i="4" s="1"/>
  <c r="H289" i="4"/>
  <c r="I289" i="4" s="1"/>
  <c r="H292" i="4"/>
  <c r="I292" i="4" s="1"/>
  <c r="H304" i="4"/>
  <c r="I304" i="4" s="1"/>
  <c r="H307" i="4"/>
  <c r="I307" i="4" s="1"/>
  <c r="R309" i="4"/>
  <c r="S321" i="4"/>
  <c r="O327" i="4"/>
  <c r="H333" i="4"/>
  <c r="I333" i="4" s="1"/>
  <c r="P338" i="4"/>
  <c r="P346" i="4"/>
  <c r="O360" i="4"/>
  <c r="H366" i="4"/>
  <c r="I366" i="4" s="1"/>
  <c r="P371" i="4"/>
  <c r="R379" i="4"/>
  <c r="R397" i="4"/>
  <c r="P400" i="4"/>
  <c r="N405" i="4"/>
  <c r="CP38" i="4"/>
  <c r="R104" i="4"/>
  <c r="O117" i="4"/>
  <c r="R128" i="4"/>
  <c r="Q145" i="4"/>
  <c r="R156" i="4"/>
  <c r="O175" i="4"/>
  <c r="Q183" i="4"/>
  <c r="N192" i="4"/>
  <c r="CP192" i="4" s="1"/>
  <c r="H200" i="4"/>
  <c r="I200" i="4" s="1"/>
  <c r="S207" i="4"/>
  <c r="P216" i="4"/>
  <c r="P220" i="4"/>
  <c r="H228" i="4"/>
  <c r="I228" i="4" s="1"/>
  <c r="N235" i="4"/>
  <c r="S242" i="4"/>
  <c r="P260" i="4"/>
  <c r="O273" i="4"/>
  <c r="N283" i="4"/>
  <c r="H286" i="5" s="1"/>
  <c r="R70" i="4"/>
  <c r="R81" i="4"/>
  <c r="O118" i="4"/>
  <c r="O126" i="4"/>
  <c r="O136" i="4"/>
  <c r="R142" i="4"/>
  <c r="Q151" i="4"/>
  <c r="Q158" i="4"/>
  <c r="N165" i="4"/>
  <c r="S171" i="4"/>
  <c r="N184" i="4"/>
  <c r="CP184" i="4" s="1"/>
  <c r="Q189" i="4"/>
  <c r="P194" i="4"/>
  <c r="S206" i="4"/>
  <c r="H218" i="4"/>
  <c r="I218" i="4" s="1"/>
  <c r="H223" i="4"/>
  <c r="I223" i="4" s="1"/>
  <c r="Q228" i="4"/>
  <c r="H234" i="4"/>
  <c r="I234" i="4" s="1"/>
  <c r="P239" i="4"/>
  <c r="O244" i="4"/>
  <c r="S248" i="4"/>
  <c r="O254" i="4"/>
  <c r="R258" i="4"/>
  <c r="N264" i="4"/>
  <c r="H267" i="5" s="1"/>
  <c r="R267" i="4"/>
  <c r="P272" i="4"/>
  <c r="N277" i="4"/>
  <c r="H280" i="5" s="1"/>
  <c r="O281" i="4"/>
  <c r="Q286" i="4"/>
  <c r="Q290" i="4"/>
  <c r="I293" i="5" s="1"/>
  <c r="H294" i="4"/>
  <c r="I294" i="4" s="1"/>
  <c r="H299" i="4"/>
  <c r="I299" i="4" s="1"/>
  <c r="N302" i="4"/>
  <c r="H314" i="4"/>
  <c r="I314" i="4" s="1"/>
  <c r="O317" i="4"/>
  <c r="P321" i="4"/>
  <c r="N325" i="4"/>
  <c r="R328" i="4"/>
  <c r="R331" i="4"/>
  <c r="S335" i="4"/>
  <c r="R342" i="4"/>
  <c r="H346" i="4"/>
  <c r="I346" i="4" s="1"/>
  <c r="H350" i="4"/>
  <c r="I350" i="4" s="1"/>
  <c r="N353" i="4"/>
  <c r="Q356" i="4"/>
  <c r="R359" i="4"/>
  <c r="S363" i="4"/>
  <c r="N367" i="4"/>
  <c r="P370" i="4"/>
  <c r="P374" i="4"/>
  <c r="R387" i="4"/>
  <c r="S390" i="4"/>
  <c r="S400" i="4"/>
  <c r="R403" i="4"/>
  <c r="H16" i="4"/>
  <c r="CQ8" i="4"/>
  <c r="R62" i="4"/>
  <c r="S81" i="4"/>
  <c r="R108" i="4"/>
  <c r="P118" i="4"/>
  <c r="P126" i="4"/>
  <c r="Q136" i="4"/>
  <c r="H144" i="4"/>
  <c r="I144" i="4" s="1"/>
  <c r="R152" i="4"/>
  <c r="R158" i="4"/>
  <c r="Q165" i="4"/>
  <c r="H172" i="4"/>
  <c r="I172" i="4" s="1"/>
  <c r="P177" i="4"/>
  <c r="O184" i="4"/>
  <c r="R189" i="4"/>
  <c r="Q194" i="4"/>
  <c r="O201" i="4"/>
  <c r="H207" i="4"/>
  <c r="I207" i="4" s="1"/>
  <c r="N213" i="4"/>
  <c r="CP213" i="4" s="1"/>
  <c r="N223" i="4"/>
  <c r="R228" i="4"/>
  <c r="S239" i="4"/>
  <c r="P244" i="4"/>
  <c r="H249" i="4"/>
  <c r="I249" i="4" s="1"/>
  <c r="P254" i="4"/>
  <c r="S258" i="4"/>
  <c r="O264" i="4"/>
  <c r="S267" i="4"/>
  <c r="Q272" i="4"/>
  <c r="P277" i="4"/>
  <c r="P281" i="4"/>
  <c r="R286" i="4"/>
  <c r="R290" i="4"/>
  <c r="N294" i="4"/>
  <c r="N299" i="4"/>
  <c r="O302" i="4"/>
  <c r="O306" i="4"/>
  <c r="N310" i="4"/>
  <c r="N314" i="4"/>
  <c r="R317" i="4"/>
  <c r="H322" i="4"/>
  <c r="I322" i="4" s="1"/>
  <c r="O325" i="4"/>
  <c r="S328" i="4"/>
  <c r="H332" i="4"/>
  <c r="I332" i="4" s="1"/>
  <c r="N336" i="4"/>
  <c r="N339" i="4"/>
  <c r="S342" i="4"/>
  <c r="O353" i="4"/>
  <c r="H357" i="4"/>
  <c r="I357" i="4" s="1"/>
  <c r="R360" i="4"/>
  <c r="H364" i="4"/>
  <c r="I364" i="4" s="1"/>
  <c r="O367" i="4"/>
  <c r="S370" i="4"/>
  <c r="Q374" i="4"/>
  <c r="N378" i="4"/>
  <c r="O381" i="4"/>
  <c r="N384" i="4"/>
  <c r="N391" i="4"/>
  <c r="N394" i="4"/>
  <c r="S397" i="4"/>
  <c r="H401" i="4"/>
  <c r="I401" i="4" s="1"/>
  <c r="H404" i="4"/>
  <c r="I404" i="4" s="1"/>
  <c r="P112" i="4"/>
  <c r="O130" i="4"/>
  <c r="S137" i="4"/>
  <c r="H146" i="4"/>
  <c r="I146" i="4" s="1"/>
  <c r="Q153" i="4"/>
  <c r="R159" i="4"/>
  <c r="H167" i="4"/>
  <c r="I167" i="4" s="1"/>
  <c r="R172" i="4"/>
  <c r="N180" i="4"/>
  <c r="P185" i="4"/>
  <c r="O190" i="4"/>
  <c r="Q196" i="4"/>
  <c r="O202" i="4"/>
  <c r="P208" i="4"/>
  <c r="Q213" i="4"/>
  <c r="R218" i="4"/>
  <c r="H225" i="4"/>
  <c r="I225" i="4" s="1"/>
  <c r="N230" i="4"/>
  <c r="CP230" i="4" s="1"/>
  <c r="N236" i="4"/>
  <c r="R240" i="4"/>
  <c r="O250" i="4"/>
  <c r="H255" i="4"/>
  <c r="I255" i="4" s="1"/>
  <c r="Q260" i="4"/>
  <c r="S264" i="4"/>
  <c r="N269" i="4"/>
  <c r="H272" i="5" s="1"/>
  <c r="P274" i="4"/>
  <c r="P278" i="4"/>
  <c r="O283" i="4"/>
  <c r="N287" i="4"/>
  <c r="H290" i="5" s="1"/>
  <c r="N291" i="4"/>
  <c r="H294" i="5" s="1"/>
  <c r="S295" i="4"/>
  <c r="Q299" i="4"/>
  <c r="O303" i="4"/>
  <c r="P307" i="4"/>
  <c r="O311" i="4"/>
  <c r="Q314" i="4"/>
  <c r="O322" i="4"/>
  <c r="H326" i="4"/>
  <c r="I326" i="4" s="1"/>
  <c r="O329" i="4"/>
  <c r="N333" i="4"/>
  <c r="Q336" i="4"/>
  <c r="N343" i="4"/>
  <c r="P347" i="4"/>
  <c r="P350" i="4"/>
  <c r="S353" i="4"/>
  <c r="S357" i="4"/>
  <c r="O361" i="4"/>
  <c r="R364" i="4"/>
  <c r="R367" i="4"/>
  <c r="H372" i="4"/>
  <c r="I372" i="4" s="1"/>
  <c r="H375" i="4"/>
  <c r="I375" i="4" s="1"/>
  <c r="Q378" i="4"/>
  <c r="R381" i="4"/>
  <c r="P385" i="4"/>
  <c r="P388" i="4"/>
  <c r="R391" i="4"/>
  <c r="N395" i="4"/>
  <c r="Q398" i="4"/>
  <c r="O401" i="4"/>
  <c r="R404" i="4"/>
  <c r="CP10" i="4"/>
  <c r="S84" i="4"/>
  <c r="O123" i="4"/>
  <c r="P138" i="4"/>
  <c r="H154" i="4"/>
  <c r="I154" i="4" s="1"/>
  <c r="H169" i="4"/>
  <c r="I169" i="4" s="1"/>
  <c r="Q186" i="4"/>
  <c r="H203" i="4"/>
  <c r="I203" i="4" s="1"/>
  <c r="S225" i="4"/>
  <c r="R236" i="4"/>
  <c r="S246" i="4"/>
  <c r="Q255" i="4"/>
  <c r="S274" i="4"/>
  <c r="H300" i="4"/>
  <c r="I300" i="4" s="1"/>
  <c r="N308" i="4"/>
  <c r="N316" i="4"/>
  <c r="N323" i="4"/>
  <c r="R330" i="4"/>
  <c r="H337" i="4"/>
  <c r="I337" i="4" s="1"/>
  <c r="H348" i="4"/>
  <c r="I348" i="4" s="1"/>
  <c r="N355" i="4"/>
  <c r="S361" i="4"/>
  <c r="N365" i="4"/>
  <c r="P372" i="4"/>
  <c r="H383" i="4"/>
  <c r="I383" i="4" s="1"/>
  <c r="H386" i="4"/>
  <c r="I386" i="4" s="1"/>
  <c r="R392" i="4"/>
  <c r="H399" i="4"/>
  <c r="I399" i="4" s="1"/>
  <c r="Q405" i="4"/>
  <c r="R76" i="4"/>
  <c r="Q131" i="4"/>
  <c r="N155" i="4"/>
  <c r="CP155" i="4" s="1"/>
  <c r="P175" i="4"/>
  <c r="R186" i="4"/>
  <c r="R204" i="4"/>
  <c r="R221" i="4"/>
  <c r="H232" i="4"/>
  <c r="I232" i="4" s="1"/>
  <c r="H247" i="4"/>
  <c r="I247" i="4" s="1"/>
  <c r="N266" i="4"/>
  <c r="H269" i="5" s="1"/>
  <c r="H275" i="4"/>
  <c r="I275" i="4" s="1"/>
  <c r="H284" i="4"/>
  <c r="I284" i="4" s="1"/>
  <c r="N293" i="4"/>
  <c r="S304" i="4"/>
  <c r="O316" i="4"/>
  <c r="Q323" i="4"/>
  <c r="H334" i="4"/>
  <c r="I334" i="4" s="1"/>
  <c r="N341" i="4"/>
  <c r="O355" i="4"/>
  <c r="H362" i="4"/>
  <c r="I362" i="4" s="1"/>
  <c r="O365" i="4"/>
  <c r="Q372" i="4"/>
  <c r="H380" i="4"/>
  <c r="I380" i="4" s="1"/>
  <c r="N386" i="4"/>
  <c r="S392" i="4"/>
  <c r="P402" i="4"/>
  <c r="R21" i="4"/>
  <c r="R29" i="4"/>
  <c r="S76" i="4"/>
  <c r="Q114" i="4"/>
  <c r="Q132" i="4"/>
  <c r="P148" i="4"/>
  <c r="N163" i="4"/>
  <c r="CP163" i="4" s="1"/>
  <c r="N169" i="4"/>
  <c r="CP169" i="4" s="1"/>
  <c r="S186" i="4"/>
  <c r="N198" i="4"/>
  <c r="S204" i="4"/>
  <c r="S221" i="4"/>
  <c r="H237" i="4"/>
  <c r="I237" i="4" s="1"/>
  <c r="S241" i="4"/>
  <c r="O257" i="4"/>
  <c r="O266" i="4"/>
  <c r="Q288" i="4"/>
  <c r="I291" i="5" s="1"/>
  <c r="P301" i="4"/>
  <c r="H305" i="4"/>
  <c r="I305" i="4" s="1"/>
  <c r="P316" i="4"/>
  <c r="H320" i="4"/>
  <c r="I320" i="4" s="1"/>
  <c r="P327" i="4"/>
  <c r="H331" i="4"/>
  <c r="I331" i="4" s="1"/>
  <c r="O334" i="4"/>
  <c r="O341" i="4"/>
  <c r="H345" i="4"/>
  <c r="I345" i="4" s="1"/>
  <c r="Q351" i="4"/>
  <c r="P355" i="4"/>
  <c r="N362" i="4"/>
  <c r="O366" i="4"/>
  <c r="R372" i="4"/>
  <c r="O376" i="4"/>
  <c r="O383" i="4"/>
  <c r="O386" i="4"/>
  <c r="H393" i="4"/>
  <c r="I393" i="4" s="1"/>
  <c r="O396" i="4"/>
  <c r="H403" i="4"/>
  <c r="I403" i="4" s="1"/>
  <c r="H13" i="4"/>
  <c r="O163" i="4"/>
  <c r="S188" i="4"/>
  <c r="H205" i="4"/>
  <c r="I205" i="4" s="1"/>
  <c r="N237" i="4"/>
  <c r="Q257" i="4"/>
  <c r="P271" i="4"/>
  <c r="O289" i="4"/>
  <c r="N297" i="4"/>
  <c r="H313" i="4"/>
  <c r="I313" i="4" s="1"/>
  <c r="S323" i="4"/>
  <c r="Q327" i="4"/>
  <c r="P334" i="4"/>
  <c r="R337" i="4"/>
  <c r="P341" i="4"/>
  <c r="O348" i="4"/>
  <c r="O352" i="4"/>
  <c r="N359" i="4"/>
  <c r="Q362" i="4"/>
  <c r="Q369" i="4"/>
  <c r="P376" i="4"/>
  <c r="P383" i="4"/>
  <c r="P386" i="4"/>
  <c r="P393" i="4"/>
  <c r="P396" i="4"/>
  <c r="S51" i="4"/>
  <c r="R69" i="4"/>
  <c r="R125" i="4"/>
  <c r="P141" i="4"/>
  <c r="Q157" i="4"/>
  <c r="P169" i="4"/>
  <c r="O182" i="4"/>
  <c r="S193" i="4"/>
  <c r="R210" i="4"/>
  <c r="N222" i="4"/>
  <c r="CP222" i="4" s="1"/>
  <c r="N227" i="4"/>
  <c r="O237" i="4"/>
  <c r="O247" i="4"/>
  <c r="R257" i="4"/>
  <c r="O267" i="4"/>
  <c r="Q271" i="4"/>
  <c r="I274" i="5" s="1"/>
  <c r="H281" i="4"/>
  <c r="I281" i="4" s="1"/>
  <c r="R284" i="4"/>
  <c r="Q293" i="4"/>
  <c r="O297" i="4"/>
  <c r="N305" i="4"/>
  <c r="N309" i="4"/>
  <c r="H317" i="4"/>
  <c r="I317" i="4" s="1"/>
  <c r="O320" i="4"/>
  <c r="R327" i="4"/>
  <c r="N331" i="4"/>
  <c r="Q338" i="4"/>
  <c r="S341" i="4"/>
  <c r="P348" i="4"/>
  <c r="S355" i="4"/>
  <c r="R362" i="4"/>
  <c r="R369" i="4"/>
  <c r="O373" i="4"/>
  <c r="Q380" i="4"/>
  <c r="H387" i="4"/>
  <c r="I387" i="4" s="1"/>
  <c r="R396" i="4"/>
  <c r="N403" i="4"/>
  <c r="H10" i="4"/>
  <c r="CP94" i="4"/>
  <c r="S112" i="4"/>
  <c r="N121" i="4"/>
  <c r="CP121" i="4" s="1"/>
  <c r="H131" i="4"/>
  <c r="I131" i="4" s="1"/>
  <c r="N146" i="4"/>
  <c r="CP146" i="4" s="1"/>
  <c r="R153" i="4"/>
  <c r="Q160" i="4"/>
  <c r="S172" i="4"/>
  <c r="O180" i="4"/>
  <c r="H186" i="4"/>
  <c r="I186" i="4" s="1"/>
  <c r="R190" i="4"/>
  <c r="R196" i="4"/>
  <c r="P202" i="4"/>
  <c r="Q208" i="4"/>
  <c r="R213" i="4"/>
  <c r="S218" i="4"/>
  <c r="O230" i="4"/>
  <c r="O236" i="4"/>
  <c r="N245" i="4"/>
  <c r="Q250" i="4"/>
  <c r="N255" i="4"/>
  <c r="H258" i="5" s="1"/>
  <c r="R260" i="4"/>
  <c r="H265" i="4"/>
  <c r="I265" i="4" s="1"/>
  <c r="O269" i="4"/>
  <c r="Q274" i="4"/>
  <c r="I277" i="5" s="1"/>
  <c r="Q278" i="4"/>
  <c r="I281" i="5" s="1"/>
  <c r="P283" i="4"/>
  <c r="P287" i="4"/>
  <c r="P291" i="4"/>
  <c r="H296" i="4"/>
  <c r="I296" i="4" s="1"/>
  <c r="R299" i="4"/>
  <c r="Q307" i="4"/>
  <c r="P311" i="4"/>
  <c r="H315" i="4"/>
  <c r="I315" i="4" s="1"/>
  <c r="N319" i="4"/>
  <c r="Q322" i="4"/>
  <c r="P329" i="4"/>
  <c r="O333" i="4"/>
  <c r="R336" i="4"/>
  <c r="O340" i="4"/>
  <c r="H344" i="4"/>
  <c r="I344" i="4" s="1"/>
  <c r="R347" i="4"/>
  <c r="Q350" i="4"/>
  <c r="N354" i="4"/>
  <c r="H358" i="4"/>
  <c r="I358" i="4" s="1"/>
  <c r="P361" i="4"/>
  <c r="S364" i="4"/>
  <c r="S367" i="4"/>
  <c r="N372" i="4"/>
  <c r="S375" i="4"/>
  <c r="R378" i="4"/>
  <c r="R382" i="4"/>
  <c r="Q385" i="4"/>
  <c r="Q388" i="4"/>
  <c r="S391" i="4"/>
  <c r="Q395" i="4"/>
  <c r="R398" i="4"/>
  <c r="P401" i="4"/>
  <c r="S404" i="4"/>
  <c r="H19" i="4"/>
  <c r="S28" i="4"/>
  <c r="CP76" i="4"/>
  <c r="R84" i="4"/>
  <c r="N123" i="4"/>
  <c r="CP123" i="4" s="1"/>
  <c r="O131" i="4"/>
  <c r="O138" i="4"/>
  <c r="R146" i="4"/>
  <c r="S153" i="4"/>
  <c r="P162" i="4"/>
  <c r="N168" i="4"/>
  <c r="CP168" i="4" s="1"/>
  <c r="O173" i="4"/>
  <c r="P180" i="4"/>
  <c r="P186" i="4"/>
  <c r="O192" i="4"/>
  <c r="R197" i="4"/>
  <c r="S202" i="4"/>
  <c r="Q209" i="4"/>
  <c r="N214" i="4"/>
  <c r="CP214" i="4" s="1"/>
  <c r="Q220" i="4"/>
  <c r="O225" i="4"/>
  <c r="P230" i="4"/>
  <c r="Q236" i="4"/>
  <c r="N241" i="4"/>
  <c r="R246" i="4"/>
  <c r="O251" i="4"/>
  <c r="P255" i="4"/>
  <c r="N261" i="4"/>
  <c r="H264" i="5" s="1"/>
  <c r="N265" i="4"/>
  <c r="N270" i="4"/>
  <c r="R274" i="4"/>
  <c r="R278" i="4"/>
  <c r="R283" i="4"/>
  <c r="H288" i="4"/>
  <c r="I288" i="4" s="1"/>
  <c r="N292" i="4"/>
  <c r="S299" i="4"/>
  <c r="N304" i="4"/>
  <c r="R307" i="4"/>
  <c r="Q311" i="4"/>
  <c r="Q319" i="4"/>
  <c r="H323" i="4"/>
  <c r="I323" i="4" s="1"/>
  <c r="N326" i="4"/>
  <c r="H330" i="4"/>
  <c r="I330" i="4" s="1"/>
  <c r="R333" i="4"/>
  <c r="S336" i="4"/>
  <c r="P340" i="4"/>
  <c r="N344" i="4"/>
  <c r="S347" i="4"/>
  <c r="R350" i="4"/>
  <c r="O354" i="4"/>
  <c r="N358" i="4"/>
  <c r="R361" i="4"/>
  <c r="H365" i="4"/>
  <c r="I365" i="4" s="1"/>
  <c r="O372" i="4"/>
  <c r="H376" i="4"/>
  <c r="I376" i="4" s="1"/>
  <c r="S378" i="4"/>
  <c r="S382" i="4"/>
  <c r="R385" i="4"/>
  <c r="R395" i="4"/>
  <c r="S398" i="4"/>
  <c r="Q401" i="4"/>
  <c r="P405" i="4"/>
  <c r="O113" i="4"/>
  <c r="P131" i="4"/>
  <c r="S146" i="4"/>
  <c r="Q162" i="4"/>
  <c r="S173" i="4"/>
  <c r="Q180" i="4"/>
  <c r="S192" i="4"/>
  <c r="S197" i="4"/>
  <c r="R209" i="4"/>
  <c r="P214" i="4"/>
  <c r="R220" i="4"/>
  <c r="R230" i="4"/>
  <c r="O241" i="4"/>
  <c r="P251" i="4"/>
  <c r="O261" i="4"/>
  <c r="O265" i="4"/>
  <c r="Q270" i="4"/>
  <c r="I273" i="5" s="1"/>
  <c r="S278" i="4"/>
  <c r="S283" i="4"/>
  <c r="Q292" i="4"/>
  <c r="I295" i="5" s="1"/>
  <c r="N296" i="4"/>
  <c r="P304" i="4"/>
  <c r="R311" i="4"/>
  <c r="R319" i="4"/>
  <c r="O326" i="4"/>
  <c r="S333" i="4"/>
  <c r="R340" i="4"/>
  <c r="O344" i="4"/>
  <c r="S350" i="4"/>
  <c r="O358" i="4"/>
  <c r="N369" i="4"/>
  <c r="H379" i="4"/>
  <c r="I379" i="4" s="1"/>
  <c r="N389" i="4"/>
  <c r="S395" i="4"/>
  <c r="O402" i="4"/>
  <c r="R39" i="4"/>
  <c r="S57" i="4"/>
  <c r="R86" i="4"/>
  <c r="R94" i="4"/>
  <c r="P123" i="4"/>
  <c r="N148" i="4"/>
  <c r="CP148" i="4" s="1"/>
  <c r="S162" i="4"/>
  <c r="S180" i="4"/>
  <c r="H193" i="4"/>
  <c r="I193" i="4" s="1"/>
  <c r="H198" i="4"/>
  <c r="I198" i="4" s="1"/>
  <c r="S209" i="4"/>
  <c r="Q214" i="4"/>
  <c r="N226" i="4"/>
  <c r="S236" i="4"/>
  <c r="P241" i="4"/>
  <c r="R251" i="4"/>
  <c r="P261" i="4"/>
  <c r="H271" i="4"/>
  <c r="I271" i="4" s="1"/>
  <c r="P280" i="4"/>
  <c r="N288" i="4"/>
  <c r="H291" i="5" s="1"/>
  <c r="H297" i="4"/>
  <c r="I297" i="4" s="1"/>
  <c r="N301" i="4"/>
  <c r="P308" i="4"/>
  <c r="H312" i="4"/>
  <c r="I312" i="4" s="1"/>
  <c r="S319" i="4"/>
  <c r="S326" i="4"/>
  <c r="S330" i="4"/>
  <c r="N337" i="4"/>
  <c r="S344" i="4"/>
  <c r="P351" i="4"/>
  <c r="P358" i="4"/>
  <c r="O369" i="4"/>
  <c r="N376" i="4"/>
  <c r="N383" i="4"/>
  <c r="O389" i="4"/>
  <c r="S405" i="4"/>
  <c r="CQ12" i="4"/>
  <c r="R48" i="4"/>
  <c r="CP88" i="4"/>
  <c r="N141" i="4"/>
  <c r="CP141" i="4" s="1"/>
  <c r="O155" i="4"/>
  <c r="R175" i="4"/>
  <c r="P193" i="4"/>
  <c r="H210" i="4"/>
  <c r="I210" i="4" s="1"/>
  <c r="O226" i="4"/>
  <c r="R261" i="4"/>
  <c r="Q280" i="4"/>
  <c r="I283" i="5" s="1"/>
  <c r="O293" i="4"/>
  <c r="H309" i="4"/>
  <c r="I309" i="4" s="1"/>
  <c r="R323" i="4"/>
  <c r="Q337" i="4"/>
  <c r="N348" i="4"/>
  <c r="P369" i="4"/>
  <c r="O380" i="4"/>
  <c r="P389" i="4"/>
  <c r="N399" i="4"/>
  <c r="CP22" i="4"/>
  <c r="R51" i="4"/>
  <c r="S59" i="4"/>
  <c r="R96" i="4"/>
  <c r="S106" i="4"/>
  <c r="R114" i="4"/>
  <c r="R132" i="4"/>
  <c r="O141" i="4"/>
  <c r="H149" i="4"/>
  <c r="I149" i="4" s="1"/>
  <c r="S156" i="4"/>
  <c r="O169" i="4"/>
  <c r="H176" i="4"/>
  <c r="I176" i="4" s="1"/>
  <c r="N182" i="4"/>
  <c r="Q193" i="4"/>
  <c r="Q210" i="4"/>
  <c r="R216" i="4"/>
  <c r="H227" i="4"/>
  <c r="I227" i="4" s="1"/>
  <c r="S232" i="4"/>
  <c r="O243" i="4"/>
  <c r="N247" i="4"/>
  <c r="N252" i="4"/>
  <c r="S261" i="4"/>
  <c r="N267" i="4"/>
  <c r="P275" i="4"/>
  <c r="R280" i="4"/>
  <c r="Q284" i="4"/>
  <c r="I287" i="5" s="1"/>
  <c r="P293" i="4"/>
  <c r="Q301" i="4"/>
  <c r="Q316" i="4"/>
  <c r="R355" i="4"/>
  <c r="P366" i="4"/>
  <c r="N373" i="4"/>
  <c r="P380" i="4"/>
  <c r="N390" i="4"/>
  <c r="O399" i="4"/>
  <c r="CP23" i="4"/>
  <c r="P117" i="4"/>
  <c r="S132" i="4"/>
  <c r="P163" i="4"/>
  <c r="P176" i="4"/>
  <c r="H189" i="4"/>
  <c r="I189" i="4" s="1"/>
  <c r="N199" i="4"/>
  <c r="H233" i="4"/>
  <c r="I233" i="4" s="1"/>
  <c r="P243" i="4"/>
  <c r="O252" i="4"/>
  <c r="N262" i="4"/>
  <c r="H265" i="5" s="1"/>
  <c r="R275" i="4"/>
  <c r="R289" i="4"/>
  <c r="R301" i="4"/>
  <c r="P313" i="4"/>
  <c r="H324" i="4"/>
  <c r="I324" i="4" s="1"/>
  <c r="Q334" i="4"/>
  <c r="N345" i="4"/>
  <c r="P352" i="4"/>
  <c r="O359" i="4"/>
  <c r="R366" i="4"/>
  <c r="H377" i="4"/>
  <c r="I377" i="4" s="1"/>
  <c r="Q383" i="4"/>
  <c r="O390" i="4"/>
  <c r="Q393" i="4"/>
  <c r="P399" i="4"/>
  <c r="S136" i="4"/>
  <c r="O164" i="4"/>
  <c r="H185" i="4"/>
  <c r="I185" i="4" s="1"/>
  <c r="P205" i="4"/>
  <c r="Q224" i="4"/>
  <c r="S243" i="4"/>
  <c r="H259" i="4"/>
  <c r="I259" i="4" s="1"/>
  <c r="H277" i="4"/>
  <c r="I277" i="4" s="1"/>
  <c r="S290" i="4"/>
  <c r="R305" i="4"/>
  <c r="S317" i="4"/>
  <c r="P331" i="4"/>
  <c r="H343" i="4"/>
  <c r="I343" i="4" s="1"/>
  <c r="H356" i="4"/>
  <c r="I356" i="4" s="1"/>
  <c r="P367" i="4"/>
  <c r="R380" i="4"/>
  <c r="P391" i="4"/>
  <c r="O403" i="4"/>
  <c r="Q117" i="4"/>
  <c r="Q144" i="4"/>
  <c r="Q171" i="4"/>
  <c r="H211" i="4"/>
  <c r="I211" i="4" s="1"/>
  <c r="S229" i="4"/>
  <c r="Q248" i="4"/>
  <c r="P264" i="4"/>
  <c r="Q295" i="4"/>
  <c r="O309" i="4"/>
  <c r="R334" i="4"/>
  <c r="Q346" i="4"/>
  <c r="P359" i="4"/>
  <c r="R383" i="4"/>
  <c r="P394" i="4"/>
  <c r="R82" i="4"/>
  <c r="R117" i="4"/>
  <c r="R144" i="4"/>
  <c r="R171" i="4"/>
  <c r="N190" i="4"/>
  <c r="CP190" i="4" s="1"/>
  <c r="H230" i="4"/>
  <c r="I230" i="4" s="1"/>
  <c r="R248" i="4"/>
  <c r="Q264" i="4"/>
  <c r="N281" i="4"/>
  <c r="R295" i="4"/>
  <c r="S309" i="4"/>
  <c r="N322" i="4"/>
  <c r="S334" i="4"/>
  <c r="Q359" i="4"/>
  <c r="Q371" i="4"/>
  <c r="H384" i="4"/>
  <c r="I384" i="4" s="1"/>
  <c r="Q394" i="4"/>
  <c r="S53" i="4"/>
  <c r="R118" i="4"/>
  <c r="Q149" i="4"/>
  <c r="H194" i="4"/>
  <c r="I194" i="4" s="1"/>
  <c r="O213" i="4"/>
  <c r="N233" i="4"/>
  <c r="P267" i="4"/>
  <c r="Q281" i="4"/>
  <c r="I284" i="5" s="1"/>
  <c r="N298" i="4"/>
  <c r="P324" i="4"/>
  <c r="O336" i="4"/>
  <c r="Q348" i="4"/>
  <c r="S360" i="4"/>
  <c r="P373" i="4"/>
  <c r="N385" i="4"/>
  <c r="S396" i="4"/>
  <c r="R54" i="4"/>
  <c r="R119" i="4"/>
  <c r="R149" i="4"/>
  <c r="N172" i="4"/>
  <c r="CP172" i="4" s="1"/>
  <c r="P213" i="4"/>
  <c r="O233" i="4"/>
  <c r="N250" i="4"/>
  <c r="Q267" i="4"/>
  <c r="S281" i="4"/>
  <c r="S298" i="4"/>
  <c r="N311" i="4"/>
  <c r="P336" i="4"/>
  <c r="S349" i="4"/>
  <c r="H361" i="4"/>
  <c r="I361" i="4" s="1"/>
  <c r="H374" i="4"/>
  <c r="I374" i="4" s="1"/>
  <c r="O385" i="4"/>
  <c r="H397" i="4"/>
  <c r="I397" i="4" s="1"/>
  <c r="R27" i="4"/>
  <c r="S60" i="4"/>
  <c r="S125" i="4"/>
  <c r="N153" i="4"/>
  <c r="S176" i="4"/>
  <c r="O196" i="4"/>
  <c r="N217" i="4"/>
  <c r="N234" i="4"/>
  <c r="Q253" i="4"/>
  <c r="H269" i="4"/>
  <c r="I269" i="4" s="1"/>
  <c r="O285" i="4"/>
  <c r="O299" i="4"/>
  <c r="Q313" i="4"/>
  <c r="P325" i="4"/>
  <c r="R338" i="4"/>
  <c r="N350" i="4"/>
  <c r="N363" i="4"/>
  <c r="R374" i="4"/>
  <c r="N398" i="4"/>
  <c r="S27" i="4"/>
  <c r="CP93" i="4"/>
  <c r="N126" i="4"/>
  <c r="O153" i="4"/>
  <c r="H177" i="4"/>
  <c r="I177" i="4" s="1"/>
  <c r="P196" i="4"/>
  <c r="O217" i="4"/>
  <c r="O234" i="4"/>
  <c r="R253" i="4"/>
  <c r="Q285" i="4"/>
  <c r="I288" i="5" s="1"/>
  <c r="P299" i="4"/>
  <c r="S313" i="4"/>
  <c r="S325" i="4"/>
  <c r="H339" i="4"/>
  <c r="I339" i="4" s="1"/>
  <c r="O350" i="4"/>
  <c r="R363" i="4"/>
  <c r="S374" i="4"/>
  <c r="Q387" i="4"/>
  <c r="P398" i="4"/>
  <c r="CP99" i="4"/>
  <c r="S128" i="4"/>
  <c r="R157" i="4"/>
  <c r="P178" i="4"/>
  <c r="P200" i="4"/>
  <c r="P218" i="4"/>
  <c r="H238" i="4"/>
  <c r="I238" i="4" s="1"/>
  <c r="R254" i="4"/>
  <c r="R271" i="4"/>
  <c r="S286" i="4"/>
  <c r="H302" i="4"/>
  <c r="I302" i="4" s="1"/>
  <c r="O314" i="4"/>
  <c r="O339" i="4"/>
  <c r="Q352" i="4"/>
  <c r="N388" i="4"/>
  <c r="Q400" i="4"/>
  <c r="R33" i="4"/>
  <c r="R64" i="4"/>
  <c r="N129" i="4"/>
  <c r="CP129" i="4" s="1"/>
  <c r="O158" i="4"/>
  <c r="Q178" i="4"/>
  <c r="Q200" i="4"/>
  <c r="Q218" i="4"/>
  <c r="S254" i="4"/>
  <c r="S271" i="4"/>
  <c r="H287" i="4"/>
  <c r="I287" i="4" s="1"/>
  <c r="P314" i="4"/>
  <c r="N328" i="4"/>
  <c r="P339" i="4"/>
  <c r="R352" i="4"/>
  <c r="Q364" i="4"/>
  <c r="N377" i="4"/>
  <c r="O388" i="4"/>
  <c r="R400" i="4"/>
  <c r="CP34" i="4"/>
  <c r="CP70" i="4"/>
  <c r="N135" i="4"/>
  <c r="CP135" i="4" s="1"/>
  <c r="S158" i="4"/>
  <c r="R182" i="4"/>
  <c r="R201" i="4"/>
  <c r="O222" i="4"/>
  <c r="H240" i="4"/>
  <c r="I240" i="4" s="1"/>
  <c r="N258" i="4"/>
  <c r="H261" i="5" s="1"/>
  <c r="P273" i="4"/>
  <c r="S289" i="4"/>
  <c r="S302" i="4"/>
  <c r="H329" i="4"/>
  <c r="I329" i="4" s="1"/>
  <c r="H342" i="4"/>
  <c r="I342" i="4" s="1"/>
  <c r="Q353" i="4"/>
  <c r="H367" i="4"/>
  <c r="I367" i="4" s="1"/>
  <c r="O378" i="4"/>
  <c r="P390" i="4"/>
  <c r="R135" i="4"/>
  <c r="O159" i="4"/>
  <c r="H183" i="4"/>
  <c r="I183" i="4" s="1"/>
  <c r="S201" i="4"/>
  <c r="P222" i="4"/>
  <c r="O258" i="4"/>
  <c r="Q273" i="4"/>
  <c r="I276" i="5" s="1"/>
  <c r="H290" i="4"/>
  <c r="I290" i="4" s="1"/>
  <c r="N303" i="4"/>
  <c r="N317" i="4"/>
  <c r="Q342" i="4"/>
  <c r="R353" i="4"/>
  <c r="P378" i="4"/>
  <c r="R390" i="4"/>
  <c r="N401" i="4"/>
  <c r="R72" i="4"/>
  <c r="P166" i="4"/>
  <c r="N259" i="4"/>
  <c r="N321" i="4"/>
  <c r="P381" i="4"/>
  <c r="Q166" i="4"/>
  <c r="P262" i="4"/>
  <c r="Q331" i="4"/>
  <c r="Q381" i="4"/>
  <c r="CP42" i="4"/>
  <c r="Q262" i="4"/>
  <c r="I265" i="5" s="1"/>
  <c r="Q391" i="4"/>
  <c r="R45" i="4"/>
  <c r="R393" i="4"/>
  <c r="CP46" i="4"/>
  <c r="N189" i="4"/>
  <c r="CP189" i="4" s="1"/>
  <c r="S277" i="4"/>
  <c r="S393" i="4"/>
  <c r="H381" i="4"/>
  <c r="I381" i="4" s="1"/>
  <c r="R205" i="4"/>
  <c r="Q345" i="4"/>
  <c r="P403" i="4"/>
  <c r="P320" i="4"/>
  <c r="H291" i="4"/>
  <c r="I291" i="4" s="1"/>
  <c r="R345" i="4"/>
  <c r="P404" i="4"/>
  <c r="N112" i="4"/>
  <c r="P228" i="4"/>
  <c r="N244" i="4"/>
  <c r="S141" i="4"/>
  <c r="N370" i="4"/>
  <c r="R244" i="4"/>
  <c r="N207" i="4"/>
  <c r="CP207" i="4" s="1"/>
  <c r="R293" i="4"/>
  <c r="Q404" i="4"/>
  <c r="R224" i="4"/>
  <c r="S293" i="4"/>
  <c r="N228" i="4"/>
  <c r="CP228" i="4" s="1"/>
  <c r="S305" i="4"/>
  <c r="N357" i="4"/>
  <c r="O137" i="4"/>
  <c r="N307" i="4"/>
  <c r="Q367" i="4"/>
  <c r="Q141" i="4"/>
  <c r="O307" i="4"/>
  <c r="Q244" i="4"/>
  <c r="R164" i="4"/>
  <c r="E19" i="5"/>
  <c r="E33" i="5"/>
  <c r="E47" i="5"/>
  <c r="E61" i="5"/>
  <c r="E75" i="5"/>
  <c r="E89" i="5"/>
  <c r="E103" i="5"/>
  <c r="E117" i="5"/>
  <c r="E131" i="5"/>
  <c r="E20" i="5"/>
  <c r="E34" i="5"/>
  <c r="E48" i="5"/>
  <c r="E62" i="5"/>
  <c r="E76" i="5"/>
  <c r="E90" i="5"/>
  <c r="E104" i="5"/>
  <c r="E118" i="5"/>
  <c r="E132" i="5"/>
  <c r="E9" i="5"/>
  <c r="E23" i="5"/>
  <c r="E37" i="5"/>
  <c r="E51" i="5"/>
  <c r="E65" i="5"/>
  <c r="E79" i="5"/>
  <c r="E93" i="5"/>
  <c r="E10" i="5"/>
  <c r="E24" i="5"/>
  <c r="E38" i="5"/>
  <c r="E52" i="5"/>
  <c r="E66" i="5"/>
  <c r="E80" i="5"/>
  <c r="E94" i="5"/>
  <c r="E108" i="5"/>
  <c r="E122" i="5"/>
  <c r="E136" i="5"/>
  <c r="E144" i="5"/>
  <c r="E158" i="5"/>
  <c r="E172" i="5"/>
  <c r="E186" i="5"/>
  <c r="E200" i="5"/>
  <c r="E214" i="5"/>
  <c r="E228" i="5"/>
  <c r="E242" i="5"/>
  <c r="E256" i="5"/>
  <c r="E270" i="5"/>
  <c r="E284" i="5"/>
  <c r="E298" i="5"/>
  <c r="E312" i="5"/>
  <c r="E326" i="5"/>
  <c r="E340" i="5"/>
  <c r="E354" i="5"/>
  <c r="E368" i="5"/>
  <c r="E11" i="5"/>
  <c r="E25" i="5"/>
  <c r="E39" i="5"/>
  <c r="E53" i="5"/>
  <c r="E67" i="5"/>
  <c r="E81" i="5"/>
  <c r="E95" i="5"/>
  <c r="E109" i="5"/>
  <c r="E123" i="5"/>
  <c r="E137" i="5"/>
  <c r="E145" i="5"/>
  <c r="E159" i="5"/>
  <c r="E173" i="5"/>
  <c r="E187" i="5"/>
  <c r="E201" i="5"/>
  <c r="E215" i="5"/>
  <c r="E229" i="5"/>
  <c r="E243" i="5"/>
  <c r="E257" i="5"/>
  <c r="E271" i="5"/>
  <c r="E285" i="5"/>
  <c r="E299" i="5"/>
  <c r="E313" i="5"/>
  <c r="E327" i="5"/>
  <c r="E341" i="5"/>
  <c r="E13" i="5"/>
  <c r="E27" i="5"/>
  <c r="E41" i="5"/>
  <c r="E55" i="5"/>
  <c r="E69" i="5"/>
  <c r="E83" i="5"/>
  <c r="E97" i="5"/>
  <c r="E111" i="5"/>
  <c r="E125" i="5"/>
  <c r="E139" i="5"/>
  <c r="E147" i="5"/>
  <c r="E161" i="5"/>
  <c r="E175" i="5"/>
  <c r="E189" i="5"/>
  <c r="E14" i="5"/>
  <c r="E28" i="5"/>
  <c r="E42" i="5"/>
  <c r="E56" i="5"/>
  <c r="E70" i="5"/>
  <c r="E84" i="5"/>
  <c r="E98" i="5"/>
  <c r="E112" i="5"/>
  <c r="E126" i="5"/>
  <c r="E140" i="5"/>
  <c r="E148" i="5"/>
  <c r="E162" i="5"/>
  <c r="E176" i="5"/>
  <c r="E190" i="5"/>
  <c r="E204" i="5"/>
  <c r="E218" i="5"/>
  <c r="E232" i="5"/>
  <c r="E246" i="5"/>
  <c r="E260" i="5"/>
  <c r="E274" i="5"/>
  <c r="E288" i="5"/>
  <c r="E302" i="5"/>
  <c r="E316" i="5"/>
  <c r="E330" i="5"/>
  <c r="E344" i="5"/>
  <c r="E358" i="5"/>
  <c r="E372" i="5"/>
  <c r="E29" i="5"/>
  <c r="E43" i="5"/>
  <c r="E57" i="5"/>
  <c r="E71" i="5"/>
  <c r="E99" i="5"/>
  <c r="E113" i="5"/>
  <c r="E127" i="5"/>
  <c r="E163" i="5"/>
  <c r="E205" i="5"/>
  <c r="E275" i="5"/>
  <c r="E303" i="5"/>
  <c r="E331" i="5"/>
  <c r="E359" i="5"/>
  <c r="E206" i="5"/>
  <c r="E248" i="5"/>
  <c r="E262" i="5"/>
  <c r="E276" i="5"/>
  <c r="E290" i="5"/>
  <c r="E332" i="5"/>
  <c r="E360" i="5"/>
  <c r="E374" i="5"/>
  <c r="E101" i="5"/>
  <c r="E129" i="5"/>
  <c r="E7" i="5"/>
  <c r="E151" i="5"/>
  <c r="E165" i="5"/>
  <c r="E179" i="5"/>
  <c r="E221" i="5"/>
  <c r="E235" i="5"/>
  <c r="E375" i="5"/>
  <c r="E130" i="5"/>
  <c r="E194" i="5"/>
  <c r="E236" i="5"/>
  <c r="E278" i="5"/>
  <c r="E306" i="5"/>
  <c r="E348" i="5"/>
  <c r="E153" i="5"/>
  <c r="E181" i="5"/>
  <c r="E195" i="5"/>
  <c r="E209" i="5"/>
  <c r="E223" i="5"/>
  <c r="E251" i="5"/>
  <c r="E265" i="5"/>
  <c r="E279" i="5"/>
  <c r="E293" i="5"/>
  <c r="E307" i="5"/>
  <c r="E321" i="5"/>
  <c r="E335" i="5"/>
  <c r="E349" i="5"/>
  <c r="E363" i="5"/>
  <c r="E377" i="5"/>
  <c r="E154" i="5"/>
  <c r="E182" i="5"/>
  <c r="E196" i="5"/>
  <c r="E224" i="5"/>
  <c r="E238" i="5"/>
  <c r="E252" i="5"/>
  <c r="E266" i="5"/>
  <c r="E15" i="5"/>
  <c r="E85" i="5"/>
  <c r="E141" i="5"/>
  <c r="E149" i="5"/>
  <c r="E177" i="5"/>
  <c r="E191" i="5"/>
  <c r="E219" i="5"/>
  <c r="E233" i="5"/>
  <c r="E247" i="5"/>
  <c r="E261" i="5"/>
  <c r="E289" i="5"/>
  <c r="E317" i="5"/>
  <c r="E345" i="5"/>
  <c r="E373" i="5"/>
  <c r="E234" i="5"/>
  <c r="E115" i="5"/>
  <c r="E193" i="5"/>
  <c r="E207" i="5"/>
  <c r="E263" i="5"/>
  <c r="E277" i="5"/>
  <c r="E291" i="5"/>
  <c r="E305" i="5"/>
  <c r="E319" i="5"/>
  <c r="E333" i="5"/>
  <c r="E347" i="5"/>
  <c r="E361" i="5"/>
  <c r="E116" i="5"/>
  <c r="E222" i="5"/>
  <c r="E250" i="5"/>
  <c r="E292" i="5"/>
  <c r="E334" i="5"/>
  <c r="E362" i="5"/>
  <c r="E16" i="5"/>
  <c r="E30" i="5"/>
  <c r="E44" i="5"/>
  <c r="E58" i="5"/>
  <c r="E72" i="5"/>
  <c r="E86" i="5"/>
  <c r="E100" i="5"/>
  <c r="E114" i="5"/>
  <c r="E128" i="5"/>
  <c r="E142" i="5"/>
  <c r="E150" i="5"/>
  <c r="E164" i="5"/>
  <c r="E178" i="5"/>
  <c r="E192" i="5"/>
  <c r="E220" i="5"/>
  <c r="E304" i="5"/>
  <c r="E318" i="5"/>
  <c r="E346" i="5"/>
  <c r="E249" i="5"/>
  <c r="E166" i="5"/>
  <c r="E237" i="5"/>
  <c r="E17" i="5"/>
  <c r="E31" i="5"/>
  <c r="E45" i="5"/>
  <c r="E59" i="5"/>
  <c r="E73" i="5"/>
  <c r="E87" i="5"/>
  <c r="E18" i="5"/>
  <c r="E32" i="5"/>
  <c r="E46" i="5"/>
  <c r="E60" i="5"/>
  <c r="E74" i="5"/>
  <c r="E88" i="5"/>
  <c r="E102" i="5"/>
  <c r="E8" i="5"/>
  <c r="E152" i="5"/>
  <c r="E180" i="5"/>
  <c r="E208" i="5"/>
  <c r="E264" i="5"/>
  <c r="E320" i="5"/>
  <c r="E376" i="5"/>
  <c r="E167" i="5"/>
  <c r="E63" i="5"/>
  <c r="E120" i="5"/>
  <c r="E160" i="5"/>
  <c r="E203" i="5"/>
  <c r="E241" i="5"/>
  <c r="E281" i="5"/>
  <c r="E311" i="5"/>
  <c r="E343" i="5"/>
  <c r="E371" i="5"/>
  <c r="E68" i="5"/>
  <c r="E124" i="5"/>
  <c r="E169" i="5"/>
  <c r="E211" i="5"/>
  <c r="E245" i="5"/>
  <c r="E283" i="5"/>
  <c r="E315" i="5"/>
  <c r="E351" i="5"/>
  <c r="E379" i="5"/>
  <c r="E77" i="5"/>
  <c r="E133" i="5"/>
  <c r="E170" i="5"/>
  <c r="E212" i="5"/>
  <c r="E253" i="5"/>
  <c r="E286" i="5"/>
  <c r="E322" i="5"/>
  <c r="E352" i="5"/>
  <c r="E380" i="5"/>
  <c r="E12" i="5"/>
  <c r="E78" i="5"/>
  <c r="E134" i="5"/>
  <c r="E171" i="5"/>
  <c r="E213" i="5"/>
  <c r="E287" i="5"/>
  <c r="E323" i="5"/>
  <c r="E353" i="5"/>
  <c r="E21" i="5"/>
  <c r="E135" i="5"/>
  <c r="E174" i="5"/>
  <c r="E216" i="5"/>
  <c r="E255" i="5"/>
  <c r="E294" i="5"/>
  <c r="E324" i="5"/>
  <c r="E355" i="5"/>
  <c r="E22" i="5"/>
  <c r="E91" i="5"/>
  <c r="E138" i="5"/>
  <c r="E183" i="5"/>
  <c r="E217" i="5"/>
  <c r="E258" i="5"/>
  <c r="E295" i="5"/>
  <c r="E325" i="5"/>
  <c r="E356" i="5"/>
  <c r="E92" i="5"/>
  <c r="E184" i="5"/>
  <c r="E225" i="5"/>
  <c r="E259" i="5"/>
  <c r="E296" i="5"/>
  <c r="E328" i="5"/>
  <c r="E357" i="5"/>
  <c r="E35" i="5"/>
  <c r="E96" i="5"/>
  <c r="E185" i="5"/>
  <c r="E226" i="5"/>
  <c r="E267" i="5"/>
  <c r="E297" i="5"/>
  <c r="E329" i="5"/>
  <c r="E364" i="5"/>
  <c r="E36" i="5"/>
  <c r="E105" i="5"/>
  <c r="E143" i="5"/>
  <c r="E188" i="5"/>
  <c r="E227" i="5"/>
  <c r="E268" i="5"/>
  <c r="E300" i="5"/>
  <c r="E336" i="5"/>
  <c r="E365" i="5"/>
  <c r="E40" i="5"/>
  <c r="E106" i="5"/>
  <c r="E146" i="5"/>
  <c r="E197" i="5"/>
  <c r="E230" i="5"/>
  <c r="E269" i="5"/>
  <c r="E301" i="5"/>
  <c r="E337" i="5"/>
  <c r="E64" i="5"/>
  <c r="E121" i="5"/>
  <c r="E168" i="5"/>
  <c r="E210" i="5"/>
  <c r="E244" i="5"/>
  <c r="E282" i="5"/>
  <c r="E314" i="5"/>
  <c r="E350" i="5"/>
  <c r="E378" i="5"/>
  <c r="E254" i="5"/>
  <c r="E82" i="5"/>
  <c r="E26" i="5"/>
  <c r="E198" i="5"/>
  <c r="E342" i="5"/>
  <c r="E199" i="5"/>
  <c r="E366" i="5"/>
  <c r="E202" i="5"/>
  <c r="E367" i="5"/>
  <c r="E240" i="5"/>
  <c r="E231" i="5"/>
  <c r="E369" i="5"/>
  <c r="E49" i="5"/>
  <c r="E239" i="5"/>
  <c r="E370" i="5"/>
  <c r="E50" i="5"/>
  <c r="E54" i="5"/>
  <c r="E272" i="5"/>
  <c r="E107" i="5"/>
  <c r="E273" i="5"/>
  <c r="E110" i="5"/>
  <c r="E280" i="5"/>
  <c r="E119" i="5"/>
  <c r="E308" i="5"/>
  <c r="E309" i="5"/>
  <c r="E155" i="5"/>
  <c r="E310" i="5"/>
  <c r="E156" i="5"/>
  <c r="E338" i="5"/>
  <c r="E157" i="5"/>
  <c r="E339" i="5"/>
  <c r="D7" i="5"/>
  <c r="D14" i="5"/>
  <c r="D21" i="5"/>
  <c r="I21" i="5" s="1"/>
  <c r="D28" i="5"/>
  <c r="D35" i="5"/>
  <c r="D42" i="5"/>
  <c r="D49" i="5"/>
  <c r="D56" i="5"/>
  <c r="I56" i="5" s="1"/>
  <c r="D63" i="5"/>
  <c r="I63" i="5" s="1"/>
  <c r="D70" i="5"/>
  <c r="D77" i="5"/>
  <c r="I77" i="5" s="1"/>
  <c r="D84" i="5"/>
  <c r="I84" i="5" s="1"/>
  <c r="D91" i="5"/>
  <c r="D98" i="5"/>
  <c r="D105" i="5"/>
  <c r="I105" i="5" s="1"/>
  <c r="D112" i="5"/>
  <c r="I112" i="5" s="1"/>
  <c r="D119" i="5"/>
  <c r="I119" i="5" s="1"/>
  <c r="D126" i="5"/>
  <c r="D133" i="5"/>
  <c r="D140" i="5"/>
  <c r="D147" i="5"/>
  <c r="D154" i="5"/>
  <c r="I154" i="5" s="1"/>
  <c r="D161" i="5"/>
  <c r="I161" i="5" s="1"/>
  <c r="D168" i="5"/>
  <c r="D175" i="5"/>
  <c r="I175" i="5" s="1"/>
  <c r="D182" i="5"/>
  <c r="I182" i="5" s="1"/>
  <c r="D189" i="5"/>
  <c r="D196" i="5"/>
  <c r="D203" i="5"/>
  <c r="I203" i="5" s="1"/>
  <c r="D210" i="5"/>
  <c r="I210" i="5" s="1"/>
  <c r="D217" i="5"/>
  <c r="D224" i="5"/>
  <c r="D231" i="5"/>
  <c r="D238" i="5"/>
  <c r="C11" i="5"/>
  <c r="C18" i="5"/>
  <c r="C25" i="5"/>
  <c r="H25" i="5" s="1"/>
  <c r="C32" i="5"/>
  <c r="C39" i="5"/>
  <c r="C46" i="5"/>
  <c r="C53" i="5"/>
  <c r="C60" i="5"/>
  <c r="C67" i="5"/>
  <c r="C74" i="5"/>
  <c r="C81" i="5"/>
  <c r="C88" i="5"/>
  <c r="C95" i="5"/>
  <c r="C102" i="5"/>
  <c r="C109" i="5"/>
  <c r="H109" i="5" s="1"/>
  <c r="C116" i="5"/>
  <c r="C123" i="5"/>
  <c r="C130" i="5"/>
  <c r="C137" i="5"/>
  <c r="C144" i="5"/>
  <c r="C151" i="5"/>
  <c r="C158" i="5"/>
  <c r="C165" i="5"/>
  <c r="C172" i="5"/>
  <c r="C179" i="5"/>
  <c r="C186" i="5"/>
  <c r="C193" i="5"/>
  <c r="C200" i="5"/>
  <c r="C207" i="5"/>
  <c r="C214" i="5"/>
  <c r="C221" i="5"/>
  <c r="C228" i="5"/>
  <c r="C235" i="5"/>
  <c r="C7" i="5"/>
  <c r="C36" i="5"/>
  <c r="C40" i="5"/>
  <c r="C44" i="5"/>
  <c r="C48" i="5"/>
  <c r="C52" i="5"/>
  <c r="C56" i="5"/>
  <c r="C85" i="5"/>
  <c r="C89" i="5"/>
  <c r="C93" i="5"/>
  <c r="C97" i="5"/>
  <c r="C101" i="5"/>
  <c r="C105" i="5"/>
  <c r="C134" i="5"/>
  <c r="C138" i="5"/>
  <c r="C142" i="5"/>
  <c r="C146" i="5"/>
  <c r="C150" i="5"/>
  <c r="C154" i="5"/>
  <c r="C183" i="5"/>
  <c r="C187" i="5"/>
  <c r="C191" i="5"/>
  <c r="C195" i="5"/>
  <c r="C199" i="5"/>
  <c r="C203" i="5"/>
  <c r="C232" i="5"/>
  <c r="C236" i="5"/>
  <c r="C240" i="5"/>
  <c r="C247" i="5"/>
  <c r="C254" i="5"/>
  <c r="D32" i="5"/>
  <c r="D36" i="5"/>
  <c r="I36" i="5" s="1"/>
  <c r="D40" i="5"/>
  <c r="I40" i="5" s="1"/>
  <c r="D44" i="5"/>
  <c r="I44" i="5" s="1"/>
  <c r="D48" i="5"/>
  <c r="D52" i="5"/>
  <c r="D81" i="5"/>
  <c r="D85" i="5"/>
  <c r="D89" i="5"/>
  <c r="I89" i="5" s="1"/>
  <c r="D93" i="5"/>
  <c r="I93" i="5" s="1"/>
  <c r="D97" i="5"/>
  <c r="D101" i="5"/>
  <c r="I101" i="5" s="1"/>
  <c r="D130" i="5"/>
  <c r="I130" i="5" s="1"/>
  <c r="D134" i="5"/>
  <c r="D138" i="5"/>
  <c r="D142" i="5"/>
  <c r="I142" i="5" s="1"/>
  <c r="D146" i="5"/>
  <c r="I146" i="5" s="1"/>
  <c r="D150" i="5"/>
  <c r="I150" i="5" s="1"/>
  <c r="D179" i="5"/>
  <c r="D183" i="5"/>
  <c r="D187" i="5"/>
  <c r="D191" i="5"/>
  <c r="D195" i="5"/>
  <c r="I195" i="5" s="1"/>
  <c r="D199" i="5"/>
  <c r="I199" i="5" s="1"/>
  <c r="D228" i="5"/>
  <c r="D232" i="5"/>
  <c r="D236" i="5"/>
  <c r="D240" i="5"/>
  <c r="D247" i="5"/>
  <c r="D254" i="5"/>
  <c r="D8" i="5"/>
  <c r="D12" i="5"/>
  <c r="D16" i="5"/>
  <c r="D20" i="5"/>
  <c r="D24" i="5"/>
  <c r="D53" i="5"/>
  <c r="I53" i="5" s="1"/>
  <c r="D57" i="5"/>
  <c r="I57" i="5" s="1"/>
  <c r="D61" i="5"/>
  <c r="I61" i="5" s="1"/>
  <c r="D65" i="5"/>
  <c r="D69" i="5"/>
  <c r="I69" i="5" s="1"/>
  <c r="C29" i="5"/>
  <c r="C33" i="5"/>
  <c r="C37" i="5"/>
  <c r="C41" i="5"/>
  <c r="C45" i="5"/>
  <c r="C49" i="5"/>
  <c r="C78" i="5"/>
  <c r="C82" i="5"/>
  <c r="C86" i="5"/>
  <c r="C90" i="5"/>
  <c r="C94" i="5"/>
  <c r="C98" i="5"/>
  <c r="C127" i="5"/>
  <c r="C131" i="5"/>
  <c r="C135" i="5"/>
  <c r="C139" i="5"/>
  <c r="C143" i="5"/>
  <c r="C147" i="5"/>
  <c r="C176" i="5"/>
  <c r="C180" i="5"/>
  <c r="C184" i="5"/>
  <c r="C188" i="5"/>
  <c r="C192" i="5"/>
  <c r="C196" i="5"/>
  <c r="C225" i="5"/>
  <c r="C229" i="5"/>
  <c r="C233" i="5"/>
  <c r="C237" i="5"/>
  <c r="C241" i="5"/>
  <c r="C248" i="5"/>
  <c r="C255" i="5"/>
  <c r="C9" i="5"/>
  <c r="C13" i="5"/>
  <c r="C17" i="5"/>
  <c r="C21" i="5"/>
  <c r="H21" i="5" s="1"/>
  <c r="C50" i="5"/>
  <c r="C54" i="5"/>
  <c r="C58" i="5"/>
  <c r="C62" i="5"/>
  <c r="C66" i="5"/>
  <c r="C70" i="5"/>
  <c r="C99" i="5"/>
  <c r="C103" i="5"/>
  <c r="C107" i="5"/>
  <c r="C111" i="5"/>
  <c r="C115" i="5"/>
  <c r="C119" i="5"/>
  <c r="C148" i="5"/>
  <c r="C152" i="5"/>
  <c r="C156" i="5"/>
  <c r="C160" i="5"/>
  <c r="C164" i="5"/>
  <c r="C168" i="5"/>
  <c r="C197" i="5"/>
  <c r="C201" i="5"/>
  <c r="C205" i="5"/>
  <c r="C209" i="5"/>
  <c r="C213" i="5"/>
  <c r="C217" i="5"/>
  <c r="C245" i="5"/>
  <c r="C252" i="5"/>
  <c r="D15" i="5"/>
  <c r="D22" i="5"/>
  <c r="C28" i="5"/>
  <c r="D41" i="5"/>
  <c r="D47" i="5"/>
  <c r="I47" i="5" s="1"/>
  <c r="D54" i="5"/>
  <c r="I54" i="5" s="1"/>
  <c r="D72" i="5"/>
  <c r="I72" i="5" s="1"/>
  <c r="D107" i="5"/>
  <c r="D118" i="5"/>
  <c r="I118" i="5" s="1"/>
  <c r="D124" i="5"/>
  <c r="I124" i="5" s="1"/>
  <c r="D129" i="5"/>
  <c r="D141" i="5"/>
  <c r="D158" i="5"/>
  <c r="I158" i="5" s="1"/>
  <c r="D164" i="5"/>
  <c r="I164" i="5" s="1"/>
  <c r="D181" i="5"/>
  <c r="I181" i="5" s="1"/>
  <c r="D193" i="5"/>
  <c r="D198" i="5"/>
  <c r="D204" i="5"/>
  <c r="D215" i="5"/>
  <c r="D243" i="5"/>
  <c r="D253" i="5"/>
  <c r="C42" i="5"/>
  <c r="D159" i="5"/>
  <c r="I159" i="5" s="1"/>
  <c r="D205" i="5"/>
  <c r="I205" i="5" s="1"/>
  <c r="D216" i="5"/>
  <c r="D227" i="5"/>
  <c r="D244" i="5"/>
  <c r="D30" i="5"/>
  <c r="I30" i="5" s="1"/>
  <c r="C43" i="5"/>
  <c r="C68" i="5"/>
  <c r="D108" i="5"/>
  <c r="D120" i="5"/>
  <c r="D137" i="5"/>
  <c r="I137" i="5" s="1"/>
  <c r="D171" i="5"/>
  <c r="I171" i="5" s="1"/>
  <c r="D234" i="5"/>
  <c r="D245" i="5"/>
  <c r="D18" i="5"/>
  <c r="C16" i="5"/>
  <c r="D29" i="5"/>
  <c r="D60" i="5"/>
  <c r="D67" i="5"/>
  <c r="I67" i="5" s="1"/>
  <c r="C73" i="5"/>
  <c r="C79" i="5"/>
  <c r="C84" i="5"/>
  <c r="D90" i="5"/>
  <c r="C96" i="5"/>
  <c r="C113" i="5"/>
  <c r="C136" i="5"/>
  <c r="C153" i="5"/>
  <c r="C159" i="5"/>
  <c r="C170" i="5"/>
  <c r="D176" i="5"/>
  <c r="I176" i="5" s="1"/>
  <c r="C210" i="5"/>
  <c r="C216" i="5"/>
  <c r="C222" i="5"/>
  <c r="C227" i="5"/>
  <c r="D233" i="5"/>
  <c r="C239" i="5"/>
  <c r="C244" i="5"/>
  <c r="C249" i="5"/>
  <c r="D153" i="5"/>
  <c r="I153" i="5" s="1"/>
  <c r="D170" i="5"/>
  <c r="I170" i="5" s="1"/>
  <c r="D222" i="5"/>
  <c r="D239" i="5"/>
  <c r="D249" i="5"/>
  <c r="D23" i="5"/>
  <c r="D55" i="5"/>
  <c r="D62" i="5"/>
  <c r="D103" i="5"/>
  <c r="I103" i="5" s="1"/>
  <c r="D114" i="5"/>
  <c r="I114" i="5" s="1"/>
  <c r="D125" i="5"/>
  <c r="I125" i="5" s="1"/>
  <c r="D160" i="5"/>
  <c r="D194" i="5"/>
  <c r="D211" i="5"/>
  <c r="D11" i="5"/>
  <c r="C24" i="5"/>
  <c r="H24" i="5" s="1"/>
  <c r="C10" i="5"/>
  <c r="C35" i="5"/>
  <c r="C61" i="5"/>
  <c r="D73" i="5"/>
  <c r="I73" i="5" s="1"/>
  <c r="D79" i="5"/>
  <c r="D96" i="5"/>
  <c r="D102" i="5"/>
  <c r="I102" i="5" s="1"/>
  <c r="D113" i="5"/>
  <c r="I113" i="5" s="1"/>
  <c r="D136" i="5"/>
  <c r="I136" i="5" s="1"/>
  <c r="D148" i="5"/>
  <c r="D165" i="5"/>
  <c r="D10" i="5"/>
  <c r="D17" i="5"/>
  <c r="C23" i="5"/>
  <c r="H23" i="5" s="1"/>
  <c r="C30" i="5"/>
  <c r="C55" i="5"/>
  <c r="D74" i="5"/>
  <c r="I74" i="5" s="1"/>
  <c r="C91" i="5"/>
  <c r="C108" i="5"/>
  <c r="H108" i="5" s="1"/>
  <c r="C114" i="5"/>
  <c r="C120" i="5"/>
  <c r="C125" i="5"/>
  <c r="D131" i="5"/>
  <c r="I131" i="5" s="1"/>
  <c r="C171" i="5"/>
  <c r="C177" i="5"/>
  <c r="C182" i="5"/>
  <c r="D188" i="5"/>
  <c r="I188" i="5" s="1"/>
  <c r="C194" i="5"/>
  <c r="C211" i="5"/>
  <c r="C234" i="5"/>
  <c r="D200" i="5"/>
  <c r="I200" i="5" s="1"/>
  <c r="D177" i="5"/>
  <c r="I177" i="5" s="1"/>
  <c r="D9" i="5"/>
  <c r="D43" i="5"/>
  <c r="D99" i="5"/>
  <c r="I99" i="5" s="1"/>
  <c r="C126" i="5"/>
  <c r="D144" i="5"/>
  <c r="I144" i="5" s="1"/>
  <c r="C161" i="5"/>
  <c r="D169" i="5"/>
  <c r="D178" i="5"/>
  <c r="C206" i="5"/>
  <c r="D214" i="5"/>
  <c r="D223" i="5"/>
  <c r="C231" i="5"/>
  <c r="D241" i="5"/>
  <c r="D38" i="5"/>
  <c r="I38" i="5" s="1"/>
  <c r="C12" i="5"/>
  <c r="D33" i="5"/>
  <c r="C63" i="5"/>
  <c r="D152" i="5"/>
  <c r="I152" i="5" s="1"/>
  <c r="C189" i="5"/>
  <c r="D197" i="5"/>
  <c r="D206" i="5"/>
  <c r="C224" i="5"/>
  <c r="D248" i="5"/>
  <c r="C22" i="5"/>
  <c r="H22" i="5" s="1"/>
  <c r="C72" i="5"/>
  <c r="D82" i="5"/>
  <c r="C92" i="5"/>
  <c r="D109" i="5"/>
  <c r="I109" i="5" s="1"/>
  <c r="C117" i="5"/>
  <c r="D127" i="5"/>
  <c r="C162" i="5"/>
  <c r="D172" i="5"/>
  <c r="I172" i="5" s="1"/>
  <c r="C242" i="5"/>
  <c r="C250" i="5"/>
  <c r="D13" i="5"/>
  <c r="D25" i="5"/>
  <c r="C34" i="5"/>
  <c r="C64" i="5"/>
  <c r="C75" i="5"/>
  <c r="D92" i="5"/>
  <c r="C100" i="5"/>
  <c r="C110" i="5"/>
  <c r="D117" i="5"/>
  <c r="D135" i="5"/>
  <c r="C145" i="5"/>
  <c r="C155" i="5"/>
  <c r="D162" i="5"/>
  <c r="I162" i="5" s="1"/>
  <c r="D180" i="5"/>
  <c r="C190" i="5"/>
  <c r="D207" i="5"/>
  <c r="C215" i="5"/>
  <c r="D225" i="5"/>
  <c r="D242" i="5"/>
  <c r="D250" i="5"/>
  <c r="C47" i="5"/>
  <c r="D58" i="5"/>
  <c r="I58" i="5" s="1"/>
  <c r="D68" i="5"/>
  <c r="D76" i="5"/>
  <c r="D94" i="5"/>
  <c r="I94" i="5" s="1"/>
  <c r="C104" i="5"/>
  <c r="C129" i="5"/>
  <c r="D139" i="5"/>
  <c r="C149" i="5"/>
  <c r="C174" i="5"/>
  <c r="D184" i="5"/>
  <c r="I184" i="5" s="1"/>
  <c r="C219" i="5"/>
  <c r="D229" i="5"/>
  <c r="C27" i="5"/>
  <c r="D50" i="5"/>
  <c r="I50" i="5" s="1"/>
  <c r="C69" i="5"/>
  <c r="C77" i="5"/>
  <c r="C87" i="5"/>
  <c r="D95" i="5"/>
  <c r="I95" i="5" s="1"/>
  <c r="D104" i="5"/>
  <c r="I104" i="5" s="1"/>
  <c r="C112" i="5"/>
  <c r="C122" i="5"/>
  <c r="C132" i="5"/>
  <c r="D149" i="5"/>
  <c r="C157" i="5"/>
  <c r="C167" i="5"/>
  <c r="D174" i="5"/>
  <c r="I174" i="5" s="1"/>
  <c r="D192" i="5"/>
  <c r="C202" i="5"/>
  <c r="D219" i="5"/>
  <c r="D237" i="5"/>
  <c r="C246" i="5"/>
  <c r="D27" i="5"/>
  <c r="I27" i="5" s="1"/>
  <c r="D39" i="5"/>
  <c r="I39" i="5" s="1"/>
  <c r="D87" i="5"/>
  <c r="I87" i="5" s="1"/>
  <c r="D122" i="5"/>
  <c r="D132" i="5"/>
  <c r="C140" i="5"/>
  <c r="D157" i="5"/>
  <c r="I157" i="5" s="1"/>
  <c r="D167" i="5"/>
  <c r="I167" i="5" s="1"/>
  <c r="C175" i="5"/>
  <c r="C185" i="5"/>
  <c r="D202" i="5"/>
  <c r="I202" i="5" s="1"/>
  <c r="D212" i="5"/>
  <c r="C220" i="5"/>
  <c r="C230" i="5"/>
  <c r="D246" i="5"/>
  <c r="C253" i="5"/>
  <c r="D34" i="5"/>
  <c r="I34" i="5" s="1"/>
  <c r="D45" i="5"/>
  <c r="D64" i="5"/>
  <c r="D75" i="5"/>
  <c r="C83" i="5"/>
  <c r="D100" i="5"/>
  <c r="I100" i="5" s="1"/>
  <c r="D110" i="5"/>
  <c r="I110" i="5" s="1"/>
  <c r="C118" i="5"/>
  <c r="C128" i="5"/>
  <c r="D145" i="5"/>
  <c r="I145" i="5" s="1"/>
  <c r="D155" i="5"/>
  <c r="C163" i="5"/>
  <c r="C173" i="5"/>
  <c r="D190" i="5"/>
  <c r="I190" i="5" s="1"/>
  <c r="C198" i="5"/>
  <c r="C208" i="5"/>
  <c r="C218" i="5"/>
  <c r="D235" i="5"/>
  <c r="C251" i="5"/>
  <c r="C26" i="5"/>
  <c r="H26" i="5" s="1"/>
  <c r="D37" i="5"/>
  <c r="I37" i="5" s="1"/>
  <c r="D46" i="5"/>
  <c r="C65" i="5"/>
  <c r="D83" i="5"/>
  <c r="I83" i="5" s="1"/>
  <c r="D128" i="5"/>
  <c r="D163" i="5"/>
  <c r="D173" i="5"/>
  <c r="I173" i="5" s="1"/>
  <c r="C181" i="5"/>
  <c r="D208" i="5"/>
  <c r="I208" i="5" s="1"/>
  <c r="D218" i="5"/>
  <c r="C226" i="5"/>
  <c r="D251" i="5"/>
  <c r="C15" i="5"/>
  <c r="D121" i="5"/>
  <c r="I121" i="5" s="1"/>
  <c r="D166" i="5"/>
  <c r="I166" i="5" s="1"/>
  <c r="C212" i="5"/>
  <c r="C14" i="5"/>
  <c r="D26" i="5"/>
  <c r="I26" i="5" s="1"/>
  <c r="C57" i="5"/>
  <c r="D111" i="5"/>
  <c r="D156" i="5"/>
  <c r="I156" i="5" s="1"/>
  <c r="D201" i="5"/>
  <c r="I201" i="5" s="1"/>
  <c r="D226" i="5"/>
  <c r="C243" i="5"/>
  <c r="C38" i="5"/>
  <c r="D66" i="5"/>
  <c r="C76" i="5"/>
  <c r="D86" i="5"/>
  <c r="I86" i="5" s="1"/>
  <c r="C121" i="5"/>
  <c r="C166" i="5"/>
  <c r="D209" i="5"/>
  <c r="I209" i="5" s="1"/>
  <c r="D252" i="5"/>
  <c r="C71" i="5"/>
  <c r="D115" i="5"/>
  <c r="D151" i="5"/>
  <c r="I151" i="5" s="1"/>
  <c r="C238" i="5"/>
  <c r="D71" i="5"/>
  <c r="I71" i="5" s="1"/>
  <c r="D31" i="5"/>
  <c r="C31" i="5"/>
  <c r="D78" i="5"/>
  <c r="C80" i="5"/>
  <c r="D123" i="5"/>
  <c r="I123" i="5" s="1"/>
  <c r="D80" i="5"/>
  <c r="I80" i="5" s="1"/>
  <c r="C204" i="5"/>
  <c r="C124" i="5"/>
  <c r="D88" i="5"/>
  <c r="I88" i="5" s="1"/>
  <c r="C169" i="5"/>
  <c r="D213" i="5"/>
  <c r="D255" i="5"/>
  <c r="C51" i="5"/>
  <c r="C133" i="5"/>
  <c r="D220" i="5"/>
  <c r="C8" i="5"/>
  <c r="D51" i="5"/>
  <c r="C178" i="5"/>
  <c r="D221" i="5"/>
  <c r="C59" i="5"/>
  <c r="C141" i="5"/>
  <c r="D185" i="5"/>
  <c r="I185" i="5" s="1"/>
  <c r="C223" i="5"/>
  <c r="C19" i="5"/>
  <c r="D59" i="5"/>
  <c r="D143" i="5"/>
  <c r="I143" i="5" s="1"/>
  <c r="D230" i="5"/>
  <c r="D19" i="5"/>
  <c r="C106" i="5"/>
  <c r="D186" i="5"/>
  <c r="C20" i="5"/>
  <c r="D106" i="5"/>
  <c r="I106" i="5" s="1"/>
  <c r="D116" i="5"/>
  <c r="I116" i="5" s="1"/>
  <c r="CP26" i="4" l="1"/>
  <c r="N63" i="17"/>
  <c r="CQ10" i="4"/>
  <c r="T63" i="17"/>
  <c r="H95" i="5"/>
  <c r="H132" i="5"/>
  <c r="H177" i="5"/>
  <c r="H28" i="5"/>
  <c r="H156" i="5"/>
  <c r="H50" i="5"/>
  <c r="H188" i="5"/>
  <c r="H82" i="5"/>
  <c r="H191" i="5"/>
  <c r="H85" i="5"/>
  <c r="H193" i="5"/>
  <c r="H106" i="5"/>
  <c r="H208" i="5"/>
  <c r="H122" i="5"/>
  <c r="H161" i="5"/>
  <c r="H171" i="5"/>
  <c r="H167" i="5"/>
  <c r="H64" i="5"/>
  <c r="H194" i="5"/>
  <c r="H94" i="5"/>
  <c r="H97" i="5"/>
  <c r="H80" i="5"/>
  <c r="H83" i="5"/>
  <c r="H157" i="5"/>
  <c r="H34" i="5"/>
  <c r="H58" i="5"/>
  <c r="H196" i="5"/>
  <c r="H90" i="5"/>
  <c r="H174" i="5"/>
  <c r="H182" i="5"/>
  <c r="H96" i="5"/>
  <c r="H160" i="5"/>
  <c r="H192" i="5"/>
  <c r="H86" i="5"/>
  <c r="H195" i="5"/>
  <c r="H89" i="5"/>
  <c r="H200" i="5"/>
  <c r="H102" i="5"/>
  <c r="H31" i="5"/>
  <c r="H38" i="5"/>
  <c r="H149" i="5"/>
  <c r="H190" i="5"/>
  <c r="H133" i="5"/>
  <c r="H198" i="5"/>
  <c r="H112" i="5"/>
  <c r="H129" i="5"/>
  <c r="H189" i="5"/>
  <c r="H79" i="5"/>
  <c r="H43" i="5"/>
  <c r="H148" i="5"/>
  <c r="H180" i="5"/>
  <c r="H49" i="5"/>
  <c r="H183" i="5"/>
  <c r="H52" i="5"/>
  <c r="H179" i="5"/>
  <c r="H81" i="5"/>
  <c r="H154" i="5"/>
  <c r="H48" i="5"/>
  <c r="H172" i="5"/>
  <c r="H74" i="5"/>
  <c r="H168" i="5"/>
  <c r="H140" i="5"/>
  <c r="H51" i="5"/>
  <c r="H181" i="5"/>
  <c r="H155" i="5"/>
  <c r="H126" i="5"/>
  <c r="H125" i="5"/>
  <c r="H73" i="5"/>
  <c r="H176" i="5"/>
  <c r="H45" i="5"/>
  <c r="H173" i="5"/>
  <c r="H145" i="5"/>
  <c r="H63" i="5"/>
  <c r="H120" i="5"/>
  <c r="H147" i="5"/>
  <c r="H44" i="5"/>
  <c r="H165" i="5"/>
  <c r="H67" i="5"/>
  <c r="H104" i="5"/>
  <c r="H119" i="5"/>
  <c r="H162" i="5"/>
  <c r="H115" i="5"/>
  <c r="H41" i="5"/>
  <c r="H150" i="5"/>
  <c r="H163" i="5"/>
  <c r="H87" i="5"/>
  <c r="H114" i="5"/>
  <c r="H206" i="5"/>
  <c r="H91" i="5"/>
  <c r="H209" i="5"/>
  <c r="H103" i="5"/>
  <c r="H135" i="5"/>
  <c r="H29" i="5"/>
  <c r="H138" i="5"/>
  <c r="H144" i="5"/>
  <c r="H46" i="5"/>
  <c r="H178" i="5"/>
  <c r="H199" i="5"/>
  <c r="H169" i="5"/>
  <c r="H92" i="5"/>
  <c r="H205" i="5"/>
  <c r="H99" i="5"/>
  <c r="H131" i="5"/>
  <c r="H134" i="5"/>
  <c r="H137" i="5"/>
  <c r="H39" i="5"/>
  <c r="H136" i="5"/>
  <c r="H62" i="5"/>
  <c r="H203" i="5"/>
  <c r="H76" i="5"/>
  <c r="H113" i="5"/>
  <c r="H164" i="5"/>
  <c r="H93" i="5"/>
  <c r="H54" i="5"/>
  <c r="H57" i="5"/>
  <c r="H117" i="5"/>
  <c r="H69" i="5"/>
  <c r="H110" i="5"/>
  <c r="H124" i="5"/>
  <c r="H65" i="5"/>
  <c r="H128" i="5"/>
  <c r="H202" i="5"/>
  <c r="H47" i="5"/>
  <c r="H100" i="5"/>
  <c r="H61" i="5"/>
  <c r="H170" i="5"/>
  <c r="H141" i="5"/>
  <c r="H204" i="5"/>
  <c r="H166" i="5"/>
  <c r="H118" i="5"/>
  <c r="H185" i="5"/>
  <c r="H27" i="5"/>
  <c r="H55" i="5"/>
  <c r="H35" i="5"/>
  <c r="H159" i="5"/>
  <c r="H42" i="5"/>
  <c r="H201" i="5"/>
  <c r="H70" i="5"/>
  <c r="H127" i="5"/>
  <c r="H105" i="5"/>
  <c r="H130" i="5"/>
  <c r="H32" i="5"/>
  <c r="H116" i="5"/>
  <c r="H207" i="5"/>
  <c r="H71" i="5"/>
  <c r="H77" i="5"/>
  <c r="H59" i="5"/>
  <c r="H121" i="5"/>
  <c r="H175" i="5"/>
  <c r="H75" i="5"/>
  <c r="H72" i="5"/>
  <c r="H30" i="5"/>
  <c r="H153" i="5"/>
  <c r="H197" i="5"/>
  <c r="H66" i="5"/>
  <c r="H98" i="5"/>
  <c r="H101" i="5"/>
  <c r="H123" i="5"/>
  <c r="I23" i="5"/>
  <c r="I19" i="4"/>
  <c r="I10" i="4"/>
  <c r="L10" i="4" s="1" a="1"/>
  <c r="L10" i="4" s="1"/>
  <c r="I13" i="4"/>
  <c r="L13" i="4" s="1" a="1"/>
  <c r="L13" i="4" s="1"/>
  <c r="I16" i="4"/>
  <c r="I26" i="4"/>
  <c r="I14" i="4"/>
  <c r="L14" i="4" s="1" a="1"/>
  <c r="L14" i="4" s="1"/>
  <c r="I12" i="4"/>
  <c r="L12" i="4" s="1" a="1"/>
  <c r="L12" i="4" s="1"/>
  <c r="I21" i="4"/>
  <c r="I7" i="4"/>
  <c r="L7" i="4" s="1" a="1"/>
  <c r="L7" i="4" s="1"/>
  <c r="I6" i="4"/>
  <c r="L6" i="4" s="1" a="1"/>
  <c r="L6" i="4" s="1"/>
  <c r="I5" i="4"/>
  <c r="L5" i="4" s="1" a="1"/>
  <c r="L5" i="4" s="1"/>
  <c r="I27" i="4"/>
  <c r="L27" i="4" s="1" a="1"/>
  <c r="L27" i="4" s="1"/>
  <c r="I18" i="4"/>
  <c r="I15" i="4"/>
  <c r="I9" i="4"/>
  <c r="L9" i="4" s="1" a="1"/>
  <c r="L9" i="4" s="1"/>
  <c r="I25" i="4"/>
  <c r="L25" i="4" s="1" a="1"/>
  <c r="L25" i="4" s="1"/>
  <c r="I20" i="4"/>
  <c r="I22" i="4"/>
  <c r="L22" i="4" s="1" a="1"/>
  <c r="L22" i="4" s="1"/>
  <c r="I11" i="4"/>
  <c r="L11" i="4" s="1" a="1"/>
  <c r="L11" i="4" s="1"/>
  <c r="I24" i="4"/>
  <c r="L24" i="4" s="1" a="1"/>
  <c r="L24" i="4" s="1"/>
  <c r="I23" i="4"/>
  <c r="L23" i="4" s="1" a="1"/>
  <c r="L23" i="4" s="1"/>
  <c r="I8" i="4"/>
  <c r="L8" i="4" s="1" a="1"/>
  <c r="L8" i="4" s="1"/>
  <c r="I4" i="4"/>
  <c r="L4" i="4" s="1" a="1"/>
  <c r="L4" i="4" s="1"/>
  <c r="I59" i="5"/>
  <c r="I115" i="5"/>
  <c r="I111" i="5"/>
  <c r="I163" i="5"/>
  <c r="I76" i="5"/>
  <c r="I135" i="5"/>
  <c r="I127" i="5"/>
  <c r="I33" i="5"/>
  <c r="I43" i="5"/>
  <c r="I96" i="5"/>
  <c r="I62" i="5"/>
  <c r="I60" i="5"/>
  <c r="I141" i="5"/>
  <c r="H111" i="5"/>
  <c r="H143" i="5"/>
  <c r="H37" i="5"/>
  <c r="I138" i="5"/>
  <c r="I32" i="5"/>
  <c r="H146" i="5"/>
  <c r="H40" i="5"/>
  <c r="H158" i="5"/>
  <c r="H60" i="5"/>
  <c r="I196" i="5"/>
  <c r="I98" i="5"/>
  <c r="I128" i="5"/>
  <c r="I155" i="5"/>
  <c r="I68" i="5"/>
  <c r="I117" i="5"/>
  <c r="I79" i="5"/>
  <c r="I55" i="5"/>
  <c r="H210" i="5"/>
  <c r="I29" i="5"/>
  <c r="I129" i="5"/>
  <c r="H107" i="5"/>
  <c r="H139" i="5"/>
  <c r="H33" i="5"/>
  <c r="I134" i="5"/>
  <c r="H142" i="5"/>
  <c r="H36" i="5"/>
  <c r="H151" i="5"/>
  <c r="H53" i="5"/>
  <c r="I189" i="5"/>
  <c r="I91" i="5"/>
  <c r="H84" i="5"/>
  <c r="H68" i="5"/>
  <c r="H152" i="5"/>
  <c r="H184" i="5"/>
  <c r="H78" i="5"/>
  <c r="H187" i="5"/>
  <c r="H56" i="5"/>
  <c r="H186" i="5"/>
  <c r="H88" i="5"/>
  <c r="I46" i="5"/>
  <c r="I192" i="5"/>
  <c r="I92" i="5"/>
  <c r="I82" i="5"/>
  <c r="I107" i="5"/>
  <c r="I65" i="5"/>
  <c r="I97" i="5"/>
  <c r="I168" i="5"/>
  <c r="I70" i="5"/>
  <c r="I85" i="5"/>
  <c r="I51" i="5"/>
  <c r="I78" i="5"/>
  <c r="I66" i="5"/>
  <c r="I75" i="5"/>
  <c r="I149" i="5"/>
  <c r="I207" i="5"/>
  <c r="I25" i="5"/>
  <c r="I178" i="5"/>
  <c r="I120" i="5"/>
  <c r="I204" i="5"/>
  <c r="I41" i="5"/>
  <c r="I24" i="5"/>
  <c r="I187" i="5"/>
  <c r="I81" i="5"/>
  <c r="I140" i="5"/>
  <c r="I42" i="5"/>
  <c r="I191" i="5"/>
  <c r="I147" i="5"/>
  <c r="I186" i="5"/>
  <c r="I64" i="5"/>
  <c r="I132" i="5"/>
  <c r="I206" i="5"/>
  <c r="I169" i="5"/>
  <c r="I165" i="5"/>
  <c r="I194" i="5"/>
  <c r="I90" i="5"/>
  <c r="I108" i="5"/>
  <c r="I198" i="5"/>
  <c r="I183" i="5"/>
  <c r="I52" i="5"/>
  <c r="I133" i="5"/>
  <c r="I35" i="5"/>
  <c r="I49" i="5"/>
  <c r="I31" i="5"/>
  <c r="I45" i="5"/>
  <c r="I122" i="5"/>
  <c r="I139" i="5"/>
  <c r="I180" i="5"/>
  <c r="I197" i="5"/>
  <c r="I148" i="5"/>
  <c r="I160" i="5"/>
  <c r="I193" i="5"/>
  <c r="I22" i="5"/>
  <c r="I179" i="5"/>
  <c r="I48" i="5"/>
  <c r="I126" i="5"/>
  <c r="I28" i="5"/>
  <c r="CP19" i="4"/>
  <c r="H284" i="5"/>
  <c r="H273" i="5"/>
  <c r="I275" i="5"/>
  <c r="I279" i="5"/>
  <c r="H256" i="5"/>
  <c r="CP161" i="4"/>
  <c r="CP231" i="4"/>
  <c r="CP107" i="4"/>
  <c r="CP44" i="4"/>
  <c r="CP104" i="4"/>
  <c r="CP63" i="4"/>
  <c r="CP193" i="4"/>
  <c r="CP191" i="4"/>
  <c r="CP61" i="4"/>
  <c r="I264" i="5"/>
  <c r="CP73" i="4"/>
  <c r="CP151" i="4"/>
  <c r="CP126" i="4"/>
  <c r="I256" i="5"/>
  <c r="CP24" i="4"/>
  <c r="I267" i="5"/>
  <c r="CP182" i="4"/>
  <c r="H268" i="5"/>
  <c r="CP66" i="4"/>
  <c r="CP20" i="4"/>
  <c r="CP212" i="4"/>
  <c r="CP9" i="4"/>
  <c r="CP41" i="4"/>
  <c r="CP175" i="4"/>
  <c r="CP137" i="4"/>
  <c r="CP166" i="4"/>
  <c r="CP48" i="4"/>
  <c r="CP71" i="4"/>
  <c r="CP149" i="4"/>
  <c r="CP202" i="4"/>
  <c r="CP209" i="4"/>
  <c r="CP124" i="4"/>
  <c r="I292" i="5"/>
  <c r="CP117" i="4"/>
  <c r="CP95" i="4"/>
  <c r="CP132" i="4"/>
  <c r="CP197" i="4"/>
  <c r="H277" i="5"/>
  <c r="I257" i="5"/>
  <c r="CP85" i="4"/>
  <c r="CP220" i="4"/>
  <c r="CP90" i="4"/>
  <c r="H274" i="5"/>
  <c r="CP174" i="4"/>
  <c r="I261" i="5"/>
  <c r="I280" i="5"/>
  <c r="CP139" i="4"/>
  <c r="CP91" i="4"/>
  <c r="CP119" i="4"/>
  <c r="CP72" i="4"/>
  <c r="CP53" i="4"/>
  <c r="CP198" i="4"/>
  <c r="CP140" i="4"/>
  <c r="I290" i="5"/>
  <c r="H9" i="5"/>
  <c r="CP127" i="4"/>
  <c r="CP40" i="4"/>
  <c r="CP120" i="4"/>
  <c r="CP51" i="4"/>
  <c r="CP84" i="4"/>
  <c r="CP49" i="4"/>
  <c r="CP206" i="4"/>
  <c r="H278" i="5"/>
  <c r="CP219" i="4"/>
  <c r="H262" i="5"/>
  <c r="CP153" i="4"/>
  <c r="I270" i="5"/>
  <c r="I260" i="5"/>
  <c r="CP58" i="4"/>
  <c r="I263" i="5"/>
  <c r="CP180" i="4"/>
  <c r="CP167" i="4"/>
  <c r="CP30" i="4"/>
  <c r="CP203" i="4"/>
  <c r="CP188" i="4"/>
  <c r="H275" i="5"/>
  <c r="CP152" i="4"/>
  <c r="CP114" i="4"/>
  <c r="CP208" i="4"/>
  <c r="CP226" i="4"/>
  <c r="CP39" i="4"/>
  <c r="CP105" i="4"/>
  <c r="H266" i="5"/>
  <c r="CP8" i="4"/>
  <c r="H288" i="5"/>
  <c r="CP200" i="4"/>
  <c r="CP27" i="4"/>
  <c r="CP185" i="4"/>
  <c r="CP54" i="4"/>
  <c r="CP173" i="4"/>
  <c r="CP83" i="4"/>
  <c r="H283" i="5"/>
  <c r="CP35" i="4"/>
  <c r="CP178" i="4"/>
  <c r="I269" i="5"/>
  <c r="CP176" i="4"/>
  <c r="CP78" i="4"/>
  <c r="H276" i="5"/>
  <c r="CP195" i="4"/>
  <c r="I286" i="5"/>
  <c r="CP227" i="4"/>
  <c r="CP204" i="4"/>
  <c r="I19" i="5"/>
  <c r="I289" i="5"/>
  <c r="H270" i="5"/>
  <c r="CP52" i="4"/>
  <c r="CP81" i="4"/>
  <c r="H281" i="5"/>
  <c r="CP147" i="4"/>
  <c r="U234" i="4"/>
  <c r="I278" i="5"/>
  <c r="CP134" i="4"/>
  <c r="CP156" i="4"/>
  <c r="I258" i="5"/>
  <c r="I268" i="5"/>
  <c r="H282" i="5"/>
  <c r="CP217" i="4"/>
  <c r="CP6" i="4"/>
  <c r="CP43" i="4"/>
  <c r="CP122" i="4"/>
  <c r="U232" i="4"/>
  <c r="CP181" i="4"/>
  <c r="CP92" i="4"/>
  <c r="H271" i="5"/>
  <c r="CP47" i="4"/>
  <c r="CP170" i="4"/>
  <c r="CP112" i="4"/>
  <c r="CP199" i="4"/>
  <c r="H295" i="5"/>
  <c r="CP223" i="4"/>
  <c r="CP165" i="4"/>
  <c r="CP187" i="4"/>
  <c r="CP62" i="4"/>
  <c r="CP64" i="4"/>
  <c r="CP229" i="4"/>
  <c r="CP205" i="4"/>
  <c r="CP179" i="4"/>
  <c r="CP159" i="4"/>
  <c r="CP113" i="4"/>
  <c r="CP125" i="4"/>
  <c r="CP14" i="4"/>
  <c r="H279" i="5"/>
  <c r="CP131" i="4"/>
  <c r="CP96" i="4"/>
  <c r="CP144" i="4"/>
  <c r="CP109" i="4"/>
  <c r="CP102" i="4"/>
  <c r="CP18" i="4"/>
  <c r="I20" i="5"/>
  <c r="H20" i="5"/>
  <c r="CP17" i="4"/>
  <c r="CQ14" i="4"/>
  <c r="CP5" i="4"/>
  <c r="CQ4" i="4"/>
  <c r="H18" i="5"/>
  <c r="H15" i="5"/>
  <c r="CQ11" i="4"/>
  <c r="CQ7" i="4"/>
  <c r="CP4" i="4"/>
  <c r="CP12" i="4"/>
  <c r="CQ6" i="4"/>
  <c r="I18" i="5"/>
  <c r="I7" i="5"/>
  <c r="H19" i="5"/>
  <c r="CP16" i="4"/>
  <c r="CP15" i="4"/>
  <c r="I15" i="5"/>
  <c r="I14" i="5"/>
  <c r="I9" i="5"/>
  <c r="U63" i="4"/>
  <c r="CQ63" i="4"/>
  <c r="U28" i="4"/>
  <c r="CQ28" i="4"/>
  <c r="U210" i="4"/>
  <c r="CQ210" i="4"/>
  <c r="U68" i="4"/>
  <c r="CQ68" i="4"/>
  <c r="U159" i="4"/>
  <c r="CQ159" i="4"/>
  <c r="U17" i="4"/>
  <c r="CQ17" i="4"/>
  <c r="U193" i="4"/>
  <c r="CQ193" i="4"/>
  <c r="U229" i="4"/>
  <c r="CQ229" i="4"/>
  <c r="U72" i="4"/>
  <c r="CQ72" i="4"/>
  <c r="U73" i="4"/>
  <c r="CQ73" i="4"/>
  <c r="U225" i="4"/>
  <c r="CQ225" i="4"/>
  <c r="U168" i="4"/>
  <c r="CQ168" i="4"/>
  <c r="U184" i="4"/>
  <c r="CQ184" i="4"/>
  <c r="U128" i="4"/>
  <c r="CQ128" i="4"/>
  <c r="U23" i="4"/>
  <c r="CQ23" i="4"/>
  <c r="U47" i="4"/>
  <c r="CQ47" i="4"/>
  <c r="U160" i="4"/>
  <c r="CQ160" i="4"/>
  <c r="U213" i="4"/>
  <c r="CQ213" i="4"/>
  <c r="U151" i="4"/>
  <c r="CQ151" i="4"/>
  <c r="U183" i="4"/>
  <c r="CQ183" i="4"/>
  <c r="U161" i="4"/>
  <c r="CQ161" i="4"/>
  <c r="U67" i="4"/>
  <c r="CQ67" i="4"/>
  <c r="U169" i="4"/>
  <c r="CQ169" i="4"/>
  <c r="U123" i="4"/>
  <c r="CQ123" i="4"/>
  <c r="U155" i="4"/>
  <c r="CQ155" i="4"/>
  <c r="U223" i="4"/>
  <c r="CQ223" i="4"/>
  <c r="U192" i="4"/>
  <c r="CQ192" i="4"/>
  <c r="U154" i="4"/>
  <c r="CQ154" i="4"/>
  <c r="U187" i="4"/>
  <c r="CQ187" i="4"/>
  <c r="U146" i="4"/>
  <c r="CQ146" i="4"/>
  <c r="U137" i="4"/>
  <c r="CQ137" i="4"/>
  <c r="U65" i="4"/>
  <c r="CQ65" i="4"/>
  <c r="U56" i="4"/>
  <c r="CQ56" i="4"/>
  <c r="U66" i="4"/>
  <c r="CQ66" i="4"/>
  <c r="U132" i="4"/>
  <c r="CQ132" i="4"/>
  <c r="U194" i="4"/>
  <c r="CQ194" i="4"/>
  <c r="U156" i="4"/>
  <c r="CQ156" i="4"/>
  <c r="U116" i="4"/>
  <c r="CQ116" i="4"/>
  <c r="U86" i="4"/>
  <c r="CQ86" i="4"/>
  <c r="U61" i="4"/>
  <c r="CQ61" i="4"/>
  <c r="U152" i="4"/>
  <c r="CQ152" i="4"/>
  <c r="U32" i="4"/>
  <c r="CQ32" i="4"/>
  <c r="U41" i="4"/>
  <c r="CQ41" i="4"/>
  <c r="U100" i="4"/>
  <c r="CQ100" i="4"/>
  <c r="U212" i="4"/>
  <c r="CQ212" i="4"/>
  <c r="U94" i="4"/>
  <c r="CQ94" i="4"/>
  <c r="U119" i="4"/>
  <c r="CQ119" i="4"/>
  <c r="U21" i="4"/>
  <c r="CQ21" i="4"/>
  <c r="U171" i="4"/>
  <c r="CQ171" i="4"/>
  <c r="U57" i="4"/>
  <c r="CQ57" i="4"/>
  <c r="U114" i="4"/>
  <c r="CQ114" i="4"/>
  <c r="U150" i="4"/>
  <c r="CQ150" i="4"/>
  <c r="U109" i="4"/>
  <c r="CQ109" i="4"/>
  <c r="U182" i="4"/>
  <c r="CQ182" i="4"/>
  <c r="U176" i="4"/>
  <c r="CQ176" i="4"/>
  <c r="U39" i="4"/>
  <c r="CQ39" i="4"/>
  <c r="U177" i="4"/>
  <c r="CQ177" i="4"/>
  <c r="U62" i="4"/>
  <c r="CQ62" i="4"/>
  <c r="U84" i="4"/>
  <c r="CQ84" i="4"/>
  <c r="U144" i="4"/>
  <c r="CQ144" i="4"/>
  <c r="U196" i="4"/>
  <c r="CQ196" i="4"/>
  <c r="U145" i="4"/>
  <c r="CQ145" i="4"/>
  <c r="U120" i="4"/>
  <c r="CQ120" i="4"/>
  <c r="U173" i="4"/>
  <c r="CQ173" i="4"/>
  <c r="U179" i="4"/>
  <c r="CQ179" i="4"/>
  <c r="U142" i="4"/>
  <c r="CQ142" i="4"/>
  <c r="U106" i="4"/>
  <c r="CQ106" i="4"/>
  <c r="U27" i="4"/>
  <c r="CQ27" i="4"/>
  <c r="U30" i="4"/>
  <c r="CQ30" i="4"/>
  <c r="U147" i="4"/>
  <c r="CQ147" i="4"/>
  <c r="U49" i="4"/>
  <c r="CQ49" i="4"/>
  <c r="U45" i="4"/>
  <c r="CQ45" i="4"/>
  <c r="U207" i="4"/>
  <c r="CQ207" i="4"/>
  <c r="U53" i="4"/>
  <c r="CQ53" i="4"/>
  <c r="U186" i="4"/>
  <c r="CQ186" i="4"/>
  <c r="U52" i="4"/>
  <c r="CQ52" i="4"/>
  <c r="U228" i="4"/>
  <c r="CQ228" i="4"/>
  <c r="U58" i="4"/>
  <c r="CQ58" i="4"/>
  <c r="U175" i="4"/>
  <c r="CQ175" i="4"/>
  <c r="U44" i="4"/>
  <c r="CQ44" i="4"/>
  <c r="U19" i="4"/>
  <c r="CQ19" i="4"/>
  <c r="U131" i="4"/>
  <c r="CQ131" i="4"/>
  <c r="U211" i="4"/>
  <c r="CQ211" i="4"/>
  <c r="U121" i="4"/>
  <c r="CQ121" i="4"/>
  <c r="U222" i="4"/>
  <c r="CQ222" i="4"/>
  <c r="U82" i="4"/>
  <c r="CQ82" i="4"/>
  <c r="U22" i="4"/>
  <c r="CQ22" i="4"/>
  <c r="U89" i="4"/>
  <c r="CQ89" i="4"/>
  <c r="U157" i="4"/>
  <c r="CQ157" i="4"/>
  <c r="U165" i="4"/>
  <c r="CQ165" i="4"/>
  <c r="U31" i="4"/>
  <c r="CQ31" i="4"/>
  <c r="U33" i="4"/>
  <c r="CQ33" i="4"/>
  <c r="U38" i="4"/>
  <c r="CQ38" i="4"/>
  <c r="I17" i="5"/>
  <c r="U80" i="4"/>
  <c r="CQ80" i="4"/>
  <c r="U224" i="4"/>
  <c r="CQ224" i="4"/>
  <c r="U180" i="4"/>
  <c r="CQ180" i="4"/>
  <c r="U220" i="4"/>
  <c r="CQ220" i="4"/>
  <c r="U208" i="4"/>
  <c r="CQ208" i="4"/>
  <c r="U36" i="4"/>
  <c r="CQ36" i="4"/>
  <c r="U122" i="4"/>
  <c r="CQ122" i="4"/>
  <c r="U164" i="4"/>
  <c r="CQ164" i="4"/>
  <c r="U195" i="4"/>
  <c r="CQ195" i="4"/>
  <c r="U26" i="4"/>
  <c r="CQ26" i="4"/>
  <c r="U206" i="4"/>
  <c r="CQ206" i="4"/>
  <c r="U172" i="4"/>
  <c r="CQ172" i="4"/>
  <c r="U198" i="4"/>
  <c r="CQ198" i="4"/>
  <c r="U103" i="4"/>
  <c r="CQ103" i="4"/>
  <c r="U111" i="4"/>
  <c r="CQ111" i="4"/>
  <c r="U105" i="4"/>
  <c r="CQ105" i="4"/>
  <c r="U218" i="4"/>
  <c r="CQ218" i="4"/>
  <c r="U90" i="4"/>
  <c r="CQ90" i="4"/>
  <c r="U174" i="4"/>
  <c r="CQ174" i="4"/>
  <c r="U230" i="4"/>
  <c r="CQ230" i="4"/>
  <c r="U231" i="4"/>
  <c r="CQ231" i="4"/>
  <c r="U98" i="4"/>
  <c r="CQ98" i="4"/>
  <c r="U16" i="4"/>
  <c r="CQ16" i="4"/>
  <c r="U126" i="4"/>
  <c r="CQ126" i="4"/>
  <c r="U91" i="4"/>
  <c r="CQ91" i="4"/>
  <c r="U216" i="4"/>
  <c r="CQ216" i="4"/>
  <c r="U205" i="4"/>
  <c r="CQ205" i="4"/>
  <c r="U110" i="4"/>
  <c r="CQ110" i="4"/>
  <c r="U81" i="4"/>
  <c r="CQ81" i="4"/>
  <c r="U60" i="4"/>
  <c r="CQ60" i="4"/>
  <c r="U170" i="4"/>
  <c r="CQ170" i="4"/>
  <c r="U167" i="4"/>
  <c r="CQ167" i="4"/>
  <c r="U96" i="4"/>
  <c r="CQ96" i="4"/>
  <c r="U48" i="4"/>
  <c r="CQ48" i="4"/>
  <c r="U199" i="4"/>
  <c r="CQ199" i="4"/>
  <c r="U34" i="4"/>
  <c r="CQ34" i="4"/>
  <c r="U92" i="4"/>
  <c r="CQ92" i="4"/>
  <c r="U74" i="4"/>
  <c r="CQ74" i="4"/>
  <c r="U29" i="4"/>
  <c r="CQ29" i="4"/>
  <c r="U118" i="4"/>
  <c r="CQ118" i="4"/>
  <c r="U20" i="4"/>
  <c r="CQ20" i="4"/>
  <c r="U201" i="4"/>
  <c r="CQ201" i="4"/>
  <c r="U129" i="4"/>
  <c r="CQ129" i="4"/>
  <c r="U50" i="4"/>
  <c r="CQ50" i="4"/>
  <c r="U134" i="4"/>
  <c r="CQ134" i="4"/>
  <c r="U55" i="4"/>
  <c r="CQ55" i="4"/>
  <c r="U124" i="4"/>
  <c r="CQ124" i="4"/>
  <c r="U163" i="4"/>
  <c r="CQ163" i="4"/>
  <c r="U101" i="4"/>
  <c r="CQ101" i="4"/>
  <c r="U79" i="4"/>
  <c r="CQ79" i="4"/>
  <c r="U70" i="4"/>
  <c r="CQ70" i="4"/>
  <c r="U149" i="4"/>
  <c r="CQ149" i="4"/>
  <c r="U69" i="4"/>
  <c r="CQ69" i="4"/>
  <c r="U153" i="4"/>
  <c r="CQ153" i="4"/>
  <c r="U136" i="4"/>
  <c r="CQ136" i="4"/>
  <c r="U215" i="4"/>
  <c r="CQ215" i="4"/>
  <c r="U125" i="4"/>
  <c r="CQ125" i="4"/>
  <c r="U40" i="4"/>
  <c r="CQ40" i="4"/>
  <c r="U88" i="4"/>
  <c r="CQ88" i="4"/>
  <c r="U191" i="4"/>
  <c r="CQ191" i="4"/>
  <c r="U97" i="4"/>
  <c r="CQ97" i="4"/>
  <c r="U166" i="4"/>
  <c r="CQ166" i="4"/>
  <c r="U200" i="4"/>
  <c r="CQ200" i="4"/>
  <c r="U197" i="4"/>
  <c r="CQ197" i="4"/>
  <c r="U108" i="4"/>
  <c r="CQ108" i="4"/>
  <c r="U202" i="4"/>
  <c r="CQ202" i="4"/>
  <c r="U95" i="4"/>
  <c r="CQ95" i="4"/>
  <c r="U178" i="4"/>
  <c r="CQ178" i="4"/>
  <c r="U107" i="4"/>
  <c r="CQ107" i="4"/>
  <c r="U46" i="4"/>
  <c r="CQ46" i="4"/>
  <c r="U64" i="4"/>
  <c r="CQ64" i="4"/>
  <c r="U227" i="4"/>
  <c r="CQ227" i="4"/>
  <c r="U221" i="4"/>
  <c r="CQ221" i="4"/>
  <c r="U219" i="4"/>
  <c r="CQ219" i="4"/>
  <c r="U93" i="4"/>
  <c r="CQ93" i="4"/>
  <c r="U141" i="4"/>
  <c r="CQ141" i="4"/>
  <c r="U158" i="4"/>
  <c r="CQ158" i="4"/>
  <c r="U37" i="4"/>
  <c r="CQ37" i="4"/>
  <c r="U138" i="4"/>
  <c r="CQ138" i="4"/>
  <c r="U71" i="4"/>
  <c r="CQ71" i="4"/>
  <c r="U188" i="4"/>
  <c r="CQ188" i="4"/>
  <c r="U59" i="4"/>
  <c r="CQ59" i="4"/>
  <c r="U190" i="4"/>
  <c r="CQ190" i="4"/>
  <c r="U76" i="4"/>
  <c r="CQ76" i="4"/>
  <c r="U117" i="4"/>
  <c r="CQ117" i="4"/>
  <c r="U51" i="4"/>
  <c r="CQ51" i="4"/>
  <c r="U25" i="4"/>
  <c r="CQ25" i="4"/>
  <c r="U130" i="4"/>
  <c r="CQ130" i="4"/>
  <c r="U139" i="4"/>
  <c r="CQ139" i="4"/>
  <c r="U181" i="4"/>
  <c r="CQ181" i="4"/>
  <c r="U135" i="4"/>
  <c r="CQ135" i="4"/>
  <c r="U217" i="4"/>
  <c r="CQ217" i="4"/>
  <c r="U112" i="4"/>
  <c r="CQ112" i="4"/>
  <c r="U214" i="4"/>
  <c r="CQ214" i="4"/>
  <c r="U127" i="4"/>
  <c r="CQ127" i="4"/>
  <c r="U185" i="4"/>
  <c r="CQ185" i="4"/>
  <c r="U77" i="4"/>
  <c r="CQ77" i="4"/>
  <c r="U102" i="4"/>
  <c r="CQ102" i="4"/>
  <c r="U24" i="4"/>
  <c r="CQ24" i="4"/>
  <c r="U15" i="4"/>
  <c r="CQ15" i="4"/>
  <c r="U204" i="4"/>
  <c r="CQ204" i="4"/>
  <c r="U143" i="4"/>
  <c r="CQ143" i="4"/>
  <c r="U140" i="4"/>
  <c r="CQ140" i="4"/>
  <c r="U42" i="4"/>
  <c r="CQ42" i="4"/>
  <c r="U162" i="4"/>
  <c r="CQ162" i="4"/>
  <c r="U209" i="4"/>
  <c r="CQ209" i="4"/>
  <c r="U75" i="4"/>
  <c r="CQ75" i="4"/>
  <c r="U189" i="4"/>
  <c r="CQ189" i="4"/>
  <c r="U104" i="4"/>
  <c r="CQ104" i="4"/>
  <c r="U83" i="4"/>
  <c r="CQ83" i="4"/>
  <c r="U18" i="4"/>
  <c r="CQ18" i="4"/>
  <c r="U85" i="4"/>
  <c r="CQ85" i="4"/>
  <c r="U115" i="4"/>
  <c r="CQ115" i="4"/>
  <c r="U203" i="4"/>
  <c r="CQ203" i="4"/>
  <c r="U87" i="4"/>
  <c r="CQ87" i="4"/>
  <c r="U54" i="4"/>
  <c r="CQ54" i="4"/>
  <c r="U148" i="4"/>
  <c r="CQ148" i="4"/>
  <c r="U113" i="4"/>
  <c r="CQ113" i="4"/>
  <c r="U78" i="4"/>
  <c r="CQ78" i="4"/>
  <c r="U43" i="4"/>
  <c r="CQ43" i="4"/>
  <c r="U226" i="4"/>
  <c r="CQ226" i="4"/>
  <c r="U99" i="4"/>
  <c r="CQ99" i="4"/>
  <c r="U133" i="4"/>
  <c r="CQ133" i="4"/>
  <c r="U35" i="4"/>
  <c r="CQ35" i="4"/>
  <c r="T145" i="4"/>
  <c r="T21" i="4"/>
  <c r="T205" i="4"/>
  <c r="T14" i="4"/>
  <c r="T86" i="4"/>
  <c r="U9" i="4"/>
  <c r="T69" i="4"/>
  <c r="T134" i="4"/>
  <c r="T70" i="4"/>
  <c r="T93" i="4"/>
  <c r="T148" i="4"/>
  <c r="T76" i="4"/>
  <c r="T230" i="4"/>
  <c r="T223" i="4"/>
  <c r="T52" i="4"/>
  <c r="T11" i="4"/>
  <c r="T82" i="4"/>
  <c r="T193" i="4"/>
  <c r="T118" i="4"/>
  <c r="T144" i="4"/>
  <c r="T34" i="4"/>
  <c r="T182" i="4"/>
  <c r="T66" i="4"/>
  <c r="T57" i="4"/>
  <c r="T231" i="4"/>
  <c r="T107" i="4"/>
  <c r="T81" i="4"/>
  <c r="T197" i="4"/>
  <c r="T45" i="4"/>
  <c r="T48" i="4"/>
  <c r="T190" i="4"/>
  <c r="T163" i="4"/>
  <c r="T185" i="4"/>
  <c r="T157" i="4"/>
  <c r="T119" i="4"/>
  <c r="T227" i="4"/>
  <c r="T207" i="4"/>
  <c r="T24" i="4"/>
  <c r="T10" i="4"/>
  <c r="T184" i="4"/>
  <c r="T38" i="4"/>
  <c r="T126" i="4"/>
  <c r="T198" i="4"/>
  <c r="T16" i="4"/>
  <c r="T200" i="4"/>
  <c r="T27" i="4"/>
  <c r="T194" i="4"/>
  <c r="T139" i="4"/>
  <c r="T9" i="4"/>
  <c r="T160" i="4"/>
  <c r="T7" i="4"/>
  <c r="T166" i="4"/>
  <c r="T195" i="4"/>
  <c r="T234" i="4"/>
  <c r="CP234" i="4"/>
  <c r="U8" i="4"/>
  <c r="U5" i="4"/>
  <c r="T60" i="4"/>
  <c r="T110" i="4"/>
  <c r="T65" i="4"/>
  <c r="T124" i="4"/>
  <c r="T109" i="4"/>
  <c r="T67" i="4"/>
  <c r="T102" i="4"/>
  <c r="T217" i="4"/>
  <c r="T169" i="4"/>
  <c r="T213" i="4"/>
  <c r="T165" i="4"/>
  <c r="T108" i="4"/>
  <c r="T216" i="4"/>
  <c r="T188" i="4"/>
  <c r="T154" i="4"/>
  <c r="T158" i="4"/>
  <c r="T100" i="4"/>
  <c r="T192" i="4"/>
  <c r="T68" i="4"/>
  <c r="T6" i="4"/>
  <c r="T22" i="4"/>
  <c r="T122" i="4"/>
  <c r="T40" i="4"/>
  <c r="T225" i="4"/>
  <c r="T153" i="4"/>
  <c r="T8" i="4"/>
  <c r="T84" i="4"/>
  <c r="T41" i="4"/>
  <c r="T186" i="4"/>
  <c r="T152" i="4"/>
  <c r="T28" i="4"/>
  <c r="T4" i="4"/>
  <c r="T46" i="4"/>
  <c r="T146" i="4"/>
  <c r="T5" i="4"/>
  <c r="T56" i="4"/>
  <c r="T202" i="4"/>
  <c r="T128" i="4"/>
  <c r="T111" i="4"/>
  <c r="T47" i="4"/>
  <c r="U4" i="4"/>
  <c r="T112" i="4"/>
  <c r="T23" i="4"/>
  <c r="T141" i="4"/>
  <c r="T220" i="4"/>
  <c r="T62" i="4"/>
  <c r="T159" i="4"/>
  <c r="T113" i="4"/>
  <c r="T32" i="4"/>
  <c r="T219" i="4"/>
  <c r="T89" i="4"/>
  <c r="T147" i="4"/>
  <c r="T210" i="4"/>
  <c r="T37" i="4"/>
  <c r="T149" i="4"/>
  <c r="T226" i="4"/>
  <c r="T39" i="4"/>
  <c r="T121" i="4"/>
  <c r="T155" i="4"/>
  <c r="T143" i="4"/>
  <c r="T156" i="4"/>
  <c r="T106" i="4"/>
  <c r="T104" i="4"/>
  <c r="T63" i="4"/>
  <c r="T25" i="4"/>
  <c r="T178" i="4"/>
  <c r="T142" i="4"/>
  <c r="T117" i="4"/>
  <c r="U14" i="4"/>
  <c r="T228" i="4"/>
  <c r="T99" i="4"/>
  <c r="T172" i="4"/>
  <c r="T88" i="4"/>
  <c r="T58" i="4"/>
  <c r="T196" i="4"/>
  <c r="T211" i="4"/>
  <c r="T49" i="4"/>
  <c r="T174" i="4"/>
  <c r="T218" i="4"/>
  <c r="T173" i="4"/>
  <c r="T83" i="4"/>
  <c r="T175" i="4"/>
  <c r="T137" i="4"/>
  <c r="T140" i="4"/>
  <c r="T79" i="4"/>
  <c r="T85" i="4"/>
  <c r="T189" i="4"/>
  <c r="T179" i="4"/>
  <c r="T115" i="4"/>
  <c r="T54" i="4"/>
  <c r="T224" i="4"/>
  <c r="T183" i="4"/>
  <c r="T95" i="4"/>
  <c r="T221" i="4"/>
  <c r="T114" i="4"/>
  <c r="T72" i="4"/>
  <c r="T168" i="4"/>
  <c r="T97" i="4"/>
  <c r="T55" i="4"/>
  <c r="T105" i="4"/>
  <c r="T180" i="4"/>
  <c r="T43" i="4"/>
  <c r="T161" i="4"/>
  <c r="T170" i="4"/>
  <c r="T233" i="4"/>
  <c r="CP233" i="4"/>
  <c r="T94" i="4"/>
  <c r="T90" i="4"/>
  <c r="T235" i="4"/>
  <c r="CP235" i="4"/>
  <c r="T204" i="4"/>
  <c r="U11" i="4"/>
  <c r="T132" i="4"/>
  <c r="T136" i="4"/>
  <c r="T75" i="4"/>
  <c r="U12" i="4"/>
  <c r="T214" i="4"/>
  <c r="T123" i="4"/>
  <c r="T103" i="4"/>
  <c r="T29" i="4"/>
  <c r="T181" i="4"/>
  <c r="T206" i="4"/>
  <c r="T209" i="4"/>
  <c r="T87" i="4"/>
  <c r="T91" i="4"/>
  <c r="T12" i="4"/>
  <c r="T208" i="4"/>
  <c r="T73" i="4"/>
  <c r="T19" i="4"/>
  <c r="T129" i="4"/>
  <c r="U10" i="4"/>
  <c r="CP232" i="4"/>
  <c r="T232" i="4"/>
  <c r="T44" i="4"/>
  <c r="T36" i="4"/>
  <c r="T222" i="4"/>
  <c r="T187" i="4"/>
  <c r="T35" i="4"/>
  <c r="T191" i="4"/>
  <c r="T133" i="4"/>
  <c r="T98" i="4"/>
  <c r="T61" i="4"/>
  <c r="T151" i="4"/>
  <c r="T199" i="4"/>
  <c r="T20" i="4"/>
  <c r="T33" i="4"/>
  <c r="T64" i="4"/>
  <c r="T171" i="4"/>
  <c r="T215" i="4"/>
  <c r="T150" i="4"/>
  <c r="T80" i="4"/>
  <c r="T17" i="4"/>
  <c r="T177" i="4"/>
  <c r="T131" i="4"/>
  <c r="T96" i="4"/>
  <c r="T15" i="4"/>
  <c r="T138" i="4"/>
  <c r="T77" i="4"/>
  <c r="T53" i="4"/>
  <c r="T42" i="4"/>
  <c r="T167" i="4"/>
  <c r="T101" i="4"/>
  <c r="T30" i="4"/>
  <c r="T212" i="4"/>
  <c r="T74" i="4"/>
  <c r="T125" i="4"/>
  <c r="T59" i="4"/>
  <c r="T26" i="4"/>
  <c r="T120" i="4"/>
  <c r="T50" i="4"/>
  <c r="T51" i="4"/>
  <c r="U7" i="4"/>
  <c r="I10" i="5"/>
  <c r="T135" i="4"/>
  <c r="T78" i="4"/>
  <c r="T18" i="4"/>
  <c r="T162" i="4"/>
  <c r="T130" i="4"/>
  <c r="T229" i="4"/>
  <c r="T92" i="4"/>
  <c r="T203" i="4"/>
  <c r="T31" i="4"/>
  <c r="T201" i="4"/>
  <c r="T116" i="4"/>
  <c r="T164" i="4"/>
  <c r="T127" i="4"/>
  <c r="T176" i="4"/>
  <c r="U6" i="4"/>
  <c r="T71" i="4"/>
  <c r="H17" i="5"/>
  <c r="I8" i="5"/>
  <c r="H7" i="5"/>
  <c r="H14" i="5"/>
  <c r="H10" i="5"/>
  <c r="I11" i="5"/>
  <c r="H11" i="5"/>
  <c r="I12" i="5"/>
  <c r="H13" i="5"/>
  <c r="H12" i="5"/>
  <c r="H8" i="5"/>
  <c r="I13" i="5"/>
  <c r="P3" i="4"/>
  <c r="O3" i="4"/>
  <c r="S3" i="4"/>
  <c r="R3" i="4"/>
  <c r="B36" i="5"/>
  <c r="B23" i="5"/>
  <c r="B48" i="5"/>
  <c r="B59" i="5"/>
  <c r="B33" i="5"/>
  <c r="B52" i="5"/>
  <c r="B20" i="5"/>
  <c r="B41" i="5"/>
  <c r="B14" i="5"/>
  <c r="B29" i="5"/>
  <c r="B34" i="5"/>
  <c r="B39" i="5"/>
  <c r="B32" i="5"/>
  <c r="B28" i="5"/>
  <c r="B53" i="5"/>
  <c r="B35" i="5"/>
  <c r="B42" i="5"/>
  <c r="B49" i="5"/>
  <c r="B58" i="5"/>
  <c r="B19" i="5"/>
  <c r="B16" i="5"/>
  <c r="B22" i="5"/>
  <c r="B27" i="5"/>
  <c r="B37" i="5"/>
  <c r="B45" i="5"/>
  <c r="B18" i="5"/>
  <c r="B55" i="5"/>
  <c r="B24" i="5"/>
  <c r="B21" i="5"/>
  <c r="B40" i="5"/>
  <c r="B44" i="5"/>
  <c r="B25" i="5"/>
  <c r="B30" i="5"/>
  <c r="B51" i="5"/>
  <c r="B43" i="5"/>
  <c r="B47" i="5"/>
  <c r="B13" i="5"/>
  <c r="B15" i="5"/>
  <c r="B57" i="5"/>
  <c r="B26" i="5"/>
  <c r="B46" i="5"/>
  <c r="B17" i="5"/>
  <c r="B38" i="5"/>
  <c r="B54" i="5"/>
  <c r="B31" i="5"/>
  <c r="B56" i="5"/>
  <c r="B50" i="5"/>
  <c r="L18" i="4" l="1" a="1"/>
  <c r="L18" i="4" s="1"/>
  <c r="L19" i="4" a="1"/>
  <c r="L19" i="4" s="1"/>
  <c r="L26" i="4" a="1"/>
  <c r="L26" i="4" s="1"/>
  <c r="K63" i="17"/>
  <c r="L20" i="4" a="1"/>
  <c r="L20" i="4" s="1"/>
  <c r="L21" i="4" a="1"/>
  <c r="L21" i="4" s="1"/>
  <c r="L16" i="4" a="1"/>
  <c r="L16" i="4" s="1"/>
  <c r="L15" i="4" a="1"/>
  <c r="L15" i="4" s="1"/>
  <c r="B13" i="6"/>
  <c r="C5" i="6"/>
  <c r="C6" i="6"/>
  <c r="C7" i="6"/>
  <c r="C8" i="6"/>
  <c r="C9" i="6"/>
  <c r="C10" i="6"/>
  <c r="C11" i="6"/>
  <c r="C12" i="6"/>
  <c r="C13" i="6"/>
  <c r="C14" i="6"/>
  <c r="C15" i="6"/>
  <c r="C16" i="6"/>
  <c r="C17" i="6"/>
  <c r="C18" i="6"/>
  <c r="C19" i="6"/>
  <c r="C20" i="6"/>
  <c r="C21" i="6"/>
  <c r="B5" i="6"/>
  <c r="B6" i="6"/>
  <c r="B7" i="6"/>
  <c r="B8" i="6"/>
  <c r="B9" i="6"/>
  <c r="B10" i="6"/>
  <c r="B11" i="6"/>
  <c r="B12" i="6"/>
  <c r="B14" i="6"/>
  <c r="B15" i="6"/>
  <c r="B16" i="6"/>
  <c r="B17" i="6"/>
  <c r="B18" i="6"/>
  <c r="B19" i="6"/>
  <c r="B20" i="6"/>
  <c r="B21" i="6"/>
  <c r="C4" i="6"/>
  <c r="B4" i="6"/>
  <c r="E7" i="7"/>
  <c r="E8" i="7"/>
  <c r="E9" i="7"/>
  <c r="E10" i="7"/>
  <c r="E11" i="7"/>
  <c r="E12" i="7"/>
  <c r="E13" i="7"/>
  <c r="E14" i="7"/>
  <c r="E15" i="7"/>
  <c r="E16" i="7"/>
  <c r="E17" i="7"/>
  <c r="E18" i="7"/>
  <c r="E19" i="7"/>
  <c r="E20" i="7"/>
  <c r="E21" i="7"/>
  <c r="E22" i="7"/>
  <c r="E23" i="7"/>
  <c r="E6" i="7"/>
  <c r="C4" i="5"/>
  <c r="N3" i="6" l="1"/>
  <c r="O3" i="6"/>
  <c r="H3" i="4"/>
  <c r="I3" i="4" l="1"/>
  <c r="CP13" i="4"/>
  <c r="H16" i="5"/>
  <c r="T13" i="4"/>
  <c r="U13" i="4"/>
  <c r="CQ13" i="4"/>
  <c r="I16" i="5"/>
  <c r="U3" i="4"/>
  <c r="CQ3" i="4"/>
  <c r="H6" i="5"/>
  <c r="CP3" i="4"/>
  <c r="T3" i="4"/>
  <c r="BS5" i="18" s="1" a="1"/>
  <c r="BS5" i="18" s="1"/>
  <c r="I6" i="5"/>
  <c r="B8" i="5"/>
  <c r="B6" i="5"/>
  <c r="B7" i="5"/>
  <c r="B9" i="5" l="1"/>
  <c r="B10" i="5"/>
  <c r="B11" i="5"/>
  <c r="B12" i="5"/>
  <c r="I226" i="5" l="1"/>
  <c r="I217" i="5"/>
  <c r="I240" i="5"/>
  <c r="I213" i="5"/>
  <c r="I238" i="5"/>
  <c r="I243" i="5"/>
  <c r="I232" i="5"/>
  <c r="I222" i="5"/>
  <c r="I252" i="5"/>
  <c r="I236" i="5"/>
  <c r="I251" i="5"/>
  <c r="I254" i="5"/>
  <c r="I227" i="5"/>
  <c r="I219" i="5"/>
  <c r="I249" i="5"/>
  <c r="I233" i="5"/>
  <c r="I244" i="5"/>
  <c r="I224" i="5"/>
  <c r="I242" i="5"/>
  <c r="I230" i="5"/>
  <c r="I223" i="5"/>
  <c r="I247" i="5"/>
  <c r="I231" i="5"/>
  <c r="I229" i="5"/>
  <c r="I246" i="5"/>
  <c r="I221" i="5"/>
  <c r="I253" i="5"/>
  <c r="I241" i="5"/>
  <c r="I235" i="5"/>
  <c r="I239" i="5"/>
  <c r="I255" i="5"/>
  <c r="I250" i="5"/>
  <c r="I212" i="5"/>
  <c r="I218" i="5"/>
  <c r="I234" i="5"/>
  <c r="I215" i="5"/>
  <c r="I228" i="5"/>
  <c r="I216" i="5"/>
  <c r="I225" i="5"/>
  <c r="I245" i="5"/>
  <c r="I237" i="5"/>
  <c r="I214" i="5"/>
  <c r="I220" i="5"/>
  <c r="I211" i="5"/>
  <c r="I248" i="5"/>
  <c r="H217" i="5"/>
  <c r="H241" i="5"/>
  <c r="H224" i="5"/>
  <c r="H215" i="5"/>
  <c r="H248" i="5"/>
  <c r="H211" i="5"/>
  <c r="H212" i="5"/>
  <c r="H213" i="5"/>
  <c r="H227" i="5"/>
  <c r="H222" i="5"/>
  <c r="H238" i="5"/>
  <c r="H228" i="5"/>
  <c r="H246" i="5"/>
  <c r="H243" i="5"/>
  <c r="H244" i="5"/>
  <c r="H221" i="5"/>
  <c r="H250" i="5"/>
  <c r="H251" i="5"/>
  <c r="H229" i="5"/>
  <c r="H233" i="5"/>
  <c r="H236" i="5"/>
  <c r="H237" i="5"/>
  <c r="H245" i="5"/>
  <c r="H216" i="5"/>
  <c r="H239" i="5"/>
  <c r="H249" i="5"/>
  <c r="H254" i="5"/>
  <c r="H219" i="5"/>
  <c r="H223" i="5"/>
  <c r="H234" i="5"/>
  <c r="H255" i="5"/>
  <c r="H235" i="5"/>
  <c r="H240" i="5"/>
  <c r="H247" i="5"/>
  <c r="H253" i="5"/>
  <c r="H218" i="5"/>
  <c r="H220" i="5"/>
  <c r="H242" i="5"/>
  <c r="H230" i="5"/>
  <c r="H231" i="5"/>
  <c r="H226" i="5"/>
  <c r="H225" i="5"/>
  <c r="H214" i="5"/>
  <c r="H252" i="5"/>
  <c r="H232" i="5"/>
  <c r="F22" i="6" l="1"/>
  <c r="E22" i="6"/>
  <c r="H22" i="6" l="1"/>
  <c r="G22" i="6" l="1"/>
  <c r="F25" i="6" l="1"/>
  <c r="E25" i="6"/>
  <c r="G25" i="6" l="1"/>
  <c r="H25" i="6"/>
  <c r="F28" i="6" l="1"/>
  <c r="E28" i="6"/>
  <c r="F29" i="6" l="1"/>
  <c r="E29" i="6"/>
  <c r="G28" i="6" l="1"/>
  <c r="H29" i="6"/>
  <c r="H28" i="6"/>
  <c r="F30" i="6"/>
  <c r="E30" i="6"/>
  <c r="G29" i="6" l="1"/>
  <c r="H30" i="6"/>
  <c r="E31" i="6"/>
  <c r="G30" i="6" l="1"/>
  <c r="H31" i="6"/>
  <c r="F32" i="6"/>
  <c r="E32" i="6"/>
  <c r="G31" i="6" l="1"/>
  <c r="F33" i="6"/>
  <c r="E33" i="6"/>
  <c r="H32" i="6" l="1"/>
  <c r="G32" i="6"/>
  <c r="F34" i="6"/>
  <c r="E34" i="6"/>
  <c r="H33" i="6" l="1"/>
  <c r="G33" i="6"/>
  <c r="F35" i="6"/>
  <c r="E35" i="6"/>
  <c r="H34" i="6" l="1"/>
  <c r="G34" i="6"/>
  <c r="E36" i="6"/>
  <c r="F36" i="6"/>
  <c r="G35" i="6" l="1"/>
  <c r="H35" i="6"/>
  <c r="F37" i="6"/>
  <c r="E37" i="6"/>
  <c r="G36" i="6" l="1"/>
  <c r="H36" i="6"/>
  <c r="F38" i="6"/>
  <c r="E38" i="6"/>
  <c r="H37" i="6" l="1"/>
  <c r="G37" i="6"/>
  <c r="F39" i="6"/>
  <c r="E39" i="6"/>
  <c r="H38" i="6" l="1"/>
  <c r="G38" i="6"/>
  <c r="F40" i="6"/>
  <c r="E40" i="6"/>
  <c r="G39" i="6" l="1"/>
  <c r="G40" i="6"/>
  <c r="H39" i="6"/>
  <c r="E41" i="6"/>
  <c r="F41" i="6"/>
  <c r="G41" i="6" l="1"/>
  <c r="H40" i="6"/>
  <c r="F42" i="6"/>
  <c r="E42" i="6"/>
  <c r="H41" i="6" l="1"/>
  <c r="H42" i="6"/>
  <c r="F43" i="6"/>
  <c r="E43" i="6"/>
  <c r="G42" i="6" l="1"/>
  <c r="F44" i="6"/>
  <c r="E44" i="6"/>
  <c r="H43" i="6" l="1"/>
  <c r="G43" i="6"/>
  <c r="G44" i="6"/>
  <c r="F45" i="6"/>
  <c r="E45" i="6"/>
  <c r="H44" i="6" l="1"/>
  <c r="F46" i="6"/>
  <c r="E46" i="6"/>
  <c r="H45" i="6" l="1"/>
  <c r="H46" i="6"/>
  <c r="G45" i="6"/>
  <c r="F47" i="6"/>
  <c r="E47" i="6"/>
  <c r="G46" i="6" l="1"/>
  <c r="F48" i="6"/>
  <c r="E48" i="6"/>
  <c r="G47" i="6" l="1"/>
  <c r="H47" i="6"/>
  <c r="F49" i="6"/>
  <c r="E49" i="6"/>
  <c r="H48" i="6" l="1"/>
  <c r="G48" i="6"/>
  <c r="H49" i="6"/>
  <c r="F50" i="6"/>
  <c r="E50" i="6"/>
  <c r="G49" i="6" l="1"/>
  <c r="H50" i="6"/>
  <c r="F51" i="6"/>
  <c r="E51" i="6"/>
  <c r="G50" i="6" l="1"/>
  <c r="F52" i="6"/>
  <c r="E52" i="6"/>
  <c r="H51" i="6" l="1"/>
  <c r="G51" i="6"/>
  <c r="F53" i="6"/>
  <c r="E53" i="6"/>
  <c r="G52" i="6" l="1"/>
  <c r="H53" i="6"/>
  <c r="H52" i="6"/>
  <c r="F54" i="6"/>
  <c r="E54" i="6"/>
  <c r="G53" i="6" l="1"/>
  <c r="E55" i="6"/>
  <c r="F55" i="6"/>
  <c r="G54" i="6" l="1"/>
  <c r="H54" i="6"/>
  <c r="F56" i="6"/>
  <c r="E56" i="6"/>
  <c r="G55" i="6" l="1"/>
  <c r="H55" i="6"/>
  <c r="F57" i="6"/>
  <c r="E57" i="6"/>
  <c r="H56" i="6" l="1"/>
  <c r="G56" i="6"/>
  <c r="G57" i="6"/>
  <c r="H57" i="6"/>
  <c r="F58" i="6"/>
  <c r="E58" i="6"/>
  <c r="H58" i="6" l="1"/>
  <c r="F59" i="6"/>
  <c r="E59" i="6"/>
  <c r="G58" i="6" l="1"/>
  <c r="G59" i="6"/>
  <c r="F60" i="6"/>
  <c r="E60" i="6"/>
  <c r="H59" i="6" l="1"/>
  <c r="H60" i="6"/>
  <c r="G60" i="6"/>
  <c r="H11" i="6"/>
  <c r="G11" i="6"/>
  <c r="G13" i="6" l="1"/>
  <c r="G8" i="6"/>
  <c r="G5" i="6" l="1"/>
  <c r="G9" i="6"/>
  <c r="G15" i="6"/>
  <c r="H15" i="6"/>
  <c r="G14" i="6"/>
  <c r="G21" i="6"/>
  <c r="H7" i="6"/>
  <c r="H21" i="6"/>
  <c r="G12" i="6"/>
  <c r="H6" i="6"/>
  <c r="H16" i="6"/>
  <c r="H8" i="6" l="1"/>
  <c r="G10" i="6"/>
  <c r="H18" i="6"/>
  <c r="H14" i="6"/>
  <c r="H20" i="6"/>
  <c r="G4" i="6"/>
  <c r="H19" i="6"/>
  <c r="G20" i="6"/>
  <c r="H13" i="6"/>
  <c r="G6" i="6"/>
  <c r="G18" i="6"/>
  <c r="H5" i="6"/>
  <c r="H9" i="6"/>
  <c r="G19" i="6"/>
  <c r="H10" i="6"/>
  <c r="H12" i="6"/>
  <c r="H4" i="6"/>
  <c r="G7" i="6"/>
  <c r="G17" i="6"/>
  <c r="H17" i="6"/>
  <c r="G1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C3" authorId="0" shapeId="0" xr:uid="{08935FB1-44C7-484D-BFBE-EF654E073B3D}">
      <text>
        <r>
          <rPr>
            <b/>
            <sz val="9"/>
            <color indexed="81"/>
            <rFont val="Tahoma"/>
            <family val="2"/>
          </rPr>
          <t>Daniel Newby:</t>
        </r>
        <r>
          <rPr>
            <sz val="9"/>
            <color indexed="81"/>
            <rFont val="Tahoma"/>
            <family val="2"/>
          </rPr>
          <t xml:space="preserve">
Hardcoded due to columns to the right.</t>
        </r>
      </text>
    </comment>
    <comment ref="F3" authorId="0" shapeId="0" xr:uid="{7FE6CCC9-1165-4C37-B869-4FF31DAABE71}">
      <text>
        <r>
          <rPr>
            <b/>
            <sz val="9"/>
            <color indexed="81"/>
            <rFont val="Tahoma"/>
            <family val="2"/>
          </rPr>
          <t>Daniel Newby:</t>
        </r>
        <r>
          <rPr>
            <sz val="9"/>
            <color indexed="81"/>
            <rFont val="Tahoma"/>
            <family val="2"/>
          </rPr>
          <t xml:space="preserve">
Saved on Daily Sheet due to formatting.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O5" authorId="0" shapeId="0" xr:uid="{C67D3AAB-2FB0-47DF-BD39-D763CA4875E9}">
      <text>
        <r>
          <rPr>
            <b/>
            <sz val="9"/>
            <color indexed="81"/>
            <rFont val="Tahoma"/>
            <family val="2"/>
          </rPr>
          <t>Daniel Newby:</t>
        </r>
        <r>
          <rPr>
            <sz val="9"/>
            <color indexed="81"/>
            <rFont val="Tahoma"/>
            <family val="2"/>
          </rPr>
          <t xml:space="preserve">
make sure maths did math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2" authorId="0" shapeId="0" xr:uid="{6CD9A207-EF53-4586-8DCF-8C0CFEF41A17}">
      <text>
        <r>
          <rPr>
            <b/>
            <sz val="9"/>
            <color indexed="81"/>
            <rFont val="Tahoma"/>
            <family val="2"/>
          </rPr>
          <t>Daniel Newby:</t>
        </r>
        <r>
          <rPr>
            <sz val="9"/>
            <color indexed="81"/>
            <rFont val="Tahoma"/>
            <family val="2"/>
          </rPr>
          <t xml:space="preserve">
See table for descriptions - TODO capture demonstrations with wand</t>
        </r>
      </text>
    </comment>
    <comment ref="G2" authorId="0" shapeId="0" xr:uid="{AA05E7C9-38EF-4408-AD85-9D4D2E673CC8}">
      <text>
        <r>
          <rPr>
            <b/>
            <sz val="9"/>
            <color indexed="81"/>
            <rFont val="Tahoma"/>
            <family val="2"/>
          </rPr>
          <t>Daniel Newby:</t>
        </r>
        <r>
          <rPr>
            <sz val="9"/>
            <color indexed="81"/>
            <rFont val="Tahoma"/>
            <family val="2"/>
          </rPr>
          <t xml:space="preserve">
Minimum wand tracking frame count</t>
        </r>
      </text>
    </comment>
    <comment ref="I2" authorId="0" shapeId="0" xr:uid="{8E60DEDE-77CE-4EFC-938B-79127B17ED08}">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L2" authorId="0" shapeId="0" xr:uid="{D2EF1E11-0811-4D4E-9D49-24FB8BF2870F}">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M2" authorId="0" shapeId="0" xr:uid="{82CFC56A-4223-4979-A3DB-7404FEBDA022}">
      <text>
        <r>
          <rPr>
            <b/>
            <sz val="9"/>
            <color indexed="81"/>
            <rFont val="Tahoma"/>
            <family val="2"/>
          </rPr>
          <t>Daniel Newby:</t>
        </r>
        <r>
          <rPr>
            <sz val="9"/>
            <color indexed="81"/>
            <rFont val="Tahoma"/>
            <family val="2"/>
          </rPr>
          <t xml:space="preserve">
Best/Worse WE/IE column cells will render red if they match the camera with least frames.</t>
        </r>
      </text>
    </comment>
    <comment ref="D26" authorId="0" shapeId="0" xr:uid="{171D0E6C-C7FD-4D16-8FB0-9C301CDBBEB5}">
      <text>
        <r>
          <rPr>
            <b/>
            <sz val="9"/>
            <color indexed="81"/>
            <rFont val="Tahoma"/>
            <family val="2"/>
          </rPr>
          <t>Daniel Newby:</t>
        </r>
        <r>
          <rPr>
            <sz val="9"/>
            <color indexed="81"/>
            <rFont val="Tahoma"/>
            <family val="2"/>
          </rPr>
          <t xml:space="preserve">
Data missing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2" authorId="0" shapeId="0" xr:uid="{A41BEE3B-D7B3-4DDB-B8EF-E45580EEC489}">
      <text>
        <r>
          <rPr>
            <b/>
            <sz val="9"/>
            <color indexed="81"/>
            <rFont val="Tahoma"/>
            <family val="2"/>
          </rPr>
          <t>Daniel Newby:</t>
        </r>
        <r>
          <rPr>
            <sz val="9"/>
            <color indexed="81"/>
            <rFont val="Tahoma"/>
            <family val="2"/>
          </rPr>
          <t xml:space="preserve">
See table on 'Daily' sheet for label explanation.</t>
        </r>
      </text>
    </comment>
    <comment ref="G2" authorId="0" shapeId="0" xr:uid="{6DF5FB61-9171-4D2C-B319-E9B97F953AFB}">
      <text>
        <r>
          <rPr>
            <b/>
            <sz val="9"/>
            <color indexed="81"/>
            <rFont val="Tahoma"/>
            <family val="2"/>
          </rPr>
          <t>Daniel Newby:</t>
        </r>
        <r>
          <rPr>
            <sz val="9"/>
            <color indexed="81"/>
            <rFont val="Tahoma"/>
            <family val="2"/>
          </rPr>
          <t xml:space="preserve">
Minimum wand tracking frame count</t>
        </r>
      </text>
    </comment>
    <comment ref="I2" authorId="0" shapeId="0" xr:uid="{13F2AB7C-8835-4A08-A7A2-305A0F4804EB}">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D10" authorId="0" shapeId="0" xr:uid="{566FC6D7-C251-4201-9829-B9C550101540}">
      <text>
        <r>
          <rPr>
            <b/>
            <sz val="9"/>
            <color indexed="81"/>
            <rFont val="Tahoma"/>
            <family val="2"/>
          </rPr>
          <t>Daniel Newby:</t>
        </r>
        <r>
          <rPr>
            <sz val="9"/>
            <color indexed="81"/>
            <rFont val="Tahoma"/>
            <family val="2"/>
          </rPr>
          <t xml:space="preserve">
Data missing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2" authorId="0" shapeId="0" xr:uid="{40473417-FD1F-468A-9045-DA99F6C40B5D}">
      <text>
        <r>
          <rPr>
            <b/>
            <sz val="9"/>
            <color indexed="81"/>
            <rFont val="Tahoma"/>
            <family val="2"/>
          </rPr>
          <t>Daniel Newby:</t>
        </r>
        <r>
          <rPr>
            <sz val="9"/>
            <color indexed="81"/>
            <rFont val="Tahoma"/>
            <family val="2"/>
          </rPr>
          <t xml:space="preserve">
See table on 'Daily' sheet for label explanation.</t>
        </r>
      </text>
    </comment>
    <comment ref="G2" authorId="0" shapeId="0" xr:uid="{619561A8-7C73-42FA-A3DA-7770C35F98C5}">
      <text>
        <r>
          <rPr>
            <b/>
            <sz val="9"/>
            <color indexed="81"/>
            <rFont val="Tahoma"/>
            <family val="2"/>
          </rPr>
          <t>Daniel Newby:</t>
        </r>
        <r>
          <rPr>
            <sz val="9"/>
            <color indexed="81"/>
            <rFont val="Tahoma"/>
            <family val="2"/>
          </rPr>
          <t xml:space="preserve">
Minimum wand tracking frame count</t>
        </r>
      </text>
    </comment>
    <comment ref="K2" authorId="0" shapeId="0" xr:uid="{61CBA805-A518-4952-B705-6D1098BF1BF0}">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L2" authorId="0" shapeId="0" xr:uid="{A6139F79-1B7B-4D90-8E20-9BB48649A788}">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M2" authorId="0" shapeId="0" xr:uid="{7A1B20A8-4CD2-4B8A-9AAD-8EE8A1BF93B0}">
      <text>
        <r>
          <rPr>
            <b/>
            <sz val="9"/>
            <color indexed="81"/>
            <rFont val="Tahoma"/>
            <family val="2"/>
          </rPr>
          <t>Daniel Newby:</t>
        </r>
        <r>
          <rPr>
            <sz val="9"/>
            <color indexed="81"/>
            <rFont val="Tahoma"/>
            <family val="2"/>
          </rPr>
          <t xml:space="preserve">
Best/Worse WE/IE column cells will render red if they match the camera with least frames.</t>
        </r>
      </text>
    </comment>
    <comment ref="Z2" authorId="0" shapeId="0" xr:uid="{ABF154C5-8DCA-411B-AB76-6A5C52133D58}">
      <text>
        <r>
          <rPr>
            <b/>
            <sz val="9"/>
            <color indexed="81"/>
            <rFont val="Tahoma"/>
            <family val="2"/>
          </rPr>
          <t>Daniel Newby:</t>
        </r>
        <r>
          <rPr>
            <sz val="9"/>
            <color indexed="81"/>
            <rFont val="Tahoma"/>
            <family val="2"/>
          </rPr>
          <t xml:space="preserve">
If calibration data (XCP) shows the cameras as relative to each other i.e. a successful calibration</t>
        </r>
      </text>
    </comment>
    <comment ref="AA2" authorId="0" shapeId="0" xr:uid="{F9CD0BDC-050C-4ABE-B51B-B79FF0768A16}">
      <text>
        <r>
          <rPr>
            <b/>
            <sz val="9"/>
            <color indexed="81"/>
            <rFont val="Tahoma"/>
            <family val="2"/>
          </rPr>
          <t>Daniel Newby:</t>
        </r>
        <r>
          <rPr>
            <sz val="9"/>
            <color indexed="81"/>
            <rFont val="Tahoma"/>
            <family val="2"/>
          </rPr>
          <t xml:space="preserve">
If a wand wave time was recorded</t>
        </r>
      </text>
    </comment>
    <comment ref="Z20" authorId="0" shapeId="0" xr:uid="{F27F7DA0-4926-4F5F-B741-991A781E416F}">
      <text>
        <r>
          <rPr>
            <b/>
            <sz val="9"/>
            <color indexed="81"/>
            <rFont val="Tahoma"/>
            <family val="2"/>
          </rPr>
          <t>Daniel Newby:</t>
        </r>
        <r>
          <rPr>
            <sz val="9"/>
            <color indexed="81"/>
            <rFont val="Tahoma"/>
            <family val="2"/>
          </rPr>
          <t xml:space="preserve">
Minor difference to cameras 9 &amp; 13</t>
        </r>
      </text>
    </comment>
    <comment ref="Z33" authorId="0" shapeId="0" xr:uid="{FC977CC6-F736-4E42-89E9-C0594BAC3109}">
      <text>
        <r>
          <rPr>
            <b/>
            <sz val="9"/>
            <color indexed="81"/>
            <rFont val="Tahoma"/>
            <family val="2"/>
          </rPr>
          <t>Daniel Newby:</t>
        </r>
        <r>
          <rPr>
            <sz val="9"/>
            <color indexed="81"/>
            <rFont val="Tahoma"/>
            <family val="2"/>
          </rPr>
          <t xml:space="preserve">
Very minor outward adjustment</t>
        </r>
      </text>
    </comment>
    <comment ref="Z34" authorId="0" shapeId="0" xr:uid="{C9377D81-B7D3-4FB3-B040-53F757FDE007}">
      <text>
        <r>
          <rPr>
            <b/>
            <sz val="9"/>
            <color indexed="81"/>
            <rFont val="Tahoma"/>
            <family val="2"/>
          </rPr>
          <t>Daniel Newby:</t>
        </r>
        <r>
          <rPr>
            <sz val="9"/>
            <color indexed="81"/>
            <rFont val="Tahoma"/>
            <family val="2"/>
          </rPr>
          <t xml:space="preserve">
orientation difference</t>
        </r>
      </text>
    </comment>
    <comment ref="Z35" authorId="0" shapeId="0" xr:uid="{2BBE8C08-6344-4367-9CD2-AEE260B3BF26}">
      <text>
        <r>
          <rPr>
            <b/>
            <sz val="9"/>
            <color indexed="81"/>
            <rFont val="Tahoma"/>
            <family val="2"/>
          </rPr>
          <t>Daniel Newby:</t>
        </r>
        <r>
          <rPr>
            <sz val="9"/>
            <color indexed="81"/>
            <rFont val="Tahoma"/>
            <family val="2"/>
          </rPr>
          <t xml:space="preserve">
Very minor outward adjustment</t>
        </r>
      </text>
    </comment>
    <comment ref="Z44" authorId="0" shapeId="0" xr:uid="{082B49BF-1E34-4D63-B9CD-46D424E1A0EF}">
      <text>
        <r>
          <rPr>
            <b/>
            <sz val="9"/>
            <color indexed="81"/>
            <rFont val="Tahoma"/>
            <family val="2"/>
          </rPr>
          <t>Daniel Newby:</t>
        </r>
        <r>
          <rPr>
            <sz val="9"/>
            <color indexed="81"/>
            <rFont val="Tahoma"/>
            <family val="2"/>
          </rPr>
          <t xml:space="preserve">
in all sets</t>
        </r>
      </text>
    </comment>
    <comment ref="AA44" authorId="0" shapeId="0" xr:uid="{020478CB-4F3E-4F84-83B5-D497736FCFC4}">
      <text>
        <r>
          <rPr>
            <b/>
            <sz val="9"/>
            <color indexed="81"/>
            <rFont val="Tahoma"/>
            <family val="2"/>
          </rPr>
          <t>Daniel Newby:</t>
        </r>
        <r>
          <rPr>
            <sz val="9"/>
            <color indexed="81"/>
            <rFont val="Tahoma"/>
            <family val="2"/>
          </rPr>
          <t xml:space="preserve">
best from set</t>
        </r>
      </text>
    </comment>
    <comment ref="Z45" authorId="0" shapeId="0" xr:uid="{D22F368A-48FB-49FB-B39D-DA6686673CB9}">
      <text>
        <r>
          <rPr>
            <b/>
            <sz val="9"/>
            <color indexed="81"/>
            <rFont val="Tahoma"/>
            <family val="2"/>
          </rPr>
          <t>Daniel Newby:</t>
        </r>
        <r>
          <rPr>
            <sz val="9"/>
            <color indexed="81"/>
            <rFont val="Tahoma"/>
            <family val="2"/>
          </rPr>
          <t xml:space="preserve">
Some minor relativity offsets from at least one set</t>
        </r>
      </text>
    </comment>
    <comment ref="AA45" authorId="0" shapeId="0" xr:uid="{17D9CCC9-E598-44A8-B1AB-03F8DF3D7D2C}">
      <text>
        <r>
          <rPr>
            <b/>
            <sz val="9"/>
            <color indexed="81"/>
            <rFont val="Tahoma"/>
            <family val="2"/>
          </rPr>
          <t>Daniel Newby:</t>
        </r>
        <r>
          <rPr>
            <sz val="9"/>
            <color indexed="81"/>
            <rFont val="Tahoma"/>
            <family val="2"/>
          </rPr>
          <t xml:space="preserve">
best from set</t>
        </r>
      </text>
    </comment>
    <comment ref="Z46" authorId="0" shapeId="0" xr:uid="{49AEB93C-110B-4F88-8DF3-E109402FEBD2}">
      <text>
        <r>
          <rPr>
            <b/>
            <sz val="9"/>
            <color indexed="81"/>
            <rFont val="Tahoma"/>
            <family val="2"/>
          </rPr>
          <t>Daniel Newby:</t>
        </r>
        <r>
          <rPr>
            <sz val="9"/>
            <color indexed="81"/>
            <rFont val="Tahoma"/>
            <family val="2"/>
          </rPr>
          <t xml:space="preserve">
in all sets</t>
        </r>
      </text>
    </comment>
    <comment ref="AA46" authorId="0" shapeId="0" xr:uid="{3876A228-C7AB-4101-9D23-ED0821711F74}">
      <text>
        <r>
          <rPr>
            <b/>
            <sz val="9"/>
            <color indexed="81"/>
            <rFont val="Tahoma"/>
            <family val="2"/>
          </rPr>
          <t>Daniel Newby:</t>
        </r>
        <r>
          <rPr>
            <sz val="9"/>
            <color indexed="81"/>
            <rFont val="Tahoma"/>
            <family val="2"/>
          </rPr>
          <t xml:space="preserve">
best from set</t>
        </r>
      </text>
    </comment>
    <comment ref="Z47" authorId="0" shapeId="0" xr:uid="{99CF26BC-58A0-4740-B56B-162EFED546D9}">
      <text>
        <r>
          <rPr>
            <b/>
            <sz val="9"/>
            <color indexed="81"/>
            <rFont val="Tahoma"/>
            <family val="2"/>
          </rPr>
          <t>Daniel Newby:</t>
        </r>
        <r>
          <rPr>
            <sz val="9"/>
            <color indexed="81"/>
            <rFont val="Tahoma"/>
            <family val="2"/>
          </rPr>
          <t xml:space="preserve">
in all sets</t>
        </r>
      </text>
    </comment>
    <comment ref="AA47" authorId="0" shapeId="0" xr:uid="{4A93398F-4E59-4A18-AD3C-E55BC5B0E100}">
      <text>
        <r>
          <rPr>
            <b/>
            <sz val="9"/>
            <color indexed="81"/>
            <rFont val="Tahoma"/>
            <family val="2"/>
          </rPr>
          <t>Daniel Newby:</t>
        </r>
        <r>
          <rPr>
            <sz val="9"/>
            <color indexed="81"/>
            <rFont val="Tahoma"/>
            <family val="2"/>
          </rPr>
          <t xml:space="preserve">
best from set</t>
        </r>
      </text>
    </comment>
    <comment ref="Z48" authorId="0" shapeId="0" xr:uid="{702338DB-A264-43CF-AA1A-7B3E978AD201}">
      <text>
        <r>
          <rPr>
            <b/>
            <sz val="9"/>
            <color indexed="81"/>
            <rFont val="Tahoma"/>
            <family val="2"/>
          </rPr>
          <t>Daniel Newby:</t>
        </r>
        <r>
          <rPr>
            <sz val="9"/>
            <color indexed="81"/>
            <rFont val="Tahoma"/>
            <family val="2"/>
          </rPr>
          <t xml:space="preserve">
Some minor relativity offsets from at least one set</t>
        </r>
      </text>
    </comment>
    <comment ref="AA48" authorId="0" shapeId="0" xr:uid="{790797CD-DA35-4830-8EF0-A25B146FDE01}">
      <text>
        <r>
          <rPr>
            <b/>
            <sz val="9"/>
            <color indexed="81"/>
            <rFont val="Tahoma"/>
            <family val="2"/>
          </rPr>
          <t>Daniel Newby:</t>
        </r>
        <r>
          <rPr>
            <sz val="9"/>
            <color indexed="81"/>
            <rFont val="Tahoma"/>
            <family val="2"/>
          </rPr>
          <t xml:space="preserve">
best from set</t>
        </r>
      </text>
    </comment>
    <comment ref="Z49" authorId="0" shapeId="0" xr:uid="{D9FC8268-E978-4053-9B3A-393FCBFDF2F7}">
      <text>
        <r>
          <rPr>
            <b/>
            <sz val="9"/>
            <color indexed="81"/>
            <rFont val="Tahoma"/>
            <family val="2"/>
          </rPr>
          <t>Daniel Newby:</t>
        </r>
        <r>
          <rPr>
            <sz val="9"/>
            <color indexed="81"/>
            <rFont val="Tahoma"/>
            <family val="2"/>
          </rPr>
          <t xml:space="preserve">
Some minor relativity offsets from at least one set</t>
        </r>
      </text>
    </comment>
    <comment ref="AA49" authorId="0" shapeId="0" xr:uid="{D0CEB662-BC0D-4C89-9084-6EF0909142D3}">
      <text>
        <r>
          <rPr>
            <b/>
            <sz val="9"/>
            <color indexed="81"/>
            <rFont val="Tahoma"/>
            <family val="2"/>
          </rPr>
          <t>Daniel Newby:</t>
        </r>
        <r>
          <rPr>
            <sz val="9"/>
            <color indexed="81"/>
            <rFont val="Tahoma"/>
            <family val="2"/>
          </rPr>
          <t xml:space="preserve">
best from set</t>
        </r>
      </text>
    </comment>
    <comment ref="Z50" authorId="0" shapeId="0" xr:uid="{835DC95F-1677-4599-9A7D-C6469EFF8A93}">
      <text>
        <r>
          <rPr>
            <b/>
            <sz val="9"/>
            <color indexed="81"/>
            <rFont val="Tahoma"/>
            <family val="2"/>
          </rPr>
          <t>Daniel Newby:</t>
        </r>
        <r>
          <rPr>
            <sz val="9"/>
            <color indexed="81"/>
            <rFont val="Tahoma"/>
            <family val="2"/>
          </rPr>
          <t xml:space="preserve">
in all sets</t>
        </r>
      </text>
    </comment>
    <comment ref="AA50" authorId="0" shapeId="0" xr:uid="{1C24AC3B-21D3-4D63-9657-CAC435C59863}">
      <text>
        <r>
          <rPr>
            <b/>
            <sz val="9"/>
            <color indexed="81"/>
            <rFont val="Tahoma"/>
            <family val="2"/>
          </rPr>
          <t>Daniel Newby:</t>
        </r>
        <r>
          <rPr>
            <sz val="9"/>
            <color indexed="81"/>
            <rFont val="Tahoma"/>
            <family val="2"/>
          </rPr>
          <t xml:space="preserve">
best from set</t>
        </r>
      </text>
    </comment>
    <comment ref="D62" authorId="0" shapeId="0" xr:uid="{1CACC5DA-4CCB-4D2D-808F-BB60D111C1C2}">
      <text>
        <r>
          <rPr>
            <b/>
            <sz val="9"/>
            <color indexed="81"/>
            <rFont val="Tahoma"/>
            <family val="2"/>
          </rPr>
          <t>Daniel Newby:</t>
        </r>
        <r>
          <rPr>
            <sz val="9"/>
            <color indexed="81"/>
            <rFont val="Tahoma"/>
            <family val="2"/>
          </rPr>
          <t xml:space="preserve">
Data missing</t>
        </r>
      </text>
    </comment>
    <comment ref="Z62" authorId="0" shapeId="0" xr:uid="{14C5417D-E155-4BA0-B5A0-345C6F28CE79}">
      <text>
        <r>
          <rPr>
            <b/>
            <sz val="9"/>
            <color indexed="81"/>
            <rFont val="Tahoma"/>
            <family val="2"/>
          </rPr>
          <t>Daniel Newby:</t>
        </r>
        <r>
          <rPr>
            <sz val="9"/>
            <color indexed="81"/>
            <rFont val="Tahoma"/>
            <family val="2"/>
          </rPr>
          <t xml:space="preserve">
in all sets</t>
        </r>
      </text>
    </comment>
    <comment ref="AA62" authorId="0" shapeId="0" xr:uid="{2B73D8B9-957F-4EAF-8DE3-B22EA37FD3F2}">
      <text>
        <r>
          <rPr>
            <b/>
            <sz val="9"/>
            <color indexed="81"/>
            <rFont val="Tahoma"/>
            <family val="2"/>
          </rPr>
          <t>Daniel Newby:</t>
        </r>
        <r>
          <rPr>
            <sz val="9"/>
            <color indexed="81"/>
            <rFont val="Tahoma"/>
            <family val="2"/>
          </rPr>
          <t xml:space="preserve">
best from set</t>
        </r>
      </text>
    </comment>
    <comment ref="B63" authorId="0" shapeId="0" xr:uid="{A12F65C5-DEAB-4678-968D-B4BF46D1321A}">
      <text>
        <r>
          <rPr>
            <b/>
            <sz val="9"/>
            <color indexed="81"/>
            <rFont val="Tahoma"/>
            <family val="2"/>
          </rPr>
          <t>Daniel Newby:</t>
        </r>
        <r>
          <rPr>
            <sz val="9"/>
            <color indexed="81"/>
            <rFont val="Tahoma"/>
            <family val="2"/>
          </rPr>
          <t xml:space="preserve">
reference from Daily World Error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4" authorId="0" shapeId="0" xr:uid="{A5463543-B17C-4857-A580-70D416DE6092}">
      <text>
        <r>
          <rPr>
            <b/>
            <sz val="9"/>
            <color indexed="81"/>
            <rFont val="Tahoma"/>
            <family val="2"/>
          </rPr>
          <t>Daniel Newby:</t>
        </r>
        <r>
          <rPr>
            <sz val="9"/>
            <color indexed="81"/>
            <rFont val="Tahoma"/>
            <family val="2"/>
          </rPr>
          <t xml:space="preserve">
As there's at least one day where cameras don't </t>
        </r>
      </text>
    </comment>
    <comment ref="E4" authorId="0" shapeId="0" xr:uid="{6367901E-84CB-490D-A5BC-C04AFB197B55}">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F4" authorId="0" shapeId="0" xr:uid="{7E7B78FF-40E6-40CF-95A0-FAA864DDAB92}">
      <text>
        <r>
          <rPr>
            <b/>
            <sz val="9"/>
            <color indexed="81"/>
            <rFont val="Tahoma"/>
            <family val="2"/>
          </rPr>
          <t>Daniel Newby:</t>
        </r>
        <r>
          <rPr>
            <sz val="9"/>
            <color indexed="81"/>
            <rFont val="Tahoma"/>
            <family val="2"/>
          </rPr>
          <t xml:space="preserve">
How well did the camera perform on this day relative to other camerasa - lower ranks are better!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K2" authorId="0" shapeId="0" xr:uid="{5428A90C-B2BC-465A-9F79-81634F88F203}">
      <text>
        <r>
          <rPr>
            <b/>
            <sz val="9"/>
            <color indexed="81"/>
            <rFont val="Tahoma"/>
            <family val="2"/>
          </rPr>
          <t>Daniel Newby:</t>
        </r>
        <r>
          <rPr>
            <sz val="9"/>
            <color indexed="81"/>
            <rFont val="Tahoma"/>
            <family val="2"/>
          </rPr>
          <t xml:space="preserve">
Compares the camera lifetime world error &amp; image error vs the mean of all camera's lifetime error values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4" authorId="0" shapeId="0" xr:uid="{012C0240-B627-493D-8C26-77C7924352D4}">
      <text>
        <r>
          <rPr>
            <b/>
            <sz val="9"/>
            <color indexed="81"/>
            <rFont val="Tahoma"/>
            <family val="2"/>
          </rPr>
          <t>Daniel Newby:</t>
        </r>
        <r>
          <rPr>
            <sz val="9"/>
            <color indexed="81"/>
            <rFont val="Tahoma"/>
            <family val="2"/>
          </rPr>
          <t xml:space="preserve">
Rounded to nearest integer, ties are possible.</t>
        </r>
      </text>
    </comment>
    <comment ref="I7" authorId="0" shapeId="0" xr:uid="{39DF78B6-906C-4A05-B1BE-C638524E7837}">
      <text>
        <r>
          <rPr>
            <b/>
            <sz val="9"/>
            <color indexed="81"/>
            <rFont val="Tahoma"/>
            <family val="2"/>
          </rPr>
          <t>Daniel Newby:</t>
        </r>
        <r>
          <rPr>
            <sz val="9"/>
            <color indexed="81"/>
            <rFont val="Tahoma"/>
            <family val="2"/>
          </rPr>
          <t xml:space="preserve">
Camera 8 was not enabled on this calibration and the results weren't noticed until after the data was recorded.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3" authorId="0" shapeId="0" xr:uid="{0802E098-6528-4B59-A1B4-CE1242101CBF}">
      <text>
        <r>
          <rPr>
            <b/>
            <sz val="9"/>
            <color indexed="81"/>
            <rFont val="Tahoma"/>
            <family val="2"/>
          </rPr>
          <t>Daniel Newby:</t>
        </r>
        <r>
          <rPr>
            <sz val="9"/>
            <color indexed="81"/>
            <rFont val="Tahoma"/>
            <family val="2"/>
          </rPr>
          <t xml:space="preserve">
Record of the worst performing cameras.</t>
        </r>
      </text>
    </comment>
    <comment ref="I7" authorId="0" shapeId="0" xr:uid="{B6685E6B-4AF0-4738-BAA2-8362458420B5}">
      <text>
        <r>
          <rPr>
            <b/>
            <sz val="9"/>
            <color indexed="81"/>
            <rFont val="Tahoma"/>
            <family val="2"/>
          </rPr>
          <t>Daniel Newby:</t>
        </r>
        <r>
          <rPr>
            <sz val="9"/>
            <color indexed="81"/>
            <rFont val="Tahoma"/>
            <family val="2"/>
          </rPr>
          <t xml:space="preserve">
Camera 8 was not enabled on this calibration and the results weren't noticed until after the data was recorded.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3" authorId="0" shapeId="0" xr:uid="{0F6F3CDF-9A7A-46EE-B923-5E9412A80464}">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 ref="J4" authorId="0" shapeId="0" xr:uid="{AF7468BE-848B-4C16-8A19-39CCF981CC8F}">
      <text>
        <r>
          <rPr>
            <b/>
            <sz val="9"/>
            <color indexed="81"/>
            <rFont val="Tahoma"/>
            <family val="2"/>
          </rPr>
          <t>Daniel Newby:</t>
        </r>
        <r>
          <rPr>
            <sz val="9"/>
            <color indexed="81"/>
            <rFont val="Tahoma"/>
            <family val="2"/>
          </rPr>
          <t xml:space="preserve">
persistently slow to auto-stop when calibrating</t>
        </r>
      </text>
    </comment>
    <comment ref="O4" authorId="0" shapeId="0" xr:uid="{CF6E4307-DE39-4F3E-8DA6-785DA3E06C71}">
      <text>
        <r>
          <rPr>
            <b/>
            <sz val="9"/>
            <color indexed="81"/>
            <rFont val="Tahoma"/>
            <family val="2"/>
          </rPr>
          <t>Daniel Newby:</t>
        </r>
        <r>
          <rPr>
            <sz val="9"/>
            <color indexed="81"/>
            <rFont val="Tahoma"/>
            <family val="2"/>
          </rPr>
          <t xml:space="preserve">
persistently slow to auto-stop when calibrating</t>
        </r>
      </text>
    </comment>
    <comment ref="W7" authorId="0" shapeId="0" xr:uid="{0DACB667-DC95-4829-B2E9-557AFD8EDFA1}">
      <text>
        <r>
          <rPr>
            <b/>
            <sz val="9"/>
            <color indexed="81"/>
            <rFont val="Tahoma"/>
            <family val="2"/>
          </rPr>
          <t>Daniel Newby:</t>
        </r>
        <r>
          <rPr>
            <sz val="9"/>
            <color indexed="81"/>
            <rFont val="Tahoma"/>
            <family val="2"/>
          </rPr>
          <t xml:space="preserve">
On the recorded date this camera was out of position relative to other cameras during a calibration attempt.</t>
        </r>
      </text>
    </comment>
    <comment ref="W8" authorId="0" shapeId="0" xr:uid="{4AEA39E1-88DA-4B18-93C1-675EDC246C02}">
      <text>
        <r>
          <rPr>
            <b/>
            <sz val="9"/>
            <color indexed="81"/>
            <rFont val="Tahoma"/>
            <family val="2"/>
          </rPr>
          <t>Daniel Newby:</t>
        </r>
        <r>
          <rPr>
            <sz val="9"/>
            <color indexed="81"/>
            <rFont val="Tahoma"/>
            <family val="2"/>
          </rPr>
          <t xml:space="preserve">
Cameras marked with this colour are persistently much slower than others to capture frames during wand wave calibration.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C1F97-DCE4-425B-85E1-F873AD741BD9}" keepAlive="1" name="Query - _combined_data" description="Connection to the '_combined_data' query in the workbook." type="5" refreshedVersion="0" background="1">
    <dbPr connection="Provider=Microsoft.Mashup.OleDb.1;Data Source=$Workbook$;Location=_combined_data;Extended Properties=&quot;&quot;" command="SELECT * FROM [_combined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<sst xmlns="http://schemas.openxmlformats.org/spreadsheetml/2006/main" count="4964" uniqueCount="312">
  <si>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</si>
  <si>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</si>
  <si>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</si>
  <si>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</si>
  <si>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</si>
  <si>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</si>
  <si>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</si>
  <si>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</si>
  <si>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</si>
  <si>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</si>
  <si>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</si>
  <si>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</si>
  <si>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</si>
  <si>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</si>
  <si>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</si>
  <si>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</si>
  <si>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</si>
  <si>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</si>
  <si>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</si>
  <si>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</si>
  <si>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</si>
  <si>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</si>
  <si>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</si>
  <si>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</si>
  <si>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</si>
  <si>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</si>
  <si>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</si>
  <si>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</si>
  <si>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</si>
  <si>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</si>
  <si>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</si>
  <si>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</si>
  <si>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World Error</t>
  </si>
  <si>
    <t>Image Error</t>
  </si>
  <si>
    <t>#8 (Vero v2.2)</t>
  </si>
  <si>
    <t>Match</t>
  </si>
  <si>
    <t>Camera Name</t>
  </si>
  <si>
    <t>Physical Label</t>
  </si>
  <si>
    <t>Nexus Software ID</t>
  </si>
  <si>
    <t xml:space="preserve"> </t>
  </si>
  <si>
    <t>Notes on daily calibration attempt</t>
  </si>
  <si>
    <t>Did not create a box with markers, scattered randomly, adjusted auto detect tolerance for set volume down to 2mm</t>
  </si>
  <si>
    <t>Starting Temperature</t>
  </si>
  <si>
    <t>Starting Time</t>
  </si>
  <si>
    <t>How many days camera is worse than avg.</t>
  </si>
  <si>
    <t>Cameras where world and image error are both highlighted as consistently above average (lower scores are better)/have poor win rates should be investigated.</t>
  </si>
  <si>
    <r>
      <rPr>
        <b/>
        <i/>
        <sz val="11"/>
        <color theme="1"/>
        <rFont val="Calibri"/>
        <family val="2"/>
      </rPr>
      <t>Note</t>
    </r>
    <r>
      <rPr>
        <i/>
        <sz val="11"/>
        <color theme="1"/>
        <rFont val="Calibri"/>
        <family val="2"/>
      </rPr>
      <t>: camera 8 was mistakenly not included in 1st day win rate could be 1 higher</t>
    </r>
  </si>
  <si>
    <t>Mostly focused on fixing the calibration data pollution bug from sample data (camera IDs reorganised) but sweeping movements around the main volume, with markers scattered in clusters no box outline</t>
  </si>
  <si>
    <t>Temp</t>
  </si>
  <si>
    <t>After calibration modified level of the L-Frame as floor wasn't level, so this may affect volume capture in future</t>
  </si>
  <si>
    <t>People kept coming in room, interrupting calibration attempts - along with poor wand wave &amp; previous wand level modification could not set volume</t>
  </si>
  <si>
    <t>Key</t>
  </si>
  <si>
    <t>Minor wand wave not according to technique (folding wave) but otherwise going left/right and keeping away from body. Some camera error outliers and ghost markers during floor plane calibration.</t>
  </si>
  <si>
    <t>Wand wave technique is semi-radial extended from body but facing/relative degree° equal to facing (rocking side to side drawing a semi-circle basically) with some squatting or bending down</t>
  </si>
  <si>
    <t>Wand wave technique as above</t>
  </si>
  <si>
    <t>Camera 5 not relative to rest</t>
  </si>
  <si>
    <t>Camera 4 not relative to rest</t>
  </si>
  <si>
    <t>ALL TIME AVERAGES</t>
  </si>
  <si>
    <t>ALL TIME CAMERA ERRORS</t>
  </si>
  <si>
    <t>PERFORMANCE</t>
  </si>
  <si>
    <t>Camera by ID</t>
  </si>
  <si>
    <t>KEY</t>
  </si>
  <si>
    <t>Auto-stop straggler</t>
  </si>
  <si>
    <t>x</t>
  </si>
  <si>
    <t>Camera Bumping Error Count</t>
  </si>
  <si>
    <t>Relative position calibration error</t>
  </si>
  <si>
    <t>Calibrations earlier to 31/07/26 discarded error data &amp; predate error tracking tabs</t>
  </si>
  <si>
    <t>Visual representation of cameras that are experiencing errors above average during calibration data.</t>
  </si>
  <si>
    <t>Both errors are above the average.</t>
  </si>
  <si>
    <t>At least one error is above average.</t>
  </si>
  <si>
    <t>No errors are above average.</t>
  </si>
  <si>
    <t>Error Rate</t>
  </si>
  <si>
    <t>Wand Techniques</t>
  </si>
  <si>
    <t>A</t>
  </si>
  <si>
    <t>B</t>
  </si>
  <si>
    <t>Wand Technique</t>
  </si>
  <si>
    <t>C</t>
  </si>
  <si>
    <t xml:space="preserve">Scattered markers randomly in the volume, completely reset calibration and masking beforehand, manually masked reflective pipe in camera 5. </t>
  </si>
  <si>
    <t>No box; markers were in a rough isoclees triangle shape outline, of 4x clusters of 3 markers, no issue</t>
  </si>
  <si>
    <t>Conversely - cameras with high scores should be highlighted for tracking targets!</t>
  </si>
  <si>
    <t>Cameras marked like this are high error (&gt;=70%) cameras.</t>
  </si>
  <si>
    <t>Daily</t>
  </si>
  <si>
    <t>Error</t>
  </si>
  <si>
    <t>UPDATE THIS TAB</t>
  </si>
  <si>
    <t>VERY OUT OF DATE</t>
  </si>
  <si>
    <r>
      <t xml:space="preserve">Key 1
</t>
    </r>
    <r>
      <rPr>
        <sz val="10"/>
        <color rgb="FFFFFFFF"/>
        <rFont val="Arial"/>
        <family val="2"/>
      </rPr>
      <t>(Category)</t>
    </r>
  </si>
  <si>
    <t>Key Category</t>
  </si>
  <si>
    <r>
      <t xml:space="preserve">Key 2
</t>
    </r>
    <r>
      <rPr>
        <sz val="10"/>
        <color rgb="FFFFFFFF"/>
        <rFont val="Arial"/>
        <family val="2"/>
      </rPr>
      <t>(Precision)</t>
    </r>
  </si>
  <si>
    <t>Trial</t>
  </si>
  <si>
    <t>n/a</t>
  </si>
  <si>
    <t>Error (Camera Entry)</t>
  </si>
  <si>
    <t>Data should be input in this column.</t>
  </si>
  <si>
    <r>
      <rPr>
        <b/>
        <sz val="8"/>
        <color theme="1"/>
        <rFont val="Calibri"/>
        <family val="2"/>
      </rPr>
      <t>Automatic formula</t>
    </r>
    <r>
      <rPr>
        <sz val="8"/>
        <color theme="1"/>
        <rFont val="Calibri"/>
        <family val="2"/>
      </rPr>
      <t xml:space="preserve"> - do not modify this column.</t>
    </r>
  </si>
  <si>
    <t>HEADER COLOURS</t>
  </si>
  <si>
    <r>
      <rPr>
        <b/>
        <sz val="8"/>
        <color theme="0"/>
        <rFont val="Arial"/>
        <family val="2"/>
      </rPr>
      <t>Instructions</t>
    </r>
    <r>
      <rPr>
        <sz val="8"/>
        <color theme="0"/>
        <rFont val="Arial"/>
        <family val="2"/>
      </rPr>
      <t xml:space="preserve"> - Input Vicon Nexus error sets after any new calibration. </t>
    </r>
    <r>
      <rPr>
        <u/>
        <sz val="8"/>
        <color theme="0"/>
        <rFont val="Arial"/>
        <family val="2"/>
      </rPr>
      <t>Refer to header key tables for more info</t>
    </r>
    <r>
      <rPr>
        <sz val="8"/>
        <color theme="0"/>
        <rFont val="Arial"/>
        <family val="2"/>
      </rPr>
      <t>.</t>
    </r>
  </si>
  <si>
    <t>HIDDEN SHEETS</t>
  </si>
  <si>
    <t>Data-Lists</t>
  </si>
  <si>
    <t>Sheets</t>
  </si>
  <si>
    <t>Labelling</t>
  </si>
  <si>
    <t>Log</t>
  </si>
  <si>
    <t>Recap Pages</t>
  </si>
  <si>
    <t>Daily, Trial, Error</t>
  </si>
  <si>
    <t>Daily Trends</t>
  </si>
  <si>
    <t>Daily Performance</t>
  </si>
  <si>
    <t>Daily Error Rates</t>
  </si>
  <si>
    <t>Problem Cameras</t>
  </si>
  <si>
    <t>Sheets should have own to-dos</t>
  </si>
  <si>
    <t>What was the error or what caused it?</t>
  </si>
  <si>
    <r>
      <t>How was the calibration attempted?</t>
    </r>
    <r>
      <rPr>
        <sz val="10"/>
        <color rgb="FFFFFFFF"/>
        <rFont val="Arial"/>
        <family val="2"/>
      </rPr>
      <t xml:space="preserve">
Marker placement, wand technique, etc.</t>
    </r>
  </si>
  <si>
    <t>Daily Tracking Dates</t>
  </si>
  <si>
    <r>
      <rPr>
        <b/>
        <sz val="8"/>
        <color theme="1"/>
        <rFont val="Arial"/>
        <family val="2"/>
      </rPr>
      <t>As technique A except</t>
    </r>
    <r>
      <rPr>
        <sz val="8"/>
        <color theme="1"/>
        <rFont val="Arial"/>
        <family val="2"/>
      </rPr>
      <t xml:space="preserve"> - bringing the wand in and out by stretching arm, and stooping/lunging as moving (in order to vary distance from the body)</t>
    </r>
  </si>
  <si>
    <t>See wand techniques info-box on 'Daily' sheet.</t>
  </si>
  <si>
    <t>What is the experiment goal?</t>
  </si>
  <si>
    <r>
      <t xml:space="preserve">Daily Trends (by Camera) </t>
    </r>
    <r>
      <rPr>
        <sz val="10"/>
        <color theme="0"/>
        <rFont val="Calibri"/>
        <family val="2"/>
      </rPr>
      <t>- Select camera in dropdown cell to view data on that specific camera. Errors marked red if worse than daily average, green if better. Does not consider error or trial sets.</t>
    </r>
  </si>
  <si>
    <t>3 clusters of markers in each corner (4 sets)</t>
  </si>
  <si>
    <t>9 Markers, in 3 clusters of 3 -- two clusters spaced from origin, one in a far corner. This caused floor plane error for furthest markers so added a 4th cluster in opposite far corner, which fixed it. Documented in note '2026-08-05 Marker Cluster Layout (v1)'</t>
  </si>
  <si>
    <r>
      <t xml:space="preserve">Camera 8 not enabled by mistake -- </t>
    </r>
    <r>
      <rPr>
        <b/>
        <sz val="10"/>
        <color theme="1"/>
        <rFont val="Arial"/>
        <family val="2"/>
      </rPr>
      <t>may wish to disregard results</t>
    </r>
    <r>
      <rPr>
        <sz val="10"/>
        <color theme="1"/>
        <rFont val="Arial"/>
        <family val="2"/>
      </rPr>
      <t>, no manual masking or marker removal attempted - attempting to establish baselines</t>
    </r>
  </si>
  <si>
    <r>
      <t xml:space="preserve">Reverted wand wave technique after 2 calibration errors
</t>
    </r>
    <r>
      <rPr>
        <sz val="10"/>
        <color theme="1"/>
        <rFont val="Arial"/>
        <family val="2"/>
      </rPr>
      <t>Opting to put clusters of 3 in volume corners and spacing out pairs elsewhere in centre of volume floor plane</t>
    </r>
  </si>
  <si>
    <t>todo - check calibration data for camera relativity</t>
  </si>
  <si>
    <r>
      <t xml:space="preserve">Key 2
</t>
    </r>
    <r>
      <rPr>
        <sz val="8"/>
        <color rgb="FFFFFFFF"/>
        <rFont val="Arial"/>
        <family val="2"/>
      </rPr>
      <t>(Precision)</t>
    </r>
  </si>
  <si>
    <t>shelf-baseline</t>
  </si>
  <si>
    <t>shelf-trial</t>
  </si>
  <si>
    <t>31/07-error1</t>
  </si>
  <si>
    <t>31/07-error2</t>
  </si>
  <si>
    <t>03/08-error1</t>
  </si>
  <si>
    <t>03/08-error2</t>
  </si>
  <si>
    <r>
      <t xml:space="preserve">Choose data value from </t>
    </r>
    <r>
      <rPr>
        <b/>
        <sz val="8"/>
        <color theme="1"/>
        <rFont val="Calibri"/>
        <family val="2"/>
      </rPr>
      <t>dropdown</t>
    </r>
    <r>
      <rPr>
        <sz val="8"/>
        <color theme="1"/>
        <rFont val="Calibri"/>
        <family val="2"/>
      </rPr>
      <t>!</t>
    </r>
  </si>
  <si>
    <r>
      <t xml:space="preserve">Data should be </t>
    </r>
    <r>
      <rPr>
        <b/>
        <sz val="8"/>
        <color theme="1"/>
        <rFont val="Calibri"/>
        <family val="2"/>
      </rPr>
      <t>input</t>
    </r>
    <r>
      <rPr>
        <sz val="8"/>
        <color theme="1"/>
        <rFont val="Calibri"/>
        <family val="2"/>
      </rPr>
      <t xml:space="preserve"> in this column.</t>
    </r>
  </si>
  <si>
    <t>Determine the calibration impact of the reflective metal shelving at the edge of the volume space</t>
  </si>
  <si>
    <t>Figure 8 waving, no floor plane setting as just interested in calibration data</t>
  </si>
  <si>
    <t>Using as experiment base-set (duplicated for auto-stop-base) as immediately before so maintaining '3 clusters of markers in each corner (4 sets)' and wave technique A as controls</t>
  </si>
  <si>
    <t>Experiment initial findings?</t>
  </si>
  <si>
    <t>Calibration health degraded. Culprit may be that a reflective shelf may have still been caught in view of a camera</t>
  </si>
  <si>
    <t>Investigate effectiveness of auto-stop and wand frames on calibration health</t>
  </si>
  <si>
    <t>auto-stop-2000-v1</t>
  </si>
  <si>
    <t>auto-stop-1000-base</t>
  </si>
  <si>
    <t>auto-stop-2000-v2</t>
  </si>
  <si>
    <t>auto-stop-1500-v1</t>
  </si>
  <si>
    <t>auto-stop-1500-v2</t>
  </si>
  <si>
    <t>auto-stop-1000-v2</t>
  </si>
  <si>
    <t>auto-stop-1000-v3</t>
  </si>
  <si>
    <t>Using daily calibration as base-set (duplicated from 08/08/2026) as immediately before so maintaining '3 clusters of markers in each corner (4 sets)' and wave technique A as controls. Environment unchanged but masked cameras at start of each wand wave to prevent light change impact. Did not set floor plane as just interested in calibration data.
Minor mistake in 1000v2 where a camera was still trying to calibrate - didn't notice and had to get up again to fix. Repeated trial for bias check.</t>
  </si>
  <si>
    <r>
      <t xml:space="preserve">see calibration notes.md, but rough findings are more frames = faster calibration, longer taken in wand wave, better camera health.
</t>
    </r>
    <r>
      <rPr>
        <b/>
        <sz val="11"/>
        <color theme="1"/>
        <rFont val="Calibri"/>
        <family val="2"/>
      </rPr>
      <t>auto-stop 2000</t>
    </r>
    <r>
      <rPr>
        <sz val="11"/>
        <color theme="1"/>
        <rFont val="Calibri"/>
        <family val="2"/>
        <charset val="1"/>
      </rPr>
      <t xml:space="preserve"> = 3m feedback, 2:25 wand wave
</t>
    </r>
    <r>
      <rPr>
        <b/>
        <sz val="11"/>
        <color theme="1"/>
        <rFont val="Calibri"/>
        <family val="2"/>
      </rPr>
      <t>auto-stop 1500</t>
    </r>
    <r>
      <rPr>
        <sz val="11"/>
        <color theme="1"/>
        <rFont val="Calibri"/>
        <family val="2"/>
        <charset val="1"/>
      </rPr>
      <t xml:space="preserve"> = 3-5m feedback, 1:57 wand wave
</t>
    </r>
    <r>
      <rPr>
        <b/>
        <sz val="11"/>
        <color theme="1"/>
        <rFont val="Calibri"/>
        <family val="2"/>
      </rPr>
      <t>auto-stop 1000</t>
    </r>
    <r>
      <rPr>
        <sz val="11"/>
        <color theme="1"/>
        <rFont val="Calibri"/>
        <family val="2"/>
        <charset val="1"/>
      </rPr>
      <t xml:space="preserve"> = 3-6m feedback, 1:32 wand wave
Worth looking at problem camera health specifically as disproprtionate wand wave time spent focused on these
</t>
    </r>
    <r>
      <rPr>
        <b/>
        <sz val="11"/>
        <color theme="1"/>
        <rFont val="Calibri"/>
        <family val="2"/>
      </rPr>
      <t>auto-stop-2000-v1</t>
    </r>
    <r>
      <rPr>
        <sz val="11"/>
        <color theme="1"/>
        <rFont val="Calibri"/>
        <family val="2"/>
        <charset val="1"/>
      </rPr>
      <t xml:space="preserve"> has relative camera error (cam 5)</t>
    </r>
  </si>
  <si>
    <t>Select camera -&gt;</t>
  </si>
  <si>
    <t>Total Daily Rows</t>
  </si>
  <si>
    <r>
      <t xml:space="preserve">AVERAGE CAMERA ERRORS
</t>
    </r>
    <r>
      <rPr>
        <i/>
        <sz val="8"/>
        <color rgb="FFFFFFFF"/>
        <rFont val="Arial"/>
        <family val="2"/>
      </rPr>
      <t>(red if worse than global)</t>
    </r>
  </si>
  <si>
    <r>
      <t>WINS</t>
    </r>
    <r>
      <rPr>
        <sz val="11"/>
        <color rgb="FFFFFFFF"/>
        <rFont val="Arial"/>
        <family val="2"/>
      </rPr>
      <t xml:space="preserve">
</t>
    </r>
    <r>
      <rPr>
        <i/>
        <sz val="8"/>
        <color rgb="FFFFFFFF"/>
        <rFont val="Arial"/>
        <family val="2"/>
      </rPr>
      <t>(error &lt; mean)</t>
    </r>
  </si>
  <si>
    <r>
      <t xml:space="preserve">WIN RATE as Percentage
</t>
    </r>
    <r>
      <rPr>
        <i/>
        <sz val="8"/>
        <color theme="0"/>
        <rFont val="Arial"/>
        <family val="2"/>
      </rPr>
      <t>(% of days error &lt; mean)</t>
    </r>
  </si>
  <si>
    <t>World
Error</t>
  </si>
  <si>
    <t>Image
Error</t>
  </si>
  <si>
    <t>Lifetime Mean
World Error</t>
  </si>
  <si>
    <t>Lifetime Mean
Image Error</t>
  </si>
  <si>
    <t>ERROR VS ALL CAMERA LIFETIME ERROR MEAN</t>
  </si>
  <si>
    <t>All-Time Mean Values</t>
  </si>
  <si>
    <t>FOR CHART</t>
  </si>
  <si>
    <t>DO NOT TOUCH</t>
  </si>
  <si>
    <t>Individual camera visualiations on 'Daily Trends' sheet</t>
  </si>
  <si>
    <t>D</t>
  </si>
  <si>
    <t>E</t>
  </si>
  <si>
    <r>
      <rPr>
        <b/>
        <sz val="8"/>
        <color theme="1"/>
        <rFont val="Arial"/>
        <family val="2"/>
      </rPr>
      <t xml:space="preserve">Figure 8 with the wand facing up </t>
    </r>
    <r>
      <rPr>
        <sz val="8"/>
        <color theme="1"/>
        <rFont val="Arial"/>
        <family val="2"/>
      </rPr>
      <t>- reccommended by the Vicon trainer during system installation</t>
    </r>
  </si>
  <si>
    <t>F</t>
  </si>
  <si>
    <t>G</t>
  </si>
  <si>
    <r>
      <rPr>
        <b/>
        <sz val="8"/>
        <color theme="1"/>
        <rFont val="Arial"/>
        <family val="2"/>
      </rPr>
      <t xml:space="preserve">Wave wand up and down </t>
    </r>
    <r>
      <rPr>
        <sz val="8"/>
        <color theme="1"/>
        <rFont val="Arial"/>
        <family val="2"/>
      </rPr>
      <t>(chopping axe motion, AWIR2 docs)</t>
    </r>
  </si>
  <si>
    <t>Dates auto-populate from data-lists tab (apply to all daily sheets). Data keys &amp; config settings must be manually entered.
Other data will automatically populate by formula and apply conditional formatting.</t>
  </si>
  <si>
    <t>Mean
World Error</t>
  </si>
  <si>
    <t>Lowest
World Error</t>
  </si>
  <si>
    <t>Highest
World Error</t>
  </si>
  <si>
    <t>Mean
Image Error</t>
  </si>
  <si>
    <t>Lowest
Image Error</t>
  </si>
  <si>
    <t>Highest
Image Error</t>
  </si>
  <si>
    <t>Markers in 4x cluters of 3 around volume origin (creating a rough box)</t>
  </si>
  <si>
    <r>
      <rPr>
        <b/>
        <sz val="10"/>
        <color rgb="FF538DD5"/>
        <rFont val="Arial"/>
        <family val="2"/>
      </rPr>
      <t>Select keys &amp; dates from drop-down.</t>
    </r>
    <r>
      <rPr>
        <b/>
        <sz val="10"/>
        <color theme="0"/>
        <rFont val="Arial"/>
        <family val="2"/>
      </rPr>
      <t xml:space="preserve"> Data keys &amp; config settings must be manually entered.
Other data will automatically populate by formula and apply conditional formatting.
Errors document calibration errors, </t>
    </r>
    <r>
      <rPr>
        <b/>
        <u/>
        <sz val="10"/>
        <color theme="0"/>
        <rFont val="Arial"/>
        <family val="2"/>
      </rPr>
      <t>not</t>
    </r>
    <r>
      <rPr>
        <b/>
        <sz val="10"/>
        <color theme="0"/>
        <rFont val="Arial"/>
        <family val="2"/>
      </rPr>
      <t xml:space="preserve"> floor plane errors. When recording ensure error and calibration technique are documented.</t>
    </r>
  </si>
  <si>
    <t>Wand-Wave-A1</t>
  </si>
  <si>
    <t>Wand-Wave-A2</t>
  </si>
  <si>
    <t>Wand-Wave-A3</t>
  </si>
  <si>
    <t>Wand-Wave-B1</t>
  </si>
  <si>
    <t>Wand-Wave-B2</t>
  </si>
  <si>
    <t>Wand-Wave-B3</t>
  </si>
  <si>
    <t>Wand-Wave-D1</t>
  </si>
  <si>
    <t>Wand-Wave-E1</t>
  </si>
  <si>
    <t>Wand-Wave-F1</t>
  </si>
  <si>
    <t>Wand-Wave-D2</t>
  </si>
  <si>
    <t>Wand-Wave-D3</t>
  </si>
  <si>
    <t>Wand-Wave-E2</t>
  </si>
  <si>
    <t>Wand-Wave-E3</t>
  </si>
  <si>
    <t>Wand-Wave-F2</t>
  </si>
  <si>
    <t>Wand-Wave-F3</t>
  </si>
  <si>
    <t>Wand Wave Type</t>
  </si>
  <si>
    <t>The spreadsheet relies on this information don't tinker with it if you aren't prepared to fix it afterwards!
Bolded entries are hardcoded. Other entries are formulas or lookups.</t>
  </si>
  <si>
    <t>Wand-Wave-G1</t>
  </si>
  <si>
    <t>Wand-Wave-G2</t>
  </si>
  <si>
    <t>Wand-Wave-G3</t>
  </si>
  <si>
    <t>Determine the most effective wand waving technique for camera health &amp; tracking improvement</t>
  </si>
  <si>
    <r>
      <rPr>
        <b/>
        <sz val="8"/>
        <color theme="1"/>
        <rFont val="Arial"/>
        <family val="2"/>
      </rPr>
      <t>Spinning the wand extended from body</t>
    </r>
    <r>
      <rPr>
        <sz val="8"/>
        <color theme="1"/>
        <rFont val="Arial"/>
        <family val="2"/>
      </rPr>
      <t xml:space="preserve"> (rotating around center 360deg holding wand in middle but spinning it)</t>
    </r>
  </si>
  <si>
    <r>
      <rPr>
        <b/>
        <sz val="8"/>
        <color theme="1"/>
        <rFont val="Arial"/>
        <family val="2"/>
      </rPr>
      <t>Circling the wand extended from body</t>
    </r>
    <r>
      <rPr>
        <sz val="8"/>
        <color theme="1"/>
        <rFont val="Arial"/>
        <family val="2"/>
      </rPr>
      <t xml:space="preserve"> (hold forward &amp; draw circle, rotating around center 360deg holding handle - full circle vs C semi-circle)</t>
    </r>
  </si>
  <si>
    <r>
      <rPr>
        <b/>
        <sz val="8"/>
        <color theme="1"/>
        <rFont val="Arial"/>
        <family val="2"/>
      </rPr>
      <t>Guidance from active wand v4</t>
    </r>
    <r>
      <rPr>
        <sz val="8"/>
        <color theme="1"/>
        <rFont val="Arial"/>
        <family val="2"/>
      </rPr>
      <t xml:space="preserve"> (away from body, half circles, facing camera, no turning wand keep parallel to yourself, watch for objects)</t>
    </r>
  </si>
  <si>
    <t>didn't-set-volume</t>
  </si>
  <si>
    <r>
      <rPr>
        <b/>
        <sz val="10"/>
        <color theme="1"/>
        <rFont val="Arial"/>
        <family val="2"/>
      </rPr>
      <t xml:space="preserve">Missing XCP File! </t>
    </r>
    <r>
      <rPr>
        <sz val="10"/>
        <color theme="1"/>
        <rFont val="Arial"/>
        <family val="2"/>
      </rPr>
      <t xml:space="preserve">Following 2 wand count errors increased auto stop min frames to 1500 and spread time more equally in volume.
</t>
    </r>
    <r>
      <rPr>
        <b/>
        <sz val="10"/>
        <color theme="1"/>
        <rFont val="Arial"/>
        <family val="2"/>
      </rPr>
      <t>Worsening world and image errors!</t>
    </r>
    <r>
      <rPr>
        <sz val="10"/>
        <color theme="1"/>
        <rFont val="Arial"/>
        <family val="2"/>
      </rPr>
      <t xml:space="preserve"> To repeat on 1-2 tests to confirm</t>
    </r>
  </si>
  <si>
    <r>
      <rPr>
        <b/>
        <sz val="12"/>
        <color rgb="FFFFFFFF"/>
        <rFont val="Arial"/>
        <family val="2"/>
      </rPr>
      <t>How was the calibration attempted?</t>
    </r>
    <r>
      <rPr>
        <sz val="10"/>
        <color rgb="FFFFFFFF"/>
        <rFont val="Arial"/>
        <family val="2"/>
      </rPr>
      <t xml:space="preserve">
Marker placement, wand technique, etc.</t>
    </r>
  </si>
  <si>
    <t>Calibrated out of daily habit and moved on to wand-wave trial resume before setting origin/plane in volume as wasn't needed, then environment was changed and calibrations were stale</t>
  </si>
  <si>
    <t>No swish/figure 8, followed active wand v4 docs which suggested keeping wand away from body due to occlusion, and facing cameras. Waved in mostly large (sometimes small) circles</t>
  </si>
  <si>
    <t>Are Cameras
Relative?</t>
  </si>
  <si>
    <t>Wand Wave Time</t>
  </si>
  <si>
    <t>Wand-Wave-A4</t>
  </si>
  <si>
    <t>Wand-Wave-B4</t>
  </si>
  <si>
    <t>Wand-Wave-C1</t>
  </si>
  <si>
    <t>Wand-Wave-C2</t>
  </si>
  <si>
    <t>Wand-Wave-C3</t>
  </si>
  <si>
    <t>Wand-Wave-C4</t>
  </si>
  <si>
    <t>Wand-Wave-D4</t>
  </si>
  <si>
    <t>Wand-Wave-E4</t>
  </si>
  <si>
    <t>Wand-Wave-F4</t>
  </si>
  <si>
    <t>Wand-Wave-G4</t>
  </si>
  <si>
    <r>
      <rPr>
        <b/>
        <sz val="10"/>
        <color rgb="FF538DD5"/>
        <rFont val="Arial"/>
        <family val="2"/>
      </rPr>
      <t>Select keys &amp; dates from drop-down.</t>
    </r>
    <r>
      <rPr>
        <b/>
        <sz val="10"/>
        <color theme="0"/>
        <rFont val="Arial"/>
        <family val="2"/>
      </rPr>
      <t xml:space="preserve"> Data keys &amp; config settings must be manually entered. Other data will automatically populate by formula.
Conditional formatting ranges must be manually applied per experiment group </t>
    </r>
    <r>
      <rPr>
        <b/>
        <u/>
        <sz val="10"/>
        <color theme="0"/>
        <rFont val="Arial"/>
        <family val="2"/>
      </rPr>
      <t>and colour grading applies per experiment.</t>
    </r>
    <r>
      <rPr>
        <b/>
        <sz val="10"/>
        <color theme="0"/>
        <rFont val="Arial"/>
        <family val="2"/>
      </rPr>
      <t xml:space="preserve">
Ensure error and calibration technique are documented. Leave an empty line to visually separate calibration health conditional formatting.</t>
    </r>
  </si>
  <si>
    <t>Yes</t>
  </si>
  <si>
    <t>Yes*</t>
  </si>
  <si>
    <t>A (Averages)</t>
  </si>
  <si>
    <t>B (Averages)</t>
  </si>
  <si>
    <t>C (Averages)</t>
  </si>
  <si>
    <t>D (Averages)</t>
  </si>
  <si>
    <t>E (Averages)</t>
  </si>
  <si>
    <t>F (Averages)</t>
  </si>
  <si>
    <t>G (Averages)</t>
  </si>
  <si>
    <t>Markers in 4x cluters of 3 closely around volume origin (creating a rough box)</t>
  </si>
  <si>
    <t>Markers in 4x cluters of 3 further spaced from volume origin (creating a rough box)</t>
  </si>
  <si>
    <t>Auto-Stop Setting</t>
  </si>
  <si>
    <t>Frame Count</t>
  </si>
  <si>
    <t>Frame
Count</t>
  </si>
  <si>
    <r>
      <t>Frame Ratio</t>
    </r>
    <r>
      <rPr>
        <b/>
        <sz val="10"/>
        <color rgb="FFFFFFFF"/>
        <rFont val="Arial"/>
        <family val="2"/>
      </rPr>
      <t xml:space="preserve">
</t>
    </r>
    <r>
      <rPr>
        <sz val="10"/>
        <color rgb="FFFFFFFF"/>
        <rFont val="Arial"/>
        <family val="2"/>
      </rPr>
      <t>(% of Auto-Stop)</t>
    </r>
  </si>
  <si>
    <t>See markdown notes</t>
  </si>
  <si>
    <t>same volume
walking strategy out round volume from workstation (walking anticlockwise), walking the exterior before moving inwards and then back outwards to focus on problem/uncalibrated cameras
setting mask before each trial to ensure environment isn't changing due to sunlight
no floor plane or origin setting - purely interested in camera health
manually saving wand wave visual data after calibration &amp; checking 3d perspective for relative calibration</t>
  </si>
  <si>
    <t>Cameras above MWE</t>
  </si>
  <si>
    <t>Cameras above MIE</t>
  </si>
  <si>
    <t>Mean Image Error (MIE)</t>
  </si>
  <si>
    <t>Mean World Error (MWE)</t>
  </si>
  <si>
    <r>
      <t xml:space="preserve">Worst IE
</t>
    </r>
    <r>
      <rPr>
        <sz val="10"/>
        <color rgb="FFFFFFFF"/>
        <rFont val="Arial"/>
        <family val="2"/>
      </rPr>
      <t>(Camera ID)</t>
    </r>
  </si>
  <si>
    <r>
      <t xml:space="preserve">Best IE
</t>
    </r>
    <r>
      <rPr>
        <sz val="10"/>
        <color rgb="FFFFFFFF"/>
        <rFont val="Arial"/>
        <family val="2"/>
      </rPr>
      <t>(Camera ID)</t>
    </r>
  </si>
  <si>
    <r>
      <t xml:space="preserve">Best WE
</t>
    </r>
    <r>
      <rPr>
        <sz val="10"/>
        <color rgb="FFFFFFFF"/>
        <rFont val="Arial"/>
        <family val="2"/>
      </rPr>
      <t>(Camera ID)</t>
    </r>
  </si>
  <si>
    <r>
      <t xml:space="preserve">Worst WE
</t>
    </r>
    <r>
      <rPr>
        <sz val="10"/>
        <color rgb="FFFFFFFF"/>
        <rFont val="Arial"/>
        <family val="2"/>
      </rPr>
      <t>(Camera ID)</t>
    </r>
  </si>
  <si>
    <r>
      <t xml:space="preserve">Most Frames
</t>
    </r>
    <r>
      <rPr>
        <sz val="10"/>
        <color rgb="FFFFFFFF"/>
        <rFont val="Arial"/>
        <family val="2"/>
      </rPr>
      <t>(Camera ID)</t>
    </r>
  </si>
  <si>
    <t>Mean Frame
Count</t>
  </si>
  <si>
    <r>
      <t>Frame Ratio</t>
    </r>
    <r>
      <rPr>
        <b/>
        <sz val="10"/>
        <color rgb="FFFFFFFF"/>
        <rFont val="Arial"/>
        <family val="2"/>
      </rPr>
      <t xml:space="preserve">
</t>
    </r>
    <r>
      <rPr>
        <sz val="10"/>
        <color rgb="FFFFFFFF"/>
        <rFont val="Arial"/>
        <family val="2"/>
      </rPr>
      <t>(Mean / Auto-Stop)</t>
    </r>
  </si>
  <si>
    <t>Highest Frame Count</t>
  </si>
  <si>
    <t>Lowest Frame Count</t>
  </si>
  <si>
    <r>
      <t xml:space="preserve">Least Frames
</t>
    </r>
    <r>
      <rPr>
        <sz val="10"/>
        <color rgb="FFFFFFFF"/>
        <rFont val="Arial"/>
        <family val="2"/>
      </rPr>
      <t>(Camera ID)</t>
    </r>
  </si>
  <si>
    <t>H</t>
  </si>
  <si>
    <t>New technique utilised after wand wave experiment this week - excellent coverage from wand wave frame data, reasonably quick calibration, but harder on the wrist due to extension of the wand</t>
  </si>
  <si>
    <r>
      <t xml:space="preserve">Wand Techniques
</t>
    </r>
    <r>
      <rPr>
        <sz val="8"/>
        <color theme="0"/>
        <rFont val="Arial"/>
        <family val="2"/>
      </rPr>
      <t>(documented by motion capture on 13/08/2026)</t>
    </r>
  </si>
  <si>
    <t>Error could not set origin, re-attempted</t>
  </si>
  <si>
    <t>cannot-set-volume</t>
  </si>
  <si>
    <r>
      <t xml:space="preserve">New technique post wand wave experiment this week - excellent coverage from wand wave frame data, fairly quick calibration, wrist ache (due to wand extension)
</t>
    </r>
    <r>
      <rPr>
        <b/>
        <sz val="10"/>
        <color theme="1"/>
        <rFont val="Arial"/>
        <family val="2"/>
      </rPr>
      <t>Had to repeat due to set origin error - used 3 marker method on origin+floor plane</t>
    </r>
  </si>
  <si>
    <t>Cameras in the INB Robotics/Vicon lab are labelled differently to the Nexus software, I've recorded the differences here. If this ever changes, correct this and keep record for data.</t>
  </si>
  <si>
    <t>Sheet legend to identify the colours and labels used throughout the sheet</t>
  </si>
  <si>
    <t>Rank</t>
  </si>
  <si>
    <t>Frame Ratio</t>
  </si>
  <si>
    <t>(% of Auto-Stop)</t>
  </si>
  <si>
    <t>Daily All Camera Mean</t>
  </si>
  <si>
    <t>ERROR TYPE</t>
  </si>
  <si>
    <t>Average Rank</t>
  </si>
  <si>
    <r>
      <t>Camera by ID</t>
    </r>
    <r>
      <rPr>
        <sz val="10"/>
        <color theme="1"/>
        <rFont val="Calibri"/>
        <family val="2"/>
      </rPr>
      <t xml:space="preserve"> (below)</t>
    </r>
    <r>
      <rPr>
        <b/>
        <sz val="12"/>
        <color theme="1"/>
        <rFont val="Calibri"/>
        <family val="2"/>
      </rPr>
      <t xml:space="preserve"> and Camera Rank</t>
    </r>
    <r>
      <rPr>
        <sz val="10"/>
        <color theme="1"/>
        <rFont val="Calibri"/>
        <family val="2"/>
      </rPr>
      <t xml:space="preserve"> (above)</t>
    </r>
  </si>
  <si>
    <t>rank 6 - camera #5</t>
  </si>
  <si>
    <t>rank 5 - camera #12</t>
  </si>
  <si>
    <t>rank 3 tied - cameras #8, #13, #14</t>
  </si>
  <si>
    <t>rank 8 - camera #11</t>
  </si>
  <si>
    <t>rank 9 - camera #16, #17, #1</t>
  </si>
  <si>
    <t>rank 10 - camera #10</t>
  </si>
  <si>
    <t>Auto-Stop</t>
  </si>
  <si>
    <t>Technique</t>
  </si>
  <si>
    <r>
      <t xml:space="preserve">Parameters
</t>
    </r>
    <r>
      <rPr>
        <i/>
        <sz val="10"/>
        <color theme="0"/>
        <rFont val="Arial"/>
        <family val="2"/>
      </rPr>
      <t>(Recorded from WE sheet)</t>
    </r>
  </si>
  <si>
    <t>Session Median</t>
  </si>
  <si>
    <t>Median</t>
  </si>
  <si>
    <t>Sanity</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</si>
  <si>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 xml:space="preserve">technique D </t>
    </r>
    <r>
      <rPr>
        <sz val="8"/>
        <color theme="1"/>
        <rFont val="Arial"/>
        <family val="2"/>
      </rPr>
      <t>except wider figure 8 and more vertical/horizontal movement, held further away from user body to prevent occlusion.</t>
    </r>
  </si>
  <si>
    <t>I</t>
  </si>
  <si>
    <t>Spread
above
Baselines
below</t>
  </si>
  <si>
    <t>pre-calibrate-1</t>
  </si>
  <si>
    <t>pre-calibrate-2</t>
  </si>
  <si>
    <r>
      <rPr>
        <b/>
        <sz val="12"/>
        <color rgb="FFFFFFFF"/>
        <rFont val="Arial"/>
        <family val="2"/>
      </rPr>
      <t>Key 2</t>
    </r>
    <r>
      <rPr>
        <b/>
        <sz val="10"/>
        <color rgb="FFFFFFFF"/>
        <rFont val="Arial"/>
        <family val="2"/>
      </rPr>
      <t xml:space="preserve">
</t>
    </r>
    <r>
      <rPr>
        <sz val="10"/>
        <color rgb="FFFFFFFF"/>
        <rFont val="Arial"/>
        <family val="2"/>
      </rPr>
      <t>(Precision)</t>
    </r>
  </si>
  <si>
    <t>No set origin. cal1 to cal2 most improvements, broadly the WE improved
#1, #11, #15, #17 all improved - #1/#11 historically bad
#12, #18, #6, #9, #2 all worsened - #12 historically good</t>
  </si>
  <si>
    <t>No set origin. cal2 to cal3, less improvement
#2, #4, #6 all improved
#1, #13, #14, #18 all worsened - #1 reversed, previous biggest improvement</t>
  </si>
  <si>
    <r>
      <t xml:space="preserve">
</t>
    </r>
    <r>
      <rPr>
        <b/>
        <u/>
        <sz val="11"/>
        <color theme="1"/>
        <rFont val="Arial"/>
        <family val="2"/>
      </rPr>
      <t>recalibration attempt</t>
    </r>
    <r>
      <rPr>
        <b/>
        <sz val="11"/>
        <color theme="1"/>
        <rFont val="Arial"/>
        <family val="2"/>
      </rPr>
      <t xml:space="preserve">
3 cameras worsened each time</t>
    </r>
    <r>
      <rPr>
        <sz val="11"/>
        <color theme="1"/>
        <rFont val="Arial"/>
        <family val="2"/>
      </rPr>
      <t xml:space="preserve">
#12/#18/#8
</t>
    </r>
    <r>
      <rPr>
        <b/>
        <sz val="11"/>
        <color theme="1"/>
        <rFont val="Arial"/>
        <family val="2"/>
      </rPr>
      <t>9 improved each time</t>
    </r>
    <r>
      <rPr>
        <sz val="11"/>
        <color theme="1"/>
        <rFont val="Arial"/>
        <family val="2"/>
      </rPr>
      <t xml:space="preserve">
#3-#5, #7, #9/#10 - net improvement</t>
    </r>
  </si>
  <si>
    <t>New technique based on wand wave experiment last week, variation of technique H by 'painting' known volume and working from inside out. Plan to trial refining calibration. 3 marker calibration for origin &amp; plane.</t>
  </si>
  <si>
    <r>
      <t xml:space="preserve">Not attempting recalibration today but did remember to </t>
    </r>
    <r>
      <rPr>
        <b/>
        <sz val="10"/>
        <color theme="1"/>
        <rFont val="Arial"/>
        <family val="2"/>
      </rPr>
      <t xml:space="preserve">reset calibration </t>
    </r>
    <r>
      <rPr>
        <sz val="10"/>
        <color theme="1"/>
        <rFont val="Arial"/>
        <family val="2"/>
      </rPr>
      <t>today</t>
    </r>
  </si>
  <si>
    <r>
      <t xml:space="preserve">Session Ratio Grid (by Median)
</t>
    </r>
    <r>
      <rPr>
        <sz val="8"/>
        <color theme="0"/>
        <rFont val="Arial"/>
        <family val="2"/>
      </rPr>
      <t>Captures whether a particular session or camera was misperforming by dividing image error by the median</t>
    </r>
  </si>
  <si>
    <t>This grid (below) records flat image error (IE) per camera, the grid to the right records (camera IE/session median) and highlights outliers (2.5x spread from median ratio)</t>
  </si>
  <si>
    <r>
      <t xml:space="preserve">reset calibration - technique is hated by north wall cameras, very slow to calibrate. High body occlusion. Could not extend wand as far as wanted due to technique.
</t>
    </r>
    <r>
      <rPr>
        <b/>
        <sz val="10"/>
        <color theme="1"/>
        <rFont val="Arial"/>
        <family val="2"/>
      </rPr>
      <t>Brought new room thermostat - measuring temp at 25.6°C</t>
    </r>
  </si>
  <si>
    <t>20/08-error1</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</si>
  <si>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technique H</t>
    </r>
    <r>
      <rPr>
        <sz val="8"/>
        <color theme="1"/>
        <rFont val="Arial"/>
        <family val="2"/>
      </rPr>
      <t xml:space="preserve"> except attempting to paint space, turning body profile to prevent occlusion, and starting from inside of volume.</t>
    </r>
  </si>
  <si>
    <r>
      <rPr>
        <b/>
        <sz val="10"/>
        <color theme="1"/>
        <rFont val="Arial"/>
        <family val="2"/>
      </rPr>
      <t>remapped volume yesterday (18/08/2026)</t>
    </r>
    <r>
      <rPr>
        <sz val="10"/>
        <color theme="1"/>
        <rFont val="Arial"/>
        <family val="2"/>
      </rPr>
      <t xml:space="preserve"> - used wand to set origin &amp; 3 markers nearby to set plane</t>
    </r>
  </si>
  <si>
    <r>
      <t xml:space="preserve">reset calibration - to set floor plane had to use 9 markers over 3 due to several cameras (behind shelving) not sending rays at them
</t>
    </r>
    <r>
      <rPr>
        <b/>
        <sz val="10"/>
        <color theme="1"/>
        <rFont val="Arial"/>
        <family val="2"/>
      </rPr>
      <t>Brought new room thermostat - measuring temp at 25.6°C</t>
    </r>
  </si>
  <si>
    <r>
      <t xml:space="preserve">Camera 9 (SW corner), 13 (W wall), 15 (S wall) &amp; 16 (S wall) were all missing after having calibration reset. These were all bscured by metal shelving and near edge of volume.
</t>
    </r>
    <r>
      <rPr>
        <b/>
        <sz val="10"/>
        <color theme="1"/>
        <rFont val="Arial"/>
        <family val="2"/>
      </rPr>
      <t>Note no error for several of the cameras</t>
    </r>
  </si>
  <si>
    <t>3 markers to set floor plane - no rays captured from specific cameras (15/16/18 on s wall to se corner), however set accurately</t>
  </si>
  <si>
    <t>Shelving removal test repeat</t>
  </si>
  <si>
    <t>3 markers to set floor plane - no rays captured from specific cameras (18 on SE corner &amp; 7 on NE corner), different to the daily calibration recording</t>
  </si>
  <si>
    <t>Speed Avg. (Slow)</t>
  </si>
  <si>
    <t>Speed Avg. (Fast)</t>
  </si>
  <si>
    <t>speed_cam11_slow_1</t>
  </si>
  <si>
    <t>speed_cam11_slow_2</t>
  </si>
  <si>
    <t>speed_cam11_fast_1</t>
  </si>
  <si>
    <t>speed_cam11_fast_2</t>
  </si>
  <si>
    <t>speed_cam11_slow_3</t>
  </si>
  <si>
    <t>speed_cam11_fast_3</t>
  </si>
  <si>
    <r>
      <t xml:space="preserve">3 markers to set floor plane - no rays captured from specific cameras (15/16/18 on s wall to se corner), however set accurately
</t>
    </r>
    <r>
      <rPr>
        <b/>
        <sz val="10"/>
        <color theme="1"/>
        <rFont val="Arial"/>
        <family val="2"/>
      </rPr>
      <t>Temperature note missing</t>
    </r>
  </si>
  <si>
    <t>no-reset-grayscale-all</t>
  </si>
  <si>
    <r>
      <t xml:space="preserve">Forgot to reset calibration
Left greyscale mode all on from doing reflection/preview capturing
</t>
    </r>
    <r>
      <rPr>
        <b/>
        <sz val="10"/>
        <color theme="1"/>
        <rFont val="Arial"/>
        <family val="2"/>
      </rPr>
      <t>Temperature missing from this and daily entry</t>
    </r>
  </si>
  <si>
    <t>WE/IE ratio shows camera is stable throughout trials - this is a good finding; camera isn't in drift over time it is fixed. Earlier logs show camera #11 as persistent faults (steady, low-variance, consistently above median), but speed trials focused on it look good</t>
  </si>
  <si>
    <t>Determine whether waving the wand faster or slower is better for camera health/calibration</t>
  </si>
  <si>
    <r>
      <t xml:space="preserve">Fast beats slow but not significantly. Using auto-stop so the error difference between fast and slow isn't a frame-count effect, it's wave dynamics from coverage per t, blur/visibility etc
</t>
    </r>
    <r>
      <rPr>
        <b/>
        <sz val="11"/>
        <color theme="1"/>
        <rFont val="Calibri"/>
        <family val="2"/>
      </rPr>
      <t>To repeat 5-6 reps per condition, with defined wand wave methodology</t>
    </r>
  </si>
  <si>
    <t>reflection-trial-2</t>
  </si>
  <si>
    <t>reflection-trial-2
daily baseline</t>
  </si>
  <si>
    <r>
      <rPr>
        <b/>
        <sz val="8"/>
        <color theme="1"/>
        <rFont val="Arial"/>
        <family val="2"/>
      </rPr>
      <t>Waving in figure 8</t>
    </r>
    <r>
      <rPr>
        <sz val="8"/>
        <color theme="1"/>
        <rFont val="Arial"/>
        <family val="2"/>
      </rPr>
      <t>, slowly - as though you're pushing water - pushing downards whilst walking around the room in a square</t>
    </r>
  </si>
  <si>
    <t>DO NOT USE THIS SPREADSHEET, IT IS DEPRECATED AND KEPT ONLY AS REFERENCE FOR FINAL DATA REPRESENTATIONS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</si>
</sst>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
    <numFmt numFmtId="165" formatCode="0.000"/>
    <numFmt numFmtId="166" formatCode="0.0\°\ \(\C\)"/>
    <numFmt numFmtId="167" formatCode="hh:mm:ss;@"/>
    <numFmt numFmtId="168" formatCode="[$-F400]h:mm:ss\ AM/PM"/>
    <numFmt numFmtId="169" formatCode="&quot;#&quot;0"/>
    <numFmt numFmtId="170" formatCode="0&quot;/18&quot;"/>
    <numFmt numFmtId="171" formatCode="0.00000000"/>
  </numFmts>
  <fonts count="75" x14ac:knownFonts="1">
    <font>
      <sz val="11"/>
      <color theme="1"/>
      <name val="Calibri"/>
      <family val="2"/>
      <charset val="1"/>
    </font>
    <font>
      <b/>
      <sz val="14"/>
      <name val="Arial"/>
      <family val="2"/>
    </font>
    <font>
      <sz val="11"/>
      <name val="Arial"/>
      <family val="2"/>
    </font>
    <font>
      <b/>
      <sz val="11"/>
      <name val="Arial"/>
      <family val="2"/>
    </font>
    <font>
      <b/>
      <sz val="11"/>
      <color rgb="FFFFFFFF"/>
      <name val="Arial"/>
      <family val="2"/>
    </font>
    <font>
      <sz val="11"/>
      <name val="Arial"/>
      <family val="2"/>
    </font>
    <font>
      <b/>
      <sz val="11"/>
      <color rgb="FFFFFFFF"/>
      <name val="Arial"/>
      <family val="2"/>
    </font>
    <font>
      <b/>
      <sz val="12"/>
      <color rgb="FFFFFFFF"/>
      <name val="Arial"/>
      <family val="2"/>
    </font>
    <font>
      <b/>
      <sz val="10"/>
      <color rgb="FFFFFFFF"/>
      <name val="Arial"/>
      <family val="2"/>
    </font>
    <font>
      <b/>
      <sz val="11"/>
      <color theme="0"/>
      <name val="Calibri"/>
      <family val="2"/>
    </font>
    <font>
      <b/>
      <sz val="11"/>
      <color theme="1"/>
      <name val="Calibri"/>
      <family val="2"/>
    </font>
    <font>
      <b/>
      <sz val="11"/>
      <color theme="0"/>
      <name val="Arial"/>
      <family val="2"/>
    </font>
    <font>
      <b/>
      <sz val="12"/>
      <color theme="1"/>
      <name val="Calibri"/>
      <family val="2"/>
    </font>
    <font>
      <i/>
      <sz val="10"/>
      <color theme="1"/>
      <name val="Calibri"/>
      <family val="2"/>
    </font>
    <font>
      <i/>
      <sz val="11"/>
      <color theme="1"/>
      <name val="Calibri"/>
      <family val="2"/>
    </font>
    <font>
      <b/>
      <sz val="12"/>
      <name val="Arial"/>
      <family val="2"/>
    </font>
    <font>
      <b/>
      <i/>
      <sz val="11"/>
      <color theme="1"/>
      <name val="Calibri"/>
      <family val="2"/>
    </font>
    <font>
      <sz val="10"/>
      <color rgb="FFFFFFFF"/>
      <name val="Arial"/>
      <family val="2"/>
    </font>
    <font>
      <sz val="9"/>
      <color indexed="81"/>
      <name val="Tahoma"/>
      <family val="2"/>
    </font>
    <font>
      <b/>
      <sz val="9"/>
      <color indexed="81"/>
      <name val="Tahoma"/>
      <family val="2"/>
    </font>
    <font>
      <sz val="11"/>
      <color theme="1"/>
      <name val="Arial"/>
      <family val="2"/>
    </font>
    <font>
      <i/>
      <sz val="10"/>
      <color theme="1"/>
      <name val="Arial"/>
      <family val="2"/>
    </font>
    <font>
      <sz val="10"/>
      <color theme="1"/>
      <name val="Arial"/>
      <family val="2"/>
    </font>
    <font>
      <b/>
      <sz val="11"/>
      <color theme="1"/>
      <name val="Arial"/>
      <family val="2"/>
    </font>
    <font>
      <sz val="11"/>
      <color theme="0"/>
      <name val="Calibri"/>
      <family val="2"/>
      <charset val="1"/>
    </font>
    <font>
      <b/>
      <sz val="10"/>
      <color theme="1"/>
      <name val="Arial"/>
      <family val="2"/>
    </font>
    <font>
      <b/>
      <sz val="10"/>
      <color theme="1"/>
      <name val="Calibri"/>
      <family val="2"/>
    </font>
    <font>
      <b/>
      <sz val="10"/>
      <color theme="0"/>
      <name val="Arial"/>
      <family val="2"/>
    </font>
    <font>
      <sz val="11"/>
      <color theme="1"/>
      <name val="Calibri"/>
      <family val="2"/>
    </font>
    <font>
      <sz val="10"/>
      <color theme="1"/>
      <name val="Calibri"/>
      <family val="2"/>
    </font>
    <font>
      <b/>
      <sz val="11"/>
      <color theme="0"/>
      <name val="Calibri"/>
      <family val="2"/>
      <charset val="1"/>
    </font>
    <font>
      <i/>
      <sz val="11"/>
      <color theme="1"/>
      <name val="Arial"/>
      <family val="2"/>
    </font>
    <font>
      <b/>
      <sz val="11"/>
      <color theme="1"/>
      <name val="Calibri"/>
      <family val="2"/>
      <charset val="1"/>
    </font>
    <font>
      <sz val="11"/>
      <color rgb="FFFF0000"/>
      <name val="Calibri"/>
      <family val="2"/>
      <charset val="1"/>
    </font>
    <font>
      <b/>
      <sz val="12"/>
      <color theme="0"/>
      <name val="Arial"/>
      <family val="2"/>
    </font>
    <font>
      <sz val="11"/>
      <color theme="1" tint="0.249977111117893"/>
      <name val="Calibri"/>
      <family val="2"/>
      <charset val="1"/>
    </font>
    <font>
      <i/>
      <sz val="11"/>
      <name val="Calibri"/>
      <family val="2"/>
    </font>
    <font>
      <sz val="11"/>
      <name val="Calibri"/>
      <family val="2"/>
    </font>
    <font>
      <b/>
      <u/>
      <sz val="11"/>
      <name val="Calibri"/>
      <family val="2"/>
    </font>
    <font>
      <b/>
      <sz val="10"/>
      <color theme="0"/>
      <name val="Calibri"/>
      <family val="2"/>
    </font>
    <font>
      <b/>
      <sz val="24"/>
      <color rgb="FFFF0000"/>
      <name val="Calibri"/>
      <family val="2"/>
    </font>
    <font>
      <sz val="8"/>
      <color rgb="FFFFFFFF"/>
      <name val="Arial"/>
      <family val="2"/>
    </font>
    <font>
      <sz val="11"/>
      <color rgb="FFFFFFFF"/>
      <name val="Arial"/>
      <family val="2"/>
    </font>
    <font>
      <sz val="10"/>
      <name val="Arial"/>
      <family val="2"/>
    </font>
    <font>
      <sz val="10"/>
      <color theme="0"/>
      <name val="Arial"/>
      <family val="2"/>
    </font>
    <font>
      <sz val="8"/>
      <color theme="1"/>
      <name val="Calibri"/>
      <family val="2"/>
      <charset val="1"/>
    </font>
    <font>
      <b/>
      <sz val="12"/>
      <color theme="0"/>
      <name val="Calibri"/>
      <family val="2"/>
    </font>
    <font>
      <sz val="8"/>
      <color theme="1"/>
      <name val="Calibri"/>
      <family val="2"/>
    </font>
    <font>
      <b/>
      <sz val="8"/>
      <color theme="1"/>
      <name val="Calibri"/>
      <family val="2"/>
    </font>
    <font>
      <sz val="8"/>
      <name val="Arial"/>
      <family val="2"/>
    </font>
    <font>
      <sz val="8"/>
      <color theme="0"/>
      <name val="Arial"/>
      <family val="2"/>
    </font>
    <font>
      <b/>
      <sz val="8"/>
      <color theme="0"/>
      <name val="Arial"/>
      <family val="2"/>
    </font>
    <font>
      <u/>
      <sz val="8"/>
      <color theme="0"/>
      <name val="Arial"/>
      <family val="2"/>
    </font>
    <font>
      <sz val="8"/>
      <color theme="1"/>
      <name val="Arial"/>
      <family val="2"/>
    </font>
    <font>
      <b/>
      <sz val="8"/>
      <color theme="1"/>
      <name val="Arial"/>
      <family val="2"/>
    </font>
    <font>
      <sz val="10"/>
      <color theme="0"/>
      <name val="Calibri"/>
      <family val="2"/>
    </font>
    <font>
      <b/>
      <sz val="8"/>
      <color rgb="FFFFFFFF"/>
      <name val="Arial"/>
      <family val="2"/>
    </font>
    <font>
      <b/>
      <sz val="11"/>
      <color rgb="FFFF0000"/>
      <name val="Arial"/>
      <family val="2"/>
    </font>
    <font>
      <b/>
      <sz val="10"/>
      <color rgb="FF538DD5"/>
      <name val="Arial"/>
      <family val="2"/>
    </font>
    <font>
      <b/>
      <u/>
      <sz val="10"/>
      <color theme="0"/>
      <name val="Arial"/>
      <family val="2"/>
    </font>
    <font>
      <i/>
      <sz val="8"/>
      <color rgb="FFFFFFFF"/>
      <name val="Arial"/>
      <family val="2"/>
    </font>
    <font>
      <i/>
      <sz val="8"/>
      <color theme="0"/>
      <name val="Arial"/>
      <family val="2"/>
    </font>
    <font>
      <b/>
      <sz val="12"/>
      <color theme="1"/>
      <name val="Arial"/>
      <family val="2"/>
    </font>
    <font>
      <sz val="12"/>
      <color theme="1"/>
      <name val="Arial"/>
      <family val="2"/>
    </font>
    <font>
      <b/>
      <u/>
      <sz val="8"/>
      <color theme="1"/>
      <name val="Arial"/>
      <family val="2"/>
    </font>
    <font>
      <b/>
      <sz val="8"/>
      <color theme="0"/>
      <name val="Calibri"/>
      <family val="2"/>
    </font>
    <font>
      <b/>
      <u/>
      <sz val="12"/>
      <color theme="0"/>
      <name val="Calibri"/>
      <family val="2"/>
    </font>
    <font>
      <b/>
      <sz val="11"/>
      <name val="Calibri"/>
      <family val="2"/>
    </font>
    <font>
      <i/>
      <sz val="10"/>
      <color theme="0"/>
      <name val="Arial"/>
      <family val="2"/>
    </font>
    <font>
      <sz val="6"/>
      <color theme="0"/>
      <name val="Arial"/>
      <family val="2"/>
    </font>
    <font>
      <b/>
      <u/>
      <sz val="8"/>
      <color theme="0"/>
      <name val="Arial"/>
      <family val="2"/>
    </font>
    <font>
      <sz val="8"/>
      <name val="Calibri"/>
      <family val="2"/>
      <charset val="1"/>
    </font>
    <font>
      <b/>
      <u/>
      <sz val="11"/>
      <color theme="1"/>
      <name val="Arial"/>
      <family val="2"/>
    </font>
    <font>
      <b/>
      <sz val="8"/>
      <name val="Arial"/>
      <family val="2"/>
    </font>
    <font>
      <b/>
      <u/>
      <sz val="18"/>
      <color theme="0"/>
      <name val="Calibri"/>
      <family val="2"/>
    </font>
  </fonts>
  <fills count="48">
    <fill>
      <patternFill patternType="none"/>
    </fill>
    <fill>
      <patternFill patternType="gray125"/>
    </fill>
    <fill>
      <patternFill patternType="solid">
        <fgColor rgb="FF1F4E78"/>
        <bgColor rgb="FF003366"/>
      </patternFill>
    </fill>
    <fill>
      <patternFill patternType="solid">
        <fgColor rgb="FF0A90F4"/>
        <bgColor rgb="FF003366"/>
      </patternFill>
    </fill>
    <fill>
      <patternFill patternType="solid">
        <fgColor rgb="FFFF0000"/>
        <bgColor indexed="64"/>
      </patternFill>
    </fill>
    <fill>
      <patternFill patternType="solid">
        <fgColor theme="9" tint="-0.249977111117893"/>
        <bgColor rgb="FF003366"/>
      </patternFill>
    </fill>
    <fill>
      <patternFill patternType="solid">
        <fgColor rgb="FF8BB8E1"/>
        <bgColor rgb="FF003366"/>
      </patternFill>
    </fill>
    <fill>
      <patternFill patternType="solid">
        <fgColor rgb="FFFF6161"/>
        <bgColor rgb="FF003366"/>
      </patternFill>
    </fill>
    <fill>
      <patternFill patternType="solid">
        <fgColor rgb="FF92D050"/>
        <bgColor rgb="FF003366"/>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rgb="FF003366"/>
      </patternFill>
    </fill>
    <fill>
      <patternFill patternType="solid">
        <fgColor rgb="FF92D050"/>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FF7128"/>
        <bgColor indexed="64"/>
      </patternFill>
    </fill>
    <fill>
      <patternFill patternType="solid">
        <fgColor theme="4" tint="0.59999389629810485"/>
        <bgColor indexed="64"/>
      </patternFill>
    </fill>
    <fill>
      <patternFill patternType="solid">
        <fgColor theme="4" tint="0.39997558519241921"/>
        <bgColor rgb="FF003366"/>
      </patternFill>
    </fill>
    <fill>
      <patternFill patternType="solid">
        <fgColor theme="9" tint="-0.249977111117893"/>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theme="9"/>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3"/>
        <bgColor indexed="64"/>
      </patternFill>
    </fill>
    <fill>
      <patternFill patternType="solid">
        <fgColor theme="6" tint="0.59999389629810485"/>
        <bgColor indexed="64"/>
      </patternFill>
    </fill>
    <fill>
      <patternFill patternType="solid">
        <fgColor rgb="FFFFCCCC"/>
        <bgColor indexed="64"/>
      </patternFill>
    </fill>
    <fill>
      <patternFill patternType="solid">
        <fgColor rgb="FFFF7128"/>
        <bgColor rgb="FF003366"/>
      </patternFill>
    </fill>
    <fill>
      <patternFill patternType="solid">
        <fgColor theme="1" tint="0.249977111117893"/>
        <bgColor indexed="64"/>
      </patternFill>
    </fill>
    <fill>
      <patternFill patternType="solid">
        <fgColor rgb="FF1F4E78"/>
        <bgColor indexed="64"/>
      </patternFill>
    </fill>
    <fill>
      <patternFill patternType="solid">
        <fgColor rgb="FFFFFF00"/>
        <bgColor rgb="FFFFFFFF"/>
      </patternFill>
    </fill>
    <fill>
      <patternFill patternType="solid">
        <fgColor theme="3" tint="0.39997558519241921"/>
        <bgColor indexed="64"/>
      </patternFill>
    </fill>
    <fill>
      <patternFill patternType="solid">
        <fgColor theme="3" tint="0.39997558519241921"/>
        <bgColor rgb="FF003366"/>
      </patternFill>
    </fill>
    <fill>
      <patternFill patternType="solid">
        <fgColor rgb="FF00B050"/>
        <bgColor rgb="FF003366"/>
      </patternFill>
    </fill>
    <fill>
      <patternFill patternType="solid">
        <fgColor theme="1" tint="0.14999847407452621"/>
        <bgColor indexed="64"/>
      </patternFill>
    </fill>
    <fill>
      <patternFill patternType="solid">
        <fgColor rgb="FFFFFFFF"/>
        <bgColor indexed="64"/>
      </patternFill>
    </fill>
    <fill>
      <patternFill patternType="solid">
        <fgColor rgb="FF538DD5"/>
        <bgColor rgb="FF003366"/>
      </patternFill>
    </fill>
    <fill>
      <patternFill patternType="solid">
        <fgColor theme="5" tint="0.79998168889431442"/>
        <bgColor indexed="64"/>
      </patternFill>
    </fill>
    <fill>
      <patternFill patternType="solid">
        <fgColor rgb="FFFFFF00"/>
        <bgColor rgb="FF003366"/>
      </patternFill>
    </fill>
    <fill>
      <patternFill patternType="solid">
        <fgColor rgb="FFF2F2F2"/>
        <bgColor indexed="64"/>
      </patternFill>
    </fill>
    <fill>
      <patternFill patternType="solid">
        <fgColor theme="6" tint="-0.249977111117893"/>
        <bgColor indexed="64"/>
      </patternFill>
    </fill>
    <fill>
      <patternFill patternType="solid">
        <fgColor theme="1"/>
        <bgColor indexed="64"/>
      </patternFill>
    </fill>
    <fill>
      <patternFill patternType="solid">
        <fgColor rgb="FFFDE9D9"/>
        <bgColor indexed="64"/>
      </patternFill>
    </fill>
    <fill>
      <patternFill patternType="solid">
        <fgColor theme="5"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s>
  <cellStyleXfs count="1">
    <xf numFmtId="0" fontId="0" fillId="0" borderId="0"/>
  </cellStyleXfs>
  <cellXfs count="36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3" fontId="2" fillId="0" borderId="0" xfId="0" applyNumberFormat="1" applyFont="1" applyAlignment="1">
      <alignment horizontal="center" vertical="center"/>
    </xf>
    <xf numFmtId="1" fontId="0" fillId="0" borderId="5" xfId="0" applyNumberFormat="1" applyBorder="1" applyAlignment="1">
      <alignment horizontal="center" vertical="center"/>
    </xf>
    <xf numFmtId="1" fontId="0" fillId="0" borderId="4" xfId="0" applyNumberFormat="1" applyBorder="1" applyAlignment="1">
      <alignment horizontal="center" vertical="center"/>
    </xf>
    <xf numFmtId="1" fontId="2" fillId="0" borderId="5" xfId="0" applyNumberFormat="1" applyFont="1" applyBorder="1" applyAlignment="1">
      <alignment horizontal="center" vertical="center"/>
    </xf>
    <xf numFmtId="1" fontId="2" fillId="0" borderId="2" xfId="0" applyNumberFormat="1" applyFont="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0" fontId="0" fillId="9" borderId="0" xfId="0" applyFill="1"/>
    <xf numFmtId="14" fontId="2" fillId="0" borderId="5" xfId="0" applyNumberFormat="1" applyFont="1" applyBorder="1" applyAlignment="1">
      <alignment horizontal="center" vertical="center"/>
    </xf>
    <xf numFmtId="14" fontId="2" fillId="9" borderId="5" xfId="0" applyNumberFormat="1" applyFont="1" applyFill="1" applyBorder="1" applyAlignment="1">
      <alignment horizontal="center" vertical="center"/>
    </xf>
    <xf numFmtId="14" fontId="5" fillId="9" borderId="5" xfId="0" applyNumberFormat="1" applyFont="1" applyFill="1" applyBorder="1" applyAlignment="1">
      <alignment horizontal="center" vertical="center"/>
    </xf>
    <xf numFmtId="14" fontId="2" fillId="9" borderId="2" xfId="0" applyNumberFormat="1" applyFont="1" applyFill="1" applyBorder="1" applyAlignment="1">
      <alignment horizontal="center" vertical="center"/>
    </xf>
    <xf numFmtId="164" fontId="5" fillId="0" borderId="0" xfId="0" applyNumberFormat="1" applyFont="1" applyAlignment="1">
      <alignment horizontal="center" vertical="center"/>
    </xf>
    <xf numFmtId="0" fontId="4" fillId="2" borderId="1" xfId="0" applyFont="1" applyFill="1" applyBorder="1" applyAlignment="1">
      <alignment horizontal="center" vertical="center"/>
    </xf>
    <xf numFmtId="165" fontId="2" fillId="0" borderId="5" xfId="0" applyNumberFormat="1" applyFont="1" applyBorder="1" applyAlignment="1">
      <alignment horizontal="center" vertical="center"/>
    </xf>
    <xf numFmtId="165" fontId="2" fillId="0" borderId="9"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10" xfId="0" applyNumberFormat="1" applyFont="1" applyBorder="1" applyAlignment="1">
      <alignment horizontal="center" vertical="center"/>
    </xf>
    <xf numFmtId="0" fontId="0" fillId="9" borderId="0" xfId="0" applyFill="1" applyAlignment="1">
      <alignment horizontal="center" vertical="center"/>
    </xf>
    <xf numFmtId="0" fontId="0" fillId="9" borderId="0" xfId="0" applyFill="1" applyAlignment="1">
      <alignment horizontal="left" vertical="center"/>
    </xf>
    <xf numFmtId="0" fontId="12" fillId="11" borderId="1" xfId="0" applyFont="1" applyFill="1" applyBorder="1" applyAlignment="1">
      <alignment horizontal="center" vertical="center" wrapText="1"/>
    </xf>
    <xf numFmtId="0" fontId="12"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0" fillId="11" borderId="1" xfId="0" applyFill="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0" fillId="0" borderId="0" xfId="0" applyAlignment="1">
      <alignment wrapText="1"/>
    </xf>
    <xf numFmtId="0" fontId="4" fillId="8" borderId="1" xfId="0" applyFont="1" applyFill="1" applyBorder="1" applyAlignment="1">
      <alignment horizontal="center" vertical="center" wrapText="1"/>
    </xf>
    <xf numFmtId="0" fontId="14" fillId="0" borderId="0" xfId="0" applyFont="1"/>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0" fontId="4" fillId="7" borderId="14" xfId="0" applyFont="1" applyFill="1" applyBorder="1" applyAlignment="1">
      <alignment horizontal="center" vertical="center" wrapText="1"/>
    </xf>
    <xf numFmtId="14" fontId="20" fillId="0" borderId="0" xfId="0" applyNumberFormat="1" applyFont="1" applyAlignment="1">
      <alignment horizontal="center" vertical="center"/>
    </xf>
    <xf numFmtId="0" fontId="20" fillId="0" borderId="0" xfId="0" applyFont="1" applyAlignment="1">
      <alignment horizontal="center" vertical="center"/>
    </xf>
    <xf numFmtId="166" fontId="20" fillId="0" borderId="0" xfId="0" applyNumberFormat="1" applyFont="1" applyAlignment="1">
      <alignment horizontal="center" vertical="center"/>
    </xf>
    <xf numFmtId="0" fontId="20" fillId="0" borderId="0" xfId="0" applyFont="1"/>
    <xf numFmtId="0" fontId="20" fillId="0" borderId="0" xfId="0" applyFont="1" applyAlignment="1">
      <alignment horizontal="center" vertical="center" wrapText="1"/>
    </xf>
    <xf numFmtId="167" fontId="20" fillId="0" borderId="0" xfId="0" applyNumberFormat="1" applyFont="1" applyAlignment="1">
      <alignment horizontal="center" vertical="center"/>
    </xf>
    <xf numFmtId="1" fontId="20" fillId="0" borderId="0" xfId="0" applyNumberFormat="1" applyFont="1" applyAlignment="1">
      <alignment horizontal="center" vertical="center"/>
    </xf>
    <xf numFmtId="10" fontId="20" fillId="0" borderId="0" xfId="0" applyNumberFormat="1" applyFont="1" applyAlignment="1">
      <alignment horizontal="center" vertical="center"/>
    </xf>
    <xf numFmtId="0" fontId="23" fillId="0" borderId="0" xfId="0" applyFont="1" applyAlignment="1">
      <alignment horizontal="center" vertical="center" wrapText="1"/>
    </xf>
    <xf numFmtId="0" fontId="25" fillId="19" borderId="1" xfId="0" applyFont="1" applyFill="1" applyBorder="1" applyAlignment="1">
      <alignment horizontal="center" vertical="center" wrapText="1"/>
    </xf>
    <xf numFmtId="0" fontId="26" fillId="18" borderId="1" xfId="0" applyFont="1" applyFill="1" applyBorder="1" applyAlignment="1">
      <alignment horizontal="center" vertical="center" wrapText="1"/>
    </xf>
    <xf numFmtId="0" fontId="10" fillId="0" borderId="0" xfId="0" applyFont="1"/>
    <xf numFmtId="0" fontId="24" fillId="0" borderId="0" xfId="0" applyFont="1"/>
    <xf numFmtId="0" fontId="28" fillId="0" borderId="0" xfId="0" applyFont="1"/>
    <xf numFmtId="0" fontId="30" fillId="0" borderId="0" xfId="0" applyFont="1"/>
    <xf numFmtId="0" fontId="30" fillId="0" borderId="0" xfId="0" applyFont="1" applyAlignment="1">
      <alignment horizontal="center" vertical="center" wrapText="1"/>
    </xf>
    <xf numFmtId="0" fontId="24" fillId="0" borderId="0" xfId="0" applyFont="1" applyAlignment="1">
      <alignment horizontal="center" vertical="center"/>
    </xf>
    <xf numFmtId="0" fontId="26" fillId="14" borderId="1" xfId="0" applyFont="1" applyFill="1" applyBorder="1" applyAlignment="1">
      <alignment horizontal="center" vertical="center" wrapText="1"/>
    </xf>
    <xf numFmtId="0" fontId="30" fillId="20" borderId="0" xfId="0" applyFont="1" applyFill="1" applyAlignment="1">
      <alignment horizontal="center" vertical="center" wrapText="1"/>
    </xf>
    <xf numFmtId="0" fontId="9" fillId="20" borderId="0" xfId="0" applyFont="1" applyFill="1" applyAlignment="1">
      <alignment horizontal="center" vertical="center" wrapText="1"/>
    </xf>
    <xf numFmtId="0" fontId="9" fillId="21" borderId="11" xfId="0" applyFont="1" applyFill="1" applyBorder="1" applyAlignment="1">
      <alignment horizontal="left" indent="1"/>
    </xf>
    <xf numFmtId="0" fontId="24" fillId="20" borderId="1" xfId="0" applyFont="1" applyFill="1" applyBorder="1" applyAlignment="1">
      <alignment horizontal="center" vertical="center"/>
    </xf>
    <xf numFmtId="0" fontId="24" fillId="14" borderId="1" xfId="0" applyFont="1" applyFill="1" applyBorder="1" applyAlignment="1">
      <alignment horizontal="center" vertical="center"/>
    </xf>
    <xf numFmtId="14" fontId="31" fillId="12" borderId="16" xfId="0" applyNumberFormat="1" applyFont="1" applyFill="1" applyBorder="1" applyAlignment="1">
      <alignment horizontal="left" vertical="center" indent="1"/>
    </xf>
    <xf numFmtId="0" fontId="24" fillId="12" borderId="16" xfId="0" applyFont="1" applyFill="1" applyBorder="1" applyAlignment="1">
      <alignment horizontal="left" indent="1"/>
    </xf>
    <xf numFmtId="0" fontId="24" fillId="12" borderId="16" xfId="0" applyFont="1" applyFill="1" applyBorder="1" applyAlignment="1">
      <alignment horizontal="left" vertical="center" indent="1"/>
    </xf>
    <xf numFmtId="0" fontId="30" fillId="22" borderId="10" xfId="0" applyFont="1" applyFill="1" applyBorder="1" applyAlignment="1">
      <alignment horizontal="center" vertical="center" wrapText="1"/>
    </xf>
    <xf numFmtId="0" fontId="10" fillId="0" borderId="0" xfId="0" applyFont="1" applyAlignment="1">
      <alignment horizontal="left" indent="1"/>
    </xf>
    <xf numFmtId="0" fontId="32" fillId="0" borderId="0" xfId="0" applyFont="1" applyAlignment="1">
      <alignment horizontal="center" vertical="center" wrapText="1"/>
    </xf>
    <xf numFmtId="0" fontId="28" fillId="0" borderId="0" xfId="0" applyFont="1" applyAlignment="1">
      <alignment horizontal="center" vertical="center" wrapText="1"/>
    </xf>
    <xf numFmtId="0" fontId="26" fillId="24" borderId="10" xfId="0" applyFont="1" applyFill="1" applyBorder="1" applyAlignment="1">
      <alignment horizontal="center" vertical="center" wrapText="1"/>
    </xf>
    <xf numFmtId="0" fontId="10" fillId="24" borderId="10" xfId="0" applyFont="1" applyFill="1" applyBorder="1" applyAlignment="1">
      <alignment horizontal="center" vertical="center" wrapText="1"/>
    </xf>
    <xf numFmtId="0" fontId="28" fillId="4" borderId="1" xfId="0" applyFont="1" applyFill="1" applyBorder="1" applyAlignment="1">
      <alignment horizontal="left" indent="1"/>
    </xf>
    <xf numFmtId="0" fontId="28" fillId="23" borderId="1" xfId="0" applyFont="1" applyFill="1" applyBorder="1"/>
    <xf numFmtId="0" fontId="28" fillId="0" borderId="1" xfId="0" applyFont="1" applyBorder="1"/>
    <xf numFmtId="0" fontId="33" fillId="0" borderId="0" xfId="0" applyFont="1" applyAlignment="1">
      <alignment horizontal="center" vertical="center"/>
    </xf>
    <xf numFmtId="0" fontId="23" fillId="0" borderId="0" xfId="0" applyFont="1" applyAlignment="1">
      <alignment horizontal="center" vertical="center"/>
    </xf>
    <xf numFmtId="0" fontId="23" fillId="27" borderId="1" xfId="0" applyFont="1" applyFill="1" applyBorder="1" applyAlignment="1">
      <alignment horizontal="center" vertical="center"/>
    </xf>
    <xf numFmtId="0" fontId="11" fillId="2" borderId="1" xfId="0" applyFont="1" applyFill="1" applyBorder="1" applyAlignment="1">
      <alignment horizontal="center" vertical="center" wrapText="1"/>
    </xf>
    <xf numFmtId="14" fontId="31" fillId="12" borderId="16" xfId="0" applyNumberFormat="1" applyFont="1" applyFill="1" applyBorder="1" applyAlignment="1">
      <alignment horizontal="center" vertical="center"/>
    </xf>
    <xf numFmtId="14" fontId="20" fillId="0" borderId="0" xfId="0" applyNumberFormat="1" applyFont="1" applyAlignment="1">
      <alignment horizontal="center"/>
    </xf>
    <xf numFmtId="14" fontId="20" fillId="0" borderId="15" xfId="0" applyNumberFormat="1" applyFont="1" applyBorder="1" applyAlignment="1">
      <alignment horizontal="center" vertical="center"/>
    </xf>
    <xf numFmtId="0" fontId="35" fillId="0" borderId="0" xfId="0" applyFont="1"/>
    <xf numFmtId="0" fontId="37" fillId="0" borderId="0" xfId="0" applyFont="1" applyAlignment="1">
      <alignment horizontal="center" vertical="center"/>
    </xf>
    <xf numFmtId="0" fontId="36" fillId="0" borderId="0" xfId="0" applyFont="1" applyAlignment="1">
      <alignment vertical="center"/>
    </xf>
    <xf numFmtId="0" fontId="38" fillId="12" borderId="1" xfId="0" applyFont="1" applyFill="1" applyBorder="1" applyAlignment="1">
      <alignment horizontal="center" vertical="center"/>
    </xf>
    <xf numFmtId="9" fontId="32" fillId="0" borderId="1" xfId="0" applyNumberFormat="1" applyFont="1" applyBorder="1" applyAlignment="1">
      <alignment horizontal="center" vertical="center" wrapText="1"/>
    </xf>
    <xf numFmtId="0" fontId="0" fillId="0" borderId="0" xfId="0" applyAlignment="1">
      <alignment horizontal="center"/>
    </xf>
    <xf numFmtId="0" fontId="40" fillId="0" borderId="0" xfId="0" applyFont="1"/>
    <xf numFmtId="0" fontId="0" fillId="0" borderId="0" xfId="0" applyAlignment="1">
      <alignment vertical="center"/>
    </xf>
    <xf numFmtId="14" fontId="0" fillId="0" borderId="0" xfId="0" applyNumberFormat="1" applyAlignment="1">
      <alignment horizontal="center" vertical="center"/>
    </xf>
    <xf numFmtId="0" fontId="22" fillId="0" borderId="5" xfId="0" applyFont="1" applyBorder="1" applyAlignment="1">
      <alignment horizontal="center" vertical="center"/>
    </xf>
    <xf numFmtId="0" fontId="22" fillId="0" borderId="9" xfId="0" applyFont="1" applyBorder="1" applyAlignment="1">
      <alignment horizontal="center" vertical="center"/>
    </xf>
    <xf numFmtId="0" fontId="22" fillId="0" borderId="4" xfId="0" applyFont="1" applyBorder="1" applyAlignment="1">
      <alignment horizontal="center" vertical="center"/>
    </xf>
    <xf numFmtId="1" fontId="43" fillId="0" borderId="0" xfId="0" applyNumberFormat="1" applyFont="1" applyAlignment="1">
      <alignment horizontal="center" vertical="center"/>
    </xf>
    <xf numFmtId="14" fontId="43" fillId="0" borderId="0" xfId="0" applyNumberFormat="1" applyFont="1" applyAlignment="1">
      <alignment horizontal="center" vertical="center"/>
    </xf>
    <xf numFmtId="0" fontId="43" fillId="0" borderId="9" xfId="0" applyFont="1" applyBorder="1" applyAlignment="1">
      <alignment horizontal="center" vertical="center"/>
    </xf>
    <xf numFmtId="164" fontId="43" fillId="0" borderId="5" xfId="0" applyNumberFormat="1" applyFont="1" applyBorder="1" applyAlignment="1">
      <alignment horizontal="center" vertical="center"/>
    </xf>
    <xf numFmtId="164" fontId="43" fillId="0" borderId="4" xfId="0" applyNumberFormat="1" applyFont="1" applyBorder="1" applyAlignment="1">
      <alignment horizontal="center" vertical="center"/>
    </xf>
    <xf numFmtId="1" fontId="22" fillId="0" borderId="0" xfId="0" applyNumberFormat="1" applyFont="1" applyAlignment="1">
      <alignment horizontal="center" vertical="center"/>
    </xf>
    <xf numFmtId="14" fontId="34" fillId="33" borderId="6" xfId="0" applyNumberFormat="1" applyFont="1" applyFill="1" applyBorder="1" applyAlignment="1">
      <alignment horizontal="center" vertical="center" wrapText="1"/>
    </xf>
    <xf numFmtId="0" fontId="7" fillId="33" borderId="1" xfId="0" applyFont="1" applyFill="1" applyBorder="1" applyAlignment="1">
      <alignment horizontal="center" vertical="center" wrapText="1"/>
    </xf>
    <xf numFmtId="0" fontId="8" fillId="33" borderId="1" xfId="0" applyFont="1" applyFill="1" applyBorder="1" applyAlignment="1">
      <alignment horizontal="center" vertical="center" wrapText="1"/>
    </xf>
    <xf numFmtId="0" fontId="47" fillId="30" borderId="1" xfId="0" applyFont="1" applyFill="1" applyBorder="1" applyAlignment="1">
      <alignment horizontal="left" vertical="center" indent="1"/>
    </xf>
    <xf numFmtId="1" fontId="2" fillId="12" borderId="0" xfId="0" applyNumberFormat="1" applyFont="1" applyFill="1" applyAlignment="1">
      <alignment horizontal="center" vertical="center"/>
    </xf>
    <xf numFmtId="0" fontId="34" fillId="17" borderId="1" xfId="0" applyFont="1" applyFill="1" applyBorder="1" applyAlignment="1">
      <alignment horizontal="center" vertical="center"/>
    </xf>
    <xf numFmtId="0" fontId="49" fillId="0" borderId="0" xfId="0" applyFont="1" applyAlignment="1">
      <alignment horizontal="center" vertical="center"/>
    </xf>
    <xf numFmtId="0" fontId="53" fillId="0" borderId="0" xfId="0" applyFont="1" applyAlignment="1">
      <alignment horizontal="center" vertical="center"/>
    </xf>
    <xf numFmtId="1" fontId="2" fillId="9" borderId="0" xfId="0" applyNumberFormat="1" applyFont="1" applyFill="1" applyAlignment="1">
      <alignment horizontal="center" vertical="center"/>
    </xf>
    <xf numFmtId="164" fontId="0" fillId="0" borderId="0" xfId="0" applyNumberFormat="1" applyAlignment="1">
      <alignment horizontal="center"/>
    </xf>
    <xf numFmtId="0" fontId="0" fillId="0" borderId="16" xfId="0" applyBorder="1"/>
    <xf numFmtId="0" fontId="0" fillId="15" borderId="14" xfId="0" applyFill="1" applyBorder="1" applyAlignment="1">
      <alignment horizontal="center" vertical="center"/>
    </xf>
    <xf numFmtId="0" fontId="24" fillId="16" borderId="14" xfId="0" applyFont="1" applyFill="1" applyBorder="1" applyAlignment="1">
      <alignment horizontal="center" vertical="center"/>
    </xf>
    <xf numFmtId="10" fontId="10" fillId="17" borderId="14" xfId="0" applyNumberFormat="1" applyFont="1" applyFill="1" applyBorder="1" applyAlignment="1">
      <alignment horizontal="center" vertical="center"/>
    </xf>
    <xf numFmtId="10" fontId="2" fillId="0" borderId="0" xfId="0" applyNumberFormat="1" applyFont="1" applyAlignment="1">
      <alignment horizontal="center" vertical="center" wrapText="1"/>
    </xf>
    <xf numFmtId="0" fontId="56" fillId="33" borderId="6" xfId="0" applyFont="1" applyFill="1" applyBorder="1" applyAlignment="1">
      <alignment horizontal="center" vertical="center" wrapText="1"/>
    </xf>
    <xf numFmtId="0" fontId="20" fillId="0" borderId="16" xfId="0" applyFont="1" applyBorder="1" applyAlignment="1">
      <alignment horizontal="center" vertical="center"/>
    </xf>
    <xf numFmtId="0" fontId="20" fillId="0" borderId="0" xfId="0" applyFont="1" applyAlignment="1">
      <alignment horizontal="left" vertical="center" indent="1"/>
    </xf>
    <xf numFmtId="1" fontId="7" fillId="35" borderId="6" xfId="0" applyNumberFormat="1" applyFont="1" applyFill="1" applyBorder="1" applyAlignment="1">
      <alignment horizontal="center" vertical="center" wrapText="1"/>
    </xf>
    <xf numFmtId="14" fontId="11" fillId="26" borderId="6" xfId="0" applyNumberFormat="1" applyFont="1" applyFill="1" applyBorder="1" applyAlignment="1">
      <alignment horizontal="right" indent="1"/>
    </xf>
    <xf numFmtId="164" fontId="24" fillId="0" borderId="0" xfId="0" applyNumberFormat="1" applyFont="1" applyAlignment="1">
      <alignment horizontal="center"/>
    </xf>
    <xf numFmtId="14" fontId="34" fillId="17" borderId="1" xfId="0" applyNumberFormat="1" applyFont="1" applyFill="1" applyBorder="1" applyAlignment="1">
      <alignment horizontal="center" vertical="center"/>
    </xf>
    <xf numFmtId="0" fontId="3" fillId="0" borderId="0" xfId="0" applyFont="1" applyAlignment="1">
      <alignment horizontal="center" vertical="center"/>
    </xf>
    <xf numFmtId="14" fontId="2" fillId="39" borderId="0" xfId="0" applyNumberFormat="1" applyFont="1" applyFill="1" applyAlignment="1">
      <alignment horizontal="center" vertical="center"/>
    </xf>
    <xf numFmtId="2" fontId="0" fillId="0" borderId="0" xfId="0" applyNumberFormat="1"/>
    <xf numFmtId="10" fontId="0" fillId="0" borderId="10" xfId="0" applyNumberFormat="1" applyBorder="1" applyAlignment="1">
      <alignment horizontal="center" vertical="center"/>
    </xf>
    <xf numFmtId="165" fontId="0" fillId="41" borderId="14" xfId="0" applyNumberFormat="1" applyFill="1" applyBorder="1" applyAlignment="1">
      <alignment horizontal="center" vertical="center"/>
    </xf>
    <xf numFmtId="10" fontId="0" fillId="0" borderId="1" xfId="0" applyNumberFormat="1" applyBorder="1" applyAlignment="1">
      <alignment horizontal="center" vertical="center"/>
    </xf>
    <xf numFmtId="1" fontId="2" fillId="0" borderId="1" xfId="0" applyNumberFormat="1" applyFont="1" applyBorder="1" applyAlignment="1">
      <alignment horizontal="center" vertical="center"/>
    </xf>
    <xf numFmtId="1" fontId="2" fillId="0" borderId="10" xfId="0" applyNumberFormat="1" applyFont="1" applyBorder="1" applyAlignment="1">
      <alignment horizontal="center" vertical="center"/>
    </xf>
    <xf numFmtId="0" fontId="17" fillId="31" borderId="14" xfId="0" applyFont="1" applyFill="1" applyBorder="1" applyAlignment="1">
      <alignment horizontal="center" vertical="center" wrapText="1"/>
    </xf>
    <xf numFmtId="0" fontId="17" fillId="31" borderId="11" xfId="0" applyFont="1" applyFill="1" applyBorder="1" applyAlignment="1">
      <alignment horizontal="center" vertical="center" wrapText="1"/>
    </xf>
    <xf numFmtId="10" fontId="0" fillId="0" borderId="1" xfId="0" applyNumberFormat="1" applyBorder="1" applyAlignment="1">
      <alignment horizontal="center"/>
    </xf>
    <xf numFmtId="0" fontId="4" fillId="0" borderId="0" xfId="0" applyFont="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10" fontId="10" fillId="0" borderId="0" xfId="0" applyNumberFormat="1" applyFont="1" applyAlignment="1">
      <alignment horizontal="center" vertical="center"/>
    </xf>
    <xf numFmtId="0" fontId="39"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xf>
    <xf numFmtId="10" fontId="4" fillId="0" borderId="0" xfId="0" applyNumberFormat="1" applyFont="1" applyAlignment="1">
      <alignment horizontal="center" vertical="center" wrapText="1"/>
    </xf>
    <xf numFmtId="164" fontId="7" fillId="0" borderId="0" xfId="0" applyNumberFormat="1" applyFont="1" applyAlignment="1">
      <alignment horizontal="center" vertical="center"/>
    </xf>
    <xf numFmtId="0" fontId="0" fillId="0" borderId="0" xfId="0" applyAlignment="1">
      <alignment horizontal="left" vertical="center" indent="1"/>
    </xf>
    <xf numFmtId="0" fontId="47" fillId="0" borderId="0" xfId="0" applyFont="1" applyAlignment="1">
      <alignment horizontal="left" vertical="center" indent="1"/>
    </xf>
    <xf numFmtId="0" fontId="22" fillId="0" borderId="0" xfId="0" applyFont="1" applyAlignment="1">
      <alignment horizontal="left" vertical="center" wrapText="1" indent="1"/>
    </xf>
    <xf numFmtId="0" fontId="25" fillId="0" borderId="0" xfId="0" applyFont="1" applyAlignment="1">
      <alignment horizontal="left" vertical="center" wrapText="1" indent="1"/>
    </xf>
    <xf numFmtId="164" fontId="22" fillId="0" borderId="0" xfId="0" applyNumberFormat="1" applyFont="1" applyAlignment="1">
      <alignment horizontal="left" vertical="center" wrapText="1" indent="1"/>
    </xf>
    <xf numFmtId="14" fontId="22" fillId="0" borderId="0" xfId="0" applyNumberFormat="1" applyFont="1" applyAlignment="1">
      <alignment horizontal="left" vertical="center" wrapText="1" indent="1"/>
    </xf>
    <xf numFmtId="0" fontId="0" fillId="0" borderId="0" xfId="0" applyAlignment="1">
      <alignment horizontal="left" vertical="center" wrapText="1" indent="1"/>
    </xf>
    <xf numFmtId="0" fontId="0" fillId="17" borderId="6" xfId="0" applyFill="1" applyBorder="1" applyAlignment="1">
      <alignment horizontal="center" vertical="center"/>
    </xf>
    <xf numFmtId="1" fontId="7" fillId="17" borderId="1" xfId="0" applyNumberFormat="1" applyFont="1" applyFill="1" applyBorder="1" applyAlignment="1">
      <alignment horizontal="center" vertical="center" wrapText="1"/>
    </xf>
    <xf numFmtId="1" fontId="7" fillId="17" borderId="14" xfId="0" applyNumberFormat="1" applyFont="1" applyFill="1" applyBorder="1" applyAlignment="1">
      <alignment horizontal="center" vertical="center" wrapText="1"/>
    </xf>
    <xf numFmtId="0" fontId="7"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0" fontId="4" fillId="1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33" borderId="1" xfId="0" applyFont="1" applyFill="1" applyBorder="1" applyAlignment="1">
      <alignment horizontal="center" vertical="center" wrapText="1"/>
    </xf>
    <xf numFmtId="1" fontId="7" fillId="35" borderId="11" xfId="0" applyNumberFormat="1" applyFont="1" applyFill="1" applyBorder="1" applyAlignment="1">
      <alignment horizontal="center" vertical="center" wrapText="1"/>
    </xf>
    <xf numFmtId="0" fontId="7" fillId="35" borderId="11" xfId="0" applyFont="1" applyFill="1" applyBorder="1" applyAlignment="1">
      <alignment horizontal="center" vertical="center" wrapText="1"/>
    </xf>
    <xf numFmtId="0" fontId="4" fillId="40"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22" fillId="0" borderId="0" xfId="0" applyFont="1" applyAlignment="1">
      <alignment horizontal="left" vertical="center" indent="1"/>
    </xf>
    <xf numFmtId="49" fontId="62" fillId="42" borderId="1" xfId="0" applyNumberFormat="1" applyFont="1" applyFill="1" applyBorder="1" applyAlignment="1">
      <alignment horizontal="center" vertical="center" wrapText="1"/>
    </xf>
    <xf numFmtId="49" fontId="63" fillId="0" borderId="0" xfId="0" applyNumberFormat="1" applyFont="1" applyAlignment="1">
      <alignment horizontal="center" vertical="center" wrapText="1"/>
    </xf>
    <xf numFmtId="0" fontId="62" fillId="0" borderId="0" xfId="0" applyFont="1" applyAlignment="1">
      <alignment horizontal="center" vertical="center" wrapText="1"/>
    </xf>
    <xf numFmtId="49" fontId="62" fillId="0" borderId="0" xfId="0" applyNumberFormat="1" applyFont="1" applyAlignment="1">
      <alignment horizontal="center" vertical="center" wrapText="1"/>
    </xf>
    <xf numFmtId="168" fontId="62" fillId="42" borderId="1" xfId="0" applyNumberFormat="1" applyFont="1" applyFill="1" applyBorder="1" applyAlignment="1">
      <alignment horizontal="center" vertical="center" wrapText="1"/>
    </xf>
    <xf numFmtId="168" fontId="62" fillId="0" borderId="0" xfId="0" applyNumberFormat="1" applyFont="1" applyAlignment="1">
      <alignment horizontal="left" vertical="center" wrapText="1" indent="1"/>
    </xf>
    <xf numFmtId="20" fontId="62" fillId="0" borderId="0" xfId="0" applyNumberFormat="1" applyFont="1" applyAlignment="1">
      <alignment horizontal="center" vertical="center" wrapText="1"/>
    </xf>
    <xf numFmtId="166" fontId="3" fillId="0" borderId="0" xfId="0" applyNumberFormat="1" applyFont="1" applyAlignment="1">
      <alignment horizontal="center" vertical="center"/>
    </xf>
    <xf numFmtId="0" fontId="53" fillId="0" borderId="0" xfId="0" applyFont="1" applyAlignment="1">
      <alignment horizontal="left" vertical="center" wrapText="1" indent="1"/>
    </xf>
    <xf numFmtId="0" fontId="9" fillId="38" borderId="0" xfId="0" applyFont="1" applyFill="1" applyAlignment="1">
      <alignment horizontal="center" vertical="center" wrapText="1"/>
    </xf>
    <xf numFmtId="0" fontId="20" fillId="0" borderId="0" xfId="0" applyFont="1" applyAlignment="1">
      <alignment horizontal="left" vertical="center"/>
    </xf>
    <xf numFmtId="0" fontId="7" fillId="31" borderId="14" xfId="0" applyFont="1" applyFill="1" applyBorder="1" applyAlignment="1">
      <alignment horizontal="center" vertical="center" wrapText="1"/>
    </xf>
    <xf numFmtId="166" fontId="7" fillId="2" borderId="14" xfId="0" applyNumberFormat="1" applyFont="1" applyFill="1" applyBorder="1" applyAlignment="1">
      <alignment horizontal="center" vertical="center" wrapText="1"/>
    </xf>
    <xf numFmtId="0" fontId="34" fillId="33" borderId="14" xfId="0" applyFont="1" applyFill="1" applyBorder="1" applyAlignment="1">
      <alignment horizontal="center" vertical="center" wrapText="1"/>
    </xf>
    <xf numFmtId="1" fontId="7" fillId="2" borderId="14" xfId="0" applyNumberFormat="1" applyFont="1" applyFill="1" applyBorder="1" applyAlignment="1">
      <alignment horizontal="center" vertical="center" wrapText="1"/>
    </xf>
    <xf numFmtId="10" fontId="7" fillId="31" borderId="14"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 fontId="7" fillId="31" borderId="14" xfId="0" applyNumberFormat="1" applyFont="1" applyFill="1" applyBorder="1" applyAlignment="1">
      <alignment horizontal="center" vertical="center" wrapText="1"/>
    </xf>
    <xf numFmtId="1" fontId="7" fillId="33" borderId="8" xfId="0" applyNumberFormat="1" applyFont="1" applyFill="1" applyBorder="1" applyAlignment="1">
      <alignment horizontal="center" vertical="center" wrapText="1"/>
    </xf>
    <xf numFmtId="0" fontId="0" fillId="33" borderId="6" xfId="0" applyFill="1" applyBorder="1" applyAlignment="1">
      <alignment horizontal="left" vertical="center" indent="1"/>
    </xf>
    <xf numFmtId="0" fontId="0" fillId="35" borderId="6" xfId="0" applyFill="1" applyBorder="1" applyAlignment="1">
      <alignment horizontal="left" vertical="center" indent="1"/>
    </xf>
    <xf numFmtId="0" fontId="0" fillId="43" borderId="0" xfId="0" applyFill="1" applyAlignment="1">
      <alignment horizontal="center" vertical="center"/>
    </xf>
    <xf numFmtId="0" fontId="12" fillId="43" borderId="0" xfId="0" applyFont="1" applyFill="1" applyAlignment="1">
      <alignment horizontal="center" vertical="center"/>
    </xf>
    <xf numFmtId="0" fontId="20" fillId="43" borderId="0" xfId="0" applyFont="1" applyFill="1" applyAlignment="1">
      <alignment horizontal="center" vertical="center"/>
    </xf>
    <xf numFmtId="0" fontId="0" fillId="43" borderId="0" xfId="0" applyFill="1"/>
    <xf numFmtId="0" fontId="23" fillId="44" borderId="1" xfId="0" applyFont="1" applyFill="1" applyBorder="1" applyAlignment="1">
      <alignment horizontal="center" vertical="center"/>
    </xf>
    <xf numFmtId="10" fontId="4" fillId="31" borderId="14" xfId="0" applyNumberFormat="1" applyFont="1" applyFill="1" applyBorder="1" applyAlignment="1">
      <alignment horizontal="center" vertical="center" wrapText="1"/>
    </xf>
    <xf numFmtId="169" fontId="2" fillId="0" borderId="0" xfId="0" applyNumberFormat="1" applyFont="1" applyAlignment="1">
      <alignment horizontal="center" vertical="center" wrapText="1"/>
    </xf>
    <xf numFmtId="169" fontId="2" fillId="0" borderId="0" xfId="0" applyNumberFormat="1" applyFont="1" applyAlignment="1">
      <alignment horizontal="center" vertical="center"/>
    </xf>
    <xf numFmtId="169" fontId="0" fillId="0" borderId="0" xfId="0" applyNumberFormat="1" applyAlignment="1">
      <alignment horizontal="center" vertical="center"/>
    </xf>
    <xf numFmtId="169" fontId="8" fillId="31" borderId="14" xfId="0" applyNumberFormat="1" applyFont="1" applyFill="1" applyBorder="1" applyAlignment="1">
      <alignment horizontal="center" vertical="center" wrapText="1"/>
    </xf>
    <xf numFmtId="0" fontId="39" fillId="0" borderId="0" xfId="0" applyFont="1" applyAlignment="1">
      <alignment horizontal="center" vertical="center" wrapText="1"/>
    </xf>
    <xf numFmtId="0" fontId="9" fillId="0" borderId="0" xfId="0" applyFont="1" applyAlignment="1">
      <alignment horizontal="right"/>
    </xf>
    <xf numFmtId="0" fontId="29" fillId="0" borderId="0" xfId="0" applyFont="1" applyAlignment="1">
      <alignment horizontal="left" indent="1"/>
    </xf>
    <xf numFmtId="0" fontId="26" fillId="18" borderId="14" xfId="0" applyFont="1" applyFill="1" applyBorder="1" applyAlignment="1">
      <alignment horizontal="center" vertical="center" wrapText="1"/>
    </xf>
    <xf numFmtId="0" fontId="67" fillId="0" borderId="0" xfId="0" applyFont="1" applyAlignment="1">
      <alignment horizontal="right"/>
    </xf>
    <xf numFmtId="0" fontId="34" fillId="2" borderId="1" xfId="0" applyFont="1" applyFill="1" applyBorder="1" applyAlignment="1">
      <alignment vertical="center" wrapText="1"/>
    </xf>
    <xf numFmtId="0" fontId="27" fillId="2" borderId="11" xfId="0" applyFont="1" applyFill="1" applyBorder="1" applyAlignment="1">
      <alignment horizontal="right" vertical="center" wrapText="1" indent="1"/>
    </xf>
    <xf numFmtId="0" fontId="9" fillId="45" borderId="0" xfId="0" applyFont="1" applyFill="1" applyAlignment="1">
      <alignment horizontal="center" vertical="center" wrapText="1"/>
    </xf>
    <xf numFmtId="170" fontId="26" fillId="0" borderId="11" xfId="0" applyNumberFormat="1" applyFont="1" applyBorder="1" applyAlignment="1">
      <alignment horizontal="center" vertical="center" wrapText="1"/>
    </xf>
    <xf numFmtId="14" fontId="3" fillId="0" borderId="0" xfId="0" applyNumberFormat="1" applyFont="1" applyAlignment="1">
      <alignment horizontal="center" vertical="center"/>
    </xf>
    <xf numFmtId="0" fontId="39" fillId="25" borderId="1" xfId="0" applyFont="1" applyFill="1" applyBorder="1" applyAlignment="1">
      <alignment horizontal="left" vertical="center" wrapText="1" indent="1"/>
    </xf>
    <xf numFmtId="169" fontId="2" fillId="0" borderId="0" xfId="0" applyNumberFormat="1" applyFont="1" applyAlignment="1">
      <alignment horizontal="left" vertical="center" wrapText="1" indent="1"/>
    </xf>
    <xf numFmtId="0" fontId="46" fillId="38" borderId="1" xfId="0" applyFont="1" applyFill="1" applyBorder="1" applyAlignment="1">
      <alignment horizontal="center" vertical="center"/>
    </xf>
    <xf numFmtId="0" fontId="28" fillId="0" borderId="0" xfId="0" applyFont="1" applyAlignment="1">
      <alignment horizontal="left" vertical="center" indent="1"/>
    </xf>
    <xf numFmtId="0" fontId="29" fillId="0" borderId="0" xfId="0" applyFont="1" applyAlignment="1">
      <alignment horizontal="left" vertical="center" indent="1"/>
    </xf>
    <xf numFmtId="1" fontId="0" fillId="0" borderId="0" xfId="0" applyNumberFormat="1"/>
    <xf numFmtId="14" fontId="0" fillId="0" borderId="0" xfId="0" applyNumberFormat="1"/>
    <xf numFmtId="1" fontId="34" fillId="33" borderId="14" xfId="0" applyNumberFormat="1" applyFont="1" applyFill="1" applyBorder="1" applyAlignment="1">
      <alignment horizontal="center" vertical="center"/>
    </xf>
    <xf numFmtId="14" fontId="0" fillId="0" borderId="0" xfId="0" applyNumberFormat="1" applyAlignment="1">
      <alignment horizontal="center"/>
    </xf>
    <xf numFmtId="1" fontId="34" fillId="33" borderId="17" xfId="0" applyNumberFormat="1" applyFont="1" applyFill="1" applyBorder="1" applyAlignment="1">
      <alignment horizontal="center" vertical="center"/>
    </xf>
    <xf numFmtId="14" fontId="63" fillId="0" borderId="0" xfId="0" applyNumberFormat="1" applyFont="1" applyAlignment="1">
      <alignment horizontal="right" vertical="center" indent="1"/>
    </xf>
    <xf numFmtId="0" fontId="69" fillId="33" borderId="0" xfId="0" applyFont="1" applyFill="1" applyAlignment="1">
      <alignment horizontal="center" vertical="center"/>
    </xf>
    <xf numFmtId="0" fontId="53" fillId="0" borderId="0" xfId="0" applyFont="1"/>
    <xf numFmtId="1" fontId="34" fillId="33" borderId="9" xfId="0" applyNumberFormat="1" applyFont="1" applyFill="1" applyBorder="1" applyAlignment="1">
      <alignment horizontal="center"/>
    </xf>
    <xf numFmtId="1" fontId="34" fillId="33" borderId="4" xfId="0" applyNumberFormat="1" applyFont="1" applyFill="1" applyBorder="1" applyAlignment="1">
      <alignment horizontal="center"/>
    </xf>
    <xf numFmtId="1" fontId="20" fillId="0" borderId="0" xfId="0" applyNumberFormat="1" applyFont="1"/>
    <xf numFmtId="171" fontId="34" fillId="33" borderId="11" xfId="0" applyNumberFormat="1" applyFont="1" applyFill="1" applyBorder="1" applyAlignment="1">
      <alignment horizontal="right" vertical="center" wrapText="1" indent="1"/>
    </xf>
    <xf numFmtId="171" fontId="54" fillId="0" borderId="0" xfId="0" applyNumberFormat="1" applyFont="1" applyAlignment="1">
      <alignment horizontal="center" vertical="center"/>
    </xf>
    <xf numFmtId="0" fontId="20" fillId="0" borderId="0" xfId="0" applyFont="1" applyAlignment="1">
      <alignment horizontal="center"/>
    </xf>
    <xf numFmtId="0" fontId="53" fillId="0" borderId="0" xfId="0" applyFont="1" applyAlignment="1">
      <alignment horizontal="center"/>
    </xf>
    <xf numFmtId="10" fontId="20" fillId="0" borderId="0" xfId="0" applyNumberFormat="1" applyFont="1"/>
    <xf numFmtId="2" fontId="53" fillId="0" borderId="0" xfId="0" applyNumberFormat="1" applyFont="1" applyAlignment="1">
      <alignment horizontal="center" vertical="center"/>
    </xf>
    <xf numFmtId="2" fontId="20" fillId="0" borderId="0" xfId="0" applyNumberFormat="1" applyFont="1" applyAlignment="1">
      <alignment horizontal="center"/>
    </xf>
    <xf numFmtId="1" fontId="23" fillId="17" borderId="1" xfId="0" applyNumberFormat="1" applyFont="1" applyFill="1" applyBorder="1" applyAlignment="1">
      <alignment horizontal="center" vertical="center"/>
    </xf>
    <xf numFmtId="0" fontId="23" fillId="0" borderId="9" xfId="0" applyFont="1" applyBorder="1" applyAlignment="1">
      <alignment horizontal="center"/>
    </xf>
    <xf numFmtId="0" fontId="23" fillId="0" borderId="4" xfId="0" applyFont="1" applyBorder="1" applyAlignment="1">
      <alignment horizontal="center"/>
    </xf>
    <xf numFmtId="2" fontId="27" fillId="16" borderId="1" xfId="0" applyNumberFormat="1" applyFont="1" applyFill="1" applyBorder="1" applyAlignment="1">
      <alignment horizontal="center" vertical="center"/>
    </xf>
    <xf numFmtId="0" fontId="53" fillId="0" borderId="1" xfId="0" applyFont="1" applyBorder="1" applyAlignment="1">
      <alignment horizontal="center" vertical="center"/>
    </xf>
    <xf numFmtId="1" fontId="70" fillId="16" borderId="1" xfId="0" applyNumberFormat="1" applyFont="1" applyFill="1" applyBorder="1" applyAlignment="1">
      <alignment horizontal="center" wrapText="1"/>
    </xf>
    <xf numFmtId="1" fontId="27" fillId="33" borderId="14" xfId="0" applyNumberFormat="1" applyFont="1" applyFill="1" applyBorder="1" applyAlignment="1">
      <alignment horizontal="center" vertical="center"/>
    </xf>
    <xf numFmtId="1" fontId="8" fillId="33" borderId="14" xfId="0" applyNumberFormat="1" applyFont="1" applyFill="1" applyBorder="1" applyAlignment="1">
      <alignment horizontal="center" vertical="center" wrapText="1"/>
    </xf>
    <xf numFmtId="14" fontId="49" fillId="0" borderId="0" xfId="0" applyNumberFormat="1" applyFont="1" applyAlignment="1">
      <alignment horizontal="center" vertical="center"/>
    </xf>
    <xf numFmtId="10" fontId="0" fillId="0" borderId="0" xfId="0" applyNumberFormat="1"/>
    <xf numFmtId="1" fontId="48" fillId="0" borderId="0" xfId="0" applyNumberFormat="1" applyFont="1" applyAlignment="1">
      <alignment horizontal="center" vertical="center" wrapText="1"/>
    </xf>
    <xf numFmtId="0" fontId="48" fillId="0" borderId="0" xfId="0" applyFont="1" applyAlignment="1">
      <alignment horizontal="center" vertical="center" wrapText="1"/>
    </xf>
    <xf numFmtId="10" fontId="48" fillId="0" borderId="0" xfId="0" applyNumberFormat="1" applyFont="1" applyAlignment="1">
      <alignment horizontal="center" vertical="center" wrapText="1"/>
    </xf>
    <xf numFmtId="10" fontId="0" fillId="0" borderId="0" xfId="0" applyNumberFormat="1" applyAlignment="1">
      <alignment horizontal="center"/>
    </xf>
    <xf numFmtId="14" fontId="48" fillId="0" borderId="0" xfId="0" applyNumberFormat="1" applyFont="1" applyAlignment="1">
      <alignment horizontal="center" vertical="center" wrapText="1"/>
    </xf>
    <xf numFmtId="171" fontId="27" fillId="17" borderId="1" xfId="0" applyNumberFormat="1" applyFont="1" applyFill="1" applyBorder="1" applyAlignment="1">
      <alignment horizontal="center" vertical="center"/>
    </xf>
    <xf numFmtId="164" fontId="43" fillId="0" borderId="0" xfId="0" applyNumberFormat="1" applyFont="1" applyAlignment="1">
      <alignment horizontal="center" vertical="center"/>
    </xf>
    <xf numFmtId="166" fontId="23" fillId="0" borderId="0" xfId="0" applyNumberFormat="1" applyFont="1" applyAlignment="1">
      <alignment horizontal="center" vertical="center"/>
    </xf>
    <xf numFmtId="166" fontId="3" fillId="47" borderId="0" xfId="0" applyNumberFormat="1" applyFont="1" applyFill="1" applyAlignment="1">
      <alignment horizontal="center" vertical="center"/>
    </xf>
    <xf numFmtId="0" fontId="73" fillId="0" borderId="0" xfId="0" applyFont="1" applyAlignment="1">
      <alignment horizontal="center" vertical="center" wrapText="1"/>
    </xf>
    <xf numFmtId="0" fontId="51" fillId="38" borderId="19" xfId="0" applyFont="1" applyFill="1" applyBorder="1" applyAlignment="1">
      <alignment horizontal="left" vertical="center" wrapText="1" indent="1"/>
    </xf>
    <xf numFmtId="0" fontId="7" fillId="31" borderId="17" xfId="0" applyFont="1" applyFill="1" applyBorder="1" applyAlignment="1">
      <alignment horizontal="center" vertical="center" wrapText="1"/>
    </xf>
    <xf numFmtId="0" fontId="7" fillId="31" borderId="18" xfId="0" applyFont="1" applyFill="1" applyBorder="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7" fillId="6" borderId="21"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57" fillId="12" borderId="1" xfId="0" applyFont="1" applyFill="1" applyBorder="1" applyAlignment="1">
      <alignment horizontal="left" vertical="center" wrapText="1" indent="1"/>
    </xf>
    <xf numFmtId="0" fontId="57" fillId="12" borderId="1" xfId="0" applyFont="1" applyFill="1" applyBorder="1" applyAlignment="1">
      <alignment horizontal="left" vertical="center" indent="1"/>
    </xf>
    <xf numFmtId="0" fontId="39" fillId="32" borderId="6" xfId="0" applyFont="1" applyFill="1" applyBorder="1" applyAlignment="1">
      <alignment horizontal="left" vertical="center" indent="1"/>
    </xf>
    <xf numFmtId="0" fontId="39" fillId="32" borderId="8" xfId="0" applyFont="1" applyFill="1" applyBorder="1" applyAlignment="1">
      <alignment horizontal="left" vertical="center" indent="1"/>
    </xf>
    <xf numFmtId="0" fontId="39" fillId="32" borderId="7" xfId="0" applyFont="1" applyFill="1" applyBorder="1" applyAlignment="1">
      <alignment horizontal="left" vertical="center" indent="1"/>
    </xf>
    <xf numFmtId="0" fontId="39" fillId="32" borderId="1" xfId="0" applyFont="1" applyFill="1" applyBorder="1" applyAlignment="1">
      <alignment horizontal="left" vertical="center" indent="1"/>
    </xf>
    <xf numFmtId="0" fontId="65" fillId="32" borderId="2" xfId="0" applyFont="1" applyFill="1" applyBorder="1" applyAlignment="1">
      <alignment horizontal="left" vertical="center" wrapText="1" indent="1"/>
    </xf>
    <xf numFmtId="0" fontId="65" fillId="32" borderId="12" xfId="0" applyFont="1" applyFill="1" applyBorder="1" applyAlignment="1">
      <alignment horizontal="left" vertical="center" wrapText="1" indent="1"/>
    </xf>
    <xf numFmtId="0" fontId="39" fillId="32" borderId="1" xfId="0" applyFont="1" applyFill="1" applyBorder="1" applyAlignment="1">
      <alignment horizontal="center" vertical="center"/>
    </xf>
    <xf numFmtId="0" fontId="47" fillId="30" borderId="6" xfId="0" applyFont="1" applyFill="1" applyBorder="1" applyAlignment="1">
      <alignment horizontal="center" vertical="center"/>
    </xf>
    <xf numFmtId="0" fontId="47" fillId="30" borderId="8" xfId="0" applyFont="1" applyFill="1" applyBorder="1" applyAlignment="1">
      <alignment horizontal="center" vertical="center"/>
    </xf>
    <xf numFmtId="0" fontId="47" fillId="30" borderId="7" xfId="0" applyFont="1" applyFill="1" applyBorder="1" applyAlignment="1">
      <alignment horizontal="center" vertical="center"/>
    </xf>
    <xf numFmtId="0" fontId="54" fillId="0" borderId="1" xfId="0" applyFont="1" applyBorder="1" applyAlignment="1">
      <alignment horizontal="left" vertical="center" wrapText="1" indent="1"/>
    </xf>
    <xf numFmtId="0" fontId="11" fillId="28" borderId="1" xfId="0" applyFont="1" applyFill="1" applyBorder="1" applyAlignment="1">
      <alignment horizontal="center" vertical="center" wrapText="1"/>
    </xf>
    <xf numFmtId="0" fontId="11" fillId="28" borderId="11" xfId="0" applyFont="1" applyFill="1" applyBorder="1" applyAlignment="1">
      <alignment horizontal="center" vertical="center"/>
    </xf>
    <xf numFmtId="0" fontId="53" fillId="0" borderId="1" xfId="0" applyFont="1" applyBorder="1" applyAlignment="1">
      <alignment horizontal="left" vertical="center" wrapText="1" indent="1"/>
    </xf>
    <xf numFmtId="0" fontId="45" fillId="12" borderId="8" xfId="0" applyFont="1" applyFill="1" applyBorder="1" applyAlignment="1">
      <alignment horizontal="left" indent="1"/>
    </xf>
    <xf numFmtId="0" fontId="45" fillId="12" borderId="7" xfId="0" applyFont="1" applyFill="1" applyBorder="1" applyAlignment="1">
      <alignment horizontal="left" indent="1"/>
    </xf>
    <xf numFmtId="0" fontId="47" fillId="30" borderId="8" xfId="0" applyFont="1" applyFill="1" applyBorder="1" applyAlignment="1">
      <alignment horizontal="left" indent="1"/>
    </xf>
    <xf numFmtId="0" fontId="47" fillId="30" borderId="7" xfId="0" applyFont="1" applyFill="1" applyBorder="1" applyAlignment="1">
      <alignment horizontal="left" indent="1"/>
    </xf>
    <xf numFmtId="0" fontId="50" fillId="10" borderId="12" xfId="0" applyFont="1" applyFill="1" applyBorder="1" applyAlignment="1">
      <alignment horizontal="left" vertical="center" wrapText="1" indent="1"/>
    </xf>
    <xf numFmtId="0" fontId="44" fillId="10" borderId="12" xfId="0" applyFont="1" applyFill="1" applyBorder="1" applyAlignment="1">
      <alignment horizontal="left" vertical="center" wrapText="1" indent="1"/>
    </xf>
    <xf numFmtId="0" fontId="44" fillId="10" borderId="3" xfId="0" applyFont="1" applyFill="1" applyBorder="1" applyAlignment="1">
      <alignment horizontal="left" vertical="center" wrapText="1" indent="1"/>
    </xf>
    <xf numFmtId="0" fontId="7" fillId="33" borderId="1" xfId="0" applyFont="1" applyFill="1" applyBorder="1" applyAlignment="1">
      <alignment horizontal="center" vertical="center"/>
    </xf>
    <xf numFmtId="0" fontId="45" fillId="12" borderId="15" xfId="0" applyFont="1" applyFill="1" applyBorder="1" applyAlignment="1">
      <alignment horizontal="left" vertical="center" wrapText="1" indent="1"/>
    </xf>
    <xf numFmtId="0" fontId="45" fillId="12" borderId="13" xfId="0" applyFont="1" applyFill="1" applyBorder="1" applyAlignment="1">
      <alignment horizontal="left" vertical="center" wrapText="1" indent="1"/>
    </xf>
    <xf numFmtId="0" fontId="45" fillId="12" borderId="12" xfId="0" applyFont="1" applyFill="1" applyBorder="1" applyAlignment="1">
      <alignment horizontal="left" vertical="center" wrapText="1" indent="1"/>
    </xf>
    <xf numFmtId="0" fontId="45" fillId="12" borderId="3" xfId="0" applyFont="1" applyFill="1" applyBorder="1" applyAlignment="1">
      <alignment horizontal="left" vertical="center" wrapText="1" indent="1"/>
    </xf>
    <xf numFmtId="171" fontId="62" fillId="46" borderId="0" xfId="0" applyNumberFormat="1" applyFont="1" applyFill="1" applyAlignment="1">
      <alignment horizontal="center" vertical="center"/>
    </xf>
    <xf numFmtId="171" fontId="62" fillId="46" borderId="12" xfId="0" applyNumberFormat="1" applyFont="1" applyFill="1" applyBorder="1" applyAlignment="1">
      <alignment horizontal="center" vertical="center"/>
    </xf>
    <xf numFmtId="0" fontId="34" fillId="38" borderId="5" xfId="0" applyFont="1" applyFill="1" applyBorder="1" applyAlignment="1">
      <alignment horizontal="center" vertical="center" wrapText="1"/>
    </xf>
    <xf numFmtId="0" fontId="34" fillId="38" borderId="4" xfId="0" applyFont="1" applyFill="1" applyBorder="1" applyAlignment="1">
      <alignment horizontal="center" vertical="center" wrapText="1"/>
    </xf>
    <xf numFmtId="0" fontId="34" fillId="38" borderId="2" xfId="0" applyFont="1" applyFill="1" applyBorder="1" applyAlignment="1">
      <alignment horizontal="center" vertical="center" wrapText="1"/>
    </xf>
    <xf numFmtId="0" fontId="34" fillId="38" borderId="3" xfId="0" applyFont="1" applyFill="1" applyBorder="1" applyAlignment="1">
      <alignment horizontal="center" vertical="center" wrapText="1"/>
    </xf>
    <xf numFmtId="1" fontId="34" fillId="17" borderId="6" xfId="0" applyNumberFormat="1" applyFont="1" applyFill="1" applyBorder="1" applyAlignment="1">
      <alignment horizontal="center" vertical="center" wrapText="1"/>
    </xf>
    <xf numFmtId="1" fontId="34" fillId="17" borderId="8" xfId="0" applyNumberFormat="1" applyFont="1" applyFill="1" applyBorder="1" applyAlignment="1">
      <alignment horizontal="center" vertical="center" wrapText="1"/>
    </xf>
    <xf numFmtId="1" fontId="34" fillId="17" borderId="7" xfId="0" applyNumberFormat="1" applyFont="1" applyFill="1" applyBorder="1" applyAlignment="1">
      <alignment horizontal="center" vertical="center" wrapText="1"/>
    </xf>
    <xf numFmtId="0" fontId="73" fillId="46" borderId="12" xfId="0" applyFont="1" applyFill="1" applyBorder="1" applyAlignment="1">
      <alignment horizontal="center" vertical="center"/>
    </xf>
    <xf numFmtId="0" fontId="73" fillId="46" borderId="3" xfId="0" applyFont="1" applyFill="1" applyBorder="1" applyAlignment="1">
      <alignment horizontal="center" vertical="center"/>
    </xf>
    <xf numFmtId="14" fontId="34" fillId="33" borderId="0" xfId="0" applyNumberFormat="1" applyFont="1" applyFill="1" applyAlignment="1">
      <alignment horizontal="center" vertical="center"/>
    </xf>
    <xf numFmtId="14" fontId="34" fillId="33" borderId="12" xfId="0" applyNumberFormat="1" applyFont="1" applyFill="1" applyBorder="1" applyAlignment="1">
      <alignment horizontal="center" vertical="center"/>
    </xf>
    <xf numFmtId="0" fontId="27" fillId="38" borderId="5" xfId="0" applyFont="1" applyFill="1" applyBorder="1" applyAlignment="1">
      <alignment horizontal="left" vertical="center" wrapText="1" indent="1"/>
    </xf>
    <xf numFmtId="0" fontId="27" fillId="38" borderId="0" xfId="0" applyFont="1" applyFill="1" applyAlignment="1">
      <alignment horizontal="left" vertical="center" wrapText="1" indent="1"/>
    </xf>
    <xf numFmtId="0" fontId="0" fillId="17" borderId="6" xfId="0" applyFill="1" applyBorder="1" applyAlignment="1">
      <alignment horizontal="center" vertical="center"/>
    </xf>
    <xf numFmtId="0" fontId="0" fillId="17" borderId="7" xfId="0" applyFill="1" applyBorder="1" applyAlignment="1">
      <alignment horizontal="center" vertical="center"/>
    </xf>
    <xf numFmtId="0" fontId="21" fillId="27" borderId="6" xfId="0" applyFont="1" applyFill="1" applyBorder="1" applyAlignment="1">
      <alignment horizontal="left" vertical="center" indent="1"/>
    </xf>
    <xf numFmtId="0" fontId="21" fillId="27" borderId="8" xfId="0" applyFont="1" applyFill="1" applyBorder="1" applyAlignment="1">
      <alignment horizontal="left" vertical="center" indent="1"/>
    </xf>
    <xf numFmtId="0" fontId="21" fillId="27" borderId="7" xfId="0" applyFont="1" applyFill="1" applyBorder="1" applyAlignment="1">
      <alignment horizontal="left" vertical="center" indent="1"/>
    </xf>
    <xf numFmtId="0" fontId="11" fillId="28" borderId="6" xfId="0" applyFont="1" applyFill="1" applyBorder="1" applyAlignment="1">
      <alignment horizontal="left" vertical="center" wrapText="1" indent="1"/>
    </xf>
    <xf numFmtId="0" fontId="11" fillId="28" borderId="8" xfId="0" applyFont="1" applyFill="1" applyBorder="1" applyAlignment="1">
      <alignment horizontal="left" vertical="center" wrapText="1" indent="1"/>
    </xf>
    <xf numFmtId="0" fontId="11" fillId="28" borderId="7" xfId="0" applyFont="1" applyFill="1" applyBorder="1" applyAlignment="1">
      <alignment horizontal="left" vertical="center" wrapText="1" indent="1"/>
    </xf>
    <xf numFmtId="0" fontId="0" fillId="33" borderId="1" xfId="0" applyFill="1" applyBorder="1" applyAlignment="1">
      <alignment horizontal="left" vertical="center" indent="1"/>
    </xf>
    <xf numFmtId="0" fontId="47" fillId="30" borderId="1" xfId="0" applyFont="1" applyFill="1" applyBorder="1" applyAlignment="1">
      <alignment horizontal="left" vertical="center" indent="1"/>
    </xf>
    <xf numFmtId="0" fontId="0" fillId="35" borderId="1" xfId="0" applyFill="1" applyBorder="1" applyAlignment="1">
      <alignment horizontal="left" vertical="center" indent="1"/>
    </xf>
    <xf numFmtId="0" fontId="0" fillId="0" borderId="0" xfId="0" applyAlignment="1">
      <alignment horizontal="center" vertical="center" wrapText="1"/>
    </xf>
    <xf numFmtId="0" fontId="22" fillId="0" borderId="0" xfId="0" applyFont="1" applyAlignment="1">
      <alignment horizontal="center" vertical="center" wrapText="1"/>
    </xf>
    <xf numFmtId="14" fontId="2" fillId="0" borderId="0" xfId="0" applyNumberFormat="1" applyFont="1" applyAlignment="1">
      <alignment horizontal="left" vertical="center" wrapText="1" indent="1"/>
    </xf>
    <xf numFmtId="0" fontId="0" fillId="0" borderId="0" xfId="0" applyAlignment="1">
      <alignment horizontal="left" vertical="center" wrapText="1" indent="1"/>
    </xf>
    <xf numFmtId="0" fontId="22" fillId="0" borderId="0" xfId="0" applyFont="1" applyAlignment="1">
      <alignment horizontal="left" vertical="center" wrapText="1" indent="1"/>
    </xf>
    <xf numFmtId="49" fontId="63" fillId="0" borderId="0" xfId="0" applyNumberFormat="1" applyFont="1" applyAlignment="1">
      <alignment horizontal="center" vertical="center" wrapText="1"/>
    </xf>
    <xf numFmtId="168" fontId="62" fillId="0" borderId="0" xfId="0" applyNumberFormat="1" applyFont="1" applyAlignment="1">
      <alignment horizontal="left" vertical="center" wrapText="1" indent="1"/>
    </xf>
    <xf numFmtId="0" fontId="25" fillId="0" borderId="0" xfId="0" applyFont="1" applyAlignment="1">
      <alignment horizontal="left" vertical="center" wrapText="1" indent="1"/>
    </xf>
    <xf numFmtId="0" fontId="25" fillId="0" borderId="0" xfId="0" applyFont="1" applyAlignment="1">
      <alignment horizontal="left" vertical="center" indent="1"/>
    </xf>
    <xf numFmtId="0" fontId="46" fillId="25" borderId="0" xfId="0" applyFont="1" applyFill="1" applyAlignment="1">
      <alignment horizontal="left" vertical="center" indent="1"/>
    </xf>
    <xf numFmtId="14" fontId="4" fillId="31" borderId="1" xfId="0" applyNumberFormat="1" applyFont="1" applyFill="1" applyBorder="1" applyAlignment="1">
      <alignment horizontal="center" vertical="center"/>
    </xf>
    <xf numFmtId="14" fontId="4" fillId="31" borderId="14" xfId="0" applyNumberFormat="1"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4" xfId="0" applyFont="1" applyFill="1" applyBorder="1" applyAlignment="1">
      <alignment horizontal="center" vertical="center"/>
    </xf>
    <xf numFmtId="0" fontId="46" fillId="10" borderId="0" xfId="0" applyFont="1" applyFill="1" applyAlignment="1">
      <alignment horizontal="left" vertical="center" indent="1"/>
    </xf>
    <xf numFmtId="0" fontId="3" fillId="34"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1" borderId="1" xfId="0" applyFont="1" applyFill="1" applyBorder="1" applyAlignment="1">
      <alignment horizontal="center" vertical="center"/>
    </xf>
    <xf numFmtId="164" fontId="7" fillId="31" borderId="1" xfId="0" applyNumberFormat="1" applyFont="1" applyFill="1" applyBorder="1" applyAlignment="1">
      <alignment horizontal="center" vertical="center"/>
    </xf>
    <xf numFmtId="169" fontId="4" fillId="31" borderId="6" xfId="0" applyNumberFormat="1" applyFont="1" applyFill="1" applyBorder="1" applyAlignment="1">
      <alignment horizontal="center" vertical="center" wrapText="1"/>
    </xf>
    <xf numFmtId="169" fontId="4" fillId="31" borderId="7" xfId="0" applyNumberFormat="1" applyFont="1" applyFill="1" applyBorder="1" applyAlignment="1">
      <alignment horizontal="center" vertical="center" wrapText="1"/>
    </xf>
    <xf numFmtId="0" fontId="0" fillId="17" borderId="14" xfId="0" applyFill="1" applyBorder="1" applyAlignment="1">
      <alignment horizontal="left" vertical="center" indent="1"/>
    </xf>
    <xf numFmtId="0" fontId="47" fillId="30" borderId="14" xfId="0" applyFont="1" applyFill="1" applyBorder="1" applyAlignment="1">
      <alignment horizontal="left" vertical="center" indent="1"/>
    </xf>
    <xf numFmtId="0" fontId="6" fillId="31" borderId="1" xfId="0" applyFont="1" applyFill="1" applyBorder="1" applyAlignment="1">
      <alignment horizontal="center" vertical="center"/>
    </xf>
    <xf numFmtId="14" fontId="15" fillId="29" borderId="1" xfId="0" applyNumberFormat="1" applyFont="1" applyFill="1" applyBorder="1" applyAlignment="1">
      <alignment horizontal="center" vertical="center" wrapText="1"/>
    </xf>
    <xf numFmtId="0" fontId="4" fillId="31"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7" borderId="1" xfId="0" applyFont="1" applyFill="1" applyBorder="1" applyAlignment="1">
      <alignment horizontal="center" vertical="center"/>
    </xf>
    <xf numFmtId="0" fontId="9" fillId="17" borderId="1" xfId="0" applyFont="1" applyFill="1" applyBorder="1" applyAlignment="1">
      <alignment horizontal="center" wrapText="1"/>
    </xf>
    <xf numFmtId="14" fontId="34" fillId="26"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66" fillId="25" borderId="15" xfId="0" applyFont="1" applyFill="1" applyBorder="1" applyAlignment="1">
      <alignment horizontal="center" vertical="center" wrapText="1"/>
    </xf>
    <xf numFmtId="0" fontId="66" fillId="25" borderId="0" xfId="0" applyFont="1" applyFill="1" applyAlignment="1">
      <alignment horizontal="center" vertical="center" wrapText="1"/>
    </xf>
    <xf numFmtId="0" fontId="66" fillId="25" borderId="16"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20" xfId="0" applyFont="1" applyFill="1" applyBorder="1" applyAlignment="1">
      <alignment horizontal="center" vertical="center" wrapText="1"/>
    </xf>
    <xf numFmtId="14" fontId="0" fillId="12" borderId="1" xfId="0" applyNumberFormat="1" applyFill="1" applyBorder="1" applyAlignment="1">
      <alignment horizontal="left" indent="1"/>
    </xf>
    <xf numFmtId="0" fontId="12" fillId="24" borderId="1" xfId="0" applyFont="1" applyFill="1" applyBorder="1" applyAlignment="1">
      <alignment horizontal="center" vertical="center" wrapText="1"/>
    </xf>
    <xf numFmtId="0" fontId="29" fillId="0" borderId="1" xfId="0" applyFont="1" applyBorder="1" applyAlignment="1">
      <alignment horizontal="left" indent="1"/>
    </xf>
    <xf numFmtId="0" fontId="9" fillId="25" borderId="1" xfId="0" applyFont="1" applyFill="1" applyBorder="1" applyAlignment="1">
      <alignment horizontal="right"/>
    </xf>
    <xf numFmtId="0" fontId="34" fillId="2" borderId="1" xfId="0" applyFont="1" applyFill="1" applyBorder="1" applyAlignment="1">
      <alignment horizontal="center" vertical="center" wrapText="1"/>
    </xf>
    <xf numFmtId="0" fontId="39" fillId="26" borderId="1" xfId="0" applyFont="1" applyFill="1" applyBorder="1" applyAlignment="1">
      <alignment horizontal="center" vertical="center" wrapText="1"/>
    </xf>
    <xf numFmtId="0" fontId="29" fillId="0" borderId="6" xfId="0" applyFont="1" applyBorder="1" applyAlignment="1">
      <alignment horizontal="left" indent="1"/>
    </xf>
    <xf numFmtId="0" fontId="29" fillId="0" borderId="8" xfId="0" applyFont="1" applyBorder="1" applyAlignment="1">
      <alignment horizontal="left" indent="1"/>
    </xf>
    <xf numFmtId="0" fontId="29" fillId="0" borderId="7" xfId="0" applyFont="1" applyBorder="1" applyAlignment="1">
      <alignment horizontal="left" indent="1"/>
    </xf>
    <xf numFmtId="0" fontId="27" fillId="13" borderId="2" xfId="0" applyFont="1" applyFill="1" applyBorder="1" applyAlignment="1">
      <alignment horizontal="center" vertical="center" wrapText="1"/>
    </xf>
    <xf numFmtId="0" fontId="27" fillId="13" borderId="3" xfId="0" applyFont="1" applyFill="1" applyBorder="1" applyAlignment="1">
      <alignment horizontal="center" vertical="center" wrapText="1"/>
    </xf>
    <xf numFmtId="0" fontId="74" fillId="4" borderId="22" xfId="0" applyFont="1" applyFill="1" applyBorder="1" applyAlignment="1">
      <alignment horizontal="left" indent="1"/>
    </xf>
    <xf numFmtId="0" fontId="74" fillId="4" borderId="23" xfId="0" applyFont="1" applyFill="1" applyBorder="1" applyAlignment="1">
      <alignment horizontal="left" indent="1"/>
    </xf>
  </cellXfs>
  <cellStyles count="1">
    <cellStyle name="Normal" xfId="0" builtinId="0"/>
  </cellStyles>
  <dxfs count="65">
    <dxf>
      <font>
        <color theme="0"/>
      </font>
      <fill>
        <patternFill>
          <bgColor theme="5" tint="-0.24994659260841701"/>
        </patternFill>
      </fill>
      <border>
        <left style="thin">
          <color auto="1"/>
        </left>
        <right style="thin">
          <color auto="1"/>
        </right>
        <top style="thin">
          <color auto="1"/>
        </top>
        <bottom style="thin">
          <color auto="1"/>
        </bottom>
      </border>
    </dxf>
    <dxf>
      <font>
        <color theme="0"/>
      </font>
      <fill>
        <patternFill patternType="none">
          <bgColor auto="1"/>
        </patternFill>
      </fill>
    </dxf>
    <dxf>
      <font>
        <color rgb="FFE26B0A"/>
      </font>
      <fill>
        <patternFill>
          <bgColor rgb="FFE26B0A"/>
        </patternFill>
      </fill>
    </dxf>
    <dxf>
      <font>
        <color rgb="FFFF0000"/>
      </font>
      <fill>
        <patternFill>
          <bgColor rgb="FFFF0000"/>
        </patternFill>
      </fill>
    </dxf>
    <dxf>
      <font>
        <color theme="0"/>
      </font>
      <fill>
        <patternFill>
          <bgColor theme="5" tint="-0.24994659260841701"/>
        </patternFill>
      </fill>
      <border>
        <left style="thin">
          <color auto="1"/>
        </left>
        <right style="thin">
          <color auto="1"/>
        </right>
        <top style="thin">
          <color auto="1"/>
        </top>
        <bottom style="thin">
          <color auto="1"/>
        </bottom>
      </border>
    </dxf>
    <dxf>
      <fill>
        <patternFill>
          <bgColor rgb="FF92D050"/>
        </patternFill>
      </fill>
    </dxf>
    <dxf>
      <font>
        <color theme="0"/>
      </font>
      <fill>
        <patternFill>
          <bgColor rgb="FFFF0000"/>
        </patternFill>
      </fill>
    </dxf>
    <dxf>
      <font>
        <b/>
        <i val="0"/>
        <color theme="0"/>
      </font>
    </dxf>
    <dxf>
      <font>
        <b/>
        <i val="0"/>
        <color theme="0"/>
      </font>
    </dxf>
    <dxf>
      <fill>
        <patternFill>
          <bgColor rgb="FFFF0000"/>
        </patternFill>
      </fill>
    </dxf>
    <dxf>
      <fill>
        <patternFill>
          <bgColor rgb="FFFF0000"/>
        </patternFill>
      </fill>
    </dxf>
    <dxf>
      <fill>
        <patternFill>
          <bgColor theme="0" tint="-4.9989318521683403E-2"/>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ont>
        <b/>
        <i val="0"/>
        <strike val="0"/>
        <color theme="0"/>
      </font>
      <fill>
        <patternFill>
          <bgColor rgb="FFFF0000"/>
        </patternFill>
      </fill>
    </dxf>
    <dxf>
      <fill>
        <patternFill>
          <bgColor rgb="FF92D050"/>
        </patternFill>
      </fill>
    </dxf>
    <dxf>
      <font>
        <color theme="0"/>
      </font>
      <fill>
        <patternFill>
          <bgColor rgb="FFFF0000"/>
        </patternFill>
      </fill>
    </dxf>
    <dxf>
      <font>
        <color auto="1"/>
      </font>
      <fill>
        <patternFill>
          <bgColor rgb="FF92D050"/>
        </patternFill>
      </fill>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92D050"/>
        </patternFill>
      </fill>
    </dxf>
    <dxf>
      <font>
        <b val="0"/>
        <i val="0"/>
        <strike val="0"/>
        <color rgb="FFFF0000"/>
      </font>
      <fill>
        <patternFill patternType="none">
          <bgColor auto="1"/>
        </patternFill>
      </fill>
    </dxf>
    <dxf>
      <font>
        <b val="0"/>
        <i val="0"/>
        <strike val="0"/>
        <color rgb="FFFF7128"/>
      </font>
      <fill>
        <patternFill patternType="none">
          <bgColor auto="1"/>
        </patternFill>
      </fill>
    </dxf>
    <dxf>
      <font>
        <b/>
        <i val="0"/>
        <strike val="0"/>
        <color theme="0"/>
      </font>
      <fill>
        <patternFill>
          <bgColor theme="9" tint="-0.24994659260841701"/>
        </patternFill>
      </fill>
    </dxf>
    <dxf>
      <font>
        <b/>
        <i val="0"/>
        <strike val="0"/>
        <color theme="0"/>
      </font>
      <fill>
        <patternFill>
          <bgColor rgb="FFFF0000"/>
        </patternFill>
      </fill>
    </dxf>
    <dxf>
      <font>
        <b/>
        <i val="0"/>
        <strike val="0"/>
        <color theme="0"/>
      </font>
      <fill>
        <patternFill>
          <bgColor theme="1"/>
        </patternFill>
      </fill>
    </dxf>
    <dxf>
      <fill>
        <patternFill>
          <bgColor theme="0" tint="-0.14996795556505021"/>
        </patternFill>
      </fill>
    </dxf>
    <dxf>
      <font>
        <b/>
        <i val="0"/>
        <strike val="0"/>
        <color theme="0"/>
      </font>
      <fill>
        <patternFill>
          <bgColor theme="1"/>
        </patternFill>
      </fill>
    </dxf>
    <dxf>
      <fill>
        <patternFill>
          <bgColor theme="9" tint="0.59996337778862885"/>
        </patternFill>
      </fill>
    </dxf>
    <dxf>
      <fill>
        <patternFill>
          <bgColor rgb="FFC5D9F1"/>
        </patternFill>
      </fill>
    </dxf>
    <dxf>
      <fill>
        <patternFill>
          <bgColor rgb="FFFFCCCC"/>
        </patternFill>
      </fill>
    </dxf>
    <dxf>
      <fill>
        <patternFill>
          <bgColor rgb="FFFDE9D9"/>
        </patternFill>
      </fill>
    </dxf>
    <dxf>
      <fill>
        <patternFill>
          <bgColor rgb="FFFF9797"/>
        </patternFill>
      </fill>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fgColor rgb="FFFFFFFF"/>
          <bgColor auto="1"/>
        </patternFill>
      </fill>
      <alignment horizontal="center" vertical="center" textRotation="0" wrapText="0" indent="0" justifyLastLine="0" shrinkToFit="0" readingOrder="0"/>
    </dxf>
    <dxf>
      <font>
        <b val="0"/>
        <i val="0"/>
        <strike val="0"/>
        <outline val="0"/>
        <shadow val="0"/>
        <u val="none"/>
        <vertAlign val="baseline"/>
        <sz val="10"/>
        <color auto="1"/>
        <name val="Arial"/>
        <family val="2"/>
        <scheme val="none"/>
      </font>
      <numFmt numFmtId="19" formatCode="dd/mm/yyyy"/>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DE9D9"/>
      <color rgb="FFFF7128"/>
      <color rgb="FFF8696B"/>
      <color rgb="FF63BE7B"/>
      <color rgb="FF1F4E78"/>
      <color rgb="FFFFEB84"/>
      <color rgb="FFFFEF9C"/>
      <color rgb="FFF2F2F2"/>
      <color rgb="FFE26B0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marL="0" marR="0" lvl="0" indent="0" algn="l" defTabSz="914400" rtl="0" eaLnBrk="1" fontAlgn="auto" latinLnBrk="0" hangingPunct="1">
              <a:lnSpc>
                <a:spcPct val="100000"/>
              </a:lnSpc>
              <a:spcBef>
                <a:spcPts val="0"/>
              </a:spcBef>
              <a:spcAft>
                <a:spcPts val="0"/>
              </a:spcAft>
              <a:buClrTx/>
              <a:buSzTx/>
              <a:buFontTx/>
              <a:buNone/>
              <a:tabLst/>
              <a:defRPr sz="1800" b="1" i="0" u="none" strike="noStrike" kern="1200" spc="-1" baseline="0">
                <a:solidFill>
                  <a:srgbClr val="000000"/>
                </a:solidFill>
                <a:latin typeface="Calibri"/>
                <a:ea typeface="+mn-ea"/>
                <a:cs typeface="+mn-cs"/>
              </a:defRPr>
            </a:pPr>
            <a:r>
              <a:rPr lang="en-GB" sz="1800" b="1" strike="noStrike" spc="-1">
                <a:solidFill>
                  <a:srgbClr val="000000"/>
                </a:solidFill>
                <a:latin typeface="Calibri"/>
              </a:rPr>
              <a:t>World Error Over Time - All Cameras</a:t>
            </a:r>
            <a:r>
              <a:rPr lang="en-GB" sz="1800" b="1" strike="noStrike" spc="-1" baseline="0">
                <a:solidFill>
                  <a:srgbClr val="000000"/>
                </a:solidFill>
                <a:latin typeface="Calibri"/>
              </a:rPr>
              <a:t> </a:t>
            </a:r>
            <a:r>
              <a:rPr lang="en-GB" sz="1000" b="0" i="1" strike="noStrike" spc="-1">
                <a:solidFill>
                  <a:srgbClr val="000000"/>
                </a:solidFill>
                <a:latin typeface="Calibri"/>
              </a:rPr>
              <a:t>(from Daily Summary) </a:t>
            </a:r>
            <a:br>
              <a:rPr lang="en-GB" sz="1000" b="0" i="1" strike="noStrike" spc="-1">
                <a:solidFill>
                  <a:srgbClr val="000000"/>
                </a:solidFill>
                <a:latin typeface="Calibri"/>
              </a:rPr>
            </a:br>
            <a:r>
              <a:rPr lang="en-GB" sz="1000" b="0" i="1" u="none" strike="noStrike" kern="1200" spc="-1" baseline="0">
                <a:solidFill>
                  <a:srgbClr val="000000"/>
                </a:solidFill>
                <a:latin typeface="Calibri"/>
              </a:rPr>
              <a:t>tracks 'n/a' key only, i.e. final calibrations not recalibration changes</a:t>
            </a:r>
            <a:br>
              <a:rPr lang="en-GB" sz="1000" b="0" i="1" u="none" strike="noStrike" kern="1200" spc="-1" baseline="0">
                <a:solidFill>
                  <a:srgbClr val="000000"/>
                </a:solidFill>
                <a:latin typeface="Calibri"/>
              </a:rPr>
            </a:br>
            <a:r>
              <a:rPr lang="en-GB" sz="1000" b="0" i="1" u="none" strike="noStrike" kern="1200" spc="-1" baseline="0">
                <a:solidFill>
                  <a:srgbClr val="000000"/>
                </a:solidFill>
                <a:latin typeface="Calibri"/>
              </a:rPr>
              <a:t>world error is for comparison across cameras - image error is for self-to-self comparison</a:t>
            </a:r>
          </a:p>
        </c:rich>
      </c:tx>
      <c:layout>
        <c:manualLayout>
          <c:xMode val="edge"/>
          <c:yMode val="edge"/>
          <c:x val="1.7632716306365197E-2"/>
          <c:y val="1.617710798502809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6848137197413794E-2"/>
          <c:y val="0.25097329472535651"/>
          <c:w val="0.81360104827856616"/>
          <c:h val="0.56146180934778167"/>
        </c:manualLayout>
      </c:layout>
      <c:lineChart>
        <c:grouping val="standard"/>
        <c:varyColors val="0"/>
        <c:ser>
          <c:idx val="0"/>
          <c:order val="0"/>
          <c:tx>
            <c:v>Mean WE (Daily)</c:v>
          </c:tx>
          <c:spPr>
            <a:ln w="3175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'Daily WE'!$C$3:$C$158</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Visualisations!$CF$5:$CF$211</c:f>
              <c:numCache>
                <c:formatCode>General</c:formatCode>
                <c:ptCount val="207"/>
                <c:pt idx="0">
                  <c:v>0.3911837647058824</c:v>
                </c:pt>
                <c:pt idx="1">
                  <c:v>0.3804177222222222</c:v>
                </c:pt>
                <c:pt idx="2">
                  <c:v>0.3508782777777778</c:v>
                </c:pt>
                <c:pt idx="3">
                  <c:v>0.36980916666666658</c:v>
                </c:pt>
                <c:pt idx="4">
                  <c:v>0.32767977777777779</c:v>
                </c:pt>
                <c:pt idx="5">
                  <c:v>0.39170800000000006</c:v>
                </c:pt>
                <c:pt idx="6">
                  <c:v>0.5529641111111111</c:v>
                </c:pt>
                <c:pt idx="7">
                  <c:v>0.37600283333333329</c:v>
                </c:pt>
                <c:pt idx="8">
                  <c:v>0.40401527777777774</c:v>
                </c:pt>
                <c:pt idx="9">
                  <c:v>0.37193638888888891</c:v>
                </c:pt>
                <c:pt idx="10">
                  <c:v>0.37121238888888891</c:v>
                </c:pt>
                <c:pt idx="11">
                  <c:v>0.38615661111111116</c:v>
                </c:pt>
                <c:pt idx="12">
                  <c:v>0.4884073888888889</c:v>
                </c:pt>
                <c:pt idx="13">
                  <c:v>0.29684038888888886</c:v>
                </c:pt>
                <c:pt idx="14">
                  <c:v>0.58543183333333326</c:v>
                </c:pt>
                <c:pt idx="15">
                  <c:v>0.3348787222222222</c:v>
                </c:pt>
                <c:pt idx="16">
                  <c:v>0.39099744444444445</c:v>
                </c:pt>
                <c:pt idx="17">
                  <c:v>0.42146349999999999</c:v>
                </c:pt>
                <c:pt idx="18">
                  <c:v>0.44992333333333334</c:v>
                </c:pt>
                <c:pt idx="19">
                  <c:v>0.54501322222222226</c:v>
                </c:pt>
                <c:pt idx="20">
                  <c:v>0.44261372222222228</c:v>
                </c:pt>
                <c:pt idx="21">
                  <c:v>0.42276977777777769</c:v>
                </c:pt>
              </c:numCache>
            </c:numRef>
          </c:val>
          <c:smooth val="0"/>
          <c:extLst>
            <c:ext xmlns:c16="http://schemas.microsoft.com/office/drawing/2014/chart" uri="{C3380CC4-5D6E-409C-BE32-E72D297353CC}">
              <c16:uniqueId val="{00000000-830E-4EDA-9C13-B7954D015575}"/>
            </c:ext>
          </c:extLst>
        </c:ser>
        <c:ser>
          <c:idx val="3"/>
          <c:order val="2"/>
          <c:tx>
            <c:v>Mean WE (Lifetime)</c:v>
          </c:tx>
          <c:spPr>
            <a:ln w="38100">
              <a:solidFill>
                <a:srgbClr val="0070C0">
                  <a:alpha val="50000"/>
                </a:srgbClr>
              </a:solidFill>
              <a:prstDash val="sysDash"/>
            </a:ln>
          </c:spPr>
          <c:marker>
            <c:symbol val="none"/>
          </c:marker>
          <c:cat>
            <c:numRef>
              <c:f>'Daily WE'!$C$3:$C$158</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Visualisations!$CL$5:$CL$211</c:f>
              <c:numCache>
                <c:formatCode>General</c:formatCode>
                <c:ptCount val="207"/>
                <c:pt idx="0">
                  <c:v>0.4150363317865432</c:v>
                </c:pt>
                <c:pt idx="1">
                  <c:v>0.4150363317865432</c:v>
                </c:pt>
                <c:pt idx="2">
                  <c:v>0.4150363317865432</c:v>
                </c:pt>
                <c:pt idx="3">
                  <c:v>0.4150363317865432</c:v>
                </c:pt>
                <c:pt idx="4">
                  <c:v>0.4150363317865432</c:v>
                </c:pt>
                <c:pt idx="5">
                  <c:v>0.4150363317865432</c:v>
                </c:pt>
                <c:pt idx="6">
                  <c:v>0.4150363317865432</c:v>
                </c:pt>
                <c:pt idx="7">
                  <c:v>0.4150363317865432</c:v>
                </c:pt>
                <c:pt idx="8">
                  <c:v>0.4150363317865432</c:v>
                </c:pt>
                <c:pt idx="9">
                  <c:v>0.4150363317865432</c:v>
                </c:pt>
                <c:pt idx="10">
                  <c:v>0.4150363317865432</c:v>
                </c:pt>
                <c:pt idx="11">
                  <c:v>0.4150363317865432</c:v>
                </c:pt>
                <c:pt idx="12">
                  <c:v>0.4150363317865432</c:v>
                </c:pt>
                <c:pt idx="13">
                  <c:v>0.4150363317865432</c:v>
                </c:pt>
                <c:pt idx="14">
                  <c:v>0.4150363317865432</c:v>
                </c:pt>
                <c:pt idx="15">
                  <c:v>0.4150363317865432</c:v>
                </c:pt>
                <c:pt idx="16">
                  <c:v>0.4150363317865432</c:v>
                </c:pt>
                <c:pt idx="17">
                  <c:v>0.4150363317865432</c:v>
                </c:pt>
                <c:pt idx="18">
                  <c:v>0.4150363317865432</c:v>
                </c:pt>
                <c:pt idx="19">
                  <c:v>0.4150363317865432</c:v>
                </c:pt>
                <c:pt idx="20">
                  <c:v>0.4150363317865432</c:v>
                </c:pt>
                <c:pt idx="21">
                  <c:v>0.4150363317865432</c:v>
                </c:pt>
              </c:numCache>
            </c:numRef>
          </c:val>
          <c:smooth val="0"/>
          <c:extLst>
            <c:ext xmlns:c16="http://schemas.microsoft.com/office/drawing/2014/chart" uri="{C3380CC4-5D6E-409C-BE32-E72D297353CC}">
              <c16:uniqueId val="{00000001-830E-4EDA-9C13-B7954D015575}"/>
            </c:ext>
          </c:extLst>
        </c:ser>
        <c:dLbls>
          <c:showLegendKey val="0"/>
          <c:showVal val="0"/>
          <c:showCatName val="0"/>
          <c:showSerName val="0"/>
          <c:showPercent val="0"/>
          <c:showBubbleSize val="0"/>
        </c:dLbls>
        <c:marker val="1"/>
        <c:smooth val="0"/>
        <c:axId val="49816524"/>
        <c:axId val="23224881"/>
      </c:lineChart>
      <c:lineChart>
        <c:grouping val="standard"/>
        <c:varyColors val="0"/>
        <c:ser>
          <c:idx val="2"/>
          <c:order val="1"/>
          <c:tx>
            <c:v>Mean Frame Ratio</c:v>
          </c:tx>
          <c:spPr>
            <a:ln w="31750">
              <a:solidFill>
                <a:srgbClr val="FF7128"/>
              </a:solidFill>
            </a:ln>
          </c:spPr>
          <c:marker>
            <c:symbol val="none"/>
          </c:marker>
          <c:cat>
            <c:numRef>
              <c:f>'Daily WE'!$C$3:$C$158</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46251</c:v>
                </c:pt>
                <c:pt idx="19">
                  <c:v>46251</c:v>
                </c:pt>
                <c:pt idx="20">
                  <c:v>46252</c:v>
                </c:pt>
                <c:pt idx="21">
                  <c:v>46253</c:v>
                </c:pt>
                <c:pt idx="22">
                  <c:v>46254</c:v>
                </c:pt>
                <c:pt idx="23">
                  <c:v>46255</c:v>
                </c:pt>
              </c:numCache>
            </c:numRef>
          </c:cat>
          <c:val>
            <c:numRef>
              <c:f>Visualisations!$CA$5:$CA$211</c:f>
              <c:numCache>
                <c:formatCode>0.00%</c:formatCode>
                <c:ptCount val="207"/>
                <c:pt idx="0">
                  <c:v>2.0454117647058823</c:v>
                </c:pt>
                <c:pt idx="1">
                  <c:v>1.5828333333333333</c:v>
                </c:pt>
                <c:pt idx="2">
                  <c:v>1.8330555555555557</c:v>
                </c:pt>
                <c:pt idx="3">
                  <c:v>2.0142222222222221</c:v>
                </c:pt>
                <c:pt idx="4">
                  <c:v>1.9315555555555557</c:v>
                </c:pt>
                <c:pt idx="5">
                  <c:v>1.7669259259259258</c:v>
                </c:pt>
                <c:pt idx="6">
                  <c:v>1.5736296296296295</c:v>
                </c:pt>
                <c:pt idx="7">
                  <c:v>2.1166111111111112</c:v>
                </c:pt>
                <c:pt idx="8">
                  <c:v>2.1446111111111112</c:v>
                </c:pt>
                <c:pt idx="9">
                  <c:v>1.9754444444444443</c:v>
                </c:pt>
                <c:pt idx="10">
                  <c:v>2.0699444444444444</c:v>
                </c:pt>
                <c:pt idx="11">
                  <c:v>1.8814444444444443</c:v>
                </c:pt>
                <c:pt idx="12">
                  <c:v>1.6933888888888888</c:v>
                </c:pt>
                <c:pt idx="13">
                  <c:v>1.3823888888888889</c:v>
                </c:pt>
                <c:pt idx="14">
                  <c:v>1.7073888888888888</c:v>
                </c:pt>
                <c:pt idx="15">
                  <c:v>1.5146666666666668</c:v>
                </c:pt>
                <c:pt idx="16">
                  <c:v>1.4915</c:v>
                </c:pt>
                <c:pt idx="17">
                  <c:v>1.6845000000000001</c:v>
                </c:pt>
                <c:pt idx="18">
                  <c:v>1.8520000000000001</c:v>
                </c:pt>
                <c:pt idx="19">
                  <c:v>1.7113888888888888</c:v>
                </c:pt>
                <c:pt idx="20">
                  <c:v>1.7869999999999999</c:v>
                </c:pt>
                <c:pt idx="21">
                  <c:v>1.564888888888889</c:v>
                </c:pt>
              </c:numCache>
            </c:numRef>
          </c:val>
          <c:smooth val="0"/>
          <c:extLst>
            <c:ext xmlns:c16="http://schemas.microsoft.com/office/drawing/2014/chart" uri="{C3380CC4-5D6E-409C-BE32-E72D297353CC}">
              <c16:uniqueId val="{00000002-830E-4EDA-9C13-B7954D015575}"/>
            </c:ext>
          </c:extLst>
        </c:ser>
        <c:dLbls>
          <c:showLegendKey val="0"/>
          <c:showVal val="0"/>
          <c:showCatName val="0"/>
          <c:showSerName val="0"/>
          <c:showPercent val="0"/>
          <c:showBubbleSize val="0"/>
        </c:dLbls>
        <c:marker val="1"/>
        <c:smooth val="0"/>
        <c:axId val="43560800"/>
        <c:axId val="43544000"/>
      </c:lineChart>
      <c:dateAx>
        <c:axId val="49816524"/>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solidFill>
                  <a:srgbClr val="000000"/>
                </a:solidFill>
                <a:latin typeface="Calibri"/>
              </a:defRPr>
            </a:pPr>
            <a:endParaRPr lang="en-US"/>
          </a:p>
        </c:txPr>
        <c:crossAx val="23224881"/>
        <c:crosses val="autoZero"/>
        <c:auto val="1"/>
        <c:lblOffset val="100"/>
        <c:baseTimeUnit val="days"/>
      </c:dateAx>
      <c:valAx>
        <c:axId val="232248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Error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16524"/>
        <c:crosses val="autoZero"/>
        <c:crossBetween val="between"/>
      </c:valAx>
      <c:valAx>
        <c:axId val="43544000"/>
        <c:scaling>
          <c:orientation val="minMax"/>
        </c:scaling>
        <c:delete val="0"/>
        <c:axPos val="r"/>
        <c:numFmt formatCode="0%" sourceLinked="0"/>
        <c:majorTickMark val="out"/>
        <c:minorTickMark val="none"/>
        <c:tickLblPos val="nextTo"/>
        <c:crossAx val="43560800"/>
        <c:crosses val="max"/>
        <c:crossBetween val="between"/>
      </c:valAx>
      <c:dateAx>
        <c:axId val="43560800"/>
        <c:scaling>
          <c:orientation val="minMax"/>
        </c:scaling>
        <c:delete val="1"/>
        <c:axPos val="b"/>
        <c:numFmt formatCode="m/d/yyyy" sourceLinked="1"/>
        <c:majorTickMark val="out"/>
        <c:minorTickMark val="none"/>
        <c:tickLblPos val="nextTo"/>
        <c:crossAx val="43544000"/>
        <c:crosses val="autoZero"/>
        <c:auto val="1"/>
        <c:lblOffset val="100"/>
        <c:baseTimeUnit val="days"/>
      </c:dateAx>
      <c:spPr>
        <a:noFill/>
        <a:ln w="0">
          <a:noFill/>
        </a:ln>
      </c:spPr>
    </c:plotArea>
    <c:legend>
      <c:legendPos val="r"/>
      <c:layout>
        <c:manualLayout>
          <c:xMode val="edge"/>
          <c:yMode val="edge"/>
          <c:x val="0.78239771263994151"/>
          <c:y val="1.790236884390602E-2"/>
          <c:w val="0.21198124743191796"/>
          <c:h val="0.12372010270700134"/>
        </c:manualLayout>
      </c:layout>
      <c:overlay val="0"/>
      <c:spPr>
        <a:gradFill>
          <a:gsLst>
            <a:gs pos="0">
              <a:schemeClr val="accent1">
                <a:lumMod val="5000"/>
                <a:lumOff val="95000"/>
              </a:schemeClr>
            </a:gs>
            <a:gs pos="69000">
              <a:schemeClr val="accent1">
                <a:lumMod val="45000"/>
                <a:lumOff val="55000"/>
                <a:alpha val="50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nchor="ctr" anchorCtr="1"/>
        <a:lstStyle/>
        <a:p>
          <a:pPr>
            <a:defRPr sz="1000" b="0" strike="noStrike" spc="-1">
              <a:ln>
                <a:noFill/>
              </a:ln>
              <a:solidFill>
                <a:srgbClr val="000000"/>
              </a:solidFill>
              <a:latin typeface="Calibri"/>
            </a:defRPr>
          </a:pPr>
          <a:endParaRPr lang="en-US"/>
        </a:p>
      </c:txPr>
    </c:legend>
    <c:plotVisOnly val="0"/>
    <c:dispBlanksAs val="span"/>
    <c:showDLblsOverMax val="1"/>
    <c:extLst>
      <c:ext xmlns:c16r3="http://schemas.microsoft.com/office/drawing/2017/03/chart" uri="{56B9EC1D-385E-4148-901F-78D8002777C0}">
        <c16r3:dataDisplayOptions16>
          <c16r3:dispNaAsBlank val="1"/>
        </c16r3:dataDisplayOptions16>
      </c:ext>
    </c:extLst>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world error</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0688528140576779"/>
          <c:y val="0.22432887139107613"/>
          <c:w val="0.79396072584421173"/>
          <c:h val="0.63815590551181101"/>
        </c:manualLayout>
      </c:layout>
      <c:lineChart>
        <c:grouping val="standard"/>
        <c:varyColors val="0"/>
        <c:ser>
          <c:idx val="0"/>
          <c:order val="0"/>
          <c:tx>
            <c:v>Mean World Error</c:v>
          </c:tx>
          <c:spPr>
            <a:ln w="28575" cap="rnd">
              <a:solidFill>
                <a:schemeClr val="accent1"/>
              </a:solidFill>
              <a:round/>
            </a:ln>
            <a:effectLst/>
          </c:spPr>
          <c:marker>
            <c:symbol val="circle"/>
            <c:size val="6"/>
            <c:spPr>
              <a:solidFill>
                <a:schemeClr val="accent1"/>
              </a:solidFill>
              <a:ln>
                <a:noFill/>
              </a:ln>
              <a:effectLst/>
            </c:spPr>
          </c:marker>
          <c:cat>
            <c:strRef>
              <c:f>Trials!$F$44:$F$50</c:f>
              <c:strCache>
                <c:ptCount val="5"/>
                <c:pt idx="0">
                  <c:v>A</c:v>
                </c:pt>
                <c:pt idx="1">
                  <c:v>B</c:v>
                </c:pt>
                <c:pt idx="2">
                  <c:v>C</c:v>
                </c:pt>
                <c:pt idx="3">
                  <c:v>D</c:v>
                </c:pt>
                <c:pt idx="4">
                  <c:v>G</c:v>
                </c:pt>
              </c:strCache>
            </c:strRef>
          </c:cat>
          <c:val>
            <c:numRef>
              <c:f>Trials!$N$44:$N$50</c:f>
              <c:numCache>
                <c:formatCode>0.000000</c:formatCode>
                <c:ptCount val="5"/>
                <c:pt idx="0">
                  <c:v>0.38114821323529413</c:v>
                </c:pt>
                <c:pt idx="1">
                  <c:v>0.40775747467320261</c:v>
                </c:pt>
                <c:pt idx="2">
                  <c:v>0.30178345343137258</c:v>
                </c:pt>
                <c:pt idx="3">
                  <c:v>0.41310005392156862</c:v>
                </c:pt>
                <c:pt idx="4">
                  <c:v>0.32717873611111115</c:v>
                </c:pt>
              </c:numCache>
            </c:numRef>
          </c:val>
          <c:smooth val="0"/>
          <c:extLst>
            <c:ext xmlns:c16="http://schemas.microsoft.com/office/drawing/2014/chart" uri="{C3380CC4-5D6E-409C-BE32-E72D297353CC}">
              <c16:uniqueId val="{00000000-FEA5-43DF-BCA9-E35B42327B58}"/>
            </c:ext>
          </c:extLst>
        </c:ser>
        <c:ser>
          <c:idx val="2"/>
          <c:order val="2"/>
          <c:tx>
            <c:v>Lowest World Error</c:v>
          </c:tx>
          <c:spPr>
            <a:ln w="28575" cap="rnd">
              <a:solidFill>
                <a:schemeClr val="accent5"/>
              </a:solidFill>
              <a:round/>
            </a:ln>
            <a:effectLst/>
          </c:spPr>
          <c:marker>
            <c:symbol val="circle"/>
            <c:size val="6"/>
            <c:spPr>
              <a:solidFill>
                <a:schemeClr val="accent5"/>
              </a:solidFill>
              <a:ln>
                <a:noFill/>
              </a:ln>
              <a:effectLst/>
            </c:spPr>
          </c:marker>
          <c:cat>
            <c:strRef>
              <c:f>Trials!$F$44:$F$50</c:f>
              <c:strCache>
                <c:ptCount val="5"/>
                <c:pt idx="0">
                  <c:v>A</c:v>
                </c:pt>
                <c:pt idx="1">
                  <c:v>B</c:v>
                </c:pt>
                <c:pt idx="2">
                  <c:v>C</c:v>
                </c:pt>
                <c:pt idx="3">
                  <c:v>D</c:v>
                </c:pt>
                <c:pt idx="4">
                  <c:v>G</c:v>
                </c:pt>
              </c:strCache>
            </c:strRef>
          </c:cat>
          <c:val>
            <c:numRef>
              <c:f>Trials!$P$44:$P$50</c:f>
              <c:numCache>
                <c:formatCode>0.000000</c:formatCode>
                <c:ptCount val="5"/>
                <c:pt idx="0">
                  <c:v>0.117384</c:v>
                </c:pt>
                <c:pt idx="1">
                  <c:v>0.17457500000000001</c:v>
                </c:pt>
                <c:pt idx="2">
                  <c:v>0.138596</c:v>
                </c:pt>
                <c:pt idx="3">
                  <c:v>0.21996299999999999</c:v>
                </c:pt>
                <c:pt idx="4">
                  <c:v>0.13330800000000001</c:v>
                </c:pt>
              </c:numCache>
            </c:numRef>
          </c:val>
          <c:smooth val="0"/>
          <c:extLst>
            <c:ext xmlns:c16="http://schemas.microsoft.com/office/drawing/2014/chart" uri="{C3380CC4-5D6E-409C-BE32-E72D297353CC}">
              <c16:uniqueId val="{00000002-FEA5-43DF-BCA9-E35B42327B58}"/>
            </c:ext>
          </c:extLst>
        </c:ser>
        <c:ser>
          <c:idx val="3"/>
          <c:order val="3"/>
          <c:tx>
            <c:v>Highest World Error</c:v>
          </c:tx>
          <c:spPr>
            <a:ln w="28575" cap="rnd">
              <a:solidFill>
                <a:schemeClr val="accent1">
                  <a:lumMod val="60000"/>
                </a:schemeClr>
              </a:solidFill>
              <a:round/>
            </a:ln>
            <a:effectLst/>
          </c:spPr>
          <c:marker>
            <c:symbol val="circle"/>
            <c:size val="6"/>
            <c:spPr>
              <a:solidFill>
                <a:schemeClr val="accent1">
                  <a:lumMod val="60000"/>
                </a:schemeClr>
              </a:solidFill>
              <a:ln>
                <a:noFill/>
              </a:ln>
              <a:effectLst/>
            </c:spPr>
          </c:marker>
          <c:cat>
            <c:strRef>
              <c:f>Trials!$F$44:$F$50</c:f>
              <c:strCache>
                <c:ptCount val="5"/>
                <c:pt idx="0">
                  <c:v>A</c:v>
                </c:pt>
                <c:pt idx="1">
                  <c:v>B</c:v>
                </c:pt>
                <c:pt idx="2">
                  <c:v>C</c:v>
                </c:pt>
                <c:pt idx="3">
                  <c:v>D</c:v>
                </c:pt>
                <c:pt idx="4">
                  <c:v>G</c:v>
                </c:pt>
              </c:strCache>
            </c:strRef>
          </c:cat>
          <c:val>
            <c:numRef>
              <c:f>Trials!$Q$44:$Q$50</c:f>
              <c:numCache>
                <c:formatCode>0.000000</c:formatCode>
                <c:ptCount val="5"/>
                <c:pt idx="0">
                  <c:v>0.64593299999999998</c:v>
                </c:pt>
                <c:pt idx="1">
                  <c:v>0.73990800000000001</c:v>
                </c:pt>
                <c:pt idx="2">
                  <c:v>0.58531599999999995</c:v>
                </c:pt>
                <c:pt idx="3">
                  <c:v>0.61059399999999997</c:v>
                </c:pt>
                <c:pt idx="4">
                  <c:v>0.55817000000000005</c:v>
                </c:pt>
              </c:numCache>
            </c:numRef>
          </c:val>
          <c:smooth val="0"/>
          <c:extLst>
            <c:ext xmlns:c16="http://schemas.microsoft.com/office/drawing/2014/chart" uri="{C3380CC4-5D6E-409C-BE32-E72D297353CC}">
              <c16:uniqueId val="{00000003-FEA5-43DF-BCA9-E35B42327B58}"/>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Trials!$H$2</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Trials!$F$44:$F$50</c:f>
              <c:strCache>
                <c:ptCount val="5"/>
                <c:pt idx="0">
                  <c:v>A</c:v>
                </c:pt>
                <c:pt idx="1">
                  <c:v>B</c:v>
                </c:pt>
                <c:pt idx="2">
                  <c:v>C</c:v>
                </c:pt>
                <c:pt idx="3">
                  <c:v>D</c:v>
                </c:pt>
                <c:pt idx="4">
                  <c:v>G</c:v>
                </c:pt>
              </c:strCache>
            </c:strRef>
          </c:cat>
          <c:val>
            <c:numRef>
              <c:f>Trials!$H$44:$H$50</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1-FEA5-43DF-BCA9-E35B42327B58}"/>
            </c:ext>
          </c:extLst>
        </c:ser>
        <c:dLbls>
          <c:showLegendKey val="0"/>
          <c:showVal val="0"/>
          <c:showCatName val="0"/>
          <c:showSerName val="0"/>
          <c:showPercent val="0"/>
          <c:showBubbleSize val="0"/>
        </c:dLbls>
        <c:marker val="1"/>
        <c:smooth val="0"/>
        <c:axId val="766697151"/>
        <c:axId val="43188081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Error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8081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97151"/>
        <c:crosses val="max"/>
        <c:crossBetween val="between"/>
      </c:valAx>
      <c:catAx>
        <c:axId val="766697151"/>
        <c:scaling>
          <c:orientation val="minMax"/>
        </c:scaling>
        <c:delete val="1"/>
        <c:axPos val="b"/>
        <c:numFmt formatCode="General" sourceLinked="1"/>
        <c:majorTickMark val="out"/>
        <c:minorTickMark val="none"/>
        <c:tickLblPos val="nextTo"/>
        <c:crossAx val="431880815"/>
        <c:crosses val="autoZero"/>
        <c:auto val="1"/>
        <c:lblAlgn val="ctr"/>
        <c:lblOffset val="100"/>
        <c:noMultiLvlLbl val="0"/>
      </c:cat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2678059611219064"/>
          <c:y val="2.8350102070574326E-3"/>
          <c:w val="0.47321940388780942"/>
          <c:h val="0.16563317318571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CAMERA AUTO-STOP TIME</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7228937007874015"/>
          <c:y val="0.19432888597258677"/>
          <c:w val="0.68436482939632548"/>
          <c:h val="0.63815580344123646"/>
        </c:manualLayout>
      </c:layout>
      <c:lineChart>
        <c:grouping val="standard"/>
        <c:varyColors val="0"/>
        <c:ser>
          <c:idx val="0"/>
          <c:order val="0"/>
          <c:tx>
            <c:v>Calibration Time</c:v>
          </c:tx>
          <c:spPr>
            <a:ln w="28575" cap="rnd">
              <a:solidFill>
                <a:schemeClr val="tx1">
                  <a:lumMod val="95000"/>
                  <a:lumOff val="5000"/>
                </a:schemeClr>
              </a:solidFill>
              <a:round/>
            </a:ln>
            <a:effectLst/>
          </c:spPr>
          <c:marker>
            <c:symbol val="circle"/>
            <c:size val="6"/>
            <c:spPr>
              <a:solidFill>
                <a:schemeClr val="tx1">
                  <a:lumMod val="95000"/>
                  <a:lumOff val="5000"/>
                </a:schemeClr>
              </a:solidFill>
              <a:ln>
                <a:noFill/>
              </a:ln>
              <a:effectLst/>
            </c:spPr>
          </c:marker>
          <c:cat>
            <c:strRef>
              <c:f>Trials!$F$44:$F$50</c:f>
              <c:strCache>
                <c:ptCount val="5"/>
                <c:pt idx="0">
                  <c:v>A</c:v>
                </c:pt>
                <c:pt idx="1">
                  <c:v>B</c:v>
                </c:pt>
                <c:pt idx="2">
                  <c:v>C</c:v>
                </c:pt>
                <c:pt idx="3">
                  <c:v>D</c:v>
                </c:pt>
                <c:pt idx="4">
                  <c:v>G</c:v>
                </c:pt>
              </c:strCache>
            </c:strRef>
          </c:cat>
          <c:val>
            <c:numRef>
              <c:f>Trials!$AA$44:$AA$50</c:f>
              <c:numCache>
                <c:formatCode>h:mm</c:formatCode>
                <c:ptCount val="5"/>
                <c:pt idx="0">
                  <c:v>5.8333333333333334E-2</c:v>
                </c:pt>
                <c:pt idx="1">
                  <c:v>6.5972222222222224E-2</c:v>
                </c:pt>
                <c:pt idx="2">
                  <c:v>6.25E-2</c:v>
                </c:pt>
                <c:pt idx="3">
                  <c:v>3.4722222222222224E-2</c:v>
                </c:pt>
                <c:pt idx="4">
                  <c:v>5.347222222222222E-2</c:v>
                </c:pt>
              </c:numCache>
            </c:numRef>
          </c:val>
          <c:smooth val="0"/>
          <c:extLst>
            <c:ext xmlns:c16="http://schemas.microsoft.com/office/drawing/2014/chart" uri="{C3380CC4-5D6E-409C-BE32-E72D297353CC}">
              <c16:uniqueId val="{00000000-CA73-4B36-8279-9F580AE8A2B7}"/>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Trials!$H$2</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Trials!$F$44:$F$50</c:f>
              <c:strCache>
                <c:ptCount val="5"/>
                <c:pt idx="0">
                  <c:v>A</c:v>
                </c:pt>
                <c:pt idx="1">
                  <c:v>B</c:v>
                </c:pt>
                <c:pt idx="2">
                  <c:v>C</c:v>
                </c:pt>
                <c:pt idx="3">
                  <c:v>D</c:v>
                </c:pt>
                <c:pt idx="4">
                  <c:v>G</c:v>
                </c:pt>
              </c:strCache>
            </c:strRef>
          </c:cat>
          <c:val>
            <c:numRef>
              <c:f>Trials!$H$44:$H$50</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1-CA73-4B36-8279-9F580AE8A2B7}"/>
            </c:ext>
          </c:extLst>
        </c:ser>
        <c:dLbls>
          <c:showLegendKey val="0"/>
          <c:showVal val="0"/>
          <c:showCatName val="0"/>
          <c:showSerName val="0"/>
          <c:showPercent val="0"/>
          <c:showBubbleSize val="0"/>
        </c:dLbls>
        <c:marker val="1"/>
        <c:smooth val="0"/>
        <c:axId val="746394047"/>
        <c:axId val="43186545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Duration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6545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94047"/>
        <c:crosses val="max"/>
        <c:crossBetween val="between"/>
      </c:valAx>
      <c:catAx>
        <c:axId val="746394047"/>
        <c:scaling>
          <c:orientation val="minMax"/>
        </c:scaling>
        <c:delete val="1"/>
        <c:axPos val="b"/>
        <c:numFmt formatCode="General" sourceLinked="1"/>
        <c:majorTickMark val="none"/>
        <c:minorTickMark val="none"/>
        <c:tickLblPos val="nextTo"/>
        <c:crossAx val="431865455"/>
        <c:crosses val="autoZero"/>
        <c:auto val="1"/>
        <c:lblAlgn val="ctr"/>
        <c:lblOffset val="100"/>
        <c:noMultiLvlLbl val="0"/>
      </c:catAx>
      <c:spPr>
        <a:noFill/>
        <a:ln>
          <a:noFill/>
        </a:ln>
        <a:effectLst/>
      </c:spPr>
    </c:plotArea>
    <c:legend>
      <c:legendPos val="r"/>
      <c:layout>
        <c:manualLayout>
          <c:xMode val="edge"/>
          <c:yMode val="edge"/>
          <c:x val="0.6664016147394487"/>
          <c:y val="2.8350102070574326E-3"/>
          <c:w val="0.33359838526055136"/>
          <c:h val="0.10245834855704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r>
              <a:rPr lang="en-GB" sz="1200">
                <a:solidFill>
                  <a:schemeClr val="dk1"/>
                </a:solidFill>
                <a:latin typeface="+mn-lt"/>
                <a:ea typeface="+mn-ea"/>
                <a:cs typeface="+mn-cs"/>
              </a:rPr>
              <a:t>Wand</a:t>
            </a:r>
            <a:r>
              <a:rPr lang="en-GB" sz="1200" baseline="0">
                <a:solidFill>
                  <a:schemeClr val="dk1"/>
                </a:solidFill>
                <a:latin typeface="+mn-lt"/>
                <a:ea typeface="+mn-ea"/>
                <a:cs typeface="+mn-cs"/>
              </a:rPr>
              <a:t> technique vs IMAGE error</a:t>
            </a:r>
            <a:endParaRPr lang="en-GB" sz="1200">
              <a:solidFill>
                <a:sysClr val="windowText" lastClr="000000"/>
              </a:solidFill>
            </a:endParaRPr>
          </a:p>
        </c:rich>
      </c:tx>
      <c:layout>
        <c:manualLayout>
          <c:xMode val="edge"/>
          <c:yMode val="edge"/>
          <c:x val="1.0222222222222223E-2"/>
          <c:y val="1.8518518518518517E-2"/>
        </c:manualLayout>
      </c:layout>
      <c:overlay val="0"/>
      <c:spPr>
        <a:gradFill>
          <a:gsLst>
            <a:gs pos="0">
              <a:schemeClr val="accent2">
                <a:tint val="50000"/>
              </a:schemeClr>
            </a:gs>
            <a:gs pos="35000">
              <a:schemeClr val="accent2">
                <a:tint val="37000"/>
              </a:schemeClr>
            </a:gs>
            <a:gs pos="100000">
              <a:schemeClr val="accent2">
                <a:tint val="15000"/>
              </a:schemeClr>
            </a:gs>
          </a:gsLst>
          <a:lin ang="16200000" scaled="1"/>
          <a:tileRect/>
        </a:gradFill>
        <a:ln w="9525" cap="flat" cmpd="sng" algn="ctr">
          <a:noFill/>
          <a:prstDash val="solid"/>
        </a:ln>
        <a:effectLst/>
      </c:spPr>
      <c:txPr>
        <a:bodyPr rot="0" spcFirstLastPara="1" vertOverflow="ellipsis" vert="horz" wrap="square" anchor="ctr" anchorCtr="1"/>
        <a:lstStyle/>
        <a:p>
          <a:pPr algn="l">
            <a:defRPr sz="1800" b="1" i="0" u="none" strike="noStrike" kern="1200" cap="all" spc="150" baseline="0">
              <a:solidFill>
                <a:schemeClr val="dk1"/>
              </a:solidFill>
              <a:latin typeface="+mn-lt"/>
              <a:ea typeface="+mn-ea"/>
              <a:cs typeface="+mn-cs"/>
            </a:defRPr>
          </a:pPr>
          <a:endParaRPr lang="en-GB"/>
        </a:p>
      </c:txPr>
    </c:title>
    <c:autoTitleDeleted val="0"/>
    <c:plotArea>
      <c:layout>
        <c:manualLayout>
          <c:layoutTarget val="inner"/>
          <c:xMode val="edge"/>
          <c:yMode val="edge"/>
          <c:x val="0.10688528140576779"/>
          <c:y val="0.22432887139107613"/>
          <c:w val="0.79396072584421173"/>
          <c:h val="0.63815590551181101"/>
        </c:manualLayout>
      </c:layout>
      <c:lineChart>
        <c:grouping val="standard"/>
        <c:varyColors val="0"/>
        <c:ser>
          <c:idx val="0"/>
          <c:order val="0"/>
          <c:tx>
            <c:v>Mean World Error</c:v>
          </c:tx>
          <c:spPr>
            <a:ln w="28575" cap="rnd">
              <a:solidFill>
                <a:srgbClr val="FF0000"/>
              </a:solidFill>
              <a:round/>
            </a:ln>
            <a:effectLst/>
          </c:spPr>
          <c:marker>
            <c:symbol val="circle"/>
            <c:size val="6"/>
            <c:spPr>
              <a:solidFill>
                <a:srgbClr val="FF0000"/>
              </a:solidFill>
              <a:ln>
                <a:noFill/>
              </a:ln>
              <a:effectLst/>
            </c:spPr>
          </c:marker>
          <c:cat>
            <c:strRef>
              <c:f>Trials!$F$44:$F$50</c:f>
              <c:strCache>
                <c:ptCount val="5"/>
                <c:pt idx="0">
                  <c:v>A</c:v>
                </c:pt>
                <c:pt idx="1">
                  <c:v>B</c:v>
                </c:pt>
                <c:pt idx="2">
                  <c:v>C</c:v>
                </c:pt>
                <c:pt idx="3">
                  <c:v>D</c:v>
                </c:pt>
                <c:pt idx="4">
                  <c:v>G</c:v>
                </c:pt>
              </c:strCache>
            </c:strRef>
          </c:cat>
          <c:val>
            <c:numRef>
              <c:f>Trials!$T$44:$T$50</c:f>
              <c:numCache>
                <c:formatCode>0.000000</c:formatCode>
                <c:ptCount val="5"/>
                <c:pt idx="0">
                  <c:v>9.2918189950980404E-2</c:v>
                </c:pt>
                <c:pt idx="1">
                  <c:v>9.9349482352941179E-2</c:v>
                </c:pt>
                <c:pt idx="2">
                  <c:v>7.2988631862745096E-2</c:v>
                </c:pt>
                <c:pt idx="3">
                  <c:v>0.10088763325163398</c:v>
                </c:pt>
                <c:pt idx="4">
                  <c:v>7.9724595833333342E-2</c:v>
                </c:pt>
              </c:numCache>
            </c:numRef>
          </c:val>
          <c:smooth val="0"/>
          <c:extLst>
            <c:ext xmlns:c16="http://schemas.microsoft.com/office/drawing/2014/chart" uri="{C3380CC4-5D6E-409C-BE32-E72D297353CC}">
              <c16:uniqueId val="{00000000-0CC1-481B-960F-AF7389377099}"/>
            </c:ext>
          </c:extLst>
        </c:ser>
        <c:ser>
          <c:idx val="2"/>
          <c:order val="2"/>
          <c:tx>
            <c:v>Lowest World Error</c:v>
          </c:tx>
          <c:spPr>
            <a:ln w="28575" cap="rnd">
              <a:solidFill>
                <a:schemeClr val="accent2">
                  <a:lumMod val="60000"/>
                  <a:lumOff val="40000"/>
                </a:schemeClr>
              </a:solidFill>
              <a:round/>
            </a:ln>
            <a:effectLst/>
          </c:spPr>
          <c:marker>
            <c:symbol val="circle"/>
            <c:size val="6"/>
            <c:spPr>
              <a:solidFill>
                <a:schemeClr val="accent2">
                  <a:lumMod val="60000"/>
                  <a:lumOff val="40000"/>
                </a:schemeClr>
              </a:solidFill>
              <a:ln>
                <a:noFill/>
              </a:ln>
              <a:effectLst/>
            </c:spPr>
          </c:marker>
          <c:cat>
            <c:strRef>
              <c:f>Trials!$F$44:$F$50</c:f>
              <c:strCache>
                <c:ptCount val="5"/>
                <c:pt idx="0">
                  <c:v>A</c:v>
                </c:pt>
                <c:pt idx="1">
                  <c:v>B</c:v>
                </c:pt>
                <c:pt idx="2">
                  <c:v>C</c:v>
                </c:pt>
                <c:pt idx="3">
                  <c:v>D</c:v>
                </c:pt>
                <c:pt idx="4">
                  <c:v>G</c:v>
                </c:pt>
              </c:strCache>
            </c:strRef>
          </c:cat>
          <c:val>
            <c:numRef>
              <c:f>Trials!$V$44:$V$50</c:f>
              <c:numCache>
                <c:formatCode>0.000000</c:formatCode>
                <c:ptCount val="5"/>
                <c:pt idx="0">
                  <c:v>2.3031800000000002E-2</c:v>
                </c:pt>
                <c:pt idx="1">
                  <c:v>4.1752299999999999E-2</c:v>
                </c:pt>
                <c:pt idx="2">
                  <c:v>3.3919999999999999E-2</c:v>
                </c:pt>
                <c:pt idx="3">
                  <c:v>5.7532100000000003E-2</c:v>
                </c:pt>
                <c:pt idx="4">
                  <c:v>4.3235999999999997E-2</c:v>
                </c:pt>
              </c:numCache>
            </c:numRef>
          </c:val>
          <c:smooth val="0"/>
          <c:extLst>
            <c:ext xmlns:c16="http://schemas.microsoft.com/office/drawing/2014/chart" uri="{C3380CC4-5D6E-409C-BE32-E72D297353CC}">
              <c16:uniqueId val="{00000001-0CC1-481B-960F-AF7389377099}"/>
            </c:ext>
          </c:extLst>
        </c:ser>
        <c:ser>
          <c:idx val="3"/>
          <c:order val="3"/>
          <c:tx>
            <c:v>Highest World Error</c:v>
          </c:tx>
          <c:spPr>
            <a:ln w="28575" cap="rnd">
              <a:solidFill>
                <a:schemeClr val="accent2">
                  <a:lumMod val="50000"/>
                </a:schemeClr>
              </a:solidFill>
              <a:round/>
            </a:ln>
            <a:effectLst/>
          </c:spPr>
          <c:marker>
            <c:symbol val="circle"/>
            <c:size val="6"/>
            <c:spPr>
              <a:solidFill>
                <a:schemeClr val="accent2">
                  <a:lumMod val="50000"/>
                </a:schemeClr>
              </a:solidFill>
              <a:ln>
                <a:noFill/>
              </a:ln>
              <a:effectLst/>
            </c:spPr>
          </c:marker>
          <c:cat>
            <c:strRef>
              <c:f>Trials!$F$44:$F$50</c:f>
              <c:strCache>
                <c:ptCount val="5"/>
                <c:pt idx="0">
                  <c:v>A</c:v>
                </c:pt>
                <c:pt idx="1">
                  <c:v>B</c:v>
                </c:pt>
                <c:pt idx="2">
                  <c:v>C</c:v>
                </c:pt>
                <c:pt idx="3">
                  <c:v>D</c:v>
                </c:pt>
                <c:pt idx="4">
                  <c:v>G</c:v>
                </c:pt>
              </c:strCache>
            </c:strRef>
          </c:cat>
          <c:val>
            <c:numRef>
              <c:f>Trials!$W$44:$W$50</c:f>
              <c:numCache>
                <c:formatCode>0.000000</c:formatCode>
                <c:ptCount val="5"/>
                <c:pt idx="0">
                  <c:v>0.181585</c:v>
                </c:pt>
                <c:pt idx="1">
                  <c:v>0.20802999999999999</c:v>
                </c:pt>
                <c:pt idx="2">
                  <c:v>0.12529399999999999</c:v>
                </c:pt>
                <c:pt idx="3">
                  <c:v>0.147393</c:v>
                </c:pt>
                <c:pt idx="4">
                  <c:v>0.18329200000000001</c:v>
                </c:pt>
              </c:numCache>
            </c:numRef>
          </c:val>
          <c:smooth val="0"/>
          <c:extLst>
            <c:ext xmlns:c16="http://schemas.microsoft.com/office/drawing/2014/chart" uri="{C3380CC4-5D6E-409C-BE32-E72D297353CC}">
              <c16:uniqueId val="{00000002-0CC1-481B-960F-AF7389377099}"/>
            </c:ext>
          </c:extLst>
        </c:ser>
        <c:dLbls>
          <c:showLegendKey val="0"/>
          <c:showVal val="0"/>
          <c:showCatName val="0"/>
          <c:showSerName val="0"/>
          <c:showPercent val="0"/>
          <c:showBubbleSize val="0"/>
        </c:dLbls>
        <c:marker val="1"/>
        <c:smooth val="0"/>
        <c:axId val="738842639"/>
        <c:axId val="431924975"/>
      </c:lineChart>
      <c:lineChart>
        <c:grouping val="standard"/>
        <c:varyColors val="0"/>
        <c:ser>
          <c:idx val="1"/>
          <c:order val="1"/>
          <c:tx>
            <c:strRef>
              <c:f>Trials!$H$2</c:f>
              <c:strCache>
                <c:ptCount val="1"/>
                <c:pt idx="0">
                  <c:v>Mean Frame
Count</c:v>
                </c:pt>
              </c:strCache>
            </c:strRef>
          </c:tx>
          <c:spPr>
            <a:ln w="28575" cap="rnd">
              <a:solidFill>
                <a:schemeClr val="accent3"/>
              </a:solidFill>
              <a:round/>
            </a:ln>
            <a:effectLst/>
          </c:spPr>
          <c:marker>
            <c:symbol val="circle"/>
            <c:size val="6"/>
            <c:spPr>
              <a:solidFill>
                <a:schemeClr val="accent3"/>
              </a:solidFill>
              <a:ln>
                <a:noFill/>
              </a:ln>
              <a:effectLst/>
            </c:spPr>
          </c:marker>
          <c:cat>
            <c:strRef>
              <c:f>Trials!$F$44:$F$50</c:f>
              <c:strCache>
                <c:ptCount val="5"/>
                <c:pt idx="0">
                  <c:v>A</c:v>
                </c:pt>
                <c:pt idx="1">
                  <c:v>B</c:v>
                </c:pt>
                <c:pt idx="2">
                  <c:v>C</c:v>
                </c:pt>
                <c:pt idx="3">
                  <c:v>D</c:v>
                </c:pt>
                <c:pt idx="4">
                  <c:v>G</c:v>
                </c:pt>
              </c:strCache>
            </c:strRef>
          </c:cat>
          <c:val>
            <c:numRef>
              <c:f>Trials!$H$44:$H$50</c:f>
              <c:numCache>
                <c:formatCode>0</c:formatCode>
                <c:ptCount val="5"/>
                <c:pt idx="0">
                  <c:v>1827.2426470588234</c:v>
                </c:pt>
                <c:pt idx="1">
                  <c:v>1813.4150326797385</c:v>
                </c:pt>
                <c:pt idx="2">
                  <c:v>1595.6004901960785</c:v>
                </c:pt>
                <c:pt idx="3">
                  <c:v>1475.6609477124184</c:v>
                </c:pt>
                <c:pt idx="4">
                  <c:v>1634.0416666666667</c:v>
                </c:pt>
              </c:numCache>
            </c:numRef>
          </c:val>
          <c:smooth val="0"/>
          <c:extLst>
            <c:ext xmlns:c16="http://schemas.microsoft.com/office/drawing/2014/chart" uri="{C3380CC4-5D6E-409C-BE32-E72D297353CC}">
              <c16:uniqueId val="{00000003-0CC1-481B-960F-AF7389377099}"/>
            </c:ext>
          </c:extLst>
        </c:ser>
        <c:dLbls>
          <c:showLegendKey val="0"/>
          <c:showVal val="0"/>
          <c:showCatName val="0"/>
          <c:showSerName val="0"/>
          <c:showPercent val="0"/>
          <c:showBubbleSize val="0"/>
        </c:dLbls>
        <c:marker val="1"/>
        <c:smooth val="0"/>
        <c:axId val="766697151"/>
        <c:axId val="431880815"/>
      </c:lineChart>
      <c:catAx>
        <c:axId val="738842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Wand Technique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24975"/>
        <c:crosses val="autoZero"/>
        <c:auto val="1"/>
        <c:lblAlgn val="ctr"/>
        <c:lblOffset val="100"/>
        <c:noMultiLvlLbl val="0"/>
      </c:catAx>
      <c:valAx>
        <c:axId val="431924975"/>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a:t>Error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42639"/>
        <c:crosses val="autoZero"/>
        <c:crossBetween val="midCat"/>
      </c:valAx>
      <c:valAx>
        <c:axId val="43188081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900" b="1" i="0" u="none" strike="noStrike" kern="1200" baseline="0">
                    <a:solidFill>
                      <a:srgbClr val="000000">
                        <a:lumMod val="65000"/>
                        <a:lumOff val="35000"/>
                      </a:srgbClr>
                    </a:solidFill>
                  </a:rPr>
                  <a:t>Average Wand Frame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97151"/>
        <c:crosses val="max"/>
        <c:crossBetween val="between"/>
      </c:valAx>
      <c:catAx>
        <c:axId val="766697151"/>
        <c:scaling>
          <c:orientation val="minMax"/>
        </c:scaling>
        <c:delete val="1"/>
        <c:axPos val="b"/>
        <c:numFmt formatCode="General" sourceLinked="1"/>
        <c:majorTickMark val="out"/>
        <c:minorTickMark val="none"/>
        <c:tickLblPos val="nextTo"/>
        <c:crossAx val="431880815"/>
        <c:crosses val="autoZero"/>
        <c:auto val="1"/>
        <c:lblAlgn val="ctr"/>
        <c:lblOffset val="100"/>
        <c:noMultiLvlLbl val="0"/>
      </c:catAx>
      <c:spPr>
        <a:noFill/>
        <a:ln>
          <a:noFill/>
        </a:ln>
        <a:effectLst/>
      </c:spPr>
    </c:plotArea>
    <c:legend>
      <c:legendPos val="r"/>
      <c:layout>
        <c:manualLayout>
          <c:xMode val="edge"/>
          <c:yMode val="edge"/>
          <c:x val="0.51091133977682912"/>
          <c:y val="2.8350102070574326E-3"/>
          <c:w val="0.48908866022317088"/>
          <c:h val="0.16558097864731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lgn="l">
              <a:defRPr sz="1800" b="1" strike="noStrike" spc="-1">
                <a:solidFill>
                  <a:srgbClr val="000000"/>
                </a:solidFill>
                <a:latin typeface="Calibri"/>
              </a:defRPr>
            </a:pPr>
            <a:r>
              <a:rPr lang="en-GB" sz="1800" b="1" strike="noStrike" spc="-1">
                <a:solidFill>
                  <a:srgbClr val="000000"/>
                </a:solidFill>
                <a:latin typeface="Calibri"/>
              </a:rPr>
              <a:t>World Error Over Time - Selected Camera</a:t>
            </a:r>
            <a:endParaRPr lang="en-GB" sz="1000" b="0" i="1" strike="noStrike" spc="-1">
              <a:solidFill>
                <a:srgbClr val="000000"/>
              </a:solidFill>
              <a:latin typeface="Calibri"/>
            </a:endParaRPr>
          </a:p>
        </c:rich>
      </c:tx>
      <c:layout>
        <c:manualLayout>
          <c:xMode val="edge"/>
          <c:yMode val="edge"/>
          <c:x val="1.2259637642408085E-2"/>
          <c:y val="2.9471212195048373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9832429314092683E-2"/>
          <c:y val="0.26626496124078974"/>
          <c:w val="0.80955023746844168"/>
          <c:h val="0.5651349670408331"/>
        </c:manualLayout>
      </c:layout>
      <c:lineChart>
        <c:grouping val="standard"/>
        <c:varyColors val="0"/>
        <c:ser>
          <c:idx val="0"/>
          <c:order val="0"/>
          <c:tx>
            <c:v>Camera WE</c:v>
          </c:tx>
          <c:spPr>
            <a:ln w="38100">
              <a:solidFill>
                <a:srgbClr val="4A7EBB"/>
              </a:solidFill>
              <a:round/>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Trends'!$C$6:$C$161</c:f>
              <c:numCache>
                <c:formatCode>0.000000</c:formatCode>
                <c:ptCount val="156"/>
                <c:pt idx="0">
                  <c:v>0.19189300000000001</c:v>
                </c:pt>
                <c:pt idx="1">
                  <c:v>0.28196100000000002</c:v>
                </c:pt>
                <c:pt idx="2">
                  <c:v>0.32659700000000003</c:v>
                </c:pt>
                <c:pt idx="3">
                  <c:v>0.27124799999999999</c:v>
                </c:pt>
                <c:pt idx="4">
                  <c:v>0.258108</c:v>
                </c:pt>
                <c:pt idx="5">
                  <c:v>0.218719</c:v>
                </c:pt>
                <c:pt idx="6">
                  <c:v>0.38531199999999999</c:v>
                </c:pt>
                <c:pt idx="7">
                  <c:v>0.28808499999999998</c:v>
                </c:pt>
                <c:pt idx="8">
                  <c:v>0.301788</c:v>
                </c:pt>
                <c:pt idx="9">
                  <c:v>0.26507900000000001</c:v>
                </c:pt>
                <c:pt idx="10">
                  <c:v>0.29474400000000001</c:v>
                </c:pt>
                <c:pt idx="11">
                  <c:v>0.38157099999999999</c:v>
                </c:pt>
                <c:pt idx="12">
                  <c:v>0.44016699999999997</c:v>
                </c:pt>
                <c:pt idx="13">
                  <c:v>0.25397599999999998</c:v>
                </c:pt>
                <c:pt idx="14">
                  <c:v>0.94400899999999999</c:v>
                </c:pt>
                <c:pt idx="15">
                  <c:v>0.21718199999999999</c:v>
                </c:pt>
                <c:pt idx="16">
                  <c:v>0.29020200000000002</c:v>
                </c:pt>
                <c:pt idx="17">
                  <c:v>0.35497099999999998</c:v>
                </c:pt>
                <c:pt idx="18">
                  <c:v>0.367645</c:v>
                </c:pt>
                <c:pt idx="19">
                  <c:v>0.56932799999999995</c:v>
                </c:pt>
                <c:pt idx="20">
                  <c:v>0.36153600000000002</c:v>
                </c:pt>
                <c:pt idx="21">
                  <c:v>0.322826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0-4263-4C18-B27D-4E5EBC9D822E}"/>
            </c:ext>
          </c:extLst>
        </c:ser>
        <c:ser>
          <c:idx val="3"/>
          <c:order val="2"/>
          <c:tx>
            <c:v>Daily Mean WE</c:v>
          </c:tx>
          <c:spPr>
            <a:ln>
              <a:solidFill>
                <a:srgbClr val="002060"/>
              </a:solidFill>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Trends'!$H$6:$H$151</c:f>
              <c:numCache>
                <c:formatCode>0.000000</c:formatCode>
                <c:ptCount val="146"/>
                <c:pt idx="0">
                  <c:v>0.3911837647058824</c:v>
                </c:pt>
                <c:pt idx="1">
                  <c:v>0.3804177222222222</c:v>
                </c:pt>
                <c:pt idx="2">
                  <c:v>0.3508782777777778</c:v>
                </c:pt>
                <c:pt idx="3">
                  <c:v>0.36980916666666658</c:v>
                </c:pt>
                <c:pt idx="4">
                  <c:v>0.32767977777777779</c:v>
                </c:pt>
                <c:pt idx="5">
                  <c:v>0.39170800000000006</c:v>
                </c:pt>
                <c:pt idx="6">
                  <c:v>0.5529641111111111</c:v>
                </c:pt>
                <c:pt idx="7">
                  <c:v>0.37600283333333329</c:v>
                </c:pt>
                <c:pt idx="8">
                  <c:v>0.40401527777777774</c:v>
                </c:pt>
                <c:pt idx="9">
                  <c:v>0.37193638888888891</c:v>
                </c:pt>
                <c:pt idx="10">
                  <c:v>0.37121238888888891</c:v>
                </c:pt>
                <c:pt idx="11">
                  <c:v>0.38615661111111116</c:v>
                </c:pt>
                <c:pt idx="12">
                  <c:v>0.4884073888888889</c:v>
                </c:pt>
                <c:pt idx="13">
                  <c:v>0.29684038888888886</c:v>
                </c:pt>
                <c:pt idx="14">
                  <c:v>0.58543183333333326</c:v>
                </c:pt>
                <c:pt idx="15">
                  <c:v>0.3348787222222222</c:v>
                </c:pt>
                <c:pt idx="16">
                  <c:v>0.39099744444444445</c:v>
                </c:pt>
                <c:pt idx="17">
                  <c:v>0.4757022222222223</c:v>
                </c:pt>
                <c:pt idx="18">
                  <c:v>0.44992333333333334</c:v>
                </c:pt>
                <c:pt idx="19">
                  <c:v>0.54501322222222226</c:v>
                </c:pt>
                <c:pt idx="20">
                  <c:v>0.44261372222222228</c:v>
                </c:pt>
                <c:pt idx="21">
                  <c:v>0.42276977777777769</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numCache>
            </c:numRef>
          </c:val>
          <c:smooth val="0"/>
          <c:extLst>
            <c:ext xmlns:c16="http://schemas.microsoft.com/office/drawing/2014/chart" uri="{C3380CC4-5D6E-409C-BE32-E72D297353CC}">
              <c16:uniqueId val="{00000007-76F3-4EFD-8E72-A1B9689C2D8F}"/>
            </c:ext>
          </c:extLst>
        </c:ser>
        <c:dLbls>
          <c:showLegendKey val="0"/>
          <c:showVal val="0"/>
          <c:showCatName val="0"/>
          <c:showSerName val="0"/>
          <c:showPercent val="0"/>
          <c:showBubbleSize val="0"/>
        </c:dLbls>
        <c:marker val="1"/>
        <c:smooth val="0"/>
        <c:axId val="96563045"/>
        <c:axId val="27821446"/>
      </c:lineChart>
      <c:lineChart>
        <c:grouping val="standard"/>
        <c:varyColors val="0"/>
        <c:ser>
          <c:idx val="2"/>
          <c:order val="1"/>
          <c:tx>
            <c:strRef>
              <c:f>'Daily Camera Trends'!$E$4</c:f>
              <c:strCache>
                <c:ptCount val="1"/>
                <c:pt idx="0">
                  <c:v>Frame Ratio</c:v>
                </c:pt>
              </c:strCache>
            </c:strRef>
          </c:tx>
          <c:spPr>
            <a:ln w="38100">
              <a:solidFill>
                <a:srgbClr val="FF7128"/>
              </a:solidFill>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Trends'!$E$6:$E$161</c:f>
              <c:numCache>
                <c:formatCode>0.00%</c:formatCode>
                <c:ptCount val="156"/>
                <c:pt idx="0">
                  <c:v>2.2400000000000002</c:v>
                </c:pt>
                <c:pt idx="1">
                  <c:v>1.5409999999999999</c:v>
                </c:pt>
                <c:pt idx="2">
                  <c:v>2.109</c:v>
                </c:pt>
                <c:pt idx="3">
                  <c:v>1.925</c:v>
                </c:pt>
                <c:pt idx="4">
                  <c:v>2.2749999999999999</c:v>
                </c:pt>
                <c:pt idx="5">
                  <c:v>2.09</c:v>
                </c:pt>
                <c:pt idx="6">
                  <c:v>1.8759999999999999</c:v>
                </c:pt>
                <c:pt idx="7">
                  <c:v>2.0760000000000001</c:v>
                </c:pt>
                <c:pt idx="8">
                  <c:v>2.194</c:v>
                </c:pt>
                <c:pt idx="9">
                  <c:v>2.02</c:v>
                </c:pt>
                <c:pt idx="10">
                  <c:v>2.4009999999999998</c:v>
                </c:pt>
                <c:pt idx="11">
                  <c:v>1.95</c:v>
                </c:pt>
                <c:pt idx="12">
                  <c:v>1.8069999999999999</c:v>
                </c:pt>
                <c:pt idx="13">
                  <c:v>1.2749999999999999</c:v>
                </c:pt>
                <c:pt idx="14">
                  <c:v>1.79</c:v>
                </c:pt>
                <c:pt idx="15">
                  <c:v>1.421</c:v>
                </c:pt>
                <c:pt idx="16">
                  <c:v>1.37</c:v>
                </c:pt>
                <c:pt idx="17">
                  <c:v>1.6719999999999999</c:v>
                </c:pt>
                <c:pt idx="18">
                  <c:v>1.875</c:v>
                </c:pt>
                <c:pt idx="19">
                  <c:v>1.2809999999999999</c:v>
                </c:pt>
                <c:pt idx="20">
                  <c:v>1.5049999999999999</c:v>
                </c:pt>
                <c:pt idx="21">
                  <c:v>1.323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formatCode="0">
                  <c:v>0</c:v>
                </c:pt>
                <c:pt idx="138" formatCode="0">
                  <c:v>0</c:v>
                </c:pt>
                <c:pt idx="139" formatCode="0">
                  <c:v>0</c:v>
                </c:pt>
                <c:pt idx="140" formatCode="0">
                  <c:v>0</c:v>
                </c:pt>
                <c:pt idx="141" formatCode="0">
                  <c:v>0</c:v>
                </c:pt>
                <c:pt idx="142" formatCode="0">
                  <c:v>0</c:v>
                </c:pt>
                <c:pt idx="143" formatCode="0">
                  <c:v>0</c:v>
                </c:pt>
                <c:pt idx="144" formatCode="0">
                  <c:v>0</c:v>
                </c:pt>
                <c:pt idx="145" formatCode="0">
                  <c:v>0</c:v>
                </c:pt>
                <c:pt idx="146" formatCode="0">
                  <c:v>0</c:v>
                </c:pt>
                <c:pt idx="147" formatCode="0">
                  <c:v>0</c:v>
                </c:pt>
                <c:pt idx="148" formatCode="0">
                  <c:v>0</c:v>
                </c:pt>
                <c:pt idx="149" formatCode="0">
                  <c:v>0</c:v>
                </c:pt>
                <c:pt idx="150" formatCode="0">
                  <c:v>0</c:v>
                </c:pt>
                <c:pt idx="151" formatCode="0">
                  <c:v>0</c:v>
                </c:pt>
                <c:pt idx="152" formatCode="0">
                  <c:v>0</c:v>
                </c:pt>
                <c:pt idx="153" formatCode="0">
                  <c:v>0</c:v>
                </c:pt>
                <c:pt idx="154" formatCode="0">
                  <c:v>0</c:v>
                </c:pt>
                <c:pt idx="155" formatCode="0">
                  <c:v>0</c:v>
                </c:pt>
              </c:numCache>
            </c:numRef>
          </c:val>
          <c:smooth val="0"/>
          <c:extLst>
            <c:ext xmlns:c16="http://schemas.microsoft.com/office/drawing/2014/chart" uri="{C3380CC4-5D6E-409C-BE32-E72D297353CC}">
              <c16:uniqueId val="{00000004-76F3-4EFD-8E72-A1B9689C2D8F}"/>
            </c:ext>
          </c:extLst>
        </c:ser>
        <c:dLbls>
          <c:showLegendKey val="0"/>
          <c:showVal val="0"/>
          <c:showCatName val="0"/>
          <c:showSerName val="0"/>
          <c:showPercent val="0"/>
          <c:showBubbleSize val="0"/>
        </c:dLbls>
        <c:marker val="1"/>
        <c:smooth val="0"/>
        <c:axId val="499796464"/>
        <c:axId val="1657451632"/>
      </c:lineChart>
      <c:dateAx>
        <c:axId val="96563045"/>
        <c:scaling>
          <c:orientation val="minMax"/>
        </c:scaling>
        <c:delete val="0"/>
        <c:axPos val="b"/>
        <c:title>
          <c:tx>
            <c:rich>
              <a:bodyPr rot="0"/>
              <a:lstStyle/>
              <a:p>
                <a:pPr>
                  <a:defRPr sz="1000" b="1" strike="noStrike" spc="-1">
                    <a:noFill/>
                    <a:latin typeface="Calibri"/>
                  </a:defRPr>
                </a:pPr>
                <a:r>
                  <a:rPr lang="en-GB" sz="1000" b="1" strike="noStrike" spc="-1">
                    <a:no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ln>
                  <a:noFill/>
                </a:ln>
                <a:solidFill>
                  <a:srgbClr val="000000"/>
                </a:solidFill>
                <a:latin typeface="Calibri"/>
              </a:defRPr>
            </a:pPr>
            <a:endParaRPr lang="en-US"/>
          </a:p>
        </c:txPr>
        <c:crossAx val="27821446"/>
        <c:crosses val="autoZero"/>
        <c:auto val="0"/>
        <c:lblOffset val="100"/>
        <c:baseTimeUnit val="days"/>
      </c:dateAx>
      <c:valAx>
        <c:axId val="27821446"/>
        <c:scaling>
          <c:orientation val="minMax"/>
        </c:scaling>
        <c:delete val="0"/>
        <c:axPos val="l"/>
        <c:majorGridlines>
          <c:spPr>
            <a:ln w="9360">
              <a:solidFill>
                <a:srgbClr val="878787"/>
              </a:solidFill>
              <a:round/>
            </a:ln>
          </c:spPr>
        </c:majorGridlines>
        <c:title>
          <c:tx>
            <c:rich>
              <a:bodyPr rot="-5400000"/>
              <a:lstStyle/>
              <a:p>
                <a:pPr>
                  <a:defRPr sz="1000" b="1" strike="noStrike" spc="-1">
                    <a:noFill/>
                    <a:latin typeface="Calibri"/>
                  </a:defRPr>
                </a:pPr>
                <a:r>
                  <a:rPr lang="en-GB" sz="1000" b="1" strike="noStrike" spc="-1">
                    <a:no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3045"/>
        <c:crossesAt val="46228"/>
        <c:crossBetween val="midCat"/>
      </c:valAx>
      <c:valAx>
        <c:axId val="1657451632"/>
        <c:scaling>
          <c:orientation val="minMax"/>
        </c:scaling>
        <c:delete val="0"/>
        <c:axPos val="r"/>
        <c:numFmt formatCode="0.00%" sourceLinked="1"/>
        <c:majorTickMark val="out"/>
        <c:minorTickMark val="none"/>
        <c:tickLblPos val="nextTo"/>
        <c:crossAx val="499796464"/>
        <c:crosses val="max"/>
        <c:crossBetween val="between"/>
      </c:valAx>
      <c:dateAx>
        <c:axId val="499796464"/>
        <c:scaling>
          <c:orientation val="minMax"/>
        </c:scaling>
        <c:delete val="1"/>
        <c:axPos val="b"/>
        <c:numFmt formatCode="m/d/yyyy" sourceLinked="1"/>
        <c:majorTickMark val="out"/>
        <c:minorTickMark val="none"/>
        <c:tickLblPos val="nextTo"/>
        <c:crossAx val="1657451632"/>
        <c:crosses val="autoZero"/>
        <c:auto val="1"/>
        <c:lblOffset val="100"/>
        <c:baseTimeUnit val="days"/>
      </c:dateAx>
      <c:spPr>
        <a:noFill/>
        <a:ln w="0">
          <a:noFill/>
        </a:ln>
      </c:spPr>
    </c:plotArea>
    <c:legend>
      <c:legendPos val="r"/>
      <c:layout>
        <c:manualLayout>
          <c:xMode val="edge"/>
          <c:yMode val="edge"/>
          <c:x val="0.74880104709599293"/>
          <c:y val="2.5585421264291797E-2"/>
          <c:w val="0.24669931012448582"/>
          <c:h val="0.17933616837522121"/>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lgn="l">
              <a:defRPr sz="1800" b="1" strike="noStrike" spc="-1">
                <a:solidFill>
                  <a:srgbClr val="000000"/>
                </a:solidFill>
                <a:latin typeface="Calibri"/>
              </a:defRPr>
            </a:pPr>
            <a:r>
              <a:rPr lang="en-GB" sz="1800" b="1" strike="noStrike" spc="-1">
                <a:solidFill>
                  <a:srgbClr val="000000"/>
                </a:solidFill>
                <a:latin typeface="Calibri"/>
              </a:rPr>
              <a:t>Image Error Over Time - Selected Camera</a:t>
            </a:r>
            <a:endParaRPr lang="en-GB" sz="1000" b="0" i="1" strike="noStrike" spc="-1">
              <a:solidFill>
                <a:srgbClr val="000000"/>
              </a:solidFill>
              <a:latin typeface="Calibri"/>
            </a:endParaRPr>
          </a:p>
        </c:rich>
      </c:tx>
      <c:layout>
        <c:manualLayout>
          <c:xMode val="edge"/>
          <c:yMode val="edge"/>
          <c:x val="1.2259637642408085E-2"/>
          <c:y val="2.9471212195048373E-2"/>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itle>
    <c:autoTitleDeleted val="0"/>
    <c:plotArea>
      <c:layout>
        <c:manualLayout>
          <c:layoutTarget val="inner"/>
          <c:xMode val="edge"/>
          <c:yMode val="edge"/>
          <c:x val="9.9832429314092683E-2"/>
          <c:y val="0.27797665033983032"/>
          <c:w val="0.80955023746844168"/>
          <c:h val="0.55342374836380881"/>
        </c:manualLayout>
      </c:layout>
      <c:lineChart>
        <c:grouping val="standard"/>
        <c:varyColors val="0"/>
        <c:ser>
          <c:idx val="1"/>
          <c:order val="0"/>
          <c:tx>
            <c:v>Camera IE</c:v>
          </c:tx>
          <c:spPr>
            <a:ln w="38100">
              <a:solidFill>
                <a:srgbClr val="BE4B48"/>
              </a:solidFill>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Trends'!$D$6:$D$161</c:f>
              <c:numCache>
                <c:formatCode>0.000000</c:formatCode>
                <c:ptCount val="156"/>
                <c:pt idx="0">
                  <c:v>4.4366900000000001E-2</c:v>
                </c:pt>
                <c:pt idx="1">
                  <c:v>6.7092299999999994E-2</c:v>
                </c:pt>
                <c:pt idx="2">
                  <c:v>7.7769500000000005E-2</c:v>
                </c:pt>
                <c:pt idx="3">
                  <c:v>6.4562400000000006E-2</c:v>
                </c:pt>
                <c:pt idx="4">
                  <c:v>6.1423999999999999E-2</c:v>
                </c:pt>
                <c:pt idx="5">
                  <c:v>5.20276E-2</c:v>
                </c:pt>
                <c:pt idx="6">
                  <c:v>9.1877600000000004E-2</c:v>
                </c:pt>
                <c:pt idx="7">
                  <c:v>7.16387E-2</c:v>
                </c:pt>
                <c:pt idx="8">
                  <c:v>7.17666E-2</c:v>
                </c:pt>
                <c:pt idx="9">
                  <c:v>6.3077099999999997E-2</c:v>
                </c:pt>
                <c:pt idx="10">
                  <c:v>7.01209E-2</c:v>
                </c:pt>
                <c:pt idx="11">
                  <c:v>9.0749499999999997E-2</c:v>
                </c:pt>
                <c:pt idx="12">
                  <c:v>0.10468</c:v>
                </c:pt>
                <c:pt idx="13">
                  <c:v>6.0416400000000002E-2</c:v>
                </c:pt>
                <c:pt idx="14">
                  <c:v>0.224774</c:v>
                </c:pt>
                <c:pt idx="15">
                  <c:v>5.1662399999999997E-2</c:v>
                </c:pt>
                <c:pt idx="16">
                  <c:v>6.9010299999999997E-2</c:v>
                </c:pt>
                <c:pt idx="17">
                  <c:v>8.4469199999999994E-2</c:v>
                </c:pt>
                <c:pt idx="18">
                  <c:v>8.7530300000000005E-2</c:v>
                </c:pt>
                <c:pt idx="19">
                  <c:v>0.13553999999999999</c:v>
                </c:pt>
                <c:pt idx="20">
                  <c:v>8.6050100000000004E-2</c:v>
                </c:pt>
                <c:pt idx="21">
                  <c:v>7.68263E-2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1-20EE-4F31-ACF4-AFFC0038A70D}"/>
            </c:ext>
          </c:extLst>
        </c:ser>
        <c:ser>
          <c:idx val="4"/>
          <c:order val="2"/>
          <c:tx>
            <c:v>Daily Mean IE</c:v>
          </c:tx>
          <c:spPr>
            <a:ln>
              <a:solidFill>
                <a:srgbClr val="C00000"/>
              </a:solidFill>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Trends'!$I$6:$I$19</c:f>
              <c:numCache>
                <c:formatCode>0.000000</c:formatCode>
                <c:ptCount val="14"/>
                <c:pt idx="0">
                  <c:v>9.2278499999999999E-2</c:v>
                </c:pt>
                <c:pt idx="1">
                  <c:v>9.1966633333333339E-2</c:v>
                </c:pt>
                <c:pt idx="2">
                  <c:v>8.4730411111111126E-2</c:v>
                </c:pt>
                <c:pt idx="3">
                  <c:v>8.8881683333333336E-2</c:v>
                </c:pt>
                <c:pt idx="4">
                  <c:v>7.9198327777777758E-2</c:v>
                </c:pt>
                <c:pt idx="5">
                  <c:v>9.6186149999999998E-2</c:v>
                </c:pt>
                <c:pt idx="6">
                  <c:v>0.12669717222222221</c:v>
                </c:pt>
                <c:pt idx="7">
                  <c:v>9.034650000000001E-2</c:v>
                </c:pt>
                <c:pt idx="8">
                  <c:v>9.6629455555555549E-2</c:v>
                </c:pt>
                <c:pt idx="9">
                  <c:v>8.8825327777777782E-2</c:v>
                </c:pt>
                <c:pt idx="10">
                  <c:v>8.8747716666666671E-2</c:v>
                </c:pt>
                <c:pt idx="11">
                  <c:v>9.2878877777777771E-2</c:v>
                </c:pt>
                <c:pt idx="12">
                  <c:v>0.11783660555555556</c:v>
                </c:pt>
                <c:pt idx="13">
                  <c:v>7.1251700000000001E-2</c:v>
                </c:pt>
              </c:numCache>
            </c:numRef>
          </c:val>
          <c:smooth val="0"/>
          <c:extLst>
            <c:ext xmlns:c16="http://schemas.microsoft.com/office/drawing/2014/chart" uri="{C3380CC4-5D6E-409C-BE32-E72D297353CC}">
              <c16:uniqueId val="{00000003-20EE-4F31-ACF4-AFFC0038A70D}"/>
            </c:ext>
          </c:extLst>
        </c:ser>
        <c:dLbls>
          <c:showLegendKey val="0"/>
          <c:showVal val="0"/>
          <c:showCatName val="0"/>
          <c:showSerName val="0"/>
          <c:showPercent val="0"/>
          <c:showBubbleSize val="0"/>
        </c:dLbls>
        <c:marker val="1"/>
        <c:smooth val="0"/>
        <c:axId val="96563045"/>
        <c:axId val="27821446"/>
      </c:lineChart>
      <c:lineChart>
        <c:grouping val="standard"/>
        <c:varyColors val="0"/>
        <c:ser>
          <c:idx val="2"/>
          <c:order val="1"/>
          <c:tx>
            <c:strRef>
              <c:f>'Daily Camera Trends'!$E$4</c:f>
              <c:strCache>
                <c:ptCount val="1"/>
                <c:pt idx="0">
                  <c:v>Frame Ratio</c:v>
                </c:pt>
              </c:strCache>
            </c:strRef>
          </c:tx>
          <c:spPr>
            <a:ln w="38100">
              <a:solidFill>
                <a:srgbClr val="FF7128"/>
              </a:solidFill>
            </a:ln>
          </c:spPr>
          <c:marker>
            <c:symbol val="none"/>
          </c:marker>
          <c:cat>
            <c:numRef>
              <c:f>'Daily Camera Trends'!$A$6:$A$161</c:f>
              <c:numCache>
                <c:formatCode>m/d/yyyy</c:formatCode>
                <c:ptCount val="156"/>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cat>
          <c:val>
            <c:numRef>
              <c:f>'Daily Camera Trends'!$E$6:$E$161</c:f>
              <c:numCache>
                <c:formatCode>0.00%</c:formatCode>
                <c:ptCount val="156"/>
                <c:pt idx="0">
                  <c:v>2.2400000000000002</c:v>
                </c:pt>
                <c:pt idx="1">
                  <c:v>1.5409999999999999</c:v>
                </c:pt>
                <c:pt idx="2">
                  <c:v>2.109</c:v>
                </c:pt>
                <c:pt idx="3">
                  <c:v>1.925</c:v>
                </c:pt>
                <c:pt idx="4">
                  <c:v>2.2749999999999999</c:v>
                </c:pt>
                <c:pt idx="5">
                  <c:v>2.09</c:v>
                </c:pt>
                <c:pt idx="6">
                  <c:v>1.8759999999999999</c:v>
                </c:pt>
                <c:pt idx="7">
                  <c:v>2.0760000000000001</c:v>
                </c:pt>
                <c:pt idx="8">
                  <c:v>2.194</c:v>
                </c:pt>
                <c:pt idx="9">
                  <c:v>2.02</c:v>
                </c:pt>
                <c:pt idx="10">
                  <c:v>2.4009999999999998</c:v>
                </c:pt>
                <c:pt idx="11">
                  <c:v>1.95</c:v>
                </c:pt>
                <c:pt idx="12">
                  <c:v>1.8069999999999999</c:v>
                </c:pt>
                <c:pt idx="13">
                  <c:v>1.2749999999999999</c:v>
                </c:pt>
                <c:pt idx="14">
                  <c:v>1.79</c:v>
                </c:pt>
                <c:pt idx="15">
                  <c:v>1.421</c:v>
                </c:pt>
                <c:pt idx="16">
                  <c:v>1.37</c:v>
                </c:pt>
                <c:pt idx="17">
                  <c:v>1.6719999999999999</c:v>
                </c:pt>
                <c:pt idx="18">
                  <c:v>1.875</c:v>
                </c:pt>
                <c:pt idx="19">
                  <c:v>1.2809999999999999</c:v>
                </c:pt>
                <c:pt idx="20">
                  <c:v>1.5049999999999999</c:v>
                </c:pt>
                <c:pt idx="21">
                  <c:v>1.323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formatCode="0">
                  <c:v>0</c:v>
                </c:pt>
                <c:pt idx="138" formatCode="0">
                  <c:v>0</c:v>
                </c:pt>
                <c:pt idx="139" formatCode="0">
                  <c:v>0</c:v>
                </c:pt>
                <c:pt idx="140" formatCode="0">
                  <c:v>0</c:v>
                </c:pt>
                <c:pt idx="141" formatCode="0">
                  <c:v>0</c:v>
                </c:pt>
                <c:pt idx="142" formatCode="0">
                  <c:v>0</c:v>
                </c:pt>
                <c:pt idx="143" formatCode="0">
                  <c:v>0</c:v>
                </c:pt>
                <c:pt idx="144" formatCode="0">
                  <c:v>0</c:v>
                </c:pt>
                <c:pt idx="145" formatCode="0">
                  <c:v>0</c:v>
                </c:pt>
                <c:pt idx="146" formatCode="0">
                  <c:v>0</c:v>
                </c:pt>
                <c:pt idx="147" formatCode="0">
                  <c:v>0</c:v>
                </c:pt>
                <c:pt idx="148" formatCode="0">
                  <c:v>0</c:v>
                </c:pt>
                <c:pt idx="149" formatCode="0">
                  <c:v>0</c:v>
                </c:pt>
                <c:pt idx="150" formatCode="0">
                  <c:v>0</c:v>
                </c:pt>
                <c:pt idx="151" formatCode="0">
                  <c:v>0</c:v>
                </c:pt>
                <c:pt idx="152" formatCode="0">
                  <c:v>0</c:v>
                </c:pt>
                <c:pt idx="153" formatCode="0">
                  <c:v>0</c:v>
                </c:pt>
                <c:pt idx="154" formatCode="0">
                  <c:v>0</c:v>
                </c:pt>
                <c:pt idx="155" formatCode="0">
                  <c:v>0</c:v>
                </c:pt>
              </c:numCache>
            </c:numRef>
          </c:val>
          <c:smooth val="0"/>
          <c:extLst>
            <c:ext xmlns:c16="http://schemas.microsoft.com/office/drawing/2014/chart" uri="{C3380CC4-5D6E-409C-BE32-E72D297353CC}">
              <c16:uniqueId val="{00000004-20EE-4F31-ACF4-AFFC0038A70D}"/>
            </c:ext>
          </c:extLst>
        </c:ser>
        <c:dLbls>
          <c:showLegendKey val="0"/>
          <c:showVal val="0"/>
          <c:showCatName val="0"/>
          <c:showSerName val="0"/>
          <c:showPercent val="0"/>
          <c:showBubbleSize val="0"/>
        </c:dLbls>
        <c:marker val="1"/>
        <c:smooth val="0"/>
        <c:axId val="499796464"/>
        <c:axId val="1657451632"/>
      </c:lineChart>
      <c:dateAx>
        <c:axId val="96563045"/>
        <c:scaling>
          <c:orientation val="minMax"/>
        </c:scaling>
        <c:delete val="0"/>
        <c:axPos val="b"/>
        <c:title>
          <c:tx>
            <c:rich>
              <a:bodyPr rot="0"/>
              <a:lstStyle/>
              <a:p>
                <a:pPr>
                  <a:defRPr sz="1000" b="1" strike="noStrike" spc="-1">
                    <a:noFill/>
                    <a:latin typeface="Calibri"/>
                  </a:defRPr>
                </a:pPr>
                <a:r>
                  <a:rPr lang="en-GB" sz="1000" b="1" strike="noStrike" spc="-1">
                    <a:no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rot="5400000" vert="horz"/>
          <a:lstStyle/>
          <a:p>
            <a:pPr>
              <a:defRPr sz="1000" b="0" strike="noStrike" spc="-1">
                <a:ln>
                  <a:noFill/>
                </a:ln>
                <a:solidFill>
                  <a:srgbClr val="000000"/>
                </a:solidFill>
                <a:latin typeface="Calibri"/>
              </a:defRPr>
            </a:pPr>
            <a:endParaRPr lang="en-US"/>
          </a:p>
        </c:txPr>
        <c:crossAx val="27821446"/>
        <c:crosses val="autoZero"/>
        <c:auto val="0"/>
        <c:lblOffset val="100"/>
        <c:baseTimeUnit val="days"/>
      </c:dateAx>
      <c:valAx>
        <c:axId val="27821446"/>
        <c:scaling>
          <c:orientation val="minMax"/>
        </c:scaling>
        <c:delete val="0"/>
        <c:axPos val="l"/>
        <c:majorGridlines>
          <c:spPr>
            <a:ln w="9360">
              <a:solidFill>
                <a:srgbClr val="878787"/>
              </a:solidFill>
              <a:round/>
            </a:ln>
          </c:spPr>
        </c:majorGridlines>
        <c:title>
          <c:tx>
            <c:rich>
              <a:bodyPr rot="-5400000"/>
              <a:lstStyle/>
              <a:p>
                <a:pPr>
                  <a:defRPr sz="1000" b="1" strike="noStrike" spc="-1">
                    <a:noFill/>
                    <a:latin typeface="Calibri"/>
                  </a:defRPr>
                </a:pPr>
                <a:r>
                  <a:rPr lang="en-GB" sz="1000" b="1" strike="noStrike" spc="-1">
                    <a:noFill/>
                    <a:latin typeface="Calibri"/>
                  </a:rPr>
                  <a:t>Error</a:t>
                </a:r>
              </a:p>
            </c:rich>
          </c:tx>
          <c:overlay val="0"/>
          <c:spPr>
            <a:noFill/>
            <a:ln w="0">
              <a:noFill/>
            </a:ln>
          </c:spPr>
        </c:title>
        <c:numFmt formatCode="0.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63045"/>
        <c:crossesAt val="46228"/>
        <c:crossBetween val="midCat"/>
      </c:valAx>
      <c:valAx>
        <c:axId val="1657451632"/>
        <c:scaling>
          <c:orientation val="minMax"/>
        </c:scaling>
        <c:delete val="0"/>
        <c:axPos val="r"/>
        <c:numFmt formatCode="0.00%" sourceLinked="1"/>
        <c:majorTickMark val="out"/>
        <c:minorTickMark val="none"/>
        <c:tickLblPos val="nextTo"/>
        <c:crossAx val="499796464"/>
        <c:crosses val="max"/>
        <c:crossBetween val="between"/>
      </c:valAx>
      <c:dateAx>
        <c:axId val="499796464"/>
        <c:scaling>
          <c:orientation val="minMax"/>
        </c:scaling>
        <c:delete val="1"/>
        <c:axPos val="b"/>
        <c:numFmt formatCode="m/d/yyyy" sourceLinked="1"/>
        <c:majorTickMark val="out"/>
        <c:minorTickMark val="none"/>
        <c:tickLblPos val="nextTo"/>
        <c:crossAx val="1657451632"/>
        <c:crosses val="autoZero"/>
        <c:auto val="1"/>
        <c:lblOffset val="100"/>
        <c:baseTimeUnit val="days"/>
      </c:dateAx>
      <c:spPr>
        <a:noFill/>
        <a:ln w="0">
          <a:noFill/>
        </a:ln>
      </c:spPr>
    </c:plotArea>
    <c:legend>
      <c:legendPos val="r"/>
      <c:layout>
        <c:manualLayout>
          <c:xMode val="edge"/>
          <c:yMode val="edge"/>
          <c:x val="0.74995729151490376"/>
          <c:y val="2.5585421264291797E-2"/>
          <c:w val="0.24554300696099957"/>
          <c:h val="0.18683450111781028"/>
        </c:manualLayout>
      </c:layout>
      <c:overlay val="0"/>
      <c:spPr>
        <a:gradFill>
          <a:gsLst>
            <a:gs pos="0">
              <a:schemeClr val="accent1">
                <a:lumMod val="5000"/>
                <a:lumOff val="95000"/>
              </a:schemeClr>
            </a:gs>
            <a:gs pos="69000">
              <a:schemeClr val="accent1">
                <a:lumMod val="45000"/>
                <a:lumOff val="55000"/>
                <a:alpha val="51000"/>
              </a:schemeClr>
            </a:gs>
            <a:gs pos="83000">
              <a:schemeClr val="accent1">
                <a:lumMod val="45000"/>
                <a:lumOff val="55000"/>
                <a:alpha val="50000"/>
              </a:schemeClr>
            </a:gs>
            <a:gs pos="100000">
              <a:schemeClr val="accent1">
                <a:lumMod val="30000"/>
                <a:lumOff val="70000"/>
                <a:alpha val="50000"/>
              </a:schemeClr>
            </a:gs>
          </a:gsLst>
          <a:lin ang="5400000" scaled="1"/>
        </a:grad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174171</xdr:colOff>
      <xdr:row>3</xdr:row>
      <xdr:rowOff>44269</xdr:rowOff>
    </xdr:from>
    <xdr:to>
      <xdr:col>12</xdr:col>
      <xdr:colOff>261564</xdr:colOff>
      <xdr:row>26</xdr:row>
      <xdr:rowOff>153126</xdr:rowOff>
    </xdr:to>
    <xdr:graphicFrame macro="">
      <xdr:nvGraphicFramePr>
        <xdr:cNvPr id="6" name="Chart 5">
          <a:extLst>
            <a:ext uri="{FF2B5EF4-FFF2-40B4-BE49-F238E27FC236}">
              <a16:creationId xmlns:a16="http://schemas.microsoft.com/office/drawing/2014/main" id="{DB59A36F-3445-45D6-813F-9B971366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52256</xdr:colOff>
      <xdr:row>29</xdr:row>
      <xdr:rowOff>9237</xdr:rowOff>
    </xdr:from>
    <xdr:to>
      <xdr:col>11</xdr:col>
      <xdr:colOff>545113</xdr:colOff>
      <xdr:row>46</xdr:row>
      <xdr:rowOff>103265</xdr:rowOff>
    </xdr:to>
    <xdr:graphicFrame macro="">
      <xdr:nvGraphicFramePr>
        <xdr:cNvPr id="2" name="Chart 1">
          <a:extLst>
            <a:ext uri="{FF2B5EF4-FFF2-40B4-BE49-F238E27FC236}">
              <a16:creationId xmlns:a16="http://schemas.microsoft.com/office/drawing/2014/main" id="{C3B1C8E1-C79E-4EDF-BF25-F22A9050E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468087</xdr:colOff>
      <xdr:row>47</xdr:row>
      <xdr:rowOff>8965</xdr:rowOff>
    </xdr:from>
    <xdr:to>
      <xdr:col>17</xdr:col>
      <xdr:colOff>362230</xdr:colOff>
      <xdr:row>64</xdr:row>
      <xdr:rowOff>102993</xdr:rowOff>
    </xdr:to>
    <xdr:graphicFrame macro="">
      <xdr:nvGraphicFramePr>
        <xdr:cNvPr id="4" name="Chart 3">
          <a:extLst>
            <a:ext uri="{FF2B5EF4-FFF2-40B4-BE49-F238E27FC236}">
              <a16:creationId xmlns:a16="http://schemas.microsoft.com/office/drawing/2014/main" id="{1DFA5845-0272-4778-BF6E-120E68C4B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29</xdr:row>
      <xdr:rowOff>7060</xdr:rowOff>
    </xdr:from>
    <xdr:to>
      <xdr:col>22</xdr:col>
      <xdr:colOff>536399</xdr:colOff>
      <xdr:row>46</xdr:row>
      <xdr:rowOff>98911</xdr:rowOff>
    </xdr:to>
    <xdr:graphicFrame macro="">
      <xdr:nvGraphicFramePr>
        <xdr:cNvPr id="5" name="Chart 4">
          <a:extLst>
            <a:ext uri="{FF2B5EF4-FFF2-40B4-BE49-F238E27FC236}">
              <a16:creationId xmlns:a16="http://schemas.microsoft.com/office/drawing/2014/main" id="{DB537462-2724-45E2-8651-C279AFFD2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250065</xdr:colOff>
      <xdr:row>5</xdr:row>
      <xdr:rowOff>150287</xdr:rowOff>
    </xdr:from>
    <xdr:to>
      <xdr:col>15</xdr:col>
      <xdr:colOff>478972</xdr:colOff>
      <xdr:row>21</xdr:row>
      <xdr:rowOff>97971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250372</xdr:colOff>
      <xdr:row>21</xdr:row>
      <xdr:rowOff>129641</xdr:rowOff>
    </xdr:from>
    <xdr:to>
      <xdr:col>15</xdr:col>
      <xdr:colOff>468086</xdr:colOff>
      <xdr:row>37</xdr:row>
      <xdr:rowOff>43544</xdr:rowOff>
    </xdr:to>
    <xdr:graphicFrame macro="">
      <xdr:nvGraphicFramePr>
        <xdr:cNvPr id="5" name="Chart 4">
          <a:extLst>
            <a:ext uri="{FF2B5EF4-FFF2-40B4-BE49-F238E27FC236}">
              <a16:creationId xmlns:a16="http://schemas.microsoft.com/office/drawing/2014/main" id="{99D89180-4C7D-41DF-B1D0-4B070225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13</v>
    <v>3</v>
  </rv>
  <rv s="1">
    <v>13</v>
    <v>1</v>
  </rv>
  <rv s="2">
    <v>0</v>
    <v>8</v>
    <v>0</v>
    <v>3</v>
  </rv>
</rvData>
</file>

<file path=xl/richData/rdrichvaluestructure.xml><?xml version="1.0" encoding="utf-8"?>
<rvStructures xmlns="http://schemas.microsoft.com/office/spreadsheetml/2017/richdata" count="3">
  <s t="_error">
    <k n="errorType" t="i"/>
    <k n="subType" t="i"/>
  </s>
  <s t="_error">
    <k n="errorType" t="i"/>
    <k n="propagated" t="b"/>
  </s>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174E4-10B8-4B30-8B2E-2E9A5AE08333}" name="CalibrationLog3" displayName="CalibrationLog3" ref="C3:G550" totalsRowShown="0" headerRowDxfId="64" dataDxfId="63">
  <autoFilter ref="C3:G550" xr:uid="{00000000-0009-0000-0100-000001000000}"/>
  <tableColumns count="5">
    <tableColumn id="1" xr3:uid="{51B67423-B1B1-4A16-BBCC-834944FAE191}" name="Date" dataDxfId="62"/>
    <tableColumn id="2" xr3:uid="{FABEBB3C-66EB-4956-95C9-CBB40C9E32E4}" name="Camera" dataDxfId="61"/>
    <tableColumn id="3" xr3:uid="{766E62E6-E8D6-460F-BDF5-449F20A2F47C}" name="Frame Count" dataDxfId="60"/>
    <tableColumn id="4" xr3:uid="{132E3B4C-B94B-4FD9-BB91-C8476EF47049}" name="World Error" dataDxfId="59"/>
    <tableColumn id="5" xr3:uid="{9AE105E3-C1BC-4C8A-A3F2-7EACB47F9196}" name="Image Error" dataDxfId="5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showGridLines="0" zoomScaleNormal="100" workbookViewId="0">
      <selection sqref="A1:XFD1"/>
    </sheetView>
  </sheetViews>
  <sheetFormatPr defaultColWidth="8.6640625" defaultRowHeight="14.4" x14ac:dyDescent="0.3"/>
  <cols>
    <col min="1" max="1" width="100" customWidth="1"/>
  </cols>
  <sheetData>
    <row r="1" spans="1:5" s="359" customFormat="1" ht="24.6" thickTop="1" thickBot="1" x14ac:dyDescent="0.5">
      <c r="A1" s="358" t="s">
        <v>311</v>
      </c>
    </row>
    <row r="2" spans="1:5" ht="18" thickTop="1" x14ac:dyDescent="0.3">
      <c r="A2" s="1" t="s">
        <v>0</v>
      </c>
    </row>
    <row r="3" spans="1:5" x14ac:dyDescent="0.3">
      <c r="A3" s="2"/>
    </row>
    <row r="4" spans="1:5" ht="31.2" x14ac:dyDescent="0.6">
      <c r="A4" s="3" t="s">
        <v>1</v>
      </c>
      <c r="C4" s="87" t="s">
        <v>83</v>
      </c>
    </row>
    <row r="5" spans="1:5" ht="31.2" x14ac:dyDescent="0.6">
      <c r="A5" s="2" t="s">
        <v>2</v>
      </c>
      <c r="C5" s="87" t="s">
        <v>84</v>
      </c>
    </row>
    <row r="6" spans="1:5" x14ac:dyDescent="0.3">
      <c r="A6" s="2" t="s">
        <v>3</v>
      </c>
    </row>
    <row r="7" spans="1:5" x14ac:dyDescent="0.3">
      <c r="A7" s="2" t="s">
        <v>4</v>
      </c>
      <c r="D7" t="s">
        <v>95</v>
      </c>
    </row>
    <row r="8" spans="1:5" x14ac:dyDescent="0.3">
      <c r="A8" s="2"/>
      <c r="D8" t="s">
        <v>96</v>
      </c>
    </row>
    <row r="9" spans="1:5" x14ac:dyDescent="0.3">
      <c r="A9" s="3" t="s">
        <v>5</v>
      </c>
    </row>
    <row r="10" spans="1:5" ht="41.4" x14ac:dyDescent="0.3">
      <c r="A10" s="2" t="s">
        <v>6</v>
      </c>
      <c r="D10" t="s">
        <v>97</v>
      </c>
    </row>
    <row r="11" spans="1:5" x14ac:dyDescent="0.3">
      <c r="A11" s="2" t="s">
        <v>7</v>
      </c>
      <c r="D11" t="s">
        <v>98</v>
      </c>
    </row>
    <row r="12" spans="1:5" x14ac:dyDescent="0.3">
      <c r="A12" s="2"/>
      <c r="D12" t="s">
        <v>99</v>
      </c>
    </row>
    <row r="13" spans="1:5" x14ac:dyDescent="0.3">
      <c r="A13" s="3" t="s">
        <v>8</v>
      </c>
      <c r="D13" t="s">
        <v>100</v>
      </c>
      <c r="E13" t="s">
        <v>101</v>
      </c>
    </row>
    <row r="14" spans="1:5" ht="27.6" x14ac:dyDescent="0.3">
      <c r="A14" s="2" t="s">
        <v>9</v>
      </c>
      <c r="D14" t="s">
        <v>102</v>
      </c>
    </row>
    <row r="15" spans="1:5" x14ac:dyDescent="0.3">
      <c r="A15" s="2"/>
      <c r="D15" t="s">
        <v>103</v>
      </c>
    </row>
    <row r="16" spans="1:5" x14ac:dyDescent="0.3">
      <c r="A16" s="3" t="s">
        <v>10</v>
      </c>
      <c r="D16" t="s">
        <v>104</v>
      </c>
    </row>
    <row r="17" spans="1:4" ht="27.6" x14ac:dyDescent="0.3">
      <c r="A17" s="2" t="s">
        <v>11</v>
      </c>
      <c r="D17" t="s">
        <v>105</v>
      </c>
    </row>
    <row r="18" spans="1:4" x14ac:dyDescent="0.3">
      <c r="A18" s="2"/>
    </row>
    <row r="19" spans="1:4" ht="27.6" x14ac:dyDescent="0.3">
      <c r="A19" s="3" t="s">
        <v>12</v>
      </c>
      <c r="D19" s="50" t="s">
        <v>106</v>
      </c>
    </row>
  </sheetData>
  <sheetProtection sheet="1" objects="1" scenarios="1" selectLockedCells="1" selectUnlockedCells="1"/>
  <mergeCells count="1">
    <mergeCell ref="A1:XF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N47"/>
  <sheetViews>
    <sheetView showZeros="0" zoomScaleNormal="100" workbookViewId="0">
      <selection sqref="A1:XFD1"/>
    </sheetView>
  </sheetViews>
  <sheetFormatPr defaultColWidth="8.6640625" defaultRowHeight="13.8" x14ac:dyDescent="0.3"/>
  <cols>
    <col min="1" max="1" width="25.77734375" style="40" customWidth="1"/>
    <col min="2" max="2" width="25.77734375" style="39" customWidth="1"/>
    <col min="3" max="6" width="25.77734375" style="40" customWidth="1"/>
    <col min="7" max="16384" width="8.6640625" style="40"/>
  </cols>
  <sheetData>
    <row r="1" spans="1:14" s="359" customFormat="1" ht="24.6" thickTop="1" thickBot="1" x14ac:dyDescent="0.5">
      <c r="A1" s="358" t="s">
        <v>311</v>
      </c>
    </row>
    <row r="2" spans="1:14" ht="30" customHeight="1" thickTop="1" x14ac:dyDescent="0.3">
      <c r="A2" s="255" t="s">
        <v>188</v>
      </c>
      <c r="B2" s="256"/>
      <c r="C2" s="256"/>
      <c r="D2" s="256"/>
      <c r="E2" s="256"/>
      <c r="F2" s="256"/>
      <c r="G2" s="256"/>
      <c r="H2" s="256"/>
      <c r="I2" s="256"/>
      <c r="J2" s="256"/>
      <c r="K2" s="256"/>
      <c r="L2" s="256"/>
      <c r="M2" s="256"/>
      <c r="N2" s="256"/>
    </row>
    <row r="3" spans="1:14" ht="15.6" x14ac:dyDescent="0.3">
      <c r="A3" s="104" t="s">
        <v>13</v>
      </c>
      <c r="B3" s="120" t="s">
        <v>109</v>
      </c>
      <c r="C3" s="104" t="s">
        <v>86</v>
      </c>
      <c r="D3" s="104" t="str">
        <f>CONCATENATE("Subkeys (", $C$5, ")")</f>
        <v>Subkeys (Error)</v>
      </c>
      <c r="E3" s="104" t="str">
        <f>CONCATENATE("Subkeys (", $C$6, ")")</f>
        <v>Subkeys (Trial)</v>
      </c>
      <c r="F3" s="104" t="s">
        <v>187</v>
      </c>
    </row>
    <row r="4" spans="1:14" x14ac:dyDescent="0.3">
      <c r="A4" s="121" t="s">
        <v>14</v>
      </c>
      <c r="B4" s="5" cm="1">
        <f t="array" ref="B4:B27">_xlfn.CHOOSECOLS(_xlfn.UNIQUE(_xlfn._xlws.FILTER(Log!$A:$C,Log!$A:$A="Daily")),3)</f>
        <v>46228</v>
      </c>
      <c r="C4" s="75" t="s">
        <v>81</v>
      </c>
      <c r="D4" s="40" t="str" cm="1">
        <f t="array" ref="D4:D11">_xlfn._xlws.SORT(_xlfn.UNIQUE(_xlfn._xlws.FILTER(Log!B4:B9963, Log!A4:A9963=C5)))</f>
        <v>03/08-error1</v>
      </c>
      <c r="E4" s="40" t="str" cm="1">
        <f t="array" ref="E4:E47">_xlfn._xlws.SORT(_xlfn.UNIQUE(_xlfn._xlws.FILTER(Log!B4:B9963, Log!A4:A9963=C6)))</f>
        <v>auto-stop-1000-base</v>
      </c>
      <c r="F4" s="40" t="str" cm="1">
        <f t="array" ref="F4:F44">Legend!$G$11:$G51</f>
        <v>A</v>
      </c>
    </row>
    <row r="5" spans="1:14" x14ac:dyDescent="0.3">
      <c r="A5" s="121" t="s">
        <v>15</v>
      </c>
      <c r="B5" s="5">
        <v>46230</v>
      </c>
      <c r="C5" s="75" t="s">
        <v>82</v>
      </c>
      <c r="D5" s="40" t="str">
        <v>03/08-error2</v>
      </c>
      <c r="E5" s="40" t="str">
        <v>auto-stop-1000-v2</v>
      </c>
      <c r="F5" s="40" t="str">
        <v>B</v>
      </c>
    </row>
    <row r="6" spans="1:14" x14ac:dyDescent="0.3">
      <c r="A6" s="121" t="s">
        <v>16</v>
      </c>
      <c r="B6" s="5">
        <v>46231</v>
      </c>
      <c r="C6" s="75" t="s">
        <v>88</v>
      </c>
      <c r="D6" s="40" t="str">
        <v>20/08-error1</v>
      </c>
      <c r="E6" s="40" t="str">
        <v>auto-stop-1000-v3</v>
      </c>
      <c r="F6" s="40" t="str">
        <v>C</v>
      </c>
    </row>
    <row r="7" spans="1:14" x14ac:dyDescent="0.3">
      <c r="A7" s="121" t="s">
        <v>17</v>
      </c>
      <c r="B7" s="5">
        <v>46232</v>
      </c>
      <c r="D7" s="40" t="str">
        <v>31/07-error1</v>
      </c>
      <c r="E7" s="40" t="str">
        <v>auto-stop-1500-v1</v>
      </c>
      <c r="F7" s="40" t="str">
        <v>D</v>
      </c>
    </row>
    <row r="8" spans="1:14" x14ac:dyDescent="0.3">
      <c r="A8" s="121" t="s">
        <v>18</v>
      </c>
      <c r="B8" s="5">
        <v>46233</v>
      </c>
      <c r="D8" s="40" t="str">
        <v>31/07-error2</v>
      </c>
      <c r="E8" s="40" t="str">
        <v>auto-stop-1500-v2</v>
      </c>
      <c r="F8" s="40" t="str">
        <v>E</v>
      </c>
    </row>
    <row r="9" spans="1:14" x14ac:dyDescent="0.3">
      <c r="A9" s="121" t="s">
        <v>19</v>
      </c>
      <c r="B9" s="5">
        <v>46234</v>
      </c>
      <c r="D9" s="40" t="str">
        <v>cannot-set-volume</v>
      </c>
      <c r="E9" s="40" t="str">
        <v>auto-stop-2000-v1</v>
      </c>
      <c r="F9" s="40" t="str">
        <v>F</v>
      </c>
    </row>
    <row r="10" spans="1:14" x14ac:dyDescent="0.3">
      <c r="A10" s="121" t="s">
        <v>20</v>
      </c>
      <c r="B10" s="5">
        <v>46235</v>
      </c>
      <c r="D10" s="40" t="str">
        <v>didn't-set-volume</v>
      </c>
      <c r="E10" s="40" t="str">
        <v>auto-stop-2000-v2</v>
      </c>
      <c r="F10" s="40" t="str">
        <v>G</v>
      </c>
    </row>
    <row r="11" spans="1:14" x14ac:dyDescent="0.3">
      <c r="A11" s="121" t="s">
        <v>34</v>
      </c>
      <c r="B11" s="5">
        <v>46237</v>
      </c>
      <c r="D11" s="40" t="str">
        <v>no-reset-grayscale-all</v>
      </c>
      <c r="E11" s="40" t="str">
        <v>reflection-trial-2</v>
      </c>
      <c r="F11" s="40" t="str">
        <v>H</v>
      </c>
    </row>
    <row r="12" spans="1:14" x14ac:dyDescent="0.3">
      <c r="A12" s="121" t="s">
        <v>21</v>
      </c>
      <c r="B12" s="5">
        <v>46238</v>
      </c>
      <c r="E12" s="40" t="str">
        <v>shelf-baseline</v>
      </c>
      <c r="F12" s="40" t="str">
        <v>I</v>
      </c>
    </row>
    <row r="13" spans="1:14" x14ac:dyDescent="0.3">
      <c r="A13" s="121" t="s">
        <v>22</v>
      </c>
      <c r="B13" s="5">
        <v>46239</v>
      </c>
      <c r="E13" s="40" t="str">
        <v>shelf-trial</v>
      </c>
      <c r="F13" s="40">
        <v>0</v>
      </c>
    </row>
    <row r="14" spans="1:14" x14ac:dyDescent="0.3">
      <c r="A14" s="121" t="s">
        <v>23</v>
      </c>
      <c r="B14" s="5">
        <v>46240</v>
      </c>
      <c r="E14" s="40" t="str">
        <v>speed_cam11_fast_1</v>
      </c>
      <c r="F14" s="40">
        <v>0</v>
      </c>
    </row>
    <row r="15" spans="1:14" x14ac:dyDescent="0.3">
      <c r="A15" s="121" t="s">
        <v>24</v>
      </c>
      <c r="B15" s="39">
        <v>46242</v>
      </c>
      <c r="E15" s="40" t="str">
        <v>speed_cam11_fast_2</v>
      </c>
      <c r="F15" s="40">
        <v>0</v>
      </c>
    </row>
    <row r="16" spans="1:14" x14ac:dyDescent="0.3">
      <c r="A16" s="121" t="s">
        <v>25</v>
      </c>
      <c r="B16" s="39">
        <v>46244</v>
      </c>
      <c r="E16" s="40" t="str">
        <v>speed_cam11_fast_3</v>
      </c>
      <c r="F16" s="40">
        <v>0</v>
      </c>
    </row>
    <row r="17" spans="1:6" x14ac:dyDescent="0.3">
      <c r="A17" s="121" t="s">
        <v>26</v>
      </c>
      <c r="B17" s="39">
        <v>46245</v>
      </c>
      <c r="E17" s="40" t="str">
        <v>speed_cam11_slow_1</v>
      </c>
      <c r="F17" s="40">
        <v>0</v>
      </c>
    </row>
    <row r="18" spans="1:6" x14ac:dyDescent="0.3">
      <c r="A18" s="121" t="s">
        <v>27</v>
      </c>
      <c r="B18" s="39">
        <v>46246</v>
      </c>
      <c r="E18" s="40" t="str">
        <v>speed_cam11_slow_2</v>
      </c>
      <c r="F18" s="40">
        <v>0</v>
      </c>
    </row>
    <row r="19" spans="1:6" x14ac:dyDescent="0.3">
      <c r="A19" s="121" t="s">
        <v>28</v>
      </c>
      <c r="B19" s="39">
        <v>46247</v>
      </c>
      <c r="E19" s="40" t="str">
        <v>speed_cam11_slow_3</v>
      </c>
      <c r="F19" s="40">
        <v>0</v>
      </c>
    </row>
    <row r="20" spans="1:6" x14ac:dyDescent="0.3">
      <c r="A20" s="121" t="s">
        <v>29</v>
      </c>
      <c r="B20" s="39">
        <v>46248</v>
      </c>
      <c r="E20" s="40" t="str">
        <v>Wand-Wave-A1</v>
      </c>
      <c r="F20" s="40">
        <v>0</v>
      </c>
    </row>
    <row r="21" spans="1:6" x14ac:dyDescent="0.3">
      <c r="A21" s="121" t="s">
        <v>30</v>
      </c>
      <c r="B21" s="39">
        <v>46251</v>
      </c>
      <c r="E21" s="40" t="str">
        <v>Wand-Wave-A2</v>
      </c>
      <c r="F21" s="40">
        <v>0</v>
      </c>
    </row>
    <row r="22" spans="1:6" x14ac:dyDescent="0.3">
      <c r="B22" s="39">
        <v>46251</v>
      </c>
      <c r="E22" s="40" t="str">
        <v>Wand-Wave-A3</v>
      </c>
      <c r="F22" s="40">
        <v>0</v>
      </c>
    </row>
    <row r="23" spans="1:6" x14ac:dyDescent="0.3">
      <c r="B23" s="39">
        <v>46251</v>
      </c>
      <c r="E23" s="40" t="str">
        <v>Wand-Wave-A4</v>
      </c>
      <c r="F23" s="40">
        <v>0</v>
      </c>
    </row>
    <row r="24" spans="1:6" x14ac:dyDescent="0.3">
      <c r="B24" s="39">
        <v>46252</v>
      </c>
      <c r="E24" s="40" t="str">
        <v>Wand-Wave-B1</v>
      </c>
      <c r="F24" s="40">
        <v>0</v>
      </c>
    </row>
    <row r="25" spans="1:6" x14ac:dyDescent="0.3">
      <c r="B25" s="39">
        <v>46253</v>
      </c>
      <c r="E25" s="40" t="str">
        <v>Wand-Wave-B2</v>
      </c>
      <c r="F25" s="40">
        <v>0</v>
      </c>
    </row>
    <row r="26" spans="1:6" x14ac:dyDescent="0.3">
      <c r="B26" s="39">
        <v>46254</v>
      </c>
      <c r="E26" s="40" t="str">
        <v>Wand-Wave-B3</v>
      </c>
      <c r="F26" s="40">
        <v>0</v>
      </c>
    </row>
    <row r="27" spans="1:6" x14ac:dyDescent="0.3">
      <c r="B27" s="39">
        <v>46255</v>
      </c>
      <c r="E27" s="40" t="str">
        <v>Wand-Wave-B4</v>
      </c>
      <c r="F27" s="40">
        <v>0</v>
      </c>
    </row>
    <row r="28" spans="1:6" x14ac:dyDescent="0.3">
      <c r="E28" s="40" t="str">
        <v>Wand-Wave-C1</v>
      </c>
      <c r="F28" s="40">
        <v>0</v>
      </c>
    </row>
    <row r="29" spans="1:6" x14ac:dyDescent="0.3">
      <c r="E29" s="40" t="str">
        <v>Wand-Wave-C2</v>
      </c>
      <c r="F29" s="40">
        <v>0</v>
      </c>
    </row>
    <row r="30" spans="1:6" x14ac:dyDescent="0.3">
      <c r="E30" s="40" t="str">
        <v>Wand-Wave-C3</v>
      </c>
      <c r="F30" s="40">
        <v>0</v>
      </c>
    </row>
    <row r="31" spans="1:6" x14ac:dyDescent="0.3">
      <c r="E31" s="40" t="str">
        <v>Wand-Wave-C4</v>
      </c>
      <c r="F31" s="40">
        <v>0</v>
      </c>
    </row>
    <row r="32" spans="1:6" x14ac:dyDescent="0.3">
      <c r="E32" s="40" t="str">
        <v>Wand-Wave-D1</v>
      </c>
      <c r="F32" s="40">
        <v>0</v>
      </c>
    </row>
    <row r="33" spans="5:6" x14ac:dyDescent="0.3">
      <c r="E33" s="40" t="str">
        <v>Wand-Wave-D2</v>
      </c>
      <c r="F33" s="40">
        <v>0</v>
      </c>
    </row>
    <row r="34" spans="5:6" x14ac:dyDescent="0.3">
      <c r="E34" s="40" t="str">
        <v>Wand-Wave-D3</v>
      </c>
      <c r="F34" s="40">
        <v>0</v>
      </c>
    </row>
    <row r="35" spans="5:6" x14ac:dyDescent="0.3">
      <c r="E35" s="40" t="str">
        <v>Wand-Wave-D4</v>
      </c>
      <c r="F35" s="40">
        <v>0</v>
      </c>
    </row>
    <row r="36" spans="5:6" x14ac:dyDescent="0.3">
      <c r="E36" s="40" t="str">
        <v>Wand-Wave-E1</v>
      </c>
      <c r="F36" s="40">
        <v>0</v>
      </c>
    </row>
    <row r="37" spans="5:6" x14ac:dyDescent="0.3">
      <c r="E37" s="40" t="str">
        <v>Wand-Wave-E2</v>
      </c>
      <c r="F37" s="40">
        <v>0</v>
      </c>
    </row>
    <row r="38" spans="5:6" x14ac:dyDescent="0.3">
      <c r="E38" s="40" t="str">
        <v>Wand-Wave-E3</v>
      </c>
      <c r="F38" s="40">
        <v>0</v>
      </c>
    </row>
    <row r="39" spans="5:6" x14ac:dyDescent="0.3">
      <c r="E39" s="40" t="str">
        <v>Wand-Wave-E4</v>
      </c>
      <c r="F39" s="40">
        <v>0</v>
      </c>
    </row>
    <row r="40" spans="5:6" x14ac:dyDescent="0.3">
      <c r="E40" s="40" t="str">
        <v>Wand-Wave-F1</v>
      </c>
      <c r="F40" s="40">
        <v>0</v>
      </c>
    </row>
    <row r="41" spans="5:6" x14ac:dyDescent="0.3">
      <c r="E41" s="40" t="str">
        <v>Wand-Wave-F2</v>
      </c>
      <c r="F41" s="40">
        <v>0</v>
      </c>
    </row>
    <row r="42" spans="5:6" x14ac:dyDescent="0.3">
      <c r="E42" s="40" t="str">
        <v>Wand-Wave-F3</v>
      </c>
      <c r="F42" s="40">
        <v>0</v>
      </c>
    </row>
    <row r="43" spans="5:6" x14ac:dyDescent="0.3">
      <c r="E43" s="40" t="str">
        <v>Wand-Wave-F4</v>
      </c>
      <c r="F43" s="40">
        <v>0</v>
      </c>
    </row>
    <row r="44" spans="5:6" x14ac:dyDescent="0.3">
      <c r="E44" s="40" t="str">
        <v>Wand-Wave-G1</v>
      </c>
      <c r="F44" s="40">
        <v>0</v>
      </c>
    </row>
    <row r="45" spans="5:6" x14ac:dyDescent="0.3">
      <c r="E45" s="40" t="str">
        <v>Wand-Wave-G2</v>
      </c>
    </row>
    <row r="46" spans="5:6" x14ac:dyDescent="0.3">
      <c r="E46" s="40" t="str">
        <v>Wand-Wave-G3</v>
      </c>
    </row>
    <row r="47" spans="5:6" x14ac:dyDescent="0.3">
      <c r="E47" s="40" t="str">
        <v>Wand-Wave-G4</v>
      </c>
    </row>
  </sheetData>
  <sheetProtection sheet="1" objects="1" scenarios="1" selectLockedCells="1" selectUnlockedCells="1"/>
  <mergeCells count="2">
    <mergeCell ref="A2:N2"/>
    <mergeCell ref="A1:XFD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7B62-9DB4-4B3C-B240-3C03C9AF5852}">
  <sheetPr>
    <tabColor theme="9" tint="-0.249977111117893"/>
  </sheetPr>
  <dimension ref="A1:Q25"/>
  <sheetViews>
    <sheetView zoomScale="90" zoomScaleNormal="90" workbookViewId="0">
      <selection sqref="A1:XFD1"/>
    </sheetView>
  </sheetViews>
  <sheetFormatPr defaultColWidth="0" defaultRowHeight="25.05" customHeight="1" x14ac:dyDescent="0.3"/>
  <cols>
    <col min="1" max="1" width="8.88671875" style="188" customWidth="1"/>
    <col min="2" max="5" width="20.44140625" style="185" customWidth="1"/>
    <col min="6" max="9" width="10.77734375" style="185" customWidth="1"/>
    <col min="10" max="16" width="10.77734375" style="188" customWidth="1"/>
    <col min="17" max="17" width="0" style="188" hidden="1" customWidth="1"/>
    <col min="18" max="16384" width="8.88671875" style="188" hidden="1"/>
  </cols>
  <sheetData>
    <row r="1" spans="1:17" s="359" customFormat="1" ht="24.6" thickTop="1" thickBot="1" x14ac:dyDescent="0.5">
      <c r="A1" s="358" t="s">
        <v>311</v>
      </c>
    </row>
    <row r="2" spans="1:17" s="260" customFormat="1" ht="25.05" customHeight="1" thickTop="1" x14ac:dyDescent="0.3">
      <c r="A2" s="257" t="s">
        <v>252</v>
      </c>
      <c r="B2" s="258"/>
      <c r="C2" s="258"/>
      <c r="D2" s="258"/>
      <c r="E2" s="258"/>
      <c r="F2" s="258"/>
      <c r="G2" s="258"/>
      <c r="H2" s="258"/>
      <c r="I2" s="258"/>
      <c r="J2" s="258"/>
      <c r="K2" s="258"/>
      <c r="L2" s="258"/>
      <c r="M2" s="258"/>
      <c r="N2" s="258"/>
      <c r="O2" s="258"/>
      <c r="P2" s="258"/>
      <c r="Q2" s="259"/>
    </row>
    <row r="3" spans="1:17" customFormat="1" ht="25.05" customHeight="1" x14ac:dyDescent="0.3">
      <c r="A3" s="14"/>
      <c r="B3" s="26"/>
      <c r="C3" s="25"/>
      <c r="D3" s="25"/>
      <c r="E3" s="25"/>
      <c r="F3" s="185"/>
      <c r="G3" s="25"/>
      <c r="H3" s="25"/>
      <c r="I3" s="25"/>
      <c r="J3" s="14"/>
      <c r="K3" s="14"/>
      <c r="L3" s="14"/>
      <c r="M3" s="14"/>
      <c r="N3" s="14"/>
      <c r="O3" s="14"/>
      <c r="P3" s="14"/>
    </row>
    <row r="4" spans="1:17" customFormat="1" ht="25.05" customHeight="1" x14ac:dyDescent="0.3">
      <c r="A4" s="14"/>
      <c r="B4" s="261" t="s">
        <v>251</v>
      </c>
      <c r="C4" s="262"/>
      <c r="D4" s="262"/>
      <c r="E4" s="262"/>
      <c r="F4" s="185"/>
      <c r="G4" s="25"/>
      <c r="H4" s="25"/>
      <c r="I4" s="25"/>
      <c r="J4" s="14"/>
      <c r="K4" s="14"/>
      <c r="L4" s="14"/>
      <c r="M4" s="14"/>
      <c r="N4" s="14"/>
      <c r="O4" s="14"/>
      <c r="P4" s="14"/>
    </row>
    <row r="5" spans="1:17" customFormat="1" ht="25.05" customHeight="1" x14ac:dyDescent="0.3">
      <c r="A5" s="14"/>
      <c r="B5" s="27" t="s">
        <v>36</v>
      </c>
      <c r="C5" s="27" t="s">
        <v>38</v>
      </c>
      <c r="D5" s="27" t="s">
        <v>37</v>
      </c>
      <c r="E5" s="28" t="s">
        <v>35</v>
      </c>
      <c r="F5" s="186"/>
      <c r="G5" s="263" t="s">
        <v>93</v>
      </c>
      <c r="H5" s="263"/>
      <c r="I5" s="188"/>
      <c r="J5" s="188"/>
      <c r="K5" s="187"/>
      <c r="L5" s="187"/>
      <c r="M5" s="187"/>
      <c r="N5" s="14"/>
      <c r="O5" s="14"/>
      <c r="P5" s="14"/>
    </row>
    <row r="6" spans="1:17" customFormat="1" ht="25.05" customHeight="1" x14ac:dyDescent="0.3">
      <c r="A6" s="14"/>
      <c r="B6" s="29" t="s">
        <v>14</v>
      </c>
      <c r="C6" s="30">
        <v>1</v>
      </c>
      <c r="D6" s="30">
        <v>1</v>
      </c>
      <c r="E6" s="30" t="str">
        <f>IF(C6=D6, "Yes", "No")</f>
        <v>Yes</v>
      </c>
      <c r="F6" s="185"/>
      <c r="G6" s="183"/>
      <c r="H6" s="264" t="s">
        <v>127</v>
      </c>
      <c r="I6" s="265"/>
      <c r="J6" s="266"/>
      <c r="K6" s="187"/>
      <c r="L6" s="187"/>
      <c r="M6" s="187"/>
      <c r="N6" s="14"/>
      <c r="O6" s="14"/>
      <c r="P6" s="14"/>
    </row>
    <row r="7" spans="1:17" customFormat="1" ht="25.05" customHeight="1" x14ac:dyDescent="0.3">
      <c r="A7" s="14"/>
      <c r="B7" s="29" t="s">
        <v>15</v>
      </c>
      <c r="C7" s="30">
        <v>2</v>
      </c>
      <c r="D7" s="30">
        <v>2</v>
      </c>
      <c r="E7" s="30" t="str">
        <f t="shared" ref="E7:E23" si="0">IF(C7=D7, "Yes", "No")</f>
        <v>Yes</v>
      </c>
      <c r="F7" s="185"/>
      <c r="G7" s="184"/>
      <c r="H7" s="264" t="s">
        <v>126</v>
      </c>
      <c r="I7" s="265"/>
      <c r="J7" s="266"/>
      <c r="K7" s="187"/>
      <c r="L7" s="187"/>
      <c r="M7" s="187"/>
      <c r="N7" s="14"/>
      <c r="O7" s="14"/>
      <c r="P7" s="14"/>
    </row>
    <row r="8" spans="1:17" customFormat="1" ht="25.05" customHeight="1" x14ac:dyDescent="0.3">
      <c r="A8" s="14"/>
      <c r="B8" s="29" t="s">
        <v>16</v>
      </c>
      <c r="C8" s="30">
        <v>3</v>
      </c>
      <c r="D8" s="30">
        <v>4</v>
      </c>
      <c r="E8" s="30" t="str">
        <f t="shared" si="0"/>
        <v>No</v>
      </c>
      <c r="F8" s="185"/>
      <c r="G8" s="148"/>
      <c r="H8" s="264" t="s">
        <v>92</v>
      </c>
      <c r="I8" s="265"/>
      <c r="J8" s="266"/>
      <c r="K8" s="187"/>
      <c r="L8" s="187"/>
      <c r="M8" s="187"/>
      <c r="N8" s="14"/>
      <c r="O8" s="14"/>
      <c r="P8" s="14"/>
    </row>
    <row r="9" spans="1:17" customFormat="1" ht="25.05" customHeight="1" x14ac:dyDescent="0.3">
      <c r="A9" s="14"/>
      <c r="B9" s="29" t="s">
        <v>17</v>
      </c>
      <c r="C9" s="30">
        <v>4</v>
      </c>
      <c r="D9" s="30">
        <v>18</v>
      </c>
      <c r="E9" s="30" t="str">
        <f t="shared" si="0"/>
        <v>No</v>
      </c>
      <c r="F9" s="185"/>
      <c r="G9" s="187"/>
      <c r="H9" s="187"/>
      <c r="I9" s="187"/>
      <c r="J9" s="187"/>
      <c r="K9" s="187"/>
      <c r="L9" s="187"/>
      <c r="M9" s="187"/>
      <c r="N9" s="14"/>
      <c r="O9" s="14"/>
      <c r="P9" s="14"/>
    </row>
    <row r="10" spans="1:17" customFormat="1" ht="25.05" customHeight="1" x14ac:dyDescent="0.3">
      <c r="A10" s="14"/>
      <c r="B10" s="29" t="s">
        <v>18</v>
      </c>
      <c r="C10" s="30">
        <v>5</v>
      </c>
      <c r="D10" s="30">
        <v>5</v>
      </c>
      <c r="E10" s="30" t="str">
        <f t="shared" si="0"/>
        <v>Yes</v>
      </c>
      <c r="F10" s="185"/>
      <c r="G10" s="268" t="s">
        <v>247</v>
      </c>
      <c r="H10" s="269"/>
      <c r="I10" s="269"/>
      <c r="J10" s="269"/>
      <c r="K10" s="269"/>
      <c r="L10" s="269"/>
      <c r="M10" s="187"/>
      <c r="N10" s="14"/>
      <c r="O10" s="14"/>
      <c r="P10" s="14"/>
    </row>
    <row r="11" spans="1:17" customFormat="1" ht="25.05" customHeight="1" x14ac:dyDescent="0.3">
      <c r="A11" s="14"/>
      <c r="B11" s="29" t="s">
        <v>19</v>
      </c>
      <c r="C11" s="30">
        <v>6</v>
      </c>
      <c r="D11" s="30">
        <v>6</v>
      </c>
      <c r="E11" s="30" t="str">
        <f t="shared" si="0"/>
        <v>Yes</v>
      </c>
      <c r="F11" s="185"/>
      <c r="G11" s="76" t="s">
        <v>73</v>
      </c>
      <c r="H11" s="270" t="s">
        <v>310</v>
      </c>
      <c r="I11" s="270"/>
      <c r="J11" s="270"/>
      <c r="K11" s="270"/>
      <c r="L11" s="270"/>
      <c r="M11" s="270"/>
      <c r="N11" s="270"/>
      <c r="O11" s="14"/>
      <c r="P11" s="14"/>
    </row>
    <row r="12" spans="1:17" customFormat="1" ht="25.05" customHeight="1" x14ac:dyDescent="0.3">
      <c r="A12" s="14"/>
      <c r="B12" s="29" t="s">
        <v>20</v>
      </c>
      <c r="C12" s="30">
        <v>7</v>
      </c>
      <c r="D12" s="30">
        <v>7</v>
      </c>
      <c r="E12" s="30" t="str">
        <f t="shared" si="0"/>
        <v>Yes</v>
      </c>
      <c r="F12" s="185"/>
      <c r="G12" s="76" t="s">
        <v>74</v>
      </c>
      <c r="H12" s="270" t="s">
        <v>110</v>
      </c>
      <c r="I12" s="270"/>
      <c r="J12" s="270"/>
      <c r="K12" s="270"/>
      <c r="L12" s="270"/>
      <c r="M12" s="270"/>
      <c r="N12" s="270"/>
      <c r="O12" s="14"/>
      <c r="P12" s="14"/>
    </row>
    <row r="13" spans="1:17" customFormat="1" ht="25.05" customHeight="1" x14ac:dyDescent="0.3">
      <c r="A13" s="14"/>
      <c r="B13" s="29" t="s">
        <v>34</v>
      </c>
      <c r="C13" s="30">
        <v>8</v>
      </c>
      <c r="D13" s="30">
        <v>8</v>
      </c>
      <c r="E13" s="30" t="str">
        <f t="shared" si="0"/>
        <v>Yes</v>
      </c>
      <c r="F13" s="185"/>
      <c r="G13" s="76" t="s">
        <v>76</v>
      </c>
      <c r="H13" s="270" t="s">
        <v>195</v>
      </c>
      <c r="I13" s="270"/>
      <c r="J13" s="270"/>
      <c r="K13" s="270"/>
      <c r="L13" s="270"/>
      <c r="M13" s="270"/>
      <c r="N13" s="270"/>
      <c r="O13" s="14"/>
      <c r="P13" s="14"/>
    </row>
    <row r="14" spans="1:17" customFormat="1" ht="25.05" customHeight="1" x14ac:dyDescent="0.3">
      <c r="A14" s="14"/>
      <c r="B14" s="29" t="s">
        <v>21</v>
      </c>
      <c r="C14" s="30">
        <v>9</v>
      </c>
      <c r="D14" s="30">
        <v>14</v>
      </c>
      <c r="E14" s="30" t="str">
        <f t="shared" si="0"/>
        <v>No</v>
      </c>
      <c r="F14" s="185"/>
      <c r="G14" s="76" t="s">
        <v>157</v>
      </c>
      <c r="H14" s="270" t="s">
        <v>159</v>
      </c>
      <c r="I14" s="270"/>
      <c r="J14" s="270"/>
      <c r="K14" s="270"/>
      <c r="L14" s="270"/>
      <c r="M14" s="270"/>
      <c r="N14" s="270"/>
      <c r="O14" s="14"/>
      <c r="P14" s="14"/>
    </row>
    <row r="15" spans="1:17" customFormat="1" ht="25.05" customHeight="1" x14ac:dyDescent="0.3">
      <c r="A15" s="14"/>
      <c r="B15" s="29" t="s">
        <v>22</v>
      </c>
      <c r="C15" s="30">
        <v>10</v>
      </c>
      <c r="D15" s="30">
        <v>10</v>
      </c>
      <c r="E15" s="30" t="str">
        <f t="shared" si="0"/>
        <v>Yes</v>
      </c>
      <c r="F15" s="185"/>
      <c r="G15" s="76" t="s">
        <v>158</v>
      </c>
      <c r="H15" s="270" t="s">
        <v>193</v>
      </c>
      <c r="I15" s="270"/>
      <c r="J15" s="270"/>
      <c r="K15" s="270"/>
      <c r="L15" s="270"/>
      <c r="M15" s="270"/>
      <c r="N15" s="270"/>
      <c r="O15" s="14"/>
      <c r="P15" s="14"/>
    </row>
    <row r="16" spans="1:17" customFormat="1" ht="25.05" customHeight="1" x14ac:dyDescent="0.3">
      <c r="A16" s="14"/>
      <c r="B16" s="29" t="s">
        <v>23</v>
      </c>
      <c r="C16" s="30">
        <v>11</v>
      </c>
      <c r="D16" s="30">
        <v>11</v>
      </c>
      <c r="E16" s="30" t="str">
        <f t="shared" si="0"/>
        <v>Yes</v>
      </c>
      <c r="F16" s="185"/>
      <c r="G16" s="76" t="s">
        <v>160</v>
      </c>
      <c r="H16" s="270" t="s">
        <v>162</v>
      </c>
      <c r="I16" s="270"/>
      <c r="J16" s="270"/>
      <c r="K16" s="270"/>
      <c r="L16" s="270"/>
      <c r="M16" s="270"/>
      <c r="N16" s="270"/>
      <c r="O16" s="14"/>
      <c r="P16" s="14"/>
    </row>
    <row r="17" spans="1:16" customFormat="1" ht="25.05" customHeight="1" x14ac:dyDescent="0.3">
      <c r="A17" s="14"/>
      <c r="B17" s="29" t="s">
        <v>24</v>
      </c>
      <c r="C17" s="30">
        <v>12</v>
      </c>
      <c r="D17" s="30">
        <v>12</v>
      </c>
      <c r="E17" s="30" t="str">
        <f t="shared" si="0"/>
        <v>Yes</v>
      </c>
      <c r="F17" s="185"/>
      <c r="G17" s="76" t="s">
        <v>161</v>
      </c>
      <c r="H17" s="270" t="s">
        <v>194</v>
      </c>
      <c r="I17" s="270"/>
      <c r="J17" s="270"/>
      <c r="K17" s="270"/>
      <c r="L17" s="270"/>
      <c r="M17" s="270"/>
      <c r="N17" s="270"/>
      <c r="O17" s="14"/>
      <c r="P17" s="14"/>
    </row>
    <row r="18" spans="1:16" customFormat="1" ht="25.05" customHeight="1" x14ac:dyDescent="0.3">
      <c r="A18" s="14"/>
      <c r="B18" s="29" t="s">
        <v>25</v>
      </c>
      <c r="C18" s="30">
        <v>13</v>
      </c>
      <c r="D18" s="30">
        <v>13</v>
      </c>
      <c r="E18" s="30" t="str">
        <f t="shared" si="0"/>
        <v>Yes</v>
      </c>
      <c r="F18" s="185"/>
      <c r="G18" s="189" t="s">
        <v>245</v>
      </c>
      <c r="H18" s="267" t="s">
        <v>272</v>
      </c>
      <c r="I18" s="267"/>
      <c r="J18" s="267"/>
      <c r="K18" s="267"/>
      <c r="L18" s="267"/>
      <c r="M18" s="267"/>
      <c r="N18" s="267"/>
      <c r="O18" s="14"/>
      <c r="P18" s="14"/>
    </row>
    <row r="19" spans="1:16" customFormat="1" ht="25.05" customHeight="1" x14ac:dyDescent="0.3">
      <c r="A19" s="14"/>
      <c r="B19" s="29" t="s">
        <v>26</v>
      </c>
      <c r="C19" s="30">
        <v>14</v>
      </c>
      <c r="D19" s="30">
        <v>14</v>
      </c>
      <c r="E19" s="30" t="str">
        <f t="shared" si="0"/>
        <v>Yes</v>
      </c>
      <c r="F19" s="185"/>
      <c r="G19" s="189" t="s">
        <v>273</v>
      </c>
      <c r="H19" s="267" t="s">
        <v>287</v>
      </c>
      <c r="I19" s="267"/>
      <c r="J19" s="267"/>
      <c r="K19" s="267"/>
      <c r="L19" s="267"/>
      <c r="M19" s="267"/>
      <c r="N19" s="267"/>
      <c r="O19" s="14"/>
      <c r="P19" s="14"/>
    </row>
    <row r="20" spans="1:16" customFormat="1" ht="25.05" customHeight="1" x14ac:dyDescent="0.3">
      <c r="A20" s="14"/>
      <c r="B20" s="29" t="s">
        <v>27</v>
      </c>
      <c r="C20" s="30">
        <v>15</v>
      </c>
      <c r="D20" s="30">
        <v>15</v>
      </c>
      <c r="E20" s="30" t="str">
        <f t="shared" si="0"/>
        <v>Yes</v>
      </c>
      <c r="F20" s="185"/>
      <c r="G20" s="185"/>
      <c r="H20" s="185"/>
      <c r="I20" s="185"/>
      <c r="J20" s="188"/>
      <c r="K20" s="14"/>
      <c r="L20" s="14"/>
      <c r="M20" s="14"/>
      <c r="N20" s="14"/>
      <c r="O20" s="14"/>
      <c r="P20" s="14"/>
    </row>
    <row r="21" spans="1:16" customFormat="1" ht="25.05" customHeight="1" x14ac:dyDescent="0.3">
      <c r="A21" s="14"/>
      <c r="B21" s="29" t="s">
        <v>28</v>
      </c>
      <c r="C21" s="30">
        <v>16</v>
      </c>
      <c r="D21" s="30">
        <v>16</v>
      </c>
      <c r="E21" s="30" t="str">
        <f t="shared" si="0"/>
        <v>Yes</v>
      </c>
      <c r="F21" s="185"/>
      <c r="G21" s="185"/>
      <c r="H21" s="185"/>
      <c r="I21" s="185"/>
      <c r="J21" s="188"/>
      <c r="K21" s="14"/>
      <c r="L21" s="14"/>
      <c r="M21" s="14"/>
      <c r="N21" s="14"/>
      <c r="O21" s="14"/>
      <c r="P21" s="14"/>
    </row>
    <row r="22" spans="1:16" customFormat="1" ht="25.05" customHeight="1" x14ac:dyDescent="0.3">
      <c r="A22" s="14"/>
      <c r="B22" s="29" t="s">
        <v>29</v>
      </c>
      <c r="C22" s="30">
        <v>17</v>
      </c>
      <c r="D22" s="30">
        <v>3</v>
      </c>
      <c r="E22" s="30" t="str">
        <f t="shared" si="0"/>
        <v>No</v>
      </c>
      <c r="F22" s="185"/>
      <c r="G22" s="185"/>
      <c r="H22" s="185"/>
      <c r="I22" s="185"/>
      <c r="J22" s="188"/>
      <c r="K22" s="14"/>
      <c r="L22" s="14"/>
      <c r="M22" s="14"/>
      <c r="N22" s="14"/>
      <c r="O22" s="14"/>
      <c r="P22" s="14"/>
    </row>
    <row r="23" spans="1:16" customFormat="1" ht="25.05" customHeight="1" x14ac:dyDescent="0.3">
      <c r="A23" s="14"/>
      <c r="B23" s="29" t="s">
        <v>30</v>
      </c>
      <c r="C23" s="30">
        <v>18</v>
      </c>
      <c r="D23" s="30">
        <v>17</v>
      </c>
      <c r="E23" s="30" t="str">
        <f t="shared" si="0"/>
        <v>No</v>
      </c>
      <c r="F23" s="185"/>
      <c r="G23" s="185"/>
      <c r="H23" s="185"/>
      <c r="I23" s="185"/>
      <c r="J23" s="188"/>
      <c r="K23" s="14"/>
      <c r="L23" s="14"/>
      <c r="M23" s="14"/>
      <c r="N23" s="14"/>
      <c r="O23" s="14"/>
      <c r="P23" s="14"/>
    </row>
    <row r="24" spans="1:16" customFormat="1" ht="25.05" customHeight="1" x14ac:dyDescent="0.3">
      <c r="A24" s="14"/>
      <c r="B24" s="25"/>
      <c r="C24" s="25"/>
      <c r="D24" s="25"/>
      <c r="E24" s="25"/>
      <c r="F24" s="185"/>
      <c r="G24" s="185"/>
      <c r="H24" s="185"/>
      <c r="I24" s="185"/>
      <c r="J24" s="188"/>
      <c r="K24" s="14"/>
      <c r="L24" s="14"/>
      <c r="M24" s="14"/>
      <c r="N24" s="14"/>
      <c r="O24" s="14"/>
      <c r="P24" s="14"/>
    </row>
    <row r="25" spans="1:16" customFormat="1" ht="25.05" customHeight="1" x14ac:dyDescent="0.3">
      <c r="A25" s="14"/>
      <c r="B25" s="25"/>
      <c r="C25" s="25"/>
      <c r="D25" s="25"/>
      <c r="E25" s="25"/>
      <c r="F25" s="185"/>
      <c r="G25" s="25"/>
      <c r="H25" s="25"/>
      <c r="I25" s="25"/>
      <c r="J25" s="14"/>
      <c r="K25" s="14"/>
      <c r="L25" s="14"/>
      <c r="M25" s="14"/>
      <c r="N25" s="14"/>
      <c r="O25" s="14"/>
      <c r="P25" s="14"/>
    </row>
  </sheetData>
  <sheetProtection sheet="1" selectLockedCells="1" selectUnlockedCells="1"/>
  <mergeCells count="17">
    <mergeCell ref="A1:XFD1"/>
    <mergeCell ref="H19:N19"/>
    <mergeCell ref="H8:J8"/>
    <mergeCell ref="G10:L10"/>
    <mergeCell ref="H18:N18"/>
    <mergeCell ref="H16:N16"/>
    <mergeCell ref="H17:N17"/>
    <mergeCell ref="H14:N14"/>
    <mergeCell ref="H15:N15"/>
    <mergeCell ref="H11:N11"/>
    <mergeCell ref="H12:N12"/>
    <mergeCell ref="H13:N13"/>
    <mergeCell ref="A2:XFD2"/>
    <mergeCell ref="B4:E4"/>
    <mergeCell ref="G5:H5"/>
    <mergeCell ref="H6:J6"/>
    <mergeCell ref="H7:J7"/>
  </mergeCells>
  <conditionalFormatting sqref="B6:E23">
    <cfRule type="expression" dxfId="57" priority="1">
      <formula>$E6="No"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0C6E-D617-4DC8-8712-B2E5391E139C}">
  <sheetPr>
    <tabColor theme="3" tint="-0.249977111117893"/>
  </sheetPr>
  <dimension ref="A1:M3117"/>
  <sheetViews>
    <sheetView showZeros="0" zoomScaleNormal="100" workbookViewId="0">
      <pane ySplit="3" topLeftCell="A4" activePane="bottomLeft" state="frozen"/>
      <selection pane="bottomLeft" sqref="A1:XFD1"/>
    </sheetView>
  </sheetViews>
  <sheetFormatPr defaultColWidth="8.6640625" defaultRowHeight="14.4" x14ac:dyDescent="0.3"/>
  <cols>
    <col min="1" max="1" width="10.77734375" style="98" customWidth="1"/>
    <col min="2" max="2" width="15.77734375" style="106" customWidth="1"/>
    <col min="3" max="3" width="17.109375" style="94" customWidth="1"/>
    <col min="4" max="4" width="19.33203125" style="91" customWidth="1"/>
    <col min="5" max="5" width="17.44140625" style="98" customWidth="1"/>
    <col min="6" max="6" width="17.44140625" style="90" customWidth="1"/>
    <col min="7" max="7" width="17.44140625" style="92" customWidth="1"/>
  </cols>
  <sheetData>
    <row r="1" spans="1:13" s="359" customFormat="1" ht="24.6" thickTop="1" thickBot="1" x14ac:dyDescent="0.5">
      <c r="A1" s="358" t="s">
        <v>311</v>
      </c>
    </row>
    <row r="2" spans="1:13" ht="19.95" customHeight="1" thickTop="1" x14ac:dyDescent="0.3">
      <c r="A2" s="275" t="s">
        <v>94</v>
      </c>
      <c r="B2" s="276"/>
      <c r="C2" s="276"/>
      <c r="D2" s="276"/>
      <c r="E2" s="277"/>
      <c r="F2" s="278" t="s">
        <v>90</v>
      </c>
      <c r="G2" s="278"/>
    </row>
    <row r="3" spans="1:13" s="88" customFormat="1" ht="34.950000000000003" customHeight="1" x14ac:dyDescent="0.3">
      <c r="A3" s="117" t="s">
        <v>85</v>
      </c>
      <c r="B3" s="114" t="s">
        <v>119</v>
      </c>
      <c r="C3" s="99" t="s">
        <v>31</v>
      </c>
      <c r="D3" s="100" t="s">
        <v>13</v>
      </c>
      <c r="E3" s="182" t="s">
        <v>226</v>
      </c>
      <c r="F3" s="101" t="s">
        <v>32</v>
      </c>
      <c r="G3" s="101" t="s">
        <v>33</v>
      </c>
    </row>
    <row r="4" spans="1:13" x14ac:dyDescent="0.3">
      <c r="A4" s="93" t="s">
        <v>81</v>
      </c>
      <c r="B4" s="105" t="s">
        <v>89</v>
      </c>
      <c r="C4" s="94">
        <v>46228</v>
      </c>
      <c r="D4" s="95" t="s">
        <v>14</v>
      </c>
      <c r="E4" s="93">
        <v>2306</v>
      </c>
      <c r="F4" s="96">
        <v>0.274982</v>
      </c>
      <c r="G4" s="97">
        <v>7.9356800000000005E-2</v>
      </c>
    </row>
    <row r="5" spans="1:13" x14ac:dyDescent="0.3">
      <c r="A5" s="93" t="s">
        <v>81</v>
      </c>
      <c r="B5" s="105" t="s">
        <v>89</v>
      </c>
      <c r="C5" s="94">
        <v>46228</v>
      </c>
      <c r="D5" s="95" t="s">
        <v>15</v>
      </c>
      <c r="E5" s="93">
        <v>2392</v>
      </c>
      <c r="F5" s="96">
        <v>0.42184300000000002</v>
      </c>
      <c r="G5" s="97">
        <v>0.112306</v>
      </c>
    </row>
    <row r="6" spans="1:13" x14ac:dyDescent="0.3">
      <c r="A6" s="93" t="s">
        <v>81</v>
      </c>
      <c r="B6" s="105" t="s">
        <v>89</v>
      </c>
      <c r="C6" s="94">
        <v>46228</v>
      </c>
      <c r="D6" s="95" t="s">
        <v>16</v>
      </c>
      <c r="E6" s="93">
        <v>1810</v>
      </c>
      <c r="F6" s="96">
        <v>0.39858399999999999</v>
      </c>
      <c r="G6" s="97">
        <v>9.2427499999999996E-2</v>
      </c>
    </row>
    <row r="7" spans="1:13" x14ac:dyDescent="0.3">
      <c r="A7" s="93" t="s">
        <v>81</v>
      </c>
      <c r="B7" s="105" t="s">
        <v>89</v>
      </c>
      <c r="C7" s="94">
        <v>46228</v>
      </c>
      <c r="D7" s="95" t="s">
        <v>17</v>
      </c>
      <c r="E7" s="93">
        <v>2277</v>
      </c>
      <c r="F7" s="96">
        <v>0.62003600000000003</v>
      </c>
      <c r="G7" s="97">
        <v>0.12157900000000001</v>
      </c>
    </row>
    <row r="8" spans="1:13" x14ac:dyDescent="0.3">
      <c r="A8" s="93" t="s">
        <v>81</v>
      </c>
      <c r="B8" s="105" t="s">
        <v>89</v>
      </c>
      <c r="C8" s="94">
        <v>46228</v>
      </c>
      <c r="D8" s="95" t="s">
        <v>18</v>
      </c>
      <c r="E8" s="93">
        <v>2240</v>
      </c>
      <c r="F8" s="96">
        <v>0.19189300000000001</v>
      </c>
      <c r="G8" s="97">
        <v>4.4366900000000001E-2</v>
      </c>
      <c r="H8" s="271"/>
      <c r="I8" s="271"/>
      <c r="J8" s="271"/>
      <c r="K8" s="271"/>
      <c r="L8" s="271"/>
      <c r="M8" s="272"/>
    </row>
    <row r="9" spans="1:13" x14ac:dyDescent="0.3">
      <c r="A9" s="93" t="s">
        <v>81</v>
      </c>
      <c r="B9" s="105" t="s">
        <v>89</v>
      </c>
      <c r="C9" s="94">
        <v>46228</v>
      </c>
      <c r="D9" s="95" t="s">
        <v>19</v>
      </c>
      <c r="E9" s="93">
        <v>2754</v>
      </c>
      <c r="F9" s="96">
        <v>0.44223499999999999</v>
      </c>
      <c r="G9" s="97">
        <v>8.9975399999999997E-2</v>
      </c>
      <c r="H9" s="271"/>
      <c r="I9" s="271"/>
      <c r="J9" s="271"/>
      <c r="K9" s="271"/>
      <c r="L9" s="271"/>
      <c r="M9" s="272"/>
    </row>
    <row r="10" spans="1:13" x14ac:dyDescent="0.3">
      <c r="A10" s="93" t="s">
        <v>81</v>
      </c>
      <c r="B10" s="105" t="s">
        <v>89</v>
      </c>
      <c r="C10" s="94">
        <v>46228</v>
      </c>
      <c r="D10" s="95" t="s">
        <v>20</v>
      </c>
      <c r="E10" s="93">
        <v>3007</v>
      </c>
      <c r="F10" s="96">
        <v>0.50989600000000002</v>
      </c>
      <c r="G10" s="97">
        <v>0.102799</v>
      </c>
      <c r="H10" s="271"/>
      <c r="I10" s="271"/>
      <c r="J10" s="271"/>
      <c r="K10" s="271"/>
      <c r="L10" s="271"/>
      <c r="M10" s="272"/>
    </row>
    <row r="11" spans="1:13" x14ac:dyDescent="0.3">
      <c r="A11" s="93" t="s">
        <v>81</v>
      </c>
      <c r="B11" s="105" t="s">
        <v>89</v>
      </c>
      <c r="C11" s="94">
        <v>46228</v>
      </c>
      <c r="D11" s="95" t="s">
        <v>21</v>
      </c>
      <c r="E11" s="93">
        <v>2832</v>
      </c>
      <c r="F11" s="96">
        <v>0.39593499999999998</v>
      </c>
      <c r="G11" s="97">
        <v>7.95796E-2</v>
      </c>
      <c r="H11" s="271"/>
      <c r="I11" s="271"/>
      <c r="J11" s="271"/>
      <c r="K11" s="271"/>
      <c r="L11" s="271"/>
      <c r="M11" s="272"/>
    </row>
    <row r="12" spans="1:13" x14ac:dyDescent="0.3">
      <c r="A12" s="93" t="s">
        <v>81</v>
      </c>
      <c r="B12" s="105" t="s">
        <v>89</v>
      </c>
      <c r="C12" s="94">
        <v>46228</v>
      </c>
      <c r="D12" s="95" t="s">
        <v>22</v>
      </c>
      <c r="E12" s="93">
        <v>2120</v>
      </c>
      <c r="F12" s="96">
        <v>0.49960599999999999</v>
      </c>
      <c r="G12" s="97">
        <v>0.13203699999999999</v>
      </c>
      <c r="H12" s="271"/>
      <c r="I12" s="271"/>
      <c r="J12" s="271"/>
      <c r="K12" s="271"/>
      <c r="L12" s="271"/>
      <c r="M12" s="272"/>
    </row>
    <row r="13" spans="1:13" x14ac:dyDescent="0.3">
      <c r="A13" s="93" t="s">
        <v>81</v>
      </c>
      <c r="B13" s="105" t="s">
        <v>89</v>
      </c>
      <c r="C13" s="94">
        <v>46228</v>
      </c>
      <c r="D13" s="95" t="s">
        <v>23</v>
      </c>
      <c r="E13" s="93">
        <v>1471</v>
      </c>
      <c r="F13" s="96">
        <v>0.13059299999999999</v>
      </c>
      <c r="G13" s="97">
        <v>4.5056100000000002E-2</v>
      </c>
      <c r="H13" s="271"/>
      <c r="I13" s="271"/>
      <c r="J13" s="271"/>
      <c r="K13" s="271"/>
      <c r="L13" s="271"/>
      <c r="M13" s="272"/>
    </row>
    <row r="14" spans="1:13" x14ac:dyDescent="0.3">
      <c r="A14" s="93" t="s">
        <v>81</v>
      </c>
      <c r="B14" s="105" t="s">
        <v>89</v>
      </c>
      <c r="C14" s="94">
        <v>46228</v>
      </c>
      <c r="D14" s="95" t="s">
        <v>24</v>
      </c>
      <c r="E14" s="93">
        <v>1657</v>
      </c>
      <c r="F14" s="96">
        <v>0.428371</v>
      </c>
      <c r="G14" s="97">
        <v>0.14066300000000001</v>
      </c>
      <c r="H14" s="271"/>
      <c r="I14" s="271"/>
      <c r="J14" s="271"/>
      <c r="K14" s="271"/>
      <c r="L14" s="271"/>
      <c r="M14" s="272"/>
    </row>
    <row r="15" spans="1:13" ht="14.4" customHeight="1" x14ac:dyDescent="0.3">
      <c r="A15" s="93" t="s">
        <v>81</v>
      </c>
      <c r="B15" s="105" t="s">
        <v>89</v>
      </c>
      <c r="C15" s="94">
        <v>46228</v>
      </c>
      <c r="D15" s="95" t="s">
        <v>25</v>
      </c>
      <c r="E15" s="93">
        <v>1007</v>
      </c>
      <c r="F15" s="96">
        <v>0.16838600000000001</v>
      </c>
      <c r="G15" s="97">
        <v>4.2415799999999997E-2</v>
      </c>
      <c r="H15" s="279"/>
      <c r="I15" s="279"/>
      <c r="J15" s="279"/>
      <c r="K15" s="279"/>
      <c r="L15" s="279"/>
      <c r="M15" s="280"/>
    </row>
    <row r="16" spans="1:13" x14ac:dyDescent="0.3">
      <c r="A16" s="93" t="s">
        <v>81</v>
      </c>
      <c r="B16" s="105" t="s">
        <v>89</v>
      </c>
      <c r="C16" s="94">
        <v>46228</v>
      </c>
      <c r="D16" s="95" t="s">
        <v>26</v>
      </c>
      <c r="E16" s="93">
        <v>2022</v>
      </c>
      <c r="F16" s="96">
        <v>0.160743</v>
      </c>
      <c r="G16" s="97">
        <v>4.9050299999999998E-2</v>
      </c>
      <c r="H16" s="281"/>
      <c r="I16" s="281"/>
      <c r="J16" s="281"/>
      <c r="K16" s="281"/>
      <c r="L16" s="281"/>
      <c r="M16" s="282"/>
    </row>
    <row r="17" spans="1:10" x14ac:dyDescent="0.3">
      <c r="A17" s="93" t="s">
        <v>81</v>
      </c>
      <c r="B17" s="105" t="s">
        <v>89</v>
      </c>
      <c r="C17" s="94">
        <v>46228</v>
      </c>
      <c r="D17" s="95" t="s">
        <v>27</v>
      </c>
      <c r="E17" s="93">
        <v>1985</v>
      </c>
      <c r="F17" s="96">
        <v>0.43960500000000002</v>
      </c>
      <c r="G17" s="97">
        <v>0.10267900000000001</v>
      </c>
    </row>
    <row r="18" spans="1:10" x14ac:dyDescent="0.3">
      <c r="A18" s="93" t="s">
        <v>81</v>
      </c>
      <c r="B18" s="105" t="s">
        <v>89</v>
      </c>
      <c r="C18" s="94">
        <v>46228</v>
      </c>
      <c r="D18" s="95" t="s">
        <v>28</v>
      </c>
      <c r="E18" s="93">
        <v>1540</v>
      </c>
      <c r="F18" s="96">
        <v>0.64795899999999995</v>
      </c>
      <c r="G18" s="97">
        <v>0.147318</v>
      </c>
    </row>
    <row r="19" spans="1:10" x14ac:dyDescent="0.3">
      <c r="A19" s="93" t="s">
        <v>81</v>
      </c>
      <c r="B19" s="105" t="s">
        <v>89</v>
      </c>
      <c r="C19" s="94">
        <v>46228</v>
      </c>
      <c r="D19" s="95" t="s">
        <v>29</v>
      </c>
      <c r="E19" s="93">
        <v>1892</v>
      </c>
      <c r="F19" s="96">
        <v>0.37152299999999999</v>
      </c>
      <c r="G19" s="97">
        <v>7.7194100000000002E-2</v>
      </c>
      <c r="H19" s="273"/>
      <c r="I19" s="273"/>
      <c r="J19" s="274"/>
    </row>
    <row r="20" spans="1:10" x14ac:dyDescent="0.3">
      <c r="A20" s="93" t="s">
        <v>81</v>
      </c>
      <c r="B20" s="105" t="s">
        <v>89</v>
      </c>
      <c r="C20" s="94">
        <v>46228</v>
      </c>
      <c r="D20" s="95" t="s">
        <v>30</v>
      </c>
      <c r="E20" s="93">
        <v>1460</v>
      </c>
      <c r="F20" s="96">
        <v>0.54793400000000003</v>
      </c>
      <c r="G20" s="97">
        <v>0.109931</v>
      </c>
      <c r="H20" s="273"/>
      <c r="I20" s="273"/>
      <c r="J20" s="274"/>
    </row>
    <row r="21" spans="1:10" x14ac:dyDescent="0.3">
      <c r="A21" s="93" t="s">
        <v>81</v>
      </c>
      <c r="B21" s="105" t="s">
        <v>89</v>
      </c>
      <c r="C21" s="94">
        <v>46230</v>
      </c>
      <c r="D21" s="95" t="s">
        <v>14</v>
      </c>
      <c r="E21" s="93">
        <v>1939</v>
      </c>
      <c r="F21" s="96">
        <v>0.38631799999999999</v>
      </c>
      <c r="G21" s="97">
        <v>0.10861</v>
      </c>
    </row>
    <row r="22" spans="1:10" x14ac:dyDescent="0.3">
      <c r="A22" s="93" t="s">
        <v>81</v>
      </c>
      <c r="B22" s="105" t="s">
        <v>89</v>
      </c>
      <c r="C22" s="94">
        <v>46230</v>
      </c>
      <c r="D22" s="95" t="s">
        <v>15</v>
      </c>
      <c r="E22" s="93">
        <v>2172</v>
      </c>
      <c r="F22" s="96">
        <v>0.40509299999999998</v>
      </c>
      <c r="G22" s="97">
        <v>0.10678</v>
      </c>
    </row>
    <row r="23" spans="1:10" x14ac:dyDescent="0.3">
      <c r="A23" s="93" t="s">
        <v>81</v>
      </c>
      <c r="B23" s="105" t="s">
        <v>89</v>
      </c>
      <c r="C23" s="94">
        <v>46230</v>
      </c>
      <c r="D23" s="95" t="s">
        <v>16</v>
      </c>
      <c r="E23" s="93">
        <v>1359</v>
      </c>
      <c r="F23" s="96">
        <v>0.42063299999999998</v>
      </c>
      <c r="G23" s="97">
        <v>9.8741200000000001E-2</v>
      </c>
    </row>
    <row r="24" spans="1:10" x14ac:dyDescent="0.3">
      <c r="A24" s="93" t="s">
        <v>81</v>
      </c>
      <c r="B24" s="105" t="s">
        <v>89</v>
      </c>
      <c r="C24" s="94">
        <v>46230</v>
      </c>
      <c r="D24" s="95" t="s">
        <v>17</v>
      </c>
      <c r="E24" s="93">
        <v>1819</v>
      </c>
      <c r="F24" s="96">
        <v>0.610344</v>
      </c>
      <c r="G24" s="97">
        <v>0.120907</v>
      </c>
    </row>
    <row r="25" spans="1:10" x14ac:dyDescent="0.3">
      <c r="A25" s="93" t="s">
        <v>81</v>
      </c>
      <c r="B25" s="105" t="s">
        <v>89</v>
      </c>
      <c r="C25" s="94">
        <v>46230</v>
      </c>
      <c r="D25" s="95" t="s">
        <v>18</v>
      </c>
      <c r="E25" s="93">
        <v>1541</v>
      </c>
      <c r="F25" s="96">
        <v>0.28196100000000002</v>
      </c>
      <c r="G25" s="97">
        <v>6.7092299999999994E-2</v>
      </c>
    </row>
    <row r="26" spans="1:10" x14ac:dyDescent="0.3">
      <c r="A26" s="93" t="s">
        <v>81</v>
      </c>
      <c r="B26" s="105" t="s">
        <v>89</v>
      </c>
      <c r="C26" s="94">
        <v>46230</v>
      </c>
      <c r="D26" s="95" t="s">
        <v>19</v>
      </c>
      <c r="E26" s="93">
        <v>1296</v>
      </c>
      <c r="F26" s="96">
        <v>0.35003099999999998</v>
      </c>
      <c r="G26" s="97">
        <v>7.3608499999999993E-2</v>
      </c>
    </row>
    <row r="27" spans="1:10" x14ac:dyDescent="0.3">
      <c r="A27" s="93" t="s">
        <v>81</v>
      </c>
      <c r="B27" s="105" t="s">
        <v>89</v>
      </c>
      <c r="C27" s="94">
        <v>46230</v>
      </c>
      <c r="D27" s="95" t="s">
        <v>20</v>
      </c>
      <c r="E27" s="93">
        <v>1470</v>
      </c>
      <c r="F27" s="96">
        <v>0.36660399999999999</v>
      </c>
      <c r="G27" s="97">
        <v>7.6716000000000006E-2</v>
      </c>
    </row>
    <row r="28" spans="1:10" x14ac:dyDescent="0.3">
      <c r="A28" s="93" t="s">
        <v>81</v>
      </c>
      <c r="B28" s="105" t="s">
        <v>89</v>
      </c>
      <c r="C28" s="94">
        <v>46230</v>
      </c>
      <c r="D28" s="95" t="s">
        <v>34</v>
      </c>
      <c r="E28" s="93">
        <v>1162</v>
      </c>
      <c r="F28" s="96">
        <v>0.162101</v>
      </c>
      <c r="G28" s="97">
        <v>4.9118500000000002E-2</v>
      </c>
    </row>
    <row r="29" spans="1:10" x14ac:dyDescent="0.3">
      <c r="A29" s="93" t="s">
        <v>81</v>
      </c>
      <c r="B29" s="105" t="s">
        <v>89</v>
      </c>
      <c r="C29" s="94">
        <v>46230</v>
      </c>
      <c r="D29" s="95" t="s">
        <v>21</v>
      </c>
      <c r="E29" s="93">
        <v>2611</v>
      </c>
      <c r="F29" s="96">
        <v>0.42067700000000002</v>
      </c>
      <c r="G29" s="97">
        <v>8.1860199999999994E-2</v>
      </c>
    </row>
    <row r="30" spans="1:10" x14ac:dyDescent="0.3">
      <c r="A30" s="93" t="s">
        <v>81</v>
      </c>
      <c r="B30" s="105" t="s">
        <v>89</v>
      </c>
      <c r="C30" s="94">
        <v>46230</v>
      </c>
      <c r="D30" s="95" t="s">
        <v>22</v>
      </c>
      <c r="E30" s="93">
        <v>1449</v>
      </c>
      <c r="F30" s="96">
        <v>0.45557700000000001</v>
      </c>
      <c r="G30" s="97">
        <v>0.123795</v>
      </c>
    </row>
    <row r="31" spans="1:10" x14ac:dyDescent="0.3">
      <c r="A31" s="93" t="s">
        <v>81</v>
      </c>
      <c r="B31" s="105" t="s">
        <v>89</v>
      </c>
      <c r="C31" s="94">
        <v>46230</v>
      </c>
      <c r="D31" s="95" t="s">
        <v>23</v>
      </c>
      <c r="E31" s="93">
        <v>1005</v>
      </c>
      <c r="F31" s="96">
        <v>0.43718499999999999</v>
      </c>
      <c r="G31" s="97">
        <v>0.14344199999999999</v>
      </c>
    </row>
    <row r="32" spans="1:10" x14ac:dyDescent="0.3">
      <c r="A32" s="93" t="s">
        <v>81</v>
      </c>
      <c r="B32" s="105" t="s">
        <v>89</v>
      </c>
      <c r="C32" s="94">
        <v>46230</v>
      </c>
      <c r="D32" s="95" t="s">
        <v>24</v>
      </c>
      <c r="E32" s="93">
        <v>2076</v>
      </c>
      <c r="F32" s="96">
        <v>0.30209799999999998</v>
      </c>
      <c r="G32" s="97">
        <v>9.3080999999999997E-2</v>
      </c>
    </row>
    <row r="33" spans="1:7" x14ac:dyDescent="0.3">
      <c r="A33" s="93" t="s">
        <v>81</v>
      </c>
      <c r="B33" s="105" t="s">
        <v>89</v>
      </c>
      <c r="C33" s="94">
        <v>46230</v>
      </c>
      <c r="D33" s="95" t="s">
        <v>25</v>
      </c>
      <c r="E33" s="93">
        <v>1159</v>
      </c>
      <c r="F33" s="96">
        <v>0.18565499999999999</v>
      </c>
      <c r="G33" s="97">
        <v>4.46854E-2</v>
      </c>
    </row>
    <row r="34" spans="1:7" x14ac:dyDescent="0.3">
      <c r="A34" s="93" t="s">
        <v>81</v>
      </c>
      <c r="B34" s="105" t="s">
        <v>89</v>
      </c>
      <c r="C34" s="94">
        <v>46230</v>
      </c>
      <c r="D34" s="95" t="s">
        <v>26</v>
      </c>
      <c r="E34" s="93">
        <v>1409</v>
      </c>
      <c r="F34" s="96">
        <v>0.21656300000000001</v>
      </c>
      <c r="G34" s="97">
        <v>6.9651900000000003E-2</v>
      </c>
    </row>
    <row r="35" spans="1:7" x14ac:dyDescent="0.3">
      <c r="A35" s="93" t="s">
        <v>81</v>
      </c>
      <c r="B35" s="105" t="s">
        <v>89</v>
      </c>
      <c r="C35" s="94">
        <v>46230</v>
      </c>
      <c r="D35" s="95" t="s">
        <v>27</v>
      </c>
      <c r="E35" s="93">
        <v>1914</v>
      </c>
      <c r="F35" s="96">
        <v>0.46116299999999999</v>
      </c>
      <c r="G35" s="97">
        <v>0.104768</v>
      </c>
    </row>
    <row r="36" spans="1:7" x14ac:dyDescent="0.3">
      <c r="A36" s="93" t="s">
        <v>81</v>
      </c>
      <c r="B36" s="105" t="s">
        <v>89</v>
      </c>
      <c r="C36" s="94">
        <v>46230</v>
      </c>
      <c r="D36" s="95" t="s">
        <v>28</v>
      </c>
      <c r="E36" s="93">
        <v>1154</v>
      </c>
      <c r="F36" s="96">
        <v>0.49668299999999999</v>
      </c>
      <c r="G36" s="97">
        <v>0.111633</v>
      </c>
    </row>
    <row r="37" spans="1:7" x14ac:dyDescent="0.3">
      <c r="A37" s="93" t="s">
        <v>81</v>
      </c>
      <c r="B37" s="105" t="s">
        <v>89</v>
      </c>
      <c r="C37" s="94">
        <v>46230</v>
      </c>
      <c r="D37" s="95" t="s">
        <v>29</v>
      </c>
      <c r="E37" s="93">
        <v>1614</v>
      </c>
      <c r="F37" s="96">
        <v>0.32052799999999998</v>
      </c>
      <c r="G37" s="97">
        <v>6.6401399999999999E-2</v>
      </c>
    </row>
    <row r="38" spans="1:7" x14ac:dyDescent="0.3">
      <c r="A38" s="93" t="s">
        <v>81</v>
      </c>
      <c r="B38" s="105" t="s">
        <v>89</v>
      </c>
      <c r="C38" s="94">
        <v>46230</v>
      </c>
      <c r="D38" s="95" t="s">
        <v>30</v>
      </c>
      <c r="E38" s="93">
        <v>1342</v>
      </c>
      <c r="F38" s="96">
        <v>0.56830499999999995</v>
      </c>
      <c r="G38" s="97">
        <v>0.114508</v>
      </c>
    </row>
    <row r="39" spans="1:7" x14ac:dyDescent="0.3">
      <c r="A39" s="93" t="s">
        <v>81</v>
      </c>
      <c r="B39" s="105" t="s">
        <v>89</v>
      </c>
      <c r="C39" s="94">
        <v>46231</v>
      </c>
      <c r="D39" s="95" t="s">
        <v>14</v>
      </c>
      <c r="E39" s="93">
        <v>2192</v>
      </c>
      <c r="F39" s="96">
        <v>0.32684800000000003</v>
      </c>
      <c r="G39" s="97">
        <v>9.1957899999999995E-2</v>
      </c>
    </row>
    <row r="40" spans="1:7" x14ac:dyDescent="0.3">
      <c r="A40" s="93" t="s">
        <v>81</v>
      </c>
      <c r="B40" s="105" t="s">
        <v>89</v>
      </c>
      <c r="C40" s="94">
        <v>46231</v>
      </c>
      <c r="D40" s="95" t="s">
        <v>15</v>
      </c>
      <c r="E40" s="93">
        <v>2430</v>
      </c>
      <c r="F40" s="96">
        <v>0.55680700000000005</v>
      </c>
      <c r="G40" s="97">
        <v>0.14671400000000001</v>
      </c>
    </row>
    <row r="41" spans="1:7" x14ac:dyDescent="0.3">
      <c r="A41" s="93" t="s">
        <v>81</v>
      </c>
      <c r="B41" s="105" t="s">
        <v>89</v>
      </c>
      <c r="C41" s="94">
        <v>46231</v>
      </c>
      <c r="D41" s="95" t="s">
        <v>16</v>
      </c>
      <c r="E41" s="93">
        <v>1832</v>
      </c>
      <c r="F41" s="96">
        <v>0.34914299999999998</v>
      </c>
      <c r="G41" s="97">
        <v>8.1951999999999997E-2</v>
      </c>
    </row>
    <row r="42" spans="1:7" x14ac:dyDescent="0.3">
      <c r="A42" s="93" t="s">
        <v>81</v>
      </c>
      <c r="B42" s="105" t="s">
        <v>89</v>
      </c>
      <c r="C42" s="94">
        <v>46231</v>
      </c>
      <c r="D42" s="95" t="s">
        <v>17</v>
      </c>
      <c r="E42" s="93">
        <v>2081</v>
      </c>
      <c r="F42" s="96">
        <v>0.55386500000000005</v>
      </c>
      <c r="G42" s="97">
        <v>0.109685</v>
      </c>
    </row>
    <row r="43" spans="1:7" x14ac:dyDescent="0.3">
      <c r="A43" s="93" t="s">
        <v>81</v>
      </c>
      <c r="B43" s="105" t="s">
        <v>89</v>
      </c>
      <c r="C43" s="94">
        <v>46231</v>
      </c>
      <c r="D43" s="95" t="s">
        <v>18</v>
      </c>
      <c r="E43" s="93">
        <v>2109</v>
      </c>
      <c r="F43" s="96">
        <v>0.32659700000000003</v>
      </c>
      <c r="G43" s="97">
        <v>7.7769500000000005E-2</v>
      </c>
    </row>
    <row r="44" spans="1:7" x14ac:dyDescent="0.3">
      <c r="A44" s="93" t="s">
        <v>81</v>
      </c>
      <c r="B44" s="105" t="s">
        <v>89</v>
      </c>
      <c r="C44" s="94">
        <v>46231</v>
      </c>
      <c r="D44" s="95" t="s">
        <v>19</v>
      </c>
      <c r="E44" s="93">
        <v>2103</v>
      </c>
      <c r="F44" s="96">
        <v>0.39977800000000002</v>
      </c>
      <c r="G44" s="97">
        <v>8.4118100000000001E-2</v>
      </c>
    </row>
    <row r="45" spans="1:7" x14ac:dyDescent="0.3">
      <c r="A45" s="93" t="s">
        <v>81</v>
      </c>
      <c r="B45" s="105" t="s">
        <v>89</v>
      </c>
      <c r="C45" s="94">
        <v>46231</v>
      </c>
      <c r="D45" s="95" t="s">
        <v>20</v>
      </c>
      <c r="E45" s="93">
        <v>2171</v>
      </c>
      <c r="F45" s="96">
        <v>0.42612899999999998</v>
      </c>
      <c r="G45" s="97">
        <v>8.9207099999999998E-2</v>
      </c>
    </row>
    <row r="46" spans="1:7" x14ac:dyDescent="0.3">
      <c r="A46" s="93" t="s">
        <v>81</v>
      </c>
      <c r="B46" s="105" t="s">
        <v>89</v>
      </c>
      <c r="C46" s="94">
        <v>46231</v>
      </c>
      <c r="D46" s="95" t="s">
        <v>34</v>
      </c>
      <c r="E46" s="93">
        <v>1004</v>
      </c>
      <c r="F46" s="96">
        <v>0.157855</v>
      </c>
      <c r="G46" s="97">
        <v>4.7859600000000002E-2</v>
      </c>
    </row>
    <row r="47" spans="1:7" x14ac:dyDescent="0.3">
      <c r="A47" s="93" t="s">
        <v>81</v>
      </c>
      <c r="B47" s="105" t="s">
        <v>89</v>
      </c>
      <c r="C47" s="94">
        <v>46231</v>
      </c>
      <c r="D47" s="95" t="s">
        <v>21</v>
      </c>
      <c r="E47" s="93">
        <v>2717</v>
      </c>
      <c r="F47" s="96">
        <v>0.35114800000000002</v>
      </c>
      <c r="G47" s="97">
        <v>6.8267099999999997E-2</v>
      </c>
    </row>
    <row r="48" spans="1:7" x14ac:dyDescent="0.3">
      <c r="A48" s="93" t="s">
        <v>81</v>
      </c>
      <c r="B48" s="105" t="s">
        <v>89</v>
      </c>
      <c r="C48" s="94">
        <v>46231</v>
      </c>
      <c r="D48" s="95" t="s">
        <v>22</v>
      </c>
      <c r="E48" s="93">
        <v>1748</v>
      </c>
      <c r="F48" s="96">
        <v>0.508247</v>
      </c>
      <c r="G48" s="97">
        <v>0.13811000000000001</v>
      </c>
    </row>
    <row r="49" spans="1:7" x14ac:dyDescent="0.3">
      <c r="A49" s="93" t="s">
        <v>81</v>
      </c>
      <c r="B49" s="105" t="s">
        <v>89</v>
      </c>
      <c r="C49" s="94">
        <v>46231</v>
      </c>
      <c r="D49" s="95" t="s">
        <v>23</v>
      </c>
      <c r="E49" s="93">
        <v>1329</v>
      </c>
      <c r="F49" s="96">
        <v>0.36122100000000001</v>
      </c>
      <c r="G49" s="97">
        <v>0.118642</v>
      </c>
    </row>
    <row r="50" spans="1:7" x14ac:dyDescent="0.3">
      <c r="A50" s="93" t="s">
        <v>81</v>
      </c>
      <c r="B50" s="105" t="s">
        <v>89</v>
      </c>
      <c r="C50" s="94">
        <v>46231</v>
      </c>
      <c r="D50" s="95" t="s">
        <v>24</v>
      </c>
      <c r="E50" s="93">
        <v>1653</v>
      </c>
      <c r="F50" s="96">
        <v>0.19215299999999999</v>
      </c>
      <c r="G50" s="97">
        <v>5.9232199999999999E-2</v>
      </c>
    </row>
    <row r="51" spans="1:7" x14ac:dyDescent="0.3">
      <c r="A51" s="93" t="s">
        <v>81</v>
      </c>
      <c r="B51" s="105" t="s">
        <v>89</v>
      </c>
      <c r="C51" s="94">
        <v>46231</v>
      </c>
      <c r="D51" s="95" t="s">
        <v>25</v>
      </c>
      <c r="E51" s="93">
        <v>1260</v>
      </c>
      <c r="F51" s="96">
        <v>0.220161</v>
      </c>
      <c r="G51" s="97">
        <v>5.2973800000000001E-2</v>
      </c>
    </row>
    <row r="52" spans="1:7" x14ac:dyDescent="0.3">
      <c r="A52" s="93" t="s">
        <v>81</v>
      </c>
      <c r="B52" s="105" t="s">
        <v>89</v>
      </c>
      <c r="C52" s="94">
        <v>46231</v>
      </c>
      <c r="D52" s="95" t="s">
        <v>26</v>
      </c>
      <c r="E52" s="93">
        <v>1442</v>
      </c>
      <c r="F52" s="96">
        <v>0.19145999999999999</v>
      </c>
      <c r="G52" s="97">
        <v>6.1579000000000002E-2</v>
      </c>
    </row>
    <row r="53" spans="1:7" x14ac:dyDescent="0.3">
      <c r="A53" s="93" t="s">
        <v>81</v>
      </c>
      <c r="B53" s="105" t="s">
        <v>89</v>
      </c>
      <c r="C53" s="94">
        <v>46231</v>
      </c>
      <c r="D53" s="95" t="s">
        <v>27</v>
      </c>
      <c r="E53" s="93">
        <v>1990</v>
      </c>
      <c r="F53" s="96">
        <v>0.29572300000000001</v>
      </c>
      <c r="G53" s="97">
        <v>6.7059099999999996E-2</v>
      </c>
    </row>
    <row r="54" spans="1:7" x14ac:dyDescent="0.3">
      <c r="A54" s="93" t="s">
        <v>81</v>
      </c>
      <c r="B54" s="105" t="s">
        <v>89</v>
      </c>
      <c r="C54" s="94">
        <v>46231</v>
      </c>
      <c r="D54" s="95" t="s">
        <v>28</v>
      </c>
      <c r="E54" s="93">
        <v>1384</v>
      </c>
      <c r="F54" s="96">
        <v>0.29070200000000002</v>
      </c>
      <c r="G54" s="97">
        <v>6.5277500000000002E-2</v>
      </c>
    </row>
    <row r="55" spans="1:7" x14ac:dyDescent="0.3">
      <c r="A55" s="93" t="s">
        <v>81</v>
      </c>
      <c r="B55" s="105" t="s">
        <v>89</v>
      </c>
      <c r="C55" s="94">
        <v>46231</v>
      </c>
      <c r="D55" s="95" t="s">
        <v>29</v>
      </c>
      <c r="E55" s="93">
        <v>2118</v>
      </c>
      <c r="F55" s="96">
        <v>0.33533099999999999</v>
      </c>
      <c r="G55" s="97">
        <v>6.9472199999999998E-2</v>
      </c>
    </row>
    <row r="56" spans="1:7" x14ac:dyDescent="0.3">
      <c r="A56" s="93" t="s">
        <v>81</v>
      </c>
      <c r="B56" s="105" t="s">
        <v>89</v>
      </c>
      <c r="C56" s="94">
        <v>46231</v>
      </c>
      <c r="D56" s="95" t="s">
        <v>30</v>
      </c>
      <c r="E56" s="93">
        <v>1432</v>
      </c>
      <c r="F56" s="96">
        <v>0.47264099999999998</v>
      </c>
      <c r="G56" s="97">
        <v>9.5271300000000003E-2</v>
      </c>
    </row>
    <row r="57" spans="1:7" x14ac:dyDescent="0.3">
      <c r="A57" s="93" t="s">
        <v>81</v>
      </c>
      <c r="B57" s="105" t="s">
        <v>89</v>
      </c>
      <c r="C57" s="94">
        <v>46232</v>
      </c>
      <c r="D57" s="95" t="s">
        <v>14</v>
      </c>
      <c r="E57" s="93">
        <v>2734</v>
      </c>
      <c r="F57" s="96">
        <v>0.28613699999999997</v>
      </c>
      <c r="G57" s="97">
        <v>8.0479400000000006E-2</v>
      </c>
    </row>
    <row r="58" spans="1:7" x14ac:dyDescent="0.3">
      <c r="A58" s="93" t="s">
        <v>81</v>
      </c>
      <c r="B58" s="105" t="s">
        <v>89</v>
      </c>
      <c r="C58" s="94">
        <v>46232</v>
      </c>
      <c r="D58" s="95" t="s">
        <v>15</v>
      </c>
      <c r="E58" s="93">
        <v>2228</v>
      </c>
      <c r="F58" s="96">
        <v>0.39689600000000003</v>
      </c>
      <c r="G58" s="97">
        <v>0.104628</v>
      </c>
    </row>
    <row r="59" spans="1:7" x14ac:dyDescent="0.3">
      <c r="A59" s="93" t="s">
        <v>81</v>
      </c>
      <c r="B59" s="105" t="s">
        <v>89</v>
      </c>
      <c r="C59" s="94">
        <v>46232</v>
      </c>
      <c r="D59" s="95" t="s">
        <v>16</v>
      </c>
      <c r="E59" s="93">
        <v>1998</v>
      </c>
      <c r="F59" s="96">
        <v>0.45231500000000002</v>
      </c>
      <c r="G59" s="97">
        <v>0.106193</v>
      </c>
    </row>
    <row r="60" spans="1:7" x14ac:dyDescent="0.3">
      <c r="A60" s="93" t="s">
        <v>81</v>
      </c>
      <c r="B60" s="105" t="s">
        <v>89</v>
      </c>
      <c r="C60" s="94">
        <v>46232</v>
      </c>
      <c r="D60" s="95" t="s">
        <v>17</v>
      </c>
      <c r="E60" s="93">
        <v>2381</v>
      </c>
      <c r="F60" s="96">
        <v>0.56917399999999996</v>
      </c>
      <c r="G60" s="97">
        <v>0.112651</v>
      </c>
    </row>
    <row r="61" spans="1:7" x14ac:dyDescent="0.3">
      <c r="A61" s="93" t="s">
        <v>81</v>
      </c>
      <c r="B61" s="105" t="s">
        <v>89</v>
      </c>
      <c r="C61" s="94">
        <v>46232</v>
      </c>
      <c r="D61" s="95" t="s">
        <v>18</v>
      </c>
      <c r="E61" s="93">
        <v>1925</v>
      </c>
      <c r="F61" s="96">
        <v>0.27124799999999999</v>
      </c>
      <c r="G61" s="97">
        <v>6.4562400000000006E-2</v>
      </c>
    </row>
    <row r="62" spans="1:7" x14ac:dyDescent="0.3">
      <c r="A62" s="93" t="s">
        <v>81</v>
      </c>
      <c r="B62" s="105" t="s">
        <v>89</v>
      </c>
      <c r="C62" s="94">
        <v>46232</v>
      </c>
      <c r="D62" s="95" t="s">
        <v>19</v>
      </c>
      <c r="E62" s="93">
        <v>1532</v>
      </c>
      <c r="F62" s="96">
        <v>0.38306699999999999</v>
      </c>
      <c r="G62" s="97">
        <v>8.06085E-2</v>
      </c>
    </row>
    <row r="63" spans="1:7" x14ac:dyDescent="0.3">
      <c r="A63" s="93" t="s">
        <v>81</v>
      </c>
      <c r="B63" s="105" t="s">
        <v>89</v>
      </c>
      <c r="C63" s="94">
        <v>46232</v>
      </c>
      <c r="D63" s="95" t="s">
        <v>20</v>
      </c>
      <c r="E63" s="93">
        <v>1844</v>
      </c>
      <c r="F63" s="96">
        <v>0.39710200000000001</v>
      </c>
      <c r="G63" s="97">
        <v>8.3112099999999994E-2</v>
      </c>
    </row>
    <row r="64" spans="1:7" x14ac:dyDescent="0.3">
      <c r="A64" s="93" t="s">
        <v>81</v>
      </c>
      <c r="B64" s="105" t="s">
        <v>89</v>
      </c>
      <c r="C64" s="94">
        <v>46232</v>
      </c>
      <c r="D64" s="95" t="s">
        <v>34</v>
      </c>
      <c r="E64" s="93">
        <v>1024</v>
      </c>
      <c r="F64" s="96">
        <v>0.228356</v>
      </c>
      <c r="G64" s="97">
        <v>6.9231899999999999E-2</v>
      </c>
    </row>
    <row r="65" spans="1:7" x14ac:dyDescent="0.3">
      <c r="A65" s="93" t="s">
        <v>81</v>
      </c>
      <c r="B65" s="105" t="s">
        <v>89</v>
      </c>
      <c r="C65" s="94">
        <v>46232</v>
      </c>
      <c r="D65" s="95" t="s">
        <v>21</v>
      </c>
      <c r="E65" s="93">
        <v>3094</v>
      </c>
      <c r="F65" s="96">
        <v>0.439106</v>
      </c>
      <c r="G65" s="97">
        <v>8.5488999999999996E-2</v>
      </c>
    </row>
    <row r="66" spans="1:7" x14ac:dyDescent="0.3">
      <c r="A66" s="93" t="s">
        <v>81</v>
      </c>
      <c r="B66" s="105" t="s">
        <v>89</v>
      </c>
      <c r="C66" s="94">
        <v>46232</v>
      </c>
      <c r="D66" s="95" t="s">
        <v>22</v>
      </c>
      <c r="E66" s="93">
        <v>2382</v>
      </c>
      <c r="F66" s="96">
        <v>0.50203399999999998</v>
      </c>
      <c r="G66" s="97">
        <v>0.136459</v>
      </c>
    </row>
    <row r="67" spans="1:7" x14ac:dyDescent="0.3">
      <c r="A67" s="93" t="s">
        <v>81</v>
      </c>
      <c r="B67" s="105" t="s">
        <v>89</v>
      </c>
      <c r="C67" s="94">
        <v>46232</v>
      </c>
      <c r="D67" s="95" t="s">
        <v>23</v>
      </c>
      <c r="E67" s="93">
        <v>1548</v>
      </c>
      <c r="F67" s="96">
        <v>0.40054099999999998</v>
      </c>
      <c r="G67" s="97">
        <v>0.13156499999999999</v>
      </c>
    </row>
    <row r="68" spans="1:7" x14ac:dyDescent="0.3">
      <c r="A68" s="93" t="s">
        <v>81</v>
      </c>
      <c r="B68" s="105" t="s">
        <v>89</v>
      </c>
      <c r="C68" s="94">
        <v>46232</v>
      </c>
      <c r="D68" s="95" t="s">
        <v>24</v>
      </c>
      <c r="E68" s="93">
        <v>2980</v>
      </c>
      <c r="F68" s="96">
        <v>0.20336000000000001</v>
      </c>
      <c r="G68" s="97">
        <v>6.2631199999999998E-2</v>
      </c>
    </row>
    <row r="69" spans="1:7" x14ac:dyDescent="0.3">
      <c r="A69" s="93" t="s">
        <v>81</v>
      </c>
      <c r="B69" s="105" t="s">
        <v>89</v>
      </c>
      <c r="C69" s="94">
        <v>46232</v>
      </c>
      <c r="D69" s="95" t="s">
        <v>25</v>
      </c>
      <c r="E69" s="93">
        <v>1004</v>
      </c>
      <c r="F69" s="96">
        <v>0.25667299999999998</v>
      </c>
      <c r="G69" s="97">
        <v>6.1802799999999998E-2</v>
      </c>
    </row>
    <row r="70" spans="1:7" x14ac:dyDescent="0.3">
      <c r="A70" s="93" t="s">
        <v>81</v>
      </c>
      <c r="B70" s="105" t="s">
        <v>89</v>
      </c>
      <c r="C70" s="94">
        <v>46232</v>
      </c>
      <c r="D70" s="95" t="s">
        <v>26</v>
      </c>
      <c r="E70" s="93">
        <v>2309</v>
      </c>
      <c r="F70" s="96">
        <v>0.18460799999999999</v>
      </c>
      <c r="G70" s="97">
        <v>5.9381200000000002E-2</v>
      </c>
    </row>
    <row r="71" spans="1:7" x14ac:dyDescent="0.3">
      <c r="A71" s="93" t="s">
        <v>81</v>
      </c>
      <c r="B71" s="105" t="s">
        <v>89</v>
      </c>
      <c r="C71" s="94">
        <v>46232</v>
      </c>
      <c r="D71" s="95" t="s">
        <v>27</v>
      </c>
      <c r="E71" s="93">
        <v>2107</v>
      </c>
      <c r="F71" s="96">
        <v>0.437442</v>
      </c>
      <c r="G71" s="97">
        <v>9.9357200000000007E-2</v>
      </c>
    </row>
    <row r="72" spans="1:7" x14ac:dyDescent="0.3">
      <c r="A72" s="93" t="s">
        <v>81</v>
      </c>
      <c r="B72" s="105" t="s">
        <v>89</v>
      </c>
      <c r="C72" s="94">
        <v>46232</v>
      </c>
      <c r="D72" s="95" t="s">
        <v>28</v>
      </c>
      <c r="E72" s="93">
        <v>1476</v>
      </c>
      <c r="F72" s="96">
        <v>0.355014</v>
      </c>
      <c r="G72" s="97">
        <v>7.9746600000000001E-2</v>
      </c>
    </row>
    <row r="73" spans="1:7" x14ac:dyDescent="0.3">
      <c r="A73" s="93" t="s">
        <v>81</v>
      </c>
      <c r="B73" s="105" t="s">
        <v>89</v>
      </c>
      <c r="C73" s="94">
        <v>46232</v>
      </c>
      <c r="D73" s="95" t="s">
        <v>29</v>
      </c>
      <c r="E73" s="93">
        <v>1689</v>
      </c>
      <c r="F73" s="96">
        <v>0.354182</v>
      </c>
      <c r="G73" s="97">
        <v>7.3407E-2</v>
      </c>
    </row>
    <row r="74" spans="1:7" x14ac:dyDescent="0.3">
      <c r="A74" s="93" t="s">
        <v>81</v>
      </c>
      <c r="B74" s="105" t="s">
        <v>89</v>
      </c>
      <c r="C74" s="94">
        <v>46232</v>
      </c>
      <c r="D74" s="95" t="s">
        <v>30</v>
      </c>
      <c r="E74" s="93">
        <v>2001</v>
      </c>
      <c r="F74" s="96">
        <v>0.53930999999999996</v>
      </c>
      <c r="G74" s="97">
        <v>0.10856499999999999</v>
      </c>
    </row>
    <row r="75" spans="1:7" x14ac:dyDescent="0.3">
      <c r="A75" s="93" t="s">
        <v>81</v>
      </c>
      <c r="B75" s="105" t="s">
        <v>89</v>
      </c>
      <c r="C75" s="94">
        <v>46233</v>
      </c>
      <c r="D75" s="95" t="s">
        <v>14</v>
      </c>
      <c r="E75" s="93">
        <v>2638</v>
      </c>
      <c r="F75" s="96">
        <v>0.21954399999999999</v>
      </c>
      <c r="G75" s="97">
        <v>6.17744E-2</v>
      </c>
    </row>
    <row r="76" spans="1:7" x14ac:dyDescent="0.3">
      <c r="A76" s="93" t="s">
        <v>81</v>
      </c>
      <c r="B76" s="105" t="s">
        <v>89</v>
      </c>
      <c r="C76" s="94">
        <v>46233</v>
      </c>
      <c r="D76" s="95" t="s">
        <v>15</v>
      </c>
      <c r="E76" s="93">
        <v>2543</v>
      </c>
      <c r="F76" s="96">
        <v>0.37991200000000003</v>
      </c>
      <c r="G76" s="97">
        <v>0.10016</v>
      </c>
    </row>
    <row r="77" spans="1:7" x14ac:dyDescent="0.3">
      <c r="A77" s="93" t="s">
        <v>81</v>
      </c>
      <c r="B77" s="105" t="s">
        <v>89</v>
      </c>
      <c r="C77" s="94">
        <v>46233</v>
      </c>
      <c r="D77" s="95" t="s">
        <v>16</v>
      </c>
      <c r="E77" s="93">
        <v>2200</v>
      </c>
      <c r="F77" s="96">
        <v>0.43276999999999999</v>
      </c>
      <c r="G77" s="97">
        <v>0.101578</v>
      </c>
    </row>
    <row r="78" spans="1:7" x14ac:dyDescent="0.3">
      <c r="A78" s="93" t="s">
        <v>81</v>
      </c>
      <c r="B78" s="105" t="s">
        <v>89</v>
      </c>
      <c r="C78" s="94">
        <v>46233</v>
      </c>
      <c r="D78" s="95" t="s">
        <v>17</v>
      </c>
      <c r="E78" s="93">
        <v>2099</v>
      </c>
      <c r="F78" s="96">
        <v>0.45406200000000002</v>
      </c>
      <c r="G78" s="97">
        <v>8.9885099999999996E-2</v>
      </c>
    </row>
    <row r="79" spans="1:7" x14ac:dyDescent="0.3">
      <c r="A79" s="93" t="s">
        <v>81</v>
      </c>
      <c r="B79" s="105" t="s">
        <v>89</v>
      </c>
      <c r="C79" s="94">
        <v>46233</v>
      </c>
      <c r="D79" s="95" t="s">
        <v>18</v>
      </c>
      <c r="E79" s="93">
        <v>2275</v>
      </c>
      <c r="F79" s="96">
        <v>0.258108</v>
      </c>
      <c r="G79" s="97">
        <v>6.1423999999999999E-2</v>
      </c>
    </row>
    <row r="80" spans="1:7" x14ac:dyDescent="0.3">
      <c r="A80" s="93" t="s">
        <v>81</v>
      </c>
      <c r="B80" s="105" t="s">
        <v>89</v>
      </c>
      <c r="C80" s="94">
        <v>46233</v>
      </c>
      <c r="D80" s="95" t="s">
        <v>19</v>
      </c>
      <c r="E80" s="93">
        <v>1741</v>
      </c>
      <c r="F80" s="96">
        <v>0.33665899999999999</v>
      </c>
      <c r="G80" s="97">
        <v>7.0834300000000003E-2</v>
      </c>
    </row>
    <row r="81" spans="1:7" x14ac:dyDescent="0.3">
      <c r="A81" s="93" t="s">
        <v>81</v>
      </c>
      <c r="B81" s="105" t="s">
        <v>89</v>
      </c>
      <c r="C81" s="94">
        <v>46233</v>
      </c>
      <c r="D81" s="95" t="s">
        <v>20</v>
      </c>
      <c r="E81" s="93">
        <v>1921</v>
      </c>
      <c r="F81" s="96">
        <v>0.380859</v>
      </c>
      <c r="G81" s="97">
        <v>7.9699599999999995E-2</v>
      </c>
    </row>
    <row r="82" spans="1:7" x14ac:dyDescent="0.3">
      <c r="A82" s="93" t="s">
        <v>81</v>
      </c>
      <c r="B82" s="105" t="s">
        <v>89</v>
      </c>
      <c r="C82" s="94">
        <v>46233</v>
      </c>
      <c r="D82" s="95" t="s">
        <v>34</v>
      </c>
      <c r="E82" s="93">
        <v>1045</v>
      </c>
      <c r="F82" s="96">
        <v>0.211755</v>
      </c>
      <c r="G82" s="97">
        <v>6.4197799999999999E-2</v>
      </c>
    </row>
    <row r="83" spans="1:7" x14ac:dyDescent="0.3">
      <c r="A83" s="93" t="s">
        <v>81</v>
      </c>
      <c r="B83" s="105" t="s">
        <v>89</v>
      </c>
      <c r="C83" s="94">
        <v>46233</v>
      </c>
      <c r="D83" s="95" t="s">
        <v>21</v>
      </c>
      <c r="E83" s="93">
        <v>2515</v>
      </c>
      <c r="F83" s="96">
        <v>0.42335200000000001</v>
      </c>
      <c r="G83" s="97">
        <v>8.2395399999999994E-2</v>
      </c>
    </row>
    <row r="84" spans="1:7" x14ac:dyDescent="0.3">
      <c r="A84" s="93" t="s">
        <v>81</v>
      </c>
      <c r="B84" s="105" t="s">
        <v>89</v>
      </c>
      <c r="C84" s="94">
        <v>46233</v>
      </c>
      <c r="D84" s="95" t="s">
        <v>22</v>
      </c>
      <c r="E84" s="93">
        <v>2236</v>
      </c>
      <c r="F84" s="96">
        <v>0.26177600000000001</v>
      </c>
      <c r="G84" s="97">
        <v>7.1129800000000007E-2</v>
      </c>
    </row>
    <row r="85" spans="1:7" x14ac:dyDescent="0.3">
      <c r="A85" s="93" t="s">
        <v>81</v>
      </c>
      <c r="B85" s="105" t="s">
        <v>89</v>
      </c>
      <c r="C85" s="94">
        <v>46233</v>
      </c>
      <c r="D85" s="95" t="s">
        <v>23</v>
      </c>
      <c r="E85" s="93">
        <v>1438</v>
      </c>
      <c r="F85" s="96">
        <v>0.37280799999999997</v>
      </c>
      <c r="G85" s="97">
        <v>0.12241299999999999</v>
      </c>
    </row>
    <row r="86" spans="1:7" x14ac:dyDescent="0.3">
      <c r="A86" s="93" t="s">
        <v>81</v>
      </c>
      <c r="B86" s="105" t="s">
        <v>89</v>
      </c>
      <c r="C86" s="94">
        <v>46233</v>
      </c>
      <c r="D86" s="95" t="s">
        <v>24</v>
      </c>
      <c r="E86" s="93">
        <v>2455</v>
      </c>
      <c r="F86" s="96">
        <v>0.27420699999999998</v>
      </c>
      <c r="G86" s="97">
        <v>8.4493100000000002E-2</v>
      </c>
    </row>
    <row r="87" spans="1:7" x14ac:dyDescent="0.3">
      <c r="A87" s="93" t="s">
        <v>81</v>
      </c>
      <c r="B87" s="105" t="s">
        <v>89</v>
      </c>
      <c r="C87" s="94">
        <v>46233</v>
      </c>
      <c r="D87" s="95" t="s">
        <v>25</v>
      </c>
      <c r="E87" s="93">
        <v>1004</v>
      </c>
      <c r="F87" s="96">
        <v>0.21171599999999999</v>
      </c>
      <c r="G87" s="97">
        <v>5.0948300000000002E-2</v>
      </c>
    </row>
    <row r="88" spans="1:7" x14ac:dyDescent="0.3">
      <c r="A88" s="93" t="s">
        <v>81</v>
      </c>
      <c r="B88" s="105" t="s">
        <v>89</v>
      </c>
      <c r="C88" s="94">
        <v>46233</v>
      </c>
      <c r="D88" s="95" t="s">
        <v>26</v>
      </c>
      <c r="E88" s="93">
        <v>1995</v>
      </c>
      <c r="F88" s="96">
        <v>0.23136799999999999</v>
      </c>
      <c r="G88" s="97">
        <v>7.4430300000000005E-2</v>
      </c>
    </row>
    <row r="89" spans="1:7" x14ac:dyDescent="0.3">
      <c r="A89" s="93" t="s">
        <v>81</v>
      </c>
      <c r="B89" s="105" t="s">
        <v>89</v>
      </c>
      <c r="C89" s="94">
        <v>46233</v>
      </c>
      <c r="D89" s="95" t="s">
        <v>27</v>
      </c>
      <c r="E89" s="93">
        <v>1717</v>
      </c>
      <c r="F89" s="96">
        <v>0.34229399999999999</v>
      </c>
      <c r="G89" s="97">
        <v>7.7721700000000005E-2</v>
      </c>
    </row>
    <row r="90" spans="1:7" x14ac:dyDescent="0.3">
      <c r="A90" s="93" t="s">
        <v>81</v>
      </c>
      <c r="B90" s="105" t="s">
        <v>89</v>
      </c>
      <c r="C90" s="94">
        <v>46233</v>
      </c>
      <c r="D90" s="95" t="s">
        <v>28</v>
      </c>
      <c r="E90" s="93">
        <v>1307</v>
      </c>
      <c r="F90" s="96">
        <v>0.328457</v>
      </c>
      <c r="G90" s="97">
        <v>7.3749300000000004E-2</v>
      </c>
    </row>
    <row r="91" spans="1:7" x14ac:dyDescent="0.3">
      <c r="A91" s="93" t="s">
        <v>81</v>
      </c>
      <c r="B91" s="105" t="s">
        <v>89</v>
      </c>
      <c r="C91" s="94">
        <v>46233</v>
      </c>
      <c r="D91" s="95" t="s">
        <v>29</v>
      </c>
      <c r="E91" s="93">
        <v>2040</v>
      </c>
      <c r="F91" s="96">
        <v>0.33388400000000001</v>
      </c>
      <c r="G91" s="97">
        <v>6.9205000000000003E-2</v>
      </c>
    </row>
    <row r="92" spans="1:7" x14ac:dyDescent="0.3">
      <c r="A92" s="93" t="s">
        <v>81</v>
      </c>
      <c r="B92" s="105" t="s">
        <v>89</v>
      </c>
      <c r="C92" s="94">
        <v>46233</v>
      </c>
      <c r="D92" s="95" t="s">
        <v>30</v>
      </c>
      <c r="E92" s="93">
        <v>1599</v>
      </c>
      <c r="F92" s="96">
        <v>0.44470500000000002</v>
      </c>
      <c r="G92" s="97">
        <v>8.9530799999999994E-2</v>
      </c>
    </row>
    <row r="93" spans="1:7" x14ac:dyDescent="0.3">
      <c r="A93" s="93" t="s">
        <v>82</v>
      </c>
      <c r="B93" s="105" t="s">
        <v>122</v>
      </c>
      <c r="C93" s="94">
        <v>46234</v>
      </c>
      <c r="D93" s="95" t="s">
        <v>14</v>
      </c>
      <c r="E93" s="93">
        <v>1541</v>
      </c>
      <c r="F93" s="96">
        <v>0.18859999999999999</v>
      </c>
      <c r="G93" s="97">
        <v>5.1705500000000001E-2</v>
      </c>
    </row>
    <row r="94" spans="1:7" x14ac:dyDescent="0.3">
      <c r="A94" s="93" t="s">
        <v>82</v>
      </c>
      <c r="B94" s="105" t="s">
        <v>122</v>
      </c>
      <c r="C94" s="94">
        <v>46234</v>
      </c>
      <c r="D94" s="95" t="s">
        <v>15</v>
      </c>
      <c r="E94" s="93">
        <v>1446</v>
      </c>
      <c r="F94" s="96">
        <v>0.37837399999999999</v>
      </c>
      <c r="G94" s="97">
        <v>9.5171599999999995E-2</v>
      </c>
    </row>
    <row r="95" spans="1:7" x14ac:dyDescent="0.3">
      <c r="A95" s="93" t="s">
        <v>82</v>
      </c>
      <c r="B95" s="105" t="s">
        <v>122</v>
      </c>
      <c r="C95" s="94">
        <v>46234</v>
      </c>
      <c r="D95" s="95" t="s">
        <v>16</v>
      </c>
      <c r="E95" s="93">
        <v>1243</v>
      </c>
      <c r="F95" s="96">
        <v>0.459372</v>
      </c>
      <c r="G95" s="97">
        <v>9.7981299999999993E-2</v>
      </c>
    </row>
    <row r="96" spans="1:7" x14ac:dyDescent="0.3">
      <c r="A96" s="93" t="s">
        <v>82</v>
      </c>
      <c r="B96" s="105" t="s">
        <v>122</v>
      </c>
      <c r="C96" s="94">
        <v>46234</v>
      </c>
      <c r="D96" s="95" t="s">
        <v>17</v>
      </c>
      <c r="E96" s="93">
        <v>1644</v>
      </c>
      <c r="F96" s="96">
        <v>0.409022</v>
      </c>
      <c r="G96" s="97">
        <v>8.4034999999999999E-2</v>
      </c>
    </row>
    <row r="97" spans="1:7" x14ac:dyDescent="0.3">
      <c r="A97" s="93" t="s">
        <v>82</v>
      </c>
      <c r="B97" s="105" t="s">
        <v>122</v>
      </c>
      <c r="C97" s="94">
        <v>46234</v>
      </c>
      <c r="D97" s="95" t="s">
        <v>18</v>
      </c>
      <c r="E97" s="93">
        <v>1405</v>
      </c>
      <c r="F97" s="96">
        <v>0.258108</v>
      </c>
      <c r="G97" s="97">
        <v>6.1423999999999999E-2</v>
      </c>
    </row>
    <row r="98" spans="1:7" x14ac:dyDescent="0.3">
      <c r="A98" s="93" t="s">
        <v>82</v>
      </c>
      <c r="B98" s="105" t="s">
        <v>122</v>
      </c>
      <c r="C98" s="94">
        <v>46234</v>
      </c>
      <c r="D98" s="95" t="s">
        <v>19</v>
      </c>
      <c r="E98" s="93">
        <v>1581</v>
      </c>
      <c r="F98" s="96">
        <v>0.44827699999999998</v>
      </c>
      <c r="G98" s="97">
        <v>8.4727499999999997E-2</v>
      </c>
    </row>
    <row r="99" spans="1:7" x14ac:dyDescent="0.3">
      <c r="A99" s="93" t="s">
        <v>82</v>
      </c>
      <c r="B99" s="105" t="s">
        <v>122</v>
      </c>
      <c r="C99" s="94">
        <v>46234</v>
      </c>
      <c r="D99" s="95" t="s">
        <v>20</v>
      </c>
      <c r="E99" s="93">
        <v>1629</v>
      </c>
      <c r="F99" s="96">
        <v>0.380859</v>
      </c>
      <c r="G99" s="97">
        <v>7.9699599999999995E-2</v>
      </c>
    </row>
    <row r="100" spans="1:7" x14ac:dyDescent="0.3">
      <c r="A100" s="93" t="s">
        <v>82</v>
      </c>
      <c r="B100" s="105" t="s">
        <v>122</v>
      </c>
      <c r="C100" s="94">
        <v>46234</v>
      </c>
      <c r="D100" s="95" t="s">
        <v>34</v>
      </c>
      <c r="E100" s="93">
        <v>1169</v>
      </c>
      <c r="F100" s="96">
        <v>0.179396</v>
      </c>
      <c r="G100" s="97">
        <v>4.7875099999999997E-2</v>
      </c>
    </row>
    <row r="101" spans="1:7" x14ac:dyDescent="0.3">
      <c r="A101" s="93" t="s">
        <v>82</v>
      </c>
      <c r="B101" s="105" t="s">
        <v>122</v>
      </c>
      <c r="C101" s="94">
        <v>46234</v>
      </c>
      <c r="D101" s="95" t="s">
        <v>21</v>
      </c>
      <c r="E101" s="93">
        <v>2986</v>
      </c>
      <c r="F101" s="96">
        <v>0.386212</v>
      </c>
      <c r="G101" s="97">
        <v>8.4019499999999997E-2</v>
      </c>
    </row>
    <row r="102" spans="1:7" x14ac:dyDescent="0.3">
      <c r="A102" s="93" t="s">
        <v>82</v>
      </c>
      <c r="B102" s="105" t="s">
        <v>122</v>
      </c>
      <c r="C102" s="94">
        <v>46234</v>
      </c>
      <c r="D102" s="95" t="s">
        <v>22</v>
      </c>
      <c r="E102" s="93">
        <v>2137</v>
      </c>
      <c r="F102" s="96">
        <v>0.32669700000000002</v>
      </c>
      <c r="G102" s="97">
        <v>8.8852399999999998E-2</v>
      </c>
    </row>
    <row r="103" spans="1:7" x14ac:dyDescent="0.3">
      <c r="A103" s="93" t="s">
        <v>82</v>
      </c>
      <c r="B103" s="105" t="s">
        <v>122</v>
      </c>
      <c r="C103" s="94">
        <v>46234</v>
      </c>
      <c r="D103" s="95" t="s">
        <v>23</v>
      </c>
      <c r="E103" s="93">
        <v>1151</v>
      </c>
      <c r="F103" s="96">
        <v>0.45461600000000002</v>
      </c>
      <c r="G103" s="97">
        <v>0.15438299999999999</v>
      </c>
    </row>
    <row r="104" spans="1:7" x14ac:dyDescent="0.3">
      <c r="A104" s="93" t="s">
        <v>82</v>
      </c>
      <c r="B104" s="105" t="s">
        <v>122</v>
      </c>
      <c r="C104" s="94">
        <v>46234</v>
      </c>
      <c r="D104" s="95" t="s">
        <v>24</v>
      </c>
      <c r="E104" s="93">
        <v>2704</v>
      </c>
      <c r="F104" s="96">
        <v>0.20849699999999999</v>
      </c>
      <c r="G104" s="97">
        <v>7.3032299999999994E-2</v>
      </c>
    </row>
    <row r="105" spans="1:7" ht="15.6" customHeight="1" x14ac:dyDescent="0.3">
      <c r="A105" s="93" t="s">
        <v>82</v>
      </c>
      <c r="B105" s="105" t="s">
        <v>122</v>
      </c>
      <c r="C105" s="94">
        <v>46234</v>
      </c>
      <c r="D105" s="95" t="s">
        <v>25</v>
      </c>
      <c r="E105" s="93">
        <v>1078</v>
      </c>
      <c r="F105" s="96">
        <v>0.28194599999999997</v>
      </c>
      <c r="G105" s="97">
        <v>7.7457600000000001E-2</v>
      </c>
    </row>
    <row r="106" spans="1:7" ht="15.6" customHeight="1" x14ac:dyDescent="0.3">
      <c r="A106" s="93" t="s">
        <v>82</v>
      </c>
      <c r="B106" s="105" t="s">
        <v>122</v>
      </c>
      <c r="C106" s="94">
        <v>46234</v>
      </c>
      <c r="D106" s="95" t="s">
        <v>26</v>
      </c>
      <c r="E106" s="93">
        <v>2003</v>
      </c>
      <c r="F106" s="96">
        <v>0.2571</v>
      </c>
      <c r="G106" s="97">
        <v>7.6537599999999997E-2</v>
      </c>
    </row>
    <row r="107" spans="1:7" x14ac:dyDescent="0.3">
      <c r="A107" s="93" t="s">
        <v>82</v>
      </c>
      <c r="B107" s="105" t="s">
        <v>122</v>
      </c>
      <c r="C107" s="94">
        <v>46234</v>
      </c>
      <c r="D107" s="95" t="s">
        <v>27</v>
      </c>
      <c r="E107" s="93">
        <v>1623</v>
      </c>
      <c r="F107" s="96">
        <v>0.29575499999999999</v>
      </c>
      <c r="G107" s="97">
        <v>7.5998399999999994E-2</v>
      </c>
    </row>
    <row r="108" spans="1:7" x14ac:dyDescent="0.3">
      <c r="A108" s="93" t="s">
        <v>82</v>
      </c>
      <c r="B108" s="105" t="s">
        <v>122</v>
      </c>
      <c r="C108" s="94">
        <v>46234</v>
      </c>
      <c r="D108" s="95" t="s">
        <v>28</v>
      </c>
      <c r="E108" s="93">
        <v>1004</v>
      </c>
      <c r="F108" s="96">
        <v>0.310892</v>
      </c>
      <c r="G108" s="97">
        <v>7.6906100000000005E-2</v>
      </c>
    </row>
    <row r="109" spans="1:7" x14ac:dyDescent="0.3">
      <c r="A109" s="93" t="s">
        <v>82</v>
      </c>
      <c r="B109" s="105" t="s">
        <v>122</v>
      </c>
      <c r="C109" s="94">
        <v>46234</v>
      </c>
      <c r="D109" s="95" t="s">
        <v>29</v>
      </c>
      <c r="E109" s="93">
        <v>1142</v>
      </c>
      <c r="F109" s="96">
        <v>0.43532500000000002</v>
      </c>
      <c r="G109" s="97">
        <v>8.5073599999999999E-2</v>
      </c>
    </row>
    <row r="110" spans="1:7" x14ac:dyDescent="0.3">
      <c r="A110" s="93" t="s">
        <v>82</v>
      </c>
      <c r="B110" s="105" t="s">
        <v>122</v>
      </c>
      <c r="C110" s="94">
        <v>46234</v>
      </c>
      <c r="D110" s="95" t="s">
        <v>30</v>
      </c>
      <c r="E110" s="93">
        <v>1237</v>
      </c>
      <c r="F110" s="96">
        <v>0.46051599999999998</v>
      </c>
      <c r="G110" s="97">
        <v>9.7773799999999994E-2</v>
      </c>
    </row>
    <row r="111" spans="1:7" x14ac:dyDescent="0.3">
      <c r="A111" s="93" t="s">
        <v>82</v>
      </c>
      <c r="B111" s="105" t="s">
        <v>123</v>
      </c>
      <c r="C111" s="94">
        <v>46234</v>
      </c>
      <c r="D111" s="95" t="s">
        <v>14</v>
      </c>
      <c r="E111" s="93">
        <v>2967</v>
      </c>
      <c r="F111" s="96">
        <v>0.37851400000000002</v>
      </c>
      <c r="G111" s="97">
        <v>0.107513</v>
      </c>
    </row>
    <row r="112" spans="1:7" x14ac:dyDescent="0.3">
      <c r="A112" s="93" t="s">
        <v>82</v>
      </c>
      <c r="B112" s="105" t="s">
        <v>123</v>
      </c>
      <c r="C112" s="94">
        <v>46234</v>
      </c>
      <c r="D112" s="95" t="s">
        <v>15</v>
      </c>
      <c r="E112" s="93">
        <v>3153</v>
      </c>
      <c r="F112" s="96">
        <v>0.38189000000000001</v>
      </c>
      <c r="G112" s="97">
        <v>9.9818900000000002E-2</v>
      </c>
    </row>
    <row r="113" spans="1:7" x14ac:dyDescent="0.3">
      <c r="A113" s="93" t="s">
        <v>82</v>
      </c>
      <c r="B113" s="105" t="s">
        <v>123</v>
      </c>
      <c r="C113" s="94">
        <v>46234</v>
      </c>
      <c r="D113" s="95" t="s">
        <v>16</v>
      </c>
      <c r="E113" s="93">
        <v>2357</v>
      </c>
      <c r="F113" s="96">
        <v>0.44205800000000001</v>
      </c>
      <c r="G113" s="97">
        <v>9.9856100000000003E-2</v>
      </c>
    </row>
    <row r="114" spans="1:7" x14ac:dyDescent="0.3">
      <c r="A114" s="93" t="s">
        <v>82</v>
      </c>
      <c r="B114" s="105" t="s">
        <v>123</v>
      </c>
      <c r="C114" s="94">
        <v>46234</v>
      </c>
      <c r="D114" s="95" t="s">
        <v>17</v>
      </c>
      <c r="E114" s="93">
        <v>1635</v>
      </c>
      <c r="F114" s="96">
        <v>0.44906299999999999</v>
      </c>
      <c r="G114" s="97">
        <v>8.9386699999999999E-2</v>
      </c>
    </row>
    <row r="115" spans="1:7" x14ac:dyDescent="0.3">
      <c r="A115" s="93" t="s">
        <v>82</v>
      </c>
      <c r="B115" s="105" t="s">
        <v>123</v>
      </c>
      <c r="C115" s="94">
        <v>46234</v>
      </c>
      <c r="D115" s="95" t="s">
        <v>18</v>
      </c>
      <c r="E115" s="93">
        <v>2767</v>
      </c>
      <c r="F115" s="96">
        <v>0.29396899999999998</v>
      </c>
      <c r="G115" s="97">
        <v>6.61577E-2</v>
      </c>
    </row>
    <row r="116" spans="1:7" x14ac:dyDescent="0.3">
      <c r="A116" s="93" t="s">
        <v>82</v>
      </c>
      <c r="B116" s="105" t="s">
        <v>123</v>
      </c>
      <c r="C116" s="94">
        <v>46234</v>
      </c>
      <c r="D116" s="95" t="s">
        <v>19</v>
      </c>
      <c r="E116" s="93">
        <v>2209</v>
      </c>
      <c r="F116" s="96">
        <v>0.36777599999999999</v>
      </c>
      <c r="G116" s="97">
        <v>7.3182899999999995E-2</v>
      </c>
    </row>
    <row r="117" spans="1:7" x14ac:dyDescent="0.3">
      <c r="A117" s="93" t="s">
        <v>82</v>
      </c>
      <c r="B117" s="105" t="s">
        <v>123</v>
      </c>
      <c r="C117" s="94">
        <v>46234</v>
      </c>
      <c r="D117" s="95" t="s">
        <v>20</v>
      </c>
      <c r="E117" s="93">
        <v>2074</v>
      </c>
      <c r="F117" s="96">
        <v>0.380859</v>
      </c>
      <c r="G117" s="97">
        <v>7.9699599999999995E-2</v>
      </c>
    </row>
    <row r="118" spans="1:7" x14ac:dyDescent="0.3">
      <c r="A118" s="93" t="s">
        <v>82</v>
      </c>
      <c r="B118" s="105" t="s">
        <v>123</v>
      </c>
      <c r="C118" s="94">
        <v>46234</v>
      </c>
      <c r="D118" s="95" t="s">
        <v>34</v>
      </c>
      <c r="E118" s="93">
        <v>1315</v>
      </c>
      <c r="F118" s="96">
        <v>0.18341299999999999</v>
      </c>
      <c r="G118" s="97">
        <v>5.1520099999999999E-2</v>
      </c>
    </row>
    <row r="119" spans="1:7" x14ac:dyDescent="0.3">
      <c r="A119" s="93" t="s">
        <v>82</v>
      </c>
      <c r="B119" s="105" t="s">
        <v>123</v>
      </c>
      <c r="C119" s="94">
        <v>46234</v>
      </c>
      <c r="D119" s="95" t="s">
        <v>21</v>
      </c>
      <c r="E119" s="93">
        <v>2535</v>
      </c>
      <c r="F119" s="96">
        <v>0.38918999999999998</v>
      </c>
      <c r="G119" s="97">
        <v>8.0030699999999996E-2</v>
      </c>
    </row>
    <row r="120" spans="1:7" x14ac:dyDescent="0.3">
      <c r="A120" s="93" t="s">
        <v>82</v>
      </c>
      <c r="B120" s="105" t="s">
        <v>123</v>
      </c>
      <c r="C120" s="94">
        <v>46234</v>
      </c>
      <c r="D120" s="95" t="s">
        <v>22</v>
      </c>
      <c r="E120" s="93">
        <v>1694</v>
      </c>
      <c r="F120" s="96">
        <v>0.37492999999999999</v>
      </c>
      <c r="G120" s="97">
        <v>0.100217</v>
      </c>
    </row>
    <row r="121" spans="1:7" x14ac:dyDescent="0.3">
      <c r="A121" s="93" t="s">
        <v>82</v>
      </c>
      <c r="B121" s="105" t="s">
        <v>123</v>
      </c>
      <c r="C121" s="94">
        <v>46234</v>
      </c>
      <c r="D121" s="95" t="s">
        <v>23</v>
      </c>
      <c r="E121" s="93">
        <v>1603</v>
      </c>
      <c r="F121" s="96">
        <v>0.31156699999999998</v>
      </c>
      <c r="G121" s="97">
        <v>0.10693999999999999</v>
      </c>
    </row>
    <row r="122" spans="1:7" x14ac:dyDescent="0.3">
      <c r="A122" s="93" t="s">
        <v>82</v>
      </c>
      <c r="B122" s="105" t="s">
        <v>123</v>
      </c>
      <c r="C122" s="94">
        <v>46234</v>
      </c>
      <c r="D122" s="95" t="s">
        <v>24</v>
      </c>
      <c r="E122" s="93">
        <v>2651</v>
      </c>
      <c r="F122" s="96">
        <v>0.230654</v>
      </c>
      <c r="G122" s="97">
        <v>7.7063900000000005E-2</v>
      </c>
    </row>
    <row r="123" spans="1:7" x14ac:dyDescent="0.3">
      <c r="A123" s="93" t="s">
        <v>82</v>
      </c>
      <c r="B123" s="105" t="s">
        <v>123</v>
      </c>
      <c r="C123" s="94">
        <v>46234</v>
      </c>
      <c r="D123" s="95" t="s">
        <v>25</v>
      </c>
      <c r="E123" s="93">
        <v>1114</v>
      </c>
      <c r="F123" s="96">
        <v>0.27549600000000002</v>
      </c>
      <c r="G123" s="97">
        <v>7.1046899999999996E-2</v>
      </c>
    </row>
    <row r="124" spans="1:7" x14ac:dyDescent="0.3">
      <c r="A124" s="93" t="s">
        <v>82</v>
      </c>
      <c r="B124" s="105" t="s">
        <v>123</v>
      </c>
      <c r="C124" s="94">
        <v>46234</v>
      </c>
      <c r="D124" s="95" t="s">
        <v>26</v>
      </c>
      <c r="E124" s="93">
        <v>1709</v>
      </c>
      <c r="F124" s="96">
        <v>0.180475</v>
      </c>
      <c r="G124" s="97">
        <v>5.4836299999999998E-2</v>
      </c>
    </row>
    <row r="125" spans="1:7" x14ac:dyDescent="0.3">
      <c r="A125" s="93" t="s">
        <v>82</v>
      </c>
      <c r="B125" s="105" t="s">
        <v>123</v>
      </c>
      <c r="C125" s="94">
        <v>46234</v>
      </c>
      <c r="D125" s="95" t="s">
        <v>27</v>
      </c>
      <c r="E125" s="93">
        <v>1262</v>
      </c>
      <c r="F125" s="96">
        <v>0.42054999999999998</v>
      </c>
      <c r="G125" s="97">
        <v>0.10097399999999999</v>
      </c>
    </row>
    <row r="126" spans="1:7" x14ac:dyDescent="0.3">
      <c r="A126" s="93" t="s">
        <v>82</v>
      </c>
      <c r="B126" s="105" t="s">
        <v>123</v>
      </c>
      <c r="C126" s="94">
        <v>46234</v>
      </c>
      <c r="D126" s="95" t="s">
        <v>28</v>
      </c>
      <c r="E126" s="93">
        <v>1001</v>
      </c>
      <c r="F126" s="96">
        <v>0.40851799999999999</v>
      </c>
      <c r="G126" s="97">
        <v>9.5214099999999996E-2</v>
      </c>
    </row>
    <row r="127" spans="1:7" x14ac:dyDescent="0.3">
      <c r="A127" s="93" t="s">
        <v>82</v>
      </c>
      <c r="B127" s="105" t="s">
        <v>123</v>
      </c>
      <c r="C127" s="94">
        <v>46234</v>
      </c>
      <c r="D127" s="95" t="s">
        <v>29</v>
      </c>
      <c r="E127" s="93">
        <v>2829</v>
      </c>
      <c r="F127" s="96">
        <v>0.40667599999999998</v>
      </c>
      <c r="G127" s="97">
        <v>8.2854800000000006E-2</v>
      </c>
    </row>
    <row r="128" spans="1:7" x14ac:dyDescent="0.3">
      <c r="A128" s="93" t="s">
        <v>82</v>
      </c>
      <c r="B128" s="105" t="s">
        <v>123</v>
      </c>
      <c r="C128" s="94">
        <v>46234</v>
      </c>
      <c r="D128" s="95" t="s">
        <v>30</v>
      </c>
      <c r="E128" s="93">
        <v>1504</v>
      </c>
      <c r="F128" s="96">
        <v>0.495338</v>
      </c>
      <c r="G128" s="97">
        <v>0.101115</v>
      </c>
    </row>
    <row r="129" spans="1:7" x14ac:dyDescent="0.3">
      <c r="A129" s="93" t="s">
        <v>81</v>
      </c>
      <c r="B129" s="105" t="s">
        <v>89</v>
      </c>
      <c r="C129" s="94">
        <v>46234</v>
      </c>
      <c r="D129" s="95" t="s">
        <v>14</v>
      </c>
      <c r="E129" s="93">
        <v>3975</v>
      </c>
      <c r="F129" s="96">
        <v>0.52360899999999999</v>
      </c>
      <c r="G129" s="97">
        <v>0.147318</v>
      </c>
    </row>
    <row r="130" spans="1:7" x14ac:dyDescent="0.3">
      <c r="A130" s="93" t="s">
        <v>81</v>
      </c>
      <c r="B130" s="105" t="s">
        <v>89</v>
      </c>
      <c r="C130" s="94">
        <v>46234</v>
      </c>
      <c r="D130" s="95" t="s">
        <v>15</v>
      </c>
      <c r="E130" s="93">
        <v>3665</v>
      </c>
      <c r="F130" s="96">
        <v>0.45449699999999998</v>
      </c>
      <c r="G130" s="97">
        <v>0.119767</v>
      </c>
    </row>
    <row r="131" spans="1:7" x14ac:dyDescent="0.3">
      <c r="A131" s="93" t="s">
        <v>81</v>
      </c>
      <c r="B131" s="105" t="s">
        <v>89</v>
      </c>
      <c r="C131" s="94">
        <v>46234</v>
      </c>
      <c r="D131" s="95" t="s">
        <v>16</v>
      </c>
      <c r="E131" s="93">
        <v>2763</v>
      </c>
      <c r="F131" s="96">
        <v>0.40343299999999999</v>
      </c>
      <c r="G131" s="97">
        <v>9.4635200000000003E-2</v>
      </c>
    </row>
    <row r="132" spans="1:7" x14ac:dyDescent="0.3">
      <c r="A132" s="93" t="s">
        <v>81</v>
      </c>
      <c r="B132" s="105" t="s">
        <v>89</v>
      </c>
      <c r="C132" s="94">
        <v>46234</v>
      </c>
      <c r="D132" s="95" t="s">
        <v>17</v>
      </c>
      <c r="E132" s="93">
        <v>2377</v>
      </c>
      <c r="F132" s="96">
        <v>0.53664000000000001</v>
      </c>
      <c r="G132" s="97">
        <v>0.106142</v>
      </c>
    </row>
    <row r="133" spans="1:7" x14ac:dyDescent="0.3">
      <c r="A133" s="93" t="s">
        <v>81</v>
      </c>
      <c r="B133" s="105" t="s">
        <v>89</v>
      </c>
      <c r="C133" s="94">
        <v>46234</v>
      </c>
      <c r="D133" s="95" t="s">
        <v>18</v>
      </c>
      <c r="E133" s="93">
        <v>3135</v>
      </c>
      <c r="F133" s="96">
        <v>0.218719</v>
      </c>
      <c r="G133" s="97">
        <v>5.20276E-2</v>
      </c>
    </row>
    <row r="134" spans="1:7" x14ac:dyDescent="0.3">
      <c r="A134" s="93" t="s">
        <v>81</v>
      </c>
      <c r="B134" s="105" t="s">
        <v>89</v>
      </c>
      <c r="C134" s="94">
        <v>46234</v>
      </c>
      <c r="D134" s="95" t="s">
        <v>19</v>
      </c>
      <c r="E134" s="93">
        <v>2511</v>
      </c>
      <c r="F134" s="96">
        <v>0.355244</v>
      </c>
      <c r="G134" s="97">
        <v>7.4700000000000003E-2</v>
      </c>
    </row>
    <row r="135" spans="1:7" x14ac:dyDescent="0.3">
      <c r="A135" s="93" t="s">
        <v>81</v>
      </c>
      <c r="B135" s="105" t="s">
        <v>89</v>
      </c>
      <c r="C135" s="94">
        <v>46234</v>
      </c>
      <c r="D135" s="95" t="s">
        <v>20</v>
      </c>
      <c r="E135" s="93">
        <v>2587</v>
      </c>
      <c r="F135" s="96">
        <v>0.37267099999999997</v>
      </c>
      <c r="G135" s="97">
        <v>7.7942899999999996E-2</v>
      </c>
    </row>
    <row r="136" spans="1:7" x14ac:dyDescent="0.3">
      <c r="A136" s="93" t="s">
        <v>81</v>
      </c>
      <c r="B136" s="105" t="s">
        <v>89</v>
      </c>
      <c r="C136" s="94">
        <v>46234</v>
      </c>
      <c r="D136" s="95" t="s">
        <v>34</v>
      </c>
      <c r="E136" s="93">
        <v>1502</v>
      </c>
      <c r="F136" s="96">
        <v>0.264567</v>
      </c>
      <c r="G136" s="97">
        <v>8.0192100000000002E-2</v>
      </c>
    </row>
    <row r="137" spans="1:7" x14ac:dyDescent="0.3">
      <c r="A137" s="93" t="s">
        <v>81</v>
      </c>
      <c r="B137" s="105" t="s">
        <v>89</v>
      </c>
      <c r="C137" s="94">
        <v>46234</v>
      </c>
      <c r="D137" s="95" t="s">
        <v>21</v>
      </c>
      <c r="E137" s="93">
        <v>3787</v>
      </c>
      <c r="F137" s="96">
        <v>0.47795700000000002</v>
      </c>
      <c r="G137" s="97">
        <v>9.3003100000000005E-2</v>
      </c>
    </row>
    <row r="138" spans="1:7" x14ac:dyDescent="0.3">
      <c r="A138" s="93" t="s">
        <v>81</v>
      </c>
      <c r="B138" s="105" t="s">
        <v>89</v>
      </c>
      <c r="C138" s="94">
        <v>46234</v>
      </c>
      <c r="D138" s="95" t="s">
        <v>22</v>
      </c>
      <c r="E138" s="93">
        <v>2437</v>
      </c>
      <c r="F138" s="96">
        <v>0.51614400000000005</v>
      </c>
      <c r="G138" s="97">
        <v>0.14021400000000001</v>
      </c>
    </row>
    <row r="139" spans="1:7" x14ac:dyDescent="0.3">
      <c r="A139" s="93" t="s">
        <v>81</v>
      </c>
      <c r="B139" s="105" t="s">
        <v>89</v>
      </c>
      <c r="C139" s="94">
        <v>46234</v>
      </c>
      <c r="D139" s="95" t="s">
        <v>23</v>
      </c>
      <c r="E139" s="93">
        <v>2126</v>
      </c>
      <c r="F139" s="96">
        <v>0.61609199999999997</v>
      </c>
      <c r="G139" s="97">
        <v>0.202345</v>
      </c>
    </row>
    <row r="140" spans="1:7" x14ac:dyDescent="0.3">
      <c r="A140" s="93" t="s">
        <v>81</v>
      </c>
      <c r="B140" s="105" t="s">
        <v>89</v>
      </c>
      <c r="C140" s="94">
        <v>46234</v>
      </c>
      <c r="D140" s="95" t="s">
        <v>24</v>
      </c>
      <c r="E140" s="93">
        <v>4033</v>
      </c>
      <c r="F140" s="96">
        <v>0.26639000000000002</v>
      </c>
      <c r="G140" s="97">
        <v>8.19878E-2</v>
      </c>
    </row>
    <row r="141" spans="1:7" x14ac:dyDescent="0.3">
      <c r="A141" s="93" t="s">
        <v>81</v>
      </c>
      <c r="B141" s="105" t="s">
        <v>89</v>
      </c>
      <c r="C141" s="94">
        <v>46234</v>
      </c>
      <c r="D141" s="95" t="s">
        <v>25</v>
      </c>
      <c r="E141" s="93">
        <v>1548</v>
      </c>
      <c r="F141" s="96">
        <v>0.24405299999999999</v>
      </c>
      <c r="G141" s="97">
        <v>5.8651200000000001E-2</v>
      </c>
    </row>
    <row r="142" spans="1:7" x14ac:dyDescent="0.3">
      <c r="A142" s="93" t="s">
        <v>81</v>
      </c>
      <c r="B142" s="105" t="s">
        <v>89</v>
      </c>
      <c r="C142" s="94">
        <v>46234</v>
      </c>
      <c r="D142" s="95" t="s">
        <v>26</v>
      </c>
      <c r="E142" s="93">
        <v>2915</v>
      </c>
      <c r="F142" s="96">
        <v>0.163774</v>
      </c>
      <c r="G142" s="97">
        <v>5.2653600000000002E-2</v>
      </c>
    </row>
    <row r="143" spans="1:7" x14ac:dyDescent="0.3">
      <c r="A143" s="93" t="s">
        <v>81</v>
      </c>
      <c r="B143" s="105" t="s">
        <v>89</v>
      </c>
      <c r="C143" s="94">
        <v>46234</v>
      </c>
      <c r="D143" s="95" t="s">
        <v>27</v>
      </c>
      <c r="E143" s="93">
        <v>2017</v>
      </c>
      <c r="F143" s="96">
        <v>0.41799900000000001</v>
      </c>
      <c r="G143" s="97">
        <v>9.4883999999999996E-2</v>
      </c>
    </row>
    <row r="144" spans="1:7" x14ac:dyDescent="0.3">
      <c r="A144" s="93" t="s">
        <v>81</v>
      </c>
      <c r="B144" s="105" t="s">
        <v>89</v>
      </c>
      <c r="C144" s="94">
        <v>46234</v>
      </c>
      <c r="D144" s="95" t="s">
        <v>28</v>
      </c>
      <c r="E144" s="93">
        <v>1610</v>
      </c>
      <c r="F144" s="96">
        <v>0.32311099999999998</v>
      </c>
      <c r="G144" s="97">
        <v>7.2502700000000003E-2</v>
      </c>
    </row>
    <row r="145" spans="1:7" x14ac:dyDescent="0.3">
      <c r="A145" s="93" t="s">
        <v>81</v>
      </c>
      <c r="B145" s="105" t="s">
        <v>89</v>
      </c>
      <c r="C145" s="94">
        <v>46234</v>
      </c>
      <c r="D145" s="95" t="s">
        <v>29</v>
      </c>
      <c r="E145" s="93">
        <v>2718</v>
      </c>
      <c r="F145" s="96">
        <v>0.375027</v>
      </c>
      <c r="G145" s="97">
        <v>7.7646499999999993E-2</v>
      </c>
    </row>
    <row r="146" spans="1:7" x14ac:dyDescent="0.3">
      <c r="A146" s="93" t="s">
        <v>81</v>
      </c>
      <c r="B146" s="105" t="s">
        <v>89</v>
      </c>
      <c r="C146" s="94">
        <v>46234</v>
      </c>
      <c r="D146" s="95" t="s">
        <v>30</v>
      </c>
      <c r="E146" s="93">
        <v>2001</v>
      </c>
      <c r="F146" s="96">
        <v>0.52081699999999997</v>
      </c>
      <c r="G146" s="97">
        <v>0.104738</v>
      </c>
    </row>
    <row r="147" spans="1:7" x14ac:dyDescent="0.3">
      <c r="A147" s="93" t="s">
        <v>81</v>
      </c>
      <c r="B147" s="105" t="s">
        <v>89</v>
      </c>
      <c r="C147" s="94">
        <v>46235</v>
      </c>
      <c r="D147" s="95" t="s">
        <v>14</v>
      </c>
      <c r="E147" s="93">
        <v>3111</v>
      </c>
      <c r="F147" s="96">
        <v>0.38656600000000002</v>
      </c>
      <c r="G147" s="97">
        <v>0.10890900000000001</v>
      </c>
    </row>
    <row r="148" spans="1:7" x14ac:dyDescent="0.3">
      <c r="A148" s="93" t="s">
        <v>81</v>
      </c>
      <c r="B148" s="105" t="s">
        <v>89</v>
      </c>
      <c r="C148" s="94">
        <v>46235</v>
      </c>
      <c r="D148" s="95" t="s">
        <v>15</v>
      </c>
      <c r="E148" s="93">
        <v>2814</v>
      </c>
      <c r="F148" s="96">
        <v>0.48407099999999997</v>
      </c>
      <c r="G148" s="97">
        <v>0.127695</v>
      </c>
    </row>
    <row r="149" spans="1:7" x14ac:dyDescent="0.3">
      <c r="A149" s="93" t="s">
        <v>81</v>
      </c>
      <c r="B149" s="105" t="s">
        <v>89</v>
      </c>
      <c r="C149" s="94">
        <v>46235</v>
      </c>
      <c r="D149" s="95" t="s">
        <v>16</v>
      </c>
      <c r="E149" s="93">
        <v>2201</v>
      </c>
      <c r="F149" s="96">
        <v>0.54380600000000001</v>
      </c>
      <c r="G149" s="97">
        <v>0.12779199999999999</v>
      </c>
    </row>
    <row r="150" spans="1:7" x14ac:dyDescent="0.3">
      <c r="A150" s="93" t="s">
        <v>81</v>
      </c>
      <c r="B150" s="105" t="s">
        <v>89</v>
      </c>
      <c r="C150" s="94">
        <v>46235</v>
      </c>
      <c r="D150" s="95" t="s">
        <v>17</v>
      </c>
      <c r="E150" s="93">
        <v>2352</v>
      </c>
      <c r="F150" s="96">
        <v>0.47246100000000002</v>
      </c>
      <c r="G150" s="97">
        <v>9.3412599999999998E-2</v>
      </c>
    </row>
    <row r="151" spans="1:7" x14ac:dyDescent="0.3">
      <c r="A151" s="93" t="s">
        <v>81</v>
      </c>
      <c r="B151" s="105" t="s">
        <v>89</v>
      </c>
      <c r="C151" s="94">
        <v>46235</v>
      </c>
      <c r="D151" s="95" t="s">
        <v>18</v>
      </c>
      <c r="E151" s="93">
        <v>2814</v>
      </c>
      <c r="F151" s="96">
        <v>0.38531199999999999</v>
      </c>
      <c r="G151" s="97">
        <v>9.1877600000000004E-2</v>
      </c>
    </row>
    <row r="152" spans="1:7" x14ac:dyDescent="0.3">
      <c r="A152" s="93" t="s">
        <v>81</v>
      </c>
      <c r="B152" s="105" t="s">
        <v>89</v>
      </c>
      <c r="C152" s="94">
        <v>46235</v>
      </c>
      <c r="D152" s="95" t="s">
        <v>19</v>
      </c>
      <c r="E152" s="93">
        <v>2708</v>
      </c>
      <c r="F152" s="96">
        <v>1.47159</v>
      </c>
      <c r="G152" s="97">
        <v>0.31046400000000002</v>
      </c>
    </row>
    <row r="153" spans="1:7" x14ac:dyDescent="0.3">
      <c r="A153" s="93" t="s">
        <v>81</v>
      </c>
      <c r="B153" s="105" t="s">
        <v>89</v>
      </c>
      <c r="C153" s="94">
        <v>46235</v>
      </c>
      <c r="D153" s="95" t="s">
        <v>20</v>
      </c>
      <c r="E153" s="93">
        <v>2700</v>
      </c>
      <c r="F153" s="96">
        <v>0.81003099999999995</v>
      </c>
      <c r="G153" s="97">
        <v>0.169795</v>
      </c>
    </row>
    <row r="154" spans="1:7" x14ac:dyDescent="0.3">
      <c r="A154" s="93" t="s">
        <v>81</v>
      </c>
      <c r="B154" s="105" t="s">
        <v>89</v>
      </c>
      <c r="C154" s="94">
        <v>46235</v>
      </c>
      <c r="D154" s="95" t="s">
        <v>34</v>
      </c>
      <c r="E154" s="93">
        <v>1503</v>
      </c>
      <c r="F154" s="96">
        <v>0.204627</v>
      </c>
      <c r="G154" s="97">
        <v>6.2046299999999999E-2</v>
      </c>
    </row>
    <row r="155" spans="1:7" x14ac:dyDescent="0.3">
      <c r="A155" s="93" t="s">
        <v>81</v>
      </c>
      <c r="B155" s="105" t="s">
        <v>89</v>
      </c>
      <c r="C155" s="94">
        <v>46235</v>
      </c>
      <c r="D155" s="95" t="s">
        <v>21</v>
      </c>
      <c r="E155" s="93">
        <v>3742</v>
      </c>
      <c r="F155" s="96">
        <v>1.2650600000000001</v>
      </c>
      <c r="G155" s="97">
        <v>0.246172</v>
      </c>
    </row>
    <row r="156" spans="1:7" x14ac:dyDescent="0.3">
      <c r="A156" s="93" t="s">
        <v>81</v>
      </c>
      <c r="B156" s="105" t="s">
        <v>89</v>
      </c>
      <c r="C156" s="94">
        <v>46235</v>
      </c>
      <c r="D156" s="95" t="s">
        <v>22</v>
      </c>
      <c r="E156" s="93">
        <v>2339</v>
      </c>
      <c r="F156" s="96">
        <v>0.37946099999999999</v>
      </c>
      <c r="G156" s="97">
        <v>0.10304000000000001</v>
      </c>
    </row>
    <row r="157" spans="1:7" x14ac:dyDescent="0.3">
      <c r="A157" s="93" t="s">
        <v>81</v>
      </c>
      <c r="B157" s="105" t="s">
        <v>89</v>
      </c>
      <c r="C157" s="94">
        <v>46235</v>
      </c>
      <c r="D157" s="95" t="s">
        <v>23</v>
      </c>
      <c r="E157" s="93">
        <v>1576</v>
      </c>
      <c r="F157" s="96">
        <v>0.21701799999999999</v>
      </c>
      <c r="G157" s="97">
        <v>7.1269700000000005E-2</v>
      </c>
    </row>
    <row r="158" spans="1:7" x14ac:dyDescent="0.3">
      <c r="A158" s="93" t="s">
        <v>81</v>
      </c>
      <c r="B158" s="105" t="s">
        <v>89</v>
      </c>
      <c r="C158" s="94">
        <v>46235</v>
      </c>
      <c r="D158" s="95" t="s">
        <v>24</v>
      </c>
      <c r="E158" s="93">
        <v>2915</v>
      </c>
      <c r="F158" s="96">
        <v>0.22855900000000001</v>
      </c>
      <c r="G158" s="97">
        <v>7.0344799999999999E-2</v>
      </c>
    </row>
    <row r="159" spans="1:7" x14ac:dyDescent="0.3">
      <c r="A159" s="93" t="s">
        <v>81</v>
      </c>
      <c r="B159" s="105" t="s">
        <v>89</v>
      </c>
      <c r="C159" s="94">
        <v>46235</v>
      </c>
      <c r="D159" s="95" t="s">
        <v>25</v>
      </c>
      <c r="E159" s="93">
        <v>1546</v>
      </c>
      <c r="F159" s="96">
        <v>0.228106</v>
      </c>
      <c r="G159" s="97">
        <v>5.4853300000000001E-2</v>
      </c>
    </row>
    <row r="160" spans="1:7" x14ac:dyDescent="0.3">
      <c r="A160" s="93" t="s">
        <v>81</v>
      </c>
      <c r="B160" s="105" t="s">
        <v>89</v>
      </c>
      <c r="C160" s="94">
        <v>46235</v>
      </c>
      <c r="D160" s="95" t="s">
        <v>26</v>
      </c>
      <c r="E160" s="93">
        <v>2440</v>
      </c>
      <c r="F160" s="96">
        <v>0.24538699999999999</v>
      </c>
      <c r="G160" s="97">
        <v>7.8953300000000004E-2</v>
      </c>
    </row>
    <row r="161" spans="1:7" x14ac:dyDescent="0.3">
      <c r="A161" s="93" t="s">
        <v>81</v>
      </c>
      <c r="B161" s="105" t="s">
        <v>89</v>
      </c>
      <c r="C161" s="94">
        <v>46235</v>
      </c>
      <c r="D161" s="95" t="s">
        <v>27</v>
      </c>
      <c r="E161" s="93">
        <v>1812</v>
      </c>
      <c r="F161" s="96">
        <v>0.716615</v>
      </c>
      <c r="G161" s="97">
        <v>0.16242100000000001</v>
      </c>
    </row>
    <row r="162" spans="1:7" x14ac:dyDescent="0.3">
      <c r="A162" s="93" t="s">
        <v>81</v>
      </c>
      <c r="B162" s="105" t="s">
        <v>89</v>
      </c>
      <c r="C162" s="94">
        <v>46235</v>
      </c>
      <c r="D162" s="95" t="s">
        <v>28</v>
      </c>
      <c r="E162" s="93">
        <v>1530</v>
      </c>
      <c r="F162" s="96">
        <v>0.38388800000000001</v>
      </c>
      <c r="G162" s="97">
        <v>8.6132899999999998E-2</v>
      </c>
    </row>
    <row r="163" spans="1:7" x14ac:dyDescent="0.3">
      <c r="A163" s="93" t="s">
        <v>81</v>
      </c>
      <c r="B163" s="105" t="s">
        <v>89</v>
      </c>
      <c r="C163" s="94">
        <v>46235</v>
      </c>
      <c r="D163" s="95" t="s">
        <v>29</v>
      </c>
      <c r="E163" s="93">
        <v>2305</v>
      </c>
      <c r="F163" s="96">
        <v>1.05867</v>
      </c>
      <c r="G163" s="97">
        <v>0.22051299999999999</v>
      </c>
    </row>
    <row r="164" spans="1:7" x14ac:dyDescent="0.3">
      <c r="A164" s="93" t="s">
        <v>81</v>
      </c>
      <c r="B164" s="105" t="s">
        <v>89</v>
      </c>
      <c r="C164" s="94">
        <v>46235</v>
      </c>
      <c r="D164" s="95" t="s">
        <v>30</v>
      </c>
      <c r="E164" s="93">
        <v>2080</v>
      </c>
      <c r="F164" s="96">
        <v>0.47212599999999999</v>
      </c>
      <c r="G164" s="97">
        <v>9.48576E-2</v>
      </c>
    </row>
    <row r="165" spans="1:7" x14ac:dyDescent="0.3">
      <c r="A165" s="93" t="s">
        <v>82</v>
      </c>
      <c r="B165" s="105" t="s">
        <v>124</v>
      </c>
      <c r="C165" s="94">
        <v>46237</v>
      </c>
      <c r="D165" s="95" t="s">
        <v>14</v>
      </c>
      <c r="E165" s="93">
        <v>3346</v>
      </c>
      <c r="F165" s="96">
        <v>0.32430599999999998</v>
      </c>
      <c r="G165" s="97">
        <v>9.8802500000000001E-2</v>
      </c>
    </row>
    <row r="166" spans="1:7" x14ac:dyDescent="0.3">
      <c r="A166" s="93" t="s">
        <v>82</v>
      </c>
      <c r="B166" s="105" t="s">
        <v>124</v>
      </c>
      <c r="C166" s="94">
        <v>46237</v>
      </c>
      <c r="D166" s="95" t="s">
        <v>15</v>
      </c>
      <c r="E166" s="93">
        <v>3063</v>
      </c>
      <c r="F166" s="96">
        <v>0.35386699999999999</v>
      </c>
      <c r="G166" s="97">
        <v>9.9645899999999996E-2</v>
      </c>
    </row>
    <row r="167" spans="1:7" x14ac:dyDescent="0.3">
      <c r="A167" s="93" t="s">
        <v>82</v>
      </c>
      <c r="B167" s="105" t="s">
        <v>124</v>
      </c>
      <c r="C167" s="94">
        <v>46237</v>
      </c>
      <c r="D167" s="95" t="s">
        <v>16</v>
      </c>
      <c r="E167" s="93">
        <v>2034</v>
      </c>
      <c r="F167" s="96">
        <v>0.34923700000000002</v>
      </c>
      <c r="G167" s="97">
        <v>8.7392399999999995E-2</v>
      </c>
    </row>
    <row r="168" spans="1:7" x14ac:dyDescent="0.3">
      <c r="A168" s="93" t="s">
        <v>82</v>
      </c>
      <c r="B168" s="105" t="s">
        <v>124</v>
      </c>
      <c r="C168" s="94">
        <v>46237</v>
      </c>
      <c r="D168" s="95" t="s">
        <v>17</v>
      </c>
      <c r="E168" s="93">
        <v>2205</v>
      </c>
      <c r="F168" s="96">
        <v>0.47246100000000002</v>
      </c>
      <c r="G168" s="97">
        <v>9.3412599999999998E-2</v>
      </c>
    </row>
    <row r="169" spans="1:7" x14ac:dyDescent="0.3">
      <c r="A169" s="93" t="s">
        <v>82</v>
      </c>
      <c r="B169" s="105" t="s">
        <v>124</v>
      </c>
      <c r="C169" s="94">
        <v>46237</v>
      </c>
      <c r="D169" s="95" t="s">
        <v>18</v>
      </c>
      <c r="E169" s="93">
        <v>2383</v>
      </c>
      <c r="F169" s="96">
        <v>0.23527000000000001</v>
      </c>
      <c r="G169" s="97">
        <v>5.8520999999999997E-2</v>
      </c>
    </row>
    <row r="170" spans="1:7" x14ac:dyDescent="0.3">
      <c r="A170" s="93" t="s">
        <v>82</v>
      </c>
      <c r="B170" s="105" t="s">
        <v>124</v>
      </c>
      <c r="C170" s="94">
        <v>46237</v>
      </c>
      <c r="D170" s="95" t="s">
        <v>19</v>
      </c>
      <c r="E170" s="93">
        <v>2170</v>
      </c>
      <c r="F170" s="96">
        <v>0.31478899999999999</v>
      </c>
      <c r="G170" s="97">
        <v>6.7531099999999997E-2</v>
      </c>
    </row>
    <row r="171" spans="1:7" x14ac:dyDescent="0.3">
      <c r="A171" s="93" t="s">
        <v>82</v>
      </c>
      <c r="B171" s="105" t="s">
        <v>124</v>
      </c>
      <c r="C171" s="94">
        <v>46237</v>
      </c>
      <c r="D171" s="95" t="s">
        <v>20</v>
      </c>
      <c r="E171" s="93">
        <v>2313</v>
      </c>
      <c r="F171" s="96">
        <v>0.30069600000000002</v>
      </c>
      <c r="G171" s="97">
        <v>6.3357800000000006E-2</v>
      </c>
    </row>
    <row r="172" spans="1:7" x14ac:dyDescent="0.3">
      <c r="A172" s="93" t="s">
        <v>82</v>
      </c>
      <c r="B172" s="105" t="s">
        <v>124</v>
      </c>
      <c r="C172" s="94">
        <v>46237</v>
      </c>
      <c r="D172" s="95" t="s">
        <v>34</v>
      </c>
      <c r="E172" s="93">
        <v>1596</v>
      </c>
      <c r="F172" s="96">
        <v>0.167988</v>
      </c>
      <c r="G172" s="97">
        <v>4.9786400000000001E-2</v>
      </c>
    </row>
    <row r="173" spans="1:7" x14ac:dyDescent="0.3">
      <c r="A173" s="93" t="s">
        <v>82</v>
      </c>
      <c r="B173" s="105" t="s">
        <v>124</v>
      </c>
      <c r="C173" s="94">
        <v>46237</v>
      </c>
      <c r="D173" s="95" t="s">
        <v>21</v>
      </c>
      <c r="E173" s="93">
        <v>3368</v>
      </c>
      <c r="F173" s="96">
        <v>0.44997300000000001</v>
      </c>
      <c r="G173" s="97">
        <v>8.5777199999999998E-2</v>
      </c>
    </row>
    <row r="174" spans="1:7" x14ac:dyDescent="0.3">
      <c r="A174" s="93" t="s">
        <v>82</v>
      </c>
      <c r="B174" s="105" t="s">
        <v>124</v>
      </c>
      <c r="C174" s="94">
        <v>46237</v>
      </c>
      <c r="D174" s="95" t="s">
        <v>22</v>
      </c>
      <c r="E174" s="93">
        <v>1671</v>
      </c>
      <c r="F174" s="96">
        <v>0.47886200000000001</v>
      </c>
      <c r="G174" s="97">
        <v>0.12086</v>
      </c>
    </row>
    <row r="175" spans="1:7" x14ac:dyDescent="0.3">
      <c r="A175" s="93" t="s">
        <v>82</v>
      </c>
      <c r="B175" s="105" t="s">
        <v>124</v>
      </c>
      <c r="C175" s="94">
        <v>46237</v>
      </c>
      <c r="D175" s="95" t="s">
        <v>23</v>
      </c>
      <c r="E175" s="93">
        <v>1504</v>
      </c>
      <c r="F175" s="96">
        <v>0.31255899999999998</v>
      </c>
      <c r="G175" s="97">
        <v>0.110626</v>
      </c>
    </row>
    <row r="176" spans="1:7" x14ac:dyDescent="0.3">
      <c r="A176" s="93" t="s">
        <v>82</v>
      </c>
      <c r="B176" s="105" t="s">
        <v>124</v>
      </c>
      <c r="C176" s="94">
        <v>46237</v>
      </c>
      <c r="D176" s="95" t="s">
        <v>24</v>
      </c>
      <c r="E176" s="93">
        <v>2776</v>
      </c>
      <c r="F176" s="96">
        <v>0.242114</v>
      </c>
      <c r="G176" s="97">
        <v>7.6394299999999998E-2</v>
      </c>
    </row>
    <row r="177" spans="1:7" x14ac:dyDescent="0.3">
      <c r="A177" s="93" t="s">
        <v>82</v>
      </c>
      <c r="B177" s="105" t="s">
        <v>124</v>
      </c>
      <c r="C177" s="94">
        <v>46237</v>
      </c>
      <c r="D177" s="95" t="s">
        <v>25</v>
      </c>
      <c r="E177" s="93">
        <v>1564</v>
      </c>
      <c r="F177" s="96">
        <v>0.26510299999999998</v>
      </c>
      <c r="G177" s="97">
        <v>6.3127500000000003E-2</v>
      </c>
    </row>
    <row r="178" spans="1:7" x14ac:dyDescent="0.3">
      <c r="A178" s="93" t="s">
        <v>82</v>
      </c>
      <c r="B178" s="105" t="s">
        <v>124</v>
      </c>
      <c r="C178" s="94">
        <v>46237</v>
      </c>
      <c r="D178" s="95" t="s">
        <v>26</v>
      </c>
      <c r="E178" s="93">
        <v>2134</v>
      </c>
      <c r="F178" s="96">
        <v>0.18260199999999999</v>
      </c>
      <c r="G178" s="97">
        <v>5.5004400000000002E-2</v>
      </c>
    </row>
    <row r="179" spans="1:7" x14ac:dyDescent="0.3">
      <c r="A179" s="93" t="s">
        <v>82</v>
      </c>
      <c r="B179" s="105" t="s">
        <v>124</v>
      </c>
      <c r="C179" s="94">
        <v>46237</v>
      </c>
      <c r="D179" s="95" t="s">
        <v>27</v>
      </c>
      <c r="E179" s="93">
        <v>1805</v>
      </c>
      <c r="F179" s="96">
        <v>0.33567200000000003</v>
      </c>
      <c r="G179" s="97">
        <v>7.3140200000000002E-2</v>
      </c>
    </row>
    <row r="180" spans="1:7" x14ac:dyDescent="0.3">
      <c r="A180" s="93" t="s">
        <v>82</v>
      </c>
      <c r="B180" s="105" t="s">
        <v>124</v>
      </c>
      <c r="C180" s="94">
        <v>46237</v>
      </c>
      <c r="D180" s="95" t="s">
        <v>28</v>
      </c>
      <c r="E180" s="93">
        <v>1506</v>
      </c>
      <c r="F180" s="96">
        <v>0.237599</v>
      </c>
      <c r="G180" s="97">
        <v>5.0320799999999999E-2</v>
      </c>
    </row>
    <row r="181" spans="1:7" x14ac:dyDescent="0.3">
      <c r="A181" s="93" t="s">
        <v>82</v>
      </c>
      <c r="B181" s="105" t="s">
        <v>124</v>
      </c>
      <c r="C181" s="94">
        <v>46237</v>
      </c>
      <c r="D181" s="95" t="s">
        <v>29</v>
      </c>
      <c r="E181" s="93">
        <v>2592</v>
      </c>
      <c r="F181" s="96">
        <v>0.24665599999999999</v>
      </c>
      <c r="G181" s="97">
        <v>5.4342500000000002E-2</v>
      </c>
    </row>
    <row r="182" spans="1:7" x14ac:dyDescent="0.3">
      <c r="A182" s="93" t="s">
        <v>82</v>
      </c>
      <c r="B182" s="105" t="s">
        <v>124</v>
      </c>
      <c r="C182" s="94">
        <v>46237</v>
      </c>
      <c r="D182" s="95" t="s">
        <v>30</v>
      </c>
      <c r="E182" s="93">
        <v>1991</v>
      </c>
      <c r="F182" s="96">
        <v>0.364514</v>
      </c>
      <c r="G182" s="97">
        <v>6.9290500000000005E-2</v>
      </c>
    </row>
    <row r="183" spans="1:7" x14ac:dyDescent="0.3">
      <c r="A183" s="93" t="s">
        <v>82</v>
      </c>
      <c r="B183" s="105" t="s">
        <v>125</v>
      </c>
      <c r="C183" s="94">
        <v>46237</v>
      </c>
      <c r="D183" s="95" t="s">
        <v>14</v>
      </c>
      <c r="E183" s="93">
        <v>2529</v>
      </c>
      <c r="F183" s="96">
        <v>0.19736899999999999</v>
      </c>
      <c r="G183" s="97">
        <v>5.3979199999999998E-2</v>
      </c>
    </row>
    <row r="184" spans="1:7" x14ac:dyDescent="0.3">
      <c r="A184" s="93" t="s">
        <v>82</v>
      </c>
      <c r="B184" s="105" t="s">
        <v>125</v>
      </c>
      <c r="C184" s="94">
        <v>46237</v>
      </c>
      <c r="D184" s="95" t="s">
        <v>15</v>
      </c>
      <c r="E184" s="93">
        <v>2434</v>
      </c>
      <c r="F184" s="96">
        <v>0.40239999999999998</v>
      </c>
      <c r="G184" s="97">
        <v>0.102562</v>
      </c>
    </row>
    <row r="185" spans="1:7" x14ac:dyDescent="0.3">
      <c r="A185" s="93" t="s">
        <v>82</v>
      </c>
      <c r="B185" s="105" t="s">
        <v>125</v>
      </c>
      <c r="C185" s="94">
        <v>46237</v>
      </c>
      <c r="D185" s="95" t="s">
        <v>16</v>
      </c>
      <c r="E185" s="93">
        <v>2472</v>
      </c>
      <c r="F185" s="96">
        <v>0.373303</v>
      </c>
      <c r="G185" s="97">
        <v>8.31152E-2</v>
      </c>
    </row>
    <row r="186" spans="1:7" x14ac:dyDescent="0.3">
      <c r="A186" s="93" t="s">
        <v>82</v>
      </c>
      <c r="B186" s="105" t="s">
        <v>125</v>
      </c>
      <c r="C186" s="94">
        <v>46237</v>
      </c>
      <c r="D186" s="95" t="s">
        <v>17</v>
      </c>
      <c r="E186" s="93">
        <v>2227</v>
      </c>
      <c r="F186" s="96">
        <v>0.44384499999999999</v>
      </c>
      <c r="G186" s="97">
        <v>9.0625700000000003E-2</v>
      </c>
    </row>
    <row r="187" spans="1:7" x14ac:dyDescent="0.3">
      <c r="A187" s="93" t="s">
        <v>82</v>
      </c>
      <c r="B187" s="105" t="s">
        <v>125</v>
      </c>
      <c r="C187" s="94">
        <v>46237</v>
      </c>
      <c r="D187" s="95" t="s">
        <v>18</v>
      </c>
      <c r="E187" s="93">
        <v>2847</v>
      </c>
      <c r="F187" s="96">
        <v>0.23527000000000001</v>
      </c>
      <c r="G187" s="97">
        <v>5.8520999999999997E-2</v>
      </c>
    </row>
    <row r="188" spans="1:7" x14ac:dyDescent="0.3">
      <c r="A188" s="93" t="s">
        <v>82</v>
      </c>
      <c r="B188" s="105" t="s">
        <v>125</v>
      </c>
      <c r="C188" s="94">
        <v>46237</v>
      </c>
      <c r="D188" s="95" t="s">
        <v>19</v>
      </c>
      <c r="E188" s="93">
        <v>2586</v>
      </c>
      <c r="F188" s="96">
        <v>0.384272</v>
      </c>
      <c r="G188" s="97">
        <v>7.7091900000000005E-2</v>
      </c>
    </row>
    <row r="189" spans="1:7" x14ac:dyDescent="0.3">
      <c r="A189" s="93" t="s">
        <v>82</v>
      </c>
      <c r="B189" s="105" t="s">
        <v>125</v>
      </c>
      <c r="C189" s="94">
        <v>46237</v>
      </c>
      <c r="D189" s="95" t="s">
        <v>20</v>
      </c>
      <c r="E189" s="93">
        <v>2350</v>
      </c>
      <c r="F189" s="96">
        <v>0.36795899999999998</v>
      </c>
      <c r="G189" s="97">
        <v>7.3715699999999995E-2</v>
      </c>
    </row>
    <row r="190" spans="1:7" x14ac:dyDescent="0.3">
      <c r="A190" s="93" t="s">
        <v>82</v>
      </c>
      <c r="B190" s="105" t="s">
        <v>125</v>
      </c>
      <c r="C190" s="94">
        <v>46237</v>
      </c>
      <c r="D190" s="95" t="s">
        <v>34</v>
      </c>
      <c r="E190" s="93">
        <v>1620</v>
      </c>
      <c r="F190" s="96">
        <v>0.18529899999999999</v>
      </c>
      <c r="G190" s="97">
        <v>5.3656599999999999E-2</v>
      </c>
    </row>
    <row r="191" spans="1:7" x14ac:dyDescent="0.3">
      <c r="A191" s="93" t="s">
        <v>82</v>
      </c>
      <c r="B191" s="105" t="s">
        <v>125</v>
      </c>
      <c r="C191" s="94">
        <v>46237</v>
      </c>
      <c r="D191" s="95" t="s">
        <v>21</v>
      </c>
      <c r="E191" s="93">
        <v>4051</v>
      </c>
      <c r="F191" s="96">
        <v>0.44907000000000002</v>
      </c>
      <c r="G191" s="97">
        <v>9.1503399999999999E-2</v>
      </c>
    </row>
    <row r="192" spans="1:7" x14ac:dyDescent="0.3">
      <c r="A192" s="93" t="s">
        <v>82</v>
      </c>
      <c r="B192" s="105" t="s">
        <v>125</v>
      </c>
      <c r="C192" s="94">
        <v>46237</v>
      </c>
      <c r="D192" s="95" t="s">
        <v>22</v>
      </c>
      <c r="E192" s="93">
        <v>2289</v>
      </c>
      <c r="F192" s="96">
        <v>0.40045399999999998</v>
      </c>
      <c r="G192" s="97">
        <v>0.111335</v>
      </c>
    </row>
    <row r="193" spans="1:7" x14ac:dyDescent="0.3">
      <c r="A193" s="93" t="s">
        <v>82</v>
      </c>
      <c r="B193" s="105" t="s">
        <v>125</v>
      </c>
      <c r="C193" s="94">
        <v>46237</v>
      </c>
      <c r="D193" s="95" t="s">
        <v>23</v>
      </c>
      <c r="E193" s="93">
        <v>1649</v>
      </c>
      <c r="F193" s="96">
        <v>0.31080999999999998</v>
      </c>
      <c r="G193" s="97">
        <v>0.101536</v>
      </c>
    </row>
    <row r="194" spans="1:7" x14ac:dyDescent="0.3">
      <c r="A194" s="93" t="s">
        <v>82</v>
      </c>
      <c r="B194" s="105" t="s">
        <v>125</v>
      </c>
      <c r="C194" s="94">
        <v>46237</v>
      </c>
      <c r="D194" s="95" t="s">
        <v>24</v>
      </c>
      <c r="E194" s="93">
        <v>3170</v>
      </c>
      <c r="F194" s="96">
        <v>0.20591000000000001</v>
      </c>
      <c r="G194" s="97">
        <v>6.5986100000000006E-2</v>
      </c>
    </row>
    <row r="195" spans="1:7" x14ac:dyDescent="0.3">
      <c r="A195" s="93" t="s">
        <v>82</v>
      </c>
      <c r="B195" s="105" t="s">
        <v>125</v>
      </c>
      <c r="C195" s="94">
        <v>46237</v>
      </c>
      <c r="D195" s="95" t="s">
        <v>25</v>
      </c>
      <c r="E195" s="93">
        <v>1504</v>
      </c>
      <c r="F195" s="96">
        <v>0.21273800000000001</v>
      </c>
      <c r="G195" s="97">
        <v>5.37966E-2</v>
      </c>
    </row>
    <row r="196" spans="1:7" x14ac:dyDescent="0.3">
      <c r="A196" s="93" t="s">
        <v>82</v>
      </c>
      <c r="B196" s="105" t="s">
        <v>125</v>
      </c>
      <c r="C196" s="94">
        <v>46237</v>
      </c>
      <c r="D196" s="95" t="s">
        <v>26</v>
      </c>
      <c r="E196" s="93">
        <v>1926</v>
      </c>
      <c r="F196" s="96">
        <v>0.206868</v>
      </c>
      <c r="G196" s="97">
        <v>6.5720299999999995E-2</v>
      </c>
    </row>
    <row r="197" spans="1:7" x14ac:dyDescent="0.3">
      <c r="A197" s="93" t="s">
        <v>82</v>
      </c>
      <c r="B197" s="105" t="s">
        <v>125</v>
      </c>
      <c r="C197" s="94">
        <v>46237</v>
      </c>
      <c r="D197" s="95" t="s">
        <v>27</v>
      </c>
      <c r="E197" s="93">
        <v>2047</v>
      </c>
      <c r="F197" s="96">
        <v>0.34014499999999998</v>
      </c>
      <c r="G197" s="97">
        <v>8.1698800000000002E-2</v>
      </c>
    </row>
    <row r="198" spans="1:7" x14ac:dyDescent="0.3">
      <c r="A198" s="93" t="s">
        <v>82</v>
      </c>
      <c r="B198" s="105" t="s">
        <v>125</v>
      </c>
      <c r="C198" s="94">
        <v>46237</v>
      </c>
      <c r="D198" s="95" t="s">
        <v>28</v>
      </c>
      <c r="E198" s="93">
        <v>1611</v>
      </c>
      <c r="F198" s="96">
        <v>0.33842299999999997</v>
      </c>
      <c r="G198" s="97">
        <v>8.0177899999999996E-2</v>
      </c>
    </row>
    <row r="199" spans="1:7" x14ac:dyDescent="0.3">
      <c r="A199" s="93" t="s">
        <v>82</v>
      </c>
      <c r="B199" s="105" t="s">
        <v>125</v>
      </c>
      <c r="C199" s="94">
        <v>46237</v>
      </c>
      <c r="D199" s="95" t="s">
        <v>29</v>
      </c>
      <c r="E199" s="93">
        <v>2467</v>
      </c>
      <c r="F199" s="96">
        <v>0.383046</v>
      </c>
      <c r="G199" s="97">
        <v>7.6463900000000001E-2</v>
      </c>
    </row>
    <row r="200" spans="1:7" x14ac:dyDescent="0.3">
      <c r="A200" s="93" t="s">
        <v>82</v>
      </c>
      <c r="B200" s="105" t="s">
        <v>125</v>
      </c>
      <c r="C200" s="94">
        <v>46237</v>
      </c>
      <c r="D200" s="95" t="s">
        <v>30</v>
      </c>
      <c r="E200" s="93">
        <v>1997</v>
      </c>
      <c r="F200" s="96">
        <v>0.41350599999999998</v>
      </c>
      <c r="G200" s="97">
        <v>8.6338499999999999E-2</v>
      </c>
    </row>
    <row r="201" spans="1:7" x14ac:dyDescent="0.3">
      <c r="A201" s="93" t="s">
        <v>81</v>
      </c>
      <c r="B201" s="105" t="s">
        <v>89</v>
      </c>
      <c r="C201" s="94">
        <v>46237</v>
      </c>
      <c r="D201" s="95" t="s">
        <v>14</v>
      </c>
      <c r="E201" s="93">
        <v>2303</v>
      </c>
      <c r="F201" s="96">
        <v>0.18865100000000001</v>
      </c>
      <c r="G201" s="97">
        <v>5.7477100000000003E-2</v>
      </c>
    </row>
    <row r="202" spans="1:7" x14ac:dyDescent="0.3">
      <c r="A202" s="93" t="s">
        <v>81</v>
      </c>
      <c r="B202" s="105" t="s">
        <v>89</v>
      </c>
      <c r="C202" s="94">
        <v>46237</v>
      </c>
      <c r="D202" s="95" t="s">
        <v>15</v>
      </c>
      <c r="E202" s="93">
        <v>2379</v>
      </c>
      <c r="F202" s="96">
        <v>0.37706499999999998</v>
      </c>
      <c r="G202" s="97">
        <v>0.10617699999999999</v>
      </c>
    </row>
    <row r="203" spans="1:7" x14ac:dyDescent="0.3">
      <c r="A203" s="93" t="s">
        <v>81</v>
      </c>
      <c r="B203" s="105" t="s">
        <v>89</v>
      </c>
      <c r="C203" s="94">
        <v>46237</v>
      </c>
      <c r="D203" s="95" t="s">
        <v>16</v>
      </c>
      <c r="E203" s="93">
        <v>2183</v>
      </c>
      <c r="F203" s="96">
        <v>0.47255399999999997</v>
      </c>
      <c r="G203" s="97">
        <v>0.118227</v>
      </c>
    </row>
    <row r="204" spans="1:7" x14ac:dyDescent="0.3">
      <c r="A204" s="93" t="s">
        <v>81</v>
      </c>
      <c r="B204" s="105" t="s">
        <v>89</v>
      </c>
      <c r="C204" s="94">
        <v>46237</v>
      </c>
      <c r="D204" s="95" t="s">
        <v>17</v>
      </c>
      <c r="E204" s="93">
        <v>2342</v>
      </c>
      <c r="F204" s="96">
        <v>0.44384499999999999</v>
      </c>
      <c r="G204" s="97">
        <v>9.0625700000000003E-2</v>
      </c>
    </row>
    <row r="205" spans="1:7" x14ac:dyDescent="0.3">
      <c r="A205" s="93" t="s">
        <v>81</v>
      </c>
      <c r="B205" s="105" t="s">
        <v>89</v>
      </c>
      <c r="C205" s="94">
        <v>46237</v>
      </c>
      <c r="D205" s="95" t="s">
        <v>18</v>
      </c>
      <c r="E205" s="93">
        <v>2076</v>
      </c>
      <c r="F205" s="96">
        <v>0.28808499999999998</v>
      </c>
      <c r="G205" s="97">
        <v>7.16387E-2</v>
      </c>
    </row>
    <row r="206" spans="1:7" x14ac:dyDescent="0.3">
      <c r="A206" s="93" t="s">
        <v>81</v>
      </c>
      <c r="B206" s="105" t="s">
        <v>89</v>
      </c>
      <c r="C206" s="94">
        <v>46237</v>
      </c>
      <c r="D206" s="95" t="s">
        <v>19</v>
      </c>
      <c r="E206" s="93">
        <v>2133</v>
      </c>
      <c r="F206" s="96">
        <v>0.44758999999999999</v>
      </c>
      <c r="G206" s="97">
        <v>9.6034400000000006E-2</v>
      </c>
    </row>
    <row r="207" spans="1:7" x14ac:dyDescent="0.3">
      <c r="A207" s="93" t="s">
        <v>81</v>
      </c>
      <c r="B207" s="105" t="s">
        <v>89</v>
      </c>
      <c r="C207" s="94">
        <v>46237</v>
      </c>
      <c r="D207" s="95" t="s">
        <v>20</v>
      </c>
      <c r="E207" s="93">
        <v>2387</v>
      </c>
      <c r="F207" s="96">
        <v>0.48196299999999997</v>
      </c>
      <c r="G207" s="97">
        <v>0.10152</v>
      </c>
    </row>
    <row r="208" spans="1:7" x14ac:dyDescent="0.3">
      <c r="A208" s="93" t="s">
        <v>81</v>
      </c>
      <c r="B208" s="105" t="s">
        <v>89</v>
      </c>
      <c r="C208" s="94">
        <v>46237</v>
      </c>
      <c r="D208" s="95" t="s">
        <v>34</v>
      </c>
      <c r="E208" s="93">
        <v>1147</v>
      </c>
      <c r="F208" s="96">
        <v>0.29599300000000001</v>
      </c>
      <c r="G208" s="97">
        <v>8.7792800000000004E-2</v>
      </c>
    </row>
    <row r="209" spans="1:7" x14ac:dyDescent="0.3">
      <c r="A209" s="93" t="s">
        <v>81</v>
      </c>
      <c r="B209" s="105" t="s">
        <v>89</v>
      </c>
      <c r="C209" s="94">
        <v>46237</v>
      </c>
      <c r="D209" s="95" t="s">
        <v>21</v>
      </c>
      <c r="E209" s="93">
        <v>3654</v>
      </c>
      <c r="F209" s="96">
        <v>0.40145799999999998</v>
      </c>
      <c r="G209" s="97">
        <v>7.6540499999999997E-2</v>
      </c>
    </row>
    <row r="210" spans="1:7" x14ac:dyDescent="0.3">
      <c r="A210" s="93" t="s">
        <v>81</v>
      </c>
      <c r="B210" s="105" t="s">
        <v>89</v>
      </c>
      <c r="C210" s="94">
        <v>46237</v>
      </c>
      <c r="D210" s="95" t="s">
        <v>22</v>
      </c>
      <c r="E210" s="93">
        <v>2570</v>
      </c>
      <c r="F210" s="96">
        <v>0.32884799999999997</v>
      </c>
      <c r="G210" s="97">
        <v>8.3027799999999999E-2</v>
      </c>
    </row>
    <row r="211" spans="1:7" x14ac:dyDescent="0.3">
      <c r="A211" s="93" t="s">
        <v>81</v>
      </c>
      <c r="B211" s="105" t="s">
        <v>89</v>
      </c>
      <c r="C211" s="94">
        <v>46237</v>
      </c>
      <c r="D211" s="95" t="s">
        <v>23</v>
      </c>
      <c r="E211" s="93">
        <v>1090</v>
      </c>
      <c r="F211" s="96">
        <v>0.27263700000000002</v>
      </c>
      <c r="G211" s="97">
        <v>9.6549800000000005E-2</v>
      </c>
    </row>
    <row r="212" spans="1:7" x14ac:dyDescent="0.3">
      <c r="A212" s="93" t="s">
        <v>81</v>
      </c>
      <c r="B212" s="105" t="s">
        <v>89</v>
      </c>
      <c r="C212" s="94">
        <v>46237</v>
      </c>
      <c r="D212" s="95" t="s">
        <v>24</v>
      </c>
      <c r="E212" s="93">
        <v>2661</v>
      </c>
      <c r="F212" s="96">
        <v>0.389735</v>
      </c>
      <c r="G212" s="97">
        <v>0.12311800000000001</v>
      </c>
    </row>
    <row r="213" spans="1:7" x14ac:dyDescent="0.3">
      <c r="A213" s="93" t="s">
        <v>81</v>
      </c>
      <c r="B213" s="105" t="s">
        <v>89</v>
      </c>
      <c r="C213" s="94">
        <v>46237</v>
      </c>
      <c r="D213" s="95" t="s">
        <v>25</v>
      </c>
      <c r="E213" s="93">
        <v>1004</v>
      </c>
      <c r="F213" s="96">
        <v>0.179206</v>
      </c>
      <c r="G213" s="97">
        <v>4.2684399999999997E-2</v>
      </c>
    </row>
    <row r="214" spans="1:7" x14ac:dyDescent="0.3">
      <c r="A214" s="93" t="s">
        <v>81</v>
      </c>
      <c r="B214" s="105" t="s">
        <v>89</v>
      </c>
      <c r="C214" s="94">
        <v>46237</v>
      </c>
      <c r="D214" s="95" t="s">
        <v>26</v>
      </c>
      <c r="E214" s="93">
        <v>2844</v>
      </c>
      <c r="F214" s="96">
        <v>0.230881</v>
      </c>
      <c r="G214" s="97">
        <v>6.9537399999999999E-2</v>
      </c>
    </row>
    <row r="215" spans="1:7" x14ac:dyDescent="0.3">
      <c r="A215" s="93" t="s">
        <v>81</v>
      </c>
      <c r="B215" s="105" t="s">
        <v>89</v>
      </c>
      <c r="C215" s="94">
        <v>46237</v>
      </c>
      <c r="D215" s="95" t="s">
        <v>27</v>
      </c>
      <c r="E215" s="93">
        <v>2740</v>
      </c>
      <c r="F215" s="96">
        <v>0.37662899999999999</v>
      </c>
      <c r="G215" s="97">
        <v>8.2053500000000001E-2</v>
      </c>
    </row>
    <row r="216" spans="1:7" x14ac:dyDescent="0.3">
      <c r="A216" s="93" t="s">
        <v>81</v>
      </c>
      <c r="B216" s="105" t="s">
        <v>89</v>
      </c>
      <c r="C216" s="94">
        <v>46237</v>
      </c>
      <c r="D216" s="95" t="s">
        <v>28</v>
      </c>
      <c r="E216" s="93">
        <v>1675</v>
      </c>
      <c r="F216" s="96">
        <v>0.451706</v>
      </c>
      <c r="G216" s="97">
        <v>9.5755999999999994E-2</v>
      </c>
    </row>
    <row r="217" spans="1:7" x14ac:dyDescent="0.3">
      <c r="A217" s="93" t="s">
        <v>81</v>
      </c>
      <c r="B217" s="105" t="s">
        <v>89</v>
      </c>
      <c r="C217" s="94">
        <v>46237</v>
      </c>
      <c r="D217" s="95" t="s">
        <v>29</v>
      </c>
      <c r="E217" s="93">
        <v>1654</v>
      </c>
      <c r="F217" s="96">
        <v>0.34387499999999999</v>
      </c>
      <c r="G217" s="97">
        <v>7.5786900000000004E-2</v>
      </c>
    </row>
    <row r="218" spans="1:7" x14ac:dyDescent="0.3">
      <c r="A218" s="93" t="s">
        <v>81</v>
      </c>
      <c r="B218" s="105" t="s">
        <v>89</v>
      </c>
      <c r="C218" s="94">
        <v>46237</v>
      </c>
      <c r="D218" s="95" t="s">
        <v>30</v>
      </c>
      <c r="E218" s="93">
        <v>1257</v>
      </c>
      <c r="F218" s="96">
        <v>0.79732999999999998</v>
      </c>
      <c r="G218" s="97">
        <v>0.15168999999999999</v>
      </c>
    </row>
    <row r="219" spans="1:7" x14ac:dyDescent="0.3">
      <c r="A219" s="93" t="s">
        <v>81</v>
      </c>
      <c r="B219" s="105" t="s">
        <v>89</v>
      </c>
      <c r="C219" s="94">
        <v>46238</v>
      </c>
      <c r="D219" s="95" t="s">
        <v>14</v>
      </c>
      <c r="E219" s="93">
        <v>2658</v>
      </c>
      <c r="F219" s="96">
        <v>0.44472400000000001</v>
      </c>
      <c r="G219" s="97">
        <v>0.12504399999999999</v>
      </c>
    </row>
    <row r="220" spans="1:7" x14ac:dyDescent="0.3">
      <c r="A220" s="93" t="s">
        <v>81</v>
      </c>
      <c r="B220" s="105" t="s">
        <v>89</v>
      </c>
      <c r="C220" s="94">
        <v>46238</v>
      </c>
      <c r="D220" s="95" t="s">
        <v>15</v>
      </c>
      <c r="E220" s="93">
        <v>2455</v>
      </c>
      <c r="F220" s="96">
        <v>0.42122500000000002</v>
      </c>
      <c r="G220" s="97">
        <v>0.110958</v>
      </c>
    </row>
    <row r="221" spans="1:7" x14ac:dyDescent="0.3">
      <c r="A221" s="93" t="s">
        <v>81</v>
      </c>
      <c r="B221" s="105" t="s">
        <v>89</v>
      </c>
      <c r="C221" s="94">
        <v>46238</v>
      </c>
      <c r="D221" s="95" t="s">
        <v>16</v>
      </c>
      <c r="E221" s="93">
        <v>1886</v>
      </c>
      <c r="F221" s="96">
        <v>0.52118500000000001</v>
      </c>
      <c r="G221" s="97">
        <v>0.122268</v>
      </c>
    </row>
    <row r="222" spans="1:7" x14ac:dyDescent="0.3">
      <c r="A222" s="93" t="s">
        <v>81</v>
      </c>
      <c r="B222" s="105" t="s">
        <v>89</v>
      </c>
      <c r="C222" s="94">
        <v>46238</v>
      </c>
      <c r="D222" s="95" t="s">
        <v>17</v>
      </c>
      <c r="E222" s="93">
        <v>2407</v>
      </c>
      <c r="F222" s="96">
        <v>0.57407399999999997</v>
      </c>
      <c r="G222" s="97">
        <v>0.113594</v>
      </c>
    </row>
    <row r="223" spans="1:7" x14ac:dyDescent="0.3">
      <c r="A223" s="93" t="s">
        <v>81</v>
      </c>
      <c r="B223" s="105" t="s">
        <v>89</v>
      </c>
      <c r="C223" s="94">
        <v>46238</v>
      </c>
      <c r="D223" s="95" t="s">
        <v>18</v>
      </c>
      <c r="E223" s="93">
        <v>2194</v>
      </c>
      <c r="F223" s="96">
        <v>0.301788</v>
      </c>
      <c r="G223" s="97">
        <v>7.17666E-2</v>
      </c>
    </row>
    <row r="224" spans="1:7" x14ac:dyDescent="0.3">
      <c r="A224" s="93" t="s">
        <v>81</v>
      </c>
      <c r="B224" s="105" t="s">
        <v>89</v>
      </c>
      <c r="C224" s="94">
        <v>46238</v>
      </c>
      <c r="D224" s="95" t="s">
        <v>19</v>
      </c>
      <c r="E224" s="93">
        <v>2273</v>
      </c>
      <c r="F224" s="96">
        <v>0.49380499999999999</v>
      </c>
      <c r="G224" s="97">
        <v>0.103851</v>
      </c>
    </row>
    <row r="225" spans="1:7" x14ac:dyDescent="0.3">
      <c r="A225" s="93" t="s">
        <v>81</v>
      </c>
      <c r="B225" s="105" t="s">
        <v>89</v>
      </c>
      <c r="C225" s="94">
        <v>46238</v>
      </c>
      <c r="D225" s="95" t="s">
        <v>20</v>
      </c>
      <c r="E225" s="93">
        <v>2556</v>
      </c>
      <c r="F225" s="96">
        <v>0.50172899999999998</v>
      </c>
      <c r="G225" s="97">
        <v>0.10496</v>
      </c>
    </row>
    <row r="226" spans="1:7" x14ac:dyDescent="0.3">
      <c r="A226" s="93" t="s">
        <v>81</v>
      </c>
      <c r="B226" s="105" t="s">
        <v>89</v>
      </c>
      <c r="C226" s="94">
        <v>46238</v>
      </c>
      <c r="D226" s="95" t="s">
        <v>34</v>
      </c>
      <c r="E226" s="93">
        <v>1061</v>
      </c>
      <c r="F226" s="96">
        <v>0.28934799999999999</v>
      </c>
      <c r="G226" s="97">
        <v>8.7746599999999994E-2</v>
      </c>
    </row>
    <row r="227" spans="1:7" x14ac:dyDescent="0.3">
      <c r="A227" s="93" t="s">
        <v>81</v>
      </c>
      <c r="B227" s="105" t="s">
        <v>89</v>
      </c>
      <c r="C227" s="94">
        <v>46238</v>
      </c>
      <c r="D227" s="95" t="s">
        <v>21</v>
      </c>
      <c r="E227" s="93">
        <v>3274</v>
      </c>
      <c r="F227" s="96">
        <v>0.51152799999999998</v>
      </c>
      <c r="G227" s="97">
        <v>9.9526400000000001E-2</v>
      </c>
    </row>
    <row r="228" spans="1:7" x14ac:dyDescent="0.3">
      <c r="A228" s="93" t="s">
        <v>81</v>
      </c>
      <c r="B228" s="105" t="s">
        <v>89</v>
      </c>
      <c r="C228" s="94">
        <v>46238</v>
      </c>
      <c r="D228" s="95" t="s">
        <v>22</v>
      </c>
      <c r="E228" s="93">
        <v>2571</v>
      </c>
      <c r="F228" s="96">
        <v>0.39043499999999998</v>
      </c>
      <c r="G228" s="97">
        <v>0.106061</v>
      </c>
    </row>
    <row r="229" spans="1:7" x14ac:dyDescent="0.3">
      <c r="A229" s="93" t="s">
        <v>81</v>
      </c>
      <c r="B229" s="105" t="s">
        <v>89</v>
      </c>
      <c r="C229" s="94">
        <v>46238</v>
      </c>
      <c r="D229" s="95" t="s">
        <v>23</v>
      </c>
      <c r="E229" s="93">
        <v>1306</v>
      </c>
      <c r="F229" s="96">
        <v>0.38515700000000003</v>
      </c>
      <c r="G229" s="97">
        <v>0.12640199999999999</v>
      </c>
    </row>
    <row r="230" spans="1:7" x14ac:dyDescent="0.3">
      <c r="A230" s="93" t="s">
        <v>81</v>
      </c>
      <c r="B230" s="105" t="s">
        <v>89</v>
      </c>
      <c r="C230" s="94">
        <v>46238</v>
      </c>
      <c r="D230" s="95" t="s">
        <v>24</v>
      </c>
      <c r="E230" s="93">
        <v>2861</v>
      </c>
      <c r="F230" s="96">
        <v>0.22939999999999999</v>
      </c>
      <c r="G230" s="97">
        <v>7.0670399999999994E-2</v>
      </c>
    </row>
    <row r="231" spans="1:7" x14ac:dyDescent="0.3">
      <c r="A231" s="93" t="s">
        <v>81</v>
      </c>
      <c r="B231" s="105" t="s">
        <v>89</v>
      </c>
      <c r="C231" s="94">
        <v>46238</v>
      </c>
      <c r="D231" s="95" t="s">
        <v>25</v>
      </c>
      <c r="E231" s="93">
        <v>1006</v>
      </c>
      <c r="F231" s="96">
        <v>0.249472</v>
      </c>
      <c r="G231" s="97">
        <v>6.0045899999999999E-2</v>
      </c>
    </row>
    <row r="232" spans="1:7" x14ac:dyDescent="0.3">
      <c r="A232" s="93" t="s">
        <v>81</v>
      </c>
      <c r="B232" s="105" t="s">
        <v>89</v>
      </c>
      <c r="C232" s="94">
        <v>46238</v>
      </c>
      <c r="D232" s="95" t="s">
        <v>26</v>
      </c>
      <c r="E232" s="93">
        <v>2699</v>
      </c>
      <c r="F232" s="96">
        <v>0.174374</v>
      </c>
      <c r="G232" s="97">
        <v>5.6044799999999999E-2</v>
      </c>
    </row>
    <row r="233" spans="1:7" x14ac:dyDescent="0.3">
      <c r="A233" s="93" t="s">
        <v>81</v>
      </c>
      <c r="B233" s="105" t="s">
        <v>89</v>
      </c>
      <c r="C233" s="94">
        <v>46238</v>
      </c>
      <c r="D233" s="95" t="s">
        <v>27</v>
      </c>
      <c r="E233" s="93">
        <v>2638</v>
      </c>
      <c r="F233" s="96">
        <v>0.48188799999999998</v>
      </c>
      <c r="G233" s="97">
        <v>0.10938199999999999</v>
      </c>
    </row>
    <row r="234" spans="1:7" x14ac:dyDescent="0.3">
      <c r="A234" s="93" t="s">
        <v>81</v>
      </c>
      <c r="B234" s="105" t="s">
        <v>89</v>
      </c>
      <c r="C234" s="94">
        <v>46238</v>
      </c>
      <c r="D234" s="95" t="s">
        <v>28</v>
      </c>
      <c r="E234" s="93">
        <v>1563</v>
      </c>
      <c r="F234" s="96">
        <v>0.27595399999999998</v>
      </c>
      <c r="G234" s="97">
        <v>6.1940599999999998E-2</v>
      </c>
    </row>
    <row r="235" spans="1:7" x14ac:dyDescent="0.3">
      <c r="A235" s="93" t="s">
        <v>81</v>
      </c>
      <c r="B235" s="105" t="s">
        <v>89</v>
      </c>
      <c r="C235" s="94">
        <v>46238</v>
      </c>
      <c r="D235" s="95" t="s">
        <v>29</v>
      </c>
      <c r="E235" s="93">
        <v>1591</v>
      </c>
      <c r="F235" s="96">
        <v>0.43242900000000001</v>
      </c>
      <c r="G235" s="97">
        <v>8.9546899999999999E-2</v>
      </c>
    </row>
    <row r="236" spans="1:7" x14ac:dyDescent="0.3">
      <c r="A236" s="93" t="s">
        <v>81</v>
      </c>
      <c r="B236" s="105" t="s">
        <v>89</v>
      </c>
      <c r="C236" s="94">
        <v>46238</v>
      </c>
      <c r="D236" s="95" t="s">
        <v>30</v>
      </c>
      <c r="E236" s="93">
        <v>1604</v>
      </c>
      <c r="F236" s="96">
        <v>0.59375999999999995</v>
      </c>
      <c r="G236" s="97">
        <v>0.119522</v>
      </c>
    </row>
    <row r="237" spans="1:7" x14ac:dyDescent="0.3">
      <c r="A237" s="93" t="s">
        <v>81</v>
      </c>
      <c r="B237" s="105" t="s">
        <v>89</v>
      </c>
      <c r="C237" s="94">
        <v>46239</v>
      </c>
      <c r="D237" s="91" t="s">
        <v>14</v>
      </c>
      <c r="E237" s="98">
        <v>2808</v>
      </c>
      <c r="F237" s="90">
        <v>0.40617799999999998</v>
      </c>
      <c r="G237" s="92">
        <v>0.114288</v>
      </c>
    </row>
    <row r="238" spans="1:7" x14ac:dyDescent="0.3">
      <c r="A238" s="93" t="s">
        <v>81</v>
      </c>
      <c r="B238" s="105" t="s">
        <v>89</v>
      </c>
      <c r="C238" s="94">
        <v>46239</v>
      </c>
      <c r="D238" s="91" t="s">
        <v>15</v>
      </c>
      <c r="E238" s="98">
        <v>2452</v>
      </c>
      <c r="F238" s="90">
        <v>0.42817899999999998</v>
      </c>
      <c r="G238" s="92">
        <v>0.11280999999999999</v>
      </c>
    </row>
    <row r="239" spans="1:7" x14ac:dyDescent="0.3">
      <c r="A239" s="93" t="s">
        <v>81</v>
      </c>
      <c r="B239" s="105" t="s">
        <v>89</v>
      </c>
      <c r="C239" s="94">
        <v>46239</v>
      </c>
      <c r="D239" s="91" t="s">
        <v>16</v>
      </c>
      <c r="E239" s="98">
        <v>1825</v>
      </c>
      <c r="F239" s="90">
        <v>0.48584699999999997</v>
      </c>
      <c r="G239" s="92">
        <v>0.114023</v>
      </c>
    </row>
    <row r="240" spans="1:7" x14ac:dyDescent="0.3">
      <c r="A240" s="93" t="s">
        <v>81</v>
      </c>
      <c r="B240" s="105" t="s">
        <v>89</v>
      </c>
      <c r="C240" s="94">
        <v>46239</v>
      </c>
      <c r="D240" s="91" t="s">
        <v>17</v>
      </c>
      <c r="E240" s="98">
        <v>2023</v>
      </c>
      <c r="F240" s="90">
        <v>0.58760599999999996</v>
      </c>
      <c r="G240" s="92">
        <v>0.11620800000000001</v>
      </c>
    </row>
    <row r="241" spans="1:7" x14ac:dyDescent="0.3">
      <c r="A241" s="93" t="s">
        <v>81</v>
      </c>
      <c r="B241" s="105" t="s">
        <v>89</v>
      </c>
      <c r="C241" s="94">
        <v>46239</v>
      </c>
      <c r="D241" s="91" t="s">
        <v>18</v>
      </c>
      <c r="E241" s="98">
        <v>2020</v>
      </c>
      <c r="F241" s="90">
        <v>0.26507900000000001</v>
      </c>
      <c r="G241" s="92">
        <v>6.3077099999999997E-2</v>
      </c>
    </row>
    <row r="242" spans="1:7" x14ac:dyDescent="0.3">
      <c r="A242" s="93" t="s">
        <v>81</v>
      </c>
      <c r="B242" s="105" t="s">
        <v>89</v>
      </c>
      <c r="C242" s="94">
        <v>46239</v>
      </c>
      <c r="D242" s="91" t="s">
        <v>19</v>
      </c>
      <c r="E242" s="98">
        <v>2016</v>
      </c>
      <c r="F242" s="90">
        <v>0.46160000000000001</v>
      </c>
      <c r="G242" s="92">
        <v>9.7109000000000001E-2</v>
      </c>
    </row>
    <row r="243" spans="1:7" x14ac:dyDescent="0.3">
      <c r="A243" s="93" t="s">
        <v>81</v>
      </c>
      <c r="B243" s="105" t="s">
        <v>89</v>
      </c>
      <c r="C243" s="94">
        <v>46239</v>
      </c>
      <c r="D243" s="91" t="s">
        <v>20</v>
      </c>
      <c r="E243" s="98">
        <v>2117</v>
      </c>
      <c r="F243" s="90">
        <v>0.45994200000000002</v>
      </c>
      <c r="G243" s="92">
        <v>9.6224199999999996E-2</v>
      </c>
    </row>
    <row r="244" spans="1:7" x14ac:dyDescent="0.3">
      <c r="A244" s="93" t="s">
        <v>81</v>
      </c>
      <c r="B244" s="105" t="s">
        <v>89</v>
      </c>
      <c r="C244" s="94">
        <v>46239</v>
      </c>
      <c r="D244" s="91" t="s">
        <v>34</v>
      </c>
      <c r="E244" s="98">
        <v>1003</v>
      </c>
      <c r="F244" s="90">
        <v>0.19050800000000001</v>
      </c>
      <c r="G244" s="92">
        <v>5.7725699999999998E-2</v>
      </c>
    </row>
    <row r="245" spans="1:7" x14ac:dyDescent="0.3">
      <c r="A245" s="93" t="s">
        <v>81</v>
      </c>
      <c r="B245" s="105" t="s">
        <v>89</v>
      </c>
      <c r="C245" s="94">
        <v>46239</v>
      </c>
      <c r="D245" s="91" t="s">
        <v>21</v>
      </c>
      <c r="E245" s="98">
        <v>3247</v>
      </c>
      <c r="F245" s="90">
        <v>0.40866400000000003</v>
      </c>
      <c r="G245" s="92">
        <v>7.9509399999999994E-2</v>
      </c>
    </row>
    <row r="246" spans="1:7" x14ac:dyDescent="0.3">
      <c r="A246" s="93" t="s">
        <v>81</v>
      </c>
      <c r="B246" s="105" t="s">
        <v>89</v>
      </c>
      <c r="C246" s="94">
        <v>46239</v>
      </c>
      <c r="D246" s="91" t="s">
        <v>22</v>
      </c>
      <c r="E246" s="98">
        <v>2199</v>
      </c>
      <c r="F246" s="90">
        <v>0.37973400000000002</v>
      </c>
      <c r="G246" s="92">
        <v>0.10316400000000001</v>
      </c>
    </row>
    <row r="247" spans="1:7" x14ac:dyDescent="0.3">
      <c r="A247" s="93" t="s">
        <v>81</v>
      </c>
      <c r="B247" s="105" t="s">
        <v>89</v>
      </c>
      <c r="C247" s="94">
        <v>46239</v>
      </c>
      <c r="D247" s="91" t="s">
        <v>23</v>
      </c>
      <c r="E247" s="98">
        <v>1131</v>
      </c>
      <c r="F247" s="90">
        <v>0.31687300000000002</v>
      </c>
      <c r="G247" s="92">
        <v>0.103961</v>
      </c>
    </row>
    <row r="248" spans="1:7" x14ac:dyDescent="0.3">
      <c r="A248" s="93" t="s">
        <v>81</v>
      </c>
      <c r="B248" s="105" t="s">
        <v>89</v>
      </c>
      <c r="C248" s="94">
        <v>46239</v>
      </c>
      <c r="D248" s="91" t="s">
        <v>24</v>
      </c>
      <c r="E248" s="98">
        <v>2875</v>
      </c>
      <c r="F248" s="90">
        <v>0.16952999999999999</v>
      </c>
      <c r="G248" s="92">
        <v>5.22023E-2</v>
      </c>
    </row>
    <row r="249" spans="1:7" x14ac:dyDescent="0.3">
      <c r="A249" s="93" t="s">
        <v>81</v>
      </c>
      <c r="B249" s="105" t="s">
        <v>89</v>
      </c>
      <c r="C249" s="94">
        <v>46239</v>
      </c>
      <c r="D249" s="91" t="s">
        <v>25</v>
      </c>
      <c r="E249" s="98">
        <v>1068</v>
      </c>
      <c r="F249" s="90">
        <v>0.21698300000000001</v>
      </c>
      <c r="G249" s="92">
        <v>5.2189399999999997E-2</v>
      </c>
    </row>
    <row r="250" spans="1:7" x14ac:dyDescent="0.3">
      <c r="A250" s="93" t="s">
        <v>81</v>
      </c>
      <c r="B250" s="105" t="s">
        <v>89</v>
      </c>
      <c r="C250" s="94">
        <v>46239</v>
      </c>
      <c r="D250" s="91" t="s">
        <v>26</v>
      </c>
      <c r="E250" s="98">
        <v>2305</v>
      </c>
      <c r="F250" s="90">
        <v>0.23683999999999999</v>
      </c>
      <c r="G250" s="92">
        <v>7.6153299999999993E-2</v>
      </c>
    </row>
    <row r="251" spans="1:7" x14ac:dyDescent="0.3">
      <c r="A251" s="93" t="s">
        <v>81</v>
      </c>
      <c r="B251" s="105" t="s">
        <v>89</v>
      </c>
      <c r="C251" s="94">
        <v>46239</v>
      </c>
      <c r="D251" s="91" t="s">
        <v>27</v>
      </c>
      <c r="E251" s="98">
        <v>2082</v>
      </c>
      <c r="F251" s="90">
        <v>0.36638300000000001</v>
      </c>
      <c r="G251" s="92">
        <v>8.3133600000000002E-2</v>
      </c>
    </row>
    <row r="252" spans="1:7" x14ac:dyDescent="0.3">
      <c r="A252" s="93" t="s">
        <v>81</v>
      </c>
      <c r="B252" s="105" t="s">
        <v>89</v>
      </c>
      <c r="C252" s="94">
        <v>46239</v>
      </c>
      <c r="D252" s="91" t="s">
        <v>28</v>
      </c>
      <c r="E252" s="98">
        <v>1186</v>
      </c>
      <c r="F252" s="90">
        <v>0.45028400000000002</v>
      </c>
      <c r="G252" s="92">
        <v>0.101206</v>
      </c>
    </row>
    <row r="253" spans="1:7" x14ac:dyDescent="0.3">
      <c r="A253" s="93" t="s">
        <v>81</v>
      </c>
      <c r="B253" s="105" t="s">
        <v>89</v>
      </c>
      <c r="C253" s="94">
        <v>46239</v>
      </c>
      <c r="D253" s="91" t="s">
        <v>29</v>
      </c>
      <c r="E253" s="98">
        <v>1775</v>
      </c>
      <c r="F253" s="90">
        <v>0.33224999999999999</v>
      </c>
      <c r="G253" s="92">
        <v>6.8822900000000006E-2</v>
      </c>
    </row>
    <row r="254" spans="1:7" x14ac:dyDescent="0.3">
      <c r="A254" s="93" t="s">
        <v>81</v>
      </c>
      <c r="B254" s="105" t="s">
        <v>89</v>
      </c>
      <c r="C254" s="94">
        <v>46239</v>
      </c>
      <c r="D254" s="91" t="s">
        <v>30</v>
      </c>
      <c r="E254" s="98">
        <v>1426</v>
      </c>
      <c r="F254" s="90">
        <v>0.53237500000000004</v>
      </c>
      <c r="G254" s="92">
        <v>0.10704900000000001</v>
      </c>
    </row>
    <row r="255" spans="1:7" x14ac:dyDescent="0.3">
      <c r="A255" s="93" t="s">
        <v>81</v>
      </c>
      <c r="B255" s="105" t="s">
        <v>89</v>
      </c>
      <c r="C255" s="94">
        <v>46240</v>
      </c>
      <c r="D255" s="91" t="s">
        <v>14</v>
      </c>
      <c r="E255" s="98">
        <v>3135</v>
      </c>
      <c r="F255" s="90">
        <v>0.38012600000000002</v>
      </c>
      <c r="G255" s="92">
        <v>0.10691000000000001</v>
      </c>
    </row>
    <row r="256" spans="1:7" x14ac:dyDescent="0.3">
      <c r="A256" s="93" t="s">
        <v>81</v>
      </c>
      <c r="B256" s="105" t="s">
        <v>89</v>
      </c>
      <c r="C256" s="94">
        <v>46240</v>
      </c>
      <c r="D256" s="91" t="s">
        <v>15</v>
      </c>
      <c r="E256" s="98">
        <v>2636</v>
      </c>
      <c r="F256" s="90">
        <v>0.39143699999999998</v>
      </c>
      <c r="G256" s="92">
        <v>0.10311099999999999</v>
      </c>
    </row>
    <row r="257" spans="1:7" x14ac:dyDescent="0.3">
      <c r="A257" s="93" t="s">
        <v>81</v>
      </c>
      <c r="B257" s="105" t="s">
        <v>89</v>
      </c>
      <c r="C257" s="94">
        <v>46240</v>
      </c>
      <c r="D257" s="91" t="s">
        <v>16</v>
      </c>
      <c r="E257" s="98">
        <v>1995</v>
      </c>
      <c r="F257" s="90">
        <v>0.46648899999999999</v>
      </c>
      <c r="G257" s="92">
        <v>0.10940999999999999</v>
      </c>
    </row>
    <row r="258" spans="1:7" x14ac:dyDescent="0.3">
      <c r="A258" s="93" t="s">
        <v>81</v>
      </c>
      <c r="B258" s="105" t="s">
        <v>89</v>
      </c>
      <c r="C258" s="94">
        <v>46240</v>
      </c>
      <c r="D258" s="91" t="s">
        <v>17</v>
      </c>
      <c r="E258" s="98">
        <v>2105</v>
      </c>
      <c r="F258" s="90">
        <v>0.52784600000000004</v>
      </c>
      <c r="G258" s="92">
        <v>0.10437299999999999</v>
      </c>
    </row>
    <row r="259" spans="1:7" x14ac:dyDescent="0.3">
      <c r="A259" s="93" t="s">
        <v>81</v>
      </c>
      <c r="B259" s="105" t="s">
        <v>89</v>
      </c>
      <c r="C259" s="94">
        <v>46240</v>
      </c>
      <c r="D259" s="91" t="s">
        <v>18</v>
      </c>
      <c r="E259" s="98">
        <v>2401</v>
      </c>
      <c r="F259" s="90">
        <v>0.29474400000000001</v>
      </c>
      <c r="G259" s="92">
        <v>7.01209E-2</v>
      </c>
    </row>
    <row r="260" spans="1:7" x14ac:dyDescent="0.3">
      <c r="A260" s="93" t="s">
        <v>81</v>
      </c>
      <c r="B260" s="105" t="s">
        <v>89</v>
      </c>
      <c r="C260" s="94">
        <v>46240</v>
      </c>
      <c r="D260" s="91" t="s">
        <v>19</v>
      </c>
      <c r="E260" s="98">
        <v>2035</v>
      </c>
      <c r="F260" s="90">
        <v>0.469972</v>
      </c>
      <c r="G260" s="92">
        <v>9.88203E-2</v>
      </c>
    </row>
    <row r="261" spans="1:7" x14ac:dyDescent="0.3">
      <c r="A261" s="93" t="s">
        <v>81</v>
      </c>
      <c r="B261" s="105" t="s">
        <v>89</v>
      </c>
      <c r="C261" s="94">
        <v>46240</v>
      </c>
      <c r="D261" s="91" t="s">
        <v>20</v>
      </c>
      <c r="E261" s="98">
        <v>2155</v>
      </c>
      <c r="F261" s="90">
        <v>0.44455299999999998</v>
      </c>
      <c r="G261" s="92">
        <v>9.2985300000000007E-2</v>
      </c>
    </row>
    <row r="262" spans="1:7" x14ac:dyDescent="0.3">
      <c r="A262" s="93" t="s">
        <v>81</v>
      </c>
      <c r="B262" s="105" t="s">
        <v>89</v>
      </c>
      <c r="C262" s="94">
        <v>46240</v>
      </c>
      <c r="D262" s="91" t="s">
        <v>34</v>
      </c>
      <c r="E262" s="98">
        <v>1002</v>
      </c>
      <c r="F262" s="90">
        <v>0.239033</v>
      </c>
      <c r="G262" s="92">
        <v>7.24495E-2</v>
      </c>
    </row>
    <row r="263" spans="1:7" x14ac:dyDescent="0.3">
      <c r="A263" s="93" t="s">
        <v>81</v>
      </c>
      <c r="B263" s="105" t="s">
        <v>89</v>
      </c>
      <c r="C263" s="94">
        <v>46240</v>
      </c>
      <c r="D263" s="91" t="s">
        <v>21</v>
      </c>
      <c r="E263" s="98">
        <v>2691</v>
      </c>
      <c r="F263" s="90">
        <v>0.49062899999999998</v>
      </c>
      <c r="G263" s="92">
        <v>9.5427200000000004E-2</v>
      </c>
    </row>
    <row r="264" spans="1:7" x14ac:dyDescent="0.3">
      <c r="A264" s="93" t="s">
        <v>81</v>
      </c>
      <c r="B264" s="105" t="s">
        <v>89</v>
      </c>
      <c r="C264" s="94">
        <v>46240</v>
      </c>
      <c r="D264" s="91" t="s">
        <v>22</v>
      </c>
      <c r="E264" s="98">
        <v>2302</v>
      </c>
      <c r="F264" s="90">
        <v>0.313778</v>
      </c>
      <c r="G264" s="92">
        <v>8.52522E-2</v>
      </c>
    </row>
    <row r="265" spans="1:7" x14ac:dyDescent="0.3">
      <c r="A265" s="93" t="s">
        <v>81</v>
      </c>
      <c r="B265" s="105" t="s">
        <v>89</v>
      </c>
      <c r="C265" s="94">
        <v>46240</v>
      </c>
      <c r="D265" s="91" t="s">
        <v>23</v>
      </c>
      <c r="E265" s="98">
        <v>1549</v>
      </c>
      <c r="F265" s="90">
        <v>0.26917099999999999</v>
      </c>
      <c r="G265" s="92">
        <v>8.8343599999999994E-2</v>
      </c>
    </row>
    <row r="266" spans="1:7" x14ac:dyDescent="0.3">
      <c r="A266" s="93" t="s">
        <v>81</v>
      </c>
      <c r="B266" s="105" t="s">
        <v>89</v>
      </c>
      <c r="C266" s="94">
        <v>46240</v>
      </c>
      <c r="D266" s="91" t="s">
        <v>24</v>
      </c>
      <c r="E266" s="98">
        <v>2964</v>
      </c>
      <c r="F266" s="90">
        <v>0.23794100000000001</v>
      </c>
      <c r="G266" s="92">
        <v>7.3253399999999996E-2</v>
      </c>
    </row>
    <row r="267" spans="1:7" x14ac:dyDescent="0.3">
      <c r="A267" s="93" t="s">
        <v>81</v>
      </c>
      <c r="B267" s="105" t="s">
        <v>89</v>
      </c>
      <c r="C267" s="94">
        <v>46240</v>
      </c>
      <c r="D267" s="91" t="s">
        <v>25</v>
      </c>
      <c r="E267" s="98">
        <v>1027</v>
      </c>
      <c r="F267" s="90">
        <v>0.20263600000000001</v>
      </c>
      <c r="G267" s="92">
        <v>4.8736000000000002E-2</v>
      </c>
    </row>
    <row r="268" spans="1:7" x14ac:dyDescent="0.3">
      <c r="A268" s="93" t="s">
        <v>81</v>
      </c>
      <c r="B268" s="105" t="s">
        <v>89</v>
      </c>
      <c r="C268" s="94">
        <v>46240</v>
      </c>
      <c r="D268" s="91" t="s">
        <v>26</v>
      </c>
      <c r="E268" s="98">
        <v>2335</v>
      </c>
      <c r="F268" s="90">
        <v>0.27803099999999997</v>
      </c>
      <c r="G268" s="92">
        <v>8.9409199999999994E-2</v>
      </c>
    </row>
    <row r="269" spans="1:7" x14ac:dyDescent="0.3">
      <c r="A269" s="93" t="s">
        <v>81</v>
      </c>
      <c r="B269" s="105" t="s">
        <v>89</v>
      </c>
      <c r="C269" s="94">
        <v>46240</v>
      </c>
      <c r="D269" s="91" t="s">
        <v>27</v>
      </c>
      <c r="E269" s="98">
        <v>2212</v>
      </c>
      <c r="F269" s="90">
        <v>0.41084799999999999</v>
      </c>
      <c r="G269" s="92">
        <v>9.3203400000000006E-2</v>
      </c>
    </row>
    <row r="270" spans="1:7" x14ac:dyDescent="0.3">
      <c r="A270" s="93" t="s">
        <v>81</v>
      </c>
      <c r="B270" s="105" t="s">
        <v>89</v>
      </c>
      <c r="C270" s="94">
        <v>46240</v>
      </c>
      <c r="D270" s="91" t="s">
        <v>28</v>
      </c>
      <c r="E270" s="98">
        <v>1581</v>
      </c>
      <c r="F270" s="90">
        <v>0.38925500000000002</v>
      </c>
      <c r="G270" s="92">
        <v>8.7431800000000004E-2</v>
      </c>
    </row>
    <row r="271" spans="1:7" x14ac:dyDescent="0.3">
      <c r="A271" s="93" t="s">
        <v>81</v>
      </c>
      <c r="B271" s="105" t="s">
        <v>89</v>
      </c>
      <c r="C271" s="94">
        <v>46240</v>
      </c>
      <c r="D271" s="91" t="s">
        <v>29</v>
      </c>
      <c r="E271" s="98">
        <v>1639</v>
      </c>
      <c r="F271" s="90">
        <v>0.36172500000000002</v>
      </c>
      <c r="G271" s="92">
        <v>7.4926099999999995E-2</v>
      </c>
    </row>
    <row r="272" spans="1:7" x14ac:dyDescent="0.3">
      <c r="A272" s="93" t="s">
        <v>81</v>
      </c>
      <c r="B272" s="105" t="s">
        <v>89</v>
      </c>
      <c r="C272" s="94">
        <v>46240</v>
      </c>
      <c r="D272" s="91" t="s">
        <v>30</v>
      </c>
      <c r="E272" s="98">
        <v>1495</v>
      </c>
      <c r="F272" s="90">
        <v>0.51360899999999998</v>
      </c>
      <c r="G272" s="92">
        <v>0.103296</v>
      </c>
    </row>
    <row r="273" spans="1:7" x14ac:dyDescent="0.3">
      <c r="A273" s="93" t="s">
        <v>88</v>
      </c>
      <c r="B273" s="106" t="s">
        <v>120</v>
      </c>
      <c r="C273" s="94">
        <v>46240</v>
      </c>
      <c r="D273" s="91" t="s">
        <v>14</v>
      </c>
      <c r="E273" s="98">
        <v>2797</v>
      </c>
      <c r="F273" s="90">
        <v>0.43401499999999998</v>
      </c>
      <c r="G273" s="92">
        <v>0.122126</v>
      </c>
    </row>
    <row r="274" spans="1:7" x14ac:dyDescent="0.3">
      <c r="A274" s="93" t="s">
        <v>88</v>
      </c>
      <c r="B274" s="106" t="s">
        <v>120</v>
      </c>
      <c r="C274" s="94">
        <v>46240</v>
      </c>
      <c r="D274" s="91" t="s">
        <v>15</v>
      </c>
      <c r="E274" s="98">
        <v>2550</v>
      </c>
      <c r="F274" s="90">
        <v>0.44123600000000002</v>
      </c>
      <c r="G274" s="92">
        <v>0.11627899999999999</v>
      </c>
    </row>
    <row r="275" spans="1:7" x14ac:dyDescent="0.3">
      <c r="A275" s="93" t="s">
        <v>88</v>
      </c>
      <c r="B275" s="106" t="s">
        <v>120</v>
      </c>
      <c r="C275" s="94">
        <v>46240</v>
      </c>
      <c r="D275" s="91" t="s">
        <v>16</v>
      </c>
      <c r="E275" s="98">
        <v>1714</v>
      </c>
      <c r="F275" s="90">
        <v>0.546682</v>
      </c>
      <c r="G275" s="92">
        <v>0.128278</v>
      </c>
    </row>
    <row r="276" spans="1:7" x14ac:dyDescent="0.3">
      <c r="A276" s="93" t="s">
        <v>88</v>
      </c>
      <c r="B276" s="106" t="s">
        <v>120</v>
      </c>
      <c r="C276" s="94">
        <v>46240</v>
      </c>
      <c r="D276" s="91" t="s">
        <v>17</v>
      </c>
      <c r="E276" s="98">
        <v>2180</v>
      </c>
      <c r="F276" s="90">
        <v>0.615757</v>
      </c>
      <c r="G276" s="92">
        <v>0.12180100000000001</v>
      </c>
    </row>
    <row r="277" spans="1:7" x14ac:dyDescent="0.3">
      <c r="A277" s="93" t="s">
        <v>88</v>
      </c>
      <c r="B277" s="106" t="s">
        <v>120</v>
      </c>
      <c r="C277" s="94">
        <v>46240</v>
      </c>
      <c r="D277" s="91" t="s">
        <v>18</v>
      </c>
      <c r="E277" s="98">
        <v>1786</v>
      </c>
      <c r="F277" s="90">
        <v>0.38157099999999999</v>
      </c>
      <c r="G277" s="92">
        <v>9.0749499999999997E-2</v>
      </c>
    </row>
    <row r="278" spans="1:7" x14ac:dyDescent="0.3">
      <c r="A278" s="93" t="s">
        <v>88</v>
      </c>
      <c r="B278" s="106" t="s">
        <v>120</v>
      </c>
      <c r="C278" s="94">
        <v>46240</v>
      </c>
      <c r="D278" s="91" t="s">
        <v>19</v>
      </c>
      <c r="E278" s="98">
        <v>1846</v>
      </c>
      <c r="F278" s="90">
        <v>0.52055300000000004</v>
      </c>
      <c r="G278" s="92">
        <v>0.109483</v>
      </c>
    </row>
    <row r="279" spans="1:7" x14ac:dyDescent="0.3">
      <c r="A279" s="93" t="s">
        <v>88</v>
      </c>
      <c r="B279" s="106" t="s">
        <v>120</v>
      </c>
      <c r="C279" s="94">
        <v>46240</v>
      </c>
      <c r="D279" s="91" t="s">
        <v>20</v>
      </c>
      <c r="E279" s="98">
        <v>1966</v>
      </c>
      <c r="F279" s="90">
        <v>0.51282000000000005</v>
      </c>
      <c r="G279" s="92">
        <v>0.10731599999999999</v>
      </c>
    </row>
    <row r="280" spans="1:7" x14ac:dyDescent="0.3">
      <c r="A280" s="93" t="s">
        <v>88</v>
      </c>
      <c r="B280" s="106" t="s">
        <v>120</v>
      </c>
      <c r="C280" s="94">
        <v>46240</v>
      </c>
      <c r="D280" s="91" t="s">
        <v>34</v>
      </c>
      <c r="E280" s="98">
        <v>1119</v>
      </c>
      <c r="F280" s="90">
        <v>0.281113</v>
      </c>
      <c r="G280" s="92">
        <v>8.52189E-2</v>
      </c>
    </row>
    <row r="281" spans="1:7" x14ac:dyDescent="0.3">
      <c r="A281" s="93" t="s">
        <v>88</v>
      </c>
      <c r="B281" s="106" t="s">
        <v>120</v>
      </c>
      <c r="C281" s="94">
        <v>46240</v>
      </c>
      <c r="D281" s="91" t="s">
        <v>21</v>
      </c>
      <c r="E281" s="98">
        <v>3478</v>
      </c>
      <c r="F281" s="90">
        <v>0.44732899999999998</v>
      </c>
      <c r="G281" s="92">
        <v>8.7060100000000001E-2</v>
      </c>
    </row>
    <row r="282" spans="1:7" x14ac:dyDescent="0.3">
      <c r="A282" s="93" t="s">
        <v>88</v>
      </c>
      <c r="B282" s="106" t="s">
        <v>120</v>
      </c>
      <c r="C282" s="94">
        <v>46240</v>
      </c>
      <c r="D282" s="91" t="s">
        <v>22</v>
      </c>
      <c r="E282" s="98">
        <v>2482</v>
      </c>
      <c r="F282" s="90">
        <v>0.45203700000000002</v>
      </c>
      <c r="G282" s="92">
        <v>0.12279</v>
      </c>
    </row>
    <row r="283" spans="1:7" x14ac:dyDescent="0.3">
      <c r="A283" s="93" t="s">
        <v>88</v>
      </c>
      <c r="B283" s="106" t="s">
        <v>120</v>
      </c>
      <c r="C283" s="94">
        <v>46240</v>
      </c>
      <c r="D283" s="91" t="s">
        <v>23</v>
      </c>
      <c r="E283" s="98">
        <v>1228</v>
      </c>
      <c r="F283" s="90">
        <v>0.293929</v>
      </c>
      <c r="G283" s="92">
        <v>9.6478900000000006E-2</v>
      </c>
    </row>
    <row r="284" spans="1:7" x14ac:dyDescent="0.3">
      <c r="A284" s="93" t="s">
        <v>88</v>
      </c>
      <c r="B284" s="106" t="s">
        <v>120</v>
      </c>
      <c r="C284" s="94">
        <v>46240</v>
      </c>
      <c r="D284" s="91" t="s">
        <v>24</v>
      </c>
      <c r="E284" s="98">
        <v>2779</v>
      </c>
      <c r="F284" s="90">
        <v>0.19153899999999999</v>
      </c>
      <c r="G284" s="92">
        <v>5.9011300000000003E-2</v>
      </c>
    </row>
    <row r="285" spans="1:7" x14ac:dyDescent="0.3">
      <c r="A285" s="93" t="s">
        <v>88</v>
      </c>
      <c r="B285" s="106" t="s">
        <v>120</v>
      </c>
      <c r="C285" s="94">
        <v>46240</v>
      </c>
      <c r="D285" s="91" t="s">
        <v>25</v>
      </c>
      <c r="E285" s="98">
        <v>1058</v>
      </c>
      <c r="F285" s="90">
        <v>0.199429</v>
      </c>
      <c r="G285" s="92">
        <v>4.7962699999999997E-2</v>
      </c>
    </row>
    <row r="286" spans="1:7" x14ac:dyDescent="0.3">
      <c r="A286" s="93" t="s">
        <v>88</v>
      </c>
      <c r="B286" s="106" t="s">
        <v>120</v>
      </c>
      <c r="C286" s="94">
        <v>46240</v>
      </c>
      <c r="D286" s="91" t="s">
        <v>26</v>
      </c>
      <c r="E286" s="98">
        <v>2610</v>
      </c>
      <c r="F286" s="90">
        <v>0.19561600000000001</v>
      </c>
      <c r="G286" s="92">
        <v>6.2890600000000005E-2</v>
      </c>
    </row>
    <row r="287" spans="1:7" x14ac:dyDescent="0.3">
      <c r="A287" s="93" t="s">
        <v>88</v>
      </c>
      <c r="B287" s="106" t="s">
        <v>120</v>
      </c>
      <c r="C287" s="94">
        <v>46240</v>
      </c>
      <c r="D287" s="91" t="s">
        <v>27</v>
      </c>
      <c r="E287" s="98">
        <v>2508</v>
      </c>
      <c r="F287" s="90">
        <v>0.38116</v>
      </c>
      <c r="G287" s="92">
        <v>8.6512500000000006E-2</v>
      </c>
    </row>
    <row r="288" spans="1:7" x14ac:dyDescent="0.3">
      <c r="A288" s="93" t="s">
        <v>88</v>
      </c>
      <c r="B288" s="106" t="s">
        <v>120</v>
      </c>
      <c r="C288" s="94">
        <v>46240</v>
      </c>
      <c r="D288" s="91" t="s">
        <v>28</v>
      </c>
      <c r="E288" s="98">
        <v>1261</v>
      </c>
      <c r="F288" s="90">
        <v>0.54010899999999995</v>
      </c>
      <c r="G288" s="92">
        <v>0.121348</v>
      </c>
    </row>
    <row r="289" spans="1:7" x14ac:dyDescent="0.3">
      <c r="A289" s="93" t="s">
        <v>88</v>
      </c>
      <c r="B289" s="106" t="s">
        <v>120</v>
      </c>
      <c r="C289" s="94">
        <v>46240</v>
      </c>
      <c r="D289" s="91" t="s">
        <v>29</v>
      </c>
      <c r="E289" s="98">
        <v>1538</v>
      </c>
      <c r="F289" s="90">
        <v>0.45475500000000002</v>
      </c>
      <c r="G289" s="92">
        <v>9.4206300000000007E-2</v>
      </c>
    </row>
    <row r="290" spans="1:7" x14ac:dyDescent="0.3">
      <c r="A290" s="93" t="s">
        <v>88</v>
      </c>
      <c r="B290" s="106" t="s">
        <v>120</v>
      </c>
      <c r="C290" s="94">
        <v>46240</v>
      </c>
      <c r="D290" s="91" t="s">
        <v>30</v>
      </c>
      <c r="E290" s="98">
        <v>1002</v>
      </c>
      <c r="F290" s="90">
        <v>0.75186900000000001</v>
      </c>
      <c r="G290" s="92">
        <v>0.151252</v>
      </c>
    </row>
    <row r="291" spans="1:7" x14ac:dyDescent="0.3">
      <c r="A291" s="93" t="s">
        <v>88</v>
      </c>
      <c r="B291" s="106" t="s">
        <v>121</v>
      </c>
      <c r="C291" s="94">
        <v>46240</v>
      </c>
      <c r="D291" s="91" t="s">
        <v>14</v>
      </c>
      <c r="E291" s="98">
        <v>3201</v>
      </c>
      <c r="F291" s="90">
        <v>0.44218600000000002</v>
      </c>
      <c r="G291" s="92">
        <v>0.120863</v>
      </c>
    </row>
    <row r="292" spans="1:7" x14ac:dyDescent="0.3">
      <c r="A292" s="93" t="s">
        <v>88</v>
      </c>
      <c r="B292" s="106" t="s">
        <v>121</v>
      </c>
      <c r="C292" s="94">
        <v>46240</v>
      </c>
      <c r="D292" s="91" t="s">
        <v>15</v>
      </c>
      <c r="E292" s="98">
        <v>3040</v>
      </c>
      <c r="F292" s="90">
        <v>0.44613000000000003</v>
      </c>
      <c r="G292" s="92">
        <v>0.113722</v>
      </c>
    </row>
    <row r="293" spans="1:7" x14ac:dyDescent="0.3">
      <c r="A293" s="93" t="s">
        <v>88</v>
      </c>
      <c r="B293" s="106" t="s">
        <v>121</v>
      </c>
      <c r="C293" s="94">
        <v>46240</v>
      </c>
      <c r="D293" s="91" t="s">
        <v>16</v>
      </c>
      <c r="E293" s="98">
        <v>2087</v>
      </c>
      <c r="F293" s="90">
        <v>0.601603</v>
      </c>
      <c r="G293" s="92">
        <v>0.13392100000000001</v>
      </c>
    </row>
    <row r="294" spans="1:7" x14ac:dyDescent="0.3">
      <c r="A294" s="93" t="s">
        <v>88</v>
      </c>
      <c r="B294" s="106" t="s">
        <v>121</v>
      </c>
      <c r="C294" s="94">
        <v>46240</v>
      </c>
      <c r="D294" s="91" t="s">
        <v>17</v>
      </c>
      <c r="E294" s="98">
        <v>2579</v>
      </c>
      <c r="F294" s="90">
        <v>0.65812000000000004</v>
      </c>
      <c r="G294" s="92">
        <v>0.13445299999999999</v>
      </c>
    </row>
    <row r="295" spans="1:7" x14ac:dyDescent="0.3">
      <c r="A295" s="93" t="s">
        <v>88</v>
      </c>
      <c r="B295" s="106" t="s">
        <v>121</v>
      </c>
      <c r="C295" s="94">
        <v>46240</v>
      </c>
      <c r="D295" s="91" t="s">
        <v>18</v>
      </c>
      <c r="E295" s="98">
        <v>2328</v>
      </c>
      <c r="F295" s="90">
        <v>0.38157099999999999</v>
      </c>
      <c r="G295" s="92">
        <v>9.0749499999999997E-2</v>
      </c>
    </row>
    <row r="296" spans="1:7" x14ac:dyDescent="0.3">
      <c r="A296" s="93" t="s">
        <v>88</v>
      </c>
      <c r="B296" s="106" t="s">
        <v>121</v>
      </c>
      <c r="C296" s="94">
        <v>46240</v>
      </c>
      <c r="D296" s="91" t="s">
        <v>19</v>
      </c>
      <c r="E296" s="98">
        <v>2407</v>
      </c>
      <c r="F296" s="90">
        <v>0.58857599999999999</v>
      </c>
      <c r="G296" s="92">
        <v>0.118063</v>
      </c>
    </row>
    <row r="297" spans="1:7" x14ac:dyDescent="0.3">
      <c r="A297" s="93" t="s">
        <v>88</v>
      </c>
      <c r="B297" s="106" t="s">
        <v>121</v>
      </c>
      <c r="C297" s="94">
        <v>46240</v>
      </c>
      <c r="D297" s="91" t="s">
        <v>20</v>
      </c>
      <c r="E297" s="98">
        <v>2648</v>
      </c>
      <c r="F297" s="90">
        <v>0.66278000000000004</v>
      </c>
      <c r="G297" s="92">
        <v>0.13273699999999999</v>
      </c>
    </row>
    <row r="298" spans="1:7" x14ac:dyDescent="0.3">
      <c r="A298" s="93" t="s">
        <v>88</v>
      </c>
      <c r="B298" s="106" t="s">
        <v>121</v>
      </c>
      <c r="C298" s="94">
        <v>46240</v>
      </c>
      <c r="D298" s="91" t="s">
        <v>34</v>
      </c>
      <c r="E298" s="98">
        <v>1045</v>
      </c>
      <c r="F298" s="90">
        <v>0.30008299999999999</v>
      </c>
      <c r="G298" s="92">
        <v>8.6968599999999993E-2</v>
      </c>
    </row>
    <row r="299" spans="1:7" x14ac:dyDescent="0.3">
      <c r="A299" s="93" t="s">
        <v>88</v>
      </c>
      <c r="B299" s="106" t="s">
        <v>121</v>
      </c>
      <c r="C299" s="94">
        <v>46240</v>
      </c>
      <c r="D299" s="91" t="s">
        <v>21</v>
      </c>
      <c r="E299" s="98">
        <v>3707</v>
      </c>
      <c r="F299" s="90">
        <v>0.43379899999999999</v>
      </c>
      <c r="G299" s="92">
        <v>8.84128E-2</v>
      </c>
    </row>
    <row r="300" spans="1:7" x14ac:dyDescent="0.3">
      <c r="A300" s="93" t="s">
        <v>88</v>
      </c>
      <c r="B300" s="106" t="s">
        <v>121</v>
      </c>
      <c r="C300" s="94">
        <v>46240</v>
      </c>
      <c r="D300" s="91" t="s">
        <v>22</v>
      </c>
      <c r="E300" s="98">
        <v>2762</v>
      </c>
      <c r="F300" s="90">
        <v>0.46423999999999999</v>
      </c>
      <c r="G300" s="92">
        <v>0.12906100000000001</v>
      </c>
    </row>
    <row r="301" spans="1:7" x14ac:dyDescent="0.3">
      <c r="A301" s="93" t="s">
        <v>88</v>
      </c>
      <c r="B301" s="106" t="s">
        <v>121</v>
      </c>
      <c r="C301" s="94">
        <v>46240</v>
      </c>
      <c r="D301" s="91" t="s">
        <v>23</v>
      </c>
      <c r="E301" s="98">
        <v>1001</v>
      </c>
      <c r="F301" s="90">
        <v>0.40006399999999998</v>
      </c>
      <c r="G301" s="92">
        <v>0.13063900000000001</v>
      </c>
    </row>
    <row r="302" spans="1:7" x14ac:dyDescent="0.3">
      <c r="A302" s="93" t="s">
        <v>88</v>
      </c>
      <c r="B302" s="106" t="s">
        <v>121</v>
      </c>
      <c r="C302" s="94">
        <v>46240</v>
      </c>
      <c r="D302" s="91" t="s">
        <v>24</v>
      </c>
      <c r="E302" s="98">
        <v>3040</v>
      </c>
      <c r="F302" s="90">
        <v>0.25951999999999997</v>
      </c>
      <c r="G302" s="92">
        <v>8.3202100000000001E-2</v>
      </c>
    </row>
    <row r="303" spans="1:7" x14ac:dyDescent="0.3">
      <c r="A303" s="93" t="s">
        <v>88</v>
      </c>
      <c r="B303" s="106" t="s">
        <v>121</v>
      </c>
      <c r="C303" s="94">
        <v>46240</v>
      </c>
      <c r="D303" s="91" t="s">
        <v>25</v>
      </c>
      <c r="E303" s="98">
        <v>1081</v>
      </c>
      <c r="F303" s="90">
        <v>0.19483200000000001</v>
      </c>
      <c r="G303" s="92">
        <v>4.92673E-2</v>
      </c>
    </row>
    <row r="304" spans="1:7" x14ac:dyDescent="0.3">
      <c r="A304" s="93" t="s">
        <v>88</v>
      </c>
      <c r="B304" s="106" t="s">
        <v>121</v>
      </c>
      <c r="C304" s="94">
        <v>46240</v>
      </c>
      <c r="D304" s="91" t="s">
        <v>26</v>
      </c>
      <c r="E304" s="98">
        <v>2824</v>
      </c>
      <c r="F304" s="90">
        <v>0.257988</v>
      </c>
      <c r="G304" s="92">
        <v>8.1980600000000001E-2</v>
      </c>
    </row>
    <row r="305" spans="1:7" x14ac:dyDescent="0.3">
      <c r="A305" s="93" t="s">
        <v>88</v>
      </c>
      <c r="B305" s="106" t="s">
        <v>121</v>
      </c>
      <c r="C305" s="94">
        <v>46240</v>
      </c>
      <c r="D305" s="91" t="s">
        <v>27</v>
      </c>
      <c r="E305" s="98">
        <v>2935</v>
      </c>
      <c r="F305" s="90">
        <v>0.35716399999999998</v>
      </c>
      <c r="G305" s="92">
        <v>8.5796200000000003E-2</v>
      </c>
    </row>
    <row r="306" spans="1:7" x14ac:dyDescent="0.3">
      <c r="A306" s="93" t="s">
        <v>88</v>
      </c>
      <c r="B306" s="106" t="s">
        <v>121</v>
      </c>
      <c r="C306" s="94">
        <v>46240</v>
      </c>
      <c r="D306" s="91" t="s">
        <v>28</v>
      </c>
      <c r="E306" s="98">
        <v>2001</v>
      </c>
      <c r="F306" s="90">
        <v>0.32775199999999999</v>
      </c>
      <c r="G306" s="92">
        <v>7.7657400000000001E-2</v>
      </c>
    </row>
    <row r="307" spans="1:7" x14ac:dyDescent="0.3">
      <c r="A307" s="93" t="s">
        <v>88</v>
      </c>
      <c r="B307" s="106" t="s">
        <v>121</v>
      </c>
      <c r="C307" s="94">
        <v>46240</v>
      </c>
      <c r="D307" s="91" t="s">
        <v>29</v>
      </c>
      <c r="E307" s="98">
        <v>1747</v>
      </c>
      <c r="F307" s="90">
        <v>0.44507000000000002</v>
      </c>
      <c r="G307" s="92">
        <v>8.8841199999999995E-2</v>
      </c>
    </row>
    <row r="308" spans="1:7" x14ac:dyDescent="0.3">
      <c r="A308" s="93" t="s">
        <v>88</v>
      </c>
      <c r="B308" s="106" t="s">
        <v>121</v>
      </c>
      <c r="C308" s="94">
        <v>46240</v>
      </c>
      <c r="D308" s="91" t="s">
        <v>30</v>
      </c>
      <c r="E308" s="98">
        <v>1106</v>
      </c>
      <c r="F308" s="90">
        <v>0.94636500000000001</v>
      </c>
      <c r="G308" s="92">
        <v>0.197852</v>
      </c>
    </row>
    <row r="309" spans="1:7" x14ac:dyDescent="0.3">
      <c r="A309" s="93" t="s">
        <v>81</v>
      </c>
      <c r="B309" s="105" t="s">
        <v>89</v>
      </c>
      <c r="C309" s="94">
        <v>46242</v>
      </c>
      <c r="D309" s="91" t="s">
        <v>14</v>
      </c>
      <c r="E309" s="98">
        <v>2347</v>
      </c>
      <c r="F309" s="90">
        <v>0.44430900000000001</v>
      </c>
      <c r="G309" s="92">
        <v>0.121479</v>
      </c>
    </row>
    <row r="310" spans="1:7" x14ac:dyDescent="0.3">
      <c r="A310" s="93" t="s">
        <v>81</v>
      </c>
      <c r="B310" s="105" t="s">
        <v>89</v>
      </c>
      <c r="C310" s="94">
        <v>46242</v>
      </c>
      <c r="D310" s="91" t="s">
        <v>15</v>
      </c>
      <c r="E310" s="98">
        <v>2222</v>
      </c>
      <c r="F310" s="90">
        <v>0.42294799999999999</v>
      </c>
      <c r="G310" s="92">
        <v>0.107791</v>
      </c>
    </row>
    <row r="311" spans="1:7" x14ac:dyDescent="0.3">
      <c r="A311" s="93" t="s">
        <v>81</v>
      </c>
      <c r="B311" s="105" t="s">
        <v>89</v>
      </c>
      <c r="C311" s="94">
        <v>46242</v>
      </c>
      <c r="D311" s="91" t="s">
        <v>16</v>
      </c>
      <c r="E311" s="98">
        <v>2021</v>
      </c>
      <c r="F311" s="90">
        <v>0.51043099999999997</v>
      </c>
      <c r="G311" s="92">
        <v>0.113635</v>
      </c>
    </row>
    <row r="312" spans="1:7" x14ac:dyDescent="0.3">
      <c r="A312" s="93" t="s">
        <v>81</v>
      </c>
      <c r="B312" s="105" t="s">
        <v>89</v>
      </c>
      <c r="C312" s="94">
        <v>46242</v>
      </c>
      <c r="D312" s="91" t="s">
        <v>17</v>
      </c>
      <c r="E312" s="98">
        <v>1719</v>
      </c>
      <c r="F312" s="90">
        <v>0.54024799999999995</v>
      </c>
      <c r="G312" s="92">
        <v>0.11029799999999999</v>
      </c>
    </row>
    <row r="313" spans="1:7" x14ac:dyDescent="0.3">
      <c r="A313" s="93" t="s">
        <v>81</v>
      </c>
      <c r="B313" s="105" t="s">
        <v>89</v>
      </c>
      <c r="C313" s="94">
        <v>46242</v>
      </c>
      <c r="D313" s="91" t="s">
        <v>18</v>
      </c>
      <c r="E313" s="98">
        <v>1950</v>
      </c>
      <c r="F313" s="90">
        <v>0.38157099999999999</v>
      </c>
      <c r="G313" s="92">
        <v>9.0749499999999997E-2</v>
      </c>
    </row>
    <row r="314" spans="1:7" x14ac:dyDescent="0.3">
      <c r="A314" s="93" t="s">
        <v>81</v>
      </c>
      <c r="B314" s="105" t="s">
        <v>89</v>
      </c>
      <c r="C314" s="94">
        <v>46242</v>
      </c>
      <c r="D314" s="91" t="s">
        <v>19</v>
      </c>
      <c r="E314" s="98">
        <v>1979</v>
      </c>
      <c r="F314" s="90">
        <v>0.40723799999999999</v>
      </c>
      <c r="G314" s="92">
        <v>8.1662799999999994E-2</v>
      </c>
    </row>
    <row r="315" spans="1:7" x14ac:dyDescent="0.3">
      <c r="A315" s="93" t="s">
        <v>81</v>
      </c>
      <c r="B315" s="105" t="s">
        <v>89</v>
      </c>
      <c r="C315" s="94">
        <v>46242</v>
      </c>
      <c r="D315" s="91" t="s">
        <v>20</v>
      </c>
      <c r="E315" s="98">
        <v>2245</v>
      </c>
      <c r="F315" s="90">
        <v>0.44565500000000002</v>
      </c>
      <c r="G315" s="92">
        <v>8.9242699999999994E-2</v>
      </c>
    </row>
    <row r="316" spans="1:7" x14ac:dyDescent="0.3">
      <c r="A316" s="93" t="s">
        <v>81</v>
      </c>
      <c r="B316" s="105" t="s">
        <v>89</v>
      </c>
      <c r="C316" s="94">
        <v>46242</v>
      </c>
      <c r="D316" s="91" t="s">
        <v>34</v>
      </c>
      <c r="E316" s="98">
        <v>1145</v>
      </c>
      <c r="F316" s="90">
        <v>0.28156700000000001</v>
      </c>
      <c r="G316" s="92">
        <v>8.1516099999999994E-2</v>
      </c>
    </row>
    <row r="317" spans="1:7" x14ac:dyDescent="0.3">
      <c r="A317" s="93" t="s">
        <v>81</v>
      </c>
      <c r="B317" s="105" t="s">
        <v>89</v>
      </c>
      <c r="C317" s="94">
        <v>46242</v>
      </c>
      <c r="D317" s="91" t="s">
        <v>21</v>
      </c>
      <c r="E317" s="98">
        <v>2984</v>
      </c>
      <c r="F317" s="90">
        <v>0.42464800000000003</v>
      </c>
      <c r="G317" s="92">
        <v>8.65345E-2</v>
      </c>
    </row>
    <row r="318" spans="1:7" x14ac:dyDescent="0.3">
      <c r="A318" s="93" t="s">
        <v>81</v>
      </c>
      <c r="B318" s="105" t="s">
        <v>89</v>
      </c>
      <c r="C318" s="94">
        <v>46242</v>
      </c>
      <c r="D318" s="91" t="s">
        <v>22</v>
      </c>
      <c r="E318" s="98">
        <v>1992</v>
      </c>
      <c r="F318" s="90">
        <v>0.37770399999999998</v>
      </c>
      <c r="G318" s="92">
        <v>0.104974</v>
      </c>
    </row>
    <row r="319" spans="1:7" x14ac:dyDescent="0.3">
      <c r="A319" s="93" t="s">
        <v>81</v>
      </c>
      <c r="B319" s="105" t="s">
        <v>89</v>
      </c>
      <c r="C319" s="94">
        <v>46242</v>
      </c>
      <c r="D319" s="91" t="s">
        <v>23</v>
      </c>
      <c r="E319" s="98">
        <v>1328</v>
      </c>
      <c r="F319" s="90">
        <v>0.42462699999999998</v>
      </c>
      <c r="G319" s="92">
        <v>0.13869799999999999</v>
      </c>
    </row>
    <row r="320" spans="1:7" x14ac:dyDescent="0.3">
      <c r="A320" s="93" t="s">
        <v>81</v>
      </c>
      <c r="B320" s="105" t="s">
        <v>89</v>
      </c>
      <c r="C320" s="94">
        <v>46242</v>
      </c>
      <c r="D320" s="91" t="s">
        <v>24</v>
      </c>
      <c r="E320" s="98">
        <v>2725</v>
      </c>
      <c r="F320" s="90">
        <v>0.174926</v>
      </c>
      <c r="G320" s="92">
        <v>5.6090300000000003E-2</v>
      </c>
    </row>
    <row r="321" spans="1:7" x14ac:dyDescent="0.3">
      <c r="A321" s="93" t="s">
        <v>81</v>
      </c>
      <c r="B321" s="105" t="s">
        <v>89</v>
      </c>
      <c r="C321" s="94">
        <v>46242</v>
      </c>
      <c r="D321" s="91" t="s">
        <v>25</v>
      </c>
      <c r="E321" s="98">
        <v>1108</v>
      </c>
      <c r="F321" s="90">
        <v>0.17077700000000001</v>
      </c>
      <c r="G321" s="92">
        <v>4.3160200000000003E-2</v>
      </c>
    </row>
    <row r="322" spans="1:7" x14ac:dyDescent="0.3">
      <c r="A322" s="93" t="s">
        <v>81</v>
      </c>
      <c r="B322" s="105" t="s">
        <v>89</v>
      </c>
      <c r="C322" s="94">
        <v>46242</v>
      </c>
      <c r="D322" s="91" t="s">
        <v>26</v>
      </c>
      <c r="E322" s="98">
        <v>2406</v>
      </c>
      <c r="F322" s="90">
        <v>0.17474799999999999</v>
      </c>
      <c r="G322" s="92">
        <v>5.5523200000000002E-2</v>
      </c>
    </row>
    <row r="323" spans="1:7" x14ac:dyDescent="0.3">
      <c r="A323" s="93" t="s">
        <v>81</v>
      </c>
      <c r="B323" s="105" t="s">
        <v>89</v>
      </c>
      <c r="C323" s="94">
        <v>46242</v>
      </c>
      <c r="D323" s="91" t="s">
        <v>27</v>
      </c>
      <c r="E323" s="98">
        <v>1994</v>
      </c>
      <c r="F323" s="90">
        <v>0.33553899999999998</v>
      </c>
      <c r="G323" s="92">
        <v>8.0594700000000005E-2</v>
      </c>
    </row>
    <row r="324" spans="1:7" x14ac:dyDescent="0.3">
      <c r="A324" s="93" t="s">
        <v>81</v>
      </c>
      <c r="B324" s="105" t="s">
        <v>89</v>
      </c>
      <c r="C324" s="94">
        <v>46242</v>
      </c>
      <c r="D324" s="91" t="s">
        <v>28</v>
      </c>
      <c r="E324" s="98">
        <v>1075</v>
      </c>
      <c r="F324" s="90">
        <v>0.501197</v>
      </c>
      <c r="G324" s="92">
        <v>0.118765</v>
      </c>
    </row>
    <row r="325" spans="1:7" x14ac:dyDescent="0.3">
      <c r="A325" s="93" t="s">
        <v>81</v>
      </c>
      <c r="B325" s="105" t="s">
        <v>89</v>
      </c>
      <c r="C325" s="94">
        <v>46242</v>
      </c>
      <c r="D325" s="91" t="s">
        <v>29</v>
      </c>
      <c r="E325" s="98">
        <v>1623</v>
      </c>
      <c r="F325" s="90">
        <v>0.39379799999999998</v>
      </c>
      <c r="G325" s="92">
        <v>7.8585799999999997E-2</v>
      </c>
    </row>
    <row r="326" spans="1:7" x14ac:dyDescent="0.3">
      <c r="A326" s="93" t="s">
        <v>81</v>
      </c>
      <c r="B326" s="105" t="s">
        <v>89</v>
      </c>
      <c r="C326" s="94">
        <v>46242</v>
      </c>
      <c r="D326" s="91" t="s">
        <v>30</v>
      </c>
      <c r="E326" s="98">
        <v>1003</v>
      </c>
      <c r="F326" s="90">
        <v>0.53888800000000003</v>
      </c>
      <c r="G326" s="92">
        <v>0.11252</v>
      </c>
    </row>
    <row r="327" spans="1:7" x14ac:dyDescent="0.3">
      <c r="A327" s="93" t="s">
        <v>88</v>
      </c>
      <c r="B327" s="106" t="s">
        <v>135</v>
      </c>
      <c r="C327" s="94">
        <v>46242</v>
      </c>
      <c r="D327" s="91" t="s">
        <v>14</v>
      </c>
      <c r="E327" s="98">
        <v>2347</v>
      </c>
      <c r="F327" s="90">
        <v>0.44430900000000001</v>
      </c>
      <c r="G327" s="92">
        <v>0.121479</v>
      </c>
    </row>
    <row r="328" spans="1:7" x14ac:dyDescent="0.3">
      <c r="A328" s="93" t="s">
        <v>88</v>
      </c>
      <c r="B328" s="106" t="s">
        <v>135</v>
      </c>
      <c r="C328" s="94">
        <v>46242</v>
      </c>
      <c r="D328" s="91" t="s">
        <v>15</v>
      </c>
      <c r="E328" s="98">
        <v>2222</v>
      </c>
      <c r="F328" s="90">
        <v>0.42294799999999999</v>
      </c>
      <c r="G328" s="92">
        <v>0.107791</v>
      </c>
    </row>
    <row r="329" spans="1:7" x14ac:dyDescent="0.3">
      <c r="A329" s="93" t="s">
        <v>88</v>
      </c>
      <c r="B329" s="106" t="s">
        <v>135</v>
      </c>
      <c r="C329" s="94">
        <v>46242</v>
      </c>
      <c r="D329" s="91" t="s">
        <v>16</v>
      </c>
      <c r="E329" s="98">
        <v>2021</v>
      </c>
      <c r="F329" s="90">
        <v>0.51043099999999997</v>
      </c>
      <c r="G329" s="92">
        <v>0.113635</v>
      </c>
    </row>
    <row r="330" spans="1:7" x14ac:dyDescent="0.3">
      <c r="A330" s="93" t="s">
        <v>88</v>
      </c>
      <c r="B330" s="106" t="s">
        <v>135</v>
      </c>
      <c r="C330" s="94">
        <v>46242</v>
      </c>
      <c r="D330" s="91" t="s">
        <v>17</v>
      </c>
      <c r="E330" s="98">
        <v>1719</v>
      </c>
      <c r="F330" s="90">
        <v>0.54024799999999995</v>
      </c>
      <c r="G330" s="92">
        <v>0.11029799999999999</v>
      </c>
    </row>
    <row r="331" spans="1:7" x14ac:dyDescent="0.3">
      <c r="A331" s="93" t="s">
        <v>88</v>
      </c>
      <c r="B331" s="106" t="s">
        <v>135</v>
      </c>
      <c r="C331" s="94">
        <v>46242</v>
      </c>
      <c r="D331" s="91" t="s">
        <v>18</v>
      </c>
      <c r="E331" s="98">
        <v>1950</v>
      </c>
      <c r="F331" s="90">
        <v>0.38157099999999999</v>
      </c>
      <c r="G331" s="92">
        <v>9.0749499999999997E-2</v>
      </c>
    </row>
    <row r="332" spans="1:7" x14ac:dyDescent="0.3">
      <c r="A332" s="93" t="s">
        <v>88</v>
      </c>
      <c r="B332" s="106" t="s">
        <v>135</v>
      </c>
      <c r="C332" s="94">
        <v>46242</v>
      </c>
      <c r="D332" s="91" t="s">
        <v>19</v>
      </c>
      <c r="E332" s="98">
        <v>1979</v>
      </c>
      <c r="F332" s="90">
        <v>0.40723799999999999</v>
      </c>
      <c r="G332" s="92">
        <v>8.1662799999999994E-2</v>
      </c>
    </row>
    <row r="333" spans="1:7" x14ac:dyDescent="0.3">
      <c r="A333" s="93" t="s">
        <v>88</v>
      </c>
      <c r="B333" s="106" t="s">
        <v>135</v>
      </c>
      <c r="C333" s="94">
        <v>46242</v>
      </c>
      <c r="D333" s="91" t="s">
        <v>20</v>
      </c>
      <c r="E333" s="98">
        <v>2245</v>
      </c>
      <c r="F333" s="90">
        <v>0.44565500000000002</v>
      </c>
      <c r="G333" s="92">
        <v>8.9242699999999994E-2</v>
      </c>
    </row>
    <row r="334" spans="1:7" x14ac:dyDescent="0.3">
      <c r="A334" s="93" t="s">
        <v>88</v>
      </c>
      <c r="B334" s="106" t="s">
        <v>135</v>
      </c>
      <c r="C334" s="94">
        <v>46242</v>
      </c>
      <c r="D334" s="91" t="s">
        <v>34</v>
      </c>
      <c r="E334" s="98">
        <v>1145</v>
      </c>
      <c r="F334" s="90">
        <v>0.28156700000000001</v>
      </c>
      <c r="G334" s="92">
        <v>8.1516099999999994E-2</v>
      </c>
    </row>
    <row r="335" spans="1:7" x14ac:dyDescent="0.3">
      <c r="A335" s="93" t="s">
        <v>88</v>
      </c>
      <c r="B335" s="106" t="s">
        <v>135</v>
      </c>
      <c r="C335" s="94">
        <v>46242</v>
      </c>
      <c r="D335" s="91" t="s">
        <v>21</v>
      </c>
      <c r="E335" s="98">
        <v>2984</v>
      </c>
      <c r="F335" s="90">
        <v>0.42464800000000003</v>
      </c>
      <c r="G335" s="92">
        <v>8.65345E-2</v>
      </c>
    </row>
    <row r="336" spans="1:7" x14ac:dyDescent="0.3">
      <c r="A336" s="93" t="s">
        <v>88</v>
      </c>
      <c r="B336" s="106" t="s">
        <v>135</v>
      </c>
      <c r="C336" s="94">
        <v>46242</v>
      </c>
      <c r="D336" s="91" t="s">
        <v>22</v>
      </c>
      <c r="E336" s="98">
        <v>1992</v>
      </c>
      <c r="F336" s="90">
        <v>0.37770399999999998</v>
      </c>
      <c r="G336" s="92">
        <v>0.104974</v>
      </c>
    </row>
    <row r="337" spans="1:7" x14ac:dyDescent="0.3">
      <c r="A337" s="93" t="s">
        <v>88</v>
      </c>
      <c r="B337" s="106" t="s">
        <v>135</v>
      </c>
      <c r="C337" s="94">
        <v>46242</v>
      </c>
      <c r="D337" s="91" t="s">
        <v>23</v>
      </c>
      <c r="E337" s="98">
        <v>1328</v>
      </c>
      <c r="F337" s="90">
        <v>0.42462699999999998</v>
      </c>
      <c r="G337" s="92">
        <v>0.13869799999999999</v>
      </c>
    </row>
    <row r="338" spans="1:7" x14ac:dyDescent="0.3">
      <c r="A338" s="93" t="s">
        <v>88</v>
      </c>
      <c r="B338" s="106" t="s">
        <v>135</v>
      </c>
      <c r="C338" s="94">
        <v>46242</v>
      </c>
      <c r="D338" s="91" t="s">
        <v>24</v>
      </c>
      <c r="E338" s="98">
        <v>2725</v>
      </c>
      <c r="F338" s="90">
        <v>0.174926</v>
      </c>
      <c r="G338" s="92">
        <v>5.6090300000000003E-2</v>
      </c>
    </row>
    <row r="339" spans="1:7" x14ac:dyDescent="0.3">
      <c r="A339" s="93" t="s">
        <v>88</v>
      </c>
      <c r="B339" s="106" t="s">
        <v>135</v>
      </c>
      <c r="C339" s="94">
        <v>46242</v>
      </c>
      <c r="D339" s="91" t="s">
        <v>25</v>
      </c>
      <c r="E339" s="98">
        <v>1108</v>
      </c>
      <c r="F339" s="90">
        <v>0.17077700000000001</v>
      </c>
      <c r="G339" s="92">
        <v>4.3160200000000003E-2</v>
      </c>
    </row>
    <row r="340" spans="1:7" x14ac:dyDescent="0.3">
      <c r="A340" s="93" t="s">
        <v>88</v>
      </c>
      <c r="B340" s="106" t="s">
        <v>135</v>
      </c>
      <c r="C340" s="94">
        <v>46242</v>
      </c>
      <c r="D340" s="91" t="s">
        <v>26</v>
      </c>
      <c r="E340" s="98">
        <v>2406</v>
      </c>
      <c r="F340" s="90">
        <v>0.17474799999999999</v>
      </c>
      <c r="G340" s="92">
        <v>5.5523200000000002E-2</v>
      </c>
    </row>
    <row r="341" spans="1:7" x14ac:dyDescent="0.3">
      <c r="A341" s="93" t="s">
        <v>88</v>
      </c>
      <c r="B341" s="106" t="s">
        <v>135</v>
      </c>
      <c r="C341" s="94">
        <v>46242</v>
      </c>
      <c r="D341" s="91" t="s">
        <v>27</v>
      </c>
      <c r="E341" s="98">
        <v>1994</v>
      </c>
      <c r="F341" s="90">
        <v>0.33553899999999998</v>
      </c>
      <c r="G341" s="92">
        <v>8.0594700000000005E-2</v>
      </c>
    </row>
    <row r="342" spans="1:7" x14ac:dyDescent="0.3">
      <c r="A342" s="93" t="s">
        <v>88</v>
      </c>
      <c r="B342" s="106" t="s">
        <v>135</v>
      </c>
      <c r="C342" s="94">
        <v>46242</v>
      </c>
      <c r="D342" s="91" t="s">
        <v>28</v>
      </c>
      <c r="E342" s="98">
        <v>1075</v>
      </c>
      <c r="F342" s="90">
        <v>0.501197</v>
      </c>
      <c r="G342" s="92">
        <v>0.118765</v>
      </c>
    </row>
    <row r="343" spans="1:7" x14ac:dyDescent="0.3">
      <c r="A343" s="93" t="s">
        <v>88</v>
      </c>
      <c r="B343" s="106" t="s">
        <v>135</v>
      </c>
      <c r="C343" s="94">
        <v>46242</v>
      </c>
      <c r="D343" s="91" t="s">
        <v>29</v>
      </c>
      <c r="E343" s="98">
        <v>1623</v>
      </c>
      <c r="F343" s="90">
        <v>0.39379799999999998</v>
      </c>
      <c r="G343" s="92">
        <v>7.8585799999999997E-2</v>
      </c>
    </row>
    <row r="344" spans="1:7" x14ac:dyDescent="0.3">
      <c r="A344" s="93" t="s">
        <v>88</v>
      </c>
      <c r="B344" s="106" t="s">
        <v>135</v>
      </c>
      <c r="C344" s="94">
        <v>46242</v>
      </c>
      <c r="D344" s="91" t="s">
        <v>30</v>
      </c>
      <c r="E344" s="98">
        <v>1003</v>
      </c>
      <c r="F344" s="90">
        <v>0.53888800000000003</v>
      </c>
      <c r="G344" s="92">
        <v>0.11252</v>
      </c>
    </row>
    <row r="345" spans="1:7" x14ac:dyDescent="0.3">
      <c r="A345" s="93" t="s">
        <v>88</v>
      </c>
      <c r="B345" s="106" t="s">
        <v>134</v>
      </c>
      <c r="C345" s="94">
        <v>46242</v>
      </c>
      <c r="D345" s="91" t="s">
        <v>14</v>
      </c>
      <c r="E345" s="98">
        <v>4250</v>
      </c>
      <c r="F345" s="90">
        <v>0.499662</v>
      </c>
      <c r="G345" s="92">
        <v>0.13658699999999999</v>
      </c>
    </row>
    <row r="346" spans="1:7" x14ac:dyDescent="0.3">
      <c r="A346" s="93" t="s">
        <v>88</v>
      </c>
      <c r="B346" s="106" t="s">
        <v>134</v>
      </c>
      <c r="C346" s="94">
        <v>46242</v>
      </c>
      <c r="D346" s="91" t="s">
        <v>15</v>
      </c>
      <c r="E346" s="98">
        <v>4013</v>
      </c>
      <c r="F346" s="90">
        <v>0.39092500000000002</v>
      </c>
      <c r="G346" s="92">
        <v>9.9597900000000003E-2</v>
      </c>
    </row>
    <row r="347" spans="1:7" x14ac:dyDescent="0.3">
      <c r="A347" s="93" t="s">
        <v>88</v>
      </c>
      <c r="B347" s="106" t="s">
        <v>134</v>
      </c>
      <c r="C347" s="94">
        <v>46242</v>
      </c>
      <c r="D347" s="91" t="s">
        <v>16</v>
      </c>
      <c r="E347" s="98">
        <v>3278</v>
      </c>
      <c r="F347" s="90">
        <v>0.46836800000000001</v>
      </c>
      <c r="G347" s="92">
        <v>0.10427599999999999</v>
      </c>
    </row>
    <row r="348" spans="1:7" x14ac:dyDescent="0.3">
      <c r="A348" s="93" t="s">
        <v>88</v>
      </c>
      <c r="B348" s="106" t="s">
        <v>134</v>
      </c>
      <c r="C348" s="94">
        <v>46242</v>
      </c>
      <c r="D348" s="91" t="s">
        <v>17</v>
      </c>
      <c r="E348" s="98">
        <v>3575</v>
      </c>
      <c r="F348" s="90">
        <v>0.48782999999999999</v>
      </c>
      <c r="G348" s="92">
        <v>9.9588999999999997E-2</v>
      </c>
    </row>
    <row r="349" spans="1:7" x14ac:dyDescent="0.3">
      <c r="A349" s="93" t="s">
        <v>88</v>
      </c>
      <c r="B349" s="106" t="s">
        <v>134</v>
      </c>
      <c r="C349" s="94">
        <v>46242</v>
      </c>
      <c r="D349" s="91" t="s">
        <v>18</v>
      </c>
      <c r="E349" s="98">
        <v>3902</v>
      </c>
      <c r="F349" s="90">
        <v>0.38157099999999999</v>
      </c>
      <c r="G349" s="92">
        <v>9.0749499999999997E-2</v>
      </c>
    </row>
    <row r="350" spans="1:7" x14ac:dyDescent="0.3">
      <c r="A350" s="93" t="s">
        <v>88</v>
      </c>
      <c r="B350" s="106" t="s">
        <v>134</v>
      </c>
      <c r="C350" s="94">
        <v>46242</v>
      </c>
      <c r="D350" s="91" t="s">
        <v>19</v>
      </c>
      <c r="E350" s="98">
        <v>3468</v>
      </c>
      <c r="F350" s="90">
        <v>0.43530799999999997</v>
      </c>
      <c r="G350" s="92">
        <v>8.7284600000000004E-2</v>
      </c>
    </row>
    <row r="351" spans="1:7" x14ac:dyDescent="0.3">
      <c r="A351" s="93" t="s">
        <v>88</v>
      </c>
      <c r="B351" s="106" t="s">
        <v>134</v>
      </c>
      <c r="C351" s="94">
        <v>46242</v>
      </c>
      <c r="D351" s="91" t="s">
        <v>20</v>
      </c>
      <c r="E351" s="98">
        <v>3519</v>
      </c>
      <c r="F351" s="90">
        <v>0.41318700000000003</v>
      </c>
      <c r="G351" s="92">
        <v>8.2780800000000002E-2</v>
      </c>
    </row>
    <row r="352" spans="1:7" x14ac:dyDescent="0.3">
      <c r="A352" s="93" t="s">
        <v>88</v>
      </c>
      <c r="B352" s="106" t="s">
        <v>134</v>
      </c>
      <c r="C352" s="94">
        <v>46242</v>
      </c>
      <c r="D352" s="91" t="s">
        <v>34</v>
      </c>
      <c r="E352" s="98">
        <v>2130</v>
      </c>
      <c r="F352" s="90">
        <v>0.25536300000000001</v>
      </c>
      <c r="G352" s="92">
        <v>7.3986300000000005E-2</v>
      </c>
    </row>
    <row r="353" spans="1:7" x14ac:dyDescent="0.3">
      <c r="A353" s="93" t="s">
        <v>88</v>
      </c>
      <c r="B353" s="106" t="s">
        <v>134</v>
      </c>
      <c r="C353" s="94">
        <v>46242</v>
      </c>
      <c r="D353" s="91" t="s">
        <v>21</v>
      </c>
      <c r="E353" s="98">
        <v>4973</v>
      </c>
      <c r="F353" s="90">
        <v>0.45008999999999999</v>
      </c>
      <c r="G353" s="92">
        <v>9.1700000000000004E-2</v>
      </c>
    </row>
    <row r="354" spans="1:7" x14ac:dyDescent="0.3">
      <c r="A354" s="93" t="s">
        <v>88</v>
      </c>
      <c r="B354" s="106" t="s">
        <v>134</v>
      </c>
      <c r="C354" s="94">
        <v>46242</v>
      </c>
      <c r="D354" s="91" t="s">
        <v>22</v>
      </c>
      <c r="E354" s="98">
        <v>3766</v>
      </c>
      <c r="F354" s="90">
        <v>0.39692499999999997</v>
      </c>
      <c r="G354" s="92">
        <v>0.110336</v>
      </c>
    </row>
    <row r="355" spans="1:7" x14ac:dyDescent="0.3">
      <c r="A355" s="93" t="s">
        <v>88</v>
      </c>
      <c r="B355" s="106" t="s">
        <v>134</v>
      </c>
      <c r="C355" s="94">
        <v>46242</v>
      </c>
      <c r="D355" s="91" t="s">
        <v>23</v>
      </c>
      <c r="E355" s="98">
        <v>2002</v>
      </c>
      <c r="F355" s="90">
        <v>0.193358</v>
      </c>
      <c r="G355" s="92">
        <v>6.3104099999999996E-2</v>
      </c>
    </row>
    <row r="356" spans="1:7" x14ac:dyDescent="0.3">
      <c r="A356" s="93" t="s">
        <v>88</v>
      </c>
      <c r="B356" s="106" t="s">
        <v>134</v>
      </c>
      <c r="C356" s="94">
        <v>46242</v>
      </c>
      <c r="D356" s="91" t="s">
        <v>24</v>
      </c>
      <c r="E356" s="98">
        <v>4266</v>
      </c>
      <c r="F356" s="90">
        <v>0.31382900000000002</v>
      </c>
      <c r="G356" s="92">
        <v>0.100622</v>
      </c>
    </row>
    <row r="357" spans="1:7" x14ac:dyDescent="0.3">
      <c r="A357" s="93" t="s">
        <v>88</v>
      </c>
      <c r="B357" s="106" t="s">
        <v>134</v>
      </c>
      <c r="C357" s="94">
        <v>46242</v>
      </c>
      <c r="D357" s="91" t="s">
        <v>25</v>
      </c>
      <c r="E357" s="98">
        <v>2182</v>
      </c>
      <c r="F357" s="90">
        <v>0.13646</v>
      </c>
      <c r="G357" s="92">
        <v>3.44975E-2</v>
      </c>
    </row>
    <row r="358" spans="1:7" x14ac:dyDescent="0.3">
      <c r="A358" s="93" t="s">
        <v>88</v>
      </c>
      <c r="B358" s="106" t="s">
        <v>134</v>
      </c>
      <c r="C358" s="94">
        <v>46242</v>
      </c>
      <c r="D358" s="91" t="s">
        <v>26</v>
      </c>
      <c r="E358" s="98">
        <v>4106</v>
      </c>
      <c r="F358" s="90">
        <v>0.21410299999999999</v>
      </c>
      <c r="G358" s="92">
        <v>6.8046899999999994E-2</v>
      </c>
    </row>
    <row r="359" spans="1:7" x14ac:dyDescent="0.3">
      <c r="A359" s="93" t="s">
        <v>88</v>
      </c>
      <c r="B359" s="106" t="s">
        <v>134</v>
      </c>
      <c r="C359" s="94">
        <v>46242</v>
      </c>
      <c r="D359" s="91" t="s">
        <v>27</v>
      </c>
      <c r="E359" s="98">
        <v>3478</v>
      </c>
      <c r="F359" s="90">
        <v>0.36802800000000002</v>
      </c>
      <c r="G359" s="92">
        <v>8.8501300000000005E-2</v>
      </c>
    </row>
    <row r="360" spans="1:7" x14ac:dyDescent="0.3">
      <c r="A360" s="93" t="s">
        <v>88</v>
      </c>
      <c r="B360" s="106" t="s">
        <v>134</v>
      </c>
      <c r="C360" s="94">
        <v>46242</v>
      </c>
      <c r="D360" s="91" t="s">
        <v>28</v>
      </c>
      <c r="E360" s="98">
        <v>2379</v>
      </c>
      <c r="F360" s="90">
        <v>0.316606</v>
      </c>
      <c r="G360" s="92">
        <v>7.4974899999999997E-2</v>
      </c>
    </row>
    <row r="361" spans="1:7" x14ac:dyDescent="0.3">
      <c r="A361" s="93" t="s">
        <v>88</v>
      </c>
      <c r="B361" s="106" t="s">
        <v>134</v>
      </c>
      <c r="C361" s="94">
        <v>46242</v>
      </c>
      <c r="D361" s="91" t="s">
        <v>29</v>
      </c>
      <c r="E361" s="98">
        <v>3003</v>
      </c>
      <c r="F361" s="90">
        <v>0.31798100000000001</v>
      </c>
      <c r="G361" s="92">
        <v>6.3462599999999994E-2</v>
      </c>
    </row>
    <row r="362" spans="1:7" x14ac:dyDescent="0.3">
      <c r="A362" s="93" t="s">
        <v>88</v>
      </c>
      <c r="B362" s="106" t="s">
        <v>134</v>
      </c>
      <c r="C362" s="94">
        <v>46242</v>
      </c>
      <c r="D362" s="91" t="s">
        <v>30</v>
      </c>
      <c r="E362" s="98">
        <v>2431</v>
      </c>
      <c r="F362" s="90">
        <v>0.48693700000000001</v>
      </c>
      <c r="G362" s="92">
        <v>0.10168199999999999</v>
      </c>
    </row>
    <row r="363" spans="1:7" x14ac:dyDescent="0.3">
      <c r="A363" s="93" t="s">
        <v>88</v>
      </c>
      <c r="B363" s="106" t="s">
        <v>136</v>
      </c>
      <c r="C363" s="94">
        <v>46242</v>
      </c>
      <c r="D363" s="91" t="s">
        <v>14</v>
      </c>
      <c r="E363" s="98">
        <v>4425</v>
      </c>
      <c r="F363" s="90">
        <v>0.48222399999999999</v>
      </c>
      <c r="G363" s="92">
        <v>0.135518</v>
      </c>
    </row>
    <row r="364" spans="1:7" x14ac:dyDescent="0.3">
      <c r="A364" s="93" t="s">
        <v>88</v>
      </c>
      <c r="B364" s="106" t="s">
        <v>136</v>
      </c>
      <c r="C364" s="94">
        <v>46242</v>
      </c>
      <c r="D364" s="91" t="s">
        <v>15</v>
      </c>
      <c r="E364" s="98">
        <v>4008</v>
      </c>
      <c r="F364" s="90">
        <v>0.43496099999999999</v>
      </c>
      <c r="G364" s="92">
        <v>0.114574</v>
      </c>
    </row>
    <row r="365" spans="1:7" x14ac:dyDescent="0.3">
      <c r="A365" s="93" t="s">
        <v>88</v>
      </c>
      <c r="B365" s="106" t="s">
        <v>136</v>
      </c>
      <c r="C365" s="94">
        <v>46242</v>
      </c>
      <c r="D365" s="91" t="s">
        <v>16</v>
      </c>
      <c r="E365" s="98">
        <v>3145</v>
      </c>
      <c r="F365" s="90">
        <v>0.48401</v>
      </c>
      <c r="G365" s="92">
        <v>0.113509</v>
      </c>
    </row>
    <row r="366" spans="1:7" x14ac:dyDescent="0.3">
      <c r="A366" s="93" t="s">
        <v>88</v>
      </c>
      <c r="B366" s="106" t="s">
        <v>136</v>
      </c>
      <c r="C366" s="94">
        <v>46242</v>
      </c>
      <c r="D366" s="91" t="s">
        <v>17</v>
      </c>
      <c r="E366" s="98">
        <v>3620</v>
      </c>
      <c r="F366" s="90">
        <v>0.51928300000000005</v>
      </c>
      <c r="G366" s="92">
        <v>0.102715</v>
      </c>
    </row>
    <row r="367" spans="1:7" x14ac:dyDescent="0.3">
      <c r="A367" s="93" t="s">
        <v>88</v>
      </c>
      <c r="B367" s="106" t="s">
        <v>136</v>
      </c>
      <c r="C367" s="94">
        <v>46242</v>
      </c>
      <c r="D367" s="91" t="s">
        <v>18</v>
      </c>
      <c r="E367" s="98">
        <v>3451</v>
      </c>
      <c r="F367" s="90">
        <v>0.28758899999999998</v>
      </c>
      <c r="G367" s="92">
        <v>6.8395600000000001E-2</v>
      </c>
    </row>
    <row r="368" spans="1:7" x14ac:dyDescent="0.3">
      <c r="A368" s="93" t="s">
        <v>88</v>
      </c>
      <c r="B368" s="106" t="s">
        <v>136</v>
      </c>
      <c r="C368" s="94">
        <v>46242</v>
      </c>
      <c r="D368" s="91" t="s">
        <v>19</v>
      </c>
      <c r="E368" s="98">
        <v>3099</v>
      </c>
      <c r="F368" s="90">
        <v>0.462119</v>
      </c>
      <c r="G368" s="92">
        <v>9.7178799999999996E-2</v>
      </c>
    </row>
    <row r="369" spans="1:7" x14ac:dyDescent="0.3">
      <c r="A369" s="93" t="s">
        <v>88</v>
      </c>
      <c r="B369" s="106" t="s">
        <v>136</v>
      </c>
      <c r="C369" s="94">
        <v>46242</v>
      </c>
      <c r="D369" s="91" t="s">
        <v>20</v>
      </c>
      <c r="E369" s="98">
        <v>3076</v>
      </c>
      <c r="F369" s="90">
        <v>0.42457699999999998</v>
      </c>
      <c r="G369" s="92">
        <v>8.8813299999999998E-2</v>
      </c>
    </row>
    <row r="370" spans="1:7" x14ac:dyDescent="0.3">
      <c r="A370" s="93" t="s">
        <v>88</v>
      </c>
      <c r="B370" s="106" t="s">
        <v>136</v>
      </c>
      <c r="C370" s="94">
        <v>46242</v>
      </c>
      <c r="D370" s="91" t="s">
        <v>34</v>
      </c>
      <c r="E370" s="98">
        <v>2000</v>
      </c>
      <c r="F370" s="90">
        <v>0.231267</v>
      </c>
      <c r="G370" s="92">
        <v>7.0090899999999998E-2</v>
      </c>
    </row>
    <row r="371" spans="1:7" x14ac:dyDescent="0.3">
      <c r="A371" s="93" t="s">
        <v>88</v>
      </c>
      <c r="B371" s="106" t="s">
        <v>136</v>
      </c>
      <c r="C371" s="94">
        <v>46242</v>
      </c>
      <c r="D371" s="91" t="s">
        <v>21</v>
      </c>
      <c r="E371" s="98">
        <v>5467</v>
      </c>
      <c r="F371" s="90">
        <v>0.52926799999999996</v>
      </c>
      <c r="G371" s="92">
        <v>0.10294300000000001</v>
      </c>
    </row>
    <row r="372" spans="1:7" x14ac:dyDescent="0.3">
      <c r="A372" s="93" t="s">
        <v>88</v>
      </c>
      <c r="B372" s="106" t="s">
        <v>136</v>
      </c>
      <c r="C372" s="94">
        <v>46242</v>
      </c>
      <c r="D372" s="91" t="s">
        <v>22</v>
      </c>
      <c r="E372" s="98">
        <v>4120</v>
      </c>
      <c r="F372" s="90">
        <v>0.391957</v>
      </c>
      <c r="G372" s="92">
        <v>0.106457</v>
      </c>
    </row>
    <row r="373" spans="1:7" x14ac:dyDescent="0.3">
      <c r="A373" s="93" t="s">
        <v>88</v>
      </c>
      <c r="B373" s="106" t="s">
        <v>136</v>
      </c>
      <c r="C373" s="94">
        <v>46242</v>
      </c>
      <c r="D373" s="91" t="s">
        <v>23</v>
      </c>
      <c r="E373" s="98">
        <v>2054</v>
      </c>
      <c r="F373" s="90">
        <v>0.45885799999999999</v>
      </c>
      <c r="G373" s="92">
        <v>0.15055499999999999</v>
      </c>
    </row>
    <row r="374" spans="1:7" x14ac:dyDescent="0.3">
      <c r="A374" s="93" t="s">
        <v>88</v>
      </c>
      <c r="B374" s="106" t="s">
        <v>136</v>
      </c>
      <c r="C374" s="94">
        <v>46242</v>
      </c>
      <c r="D374" s="91" t="s">
        <v>24</v>
      </c>
      <c r="E374" s="98">
        <v>4755</v>
      </c>
      <c r="F374" s="90">
        <v>0.219692</v>
      </c>
      <c r="G374" s="92">
        <v>6.7661299999999994E-2</v>
      </c>
    </row>
    <row r="375" spans="1:7" x14ac:dyDescent="0.3">
      <c r="A375" s="93" t="s">
        <v>88</v>
      </c>
      <c r="B375" s="106" t="s">
        <v>136</v>
      </c>
      <c r="C375" s="94">
        <v>46242</v>
      </c>
      <c r="D375" s="91" t="s">
        <v>25</v>
      </c>
      <c r="E375" s="98">
        <v>2136</v>
      </c>
      <c r="F375" s="90">
        <v>0.17380200000000001</v>
      </c>
      <c r="G375" s="92">
        <v>4.1760899999999997E-2</v>
      </c>
    </row>
    <row r="376" spans="1:7" x14ac:dyDescent="0.3">
      <c r="A376" s="93" t="s">
        <v>88</v>
      </c>
      <c r="B376" s="106" t="s">
        <v>136</v>
      </c>
      <c r="C376" s="94">
        <v>46242</v>
      </c>
      <c r="D376" s="91" t="s">
        <v>26</v>
      </c>
      <c r="E376" s="98">
        <v>4251</v>
      </c>
      <c r="F376" s="90">
        <v>0.18208099999999999</v>
      </c>
      <c r="G376" s="92">
        <v>5.8534200000000002E-2</v>
      </c>
    </row>
    <row r="377" spans="1:7" x14ac:dyDescent="0.3">
      <c r="A377" s="93" t="s">
        <v>88</v>
      </c>
      <c r="B377" s="106" t="s">
        <v>136</v>
      </c>
      <c r="C377" s="94">
        <v>46242</v>
      </c>
      <c r="D377" s="91" t="s">
        <v>27</v>
      </c>
      <c r="E377" s="98">
        <v>3625</v>
      </c>
      <c r="F377" s="90">
        <v>0.47998299999999999</v>
      </c>
      <c r="G377" s="92">
        <v>0.108922</v>
      </c>
    </row>
    <row r="378" spans="1:7" x14ac:dyDescent="0.3">
      <c r="A378" s="93" t="s">
        <v>88</v>
      </c>
      <c r="B378" s="106" t="s">
        <v>136</v>
      </c>
      <c r="C378" s="94">
        <v>46242</v>
      </c>
      <c r="D378" s="91" t="s">
        <v>28</v>
      </c>
      <c r="E378" s="98">
        <v>2174</v>
      </c>
      <c r="F378" s="90">
        <v>0.39772299999999999</v>
      </c>
      <c r="G378" s="92">
        <v>8.9244299999999999E-2</v>
      </c>
    </row>
    <row r="379" spans="1:7" x14ac:dyDescent="0.3">
      <c r="A379" s="93" t="s">
        <v>88</v>
      </c>
      <c r="B379" s="106" t="s">
        <v>136</v>
      </c>
      <c r="C379" s="94">
        <v>46242</v>
      </c>
      <c r="D379" s="91" t="s">
        <v>29</v>
      </c>
      <c r="E379" s="98">
        <v>2927</v>
      </c>
      <c r="F379" s="90">
        <v>0.36677399999999999</v>
      </c>
      <c r="G379" s="92">
        <v>7.5941999999999996E-2</v>
      </c>
    </row>
    <row r="380" spans="1:7" x14ac:dyDescent="0.3">
      <c r="A380" s="93" t="s">
        <v>88</v>
      </c>
      <c r="B380" s="106" t="s">
        <v>136</v>
      </c>
      <c r="C380" s="94">
        <v>46242</v>
      </c>
      <c r="D380" s="91" t="s">
        <v>30</v>
      </c>
      <c r="E380" s="98">
        <v>2407</v>
      </c>
      <c r="F380" s="90">
        <v>0.45352300000000001</v>
      </c>
      <c r="G380" s="92">
        <v>9.1211E-2</v>
      </c>
    </row>
    <row r="381" spans="1:7" x14ac:dyDescent="0.3">
      <c r="A381" s="93" t="s">
        <v>88</v>
      </c>
      <c r="B381" s="106" t="s">
        <v>137</v>
      </c>
      <c r="C381" s="94">
        <v>46242</v>
      </c>
      <c r="D381" s="91" t="s">
        <v>14</v>
      </c>
      <c r="E381" s="98">
        <v>3155</v>
      </c>
      <c r="F381" s="90">
        <v>0.57739700000000005</v>
      </c>
      <c r="G381" s="92">
        <v>0.16231799999999999</v>
      </c>
    </row>
    <row r="382" spans="1:7" x14ac:dyDescent="0.3">
      <c r="A382" s="93" t="s">
        <v>88</v>
      </c>
      <c r="B382" s="106" t="s">
        <v>137</v>
      </c>
      <c r="C382" s="94">
        <v>46242</v>
      </c>
      <c r="D382" s="91" t="s">
        <v>15</v>
      </c>
      <c r="E382" s="98">
        <v>2891</v>
      </c>
      <c r="F382" s="90">
        <v>0.43059700000000001</v>
      </c>
      <c r="G382" s="92">
        <v>0.113423</v>
      </c>
    </row>
    <row r="383" spans="1:7" x14ac:dyDescent="0.3">
      <c r="A383" s="93" t="s">
        <v>88</v>
      </c>
      <c r="B383" s="106" t="s">
        <v>137</v>
      </c>
      <c r="C383" s="94">
        <v>46242</v>
      </c>
      <c r="D383" s="91" t="s">
        <v>16</v>
      </c>
      <c r="E383" s="98">
        <v>2299</v>
      </c>
      <c r="F383" s="90">
        <v>0.52703900000000004</v>
      </c>
      <c r="G383" s="92">
        <v>0.123679</v>
      </c>
    </row>
    <row r="384" spans="1:7" x14ac:dyDescent="0.3">
      <c r="A384" s="93" t="s">
        <v>88</v>
      </c>
      <c r="B384" s="106" t="s">
        <v>137</v>
      </c>
      <c r="C384" s="94">
        <v>46242</v>
      </c>
      <c r="D384" s="91" t="s">
        <v>17</v>
      </c>
      <c r="E384" s="98">
        <v>2738</v>
      </c>
      <c r="F384" s="90">
        <v>0.51810599999999996</v>
      </c>
      <c r="G384" s="92">
        <v>0.102448</v>
      </c>
    </row>
    <row r="385" spans="1:7" x14ac:dyDescent="0.3">
      <c r="A385" s="93" t="s">
        <v>88</v>
      </c>
      <c r="B385" s="106" t="s">
        <v>137</v>
      </c>
      <c r="C385" s="94">
        <v>46242</v>
      </c>
      <c r="D385" s="91" t="s">
        <v>18</v>
      </c>
      <c r="E385" s="98">
        <v>2642</v>
      </c>
      <c r="F385" s="90">
        <v>0.35040900000000003</v>
      </c>
      <c r="G385" s="92">
        <v>8.33541E-2</v>
      </c>
    </row>
    <row r="386" spans="1:7" x14ac:dyDescent="0.3">
      <c r="A386" s="93" t="s">
        <v>88</v>
      </c>
      <c r="B386" s="106" t="s">
        <v>137</v>
      </c>
      <c r="C386" s="94">
        <v>46242</v>
      </c>
      <c r="D386" s="91" t="s">
        <v>19</v>
      </c>
      <c r="E386" s="98">
        <v>2543</v>
      </c>
      <c r="F386" s="90">
        <v>0.40422599999999997</v>
      </c>
      <c r="G386" s="92">
        <v>8.4992899999999996E-2</v>
      </c>
    </row>
    <row r="387" spans="1:7" x14ac:dyDescent="0.3">
      <c r="A387" s="93" t="s">
        <v>88</v>
      </c>
      <c r="B387" s="106" t="s">
        <v>137</v>
      </c>
      <c r="C387" s="94">
        <v>46242</v>
      </c>
      <c r="D387" s="91" t="s">
        <v>20</v>
      </c>
      <c r="E387" s="98">
        <v>2798</v>
      </c>
      <c r="F387" s="90">
        <v>0.40842800000000001</v>
      </c>
      <c r="G387" s="92">
        <v>8.5418400000000005E-2</v>
      </c>
    </row>
    <row r="388" spans="1:7" x14ac:dyDescent="0.3">
      <c r="A388" s="93" t="s">
        <v>88</v>
      </c>
      <c r="B388" s="106" t="s">
        <v>137</v>
      </c>
      <c r="C388" s="94">
        <v>46242</v>
      </c>
      <c r="D388" s="91" t="s">
        <v>34</v>
      </c>
      <c r="E388" s="98">
        <v>1503</v>
      </c>
      <c r="F388" s="90">
        <v>0.235595</v>
      </c>
      <c r="G388" s="92">
        <v>7.1409100000000003E-2</v>
      </c>
    </row>
    <row r="389" spans="1:7" x14ac:dyDescent="0.3">
      <c r="A389" s="93" t="s">
        <v>88</v>
      </c>
      <c r="B389" s="106" t="s">
        <v>137</v>
      </c>
      <c r="C389" s="94">
        <v>46242</v>
      </c>
      <c r="D389" s="91" t="s">
        <v>21</v>
      </c>
      <c r="E389" s="98">
        <v>4385</v>
      </c>
      <c r="F389" s="90">
        <v>0.48657400000000001</v>
      </c>
      <c r="G389" s="92">
        <v>9.4610299999999994E-2</v>
      </c>
    </row>
    <row r="390" spans="1:7" x14ac:dyDescent="0.3">
      <c r="A390" s="93" t="s">
        <v>88</v>
      </c>
      <c r="B390" s="106" t="s">
        <v>137</v>
      </c>
      <c r="C390" s="94">
        <v>46242</v>
      </c>
      <c r="D390" s="91" t="s">
        <v>22</v>
      </c>
      <c r="E390" s="98">
        <v>3444</v>
      </c>
      <c r="F390" s="90">
        <v>0.32663300000000001</v>
      </c>
      <c r="G390" s="92">
        <v>8.8690500000000005E-2</v>
      </c>
    </row>
    <row r="391" spans="1:7" x14ac:dyDescent="0.3">
      <c r="A391" s="93" t="s">
        <v>88</v>
      </c>
      <c r="B391" s="106" t="s">
        <v>137</v>
      </c>
      <c r="C391" s="94">
        <v>46242</v>
      </c>
      <c r="D391" s="91" t="s">
        <v>23</v>
      </c>
      <c r="E391" s="98">
        <v>1629</v>
      </c>
      <c r="F391" s="90">
        <v>0.244034</v>
      </c>
      <c r="G391" s="92">
        <v>8.0064999999999997E-2</v>
      </c>
    </row>
    <row r="392" spans="1:7" x14ac:dyDescent="0.3">
      <c r="A392" s="93" t="s">
        <v>88</v>
      </c>
      <c r="B392" s="106" t="s">
        <v>137</v>
      </c>
      <c r="C392" s="94">
        <v>46242</v>
      </c>
      <c r="D392" s="91" t="s">
        <v>24</v>
      </c>
      <c r="E392" s="98">
        <v>4006</v>
      </c>
      <c r="F392" s="90">
        <v>0.24411099999999999</v>
      </c>
      <c r="G392" s="92">
        <v>7.5211600000000003E-2</v>
      </c>
    </row>
    <row r="393" spans="1:7" x14ac:dyDescent="0.3">
      <c r="A393" s="93" t="s">
        <v>88</v>
      </c>
      <c r="B393" s="106" t="s">
        <v>137</v>
      </c>
      <c r="C393" s="94">
        <v>46242</v>
      </c>
      <c r="D393" s="91" t="s">
        <v>25</v>
      </c>
      <c r="E393" s="98">
        <v>1586</v>
      </c>
      <c r="F393" s="90">
        <v>0.17731</v>
      </c>
      <c r="G393" s="92">
        <v>4.2629300000000002E-2</v>
      </c>
    </row>
    <row r="394" spans="1:7" x14ac:dyDescent="0.3">
      <c r="A394" s="93" t="s">
        <v>88</v>
      </c>
      <c r="B394" s="106" t="s">
        <v>137</v>
      </c>
      <c r="C394" s="94">
        <v>46242</v>
      </c>
      <c r="D394" s="91" t="s">
        <v>26</v>
      </c>
      <c r="E394" s="98">
        <v>3716</v>
      </c>
      <c r="F394" s="90">
        <v>0.28298299999999998</v>
      </c>
      <c r="G394" s="92">
        <v>9.0974100000000002E-2</v>
      </c>
    </row>
    <row r="395" spans="1:7" x14ac:dyDescent="0.3">
      <c r="A395" s="93" t="s">
        <v>88</v>
      </c>
      <c r="B395" s="106" t="s">
        <v>137</v>
      </c>
      <c r="C395" s="94">
        <v>46242</v>
      </c>
      <c r="D395" s="91" t="s">
        <v>27</v>
      </c>
      <c r="E395" s="98">
        <v>3103</v>
      </c>
      <c r="F395" s="90">
        <v>0.43031399999999997</v>
      </c>
      <c r="G395" s="92">
        <v>9.7637399999999999E-2</v>
      </c>
    </row>
    <row r="396" spans="1:7" x14ac:dyDescent="0.3">
      <c r="A396" s="93" t="s">
        <v>88</v>
      </c>
      <c r="B396" s="106" t="s">
        <v>137</v>
      </c>
      <c r="C396" s="94">
        <v>46242</v>
      </c>
      <c r="D396" s="91" t="s">
        <v>28</v>
      </c>
      <c r="E396" s="98">
        <v>1700</v>
      </c>
      <c r="F396" s="90">
        <v>0.414939</v>
      </c>
      <c r="G396" s="92">
        <v>9.3091800000000002E-2</v>
      </c>
    </row>
    <row r="397" spans="1:7" x14ac:dyDescent="0.3">
      <c r="A397" s="93" t="s">
        <v>88</v>
      </c>
      <c r="B397" s="106" t="s">
        <v>137</v>
      </c>
      <c r="C397" s="94">
        <v>46242</v>
      </c>
      <c r="D397" s="91" t="s">
        <v>29</v>
      </c>
      <c r="E397" s="98">
        <v>2090</v>
      </c>
      <c r="F397" s="90">
        <v>0.37871700000000003</v>
      </c>
      <c r="G397" s="92">
        <v>7.8429700000000005E-2</v>
      </c>
    </row>
    <row r="398" spans="1:7" x14ac:dyDescent="0.3">
      <c r="A398" s="93" t="s">
        <v>88</v>
      </c>
      <c r="B398" s="106" t="s">
        <v>137</v>
      </c>
      <c r="C398" s="94">
        <v>46242</v>
      </c>
      <c r="D398" s="91" t="s">
        <v>30</v>
      </c>
      <c r="E398" s="98">
        <v>1605</v>
      </c>
      <c r="F398" s="90">
        <v>0.47492499999999999</v>
      </c>
      <c r="G398" s="92">
        <v>9.5510700000000004E-2</v>
      </c>
    </row>
    <row r="399" spans="1:7" x14ac:dyDescent="0.3">
      <c r="A399" s="93" t="s">
        <v>88</v>
      </c>
      <c r="B399" s="106" t="s">
        <v>138</v>
      </c>
      <c r="C399" s="94">
        <v>46242</v>
      </c>
      <c r="D399" s="91" t="s">
        <v>14</v>
      </c>
      <c r="E399" s="98">
        <v>2662</v>
      </c>
      <c r="F399" s="90">
        <v>0.561473</v>
      </c>
      <c r="G399" s="92">
        <v>0.14718300000000001</v>
      </c>
    </row>
    <row r="400" spans="1:7" x14ac:dyDescent="0.3">
      <c r="A400" s="93" t="s">
        <v>88</v>
      </c>
      <c r="B400" s="106" t="s">
        <v>138</v>
      </c>
      <c r="C400" s="94">
        <v>46242</v>
      </c>
      <c r="D400" s="91" t="s">
        <v>15</v>
      </c>
      <c r="E400" s="98">
        <v>2629</v>
      </c>
      <c r="F400" s="90">
        <v>0.443971</v>
      </c>
      <c r="G400" s="92">
        <v>0.11015900000000001</v>
      </c>
    </row>
    <row r="401" spans="1:7" x14ac:dyDescent="0.3">
      <c r="A401" s="93" t="s">
        <v>88</v>
      </c>
      <c r="B401" s="106" t="s">
        <v>138</v>
      </c>
      <c r="C401" s="94">
        <v>46242</v>
      </c>
      <c r="D401" s="91" t="s">
        <v>16</v>
      </c>
      <c r="E401" s="98">
        <v>2240</v>
      </c>
      <c r="F401" s="90">
        <v>0.55237000000000003</v>
      </c>
      <c r="G401" s="92">
        <v>0.12182999999999999</v>
      </c>
    </row>
    <row r="402" spans="1:7" x14ac:dyDescent="0.3">
      <c r="A402" s="93" t="s">
        <v>88</v>
      </c>
      <c r="B402" s="106" t="s">
        <v>138</v>
      </c>
      <c r="C402" s="94">
        <v>46242</v>
      </c>
      <c r="D402" s="91" t="s">
        <v>17</v>
      </c>
      <c r="E402" s="98">
        <v>2930</v>
      </c>
      <c r="F402" s="90">
        <v>0.54814499999999999</v>
      </c>
      <c r="G402" s="92">
        <v>0.114913</v>
      </c>
    </row>
    <row r="403" spans="1:7" x14ac:dyDescent="0.3">
      <c r="A403" s="93" t="s">
        <v>88</v>
      </c>
      <c r="B403" s="106" t="s">
        <v>138</v>
      </c>
      <c r="C403" s="94">
        <v>46242</v>
      </c>
      <c r="D403" s="91" t="s">
        <v>18</v>
      </c>
      <c r="E403" s="98">
        <v>2571</v>
      </c>
      <c r="F403" s="90">
        <v>0.29398000000000002</v>
      </c>
      <c r="G403" s="92">
        <v>6.6564499999999999E-2</v>
      </c>
    </row>
    <row r="404" spans="1:7" x14ac:dyDescent="0.3">
      <c r="A404" s="93" t="s">
        <v>88</v>
      </c>
      <c r="B404" s="106" t="s">
        <v>138</v>
      </c>
      <c r="C404" s="94">
        <v>46242</v>
      </c>
      <c r="D404" s="91" t="s">
        <v>19</v>
      </c>
      <c r="E404" s="98">
        <v>2621</v>
      </c>
      <c r="F404" s="90">
        <v>0.385986</v>
      </c>
      <c r="G404" s="92">
        <v>7.8905500000000003E-2</v>
      </c>
    </row>
    <row r="405" spans="1:7" x14ac:dyDescent="0.3">
      <c r="A405" s="93" t="s">
        <v>88</v>
      </c>
      <c r="B405" s="106" t="s">
        <v>138</v>
      </c>
      <c r="C405" s="94">
        <v>46242</v>
      </c>
      <c r="D405" s="91" t="s">
        <v>20</v>
      </c>
      <c r="E405" s="98">
        <v>2728</v>
      </c>
      <c r="F405" s="90">
        <v>0.44007600000000002</v>
      </c>
      <c r="G405" s="92">
        <v>9.0508500000000006E-2</v>
      </c>
    </row>
    <row r="406" spans="1:7" x14ac:dyDescent="0.3">
      <c r="A406" s="93" t="s">
        <v>88</v>
      </c>
      <c r="B406" s="106" t="s">
        <v>138</v>
      </c>
      <c r="C406" s="94">
        <v>46242</v>
      </c>
      <c r="D406" s="91" t="s">
        <v>34</v>
      </c>
      <c r="E406" s="98">
        <v>1628</v>
      </c>
      <c r="F406" s="90">
        <v>0.285381</v>
      </c>
      <c r="G406" s="92">
        <v>8.6932999999999996E-2</v>
      </c>
    </row>
    <row r="407" spans="1:7" x14ac:dyDescent="0.3">
      <c r="A407" s="93" t="s">
        <v>88</v>
      </c>
      <c r="B407" s="106" t="s">
        <v>138</v>
      </c>
      <c r="C407" s="94">
        <v>46242</v>
      </c>
      <c r="D407" s="91" t="s">
        <v>21</v>
      </c>
      <c r="E407" s="98">
        <v>4872</v>
      </c>
      <c r="F407" s="90">
        <v>0.48413299999999998</v>
      </c>
      <c r="G407" s="92">
        <v>9.6400299999999994E-2</v>
      </c>
    </row>
    <row r="408" spans="1:7" x14ac:dyDescent="0.3">
      <c r="A408" s="93" t="s">
        <v>88</v>
      </c>
      <c r="B408" s="106" t="s">
        <v>138</v>
      </c>
      <c r="C408" s="94">
        <v>46242</v>
      </c>
      <c r="D408" s="91" t="s">
        <v>22</v>
      </c>
      <c r="E408" s="98">
        <v>3464</v>
      </c>
      <c r="F408" s="90">
        <v>0.43481999999999998</v>
      </c>
      <c r="G408" s="92">
        <v>0.12692300000000001</v>
      </c>
    </row>
    <row r="409" spans="1:7" x14ac:dyDescent="0.3">
      <c r="A409" s="93" t="s">
        <v>88</v>
      </c>
      <c r="B409" s="106" t="s">
        <v>138</v>
      </c>
      <c r="C409" s="94">
        <v>46242</v>
      </c>
      <c r="D409" s="91" t="s">
        <v>23</v>
      </c>
      <c r="E409" s="98">
        <v>1503</v>
      </c>
      <c r="F409" s="90">
        <v>0.27046399999999998</v>
      </c>
      <c r="G409" s="92">
        <v>8.3149500000000001E-2</v>
      </c>
    </row>
    <row r="410" spans="1:7" x14ac:dyDescent="0.3">
      <c r="A410" s="93" t="s">
        <v>88</v>
      </c>
      <c r="B410" s="106" t="s">
        <v>138</v>
      </c>
      <c r="C410" s="94">
        <v>46242</v>
      </c>
      <c r="D410" s="91" t="s">
        <v>24</v>
      </c>
      <c r="E410" s="98">
        <v>3813</v>
      </c>
      <c r="F410" s="90">
        <v>0.22234200000000001</v>
      </c>
      <c r="G410" s="92">
        <v>6.7073199999999999E-2</v>
      </c>
    </row>
    <row r="411" spans="1:7" x14ac:dyDescent="0.3">
      <c r="A411" s="93" t="s">
        <v>88</v>
      </c>
      <c r="B411" s="106" t="s">
        <v>138</v>
      </c>
      <c r="C411" s="94">
        <v>46242</v>
      </c>
      <c r="D411" s="91" t="s">
        <v>25</v>
      </c>
      <c r="E411" s="98">
        <v>1642</v>
      </c>
      <c r="F411" s="90">
        <v>0.49094700000000002</v>
      </c>
      <c r="G411" s="92">
        <v>0.11973200000000001</v>
      </c>
    </row>
    <row r="412" spans="1:7" x14ac:dyDescent="0.3">
      <c r="A412" s="93" t="s">
        <v>88</v>
      </c>
      <c r="B412" s="106" t="s">
        <v>138</v>
      </c>
      <c r="C412" s="94">
        <v>46242</v>
      </c>
      <c r="D412" s="91" t="s">
        <v>26</v>
      </c>
      <c r="E412" s="98">
        <v>3703</v>
      </c>
      <c r="F412" s="90">
        <v>0.19323199999999999</v>
      </c>
      <c r="G412" s="92">
        <v>6.5538899999999997E-2</v>
      </c>
    </row>
    <row r="413" spans="1:7" x14ac:dyDescent="0.3">
      <c r="A413" s="93" t="s">
        <v>88</v>
      </c>
      <c r="B413" s="106" t="s">
        <v>138</v>
      </c>
      <c r="C413" s="94">
        <v>46242</v>
      </c>
      <c r="D413" s="91" t="s">
        <v>27</v>
      </c>
      <c r="E413" s="98">
        <v>3377</v>
      </c>
      <c r="F413" s="90">
        <v>0.26088499999999998</v>
      </c>
      <c r="G413" s="92">
        <v>6.1878799999999998E-2</v>
      </c>
    </row>
    <row r="414" spans="1:7" x14ac:dyDescent="0.3">
      <c r="A414" s="93" t="s">
        <v>88</v>
      </c>
      <c r="B414" s="106" t="s">
        <v>138</v>
      </c>
      <c r="C414" s="94">
        <v>46242</v>
      </c>
      <c r="D414" s="91" t="s">
        <v>28</v>
      </c>
      <c r="E414" s="98">
        <v>1705</v>
      </c>
      <c r="F414" s="90">
        <v>0.51904099999999997</v>
      </c>
      <c r="G414" s="92">
        <v>0.123903</v>
      </c>
    </row>
    <row r="415" spans="1:7" x14ac:dyDescent="0.3">
      <c r="A415" s="93" t="s">
        <v>88</v>
      </c>
      <c r="B415" s="106" t="s">
        <v>138</v>
      </c>
      <c r="C415" s="94">
        <v>46242</v>
      </c>
      <c r="D415" s="91" t="s">
        <v>29</v>
      </c>
      <c r="E415" s="98">
        <v>2023</v>
      </c>
      <c r="F415" s="90">
        <v>0.37871700000000003</v>
      </c>
      <c r="G415" s="92">
        <v>7.8429700000000005E-2</v>
      </c>
    </row>
    <row r="416" spans="1:7" x14ac:dyDescent="0.3">
      <c r="A416" s="93" t="s">
        <v>88</v>
      </c>
      <c r="B416" s="106" t="s">
        <v>138</v>
      </c>
      <c r="C416" s="94">
        <v>46242</v>
      </c>
      <c r="D416" s="91" t="s">
        <v>30</v>
      </c>
      <c r="E416" s="98">
        <v>1701</v>
      </c>
      <c r="F416" s="90">
        <v>0.55320800000000003</v>
      </c>
      <c r="G416" s="92">
        <v>0.11802799999999999</v>
      </c>
    </row>
    <row r="417" spans="1:7" x14ac:dyDescent="0.3">
      <c r="A417" s="93" t="s">
        <v>88</v>
      </c>
      <c r="B417" s="106" t="s">
        <v>139</v>
      </c>
      <c r="C417" s="94">
        <v>46242</v>
      </c>
      <c r="D417" s="91" t="s">
        <v>14</v>
      </c>
      <c r="E417" s="98">
        <v>2564</v>
      </c>
      <c r="F417" s="90">
        <v>0.56651200000000002</v>
      </c>
      <c r="G417" s="92">
        <v>0.15919700000000001</v>
      </c>
    </row>
    <row r="418" spans="1:7" x14ac:dyDescent="0.3">
      <c r="A418" s="93" t="s">
        <v>88</v>
      </c>
      <c r="B418" s="106" t="s">
        <v>139</v>
      </c>
      <c r="C418" s="94">
        <v>46242</v>
      </c>
      <c r="D418" s="91" t="s">
        <v>15</v>
      </c>
      <c r="E418" s="98">
        <v>2161</v>
      </c>
      <c r="F418" s="90">
        <v>0.48776599999999998</v>
      </c>
      <c r="G418" s="92">
        <v>0.128466</v>
      </c>
    </row>
    <row r="419" spans="1:7" x14ac:dyDescent="0.3">
      <c r="A419" s="93" t="s">
        <v>88</v>
      </c>
      <c r="B419" s="106" t="s">
        <v>139</v>
      </c>
      <c r="C419" s="94">
        <v>46242</v>
      </c>
      <c r="D419" s="91" t="s">
        <v>16</v>
      </c>
      <c r="E419" s="98">
        <v>1587</v>
      </c>
      <c r="F419" s="90">
        <v>0.47037000000000001</v>
      </c>
      <c r="G419" s="92">
        <v>0.1103</v>
      </c>
    </row>
    <row r="420" spans="1:7" x14ac:dyDescent="0.3">
      <c r="A420" s="93" t="s">
        <v>88</v>
      </c>
      <c r="B420" s="106" t="s">
        <v>139</v>
      </c>
      <c r="C420" s="94">
        <v>46242</v>
      </c>
      <c r="D420" s="91" t="s">
        <v>17</v>
      </c>
      <c r="E420" s="98">
        <v>1818</v>
      </c>
      <c r="F420" s="90">
        <v>0.58029200000000003</v>
      </c>
      <c r="G420" s="92">
        <v>0.114796</v>
      </c>
    </row>
    <row r="421" spans="1:7" x14ac:dyDescent="0.3">
      <c r="A421" s="93" t="s">
        <v>88</v>
      </c>
      <c r="B421" s="106" t="s">
        <v>139</v>
      </c>
      <c r="C421" s="94">
        <v>46242</v>
      </c>
      <c r="D421" s="91" t="s">
        <v>18</v>
      </c>
      <c r="E421" s="98">
        <v>1939</v>
      </c>
      <c r="F421" s="90">
        <v>0.29561399999999999</v>
      </c>
      <c r="G421" s="92">
        <v>7.0275799999999999E-2</v>
      </c>
    </row>
    <row r="422" spans="1:7" x14ac:dyDescent="0.3">
      <c r="A422" s="93" t="s">
        <v>88</v>
      </c>
      <c r="B422" s="106" t="s">
        <v>139</v>
      </c>
      <c r="C422" s="94">
        <v>46242</v>
      </c>
      <c r="D422" s="91" t="s">
        <v>19</v>
      </c>
      <c r="E422" s="98">
        <v>1679</v>
      </c>
      <c r="F422" s="90">
        <v>0.42550399999999999</v>
      </c>
      <c r="G422" s="92">
        <v>8.9453500000000005E-2</v>
      </c>
    </row>
    <row r="423" spans="1:7" x14ac:dyDescent="0.3">
      <c r="A423" s="93" t="s">
        <v>88</v>
      </c>
      <c r="B423" s="106" t="s">
        <v>139</v>
      </c>
      <c r="C423" s="94">
        <v>46242</v>
      </c>
      <c r="D423" s="91" t="s">
        <v>20</v>
      </c>
      <c r="E423" s="98">
        <v>1796</v>
      </c>
      <c r="F423" s="90">
        <v>0.39746500000000001</v>
      </c>
      <c r="G423" s="92">
        <v>8.3117800000000006E-2</v>
      </c>
    </row>
    <row r="424" spans="1:7" x14ac:dyDescent="0.3">
      <c r="A424" s="93" t="s">
        <v>88</v>
      </c>
      <c r="B424" s="106" t="s">
        <v>139</v>
      </c>
      <c r="C424" s="94">
        <v>46242</v>
      </c>
      <c r="D424" s="91" t="s">
        <v>34</v>
      </c>
      <c r="E424" s="98">
        <v>1147</v>
      </c>
      <c r="F424" s="90">
        <v>0.22221299999999999</v>
      </c>
      <c r="G424" s="92">
        <v>6.7343E-2</v>
      </c>
    </row>
    <row r="425" spans="1:7" x14ac:dyDescent="0.3">
      <c r="A425" s="93" t="s">
        <v>88</v>
      </c>
      <c r="B425" s="106" t="s">
        <v>139</v>
      </c>
      <c r="C425" s="94">
        <v>46242</v>
      </c>
      <c r="D425" s="91" t="s">
        <v>21</v>
      </c>
      <c r="E425" s="98">
        <v>3324</v>
      </c>
      <c r="F425" s="90">
        <v>0.43684299999999998</v>
      </c>
      <c r="G425" s="92">
        <v>8.4972099999999995E-2</v>
      </c>
    </row>
    <row r="426" spans="1:7" x14ac:dyDescent="0.3">
      <c r="A426" s="93" t="s">
        <v>88</v>
      </c>
      <c r="B426" s="106" t="s">
        <v>139</v>
      </c>
      <c r="C426" s="94">
        <v>46242</v>
      </c>
      <c r="D426" s="91" t="s">
        <v>22</v>
      </c>
      <c r="E426" s="98">
        <v>2112</v>
      </c>
      <c r="F426" s="90">
        <v>0.396287</v>
      </c>
      <c r="G426" s="92">
        <v>0.107642</v>
      </c>
    </row>
    <row r="427" spans="1:7" x14ac:dyDescent="0.3">
      <c r="A427" s="93" t="s">
        <v>88</v>
      </c>
      <c r="B427" s="106" t="s">
        <v>139</v>
      </c>
      <c r="C427" s="94">
        <v>46242</v>
      </c>
      <c r="D427" s="91" t="s">
        <v>23</v>
      </c>
      <c r="E427" s="98">
        <v>1259</v>
      </c>
      <c r="F427" s="90">
        <v>0.215197</v>
      </c>
      <c r="G427" s="92">
        <v>7.0586399999999994E-2</v>
      </c>
    </row>
    <row r="428" spans="1:7" x14ac:dyDescent="0.3">
      <c r="A428" s="93" t="s">
        <v>88</v>
      </c>
      <c r="B428" s="106" t="s">
        <v>139</v>
      </c>
      <c r="C428" s="94">
        <v>46242</v>
      </c>
      <c r="D428" s="91" t="s">
        <v>24</v>
      </c>
      <c r="E428" s="98">
        <v>2856</v>
      </c>
      <c r="F428" s="90">
        <v>0.19991300000000001</v>
      </c>
      <c r="G428" s="92">
        <v>6.1593500000000002E-2</v>
      </c>
    </row>
    <row r="429" spans="1:7" x14ac:dyDescent="0.3">
      <c r="A429" s="93" t="s">
        <v>88</v>
      </c>
      <c r="B429" s="106" t="s">
        <v>139</v>
      </c>
      <c r="C429" s="94">
        <v>46242</v>
      </c>
      <c r="D429" s="91" t="s">
        <v>25</v>
      </c>
      <c r="E429" s="98">
        <v>1151</v>
      </c>
      <c r="F429" s="90">
        <v>0.21311099999999999</v>
      </c>
      <c r="G429" s="92">
        <v>5.1241000000000002E-2</v>
      </c>
    </row>
    <row r="430" spans="1:7" x14ac:dyDescent="0.3">
      <c r="A430" s="93" t="s">
        <v>88</v>
      </c>
      <c r="B430" s="106" t="s">
        <v>139</v>
      </c>
      <c r="C430" s="94">
        <v>46242</v>
      </c>
      <c r="D430" s="91" t="s">
        <v>26</v>
      </c>
      <c r="E430" s="98">
        <v>2416</v>
      </c>
      <c r="F430" s="90">
        <v>0.18479499999999999</v>
      </c>
      <c r="G430" s="92">
        <v>5.9408500000000003E-2</v>
      </c>
    </row>
    <row r="431" spans="1:7" x14ac:dyDescent="0.3">
      <c r="A431" s="93" t="s">
        <v>88</v>
      </c>
      <c r="B431" s="106" t="s">
        <v>139</v>
      </c>
      <c r="C431" s="94">
        <v>46242</v>
      </c>
      <c r="D431" s="91" t="s">
        <v>27</v>
      </c>
      <c r="E431" s="98">
        <v>2273</v>
      </c>
      <c r="F431" s="90">
        <v>0.34870800000000002</v>
      </c>
      <c r="G431" s="92">
        <v>7.9068100000000002E-2</v>
      </c>
    </row>
    <row r="432" spans="1:7" x14ac:dyDescent="0.3">
      <c r="A432" s="93" t="s">
        <v>88</v>
      </c>
      <c r="B432" s="106" t="s">
        <v>139</v>
      </c>
      <c r="C432" s="94">
        <v>46242</v>
      </c>
      <c r="D432" s="91" t="s">
        <v>28</v>
      </c>
      <c r="E432" s="98">
        <v>1105</v>
      </c>
      <c r="F432" s="90">
        <v>0.46557199999999999</v>
      </c>
      <c r="G432" s="92">
        <v>0.104514</v>
      </c>
    </row>
    <row r="433" spans="1:7" x14ac:dyDescent="0.3">
      <c r="A433" s="93" t="s">
        <v>88</v>
      </c>
      <c r="B433" s="106" t="s">
        <v>139</v>
      </c>
      <c r="C433" s="94">
        <v>46242</v>
      </c>
      <c r="D433" s="91" t="s">
        <v>29</v>
      </c>
      <c r="E433" s="98">
        <v>1521</v>
      </c>
      <c r="F433" s="90">
        <v>0.40725299999999998</v>
      </c>
      <c r="G433" s="92">
        <v>8.4299100000000002E-2</v>
      </c>
    </row>
    <row r="434" spans="1:7" x14ac:dyDescent="0.3">
      <c r="A434" s="93" t="s">
        <v>88</v>
      </c>
      <c r="B434" s="106" t="s">
        <v>139</v>
      </c>
      <c r="C434" s="94">
        <v>46242</v>
      </c>
      <c r="D434" s="91" t="s">
        <v>30</v>
      </c>
      <c r="E434" s="98">
        <v>1002</v>
      </c>
      <c r="F434" s="90">
        <v>0.53174200000000005</v>
      </c>
      <c r="G434" s="92">
        <v>0.10696600000000001</v>
      </c>
    </row>
    <row r="435" spans="1:7" x14ac:dyDescent="0.3">
      <c r="A435" s="93" t="s">
        <v>88</v>
      </c>
      <c r="B435" s="106" t="s">
        <v>140</v>
      </c>
      <c r="C435" s="94">
        <v>46242</v>
      </c>
      <c r="D435" s="91" t="s">
        <v>14</v>
      </c>
      <c r="E435" s="98">
        <v>2032</v>
      </c>
      <c r="F435" s="90">
        <v>0.55515800000000004</v>
      </c>
      <c r="G435" s="92">
        <v>0.140682</v>
      </c>
    </row>
    <row r="436" spans="1:7" x14ac:dyDescent="0.3">
      <c r="A436" s="93" t="s">
        <v>88</v>
      </c>
      <c r="B436" s="106" t="s">
        <v>140</v>
      </c>
      <c r="C436" s="94">
        <v>46242</v>
      </c>
      <c r="D436" s="91" t="s">
        <v>15</v>
      </c>
      <c r="E436" s="98">
        <v>1851</v>
      </c>
      <c r="F436" s="90">
        <v>0.393627</v>
      </c>
      <c r="G436" s="92">
        <v>9.4086199999999995E-2</v>
      </c>
    </row>
    <row r="437" spans="1:7" x14ac:dyDescent="0.3">
      <c r="A437" s="93" t="s">
        <v>88</v>
      </c>
      <c r="B437" s="106" t="s">
        <v>140</v>
      </c>
      <c r="C437" s="94">
        <v>46242</v>
      </c>
      <c r="D437" s="91" t="s">
        <v>16</v>
      </c>
      <c r="E437" s="98">
        <v>1543</v>
      </c>
      <c r="F437" s="90">
        <v>0.51980000000000004</v>
      </c>
      <c r="G437" s="92">
        <v>0.10842499999999999</v>
      </c>
    </row>
    <row r="438" spans="1:7" x14ac:dyDescent="0.3">
      <c r="A438" s="93" t="s">
        <v>88</v>
      </c>
      <c r="B438" s="106" t="s">
        <v>140</v>
      </c>
      <c r="C438" s="94">
        <v>46242</v>
      </c>
      <c r="D438" s="91" t="s">
        <v>17</v>
      </c>
      <c r="E438" s="98">
        <v>1904</v>
      </c>
      <c r="F438" s="90">
        <v>0.44204700000000002</v>
      </c>
      <c r="G438" s="92">
        <v>9.6364099999999994E-2</v>
      </c>
    </row>
    <row r="439" spans="1:7" x14ac:dyDescent="0.3">
      <c r="A439" s="93" t="s">
        <v>88</v>
      </c>
      <c r="B439" s="106" t="s">
        <v>140</v>
      </c>
      <c r="C439" s="94">
        <v>46242</v>
      </c>
      <c r="D439" s="91" t="s">
        <v>18</v>
      </c>
      <c r="E439" s="98">
        <v>1932</v>
      </c>
      <c r="F439" s="90">
        <v>0.29561399999999999</v>
      </c>
      <c r="G439" s="92">
        <v>7.0275799999999999E-2</v>
      </c>
    </row>
    <row r="440" spans="1:7" x14ac:dyDescent="0.3">
      <c r="A440" s="93" t="s">
        <v>88</v>
      </c>
      <c r="B440" s="106" t="s">
        <v>140</v>
      </c>
      <c r="C440" s="94">
        <v>46242</v>
      </c>
      <c r="D440" s="91" t="s">
        <v>19</v>
      </c>
      <c r="E440" s="98">
        <v>1704</v>
      </c>
      <c r="F440" s="90">
        <v>0.39001000000000002</v>
      </c>
      <c r="G440" s="92">
        <v>7.57322E-2</v>
      </c>
    </row>
    <row r="441" spans="1:7" x14ac:dyDescent="0.3">
      <c r="A441" s="93" t="s">
        <v>88</v>
      </c>
      <c r="B441" s="106" t="s">
        <v>140</v>
      </c>
      <c r="C441" s="94">
        <v>46242</v>
      </c>
      <c r="D441" s="91" t="s">
        <v>20</v>
      </c>
      <c r="E441" s="98">
        <v>1864</v>
      </c>
      <c r="F441" s="90">
        <v>0.44247199999999998</v>
      </c>
      <c r="G441" s="92">
        <v>8.6677000000000004E-2</v>
      </c>
    </row>
    <row r="442" spans="1:7" x14ac:dyDescent="0.3">
      <c r="A442" s="93" t="s">
        <v>88</v>
      </c>
      <c r="B442" s="106" t="s">
        <v>140</v>
      </c>
      <c r="C442" s="94">
        <v>46242</v>
      </c>
      <c r="D442" s="91" t="s">
        <v>34</v>
      </c>
      <c r="E442" s="98">
        <v>1004</v>
      </c>
      <c r="F442" s="90">
        <v>0.24021700000000001</v>
      </c>
      <c r="G442" s="92">
        <v>6.9356699999999993E-2</v>
      </c>
    </row>
    <row r="443" spans="1:7" x14ac:dyDescent="0.3">
      <c r="A443" s="93" t="s">
        <v>88</v>
      </c>
      <c r="B443" s="106" t="s">
        <v>140</v>
      </c>
      <c r="C443" s="94">
        <v>46242</v>
      </c>
      <c r="D443" s="91" t="s">
        <v>21</v>
      </c>
      <c r="E443" s="98">
        <v>3265</v>
      </c>
      <c r="F443" s="90">
        <v>0.42774800000000002</v>
      </c>
      <c r="G443" s="92">
        <v>8.9605099999999993E-2</v>
      </c>
    </row>
    <row r="444" spans="1:7" x14ac:dyDescent="0.3">
      <c r="A444" s="93" t="s">
        <v>88</v>
      </c>
      <c r="B444" s="106" t="s">
        <v>140</v>
      </c>
      <c r="C444" s="94">
        <v>46242</v>
      </c>
      <c r="D444" s="91" t="s">
        <v>22</v>
      </c>
      <c r="E444" s="98">
        <v>2185</v>
      </c>
      <c r="F444" s="90">
        <v>0.373276</v>
      </c>
      <c r="G444" s="92">
        <v>0.111995</v>
      </c>
    </row>
    <row r="445" spans="1:7" x14ac:dyDescent="0.3">
      <c r="A445" s="93" t="s">
        <v>88</v>
      </c>
      <c r="B445" s="106" t="s">
        <v>140</v>
      </c>
      <c r="C445" s="94">
        <v>46242</v>
      </c>
      <c r="D445" s="91" t="s">
        <v>23</v>
      </c>
      <c r="E445" s="98">
        <v>1097</v>
      </c>
      <c r="F445" s="90">
        <v>0.417854</v>
      </c>
      <c r="G445" s="92">
        <v>0.12665100000000001</v>
      </c>
    </row>
    <row r="446" spans="1:7" x14ac:dyDescent="0.3">
      <c r="A446" s="93" t="s">
        <v>88</v>
      </c>
      <c r="B446" s="106" t="s">
        <v>140</v>
      </c>
      <c r="C446" s="94">
        <v>46242</v>
      </c>
      <c r="D446" s="91" t="s">
        <v>24</v>
      </c>
      <c r="E446" s="98">
        <v>2729</v>
      </c>
      <c r="F446" s="90">
        <v>0.18465300000000001</v>
      </c>
      <c r="G446" s="92">
        <v>5.7549400000000001E-2</v>
      </c>
    </row>
    <row r="447" spans="1:7" x14ac:dyDescent="0.3">
      <c r="A447" s="93" t="s">
        <v>88</v>
      </c>
      <c r="B447" s="106" t="s">
        <v>140</v>
      </c>
      <c r="C447" s="94">
        <v>46242</v>
      </c>
      <c r="D447" s="91" t="s">
        <v>25</v>
      </c>
      <c r="E447" s="98">
        <v>1063</v>
      </c>
      <c r="F447" s="90">
        <v>0.17080200000000001</v>
      </c>
      <c r="G447" s="92">
        <v>4.3830000000000001E-2</v>
      </c>
    </row>
    <row r="448" spans="1:7" x14ac:dyDescent="0.3">
      <c r="A448" s="93" t="s">
        <v>88</v>
      </c>
      <c r="B448" s="106" t="s">
        <v>140</v>
      </c>
      <c r="C448" s="94">
        <v>46242</v>
      </c>
      <c r="D448" s="91" t="s">
        <v>26</v>
      </c>
      <c r="E448" s="98">
        <v>2275</v>
      </c>
      <c r="F448" s="90">
        <v>0.25070900000000002</v>
      </c>
      <c r="G448" s="92">
        <v>8.3557000000000006E-2</v>
      </c>
    </row>
    <row r="449" spans="1:7" x14ac:dyDescent="0.3">
      <c r="A449" s="93" t="s">
        <v>88</v>
      </c>
      <c r="B449" s="106" t="s">
        <v>140</v>
      </c>
      <c r="C449" s="94">
        <v>46242</v>
      </c>
      <c r="D449" s="91" t="s">
        <v>27</v>
      </c>
      <c r="E449" s="98">
        <v>2267</v>
      </c>
      <c r="F449" s="90">
        <v>0.33150099999999999</v>
      </c>
      <c r="G449" s="92">
        <v>8.4053900000000001E-2</v>
      </c>
    </row>
    <row r="450" spans="1:7" x14ac:dyDescent="0.3">
      <c r="A450" s="93" t="s">
        <v>88</v>
      </c>
      <c r="B450" s="106" t="s">
        <v>140</v>
      </c>
      <c r="C450" s="94">
        <v>46242</v>
      </c>
      <c r="D450" s="91" t="s">
        <v>28</v>
      </c>
      <c r="E450" s="98">
        <v>1343</v>
      </c>
      <c r="F450" s="90">
        <v>0.36375299999999999</v>
      </c>
      <c r="G450" s="92">
        <v>9.2755599999999994E-2</v>
      </c>
    </row>
    <row r="451" spans="1:7" x14ac:dyDescent="0.3">
      <c r="A451" s="93" t="s">
        <v>88</v>
      </c>
      <c r="B451" s="106" t="s">
        <v>140</v>
      </c>
      <c r="C451" s="94">
        <v>46242</v>
      </c>
      <c r="D451" s="91" t="s">
        <v>29</v>
      </c>
      <c r="E451" s="98">
        <v>1392</v>
      </c>
      <c r="F451" s="90">
        <v>0.40725299999999998</v>
      </c>
      <c r="G451" s="92">
        <v>8.4299100000000002E-2</v>
      </c>
    </row>
    <row r="452" spans="1:7" x14ac:dyDescent="0.3">
      <c r="A452" s="93" t="s">
        <v>88</v>
      </c>
      <c r="B452" s="106" t="s">
        <v>140</v>
      </c>
      <c r="C452" s="94">
        <v>46242</v>
      </c>
      <c r="D452" s="91" t="s">
        <v>30</v>
      </c>
      <c r="E452" s="98">
        <v>1206</v>
      </c>
      <c r="F452" s="90">
        <v>0.45145600000000002</v>
      </c>
      <c r="G452" s="92">
        <v>0.100788</v>
      </c>
    </row>
    <row r="453" spans="1:7" x14ac:dyDescent="0.3">
      <c r="A453" s="93" t="s">
        <v>81</v>
      </c>
      <c r="B453" s="105" t="s">
        <v>89</v>
      </c>
      <c r="C453" s="94">
        <v>46244</v>
      </c>
      <c r="D453" s="91" t="s">
        <v>14</v>
      </c>
      <c r="E453" s="98">
        <v>2617</v>
      </c>
      <c r="F453" s="90">
        <v>0.51635399999999998</v>
      </c>
      <c r="G453" s="92">
        <v>0.145202</v>
      </c>
    </row>
    <row r="454" spans="1:7" x14ac:dyDescent="0.3">
      <c r="A454" s="93" t="s">
        <v>81</v>
      </c>
      <c r="B454" s="105" t="s">
        <v>89</v>
      </c>
      <c r="C454" s="94">
        <v>46244</v>
      </c>
      <c r="D454" s="91" t="s">
        <v>15</v>
      </c>
      <c r="E454" s="98">
        <v>2140</v>
      </c>
      <c r="F454" s="90">
        <v>0.53041499999999997</v>
      </c>
      <c r="G454" s="92">
        <v>0.13970399999999999</v>
      </c>
    </row>
    <row r="455" spans="1:7" x14ac:dyDescent="0.3">
      <c r="A455" s="93" t="s">
        <v>81</v>
      </c>
      <c r="B455" s="105" t="s">
        <v>89</v>
      </c>
      <c r="C455" s="94">
        <v>46244</v>
      </c>
      <c r="D455" s="91" t="s">
        <v>16</v>
      </c>
      <c r="E455" s="98">
        <v>1369</v>
      </c>
      <c r="F455" s="90">
        <v>0.60772400000000004</v>
      </c>
      <c r="G455" s="92">
        <v>0.142537</v>
      </c>
    </row>
    <row r="456" spans="1:7" x14ac:dyDescent="0.3">
      <c r="A456" s="93" t="s">
        <v>81</v>
      </c>
      <c r="B456" s="105" t="s">
        <v>89</v>
      </c>
      <c r="C456" s="94">
        <v>46244</v>
      </c>
      <c r="D456" s="91" t="s">
        <v>17</v>
      </c>
      <c r="E456" s="98">
        <v>1760</v>
      </c>
      <c r="F456" s="90">
        <v>0.573071</v>
      </c>
      <c r="G456" s="92">
        <v>0.11326600000000001</v>
      </c>
    </row>
    <row r="457" spans="1:7" x14ac:dyDescent="0.3">
      <c r="A457" s="93" t="s">
        <v>81</v>
      </c>
      <c r="B457" s="105" t="s">
        <v>89</v>
      </c>
      <c r="C457" s="94">
        <v>46244</v>
      </c>
      <c r="D457" s="91" t="s">
        <v>18</v>
      </c>
      <c r="E457" s="98">
        <v>1807</v>
      </c>
      <c r="F457" s="90">
        <v>0.44016699999999997</v>
      </c>
      <c r="G457" s="92">
        <v>0.10468</v>
      </c>
    </row>
    <row r="458" spans="1:7" x14ac:dyDescent="0.3">
      <c r="A458" s="93" t="s">
        <v>81</v>
      </c>
      <c r="B458" s="105" t="s">
        <v>89</v>
      </c>
      <c r="C458" s="94">
        <v>46244</v>
      </c>
      <c r="D458" s="91" t="s">
        <v>19</v>
      </c>
      <c r="E458" s="98">
        <v>1350</v>
      </c>
      <c r="F458" s="90">
        <v>0.68363499999999999</v>
      </c>
      <c r="G458" s="92">
        <v>0.14379</v>
      </c>
    </row>
    <row r="459" spans="1:7" x14ac:dyDescent="0.3">
      <c r="A459" s="93" t="s">
        <v>81</v>
      </c>
      <c r="B459" s="105" t="s">
        <v>89</v>
      </c>
      <c r="C459" s="94">
        <v>46244</v>
      </c>
      <c r="D459" s="91" t="s">
        <v>20</v>
      </c>
      <c r="E459" s="98">
        <v>1165</v>
      </c>
      <c r="F459" s="90">
        <v>0.68407899999999999</v>
      </c>
      <c r="G459" s="92">
        <v>0.14311299999999999</v>
      </c>
    </row>
    <row r="460" spans="1:7" x14ac:dyDescent="0.3">
      <c r="A460" s="93" t="s">
        <v>81</v>
      </c>
      <c r="B460" s="105" t="s">
        <v>89</v>
      </c>
      <c r="C460" s="94">
        <v>46244</v>
      </c>
      <c r="D460" s="91" t="s">
        <v>34</v>
      </c>
      <c r="E460" s="98">
        <v>1255</v>
      </c>
      <c r="F460" s="90">
        <v>0.23006199999999999</v>
      </c>
      <c r="G460" s="92">
        <v>6.9675000000000001E-2</v>
      </c>
    </row>
    <row r="461" spans="1:7" x14ac:dyDescent="0.3">
      <c r="A461" s="93" t="s">
        <v>81</v>
      </c>
      <c r="B461" s="105" t="s">
        <v>89</v>
      </c>
      <c r="C461" s="94">
        <v>46244</v>
      </c>
      <c r="D461" s="91" t="s">
        <v>21</v>
      </c>
      <c r="E461" s="98">
        <v>1866</v>
      </c>
      <c r="F461" s="90">
        <v>0.62954500000000002</v>
      </c>
      <c r="G461" s="92">
        <v>0.122422</v>
      </c>
    </row>
    <row r="462" spans="1:7" x14ac:dyDescent="0.3">
      <c r="A462" s="93" t="s">
        <v>81</v>
      </c>
      <c r="B462" s="105" t="s">
        <v>89</v>
      </c>
      <c r="C462" s="94">
        <v>46244</v>
      </c>
      <c r="D462" s="91" t="s">
        <v>22</v>
      </c>
      <c r="E462" s="98">
        <v>2103</v>
      </c>
      <c r="F462" s="90">
        <v>0.47446700000000003</v>
      </c>
      <c r="G462" s="92">
        <v>0.12889400000000001</v>
      </c>
    </row>
    <row r="463" spans="1:7" x14ac:dyDescent="0.3">
      <c r="A463" s="93" t="s">
        <v>81</v>
      </c>
      <c r="B463" s="105" t="s">
        <v>89</v>
      </c>
      <c r="C463" s="94">
        <v>46244</v>
      </c>
      <c r="D463" s="91" t="s">
        <v>23</v>
      </c>
      <c r="E463" s="98">
        <v>1637</v>
      </c>
      <c r="F463" s="90">
        <v>0.421072</v>
      </c>
      <c r="G463" s="92">
        <v>0.13805799999999999</v>
      </c>
    </row>
    <row r="464" spans="1:7" x14ac:dyDescent="0.3">
      <c r="A464" s="93" t="s">
        <v>81</v>
      </c>
      <c r="B464" s="105" t="s">
        <v>89</v>
      </c>
      <c r="C464" s="94">
        <v>46244</v>
      </c>
      <c r="D464" s="91" t="s">
        <v>24</v>
      </c>
      <c r="E464" s="98">
        <v>2879</v>
      </c>
      <c r="F464" s="90">
        <v>0.46968599999999999</v>
      </c>
      <c r="G464" s="92">
        <v>0.14469499999999999</v>
      </c>
    </row>
    <row r="465" spans="1:7" x14ac:dyDescent="0.3">
      <c r="A465" s="93" t="s">
        <v>81</v>
      </c>
      <c r="B465" s="105" t="s">
        <v>89</v>
      </c>
      <c r="C465" s="94">
        <v>46244</v>
      </c>
      <c r="D465" s="91" t="s">
        <v>25</v>
      </c>
      <c r="E465" s="98">
        <v>1182</v>
      </c>
      <c r="F465" s="90">
        <v>0.19611799999999999</v>
      </c>
      <c r="G465" s="92">
        <v>4.7153599999999997E-2</v>
      </c>
    </row>
    <row r="466" spans="1:7" x14ac:dyDescent="0.3">
      <c r="A466" s="93" t="s">
        <v>81</v>
      </c>
      <c r="B466" s="105" t="s">
        <v>89</v>
      </c>
      <c r="C466" s="94">
        <v>46244</v>
      </c>
      <c r="D466" s="91" t="s">
        <v>26</v>
      </c>
      <c r="E466" s="98">
        <v>2147</v>
      </c>
      <c r="F466" s="90">
        <v>0.32267400000000002</v>
      </c>
      <c r="G466" s="92">
        <v>0.103725</v>
      </c>
    </row>
    <row r="467" spans="1:7" x14ac:dyDescent="0.3">
      <c r="A467" s="93" t="s">
        <v>81</v>
      </c>
      <c r="B467" s="105" t="s">
        <v>89</v>
      </c>
      <c r="C467" s="94">
        <v>46244</v>
      </c>
      <c r="D467" s="91" t="s">
        <v>27</v>
      </c>
      <c r="E467" s="98">
        <v>1528</v>
      </c>
      <c r="F467" s="90">
        <v>0.65305100000000005</v>
      </c>
      <c r="G467" s="92">
        <v>0.14813200000000001</v>
      </c>
    </row>
    <row r="468" spans="1:7" x14ac:dyDescent="0.3">
      <c r="A468" s="93" t="s">
        <v>81</v>
      </c>
      <c r="B468" s="105" t="s">
        <v>89</v>
      </c>
      <c r="C468" s="94">
        <v>46244</v>
      </c>
      <c r="D468" s="91" t="s">
        <v>28</v>
      </c>
      <c r="E468" s="98">
        <v>1543</v>
      </c>
      <c r="F468" s="90">
        <v>0.40624300000000002</v>
      </c>
      <c r="G468" s="92">
        <v>9.1163099999999997E-2</v>
      </c>
    </row>
    <row r="469" spans="1:7" x14ac:dyDescent="0.3">
      <c r="A469" s="93" t="s">
        <v>81</v>
      </c>
      <c r="B469" s="105" t="s">
        <v>89</v>
      </c>
      <c r="C469" s="94">
        <v>46244</v>
      </c>
      <c r="D469" s="91" t="s">
        <v>29</v>
      </c>
      <c r="E469" s="98">
        <v>1128</v>
      </c>
      <c r="F469" s="90">
        <v>0.53908</v>
      </c>
      <c r="G469" s="92">
        <v>0.11161600000000001</v>
      </c>
    </row>
    <row r="470" spans="1:7" x14ac:dyDescent="0.3">
      <c r="A470" s="93" t="s">
        <v>81</v>
      </c>
      <c r="B470" s="105" t="s">
        <v>89</v>
      </c>
      <c r="C470" s="94">
        <v>46244</v>
      </c>
      <c r="D470" s="91" t="s">
        <v>30</v>
      </c>
      <c r="E470" s="98">
        <v>1005</v>
      </c>
      <c r="F470" s="90">
        <v>0.41388999999999998</v>
      </c>
      <c r="G470" s="92">
        <v>8.3233199999999993E-2</v>
      </c>
    </row>
    <row r="471" spans="1:7" x14ac:dyDescent="0.3">
      <c r="A471" s="93" t="s">
        <v>81</v>
      </c>
      <c r="B471" s="105" t="s">
        <v>89</v>
      </c>
      <c r="C471" s="94">
        <v>46245</v>
      </c>
      <c r="D471" s="91" t="s">
        <v>14</v>
      </c>
      <c r="E471" s="98">
        <v>1450</v>
      </c>
      <c r="F471" s="90">
        <v>0.211371</v>
      </c>
      <c r="G471" s="92">
        <v>5.9408799999999998E-2</v>
      </c>
    </row>
    <row r="472" spans="1:7" x14ac:dyDescent="0.3">
      <c r="A472" s="93" t="s">
        <v>81</v>
      </c>
      <c r="B472" s="105" t="s">
        <v>89</v>
      </c>
      <c r="C472" s="94">
        <v>46245</v>
      </c>
      <c r="D472" s="91" t="s">
        <v>15</v>
      </c>
      <c r="E472" s="98">
        <v>1215</v>
      </c>
      <c r="F472" s="90">
        <v>0.29737599999999997</v>
      </c>
      <c r="G472" s="92">
        <v>7.8345899999999996E-2</v>
      </c>
    </row>
    <row r="473" spans="1:7" x14ac:dyDescent="0.3">
      <c r="A473" s="93" t="s">
        <v>81</v>
      </c>
      <c r="B473" s="105" t="s">
        <v>89</v>
      </c>
      <c r="C473" s="94">
        <v>46245</v>
      </c>
      <c r="D473" s="91" t="s">
        <v>16</v>
      </c>
      <c r="E473" s="98">
        <v>1002</v>
      </c>
      <c r="F473" s="90">
        <v>0.40363500000000002</v>
      </c>
      <c r="G473" s="92">
        <v>9.4695399999999999E-2</v>
      </c>
    </row>
    <row r="474" spans="1:7" x14ac:dyDescent="0.3">
      <c r="A474" s="93" t="s">
        <v>81</v>
      </c>
      <c r="B474" s="105" t="s">
        <v>89</v>
      </c>
      <c r="C474" s="94">
        <v>46245</v>
      </c>
      <c r="D474" s="91" t="s">
        <v>17</v>
      </c>
      <c r="E474" s="98">
        <v>1709</v>
      </c>
      <c r="F474" s="90">
        <v>0.55846799999999996</v>
      </c>
      <c r="G474" s="92">
        <v>0.110303</v>
      </c>
    </row>
    <row r="475" spans="1:7" x14ac:dyDescent="0.3">
      <c r="A475" s="93" t="s">
        <v>81</v>
      </c>
      <c r="B475" s="105" t="s">
        <v>89</v>
      </c>
      <c r="C475" s="94">
        <v>46245</v>
      </c>
      <c r="D475" s="91" t="s">
        <v>18</v>
      </c>
      <c r="E475" s="98">
        <v>1275</v>
      </c>
      <c r="F475" s="90">
        <v>0.25397599999999998</v>
      </c>
      <c r="G475" s="92">
        <v>6.0416400000000002E-2</v>
      </c>
    </row>
    <row r="476" spans="1:7" x14ac:dyDescent="0.3">
      <c r="A476" s="93" t="s">
        <v>81</v>
      </c>
      <c r="B476" s="105" t="s">
        <v>89</v>
      </c>
      <c r="C476" s="94">
        <v>46245</v>
      </c>
      <c r="D476" s="91" t="s">
        <v>19</v>
      </c>
      <c r="E476" s="98">
        <v>1315</v>
      </c>
      <c r="F476" s="90">
        <v>0.28124500000000002</v>
      </c>
      <c r="G476" s="92">
        <v>5.91297E-2</v>
      </c>
    </row>
    <row r="477" spans="1:7" x14ac:dyDescent="0.3">
      <c r="A477" s="93" t="s">
        <v>81</v>
      </c>
      <c r="B477" s="105" t="s">
        <v>89</v>
      </c>
      <c r="C477" s="94">
        <v>46245</v>
      </c>
      <c r="D477" s="91" t="s">
        <v>20</v>
      </c>
      <c r="E477" s="98">
        <v>1278</v>
      </c>
      <c r="F477" s="90">
        <v>0.32504899999999998</v>
      </c>
      <c r="G477" s="92">
        <v>6.8007200000000004E-2</v>
      </c>
    </row>
    <row r="478" spans="1:7" x14ac:dyDescent="0.3">
      <c r="A478" s="93" t="s">
        <v>81</v>
      </c>
      <c r="B478" s="105" t="s">
        <v>89</v>
      </c>
      <c r="C478" s="94">
        <v>46245</v>
      </c>
      <c r="D478" s="91" t="s">
        <v>34</v>
      </c>
      <c r="E478" s="98">
        <v>1254</v>
      </c>
      <c r="F478" s="90">
        <v>0.19009200000000001</v>
      </c>
      <c r="G478" s="92">
        <v>5.76237E-2</v>
      </c>
    </row>
    <row r="479" spans="1:7" x14ac:dyDescent="0.3">
      <c r="A479" s="93" t="s">
        <v>81</v>
      </c>
      <c r="B479" s="105" t="s">
        <v>89</v>
      </c>
      <c r="C479" s="94">
        <v>46245</v>
      </c>
      <c r="D479" s="91" t="s">
        <v>21</v>
      </c>
      <c r="E479" s="98">
        <v>2370</v>
      </c>
      <c r="F479" s="90">
        <v>0.45987800000000001</v>
      </c>
      <c r="G479" s="92">
        <v>8.9464500000000002E-2</v>
      </c>
    </row>
    <row r="480" spans="1:7" x14ac:dyDescent="0.3">
      <c r="A480" s="93" t="s">
        <v>81</v>
      </c>
      <c r="B480" s="105" t="s">
        <v>89</v>
      </c>
      <c r="C480" s="94">
        <v>46245</v>
      </c>
      <c r="D480" s="91" t="s">
        <v>22</v>
      </c>
      <c r="E480" s="98">
        <v>1442</v>
      </c>
      <c r="F480" s="90">
        <v>0.25839000000000001</v>
      </c>
      <c r="G480" s="92">
        <v>7.0241100000000001E-2</v>
      </c>
    </row>
    <row r="481" spans="1:7" x14ac:dyDescent="0.3">
      <c r="A481" s="93" t="s">
        <v>81</v>
      </c>
      <c r="B481" s="105" t="s">
        <v>89</v>
      </c>
      <c r="C481" s="94">
        <v>46245</v>
      </c>
      <c r="D481" s="91" t="s">
        <v>23</v>
      </c>
      <c r="E481" s="98">
        <v>1349</v>
      </c>
      <c r="F481" s="90">
        <v>0.21721099999999999</v>
      </c>
      <c r="G481" s="92">
        <v>7.1229399999999998E-2</v>
      </c>
    </row>
    <row r="482" spans="1:7" x14ac:dyDescent="0.3">
      <c r="A482" s="93" t="s">
        <v>81</v>
      </c>
      <c r="B482" s="105" t="s">
        <v>89</v>
      </c>
      <c r="C482" s="94">
        <v>46245</v>
      </c>
      <c r="D482" s="91" t="s">
        <v>24</v>
      </c>
      <c r="E482" s="98">
        <v>2077</v>
      </c>
      <c r="F482" s="90">
        <v>0.32391500000000001</v>
      </c>
      <c r="G482" s="92">
        <v>9.9747299999999997E-2</v>
      </c>
    </row>
    <row r="483" spans="1:7" x14ac:dyDescent="0.3">
      <c r="A483" s="93" t="s">
        <v>81</v>
      </c>
      <c r="B483" s="105" t="s">
        <v>89</v>
      </c>
      <c r="C483" s="94">
        <v>46245</v>
      </c>
      <c r="D483" s="91" t="s">
        <v>25</v>
      </c>
      <c r="E483" s="98">
        <v>1287</v>
      </c>
      <c r="F483" s="90">
        <v>0.20449800000000001</v>
      </c>
      <c r="G483" s="92">
        <v>4.92053E-2</v>
      </c>
    </row>
    <row r="484" spans="1:7" x14ac:dyDescent="0.3">
      <c r="A484" s="93" t="s">
        <v>81</v>
      </c>
      <c r="B484" s="105" t="s">
        <v>89</v>
      </c>
      <c r="C484" s="94">
        <v>46245</v>
      </c>
      <c r="D484" s="91" t="s">
        <v>26</v>
      </c>
      <c r="E484" s="98">
        <v>1378</v>
      </c>
      <c r="F484" s="90">
        <v>0.201596</v>
      </c>
      <c r="G484" s="92">
        <v>6.48228E-2</v>
      </c>
    </row>
    <row r="485" spans="1:7" x14ac:dyDescent="0.3">
      <c r="A485" s="93" t="s">
        <v>81</v>
      </c>
      <c r="B485" s="105" t="s">
        <v>89</v>
      </c>
      <c r="C485" s="94">
        <v>46245</v>
      </c>
      <c r="D485" s="91" t="s">
        <v>27</v>
      </c>
      <c r="E485" s="98">
        <v>1071</v>
      </c>
      <c r="F485" s="90">
        <v>0.398816</v>
      </c>
      <c r="G485" s="92">
        <v>9.04861E-2</v>
      </c>
    </row>
    <row r="486" spans="1:7" x14ac:dyDescent="0.3">
      <c r="A486" s="93" t="s">
        <v>81</v>
      </c>
      <c r="B486" s="105" t="s">
        <v>89</v>
      </c>
      <c r="C486" s="94">
        <v>46245</v>
      </c>
      <c r="D486" s="91" t="s">
        <v>28</v>
      </c>
      <c r="E486" s="98">
        <v>1096</v>
      </c>
      <c r="F486" s="90">
        <v>0.245283</v>
      </c>
      <c r="G486" s="92">
        <v>5.4997999999999998E-2</v>
      </c>
    </row>
    <row r="487" spans="1:7" x14ac:dyDescent="0.3">
      <c r="A487" s="93" t="s">
        <v>81</v>
      </c>
      <c r="B487" s="105" t="s">
        <v>89</v>
      </c>
      <c r="C487" s="94">
        <v>46245</v>
      </c>
      <c r="D487" s="91" t="s">
        <v>29</v>
      </c>
      <c r="E487" s="98">
        <v>1023</v>
      </c>
      <c r="F487" s="90">
        <v>0.228965</v>
      </c>
      <c r="G487" s="92">
        <v>4.7409600000000003E-2</v>
      </c>
    </row>
    <row r="488" spans="1:7" x14ac:dyDescent="0.3">
      <c r="A488" s="93" t="s">
        <v>81</v>
      </c>
      <c r="B488" s="105" t="s">
        <v>89</v>
      </c>
      <c r="C488" s="94">
        <v>46245</v>
      </c>
      <c r="D488" s="91" t="s">
        <v>30</v>
      </c>
      <c r="E488" s="98">
        <v>1292</v>
      </c>
      <c r="F488" s="90">
        <v>0.28336299999999998</v>
      </c>
      <c r="G488" s="92">
        <v>5.6996400000000003E-2</v>
      </c>
    </row>
    <row r="489" spans="1:7" x14ac:dyDescent="0.3">
      <c r="A489" s="93" t="s">
        <v>82</v>
      </c>
      <c r="B489" s="105" t="s">
        <v>196</v>
      </c>
      <c r="C489" s="94">
        <v>46246</v>
      </c>
      <c r="D489" s="91" t="s">
        <v>14</v>
      </c>
      <c r="E489" s="98">
        <v>2307</v>
      </c>
      <c r="F489" s="90">
        <v>1.38632</v>
      </c>
      <c r="G489" s="92">
        <v>0.38811499999999999</v>
      </c>
    </row>
    <row r="490" spans="1:7" x14ac:dyDescent="0.3">
      <c r="A490" s="93" t="s">
        <v>82</v>
      </c>
      <c r="B490" s="105" t="s">
        <v>196</v>
      </c>
      <c r="C490" s="94">
        <v>46246</v>
      </c>
      <c r="D490" s="91" t="s">
        <v>15</v>
      </c>
      <c r="E490" s="98">
        <v>1827</v>
      </c>
      <c r="F490" s="90">
        <v>1.8897699999999999</v>
      </c>
      <c r="G490" s="92">
        <v>0.497166</v>
      </c>
    </row>
    <row r="491" spans="1:7" x14ac:dyDescent="0.3">
      <c r="A491" s="93" t="s">
        <v>82</v>
      </c>
      <c r="B491" s="105" t="s">
        <v>196</v>
      </c>
      <c r="C491" s="94">
        <v>46246</v>
      </c>
      <c r="D491" s="91" t="s">
        <v>16</v>
      </c>
      <c r="E491" s="98">
        <v>1033</v>
      </c>
      <c r="F491" s="90">
        <v>0.35547800000000002</v>
      </c>
      <c r="G491" s="92">
        <v>8.3168000000000006E-2</v>
      </c>
    </row>
    <row r="492" spans="1:7" x14ac:dyDescent="0.3">
      <c r="A492" s="93" t="s">
        <v>82</v>
      </c>
      <c r="B492" s="105" t="s">
        <v>196</v>
      </c>
      <c r="C492" s="94">
        <v>46246</v>
      </c>
      <c r="D492" s="91" t="s">
        <v>17</v>
      </c>
      <c r="E492" s="98">
        <v>2055</v>
      </c>
      <c r="F492" s="90">
        <v>1.86354</v>
      </c>
      <c r="G492" s="92">
        <v>0.37180600000000003</v>
      </c>
    </row>
    <row r="493" spans="1:7" x14ac:dyDescent="0.3">
      <c r="A493" s="93" t="s">
        <v>82</v>
      </c>
      <c r="B493" s="105" t="s">
        <v>196</v>
      </c>
      <c r="C493" s="94">
        <v>46246</v>
      </c>
      <c r="D493" s="91" t="s">
        <v>18</v>
      </c>
      <c r="E493" s="98">
        <v>1449</v>
      </c>
      <c r="F493" s="90">
        <v>1.19241</v>
      </c>
      <c r="G493" s="92">
        <v>0.282858</v>
      </c>
    </row>
    <row r="494" spans="1:7" x14ac:dyDescent="0.3">
      <c r="A494" s="93" t="s">
        <v>82</v>
      </c>
      <c r="B494" s="105" t="s">
        <v>196</v>
      </c>
      <c r="C494" s="94">
        <v>46246</v>
      </c>
      <c r="D494" s="91" t="s">
        <v>19</v>
      </c>
      <c r="E494" s="98">
        <v>1508</v>
      </c>
      <c r="F494" s="90">
        <v>1.6486099999999999</v>
      </c>
      <c r="G494" s="92">
        <v>0.34601500000000002</v>
      </c>
    </row>
    <row r="495" spans="1:7" x14ac:dyDescent="0.3">
      <c r="A495" s="93" t="s">
        <v>82</v>
      </c>
      <c r="B495" s="105" t="s">
        <v>196</v>
      </c>
      <c r="C495" s="94">
        <v>46246</v>
      </c>
      <c r="D495" s="91" t="s">
        <v>20</v>
      </c>
      <c r="E495" s="98">
        <v>1515</v>
      </c>
      <c r="F495" s="90">
        <v>1.7868200000000001</v>
      </c>
      <c r="G495" s="92">
        <v>0.37444699999999997</v>
      </c>
    </row>
    <row r="496" spans="1:7" x14ac:dyDescent="0.3">
      <c r="A496" s="93" t="s">
        <v>82</v>
      </c>
      <c r="B496" s="105" t="s">
        <v>196</v>
      </c>
      <c r="C496" s="94">
        <v>46246</v>
      </c>
      <c r="D496" s="91" t="s">
        <v>34</v>
      </c>
      <c r="E496" s="98">
        <v>1003</v>
      </c>
      <c r="F496" s="90">
        <v>1.48909</v>
      </c>
      <c r="G496" s="92">
        <v>0.45335999999999999</v>
      </c>
    </row>
    <row r="497" spans="1:7" x14ac:dyDescent="0.3">
      <c r="A497" s="93" t="s">
        <v>82</v>
      </c>
      <c r="B497" s="105" t="s">
        <v>196</v>
      </c>
      <c r="C497" s="94">
        <v>46246</v>
      </c>
      <c r="D497" s="91" t="s">
        <v>21</v>
      </c>
      <c r="E497" s="98">
        <v>2505</v>
      </c>
      <c r="F497" s="90">
        <v>1.2868900000000001</v>
      </c>
      <c r="G497" s="92">
        <v>0.25094</v>
      </c>
    </row>
    <row r="498" spans="1:7" x14ac:dyDescent="0.3">
      <c r="A498" s="93" t="s">
        <v>82</v>
      </c>
      <c r="B498" s="105" t="s">
        <v>196</v>
      </c>
      <c r="C498" s="94">
        <v>46246</v>
      </c>
      <c r="D498" s="91" t="s">
        <v>22</v>
      </c>
      <c r="E498" s="98">
        <v>1676</v>
      </c>
      <c r="F498" s="90">
        <v>1.04637</v>
      </c>
      <c r="G498" s="92">
        <v>0.28419699999999998</v>
      </c>
    </row>
    <row r="499" spans="1:7" x14ac:dyDescent="0.3">
      <c r="A499" s="93" t="s">
        <v>82</v>
      </c>
      <c r="B499" s="105" t="s">
        <v>196</v>
      </c>
      <c r="C499" s="94">
        <v>46246</v>
      </c>
      <c r="D499" s="91" t="s">
        <v>23</v>
      </c>
      <c r="E499" s="98">
        <v>1631</v>
      </c>
      <c r="F499" s="90">
        <v>0.71558299999999997</v>
      </c>
      <c r="G499" s="92">
        <v>0.23394899999999999</v>
      </c>
    </row>
    <row r="500" spans="1:7" x14ac:dyDescent="0.3">
      <c r="A500" s="93" t="s">
        <v>82</v>
      </c>
      <c r="B500" s="105" t="s">
        <v>196</v>
      </c>
      <c r="C500" s="94">
        <v>46246</v>
      </c>
      <c r="D500" s="91" t="s">
        <v>24</v>
      </c>
      <c r="E500" s="98">
        <v>2110</v>
      </c>
      <c r="F500" s="90">
        <v>0.24426</v>
      </c>
      <c r="G500" s="92">
        <v>7.5109499999999996E-2</v>
      </c>
    </row>
    <row r="501" spans="1:7" x14ac:dyDescent="0.3">
      <c r="A501" s="93" t="s">
        <v>82</v>
      </c>
      <c r="B501" s="105" t="s">
        <v>196</v>
      </c>
      <c r="C501" s="94">
        <v>46246</v>
      </c>
      <c r="D501" s="91" t="s">
        <v>25</v>
      </c>
      <c r="E501" s="98">
        <v>1110</v>
      </c>
      <c r="F501" s="90">
        <v>0.48643700000000001</v>
      </c>
      <c r="G501" s="92">
        <v>0.117161</v>
      </c>
    </row>
    <row r="502" spans="1:7" x14ac:dyDescent="0.3">
      <c r="A502" s="93" t="s">
        <v>82</v>
      </c>
      <c r="B502" s="105" t="s">
        <v>196</v>
      </c>
      <c r="C502" s="94">
        <v>46246</v>
      </c>
      <c r="D502" s="91" t="s">
        <v>26</v>
      </c>
      <c r="E502" s="98">
        <v>1812</v>
      </c>
      <c r="F502" s="90">
        <v>0.18232300000000001</v>
      </c>
      <c r="G502" s="92">
        <v>5.8665799999999997E-2</v>
      </c>
    </row>
    <row r="503" spans="1:7" x14ac:dyDescent="0.3">
      <c r="A503" s="93" t="s">
        <v>82</v>
      </c>
      <c r="B503" s="105" t="s">
        <v>196</v>
      </c>
      <c r="C503" s="94">
        <v>46246</v>
      </c>
      <c r="D503" s="91" t="s">
        <v>27</v>
      </c>
      <c r="E503" s="98">
        <v>1092</v>
      </c>
      <c r="F503" s="90">
        <v>0.56030800000000003</v>
      </c>
      <c r="G503" s="92">
        <v>0.12754699999999999</v>
      </c>
    </row>
    <row r="504" spans="1:7" x14ac:dyDescent="0.3">
      <c r="A504" s="93" t="s">
        <v>82</v>
      </c>
      <c r="B504" s="105" t="s">
        <v>196</v>
      </c>
      <c r="C504" s="94">
        <v>46246</v>
      </c>
      <c r="D504" s="91" t="s">
        <v>28</v>
      </c>
      <c r="E504" s="98">
        <v>1305</v>
      </c>
      <c r="F504" s="90">
        <v>0.42638799999999999</v>
      </c>
      <c r="G504" s="92">
        <v>9.6200999999999995E-2</v>
      </c>
    </row>
    <row r="505" spans="1:7" x14ac:dyDescent="0.3">
      <c r="A505" s="93" t="s">
        <v>82</v>
      </c>
      <c r="B505" s="105" t="s">
        <v>196</v>
      </c>
      <c r="C505" s="94">
        <v>46246</v>
      </c>
      <c r="D505" s="91" t="s">
        <v>29</v>
      </c>
      <c r="E505" s="98">
        <v>1194</v>
      </c>
      <c r="F505" s="90">
        <v>3.2829299999999999</v>
      </c>
      <c r="G505" s="92">
        <v>0.68048699999999995</v>
      </c>
    </row>
    <row r="506" spans="1:7" x14ac:dyDescent="0.3">
      <c r="A506" s="93" t="s">
        <v>82</v>
      </c>
      <c r="B506" s="105" t="s">
        <v>196</v>
      </c>
      <c r="C506" s="94">
        <v>46246</v>
      </c>
      <c r="D506" s="91" t="s">
        <v>30</v>
      </c>
      <c r="E506" s="98">
        <v>1381</v>
      </c>
      <c r="F506" s="90">
        <v>1.6857899999999999</v>
      </c>
      <c r="G506" s="92">
        <v>0.343221</v>
      </c>
    </row>
    <row r="507" spans="1:7" x14ac:dyDescent="0.3">
      <c r="A507" s="98" t="s">
        <v>81</v>
      </c>
      <c r="B507" s="106" t="s">
        <v>89</v>
      </c>
      <c r="C507" s="94">
        <v>46246</v>
      </c>
      <c r="D507" s="91" t="s">
        <v>14</v>
      </c>
      <c r="E507" s="98">
        <v>2036</v>
      </c>
      <c r="F507" s="90">
        <v>0.362371</v>
      </c>
      <c r="G507" s="92">
        <v>0.1021</v>
      </c>
    </row>
    <row r="508" spans="1:7" x14ac:dyDescent="0.3">
      <c r="A508" s="98" t="s">
        <v>81</v>
      </c>
      <c r="B508" s="106" t="s">
        <v>89</v>
      </c>
      <c r="C508" s="94">
        <v>46246</v>
      </c>
      <c r="D508" s="91" t="s">
        <v>15</v>
      </c>
      <c r="E508" s="98">
        <v>1654</v>
      </c>
      <c r="F508" s="90">
        <v>0.48143200000000003</v>
      </c>
      <c r="G508" s="92">
        <v>0.126891</v>
      </c>
    </row>
    <row r="509" spans="1:7" x14ac:dyDescent="0.3">
      <c r="A509" s="98" t="s">
        <v>81</v>
      </c>
      <c r="B509" s="106" t="s">
        <v>89</v>
      </c>
      <c r="C509" s="94">
        <v>46246</v>
      </c>
      <c r="D509" s="91" t="s">
        <v>16</v>
      </c>
      <c r="E509" s="98">
        <v>1137</v>
      </c>
      <c r="F509" s="90">
        <v>0.64936700000000003</v>
      </c>
      <c r="G509" s="92">
        <v>0.152672</v>
      </c>
    </row>
    <row r="510" spans="1:7" x14ac:dyDescent="0.3">
      <c r="A510" s="98" t="s">
        <v>81</v>
      </c>
      <c r="B510" s="106" t="s">
        <v>89</v>
      </c>
      <c r="C510" s="94">
        <v>46246</v>
      </c>
      <c r="D510" s="91" t="s">
        <v>17</v>
      </c>
      <c r="E510" s="98">
        <v>2178</v>
      </c>
      <c r="F510" s="90">
        <v>0.72898399999999997</v>
      </c>
      <c r="G510" s="92">
        <v>0.144092</v>
      </c>
    </row>
    <row r="511" spans="1:7" x14ac:dyDescent="0.3">
      <c r="A511" s="98" t="s">
        <v>81</v>
      </c>
      <c r="B511" s="106" t="s">
        <v>89</v>
      </c>
      <c r="C511" s="94">
        <v>46246</v>
      </c>
      <c r="D511" s="91" t="s">
        <v>18</v>
      </c>
      <c r="E511" s="98">
        <v>1790</v>
      </c>
      <c r="F511" s="90">
        <v>0.94400899999999999</v>
      </c>
      <c r="G511" s="92">
        <v>0.224774</v>
      </c>
    </row>
    <row r="512" spans="1:7" x14ac:dyDescent="0.3">
      <c r="A512" s="98" t="s">
        <v>81</v>
      </c>
      <c r="B512" s="106" t="s">
        <v>89</v>
      </c>
      <c r="C512" s="94">
        <v>46246</v>
      </c>
      <c r="D512" s="91" t="s">
        <v>19</v>
      </c>
      <c r="E512" s="98">
        <v>1983</v>
      </c>
      <c r="F512" s="90">
        <v>1.21502</v>
      </c>
      <c r="G512" s="92">
        <v>0.25578600000000001</v>
      </c>
    </row>
    <row r="513" spans="1:7" x14ac:dyDescent="0.3">
      <c r="A513" s="98" t="s">
        <v>81</v>
      </c>
      <c r="B513" s="106" t="s">
        <v>89</v>
      </c>
      <c r="C513" s="94">
        <v>46246</v>
      </c>
      <c r="D513" s="91" t="s">
        <v>20</v>
      </c>
      <c r="E513" s="98">
        <v>1908</v>
      </c>
      <c r="F513" s="90">
        <v>1.3784799999999999</v>
      </c>
      <c r="G513" s="92">
        <v>0.28981800000000002</v>
      </c>
    </row>
    <row r="514" spans="1:7" x14ac:dyDescent="0.3">
      <c r="A514" s="98" t="s">
        <v>81</v>
      </c>
      <c r="B514" s="106" t="s">
        <v>89</v>
      </c>
      <c r="C514" s="94">
        <v>46246</v>
      </c>
      <c r="D514" s="91" t="s">
        <v>34</v>
      </c>
      <c r="E514" s="98">
        <v>1131</v>
      </c>
      <c r="F514" s="90">
        <v>0.55193000000000003</v>
      </c>
      <c r="G514" s="92">
        <v>0.16748499999999999</v>
      </c>
    </row>
    <row r="515" spans="1:7" x14ac:dyDescent="0.3">
      <c r="A515" s="98" t="s">
        <v>81</v>
      </c>
      <c r="B515" s="106" t="s">
        <v>89</v>
      </c>
      <c r="C515" s="94">
        <v>46246</v>
      </c>
      <c r="D515" s="91" t="s">
        <v>21</v>
      </c>
      <c r="E515" s="98">
        <v>3124</v>
      </c>
      <c r="F515" s="90">
        <v>0.64809700000000003</v>
      </c>
      <c r="G515" s="92">
        <v>0.12609200000000001</v>
      </c>
    </row>
    <row r="516" spans="1:7" x14ac:dyDescent="0.3">
      <c r="A516" s="98" t="s">
        <v>81</v>
      </c>
      <c r="B516" s="106" t="s">
        <v>89</v>
      </c>
      <c r="C516" s="94">
        <v>46246</v>
      </c>
      <c r="D516" s="91" t="s">
        <v>22</v>
      </c>
      <c r="E516" s="98">
        <v>2106</v>
      </c>
      <c r="F516" s="90">
        <v>0.50193200000000004</v>
      </c>
      <c r="G516" s="92">
        <v>0.136105</v>
      </c>
    </row>
    <row r="517" spans="1:7" x14ac:dyDescent="0.3">
      <c r="A517" s="98" t="s">
        <v>81</v>
      </c>
      <c r="B517" s="106" t="s">
        <v>89</v>
      </c>
      <c r="C517" s="94">
        <v>46246</v>
      </c>
      <c r="D517" s="91" t="s">
        <v>23</v>
      </c>
      <c r="E517" s="98">
        <v>1002</v>
      </c>
      <c r="F517" s="90">
        <v>0.35624400000000001</v>
      </c>
      <c r="G517" s="92">
        <v>0.11713899999999999</v>
      </c>
    </row>
    <row r="518" spans="1:7" x14ac:dyDescent="0.3">
      <c r="A518" s="98" t="s">
        <v>81</v>
      </c>
      <c r="B518" s="106" t="s">
        <v>89</v>
      </c>
      <c r="C518" s="94">
        <v>46246</v>
      </c>
      <c r="D518" s="91" t="s">
        <v>24</v>
      </c>
      <c r="E518" s="98">
        <v>2341</v>
      </c>
      <c r="F518" s="90">
        <v>0.16528000000000001</v>
      </c>
      <c r="G518" s="92">
        <v>5.0965499999999997E-2</v>
      </c>
    </row>
    <row r="519" spans="1:7" x14ac:dyDescent="0.3">
      <c r="A519" s="98" t="s">
        <v>81</v>
      </c>
      <c r="B519" s="106" t="s">
        <v>89</v>
      </c>
      <c r="C519" s="94">
        <v>46246</v>
      </c>
      <c r="D519" s="91" t="s">
        <v>25</v>
      </c>
      <c r="E519" s="98">
        <v>1095</v>
      </c>
      <c r="F519" s="90">
        <v>0.41456799999999999</v>
      </c>
      <c r="G519" s="92">
        <v>9.9886199999999994E-2</v>
      </c>
    </row>
    <row r="520" spans="1:7" x14ac:dyDescent="0.3">
      <c r="A520" s="98" t="s">
        <v>81</v>
      </c>
      <c r="B520" s="106" t="s">
        <v>89</v>
      </c>
      <c r="C520" s="94">
        <v>46246</v>
      </c>
      <c r="D520" s="91" t="s">
        <v>26</v>
      </c>
      <c r="E520" s="98">
        <v>1895</v>
      </c>
      <c r="F520" s="90">
        <v>0.13086600000000001</v>
      </c>
      <c r="G520" s="92">
        <v>4.2027099999999998E-2</v>
      </c>
    </row>
    <row r="521" spans="1:7" x14ac:dyDescent="0.3">
      <c r="A521" s="98" t="s">
        <v>81</v>
      </c>
      <c r="B521" s="106" t="s">
        <v>89</v>
      </c>
      <c r="C521" s="94">
        <v>46246</v>
      </c>
      <c r="D521" s="91" t="s">
        <v>27</v>
      </c>
      <c r="E521" s="98">
        <v>1591</v>
      </c>
      <c r="F521" s="90">
        <v>0.51427400000000001</v>
      </c>
      <c r="G521" s="92">
        <v>0.1166</v>
      </c>
    </row>
    <row r="522" spans="1:7" x14ac:dyDescent="0.3">
      <c r="A522" s="98" t="s">
        <v>81</v>
      </c>
      <c r="B522" s="106" t="s">
        <v>89</v>
      </c>
      <c r="C522" s="94">
        <v>46246</v>
      </c>
      <c r="D522" s="91" t="s">
        <v>28</v>
      </c>
      <c r="E522" s="98">
        <v>1029</v>
      </c>
      <c r="F522" s="90">
        <v>0.28022999999999998</v>
      </c>
      <c r="G522" s="92">
        <v>6.2857700000000002E-2</v>
      </c>
    </row>
    <row r="523" spans="1:7" x14ac:dyDescent="0.3">
      <c r="A523" s="98" t="s">
        <v>81</v>
      </c>
      <c r="B523" s="106" t="s">
        <v>89</v>
      </c>
      <c r="C523" s="94">
        <v>46246</v>
      </c>
      <c r="D523" s="91" t="s">
        <v>29</v>
      </c>
      <c r="E523" s="98">
        <v>1274</v>
      </c>
      <c r="F523" s="90">
        <v>0.68439300000000003</v>
      </c>
      <c r="G523" s="92">
        <v>0.14205200000000001</v>
      </c>
    </row>
    <row r="524" spans="1:7" x14ac:dyDescent="0.3">
      <c r="A524" s="98" t="s">
        <v>81</v>
      </c>
      <c r="B524" s="106" t="s">
        <v>89</v>
      </c>
      <c r="C524" s="94">
        <v>46246</v>
      </c>
      <c r="D524" s="91" t="s">
        <v>30</v>
      </c>
      <c r="E524" s="98">
        <v>1459</v>
      </c>
      <c r="F524" s="90">
        <v>0.53029599999999999</v>
      </c>
      <c r="G524" s="92">
        <v>0.106762</v>
      </c>
    </row>
    <row r="525" spans="1:7" x14ac:dyDescent="0.3">
      <c r="A525" s="98" t="s">
        <v>88</v>
      </c>
      <c r="B525" s="106" t="s">
        <v>172</v>
      </c>
      <c r="C525" s="94">
        <v>46245</v>
      </c>
      <c r="D525" s="91" t="s">
        <v>14</v>
      </c>
      <c r="E525" s="98">
        <v>2385</v>
      </c>
      <c r="F525" s="90">
        <v>0.64593299999999998</v>
      </c>
      <c r="G525" s="92">
        <v>0.181585</v>
      </c>
    </row>
    <row r="526" spans="1:7" x14ac:dyDescent="0.3">
      <c r="A526" s="98" t="s">
        <v>88</v>
      </c>
      <c r="B526" s="106" t="s">
        <v>172</v>
      </c>
      <c r="C526" s="94">
        <v>46245</v>
      </c>
      <c r="D526" s="91" t="s">
        <v>15</v>
      </c>
      <c r="E526" s="98">
        <v>2319</v>
      </c>
      <c r="F526" s="90">
        <v>0.48036200000000001</v>
      </c>
      <c r="G526" s="92">
        <v>0.12651499999999999</v>
      </c>
    </row>
    <row r="527" spans="1:7" x14ac:dyDescent="0.3">
      <c r="A527" s="98" t="s">
        <v>88</v>
      </c>
      <c r="B527" s="106" t="s">
        <v>172</v>
      </c>
      <c r="C527" s="94">
        <v>46245</v>
      </c>
      <c r="D527" s="91" t="s">
        <v>16</v>
      </c>
      <c r="E527" s="98">
        <v>1804</v>
      </c>
      <c r="F527" s="90">
        <v>0.43161100000000002</v>
      </c>
      <c r="G527" s="92">
        <v>0.101214</v>
      </c>
    </row>
    <row r="528" spans="1:7" x14ac:dyDescent="0.3">
      <c r="A528" s="98" t="s">
        <v>88</v>
      </c>
      <c r="B528" s="106" t="s">
        <v>172</v>
      </c>
      <c r="C528" s="94">
        <v>46245</v>
      </c>
      <c r="D528" s="91" t="s">
        <v>17</v>
      </c>
      <c r="E528" s="98">
        <v>2032</v>
      </c>
      <c r="F528" s="90">
        <v>0.581202</v>
      </c>
      <c r="G528" s="92">
        <v>0.114914</v>
      </c>
    </row>
    <row r="529" spans="1:7" x14ac:dyDescent="0.3">
      <c r="A529" s="98" t="s">
        <v>88</v>
      </c>
      <c r="B529" s="106" t="s">
        <v>172</v>
      </c>
      <c r="C529" s="94">
        <v>46245</v>
      </c>
      <c r="D529" s="91" t="s">
        <v>18</v>
      </c>
      <c r="E529" s="98">
        <v>2008</v>
      </c>
      <c r="F529" s="90">
        <v>0.25587500000000002</v>
      </c>
      <c r="G529" s="92">
        <v>6.0851799999999998E-2</v>
      </c>
    </row>
    <row r="530" spans="1:7" x14ac:dyDescent="0.3">
      <c r="A530" s="98" t="s">
        <v>88</v>
      </c>
      <c r="B530" s="106" t="s">
        <v>172</v>
      </c>
      <c r="C530" s="94">
        <v>46245</v>
      </c>
      <c r="D530" s="91" t="s">
        <v>19</v>
      </c>
      <c r="E530" s="98">
        <v>1539</v>
      </c>
      <c r="F530" s="90">
        <v>0.42202099999999998</v>
      </c>
      <c r="G530" s="92">
        <v>8.8715500000000003E-2</v>
      </c>
    </row>
    <row r="531" spans="1:7" x14ac:dyDescent="0.3">
      <c r="A531" s="98" t="s">
        <v>88</v>
      </c>
      <c r="B531" s="106" t="s">
        <v>172</v>
      </c>
      <c r="C531" s="94">
        <v>46245</v>
      </c>
      <c r="D531" s="91" t="s">
        <v>20</v>
      </c>
      <c r="E531" s="98">
        <v>1549</v>
      </c>
      <c r="F531" s="90">
        <v>0.44111099999999998</v>
      </c>
      <c r="G531" s="92">
        <v>9.2252799999999996E-2</v>
      </c>
    </row>
    <row r="532" spans="1:7" x14ac:dyDescent="0.3">
      <c r="A532" s="98" t="s">
        <v>88</v>
      </c>
      <c r="B532" s="106" t="s">
        <v>172</v>
      </c>
      <c r="C532" s="94">
        <v>46245</v>
      </c>
      <c r="D532" s="91" t="s">
        <v>34</v>
      </c>
      <c r="E532" s="98">
        <v>1005</v>
      </c>
      <c r="F532" s="90">
        <v>0.227497</v>
      </c>
      <c r="G532" s="92">
        <v>6.8921399999999994E-2</v>
      </c>
    </row>
    <row r="533" spans="1:7" x14ac:dyDescent="0.3">
      <c r="A533" s="98" t="s">
        <v>88</v>
      </c>
      <c r="B533" s="106" t="s">
        <v>172</v>
      </c>
      <c r="C533" s="94">
        <v>46245</v>
      </c>
      <c r="D533" s="91" t="s">
        <v>21</v>
      </c>
      <c r="E533" s="98">
        <v>3324</v>
      </c>
      <c r="F533" s="90">
        <v>0.50098699999999996</v>
      </c>
      <c r="G533" s="92">
        <v>9.7444600000000006E-2</v>
      </c>
    </row>
    <row r="534" spans="1:7" x14ac:dyDescent="0.3">
      <c r="A534" s="98" t="s">
        <v>88</v>
      </c>
      <c r="B534" s="106" t="s">
        <v>172</v>
      </c>
      <c r="C534" s="94">
        <v>46245</v>
      </c>
      <c r="D534" s="91" t="s">
        <v>22</v>
      </c>
      <c r="E534" s="98">
        <v>2342</v>
      </c>
      <c r="F534" s="90">
        <v>0.41564200000000001</v>
      </c>
      <c r="G534" s="92">
        <v>0.112913</v>
      </c>
    </row>
    <row r="535" spans="1:7" x14ac:dyDescent="0.3">
      <c r="A535" s="98" t="s">
        <v>88</v>
      </c>
      <c r="B535" s="106" t="s">
        <v>172</v>
      </c>
      <c r="C535" s="94">
        <v>46245</v>
      </c>
      <c r="D535" s="91" t="s">
        <v>23</v>
      </c>
      <c r="E535" s="98">
        <v>1194</v>
      </c>
      <c r="F535" s="90">
        <v>0.39593200000000001</v>
      </c>
      <c r="G535" s="92">
        <v>0.12980900000000001</v>
      </c>
    </row>
    <row r="536" spans="1:7" x14ac:dyDescent="0.3">
      <c r="A536" s="98" t="s">
        <v>88</v>
      </c>
      <c r="B536" s="106" t="s">
        <v>172</v>
      </c>
      <c r="C536" s="94">
        <v>46245</v>
      </c>
      <c r="D536" s="91" t="s">
        <v>24</v>
      </c>
      <c r="E536" s="98">
        <v>2819</v>
      </c>
      <c r="F536" s="90">
        <v>0.29527199999999998</v>
      </c>
      <c r="G536" s="92">
        <v>9.0941300000000003E-2</v>
      </c>
    </row>
    <row r="537" spans="1:7" x14ac:dyDescent="0.3">
      <c r="A537" s="98" t="s">
        <v>88</v>
      </c>
      <c r="B537" s="106" t="s">
        <v>172</v>
      </c>
      <c r="C537" s="94">
        <v>46245</v>
      </c>
      <c r="D537" s="91" t="s">
        <v>25</v>
      </c>
      <c r="E537" s="98">
        <v>1097</v>
      </c>
      <c r="F537" s="90">
        <v>0.21635299999999999</v>
      </c>
      <c r="G537" s="92">
        <v>5.2024399999999998E-2</v>
      </c>
    </row>
    <row r="538" spans="1:7" x14ac:dyDescent="0.3">
      <c r="A538" s="98" t="s">
        <v>88</v>
      </c>
      <c r="B538" s="106" t="s">
        <v>172</v>
      </c>
      <c r="C538" s="94">
        <v>46245</v>
      </c>
      <c r="D538" s="91" t="s">
        <v>26</v>
      </c>
      <c r="E538" s="98">
        <v>2388</v>
      </c>
      <c r="F538" s="90">
        <v>0.26457900000000001</v>
      </c>
      <c r="G538" s="92">
        <v>8.5066900000000001E-2</v>
      </c>
    </row>
    <row r="539" spans="1:7" x14ac:dyDescent="0.3">
      <c r="A539" s="98" t="s">
        <v>88</v>
      </c>
      <c r="B539" s="106" t="s">
        <v>172</v>
      </c>
      <c r="C539" s="94">
        <v>46245</v>
      </c>
      <c r="D539" s="91" t="s">
        <v>27</v>
      </c>
      <c r="E539" s="98">
        <v>2348</v>
      </c>
      <c r="F539" s="90">
        <v>0.36505599999999999</v>
      </c>
      <c r="G539" s="92">
        <v>8.2788899999999999E-2</v>
      </c>
    </row>
    <row r="540" spans="1:7" x14ac:dyDescent="0.3">
      <c r="A540" s="98" t="s">
        <v>88</v>
      </c>
      <c r="B540" s="106" t="s">
        <v>172</v>
      </c>
      <c r="C540" s="94">
        <v>46245</v>
      </c>
      <c r="D540" s="91" t="s">
        <v>28</v>
      </c>
      <c r="E540" s="98">
        <v>1127</v>
      </c>
      <c r="F540" s="90">
        <v>0.56964700000000001</v>
      </c>
      <c r="G540" s="92">
        <v>0.127854</v>
      </c>
    </row>
    <row r="541" spans="1:7" x14ac:dyDescent="0.3">
      <c r="A541" s="98" t="s">
        <v>88</v>
      </c>
      <c r="B541" s="106" t="s">
        <v>172</v>
      </c>
      <c r="C541" s="94">
        <v>46245</v>
      </c>
      <c r="D541" s="91" t="s">
        <v>29</v>
      </c>
      <c r="E541" s="98">
        <v>1630</v>
      </c>
      <c r="F541" s="90">
        <v>0.36154799999999998</v>
      </c>
      <c r="G541" s="92">
        <v>7.4840400000000001E-2</v>
      </c>
    </row>
    <row r="542" spans="1:7" x14ac:dyDescent="0.3">
      <c r="A542" s="98" t="s">
        <v>88</v>
      </c>
      <c r="B542" s="106" t="s">
        <v>172</v>
      </c>
      <c r="C542" s="94">
        <v>46245</v>
      </c>
      <c r="D542" s="91" t="s">
        <v>30</v>
      </c>
      <c r="E542" s="98">
        <v>1236</v>
      </c>
      <c r="F542" s="90">
        <v>0.44673600000000002</v>
      </c>
      <c r="G542" s="92">
        <v>8.9858099999999996E-2</v>
      </c>
    </row>
    <row r="543" spans="1:7" x14ac:dyDescent="0.3">
      <c r="A543" s="98" t="s">
        <v>88</v>
      </c>
      <c r="B543" s="106" t="s">
        <v>173</v>
      </c>
      <c r="C543" s="94">
        <v>46245</v>
      </c>
      <c r="D543" s="91" t="s">
        <v>14</v>
      </c>
      <c r="E543" s="98">
        <v>2139</v>
      </c>
      <c r="F543" s="90">
        <v>0.49287599999999998</v>
      </c>
      <c r="G543" s="92">
        <v>0.139321</v>
      </c>
    </row>
    <row r="544" spans="1:7" x14ac:dyDescent="0.3">
      <c r="A544" s="98" t="s">
        <v>88</v>
      </c>
      <c r="B544" s="106" t="s">
        <v>173</v>
      </c>
      <c r="C544" s="94">
        <v>46245</v>
      </c>
      <c r="D544" s="91" t="s">
        <v>15</v>
      </c>
      <c r="E544" s="98">
        <v>2032</v>
      </c>
      <c r="F544" s="90">
        <v>0.44449100000000002</v>
      </c>
      <c r="G544" s="92">
        <v>0.117545</v>
      </c>
    </row>
    <row r="545" spans="1:7" x14ac:dyDescent="0.3">
      <c r="A545" s="98" t="s">
        <v>88</v>
      </c>
      <c r="B545" s="106" t="s">
        <v>173</v>
      </c>
      <c r="C545" s="94">
        <v>46245</v>
      </c>
      <c r="D545" s="91" t="s">
        <v>16</v>
      </c>
      <c r="E545" s="98">
        <v>1473</v>
      </c>
      <c r="F545" s="90">
        <v>0.44498199999999999</v>
      </c>
      <c r="G545" s="92">
        <v>0.104574</v>
      </c>
    </row>
    <row r="546" spans="1:7" x14ac:dyDescent="0.3">
      <c r="A546" s="98" t="s">
        <v>88</v>
      </c>
      <c r="B546" s="106" t="s">
        <v>173</v>
      </c>
      <c r="C546" s="94">
        <v>46245</v>
      </c>
      <c r="D546" s="91" t="s">
        <v>17</v>
      </c>
      <c r="E546" s="98">
        <v>2045</v>
      </c>
      <c r="F546" s="90">
        <v>0.478385</v>
      </c>
      <c r="G546" s="92">
        <v>9.4275100000000001E-2</v>
      </c>
    </row>
    <row r="547" spans="1:7" x14ac:dyDescent="0.3">
      <c r="A547" s="98" t="s">
        <v>88</v>
      </c>
      <c r="B547" s="106" t="s">
        <v>173</v>
      </c>
      <c r="C547" s="94">
        <v>46245</v>
      </c>
      <c r="D547" s="91" t="s">
        <v>18</v>
      </c>
      <c r="E547" s="98">
        <v>1623</v>
      </c>
      <c r="F547" s="90">
        <v>0.26277800000000001</v>
      </c>
      <c r="G547" s="92">
        <v>6.2501000000000001E-2</v>
      </c>
    </row>
    <row r="548" spans="1:7" x14ac:dyDescent="0.3">
      <c r="A548" s="98" t="s">
        <v>88</v>
      </c>
      <c r="B548" s="106" t="s">
        <v>173</v>
      </c>
      <c r="C548" s="94">
        <v>46245</v>
      </c>
      <c r="D548" s="91" t="s">
        <v>19</v>
      </c>
      <c r="E548" s="98">
        <v>1512</v>
      </c>
      <c r="F548" s="90">
        <v>0.38041599999999998</v>
      </c>
      <c r="G548" s="92">
        <v>7.9848799999999998E-2</v>
      </c>
    </row>
    <row r="549" spans="1:7" x14ac:dyDescent="0.3">
      <c r="A549" s="98" t="s">
        <v>88</v>
      </c>
      <c r="B549" s="106" t="s">
        <v>173</v>
      </c>
      <c r="C549" s="94">
        <v>46245</v>
      </c>
      <c r="D549" s="91" t="s">
        <v>20</v>
      </c>
      <c r="E549" s="98">
        <v>1449</v>
      </c>
      <c r="F549" s="90">
        <v>0.36266999999999999</v>
      </c>
      <c r="G549" s="92">
        <v>7.5657000000000002E-2</v>
      </c>
    </row>
    <row r="550" spans="1:7" x14ac:dyDescent="0.3">
      <c r="A550" s="98" t="s">
        <v>88</v>
      </c>
      <c r="B550" s="106" t="s">
        <v>173</v>
      </c>
      <c r="C550" s="94">
        <v>46245</v>
      </c>
      <c r="D550" s="91" t="s">
        <v>34</v>
      </c>
      <c r="E550" s="98">
        <v>1003</v>
      </c>
      <c r="F550" s="90">
        <v>0.200599</v>
      </c>
      <c r="G550" s="92">
        <v>6.0470700000000002E-2</v>
      </c>
    </row>
    <row r="551" spans="1:7" x14ac:dyDescent="0.3">
      <c r="A551" s="98" t="s">
        <v>88</v>
      </c>
      <c r="B551" s="106" t="s">
        <v>173</v>
      </c>
      <c r="C551" s="94">
        <v>46245</v>
      </c>
      <c r="D551" s="91" t="s">
        <v>21</v>
      </c>
      <c r="E551" s="98">
        <v>3413</v>
      </c>
      <c r="F551" s="90">
        <v>0.12015099999999999</v>
      </c>
      <c r="G551" s="92">
        <v>2.3031800000000002E-2</v>
      </c>
    </row>
    <row r="552" spans="1:7" x14ac:dyDescent="0.3">
      <c r="A552" s="98" t="s">
        <v>88</v>
      </c>
      <c r="B552" s="106" t="s">
        <v>173</v>
      </c>
      <c r="C552" s="94">
        <v>46245</v>
      </c>
      <c r="D552" s="91" t="s">
        <v>22</v>
      </c>
      <c r="E552" s="98">
        <v>2104</v>
      </c>
      <c r="F552" s="90">
        <v>0.419124</v>
      </c>
      <c r="G552" s="92">
        <v>0.113219</v>
      </c>
    </row>
    <row r="553" spans="1:7" x14ac:dyDescent="0.3">
      <c r="A553" s="98" t="s">
        <v>88</v>
      </c>
      <c r="B553" s="106" t="s">
        <v>173</v>
      </c>
      <c r="C553" s="94">
        <v>46245</v>
      </c>
      <c r="D553" s="91" t="s">
        <v>23</v>
      </c>
      <c r="E553" s="98">
        <v>1192</v>
      </c>
      <c r="F553" s="90">
        <v>0.17225799999999999</v>
      </c>
      <c r="G553" s="92">
        <v>5.6920999999999999E-2</v>
      </c>
    </row>
    <row r="554" spans="1:7" x14ac:dyDescent="0.3">
      <c r="A554" s="98" t="s">
        <v>88</v>
      </c>
      <c r="B554" s="106" t="s">
        <v>173</v>
      </c>
      <c r="C554" s="94">
        <v>46245</v>
      </c>
      <c r="D554" s="91" t="s">
        <v>24</v>
      </c>
      <c r="E554" s="98">
        <v>2707</v>
      </c>
      <c r="F554" s="90">
        <v>0.23776900000000001</v>
      </c>
      <c r="G554" s="92">
        <v>7.3652999999999996E-2</v>
      </c>
    </row>
    <row r="555" spans="1:7" x14ac:dyDescent="0.3">
      <c r="A555" s="98" t="s">
        <v>88</v>
      </c>
      <c r="B555" s="106" t="s">
        <v>173</v>
      </c>
      <c r="C555" s="94">
        <v>46245</v>
      </c>
      <c r="D555" s="91" t="s">
        <v>25</v>
      </c>
      <c r="E555" s="98">
        <v>1087</v>
      </c>
      <c r="F555" s="90">
        <v>0.117384</v>
      </c>
      <c r="G555" s="92">
        <v>2.7749900000000001E-2</v>
      </c>
    </row>
    <row r="556" spans="1:7" x14ac:dyDescent="0.3">
      <c r="A556" s="98" t="s">
        <v>88</v>
      </c>
      <c r="B556" s="106" t="s">
        <v>173</v>
      </c>
      <c r="C556" s="94">
        <v>46245</v>
      </c>
      <c r="D556" s="91" t="s">
        <v>26</v>
      </c>
      <c r="E556" s="98">
        <v>1982</v>
      </c>
      <c r="F556" s="90">
        <v>0.23655599999999999</v>
      </c>
      <c r="G556" s="92">
        <v>7.5517899999999999E-2</v>
      </c>
    </row>
    <row r="557" spans="1:7" x14ac:dyDescent="0.3">
      <c r="A557" s="98" t="s">
        <v>88</v>
      </c>
      <c r="B557" s="106" t="s">
        <v>173</v>
      </c>
      <c r="C557" s="94">
        <v>46245</v>
      </c>
      <c r="D557" s="91" t="s">
        <v>27</v>
      </c>
      <c r="E557" s="98">
        <v>2504</v>
      </c>
      <c r="F557" s="90">
        <v>0.31652599999999997</v>
      </c>
      <c r="G557" s="92">
        <v>7.1810499999999999E-2</v>
      </c>
    </row>
    <row r="558" spans="1:7" x14ac:dyDescent="0.3">
      <c r="A558" s="98" t="s">
        <v>88</v>
      </c>
      <c r="B558" s="106" t="s">
        <v>173</v>
      </c>
      <c r="C558" s="94">
        <v>46245</v>
      </c>
      <c r="D558" s="91" t="s">
        <v>28</v>
      </c>
      <c r="E558" s="98">
        <v>1302</v>
      </c>
      <c r="F558" s="90">
        <v>0.48486299999999999</v>
      </c>
      <c r="G558" s="92">
        <v>0.108611</v>
      </c>
    </row>
    <row r="559" spans="1:7" x14ac:dyDescent="0.3">
      <c r="A559" s="98" t="s">
        <v>88</v>
      </c>
      <c r="B559" s="106" t="s">
        <v>173</v>
      </c>
      <c r="C559" s="94">
        <v>46245</v>
      </c>
      <c r="D559" s="91" t="s">
        <v>29</v>
      </c>
      <c r="E559" s="98">
        <v>1437</v>
      </c>
      <c r="F559" s="90">
        <v>0.37018499999999999</v>
      </c>
      <c r="G559" s="92">
        <v>7.6890200000000006E-2</v>
      </c>
    </row>
    <row r="560" spans="1:7" x14ac:dyDescent="0.3">
      <c r="A560" s="98" t="s">
        <v>88</v>
      </c>
      <c r="B560" s="106" t="s">
        <v>173</v>
      </c>
      <c r="C560" s="94">
        <v>46245</v>
      </c>
      <c r="D560" s="91" t="s">
        <v>30</v>
      </c>
      <c r="E560" s="98">
        <v>1204</v>
      </c>
      <c r="F560" s="90">
        <v>0.45980399999999999</v>
      </c>
      <c r="G560" s="92">
        <v>9.22037E-2</v>
      </c>
    </row>
    <row r="561" spans="1:7" x14ac:dyDescent="0.3">
      <c r="A561" s="98" t="s">
        <v>88</v>
      </c>
      <c r="B561" s="106" t="s">
        <v>174</v>
      </c>
      <c r="C561" s="94">
        <v>46245</v>
      </c>
      <c r="D561" s="91" t="s">
        <v>14</v>
      </c>
      <c r="E561" s="98">
        <v>1962</v>
      </c>
      <c r="F561" s="90">
        <v>0.58545000000000003</v>
      </c>
      <c r="G561" s="92">
        <v>0.14530899999999999</v>
      </c>
    </row>
    <row r="562" spans="1:7" x14ac:dyDescent="0.3">
      <c r="A562" s="98" t="s">
        <v>88</v>
      </c>
      <c r="B562" s="106" t="s">
        <v>174</v>
      </c>
      <c r="C562" s="94">
        <v>46245</v>
      </c>
      <c r="D562" s="91" t="s">
        <v>15</v>
      </c>
      <c r="E562" s="98">
        <v>1901</v>
      </c>
      <c r="F562" s="90">
        <v>0.44188899999999998</v>
      </c>
      <c r="G562" s="92">
        <v>0.104199</v>
      </c>
    </row>
    <row r="563" spans="1:7" x14ac:dyDescent="0.3">
      <c r="A563" s="98" t="s">
        <v>88</v>
      </c>
      <c r="B563" s="106" t="s">
        <v>174</v>
      </c>
      <c r="C563" s="94">
        <v>46245</v>
      </c>
      <c r="D563" s="91" t="s">
        <v>16</v>
      </c>
      <c r="E563" s="98">
        <v>1589</v>
      </c>
      <c r="F563" s="90">
        <v>0.44498199999999999</v>
      </c>
      <c r="G563" s="92">
        <v>0.104574</v>
      </c>
    </row>
    <row r="564" spans="1:7" x14ac:dyDescent="0.3">
      <c r="A564" s="98" t="s">
        <v>88</v>
      </c>
      <c r="B564" s="106" t="s">
        <v>174</v>
      </c>
      <c r="C564" s="94">
        <v>46245</v>
      </c>
      <c r="D564" s="91" t="s">
        <v>17</v>
      </c>
      <c r="E564" s="98">
        <v>2021</v>
      </c>
      <c r="F564" s="90">
        <v>0.50049299999999997</v>
      </c>
      <c r="G564" s="92">
        <v>0.11082400000000001</v>
      </c>
    </row>
    <row r="565" spans="1:7" x14ac:dyDescent="0.3">
      <c r="A565" s="98" t="s">
        <v>88</v>
      </c>
      <c r="B565" s="106" t="s">
        <v>174</v>
      </c>
      <c r="C565" s="94">
        <v>46245</v>
      </c>
      <c r="D565" s="91" t="s">
        <v>18</v>
      </c>
      <c r="E565" s="98">
        <v>1852</v>
      </c>
      <c r="F565" s="90">
        <v>0.28481600000000001</v>
      </c>
      <c r="G565" s="92">
        <v>6.0860400000000002E-2</v>
      </c>
    </row>
    <row r="566" spans="1:7" x14ac:dyDescent="0.3">
      <c r="A566" s="98" t="s">
        <v>88</v>
      </c>
      <c r="B566" s="106" t="s">
        <v>174</v>
      </c>
      <c r="C566" s="94">
        <v>46245</v>
      </c>
      <c r="D566" s="91" t="s">
        <v>19</v>
      </c>
      <c r="E566" s="98">
        <v>1716</v>
      </c>
      <c r="F566" s="90">
        <v>0.422234</v>
      </c>
      <c r="G566" s="92">
        <v>8.2743399999999995E-2</v>
      </c>
    </row>
    <row r="567" spans="1:7" x14ac:dyDescent="0.3">
      <c r="A567" s="98" t="s">
        <v>88</v>
      </c>
      <c r="B567" s="106" t="s">
        <v>174</v>
      </c>
      <c r="C567" s="94">
        <v>46245</v>
      </c>
      <c r="D567" s="91" t="s">
        <v>20</v>
      </c>
      <c r="E567" s="98">
        <v>1586</v>
      </c>
      <c r="F567" s="90">
        <v>0.44955299999999998</v>
      </c>
      <c r="G567" s="92">
        <v>8.9280399999999996E-2</v>
      </c>
    </row>
    <row r="568" spans="1:7" x14ac:dyDescent="0.3">
      <c r="A568" s="98" t="s">
        <v>88</v>
      </c>
      <c r="B568" s="106" t="s">
        <v>174</v>
      </c>
      <c r="C568" s="94">
        <v>46245</v>
      </c>
      <c r="D568" s="91" t="s">
        <v>34</v>
      </c>
      <c r="E568" s="98">
        <v>1078</v>
      </c>
      <c r="F568" s="90">
        <v>0.197274</v>
      </c>
      <c r="G568" s="92">
        <v>5.8390299999999999E-2</v>
      </c>
    </row>
    <row r="569" spans="1:7" x14ac:dyDescent="0.3">
      <c r="A569" s="98" t="s">
        <v>88</v>
      </c>
      <c r="B569" s="106" t="s">
        <v>174</v>
      </c>
      <c r="C569" s="94">
        <v>46245</v>
      </c>
      <c r="D569" s="91" t="s">
        <v>21</v>
      </c>
      <c r="E569" s="98">
        <v>2950</v>
      </c>
      <c r="F569" s="90">
        <v>0.44993100000000003</v>
      </c>
      <c r="G569" s="92">
        <v>9.2964400000000003E-2</v>
      </c>
    </row>
    <row r="570" spans="1:7" x14ac:dyDescent="0.3">
      <c r="A570" s="98" t="s">
        <v>88</v>
      </c>
      <c r="B570" s="106" t="s">
        <v>174</v>
      </c>
      <c r="C570" s="94">
        <v>46245</v>
      </c>
      <c r="D570" s="91" t="s">
        <v>22</v>
      </c>
      <c r="E570" s="98">
        <v>2249</v>
      </c>
      <c r="F570" s="90">
        <v>0.32510899999999998</v>
      </c>
      <c r="G570" s="92">
        <v>0.100443</v>
      </c>
    </row>
    <row r="571" spans="1:7" x14ac:dyDescent="0.3">
      <c r="A571" s="98" t="s">
        <v>88</v>
      </c>
      <c r="B571" s="106" t="s">
        <v>174</v>
      </c>
      <c r="C571" s="94">
        <v>46245</v>
      </c>
      <c r="D571" s="91" t="s">
        <v>23</v>
      </c>
      <c r="E571" s="98">
        <v>1036</v>
      </c>
      <c r="F571" s="90">
        <v>0.426286</v>
      </c>
      <c r="G571" s="92">
        <v>0.125246</v>
      </c>
    </row>
    <row r="572" spans="1:7" x14ac:dyDescent="0.3">
      <c r="A572" s="98" t="s">
        <v>88</v>
      </c>
      <c r="B572" s="106" t="s">
        <v>174</v>
      </c>
      <c r="C572" s="94">
        <v>46245</v>
      </c>
      <c r="D572" s="91" t="s">
        <v>24</v>
      </c>
      <c r="E572" s="98">
        <v>2528</v>
      </c>
      <c r="F572" s="90">
        <v>0.21379200000000001</v>
      </c>
      <c r="G572" s="92">
        <v>6.4461099999999993E-2</v>
      </c>
    </row>
    <row r="573" spans="1:7" x14ac:dyDescent="0.3">
      <c r="A573" s="98" t="s">
        <v>88</v>
      </c>
      <c r="B573" s="106" t="s">
        <v>174</v>
      </c>
      <c r="C573" s="94">
        <v>46245</v>
      </c>
      <c r="D573" s="91" t="s">
        <v>25</v>
      </c>
      <c r="E573" s="98">
        <v>1139</v>
      </c>
      <c r="F573" s="90">
        <v>0.24654300000000001</v>
      </c>
      <c r="G573" s="92">
        <v>6.1871500000000003E-2</v>
      </c>
    </row>
    <row r="574" spans="1:7" x14ac:dyDescent="0.3">
      <c r="A574" s="98" t="s">
        <v>88</v>
      </c>
      <c r="B574" s="106" t="s">
        <v>174</v>
      </c>
      <c r="C574" s="94">
        <v>46245</v>
      </c>
      <c r="D574" s="91" t="s">
        <v>26</v>
      </c>
      <c r="E574" s="98">
        <v>2220</v>
      </c>
      <c r="F574" s="90">
        <v>0.25879200000000002</v>
      </c>
      <c r="G574" s="92">
        <v>8.9482599999999995E-2</v>
      </c>
    </row>
    <row r="575" spans="1:7" x14ac:dyDescent="0.3">
      <c r="A575" s="98" t="s">
        <v>88</v>
      </c>
      <c r="B575" s="106" t="s">
        <v>174</v>
      </c>
      <c r="C575" s="94">
        <v>46245</v>
      </c>
      <c r="D575" s="91" t="s">
        <v>27</v>
      </c>
      <c r="E575" s="98">
        <v>2152</v>
      </c>
      <c r="F575" s="90">
        <v>0.32092999999999999</v>
      </c>
      <c r="G575" s="92">
        <v>8.0658499999999994E-2</v>
      </c>
    </row>
    <row r="576" spans="1:7" x14ac:dyDescent="0.3">
      <c r="A576" s="98" t="s">
        <v>88</v>
      </c>
      <c r="B576" s="106" t="s">
        <v>174</v>
      </c>
      <c r="C576" s="94">
        <v>46245</v>
      </c>
      <c r="D576" s="91" t="s">
        <v>28</v>
      </c>
      <c r="E576" s="98">
        <v>1003</v>
      </c>
      <c r="F576" s="90">
        <v>0.43876799999999999</v>
      </c>
      <c r="G576" s="92">
        <v>0.112343</v>
      </c>
    </row>
    <row r="577" spans="1:7" x14ac:dyDescent="0.3">
      <c r="A577" s="98" t="s">
        <v>88</v>
      </c>
      <c r="B577" s="106" t="s">
        <v>174</v>
      </c>
      <c r="C577" s="94">
        <v>46245</v>
      </c>
      <c r="D577" s="91" t="s">
        <v>29</v>
      </c>
      <c r="E577" s="98">
        <v>1510</v>
      </c>
      <c r="F577" s="90">
        <v>0.37018499999999999</v>
      </c>
      <c r="G577" s="92">
        <v>7.6890200000000006E-2</v>
      </c>
    </row>
    <row r="578" spans="1:7" x14ac:dyDescent="0.3">
      <c r="A578" s="98" t="s">
        <v>88</v>
      </c>
      <c r="B578" s="106" t="s">
        <v>174</v>
      </c>
      <c r="C578" s="94">
        <v>46245</v>
      </c>
      <c r="D578" s="91" t="s">
        <v>30</v>
      </c>
      <c r="E578" s="98">
        <v>1227</v>
      </c>
      <c r="F578" s="90">
        <v>0.43123899999999998</v>
      </c>
      <c r="G578" s="92">
        <v>9.7492599999999999E-2</v>
      </c>
    </row>
    <row r="579" spans="1:7" x14ac:dyDescent="0.3">
      <c r="A579" s="98" t="s">
        <v>88</v>
      </c>
      <c r="B579" s="106" t="s">
        <v>203</v>
      </c>
      <c r="C579" s="94">
        <v>46246</v>
      </c>
      <c r="D579" s="91" t="s">
        <v>14</v>
      </c>
      <c r="E579" s="98">
        <v>2455</v>
      </c>
      <c r="F579" s="90">
        <v>0.55891500000000005</v>
      </c>
      <c r="G579" s="92">
        <v>0.15717400000000001</v>
      </c>
    </row>
    <row r="580" spans="1:7" x14ac:dyDescent="0.3">
      <c r="A580" s="98" t="s">
        <v>88</v>
      </c>
      <c r="B580" s="106" t="s">
        <v>203</v>
      </c>
      <c r="C580" s="94">
        <v>46246</v>
      </c>
      <c r="D580" s="91" t="s">
        <v>15</v>
      </c>
      <c r="E580" s="98">
        <v>2236</v>
      </c>
      <c r="F580" s="90">
        <v>0.43404999999999999</v>
      </c>
      <c r="G580" s="92">
        <v>0.114352</v>
      </c>
    </row>
    <row r="581" spans="1:7" x14ac:dyDescent="0.3">
      <c r="A581" s="98" t="s">
        <v>88</v>
      </c>
      <c r="B581" s="106" t="s">
        <v>203</v>
      </c>
      <c r="C581" s="94">
        <v>46246</v>
      </c>
      <c r="D581" s="91" t="s">
        <v>16</v>
      </c>
      <c r="E581" s="98">
        <v>1643</v>
      </c>
      <c r="F581" s="90">
        <v>0.46439900000000001</v>
      </c>
      <c r="G581" s="92">
        <v>0.108926</v>
      </c>
    </row>
    <row r="582" spans="1:7" x14ac:dyDescent="0.3">
      <c r="A582" s="98" t="s">
        <v>88</v>
      </c>
      <c r="B582" s="106" t="s">
        <v>203</v>
      </c>
      <c r="C582" s="94">
        <v>46246</v>
      </c>
      <c r="D582" s="91" t="s">
        <v>17</v>
      </c>
      <c r="E582" s="98">
        <v>1958</v>
      </c>
      <c r="F582" s="90">
        <v>0.63461900000000004</v>
      </c>
      <c r="G582" s="92">
        <v>0.12556100000000001</v>
      </c>
    </row>
    <row r="583" spans="1:7" x14ac:dyDescent="0.3">
      <c r="A583" s="98" t="s">
        <v>88</v>
      </c>
      <c r="B583" s="106" t="s">
        <v>203</v>
      </c>
      <c r="C583" s="94">
        <v>46246</v>
      </c>
      <c r="D583" s="91" t="s">
        <v>18</v>
      </c>
      <c r="E583" s="98">
        <v>1826</v>
      </c>
      <c r="F583" s="90">
        <v>0.26075799999999999</v>
      </c>
      <c r="G583" s="92">
        <v>6.2025799999999999E-2</v>
      </c>
    </row>
    <row r="584" spans="1:7" x14ac:dyDescent="0.3">
      <c r="A584" s="98" t="s">
        <v>88</v>
      </c>
      <c r="B584" s="106" t="s">
        <v>203</v>
      </c>
      <c r="C584" s="94">
        <v>46246</v>
      </c>
      <c r="D584" s="91" t="s">
        <v>19</v>
      </c>
      <c r="E584" s="98">
        <v>1675</v>
      </c>
      <c r="F584" s="90">
        <v>0.43622300000000003</v>
      </c>
      <c r="G584" s="92">
        <v>9.17211E-2</v>
      </c>
    </row>
    <row r="585" spans="1:7" x14ac:dyDescent="0.3">
      <c r="A585" s="98" t="s">
        <v>88</v>
      </c>
      <c r="B585" s="106" t="s">
        <v>203</v>
      </c>
      <c r="C585" s="94">
        <v>46246</v>
      </c>
      <c r="D585" s="91" t="s">
        <v>20</v>
      </c>
      <c r="E585" s="98">
        <v>1755</v>
      </c>
      <c r="F585" s="90">
        <v>0.43544100000000002</v>
      </c>
      <c r="G585" s="92">
        <v>9.1064300000000001E-2</v>
      </c>
    </row>
    <row r="586" spans="1:7" x14ac:dyDescent="0.3">
      <c r="A586" s="98" t="s">
        <v>88</v>
      </c>
      <c r="B586" s="106" t="s">
        <v>203</v>
      </c>
      <c r="C586" s="94">
        <v>46246</v>
      </c>
      <c r="D586" s="91" t="s">
        <v>34</v>
      </c>
      <c r="E586" s="98">
        <v>1002</v>
      </c>
      <c r="F586" s="90">
        <v>0.30501899999999998</v>
      </c>
      <c r="G586" s="92">
        <v>9.2486100000000002E-2</v>
      </c>
    </row>
    <row r="587" spans="1:7" x14ac:dyDescent="0.3">
      <c r="A587" s="98" t="s">
        <v>88</v>
      </c>
      <c r="B587" s="106" t="s">
        <v>203</v>
      </c>
      <c r="C587" s="94">
        <v>46246</v>
      </c>
      <c r="D587" s="91" t="s">
        <v>21</v>
      </c>
      <c r="E587" s="98">
        <v>2843</v>
      </c>
      <c r="F587" s="90">
        <v>0.47946800000000001</v>
      </c>
      <c r="G587" s="92">
        <v>9.3262200000000003E-2</v>
      </c>
    </row>
    <row r="588" spans="1:7" x14ac:dyDescent="0.3">
      <c r="A588" s="98" t="s">
        <v>88</v>
      </c>
      <c r="B588" s="106" t="s">
        <v>203</v>
      </c>
      <c r="C588" s="94">
        <v>46246</v>
      </c>
      <c r="D588" s="91" t="s">
        <v>22</v>
      </c>
      <c r="E588" s="98">
        <v>2263</v>
      </c>
      <c r="F588" s="90">
        <v>0.52340200000000003</v>
      </c>
      <c r="G588" s="92">
        <v>0.142179</v>
      </c>
    </row>
    <row r="589" spans="1:7" x14ac:dyDescent="0.3">
      <c r="A589" s="98" t="s">
        <v>88</v>
      </c>
      <c r="B589" s="106" t="s">
        <v>203</v>
      </c>
      <c r="C589" s="94">
        <v>46246</v>
      </c>
      <c r="D589" s="91" t="s">
        <v>23</v>
      </c>
      <c r="E589" s="98">
        <v>1276</v>
      </c>
      <c r="F589" s="90">
        <v>0.498776</v>
      </c>
      <c r="G589" s="92">
        <v>0.16361000000000001</v>
      </c>
    </row>
    <row r="590" spans="1:7" x14ac:dyDescent="0.3">
      <c r="A590" s="98" t="s">
        <v>88</v>
      </c>
      <c r="B590" s="106" t="s">
        <v>203</v>
      </c>
      <c r="C590" s="94">
        <v>46246</v>
      </c>
      <c r="D590" s="91" t="s">
        <v>24</v>
      </c>
      <c r="E590" s="98">
        <v>2390</v>
      </c>
      <c r="F590" s="90">
        <v>0.20551900000000001</v>
      </c>
      <c r="G590" s="92">
        <v>6.3297999999999993E-2</v>
      </c>
    </row>
    <row r="591" spans="1:7" x14ac:dyDescent="0.3">
      <c r="A591" s="98" t="s">
        <v>88</v>
      </c>
      <c r="B591" s="106" t="s">
        <v>203</v>
      </c>
      <c r="C591" s="94">
        <v>46246</v>
      </c>
      <c r="D591" s="91" t="s">
        <v>25</v>
      </c>
      <c r="E591" s="98">
        <v>1050</v>
      </c>
      <c r="F591" s="90">
        <v>0.230655</v>
      </c>
      <c r="G591" s="92">
        <v>5.54628E-2</v>
      </c>
    </row>
    <row r="592" spans="1:7" x14ac:dyDescent="0.3">
      <c r="A592" s="98" t="s">
        <v>88</v>
      </c>
      <c r="B592" s="106" t="s">
        <v>203</v>
      </c>
      <c r="C592" s="94">
        <v>46246</v>
      </c>
      <c r="D592" s="91" t="s">
        <v>26</v>
      </c>
      <c r="E592" s="98">
        <v>2388</v>
      </c>
      <c r="F592" s="90">
        <v>0.21137600000000001</v>
      </c>
      <c r="G592" s="92">
        <v>6.7938499999999999E-2</v>
      </c>
    </row>
    <row r="593" spans="1:7" x14ac:dyDescent="0.3">
      <c r="A593" s="98" t="s">
        <v>88</v>
      </c>
      <c r="B593" s="106" t="s">
        <v>203</v>
      </c>
      <c r="C593" s="94">
        <v>46246</v>
      </c>
      <c r="D593" s="91" t="s">
        <v>27</v>
      </c>
      <c r="E593" s="98">
        <v>2175</v>
      </c>
      <c r="F593" s="90">
        <v>0.35617700000000002</v>
      </c>
      <c r="G593" s="92">
        <v>8.0817399999999998E-2</v>
      </c>
    </row>
    <row r="594" spans="1:7" x14ac:dyDescent="0.3">
      <c r="A594" s="98" t="s">
        <v>88</v>
      </c>
      <c r="B594" s="106" t="s">
        <v>203</v>
      </c>
      <c r="C594" s="94">
        <v>46246</v>
      </c>
      <c r="D594" s="91" t="s">
        <v>28</v>
      </c>
      <c r="E594" s="98">
        <v>1182</v>
      </c>
      <c r="F594" s="90">
        <v>0.50630200000000003</v>
      </c>
      <c r="G594" s="92">
        <v>0.11373999999999999</v>
      </c>
    </row>
    <row r="595" spans="1:7" x14ac:dyDescent="0.3">
      <c r="A595" s="98" t="s">
        <v>88</v>
      </c>
      <c r="B595" s="106" t="s">
        <v>203</v>
      </c>
      <c r="C595" s="94">
        <v>46246</v>
      </c>
      <c r="D595" s="91" t="s">
        <v>29</v>
      </c>
      <c r="E595" s="98">
        <v>1511</v>
      </c>
      <c r="F595" s="90">
        <v>0.367724</v>
      </c>
      <c r="G595" s="92">
        <v>7.6160400000000003E-2</v>
      </c>
    </row>
    <row r="596" spans="1:7" x14ac:dyDescent="0.3">
      <c r="A596" s="98" t="s">
        <v>88</v>
      </c>
      <c r="B596" s="106" t="s">
        <v>203</v>
      </c>
      <c r="C596" s="94">
        <v>46245</v>
      </c>
      <c r="D596" s="91" t="s">
        <v>30</v>
      </c>
      <c r="E596" s="98">
        <v>1045</v>
      </c>
      <c r="F596" s="90">
        <v>0.47634500000000002</v>
      </c>
      <c r="G596" s="92">
        <v>9.5844299999999993E-2</v>
      </c>
    </row>
    <row r="597" spans="1:7" x14ac:dyDescent="0.3">
      <c r="A597" s="98" t="s">
        <v>88</v>
      </c>
      <c r="B597" s="106" t="s">
        <v>175</v>
      </c>
      <c r="C597" s="94">
        <v>46245</v>
      </c>
      <c r="D597" s="91" t="s">
        <v>14</v>
      </c>
      <c r="E597" s="98">
        <v>2538</v>
      </c>
      <c r="F597" s="90">
        <v>0.69997100000000001</v>
      </c>
      <c r="G597" s="92">
        <v>0.19674</v>
      </c>
    </row>
    <row r="598" spans="1:7" x14ac:dyDescent="0.3">
      <c r="A598" s="98" t="s">
        <v>88</v>
      </c>
      <c r="B598" s="106" t="s">
        <v>175</v>
      </c>
      <c r="C598" s="94">
        <v>46245</v>
      </c>
      <c r="D598" s="91" t="s">
        <v>15</v>
      </c>
      <c r="E598" s="98">
        <v>2459</v>
      </c>
      <c r="F598" s="90">
        <v>0.46595999999999999</v>
      </c>
      <c r="G598" s="92">
        <v>0.12274500000000001</v>
      </c>
    </row>
    <row r="599" spans="1:7" x14ac:dyDescent="0.3">
      <c r="A599" s="98" t="s">
        <v>88</v>
      </c>
      <c r="B599" s="106" t="s">
        <v>175</v>
      </c>
      <c r="C599" s="94">
        <v>46245</v>
      </c>
      <c r="D599" s="91" t="s">
        <v>16</v>
      </c>
      <c r="E599" s="98">
        <v>1674</v>
      </c>
      <c r="F599" s="90">
        <v>0.50656800000000002</v>
      </c>
      <c r="G599" s="92">
        <v>0.118807</v>
      </c>
    </row>
    <row r="600" spans="1:7" x14ac:dyDescent="0.3">
      <c r="A600" s="98" t="s">
        <v>88</v>
      </c>
      <c r="B600" s="106" t="s">
        <v>175</v>
      </c>
      <c r="C600" s="94">
        <v>46245</v>
      </c>
      <c r="D600" s="91" t="s">
        <v>17</v>
      </c>
      <c r="E600" s="98">
        <v>1964</v>
      </c>
      <c r="F600" s="90">
        <v>0.59270599999999996</v>
      </c>
      <c r="G600" s="92">
        <v>0.1172</v>
      </c>
    </row>
    <row r="601" spans="1:7" x14ac:dyDescent="0.3">
      <c r="A601" s="98" t="s">
        <v>88</v>
      </c>
      <c r="B601" s="106" t="s">
        <v>175</v>
      </c>
      <c r="C601" s="94">
        <v>46245</v>
      </c>
      <c r="D601" s="91" t="s">
        <v>18</v>
      </c>
      <c r="E601" s="98">
        <v>1967</v>
      </c>
      <c r="F601" s="90">
        <v>0.312002</v>
      </c>
      <c r="G601" s="92">
        <v>7.4209300000000006E-2</v>
      </c>
    </row>
    <row r="602" spans="1:7" x14ac:dyDescent="0.3">
      <c r="A602" s="98" t="s">
        <v>88</v>
      </c>
      <c r="B602" s="106" t="s">
        <v>175</v>
      </c>
      <c r="C602" s="94">
        <v>46245</v>
      </c>
      <c r="D602" s="91" t="s">
        <v>19</v>
      </c>
      <c r="E602" s="98">
        <v>1589</v>
      </c>
      <c r="F602" s="90">
        <v>0.45899600000000002</v>
      </c>
      <c r="G602" s="92">
        <v>9.6522200000000002E-2</v>
      </c>
    </row>
    <row r="603" spans="1:7" x14ac:dyDescent="0.3">
      <c r="A603" s="98" t="s">
        <v>88</v>
      </c>
      <c r="B603" s="106" t="s">
        <v>175</v>
      </c>
      <c r="C603" s="94">
        <v>46245</v>
      </c>
      <c r="D603" s="91" t="s">
        <v>20</v>
      </c>
      <c r="E603" s="98">
        <v>1563</v>
      </c>
      <c r="F603" s="90">
        <v>0.544682</v>
      </c>
      <c r="G603" s="92">
        <v>0.11393499999999999</v>
      </c>
    </row>
    <row r="604" spans="1:7" x14ac:dyDescent="0.3">
      <c r="A604" s="98" t="s">
        <v>88</v>
      </c>
      <c r="B604" s="106" t="s">
        <v>175</v>
      </c>
      <c r="C604" s="94">
        <v>46245</v>
      </c>
      <c r="D604" s="91" t="s">
        <v>34</v>
      </c>
      <c r="E604" s="98">
        <v>1004</v>
      </c>
      <c r="F604" s="90">
        <v>0.24451200000000001</v>
      </c>
      <c r="G604" s="92">
        <v>7.4092500000000006E-2</v>
      </c>
    </row>
    <row r="605" spans="1:7" x14ac:dyDescent="0.3">
      <c r="A605" s="98" t="s">
        <v>88</v>
      </c>
      <c r="B605" s="106" t="s">
        <v>175</v>
      </c>
      <c r="C605" s="94">
        <v>46245</v>
      </c>
      <c r="D605" s="91" t="s">
        <v>21</v>
      </c>
      <c r="E605" s="98">
        <v>2862</v>
      </c>
      <c r="F605" s="90">
        <v>0.52680300000000002</v>
      </c>
      <c r="G605" s="92">
        <v>0.102477</v>
      </c>
    </row>
    <row r="606" spans="1:7" x14ac:dyDescent="0.3">
      <c r="A606" s="98" t="s">
        <v>88</v>
      </c>
      <c r="B606" s="106" t="s">
        <v>175</v>
      </c>
      <c r="C606" s="94">
        <v>46245</v>
      </c>
      <c r="D606" s="91" t="s">
        <v>22</v>
      </c>
      <c r="E606" s="98">
        <v>2502</v>
      </c>
      <c r="F606" s="90">
        <v>0.55495499999999998</v>
      </c>
      <c r="G606" s="92">
        <v>0.15076500000000001</v>
      </c>
    </row>
    <row r="607" spans="1:7" x14ac:dyDescent="0.3">
      <c r="A607" s="98" t="s">
        <v>88</v>
      </c>
      <c r="B607" s="106" t="s">
        <v>175</v>
      </c>
      <c r="C607" s="94">
        <v>46245</v>
      </c>
      <c r="D607" s="91" t="s">
        <v>23</v>
      </c>
      <c r="E607" s="98">
        <v>1199</v>
      </c>
      <c r="F607" s="90">
        <v>0.57575900000000002</v>
      </c>
      <c r="G607" s="92">
        <v>0.18892700000000001</v>
      </c>
    </row>
    <row r="608" spans="1:7" x14ac:dyDescent="0.3">
      <c r="A608" s="98" t="s">
        <v>88</v>
      </c>
      <c r="B608" s="106" t="s">
        <v>175</v>
      </c>
      <c r="C608" s="94">
        <v>46245</v>
      </c>
      <c r="D608" s="91" t="s">
        <v>24</v>
      </c>
      <c r="E608" s="98">
        <v>2708</v>
      </c>
      <c r="F608" s="90">
        <v>0.26341199999999998</v>
      </c>
      <c r="G608" s="92">
        <v>8.1164200000000006E-2</v>
      </c>
    </row>
    <row r="609" spans="1:7" x14ac:dyDescent="0.3">
      <c r="A609" s="98" t="s">
        <v>88</v>
      </c>
      <c r="B609" s="106" t="s">
        <v>175</v>
      </c>
      <c r="C609" s="94">
        <v>46245</v>
      </c>
      <c r="D609" s="91" t="s">
        <v>25</v>
      </c>
      <c r="E609" s="98">
        <v>1063</v>
      </c>
      <c r="F609" s="90">
        <v>0.24019599999999999</v>
      </c>
      <c r="G609" s="92">
        <v>5.7769899999999999E-2</v>
      </c>
    </row>
    <row r="610" spans="1:7" x14ac:dyDescent="0.3">
      <c r="A610" s="98" t="s">
        <v>88</v>
      </c>
      <c r="B610" s="106" t="s">
        <v>175</v>
      </c>
      <c r="C610" s="94">
        <v>46245</v>
      </c>
      <c r="D610" s="91" t="s">
        <v>26</v>
      </c>
      <c r="E610" s="98">
        <v>2238</v>
      </c>
      <c r="F610" s="90">
        <v>0.22983100000000001</v>
      </c>
      <c r="G610" s="92">
        <v>7.3891100000000001E-2</v>
      </c>
    </row>
    <row r="611" spans="1:7" x14ac:dyDescent="0.3">
      <c r="A611" s="98" t="s">
        <v>88</v>
      </c>
      <c r="B611" s="106" t="s">
        <v>175</v>
      </c>
      <c r="C611" s="94">
        <v>46245</v>
      </c>
      <c r="D611" s="91" t="s">
        <v>27</v>
      </c>
      <c r="E611" s="98">
        <v>2198</v>
      </c>
      <c r="F611" s="90">
        <v>0.35157699999999997</v>
      </c>
      <c r="G611" s="92">
        <v>7.9759300000000005E-2</v>
      </c>
    </row>
    <row r="612" spans="1:7" x14ac:dyDescent="0.3">
      <c r="A612" s="98" t="s">
        <v>88</v>
      </c>
      <c r="B612" s="106" t="s">
        <v>175</v>
      </c>
      <c r="C612" s="94">
        <v>46245</v>
      </c>
      <c r="D612" s="91" t="s">
        <v>28</v>
      </c>
      <c r="E612" s="98">
        <v>1239</v>
      </c>
      <c r="F612" s="90">
        <v>0.52923500000000001</v>
      </c>
      <c r="G612" s="92">
        <v>0.118798</v>
      </c>
    </row>
    <row r="613" spans="1:7" x14ac:dyDescent="0.3">
      <c r="A613" s="98" t="s">
        <v>88</v>
      </c>
      <c r="B613" s="106" t="s">
        <v>175</v>
      </c>
      <c r="C613" s="94">
        <v>46245</v>
      </c>
      <c r="D613" s="91" t="s">
        <v>29</v>
      </c>
      <c r="E613" s="98">
        <v>1721</v>
      </c>
      <c r="F613" s="90">
        <v>0.45143299999999997</v>
      </c>
      <c r="G613" s="92">
        <v>9.3463500000000005E-2</v>
      </c>
    </row>
    <row r="614" spans="1:7" x14ac:dyDescent="0.3">
      <c r="A614" s="98" t="s">
        <v>88</v>
      </c>
      <c r="B614" s="106" t="s">
        <v>175</v>
      </c>
      <c r="C614" s="94">
        <v>46245</v>
      </c>
      <c r="D614" s="91" t="s">
        <v>30</v>
      </c>
      <c r="E614" s="98">
        <v>1405</v>
      </c>
      <c r="F614" s="90">
        <v>0.53590700000000002</v>
      </c>
      <c r="G614" s="92">
        <v>0.107811</v>
      </c>
    </row>
    <row r="615" spans="1:7" x14ac:dyDescent="0.3">
      <c r="A615" s="98" t="s">
        <v>88</v>
      </c>
      <c r="B615" s="106" t="s">
        <v>176</v>
      </c>
      <c r="C615" s="94">
        <v>46245</v>
      </c>
      <c r="D615" s="91" t="s">
        <v>14</v>
      </c>
      <c r="E615" s="98">
        <v>2216</v>
      </c>
      <c r="F615" s="90">
        <v>0.54661599999999999</v>
      </c>
      <c r="G615" s="92">
        <v>0.15504499999999999</v>
      </c>
    </row>
    <row r="616" spans="1:7" x14ac:dyDescent="0.3">
      <c r="A616" s="98" t="s">
        <v>88</v>
      </c>
      <c r="B616" s="106" t="s">
        <v>176</v>
      </c>
      <c r="C616" s="94">
        <v>46245</v>
      </c>
      <c r="D616" s="91" t="s">
        <v>15</v>
      </c>
      <c r="E616" s="98">
        <v>2211</v>
      </c>
      <c r="F616" s="90">
        <v>0.47216799999999998</v>
      </c>
      <c r="G616" s="92">
        <v>0.12520300000000001</v>
      </c>
    </row>
    <row r="617" spans="1:7" x14ac:dyDescent="0.3">
      <c r="A617" s="98" t="s">
        <v>88</v>
      </c>
      <c r="B617" s="106" t="s">
        <v>176</v>
      </c>
      <c r="C617" s="94">
        <v>46245</v>
      </c>
      <c r="D617" s="91" t="s">
        <v>16</v>
      </c>
      <c r="E617" s="98">
        <v>1665</v>
      </c>
      <c r="F617" s="90">
        <v>0.417495</v>
      </c>
      <c r="G617" s="92">
        <v>9.8415000000000002E-2</v>
      </c>
    </row>
    <row r="618" spans="1:7" x14ac:dyDescent="0.3">
      <c r="A618" s="98" t="s">
        <v>88</v>
      </c>
      <c r="B618" s="106" t="s">
        <v>176</v>
      </c>
      <c r="C618" s="94">
        <v>46245</v>
      </c>
      <c r="D618" s="91" t="s">
        <v>17</v>
      </c>
      <c r="E618" s="98">
        <v>1901</v>
      </c>
      <c r="F618" s="90">
        <v>0.47767500000000002</v>
      </c>
      <c r="G618" s="92">
        <v>9.3883099999999997E-2</v>
      </c>
    </row>
    <row r="619" spans="1:7" x14ac:dyDescent="0.3">
      <c r="A619" s="98" t="s">
        <v>88</v>
      </c>
      <c r="B619" s="106" t="s">
        <v>176</v>
      </c>
      <c r="C619" s="94">
        <v>46245</v>
      </c>
      <c r="D619" s="91" t="s">
        <v>18</v>
      </c>
      <c r="E619" s="98">
        <v>1966</v>
      </c>
      <c r="F619" s="90">
        <v>0.27741399999999999</v>
      </c>
      <c r="G619" s="92">
        <v>6.6127400000000003E-2</v>
      </c>
    </row>
    <row r="620" spans="1:7" x14ac:dyDescent="0.3">
      <c r="A620" s="98" t="s">
        <v>88</v>
      </c>
      <c r="B620" s="106" t="s">
        <v>176</v>
      </c>
      <c r="C620" s="94">
        <v>46245</v>
      </c>
      <c r="D620" s="91" t="s">
        <v>19</v>
      </c>
      <c r="E620" s="98">
        <v>1519</v>
      </c>
      <c r="F620" s="90">
        <v>0.44321899999999997</v>
      </c>
      <c r="G620" s="92">
        <v>9.3189900000000006E-2</v>
      </c>
    </row>
    <row r="621" spans="1:7" x14ac:dyDescent="0.3">
      <c r="A621" s="98" t="s">
        <v>88</v>
      </c>
      <c r="B621" s="106" t="s">
        <v>176</v>
      </c>
      <c r="C621" s="94">
        <v>46245</v>
      </c>
      <c r="D621" s="91" t="s">
        <v>20</v>
      </c>
      <c r="E621" s="98">
        <v>1471</v>
      </c>
      <c r="F621" s="90">
        <v>0.536694</v>
      </c>
      <c r="G621" s="92">
        <v>0.112083</v>
      </c>
    </row>
    <row r="622" spans="1:7" x14ac:dyDescent="0.3">
      <c r="A622" s="98" t="s">
        <v>88</v>
      </c>
      <c r="B622" s="106" t="s">
        <v>176</v>
      </c>
      <c r="C622" s="94">
        <v>46245</v>
      </c>
      <c r="D622" s="91" t="s">
        <v>34</v>
      </c>
      <c r="E622" s="98">
        <v>1075</v>
      </c>
      <c r="F622" s="90">
        <v>0.25842799999999999</v>
      </c>
      <c r="G622" s="92">
        <v>7.7899399999999994E-2</v>
      </c>
    </row>
    <row r="623" spans="1:7" x14ac:dyDescent="0.3">
      <c r="A623" s="98" t="s">
        <v>88</v>
      </c>
      <c r="B623" s="106" t="s">
        <v>176</v>
      </c>
      <c r="C623" s="94">
        <v>46245</v>
      </c>
      <c r="D623" s="91" t="s">
        <v>21</v>
      </c>
      <c r="E623" s="98">
        <v>2632</v>
      </c>
      <c r="F623" s="90">
        <v>0.23228499999999999</v>
      </c>
      <c r="G623" s="92">
        <v>4.5185700000000002E-2</v>
      </c>
    </row>
    <row r="624" spans="1:7" x14ac:dyDescent="0.3">
      <c r="A624" s="98" t="s">
        <v>88</v>
      </c>
      <c r="B624" s="106" t="s">
        <v>176</v>
      </c>
      <c r="C624" s="94">
        <v>46245</v>
      </c>
      <c r="D624" s="91" t="s">
        <v>22</v>
      </c>
      <c r="E624" s="98">
        <v>2230</v>
      </c>
      <c r="F624" s="90">
        <v>0.49068299999999998</v>
      </c>
      <c r="G624" s="92">
        <v>0.13217400000000001</v>
      </c>
    </row>
    <row r="625" spans="1:7" x14ac:dyDescent="0.3">
      <c r="A625" s="98" t="s">
        <v>88</v>
      </c>
      <c r="B625" s="106" t="s">
        <v>176</v>
      </c>
      <c r="C625" s="94">
        <v>46245</v>
      </c>
      <c r="D625" s="91" t="s">
        <v>23</v>
      </c>
      <c r="E625" s="98">
        <v>1045</v>
      </c>
      <c r="F625" s="90">
        <v>0.21654300000000001</v>
      </c>
      <c r="G625" s="92">
        <v>7.1738499999999997E-2</v>
      </c>
    </row>
    <row r="626" spans="1:7" x14ac:dyDescent="0.3">
      <c r="A626" s="98" t="s">
        <v>88</v>
      </c>
      <c r="B626" s="106" t="s">
        <v>176</v>
      </c>
      <c r="C626" s="94">
        <v>46245</v>
      </c>
      <c r="D626" s="91" t="s">
        <v>24</v>
      </c>
      <c r="E626" s="98">
        <v>2191</v>
      </c>
      <c r="F626" s="90">
        <v>0.31936300000000001</v>
      </c>
      <c r="G626" s="92">
        <v>9.8980499999999999E-2</v>
      </c>
    </row>
    <row r="627" spans="1:7" x14ac:dyDescent="0.3">
      <c r="A627" s="98" t="s">
        <v>88</v>
      </c>
      <c r="B627" s="106" t="s">
        <v>176</v>
      </c>
      <c r="C627" s="94">
        <v>46245</v>
      </c>
      <c r="D627" s="91" t="s">
        <v>25</v>
      </c>
      <c r="E627" s="98">
        <v>1027</v>
      </c>
      <c r="F627" s="90">
        <v>0.17457500000000001</v>
      </c>
      <c r="G627" s="92">
        <v>4.1752299999999999E-2</v>
      </c>
    </row>
    <row r="628" spans="1:7" x14ac:dyDescent="0.3">
      <c r="A628" s="98" t="s">
        <v>88</v>
      </c>
      <c r="B628" s="106" t="s">
        <v>176</v>
      </c>
      <c r="C628" s="94">
        <v>46245</v>
      </c>
      <c r="D628" s="91" t="s">
        <v>26</v>
      </c>
      <c r="E628" s="98">
        <v>2038</v>
      </c>
      <c r="F628" s="90">
        <v>0.21984100000000001</v>
      </c>
      <c r="G628" s="92">
        <v>7.0038900000000001E-2</v>
      </c>
    </row>
    <row r="629" spans="1:7" x14ac:dyDescent="0.3">
      <c r="A629" s="98" t="s">
        <v>88</v>
      </c>
      <c r="B629" s="106" t="s">
        <v>176</v>
      </c>
      <c r="C629" s="94">
        <v>46245</v>
      </c>
      <c r="D629" s="91" t="s">
        <v>27</v>
      </c>
      <c r="E629" s="98">
        <v>1994</v>
      </c>
      <c r="F629" s="90">
        <v>0.19936000000000001</v>
      </c>
      <c r="G629" s="92">
        <v>4.55343E-2</v>
      </c>
    </row>
    <row r="630" spans="1:7" x14ac:dyDescent="0.3">
      <c r="A630" s="98" t="s">
        <v>88</v>
      </c>
      <c r="B630" s="106" t="s">
        <v>176</v>
      </c>
      <c r="C630" s="94">
        <v>46245</v>
      </c>
      <c r="D630" s="91" t="s">
        <v>28</v>
      </c>
      <c r="E630" s="98">
        <v>1005</v>
      </c>
      <c r="F630" s="90">
        <v>0.26792700000000003</v>
      </c>
      <c r="G630" s="92">
        <v>5.9843399999999998E-2</v>
      </c>
    </row>
    <row r="631" spans="1:7" x14ac:dyDescent="0.3">
      <c r="A631" s="98" t="s">
        <v>88</v>
      </c>
      <c r="B631" s="106" t="s">
        <v>176</v>
      </c>
      <c r="C631" s="94">
        <v>46245</v>
      </c>
      <c r="D631" s="91" t="s">
        <v>29</v>
      </c>
      <c r="E631" s="98">
        <v>1719</v>
      </c>
      <c r="F631" s="90">
        <v>0.38500800000000002</v>
      </c>
      <c r="G631" s="92">
        <v>8.0166000000000001E-2</v>
      </c>
    </row>
    <row r="632" spans="1:7" x14ac:dyDescent="0.3">
      <c r="A632" s="98" t="s">
        <v>88</v>
      </c>
      <c r="B632" s="106" t="s">
        <v>176</v>
      </c>
      <c r="C632" s="94">
        <v>46245</v>
      </c>
      <c r="D632" s="91" t="s">
        <v>30</v>
      </c>
      <c r="E632" s="98">
        <v>1176</v>
      </c>
      <c r="F632" s="90">
        <v>0.45577899999999999</v>
      </c>
      <c r="G632" s="92">
        <v>9.1156100000000004E-2</v>
      </c>
    </row>
    <row r="633" spans="1:7" x14ac:dyDescent="0.3">
      <c r="A633" s="98" t="s">
        <v>88</v>
      </c>
      <c r="B633" s="106" t="s">
        <v>177</v>
      </c>
      <c r="C633" s="94">
        <v>46245</v>
      </c>
      <c r="D633" s="91" t="s">
        <v>14</v>
      </c>
      <c r="E633" s="98">
        <v>1896</v>
      </c>
      <c r="F633" s="90">
        <v>0.73990800000000001</v>
      </c>
      <c r="G633" s="92">
        <v>0.20802999999999999</v>
      </c>
    </row>
    <row r="634" spans="1:7" x14ac:dyDescent="0.3">
      <c r="A634" s="98" t="s">
        <v>88</v>
      </c>
      <c r="B634" s="106" t="s">
        <v>177</v>
      </c>
      <c r="C634" s="94">
        <v>46245</v>
      </c>
      <c r="D634" s="91" t="s">
        <v>15</v>
      </c>
      <c r="E634" s="98">
        <v>2085</v>
      </c>
      <c r="F634" s="90">
        <v>0.52351599999999998</v>
      </c>
      <c r="G634" s="92">
        <v>0.13792099999999999</v>
      </c>
    </row>
    <row r="635" spans="1:7" x14ac:dyDescent="0.3">
      <c r="A635" s="98" t="s">
        <v>88</v>
      </c>
      <c r="B635" s="106" t="s">
        <v>177</v>
      </c>
      <c r="C635" s="94">
        <v>46245</v>
      </c>
      <c r="D635" s="91" t="s">
        <v>16</v>
      </c>
      <c r="E635" s="98">
        <v>1683</v>
      </c>
      <c r="F635" s="90">
        <v>0.47475299999999998</v>
      </c>
      <c r="G635" s="92">
        <v>0.111329</v>
      </c>
    </row>
    <row r="636" spans="1:7" x14ac:dyDescent="0.3">
      <c r="A636" s="98" t="s">
        <v>88</v>
      </c>
      <c r="B636" s="106" t="s">
        <v>177</v>
      </c>
      <c r="C636" s="94">
        <v>46245</v>
      </c>
      <c r="D636" s="91" t="s">
        <v>17</v>
      </c>
      <c r="E636" s="98">
        <v>2001</v>
      </c>
      <c r="F636" s="90">
        <v>0.56546600000000002</v>
      </c>
      <c r="G636" s="92">
        <v>0.111805</v>
      </c>
    </row>
    <row r="637" spans="1:7" x14ac:dyDescent="0.3">
      <c r="A637" s="98" t="s">
        <v>88</v>
      </c>
      <c r="B637" s="106" t="s">
        <v>177</v>
      </c>
      <c r="C637" s="94">
        <v>46245</v>
      </c>
      <c r="D637" s="91" t="s">
        <v>18</v>
      </c>
      <c r="E637" s="98">
        <v>2062</v>
      </c>
      <c r="F637" s="90">
        <v>0.23252100000000001</v>
      </c>
      <c r="G637" s="92">
        <v>5.5301599999999999E-2</v>
      </c>
    </row>
    <row r="638" spans="1:7" x14ac:dyDescent="0.3">
      <c r="A638" s="98" t="s">
        <v>88</v>
      </c>
      <c r="B638" s="106" t="s">
        <v>177</v>
      </c>
      <c r="C638" s="94">
        <v>46245</v>
      </c>
      <c r="D638" s="91" t="s">
        <v>19</v>
      </c>
      <c r="E638" s="98">
        <v>1596</v>
      </c>
      <c r="F638" s="90">
        <v>0.39438099999999998</v>
      </c>
      <c r="G638" s="92">
        <v>8.2907800000000004E-2</v>
      </c>
    </row>
    <row r="639" spans="1:7" x14ac:dyDescent="0.3">
      <c r="A639" s="98" t="s">
        <v>88</v>
      </c>
      <c r="B639" s="106" t="s">
        <v>177</v>
      </c>
      <c r="C639" s="94">
        <v>46245</v>
      </c>
      <c r="D639" s="91" t="s">
        <v>20</v>
      </c>
      <c r="E639" s="98">
        <v>1522</v>
      </c>
      <c r="F639" s="90">
        <v>0.40736699999999998</v>
      </c>
      <c r="G639" s="92">
        <v>8.5178599999999993E-2</v>
      </c>
    </row>
    <row r="640" spans="1:7" x14ac:dyDescent="0.3">
      <c r="A640" s="98" t="s">
        <v>88</v>
      </c>
      <c r="B640" s="106" t="s">
        <v>177</v>
      </c>
      <c r="C640" s="94">
        <v>46245</v>
      </c>
      <c r="D640" s="91" t="s">
        <v>34</v>
      </c>
      <c r="E640" s="98">
        <v>1051</v>
      </c>
      <c r="F640" s="90">
        <v>0.23259199999999999</v>
      </c>
      <c r="G640" s="92">
        <v>7.0458099999999996E-2</v>
      </c>
    </row>
    <row r="641" spans="1:7" x14ac:dyDescent="0.3">
      <c r="A641" s="98" t="s">
        <v>88</v>
      </c>
      <c r="B641" s="106" t="s">
        <v>177</v>
      </c>
      <c r="C641" s="94">
        <v>46245</v>
      </c>
      <c r="D641" s="91" t="s">
        <v>21</v>
      </c>
      <c r="E641" s="98">
        <v>3031</v>
      </c>
      <c r="F641" s="90">
        <v>0.54395899999999997</v>
      </c>
      <c r="G641" s="92">
        <v>0.10575900000000001</v>
      </c>
    </row>
    <row r="642" spans="1:7" x14ac:dyDescent="0.3">
      <c r="A642" s="98" t="s">
        <v>88</v>
      </c>
      <c r="B642" s="106" t="s">
        <v>177</v>
      </c>
      <c r="C642" s="94">
        <v>46245</v>
      </c>
      <c r="D642" s="91" t="s">
        <v>22</v>
      </c>
      <c r="E642" s="98">
        <v>2042</v>
      </c>
      <c r="F642" s="90">
        <v>0.49671900000000002</v>
      </c>
      <c r="G642" s="92">
        <v>0.13489799999999999</v>
      </c>
    </row>
    <row r="643" spans="1:7" x14ac:dyDescent="0.3">
      <c r="A643" s="98" t="s">
        <v>88</v>
      </c>
      <c r="B643" s="106" t="s">
        <v>177</v>
      </c>
      <c r="C643" s="94">
        <v>46245</v>
      </c>
      <c r="D643" s="91" t="s">
        <v>23</v>
      </c>
      <c r="E643" s="98">
        <v>1118</v>
      </c>
      <c r="F643" s="90">
        <v>0.36133900000000002</v>
      </c>
      <c r="G643" s="92">
        <v>0.118544</v>
      </c>
    </row>
    <row r="644" spans="1:7" x14ac:dyDescent="0.3">
      <c r="A644" s="98" t="s">
        <v>88</v>
      </c>
      <c r="B644" s="106" t="s">
        <v>177</v>
      </c>
      <c r="C644" s="94">
        <v>46245</v>
      </c>
      <c r="D644" s="91" t="s">
        <v>24</v>
      </c>
      <c r="E644" s="98">
        <v>2336</v>
      </c>
      <c r="F644" s="90">
        <v>0.185832</v>
      </c>
      <c r="G644" s="92">
        <v>5.7234899999999998E-2</v>
      </c>
    </row>
    <row r="645" spans="1:7" x14ac:dyDescent="0.3">
      <c r="A645" s="98" t="s">
        <v>88</v>
      </c>
      <c r="B645" s="106" t="s">
        <v>177</v>
      </c>
      <c r="C645" s="94">
        <v>46245</v>
      </c>
      <c r="D645" s="91" t="s">
        <v>25</v>
      </c>
      <c r="E645" s="98">
        <v>1003</v>
      </c>
      <c r="F645" s="90">
        <v>0.347692</v>
      </c>
      <c r="G645" s="92">
        <v>8.3616700000000002E-2</v>
      </c>
    </row>
    <row r="646" spans="1:7" x14ac:dyDescent="0.3">
      <c r="A646" s="98" t="s">
        <v>88</v>
      </c>
      <c r="B646" s="106" t="s">
        <v>177</v>
      </c>
      <c r="C646" s="94">
        <v>46245</v>
      </c>
      <c r="D646" s="91" t="s">
        <v>26</v>
      </c>
      <c r="E646" s="98">
        <v>1995</v>
      </c>
      <c r="F646" s="90">
        <v>0.28189399999999998</v>
      </c>
      <c r="G646" s="92">
        <v>9.0622499999999995E-2</v>
      </c>
    </row>
    <row r="647" spans="1:7" x14ac:dyDescent="0.3">
      <c r="A647" s="98" t="s">
        <v>88</v>
      </c>
      <c r="B647" s="106" t="s">
        <v>177</v>
      </c>
      <c r="C647" s="94">
        <v>46245</v>
      </c>
      <c r="D647" s="91" t="s">
        <v>27</v>
      </c>
      <c r="E647" s="98">
        <v>2073</v>
      </c>
      <c r="F647" s="90">
        <v>0.38163799999999998</v>
      </c>
      <c r="G647" s="92">
        <v>8.6526599999999995E-2</v>
      </c>
    </row>
    <row r="648" spans="1:7" x14ac:dyDescent="0.3">
      <c r="A648" s="98" t="s">
        <v>88</v>
      </c>
      <c r="B648" s="106" t="s">
        <v>177</v>
      </c>
      <c r="C648" s="94">
        <v>46245</v>
      </c>
      <c r="D648" s="91" t="s">
        <v>28</v>
      </c>
      <c r="E648" s="98">
        <v>1263</v>
      </c>
      <c r="F648" s="90">
        <v>0.48612899999999998</v>
      </c>
      <c r="G648" s="92">
        <v>0.10904700000000001</v>
      </c>
    </row>
    <row r="649" spans="1:7" x14ac:dyDescent="0.3">
      <c r="A649" s="98" t="s">
        <v>88</v>
      </c>
      <c r="B649" s="106" t="s">
        <v>177</v>
      </c>
      <c r="C649" s="94">
        <v>46245</v>
      </c>
      <c r="D649" s="91" t="s">
        <v>29</v>
      </c>
      <c r="E649" s="98">
        <v>1530</v>
      </c>
      <c r="F649" s="90">
        <v>0.38460699999999998</v>
      </c>
      <c r="G649" s="92">
        <v>7.9613299999999998E-2</v>
      </c>
    </row>
    <row r="650" spans="1:7" x14ac:dyDescent="0.3">
      <c r="A650" s="98" t="s">
        <v>88</v>
      </c>
      <c r="B650" s="106" t="s">
        <v>177</v>
      </c>
      <c r="C650" s="94">
        <v>46245</v>
      </c>
      <c r="D650" s="91" t="s">
        <v>30</v>
      </c>
      <c r="E650" s="98">
        <v>1215</v>
      </c>
      <c r="F650" s="90">
        <v>0.43243999999999999</v>
      </c>
      <c r="G650" s="92">
        <v>8.6989200000000003E-2</v>
      </c>
    </row>
    <row r="651" spans="1:7" x14ac:dyDescent="0.3">
      <c r="A651" s="98" t="s">
        <v>88</v>
      </c>
      <c r="B651" s="106" t="s">
        <v>204</v>
      </c>
      <c r="C651" s="94">
        <v>46246</v>
      </c>
      <c r="D651" s="91" t="s">
        <v>14</v>
      </c>
      <c r="E651" s="98">
        <v>2348</v>
      </c>
      <c r="F651" s="90">
        <v>0.54677100000000001</v>
      </c>
      <c r="G651" s="92">
        <v>0.15378</v>
      </c>
    </row>
    <row r="652" spans="1:7" x14ac:dyDescent="0.3">
      <c r="A652" s="98" t="s">
        <v>88</v>
      </c>
      <c r="B652" s="106" t="s">
        <v>204</v>
      </c>
      <c r="C652" s="94">
        <v>46246</v>
      </c>
      <c r="D652" s="91" t="s">
        <v>15</v>
      </c>
      <c r="E652" s="98">
        <v>2176</v>
      </c>
      <c r="F652" s="90">
        <v>0.46421200000000001</v>
      </c>
      <c r="G652" s="92">
        <v>0.122298</v>
      </c>
    </row>
    <row r="653" spans="1:7" x14ac:dyDescent="0.3">
      <c r="A653" s="98" t="s">
        <v>88</v>
      </c>
      <c r="B653" s="106" t="s">
        <v>204</v>
      </c>
      <c r="C653" s="94">
        <v>46246</v>
      </c>
      <c r="D653" s="91" t="s">
        <v>16</v>
      </c>
      <c r="E653" s="98">
        <v>1567</v>
      </c>
      <c r="F653" s="90">
        <v>0.46888000000000002</v>
      </c>
      <c r="G653" s="92">
        <v>0.11</v>
      </c>
    </row>
    <row r="654" spans="1:7" x14ac:dyDescent="0.3">
      <c r="A654" s="98" t="s">
        <v>88</v>
      </c>
      <c r="B654" s="106" t="s">
        <v>204</v>
      </c>
      <c r="C654" s="94">
        <v>46246</v>
      </c>
      <c r="D654" s="91" t="s">
        <v>17</v>
      </c>
      <c r="E654" s="98">
        <v>1880</v>
      </c>
      <c r="F654" s="90">
        <v>0.58531599999999995</v>
      </c>
      <c r="G654" s="92">
        <v>0.11579100000000001</v>
      </c>
    </row>
    <row r="655" spans="1:7" x14ac:dyDescent="0.3">
      <c r="A655" s="98" t="s">
        <v>88</v>
      </c>
      <c r="B655" s="106" t="s">
        <v>204</v>
      </c>
      <c r="C655" s="94">
        <v>46246</v>
      </c>
      <c r="D655" s="91" t="s">
        <v>18</v>
      </c>
      <c r="E655" s="98">
        <v>1717</v>
      </c>
      <c r="F655" s="90">
        <v>0.29761900000000002</v>
      </c>
      <c r="G655" s="92">
        <v>7.0785699999999993E-2</v>
      </c>
    </row>
    <row r="656" spans="1:7" x14ac:dyDescent="0.3">
      <c r="A656" s="98" t="s">
        <v>88</v>
      </c>
      <c r="B656" s="106" t="s">
        <v>204</v>
      </c>
      <c r="C656" s="94">
        <v>46246</v>
      </c>
      <c r="D656" s="91" t="s">
        <v>19</v>
      </c>
      <c r="E656" s="98">
        <v>1730</v>
      </c>
      <c r="F656" s="90">
        <v>0.46961199999999997</v>
      </c>
      <c r="G656" s="92">
        <v>9.8766300000000001E-2</v>
      </c>
    </row>
    <row r="657" spans="1:7" x14ac:dyDescent="0.3">
      <c r="A657" s="98" t="s">
        <v>88</v>
      </c>
      <c r="B657" s="106" t="s">
        <v>204</v>
      </c>
      <c r="C657" s="94">
        <v>46246</v>
      </c>
      <c r="D657" s="91" t="s">
        <v>20</v>
      </c>
      <c r="E657" s="98">
        <v>1802</v>
      </c>
      <c r="F657" s="90">
        <v>0.53190300000000001</v>
      </c>
      <c r="G657" s="92">
        <v>0.111232</v>
      </c>
    </row>
    <row r="658" spans="1:7" x14ac:dyDescent="0.3">
      <c r="A658" s="98" t="s">
        <v>88</v>
      </c>
      <c r="B658" s="106" t="s">
        <v>204</v>
      </c>
      <c r="C658" s="94">
        <v>46246</v>
      </c>
      <c r="D658" s="91" t="s">
        <v>34</v>
      </c>
      <c r="E658" s="98">
        <v>1005</v>
      </c>
      <c r="F658" s="90">
        <v>0.28840100000000002</v>
      </c>
      <c r="G658" s="92">
        <v>8.7373300000000001E-2</v>
      </c>
    </row>
    <row r="659" spans="1:7" x14ac:dyDescent="0.3">
      <c r="A659" s="98" t="s">
        <v>88</v>
      </c>
      <c r="B659" s="106" t="s">
        <v>204</v>
      </c>
      <c r="C659" s="94">
        <v>46246</v>
      </c>
      <c r="D659" s="91" t="s">
        <v>21</v>
      </c>
      <c r="E659" s="98">
        <v>2969</v>
      </c>
      <c r="F659" s="90">
        <v>0.499108</v>
      </c>
      <c r="G659" s="92">
        <v>9.7145800000000004E-2</v>
      </c>
    </row>
    <row r="660" spans="1:7" x14ac:dyDescent="0.3">
      <c r="A660" s="98" t="s">
        <v>88</v>
      </c>
      <c r="B660" s="106" t="s">
        <v>204</v>
      </c>
      <c r="C660" s="94">
        <v>46246</v>
      </c>
      <c r="D660" s="91" t="s">
        <v>22</v>
      </c>
      <c r="E660" s="98">
        <v>2565</v>
      </c>
      <c r="F660" s="90">
        <v>0.51789600000000002</v>
      </c>
      <c r="G660" s="92">
        <v>0.140738</v>
      </c>
    </row>
    <row r="661" spans="1:7" x14ac:dyDescent="0.3">
      <c r="A661" s="98" t="s">
        <v>88</v>
      </c>
      <c r="B661" s="106" t="s">
        <v>204</v>
      </c>
      <c r="C661" s="94">
        <v>46246</v>
      </c>
      <c r="D661" s="91" t="s">
        <v>23</v>
      </c>
      <c r="E661" s="98">
        <v>1170</v>
      </c>
      <c r="F661" s="90">
        <v>0.43598399999999998</v>
      </c>
      <c r="G661" s="92">
        <v>0.14308499999999999</v>
      </c>
    </row>
    <row r="662" spans="1:7" x14ac:dyDescent="0.3">
      <c r="A662" s="98" t="s">
        <v>88</v>
      </c>
      <c r="B662" s="106" t="s">
        <v>204</v>
      </c>
      <c r="C662" s="94">
        <v>46246</v>
      </c>
      <c r="D662" s="91" t="s">
        <v>24</v>
      </c>
      <c r="E662" s="98">
        <v>2354</v>
      </c>
      <c r="F662" s="90">
        <v>0.179782</v>
      </c>
      <c r="G662" s="92">
        <v>5.5398599999999999E-2</v>
      </c>
    </row>
    <row r="663" spans="1:7" x14ac:dyDescent="0.3">
      <c r="A663" s="98" t="s">
        <v>88</v>
      </c>
      <c r="B663" s="106" t="s">
        <v>204</v>
      </c>
      <c r="C663" s="94">
        <v>46246</v>
      </c>
      <c r="D663" s="91" t="s">
        <v>25</v>
      </c>
      <c r="E663" s="98">
        <v>1008</v>
      </c>
      <c r="F663" s="90">
        <v>0.209753</v>
      </c>
      <c r="G663" s="92">
        <v>5.0472500000000003E-2</v>
      </c>
    </row>
    <row r="664" spans="1:7" x14ac:dyDescent="0.3">
      <c r="A664" s="98" t="s">
        <v>88</v>
      </c>
      <c r="B664" s="106" t="s">
        <v>204</v>
      </c>
      <c r="C664" s="94">
        <v>46246</v>
      </c>
      <c r="D664" s="91" t="s">
        <v>26</v>
      </c>
      <c r="E664" s="98">
        <v>2394</v>
      </c>
      <c r="F664" s="90">
        <v>0.20902899999999999</v>
      </c>
      <c r="G664" s="92">
        <v>6.7221799999999998E-2</v>
      </c>
    </row>
    <row r="665" spans="1:7" x14ac:dyDescent="0.3">
      <c r="A665" s="98" t="s">
        <v>88</v>
      </c>
      <c r="B665" s="106" t="s">
        <v>204</v>
      </c>
      <c r="C665" s="94">
        <v>46246</v>
      </c>
      <c r="D665" s="91" t="s">
        <v>27</v>
      </c>
      <c r="E665" s="98">
        <v>2680</v>
      </c>
      <c r="F665" s="90">
        <v>0.32789000000000001</v>
      </c>
      <c r="G665" s="92">
        <v>7.4444999999999997E-2</v>
      </c>
    </row>
    <row r="666" spans="1:7" x14ac:dyDescent="0.3">
      <c r="A666" s="98" t="s">
        <v>88</v>
      </c>
      <c r="B666" s="106" t="s">
        <v>204</v>
      </c>
      <c r="C666" s="94">
        <v>46246</v>
      </c>
      <c r="D666" s="91" t="s">
        <v>28</v>
      </c>
      <c r="E666" s="98">
        <v>1414</v>
      </c>
      <c r="F666" s="90">
        <v>0.61062700000000003</v>
      </c>
      <c r="G666" s="92">
        <v>0.13713400000000001</v>
      </c>
    </row>
    <row r="667" spans="1:7" x14ac:dyDescent="0.3">
      <c r="A667" s="98" t="s">
        <v>88</v>
      </c>
      <c r="B667" s="106" t="s">
        <v>204</v>
      </c>
      <c r="C667" s="94">
        <v>46246</v>
      </c>
      <c r="D667" s="91" t="s">
        <v>29</v>
      </c>
      <c r="E667" s="98">
        <v>1417</v>
      </c>
      <c r="F667" s="90">
        <v>0.35574600000000001</v>
      </c>
      <c r="G667" s="92">
        <v>7.3671600000000004E-2</v>
      </c>
    </row>
    <row r="668" spans="1:7" x14ac:dyDescent="0.3">
      <c r="A668" s="98" t="s">
        <v>88</v>
      </c>
      <c r="B668" s="106" t="s">
        <v>204</v>
      </c>
      <c r="C668" s="94">
        <v>46245</v>
      </c>
      <c r="D668" s="91" t="s">
        <v>30</v>
      </c>
      <c r="E668" s="98">
        <v>1059</v>
      </c>
      <c r="F668" s="90">
        <v>0.50414300000000001</v>
      </c>
      <c r="G668" s="92">
        <v>0.10145899999999999</v>
      </c>
    </row>
    <row r="669" spans="1:7" x14ac:dyDescent="0.3">
      <c r="A669" s="98" t="s">
        <v>88</v>
      </c>
      <c r="B669" s="106" t="s">
        <v>205</v>
      </c>
      <c r="C669" s="94">
        <v>46245</v>
      </c>
      <c r="D669" s="91" t="s">
        <v>14</v>
      </c>
      <c r="E669" s="98">
        <v>1686</v>
      </c>
      <c r="F669" s="90">
        <v>0.23603099999999999</v>
      </c>
      <c r="G669" s="92">
        <v>6.6376599999999994E-2</v>
      </c>
    </row>
    <row r="670" spans="1:7" x14ac:dyDescent="0.3">
      <c r="A670" s="98" t="s">
        <v>88</v>
      </c>
      <c r="B670" s="106" t="s">
        <v>205</v>
      </c>
      <c r="C670" s="94">
        <v>46245</v>
      </c>
      <c r="D670" s="91" t="s">
        <v>15</v>
      </c>
      <c r="E670" s="98">
        <v>1429</v>
      </c>
      <c r="F670" s="90">
        <v>0.31043999999999999</v>
      </c>
      <c r="G670" s="92">
        <v>8.1778699999999996E-2</v>
      </c>
    </row>
    <row r="671" spans="1:7" x14ac:dyDescent="0.3">
      <c r="A671" s="98" t="s">
        <v>88</v>
      </c>
      <c r="B671" s="106" t="s">
        <v>205</v>
      </c>
      <c r="C671" s="94">
        <v>46245</v>
      </c>
      <c r="D671" s="91" t="s">
        <v>16</v>
      </c>
      <c r="E671" s="98">
        <v>1219</v>
      </c>
      <c r="F671" s="90">
        <v>0.35947299999999999</v>
      </c>
      <c r="G671" s="92">
        <v>8.4297800000000006E-2</v>
      </c>
    </row>
    <row r="672" spans="1:7" x14ac:dyDescent="0.3">
      <c r="A672" s="98" t="s">
        <v>88</v>
      </c>
      <c r="B672" s="106" t="s">
        <v>205</v>
      </c>
      <c r="C672" s="94">
        <v>46245</v>
      </c>
      <c r="D672" s="91" t="s">
        <v>17</v>
      </c>
      <c r="E672" s="98">
        <v>1555</v>
      </c>
      <c r="F672" s="90">
        <v>0.35539700000000002</v>
      </c>
      <c r="G672" s="92">
        <v>7.0301799999999998E-2</v>
      </c>
    </row>
    <row r="673" spans="1:7" x14ac:dyDescent="0.3">
      <c r="A673" s="98" t="s">
        <v>88</v>
      </c>
      <c r="B673" s="106" t="s">
        <v>205</v>
      </c>
      <c r="C673" s="94">
        <v>46245</v>
      </c>
      <c r="D673" s="91" t="s">
        <v>18</v>
      </c>
      <c r="E673" s="98">
        <v>1577</v>
      </c>
      <c r="F673" s="90">
        <v>0.23039799999999999</v>
      </c>
      <c r="G673" s="92">
        <v>5.4779300000000003E-2</v>
      </c>
    </row>
    <row r="674" spans="1:7" x14ac:dyDescent="0.3">
      <c r="A674" s="98" t="s">
        <v>88</v>
      </c>
      <c r="B674" s="106" t="s">
        <v>205</v>
      </c>
      <c r="C674" s="94">
        <v>46245</v>
      </c>
      <c r="D674" s="91" t="s">
        <v>19</v>
      </c>
      <c r="E674" s="98">
        <v>1707</v>
      </c>
      <c r="F674" s="90">
        <v>0.29862</v>
      </c>
      <c r="G674" s="92">
        <v>6.2764899999999998E-2</v>
      </c>
    </row>
    <row r="675" spans="1:7" x14ac:dyDescent="0.3">
      <c r="A675" s="98" t="s">
        <v>88</v>
      </c>
      <c r="B675" s="106" t="s">
        <v>205</v>
      </c>
      <c r="C675" s="94">
        <v>46245</v>
      </c>
      <c r="D675" s="91" t="s">
        <v>20</v>
      </c>
      <c r="E675" s="98">
        <v>1620</v>
      </c>
      <c r="F675" s="90">
        <v>0.31660899999999997</v>
      </c>
      <c r="G675" s="92">
        <v>6.6205399999999998E-2</v>
      </c>
    </row>
    <row r="676" spans="1:7" x14ac:dyDescent="0.3">
      <c r="A676" s="98" t="s">
        <v>88</v>
      </c>
      <c r="B676" s="106" t="s">
        <v>205</v>
      </c>
      <c r="C676" s="94">
        <v>46245</v>
      </c>
      <c r="D676" s="91" t="s">
        <v>34</v>
      </c>
      <c r="E676" s="98">
        <v>1086</v>
      </c>
      <c r="F676" s="90">
        <v>0.17760999999999999</v>
      </c>
      <c r="G676" s="92">
        <v>5.3806699999999999E-2</v>
      </c>
    </row>
    <row r="677" spans="1:7" x14ac:dyDescent="0.3">
      <c r="A677" s="98" t="s">
        <v>88</v>
      </c>
      <c r="B677" s="106" t="s">
        <v>205</v>
      </c>
      <c r="C677" s="94">
        <v>46245</v>
      </c>
      <c r="D677" s="91" t="s">
        <v>21</v>
      </c>
      <c r="E677" s="98">
        <v>2811</v>
      </c>
      <c r="F677" s="90">
        <v>0.44070599999999999</v>
      </c>
      <c r="G677" s="92">
        <v>8.5721500000000006E-2</v>
      </c>
    </row>
    <row r="678" spans="1:7" x14ac:dyDescent="0.3">
      <c r="A678" s="98" t="s">
        <v>88</v>
      </c>
      <c r="B678" s="106" t="s">
        <v>205</v>
      </c>
      <c r="C678" s="94">
        <v>46245</v>
      </c>
      <c r="D678" s="91" t="s">
        <v>22</v>
      </c>
      <c r="E678" s="98">
        <v>1428</v>
      </c>
      <c r="F678" s="90">
        <v>0.27465800000000001</v>
      </c>
      <c r="G678" s="92">
        <v>7.4579599999999996E-2</v>
      </c>
    </row>
    <row r="679" spans="1:7" x14ac:dyDescent="0.3">
      <c r="A679" s="98" t="s">
        <v>88</v>
      </c>
      <c r="B679" s="106" t="s">
        <v>205</v>
      </c>
      <c r="C679" s="94">
        <v>46245</v>
      </c>
      <c r="D679" s="91" t="s">
        <v>23</v>
      </c>
      <c r="E679" s="98">
        <v>1303</v>
      </c>
      <c r="F679" s="90">
        <v>0.34468399999999999</v>
      </c>
      <c r="G679" s="92">
        <v>0.113124</v>
      </c>
    </row>
    <row r="680" spans="1:7" x14ac:dyDescent="0.3">
      <c r="A680" s="98" t="s">
        <v>88</v>
      </c>
      <c r="B680" s="106" t="s">
        <v>205</v>
      </c>
      <c r="C680" s="94">
        <v>46245</v>
      </c>
      <c r="D680" s="91" t="s">
        <v>24</v>
      </c>
      <c r="E680" s="98">
        <v>2032</v>
      </c>
      <c r="F680" s="90">
        <v>0.21449599999999999</v>
      </c>
      <c r="G680" s="92">
        <v>6.61027E-2</v>
      </c>
    </row>
    <row r="681" spans="1:7" x14ac:dyDescent="0.3">
      <c r="A681" s="98" t="s">
        <v>88</v>
      </c>
      <c r="B681" s="106" t="s">
        <v>205</v>
      </c>
      <c r="C681" s="94">
        <v>46245</v>
      </c>
      <c r="D681" s="91" t="s">
        <v>25</v>
      </c>
      <c r="E681" s="98">
        <v>1005</v>
      </c>
      <c r="F681" s="90">
        <v>0.29615900000000001</v>
      </c>
      <c r="G681" s="92">
        <v>7.1340799999999996E-2</v>
      </c>
    </row>
    <row r="682" spans="1:7" x14ac:dyDescent="0.3">
      <c r="A682" s="98" t="s">
        <v>88</v>
      </c>
      <c r="B682" s="106" t="s">
        <v>205</v>
      </c>
      <c r="C682" s="94">
        <v>46245</v>
      </c>
      <c r="D682" s="91" t="s">
        <v>26</v>
      </c>
      <c r="E682" s="98">
        <v>1311</v>
      </c>
      <c r="F682" s="90">
        <v>0.17169300000000001</v>
      </c>
      <c r="G682" s="92">
        <v>5.5196099999999998E-2</v>
      </c>
    </row>
    <row r="683" spans="1:7" x14ac:dyDescent="0.3">
      <c r="A683" s="98" t="s">
        <v>88</v>
      </c>
      <c r="B683" s="106" t="s">
        <v>205</v>
      </c>
      <c r="C683" s="94">
        <v>46245</v>
      </c>
      <c r="D683" s="91" t="s">
        <v>27</v>
      </c>
      <c r="E683" s="98">
        <v>1446</v>
      </c>
      <c r="F683" s="90">
        <v>0.35167100000000001</v>
      </c>
      <c r="G683" s="92">
        <v>7.9771400000000006E-2</v>
      </c>
    </row>
    <row r="684" spans="1:7" x14ac:dyDescent="0.3">
      <c r="A684" s="98" t="s">
        <v>88</v>
      </c>
      <c r="B684" s="106" t="s">
        <v>205</v>
      </c>
      <c r="C684" s="94">
        <v>46245</v>
      </c>
      <c r="D684" s="91" t="s">
        <v>28</v>
      </c>
      <c r="E684" s="98">
        <v>1107</v>
      </c>
      <c r="F684" s="90">
        <v>0.300813</v>
      </c>
      <c r="G684" s="92">
        <v>6.7468299999999995E-2</v>
      </c>
    </row>
    <row r="685" spans="1:7" x14ac:dyDescent="0.3">
      <c r="A685" s="98" t="s">
        <v>88</v>
      </c>
      <c r="B685" s="106" t="s">
        <v>205</v>
      </c>
      <c r="C685" s="94">
        <v>46245</v>
      </c>
      <c r="D685" s="91" t="s">
        <v>29</v>
      </c>
      <c r="E685" s="98">
        <v>1194</v>
      </c>
      <c r="F685" s="90">
        <v>0.29922399999999999</v>
      </c>
      <c r="G685" s="92">
        <v>6.19643E-2</v>
      </c>
    </row>
    <row r="686" spans="1:7" x14ac:dyDescent="0.3">
      <c r="A686" s="98" t="s">
        <v>88</v>
      </c>
      <c r="B686" s="106" t="s">
        <v>205</v>
      </c>
      <c r="C686" s="94">
        <v>46245</v>
      </c>
      <c r="D686" s="91" t="s">
        <v>30</v>
      </c>
      <c r="E686" s="98">
        <v>1110</v>
      </c>
      <c r="F686" s="90">
        <v>0.321635</v>
      </c>
      <c r="G686" s="92">
        <v>6.4709199999999995E-2</v>
      </c>
    </row>
    <row r="687" spans="1:7" x14ac:dyDescent="0.3">
      <c r="A687" s="98" t="s">
        <v>88</v>
      </c>
      <c r="B687" s="106" t="s">
        <v>206</v>
      </c>
      <c r="C687" s="94">
        <v>46245</v>
      </c>
      <c r="D687" s="91" t="s">
        <v>14</v>
      </c>
      <c r="E687" s="98">
        <v>2160</v>
      </c>
      <c r="F687" s="90">
        <v>0.25851800000000003</v>
      </c>
      <c r="G687" s="92">
        <v>7.2721099999999997E-2</v>
      </c>
    </row>
    <row r="688" spans="1:7" x14ac:dyDescent="0.3">
      <c r="A688" s="98" t="s">
        <v>88</v>
      </c>
      <c r="B688" s="106" t="s">
        <v>206</v>
      </c>
      <c r="C688" s="94">
        <v>46245</v>
      </c>
      <c r="D688" s="91" t="s">
        <v>15</v>
      </c>
      <c r="E688" s="98">
        <v>1893</v>
      </c>
      <c r="F688" s="90">
        <v>0.37066399999999999</v>
      </c>
      <c r="G688" s="92">
        <v>9.7640299999999999E-2</v>
      </c>
    </row>
    <row r="689" spans="1:7" x14ac:dyDescent="0.3">
      <c r="A689" s="98" t="s">
        <v>88</v>
      </c>
      <c r="B689" s="106" t="s">
        <v>206</v>
      </c>
      <c r="C689" s="94">
        <v>46245</v>
      </c>
      <c r="D689" s="91" t="s">
        <v>16</v>
      </c>
      <c r="E689" s="98">
        <v>1209</v>
      </c>
      <c r="F689" s="90">
        <v>0.35478100000000001</v>
      </c>
      <c r="G689" s="92">
        <v>8.3202799999999993E-2</v>
      </c>
    </row>
    <row r="690" spans="1:7" x14ac:dyDescent="0.3">
      <c r="A690" s="98" t="s">
        <v>88</v>
      </c>
      <c r="B690" s="106" t="s">
        <v>206</v>
      </c>
      <c r="C690" s="94">
        <v>46245</v>
      </c>
      <c r="D690" s="91" t="s">
        <v>17</v>
      </c>
      <c r="E690" s="98">
        <v>1803</v>
      </c>
      <c r="F690" s="90">
        <v>0.395152</v>
      </c>
      <c r="G690" s="92">
        <v>7.8171699999999997E-2</v>
      </c>
    </row>
    <row r="691" spans="1:7" x14ac:dyDescent="0.3">
      <c r="A691" s="98" t="s">
        <v>88</v>
      </c>
      <c r="B691" s="106" t="s">
        <v>206</v>
      </c>
      <c r="C691" s="94">
        <v>46245</v>
      </c>
      <c r="D691" s="91" t="s">
        <v>18</v>
      </c>
      <c r="E691" s="98">
        <v>1757</v>
      </c>
      <c r="F691" s="90">
        <v>0.21223900000000001</v>
      </c>
      <c r="G691" s="92">
        <v>5.0476E-2</v>
      </c>
    </row>
    <row r="692" spans="1:7" x14ac:dyDescent="0.3">
      <c r="A692" s="98" t="s">
        <v>88</v>
      </c>
      <c r="B692" s="106" t="s">
        <v>206</v>
      </c>
      <c r="C692" s="94">
        <v>46245</v>
      </c>
      <c r="D692" s="91" t="s">
        <v>19</v>
      </c>
      <c r="E692" s="98">
        <v>1755</v>
      </c>
      <c r="F692" s="90">
        <v>0.317135</v>
      </c>
      <c r="G692" s="92">
        <v>6.6685400000000006E-2</v>
      </c>
    </row>
    <row r="693" spans="1:7" x14ac:dyDescent="0.3">
      <c r="A693" s="98" t="s">
        <v>88</v>
      </c>
      <c r="B693" s="106" t="s">
        <v>206</v>
      </c>
      <c r="C693" s="94">
        <v>46245</v>
      </c>
      <c r="D693" s="91" t="s">
        <v>20</v>
      </c>
      <c r="E693" s="98">
        <v>1723</v>
      </c>
      <c r="F693" s="90">
        <v>0.29980299999999999</v>
      </c>
      <c r="G693" s="92">
        <v>6.2706399999999995E-2</v>
      </c>
    </row>
    <row r="694" spans="1:7" x14ac:dyDescent="0.3">
      <c r="A694" s="98" t="s">
        <v>88</v>
      </c>
      <c r="B694" s="106" t="s">
        <v>206</v>
      </c>
      <c r="C694" s="94">
        <v>46245</v>
      </c>
      <c r="D694" s="91" t="s">
        <v>34</v>
      </c>
      <c r="E694" s="98">
        <v>1005</v>
      </c>
      <c r="F694" s="90">
        <v>0.17078399999999999</v>
      </c>
      <c r="G694" s="92">
        <v>5.1755799999999998E-2</v>
      </c>
    </row>
    <row r="695" spans="1:7" x14ac:dyDescent="0.3">
      <c r="A695" s="98" t="s">
        <v>88</v>
      </c>
      <c r="B695" s="106" t="s">
        <v>206</v>
      </c>
      <c r="C695" s="94">
        <v>46245</v>
      </c>
      <c r="D695" s="91" t="s">
        <v>21</v>
      </c>
      <c r="E695" s="98">
        <v>2922</v>
      </c>
      <c r="F695" s="90">
        <v>0.42992399999999997</v>
      </c>
      <c r="G695" s="92">
        <v>8.3665799999999999E-2</v>
      </c>
    </row>
    <row r="696" spans="1:7" x14ac:dyDescent="0.3">
      <c r="A696" s="98" t="s">
        <v>88</v>
      </c>
      <c r="B696" s="106" t="s">
        <v>206</v>
      </c>
      <c r="C696" s="94">
        <v>46245</v>
      </c>
      <c r="D696" s="91" t="s">
        <v>22</v>
      </c>
      <c r="E696" s="98">
        <v>1612</v>
      </c>
      <c r="F696" s="90">
        <v>0.28850300000000001</v>
      </c>
      <c r="G696" s="92">
        <v>7.8345600000000001E-2</v>
      </c>
    </row>
    <row r="697" spans="1:7" x14ac:dyDescent="0.3">
      <c r="A697" s="98" t="s">
        <v>88</v>
      </c>
      <c r="B697" s="106" t="s">
        <v>206</v>
      </c>
      <c r="C697" s="94">
        <v>46245</v>
      </c>
      <c r="D697" s="91" t="s">
        <v>23</v>
      </c>
      <c r="E697" s="98">
        <v>1376</v>
      </c>
      <c r="F697" s="90">
        <v>0.38151099999999999</v>
      </c>
      <c r="G697" s="92">
        <v>0.12529399999999999</v>
      </c>
    </row>
    <row r="698" spans="1:7" x14ac:dyDescent="0.3">
      <c r="A698" s="98" t="s">
        <v>88</v>
      </c>
      <c r="B698" s="106" t="s">
        <v>206</v>
      </c>
      <c r="C698" s="94">
        <v>46245</v>
      </c>
      <c r="D698" s="91" t="s">
        <v>24</v>
      </c>
      <c r="E698" s="98">
        <v>2334</v>
      </c>
      <c r="F698" s="90">
        <v>0.214696</v>
      </c>
      <c r="G698" s="92">
        <v>6.6133700000000004E-2</v>
      </c>
    </row>
    <row r="699" spans="1:7" x14ac:dyDescent="0.3">
      <c r="A699" s="98" t="s">
        <v>88</v>
      </c>
      <c r="B699" s="106" t="s">
        <v>206</v>
      </c>
      <c r="C699" s="94">
        <v>46245</v>
      </c>
      <c r="D699" s="91" t="s">
        <v>25</v>
      </c>
      <c r="E699" s="98">
        <v>1162</v>
      </c>
      <c r="F699" s="90">
        <v>0.20059199999999999</v>
      </c>
      <c r="G699" s="92">
        <v>4.8247999999999999E-2</v>
      </c>
    </row>
    <row r="700" spans="1:7" x14ac:dyDescent="0.3">
      <c r="A700" s="98" t="s">
        <v>88</v>
      </c>
      <c r="B700" s="106" t="s">
        <v>206</v>
      </c>
      <c r="C700" s="94">
        <v>46245</v>
      </c>
      <c r="D700" s="91" t="s">
        <v>26</v>
      </c>
      <c r="E700" s="98">
        <v>1378</v>
      </c>
      <c r="F700" s="90">
        <v>0.17598800000000001</v>
      </c>
      <c r="G700" s="92">
        <v>5.6594600000000002E-2</v>
      </c>
    </row>
    <row r="701" spans="1:7" x14ac:dyDescent="0.3">
      <c r="A701" s="98" t="s">
        <v>88</v>
      </c>
      <c r="B701" s="106" t="s">
        <v>206</v>
      </c>
      <c r="C701" s="94">
        <v>46245</v>
      </c>
      <c r="D701" s="91" t="s">
        <v>27</v>
      </c>
      <c r="E701" s="98">
        <v>1262</v>
      </c>
      <c r="F701" s="90">
        <v>0.27875299999999997</v>
      </c>
      <c r="G701" s="92">
        <v>6.3267400000000001E-2</v>
      </c>
    </row>
    <row r="702" spans="1:7" x14ac:dyDescent="0.3">
      <c r="A702" s="98" t="s">
        <v>88</v>
      </c>
      <c r="B702" s="106" t="s">
        <v>206</v>
      </c>
      <c r="C702" s="94">
        <v>46245</v>
      </c>
      <c r="D702" s="91" t="s">
        <v>28</v>
      </c>
      <c r="E702" s="98">
        <v>1090</v>
      </c>
      <c r="F702" s="90">
        <v>0.28165800000000002</v>
      </c>
      <c r="G702" s="92">
        <v>6.3240699999999997E-2</v>
      </c>
    </row>
    <row r="703" spans="1:7" x14ac:dyDescent="0.3">
      <c r="A703" s="98" t="s">
        <v>88</v>
      </c>
      <c r="B703" s="106" t="s">
        <v>206</v>
      </c>
      <c r="C703" s="94">
        <v>46245</v>
      </c>
      <c r="D703" s="91" t="s">
        <v>29</v>
      </c>
      <c r="E703" s="98">
        <v>1479</v>
      </c>
      <c r="F703" s="90">
        <v>0.373226</v>
      </c>
      <c r="G703" s="92">
        <v>7.7298900000000004E-2</v>
      </c>
    </row>
    <row r="704" spans="1:7" x14ac:dyDescent="0.3">
      <c r="A704" s="98" t="s">
        <v>88</v>
      </c>
      <c r="B704" s="106" t="s">
        <v>206</v>
      </c>
      <c r="C704" s="94">
        <v>46245</v>
      </c>
      <c r="D704" s="91" t="s">
        <v>30</v>
      </c>
      <c r="E704" s="98">
        <v>1430</v>
      </c>
      <c r="F704" s="90">
        <v>0.35239300000000001</v>
      </c>
      <c r="G704" s="92">
        <v>7.0878499999999997E-2</v>
      </c>
    </row>
    <row r="705" spans="1:7" x14ac:dyDescent="0.3">
      <c r="A705" s="98" t="s">
        <v>88</v>
      </c>
      <c r="B705" s="106" t="s">
        <v>207</v>
      </c>
      <c r="C705" s="94">
        <v>46245</v>
      </c>
      <c r="D705" s="91" t="s">
        <v>14</v>
      </c>
      <c r="E705" s="98">
        <v>2359</v>
      </c>
      <c r="F705" s="90">
        <v>0.339503</v>
      </c>
      <c r="G705" s="92">
        <v>9.5462199999999997E-2</v>
      </c>
    </row>
    <row r="706" spans="1:7" x14ac:dyDescent="0.3">
      <c r="A706" s="98" t="s">
        <v>88</v>
      </c>
      <c r="B706" s="106" t="s">
        <v>207</v>
      </c>
      <c r="C706" s="94">
        <v>46245</v>
      </c>
      <c r="D706" s="91" t="s">
        <v>15</v>
      </c>
      <c r="E706" s="98">
        <v>1901</v>
      </c>
      <c r="F706" s="90">
        <v>0.40394999999999998</v>
      </c>
      <c r="G706" s="92">
        <v>0.106374</v>
      </c>
    </row>
    <row r="707" spans="1:7" x14ac:dyDescent="0.3">
      <c r="A707" s="98" t="s">
        <v>88</v>
      </c>
      <c r="B707" s="106" t="s">
        <v>207</v>
      </c>
      <c r="C707" s="94">
        <v>46245</v>
      </c>
      <c r="D707" s="91" t="s">
        <v>16</v>
      </c>
      <c r="E707" s="98">
        <v>1216</v>
      </c>
      <c r="F707" s="90">
        <v>0.37232599999999999</v>
      </c>
      <c r="G707" s="92">
        <v>8.73414E-2</v>
      </c>
    </row>
    <row r="708" spans="1:7" x14ac:dyDescent="0.3">
      <c r="A708" s="98" t="s">
        <v>88</v>
      </c>
      <c r="B708" s="106" t="s">
        <v>207</v>
      </c>
      <c r="C708" s="94">
        <v>46245</v>
      </c>
      <c r="D708" s="91" t="s">
        <v>17</v>
      </c>
      <c r="E708" s="98">
        <v>2161</v>
      </c>
      <c r="F708" s="90">
        <v>0.42272399999999999</v>
      </c>
      <c r="G708" s="92">
        <v>8.3608100000000005E-2</v>
      </c>
    </row>
    <row r="709" spans="1:7" x14ac:dyDescent="0.3">
      <c r="A709" s="98" t="s">
        <v>88</v>
      </c>
      <c r="B709" s="106" t="s">
        <v>207</v>
      </c>
      <c r="C709" s="94">
        <v>46245</v>
      </c>
      <c r="D709" s="91" t="s">
        <v>18</v>
      </c>
      <c r="E709" s="98">
        <v>1660</v>
      </c>
      <c r="F709" s="90">
        <v>0.21842900000000001</v>
      </c>
      <c r="G709" s="92">
        <v>5.1942799999999997E-2</v>
      </c>
    </row>
    <row r="710" spans="1:7" x14ac:dyDescent="0.3">
      <c r="A710" s="98" t="s">
        <v>88</v>
      </c>
      <c r="B710" s="106" t="s">
        <v>207</v>
      </c>
      <c r="C710" s="94">
        <v>46245</v>
      </c>
      <c r="D710" s="91" t="s">
        <v>19</v>
      </c>
      <c r="E710" s="98">
        <v>1978</v>
      </c>
      <c r="F710" s="90">
        <v>0.32136999999999999</v>
      </c>
      <c r="G710" s="92">
        <v>6.75761E-2</v>
      </c>
    </row>
    <row r="711" spans="1:7" x14ac:dyDescent="0.3">
      <c r="A711" s="98" t="s">
        <v>88</v>
      </c>
      <c r="B711" s="106" t="s">
        <v>207</v>
      </c>
      <c r="C711" s="94">
        <v>46245</v>
      </c>
      <c r="D711" s="91" t="s">
        <v>20</v>
      </c>
      <c r="E711" s="98">
        <v>1943</v>
      </c>
      <c r="F711" s="90">
        <v>0.31383499999999998</v>
      </c>
      <c r="G711" s="92">
        <v>6.5645099999999998E-2</v>
      </c>
    </row>
    <row r="712" spans="1:7" x14ac:dyDescent="0.3">
      <c r="A712" s="98" t="s">
        <v>88</v>
      </c>
      <c r="B712" s="106" t="s">
        <v>207</v>
      </c>
      <c r="C712" s="94">
        <v>46245</v>
      </c>
      <c r="D712" s="91" t="s">
        <v>34</v>
      </c>
      <c r="E712" s="98">
        <v>1004</v>
      </c>
      <c r="F712" s="90">
        <v>0.19739699999999999</v>
      </c>
      <c r="G712" s="92">
        <v>5.9809800000000003E-2</v>
      </c>
    </row>
    <row r="713" spans="1:7" x14ac:dyDescent="0.3">
      <c r="A713" s="98" t="s">
        <v>88</v>
      </c>
      <c r="B713" s="106" t="s">
        <v>207</v>
      </c>
      <c r="C713" s="94">
        <v>46245</v>
      </c>
      <c r="D713" s="91" t="s">
        <v>21</v>
      </c>
      <c r="E713" s="98">
        <v>2885</v>
      </c>
      <c r="F713" s="90">
        <v>0.44058199999999997</v>
      </c>
      <c r="G713" s="92">
        <v>8.5730700000000007E-2</v>
      </c>
    </row>
    <row r="714" spans="1:7" x14ac:dyDescent="0.3">
      <c r="A714" s="98" t="s">
        <v>88</v>
      </c>
      <c r="B714" s="106" t="s">
        <v>207</v>
      </c>
      <c r="C714" s="94">
        <v>46245</v>
      </c>
      <c r="D714" s="91" t="s">
        <v>22</v>
      </c>
      <c r="E714" s="98">
        <v>1770</v>
      </c>
      <c r="F714" s="90">
        <v>0.36197499999999999</v>
      </c>
      <c r="G714" s="92">
        <v>9.8294599999999996E-2</v>
      </c>
    </row>
    <row r="715" spans="1:7" x14ac:dyDescent="0.3">
      <c r="A715" s="98" t="s">
        <v>88</v>
      </c>
      <c r="B715" s="106" t="s">
        <v>207</v>
      </c>
      <c r="C715" s="94">
        <v>46245</v>
      </c>
      <c r="D715" s="91" t="s">
        <v>23</v>
      </c>
      <c r="E715" s="98">
        <v>1436</v>
      </c>
      <c r="F715" s="90">
        <v>0.24033099999999999</v>
      </c>
      <c r="G715" s="92">
        <v>7.8871999999999998E-2</v>
      </c>
    </row>
    <row r="716" spans="1:7" x14ac:dyDescent="0.3">
      <c r="A716" s="98" t="s">
        <v>88</v>
      </c>
      <c r="B716" s="106" t="s">
        <v>207</v>
      </c>
      <c r="C716" s="94">
        <v>46245</v>
      </c>
      <c r="D716" s="91" t="s">
        <v>24</v>
      </c>
      <c r="E716" s="98">
        <v>2317</v>
      </c>
      <c r="F716" s="90">
        <v>0.20446600000000001</v>
      </c>
      <c r="G716" s="92">
        <v>6.2923300000000001E-2</v>
      </c>
    </row>
    <row r="717" spans="1:7" x14ac:dyDescent="0.3">
      <c r="A717" s="98" t="s">
        <v>88</v>
      </c>
      <c r="B717" s="106" t="s">
        <v>207</v>
      </c>
      <c r="C717" s="94">
        <v>46245</v>
      </c>
      <c r="D717" s="91" t="s">
        <v>25</v>
      </c>
      <c r="E717" s="98">
        <v>1173</v>
      </c>
      <c r="F717" s="90">
        <v>0.225748</v>
      </c>
      <c r="G717" s="92">
        <v>5.4283999999999999E-2</v>
      </c>
    </row>
    <row r="718" spans="1:7" x14ac:dyDescent="0.3">
      <c r="A718" s="98" t="s">
        <v>88</v>
      </c>
      <c r="B718" s="106" t="s">
        <v>207</v>
      </c>
      <c r="C718" s="94">
        <v>46245</v>
      </c>
      <c r="D718" s="91" t="s">
        <v>26</v>
      </c>
      <c r="E718" s="98">
        <v>1611</v>
      </c>
      <c r="F718" s="90">
        <v>0.138596</v>
      </c>
      <c r="G718" s="92">
        <v>4.4565599999999997E-2</v>
      </c>
    </row>
    <row r="719" spans="1:7" x14ac:dyDescent="0.3">
      <c r="A719" s="98" t="s">
        <v>88</v>
      </c>
      <c r="B719" s="106" t="s">
        <v>207</v>
      </c>
      <c r="C719" s="94">
        <v>46245</v>
      </c>
      <c r="D719" s="91" t="s">
        <v>27</v>
      </c>
      <c r="E719" s="98">
        <v>1209</v>
      </c>
      <c r="F719" s="90">
        <v>0.297456</v>
      </c>
      <c r="G719" s="92">
        <v>6.7505700000000002E-2</v>
      </c>
    </row>
    <row r="720" spans="1:7" x14ac:dyDescent="0.3">
      <c r="A720" s="98" t="s">
        <v>88</v>
      </c>
      <c r="B720" s="106" t="s">
        <v>207</v>
      </c>
      <c r="C720" s="94">
        <v>46245</v>
      </c>
      <c r="D720" s="91" t="s">
        <v>28</v>
      </c>
      <c r="E720" s="98">
        <v>1102</v>
      </c>
      <c r="F720" s="90">
        <v>0.25417099999999998</v>
      </c>
      <c r="G720" s="92">
        <v>5.7056700000000002E-2</v>
      </c>
    </row>
    <row r="721" spans="1:7" x14ac:dyDescent="0.3">
      <c r="A721" s="98" t="s">
        <v>88</v>
      </c>
      <c r="B721" s="106" t="s">
        <v>207</v>
      </c>
      <c r="C721" s="94">
        <v>46245</v>
      </c>
      <c r="D721" s="91" t="s">
        <v>29</v>
      </c>
      <c r="E721" s="98">
        <v>1418</v>
      </c>
      <c r="F721" s="90">
        <v>0.30664599999999997</v>
      </c>
      <c r="G721" s="92">
        <v>6.3473199999999994E-2</v>
      </c>
    </row>
    <row r="722" spans="1:7" x14ac:dyDescent="0.3">
      <c r="A722" s="98" t="s">
        <v>88</v>
      </c>
      <c r="B722" s="106" t="s">
        <v>207</v>
      </c>
      <c r="C722" s="94">
        <v>46245</v>
      </c>
      <c r="D722" s="91" t="s">
        <v>30</v>
      </c>
      <c r="E722" s="98">
        <v>1788</v>
      </c>
      <c r="F722" s="90">
        <v>0.39618300000000001</v>
      </c>
      <c r="G722" s="92">
        <v>7.9699099999999995E-2</v>
      </c>
    </row>
    <row r="723" spans="1:7" x14ac:dyDescent="0.3">
      <c r="A723" s="98" t="s">
        <v>88</v>
      </c>
      <c r="B723" s="106" t="s">
        <v>208</v>
      </c>
      <c r="C723" s="94">
        <v>46246</v>
      </c>
      <c r="D723" s="91" t="s">
        <v>14</v>
      </c>
      <c r="E723" s="98">
        <v>1812</v>
      </c>
      <c r="F723" s="90">
        <v>0.35864800000000002</v>
      </c>
      <c r="G723" s="92">
        <v>9.4151200000000004E-2</v>
      </c>
    </row>
    <row r="724" spans="1:7" x14ac:dyDescent="0.3">
      <c r="A724" s="98" t="s">
        <v>88</v>
      </c>
      <c r="B724" s="106" t="s">
        <v>208</v>
      </c>
      <c r="C724" s="94">
        <v>46246</v>
      </c>
      <c r="D724" s="91" t="s">
        <v>15</v>
      </c>
      <c r="E724" s="98">
        <v>1624</v>
      </c>
      <c r="F724" s="90">
        <v>0.34329999999999999</v>
      </c>
      <c r="G724" s="92">
        <v>8.3500699999999997E-2</v>
      </c>
    </row>
    <row r="725" spans="1:7" x14ac:dyDescent="0.3">
      <c r="A725" s="98" t="s">
        <v>88</v>
      </c>
      <c r="B725" s="106" t="s">
        <v>208</v>
      </c>
      <c r="C725" s="94">
        <v>46246</v>
      </c>
      <c r="D725" s="91" t="s">
        <v>16</v>
      </c>
      <c r="E725" s="98">
        <v>1364</v>
      </c>
      <c r="F725" s="90">
        <v>0.46888000000000002</v>
      </c>
      <c r="G725" s="92">
        <v>0.11</v>
      </c>
    </row>
    <row r="726" spans="1:7" x14ac:dyDescent="0.3">
      <c r="A726" s="98" t="s">
        <v>88</v>
      </c>
      <c r="B726" s="106" t="s">
        <v>208</v>
      </c>
      <c r="C726" s="94">
        <v>46246</v>
      </c>
      <c r="D726" s="91" t="s">
        <v>17</v>
      </c>
      <c r="E726" s="98">
        <v>1792</v>
      </c>
      <c r="F726" s="90">
        <v>0.58531599999999995</v>
      </c>
      <c r="G726" s="92">
        <v>0.11579100000000001</v>
      </c>
    </row>
    <row r="727" spans="1:7" x14ac:dyDescent="0.3">
      <c r="A727" s="98" t="s">
        <v>88</v>
      </c>
      <c r="B727" s="106" t="s">
        <v>208</v>
      </c>
      <c r="C727" s="94">
        <v>46246</v>
      </c>
      <c r="D727" s="91" t="s">
        <v>18</v>
      </c>
      <c r="E727" s="98">
        <v>1878</v>
      </c>
      <c r="F727" s="90">
        <v>0.16364400000000001</v>
      </c>
      <c r="G727" s="92">
        <v>3.3919999999999999E-2</v>
      </c>
    </row>
    <row r="728" spans="1:7" x14ac:dyDescent="0.3">
      <c r="A728" s="98" t="s">
        <v>88</v>
      </c>
      <c r="B728" s="106" t="s">
        <v>208</v>
      </c>
      <c r="C728" s="94">
        <v>46246</v>
      </c>
      <c r="D728" s="91" t="s">
        <v>19</v>
      </c>
      <c r="E728" s="98">
        <v>1834</v>
      </c>
      <c r="F728" s="90">
        <v>0.46961199999999997</v>
      </c>
      <c r="G728" s="92">
        <v>9.8766300000000001E-2</v>
      </c>
    </row>
    <row r="729" spans="1:7" x14ac:dyDescent="0.3">
      <c r="A729" s="98" t="s">
        <v>88</v>
      </c>
      <c r="B729" s="106" t="s">
        <v>208</v>
      </c>
      <c r="C729" s="94">
        <v>46246</v>
      </c>
      <c r="D729" s="91" t="s">
        <v>20</v>
      </c>
      <c r="E729" s="98">
        <v>1727</v>
      </c>
      <c r="F729" s="90">
        <v>0.32391799999999998</v>
      </c>
      <c r="G729" s="92">
        <v>6.0721600000000001E-2</v>
      </c>
    </row>
    <row r="730" spans="1:7" x14ac:dyDescent="0.3">
      <c r="A730" s="98" t="s">
        <v>88</v>
      </c>
      <c r="B730" s="106" t="s">
        <v>208</v>
      </c>
      <c r="C730" s="94">
        <v>46246</v>
      </c>
      <c r="D730" s="91" t="s">
        <v>34</v>
      </c>
      <c r="E730" s="98">
        <v>1059</v>
      </c>
      <c r="F730" s="90">
        <v>0.226912</v>
      </c>
      <c r="G730" s="92">
        <v>6.0845000000000003E-2</v>
      </c>
    </row>
    <row r="731" spans="1:7" x14ac:dyDescent="0.3">
      <c r="A731" s="98" t="s">
        <v>88</v>
      </c>
      <c r="B731" s="106" t="s">
        <v>208</v>
      </c>
      <c r="C731" s="94">
        <v>46246</v>
      </c>
      <c r="D731" s="91" t="s">
        <v>21</v>
      </c>
      <c r="E731" s="98">
        <v>2613</v>
      </c>
      <c r="F731" s="90">
        <v>0.36061500000000002</v>
      </c>
      <c r="G731" s="92">
        <v>7.9269400000000004E-2</v>
      </c>
    </row>
    <row r="732" spans="1:7" x14ac:dyDescent="0.3">
      <c r="A732" s="98" t="s">
        <v>88</v>
      </c>
      <c r="B732" s="106" t="s">
        <v>208</v>
      </c>
      <c r="C732" s="94">
        <v>46246</v>
      </c>
      <c r="D732" s="91" t="s">
        <v>22</v>
      </c>
      <c r="E732" s="98">
        <v>1736</v>
      </c>
      <c r="F732" s="90">
        <v>0.29386699999999999</v>
      </c>
      <c r="G732" s="92">
        <v>8.3243899999999996E-2</v>
      </c>
    </row>
    <row r="733" spans="1:7" x14ac:dyDescent="0.3">
      <c r="A733" s="98" t="s">
        <v>88</v>
      </c>
      <c r="B733" s="106" t="s">
        <v>208</v>
      </c>
      <c r="C733" s="94">
        <v>46246</v>
      </c>
      <c r="D733" s="91" t="s">
        <v>23</v>
      </c>
      <c r="E733" s="98">
        <v>1003</v>
      </c>
      <c r="F733" s="90">
        <v>0.23644599999999999</v>
      </c>
      <c r="G733" s="92">
        <v>7.6467800000000002E-2</v>
      </c>
    </row>
    <row r="734" spans="1:7" x14ac:dyDescent="0.3">
      <c r="A734" s="98" t="s">
        <v>88</v>
      </c>
      <c r="B734" s="106" t="s">
        <v>208</v>
      </c>
      <c r="C734" s="94">
        <v>46246</v>
      </c>
      <c r="D734" s="91" t="s">
        <v>24</v>
      </c>
      <c r="E734" s="98">
        <v>1514</v>
      </c>
      <c r="F734" s="90">
        <v>0.25357099999999999</v>
      </c>
      <c r="G734" s="92">
        <v>8.6459300000000003E-2</v>
      </c>
    </row>
    <row r="735" spans="1:7" x14ac:dyDescent="0.3">
      <c r="A735" s="98" t="s">
        <v>88</v>
      </c>
      <c r="B735" s="106" t="s">
        <v>208</v>
      </c>
      <c r="C735" s="94">
        <v>46246</v>
      </c>
      <c r="D735" s="91" t="s">
        <v>25</v>
      </c>
      <c r="E735" s="98">
        <v>1060</v>
      </c>
      <c r="F735" s="90">
        <v>0.15177499999999999</v>
      </c>
      <c r="G735" s="92">
        <v>4.16908E-2</v>
      </c>
    </row>
    <row r="736" spans="1:7" x14ac:dyDescent="0.3">
      <c r="A736" s="98" t="s">
        <v>88</v>
      </c>
      <c r="B736" s="106" t="s">
        <v>208</v>
      </c>
      <c r="C736" s="94">
        <v>46246</v>
      </c>
      <c r="D736" s="91" t="s">
        <v>26</v>
      </c>
      <c r="E736" s="98">
        <v>1612</v>
      </c>
      <c r="F736" s="90">
        <v>0.18143899999999999</v>
      </c>
      <c r="G736" s="92">
        <v>5.5553499999999999E-2</v>
      </c>
    </row>
    <row r="737" spans="1:7" x14ac:dyDescent="0.3">
      <c r="A737" s="98" t="s">
        <v>88</v>
      </c>
      <c r="B737" s="106" t="s">
        <v>208</v>
      </c>
      <c r="C737" s="94">
        <v>46246</v>
      </c>
      <c r="D737" s="91" t="s">
        <v>27</v>
      </c>
      <c r="E737" s="98">
        <v>1281</v>
      </c>
      <c r="F737" s="90">
        <v>0.29200999999999999</v>
      </c>
      <c r="G737" s="92">
        <v>7.7029700000000006E-2</v>
      </c>
    </row>
    <row r="738" spans="1:7" x14ac:dyDescent="0.3">
      <c r="A738" s="98" t="s">
        <v>88</v>
      </c>
      <c r="B738" s="106" t="s">
        <v>208</v>
      </c>
      <c r="C738" s="94">
        <v>46246</v>
      </c>
      <c r="D738" s="91" t="s">
        <v>28</v>
      </c>
      <c r="E738" s="98">
        <v>1082</v>
      </c>
      <c r="F738" s="90">
        <v>0.23838000000000001</v>
      </c>
      <c r="G738" s="92">
        <v>6.1297200000000003E-2</v>
      </c>
    </row>
    <row r="739" spans="1:7" x14ac:dyDescent="0.3">
      <c r="A739" s="98" t="s">
        <v>88</v>
      </c>
      <c r="B739" s="106" t="s">
        <v>208</v>
      </c>
      <c r="C739" s="94">
        <v>46246</v>
      </c>
      <c r="D739" s="91" t="s">
        <v>29</v>
      </c>
      <c r="E739" s="98">
        <v>1431</v>
      </c>
      <c r="F739" s="90">
        <v>0.35574600000000001</v>
      </c>
      <c r="G739" s="92">
        <v>7.3671600000000004E-2</v>
      </c>
    </row>
    <row r="740" spans="1:7" x14ac:dyDescent="0.3">
      <c r="A740" s="98" t="s">
        <v>88</v>
      </c>
      <c r="B740" s="106" t="s">
        <v>208</v>
      </c>
      <c r="C740" s="94">
        <v>46245</v>
      </c>
      <c r="D740" s="91" t="s">
        <v>30</v>
      </c>
      <c r="E740" s="98">
        <v>1486</v>
      </c>
      <c r="F740" s="90">
        <v>0.35761399999999999</v>
      </c>
      <c r="G740" s="92">
        <v>7.8656400000000001E-2</v>
      </c>
    </row>
    <row r="741" spans="1:7" x14ac:dyDescent="0.3">
      <c r="A741" s="98" t="s">
        <v>88</v>
      </c>
      <c r="B741" s="106" t="s">
        <v>178</v>
      </c>
      <c r="C741" s="94">
        <v>46245</v>
      </c>
      <c r="D741" s="91" t="s">
        <v>14</v>
      </c>
      <c r="E741" s="98">
        <v>2365</v>
      </c>
      <c r="F741" s="90">
        <v>0.47478999999999999</v>
      </c>
      <c r="G741" s="92">
        <v>0.13347899999999999</v>
      </c>
    </row>
    <row r="742" spans="1:7" x14ac:dyDescent="0.3">
      <c r="A742" s="98" t="s">
        <v>88</v>
      </c>
      <c r="B742" s="106" t="s">
        <v>178</v>
      </c>
      <c r="C742" s="94">
        <v>46245</v>
      </c>
      <c r="D742" s="91" t="s">
        <v>15</v>
      </c>
      <c r="E742" s="98">
        <v>1794</v>
      </c>
      <c r="F742" s="90">
        <v>0.51187700000000003</v>
      </c>
      <c r="G742" s="92">
        <v>0.13488800000000001</v>
      </c>
    </row>
    <row r="743" spans="1:7" x14ac:dyDescent="0.3">
      <c r="A743" s="98" t="s">
        <v>88</v>
      </c>
      <c r="B743" s="106" t="s">
        <v>178</v>
      </c>
      <c r="C743" s="94">
        <v>46245</v>
      </c>
      <c r="D743" s="91" t="s">
        <v>16</v>
      </c>
      <c r="E743" s="98">
        <v>1001</v>
      </c>
      <c r="F743" s="90">
        <v>0.56062400000000001</v>
      </c>
      <c r="G743" s="92">
        <v>0.13152700000000001</v>
      </c>
    </row>
    <row r="744" spans="1:7" x14ac:dyDescent="0.3">
      <c r="A744" s="98" t="s">
        <v>88</v>
      </c>
      <c r="B744" s="106" t="s">
        <v>178</v>
      </c>
      <c r="C744" s="94">
        <v>46245</v>
      </c>
      <c r="D744" s="91" t="s">
        <v>17</v>
      </c>
      <c r="E744" s="98">
        <v>1623</v>
      </c>
      <c r="F744" s="90">
        <v>0.43410199999999999</v>
      </c>
      <c r="G744" s="92">
        <v>8.5828100000000004E-2</v>
      </c>
    </row>
    <row r="745" spans="1:7" x14ac:dyDescent="0.3">
      <c r="A745" s="98" t="s">
        <v>88</v>
      </c>
      <c r="B745" s="106" t="s">
        <v>178</v>
      </c>
      <c r="C745" s="94">
        <v>46245</v>
      </c>
      <c r="D745" s="91" t="s">
        <v>18</v>
      </c>
      <c r="E745" s="98">
        <v>1298</v>
      </c>
      <c r="F745" s="90">
        <v>0.37738500000000003</v>
      </c>
      <c r="G745" s="92">
        <v>8.9770000000000003E-2</v>
      </c>
    </row>
    <row r="746" spans="1:7" x14ac:dyDescent="0.3">
      <c r="A746" s="98" t="s">
        <v>88</v>
      </c>
      <c r="B746" s="106" t="s">
        <v>178</v>
      </c>
      <c r="C746" s="94">
        <v>46245</v>
      </c>
      <c r="D746" s="91" t="s">
        <v>19</v>
      </c>
      <c r="E746" s="98">
        <v>1152</v>
      </c>
      <c r="F746" s="90">
        <v>0.57615300000000003</v>
      </c>
      <c r="G746" s="92">
        <v>0.121161</v>
      </c>
    </row>
    <row r="747" spans="1:7" x14ac:dyDescent="0.3">
      <c r="A747" s="98" t="s">
        <v>88</v>
      </c>
      <c r="B747" s="106" t="s">
        <v>178</v>
      </c>
      <c r="C747" s="94">
        <v>46245</v>
      </c>
      <c r="D747" s="91" t="s">
        <v>20</v>
      </c>
      <c r="E747" s="98">
        <v>1037</v>
      </c>
      <c r="F747" s="90">
        <v>0.58007799999999998</v>
      </c>
      <c r="G747" s="92">
        <v>0.121346</v>
      </c>
    </row>
    <row r="748" spans="1:7" x14ac:dyDescent="0.3">
      <c r="A748" s="98" t="s">
        <v>88</v>
      </c>
      <c r="B748" s="106" t="s">
        <v>178</v>
      </c>
      <c r="C748" s="94">
        <v>46245</v>
      </c>
      <c r="D748" s="91" t="s">
        <v>34</v>
      </c>
      <c r="E748" s="98">
        <v>1238</v>
      </c>
      <c r="F748" s="90">
        <v>0.21996299999999999</v>
      </c>
      <c r="G748" s="92">
        <v>6.6624699999999995E-2</v>
      </c>
    </row>
    <row r="749" spans="1:7" x14ac:dyDescent="0.3">
      <c r="A749" s="98" t="s">
        <v>88</v>
      </c>
      <c r="B749" s="106" t="s">
        <v>178</v>
      </c>
      <c r="C749" s="94">
        <v>46245</v>
      </c>
      <c r="D749" s="91" t="s">
        <v>21</v>
      </c>
      <c r="E749" s="98">
        <v>1963</v>
      </c>
      <c r="F749" s="90">
        <v>0.55201299999999998</v>
      </c>
      <c r="G749" s="92">
        <v>0.107331</v>
      </c>
    </row>
    <row r="750" spans="1:7" x14ac:dyDescent="0.3">
      <c r="A750" s="98" t="s">
        <v>88</v>
      </c>
      <c r="B750" s="106" t="s">
        <v>178</v>
      </c>
      <c r="C750" s="94">
        <v>46245</v>
      </c>
      <c r="D750" s="91" t="s">
        <v>22</v>
      </c>
      <c r="E750" s="98">
        <v>2056</v>
      </c>
      <c r="F750" s="90">
        <v>0.352099</v>
      </c>
      <c r="G750" s="92">
        <v>9.5616199999999998E-2</v>
      </c>
    </row>
    <row r="751" spans="1:7" x14ac:dyDescent="0.3">
      <c r="A751" s="98" t="s">
        <v>88</v>
      </c>
      <c r="B751" s="106" t="s">
        <v>178</v>
      </c>
      <c r="C751" s="94">
        <v>46245</v>
      </c>
      <c r="D751" s="91" t="s">
        <v>23</v>
      </c>
      <c r="E751" s="98">
        <v>1672</v>
      </c>
      <c r="F751" s="90">
        <v>0.37148199999999998</v>
      </c>
      <c r="G751" s="92">
        <v>0.121811</v>
      </c>
    </row>
    <row r="752" spans="1:7" x14ac:dyDescent="0.3">
      <c r="A752" s="98" t="s">
        <v>88</v>
      </c>
      <c r="B752" s="106" t="s">
        <v>178</v>
      </c>
      <c r="C752" s="94">
        <v>46245</v>
      </c>
      <c r="D752" s="91" t="s">
        <v>24</v>
      </c>
      <c r="E752" s="98">
        <v>2539</v>
      </c>
      <c r="F752" s="90">
        <v>0.35958499999999999</v>
      </c>
      <c r="G752" s="92">
        <v>0.110737</v>
      </c>
    </row>
    <row r="753" spans="1:7" x14ac:dyDescent="0.3">
      <c r="A753" s="98" t="s">
        <v>88</v>
      </c>
      <c r="B753" s="106" t="s">
        <v>178</v>
      </c>
      <c r="C753" s="94">
        <v>46245</v>
      </c>
      <c r="D753" s="91" t="s">
        <v>25</v>
      </c>
      <c r="E753" s="98">
        <v>1143</v>
      </c>
      <c r="F753" s="90">
        <v>0.239338</v>
      </c>
      <c r="G753" s="92">
        <v>5.7532100000000003E-2</v>
      </c>
    </row>
    <row r="754" spans="1:7" x14ac:dyDescent="0.3">
      <c r="A754" s="98" t="s">
        <v>88</v>
      </c>
      <c r="B754" s="106" t="s">
        <v>178</v>
      </c>
      <c r="C754" s="94">
        <v>46245</v>
      </c>
      <c r="D754" s="91" t="s">
        <v>26</v>
      </c>
      <c r="E754" s="98">
        <v>2126</v>
      </c>
      <c r="F754" s="90">
        <v>0.33723999999999998</v>
      </c>
      <c r="G754" s="92">
        <v>0.108422</v>
      </c>
    </row>
    <row r="755" spans="1:7" x14ac:dyDescent="0.3">
      <c r="A755" s="98" t="s">
        <v>88</v>
      </c>
      <c r="B755" s="106" t="s">
        <v>178</v>
      </c>
      <c r="C755" s="94">
        <v>46245</v>
      </c>
      <c r="D755" s="91" t="s">
        <v>27</v>
      </c>
      <c r="E755" s="98">
        <v>1522</v>
      </c>
      <c r="F755" s="90">
        <v>0.57413099999999995</v>
      </c>
      <c r="G755" s="92">
        <v>0.130158</v>
      </c>
    </row>
    <row r="756" spans="1:7" x14ac:dyDescent="0.3">
      <c r="A756" s="98" t="s">
        <v>88</v>
      </c>
      <c r="B756" s="106" t="s">
        <v>178</v>
      </c>
      <c r="C756" s="94">
        <v>46245</v>
      </c>
      <c r="D756" s="91" t="s">
        <v>28</v>
      </c>
      <c r="E756" s="98">
        <v>1547</v>
      </c>
      <c r="F756" s="90">
        <v>0.49929699999999999</v>
      </c>
      <c r="G756" s="92">
        <v>0.112082</v>
      </c>
    </row>
    <row r="757" spans="1:7" x14ac:dyDescent="0.3">
      <c r="A757" s="98" t="s">
        <v>88</v>
      </c>
      <c r="B757" s="106" t="s">
        <v>178</v>
      </c>
      <c r="C757" s="94">
        <v>46245</v>
      </c>
      <c r="D757" s="91" t="s">
        <v>29</v>
      </c>
      <c r="E757" s="98">
        <v>1073</v>
      </c>
      <c r="F757" s="90">
        <v>0.42072199999999998</v>
      </c>
      <c r="G757" s="92">
        <v>8.7061399999999997E-2</v>
      </c>
    </row>
    <row r="758" spans="1:7" x14ac:dyDescent="0.3">
      <c r="A758" s="98" t="s">
        <v>88</v>
      </c>
      <c r="B758" s="106" t="s">
        <v>178</v>
      </c>
      <c r="C758" s="94">
        <v>46245</v>
      </c>
      <c r="D758" s="91" t="s">
        <v>30</v>
      </c>
      <c r="E758" s="98">
        <v>1121</v>
      </c>
      <c r="F758" s="90">
        <v>0.43172300000000002</v>
      </c>
      <c r="G758" s="92">
        <v>8.6823600000000001E-2</v>
      </c>
    </row>
    <row r="759" spans="1:7" x14ac:dyDescent="0.3">
      <c r="A759" s="98" t="s">
        <v>88</v>
      </c>
      <c r="B759" s="106" t="s">
        <v>181</v>
      </c>
      <c r="C759" s="94">
        <v>46245</v>
      </c>
      <c r="D759" s="91" t="s">
        <v>14</v>
      </c>
      <c r="E759" s="98">
        <v>2126</v>
      </c>
      <c r="F759" s="90">
        <v>0.48974200000000001</v>
      </c>
      <c r="G759" s="92">
        <v>0.137686</v>
      </c>
    </row>
    <row r="760" spans="1:7" x14ac:dyDescent="0.3">
      <c r="A760" s="98" t="s">
        <v>88</v>
      </c>
      <c r="B760" s="106" t="s">
        <v>181</v>
      </c>
      <c r="C760" s="94">
        <v>46245</v>
      </c>
      <c r="D760" s="91" t="s">
        <v>15</v>
      </c>
      <c r="E760" s="98">
        <v>1831</v>
      </c>
      <c r="F760" s="90">
        <v>0.50505</v>
      </c>
      <c r="G760" s="92">
        <v>0.13303000000000001</v>
      </c>
    </row>
    <row r="761" spans="1:7" x14ac:dyDescent="0.3">
      <c r="A761" s="98" t="s">
        <v>88</v>
      </c>
      <c r="B761" s="106" t="s">
        <v>181</v>
      </c>
      <c r="C761" s="94">
        <v>46245</v>
      </c>
      <c r="D761" s="91" t="s">
        <v>16</v>
      </c>
      <c r="E761" s="98">
        <v>1259</v>
      </c>
      <c r="F761" s="90">
        <v>0.47675800000000002</v>
      </c>
      <c r="G761" s="92">
        <v>0.111835</v>
      </c>
    </row>
    <row r="762" spans="1:7" x14ac:dyDescent="0.3">
      <c r="A762" s="98" t="s">
        <v>88</v>
      </c>
      <c r="B762" s="106" t="s">
        <v>181</v>
      </c>
      <c r="C762" s="94">
        <v>46245</v>
      </c>
      <c r="D762" s="91" t="s">
        <v>17</v>
      </c>
      <c r="E762" s="98">
        <v>1485</v>
      </c>
      <c r="F762" s="90">
        <v>0.493784</v>
      </c>
      <c r="G762" s="92">
        <v>9.7624900000000001E-2</v>
      </c>
    </row>
    <row r="763" spans="1:7" x14ac:dyDescent="0.3">
      <c r="A763" s="98" t="s">
        <v>88</v>
      </c>
      <c r="B763" s="106" t="s">
        <v>181</v>
      </c>
      <c r="C763" s="94">
        <v>46245</v>
      </c>
      <c r="D763" s="91" t="s">
        <v>18</v>
      </c>
      <c r="E763" s="98">
        <v>1386</v>
      </c>
      <c r="F763" s="90">
        <v>0.33268900000000001</v>
      </c>
      <c r="G763" s="92">
        <v>7.9132800000000003E-2</v>
      </c>
    </row>
    <row r="764" spans="1:7" x14ac:dyDescent="0.3">
      <c r="A764" s="98" t="s">
        <v>88</v>
      </c>
      <c r="B764" s="106" t="s">
        <v>181</v>
      </c>
      <c r="C764" s="94">
        <v>46245</v>
      </c>
      <c r="D764" s="91" t="s">
        <v>19</v>
      </c>
      <c r="E764" s="98">
        <v>1130</v>
      </c>
      <c r="F764" s="90">
        <v>0.46600799999999998</v>
      </c>
      <c r="G764" s="92">
        <v>9.80235E-2</v>
      </c>
    </row>
    <row r="765" spans="1:7" x14ac:dyDescent="0.3">
      <c r="A765" s="98" t="s">
        <v>88</v>
      </c>
      <c r="B765" s="106" t="s">
        <v>181</v>
      </c>
      <c r="C765" s="94">
        <v>46245</v>
      </c>
      <c r="D765" s="91" t="s">
        <v>20</v>
      </c>
      <c r="E765" s="98">
        <v>1106</v>
      </c>
      <c r="F765" s="90">
        <v>0.49461899999999998</v>
      </c>
      <c r="G765" s="92">
        <v>0.103464</v>
      </c>
    </row>
    <row r="766" spans="1:7" x14ac:dyDescent="0.3">
      <c r="A766" s="98" t="s">
        <v>88</v>
      </c>
      <c r="B766" s="106" t="s">
        <v>181</v>
      </c>
      <c r="C766" s="94">
        <v>46245</v>
      </c>
      <c r="D766" s="91" t="s">
        <v>34</v>
      </c>
      <c r="E766" s="98">
        <v>1331</v>
      </c>
      <c r="F766" s="90">
        <v>0.244757</v>
      </c>
      <c r="G766" s="92">
        <v>7.4161099999999994E-2</v>
      </c>
    </row>
    <row r="767" spans="1:7" x14ac:dyDescent="0.3">
      <c r="A767" s="98" t="s">
        <v>88</v>
      </c>
      <c r="B767" s="106" t="s">
        <v>181</v>
      </c>
      <c r="C767" s="94">
        <v>46245</v>
      </c>
      <c r="D767" s="91" t="s">
        <v>21</v>
      </c>
      <c r="E767" s="98">
        <v>1845</v>
      </c>
      <c r="F767" s="90">
        <v>0.52579100000000001</v>
      </c>
      <c r="G767" s="92">
        <v>0.10224</v>
      </c>
    </row>
    <row r="768" spans="1:7" x14ac:dyDescent="0.3">
      <c r="A768" s="98" t="s">
        <v>88</v>
      </c>
      <c r="B768" s="106" t="s">
        <v>181</v>
      </c>
      <c r="C768" s="94">
        <v>46245</v>
      </c>
      <c r="D768" s="91" t="s">
        <v>22</v>
      </c>
      <c r="E768" s="98">
        <v>1721</v>
      </c>
      <c r="F768" s="90">
        <v>0.352551</v>
      </c>
      <c r="G768" s="92">
        <v>9.5748100000000003E-2</v>
      </c>
    </row>
    <row r="769" spans="1:7" x14ac:dyDescent="0.3">
      <c r="A769" s="98" t="s">
        <v>88</v>
      </c>
      <c r="B769" s="106" t="s">
        <v>181</v>
      </c>
      <c r="C769" s="94">
        <v>46245</v>
      </c>
      <c r="D769" s="91" t="s">
        <v>23</v>
      </c>
      <c r="E769" s="98">
        <v>1567</v>
      </c>
      <c r="F769" s="90">
        <v>0.44954699999999997</v>
      </c>
      <c r="G769" s="92">
        <v>0.147393</v>
      </c>
    </row>
    <row r="770" spans="1:7" x14ac:dyDescent="0.3">
      <c r="A770" s="98" t="s">
        <v>88</v>
      </c>
      <c r="B770" s="106" t="s">
        <v>181</v>
      </c>
      <c r="C770" s="94">
        <v>46245</v>
      </c>
      <c r="D770" s="91" t="s">
        <v>24</v>
      </c>
      <c r="E770" s="98">
        <v>2351</v>
      </c>
      <c r="F770" s="90">
        <v>0.32375900000000002</v>
      </c>
      <c r="G770" s="92">
        <v>9.9718899999999999E-2</v>
      </c>
    </row>
    <row r="771" spans="1:7" x14ac:dyDescent="0.3">
      <c r="A771" s="98" t="s">
        <v>88</v>
      </c>
      <c r="B771" s="106" t="s">
        <v>181</v>
      </c>
      <c r="C771" s="94">
        <v>46245</v>
      </c>
      <c r="D771" s="91" t="s">
        <v>25</v>
      </c>
      <c r="E771" s="98">
        <v>1120</v>
      </c>
      <c r="F771" s="90">
        <v>0.28159499999999998</v>
      </c>
      <c r="G771" s="92">
        <v>6.7692199999999994E-2</v>
      </c>
    </row>
    <row r="772" spans="1:7" x14ac:dyDescent="0.3">
      <c r="A772" s="98" t="s">
        <v>88</v>
      </c>
      <c r="B772" s="106" t="s">
        <v>181</v>
      </c>
      <c r="C772" s="94">
        <v>46245</v>
      </c>
      <c r="D772" s="91" t="s">
        <v>26</v>
      </c>
      <c r="E772" s="98">
        <v>1852</v>
      </c>
      <c r="F772" s="90">
        <v>0.348329</v>
      </c>
      <c r="G772" s="92">
        <v>0.112027</v>
      </c>
    </row>
    <row r="773" spans="1:7" x14ac:dyDescent="0.3">
      <c r="A773" s="98" t="s">
        <v>88</v>
      </c>
      <c r="B773" s="106" t="s">
        <v>181</v>
      </c>
      <c r="C773" s="94">
        <v>46245</v>
      </c>
      <c r="D773" s="91" t="s">
        <v>27</v>
      </c>
      <c r="E773" s="98">
        <v>1351</v>
      </c>
      <c r="F773" s="90">
        <v>0.61059399999999997</v>
      </c>
      <c r="G773" s="92">
        <v>0.13844999999999999</v>
      </c>
    </row>
    <row r="774" spans="1:7" x14ac:dyDescent="0.3">
      <c r="A774" s="98" t="s">
        <v>88</v>
      </c>
      <c r="B774" s="106" t="s">
        <v>181</v>
      </c>
      <c r="C774" s="94">
        <v>46245</v>
      </c>
      <c r="D774" s="91" t="s">
        <v>28</v>
      </c>
      <c r="E774" s="98">
        <v>1308</v>
      </c>
      <c r="F774" s="90">
        <v>0.43242999999999998</v>
      </c>
      <c r="G774" s="92">
        <v>9.7030599999999995E-2</v>
      </c>
    </row>
    <row r="775" spans="1:7" x14ac:dyDescent="0.3">
      <c r="A775" s="98" t="s">
        <v>88</v>
      </c>
      <c r="B775" s="106" t="s">
        <v>181</v>
      </c>
      <c r="C775" s="94">
        <v>46245</v>
      </c>
      <c r="D775" s="91" t="s">
        <v>29</v>
      </c>
      <c r="E775" s="98">
        <v>1196</v>
      </c>
      <c r="F775" s="90">
        <v>0.39591999999999999</v>
      </c>
      <c r="G775" s="92">
        <v>8.1948599999999996E-2</v>
      </c>
    </row>
    <row r="776" spans="1:7" x14ac:dyDescent="0.3">
      <c r="A776" s="98" t="s">
        <v>88</v>
      </c>
      <c r="B776" s="106" t="s">
        <v>181</v>
      </c>
      <c r="C776" s="94">
        <v>46245</v>
      </c>
      <c r="D776" s="91" t="s">
        <v>30</v>
      </c>
      <c r="E776" s="98">
        <v>1003</v>
      </c>
      <c r="F776" s="90">
        <v>0.365234</v>
      </c>
      <c r="G776" s="92">
        <v>7.3456400000000005E-2</v>
      </c>
    </row>
    <row r="777" spans="1:7" x14ac:dyDescent="0.3">
      <c r="A777" s="98" t="s">
        <v>88</v>
      </c>
      <c r="B777" s="106" t="s">
        <v>182</v>
      </c>
      <c r="C777" s="94">
        <v>46245</v>
      </c>
      <c r="D777" s="91" t="s">
        <v>14</v>
      </c>
      <c r="E777" s="98">
        <v>1932</v>
      </c>
      <c r="F777" s="90">
        <v>0.46178799999999998</v>
      </c>
      <c r="G777" s="92">
        <v>0.12984799999999999</v>
      </c>
    </row>
    <row r="778" spans="1:7" x14ac:dyDescent="0.3">
      <c r="A778" s="98" t="s">
        <v>88</v>
      </c>
      <c r="B778" s="106" t="s">
        <v>182</v>
      </c>
      <c r="C778" s="94">
        <v>46245</v>
      </c>
      <c r="D778" s="91" t="s">
        <v>15</v>
      </c>
      <c r="E778" s="98">
        <v>1648</v>
      </c>
      <c r="F778" s="90">
        <v>0.45823799999999998</v>
      </c>
      <c r="G778" s="92">
        <v>0.120729</v>
      </c>
    </row>
    <row r="779" spans="1:7" x14ac:dyDescent="0.3">
      <c r="A779" s="98" t="s">
        <v>88</v>
      </c>
      <c r="B779" s="106" t="s">
        <v>182</v>
      </c>
      <c r="C779" s="94">
        <v>46245</v>
      </c>
      <c r="D779" s="91" t="s">
        <v>16</v>
      </c>
      <c r="E779" s="98">
        <v>1204</v>
      </c>
      <c r="F779" s="90">
        <v>0.44695000000000001</v>
      </c>
      <c r="G779" s="92">
        <v>0.10484</v>
      </c>
    </row>
    <row r="780" spans="1:7" x14ac:dyDescent="0.3">
      <c r="A780" s="98" t="s">
        <v>88</v>
      </c>
      <c r="B780" s="106" t="s">
        <v>182</v>
      </c>
      <c r="C780" s="94">
        <v>46245</v>
      </c>
      <c r="D780" s="91" t="s">
        <v>17</v>
      </c>
      <c r="E780" s="98">
        <v>1675</v>
      </c>
      <c r="F780" s="90">
        <v>0.430647</v>
      </c>
      <c r="G780" s="92">
        <v>8.5158300000000006E-2</v>
      </c>
    </row>
    <row r="781" spans="1:7" x14ac:dyDescent="0.3">
      <c r="A781" s="98" t="s">
        <v>88</v>
      </c>
      <c r="B781" s="106" t="s">
        <v>182</v>
      </c>
      <c r="C781" s="94">
        <v>46245</v>
      </c>
      <c r="D781" s="91" t="s">
        <v>18</v>
      </c>
      <c r="E781" s="98">
        <v>1384</v>
      </c>
      <c r="F781" s="90">
        <v>0.28395599999999999</v>
      </c>
      <c r="G781" s="92">
        <v>6.7535499999999998E-2</v>
      </c>
    </row>
    <row r="782" spans="1:7" x14ac:dyDescent="0.3">
      <c r="A782" s="98" t="s">
        <v>88</v>
      </c>
      <c r="B782" s="106" t="s">
        <v>182</v>
      </c>
      <c r="C782" s="94">
        <v>46245</v>
      </c>
      <c r="D782" s="91" t="s">
        <v>19</v>
      </c>
      <c r="E782" s="98">
        <v>1209</v>
      </c>
      <c r="F782" s="90">
        <v>0.39530500000000002</v>
      </c>
      <c r="G782" s="92">
        <v>8.3150699999999994E-2</v>
      </c>
    </row>
    <row r="783" spans="1:7" x14ac:dyDescent="0.3">
      <c r="A783" s="98" t="s">
        <v>88</v>
      </c>
      <c r="B783" s="106" t="s">
        <v>182</v>
      </c>
      <c r="C783" s="94">
        <v>46245</v>
      </c>
      <c r="D783" s="91" t="s">
        <v>20</v>
      </c>
      <c r="E783" s="98">
        <v>1011</v>
      </c>
      <c r="F783" s="90">
        <v>0.437282</v>
      </c>
      <c r="G783" s="92">
        <v>9.1481900000000005E-2</v>
      </c>
    </row>
    <row r="784" spans="1:7" x14ac:dyDescent="0.3">
      <c r="A784" s="98" t="s">
        <v>88</v>
      </c>
      <c r="B784" s="106" t="s">
        <v>182</v>
      </c>
      <c r="C784" s="94">
        <v>46245</v>
      </c>
      <c r="D784" s="91" t="s">
        <v>34</v>
      </c>
      <c r="E784" s="98">
        <v>1267</v>
      </c>
      <c r="F784" s="90">
        <v>0.31335200000000002</v>
      </c>
      <c r="G784" s="92">
        <v>9.4975599999999993E-2</v>
      </c>
    </row>
    <row r="785" spans="1:7" x14ac:dyDescent="0.3">
      <c r="A785" s="98" t="s">
        <v>88</v>
      </c>
      <c r="B785" s="106" t="s">
        <v>182</v>
      </c>
      <c r="C785" s="94">
        <v>46245</v>
      </c>
      <c r="D785" s="91" t="s">
        <v>21</v>
      </c>
      <c r="E785" s="98">
        <v>2216</v>
      </c>
      <c r="F785" s="90">
        <v>0.49553799999999998</v>
      </c>
      <c r="G785" s="92">
        <v>9.6340499999999996E-2</v>
      </c>
    </row>
    <row r="786" spans="1:7" x14ac:dyDescent="0.3">
      <c r="A786" s="98" t="s">
        <v>88</v>
      </c>
      <c r="B786" s="106" t="s">
        <v>182</v>
      </c>
      <c r="C786" s="94">
        <v>46245</v>
      </c>
      <c r="D786" s="91" t="s">
        <v>22</v>
      </c>
      <c r="E786" s="98">
        <v>1819</v>
      </c>
      <c r="F786" s="90">
        <v>0.31882199999999999</v>
      </c>
      <c r="G786" s="92">
        <v>8.6580799999999999E-2</v>
      </c>
    </row>
    <row r="787" spans="1:7" x14ac:dyDescent="0.3">
      <c r="A787" s="98" t="s">
        <v>88</v>
      </c>
      <c r="B787" s="106" t="s">
        <v>182</v>
      </c>
      <c r="C787" s="94">
        <v>46245</v>
      </c>
      <c r="D787" s="91" t="s">
        <v>23</v>
      </c>
      <c r="E787" s="98">
        <v>1420</v>
      </c>
      <c r="F787" s="90">
        <v>0.35280600000000001</v>
      </c>
      <c r="G787" s="92">
        <v>0.115662</v>
      </c>
    </row>
    <row r="788" spans="1:7" x14ac:dyDescent="0.3">
      <c r="A788" s="98" t="s">
        <v>88</v>
      </c>
      <c r="B788" s="106" t="s">
        <v>182</v>
      </c>
      <c r="C788" s="94">
        <v>46245</v>
      </c>
      <c r="D788" s="91" t="s">
        <v>24</v>
      </c>
      <c r="E788" s="98">
        <v>2129</v>
      </c>
      <c r="F788" s="90">
        <v>0.32616299999999998</v>
      </c>
      <c r="G788" s="92">
        <v>0.10045</v>
      </c>
    </row>
    <row r="789" spans="1:7" x14ac:dyDescent="0.3">
      <c r="A789" s="98" t="s">
        <v>88</v>
      </c>
      <c r="B789" s="106" t="s">
        <v>182</v>
      </c>
      <c r="C789" s="94">
        <v>46245</v>
      </c>
      <c r="D789" s="91" t="s">
        <v>25</v>
      </c>
      <c r="E789" s="98">
        <v>1368</v>
      </c>
      <c r="F789" s="90">
        <v>0.26663900000000001</v>
      </c>
      <c r="G789" s="92">
        <v>6.4111500000000002E-2</v>
      </c>
    </row>
    <row r="790" spans="1:7" x14ac:dyDescent="0.3">
      <c r="A790" s="98" t="s">
        <v>88</v>
      </c>
      <c r="B790" s="106" t="s">
        <v>182</v>
      </c>
      <c r="C790" s="94">
        <v>46245</v>
      </c>
      <c r="D790" s="91" t="s">
        <v>26</v>
      </c>
      <c r="E790" s="98">
        <v>1874</v>
      </c>
      <c r="F790" s="90">
        <v>0.38208199999999998</v>
      </c>
      <c r="G790" s="92">
        <v>0.12284</v>
      </c>
    </row>
    <row r="791" spans="1:7" x14ac:dyDescent="0.3">
      <c r="A791" s="98" t="s">
        <v>88</v>
      </c>
      <c r="B791" s="106" t="s">
        <v>182</v>
      </c>
      <c r="C791" s="94">
        <v>46245</v>
      </c>
      <c r="D791" s="91" t="s">
        <v>27</v>
      </c>
      <c r="E791" s="98">
        <v>1405</v>
      </c>
      <c r="F791" s="90">
        <v>0.56033999999999995</v>
      </c>
      <c r="G791" s="92">
        <v>0.127054</v>
      </c>
    </row>
    <row r="792" spans="1:7" x14ac:dyDescent="0.3">
      <c r="A792" s="98" t="s">
        <v>88</v>
      </c>
      <c r="B792" s="106" t="s">
        <v>182</v>
      </c>
      <c r="C792" s="94">
        <v>46245</v>
      </c>
      <c r="D792" s="91" t="s">
        <v>28</v>
      </c>
      <c r="E792" s="98">
        <v>1056</v>
      </c>
      <c r="F792" s="90">
        <v>0.36146299999999998</v>
      </c>
      <c r="G792" s="92">
        <v>8.1136399999999997E-2</v>
      </c>
    </row>
    <row r="793" spans="1:7" x14ac:dyDescent="0.3">
      <c r="A793" s="98" t="s">
        <v>88</v>
      </c>
      <c r="B793" s="106" t="s">
        <v>182</v>
      </c>
      <c r="C793" s="94">
        <v>46245</v>
      </c>
      <c r="D793" s="91" t="s">
        <v>29</v>
      </c>
      <c r="E793" s="98">
        <v>1223</v>
      </c>
      <c r="F793" s="90">
        <v>0.36522100000000002</v>
      </c>
      <c r="G793" s="92">
        <v>7.5615100000000005E-2</v>
      </c>
    </row>
    <row r="794" spans="1:7" x14ac:dyDescent="0.3">
      <c r="A794" s="98" t="s">
        <v>88</v>
      </c>
      <c r="B794" s="106" t="s">
        <v>182</v>
      </c>
      <c r="C794" s="94">
        <v>46245</v>
      </c>
      <c r="D794" s="91" t="s">
        <v>30</v>
      </c>
      <c r="E794" s="98">
        <v>1003</v>
      </c>
      <c r="F794" s="90">
        <v>0.361711</v>
      </c>
      <c r="G794" s="92">
        <v>7.2772400000000001E-2</v>
      </c>
    </row>
    <row r="795" spans="1:7" x14ac:dyDescent="0.3">
      <c r="A795" s="98" t="s">
        <v>88</v>
      </c>
      <c r="B795" s="106" t="s">
        <v>209</v>
      </c>
      <c r="C795" s="94">
        <v>46246</v>
      </c>
      <c r="D795" s="91" t="s">
        <v>14</v>
      </c>
      <c r="E795" s="98">
        <v>1678</v>
      </c>
      <c r="F795" s="90">
        <v>0.48893999999999999</v>
      </c>
      <c r="G795" s="92">
        <v>0.13750599999999999</v>
      </c>
    </row>
    <row r="796" spans="1:7" x14ac:dyDescent="0.3">
      <c r="A796" s="98" t="s">
        <v>88</v>
      </c>
      <c r="B796" s="106" t="s">
        <v>209</v>
      </c>
      <c r="C796" s="94">
        <v>46246</v>
      </c>
      <c r="D796" s="91" t="s">
        <v>15</v>
      </c>
      <c r="E796" s="98">
        <v>1426</v>
      </c>
      <c r="F796" s="90">
        <v>0.46409400000000001</v>
      </c>
      <c r="G796" s="92">
        <v>0.122299</v>
      </c>
    </row>
    <row r="797" spans="1:7" x14ac:dyDescent="0.3">
      <c r="A797" s="98" t="s">
        <v>88</v>
      </c>
      <c r="B797" s="106" t="s">
        <v>209</v>
      </c>
      <c r="C797" s="94">
        <v>46246</v>
      </c>
      <c r="D797" s="91" t="s">
        <v>16</v>
      </c>
      <c r="E797" s="98">
        <v>1166</v>
      </c>
      <c r="F797" s="90">
        <v>0.435087</v>
      </c>
      <c r="G797" s="92">
        <v>0.102075</v>
      </c>
    </row>
    <row r="798" spans="1:7" x14ac:dyDescent="0.3">
      <c r="A798" s="98" t="s">
        <v>88</v>
      </c>
      <c r="B798" s="106" t="s">
        <v>209</v>
      </c>
      <c r="C798" s="94">
        <v>46246</v>
      </c>
      <c r="D798" s="91" t="s">
        <v>17</v>
      </c>
      <c r="E798" s="98">
        <v>1446</v>
      </c>
      <c r="F798" s="90">
        <v>0.47777799999999998</v>
      </c>
      <c r="G798" s="92">
        <v>9.4541600000000003E-2</v>
      </c>
    </row>
    <row r="799" spans="1:7" x14ac:dyDescent="0.3">
      <c r="A799" s="98" t="s">
        <v>88</v>
      </c>
      <c r="B799" s="106" t="s">
        <v>209</v>
      </c>
      <c r="C799" s="94">
        <v>46246</v>
      </c>
      <c r="D799" s="91" t="s">
        <v>18</v>
      </c>
      <c r="E799" s="98">
        <v>1175</v>
      </c>
      <c r="F799" s="90">
        <v>0.26622299999999999</v>
      </c>
      <c r="G799" s="92">
        <v>6.3335900000000001E-2</v>
      </c>
    </row>
    <row r="800" spans="1:7" x14ac:dyDescent="0.3">
      <c r="A800" s="98" t="s">
        <v>88</v>
      </c>
      <c r="B800" s="106" t="s">
        <v>209</v>
      </c>
      <c r="C800" s="94">
        <v>46246</v>
      </c>
      <c r="D800" s="91" t="s">
        <v>19</v>
      </c>
      <c r="E800" s="98">
        <v>1147</v>
      </c>
      <c r="F800" s="90">
        <v>0.414607</v>
      </c>
      <c r="G800" s="92">
        <v>8.7235800000000002E-2</v>
      </c>
    </row>
    <row r="801" spans="1:7" x14ac:dyDescent="0.3">
      <c r="A801" s="98" t="s">
        <v>88</v>
      </c>
      <c r="B801" s="106" t="s">
        <v>209</v>
      </c>
      <c r="C801" s="94">
        <v>46246</v>
      </c>
      <c r="D801" s="91" t="s">
        <v>20</v>
      </c>
      <c r="E801" s="98">
        <v>1051</v>
      </c>
      <c r="F801" s="90">
        <v>0.44212400000000002</v>
      </c>
      <c r="G801" s="92">
        <v>9.2520699999999997E-2</v>
      </c>
    </row>
    <row r="802" spans="1:7" x14ac:dyDescent="0.3">
      <c r="A802" s="98" t="s">
        <v>88</v>
      </c>
      <c r="B802" s="106" t="s">
        <v>209</v>
      </c>
      <c r="C802" s="94">
        <v>46246</v>
      </c>
      <c r="D802" s="91" t="s">
        <v>34</v>
      </c>
      <c r="E802" s="98">
        <v>1151</v>
      </c>
      <c r="F802" s="90">
        <v>0.242585</v>
      </c>
      <c r="G802" s="92">
        <v>7.3554599999999998E-2</v>
      </c>
    </row>
    <row r="803" spans="1:7" x14ac:dyDescent="0.3">
      <c r="A803" s="98" t="s">
        <v>88</v>
      </c>
      <c r="B803" s="106" t="s">
        <v>209</v>
      </c>
      <c r="C803" s="94">
        <v>46246</v>
      </c>
      <c r="D803" s="91" t="s">
        <v>21</v>
      </c>
      <c r="E803" s="98">
        <v>1953</v>
      </c>
      <c r="F803" s="90">
        <v>0.52327400000000002</v>
      </c>
      <c r="G803" s="92">
        <v>0.101781</v>
      </c>
    </row>
    <row r="804" spans="1:7" x14ac:dyDescent="0.3">
      <c r="A804" s="98" t="s">
        <v>88</v>
      </c>
      <c r="B804" s="106" t="s">
        <v>209</v>
      </c>
      <c r="C804" s="94">
        <v>46246</v>
      </c>
      <c r="D804" s="91" t="s">
        <v>22</v>
      </c>
      <c r="E804" s="98">
        <v>1572</v>
      </c>
      <c r="F804" s="90">
        <v>0.36042400000000002</v>
      </c>
      <c r="G804" s="92">
        <v>9.7908700000000001E-2</v>
      </c>
    </row>
    <row r="805" spans="1:7" x14ac:dyDescent="0.3">
      <c r="A805" s="98" t="s">
        <v>88</v>
      </c>
      <c r="B805" s="106" t="s">
        <v>209</v>
      </c>
      <c r="C805" s="94">
        <v>46246</v>
      </c>
      <c r="D805" s="91" t="s">
        <v>23</v>
      </c>
      <c r="E805" s="98">
        <v>1264</v>
      </c>
      <c r="F805" s="90">
        <v>0.349188</v>
      </c>
      <c r="G805" s="92">
        <v>0.114511</v>
      </c>
    </row>
    <row r="806" spans="1:7" x14ac:dyDescent="0.3">
      <c r="A806" s="98" t="s">
        <v>88</v>
      </c>
      <c r="B806" s="106" t="s">
        <v>209</v>
      </c>
      <c r="C806" s="94">
        <v>46246</v>
      </c>
      <c r="D806" s="91" t="s">
        <v>24</v>
      </c>
      <c r="E806" s="98">
        <v>1753</v>
      </c>
      <c r="F806" s="90">
        <v>0.30294900000000002</v>
      </c>
      <c r="G806" s="92">
        <v>9.3338400000000002E-2</v>
      </c>
    </row>
    <row r="807" spans="1:7" x14ac:dyDescent="0.3">
      <c r="A807" s="98" t="s">
        <v>88</v>
      </c>
      <c r="B807" s="106" t="s">
        <v>209</v>
      </c>
      <c r="C807" s="94">
        <v>46246</v>
      </c>
      <c r="D807" s="91" t="s">
        <v>25</v>
      </c>
      <c r="E807" s="98">
        <v>1142</v>
      </c>
      <c r="F807" s="90">
        <v>0.29338199999999998</v>
      </c>
      <c r="G807" s="92">
        <v>7.0546300000000006E-2</v>
      </c>
    </row>
    <row r="808" spans="1:7" x14ac:dyDescent="0.3">
      <c r="A808" s="98" t="s">
        <v>88</v>
      </c>
      <c r="B808" s="106" t="s">
        <v>209</v>
      </c>
      <c r="C808" s="94">
        <v>46246</v>
      </c>
      <c r="D808" s="91" t="s">
        <v>26</v>
      </c>
      <c r="E808" s="98">
        <v>1448</v>
      </c>
      <c r="F808" s="90">
        <v>0.43177399999999999</v>
      </c>
      <c r="G808" s="92">
        <v>0.13891100000000001</v>
      </c>
    </row>
    <row r="809" spans="1:7" x14ac:dyDescent="0.3">
      <c r="A809" s="98" t="s">
        <v>88</v>
      </c>
      <c r="B809" s="106" t="s">
        <v>209</v>
      </c>
      <c r="C809" s="94">
        <v>46246</v>
      </c>
      <c r="D809" s="91" t="s">
        <v>27</v>
      </c>
      <c r="E809" s="98">
        <v>1254</v>
      </c>
      <c r="F809" s="90">
        <v>0.54694299999999996</v>
      </c>
      <c r="G809" s="92">
        <v>0.124066</v>
      </c>
    </row>
    <row r="810" spans="1:7" x14ac:dyDescent="0.3">
      <c r="A810" s="98" t="s">
        <v>88</v>
      </c>
      <c r="B810" s="106" t="s">
        <v>209</v>
      </c>
      <c r="C810" s="94">
        <v>46246</v>
      </c>
      <c r="D810" s="91" t="s">
        <v>28</v>
      </c>
      <c r="E810" s="98">
        <v>1015</v>
      </c>
      <c r="F810" s="90">
        <v>0.41905300000000001</v>
      </c>
      <c r="G810" s="92">
        <v>9.4061800000000001E-2</v>
      </c>
    </row>
    <row r="811" spans="1:7" x14ac:dyDescent="0.3">
      <c r="A811" s="98" t="s">
        <v>88</v>
      </c>
      <c r="B811" s="106" t="s">
        <v>209</v>
      </c>
      <c r="C811" s="94">
        <v>46246</v>
      </c>
      <c r="D811" s="91" t="s">
        <v>29</v>
      </c>
      <c r="E811" s="98">
        <v>1183</v>
      </c>
      <c r="F811" s="90">
        <v>0.40120899999999998</v>
      </c>
      <c r="G811" s="92">
        <v>8.3087800000000003E-2</v>
      </c>
    </row>
    <row r="812" spans="1:7" x14ac:dyDescent="0.3">
      <c r="A812" s="98" t="s">
        <v>88</v>
      </c>
      <c r="B812" s="106" t="s">
        <v>209</v>
      </c>
      <c r="C812" s="94">
        <v>46245</v>
      </c>
      <c r="D812" s="91" t="s">
        <v>30</v>
      </c>
      <c r="E812" s="98">
        <v>1002</v>
      </c>
      <c r="F812" s="90">
        <v>0.43513600000000002</v>
      </c>
      <c r="G812" s="92">
        <v>8.7566599999999994E-2</v>
      </c>
    </row>
    <row r="813" spans="1:7" x14ac:dyDescent="0.3">
      <c r="A813" s="98" t="s">
        <v>88</v>
      </c>
      <c r="B813" s="106" t="s">
        <v>179</v>
      </c>
      <c r="C813" s="94">
        <v>46245</v>
      </c>
      <c r="D813" s="91" t="s">
        <v>14</v>
      </c>
      <c r="E813" s="98">
        <v>1729</v>
      </c>
      <c r="F813" s="90">
        <v>0.27206599999999997</v>
      </c>
      <c r="G813" s="92">
        <v>7.6504100000000005E-2</v>
      </c>
    </row>
    <row r="814" spans="1:7" x14ac:dyDescent="0.3">
      <c r="A814" s="98" t="s">
        <v>88</v>
      </c>
      <c r="B814" s="106" t="s">
        <v>179</v>
      </c>
      <c r="C814" s="94">
        <v>46245</v>
      </c>
      <c r="D814" s="91" t="s">
        <v>15</v>
      </c>
      <c r="E814" s="98">
        <v>1287</v>
      </c>
      <c r="F814" s="90">
        <v>0.29014299999999998</v>
      </c>
      <c r="G814" s="92">
        <v>7.6466599999999996E-2</v>
      </c>
    </row>
    <row r="815" spans="1:7" x14ac:dyDescent="0.3">
      <c r="A815" s="98" t="s">
        <v>88</v>
      </c>
      <c r="B815" s="106" t="s">
        <v>179</v>
      </c>
      <c r="C815" s="94">
        <v>46245</v>
      </c>
      <c r="D815" s="91" t="s">
        <v>16</v>
      </c>
      <c r="E815" s="98">
        <v>1224</v>
      </c>
      <c r="F815" s="90">
        <v>0.39331700000000003</v>
      </c>
      <c r="G815" s="92">
        <v>9.2281699999999994E-2</v>
      </c>
    </row>
    <row r="816" spans="1:7" x14ac:dyDescent="0.3">
      <c r="A816" s="98" t="s">
        <v>88</v>
      </c>
      <c r="B816" s="106" t="s">
        <v>179</v>
      </c>
      <c r="C816" s="94">
        <v>46245</v>
      </c>
      <c r="D816" s="91" t="s">
        <v>17</v>
      </c>
      <c r="E816" s="98">
        <v>1546</v>
      </c>
      <c r="F816" s="90">
        <v>0.38747199999999998</v>
      </c>
      <c r="G816" s="92">
        <v>7.6756900000000003E-2</v>
      </c>
    </row>
    <row r="817" spans="1:7" x14ac:dyDescent="0.3">
      <c r="A817" s="98" t="s">
        <v>88</v>
      </c>
      <c r="B817" s="106" t="s">
        <v>179</v>
      </c>
      <c r="C817" s="94">
        <v>46245</v>
      </c>
      <c r="D817" s="91" t="s">
        <v>18</v>
      </c>
      <c r="E817" s="98">
        <v>1417</v>
      </c>
      <c r="F817" s="90">
        <v>0.19647999999999999</v>
      </c>
      <c r="G817" s="92">
        <v>4.6718000000000003E-2</v>
      </c>
    </row>
    <row r="818" spans="1:7" x14ac:dyDescent="0.3">
      <c r="A818" s="98" t="s">
        <v>88</v>
      </c>
      <c r="B818" s="106" t="s">
        <v>179</v>
      </c>
      <c r="C818" s="94">
        <v>46245</v>
      </c>
      <c r="D818" s="91" t="s">
        <v>19</v>
      </c>
      <c r="E818" s="98">
        <v>1292</v>
      </c>
      <c r="F818" s="90">
        <v>0.52198199999999995</v>
      </c>
      <c r="G818" s="92">
        <v>0.109517</v>
      </c>
    </row>
    <row r="819" spans="1:7" x14ac:dyDescent="0.3">
      <c r="A819" s="98" t="s">
        <v>88</v>
      </c>
      <c r="B819" s="106" t="s">
        <v>179</v>
      </c>
      <c r="C819" s="94">
        <v>46245</v>
      </c>
      <c r="D819" s="91" t="s">
        <v>20</v>
      </c>
      <c r="E819" s="98">
        <v>1192</v>
      </c>
      <c r="F819" s="90">
        <v>0.31654399999999999</v>
      </c>
      <c r="G819" s="92">
        <v>6.6189700000000004E-2</v>
      </c>
    </row>
    <row r="820" spans="1:7" x14ac:dyDescent="0.3">
      <c r="A820" s="98" t="s">
        <v>88</v>
      </c>
      <c r="B820" s="106" t="s">
        <v>179</v>
      </c>
      <c r="C820" s="94">
        <v>46245</v>
      </c>
      <c r="D820" s="91" t="s">
        <v>34</v>
      </c>
      <c r="E820" s="98">
        <v>1133</v>
      </c>
      <c r="F820" s="90">
        <v>0.198407</v>
      </c>
      <c r="G820" s="92">
        <v>6.0118100000000001E-2</v>
      </c>
    </row>
    <row r="821" spans="1:7" x14ac:dyDescent="0.3">
      <c r="A821" s="98" t="s">
        <v>88</v>
      </c>
      <c r="B821" s="106" t="s">
        <v>179</v>
      </c>
      <c r="C821" s="94">
        <v>46245</v>
      </c>
      <c r="D821" s="91" t="s">
        <v>21</v>
      </c>
      <c r="E821" s="98">
        <v>2048</v>
      </c>
      <c r="F821" s="90">
        <v>0.57077599999999995</v>
      </c>
      <c r="G821" s="92">
        <v>0.111293</v>
      </c>
    </row>
    <row r="822" spans="1:7" x14ac:dyDescent="0.3">
      <c r="A822" s="98" t="s">
        <v>88</v>
      </c>
      <c r="B822" s="106" t="s">
        <v>179</v>
      </c>
      <c r="C822" s="94">
        <v>46245</v>
      </c>
      <c r="D822" s="91" t="s">
        <v>22</v>
      </c>
      <c r="E822" s="98">
        <v>1353</v>
      </c>
      <c r="F822" s="90">
        <v>0.288995</v>
      </c>
      <c r="G822" s="92">
        <v>7.8518400000000002E-2</v>
      </c>
    </row>
    <row r="823" spans="1:7" x14ac:dyDescent="0.3">
      <c r="A823" s="98" t="s">
        <v>88</v>
      </c>
      <c r="B823" s="106" t="s">
        <v>179</v>
      </c>
      <c r="C823" s="94">
        <v>46245</v>
      </c>
      <c r="D823" s="91" t="s">
        <v>23</v>
      </c>
      <c r="E823" s="98">
        <v>1458</v>
      </c>
      <c r="F823" s="90">
        <v>0.227017</v>
      </c>
      <c r="G823" s="92">
        <v>7.4515700000000004E-2</v>
      </c>
    </row>
    <row r="824" spans="1:7" x14ac:dyDescent="0.3">
      <c r="A824" s="98" t="s">
        <v>88</v>
      </c>
      <c r="B824" s="106" t="s">
        <v>179</v>
      </c>
      <c r="C824" s="94">
        <v>46245</v>
      </c>
      <c r="D824" s="91" t="s">
        <v>24</v>
      </c>
      <c r="E824" s="98">
        <v>2035</v>
      </c>
      <c r="F824" s="90">
        <v>0.214695</v>
      </c>
      <c r="G824" s="92">
        <v>6.6109899999999999E-2</v>
      </c>
    </row>
    <row r="825" spans="1:7" x14ac:dyDescent="0.3">
      <c r="A825" s="98" t="s">
        <v>88</v>
      </c>
      <c r="B825" s="106" t="s">
        <v>179</v>
      </c>
      <c r="C825" s="94">
        <v>46245</v>
      </c>
      <c r="D825" s="91" t="s">
        <v>25</v>
      </c>
      <c r="E825" s="98">
        <v>1025</v>
      </c>
      <c r="F825" s="90">
        <v>0.231985</v>
      </c>
      <c r="G825" s="92">
        <v>5.58868E-2</v>
      </c>
    </row>
    <row r="826" spans="1:7" x14ac:dyDescent="0.3">
      <c r="A826" s="98" t="s">
        <v>88</v>
      </c>
      <c r="B826" s="106" t="s">
        <v>179</v>
      </c>
      <c r="C826" s="94">
        <v>46245</v>
      </c>
      <c r="D826" s="91" t="s">
        <v>26</v>
      </c>
      <c r="E826" s="98">
        <v>1284</v>
      </c>
      <c r="F826" s="90">
        <v>0.19952</v>
      </c>
      <c r="G826" s="92">
        <v>6.4153100000000005E-2</v>
      </c>
    </row>
    <row r="827" spans="1:7" x14ac:dyDescent="0.3">
      <c r="A827" s="98" t="s">
        <v>88</v>
      </c>
      <c r="B827" s="106" t="s">
        <v>179</v>
      </c>
      <c r="C827" s="94">
        <v>46245</v>
      </c>
      <c r="D827" s="91" t="s">
        <v>27</v>
      </c>
      <c r="E827" s="98">
        <v>1005</v>
      </c>
      <c r="F827" s="90">
        <v>0.36130299999999999</v>
      </c>
      <c r="G827" s="92">
        <v>8.2003500000000007E-2</v>
      </c>
    </row>
    <row r="828" spans="1:7" x14ac:dyDescent="0.3">
      <c r="A828" s="98" t="s">
        <v>88</v>
      </c>
      <c r="B828" s="106" t="s">
        <v>179</v>
      </c>
      <c r="C828" s="94">
        <v>46245</v>
      </c>
      <c r="D828" s="91" t="s">
        <v>28</v>
      </c>
      <c r="E828" s="98">
        <v>1015</v>
      </c>
      <c r="F828" s="90">
        <v>0.21158199999999999</v>
      </c>
      <c r="G828" s="92">
        <v>4.7496700000000003E-2</v>
      </c>
    </row>
    <row r="829" spans="1:7" x14ac:dyDescent="0.3">
      <c r="A829" s="98" t="s">
        <v>88</v>
      </c>
      <c r="B829" s="106" t="s">
        <v>179</v>
      </c>
      <c r="C829" s="94">
        <v>46245</v>
      </c>
      <c r="D829" s="91" t="s">
        <v>29</v>
      </c>
      <c r="E829" s="98">
        <v>1168</v>
      </c>
      <c r="F829" s="90">
        <v>0.300956</v>
      </c>
      <c r="G829" s="92">
        <v>6.2354600000000003E-2</v>
      </c>
    </row>
    <row r="830" spans="1:7" x14ac:dyDescent="0.3">
      <c r="A830" s="98" t="s">
        <v>88</v>
      </c>
      <c r="B830" s="106" t="s">
        <v>179</v>
      </c>
      <c r="C830" s="94">
        <v>46245</v>
      </c>
      <c r="D830" s="91" t="s">
        <v>30</v>
      </c>
      <c r="E830" s="98">
        <v>1263</v>
      </c>
      <c r="F830" s="90">
        <v>0.46798499999999998</v>
      </c>
      <c r="G830" s="92">
        <v>9.4406900000000002E-2</v>
      </c>
    </row>
    <row r="831" spans="1:7" x14ac:dyDescent="0.3">
      <c r="A831" s="98" t="s">
        <v>88</v>
      </c>
      <c r="B831" s="106" t="s">
        <v>183</v>
      </c>
      <c r="C831" s="94">
        <v>46245</v>
      </c>
      <c r="D831" s="91" t="s">
        <v>25</v>
      </c>
      <c r="E831" s="98">
        <v>1003</v>
      </c>
      <c r="F831" s="90">
        <v>0.23594699999999999</v>
      </c>
      <c r="G831" s="92">
        <v>5.4762499999999999E-2</v>
      </c>
    </row>
    <row r="832" spans="1:7" x14ac:dyDescent="0.3">
      <c r="A832" s="98" t="s">
        <v>88</v>
      </c>
      <c r="B832" s="106" t="s">
        <v>183</v>
      </c>
      <c r="C832" s="94">
        <v>46245</v>
      </c>
      <c r="D832" s="91" t="s">
        <v>34</v>
      </c>
      <c r="E832" s="98">
        <v>1102</v>
      </c>
      <c r="F832" s="90">
        <v>0.21417900000000001</v>
      </c>
      <c r="G832" s="92">
        <v>6.6183400000000003E-2</v>
      </c>
    </row>
    <row r="833" spans="1:7" x14ac:dyDescent="0.3">
      <c r="A833" s="98" t="s">
        <v>88</v>
      </c>
      <c r="B833" s="106" t="s">
        <v>183</v>
      </c>
      <c r="C833" s="94">
        <v>46245</v>
      </c>
      <c r="D833" s="91" t="s">
        <v>16</v>
      </c>
      <c r="E833" s="98">
        <v>1145</v>
      </c>
      <c r="F833" s="90">
        <v>0.33857700000000002</v>
      </c>
      <c r="G833" s="92">
        <v>8.4584500000000007E-2</v>
      </c>
    </row>
    <row r="834" spans="1:7" x14ac:dyDescent="0.3">
      <c r="A834" s="98" t="s">
        <v>88</v>
      </c>
      <c r="B834" s="106" t="s">
        <v>183</v>
      </c>
      <c r="C834" s="94">
        <v>46245</v>
      </c>
      <c r="D834" s="91" t="s">
        <v>28</v>
      </c>
      <c r="E834" s="98">
        <v>1162</v>
      </c>
      <c r="F834" s="90">
        <v>0.21158199999999999</v>
      </c>
      <c r="G834" s="92">
        <v>4.7496700000000003E-2</v>
      </c>
    </row>
    <row r="835" spans="1:7" x14ac:dyDescent="0.3">
      <c r="A835" s="98" t="s">
        <v>88</v>
      </c>
      <c r="B835" s="106" t="s">
        <v>183</v>
      </c>
      <c r="C835" s="94">
        <v>46245</v>
      </c>
      <c r="D835" s="91" t="s">
        <v>20</v>
      </c>
      <c r="E835" s="98">
        <v>1236</v>
      </c>
      <c r="F835" s="90">
        <v>0.284049</v>
      </c>
      <c r="G835" s="92">
        <v>6.1347899999999997E-2</v>
      </c>
    </row>
    <row r="836" spans="1:7" x14ac:dyDescent="0.3">
      <c r="A836" s="98" t="s">
        <v>88</v>
      </c>
      <c r="B836" s="106" t="s">
        <v>183</v>
      </c>
      <c r="C836" s="94">
        <v>46245</v>
      </c>
      <c r="D836" s="91" t="s">
        <v>29</v>
      </c>
      <c r="E836" s="98">
        <v>1249</v>
      </c>
      <c r="F836" s="90">
        <v>0.24942300000000001</v>
      </c>
      <c r="G836" s="92">
        <v>5.4318400000000003E-2</v>
      </c>
    </row>
    <row r="837" spans="1:7" x14ac:dyDescent="0.3">
      <c r="A837" s="98" t="s">
        <v>88</v>
      </c>
      <c r="B837" s="106" t="s">
        <v>183</v>
      </c>
      <c r="C837" s="94">
        <v>46245</v>
      </c>
      <c r="D837" s="91" t="s">
        <v>23</v>
      </c>
      <c r="E837" s="98">
        <v>1301</v>
      </c>
      <c r="F837" s="90">
        <v>0.253776</v>
      </c>
      <c r="G837" s="92">
        <v>8.5800899999999999E-2</v>
      </c>
    </row>
    <row r="838" spans="1:7" x14ac:dyDescent="0.3">
      <c r="A838" s="98" t="s">
        <v>88</v>
      </c>
      <c r="B838" s="106" t="s">
        <v>183</v>
      </c>
      <c r="C838" s="94">
        <v>46245</v>
      </c>
      <c r="D838" s="91" t="s">
        <v>15</v>
      </c>
      <c r="E838" s="98">
        <v>1333</v>
      </c>
      <c r="F838" s="90">
        <v>0.54901</v>
      </c>
      <c r="G838" s="92">
        <v>0.152257</v>
      </c>
    </row>
    <row r="839" spans="1:7" x14ac:dyDescent="0.3">
      <c r="A839" s="98" t="s">
        <v>88</v>
      </c>
      <c r="B839" s="106" t="s">
        <v>183</v>
      </c>
      <c r="C839" s="94">
        <v>46245</v>
      </c>
      <c r="D839" s="91" t="s">
        <v>19</v>
      </c>
      <c r="E839" s="98">
        <v>1358</v>
      </c>
      <c r="F839" s="90">
        <v>0.27177000000000001</v>
      </c>
      <c r="G839" s="92">
        <v>5.95259E-2</v>
      </c>
    </row>
    <row r="840" spans="1:7" x14ac:dyDescent="0.3">
      <c r="A840" s="98" t="s">
        <v>88</v>
      </c>
      <c r="B840" s="106" t="s">
        <v>183</v>
      </c>
      <c r="C840" s="94">
        <v>46245</v>
      </c>
      <c r="D840" s="91" t="s">
        <v>27</v>
      </c>
      <c r="E840" s="98">
        <v>1366</v>
      </c>
      <c r="F840" s="90">
        <v>0.31492399999999998</v>
      </c>
      <c r="G840" s="92">
        <v>6.7834000000000005E-2</v>
      </c>
    </row>
    <row r="841" spans="1:7" x14ac:dyDescent="0.3">
      <c r="A841" s="98" t="s">
        <v>88</v>
      </c>
      <c r="B841" s="106" t="s">
        <v>183</v>
      </c>
      <c r="C841" s="94">
        <v>46245</v>
      </c>
      <c r="D841" s="91" t="s">
        <v>26</v>
      </c>
      <c r="E841" s="98">
        <v>1423</v>
      </c>
      <c r="F841" s="90">
        <v>0.15012700000000001</v>
      </c>
      <c r="G841" s="92">
        <v>4.7119899999999999E-2</v>
      </c>
    </row>
    <row r="842" spans="1:7" x14ac:dyDescent="0.3">
      <c r="A842" s="98" t="s">
        <v>88</v>
      </c>
      <c r="B842" s="106" t="s">
        <v>183</v>
      </c>
      <c r="C842" s="94">
        <v>46245</v>
      </c>
      <c r="D842" s="91" t="s">
        <v>18</v>
      </c>
      <c r="E842" s="98">
        <v>1460</v>
      </c>
      <c r="F842" s="90">
        <v>0.20166500000000001</v>
      </c>
      <c r="G842" s="92">
        <v>5.0853000000000002E-2</v>
      </c>
    </row>
    <row r="843" spans="1:7" x14ac:dyDescent="0.3">
      <c r="A843" s="98" t="s">
        <v>88</v>
      </c>
      <c r="B843" s="106" t="s">
        <v>183</v>
      </c>
      <c r="C843" s="94">
        <v>46245</v>
      </c>
      <c r="D843" s="91" t="s">
        <v>30</v>
      </c>
      <c r="E843" s="98">
        <v>1594</v>
      </c>
      <c r="F843" s="90">
        <v>0.34706599999999999</v>
      </c>
      <c r="G843" s="92">
        <v>6.6649399999999998E-2</v>
      </c>
    </row>
    <row r="844" spans="1:7" x14ac:dyDescent="0.3">
      <c r="A844" s="98" t="s">
        <v>88</v>
      </c>
      <c r="B844" s="106" t="s">
        <v>183</v>
      </c>
      <c r="C844" s="94">
        <v>46245</v>
      </c>
      <c r="D844" s="91" t="s">
        <v>14</v>
      </c>
      <c r="E844" s="98">
        <v>1747</v>
      </c>
      <c r="F844" s="90">
        <v>0.182897</v>
      </c>
      <c r="G844" s="92">
        <v>5.4035199999999999E-2</v>
      </c>
    </row>
    <row r="845" spans="1:7" x14ac:dyDescent="0.3">
      <c r="A845" s="98" t="s">
        <v>88</v>
      </c>
      <c r="B845" s="106" t="s">
        <v>183</v>
      </c>
      <c r="C845" s="94">
        <v>46245</v>
      </c>
      <c r="D845" s="91" t="s">
        <v>22</v>
      </c>
      <c r="E845" s="98">
        <v>1777</v>
      </c>
      <c r="F845" s="90">
        <v>0.27105200000000002</v>
      </c>
      <c r="G845" s="92">
        <v>7.0106100000000005E-2</v>
      </c>
    </row>
    <row r="846" spans="1:7" x14ac:dyDescent="0.3">
      <c r="A846" s="98" t="s">
        <v>88</v>
      </c>
      <c r="B846" s="106" t="s">
        <v>183</v>
      </c>
      <c r="C846" s="94">
        <v>46245</v>
      </c>
      <c r="D846" s="91" t="s">
        <v>24</v>
      </c>
      <c r="E846" s="98">
        <v>1821</v>
      </c>
      <c r="F846" s="90">
        <v>0.19298299999999999</v>
      </c>
      <c r="G846" s="92">
        <v>5.8369299999999999E-2</v>
      </c>
    </row>
    <row r="847" spans="1:7" x14ac:dyDescent="0.3">
      <c r="A847" s="98" t="s">
        <v>88</v>
      </c>
      <c r="B847" s="106" t="s">
        <v>183</v>
      </c>
      <c r="C847" s="94">
        <v>46245</v>
      </c>
      <c r="D847" s="91" t="s">
        <v>17</v>
      </c>
      <c r="E847" s="98">
        <v>1964</v>
      </c>
      <c r="F847" s="90">
        <v>0.37069600000000003</v>
      </c>
      <c r="G847" s="92">
        <v>7.0191799999999999E-2</v>
      </c>
    </row>
    <row r="848" spans="1:7" x14ac:dyDescent="0.3">
      <c r="A848" s="98" t="s">
        <v>88</v>
      </c>
      <c r="B848" s="106" t="s">
        <v>183</v>
      </c>
      <c r="C848" s="94">
        <v>46245</v>
      </c>
      <c r="D848" s="91" t="s">
        <v>21</v>
      </c>
      <c r="E848" s="98">
        <v>2482</v>
      </c>
      <c r="F848" s="90">
        <v>0.41563099999999997</v>
      </c>
      <c r="G848" s="92">
        <v>7.7917100000000003E-2</v>
      </c>
    </row>
    <row r="849" spans="1:7" x14ac:dyDescent="0.3">
      <c r="A849" s="98" t="s">
        <v>88</v>
      </c>
      <c r="B849" s="106" t="s">
        <v>184</v>
      </c>
      <c r="C849" s="94">
        <v>46245</v>
      </c>
      <c r="D849" s="91" t="s">
        <v>16</v>
      </c>
      <c r="E849" s="98">
        <v>1004</v>
      </c>
      <c r="F849" s="90">
        <v>0.47324699999999997</v>
      </c>
      <c r="G849" s="92">
        <v>0.109863</v>
      </c>
    </row>
    <row r="850" spans="1:7" x14ac:dyDescent="0.3">
      <c r="A850" s="98" t="s">
        <v>88</v>
      </c>
      <c r="B850" s="106" t="s">
        <v>184</v>
      </c>
      <c r="C850" s="94">
        <v>46245</v>
      </c>
      <c r="D850" s="91" t="s">
        <v>29</v>
      </c>
      <c r="E850" s="98">
        <v>1053</v>
      </c>
      <c r="F850" s="90">
        <v>0.41830400000000001</v>
      </c>
      <c r="G850" s="92">
        <v>8.6969099999999994E-2</v>
      </c>
    </row>
    <row r="851" spans="1:7" x14ac:dyDescent="0.3">
      <c r="A851" s="98" t="s">
        <v>88</v>
      </c>
      <c r="B851" s="106" t="s">
        <v>184</v>
      </c>
      <c r="C851" s="94">
        <v>46245</v>
      </c>
      <c r="D851" s="91" t="s">
        <v>15</v>
      </c>
      <c r="E851" s="98">
        <v>1100</v>
      </c>
      <c r="F851" s="90">
        <v>0.38794000000000001</v>
      </c>
      <c r="G851" s="92">
        <v>0.103297</v>
      </c>
    </row>
    <row r="852" spans="1:7" x14ac:dyDescent="0.3">
      <c r="A852" s="98" t="s">
        <v>88</v>
      </c>
      <c r="B852" s="106" t="s">
        <v>184</v>
      </c>
      <c r="C852" s="94">
        <v>46245</v>
      </c>
      <c r="D852" s="91" t="s">
        <v>25</v>
      </c>
      <c r="E852" s="98">
        <v>1111</v>
      </c>
      <c r="F852" s="90">
        <v>0.237763</v>
      </c>
      <c r="G852" s="92">
        <v>5.9915700000000002E-2</v>
      </c>
    </row>
    <row r="853" spans="1:7" x14ac:dyDescent="0.3">
      <c r="A853" s="98" t="s">
        <v>88</v>
      </c>
      <c r="B853" s="106" t="s">
        <v>184</v>
      </c>
      <c r="C853" s="94">
        <v>46245</v>
      </c>
      <c r="D853" s="91" t="s">
        <v>28</v>
      </c>
      <c r="E853" s="98">
        <v>1113</v>
      </c>
      <c r="F853" s="90">
        <v>0.41351300000000002</v>
      </c>
      <c r="G853" s="92">
        <v>9.42162E-2</v>
      </c>
    </row>
    <row r="854" spans="1:7" x14ac:dyDescent="0.3">
      <c r="A854" s="98" t="s">
        <v>88</v>
      </c>
      <c r="B854" s="106" t="s">
        <v>184</v>
      </c>
      <c r="C854" s="94">
        <v>46245</v>
      </c>
      <c r="D854" s="91" t="s">
        <v>23</v>
      </c>
      <c r="E854" s="98">
        <v>1180</v>
      </c>
      <c r="F854" s="90">
        <v>0.20420099999999999</v>
      </c>
      <c r="G854" s="92">
        <v>7.0372500000000004E-2</v>
      </c>
    </row>
    <row r="855" spans="1:7" x14ac:dyDescent="0.3">
      <c r="A855" s="98" t="s">
        <v>88</v>
      </c>
      <c r="B855" s="106" t="s">
        <v>184</v>
      </c>
      <c r="C855" s="94">
        <v>46245</v>
      </c>
      <c r="D855" s="91" t="s">
        <v>34</v>
      </c>
      <c r="E855" s="98">
        <v>1206</v>
      </c>
      <c r="F855" s="90">
        <v>0.21417900000000001</v>
      </c>
      <c r="G855" s="92">
        <v>6.6183400000000003E-2</v>
      </c>
    </row>
    <row r="856" spans="1:7" x14ac:dyDescent="0.3">
      <c r="A856" s="98" t="s">
        <v>88</v>
      </c>
      <c r="B856" s="106" t="s">
        <v>184</v>
      </c>
      <c r="C856" s="94">
        <v>46245</v>
      </c>
      <c r="D856" s="91" t="s">
        <v>18</v>
      </c>
      <c r="E856" s="98">
        <v>1222</v>
      </c>
      <c r="F856" s="90">
        <v>0.30455500000000002</v>
      </c>
      <c r="G856" s="92">
        <v>7.0540099999999994E-2</v>
      </c>
    </row>
    <row r="857" spans="1:7" x14ac:dyDescent="0.3">
      <c r="A857" s="98" t="s">
        <v>88</v>
      </c>
      <c r="B857" s="106" t="s">
        <v>184</v>
      </c>
      <c r="C857" s="94">
        <v>46245</v>
      </c>
      <c r="D857" s="91" t="s">
        <v>19</v>
      </c>
      <c r="E857" s="98">
        <v>1233</v>
      </c>
      <c r="F857" s="90">
        <v>0.53724400000000005</v>
      </c>
      <c r="G857" s="92">
        <v>0.109545</v>
      </c>
    </row>
    <row r="858" spans="1:7" x14ac:dyDescent="0.3">
      <c r="A858" s="98" t="s">
        <v>88</v>
      </c>
      <c r="B858" s="106" t="s">
        <v>184</v>
      </c>
      <c r="C858" s="94">
        <v>46245</v>
      </c>
      <c r="D858" s="91" t="s">
        <v>20</v>
      </c>
      <c r="E858" s="98">
        <v>1241</v>
      </c>
      <c r="F858" s="90">
        <v>0.698967</v>
      </c>
      <c r="G858" s="92">
        <v>0.141239</v>
      </c>
    </row>
    <row r="859" spans="1:7" x14ac:dyDescent="0.3">
      <c r="A859" s="98" t="s">
        <v>88</v>
      </c>
      <c r="B859" s="106" t="s">
        <v>184</v>
      </c>
      <c r="C859" s="94">
        <v>46245</v>
      </c>
      <c r="D859" s="91" t="s">
        <v>27</v>
      </c>
      <c r="E859" s="98">
        <v>1276</v>
      </c>
      <c r="F859" s="90">
        <v>0.46389799999999998</v>
      </c>
      <c r="G859" s="92">
        <v>0.108349</v>
      </c>
    </row>
    <row r="860" spans="1:7" x14ac:dyDescent="0.3">
      <c r="A860" s="98" t="s">
        <v>88</v>
      </c>
      <c r="B860" s="106" t="s">
        <v>184</v>
      </c>
      <c r="C860" s="94">
        <v>46245</v>
      </c>
      <c r="D860" s="91" t="s">
        <v>30</v>
      </c>
      <c r="E860" s="98">
        <v>1295</v>
      </c>
      <c r="F860" s="90">
        <v>1.42056</v>
      </c>
      <c r="G860" s="92">
        <v>0.28700599999999998</v>
      </c>
    </row>
    <row r="861" spans="1:7" x14ac:dyDescent="0.3">
      <c r="A861" s="98" t="s">
        <v>88</v>
      </c>
      <c r="B861" s="106" t="s">
        <v>184</v>
      </c>
      <c r="C861" s="94">
        <v>46245</v>
      </c>
      <c r="D861" s="91" t="s">
        <v>14</v>
      </c>
      <c r="E861" s="98">
        <v>1329</v>
      </c>
      <c r="F861" s="90">
        <v>0.40732299999999999</v>
      </c>
      <c r="G861" s="92">
        <v>0.117493</v>
      </c>
    </row>
    <row r="862" spans="1:7" x14ac:dyDescent="0.3">
      <c r="A862" s="98" t="s">
        <v>88</v>
      </c>
      <c r="B862" s="106" t="s">
        <v>184</v>
      </c>
      <c r="C862" s="94">
        <v>46245</v>
      </c>
      <c r="D862" s="91" t="s">
        <v>26</v>
      </c>
      <c r="E862" s="98">
        <v>1346</v>
      </c>
      <c r="F862" s="90">
        <v>0.35156399999999999</v>
      </c>
      <c r="G862" s="92">
        <v>0.107654</v>
      </c>
    </row>
    <row r="863" spans="1:7" x14ac:dyDescent="0.3">
      <c r="A863" s="98" t="s">
        <v>88</v>
      </c>
      <c r="B863" s="106" t="s">
        <v>184</v>
      </c>
      <c r="C863" s="94">
        <v>46245</v>
      </c>
      <c r="D863" s="91" t="s">
        <v>22</v>
      </c>
      <c r="E863" s="98">
        <v>1674</v>
      </c>
      <c r="F863" s="90">
        <v>0.27619899999999997</v>
      </c>
      <c r="G863" s="92">
        <v>7.3335300000000006E-2</v>
      </c>
    </row>
    <row r="864" spans="1:7" x14ac:dyDescent="0.3">
      <c r="A864" s="98" t="s">
        <v>88</v>
      </c>
      <c r="B864" s="106" t="s">
        <v>184</v>
      </c>
      <c r="C864" s="94">
        <v>46245</v>
      </c>
      <c r="D864" s="91" t="s">
        <v>17</v>
      </c>
      <c r="E864" s="98">
        <v>1677</v>
      </c>
      <c r="F864" s="90">
        <v>0.95342700000000002</v>
      </c>
      <c r="G864" s="92">
        <v>0.18822800000000001</v>
      </c>
    </row>
    <row r="865" spans="1:7" x14ac:dyDescent="0.3">
      <c r="A865" s="98" t="s">
        <v>88</v>
      </c>
      <c r="B865" s="106" t="s">
        <v>184</v>
      </c>
      <c r="C865" s="94">
        <v>46245</v>
      </c>
      <c r="D865" s="91" t="s">
        <v>24</v>
      </c>
      <c r="E865" s="98">
        <v>1911</v>
      </c>
      <c r="F865" s="90">
        <v>0.25583400000000001</v>
      </c>
      <c r="G865" s="92">
        <v>8.3779199999999998E-2</v>
      </c>
    </row>
    <row r="866" spans="1:7" x14ac:dyDescent="0.3">
      <c r="A866" s="98" t="s">
        <v>88</v>
      </c>
      <c r="B866" s="106" t="s">
        <v>184</v>
      </c>
      <c r="C866" s="94">
        <v>46245</v>
      </c>
      <c r="D866" s="91" t="s">
        <v>21</v>
      </c>
      <c r="E866" s="98">
        <v>2300</v>
      </c>
      <c r="F866" s="90">
        <v>0.56240000000000001</v>
      </c>
      <c r="G866" s="92">
        <v>0.113203</v>
      </c>
    </row>
    <row r="867" spans="1:7" x14ac:dyDescent="0.3">
      <c r="A867" s="98" t="s">
        <v>88</v>
      </c>
      <c r="B867" s="106" t="s">
        <v>210</v>
      </c>
      <c r="C867" s="94">
        <v>46246</v>
      </c>
      <c r="D867" s="91" t="s">
        <v>14</v>
      </c>
      <c r="E867" s="98">
        <v>2036</v>
      </c>
      <c r="F867" s="90">
        <v>0.48893999999999999</v>
      </c>
      <c r="G867" s="92">
        <v>0.13750599999999999</v>
      </c>
    </row>
    <row r="868" spans="1:7" x14ac:dyDescent="0.3">
      <c r="A868" s="98" t="s">
        <v>88</v>
      </c>
      <c r="B868" s="106" t="s">
        <v>210</v>
      </c>
      <c r="C868" s="94">
        <v>46246</v>
      </c>
      <c r="D868" s="91" t="s">
        <v>15</v>
      </c>
      <c r="E868" s="98">
        <v>1654</v>
      </c>
      <c r="F868" s="90">
        <v>0.91455299999999995</v>
      </c>
      <c r="G868" s="92">
        <v>0.23045199999999999</v>
      </c>
    </row>
    <row r="869" spans="1:7" x14ac:dyDescent="0.3">
      <c r="A869" s="98" t="s">
        <v>88</v>
      </c>
      <c r="B869" s="106" t="s">
        <v>210</v>
      </c>
      <c r="C869" s="94">
        <v>46246</v>
      </c>
      <c r="D869" s="91" t="s">
        <v>16</v>
      </c>
      <c r="E869" s="98">
        <v>1137</v>
      </c>
      <c r="F869" s="90">
        <v>0.41677799999999998</v>
      </c>
      <c r="G869" s="92">
        <v>9.4250500000000001E-2</v>
      </c>
    </row>
    <row r="870" spans="1:7" x14ac:dyDescent="0.3">
      <c r="A870" s="98" t="s">
        <v>88</v>
      </c>
      <c r="B870" s="106" t="s">
        <v>210</v>
      </c>
      <c r="C870" s="94">
        <v>46246</v>
      </c>
      <c r="D870" s="91" t="s">
        <v>17</v>
      </c>
      <c r="E870" s="98">
        <v>2178</v>
      </c>
      <c r="F870" s="90">
        <v>0.41347800000000001</v>
      </c>
      <c r="G870" s="92">
        <v>8.5338399999999995E-2</v>
      </c>
    </row>
    <row r="871" spans="1:7" x14ac:dyDescent="0.3">
      <c r="A871" s="98" t="s">
        <v>88</v>
      </c>
      <c r="B871" s="106" t="s">
        <v>210</v>
      </c>
      <c r="C871" s="94">
        <v>46246</v>
      </c>
      <c r="D871" s="91" t="s">
        <v>18</v>
      </c>
      <c r="E871" s="98">
        <v>1790</v>
      </c>
      <c r="F871" s="90">
        <v>0.28914099999999998</v>
      </c>
      <c r="G871" s="92">
        <v>6.7369799999999994E-2</v>
      </c>
    </row>
    <row r="872" spans="1:7" x14ac:dyDescent="0.3">
      <c r="A872" s="98" t="s">
        <v>88</v>
      </c>
      <c r="B872" s="106" t="s">
        <v>210</v>
      </c>
      <c r="C872" s="94">
        <v>46246</v>
      </c>
      <c r="D872" s="91" t="s">
        <v>19</v>
      </c>
      <c r="E872" s="98">
        <v>1983</v>
      </c>
      <c r="F872" s="90">
        <v>0.44439200000000001</v>
      </c>
      <c r="G872" s="92">
        <v>9.2895699999999998E-2</v>
      </c>
    </row>
    <row r="873" spans="1:7" x14ac:dyDescent="0.3">
      <c r="A873" s="98" t="s">
        <v>88</v>
      </c>
      <c r="B873" s="106" t="s">
        <v>210</v>
      </c>
      <c r="C873" s="94">
        <v>46246</v>
      </c>
      <c r="D873" s="91" t="s">
        <v>20</v>
      </c>
      <c r="E873" s="98">
        <v>1908</v>
      </c>
      <c r="F873" s="90">
        <v>0.34362500000000001</v>
      </c>
      <c r="G873" s="92">
        <v>7.2266700000000003E-2</v>
      </c>
    </row>
    <row r="874" spans="1:7" x14ac:dyDescent="0.3">
      <c r="A874" s="98" t="s">
        <v>88</v>
      </c>
      <c r="B874" s="106" t="s">
        <v>210</v>
      </c>
      <c r="C874" s="94">
        <v>46246</v>
      </c>
      <c r="D874" s="91" t="s">
        <v>34</v>
      </c>
      <c r="E874" s="98">
        <v>1131</v>
      </c>
      <c r="F874" s="90">
        <v>0.21276300000000001</v>
      </c>
      <c r="G874" s="92">
        <v>6.6497399999999998E-2</v>
      </c>
    </row>
    <row r="875" spans="1:7" x14ac:dyDescent="0.3">
      <c r="A875" s="98" t="s">
        <v>88</v>
      </c>
      <c r="B875" s="106" t="s">
        <v>210</v>
      </c>
      <c r="C875" s="94">
        <v>46246</v>
      </c>
      <c r="D875" s="91" t="s">
        <v>21</v>
      </c>
      <c r="E875" s="98">
        <v>3124</v>
      </c>
      <c r="F875" s="90">
        <v>0.52111399999999997</v>
      </c>
      <c r="G875" s="92">
        <v>0.101732</v>
      </c>
    </row>
    <row r="876" spans="1:7" x14ac:dyDescent="0.3">
      <c r="A876" s="98" t="s">
        <v>88</v>
      </c>
      <c r="B876" s="106" t="s">
        <v>210</v>
      </c>
      <c r="C876" s="94">
        <v>46246</v>
      </c>
      <c r="D876" s="91" t="s">
        <v>22</v>
      </c>
      <c r="E876" s="98">
        <v>2106</v>
      </c>
      <c r="F876" s="90">
        <v>0.28700199999999998</v>
      </c>
      <c r="G876" s="92">
        <v>8.2809099999999997E-2</v>
      </c>
    </row>
    <row r="877" spans="1:7" x14ac:dyDescent="0.3">
      <c r="A877" s="98" t="s">
        <v>88</v>
      </c>
      <c r="B877" s="106" t="s">
        <v>210</v>
      </c>
      <c r="C877" s="94">
        <v>46246</v>
      </c>
      <c r="D877" s="91" t="s">
        <v>23</v>
      </c>
      <c r="E877" s="98">
        <v>1002</v>
      </c>
      <c r="F877" s="90">
        <v>0.411939</v>
      </c>
      <c r="G877" s="92">
        <v>0.12675500000000001</v>
      </c>
    </row>
    <row r="878" spans="1:7" x14ac:dyDescent="0.3">
      <c r="A878" s="98" t="s">
        <v>88</v>
      </c>
      <c r="B878" s="106" t="s">
        <v>210</v>
      </c>
      <c r="C878" s="94">
        <v>46246</v>
      </c>
      <c r="D878" s="91" t="s">
        <v>24</v>
      </c>
      <c r="E878" s="98">
        <v>2341</v>
      </c>
      <c r="F878" s="90">
        <v>0.21904699999999999</v>
      </c>
      <c r="G878" s="92">
        <v>6.4852499999999993E-2</v>
      </c>
    </row>
    <row r="879" spans="1:7" x14ac:dyDescent="0.3">
      <c r="A879" s="98" t="s">
        <v>88</v>
      </c>
      <c r="B879" s="106" t="s">
        <v>210</v>
      </c>
      <c r="C879" s="94">
        <v>46246</v>
      </c>
      <c r="D879" s="91" t="s">
        <v>25</v>
      </c>
      <c r="E879" s="98">
        <v>1095</v>
      </c>
      <c r="F879" s="90">
        <v>0.24135499999999999</v>
      </c>
      <c r="G879" s="92">
        <v>5.7526300000000002E-2</v>
      </c>
    </row>
    <row r="880" spans="1:7" x14ac:dyDescent="0.3">
      <c r="A880" s="98" t="s">
        <v>88</v>
      </c>
      <c r="B880" s="106" t="s">
        <v>210</v>
      </c>
      <c r="C880" s="94">
        <v>46246</v>
      </c>
      <c r="D880" s="91" t="s">
        <v>26</v>
      </c>
      <c r="E880" s="98">
        <v>1895</v>
      </c>
      <c r="F880" s="90">
        <v>0.17096500000000001</v>
      </c>
      <c r="G880" s="92">
        <v>5.8447199999999998E-2</v>
      </c>
    </row>
    <row r="881" spans="1:7" x14ac:dyDescent="0.3">
      <c r="A881" s="98" t="s">
        <v>88</v>
      </c>
      <c r="B881" s="106" t="s">
        <v>210</v>
      </c>
      <c r="C881" s="94">
        <v>46246</v>
      </c>
      <c r="D881" s="91" t="s">
        <v>27</v>
      </c>
      <c r="E881" s="98">
        <v>1591</v>
      </c>
      <c r="F881" s="90">
        <v>0.337507</v>
      </c>
      <c r="G881" s="92">
        <v>7.7844700000000003E-2</v>
      </c>
    </row>
    <row r="882" spans="1:7" x14ac:dyDescent="0.3">
      <c r="A882" s="98" t="s">
        <v>88</v>
      </c>
      <c r="B882" s="106" t="s">
        <v>210</v>
      </c>
      <c r="C882" s="94">
        <v>46246</v>
      </c>
      <c r="D882" s="91" t="s">
        <v>28</v>
      </c>
      <c r="E882" s="98">
        <v>1029</v>
      </c>
      <c r="F882" s="90">
        <v>0.45597500000000002</v>
      </c>
      <c r="G882" s="92">
        <v>0.105598</v>
      </c>
    </row>
    <row r="883" spans="1:7" x14ac:dyDescent="0.3">
      <c r="A883" s="98" t="s">
        <v>88</v>
      </c>
      <c r="B883" s="106" t="s">
        <v>210</v>
      </c>
      <c r="C883" s="94">
        <v>46246</v>
      </c>
      <c r="D883" s="91" t="s">
        <v>29</v>
      </c>
      <c r="E883" s="98">
        <v>1274</v>
      </c>
      <c r="F883" s="90">
        <v>0.31540200000000002</v>
      </c>
      <c r="G883" s="92">
        <v>6.2736799999999995E-2</v>
      </c>
    </row>
    <row r="884" spans="1:7" x14ac:dyDescent="0.3">
      <c r="A884" s="98" t="s">
        <v>88</v>
      </c>
      <c r="B884" s="106" t="s">
        <v>210</v>
      </c>
      <c r="C884" s="94">
        <v>46245</v>
      </c>
      <c r="D884" s="91" t="s">
        <v>30</v>
      </c>
      <c r="E884" s="98">
        <v>1459</v>
      </c>
      <c r="F884" s="90">
        <v>0.78098199999999995</v>
      </c>
      <c r="G884" s="92">
        <v>0.16389999999999999</v>
      </c>
    </row>
    <row r="885" spans="1:7" x14ac:dyDescent="0.3">
      <c r="A885" s="98" t="s">
        <v>88</v>
      </c>
      <c r="B885" s="106" t="s">
        <v>180</v>
      </c>
      <c r="C885" s="94">
        <v>46246</v>
      </c>
      <c r="D885" s="91" t="s">
        <v>14</v>
      </c>
      <c r="E885" s="98">
        <v>2075</v>
      </c>
      <c r="F885" s="90">
        <v>0.61073299999999997</v>
      </c>
      <c r="G885" s="92">
        <v>0.17188100000000001</v>
      </c>
    </row>
    <row r="886" spans="1:7" x14ac:dyDescent="0.3">
      <c r="A886" s="98" t="s">
        <v>88</v>
      </c>
      <c r="B886" s="106" t="s">
        <v>180</v>
      </c>
      <c r="C886" s="94">
        <v>46246</v>
      </c>
      <c r="D886" s="91" t="s">
        <v>15</v>
      </c>
      <c r="E886" s="98">
        <v>1803</v>
      </c>
      <c r="F886" s="90">
        <v>0.836808</v>
      </c>
      <c r="G886" s="92">
        <v>0.22062999999999999</v>
      </c>
    </row>
    <row r="887" spans="1:7" x14ac:dyDescent="0.3">
      <c r="A887" s="98" t="s">
        <v>88</v>
      </c>
      <c r="B887" s="106" t="s">
        <v>180</v>
      </c>
      <c r="C887" s="94">
        <v>46246</v>
      </c>
      <c r="D887" s="91" t="s">
        <v>16</v>
      </c>
      <c r="E887" s="98">
        <v>1248</v>
      </c>
      <c r="F887" s="90">
        <v>0.422099</v>
      </c>
      <c r="G887" s="92">
        <v>9.8858100000000004E-2</v>
      </c>
    </row>
    <row r="888" spans="1:7" x14ac:dyDescent="0.3">
      <c r="A888" s="98" t="s">
        <v>88</v>
      </c>
      <c r="B888" s="106" t="s">
        <v>180</v>
      </c>
      <c r="C888" s="94">
        <v>46246</v>
      </c>
      <c r="D888" s="91" t="s">
        <v>17</v>
      </c>
      <c r="E888" s="98">
        <v>1814</v>
      </c>
      <c r="F888" s="90">
        <v>0.42316799999999999</v>
      </c>
      <c r="G888" s="92">
        <v>8.3366099999999999E-2</v>
      </c>
    </row>
    <row r="889" spans="1:7" x14ac:dyDescent="0.3">
      <c r="A889" s="98" t="s">
        <v>88</v>
      </c>
      <c r="B889" s="106" t="s">
        <v>180</v>
      </c>
      <c r="C889" s="94">
        <v>46246</v>
      </c>
      <c r="D889" s="91" t="s">
        <v>18</v>
      </c>
      <c r="E889" s="98">
        <v>1407</v>
      </c>
      <c r="F889" s="90">
        <v>0.59568299999999996</v>
      </c>
      <c r="G889" s="92">
        <v>0.14131199999999999</v>
      </c>
    </row>
    <row r="890" spans="1:7" x14ac:dyDescent="0.3">
      <c r="A890" s="98" t="s">
        <v>88</v>
      </c>
      <c r="B890" s="106" t="s">
        <v>180</v>
      </c>
      <c r="C890" s="94">
        <v>46246</v>
      </c>
      <c r="D890" s="91" t="s">
        <v>19</v>
      </c>
      <c r="E890" s="98">
        <v>1521</v>
      </c>
      <c r="F890" s="90">
        <v>1.4746300000000001</v>
      </c>
      <c r="G890" s="92">
        <v>0.30990099999999998</v>
      </c>
    </row>
    <row r="891" spans="1:7" x14ac:dyDescent="0.3">
      <c r="A891" s="98" t="s">
        <v>88</v>
      </c>
      <c r="B891" s="106" t="s">
        <v>180</v>
      </c>
      <c r="C891" s="94">
        <v>46246</v>
      </c>
      <c r="D891" s="91" t="s">
        <v>20</v>
      </c>
      <c r="E891" s="98">
        <v>1511</v>
      </c>
      <c r="F891" s="90">
        <v>0.77268899999999996</v>
      </c>
      <c r="G891" s="92">
        <v>0.16123699999999999</v>
      </c>
    </row>
    <row r="892" spans="1:7" x14ac:dyDescent="0.3">
      <c r="A892" s="98" t="s">
        <v>88</v>
      </c>
      <c r="B892" s="106" t="s">
        <v>180</v>
      </c>
      <c r="C892" s="94">
        <v>46246</v>
      </c>
      <c r="D892" s="91" t="s">
        <v>34</v>
      </c>
      <c r="E892" s="98">
        <v>1089</v>
      </c>
      <c r="F892" s="90">
        <v>0.31725700000000001</v>
      </c>
      <c r="G892" s="92">
        <v>9.5367800000000003E-2</v>
      </c>
    </row>
    <row r="893" spans="1:7" x14ac:dyDescent="0.3">
      <c r="A893" s="98" t="s">
        <v>88</v>
      </c>
      <c r="B893" s="106" t="s">
        <v>180</v>
      </c>
      <c r="C893" s="94">
        <v>46246</v>
      </c>
      <c r="D893" s="91" t="s">
        <v>21</v>
      </c>
      <c r="E893" s="98">
        <v>2360</v>
      </c>
      <c r="F893" s="90">
        <v>0.52617499999999995</v>
      </c>
      <c r="G893" s="92">
        <v>0.10256999999999999</v>
      </c>
    </row>
    <row r="894" spans="1:7" x14ac:dyDescent="0.3">
      <c r="A894" s="98" t="s">
        <v>88</v>
      </c>
      <c r="B894" s="106" t="s">
        <v>180</v>
      </c>
      <c r="C894" s="94">
        <v>46246</v>
      </c>
      <c r="D894" s="91" t="s">
        <v>22</v>
      </c>
      <c r="E894" s="98">
        <v>1402</v>
      </c>
      <c r="F894" s="90">
        <v>0.29166399999999998</v>
      </c>
      <c r="G894" s="92">
        <v>7.8948299999999999E-2</v>
      </c>
    </row>
    <row r="895" spans="1:7" x14ac:dyDescent="0.3">
      <c r="A895" s="98" t="s">
        <v>88</v>
      </c>
      <c r="B895" s="106" t="s">
        <v>180</v>
      </c>
      <c r="C895" s="94">
        <v>46246</v>
      </c>
      <c r="D895" s="91" t="s">
        <v>23</v>
      </c>
      <c r="E895" s="98">
        <v>1537</v>
      </c>
      <c r="F895" s="90">
        <v>0.41604099999999999</v>
      </c>
      <c r="G895" s="92">
        <v>0.13688900000000001</v>
      </c>
    </row>
    <row r="896" spans="1:7" x14ac:dyDescent="0.3">
      <c r="A896" s="98" t="s">
        <v>88</v>
      </c>
      <c r="B896" s="106" t="s">
        <v>180</v>
      </c>
      <c r="C896" s="94">
        <v>46246</v>
      </c>
      <c r="D896" s="91" t="s">
        <v>24</v>
      </c>
      <c r="E896" s="98">
        <v>2059</v>
      </c>
      <c r="F896" s="90">
        <v>0.18245900000000001</v>
      </c>
      <c r="G896" s="92">
        <v>5.6480700000000002E-2</v>
      </c>
    </row>
    <row r="897" spans="1:7" x14ac:dyDescent="0.3">
      <c r="A897" s="98" t="s">
        <v>88</v>
      </c>
      <c r="B897" s="106" t="s">
        <v>180</v>
      </c>
      <c r="C897" s="94">
        <v>46246</v>
      </c>
      <c r="D897" s="91" t="s">
        <v>25</v>
      </c>
      <c r="E897" s="98">
        <v>1004</v>
      </c>
      <c r="F897" s="90">
        <v>0.27812900000000002</v>
      </c>
      <c r="G897" s="92">
        <v>6.7163399999999998E-2</v>
      </c>
    </row>
    <row r="898" spans="1:7" x14ac:dyDescent="0.3">
      <c r="A898" s="98" t="s">
        <v>88</v>
      </c>
      <c r="B898" s="106" t="s">
        <v>180</v>
      </c>
      <c r="C898" s="94">
        <v>46246</v>
      </c>
      <c r="D898" s="91" t="s">
        <v>26</v>
      </c>
      <c r="E898" s="98">
        <v>1310</v>
      </c>
      <c r="F898" s="90">
        <v>0.19995299999999999</v>
      </c>
      <c r="G898" s="92">
        <v>6.3817100000000002E-2</v>
      </c>
    </row>
    <row r="899" spans="1:7" x14ac:dyDescent="0.3">
      <c r="A899" s="98" t="s">
        <v>88</v>
      </c>
      <c r="B899" s="106" t="s">
        <v>180</v>
      </c>
      <c r="C899" s="94">
        <v>46246</v>
      </c>
      <c r="D899" s="91" t="s">
        <v>27</v>
      </c>
      <c r="E899" s="98">
        <v>1089</v>
      </c>
      <c r="F899" s="90">
        <v>0.31719000000000003</v>
      </c>
      <c r="G899" s="92">
        <v>7.1652800000000003E-2</v>
      </c>
    </row>
    <row r="900" spans="1:7" x14ac:dyDescent="0.3">
      <c r="A900" s="98" t="s">
        <v>88</v>
      </c>
      <c r="B900" s="106" t="s">
        <v>180</v>
      </c>
      <c r="C900" s="94">
        <v>46246</v>
      </c>
      <c r="D900" s="91" t="s">
        <v>28</v>
      </c>
      <c r="E900" s="98">
        <v>1192</v>
      </c>
      <c r="F900" s="90">
        <v>0.25763000000000003</v>
      </c>
      <c r="G900" s="92">
        <v>5.7515700000000003E-2</v>
      </c>
    </row>
    <row r="901" spans="1:7" x14ac:dyDescent="0.3">
      <c r="A901" s="98" t="s">
        <v>88</v>
      </c>
      <c r="B901" s="106" t="s">
        <v>180</v>
      </c>
      <c r="C901" s="94">
        <v>46246</v>
      </c>
      <c r="D901" s="91" t="s">
        <v>29</v>
      </c>
      <c r="E901" s="98">
        <v>1386</v>
      </c>
      <c r="F901" s="90">
        <v>0.59838199999999997</v>
      </c>
      <c r="G901" s="92">
        <v>0.12384299999999999</v>
      </c>
    </row>
    <row r="902" spans="1:7" x14ac:dyDescent="0.3">
      <c r="A902" s="98" t="s">
        <v>88</v>
      </c>
      <c r="B902" s="106" t="s">
        <v>180</v>
      </c>
      <c r="C902" s="94">
        <v>46246</v>
      </c>
      <c r="D902" s="91" t="s">
        <v>30</v>
      </c>
      <c r="E902" s="98">
        <v>1283</v>
      </c>
      <c r="F902" s="90">
        <v>0.69742000000000004</v>
      </c>
      <c r="G902" s="92">
        <v>0.139793</v>
      </c>
    </row>
    <row r="903" spans="1:7" x14ac:dyDescent="0.3">
      <c r="A903" s="98" t="s">
        <v>88</v>
      </c>
      <c r="B903" s="106" t="s">
        <v>185</v>
      </c>
      <c r="C903" s="94">
        <v>46246</v>
      </c>
      <c r="D903" s="91" t="s">
        <v>14</v>
      </c>
      <c r="E903" s="98">
        <v>2683</v>
      </c>
      <c r="F903" s="90">
        <v>0.30937199999999998</v>
      </c>
      <c r="G903" s="92">
        <v>9.1898800000000003E-2</v>
      </c>
    </row>
    <row r="904" spans="1:7" x14ac:dyDescent="0.3">
      <c r="A904" s="98" t="s">
        <v>88</v>
      </c>
      <c r="B904" s="106" t="s">
        <v>185</v>
      </c>
      <c r="C904" s="94">
        <v>46246</v>
      </c>
      <c r="D904" s="91" t="s">
        <v>15</v>
      </c>
      <c r="E904" s="98">
        <v>2170</v>
      </c>
      <c r="F904" s="90">
        <v>0.42722700000000002</v>
      </c>
      <c r="G904" s="92">
        <v>0.116392</v>
      </c>
    </row>
    <row r="905" spans="1:7" x14ac:dyDescent="0.3">
      <c r="A905" s="98" t="s">
        <v>88</v>
      </c>
      <c r="B905" s="106" t="s">
        <v>185</v>
      </c>
      <c r="C905" s="94">
        <v>46246</v>
      </c>
      <c r="D905" s="91" t="s">
        <v>16</v>
      </c>
      <c r="E905" s="98">
        <v>1203</v>
      </c>
      <c r="F905" s="90">
        <v>0.29200599999999999</v>
      </c>
      <c r="G905" s="92">
        <v>6.90138E-2</v>
      </c>
    </row>
    <row r="906" spans="1:7" x14ac:dyDescent="0.3">
      <c r="A906" s="98" t="s">
        <v>88</v>
      </c>
      <c r="B906" s="106" t="s">
        <v>185</v>
      </c>
      <c r="C906" s="94">
        <v>46246</v>
      </c>
      <c r="D906" s="91" t="s">
        <v>17</v>
      </c>
      <c r="E906" s="98">
        <v>1833</v>
      </c>
      <c r="F906" s="90">
        <v>0.42316799999999999</v>
      </c>
      <c r="G906" s="92">
        <v>8.3366099999999999E-2</v>
      </c>
    </row>
    <row r="907" spans="1:7" x14ac:dyDescent="0.3">
      <c r="A907" s="98" t="s">
        <v>88</v>
      </c>
      <c r="B907" s="106" t="s">
        <v>185</v>
      </c>
      <c r="C907" s="94">
        <v>46246</v>
      </c>
      <c r="D907" s="91" t="s">
        <v>18</v>
      </c>
      <c r="E907" s="98">
        <v>1435</v>
      </c>
      <c r="F907" s="90">
        <v>0.59568299999999996</v>
      </c>
      <c r="G907" s="92">
        <v>0.14131199999999999</v>
      </c>
    </row>
    <row r="908" spans="1:7" x14ac:dyDescent="0.3">
      <c r="A908" s="98" t="s">
        <v>88</v>
      </c>
      <c r="B908" s="106" t="s">
        <v>185</v>
      </c>
      <c r="C908" s="94">
        <v>46246</v>
      </c>
      <c r="D908" s="91" t="s">
        <v>19</v>
      </c>
      <c r="E908" s="98">
        <v>1512</v>
      </c>
      <c r="F908" s="90">
        <v>0.90618900000000002</v>
      </c>
      <c r="G908" s="92">
        <v>0.18437700000000001</v>
      </c>
    </row>
    <row r="909" spans="1:7" x14ac:dyDescent="0.3">
      <c r="A909" s="98" t="s">
        <v>88</v>
      </c>
      <c r="B909" s="106" t="s">
        <v>185</v>
      </c>
      <c r="C909" s="94">
        <v>46246</v>
      </c>
      <c r="D909" s="91" t="s">
        <v>20</v>
      </c>
      <c r="E909" s="98">
        <v>1582</v>
      </c>
      <c r="F909" s="90">
        <v>0.71550499999999995</v>
      </c>
      <c r="G909" s="92">
        <v>0.143758</v>
      </c>
    </row>
    <row r="910" spans="1:7" x14ac:dyDescent="0.3">
      <c r="A910" s="98" t="s">
        <v>88</v>
      </c>
      <c r="B910" s="106" t="s">
        <v>185</v>
      </c>
      <c r="C910" s="94">
        <v>46246</v>
      </c>
      <c r="D910" s="91" t="s">
        <v>34</v>
      </c>
      <c r="E910" s="98">
        <v>1288</v>
      </c>
      <c r="F910" s="90">
        <v>0.19472</v>
      </c>
      <c r="G910" s="92">
        <v>5.5112000000000001E-2</v>
      </c>
    </row>
    <row r="911" spans="1:7" x14ac:dyDescent="0.3">
      <c r="A911" s="98" t="s">
        <v>88</v>
      </c>
      <c r="B911" s="106" t="s">
        <v>185</v>
      </c>
      <c r="C911" s="94">
        <v>46246</v>
      </c>
      <c r="D911" s="91" t="s">
        <v>21</v>
      </c>
      <c r="E911" s="98">
        <v>2445</v>
      </c>
      <c r="F911" s="90">
        <v>0.47140700000000002</v>
      </c>
      <c r="G911" s="92">
        <v>9.4234799999999994E-2</v>
      </c>
    </row>
    <row r="912" spans="1:7" x14ac:dyDescent="0.3">
      <c r="A912" s="98" t="s">
        <v>88</v>
      </c>
      <c r="B912" s="106" t="s">
        <v>185</v>
      </c>
      <c r="C912" s="94">
        <v>46246</v>
      </c>
      <c r="D912" s="91" t="s">
        <v>22</v>
      </c>
      <c r="E912" s="98">
        <v>1467</v>
      </c>
      <c r="F912" s="90">
        <v>0.37695400000000001</v>
      </c>
      <c r="G912" s="92">
        <v>9.6904500000000005E-2</v>
      </c>
    </row>
    <row r="913" spans="1:7" x14ac:dyDescent="0.3">
      <c r="A913" s="98" t="s">
        <v>88</v>
      </c>
      <c r="B913" s="106" t="s">
        <v>185</v>
      </c>
      <c r="C913" s="94">
        <v>46246</v>
      </c>
      <c r="D913" s="91" t="s">
        <v>23</v>
      </c>
      <c r="E913" s="98">
        <v>1713</v>
      </c>
      <c r="F913" s="90">
        <v>0.31794600000000001</v>
      </c>
      <c r="G913" s="92">
        <v>0.113223</v>
      </c>
    </row>
    <row r="914" spans="1:7" x14ac:dyDescent="0.3">
      <c r="A914" s="98" t="s">
        <v>88</v>
      </c>
      <c r="B914" s="106" t="s">
        <v>185</v>
      </c>
      <c r="C914" s="94">
        <v>46246</v>
      </c>
      <c r="D914" s="91" t="s">
        <v>24</v>
      </c>
      <c r="E914" s="98">
        <v>2497</v>
      </c>
      <c r="F914" s="90">
        <v>0.21368899999999999</v>
      </c>
      <c r="G914" s="92">
        <v>7.1075200000000005E-2</v>
      </c>
    </row>
    <row r="915" spans="1:7" x14ac:dyDescent="0.3">
      <c r="A915" s="98" t="s">
        <v>88</v>
      </c>
      <c r="B915" s="106" t="s">
        <v>185</v>
      </c>
      <c r="C915" s="94">
        <v>46246</v>
      </c>
      <c r="D915" s="91" t="s">
        <v>25</v>
      </c>
      <c r="E915" s="98">
        <v>1107</v>
      </c>
      <c r="F915" s="90">
        <v>0.20857899999999999</v>
      </c>
      <c r="G915" s="92">
        <v>5.2473800000000001E-2</v>
      </c>
    </row>
    <row r="916" spans="1:7" x14ac:dyDescent="0.3">
      <c r="A916" s="98" t="s">
        <v>88</v>
      </c>
      <c r="B916" s="106" t="s">
        <v>185</v>
      </c>
      <c r="C916" s="94">
        <v>46246</v>
      </c>
      <c r="D916" s="91" t="s">
        <v>26</v>
      </c>
      <c r="E916" s="98">
        <v>1580</v>
      </c>
      <c r="F916" s="90">
        <v>0.23075100000000001</v>
      </c>
      <c r="G916" s="92">
        <v>6.8616499999999997E-2</v>
      </c>
    </row>
    <row r="917" spans="1:7" x14ac:dyDescent="0.3">
      <c r="A917" s="98" t="s">
        <v>88</v>
      </c>
      <c r="B917" s="106" t="s">
        <v>185</v>
      </c>
      <c r="C917" s="94">
        <v>46246</v>
      </c>
      <c r="D917" s="91" t="s">
        <v>27</v>
      </c>
      <c r="E917" s="98">
        <v>1002</v>
      </c>
      <c r="F917" s="90">
        <v>0.44911200000000001</v>
      </c>
      <c r="G917" s="92">
        <v>0.103433</v>
      </c>
    </row>
    <row r="918" spans="1:7" x14ac:dyDescent="0.3">
      <c r="A918" s="98" t="s">
        <v>88</v>
      </c>
      <c r="B918" s="106" t="s">
        <v>185</v>
      </c>
      <c r="C918" s="94">
        <v>46246</v>
      </c>
      <c r="D918" s="91" t="s">
        <v>28</v>
      </c>
      <c r="E918" s="98">
        <v>1155</v>
      </c>
      <c r="F918" s="90">
        <v>0.55079199999999995</v>
      </c>
      <c r="G918" s="92">
        <v>0.122629</v>
      </c>
    </row>
    <row r="919" spans="1:7" x14ac:dyDescent="0.3">
      <c r="A919" s="98" t="s">
        <v>88</v>
      </c>
      <c r="B919" s="106" t="s">
        <v>185</v>
      </c>
      <c r="C919" s="94">
        <v>46246</v>
      </c>
      <c r="D919" s="91" t="s">
        <v>29</v>
      </c>
      <c r="E919" s="98">
        <v>1417</v>
      </c>
      <c r="F919" s="90">
        <v>0.30549100000000001</v>
      </c>
      <c r="G919" s="92">
        <v>6.4800499999999997E-2</v>
      </c>
    </row>
    <row r="920" spans="1:7" x14ac:dyDescent="0.3">
      <c r="A920" s="98" t="s">
        <v>88</v>
      </c>
      <c r="B920" s="106" t="s">
        <v>185</v>
      </c>
      <c r="C920" s="94">
        <v>46246</v>
      </c>
      <c r="D920" s="91" t="s">
        <v>30</v>
      </c>
      <c r="E920" s="98">
        <v>1247</v>
      </c>
      <c r="F920" s="90">
        <v>0.67066300000000001</v>
      </c>
      <c r="G920" s="92">
        <v>0.132188</v>
      </c>
    </row>
    <row r="921" spans="1:7" x14ac:dyDescent="0.3">
      <c r="A921" s="98" t="s">
        <v>88</v>
      </c>
      <c r="B921" s="106" t="s">
        <v>186</v>
      </c>
      <c r="C921" s="94">
        <v>46246</v>
      </c>
      <c r="D921" s="91" t="s">
        <v>14</v>
      </c>
      <c r="E921" s="98">
        <v>1842</v>
      </c>
      <c r="F921" s="90">
        <v>1.5818099999999999</v>
      </c>
      <c r="G921" s="92">
        <v>0.44534899999999999</v>
      </c>
    </row>
    <row r="922" spans="1:7" x14ac:dyDescent="0.3">
      <c r="A922" s="98" t="s">
        <v>88</v>
      </c>
      <c r="B922" s="106" t="s">
        <v>186</v>
      </c>
      <c r="C922" s="94">
        <v>46246</v>
      </c>
      <c r="D922" s="91" t="s">
        <v>15</v>
      </c>
      <c r="E922" s="98">
        <v>1455</v>
      </c>
      <c r="F922" s="90">
        <v>1.7665500000000001</v>
      </c>
      <c r="G922" s="92">
        <v>0.46729300000000001</v>
      </c>
    </row>
    <row r="923" spans="1:7" x14ac:dyDescent="0.3">
      <c r="A923" s="98" t="s">
        <v>88</v>
      </c>
      <c r="B923" s="106" t="s">
        <v>186</v>
      </c>
      <c r="C923" s="94">
        <v>46246</v>
      </c>
      <c r="D923" s="91" t="s">
        <v>16</v>
      </c>
      <c r="E923" s="98">
        <v>1004</v>
      </c>
      <c r="F923" s="90">
        <v>0.50111099999999997</v>
      </c>
      <c r="G923" s="92">
        <v>0.117565</v>
      </c>
    </row>
    <row r="924" spans="1:7" x14ac:dyDescent="0.3">
      <c r="A924" s="98" t="s">
        <v>88</v>
      </c>
      <c r="B924" s="106" t="s">
        <v>186</v>
      </c>
      <c r="C924" s="94">
        <v>46246</v>
      </c>
      <c r="D924" s="91" t="s">
        <v>17</v>
      </c>
      <c r="E924" s="98">
        <v>2030</v>
      </c>
      <c r="F924" s="90">
        <v>0.70398400000000005</v>
      </c>
      <c r="G924" s="92">
        <v>0.13963500000000001</v>
      </c>
    </row>
    <row r="925" spans="1:7" x14ac:dyDescent="0.3">
      <c r="A925" s="98" t="s">
        <v>88</v>
      </c>
      <c r="B925" s="106" t="s">
        <v>186</v>
      </c>
      <c r="C925" s="94">
        <v>46246</v>
      </c>
      <c r="D925" s="91" t="s">
        <v>18</v>
      </c>
      <c r="E925" s="98">
        <v>1268</v>
      </c>
      <c r="F925" s="90">
        <v>1.62218</v>
      </c>
      <c r="G925" s="92">
        <v>0.38552599999999998</v>
      </c>
    </row>
    <row r="926" spans="1:7" x14ac:dyDescent="0.3">
      <c r="A926" s="98" t="s">
        <v>88</v>
      </c>
      <c r="B926" s="106" t="s">
        <v>186</v>
      </c>
      <c r="C926" s="94">
        <v>46246</v>
      </c>
      <c r="D926" s="91" t="s">
        <v>19</v>
      </c>
      <c r="E926" s="98">
        <v>1477</v>
      </c>
      <c r="F926" s="90">
        <v>1.74108</v>
      </c>
      <c r="G926" s="92">
        <v>0.36779699999999999</v>
      </c>
    </row>
    <row r="927" spans="1:7" x14ac:dyDescent="0.3">
      <c r="A927" s="98" t="s">
        <v>88</v>
      </c>
      <c r="B927" s="106" t="s">
        <v>186</v>
      </c>
      <c r="C927" s="94">
        <v>46246</v>
      </c>
      <c r="D927" s="91" t="s">
        <v>20</v>
      </c>
      <c r="E927" s="98">
        <v>1456</v>
      </c>
      <c r="F927" s="90">
        <v>1.5929199999999999</v>
      </c>
      <c r="G927" s="92">
        <v>0.33326</v>
      </c>
    </row>
    <row r="928" spans="1:7" x14ac:dyDescent="0.3">
      <c r="A928" s="98" t="s">
        <v>88</v>
      </c>
      <c r="B928" s="106" t="s">
        <v>186</v>
      </c>
      <c r="C928" s="94">
        <v>46246</v>
      </c>
      <c r="D928" s="91" t="s">
        <v>34</v>
      </c>
      <c r="E928" s="98">
        <v>1071</v>
      </c>
      <c r="F928" s="90">
        <v>0.68545500000000004</v>
      </c>
      <c r="G928" s="92">
        <v>0.20788699999999999</v>
      </c>
    </row>
    <row r="929" spans="1:7" x14ac:dyDescent="0.3">
      <c r="A929" s="98" t="s">
        <v>88</v>
      </c>
      <c r="B929" s="106" t="s">
        <v>186</v>
      </c>
      <c r="C929" s="94">
        <v>46246</v>
      </c>
      <c r="D929" s="91" t="s">
        <v>21</v>
      </c>
      <c r="E929" s="98">
        <v>2477</v>
      </c>
      <c r="F929" s="90">
        <v>0.71321500000000004</v>
      </c>
      <c r="G929" s="92">
        <v>0.13899900000000001</v>
      </c>
    </row>
    <row r="930" spans="1:7" x14ac:dyDescent="0.3">
      <c r="A930" s="98" t="s">
        <v>88</v>
      </c>
      <c r="B930" s="106" t="s">
        <v>186</v>
      </c>
      <c r="C930" s="94">
        <v>46246</v>
      </c>
      <c r="D930" s="91" t="s">
        <v>22</v>
      </c>
      <c r="E930" s="98">
        <v>1664</v>
      </c>
      <c r="F930" s="90">
        <v>1.2822</v>
      </c>
      <c r="G930" s="92">
        <v>0.34958600000000001</v>
      </c>
    </row>
    <row r="931" spans="1:7" x14ac:dyDescent="0.3">
      <c r="A931" s="98" t="s">
        <v>88</v>
      </c>
      <c r="B931" s="106" t="s">
        <v>186</v>
      </c>
      <c r="C931" s="94">
        <v>46246</v>
      </c>
      <c r="D931" s="91" t="s">
        <v>23</v>
      </c>
      <c r="E931" s="98">
        <v>1378</v>
      </c>
      <c r="F931" s="90">
        <v>0.29906199999999999</v>
      </c>
      <c r="G931" s="92">
        <v>9.82402E-2</v>
      </c>
    </row>
    <row r="932" spans="1:7" x14ac:dyDescent="0.3">
      <c r="A932" s="98" t="s">
        <v>88</v>
      </c>
      <c r="B932" s="106" t="s">
        <v>186</v>
      </c>
      <c r="C932" s="94">
        <v>46246</v>
      </c>
      <c r="D932" s="91" t="s">
        <v>24</v>
      </c>
      <c r="E932" s="98">
        <v>1864</v>
      </c>
      <c r="F932" s="90">
        <v>0.340582</v>
      </c>
      <c r="G932" s="92">
        <v>0.104976</v>
      </c>
    </row>
    <row r="933" spans="1:7" x14ac:dyDescent="0.3">
      <c r="A933" s="98" t="s">
        <v>88</v>
      </c>
      <c r="B933" s="106" t="s">
        <v>186</v>
      </c>
      <c r="C933" s="94">
        <v>46246</v>
      </c>
      <c r="D933" s="91" t="s">
        <v>25</v>
      </c>
      <c r="E933" s="98">
        <v>1127</v>
      </c>
      <c r="F933" s="90">
        <v>0.30177900000000002</v>
      </c>
      <c r="G933" s="92">
        <v>7.2733400000000004E-2</v>
      </c>
    </row>
    <row r="934" spans="1:7" x14ac:dyDescent="0.3">
      <c r="A934" s="98" t="s">
        <v>88</v>
      </c>
      <c r="B934" s="106" t="s">
        <v>186</v>
      </c>
      <c r="C934" s="94">
        <v>46246</v>
      </c>
      <c r="D934" s="91" t="s">
        <v>26</v>
      </c>
      <c r="E934" s="98">
        <v>1616</v>
      </c>
      <c r="F934" s="90">
        <v>0.18582799999999999</v>
      </c>
      <c r="G934" s="92">
        <v>5.9869100000000001E-2</v>
      </c>
    </row>
    <row r="935" spans="1:7" x14ac:dyDescent="0.3">
      <c r="A935" s="98" t="s">
        <v>88</v>
      </c>
      <c r="B935" s="106" t="s">
        <v>186</v>
      </c>
      <c r="C935" s="94">
        <v>46246</v>
      </c>
      <c r="D935" s="91" t="s">
        <v>27</v>
      </c>
      <c r="E935" s="98">
        <v>1186</v>
      </c>
      <c r="F935" s="90">
        <v>0.55137800000000003</v>
      </c>
      <c r="G935" s="92">
        <v>0.12540499999999999</v>
      </c>
    </row>
    <row r="936" spans="1:7" x14ac:dyDescent="0.3">
      <c r="A936" s="98" t="s">
        <v>88</v>
      </c>
      <c r="B936" s="106" t="s">
        <v>186</v>
      </c>
      <c r="C936" s="94">
        <v>46246</v>
      </c>
      <c r="D936" s="91" t="s">
        <v>28</v>
      </c>
      <c r="E936" s="98">
        <v>1114</v>
      </c>
      <c r="F936" s="90">
        <v>0.25556699999999999</v>
      </c>
      <c r="G936" s="92">
        <v>5.7430799999999997E-2</v>
      </c>
    </row>
    <row r="937" spans="1:7" x14ac:dyDescent="0.3">
      <c r="A937" s="98" t="s">
        <v>88</v>
      </c>
      <c r="B937" s="106" t="s">
        <v>186</v>
      </c>
      <c r="C937" s="94">
        <v>46246</v>
      </c>
      <c r="D937" s="91" t="s">
        <v>29</v>
      </c>
      <c r="E937" s="98">
        <v>1155</v>
      </c>
      <c r="F937" s="90">
        <v>0.59922799999999998</v>
      </c>
      <c r="G937" s="92">
        <v>0.124347</v>
      </c>
    </row>
    <row r="938" spans="1:7" x14ac:dyDescent="0.3">
      <c r="A938" s="98" t="s">
        <v>88</v>
      </c>
      <c r="B938" s="106" t="s">
        <v>186</v>
      </c>
      <c r="C938" s="94">
        <v>46246</v>
      </c>
      <c r="D938" s="91" t="s">
        <v>30</v>
      </c>
      <c r="E938" s="98">
        <v>1362</v>
      </c>
      <c r="F938" s="90">
        <v>0.78241700000000003</v>
      </c>
      <c r="G938" s="92">
        <v>0.15779799999999999</v>
      </c>
    </row>
    <row r="939" spans="1:7" x14ac:dyDescent="0.3">
      <c r="A939" s="98" t="s">
        <v>88</v>
      </c>
      <c r="B939" s="106" t="s">
        <v>211</v>
      </c>
      <c r="C939" s="94">
        <v>46246</v>
      </c>
      <c r="D939" s="91" t="s">
        <v>14</v>
      </c>
      <c r="E939" s="98">
        <v>1683</v>
      </c>
      <c r="F939" s="90">
        <v>0.28791800000000001</v>
      </c>
      <c r="G939" s="92">
        <v>8.0959900000000001E-2</v>
      </c>
    </row>
    <row r="940" spans="1:7" x14ac:dyDescent="0.3">
      <c r="A940" s="98" t="s">
        <v>88</v>
      </c>
      <c r="B940" s="106" t="s">
        <v>211</v>
      </c>
      <c r="C940" s="94">
        <v>46246</v>
      </c>
      <c r="D940" s="91" t="s">
        <v>15</v>
      </c>
      <c r="E940" s="98">
        <v>1542</v>
      </c>
      <c r="F940" s="90">
        <v>0.37459399999999998</v>
      </c>
      <c r="G940" s="92">
        <v>9.8652500000000004E-2</v>
      </c>
    </row>
    <row r="941" spans="1:7" x14ac:dyDescent="0.3">
      <c r="A941" s="98" t="s">
        <v>88</v>
      </c>
      <c r="B941" s="106" t="s">
        <v>211</v>
      </c>
      <c r="C941" s="94">
        <v>46246</v>
      </c>
      <c r="D941" s="91" t="s">
        <v>16</v>
      </c>
      <c r="E941" s="98">
        <v>1003</v>
      </c>
      <c r="F941" s="90">
        <v>0.38369700000000001</v>
      </c>
      <c r="G941" s="92">
        <v>9.0057999999999999E-2</v>
      </c>
    </row>
    <row r="942" spans="1:7" x14ac:dyDescent="0.3">
      <c r="A942" s="98" t="s">
        <v>88</v>
      </c>
      <c r="B942" s="106" t="s">
        <v>211</v>
      </c>
      <c r="C942" s="94">
        <v>46246</v>
      </c>
      <c r="D942" s="91" t="s">
        <v>17</v>
      </c>
      <c r="E942" s="98">
        <v>2037</v>
      </c>
      <c r="F942" s="90">
        <v>0.45769599999999999</v>
      </c>
      <c r="G942" s="92">
        <v>9.0551999999999994E-2</v>
      </c>
    </row>
    <row r="943" spans="1:7" x14ac:dyDescent="0.3">
      <c r="A943" s="98" t="s">
        <v>88</v>
      </c>
      <c r="B943" s="106" t="s">
        <v>211</v>
      </c>
      <c r="C943" s="94">
        <v>46246</v>
      </c>
      <c r="D943" s="91" t="s">
        <v>18</v>
      </c>
      <c r="E943" s="98">
        <v>1376</v>
      </c>
      <c r="F943" s="90">
        <v>0.24545800000000001</v>
      </c>
      <c r="G943" s="92">
        <v>5.8411200000000003E-2</v>
      </c>
    </row>
    <row r="944" spans="1:7" x14ac:dyDescent="0.3">
      <c r="A944" s="98" t="s">
        <v>88</v>
      </c>
      <c r="B944" s="106" t="s">
        <v>211</v>
      </c>
      <c r="C944" s="94">
        <v>46246</v>
      </c>
      <c r="D944" s="91" t="s">
        <v>19</v>
      </c>
      <c r="E944" s="98">
        <v>1716</v>
      </c>
      <c r="F944" s="90">
        <v>0.33059899999999998</v>
      </c>
      <c r="G944" s="92">
        <v>6.9513400000000003E-2</v>
      </c>
    </row>
    <row r="945" spans="1:7" x14ac:dyDescent="0.3">
      <c r="A945" s="98" t="s">
        <v>88</v>
      </c>
      <c r="B945" s="106" t="s">
        <v>211</v>
      </c>
      <c r="C945" s="94">
        <v>46246</v>
      </c>
      <c r="D945" s="91" t="s">
        <v>20</v>
      </c>
      <c r="E945" s="98">
        <v>1710</v>
      </c>
      <c r="F945" s="90">
        <v>0.40410600000000002</v>
      </c>
      <c r="G945" s="92">
        <v>8.4524000000000002E-2</v>
      </c>
    </row>
    <row r="946" spans="1:7" x14ac:dyDescent="0.3">
      <c r="A946" s="98" t="s">
        <v>88</v>
      </c>
      <c r="B946" s="106" t="s">
        <v>211</v>
      </c>
      <c r="C946" s="94">
        <v>46246</v>
      </c>
      <c r="D946" s="91" t="s">
        <v>34</v>
      </c>
      <c r="E946" s="98">
        <v>1163</v>
      </c>
      <c r="F946" s="90">
        <v>0.20267299999999999</v>
      </c>
      <c r="G946" s="92">
        <v>6.1436400000000002E-2</v>
      </c>
    </row>
    <row r="947" spans="1:7" x14ac:dyDescent="0.3">
      <c r="A947" s="98" t="s">
        <v>88</v>
      </c>
      <c r="B947" s="106" t="s">
        <v>211</v>
      </c>
      <c r="C947" s="94">
        <v>46246</v>
      </c>
      <c r="D947" s="91" t="s">
        <v>21</v>
      </c>
      <c r="E947" s="98">
        <v>2627</v>
      </c>
      <c r="F947" s="90">
        <v>0.35921599999999998</v>
      </c>
      <c r="G947" s="92">
        <v>6.98965E-2</v>
      </c>
    </row>
    <row r="948" spans="1:7" x14ac:dyDescent="0.3">
      <c r="A948" s="98" t="s">
        <v>88</v>
      </c>
      <c r="B948" s="106" t="s">
        <v>211</v>
      </c>
      <c r="C948" s="94">
        <v>46246</v>
      </c>
      <c r="D948" s="91" t="s">
        <v>22</v>
      </c>
      <c r="E948" s="98">
        <v>1493</v>
      </c>
      <c r="F948" s="90">
        <v>0.34558699999999998</v>
      </c>
      <c r="G948" s="92">
        <v>9.3879599999999994E-2</v>
      </c>
    </row>
    <row r="949" spans="1:7" x14ac:dyDescent="0.3">
      <c r="A949" s="98" t="s">
        <v>88</v>
      </c>
      <c r="B949" s="106" t="s">
        <v>211</v>
      </c>
      <c r="C949" s="94">
        <v>46246</v>
      </c>
      <c r="D949" s="91" t="s">
        <v>23</v>
      </c>
      <c r="E949" s="98">
        <v>1093</v>
      </c>
      <c r="F949" s="90">
        <v>0.328629</v>
      </c>
      <c r="G949" s="92">
        <v>0.10785699999999999</v>
      </c>
    </row>
    <row r="950" spans="1:7" x14ac:dyDescent="0.3">
      <c r="A950" s="98" t="s">
        <v>88</v>
      </c>
      <c r="B950" s="106" t="s">
        <v>211</v>
      </c>
      <c r="C950" s="94">
        <v>46246</v>
      </c>
      <c r="D950" s="91" t="s">
        <v>24</v>
      </c>
      <c r="E950" s="98">
        <v>1769</v>
      </c>
      <c r="F950" s="90">
        <v>0.23980599999999999</v>
      </c>
      <c r="G950" s="92">
        <v>7.3883699999999997E-2</v>
      </c>
    </row>
    <row r="951" spans="1:7" x14ac:dyDescent="0.3">
      <c r="A951" s="98" t="s">
        <v>88</v>
      </c>
      <c r="B951" s="106" t="s">
        <v>211</v>
      </c>
      <c r="C951" s="94">
        <v>46246</v>
      </c>
      <c r="D951" s="91" t="s">
        <v>25</v>
      </c>
      <c r="E951" s="98">
        <v>1062</v>
      </c>
      <c r="F951" s="90">
        <v>0.20179</v>
      </c>
      <c r="G951" s="92">
        <v>4.8508799999999998E-2</v>
      </c>
    </row>
    <row r="952" spans="1:7" x14ac:dyDescent="0.3">
      <c r="A952" s="98" t="s">
        <v>88</v>
      </c>
      <c r="B952" s="106" t="s">
        <v>211</v>
      </c>
      <c r="C952" s="94">
        <v>46246</v>
      </c>
      <c r="D952" s="91" t="s">
        <v>26</v>
      </c>
      <c r="E952" s="98">
        <v>1622</v>
      </c>
      <c r="F952" s="90">
        <v>0.193277</v>
      </c>
      <c r="G952" s="92">
        <v>6.21506E-2</v>
      </c>
    </row>
    <row r="953" spans="1:7" x14ac:dyDescent="0.3">
      <c r="A953" s="98" t="s">
        <v>88</v>
      </c>
      <c r="B953" s="106" t="s">
        <v>211</v>
      </c>
      <c r="C953" s="94">
        <v>46246</v>
      </c>
      <c r="D953" s="91" t="s">
        <v>27</v>
      </c>
      <c r="E953" s="98">
        <v>1489</v>
      </c>
      <c r="F953" s="90">
        <v>0.27049299999999998</v>
      </c>
      <c r="G953" s="92">
        <v>6.13748E-2</v>
      </c>
    </row>
    <row r="954" spans="1:7" x14ac:dyDescent="0.3">
      <c r="A954" s="98" t="s">
        <v>88</v>
      </c>
      <c r="B954" s="106" t="s">
        <v>211</v>
      </c>
      <c r="C954" s="94">
        <v>46246</v>
      </c>
      <c r="D954" s="91" t="s">
        <v>28</v>
      </c>
      <c r="E954" s="98">
        <v>1456</v>
      </c>
      <c r="F954" s="90">
        <v>0.23838899999999999</v>
      </c>
      <c r="G954" s="92">
        <v>5.3503700000000001E-2</v>
      </c>
    </row>
    <row r="955" spans="1:7" x14ac:dyDescent="0.3">
      <c r="A955" s="98" t="s">
        <v>88</v>
      </c>
      <c r="B955" s="106" t="s">
        <v>211</v>
      </c>
      <c r="C955" s="94">
        <v>46246</v>
      </c>
      <c r="D955" s="91" t="s">
        <v>29</v>
      </c>
      <c r="E955" s="98">
        <v>1192</v>
      </c>
      <c r="F955" s="90">
        <v>0.31917299999999998</v>
      </c>
      <c r="G955" s="92">
        <v>6.6100599999999995E-2</v>
      </c>
    </row>
    <row r="956" spans="1:7" x14ac:dyDescent="0.3">
      <c r="A956" s="98" t="s">
        <v>88</v>
      </c>
      <c r="B956" s="106" t="s">
        <v>211</v>
      </c>
      <c r="C956" s="94">
        <v>46246</v>
      </c>
      <c r="D956" s="91" t="s">
        <v>30</v>
      </c>
      <c r="E956" s="98">
        <v>1261</v>
      </c>
      <c r="F956" s="90">
        <v>0.39015899999999998</v>
      </c>
      <c r="G956" s="92">
        <v>7.8531599999999993E-2</v>
      </c>
    </row>
    <row r="957" spans="1:7" x14ac:dyDescent="0.3">
      <c r="A957" s="98" t="s">
        <v>88</v>
      </c>
      <c r="B957" s="106" t="s">
        <v>189</v>
      </c>
      <c r="C957" s="94">
        <v>46246</v>
      </c>
      <c r="D957" s="91" t="s">
        <v>14</v>
      </c>
      <c r="E957" s="98">
        <v>2560</v>
      </c>
      <c r="F957" s="90">
        <v>0.43761499999999998</v>
      </c>
      <c r="G957" s="92">
        <v>0.123062</v>
      </c>
    </row>
    <row r="958" spans="1:7" x14ac:dyDescent="0.3">
      <c r="A958" s="98" t="s">
        <v>88</v>
      </c>
      <c r="B958" s="106" t="s">
        <v>189</v>
      </c>
      <c r="C958" s="94">
        <v>46246</v>
      </c>
      <c r="D958" s="91" t="s">
        <v>15</v>
      </c>
      <c r="E958" s="98">
        <v>2050</v>
      </c>
      <c r="F958" s="90">
        <v>0.50001200000000001</v>
      </c>
      <c r="G958" s="92">
        <v>0.131749</v>
      </c>
    </row>
    <row r="959" spans="1:7" x14ac:dyDescent="0.3">
      <c r="A959" s="98" t="s">
        <v>88</v>
      </c>
      <c r="B959" s="106" t="s">
        <v>189</v>
      </c>
      <c r="C959" s="94">
        <v>46246</v>
      </c>
      <c r="D959" s="91" t="s">
        <v>16</v>
      </c>
      <c r="E959" s="98">
        <v>1004</v>
      </c>
      <c r="F959" s="90">
        <v>0.396677</v>
      </c>
      <c r="G959" s="92">
        <v>9.3064800000000003E-2</v>
      </c>
    </row>
    <row r="960" spans="1:7" x14ac:dyDescent="0.3">
      <c r="A960" s="98" t="s">
        <v>88</v>
      </c>
      <c r="B960" s="106" t="s">
        <v>189</v>
      </c>
      <c r="C960" s="94">
        <v>46246</v>
      </c>
      <c r="D960" s="91" t="s">
        <v>17</v>
      </c>
      <c r="E960" s="98">
        <v>1927</v>
      </c>
      <c r="F960" s="90">
        <v>0.42604999999999998</v>
      </c>
      <c r="G960" s="92">
        <v>8.4276400000000001E-2</v>
      </c>
    </row>
    <row r="961" spans="1:7" x14ac:dyDescent="0.3">
      <c r="A961" s="98" t="s">
        <v>88</v>
      </c>
      <c r="B961" s="106" t="s">
        <v>189</v>
      </c>
      <c r="C961" s="94">
        <v>46246</v>
      </c>
      <c r="D961" s="91" t="s">
        <v>18</v>
      </c>
      <c r="E961" s="98">
        <v>1648</v>
      </c>
      <c r="F961" s="90">
        <v>0.23693500000000001</v>
      </c>
      <c r="G961" s="92">
        <v>5.6362200000000001E-2</v>
      </c>
    </row>
    <row r="962" spans="1:7" x14ac:dyDescent="0.3">
      <c r="A962" s="98" t="s">
        <v>88</v>
      </c>
      <c r="B962" s="106" t="s">
        <v>189</v>
      </c>
      <c r="C962" s="94">
        <v>46246</v>
      </c>
      <c r="D962" s="91" t="s">
        <v>19</v>
      </c>
      <c r="E962" s="98">
        <v>1785</v>
      </c>
      <c r="F962" s="90">
        <v>0.30307200000000001</v>
      </c>
      <c r="G962" s="92">
        <v>6.3706200000000004E-2</v>
      </c>
    </row>
    <row r="963" spans="1:7" x14ac:dyDescent="0.3">
      <c r="A963" s="98" t="s">
        <v>88</v>
      </c>
      <c r="B963" s="106" t="s">
        <v>189</v>
      </c>
      <c r="C963" s="94">
        <v>46246</v>
      </c>
      <c r="D963" s="91" t="s">
        <v>20</v>
      </c>
      <c r="E963" s="98">
        <v>1632</v>
      </c>
      <c r="F963" s="90">
        <v>0.29898000000000002</v>
      </c>
      <c r="G963" s="92">
        <v>6.2529699999999994E-2</v>
      </c>
    </row>
    <row r="964" spans="1:7" x14ac:dyDescent="0.3">
      <c r="A964" s="98" t="s">
        <v>88</v>
      </c>
      <c r="B964" s="106" t="s">
        <v>189</v>
      </c>
      <c r="C964" s="94">
        <v>46246</v>
      </c>
      <c r="D964" s="91" t="s">
        <v>34</v>
      </c>
      <c r="E964" s="98">
        <v>1124</v>
      </c>
      <c r="F964" s="90">
        <v>0.23336999999999999</v>
      </c>
      <c r="G964" s="92">
        <v>7.0697200000000002E-2</v>
      </c>
    </row>
    <row r="965" spans="1:7" x14ac:dyDescent="0.3">
      <c r="A965" s="98" t="s">
        <v>88</v>
      </c>
      <c r="B965" s="106" t="s">
        <v>189</v>
      </c>
      <c r="C965" s="94">
        <v>46246</v>
      </c>
      <c r="D965" s="91" t="s">
        <v>21</v>
      </c>
      <c r="E965" s="98">
        <v>2293</v>
      </c>
      <c r="F965" s="90">
        <v>0.50419899999999995</v>
      </c>
      <c r="G965" s="92">
        <v>9.8090200000000002E-2</v>
      </c>
    </row>
    <row r="966" spans="1:7" x14ac:dyDescent="0.3">
      <c r="A966" s="98" t="s">
        <v>88</v>
      </c>
      <c r="B966" s="106" t="s">
        <v>189</v>
      </c>
      <c r="C966" s="94">
        <v>46246</v>
      </c>
      <c r="D966" s="91" t="s">
        <v>22</v>
      </c>
      <c r="E966" s="98">
        <v>2004</v>
      </c>
      <c r="F966" s="90">
        <v>0.36100599999999999</v>
      </c>
      <c r="G966" s="92">
        <v>9.8004800000000003E-2</v>
      </c>
    </row>
    <row r="967" spans="1:7" x14ac:dyDescent="0.3">
      <c r="A967" s="98" t="s">
        <v>88</v>
      </c>
      <c r="B967" s="106" t="s">
        <v>189</v>
      </c>
      <c r="C967" s="94">
        <v>46246</v>
      </c>
      <c r="D967" s="91" t="s">
        <v>23</v>
      </c>
      <c r="E967" s="98">
        <v>1517</v>
      </c>
      <c r="F967" s="90">
        <v>0.55817000000000005</v>
      </c>
      <c r="G967" s="92">
        <v>0.18329200000000001</v>
      </c>
    </row>
    <row r="968" spans="1:7" x14ac:dyDescent="0.3">
      <c r="A968" s="98" t="s">
        <v>88</v>
      </c>
      <c r="B968" s="106" t="s">
        <v>189</v>
      </c>
      <c r="C968" s="94">
        <v>46246</v>
      </c>
      <c r="D968" s="91" t="s">
        <v>24</v>
      </c>
      <c r="E968" s="98">
        <v>1909</v>
      </c>
      <c r="F968" s="90">
        <v>0.181394</v>
      </c>
      <c r="G968" s="92">
        <v>5.5835000000000003E-2</v>
      </c>
    </row>
    <row r="969" spans="1:7" x14ac:dyDescent="0.3">
      <c r="A969" s="98" t="s">
        <v>88</v>
      </c>
      <c r="B969" s="106" t="s">
        <v>189</v>
      </c>
      <c r="C969" s="94">
        <v>46246</v>
      </c>
      <c r="D969" s="91" t="s">
        <v>25</v>
      </c>
      <c r="E969" s="98">
        <v>1010</v>
      </c>
      <c r="F969" s="90">
        <v>0.23325399999999999</v>
      </c>
      <c r="G969" s="92">
        <v>5.60755E-2</v>
      </c>
    </row>
    <row r="970" spans="1:7" x14ac:dyDescent="0.3">
      <c r="A970" s="98" t="s">
        <v>88</v>
      </c>
      <c r="B970" s="106" t="s">
        <v>189</v>
      </c>
      <c r="C970" s="94">
        <v>46246</v>
      </c>
      <c r="D970" s="91" t="s">
        <v>26</v>
      </c>
      <c r="E970" s="98">
        <v>1846</v>
      </c>
      <c r="F970" s="90">
        <v>0.15140600000000001</v>
      </c>
      <c r="G970" s="92">
        <v>4.8649299999999999E-2</v>
      </c>
    </row>
    <row r="971" spans="1:7" x14ac:dyDescent="0.3">
      <c r="A971" s="98" t="s">
        <v>88</v>
      </c>
      <c r="B971" s="106" t="s">
        <v>189</v>
      </c>
      <c r="C971" s="94">
        <v>46246</v>
      </c>
      <c r="D971" s="91" t="s">
        <v>27</v>
      </c>
      <c r="E971" s="98">
        <v>1168</v>
      </c>
      <c r="F971" s="90">
        <v>0.32158199999999998</v>
      </c>
      <c r="G971" s="92">
        <v>7.2941400000000003E-2</v>
      </c>
    </row>
    <row r="972" spans="1:7" x14ac:dyDescent="0.3">
      <c r="A972" s="98" t="s">
        <v>88</v>
      </c>
      <c r="B972" s="106" t="s">
        <v>189</v>
      </c>
      <c r="C972" s="94">
        <v>46246</v>
      </c>
      <c r="D972" s="91" t="s">
        <v>28</v>
      </c>
      <c r="E972" s="98">
        <v>1397</v>
      </c>
      <c r="F972" s="90">
        <v>0.30777500000000002</v>
      </c>
      <c r="G972" s="92">
        <v>6.9066799999999998E-2</v>
      </c>
    </row>
    <row r="973" spans="1:7" x14ac:dyDescent="0.3">
      <c r="A973" s="98" t="s">
        <v>88</v>
      </c>
      <c r="B973" s="106" t="s">
        <v>189</v>
      </c>
      <c r="C973" s="94">
        <v>46246</v>
      </c>
      <c r="D973" s="91" t="s">
        <v>29</v>
      </c>
      <c r="E973" s="98">
        <v>1221</v>
      </c>
      <c r="F973" s="90">
        <v>0.29533199999999998</v>
      </c>
      <c r="G973" s="92">
        <v>6.1141300000000003E-2</v>
      </c>
    </row>
    <row r="974" spans="1:7" x14ac:dyDescent="0.3">
      <c r="A974" s="98" t="s">
        <v>88</v>
      </c>
      <c r="B974" s="106" t="s">
        <v>189</v>
      </c>
      <c r="C974" s="94">
        <v>46246</v>
      </c>
      <c r="D974" s="91" t="s">
        <v>30</v>
      </c>
      <c r="E974" s="98">
        <v>1444</v>
      </c>
      <c r="F974" s="90">
        <v>0.38087300000000002</v>
      </c>
      <c r="G974" s="92">
        <v>7.6615100000000005E-2</v>
      </c>
    </row>
    <row r="975" spans="1:7" x14ac:dyDescent="0.3">
      <c r="A975" s="98" t="s">
        <v>88</v>
      </c>
      <c r="B975" s="106" t="s">
        <v>190</v>
      </c>
      <c r="C975" s="94">
        <v>46246</v>
      </c>
      <c r="D975" s="91" t="s">
        <v>14</v>
      </c>
      <c r="E975" s="98">
        <v>2389</v>
      </c>
      <c r="F975" s="90">
        <v>0.36908299999999999</v>
      </c>
      <c r="G975" s="92">
        <v>0.103765</v>
      </c>
    </row>
    <row r="976" spans="1:7" x14ac:dyDescent="0.3">
      <c r="A976" s="98" t="s">
        <v>88</v>
      </c>
      <c r="B976" s="106" t="s">
        <v>190</v>
      </c>
      <c r="C976" s="94">
        <v>46246</v>
      </c>
      <c r="D976" s="91" t="s">
        <v>15</v>
      </c>
      <c r="E976" s="98">
        <v>1852</v>
      </c>
      <c r="F976" s="90">
        <v>0.38283699999999998</v>
      </c>
      <c r="G976" s="92">
        <v>0.100854</v>
      </c>
    </row>
    <row r="977" spans="1:7" x14ac:dyDescent="0.3">
      <c r="A977" s="98" t="s">
        <v>88</v>
      </c>
      <c r="B977" s="106" t="s">
        <v>190</v>
      </c>
      <c r="C977" s="94">
        <v>46246</v>
      </c>
      <c r="D977" s="91" t="s">
        <v>16</v>
      </c>
      <c r="E977" s="98">
        <v>1102</v>
      </c>
      <c r="F977" s="90">
        <v>0.37531599999999998</v>
      </c>
      <c r="G977" s="92">
        <v>8.8076299999999996E-2</v>
      </c>
    </row>
    <row r="978" spans="1:7" x14ac:dyDescent="0.3">
      <c r="A978" s="98" t="s">
        <v>88</v>
      </c>
      <c r="B978" s="106" t="s">
        <v>190</v>
      </c>
      <c r="C978" s="94">
        <v>46246</v>
      </c>
      <c r="D978" s="91" t="s">
        <v>17</v>
      </c>
      <c r="E978" s="98">
        <v>1773</v>
      </c>
      <c r="F978" s="90">
        <v>0.41708800000000001</v>
      </c>
      <c r="G978" s="92">
        <v>8.2510200000000006E-2</v>
      </c>
    </row>
    <row r="979" spans="1:7" x14ac:dyDescent="0.3">
      <c r="A979" s="98" t="s">
        <v>88</v>
      </c>
      <c r="B979" s="106" t="s">
        <v>190</v>
      </c>
      <c r="C979" s="94">
        <v>46246</v>
      </c>
      <c r="D979" s="91" t="s">
        <v>18</v>
      </c>
      <c r="E979" s="98">
        <v>1550</v>
      </c>
      <c r="F979" s="90">
        <v>0.255467</v>
      </c>
      <c r="G979" s="92">
        <v>6.0779399999999997E-2</v>
      </c>
    </row>
    <row r="980" spans="1:7" x14ac:dyDescent="0.3">
      <c r="A980" s="98" t="s">
        <v>88</v>
      </c>
      <c r="B980" s="106" t="s">
        <v>190</v>
      </c>
      <c r="C980" s="94">
        <v>46246</v>
      </c>
      <c r="D980" s="91" t="s">
        <v>19</v>
      </c>
      <c r="E980" s="98">
        <v>1648</v>
      </c>
      <c r="F980" s="90">
        <v>0.34635100000000002</v>
      </c>
      <c r="G980" s="92">
        <v>7.2812100000000005E-2</v>
      </c>
    </row>
    <row r="981" spans="1:7" x14ac:dyDescent="0.3">
      <c r="A981" s="98" t="s">
        <v>88</v>
      </c>
      <c r="B981" s="106" t="s">
        <v>190</v>
      </c>
      <c r="C981" s="94">
        <v>46246</v>
      </c>
      <c r="D981" s="91" t="s">
        <v>20</v>
      </c>
      <c r="E981" s="98">
        <v>1831</v>
      </c>
      <c r="F981" s="90">
        <v>0.32270199999999999</v>
      </c>
      <c r="G981" s="92">
        <v>6.7503099999999996E-2</v>
      </c>
    </row>
    <row r="982" spans="1:7" x14ac:dyDescent="0.3">
      <c r="A982" s="98" t="s">
        <v>88</v>
      </c>
      <c r="B982" s="106" t="s">
        <v>190</v>
      </c>
      <c r="C982" s="94">
        <v>46246</v>
      </c>
      <c r="D982" s="91" t="s">
        <v>34</v>
      </c>
      <c r="E982" s="98">
        <v>1130</v>
      </c>
      <c r="F982" s="90">
        <v>0.19698099999999999</v>
      </c>
      <c r="G982" s="92">
        <v>5.9698500000000002E-2</v>
      </c>
    </row>
    <row r="983" spans="1:7" x14ac:dyDescent="0.3">
      <c r="A983" s="98" t="s">
        <v>88</v>
      </c>
      <c r="B983" s="106" t="s">
        <v>190</v>
      </c>
      <c r="C983" s="94">
        <v>46246</v>
      </c>
      <c r="D983" s="91" t="s">
        <v>21</v>
      </c>
      <c r="E983" s="98">
        <v>2471</v>
      </c>
      <c r="F983" s="90">
        <v>0.47091100000000002</v>
      </c>
      <c r="G983" s="92">
        <v>9.1606199999999999E-2</v>
      </c>
    </row>
    <row r="984" spans="1:7" x14ac:dyDescent="0.3">
      <c r="A984" s="98" t="s">
        <v>88</v>
      </c>
      <c r="B984" s="106" t="s">
        <v>190</v>
      </c>
      <c r="C984" s="94">
        <v>46246</v>
      </c>
      <c r="D984" s="91" t="s">
        <v>22</v>
      </c>
      <c r="E984" s="98">
        <v>1690</v>
      </c>
      <c r="F984" s="90">
        <v>0.34836</v>
      </c>
      <c r="G984" s="92">
        <v>9.4600500000000004E-2</v>
      </c>
    </row>
    <row r="985" spans="1:7" x14ac:dyDescent="0.3">
      <c r="A985" s="98" t="s">
        <v>88</v>
      </c>
      <c r="B985" s="106" t="s">
        <v>190</v>
      </c>
      <c r="C985" s="94">
        <v>46246</v>
      </c>
      <c r="D985" s="91" t="s">
        <v>23</v>
      </c>
      <c r="E985" s="98">
        <v>1393</v>
      </c>
      <c r="F985" s="90">
        <v>0.37065799999999999</v>
      </c>
      <c r="G985" s="92">
        <v>0.121674</v>
      </c>
    </row>
    <row r="986" spans="1:7" x14ac:dyDescent="0.3">
      <c r="A986" s="98" t="s">
        <v>88</v>
      </c>
      <c r="B986" s="106" t="s">
        <v>190</v>
      </c>
      <c r="C986" s="94">
        <v>46246</v>
      </c>
      <c r="D986" s="91" t="s">
        <v>24</v>
      </c>
      <c r="E986" s="98">
        <v>2068</v>
      </c>
      <c r="F986" s="90">
        <v>0.14955399999999999</v>
      </c>
      <c r="G986" s="92">
        <v>4.6043800000000003E-2</v>
      </c>
    </row>
    <row r="987" spans="1:7" x14ac:dyDescent="0.3">
      <c r="A987" s="98" t="s">
        <v>88</v>
      </c>
      <c r="B987" s="106" t="s">
        <v>190</v>
      </c>
      <c r="C987" s="94">
        <v>46246</v>
      </c>
      <c r="D987" s="91" t="s">
        <v>25</v>
      </c>
      <c r="E987" s="98">
        <v>1002</v>
      </c>
      <c r="F987" s="90">
        <v>0.27395599999999998</v>
      </c>
      <c r="G987" s="92">
        <v>6.5919000000000005E-2</v>
      </c>
    </row>
    <row r="988" spans="1:7" x14ac:dyDescent="0.3">
      <c r="A988" s="98" t="s">
        <v>88</v>
      </c>
      <c r="B988" s="106" t="s">
        <v>190</v>
      </c>
      <c r="C988" s="94">
        <v>46246</v>
      </c>
      <c r="D988" s="91" t="s">
        <v>26</v>
      </c>
      <c r="E988" s="98">
        <v>1657</v>
      </c>
      <c r="F988" s="90">
        <v>0.16448399999999999</v>
      </c>
      <c r="G988" s="92">
        <v>5.2883899999999998E-2</v>
      </c>
    </row>
    <row r="989" spans="1:7" x14ac:dyDescent="0.3">
      <c r="A989" s="98" t="s">
        <v>88</v>
      </c>
      <c r="B989" s="106" t="s">
        <v>190</v>
      </c>
      <c r="C989" s="94">
        <v>46246</v>
      </c>
      <c r="D989" s="91" t="s">
        <v>27</v>
      </c>
      <c r="E989" s="98">
        <v>1201</v>
      </c>
      <c r="F989" s="90">
        <v>0.31583499999999998</v>
      </c>
      <c r="G989" s="92">
        <v>7.1655099999999999E-2</v>
      </c>
    </row>
    <row r="990" spans="1:7" x14ac:dyDescent="0.3">
      <c r="A990" s="98" t="s">
        <v>88</v>
      </c>
      <c r="B990" s="106" t="s">
        <v>190</v>
      </c>
      <c r="C990" s="94">
        <v>46246</v>
      </c>
      <c r="D990" s="91" t="s">
        <v>28</v>
      </c>
      <c r="E990" s="98">
        <v>1028</v>
      </c>
      <c r="F990" s="90">
        <v>0.25137799999999999</v>
      </c>
      <c r="G990" s="92">
        <v>5.6391299999999998E-2</v>
      </c>
    </row>
    <row r="991" spans="1:7" x14ac:dyDescent="0.3">
      <c r="A991" s="98" t="s">
        <v>88</v>
      </c>
      <c r="B991" s="106" t="s">
        <v>190</v>
      </c>
      <c r="C991" s="94">
        <v>46246</v>
      </c>
      <c r="D991" s="91" t="s">
        <v>29</v>
      </c>
      <c r="E991" s="98">
        <v>1381</v>
      </c>
      <c r="F991" s="90">
        <v>0.27266600000000002</v>
      </c>
      <c r="G991" s="92">
        <v>5.6464399999999998E-2</v>
      </c>
    </row>
    <row r="992" spans="1:7" x14ac:dyDescent="0.3">
      <c r="A992" s="98" t="s">
        <v>88</v>
      </c>
      <c r="B992" s="106" t="s">
        <v>190</v>
      </c>
      <c r="C992" s="94">
        <v>46246</v>
      </c>
      <c r="D992" s="91" t="s">
        <v>30</v>
      </c>
      <c r="E992" s="98">
        <v>1182</v>
      </c>
      <c r="F992" s="90">
        <v>0.42752400000000002</v>
      </c>
      <c r="G992" s="92">
        <v>8.6021799999999995E-2</v>
      </c>
    </row>
    <row r="993" spans="1:7" x14ac:dyDescent="0.3">
      <c r="A993" s="98" t="s">
        <v>88</v>
      </c>
      <c r="B993" s="106" t="s">
        <v>191</v>
      </c>
      <c r="C993" s="94">
        <v>46246</v>
      </c>
      <c r="D993" s="91" t="s">
        <v>14</v>
      </c>
      <c r="E993" s="98">
        <v>2191</v>
      </c>
      <c r="F993" s="90">
        <v>0.37225799999999998</v>
      </c>
      <c r="G993" s="92">
        <v>0.10466399999999999</v>
      </c>
    </row>
    <row r="994" spans="1:7" x14ac:dyDescent="0.3">
      <c r="A994" s="98" t="s">
        <v>88</v>
      </c>
      <c r="B994" s="106" t="s">
        <v>191</v>
      </c>
      <c r="C994" s="94">
        <v>46246</v>
      </c>
      <c r="D994" s="91" t="s">
        <v>15</v>
      </c>
      <c r="E994" s="98">
        <v>1695</v>
      </c>
      <c r="F994" s="90">
        <v>0.403167</v>
      </c>
      <c r="G994" s="92">
        <v>0.106201</v>
      </c>
    </row>
    <row r="995" spans="1:7" x14ac:dyDescent="0.3">
      <c r="A995" s="98" t="s">
        <v>88</v>
      </c>
      <c r="B995" s="106" t="s">
        <v>191</v>
      </c>
      <c r="C995" s="94">
        <v>46246</v>
      </c>
      <c r="D995" s="91" t="s">
        <v>16</v>
      </c>
      <c r="E995" s="98">
        <v>1029</v>
      </c>
      <c r="F995" s="90">
        <v>0.37919599999999998</v>
      </c>
      <c r="G995" s="92">
        <v>8.8974700000000004E-2</v>
      </c>
    </row>
    <row r="996" spans="1:7" x14ac:dyDescent="0.3">
      <c r="A996" s="98" t="s">
        <v>88</v>
      </c>
      <c r="B996" s="106" t="s">
        <v>191</v>
      </c>
      <c r="C996" s="94">
        <v>46246</v>
      </c>
      <c r="D996" s="91" t="s">
        <v>17</v>
      </c>
      <c r="E996" s="98">
        <v>1965</v>
      </c>
      <c r="F996" s="90">
        <v>0.388349</v>
      </c>
      <c r="G996" s="92">
        <v>7.6811900000000002E-2</v>
      </c>
    </row>
    <row r="997" spans="1:7" x14ac:dyDescent="0.3">
      <c r="A997" s="98" t="s">
        <v>88</v>
      </c>
      <c r="B997" s="106" t="s">
        <v>191</v>
      </c>
      <c r="C997" s="94">
        <v>46246</v>
      </c>
      <c r="D997" s="91" t="s">
        <v>18</v>
      </c>
      <c r="E997" s="98">
        <v>1636</v>
      </c>
      <c r="F997" s="90">
        <v>0.21632599999999999</v>
      </c>
      <c r="G997" s="92">
        <v>5.1457299999999997E-2</v>
      </c>
    </row>
    <row r="998" spans="1:7" x14ac:dyDescent="0.3">
      <c r="A998" s="98" t="s">
        <v>88</v>
      </c>
      <c r="B998" s="106" t="s">
        <v>191</v>
      </c>
      <c r="C998" s="94">
        <v>46246</v>
      </c>
      <c r="D998" s="91" t="s">
        <v>19</v>
      </c>
      <c r="E998" s="98">
        <v>1715</v>
      </c>
      <c r="F998" s="90">
        <v>0.31617299999999998</v>
      </c>
      <c r="G998" s="92">
        <v>6.6485299999999997E-2</v>
      </c>
    </row>
    <row r="999" spans="1:7" x14ac:dyDescent="0.3">
      <c r="A999" s="98" t="s">
        <v>88</v>
      </c>
      <c r="B999" s="106" t="s">
        <v>191</v>
      </c>
      <c r="C999" s="94">
        <v>46246</v>
      </c>
      <c r="D999" s="91" t="s">
        <v>20</v>
      </c>
      <c r="E999" s="98">
        <v>1687</v>
      </c>
      <c r="F999" s="90">
        <v>0.35856399999999999</v>
      </c>
      <c r="G999" s="92">
        <v>7.49697E-2</v>
      </c>
    </row>
    <row r="1000" spans="1:7" x14ac:dyDescent="0.3">
      <c r="A1000" s="98" t="s">
        <v>88</v>
      </c>
      <c r="B1000" s="106" t="s">
        <v>191</v>
      </c>
      <c r="C1000" s="94">
        <v>46246</v>
      </c>
      <c r="D1000" s="91" t="s">
        <v>34</v>
      </c>
      <c r="E1000" s="98">
        <v>1007</v>
      </c>
      <c r="F1000" s="90">
        <v>0.21589</v>
      </c>
      <c r="G1000" s="92">
        <v>6.5395499999999995E-2</v>
      </c>
    </row>
    <row r="1001" spans="1:7" x14ac:dyDescent="0.3">
      <c r="A1001" s="98" t="s">
        <v>88</v>
      </c>
      <c r="B1001" s="106" t="s">
        <v>191</v>
      </c>
      <c r="C1001" s="94">
        <v>46246</v>
      </c>
      <c r="D1001" s="91" t="s">
        <v>21</v>
      </c>
      <c r="E1001" s="98">
        <v>2559</v>
      </c>
      <c r="F1001" s="90">
        <v>0.43557200000000001</v>
      </c>
      <c r="G1001" s="92">
        <v>8.4743100000000002E-2</v>
      </c>
    </row>
    <row r="1002" spans="1:7" x14ac:dyDescent="0.3">
      <c r="A1002" s="98" t="s">
        <v>88</v>
      </c>
      <c r="B1002" s="106" t="s">
        <v>191</v>
      </c>
      <c r="C1002" s="94">
        <v>46246</v>
      </c>
      <c r="D1002" s="91" t="s">
        <v>22</v>
      </c>
      <c r="E1002" s="98">
        <v>1960</v>
      </c>
      <c r="F1002" s="90">
        <v>0.37569200000000003</v>
      </c>
      <c r="G1002" s="92">
        <v>0.102023</v>
      </c>
    </row>
    <row r="1003" spans="1:7" x14ac:dyDescent="0.3">
      <c r="A1003" s="98" t="s">
        <v>88</v>
      </c>
      <c r="B1003" s="106" t="s">
        <v>191</v>
      </c>
      <c r="C1003" s="94">
        <v>46246</v>
      </c>
      <c r="D1003" s="91" t="s">
        <v>23</v>
      </c>
      <c r="E1003" s="98">
        <v>1278</v>
      </c>
      <c r="F1003" s="90">
        <v>0.43094399999999999</v>
      </c>
      <c r="G1003" s="92">
        <v>0.14143</v>
      </c>
    </row>
    <row r="1004" spans="1:7" x14ac:dyDescent="0.3">
      <c r="A1004" s="98" t="s">
        <v>88</v>
      </c>
      <c r="B1004" s="106" t="s">
        <v>191</v>
      </c>
      <c r="C1004" s="94">
        <v>46246</v>
      </c>
      <c r="D1004" s="91" t="s">
        <v>24</v>
      </c>
      <c r="E1004" s="98">
        <v>2164</v>
      </c>
      <c r="F1004" s="90">
        <v>0.141343</v>
      </c>
      <c r="G1004" s="92">
        <v>4.3519099999999998E-2</v>
      </c>
    </row>
    <row r="1005" spans="1:7" x14ac:dyDescent="0.3">
      <c r="A1005" s="98" t="s">
        <v>88</v>
      </c>
      <c r="B1005" s="106" t="s">
        <v>191</v>
      </c>
      <c r="C1005" s="94">
        <v>46246</v>
      </c>
      <c r="D1005" s="91" t="s">
        <v>25</v>
      </c>
      <c r="E1005" s="98">
        <v>1036</v>
      </c>
      <c r="F1005" s="90">
        <v>0.31674000000000002</v>
      </c>
      <c r="G1005" s="92">
        <v>7.6238600000000004E-2</v>
      </c>
    </row>
    <row r="1006" spans="1:7" x14ac:dyDescent="0.3">
      <c r="A1006" s="98" t="s">
        <v>88</v>
      </c>
      <c r="B1006" s="106" t="s">
        <v>191</v>
      </c>
      <c r="C1006" s="94">
        <v>46246</v>
      </c>
      <c r="D1006" s="91" t="s">
        <v>26</v>
      </c>
      <c r="E1006" s="98">
        <v>1663</v>
      </c>
      <c r="F1006" s="90">
        <v>0.134521</v>
      </c>
      <c r="G1006" s="92">
        <v>4.3235999999999997E-2</v>
      </c>
    </row>
    <row r="1007" spans="1:7" x14ac:dyDescent="0.3">
      <c r="A1007" s="98" t="s">
        <v>88</v>
      </c>
      <c r="B1007" s="106" t="s">
        <v>191</v>
      </c>
      <c r="C1007" s="94">
        <v>46246</v>
      </c>
      <c r="D1007" s="91" t="s">
        <v>27</v>
      </c>
      <c r="E1007" s="98">
        <v>1160</v>
      </c>
      <c r="F1007" s="90">
        <v>0.31430399999999997</v>
      </c>
      <c r="G1007" s="92">
        <v>7.1301799999999999E-2</v>
      </c>
    </row>
    <row r="1008" spans="1:7" x14ac:dyDescent="0.3">
      <c r="A1008" s="98" t="s">
        <v>88</v>
      </c>
      <c r="B1008" s="106" t="s">
        <v>191</v>
      </c>
      <c r="C1008" s="94">
        <v>46246</v>
      </c>
      <c r="D1008" s="91" t="s">
        <v>28</v>
      </c>
      <c r="E1008" s="98">
        <v>1113</v>
      </c>
      <c r="F1008" s="90">
        <v>0.29616500000000001</v>
      </c>
      <c r="G1008" s="92">
        <v>6.6450200000000001E-2</v>
      </c>
    </row>
    <row r="1009" spans="1:7" x14ac:dyDescent="0.3">
      <c r="A1009" s="98" t="s">
        <v>88</v>
      </c>
      <c r="B1009" s="106" t="s">
        <v>191</v>
      </c>
      <c r="C1009" s="94">
        <v>46246</v>
      </c>
      <c r="D1009" s="91" t="s">
        <v>29</v>
      </c>
      <c r="E1009" s="98">
        <v>1210</v>
      </c>
      <c r="F1009" s="90">
        <v>0.29637000000000002</v>
      </c>
      <c r="G1009" s="92">
        <v>6.1366299999999999E-2</v>
      </c>
    </row>
    <row r="1010" spans="1:7" x14ac:dyDescent="0.3">
      <c r="A1010" s="98" t="s">
        <v>88</v>
      </c>
      <c r="B1010" s="106" t="s">
        <v>191</v>
      </c>
      <c r="C1010" s="94">
        <v>46246</v>
      </c>
      <c r="D1010" s="91" t="s">
        <v>30</v>
      </c>
      <c r="E1010" s="98">
        <v>1321</v>
      </c>
      <c r="F1010" s="90">
        <v>0.38237900000000002</v>
      </c>
      <c r="G1010" s="92">
        <v>7.6910900000000004E-2</v>
      </c>
    </row>
    <row r="1011" spans="1:7" x14ac:dyDescent="0.3">
      <c r="A1011" s="98" t="s">
        <v>88</v>
      </c>
      <c r="B1011" s="106" t="s">
        <v>212</v>
      </c>
      <c r="C1011" s="94">
        <v>46246</v>
      </c>
      <c r="D1011" s="91" t="s">
        <v>14</v>
      </c>
      <c r="E1011" s="98">
        <v>2527</v>
      </c>
      <c r="F1011" s="90">
        <v>0.39891100000000002</v>
      </c>
      <c r="G1011" s="92">
        <v>0.121493</v>
      </c>
    </row>
    <row r="1012" spans="1:7" x14ac:dyDescent="0.3">
      <c r="A1012" s="98" t="s">
        <v>88</v>
      </c>
      <c r="B1012" s="106" t="s">
        <v>212</v>
      </c>
      <c r="C1012" s="94">
        <v>46246</v>
      </c>
      <c r="D1012" s="91" t="s">
        <v>15</v>
      </c>
      <c r="E1012" s="98">
        <v>2167</v>
      </c>
      <c r="F1012" s="90">
        <v>0.46268300000000001</v>
      </c>
      <c r="G1012" s="92">
        <v>0.12789</v>
      </c>
    </row>
    <row r="1013" spans="1:7" x14ac:dyDescent="0.3">
      <c r="A1013" s="98" t="s">
        <v>88</v>
      </c>
      <c r="B1013" s="106" t="s">
        <v>212</v>
      </c>
      <c r="C1013" s="94">
        <v>46246</v>
      </c>
      <c r="D1013" s="91" t="s">
        <v>16</v>
      </c>
      <c r="E1013" s="98">
        <v>1004</v>
      </c>
      <c r="F1013" s="90">
        <v>0.421323</v>
      </c>
      <c r="G1013" s="92">
        <v>0.100045</v>
      </c>
    </row>
    <row r="1014" spans="1:7" x14ac:dyDescent="0.3">
      <c r="A1014" s="98" t="s">
        <v>88</v>
      </c>
      <c r="B1014" s="106" t="s">
        <v>212</v>
      </c>
      <c r="C1014" s="94">
        <v>46246</v>
      </c>
      <c r="D1014" s="91" t="s">
        <v>17</v>
      </c>
      <c r="E1014" s="98">
        <v>2108</v>
      </c>
      <c r="F1014" s="90">
        <v>0.45769599999999999</v>
      </c>
      <c r="G1014" s="92">
        <v>9.0551999999999994E-2</v>
      </c>
    </row>
    <row r="1015" spans="1:7" x14ac:dyDescent="0.3">
      <c r="A1015" s="98" t="s">
        <v>88</v>
      </c>
      <c r="B1015" s="106" t="s">
        <v>212</v>
      </c>
      <c r="C1015" s="94">
        <v>46246</v>
      </c>
      <c r="D1015" s="91" t="s">
        <v>18</v>
      </c>
      <c r="E1015" s="98">
        <v>1583</v>
      </c>
      <c r="F1015" s="90">
        <v>0.203433</v>
      </c>
      <c r="G1015" s="92">
        <v>4.7329799999999998E-2</v>
      </c>
    </row>
    <row r="1016" spans="1:7" x14ac:dyDescent="0.3">
      <c r="A1016" s="98" t="s">
        <v>88</v>
      </c>
      <c r="B1016" s="106" t="s">
        <v>212</v>
      </c>
      <c r="C1016" s="94">
        <v>46246</v>
      </c>
      <c r="D1016" s="91" t="s">
        <v>19</v>
      </c>
      <c r="E1016" s="98">
        <v>1931</v>
      </c>
      <c r="F1016" s="90">
        <v>0.33059899999999998</v>
      </c>
      <c r="G1016" s="92">
        <v>6.9513400000000003E-2</v>
      </c>
    </row>
    <row r="1017" spans="1:7" x14ac:dyDescent="0.3">
      <c r="A1017" s="98" t="s">
        <v>88</v>
      </c>
      <c r="B1017" s="106" t="s">
        <v>212</v>
      </c>
      <c r="C1017" s="94">
        <v>46246</v>
      </c>
      <c r="D1017" s="91" t="s">
        <v>20</v>
      </c>
      <c r="E1017" s="98">
        <v>1887</v>
      </c>
      <c r="F1017" s="90">
        <v>0.396534</v>
      </c>
      <c r="G1017" s="92">
        <v>7.8763899999999998E-2</v>
      </c>
    </row>
    <row r="1018" spans="1:7" x14ac:dyDescent="0.3">
      <c r="A1018" s="98" t="s">
        <v>88</v>
      </c>
      <c r="B1018" s="106" t="s">
        <v>212</v>
      </c>
      <c r="C1018" s="94">
        <v>46246</v>
      </c>
      <c r="D1018" s="91" t="s">
        <v>34</v>
      </c>
      <c r="E1018" s="98">
        <v>1073</v>
      </c>
      <c r="F1018" s="90">
        <v>0.190972</v>
      </c>
      <c r="G1018" s="92">
        <v>5.27853E-2</v>
      </c>
    </row>
    <row r="1019" spans="1:7" x14ac:dyDescent="0.3">
      <c r="A1019" s="98" t="s">
        <v>88</v>
      </c>
      <c r="B1019" s="106" t="s">
        <v>212</v>
      </c>
      <c r="C1019" s="94">
        <v>46246</v>
      </c>
      <c r="D1019" s="91" t="s">
        <v>21</v>
      </c>
      <c r="E1019" s="98">
        <v>2758</v>
      </c>
      <c r="F1019" s="90">
        <v>0.49648700000000001</v>
      </c>
      <c r="G1019" s="92">
        <v>0.100312</v>
      </c>
    </row>
    <row r="1020" spans="1:7" x14ac:dyDescent="0.3">
      <c r="A1020" s="98" t="s">
        <v>88</v>
      </c>
      <c r="B1020" s="106" t="s">
        <v>212</v>
      </c>
      <c r="C1020" s="94">
        <v>46246</v>
      </c>
      <c r="D1020" s="91" t="s">
        <v>22</v>
      </c>
      <c r="E1020" s="98">
        <v>2226</v>
      </c>
      <c r="F1020" s="90">
        <v>0.27875</v>
      </c>
      <c r="G1020" s="92">
        <v>7.0153599999999997E-2</v>
      </c>
    </row>
    <row r="1021" spans="1:7" x14ac:dyDescent="0.3">
      <c r="A1021" s="98" t="s">
        <v>88</v>
      </c>
      <c r="B1021" s="106" t="s">
        <v>212</v>
      </c>
      <c r="C1021" s="94">
        <v>46246</v>
      </c>
      <c r="D1021" s="91" t="s">
        <v>23</v>
      </c>
      <c r="E1021" s="98">
        <v>1402</v>
      </c>
      <c r="F1021" s="90">
        <v>0.351775</v>
      </c>
      <c r="G1021" s="92">
        <v>0.12987599999999999</v>
      </c>
    </row>
    <row r="1022" spans="1:7" x14ac:dyDescent="0.3">
      <c r="A1022" s="98" t="s">
        <v>88</v>
      </c>
      <c r="B1022" s="106" t="s">
        <v>212</v>
      </c>
      <c r="C1022" s="94">
        <v>46246</v>
      </c>
      <c r="D1022" s="91" t="s">
        <v>24</v>
      </c>
      <c r="E1022" s="98">
        <v>2182</v>
      </c>
      <c r="F1022" s="90">
        <v>0.13330800000000001</v>
      </c>
      <c r="G1022" s="92">
        <v>4.5813899999999998E-2</v>
      </c>
    </row>
    <row r="1023" spans="1:7" x14ac:dyDescent="0.3">
      <c r="A1023" s="98" t="s">
        <v>88</v>
      </c>
      <c r="B1023" s="106" t="s">
        <v>212</v>
      </c>
      <c r="C1023" s="94">
        <v>46246</v>
      </c>
      <c r="D1023" s="91" t="s">
        <v>25</v>
      </c>
      <c r="E1023" s="98">
        <v>1092</v>
      </c>
      <c r="F1023" s="90">
        <v>0.26752399999999998</v>
      </c>
      <c r="G1023" s="92">
        <v>6.8503900000000006E-2</v>
      </c>
    </row>
    <row r="1024" spans="1:7" x14ac:dyDescent="0.3">
      <c r="A1024" s="98" t="s">
        <v>88</v>
      </c>
      <c r="B1024" s="106" t="s">
        <v>212</v>
      </c>
      <c r="C1024" s="94">
        <v>46246</v>
      </c>
      <c r="D1024" s="91" t="s">
        <v>26</v>
      </c>
      <c r="E1024" s="98">
        <v>2017</v>
      </c>
      <c r="F1024" s="90">
        <v>0.25748700000000002</v>
      </c>
      <c r="G1024" s="92">
        <v>7.4466000000000004E-2</v>
      </c>
    </row>
    <row r="1025" spans="1:7" x14ac:dyDescent="0.3">
      <c r="A1025" s="98" t="s">
        <v>88</v>
      </c>
      <c r="B1025" s="106" t="s">
        <v>212</v>
      </c>
      <c r="C1025" s="94">
        <v>46246</v>
      </c>
      <c r="D1025" s="91" t="s">
        <v>27</v>
      </c>
      <c r="E1025" s="98">
        <v>1479</v>
      </c>
      <c r="F1025" s="90">
        <v>0.28928199999999998</v>
      </c>
      <c r="G1025" s="92">
        <v>6.6886100000000004E-2</v>
      </c>
    </row>
    <row r="1026" spans="1:7" x14ac:dyDescent="0.3">
      <c r="A1026" s="98" t="s">
        <v>88</v>
      </c>
      <c r="B1026" s="106" t="s">
        <v>212</v>
      </c>
      <c r="C1026" s="94">
        <v>46246</v>
      </c>
      <c r="D1026" s="91" t="s">
        <v>28</v>
      </c>
      <c r="E1026" s="98">
        <v>1072</v>
      </c>
      <c r="F1026" s="90">
        <v>0.27339799999999997</v>
      </c>
      <c r="G1026" s="92">
        <v>6.0473499999999999E-2</v>
      </c>
    </row>
    <row r="1027" spans="1:7" x14ac:dyDescent="0.3">
      <c r="A1027" s="98" t="s">
        <v>88</v>
      </c>
      <c r="B1027" s="106" t="s">
        <v>212</v>
      </c>
      <c r="C1027" s="94">
        <v>46246</v>
      </c>
      <c r="D1027" s="91" t="s">
        <v>29</v>
      </c>
      <c r="E1027" s="98">
        <v>1425</v>
      </c>
      <c r="F1027" s="90">
        <v>0.30196200000000001</v>
      </c>
      <c r="G1027" s="92">
        <v>6.4735600000000004E-2</v>
      </c>
    </row>
    <row r="1028" spans="1:7" x14ac:dyDescent="0.3">
      <c r="A1028" s="98" t="s">
        <v>88</v>
      </c>
      <c r="B1028" s="106" t="s">
        <v>212</v>
      </c>
      <c r="C1028" s="94">
        <v>46246</v>
      </c>
      <c r="D1028" s="91" t="s">
        <v>30</v>
      </c>
      <c r="E1028" s="98">
        <v>1442</v>
      </c>
      <c r="F1028" s="90">
        <v>0.43193900000000002</v>
      </c>
      <c r="G1028" s="92">
        <v>8.3982000000000001E-2</v>
      </c>
    </row>
    <row r="1029" spans="1:7" x14ac:dyDescent="0.3">
      <c r="A1029" s="98" t="s">
        <v>81</v>
      </c>
      <c r="B1029" s="106" t="str">
        <f t="shared" ref="B1029:B1046" si="0">IF($A1029="Daily", "n/a", "")</f>
        <v>n/a</v>
      </c>
      <c r="C1029" s="94">
        <v>46247</v>
      </c>
      <c r="D1029" s="91" t="s">
        <v>14</v>
      </c>
      <c r="E1029" s="98">
        <v>2333</v>
      </c>
      <c r="F1029" s="90">
        <v>0.40513300000000002</v>
      </c>
      <c r="G1029" s="92">
        <v>0.113922</v>
      </c>
    </row>
    <row r="1030" spans="1:7" x14ac:dyDescent="0.3">
      <c r="A1030" s="98" t="s">
        <v>81</v>
      </c>
      <c r="B1030" s="106" t="str">
        <f t="shared" si="0"/>
        <v>n/a</v>
      </c>
      <c r="C1030" s="94">
        <v>46247</v>
      </c>
      <c r="D1030" s="91" t="s">
        <v>15</v>
      </c>
      <c r="E1030" s="98">
        <v>1823</v>
      </c>
      <c r="F1030" s="90">
        <v>0.45545999999999998</v>
      </c>
      <c r="G1030" s="92">
        <v>0.120023</v>
      </c>
    </row>
    <row r="1031" spans="1:7" x14ac:dyDescent="0.3">
      <c r="A1031" s="98" t="s">
        <v>81</v>
      </c>
      <c r="B1031" s="106" t="str">
        <f t="shared" si="0"/>
        <v>n/a</v>
      </c>
      <c r="C1031" s="94">
        <v>46247</v>
      </c>
      <c r="D1031" s="91" t="s">
        <v>16</v>
      </c>
      <c r="E1031" s="98">
        <v>1149</v>
      </c>
      <c r="F1031" s="90">
        <v>0.37745299999999998</v>
      </c>
      <c r="G1031" s="92">
        <v>8.8552900000000004E-2</v>
      </c>
    </row>
    <row r="1032" spans="1:7" x14ac:dyDescent="0.3">
      <c r="A1032" s="98" t="s">
        <v>81</v>
      </c>
      <c r="B1032" s="106" t="str">
        <f t="shared" si="0"/>
        <v>n/a</v>
      </c>
      <c r="C1032" s="94">
        <v>46247</v>
      </c>
      <c r="D1032" s="91" t="s">
        <v>17</v>
      </c>
      <c r="E1032" s="98">
        <v>1864</v>
      </c>
      <c r="F1032" s="90">
        <v>0.450706</v>
      </c>
      <c r="G1032" s="92">
        <v>8.9120500000000005E-2</v>
      </c>
    </row>
    <row r="1033" spans="1:7" x14ac:dyDescent="0.3">
      <c r="A1033" s="98" t="s">
        <v>81</v>
      </c>
      <c r="B1033" s="106" t="str">
        <f t="shared" si="0"/>
        <v>n/a</v>
      </c>
      <c r="C1033" s="94">
        <v>46247</v>
      </c>
      <c r="D1033" s="91" t="s">
        <v>18</v>
      </c>
      <c r="E1033" s="98">
        <v>1421</v>
      </c>
      <c r="F1033" s="90">
        <v>0.21718199999999999</v>
      </c>
      <c r="G1033" s="92">
        <v>5.1662399999999997E-2</v>
      </c>
    </row>
    <row r="1034" spans="1:7" x14ac:dyDescent="0.3">
      <c r="A1034" s="98" t="s">
        <v>81</v>
      </c>
      <c r="B1034" s="106" t="str">
        <f t="shared" si="0"/>
        <v>n/a</v>
      </c>
      <c r="C1034" s="94">
        <v>46247</v>
      </c>
      <c r="D1034" s="91" t="s">
        <v>19</v>
      </c>
      <c r="E1034" s="98">
        <v>1542</v>
      </c>
      <c r="F1034" s="90">
        <v>0.35380299999999998</v>
      </c>
      <c r="G1034" s="92">
        <v>7.4387800000000004E-2</v>
      </c>
    </row>
    <row r="1035" spans="1:7" x14ac:dyDescent="0.3">
      <c r="A1035" s="98" t="s">
        <v>81</v>
      </c>
      <c r="B1035" s="106" t="str">
        <f t="shared" si="0"/>
        <v>n/a</v>
      </c>
      <c r="C1035" s="94">
        <v>46247</v>
      </c>
      <c r="D1035" s="91" t="s">
        <v>20</v>
      </c>
      <c r="E1035" s="98">
        <v>1458</v>
      </c>
      <c r="F1035" s="90">
        <v>0.35374899999999998</v>
      </c>
      <c r="G1035" s="92">
        <v>7.3980000000000004E-2</v>
      </c>
    </row>
    <row r="1036" spans="1:7" x14ac:dyDescent="0.3">
      <c r="A1036" s="98" t="s">
        <v>81</v>
      </c>
      <c r="B1036" s="106" t="str">
        <f t="shared" si="0"/>
        <v>n/a</v>
      </c>
      <c r="C1036" s="94">
        <v>46247</v>
      </c>
      <c r="D1036" s="91" t="s">
        <v>34</v>
      </c>
      <c r="E1036" s="98">
        <v>1092</v>
      </c>
      <c r="F1036" s="90">
        <v>0.18215500000000001</v>
      </c>
      <c r="G1036" s="92">
        <v>5.5200300000000001E-2</v>
      </c>
    </row>
    <row r="1037" spans="1:7" x14ac:dyDescent="0.3">
      <c r="A1037" s="98" t="s">
        <v>81</v>
      </c>
      <c r="B1037" s="106" t="str">
        <f t="shared" si="0"/>
        <v>n/a</v>
      </c>
      <c r="C1037" s="94">
        <v>46247</v>
      </c>
      <c r="D1037" s="91" t="s">
        <v>21</v>
      </c>
      <c r="E1037" s="98">
        <v>2428</v>
      </c>
      <c r="F1037" s="90">
        <v>0.53639599999999998</v>
      </c>
      <c r="G1037" s="92">
        <v>0.10433099999999999</v>
      </c>
    </row>
    <row r="1038" spans="1:7" x14ac:dyDescent="0.3">
      <c r="A1038" s="98" t="s">
        <v>81</v>
      </c>
      <c r="B1038" s="106" t="str">
        <f t="shared" si="0"/>
        <v>n/a</v>
      </c>
      <c r="C1038" s="94">
        <v>46247</v>
      </c>
      <c r="D1038" s="91" t="s">
        <v>22</v>
      </c>
      <c r="E1038" s="98">
        <v>1369</v>
      </c>
      <c r="F1038" s="90">
        <v>0.38875100000000001</v>
      </c>
      <c r="G1038" s="92">
        <v>0.105559</v>
      </c>
    </row>
    <row r="1039" spans="1:7" x14ac:dyDescent="0.3">
      <c r="A1039" s="98" t="s">
        <v>81</v>
      </c>
      <c r="B1039" s="106" t="str">
        <f t="shared" si="0"/>
        <v>n/a</v>
      </c>
      <c r="C1039" s="94">
        <v>46247</v>
      </c>
      <c r="D1039" s="91" t="s">
        <v>23</v>
      </c>
      <c r="E1039" s="98">
        <v>1535</v>
      </c>
      <c r="F1039" s="90">
        <v>0.38173400000000002</v>
      </c>
      <c r="G1039" s="92">
        <v>0.12531</v>
      </c>
    </row>
    <row r="1040" spans="1:7" x14ac:dyDescent="0.3">
      <c r="A1040" s="98" t="s">
        <v>81</v>
      </c>
      <c r="B1040" s="106" t="str">
        <f t="shared" si="0"/>
        <v>n/a</v>
      </c>
      <c r="C1040" s="94">
        <v>46247</v>
      </c>
      <c r="D1040" s="91" t="s">
        <v>24</v>
      </c>
      <c r="E1040" s="98">
        <v>2256</v>
      </c>
      <c r="F1040" s="90">
        <v>0.18396000000000001</v>
      </c>
      <c r="G1040" s="92">
        <v>5.6661400000000001E-2</v>
      </c>
    </row>
    <row r="1041" spans="1:7" x14ac:dyDescent="0.3">
      <c r="A1041" s="98" t="s">
        <v>81</v>
      </c>
      <c r="B1041" s="106" t="str">
        <f t="shared" si="0"/>
        <v>n/a</v>
      </c>
      <c r="C1041" s="94">
        <v>46247</v>
      </c>
      <c r="D1041" s="91" t="s">
        <v>25</v>
      </c>
      <c r="E1041" s="98">
        <v>1052</v>
      </c>
      <c r="F1041" s="90">
        <v>0.36312100000000003</v>
      </c>
      <c r="G1041" s="92">
        <v>8.7344000000000005E-2</v>
      </c>
    </row>
    <row r="1042" spans="1:7" x14ac:dyDescent="0.3">
      <c r="A1042" s="98" t="s">
        <v>81</v>
      </c>
      <c r="B1042" s="106" t="str">
        <f t="shared" si="0"/>
        <v>n/a</v>
      </c>
      <c r="C1042" s="94">
        <v>46247</v>
      </c>
      <c r="D1042" s="91" t="s">
        <v>26</v>
      </c>
      <c r="E1042" s="98">
        <v>1292</v>
      </c>
      <c r="F1042" s="90">
        <v>0.13841200000000001</v>
      </c>
      <c r="G1042" s="92">
        <v>4.45136E-2</v>
      </c>
    </row>
    <row r="1043" spans="1:7" x14ac:dyDescent="0.3">
      <c r="A1043" s="98" t="s">
        <v>81</v>
      </c>
      <c r="B1043" s="106" t="str">
        <f t="shared" si="0"/>
        <v>n/a</v>
      </c>
      <c r="C1043" s="94">
        <v>46247</v>
      </c>
      <c r="D1043" s="91" t="s">
        <v>27</v>
      </c>
      <c r="E1043" s="98">
        <v>1004</v>
      </c>
      <c r="F1043" s="90">
        <v>0.30528899999999998</v>
      </c>
      <c r="G1043" s="92">
        <v>6.9248599999999993E-2</v>
      </c>
    </row>
    <row r="1044" spans="1:7" x14ac:dyDescent="0.3">
      <c r="A1044" s="98" t="s">
        <v>81</v>
      </c>
      <c r="B1044" s="106" t="str">
        <f t="shared" si="0"/>
        <v>n/a</v>
      </c>
      <c r="C1044" s="94">
        <v>46247</v>
      </c>
      <c r="D1044" s="91" t="s">
        <v>28</v>
      </c>
      <c r="E1044" s="98">
        <v>1172</v>
      </c>
      <c r="F1044" s="90">
        <v>0.25225700000000001</v>
      </c>
      <c r="G1044" s="92">
        <v>5.6595100000000002E-2</v>
      </c>
    </row>
    <row r="1045" spans="1:7" x14ac:dyDescent="0.3">
      <c r="A1045" s="98" t="s">
        <v>81</v>
      </c>
      <c r="B1045" s="106" t="str">
        <f t="shared" si="0"/>
        <v>n/a</v>
      </c>
      <c r="C1045" s="94">
        <v>46247</v>
      </c>
      <c r="D1045" s="91" t="s">
        <v>29</v>
      </c>
      <c r="E1045" s="98">
        <v>1341</v>
      </c>
      <c r="F1045" s="90">
        <v>0.310336</v>
      </c>
      <c r="G1045" s="92">
        <v>6.4263700000000007E-2</v>
      </c>
    </row>
    <row r="1046" spans="1:7" x14ac:dyDescent="0.3">
      <c r="A1046" s="98" t="s">
        <v>81</v>
      </c>
      <c r="B1046" s="106" t="str">
        <f t="shared" si="0"/>
        <v>n/a</v>
      </c>
      <c r="C1046" s="94">
        <v>46247</v>
      </c>
      <c r="D1046" s="91" t="s">
        <v>30</v>
      </c>
      <c r="E1046" s="98">
        <v>1133</v>
      </c>
      <c r="F1046" s="90">
        <v>0.37191999999999997</v>
      </c>
      <c r="G1046" s="92">
        <v>7.4805800000000006E-2</v>
      </c>
    </row>
    <row r="1047" spans="1:7" x14ac:dyDescent="0.3">
      <c r="A1047" s="98" t="s">
        <v>82</v>
      </c>
      <c r="B1047" s="106" t="s">
        <v>249</v>
      </c>
      <c r="C1047" s="94">
        <v>46248</v>
      </c>
      <c r="D1047" s="91" t="s">
        <v>14</v>
      </c>
      <c r="E1047" s="98">
        <v>1484</v>
      </c>
      <c r="F1047" s="90">
        <v>0.51471900000000004</v>
      </c>
      <c r="G1047" s="92">
        <v>0.144732</v>
      </c>
    </row>
    <row r="1048" spans="1:7" x14ac:dyDescent="0.3">
      <c r="A1048" s="98" t="s">
        <v>82</v>
      </c>
      <c r="B1048" s="106" t="s">
        <v>249</v>
      </c>
      <c r="C1048" s="94">
        <v>46248</v>
      </c>
      <c r="D1048" s="91" t="s">
        <v>15</v>
      </c>
      <c r="E1048" s="98">
        <v>1290</v>
      </c>
      <c r="F1048" s="90">
        <v>0.51744500000000004</v>
      </c>
      <c r="G1048" s="92">
        <v>0.13630500000000001</v>
      </c>
    </row>
    <row r="1049" spans="1:7" x14ac:dyDescent="0.3">
      <c r="A1049" s="98" t="s">
        <v>82</v>
      </c>
      <c r="B1049" s="106" t="s">
        <v>249</v>
      </c>
      <c r="C1049" s="94">
        <v>46248</v>
      </c>
      <c r="D1049" s="91" t="s">
        <v>16</v>
      </c>
      <c r="E1049" s="98">
        <v>1093</v>
      </c>
      <c r="F1049" s="90">
        <v>0.50374699999999994</v>
      </c>
      <c r="G1049" s="92">
        <v>0.11812</v>
      </c>
    </row>
    <row r="1050" spans="1:7" x14ac:dyDescent="0.3">
      <c r="A1050" s="98" t="s">
        <v>82</v>
      </c>
      <c r="B1050" s="106" t="s">
        <v>249</v>
      </c>
      <c r="C1050" s="94">
        <v>46248</v>
      </c>
      <c r="D1050" s="91" t="s">
        <v>17</v>
      </c>
      <c r="E1050" s="98">
        <v>1834</v>
      </c>
      <c r="F1050" s="90">
        <v>0.473553</v>
      </c>
      <c r="G1050" s="92">
        <v>9.3615100000000007E-2</v>
      </c>
    </row>
    <row r="1051" spans="1:7" x14ac:dyDescent="0.3">
      <c r="A1051" s="98" t="s">
        <v>82</v>
      </c>
      <c r="B1051" s="106" t="s">
        <v>249</v>
      </c>
      <c r="C1051" s="94">
        <v>46248</v>
      </c>
      <c r="D1051" s="91" t="s">
        <v>18</v>
      </c>
      <c r="E1051" s="98">
        <v>1247</v>
      </c>
      <c r="F1051" s="90">
        <v>0.30589699999999997</v>
      </c>
      <c r="G1051" s="92">
        <v>7.2731000000000004E-2</v>
      </c>
    </row>
    <row r="1052" spans="1:7" x14ac:dyDescent="0.3">
      <c r="A1052" s="98" t="s">
        <v>82</v>
      </c>
      <c r="B1052" s="106" t="s">
        <v>249</v>
      </c>
      <c r="C1052" s="94">
        <v>46248</v>
      </c>
      <c r="D1052" s="91" t="s">
        <v>19</v>
      </c>
      <c r="E1052" s="98">
        <v>1230</v>
      </c>
      <c r="F1052" s="90">
        <v>0.41856599999999999</v>
      </c>
      <c r="G1052" s="92">
        <v>8.8034799999999996E-2</v>
      </c>
    </row>
    <row r="1053" spans="1:7" x14ac:dyDescent="0.3">
      <c r="A1053" s="98" t="s">
        <v>82</v>
      </c>
      <c r="B1053" s="106" t="s">
        <v>249</v>
      </c>
      <c r="C1053" s="94">
        <v>46248</v>
      </c>
      <c r="D1053" s="91" t="s">
        <v>20</v>
      </c>
      <c r="E1053" s="98">
        <v>1058</v>
      </c>
      <c r="F1053" s="90">
        <v>0.45166299999999998</v>
      </c>
      <c r="G1053" s="92">
        <v>9.4480400000000006E-2</v>
      </c>
    </row>
    <row r="1054" spans="1:7" x14ac:dyDescent="0.3">
      <c r="A1054" s="98" t="s">
        <v>82</v>
      </c>
      <c r="B1054" s="106" t="s">
        <v>249</v>
      </c>
      <c r="C1054" s="94">
        <v>46248</v>
      </c>
      <c r="D1054" s="91" t="s">
        <v>34</v>
      </c>
      <c r="E1054" s="98">
        <v>1367</v>
      </c>
      <c r="F1054" s="90">
        <v>0.21645600000000001</v>
      </c>
      <c r="G1054" s="92">
        <v>6.5588999999999995E-2</v>
      </c>
    </row>
    <row r="1055" spans="1:7" x14ac:dyDescent="0.3">
      <c r="A1055" s="98" t="s">
        <v>82</v>
      </c>
      <c r="B1055" s="106" t="s">
        <v>249</v>
      </c>
      <c r="C1055" s="94">
        <v>46248</v>
      </c>
      <c r="D1055" s="91" t="s">
        <v>21</v>
      </c>
      <c r="E1055" s="98">
        <v>1961</v>
      </c>
      <c r="F1055" s="90">
        <v>0.61155000000000004</v>
      </c>
      <c r="G1055" s="92">
        <v>0.118918</v>
      </c>
    </row>
    <row r="1056" spans="1:7" x14ac:dyDescent="0.3">
      <c r="A1056" s="98" t="s">
        <v>82</v>
      </c>
      <c r="B1056" s="106" t="s">
        <v>249</v>
      </c>
      <c r="C1056" s="94">
        <v>46248</v>
      </c>
      <c r="D1056" s="91" t="s">
        <v>22</v>
      </c>
      <c r="E1056" s="98">
        <v>2148</v>
      </c>
      <c r="F1056" s="90">
        <v>0.393646</v>
      </c>
      <c r="G1056" s="92">
        <v>0.106936</v>
      </c>
    </row>
    <row r="1057" spans="1:7" x14ac:dyDescent="0.3">
      <c r="A1057" s="98" t="s">
        <v>82</v>
      </c>
      <c r="B1057" s="106" t="s">
        <v>249</v>
      </c>
      <c r="C1057" s="94">
        <v>46248</v>
      </c>
      <c r="D1057" s="91" t="s">
        <v>23</v>
      </c>
      <c r="E1057" s="98">
        <v>1200</v>
      </c>
      <c r="F1057" s="90">
        <v>0.30959999999999999</v>
      </c>
      <c r="G1057" s="92">
        <v>0.10154299999999999</v>
      </c>
    </row>
    <row r="1058" spans="1:7" x14ac:dyDescent="0.3">
      <c r="A1058" s="98" t="s">
        <v>82</v>
      </c>
      <c r="B1058" s="106" t="s">
        <v>249</v>
      </c>
      <c r="C1058" s="94">
        <v>46248</v>
      </c>
      <c r="D1058" s="91" t="s">
        <v>24</v>
      </c>
      <c r="E1058" s="98">
        <v>1803</v>
      </c>
      <c r="F1058" s="90">
        <v>0.483261</v>
      </c>
      <c r="G1058" s="92">
        <v>0.14886199999999999</v>
      </c>
    </row>
    <row r="1059" spans="1:7" x14ac:dyDescent="0.3">
      <c r="A1059" s="98" t="s">
        <v>82</v>
      </c>
      <c r="B1059" s="106" t="s">
        <v>249</v>
      </c>
      <c r="C1059" s="94">
        <v>46248</v>
      </c>
      <c r="D1059" s="91" t="s">
        <v>25</v>
      </c>
      <c r="E1059" s="98">
        <v>1195</v>
      </c>
      <c r="F1059" s="90">
        <v>0.25312800000000002</v>
      </c>
      <c r="G1059" s="92">
        <v>6.0905500000000001E-2</v>
      </c>
    </row>
    <row r="1060" spans="1:7" x14ac:dyDescent="0.3">
      <c r="A1060" s="98" t="s">
        <v>82</v>
      </c>
      <c r="B1060" s="106" t="s">
        <v>249</v>
      </c>
      <c r="C1060" s="94">
        <v>46248</v>
      </c>
      <c r="D1060" s="91" t="s">
        <v>26</v>
      </c>
      <c r="E1060" s="98">
        <v>1999</v>
      </c>
      <c r="F1060" s="90">
        <v>0.38802900000000001</v>
      </c>
      <c r="G1060" s="92">
        <v>0.12475700000000001</v>
      </c>
    </row>
    <row r="1061" spans="1:7" x14ac:dyDescent="0.3">
      <c r="A1061" s="98" t="s">
        <v>82</v>
      </c>
      <c r="B1061" s="106" t="s">
        <v>249</v>
      </c>
      <c r="C1061" s="94">
        <v>46248</v>
      </c>
      <c r="D1061" s="91" t="s">
        <v>27</v>
      </c>
      <c r="E1061" s="98">
        <v>1502</v>
      </c>
      <c r="F1061" s="90">
        <v>0.505027</v>
      </c>
      <c r="G1061" s="92">
        <v>0.114513</v>
      </c>
    </row>
    <row r="1062" spans="1:7" x14ac:dyDescent="0.3">
      <c r="A1062" s="98" t="s">
        <v>82</v>
      </c>
      <c r="B1062" s="106" t="s">
        <v>249</v>
      </c>
      <c r="C1062" s="94">
        <v>46248</v>
      </c>
      <c r="D1062" s="91" t="s">
        <v>28</v>
      </c>
      <c r="E1062" s="98">
        <v>1436</v>
      </c>
      <c r="F1062" s="90">
        <v>0.45906400000000003</v>
      </c>
      <c r="G1062" s="92">
        <v>0.103034</v>
      </c>
    </row>
    <row r="1063" spans="1:7" x14ac:dyDescent="0.3">
      <c r="A1063" s="98" t="s">
        <v>82</v>
      </c>
      <c r="B1063" s="106" t="s">
        <v>249</v>
      </c>
      <c r="C1063" s="94">
        <v>46248</v>
      </c>
      <c r="D1063" s="91" t="s">
        <v>29</v>
      </c>
      <c r="E1063" s="98">
        <v>1000</v>
      </c>
      <c r="F1063" s="90">
        <v>0.46846599999999999</v>
      </c>
      <c r="G1063" s="92">
        <v>9.6959400000000001E-2</v>
      </c>
    </row>
    <row r="1064" spans="1:7" x14ac:dyDescent="0.3">
      <c r="A1064" s="98" t="s">
        <v>82</v>
      </c>
      <c r="B1064" s="106" t="s">
        <v>249</v>
      </c>
      <c r="C1064" s="94">
        <v>46248</v>
      </c>
      <c r="D1064" s="91" t="s">
        <v>30</v>
      </c>
      <c r="E1064" s="98">
        <v>1119</v>
      </c>
      <c r="F1064" s="90">
        <v>0.44700499999999999</v>
      </c>
      <c r="G1064" s="92">
        <v>8.9905399999999996E-2</v>
      </c>
    </row>
    <row r="1065" spans="1:7" x14ac:dyDescent="0.3">
      <c r="A1065" s="98" t="s">
        <v>81</v>
      </c>
      <c r="B1065" s="106" t="str">
        <f t="shared" ref="B1065:B1128" si="1">IF($A1065="Daily", "n/a", "")</f>
        <v>n/a</v>
      </c>
      <c r="C1065" s="94">
        <v>46248</v>
      </c>
      <c r="D1065" s="91" t="s">
        <v>14</v>
      </c>
      <c r="E1065" s="98">
        <v>1899</v>
      </c>
      <c r="F1065" s="90">
        <v>0.43187500000000001</v>
      </c>
      <c r="G1065" s="92">
        <v>0.12145400000000001</v>
      </c>
    </row>
    <row r="1066" spans="1:7" x14ac:dyDescent="0.3">
      <c r="A1066" s="98" t="s">
        <v>81</v>
      </c>
      <c r="B1066" s="106" t="str">
        <f t="shared" si="1"/>
        <v>n/a</v>
      </c>
      <c r="C1066" s="94">
        <v>46248</v>
      </c>
      <c r="D1066" s="91" t="s">
        <v>15</v>
      </c>
      <c r="E1066" s="98">
        <v>1509</v>
      </c>
      <c r="F1066" s="90">
        <v>0.40726699999999999</v>
      </c>
      <c r="G1066" s="92">
        <v>0.107267</v>
      </c>
    </row>
    <row r="1067" spans="1:7" x14ac:dyDescent="0.3">
      <c r="A1067" s="98" t="s">
        <v>81</v>
      </c>
      <c r="B1067" s="106" t="str">
        <f t="shared" si="1"/>
        <v>n/a</v>
      </c>
      <c r="C1067" s="94">
        <v>46248</v>
      </c>
      <c r="D1067" s="91" t="s">
        <v>16</v>
      </c>
      <c r="E1067" s="98">
        <v>1159</v>
      </c>
      <c r="F1067" s="90">
        <v>0.44434699999999999</v>
      </c>
      <c r="G1067" s="92">
        <v>0.10422099999999999</v>
      </c>
    </row>
    <row r="1068" spans="1:7" x14ac:dyDescent="0.3">
      <c r="A1068" s="98" t="s">
        <v>81</v>
      </c>
      <c r="B1068" s="106" t="str">
        <f t="shared" si="1"/>
        <v>n/a</v>
      </c>
      <c r="C1068" s="94">
        <v>46248</v>
      </c>
      <c r="D1068" s="91" t="s">
        <v>17</v>
      </c>
      <c r="E1068" s="98">
        <v>1721</v>
      </c>
      <c r="F1068" s="90">
        <v>0.458926</v>
      </c>
      <c r="G1068" s="92">
        <v>9.0715000000000004E-2</v>
      </c>
    </row>
    <row r="1069" spans="1:7" x14ac:dyDescent="0.3">
      <c r="A1069" s="98" t="s">
        <v>81</v>
      </c>
      <c r="B1069" s="106" t="str">
        <f t="shared" si="1"/>
        <v>n/a</v>
      </c>
      <c r="C1069" s="94">
        <v>46248</v>
      </c>
      <c r="D1069" s="91" t="s">
        <v>18</v>
      </c>
      <c r="E1069" s="98">
        <v>1370</v>
      </c>
      <c r="F1069" s="90">
        <v>0.29020200000000002</v>
      </c>
      <c r="G1069" s="92">
        <v>6.9010299999999997E-2</v>
      </c>
    </row>
    <row r="1070" spans="1:7" x14ac:dyDescent="0.3">
      <c r="A1070" s="98" t="s">
        <v>81</v>
      </c>
      <c r="B1070" s="106" t="str">
        <f t="shared" si="1"/>
        <v>n/a</v>
      </c>
      <c r="C1070" s="94">
        <v>46248</v>
      </c>
      <c r="D1070" s="91" t="s">
        <v>19</v>
      </c>
      <c r="E1070" s="98">
        <v>1316</v>
      </c>
      <c r="F1070" s="90">
        <v>0.482379</v>
      </c>
      <c r="G1070" s="92">
        <v>0.101456</v>
      </c>
    </row>
    <row r="1071" spans="1:7" x14ac:dyDescent="0.3">
      <c r="A1071" s="98" t="s">
        <v>81</v>
      </c>
      <c r="B1071" s="106" t="str">
        <f t="shared" si="1"/>
        <v>n/a</v>
      </c>
      <c r="C1071" s="94">
        <v>46248</v>
      </c>
      <c r="D1071" s="91" t="s">
        <v>20</v>
      </c>
      <c r="E1071" s="98">
        <v>1162</v>
      </c>
      <c r="F1071" s="90">
        <v>0.50386299999999995</v>
      </c>
      <c r="G1071" s="92">
        <v>0.10539</v>
      </c>
    </row>
    <row r="1072" spans="1:7" x14ac:dyDescent="0.3">
      <c r="A1072" s="98" t="s">
        <v>81</v>
      </c>
      <c r="B1072" s="106" t="str">
        <f t="shared" si="1"/>
        <v>n/a</v>
      </c>
      <c r="C1072" s="94">
        <v>46248</v>
      </c>
      <c r="D1072" s="91" t="s">
        <v>34</v>
      </c>
      <c r="E1072" s="98">
        <v>1310</v>
      </c>
      <c r="F1072" s="90">
        <v>0.26705099999999998</v>
      </c>
      <c r="G1072" s="92">
        <v>8.0909599999999998E-2</v>
      </c>
    </row>
    <row r="1073" spans="1:7" x14ac:dyDescent="0.3">
      <c r="A1073" s="98" t="s">
        <v>81</v>
      </c>
      <c r="B1073" s="106" t="str">
        <f t="shared" si="1"/>
        <v>n/a</v>
      </c>
      <c r="C1073" s="94">
        <v>46248</v>
      </c>
      <c r="D1073" s="91" t="s">
        <v>21</v>
      </c>
      <c r="E1073" s="98">
        <v>2288</v>
      </c>
      <c r="F1073" s="90">
        <v>0.45082499999999998</v>
      </c>
      <c r="G1073" s="92">
        <v>8.7667900000000007E-2</v>
      </c>
    </row>
    <row r="1074" spans="1:7" x14ac:dyDescent="0.3">
      <c r="A1074" s="98" t="s">
        <v>81</v>
      </c>
      <c r="B1074" s="106" t="str">
        <f t="shared" si="1"/>
        <v>n/a</v>
      </c>
      <c r="C1074" s="94">
        <v>46248</v>
      </c>
      <c r="D1074" s="91" t="s">
        <v>22</v>
      </c>
      <c r="E1074" s="98">
        <v>1848</v>
      </c>
      <c r="F1074" s="90">
        <v>0.33244299999999999</v>
      </c>
      <c r="G1074" s="92">
        <v>9.0296399999999999E-2</v>
      </c>
    </row>
    <row r="1075" spans="1:7" x14ac:dyDescent="0.3">
      <c r="A1075" s="98" t="s">
        <v>81</v>
      </c>
      <c r="B1075" s="106" t="str">
        <f t="shared" si="1"/>
        <v>n/a</v>
      </c>
      <c r="C1075" s="94">
        <v>46248</v>
      </c>
      <c r="D1075" s="91" t="s">
        <v>23</v>
      </c>
      <c r="E1075" s="98">
        <v>1451</v>
      </c>
      <c r="F1075" s="90">
        <v>0.36969099999999999</v>
      </c>
      <c r="G1075" s="92">
        <v>0.121264</v>
      </c>
    </row>
    <row r="1076" spans="1:7" x14ac:dyDescent="0.3">
      <c r="A1076" s="98" t="s">
        <v>81</v>
      </c>
      <c r="B1076" s="106" t="str">
        <f t="shared" si="1"/>
        <v>n/a</v>
      </c>
      <c r="C1076" s="94">
        <v>46248</v>
      </c>
      <c r="D1076" s="91" t="s">
        <v>24</v>
      </c>
      <c r="E1076" s="98">
        <v>2023</v>
      </c>
      <c r="F1076" s="90">
        <v>0.29422399999999999</v>
      </c>
      <c r="G1076" s="92">
        <v>9.0599100000000002E-2</v>
      </c>
    </row>
    <row r="1077" spans="1:7" x14ac:dyDescent="0.3">
      <c r="A1077" s="98" t="s">
        <v>81</v>
      </c>
      <c r="B1077" s="106" t="str">
        <f t="shared" si="1"/>
        <v>n/a</v>
      </c>
      <c r="C1077" s="94">
        <v>46248</v>
      </c>
      <c r="D1077" s="91" t="s">
        <v>25</v>
      </c>
      <c r="E1077" s="98">
        <v>1341</v>
      </c>
      <c r="F1077" s="90">
        <v>0.284999</v>
      </c>
      <c r="G1077" s="92">
        <v>6.8542400000000003E-2</v>
      </c>
    </row>
    <row r="1078" spans="1:7" x14ac:dyDescent="0.3">
      <c r="A1078" s="98" t="s">
        <v>81</v>
      </c>
      <c r="B1078" s="106" t="str">
        <f t="shared" si="1"/>
        <v>n/a</v>
      </c>
      <c r="C1078" s="94">
        <v>46248</v>
      </c>
      <c r="D1078" s="91" t="s">
        <v>26</v>
      </c>
      <c r="E1078" s="98">
        <v>1721</v>
      </c>
      <c r="F1078" s="90">
        <v>0.37112299999999998</v>
      </c>
      <c r="G1078" s="92">
        <v>0.11930399999999999</v>
      </c>
    </row>
    <row r="1079" spans="1:7" x14ac:dyDescent="0.3">
      <c r="A1079" s="98" t="s">
        <v>81</v>
      </c>
      <c r="B1079" s="106" t="str">
        <f t="shared" si="1"/>
        <v>n/a</v>
      </c>
      <c r="C1079" s="94">
        <v>46248</v>
      </c>
      <c r="D1079" s="91" t="s">
        <v>27</v>
      </c>
      <c r="E1079" s="98">
        <v>1333</v>
      </c>
      <c r="F1079" s="90">
        <v>0.444878</v>
      </c>
      <c r="G1079" s="92">
        <v>0.100879</v>
      </c>
    </row>
    <row r="1080" spans="1:7" x14ac:dyDescent="0.3">
      <c r="A1080" s="98" t="s">
        <v>81</v>
      </c>
      <c r="B1080" s="106" t="str">
        <f t="shared" si="1"/>
        <v>n/a</v>
      </c>
      <c r="C1080" s="94">
        <v>46248</v>
      </c>
      <c r="D1080" s="91" t="s">
        <v>28</v>
      </c>
      <c r="E1080" s="98">
        <v>1002</v>
      </c>
      <c r="F1080" s="90">
        <v>0.43327399999999999</v>
      </c>
      <c r="G1080" s="92">
        <v>9.7245799999999993E-2</v>
      </c>
    </row>
    <row r="1081" spans="1:7" x14ac:dyDescent="0.3">
      <c r="A1081" s="98" t="s">
        <v>81</v>
      </c>
      <c r="B1081" s="106" t="str">
        <f t="shared" si="1"/>
        <v>n/a</v>
      </c>
      <c r="C1081" s="94">
        <v>46248</v>
      </c>
      <c r="D1081" s="91" t="s">
        <v>29</v>
      </c>
      <c r="E1081" s="98">
        <v>1083</v>
      </c>
      <c r="F1081" s="90">
        <v>0.37295600000000001</v>
      </c>
      <c r="G1081" s="92">
        <v>7.7229000000000006E-2</v>
      </c>
    </row>
    <row r="1082" spans="1:7" x14ac:dyDescent="0.3">
      <c r="A1082" s="98" t="s">
        <v>81</v>
      </c>
      <c r="B1082" s="106" t="str">
        <f t="shared" si="1"/>
        <v>n/a</v>
      </c>
      <c r="C1082" s="94">
        <v>46248</v>
      </c>
      <c r="D1082" s="91" t="s">
        <v>30</v>
      </c>
      <c r="E1082" s="98">
        <v>1311</v>
      </c>
      <c r="F1082" s="90">
        <v>0.39763100000000001</v>
      </c>
      <c r="G1082" s="92">
        <v>7.9971700000000007E-2</v>
      </c>
    </row>
    <row r="1083" spans="1:7" x14ac:dyDescent="0.3">
      <c r="A1083" s="98" t="s">
        <v>81</v>
      </c>
      <c r="B1083" s="106" t="s">
        <v>275</v>
      </c>
      <c r="C1083" s="94">
        <v>46251</v>
      </c>
      <c r="D1083" s="91" t="s">
        <v>14</v>
      </c>
      <c r="E1083" s="98">
        <v>2066</v>
      </c>
      <c r="F1083" s="90">
        <v>0.50405199999999994</v>
      </c>
      <c r="G1083" s="92">
        <v>0.14171300000000001</v>
      </c>
    </row>
    <row r="1084" spans="1:7" x14ac:dyDescent="0.3">
      <c r="A1084" s="98" t="s">
        <v>81</v>
      </c>
      <c r="B1084" s="106" t="s">
        <v>275</v>
      </c>
      <c r="C1084" s="94">
        <v>46251</v>
      </c>
      <c r="D1084" s="91" t="s">
        <v>15</v>
      </c>
      <c r="E1084" s="98">
        <v>1635</v>
      </c>
      <c r="F1084" s="90">
        <v>0.42883700000000002</v>
      </c>
      <c r="G1084" s="92">
        <v>0.112932</v>
      </c>
    </row>
    <row r="1085" spans="1:7" x14ac:dyDescent="0.3">
      <c r="A1085" s="98" t="s">
        <v>81</v>
      </c>
      <c r="B1085" s="106" t="s">
        <v>275</v>
      </c>
      <c r="C1085" s="94">
        <v>46251</v>
      </c>
      <c r="D1085" s="91" t="s">
        <v>16</v>
      </c>
      <c r="E1085" s="98">
        <v>1376</v>
      </c>
      <c r="F1085" s="90">
        <v>0.58386400000000005</v>
      </c>
      <c r="G1085" s="92">
        <v>0.136906</v>
      </c>
    </row>
    <row r="1086" spans="1:7" x14ac:dyDescent="0.3">
      <c r="A1086" s="98" t="s">
        <v>81</v>
      </c>
      <c r="B1086" s="106" t="s">
        <v>275</v>
      </c>
      <c r="C1086" s="94">
        <v>46251</v>
      </c>
      <c r="D1086" s="91" t="s">
        <v>17</v>
      </c>
      <c r="E1086" s="98">
        <v>1683</v>
      </c>
      <c r="F1086" s="90">
        <v>0.61798799999999998</v>
      </c>
      <c r="G1086" s="92">
        <v>0.122215</v>
      </c>
    </row>
    <row r="1087" spans="1:7" x14ac:dyDescent="0.3">
      <c r="A1087" s="98" t="s">
        <v>81</v>
      </c>
      <c r="B1087" s="106" t="s">
        <v>275</v>
      </c>
      <c r="C1087" s="94">
        <v>46251</v>
      </c>
      <c r="D1087" s="91" t="s">
        <v>18</v>
      </c>
      <c r="E1087" s="98">
        <v>1548</v>
      </c>
      <c r="F1087" s="90">
        <v>0.39536300000000002</v>
      </c>
      <c r="G1087" s="92">
        <v>9.4000600000000004E-2</v>
      </c>
    </row>
    <row r="1088" spans="1:7" x14ac:dyDescent="0.3">
      <c r="A1088" s="98" t="s">
        <v>81</v>
      </c>
      <c r="B1088" s="106" t="s">
        <v>275</v>
      </c>
      <c r="C1088" s="94">
        <v>46251</v>
      </c>
      <c r="D1088" s="91" t="s">
        <v>19</v>
      </c>
      <c r="E1088" s="98">
        <v>1307</v>
      </c>
      <c r="F1088" s="90">
        <v>0.546041</v>
      </c>
      <c r="G1088" s="92">
        <v>0.114838</v>
      </c>
    </row>
    <row r="1089" spans="1:7" x14ac:dyDescent="0.3">
      <c r="A1089" s="98" t="s">
        <v>81</v>
      </c>
      <c r="B1089" s="106" t="s">
        <v>275</v>
      </c>
      <c r="C1089" s="94">
        <v>46251</v>
      </c>
      <c r="D1089" s="91" t="s">
        <v>20</v>
      </c>
      <c r="E1089" s="98">
        <v>1264</v>
      </c>
      <c r="F1089" s="90">
        <v>0.53737500000000005</v>
      </c>
      <c r="G1089" s="92">
        <v>0.112399</v>
      </c>
    </row>
    <row r="1090" spans="1:7" x14ac:dyDescent="0.3">
      <c r="A1090" s="98" t="s">
        <v>81</v>
      </c>
      <c r="B1090" s="106" t="s">
        <v>275</v>
      </c>
      <c r="C1090" s="94">
        <v>46251</v>
      </c>
      <c r="D1090" s="91" t="s">
        <v>34</v>
      </c>
      <c r="E1090" s="98">
        <v>1286</v>
      </c>
      <c r="F1090" s="90">
        <v>0.27073900000000001</v>
      </c>
      <c r="G1090" s="92">
        <v>8.2005300000000003E-2</v>
      </c>
    </row>
    <row r="1091" spans="1:7" x14ac:dyDescent="0.3">
      <c r="A1091" s="98" t="s">
        <v>81</v>
      </c>
      <c r="B1091" s="106" t="s">
        <v>275</v>
      </c>
      <c r="C1091" s="94">
        <v>46251</v>
      </c>
      <c r="D1091" s="91" t="s">
        <v>21</v>
      </c>
      <c r="E1091" s="98">
        <v>1808</v>
      </c>
      <c r="F1091" s="90">
        <v>0.57258699999999996</v>
      </c>
      <c r="G1091" s="92">
        <v>0.111369</v>
      </c>
    </row>
    <row r="1092" spans="1:7" x14ac:dyDescent="0.3">
      <c r="A1092" s="98" t="s">
        <v>81</v>
      </c>
      <c r="B1092" s="106" t="s">
        <v>275</v>
      </c>
      <c r="C1092" s="94">
        <v>46251</v>
      </c>
      <c r="D1092" s="91" t="s">
        <v>22</v>
      </c>
      <c r="E1092" s="98">
        <v>1982</v>
      </c>
      <c r="F1092" s="90">
        <v>0.42099999999999999</v>
      </c>
      <c r="G1092" s="92">
        <v>0.11437</v>
      </c>
    </row>
    <row r="1093" spans="1:7" x14ac:dyDescent="0.3">
      <c r="A1093" s="98" t="s">
        <v>81</v>
      </c>
      <c r="B1093" s="106" t="s">
        <v>275</v>
      </c>
      <c r="C1093" s="94">
        <v>46251</v>
      </c>
      <c r="D1093" s="91" t="s">
        <v>23</v>
      </c>
      <c r="E1093" s="98">
        <v>1566</v>
      </c>
      <c r="F1093" s="90">
        <v>0.55238900000000002</v>
      </c>
      <c r="G1093" s="92">
        <v>0.18115400000000001</v>
      </c>
    </row>
    <row r="1094" spans="1:7" x14ac:dyDescent="0.3">
      <c r="A1094" s="98" t="s">
        <v>81</v>
      </c>
      <c r="B1094" s="106" t="s">
        <v>275</v>
      </c>
      <c r="C1094" s="94">
        <v>46251</v>
      </c>
      <c r="D1094" s="91" t="s">
        <v>24</v>
      </c>
      <c r="E1094" s="98">
        <v>2127</v>
      </c>
      <c r="F1094" s="90">
        <v>0.26756999999999997</v>
      </c>
      <c r="G1094" s="92">
        <v>8.2367899999999994E-2</v>
      </c>
    </row>
    <row r="1095" spans="1:7" x14ac:dyDescent="0.3">
      <c r="A1095" s="98" t="s">
        <v>81</v>
      </c>
      <c r="B1095" s="106" t="s">
        <v>275</v>
      </c>
      <c r="C1095" s="94">
        <v>46251</v>
      </c>
      <c r="D1095" s="91" t="s">
        <v>25</v>
      </c>
      <c r="E1095" s="98">
        <v>1002</v>
      </c>
      <c r="F1095" s="90">
        <v>0.38618400000000003</v>
      </c>
      <c r="G1095" s="92">
        <v>9.2931299999999994E-2</v>
      </c>
    </row>
    <row r="1096" spans="1:7" x14ac:dyDescent="0.3">
      <c r="A1096" s="98" t="s">
        <v>81</v>
      </c>
      <c r="B1096" s="106" t="s">
        <v>275</v>
      </c>
      <c r="C1096" s="94">
        <v>46251</v>
      </c>
      <c r="D1096" s="91" t="s">
        <v>26</v>
      </c>
      <c r="E1096" s="98">
        <v>2055</v>
      </c>
      <c r="F1096" s="90">
        <v>0.32248500000000002</v>
      </c>
      <c r="G1096" s="92">
        <v>0.10366599999999999</v>
      </c>
    </row>
    <row r="1097" spans="1:7" x14ac:dyDescent="0.3">
      <c r="A1097" s="98" t="s">
        <v>81</v>
      </c>
      <c r="B1097" s="106" t="s">
        <v>275</v>
      </c>
      <c r="C1097" s="94">
        <v>46251</v>
      </c>
      <c r="D1097" s="91" t="s">
        <v>27</v>
      </c>
      <c r="E1097" s="98">
        <v>1202</v>
      </c>
      <c r="F1097" s="90">
        <v>0.69558200000000003</v>
      </c>
      <c r="G1097" s="92">
        <v>0.157753</v>
      </c>
    </row>
    <row r="1098" spans="1:7" x14ac:dyDescent="0.3">
      <c r="A1098" s="98" t="s">
        <v>81</v>
      </c>
      <c r="B1098" s="106" t="s">
        <v>275</v>
      </c>
      <c r="C1098" s="94">
        <v>46251</v>
      </c>
      <c r="D1098" s="91" t="s">
        <v>28</v>
      </c>
      <c r="E1098" s="98">
        <v>1272</v>
      </c>
      <c r="F1098" s="90">
        <v>0.47101700000000002</v>
      </c>
      <c r="G1098" s="92">
        <v>0.10573200000000001</v>
      </c>
    </row>
    <row r="1099" spans="1:7" x14ac:dyDescent="0.3">
      <c r="A1099" s="98" t="s">
        <v>81</v>
      </c>
      <c r="B1099" s="106" t="s">
        <v>275</v>
      </c>
      <c r="C1099" s="94">
        <v>46251</v>
      </c>
      <c r="D1099" s="91" t="s">
        <v>29</v>
      </c>
      <c r="E1099" s="98">
        <v>1086</v>
      </c>
      <c r="F1099" s="90">
        <v>0.43622499999999997</v>
      </c>
      <c r="G1099" s="92">
        <v>9.0280200000000005E-2</v>
      </c>
    </row>
    <row r="1100" spans="1:7" x14ac:dyDescent="0.3">
      <c r="A1100" s="98" t="s">
        <v>81</v>
      </c>
      <c r="B1100" s="106" t="s">
        <v>275</v>
      </c>
      <c r="C1100" s="94">
        <v>46251</v>
      </c>
      <c r="D1100" s="91" t="s">
        <v>30</v>
      </c>
      <c r="E1100" s="98">
        <v>1096</v>
      </c>
      <c r="F1100" s="90">
        <v>0.553342</v>
      </c>
      <c r="G1100" s="92">
        <v>0.111315</v>
      </c>
    </row>
    <row r="1101" spans="1:7" x14ac:dyDescent="0.3">
      <c r="A1101" s="98" t="s">
        <v>81</v>
      </c>
      <c r="B1101" s="106" t="s">
        <v>276</v>
      </c>
      <c r="C1101" s="94">
        <v>46251</v>
      </c>
      <c r="D1101" s="91" t="s">
        <v>14</v>
      </c>
      <c r="E1101" s="98">
        <v>2625</v>
      </c>
      <c r="F1101" s="90">
        <v>0.32448399999999999</v>
      </c>
      <c r="G1101" s="92">
        <v>9.1342800000000002E-2</v>
      </c>
    </row>
    <row r="1102" spans="1:7" x14ac:dyDescent="0.3">
      <c r="A1102" s="98" t="s">
        <v>81</v>
      </c>
      <c r="B1102" s="106" t="s">
        <v>276</v>
      </c>
      <c r="C1102" s="94">
        <v>46251</v>
      </c>
      <c r="D1102" s="91" t="s">
        <v>15</v>
      </c>
      <c r="E1102" s="98">
        <v>1923</v>
      </c>
      <c r="F1102" s="90">
        <v>0.430589</v>
      </c>
      <c r="G1102" s="92">
        <v>0.113538</v>
      </c>
    </row>
    <row r="1103" spans="1:7" x14ac:dyDescent="0.3">
      <c r="A1103" s="98" t="s">
        <v>81</v>
      </c>
      <c r="B1103" s="106" t="s">
        <v>276</v>
      </c>
      <c r="C1103" s="94">
        <v>46251</v>
      </c>
      <c r="D1103" s="91" t="s">
        <v>16</v>
      </c>
      <c r="E1103" s="98">
        <v>1599</v>
      </c>
      <c r="F1103" s="90">
        <v>0.51976599999999995</v>
      </c>
      <c r="G1103" s="92">
        <v>0.122027</v>
      </c>
    </row>
    <row r="1104" spans="1:7" x14ac:dyDescent="0.3">
      <c r="A1104" s="98" t="s">
        <v>81</v>
      </c>
      <c r="B1104" s="106" t="s">
        <v>276</v>
      </c>
      <c r="C1104" s="94">
        <v>46251</v>
      </c>
      <c r="D1104" s="91" t="s">
        <v>17</v>
      </c>
      <c r="E1104" s="98">
        <v>1668</v>
      </c>
      <c r="F1104" s="90">
        <v>0.59371300000000005</v>
      </c>
      <c r="G1104" s="92">
        <v>0.117408</v>
      </c>
    </row>
    <row r="1105" spans="1:7" x14ac:dyDescent="0.3">
      <c r="A1105" s="98" t="s">
        <v>81</v>
      </c>
      <c r="B1105" s="106" t="s">
        <v>276</v>
      </c>
      <c r="C1105" s="94">
        <v>46251</v>
      </c>
      <c r="D1105" s="91" t="s">
        <v>18</v>
      </c>
      <c r="E1105" s="98">
        <v>1653</v>
      </c>
      <c r="F1105" s="90">
        <v>0.36810799999999999</v>
      </c>
      <c r="G1105" s="92">
        <v>8.7630100000000002E-2</v>
      </c>
    </row>
    <row r="1106" spans="1:7" x14ac:dyDescent="0.3">
      <c r="A1106" s="98" t="s">
        <v>81</v>
      </c>
      <c r="B1106" s="106" t="s">
        <v>276</v>
      </c>
      <c r="C1106" s="94">
        <v>46251</v>
      </c>
      <c r="D1106" s="91" t="s">
        <v>19</v>
      </c>
      <c r="E1106" s="98">
        <v>1321</v>
      </c>
      <c r="F1106" s="90">
        <v>0.57203800000000005</v>
      </c>
      <c r="G1106" s="92">
        <v>0.12042600000000001</v>
      </c>
    </row>
    <row r="1107" spans="1:7" x14ac:dyDescent="0.3">
      <c r="A1107" s="98" t="s">
        <v>81</v>
      </c>
      <c r="B1107" s="106" t="s">
        <v>276</v>
      </c>
      <c r="C1107" s="94">
        <v>46251</v>
      </c>
      <c r="D1107" s="91" t="s">
        <v>20</v>
      </c>
      <c r="E1107" s="98">
        <v>1153</v>
      </c>
      <c r="F1107" s="90">
        <v>0.52254199999999995</v>
      </c>
      <c r="G1107" s="92">
        <v>0.109412</v>
      </c>
    </row>
    <row r="1108" spans="1:7" x14ac:dyDescent="0.3">
      <c r="A1108" s="98" t="s">
        <v>81</v>
      </c>
      <c r="B1108" s="106" t="s">
        <v>276</v>
      </c>
      <c r="C1108" s="94">
        <v>46251</v>
      </c>
      <c r="D1108" s="91" t="s">
        <v>34</v>
      </c>
      <c r="E1108" s="98">
        <v>1555</v>
      </c>
      <c r="F1108" s="90">
        <v>0.28472399999999998</v>
      </c>
      <c r="G1108" s="92">
        <v>8.6307800000000004E-2</v>
      </c>
    </row>
    <row r="1109" spans="1:7" x14ac:dyDescent="0.3">
      <c r="A1109" s="98" t="s">
        <v>81</v>
      </c>
      <c r="B1109" s="106" t="s">
        <v>276</v>
      </c>
      <c r="C1109" s="94">
        <v>46251</v>
      </c>
      <c r="D1109" s="91" t="s">
        <v>21</v>
      </c>
      <c r="E1109" s="98">
        <v>1686</v>
      </c>
      <c r="F1109" s="90">
        <v>0.51975700000000002</v>
      </c>
      <c r="G1109" s="92">
        <v>0.101156</v>
      </c>
    </row>
    <row r="1110" spans="1:7" x14ac:dyDescent="0.3">
      <c r="A1110" s="98" t="s">
        <v>81</v>
      </c>
      <c r="B1110" s="106" t="s">
        <v>276</v>
      </c>
      <c r="C1110" s="94">
        <v>46251</v>
      </c>
      <c r="D1110" s="91" t="s">
        <v>22</v>
      </c>
      <c r="E1110" s="98">
        <v>1987</v>
      </c>
      <c r="F1110" s="90">
        <v>0.380083</v>
      </c>
      <c r="G1110" s="92">
        <v>0.103313</v>
      </c>
    </row>
    <row r="1111" spans="1:7" x14ac:dyDescent="0.3">
      <c r="A1111" s="98" t="s">
        <v>81</v>
      </c>
      <c r="B1111" s="106" t="s">
        <v>276</v>
      </c>
      <c r="C1111" s="94">
        <v>46251</v>
      </c>
      <c r="D1111" s="91" t="s">
        <v>23</v>
      </c>
      <c r="E1111" s="98">
        <v>2293</v>
      </c>
      <c r="F1111" s="90">
        <v>0.38328200000000001</v>
      </c>
      <c r="G1111" s="92">
        <v>0.125803</v>
      </c>
    </row>
    <row r="1112" spans="1:7" x14ac:dyDescent="0.3">
      <c r="A1112" s="98" t="s">
        <v>81</v>
      </c>
      <c r="B1112" s="106" t="s">
        <v>276</v>
      </c>
      <c r="C1112" s="94">
        <v>46251</v>
      </c>
      <c r="D1112" s="91" t="s">
        <v>24</v>
      </c>
      <c r="E1112" s="98">
        <v>2471</v>
      </c>
      <c r="F1112" s="90">
        <v>0.30921300000000002</v>
      </c>
      <c r="G1112" s="92">
        <v>9.5219700000000004E-2</v>
      </c>
    </row>
    <row r="1113" spans="1:7" x14ac:dyDescent="0.3">
      <c r="A1113" s="98" t="s">
        <v>81</v>
      </c>
      <c r="B1113" s="106" t="s">
        <v>276</v>
      </c>
      <c r="C1113" s="94">
        <v>46251</v>
      </c>
      <c r="D1113" s="91" t="s">
        <v>25</v>
      </c>
      <c r="E1113" s="98">
        <v>1172</v>
      </c>
      <c r="F1113" s="90">
        <v>0.32364399999999999</v>
      </c>
      <c r="G1113" s="92">
        <v>7.7815700000000002E-2</v>
      </c>
    </row>
    <row r="1114" spans="1:7" x14ac:dyDescent="0.3">
      <c r="A1114" s="98" t="s">
        <v>81</v>
      </c>
      <c r="B1114" s="106" t="s">
        <v>276</v>
      </c>
      <c r="C1114" s="94">
        <v>46251</v>
      </c>
      <c r="D1114" s="91" t="s">
        <v>26</v>
      </c>
      <c r="E1114" s="98">
        <v>1845</v>
      </c>
      <c r="F1114" s="90">
        <v>0.27182600000000001</v>
      </c>
      <c r="G1114" s="92">
        <v>8.7448100000000001E-2</v>
      </c>
    </row>
    <row r="1115" spans="1:7" x14ac:dyDescent="0.3">
      <c r="A1115" s="98" t="s">
        <v>81</v>
      </c>
      <c r="B1115" s="106" t="s">
        <v>276</v>
      </c>
      <c r="C1115" s="94">
        <v>46251</v>
      </c>
      <c r="D1115" s="91" t="s">
        <v>27</v>
      </c>
      <c r="E1115" s="98">
        <v>1001</v>
      </c>
      <c r="F1115" s="90">
        <v>0.60282599999999997</v>
      </c>
      <c r="G1115" s="92">
        <v>0.13685900000000001</v>
      </c>
    </row>
    <row r="1116" spans="1:7" x14ac:dyDescent="0.3">
      <c r="A1116" s="98" t="s">
        <v>81</v>
      </c>
      <c r="B1116" s="106" t="s">
        <v>276</v>
      </c>
      <c r="C1116" s="94">
        <v>46251</v>
      </c>
      <c r="D1116" s="91" t="s">
        <v>28</v>
      </c>
      <c r="E1116" s="98">
        <v>1416</v>
      </c>
      <c r="F1116" s="90">
        <v>0.42255999999999999</v>
      </c>
      <c r="G1116" s="92">
        <v>9.4866400000000004E-2</v>
      </c>
    </row>
    <row r="1117" spans="1:7" x14ac:dyDescent="0.3">
      <c r="A1117" s="98" t="s">
        <v>81</v>
      </c>
      <c r="B1117" s="106" t="s">
        <v>276</v>
      </c>
      <c r="C1117" s="94">
        <v>46251</v>
      </c>
      <c r="D1117" s="91" t="s">
        <v>29</v>
      </c>
      <c r="E1117" s="98">
        <v>1280</v>
      </c>
      <c r="F1117" s="90">
        <v>0.35569499999999998</v>
      </c>
      <c r="G1117" s="92">
        <v>7.3693800000000004E-2</v>
      </c>
    </row>
    <row r="1118" spans="1:7" x14ac:dyDescent="0.3">
      <c r="A1118" s="98" t="s">
        <v>81</v>
      </c>
      <c r="B1118" s="106" t="s">
        <v>276</v>
      </c>
      <c r="C1118" s="94">
        <v>46251</v>
      </c>
      <c r="D1118" s="91" t="s">
        <v>30</v>
      </c>
      <c r="E1118" s="98">
        <v>1111</v>
      </c>
      <c r="F1118" s="90">
        <v>0.58288700000000004</v>
      </c>
      <c r="G1118" s="92">
        <v>0.117351</v>
      </c>
    </row>
    <row r="1119" spans="1:7" x14ac:dyDescent="0.3">
      <c r="A1119" s="98" t="s">
        <v>81</v>
      </c>
      <c r="B1119" s="106" t="str">
        <f t="shared" si="1"/>
        <v>n/a</v>
      </c>
      <c r="C1119" s="94">
        <v>46251</v>
      </c>
      <c r="D1119" s="91" t="s">
        <v>14</v>
      </c>
      <c r="E1119" s="98">
        <v>2242</v>
      </c>
      <c r="F1119" s="90">
        <v>0.398567</v>
      </c>
      <c r="G1119" s="92">
        <v>0.11214499999999999</v>
      </c>
    </row>
    <row r="1120" spans="1:7" x14ac:dyDescent="0.3">
      <c r="A1120" s="98" t="s">
        <v>81</v>
      </c>
      <c r="B1120" s="106" t="str">
        <f t="shared" si="1"/>
        <v>n/a</v>
      </c>
      <c r="C1120" s="94">
        <v>46251</v>
      </c>
      <c r="D1120" s="91" t="s">
        <v>15</v>
      </c>
      <c r="E1120" s="98">
        <v>1709</v>
      </c>
      <c r="F1120" s="90">
        <v>0.36160999999999999</v>
      </c>
      <c r="G1120" s="92">
        <v>9.5325900000000005E-2</v>
      </c>
    </row>
    <row r="1121" spans="1:7" x14ac:dyDescent="0.3">
      <c r="A1121" s="98" t="s">
        <v>81</v>
      </c>
      <c r="B1121" s="106" t="str">
        <f t="shared" si="1"/>
        <v>n/a</v>
      </c>
      <c r="C1121" s="94">
        <v>46251</v>
      </c>
      <c r="D1121" s="91" t="s">
        <v>16</v>
      </c>
      <c r="E1121" s="98">
        <v>1583</v>
      </c>
      <c r="F1121" s="90">
        <v>0.48918</v>
      </c>
      <c r="G1121" s="92">
        <v>0.114796</v>
      </c>
    </row>
    <row r="1122" spans="1:7" x14ac:dyDescent="0.3">
      <c r="A1122" s="98" t="s">
        <v>81</v>
      </c>
      <c r="B1122" s="106" t="str">
        <f t="shared" si="1"/>
        <v>n/a</v>
      </c>
      <c r="C1122" s="94">
        <v>46251</v>
      </c>
      <c r="D1122" s="91" t="s">
        <v>17</v>
      </c>
      <c r="E1122" s="98">
        <v>1974</v>
      </c>
      <c r="F1122" s="90">
        <v>0.52810699999999999</v>
      </c>
      <c r="G1122" s="92">
        <v>0.104508</v>
      </c>
    </row>
    <row r="1123" spans="1:7" x14ac:dyDescent="0.3">
      <c r="A1123" s="98" t="s">
        <v>81</v>
      </c>
      <c r="B1123" s="106" t="str">
        <f t="shared" si="1"/>
        <v>n/a</v>
      </c>
      <c r="C1123" s="94">
        <v>46251</v>
      </c>
      <c r="D1123" s="91" t="s">
        <v>18</v>
      </c>
      <c r="E1123" s="98">
        <v>1672</v>
      </c>
      <c r="F1123" s="90">
        <v>0.35497099999999998</v>
      </c>
      <c r="G1123" s="92">
        <v>8.4469199999999994E-2</v>
      </c>
    </row>
    <row r="1124" spans="1:7" x14ac:dyDescent="0.3">
      <c r="A1124" s="98" t="s">
        <v>81</v>
      </c>
      <c r="B1124" s="106" t="str">
        <f t="shared" si="1"/>
        <v>n/a</v>
      </c>
      <c r="C1124" s="94">
        <v>46251</v>
      </c>
      <c r="D1124" s="91" t="s">
        <v>19</v>
      </c>
      <c r="E1124" s="98">
        <v>1670</v>
      </c>
      <c r="F1124" s="90">
        <v>0.53395000000000004</v>
      </c>
      <c r="G1124" s="92">
        <v>0.11239</v>
      </c>
    </row>
    <row r="1125" spans="1:7" x14ac:dyDescent="0.3">
      <c r="A1125" s="98" t="s">
        <v>81</v>
      </c>
      <c r="B1125" s="106" t="str">
        <f t="shared" si="1"/>
        <v>n/a</v>
      </c>
      <c r="C1125" s="94">
        <v>46251</v>
      </c>
      <c r="D1125" s="91" t="s">
        <v>20</v>
      </c>
      <c r="E1125" s="98">
        <v>1457</v>
      </c>
      <c r="F1125" s="90">
        <v>0.51797000000000004</v>
      </c>
      <c r="G1125" s="92">
        <v>0.108448</v>
      </c>
    </row>
    <row r="1126" spans="1:7" x14ac:dyDescent="0.3">
      <c r="A1126" s="98" t="s">
        <v>81</v>
      </c>
      <c r="B1126" s="106" t="str">
        <f t="shared" si="1"/>
        <v>n/a</v>
      </c>
      <c r="C1126" s="94">
        <v>46251</v>
      </c>
      <c r="D1126" s="91" t="s">
        <v>34</v>
      </c>
      <c r="E1126" s="98">
        <v>1754</v>
      </c>
      <c r="F1126" s="90">
        <v>0.29023500000000002</v>
      </c>
      <c r="G1126" s="92">
        <v>8.7974200000000002E-2</v>
      </c>
    </row>
    <row r="1127" spans="1:7" x14ac:dyDescent="0.3">
      <c r="A1127" s="98" t="s">
        <v>81</v>
      </c>
      <c r="B1127" s="106" t="str">
        <f t="shared" si="1"/>
        <v>n/a</v>
      </c>
      <c r="C1127" s="94">
        <v>46251</v>
      </c>
      <c r="D1127" s="91" t="s">
        <v>21</v>
      </c>
      <c r="E1127" s="98">
        <v>1608</v>
      </c>
      <c r="F1127" s="90">
        <v>0.48822300000000002</v>
      </c>
      <c r="G1127" s="92">
        <v>9.5040399999999997E-2</v>
      </c>
    </row>
    <row r="1128" spans="1:7" x14ac:dyDescent="0.3">
      <c r="A1128" s="98" t="s">
        <v>81</v>
      </c>
      <c r="B1128" s="106" t="str">
        <f t="shared" si="1"/>
        <v>n/a</v>
      </c>
      <c r="C1128" s="94">
        <v>46251</v>
      </c>
      <c r="D1128" s="91" t="s">
        <v>22</v>
      </c>
      <c r="E1128" s="98">
        <v>2311</v>
      </c>
      <c r="F1128" s="90">
        <v>0.34321800000000002</v>
      </c>
      <c r="G1128" s="92">
        <v>9.3296199999999996E-2</v>
      </c>
    </row>
    <row r="1129" spans="1:7" x14ac:dyDescent="0.3">
      <c r="A1129" s="98" t="s">
        <v>81</v>
      </c>
      <c r="B1129" s="106" t="str">
        <f t="shared" ref="B1129:B1136" si="2">IF($A1129="Daily", "n/a", "")</f>
        <v>n/a</v>
      </c>
      <c r="C1129" s="94">
        <v>46251</v>
      </c>
      <c r="D1129" s="91" t="s">
        <v>23</v>
      </c>
      <c r="E1129" s="98">
        <v>1723</v>
      </c>
      <c r="F1129" s="90">
        <v>0.35619899999999999</v>
      </c>
      <c r="G1129" s="92">
        <v>0.116948</v>
      </c>
    </row>
    <row r="1130" spans="1:7" x14ac:dyDescent="0.3">
      <c r="A1130" s="98" t="s">
        <v>81</v>
      </c>
      <c r="B1130" s="106" t="str">
        <f t="shared" si="2"/>
        <v>n/a</v>
      </c>
      <c r="C1130" s="94">
        <v>46251</v>
      </c>
      <c r="D1130" s="91" t="s">
        <v>24</v>
      </c>
      <c r="E1130" s="98">
        <v>2320</v>
      </c>
      <c r="F1130" s="90">
        <v>0.31590299999999999</v>
      </c>
      <c r="G1130" s="92">
        <v>9.7337800000000002E-2</v>
      </c>
    </row>
    <row r="1131" spans="1:7" x14ac:dyDescent="0.3">
      <c r="A1131" s="98" t="s">
        <v>81</v>
      </c>
      <c r="B1131" s="106" t="str">
        <f t="shared" si="2"/>
        <v>n/a</v>
      </c>
      <c r="C1131" s="94">
        <v>46251</v>
      </c>
      <c r="D1131" s="91" t="s">
        <v>25</v>
      </c>
      <c r="E1131" s="98">
        <v>1012</v>
      </c>
      <c r="F1131" s="90">
        <v>0.39032899999999998</v>
      </c>
      <c r="G1131" s="92">
        <v>9.3941499999999997E-2</v>
      </c>
    </row>
    <row r="1132" spans="1:7" x14ac:dyDescent="0.3">
      <c r="A1132" s="98" t="s">
        <v>81</v>
      </c>
      <c r="B1132" s="106" t="str">
        <f t="shared" si="2"/>
        <v>n/a</v>
      </c>
      <c r="C1132" s="94">
        <v>46251</v>
      </c>
      <c r="D1132" s="91" t="s">
        <v>26</v>
      </c>
      <c r="E1132" s="98">
        <v>2552</v>
      </c>
      <c r="F1132" s="90">
        <v>0.28678700000000001</v>
      </c>
      <c r="G1132" s="92">
        <v>9.2274499999999995E-2</v>
      </c>
    </row>
    <row r="1133" spans="1:7" x14ac:dyDescent="0.3">
      <c r="A1133" s="98" t="s">
        <v>81</v>
      </c>
      <c r="B1133" s="106" t="str">
        <f t="shared" si="2"/>
        <v>n/a</v>
      </c>
      <c r="C1133" s="94">
        <v>46251</v>
      </c>
      <c r="D1133" s="91" t="s">
        <v>27</v>
      </c>
      <c r="E1133" s="98">
        <v>1035</v>
      </c>
      <c r="F1133" s="90">
        <v>0.57278499999999999</v>
      </c>
      <c r="G1133" s="92">
        <v>0.13004399999999999</v>
      </c>
    </row>
    <row r="1134" spans="1:7" x14ac:dyDescent="0.3">
      <c r="A1134" s="98" t="s">
        <v>81</v>
      </c>
      <c r="B1134" s="106" t="str">
        <f t="shared" si="2"/>
        <v>n/a</v>
      </c>
      <c r="C1134" s="94">
        <v>46251</v>
      </c>
      <c r="D1134" s="91" t="s">
        <v>28</v>
      </c>
      <c r="E1134" s="98">
        <v>1272</v>
      </c>
      <c r="F1134" s="90">
        <v>0.42932599999999999</v>
      </c>
      <c r="G1134" s="92">
        <v>9.6414600000000003E-2</v>
      </c>
    </row>
    <row r="1135" spans="1:7" x14ac:dyDescent="0.3">
      <c r="A1135" s="98" t="s">
        <v>81</v>
      </c>
      <c r="B1135" s="106" t="str">
        <f t="shared" si="2"/>
        <v>n/a</v>
      </c>
      <c r="C1135" s="94">
        <v>46251</v>
      </c>
      <c r="D1135" s="91" t="s">
        <v>29</v>
      </c>
      <c r="E1135" s="98">
        <v>1004</v>
      </c>
      <c r="F1135" s="90">
        <v>0.33120699999999997</v>
      </c>
      <c r="G1135" s="92">
        <v>6.8599099999999996E-2</v>
      </c>
    </row>
    <row r="1136" spans="1:7" x14ac:dyDescent="0.3">
      <c r="A1136" s="98" t="s">
        <v>81</v>
      </c>
      <c r="B1136" s="106" t="str">
        <f t="shared" si="2"/>
        <v>n/a</v>
      </c>
      <c r="C1136" s="94">
        <v>46251</v>
      </c>
      <c r="D1136" s="91" t="s">
        <v>30</v>
      </c>
      <c r="E1136" s="98">
        <v>1423</v>
      </c>
      <c r="F1136" s="90">
        <v>0.59777599999999997</v>
      </c>
      <c r="G1136" s="92">
        <v>0.12032900000000001</v>
      </c>
    </row>
    <row r="1137" spans="1:7" x14ac:dyDescent="0.3">
      <c r="A1137" s="98" t="s">
        <v>81</v>
      </c>
      <c r="B1137" s="106" t="s">
        <v>89</v>
      </c>
      <c r="C1137" s="94">
        <v>46252</v>
      </c>
      <c r="D1137" s="91" t="s">
        <v>14</v>
      </c>
      <c r="E1137" s="98">
        <v>2683</v>
      </c>
      <c r="F1137" s="90">
        <v>0.41292200000000001</v>
      </c>
      <c r="G1137" s="92">
        <v>0.116243</v>
      </c>
    </row>
    <row r="1138" spans="1:7" x14ac:dyDescent="0.3">
      <c r="A1138" s="98" t="s">
        <v>81</v>
      </c>
      <c r="B1138" s="106" t="s">
        <v>89</v>
      </c>
      <c r="C1138" s="94">
        <v>46252</v>
      </c>
      <c r="D1138" s="91" t="s">
        <v>15</v>
      </c>
      <c r="E1138" s="98">
        <v>2063</v>
      </c>
      <c r="F1138" s="90">
        <v>0.435645</v>
      </c>
      <c r="G1138" s="92">
        <v>0.114894</v>
      </c>
    </row>
    <row r="1139" spans="1:7" x14ac:dyDescent="0.3">
      <c r="A1139" s="98" t="s">
        <v>81</v>
      </c>
      <c r="B1139" s="106" t="s">
        <v>89</v>
      </c>
      <c r="C1139" s="94">
        <v>46252</v>
      </c>
      <c r="D1139" s="91" t="s">
        <v>16</v>
      </c>
      <c r="E1139" s="98">
        <v>1393</v>
      </c>
      <c r="F1139" s="90">
        <v>0.51256000000000002</v>
      </c>
      <c r="G1139" s="92">
        <v>0.12031799999999999</v>
      </c>
    </row>
    <row r="1140" spans="1:7" x14ac:dyDescent="0.3">
      <c r="A1140" s="98" t="s">
        <v>81</v>
      </c>
      <c r="B1140" s="106" t="s">
        <v>89</v>
      </c>
      <c r="C1140" s="94">
        <v>46252</v>
      </c>
      <c r="D1140" s="91" t="s">
        <v>17</v>
      </c>
      <c r="E1140" s="98">
        <v>1839</v>
      </c>
      <c r="F1140" s="90">
        <v>0.64675400000000005</v>
      </c>
      <c r="G1140" s="92">
        <v>0.12797800000000001</v>
      </c>
    </row>
    <row r="1141" spans="1:7" x14ac:dyDescent="0.3">
      <c r="A1141" s="98" t="s">
        <v>81</v>
      </c>
      <c r="B1141" s="106" t="s">
        <v>89</v>
      </c>
      <c r="C1141" s="94">
        <v>46252</v>
      </c>
      <c r="D1141" s="91" t="s">
        <v>18</v>
      </c>
      <c r="E1141" s="98">
        <v>1875</v>
      </c>
      <c r="F1141" s="90">
        <v>0.367645</v>
      </c>
      <c r="G1141" s="92">
        <v>8.7530300000000005E-2</v>
      </c>
    </row>
    <row r="1142" spans="1:7" x14ac:dyDescent="0.3">
      <c r="A1142" s="98" t="s">
        <v>81</v>
      </c>
      <c r="B1142" s="106" t="s">
        <v>89</v>
      </c>
      <c r="C1142" s="94">
        <v>46252</v>
      </c>
      <c r="D1142" s="91" t="s">
        <v>19</v>
      </c>
      <c r="E1142" s="98">
        <v>1426</v>
      </c>
      <c r="F1142" s="90">
        <v>0.55123200000000006</v>
      </c>
      <c r="G1142" s="92">
        <v>0.11608300000000001</v>
      </c>
    </row>
    <row r="1143" spans="1:7" x14ac:dyDescent="0.3">
      <c r="A1143" s="98" t="s">
        <v>81</v>
      </c>
      <c r="B1143" s="106" t="s">
        <v>89</v>
      </c>
      <c r="C1143" s="94">
        <v>46252</v>
      </c>
      <c r="D1143" s="91" t="s">
        <v>20</v>
      </c>
      <c r="E1143" s="98">
        <v>1230</v>
      </c>
      <c r="F1143" s="90">
        <v>0.63231000000000004</v>
      </c>
      <c r="G1143" s="92">
        <v>0.13243199999999999</v>
      </c>
    </row>
    <row r="1144" spans="1:7" x14ac:dyDescent="0.3">
      <c r="A1144" s="98" t="s">
        <v>81</v>
      </c>
      <c r="B1144" s="106" t="s">
        <v>89</v>
      </c>
      <c r="C1144" s="94">
        <v>46252</v>
      </c>
      <c r="D1144" s="91" t="s">
        <v>34</v>
      </c>
      <c r="E1144" s="98">
        <v>1745</v>
      </c>
      <c r="F1144" s="90">
        <v>0.232436</v>
      </c>
      <c r="G1144" s="92">
        <v>7.0449899999999996E-2</v>
      </c>
    </row>
    <row r="1145" spans="1:7" x14ac:dyDescent="0.3">
      <c r="A1145" s="98" t="s">
        <v>81</v>
      </c>
      <c r="B1145" s="106" t="s">
        <v>89</v>
      </c>
      <c r="C1145" s="94">
        <v>46252</v>
      </c>
      <c r="D1145" s="91" t="s">
        <v>21</v>
      </c>
      <c r="E1145" s="98">
        <v>2642</v>
      </c>
      <c r="F1145" s="90">
        <v>0.49119800000000002</v>
      </c>
      <c r="G1145" s="92">
        <v>9.5622499999999999E-2</v>
      </c>
    </row>
    <row r="1146" spans="1:7" x14ac:dyDescent="0.3">
      <c r="A1146" s="98" t="s">
        <v>81</v>
      </c>
      <c r="B1146" s="106" t="s">
        <v>89</v>
      </c>
      <c r="C1146" s="94">
        <v>46252</v>
      </c>
      <c r="D1146" s="91" t="s">
        <v>22</v>
      </c>
      <c r="E1146" s="98">
        <v>2179</v>
      </c>
      <c r="F1146" s="90">
        <v>0.34789900000000001</v>
      </c>
      <c r="G1146" s="92">
        <v>9.45627E-2</v>
      </c>
    </row>
    <row r="1147" spans="1:7" x14ac:dyDescent="0.3">
      <c r="A1147" s="98" t="s">
        <v>81</v>
      </c>
      <c r="B1147" s="106" t="s">
        <v>89</v>
      </c>
      <c r="C1147" s="94">
        <v>46252</v>
      </c>
      <c r="D1147" s="91" t="s">
        <v>23</v>
      </c>
      <c r="E1147" s="98">
        <v>2320</v>
      </c>
      <c r="F1147" s="90">
        <v>0.41121099999999999</v>
      </c>
      <c r="G1147" s="92">
        <v>0.135014</v>
      </c>
    </row>
    <row r="1148" spans="1:7" x14ac:dyDescent="0.3">
      <c r="A1148" s="98" t="s">
        <v>81</v>
      </c>
      <c r="B1148" s="106" t="s">
        <v>89</v>
      </c>
      <c r="C1148" s="94">
        <v>46252</v>
      </c>
      <c r="D1148" s="91" t="s">
        <v>24</v>
      </c>
      <c r="E1148" s="98">
        <v>2710</v>
      </c>
      <c r="F1148" s="90">
        <v>0.29681299999999999</v>
      </c>
      <c r="G1148" s="92">
        <v>9.1429200000000002E-2</v>
      </c>
    </row>
    <row r="1149" spans="1:7" x14ac:dyDescent="0.3">
      <c r="A1149" s="98" t="s">
        <v>81</v>
      </c>
      <c r="B1149" s="106" t="s">
        <v>89</v>
      </c>
      <c r="C1149" s="94">
        <v>46252</v>
      </c>
      <c r="D1149" s="91" t="s">
        <v>25</v>
      </c>
      <c r="E1149" s="98">
        <v>1379</v>
      </c>
      <c r="F1149" s="90">
        <v>0.35791400000000001</v>
      </c>
      <c r="G1149" s="92">
        <v>8.6167999999999995E-2</v>
      </c>
    </row>
    <row r="1150" spans="1:7" x14ac:dyDescent="0.3">
      <c r="A1150" s="98" t="s">
        <v>81</v>
      </c>
      <c r="B1150" s="106" t="s">
        <v>89</v>
      </c>
      <c r="C1150" s="94">
        <v>46252</v>
      </c>
      <c r="D1150" s="91" t="s">
        <v>26</v>
      </c>
      <c r="E1150" s="98">
        <v>2429</v>
      </c>
      <c r="F1150" s="90">
        <v>0.27052700000000002</v>
      </c>
      <c r="G1150" s="92">
        <v>8.7048399999999998E-2</v>
      </c>
    </row>
    <row r="1151" spans="1:7" x14ac:dyDescent="0.3">
      <c r="A1151" s="98" t="s">
        <v>81</v>
      </c>
      <c r="B1151" s="106" t="s">
        <v>89</v>
      </c>
      <c r="C1151" s="94">
        <v>46252</v>
      </c>
      <c r="D1151" s="91" t="s">
        <v>27</v>
      </c>
      <c r="E1151" s="98">
        <v>1937</v>
      </c>
      <c r="F1151" s="90">
        <v>0.48827100000000001</v>
      </c>
      <c r="G1151" s="92">
        <v>0.110857</v>
      </c>
    </row>
    <row r="1152" spans="1:7" x14ac:dyDescent="0.3">
      <c r="A1152" s="98" t="s">
        <v>81</v>
      </c>
      <c r="B1152" s="106" t="s">
        <v>89</v>
      </c>
      <c r="C1152" s="94">
        <v>46252</v>
      </c>
      <c r="D1152" s="91" t="s">
        <v>28</v>
      </c>
      <c r="E1152" s="98">
        <v>1290</v>
      </c>
      <c r="F1152" s="90">
        <v>0.54166199999999998</v>
      </c>
      <c r="G1152" s="92">
        <v>0.121682</v>
      </c>
    </row>
    <row r="1153" spans="1:7" x14ac:dyDescent="0.3">
      <c r="A1153" s="98" t="s">
        <v>81</v>
      </c>
      <c r="B1153" s="106" t="s">
        <v>89</v>
      </c>
      <c r="C1153" s="94">
        <v>46252</v>
      </c>
      <c r="D1153" s="91" t="s">
        <v>29</v>
      </c>
      <c r="E1153" s="98">
        <v>1192</v>
      </c>
      <c r="F1153" s="90">
        <v>0.41064200000000001</v>
      </c>
      <c r="G1153" s="92">
        <v>8.5094100000000006E-2</v>
      </c>
    </row>
    <row r="1154" spans="1:7" x14ac:dyDescent="0.3">
      <c r="A1154" s="98" t="s">
        <v>81</v>
      </c>
      <c r="B1154" s="106" t="s">
        <v>89</v>
      </c>
      <c r="C1154" s="94">
        <v>46252</v>
      </c>
      <c r="D1154" s="91" t="s">
        <v>30</v>
      </c>
      <c r="E1154" s="98">
        <v>1004</v>
      </c>
      <c r="F1154" s="90">
        <v>0.69097900000000001</v>
      </c>
      <c r="G1154" s="92">
        <v>0.13900999999999999</v>
      </c>
    </row>
    <row r="1155" spans="1:7" x14ac:dyDescent="0.3">
      <c r="A1155" s="98" t="s">
        <v>81</v>
      </c>
      <c r="B1155" s="106" t="s">
        <v>89</v>
      </c>
      <c r="C1155" s="94">
        <v>46253</v>
      </c>
      <c r="D1155" s="91" t="s">
        <v>14</v>
      </c>
      <c r="E1155" s="98">
        <v>1878</v>
      </c>
      <c r="F1155" s="90">
        <v>0.316361</v>
      </c>
      <c r="G1155" s="92">
        <v>8.9035699999999995E-2</v>
      </c>
    </row>
    <row r="1156" spans="1:7" x14ac:dyDescent="0.3">
      <c r="A1156" s="98" t="s">
        <v>81</v>
      </c>
      <c r="B1156" s="106" t="s">
        <v>89</v>
      </c>
      <c r="C1156" s="94">
        <v>46253</v>
      </c>
      <c r="D1156" s="91" t="s">
        <v>15</v>
      </c>
      <c r="E1156" s="98">
        <v>1341</v>
      </c>
      <c r="F1156" s="90">
        <v>0.54754100000000006</v>
      </c>
      <c r="G1156" s="92">
        <v>0.144426</v>
      </c>
    </row>
    <row r="1157" spans="1:7" x14ac:dyDescent="0.3">
      <c r="A1157" s="98" t="s">
        <v>81</v>
      </c>
      <c r="B1157" s="106" t="s">
        <v>89</v>
      </c>
      <c r="C1157" s="94">
        <v>46253</v>
      </c>
      <c r="D1157" s="91" t="s">
        <v>16</v>
      </c>
      <c r="E1157" s="98">
        <v>1363</v>
      </c>
      <c r="F1157" s="90">
        <v>0.62712800000000002</v>
      </c>
      <c r="G1157" s="92">
        <v>0.14702699999999999</v>
      </c>
    </row>
    <row r="1158" spans="1:7" x14ac:dyDescent="0.3">
      <c r="A1158" s="98" t="s">
        <v>81</v>
      </c>
      <c r="B1158" s="106" t="s">
        <v>89</v>
      </c>
      <c r="C1158" s="94">
        <v>46253</v>
      </c>
      <c r="D1158" s="91" t="s">
        <v>17</v>
      </c>
      <c r="E1158" s="98">
        <v>2232</v>
      </c>
      <c r="F1158" s="90">
        <v>0.85533700000000001</v>
      </c>
      <c r="G1158" s="92">
        <v>0.16939599999999999</v>
      </c>
    </row>
    <row r="1159" spans="1:7" x14ac:dyDescent="0.3">
      <c r="A1159" s="98" t="s">
        <v>81</v>
      </c>
      <c r="B1159" s="106" t="s">
        <v>89</v>
      </c>
      <c r="C1159" s="94">
        <v>46253</v>
      </c>
      <c r="D1159" s="91" t="s">
        <v>18</v>
      </c>
      <c r="E1159" s="98">
        <v>1281</v>
      </c>
      <c r="F1159" s="90">
        <v>0.56932799999999995</v>
      </c>
      <c r="G1159" s="92">
        <v>0.13553999999999999</v>
      </c>
    </row>
    <row r="1160" spans="1:7" x14ac:dyDescent="0.3">
      <c r="A1160" s="98" t="s">
        <v>81</v>
      </c>
      <c r="B1160" s="106" t="s">
        <v>89</v>
      </c>
      <c r="C1160" s="94">
        <v>46253</v>
      </c>
      <c r="D1160" s="91" t="s">
        <v>19</v>
      </c>
      <c r="E1160" s="98">
        <v>1204</v>
      </c>
      <c r="F1160" s="90">
        <v>0.68071800000000005</v>
      </c>
      <c r="G1160" s="92">
        <v>0.143265</v>
      </c>
    </row>
    <row r="1161" spans="1:7" x14ac:dyDescent="0.3">
      <c r="A1161" s="98" t="s">
        <v>81</v>
      </c>
      <c r="B1161" s="106" t="s">
        <v>89</v>
      </c>
      <c r="C1161" s="94">
        <v>46253</v>
      </c>
      <c r="D1161" s="91" t="s">
        <v>20</v>
      </c>
      <c r="E1161" s="98">
        <v>1119</v>
      </c>
      <c r="F1161" s="90">
        <v>0.77260399999999996</v>
      </c>
      <c r="G1161" s="92">
        <v>0.16206999999999999</v>
      </c>
    </row>
    <row r="1162" spans="1:7" x14ac:dyDescent="0.3">
      <c r="A1162" s="98" t="s">
        <v>81</v>
      </c>
      <c r="B1162" s="106" t="s">
        <v>89</v>
      </c>
      <c r="C1162" s="94">
        <v>46253</v>
      </c>
      <c r="D1162" s="91" t="s">
        <v>34</v>
      </c>
      <c r="E1162" s="98">
        <v>1676</v>
      </c>
      <c r="F1162" s="90">
        <v>0.364568</v>
      </c>
      <c r="G1162" s="92">
        <v>0.11058999999999999</v>
      </c>
    </row>
    <row r="1163" spans="1:7" x14ac:dyDescent="0.3">
      <c r="A1163" s="98" t="s">
        <v>81</v>
      </c>
      <c r="B1163" s="106" t="s">
        <v>89</v>
      </c>
      <c r="C1163" s="94">
        <v>46253</v>
      </c>
      <c r="D1163" s="91" t="s">
        <v>21</v>
      </c>
      <c r="E1163" s="98">
        <v>2728</v>
      </c>
      <c r="F1163" s="90">
        <v>0.50004999999999999</v>
      </c>
      <c r="G1163" s="92">
        <v>9.7254199999999999E-2</v>
      </c>
    </row>
    <row r="1164" spans="1:7" x14ac:dyDescent="0.3">
      <c r="A1164" s="98" t="s">
        <v>81</v>
      </c>
      <c r="B1164" s="106" t="s">
        <v>89</v>
      </c>
      <c r="C1164" s="94">
        <v>46253</v>
      </c>
      <c r="D1164" s="91" t="s">
        <v>22</v>
      </c>
      <c r="E1164" s="98">
        <v>2567</v>
      </c>
      <c r="F1164" s="90">
        <v>0.43534499999999998</v>
      </c>
      <c r="G1164" s="92">
        <v>0.11839</v>
      </c>
    </row>
    <row r="1165" spans="1:7" x14ac:dyDescent="0.3">
      <c r="A1165" s="98" t="s">
        <v>81</v>
      </c>
      <c r="B1165" s="106" t="s">
        <v>89</v>
      </c>
      <c r="C1165" s="94">
        <v>46253</v>
      </c>
      <c r="D1165" s="91" t="s">
        <v>23</v>
      </c>
      <c r="E1165" s="98">
        <v>2200</v>
      </c>
      <c r="F1165" s="90">
        <v>0.25521100000000002</v>
      </c>
      <c r="G1165" s="92">
        <v>8.3699099999999999E-2</v>
      </c>
    </row>
    <row r="1166" spans="1:7" x14ac:dyDescent="0.3">
      <c r="A1166" s="98" t="s">
        <v>81</v>
      </c>
      <c r="B1166" s="106" t="s">
        <v>89</v>
      </c>
      <c r="C1166" s="94">
        <v>46253</v>
      </c>
      <c r="D1166" s="91" t="s">
        <v>24</v>
      </c>
      <c r="E1166" s="98">
        <v>2204</v>
      </c>
      <c r="F1166" s="90">
        <v>0.33561400000000002</v>
      </c>
      <c r="G1166" s="92">
        <v>0.10334599999999999</v>
      </c>
    </row>
    <row r="1167" spans="1:7" x14ac:dyDescent="0.3">
      <c r="A1167" s="98" t="s">
        <v>81</v>
      </c>
      <c r="B1167" s="106" t="s">
        <v>89</v>
      </c>
      <c r="C1167" s="94">
        <v>46253</v>
      </c>
      <c r="D1167" s="91" t="s">
        <v>25</v>
      </c>
      <c r="E1167" s="98">
        <v>1168</v>
      </c>
      <c r="F1167" s="90">
        <v>0.37372</v>
      </c>
      <c r="G1167" s="92">
        <v>8.9939000000000005E-2</v>
      </c>
    </row>
    <row r="1168" spans="1:7" x14ac:dyDescent="0.3">
      <c r="A1168" s="98" t="s">
        <v>81</v>
      </c>
      <c r="B1168" s="106" t="s">
        <v>89</v>
      </c>
      <c r="C1168" s="94">
        <v>46253</v>
      </c>
      <c r="D1168" s="91" t="s">
        <v>26</v>
      </c>
      <c r="E1168" s="98">
        <v>2462</v>
      </c>
      <c r="F1168" s="90">
        <v>0.26011400000000001</v>
      </c>
      <c r="G1168" s="92">
        <v>8.3743399999999996E-2</v>
      </c>
    </row>
    <row r="1169" spans="1:7" x14ac:dyDescent="0.3">
      <c r="A1169" s="98" t="s">
        <v>81</v>
      </c>
      <c r="B1169" s="106" t="s">
        <v>89</v>
      </c>
      <c r="C1169" s="94">
        <v>46253</v>
      </c>
      <c r="D1169" s="91" t="s">
        <v>27</v>
      </c>
      <c r="E1169" s="98">
        <v>1860</v>
      </c>
      <c r="F1169" s="90">
        <v>0.45804299999999998</v>
      </c>
      <c r="G1169" s="92">
        <v>0.103865</v>
      </c>
    </row>
    <row r="1170" spans="1:7" x14ac:dyDescent="0.3">
      <c r="A1170" s="98" t="s">
        <v>81</v>
      </c>
      <c r="B1170" s="106" t="s">
        <v>89</v>
      </c>
      <c r="C1170" s="94">
        <v>46253</v>
      </c>
      <c r="D1170" s="91" t="s">
        <v>28</v>
      </c>
      <c r="E1170" s="98">
        <v>1001</v>
      </c>
      <c r="F1170" s="90">
        <v>0.97526599999999997</v>
      </c>
      <c r="G1170" s="92">
        <v>0.21911</v>
      </c>
    </row>
    <row r="1171" spans="1:7" x14ac:dyDescent="0.3">
      <c r="A1171" s="98" t="s">
        <v>81</v>
      </c>
      <c r="B1171" s="106" t="s">
        <v>89</v>
      </c>
      <c r="C1171" s="94">
        <v>46253</v>
      </c>
      <c r="D1171" s="91" t="s">
        <v>29</v>
      </c>
      <c r="E1171" s="98">
        <v>1072</v>
      </c>
      <c r="F1171" s="90">
        <v>0.63518399999999997</v>
      </c>
      <c r="G1171" s="92">
        <v>0.13173699999999999</v>
      </c>
    </row>
    <row r="1172" spans="1:7" x14ac:dyDescent="0.3">
      <c r="A1172" s="98" t="s">
        <v>81</v>
      </c>
      <c r="B1172" s="106" t="s">
        <v>89</v>
      </c>
      <c r="C1172" s="94">
        <v>46253</v>
      </c>
      <c r="D1172" s="91" t="s">
        <v>30</v>
      </c>
      <c r="E1172" s="98">
        <v>1449</v>
      </c>
      <c r="F1172" s="90">
        <v>0.84810600000000003</v>
      </c>
      <c r="G1172" s="92">
        <v>0.17069999999999999</v>
      </c>
    </row>
    <row r="1173" spans="1:7" x14ac:dyDescent="0.3">
      <c r="A1173" s="98" t="s">
        <v>82</v>
      </c>
      <c r="B1173" s="106" t="s">
        <v>286</v>
      </c>
      <c r="C1173" s="94">
        <v>46254</v>
      </c>
      <c r="D1173" s="91" t="s">
        <v>14</v>
      </c>
      <c r="E1173" s="98">
        <v>1328</v>
      </c>
      <c r="F1173" s="90">
        <v>0.47842299999999999</v>
      </c>
      <c r="G1173" s="92">
        <v>0.13820099999999999</v>
      </c>
    </row>
    <row r="1174" spans="1:7" x14ac:dyDescent="0.3">
      <c r="A1174" s="98" t="s">
        <v>82</v>
      </c>
      <c r="B1174" s="106" t="s">
        <v>286</v>
      </c>
      <c r="C1174" s="94">
        <v>46254</v>
      </c>
      <c r="D1174" s="91" t="s">
        <v>15</v>
      </c>
      <c r="E1174" s="98">
        <v>1182</v>
      </c>
      <c r="F1174" s="90">
        <v>0.35516199999999998</v>
      </c>
      <c r="G1174" s="92">
        <v>0.103743</v>
      </c>
    </row>
    <row r="1175" spans="1:7" x14ac:dyDescent="0.3">
      <c r="A1175" s="98" t="s">
        <v>82</v>
      </c>
      <c r="B1175" s="106" t="s">
        <v>286</v>
      </c>
      <c r="C1175" s="94">
        <v>46254</v>
      </c>
      <c r="D1175" s="91" t="s">
        <v>16</v>
      </c>
      <c r="E1175" s="98">
        <v>1201</v>
      </c>
      <c r="F1175" s="90">
        <v>0.48769600000000002</v>
      </c>
      <c r="G1175" s="92">
        <v>0.14836299999999999</v>
      </c>
    </row>
    <row r="1176" spans="1:7" x14ac:dyDescent="0.3">
      <c r="A1176" s="98" t="s">
        <v>82</v>
      </c>
      <c r="B1176" s="106" t="s">
        <v>286</v>
      </c>
      <c r="C1176" s="94">
        <v>46254</v>
      </c>
      <c r="D1176" s="91" t="s">
        <v>17</v>
      </c>
      <c r="E1176" s="98">
        <v>1837</v>
      </c>
      <c r="F1176" s="90">
        <v>0.78428100000000001</v>
      </c>
      <c r="G1176" s="92">
        <v>0.135772</v>
      </c>
    </row>
    <row r="1177" spans="1:7" x14ac:dyDescent="0.3">
      <c r="A1177" s="98" t="s">
        <v>82</v>
      </c>
      <c r="B1177" s="106" t="s">
        <v>286</v>
      </c>
      <c r="C1177" s="94">
        <v>46254</v>
      </c>
      <c r="D1177" s="91" t="s">
        <v>18</v>
      </c>
      <c r="E1177" s="98">
        <v>1393</v>
      </c>
      <c r="F1177" s="90">
        <v>0.67780200000000002</v>
      </c>
      <c r="G1177" s="92">
        <v>0.225942</v>
      </c>
    </row>
    <row r="1178" spans="1:7" x14ac:dyDescent="0.3">
      <c r="A1178" s="98" t="s">
        <v>82</v>
      </c>
      <c r="B1178" s="106" t="s">
        <v>286</v>
      </c>
      <c r="C1178" s="94">
        <v>46254</v>
      </c>
      <c r="D1178" s="91" t="s">
        <v>19</v>
      </c>
      <c r="E1178" s="98">
        <v>1231</v>
      </c>
      <c r="F1178" s="90">
        <v>0.68079699999999999</v>
      </c>
      <c r="G1178" s="92">
        <v>0.191411</v>
      </c>
    </row>
    <row r="1179" spans="1:7" x14ac:dyDescent="0.3">
      <c r="A1179" s="98" t="s">
        <v>82</v>
      </c>
      <c r="B1179" s="106" t="s">
        <v>286</v>
      </c>
      <c r="C1179" s="94">
        <v>46254</v>
      </c>
      <c r="D1179" s="91" t="s">
        <v>20</v>
      </c>
      <c r="E1179" s="98">
        <v>1231</v>
      </c>
      <c r="F1179" s="90">
        <v>0.44479999999999997</v>
      </c>
      <c r="G1179" s="92">
        <v>0.12119000000000001</v>
      </c>
    </row>
    <row r="1180" spans="1:7" x14ac:dyDescent="0.3">
      <c r="A1180" s="98" t="s">
        <v>82</v>
      </c>
      <c r="B1180" s="106" t="s">
        <v>286</v>
      </c>
      <c r="C1180" s="94">
        <v>46254</v>
      </c>
      <c r="D1180" s="91" t="s">
        <v>34</v>
      </c>
      <c r="E1180" s="98">
        <v>1360</v>
      </c>
      <c r="F1180" s="90">
        <v>0.22284399999999999</v>
      </c>
      <c r="G1180" s="92">
        <v>8.7346900000000005E-2</v>
      </c>
    </row>
    <row r="1181" spans="1:7" x14ac:dyDescent="0.3">
      <c r="A1181" s="98" t="s">
        <v>82</v>
      </c>
      <c r="B1181" s="106" t="s">
        <v>286</v>
      </c>
      <c r="C1181" s="94">
        <v>46254</v>
      </c>
      <c r="D1181" s="91" t="s">
        <v>21</v>
      </c>
      <c r="E1181" s="98">
        <v>2042</v>
      </c>
    </row>
    <row r="1182" spans="1:7" x14ac:dyDescent="0.3">
      <c r="A1182" s="98" t="s">
        <v>82</v>
      </c>
      <c r="B1182" s="106" t="s">
        <v>286</v>
      </c>
      <c r="C1182" s="94">
        <v>46254</v>
      </c>
      <c r="D1182" s="91" t="s">
        <v>22</v>
      </c>
      <c r="E1182" s="98">
        <v>1529</v>
      </c>
      <c r="F1182" s="90">
        <v>0.305641</v>
      </c>
      <c r="G1182" s="92">
        <v>7.4232000000000006E-2</v>
      </c>
    </row>
    <row r="1183" spans="1:7" x14ac:dyDescent="0.3">
      <c r="A1183" s="98" t="s">
        <v>82</v>
      </c>
      <c r="B1183" s="106" t="s">
        <v>286</v>
      </c>
      <c r="C1183" s="94">
        <v>46254</v>
      </c>
      <c r="D1183" s="91" t="s">
        <v>23</v>
      </c>
      <c r="E1183" s="98">
        <v>1005</v>
      </c>
      <c r="F1183" s="90">
        <v>0.17479500000000001</v>
      </c>
      <c r="G1183" s="92">
        <v>5.0874000000000003E-2</v>
      </c>
    </row>
    <row r="1184" spans="1:7" x14ac:dyDescent="0.3">
      <c r="A1184" s="98" t="s">
        <v>82</v>
      </c>
      <c r="B1184" s="106" t="s">
        <v>286</v>
      </c>
      <c r="C1184" s="94">
        <v>46254</v>
      </c>
      <c r="D1184" s="91" t="s">
        <v>24</v>
      </c>
      <c r="E1184" s="98">
        <v>1227</v>
      </c>
      <c r="F1184" s="90">
        <v>0.73821899999999996</v>
      </c>
      <c r="G1184" s="92">
        <v>0.17729300000000001</v>
      </c>
    </row>
    <row r="1185" spans="1:7" x14ac:dyDescent="0.3">
      <c r="A1185" s="98" t="s">
        <v>82</v>
      </c>
      <c r="B1185" s="106" t="s">
        <v>286</v>
      </c>
      <c r="C1185" s="94">
        <v>46254</v>
      </c>
      <c r="D1185" s="91" t="s">
        <v>25</v>
      </c>
      <c r="E1185" s="98">
        <v>1276</v>
      </c>
    </row>
    <row r="1186" spans="1:7" x14ac:dyDescent="0.3">
      <c r="A1186" s="98" t="s">
        <v>82</v>
      </c>
      <c r="B1186" s="106" t="s">
        <v>286</v>
      </c>
      <c r="C1186" s="94">
        <v>46254</v>
      </c>
      <c r="D1186" s="91" t="s">
        <v>26</v>
      </c>
      <c r="E1186" s="98">
        <v>1231</v>
      </c>
      <c r="F1186" s="90">
        <v>0.26401200000000002</v>
      </c>
      <c r="G1186" s="92">
        <v>8.7435600000000002E-2</v>
      </c>
    </row>
    <row r="1187" spans="1:7" x14ac:dyDescent="0.3">
      <c r="A1187" s="98" t="s">
        <v>82</v>
      </c>
      <c r="B1187" s="106" t="s">
        <v>286</v>
      </c>
      <c r="C1187" s="94">
        <v>46254</v>
      </c>
      <c r="D1187" s="91" t="s">
        <v>27</v>
      </c>
      <c r="E1187" s="98">
        <v>1162</v>
      </c>
    </row>
    <row r="1188" spans="1:7" x14ac:dyDescent="0.3">
      <c r="A1188" s="98" t="s">
        <v>82</v>
      </c>
      <c r="B1188" s="106" t="s">
        <v>286</v>
      </c>
      <c r="C1188" s="94">
        <v>46254</v>
      </c>
      <c r="D1188" s="91" t="s">
        <v>28</v>
      </c>
      <c r="E1188" s="98">
        <v>1006</v>
      </c>
    </row>
    <row r="1189" spans="1:7" x14ac:dyDescent="0.3">
      <c r="A1189" s="98" t="s">
        <v>82</v>
      </c>
      <c r="B1189" s="106" t="s">
        <v>286</v>
      </c>
      <c r="C1189" s="94">
        <v>46254</v>
      </c>
      <c r="D1189" s="91" t="s">
        <v>29</v>
      </c>
      <c r="E1189" s="98">
        <v>1122</v>
      </c>
      <c r="F1189" s="90">
        <v>0.75259699999999996</v>
      </c>
      <c r="G1189" s="92">
        <v>0.18034800000000001</v>
      </c>
    </row>
    <row r="1190" spans="1:7" x14ac:dyDescent="0.3">
      <c r="A1190" s="98" t="s">
        <v>82</v>
      </c>
      <c r="B1190" s="106" t="s">
        <v>286</v>
      </c>
      <c r="C1190" s="94">
        <v>46254</v>
      </c>
      <c r="D1190" s="91" t="s">
        <v>30</v>
      </c>
      <c r="E1190" s="98">
        <v>1580</v>
      </c>
      <c r="F1190" s="90">
        <v>1.07755</v>
      </c>
      <c r="G1190" s="92">
        <v>0.186723</v>
      </c>
    </row>
    <row r="1191" spans="1:7" x14ac:dyDescent="0.3">
      <c r="A1191" s="98" t="s">
        <v>81</v>
      </c>
      <c r="B1191" s="106" t="s">
        <v>89</v>
      </c>
      <c r="C1191" s="94">
        <v>46254</v>
      </c>
      <c r="D1191" s="91" t="s">
        <v>14</v>
      </c>
      <c r="E1191" s="98">
        <v>2669</v>
      </c>
      <c r="F1191" s="90">
        <v>0.33675300000000002</v>
      </c>
      <c r="G1191" s="92">
        <v>9.47881E-2</v>
      </c>
    </row>
    <row r="1192" spans="1:7" x14ac:dyDescent="0.3">
      <c r="A1192" s="98" t="s">
        <v>81</v>
      </c>
      <c r="B1192" s="106" t="s">
        <v>89</v>
      </c>
      <c r="C1192" s="94">
        <v>46254</v>
      </c>
      <c r="D1192" s="91" t="s">
        <v>15</v>
      </c>
      <c r="E1192" s="98">
        <v>1844</v>
      </c>
      <c r="F1192" s="90">
        <v>0.42295199999999999</v>
      </c>
      <c r="G1192" s="92">
        <v>0.111508</v>
      </c>
    </row>
    <row r="1193" spans="1:7" x14ac:dyDescent="0.3">
      <c r="A1193" s="98" t="s">
        <v>81</v>
      </c>
      <c r="B1193" s="106" t="s">
        <v>89</v>
      </c>
      <c r="C1193" s="94">
        <v>46254</v>
      </c>
      <c r="D1193" s="91" t="s">
        <v>16</v>
      </c>
      <c r="E1193" s="98">
        <v>1520</v>
      </c>
      <c r="F1193" s="90">
        <v>0.56128500000000003</v>
      </c>
      <c r="G1193" s="92">
        <v>0.13175400000000001</v>
      </c>
    </row>
    <row r="1194" spans="1:7" x14ac:dyDescent="0.3">
      <c r="A1194" s="98" t="s">
        <v>81</v>
      </c>
      <c r="B1194" s="106" t="s">
        <v>89</v>
      </c>
      <c r="C1194" s="94">
        <v>46254</v>
      </c>
      <c r="D1194" s="91" t="s">
        <v>17</v>
      </c>
      <c r="E1194" s="98">
        <v>2138</v>
      </c>
      <c r="F1194" s="90">
        <v>0.60257000000000005</v>
      </c>
      <c r="G1194" s="92">
        <v>0.119186</v>
      </c>
    </row>
    <row r="1195" spans="1:7" x14ac:dyDescent="0.3">
      <c r="A1195" s="98" t="s">
        <v>81</v>
      </c>
      <c r="B1195" s="106" t="s">
        <v>89</v>
      </c>
      <c r="C1195" s="94">
        <v>46254</v>
      </c>
      <c r="D1195" s="91" t="s">
        <v>18</v>
      </c>
      <c r="E1195" s="98">
        <v>1505</v>
      </c>
      <c r="F1195" s="90">
        <v>0.36153600000000002</v>
      </c>
      <c r="G1195" s="92">
        <v>8.6050100000000004E-2</v>
      </c>
    </row>
    <row r="1196" spans="1:7" x14ac:dyDescent="0.3">
      <c r="A1196" s="98" t="s">
        <v>81</v>
      </c>
      <c r="B1196" s="106" t="s">
        <v>89</v>
      </c>
      <c r="C1196" s="94">
        <v>46254</v>
      </c>
      <c r="D1196" s="91" t="s">
        <v>19</v>
      </c>
      <c r="E1196" s="98">
        <v>1292</v>
      </c>
      <c r="F1196" s="90">
        <v>0.56686300000000001</v>
      </c>
      <c r="G1196" s="92">
        <v>0.119339</v>
      </c>
    </row>
    <row r="1197" spans="1:7" x14ac:dyDescent="0.3">
      <c r="A1197" s="98" t="s">
        <v>81</v>
      </c>
      <c r="B1197" s="106" t="s">
        <v>89</v>
      </c>
      <c r="C1197" s="94">
        <v>46254</v>
      </c>
      <c r="D1197" s="91" t="s">
        <v>20</v>
      </c>
      <c r="E1197" s="98">
        <v>1251</v>
      </c>
      <c r="F1197" s="90">
        <v>0.60177599999999998</v>
      </c>
      <c r="G1197" s="92">
        <v>0.12601200000000001</v>
      </c>
    </row>
    <row r="1198" spans="1:7" x14ac:dyDescent="0.3">
      <c r="A1198" s="98" t="s">
        <v>81</v>
      </c>
      <c r="B1198" s="106" t="s">
        <v>89</v>
      </c>
      <c r="C1198" s="94">
        <v>46254</v>
      </c>
      <c r="D1198" s="91" t="s">
        <v>34</v>
      </c>
      <c r="E1198" s="98">
        <v>1582</v>
      </c>
      <c r="F1198" s="90">
        <v>0.36660300000000001</v>
      </c>
      <c r="G1198" s="92">
        <v>0.111093</v>
      </c>
    </row>
    <row r="1199" spans="1:7" x14ac:dyDescent="0.3">
      <c r="A1199" s="98" t="s">
        <v>81</v>
      </c>
      <c r="B1199" s="106" t="s">
        <v>89</v>
      </c>
      <c r="C1199" s="94">
        <v>46254</v>
      </c>
      <c r="D1199" s="91" t="s">
        <v>21</v>
      </c>
      <c r="E1199" s="98">
        <v>2078</v>
      </c>
      <c r="F1199" s="90">
        <v>0.51666800000000002</v>
      </c>
      <c r="G1199" s="92">
        <v>0.100517</v>
      </c>
    </row>
    <row r="1200" spans="1:7" x14ac:dyDescent="0.3">
      <c r="A1200" s="98" t="s">
        <v>81</v>
      </c>
      <c r="B1200" s="106" t="s">
        <v>89</v>
      </c>
      <c r="C1200" s="94">
        <v>46254</v>
      </c>
      <c r="D1200" s="91" t="s">
        <v>22</v>
      </c>
      <c r="E1200" s="98">
        <v>2247</v>
      </c>
      <c r="F1200" s="90">
        <v>0.34465499999999999</v>
      </c>
      <c r="G1200" s="92">
        <v>9.3672500000000006E-2</v>
      </c>
    </row>
    <row r="1201" spans="1:7" x14ac:dyDescent="0.3">
      <c r="A1201" s="98" t="s">
        <v>81</v>
      </c>
      <c r="B1201" s="106" t="s">
        <v>89</v>
      </c>
      <c r="C1201" s="94">
        <v>46254</v>
      </c>
      <c r="D1201" s="91" t="s">
        <v>23</v>
      </c>
      <c r="E1201" s="98">
        <v>2565</v>
      </c>
      <c r="F1201" s="90">
        <v>0.38963799999999998</v>
      </c>
      <c r="G1201" s="92">
        <v>0.127884</v>
      </c>
    </row>
    <row r="1202" spans="1:7" x14ac:dyDescent="0.3">
      <c r="A1202" s="98" t="s">
        <v>81</v>
      </c>
      <c r="B1202" s="106" t="s">
        <v>89</v>
      </c>
      <c r="C1202" s="94">
        <v>46254</v>
      </c>
      <c r="D1202" s="91" t="s">
        <v>24</v>
      </c>
      <c r="E1202" s="98">
        <v>3016</v>
      </c>
      <c r="F1202" s="90">
        <v>0.294182</v>
      </c>
      <c r="G1202" s="92">
        <v>9.0604199999999996E-2</v>
      </c>
    </row>
    <row r="1203" spans="1:7" x14ac:dyDescent="0.3">
      <c r="A1203" s="98" t="s">
        <v>81</v>
      </c>
      <c r="B1203" s="106" t="s">
        <v>89</v>
      </c>
      <c r="C1203" s="94">
        <v>46254</v>
      </c>
      <c r="D1203" s="91" t="s">
        <v>25</v>
      </c>
      <c r="E1203" s="98">
        <v>1005</v>
      </c>
      <c r="F1203" s="90">
        <v>0.44411400000000001</v>
      </c>
      <c r="G1203" s="92">
        <v>0.107061</v>
      </c>
    </row>
    <row r="1204" spans="1:7" x14ac:dyDescent="0.3">
      <c r="A1204" s="98" t="s">
        <v>81</v>
      </c>
      <c r="B1204" s="106" t="s">
        <v>89</v>
      </c>
      <c r="C1204" s="94">
        <v>46254</v>
      </c>
      <c r="D1204" s="91" t="s">
        <v>26</v>
      </c>
      <c r="E1204" s="98">
        <v>2289</v>
      </c>
      <c r="F1204" s="90">
        <v>0.26846599999999998</v>
      </c>
      <c r="G1204" s="92">
        <v>8.6382500000000001E-2</v>
      </c>
    </row>
    <row r="1205" spans="1:7" x14ac:dyDescent="0.3">
      <c r="A1205" s="98" t="s">
        <v>81</v>
      </c>
      <c r="B1205" s="106" t="s">
        <v>89</v>
      </c>
      <c r="C1205" s="94">
        <v>46254</v>
      </c>
      <c r="D1205" s="91" t="s">
        <v>27</v>
      </c>
      <c r="E1205" s="98">
        <v>1318</v>
      </c>
      <c r="F1205" s="90">
        <v>0.59123899999999996</v>
      </c>
      <c r="G1205" s="92">
        <v>0.13422300000000001</v>
      </c>
    </row>
    <row r="1206" spans="1:7" x14ac:dyDescent="0.3">
      <c r="A1206" s="98" t="s">
        <v>81</v>
      </c>
      <c r="B1206" s="106" t="s">
        <v>89</v>
      </c>
      <c r="C1206" s="94">
        <v>46254</v>
      </c>
      <c r="D1206" s="91" t="s">
        <v>28</v>
      </c>
      <c r="E1206" s="98">
        <v>1358</v>
      </c>
      <c r="F1206" s="90">
        <v>0.41948200000000002</v>
      </c>
      <c r="G1206" s="92">
        <v>9.4141199999999994E-2</v>
      </c>
    </row>
    <row r="1207" spans="1:7" x14ac:dyDescent="0.3">
      <c r="A1207" s="98" t="s">
        <v>81</v>
      </c>
      <c r="B1207" s="106" t="s">
        <v>89</v>
      </c>
      <c r="C1207" s="94">
        <v>46254</v>
      </c>
      <c r="D1207" s="91" t="s">
        <v>29</v>
      </c>
      <c r="E1207" s="98">
        <v>1110</v>
      </c>
      <c r="F1207" s="90">
        <v>0.36768699999999999</v>
      </c>
      <c r="G1207" s="92">
        <v>7.6168700000000006E-2</v>
      </c>
    </row>
    <row r="1208" spans="1:7" x14ac:dyDescent="0.3">
      <c r="A1208" s="98" t="s">
        <v>81</v>
      </c>
      <c r="B1208" s="106" t="s">
        <v>89</v>
      </c>
      <c r="C1208" s="94">
        <v>46254</v>
      </c>
      <c r="D1208" s="91" t="s">
        <v>30</v>
      </c>
      <c r="E1208" s="98">
        <v>1379</v>
      </c>
      <c r="F1208" s="90">
        <v>0.51057799999999998</v>
      </c>
      <c r="G1208" s="92">
        <v>0.102744</v>
      </c>
    </row>
    <row r="1209" spans="1:7" x14ac:dyDescent="0.3">
      <c r="A1209" s="98" t="s">
        <v>88</v>
      </c>
      <c r="B1209" s="106" t="s">
        <v>296</v>
      </c>
      <c r="C1209" s="94">
        <v>46253</v>
      </c>
      <c r="D1209" s="91" t="s">
        <v>23</v>
      </c>
      <c r="E1209" s="98">
        <v>1003</v>
      </c>
      <c r="F1209" s="90">
        <v>0.167577</v>
      </c>
      <c r="G1209" s="92">
        <v>5.49744E-2</v>
      </c>
    </row>
    <row r="1210" spans="1:7" x14ac:dyDescent="0.3">
      <c r="A1210" s="98" t="s">
        <v>88</v>
      </c>
      <c r="B1210" s="106" t="s">
        <v>297</v>
      </c>
      <c r="C1210" s="94">
        <v>46253</v>
      </c>
      <c r="D1210" s="91" t="s">
        <v>23</v>
      </c>
      <c r="E1210" s="98">
        <v>1001</v>
      </c>
      <c r="F1210" s="90">
        <v>0.123311</v>
      </c>
      <c r="G1210" s="92">
        <v>4.0463199999999998E-2</v>
      </c>
    </row>
    <row r="1211" spans="1:7" x14ac:dyDescent="0.3">
      <c r="A1211" s="98" t="s">
        <v>88</v>
      </c>
      <c r="B1211" s="106" t="s">
        <v>298</v>
      </c>
      <c r="C1211" s="94">
        <v>46253</v>
      </c>
      <c r="D1211" s="91" t="s">
        <v>23</v>
      </c>
      <c r="E1211" s="98">
        <v>1001</v>
      </c>
      <c r="F1211" s="90">
        <v>0.108927</v>
      </c>
      <c r="G1211" s="92">
        <v>3.5765900000000003E-2</v>
      </c>
    </row>
    <row r="1212" spans="1:7" x14ac:dyDescent="0.3">
      <c r="A1212" s="98" t="s">
        <v>88</v>
      </c>
      <c r="B1212" s="106" t="s">
        <v>299</v>
      </c>
      <c r="C1212" s="94">
        <v>46253</v>
      </c>
      <c r="D1212" s="91" t="s">
        <v>23</v>
      </c>
      <c r="E1212" s="98">
        <v>1002</v>
      </c>
      <c r="F1212" s="90">
        <v>0.12937699999999999</v>
      </c>
      <c r="G1212" s="92">
        <v>4.24275E-2</v>
      </c>
    </row>
    <row r="1213" spans="1:7" x14ac:dyDescent="0.3">
      <c r="A1213" s="98" t="s">
        <v>88</v>
      </c>
      <c r="B1213" s="106" t="s">
        <v>300</v>
      </c>
      <c r="C1213" s="94">
        <v>46253</v>
      </c>
      <c r="D1213" s="91" t="s">
        <v>23</v>
      </c>
      <c r="E1213" s="98">
        <v>1003</v>
      </c>
      <c r="F1213" s="90">
        <v>0.16467300000000001</v>
      </c>
      <c r="G1213" s="92">
        <v>5.4067200000000003E-2</v>
      </c>
    </row>
    <row r="1214" spans="1:7" x14ac:dyDescent="0.3">
      <c r="A1214" s="98" t="s">
        <v>88</v>
      </c>
      <c r="B1214" s="106" t="s">
        <v>301</v>
      </c>
      <c r="C1214" s="94">
        <v>46253</v>
      </c>
      <c r="D1214" s="91" t="s">
        <v>23</v>
      </c>
      <c r="E1214" s="98">
        <v>1002</v>
      </c>
      <c r="F1214" s="90">
        <v>0.10671700000000001</v>
      </c>
      <c r="G1214" s="92">
        <v>3.5031E-2</v>
      </c>
    </row>
    <row r="1215" spans="1:7" x14ac:dyDescent="0.3">
      <c r="A1215" s="98" t="s">
        <v>82</v>
      </c>
      <c r="B1215" s="106" t="s">
        <v>303</v>
      </c>
      <c r="C1215" s="94">
        <v>46255</v>
      </c>
      <c r="D1215" s="91" t="s">
        <v>14</v>
      </c>
      <c r="E1215" s="98">
        <v>2068</v>
      </c>
      <c r="F1215" s="90">
        <v>1.5907100000000001</v>
      </c>
      <c r="G1215" s="92">
        <v>0.44679999999999997</v>
      </c>
    </row>
    <row r="1216" spans="1:7" x14ac:dyDescent="0.3">
      <c r="A1216" s="98" t="s">
        <v>82</v>
      </c>
      <c r="B1216" s="106" t="s">
        <v>303</v>
      </c>
      <c r="C1216" s="94">
        <v>46255</v>
      </c>
      <c r="D1216" s="91" t="s">
        <v>15</v>
      </c>
      <c r="E1216" s="98">
        <v>1530</v>
      </c>
      <c r="F1216" s="90">
        <v>1.1907099999999999</v>
      </c>
      <c r="G1216" s="92">
        <v>0.31342799999999998</v>
      </c>
    </row>
    <row r="1217" spans="1:7" x14ac:dyDescent="0.3">
      <c r="A1217" s="98" t="s">
        <v>82</v>
      </c>
      <c r="B1217" s="106" t="s">
        <v>303</v>
      </c>
      <c r="C1217" s="94">
        <v>46255</v>
      </c>
      <c r="D1217" s="91" t="s">
        <v>16</v>
      </c>
      <c r="E1217" s="98">
        <v>1377</v>
      </c>
      <c r="F1217" s="90">
        <v>2.0541399999999999</v>
      </c>
      <c r="G1217" s="92">
        <v>0.48058699999999999</v>
      </c>
    </row>
    <row r="1218" spans="1:7" x14ac:dyDescent="0.3">
      <c r="A1218" s="98" t="s">
        <v>82</v>
      </c>
      <c r="B1218" s="106" t="s">
        <v>303</v>
      </c>
      <c r="C1218" s="94">
        <v>46255</v>
      </c>
      <c r="D1218" s="91" t="s">
        <v>17</v>
      </c>
      <c r="E1218" s="98">
        <v>1741</v>
      </c>
      <c r="F1218" s="90">
        <v>0.88993599999999995</v>
      </c>
      <c r="G1218" s="92">
        <v>0.17687</v>
      </c>
    </row>
    <row r="1219" spans="1:7" x14ac:dyDescent="0.3">
      <c r="A1219" s="98" t="s">
        <v>82</v>
      </c>
      <c r="B1219" s="106" t="s">
        <v>303</v>
      </c>
      <c r="C1219" s="94">
        <v>46255</v>
      </c>
      <c r="D1219" s="91" t="s">
        <v>18</v>
      </c>
      <c r="E1219" s="98">
        <v>1392</v>
      </c>
      <c r="F1219" s="90">
        <v>8.08371</v>
      </c>
      <c r="G1219" s="92">
        <v>1.8996200000000001</v>
      </c>
    </row>
    <row r="1220" spans="1:7" x14ac:dyDescent="0.3">
      <c r="A1220" s="98" t="s">
        <v>82</v>
      </c>
      <c r="B1220" s="106" t="s">
        <v>303</v>
      </c>
      <c r="C1220" s="94">
        <v>46255</v>
      </c>
      <c r="D1220" s="91" t="s">
        <v>19</v>
      </c>
      <c r="E1220" s="98">
        <v>1397</v>
      </c>
      <c r="F1220" s="90">
        <v>1.7896399999999999</v>
      </c>
      <c r="G1220" s="92">
        <v>0.37706400000000001</v>
      </c>
    </row>
    <row r="1221" spans="1:7" x14ac:dyDescent="0.3">
      <c r="A1221" s="98" t="s">
        <v>82</v>
      </c>
      <c r="B1221" s="106" t="s">
        <v>303</v>
      </c>
      <c r="C1221" s="94">
        <v>46255</v>
      </c>
      <c r="D1221" s="91" t="s">
        <v>20</v>
      </c>
      <c r="E1221" s="98">
        <v>1108</v>
      </c>
      <c r="F1221" s="90">
        <v>1.59856</v>
      </c>
      <c r="G1221" s="92">
        <v>0.33344099999999999</v>
      </c>
    </row>
    <row r="1222" spans="1:7" x14ac:dyDescent="0.3">
      <c r="A1222" s="98" t="s">
        <v>82</v>
      </c>
      <c r="B1222" s="106" t="s">
        <v>303</v>
      </c>
      <c r="C1222" s="94">
        <v>46255</v>
      </c>
      <c r="D1222" s="91" t="s">
        <v>34</v>
      </c>
      <c r="E1222" s="98">
        <v>1497</v>
      </c>
      <c r="F1222" s="90">
        <v>1.0263100000000001</v>
      </c>
      <c r="G1222" s="92">
        <v>0.31339099999999998</v>
      </c>
    </row>
    <row r="1223" spans="1:7" x14ac:dyDescent="0.3">
      <c r="A1223" s="98" t="s">
        <v>82</v>
      </c>
      <c r="B1223" s="106" t="s">
        <v>303</v>
      </c>
      <c r="C1223" s="94">
        <v>46255</v>
      </c>
      <c r="D1223" s="91" t="s">
        <v>21</v>
      </c>
      <c r="E1223" s="98">
        <v>2089</v>
      </c>
      <c r="F1223" s="90">
        <v>2.2855599999999998</v>
      </c>
      <c r="G1223" s="92">
        <v>0.446185</v>
      </c>
    </row>
    <row r="1224" spans="1:7" x14ac:dyDescent="0.3">
      <c r="A1224" s="98" t="s">
        <v>82</v>
      </c>
      <c r="B1224" s="106" t="s">
        <v>303</v>
      </c>
      <c r="C1224" s="94">
        <v>46255</v>
      </c>
      <c r="D1224" s="91" t="s">
        <v>22</v>
      </c>
      <c r="E1224" s="98">
        <v>2116</v>
      </c>
      <c r="F1224" s="90">
        <v>0.46966799999999997</v>
      </c>
      <c r="G1224" s="92">
        <v>0.12848799999999999</v>
      </c>
    </row>
    <row r="1225" spans="1:7" x14ac:dyDescent="0.3">
      <c r="A1225" s="98" t="s">
        <v>82</v>
      </c>
      <c r="B1225" s="106" t="s">
        <v>303</v>
      </c>
      <c r="C1225" s="94">
        <v>46255</v>
      </c>
      <c r="D1225" s="91" t="s">
        <v>23</v>
      </c>
      <c r="E1225" s="98">
        <v>2119</v>
      </c>
      <c r="F1225" s="90">
        <v>0.49752600000000002</v>
      </c>
      <c r="G1225" s="92">
        <v>0.162659</v>
      </c>
    </row>
    <row r="1226" spans="1:7" x14ac:dyDescent="0.3">
      <c r="A1226" s="98" t="s">
        <v>82</v>
      </c>
      <c r="B1226" s="106" t="s">
        <v>303</v>
      </c>
      <c r="C1226" s="94">
        <v>46255</v>
      </c>
      <c r="D1226" s="91" t="s">
        <v>24</v>
      </c>
      <c r="E1226" s="98">
        <v>1987</v>
      </c>
      <c r="F1226" s="90">
        <v>1.77268</v>
      </c>
      <c r="G1226" s="92">
        <v>0.54729899999999998</v>
      </c>
    </row>
    <row r="1227" spans="1:7" x14ac:dyDescent="0.3">
      <c r="A1227" s="98" t="s">
        <v>82</v>
      </c>
      <c r="B1227" s="106" t="s">
        <v>303</v>
      </c>
      <c r="C1227" s="94">
        <v>46255</v>
      </c>
      <c r="D1227" s="91" t="s">
        <v>25</v>
      </c>
      <c r="E1227" s="98">
        <v>1001</v>
      </c>
      <c r="F1227" s="90">
        <v>2.5088200000000001</v>
      </c>
      <c r="G1227" s="92">
        <v>0.59784999999999999</v>
      </c>
    </row>
    <row r="1228" spans="1:7" x14ac:dyDescent="0.3">
      <c r="A1228" s="98" t="s">
        <v>82</v>
      </c>
      <c r="B1228" s="106" t="s">
        <v>303</v>
      </c>
      <c r="C1228" s="94">
        <v>46255</v>
      </c>
      <c r="D1228" s="91" t="s">
        <v>26</v>
      </c>
      <c r="E1228" s="98">
        <v>2188</v>
      </c>
      <c r="F1228" s="90">
        <v>0.362595</v>
      </c>
      <c r="G1228" s="92">
        <v>0.1172</v>
      </c>
    </row>
    <row r="1229" spans="1:7" x14ac:dyDescent="0.3">
      <c r="A1229" s="98" t="s">
        <v>82</v>
      </c>
      <c r="B1229" s="106" t="s">
        <v>303</v>
      </c>
      <c r="C1229" s="94">
        <v>46255</v>
      </c>
      <c r="D1229" s="91" t="s">
        <v>27</v>
      </c>
      <c r="E1229" s="98">
        <v>1553</v>
      </c>
      <c r="F1229" s="90">
        <v>2.2913700000000001</v>
      </c>
      <c r="G1229" s="92">
        <v>0.523312</v>
      </c>
    </row>
    <row r="1230" spans="1:7" x14ac:dyDescent="0.3">
      <c r="A1230" s="98" t="s">
        <v>82</v>
      </c>
      <c r="B1230" s="106" t="s">
        <v>303</v>
      </c>
      <c r="C1230" s="94">
        <v>46255</v>
      </c>
      <c r="D1230" s="91" t="s">
        <v>28</v>
      </c>
      <c r="E1230" s="98">
        <v>1129</v>
      </c>
      <c r="F1230" s="90">
        <v>0.80725199999999997</v>
      </c>
      <c r="G1230" s="92">
        <v>0.18199100000000001</v>
      </c>
    </row>
    <row r="1231" spans="1:7" x14ac:dyDescent="0.3">
      <c r="A1231" s="98" t="s">
        <v>82</v>
      </c>
      <c r="B1231" s="106" t="s">
        <v>303</v>
      </c>
      <c r="C1231" s="94">
        <v>46255</v>
      </c>
      <c r="D1231" s="91" t="s">
        <v>29</v>
      </c>
      <c r="E1231" s="98">
        <v>1103</v>
      </c>
      <c r="F1231" s="90">
        <v>5.1357900000000001</v>
      </c>
      <c r="G1231" s="92">
        <v>1.04112</v>
      </c>
    </row>
    <row r="1232" spans="1:7" x14ac:dyDescent="0.3">
      <c r="A1232" s="98" t="s">
        <v>82</v>
      </c>
      <c r="B1232" s="106" t="s">
        <v>303</v>
      </c>
      <c r="C1232" s="94">
        <v>46255</v>
      </c>
      <c r="D1232" s="91" t="s">
        <v>30</v>
      </c>
      <c r="E1232" s="98">
        <v>1157</v>
      </c>
      <c r="F1232" s="90">
        <v>1.5247200000000001</v>
      </c>
      <c r="G1232" s="92">
        <v>0.30777700000000002</v>
      </c>
    </row>
    <row r="1233" spans="1:7" x14ac:dyDescent="0.3">
      <c r="A1233" s="98" t="s">
        <v>81</v>
      </c>
      <c r="B1233" s="106" t="str">
        <f t="shared" ref="B1233:B1250" si="3">IF($A1233="Daily", "n/a", "")</f>
        <v>n/a</v>
      </c>
      <c r="C1233" s="94">
        <v>46255</v>
      </c>
      <c r="D1233" s="91" t="s">
        <v>14</v>
      </c>
      <c r="E1233" s="98">
        <v>1897</v>
      </c>
      <c r="F1233" s="90">
        <v>0.38606699999999999</v>
      </c>
      <c r="G1233" s="92">
        <v>0.108658</v>
      </c>
    </row>
    <row r="1234" spans="1:7" x14ac:dyDescent="0.3">
      <c r="A1234" s="98" t="s">
        <v>81</v>
      </c>
      <c r="B1234" s="106" t="str">
        <f t="shared" si="3"/>
        <v>n/a</v>
      </c>
      <c r="C1234" s="94">
        <v>46255</v>
      </c>
      <c r="D1234" s="91" t="s">
        <v>15</v>
      </c>
      <c r="E1234" s="98">
        <v>1522</v>
      </c>
      <c r="F1234" s="90">
        <v>0.41974</v>
      </c>
      <c r="G1234" s="92">
        <v>0.110641</v>
      </c>
    </row>
    <row r="1235" spans="1:7" x14ac:dyDescent="0.3">
      <c r="A1235" s="98" t="s">
        <v>81</v>
      </c>
      <c r="B1235" s="106" t="str">
        <f t="shared" si="3"/>
        <v>n/a</v>
      </c>
      <c r="C1235" s="94">
        <v>46255</v>
      </c>
      <c r="D1235" s="91" t="s">
        <v>16</v>
      </c>
      <c r="E1235" s="98">
        <v>1230</v>
      </c>
      <c r="F1235" s="90">
        <v>0.54217400000000004</v>
      </c>
      <c r="G1235" s="92">
        <v>0.127246</v>
      </c>
    </row>
    <row r="1236" spans="1:7" x14ac:dyDescent="0.3">
      <c r="A1236" s="98" t="s">
        <v>81</v>
      </c>
      <c r="B1236" s="106" t="str">
        <f t="shared" si="3"/>
        <v>n/a</v>
      </c>
      <c r="C1236" s="94">
        <v>46255</v>
      </c>
      <c r="D1236" s="91" t="s">
        <v>17</v>
      </c>
      <c r="E1236" s="98">
        <v>1890</v>
      </c>
      <c r="F1236" s="90">
        <v>0.55751899999999999</v>
      </c>
      <c r="G1236" s="92">
        <v>0.110322</v>
      </c>
    </row>
    <row r="1237" spans="1:7" x14ac:dyDescent="0.3">
      <c r="A1237" s="98" t="s">
        <v>81</v>
      </c>
      <c r="B1237" s="106" t="str">
        <f t="shared" si="3"/>
        <v>n/a</v>
      </c>
      <c r="C1237" s="94">
        <v>46255</v>
      </c>
      <c r="D1237" s="91" t="s">
        <v>18</v>
      </c>
      <c r="E1237" s="98">
        <v>1323</v>
      </c>
      <c r="F1237" s="90">
        <v>0.322826</v>
      </c>
      <c r="G1237" s="92">
        <v>7.68263E-2</v>
      </c>
    </row>
    <row r="1238" spans="1:7" x14ac:dyDescent="0.3">
      <c r="A1238" s="98" t="s">
        <v>81</v>
      </c>
      <c r="B1238" s="106" t="str">
        <f t="shared" si="3"/>
        <v>n/a</v>
      </c>
      <c r="C1238" s="94">
        <v>46255</v>
      </c>
      <c r="D1238" s="91" t="s">
        <v>19</v>
      </c>
      <c r="E1238" s="98">
        <v>1384</v>
      </c>
      <c r="F1238" s="90">
        <v>0.49721900000000002</v>
      </c>
      <c r="G1238" s="92">
        <v>0.104654</v>
      </c>
    </row>
    <row r="1239" spans="1:7" x14ac:dyDescent="0.3">
      <c r="A1239" s="98" t="s">
        <v>81</v>
      </c>
      <c r="B1239" s="106" t="str">
        <f t="shared" si="3"/>
        <v>n/a</v>
      </c>
      <c r="C1239" s="94">
        <v>46255</v>
      </c>
      <c r="D1239" s="91" t="s">
        <v>20</v>
      </c>
      <c r="E1239" s="98">
        <v>1162</v>
      </c>
      <c r="F1239" s="90">
        <v>0.50142600000000004</v>
      </c>
      <c r="G1239" s="92">
        <v>0.104958</v>
      </c>
    </row>
    <row r="1240" spans="1:7" x14ac:dyDescent="0.3">
      <c r="A1240" s="98" t="s">
        <v>81</v>
      </c>
      <c r="B1240" s="106" t="str">
        <f t="shared" si="3"/>
        <v>n/a</v>
      </c>
      <c r="C1240" s="94">
        <v>46255</v>
      </c>
      <c r="D1240" s="91" t="s">
        <v>34</v>
      </c>
      <c r="E1240" s="98">
        <v>1377</v>
      </c>
      <c r="F1240" s="90">
        <v>0.26933200000000002</v>
      </c>
      <c r="G1240" s="92">
        <v>8.1655400000000003E-2</v>
      </c>
    </row>
    <row r="1241" spans="1:7" x14ac:dyDescent="0.3">
      <c r="A1241" s="98" t="s">
        <v>81</v>
      </c>
      <c r="B1241" s="106" t="str">
        <f t="shared" si="3"/>
        <v>n/a</v>
      </c>
      <c r="C1241" s="94">
        <v>46255</v>
      </c>
      <c r="D1241" s="91" t="s">
        <v>21</v>
      </c>
      <c r="E1241" s="98">
        <v>1973</v>
      </c>
      <c r="F1241" s="90">
        <v>0.49700800000000001</v>
      </c>
      <c r="G1241" s="92">
        <v>9.6756599999999998E-2</v>
      </c>
    </row>
    <row r="1242" spans="1:7" x14ac:dyDescent="0.3">
      <c r="A1242" s="98" t="s">
        <v>81</v>
      </c>
      <c r="B1242" s="106" t="str">
        <f t="shared" si="3"/>
        <v>n/a</v>
      </c>
      <c r="C1242" s="94">
        <v>46255</v>
      </c>
      <c r="D1242" s="91" t="s">
        <v>22</v>
      </c>
      <c r="E1242" s="98">
        <v>2366</v>
      </c>
      <c r="F1242" s="90">
        <v>0.36167700000000003</v>
      </c>
      <c r="G1242" s="92">
        <v>9.8345600000000005E-2</v>
      </c>
    </row>
    <row r="1243" spans="1:7" x14ac:dyDescent="0.3">
      <c r="A1243" s="98" t="s">
        <v>81</v>
      </c>
      <c r="B1243" s="106" t="str">
        <f t="shared" si="3"/>
        <v>n/a</v>
      </c>
      <c r="C1243" s="94">
        <v>46255</v>
      </c>
      <c r="D1243" s="91" t="s">
        <v>23</v>
      </c>
      <c r="E1243" s="98">
        <v>1760</v>
      </c>
      <c r="F1243" s="90">
        <v>0.45647900000000002</v>
      </c>
      <c r="G1243" s="92">
        <v>0.14977499999999999</v>
      </c>
    </row>
    <row r="1244" spans="1:7" x14ac:dyDescent="0.3">
      <c r="A1244" s="98" t="s">
        <v>81</v>
      </c>
      <c r="B1244" s="106" t="str">
        <f t="shared" si="3"/>
        <v>n/a</v>
      </c>
      <c r="C1244" s="94">
        <v>46255</v>
      </c>
      <c r="D1244" s="91" t="s">
        <v>24</v>
      </c>
      <c r="E1244" s="98">
        <v>2180</v>
      </c>
      <c r="F1244" s="90">
        <v>0.35242400000000002</v>
      </c>
      <c r="G1244" s="92">
        <v>0.108616</v>
      </c>
    </row>
    <row r="1245" spans="1:7" x14ac:dyDescent="0.3">
      <c r="A1245" s="98" t="s">
        <v>81</v>
      </c>
      <c r="B1245" s="106" t="str">
        <f t="shared" si="3"/>
        <v>n/a</v>
      </c>
      <c r="C1245" s="94">
        <v>46255</v>
      </c>
      <c r="D1245" s="91" t="s">
        <v>25</v>
      </c>
      <c r="E1245" s="98">
        <v>1126</v>
      </c>
      <c r="F1245" s="90">
        <v>0.26023600000000002</v>
      </c>
      <c r="G1245" s="92">
        <v>6.2629799999999999E-2</v>
      </c>
    </row>
    <row r="1246" spans="1:7" x14ac:dyDescent="0.3">
      <c r="A1246" s="98" t="s">
        <v>81</v>
      </c>
      <c r="B1246" s="106" t="str">
        <f t="shared" si="3"/>
        <v>n/a</v>
      </c>
      <c r="C1246" s="94">
        <v>46255</v>
      </c>
      <c r="D1246" s="91" t="s">
        <v>26</v>
      </c>
      <c r="E1246" s="98">
        <v>2314</v>
      </c>
      <c r="F1246" s="90">
        <v>0.32979599999999998</v>
      </c>
      <c r="G1246" s="92">
        <v>0.106111</v>
      </c>
    </row>
    <row r="1247" spans="1:7" x14ac:dyDescent="0.3">
      <c r="A1247" s="98" t="s">
        <v>81</v>
      </c>
      <c r="B1247" s="106" t="str">
        <f t="shared" si="3"/>
        <v>n/a</v>
      </c>
      <c r="C1247" s="94">
        <v>46255</v>
      </c>
      <c r="D1247" s="91" t="s">
        <v>27</v>
      </c>
      <c r="E1247" s="98">
        <v>1361</v>
      </c>
      <c r="F1247" s="90">
        <v>0.51904700000000004</v>
      </c>
      <c r="G1247" s="92">
        <v>0.11781</v>
      </c>
    </row>
    <row r="1248" spans="1:7" x14ac:dyDescent="0.3">
      <c r="A1248" s="98" t="s">
        <v>81</v>
      </c>
      <c r="B1248" s="106" t="str">
        <f t="shared" si="3"/>
        <v>n/a</v>
      </c>
      <c r="C1248" s="94">
        <v>46255</v>
      </c>
      <c r="D1248" s="91" t="s">
        <v>28</v>
      </c>
      <c r="E1248" s="98">
        <v>1192</v>
      </c>
      <c r="F1248" s="90">
        <v>0.453818</v>
      </c>
      <c r="G1248" s="92">
        <v>0.10198699999999999</v>
      </c>
    </row>
    <row r="1249" spans="1:7" x14ac:dyDescent="0.3">
      <c r="A1249" s="98" t="s">
        <v>81</v>
      </c>
      <c r="B1249" s="106" t="str">
        <f t="shared" si="3"/>
        <v>n/a</v>
      </c>
      <c r="C1249" s="94">
        <v>46255</v>
      </c>
      <c r="D1249" s="91" t="s">
        <v>29</v>
      </c>
      <c r="E1249" s="98">
        <v>1007</v>
      </c>
      <c r="F1249" s="90">
        <v>0.41626400000000002</v>
      </c>
      <c r="G1249" s="92">
        <v>8.6207000000000006E-2</v>
      </c>
    </row>
    <row r="1250" spans="1:7" x14ac:dyDescent="0.3">
      <c r="A1250" s="98" t="s">
        <v>81</v>
      </c>
      <c r="B1250" s="106" t="str">
        <f t="shared" si="3"/>
        <v>n/a</v>
      </c>
      <c r="C1250" s="94">
        <v>46255</v>
      </c>
      <c r="D1250" s="91" t="s">
        <v>30</v>
      </c>
      <c r="E1250" s="98">
        <v>1104</v>
      </c>
      <c r="F1250" s="90">
        <v>0.466804</v>
      </c>
      <c r="G1250" s="92">
        <v>9.3972299999999995E-2</v>
      </c>
    </row>
    <row r="1251" spans="1:7" x14ac:dyDescent="0.3">
      <c r="A1251" s="98" t="s">
        <v>88</v>
      </c>
      <c r="B1251" s="106" t="s">
        <v>308</v>
      </c>
      <c r="C1251" s="94">
        <v>46255</v>
      </c>
      <c r="D1251" s="91" t="s">
        <v>14</v>
      </c>
      <c r="E1251" s="98">
        <v>1958</v>
      </c>
      <c r="F1251" s="90">
        <v>0.33082699999999998</v>
      </c>
      <c r="G1251" s="92">
        <v>9.3121099999999998E-2</v>
      </c>
    </row>
    <row r="1252" spans="1:7" x14ac:dyDescent="0.3">
      <c r="A1252" s="98" t="s">
        <v>88</v>
      </c>
      <c r="B1252" s="106" t="s">
        <v>308</v>
      </c>
      <c r="C1252" s="94">
        <v>46255</v>
      </c>
      <c r="D1252" s="91" t="s">
        <v>15</v>
      </c>
      <c r="E1252" s="98">
        <v>1496</v>
      </c>
      <c r="F1252" s="90">
        <v>0.39394699999999999</v>
      </c>
      <c r="G1252" s="92">
        <v>0.103864</v>
      </c>
    </row>
    <row r="1253" spans="1:7" x14ac:dyDescent="0.3">
      <c r="A1253" s="98" t="s">
        <v>88</v>
      </c>
      <c r="B1253" s="106" t="s">
        <v>308</v>
      </c>
      <c r="C1253" s="94">
        <v>46255</v>
      </c>
      <c r="D1253" s="91" t="s">
        <v>16</v>
      </c>
      <c r="E1253" s="98">
        <v>1371</v>
      </c>
      <c r="F1253" s="90">
        <v>0.49240200000000001</v>
      </c>
      <c r="G1253" s="92">
        <v>0.115601</v>
      </c>
    </row>
    <row r="1254" spans="1:7" x14ac:dyDescent="0.3">
      <c r="A1254" s="98" t="s">
        <v>88</v>
      </c>
      <c r="B1254" s="106" t="s">
        <v>308</v>
      </c>
      <c r="C1254" s="94">
        <v>46255</v>
      </c>
      <c r="D1254" s="91" t="s">
        <v>17</v>
      </c>
      <c r="E1254" s="98">
        <v>1845</v>
      </c>
      <c r="F1254" s="90">
        <v>0.601742</v>
      </c>
      <c r="G1254" s="92">
        <v>0.11905499999999999</v>
      </c>
    </row>
    <row r="1255" spans="1:7" x14ac:dyDescent="0.3">
      <c r="A1255" s="98" t="s">
        <v>88</v>
      </c>
      <c r="B1255" s="106" t="s">
        <v>308</v>
      </c>
      <c r="C1255" s="94">
        <v>46255</v>
      </c>
      <c r="D1255" s="91" t="s">
        <v>18</v>
      </c>
      <c r="E1255" s="98">
        <v>1396</v>
      </c>
      <c r="F1255" s="90">
        <v>0.30510199999999998</v>
      </c>
      <c r="G1255" s="92">
        <v>7.2619500000000003E-2</v>
      </c>
    </row>
    <row r="1256" spans="1:7" x14ac:dyDescent="0.3">
      <c r="A1256" s="98" t="s">
        <v>88</v>
      </c>
      <c r="B1256" s="106" t="s">
        <v>308</v>
      </c>
      <c r="C1256" s="94">
        <v>46255</v>
      </c>
      <c r="D1256" s="91" t="s">
        <v>19</v>
      </c>
      <c r="E1256" s="98">
        <v>1382</v>
      </c>
      <c r="F1256" s="90">
        <v>0.50143899999999997</v>
      </c>
      <c r="G1256" s="92">
        <v>0.105596</v>
      </c>
    </row>
    <row r="1257" spans="1:7" x14ac:dyDescent="0.3">
      <c r="A1257" s="98" t="s">
        <v>88</v>
      </c>
      <c r="B1257" s="106" t="s">
        <v>308</v>
      </c>
      <c r="C1257" s="94">
        <v>46255</v>
      </c>
      <c r="D1257" s="91" t="s">
        <v>20</v>
      </c>
      <c r="E1257" s="98">
        <v>1115</v>
      </c>
      <c r="F1257" s="90">
        <v>0.49408400000000002</v>
      </c>
      <c r="G1257" s="92">
        <v>0.10345</v>
      </c>
    </row>
    <row r="1258" spans="1:7" x14ac:dyDescent="0.3">
      <c r="A1258" s="98" t="s">
        <v>88</v>
      </c>
      <c r="B1258" s="106" t="s">
        <v>308</v>
      </c>
      <c r="C1258" s="94">
        <v>46255</v>
      </c>
      <c r="D1258" s="91" t="s">
        <v>34</v>
      </c>
      <c r="E1258" s="98">
        <v>1498</v>
      </c>
      <c r="F1258" s="90">
        <v>0.28099800000000003</v>
      </c>
      <c r="G1258" s="92">
        <v>8.5202E-2</v>
      </c>
    </row>
    <row r="1259" spans="1:7" x14ac:dyDescent="0.3">
      <c r="A1259" s="98" t="s">
        <v>88</v>
      </c>
      <c r="B1259" s="106" t="s">
        <v>308</v>
      </c>
      <c r="C1259" s="94">
        <v>46255</v>
      </c>
      <c r="D1259" s="91" t="s">
        <v>21</v>
      </c>
      <c r="E1259" s="98">
        <v>2132</v>
      </c>
      <c r="F1259" s="90">
        <v>0.49568499999999999</v>
      </c>
      <c r="G1259" s="92">
        <v>9.6510299999999993E-2</v>
      </c>
    </row>
    <row r="1260" spans="1:7" x14ac:dyDescent="0.3">
      <c r="A1260" s="98" t="s">
        <v>88</v>
      </c>
      <c r="B1260" s="106" t="s">
        <v>308</v>
      </c>
      <c r="C1260" s="94">
        <v>46255</v>
      </c>
      <c r="D1260" s="91" t="s">
        <v>22</v>
      </c>
      <c r="E1260" s="98">
        <v>1965</v>
      </c>
      <c r="F1260" s="90">
        <v>0.39345400000000003</v>
      </c>
      <c r="G1260" s="92">
        <v>0.106964</v>
      </c>
    </row>
    <row r="1261" spans="1:7" x14ac:dyDescent="0.3">
      <c r="A1261" s="98" t="s">
        <v>88</v>
      </c>
      <c r="B1261" s="106" t="s">
        <v>308</v>
      </c>
      <c r="C1261" s="94">
        <v>46255</v>
      </c>
      <c r="D1261" s="91" t="s">
        <v>23</v>
      </c>
      <c r="E1261" s="98">
        <v>1755</v>
      </c>
      <c r="F1261" s="90">
        <v>0.426867</v>
      </c>
      <c r="G1261" s="92">
        <v>0.14013600000000001</v>
      </c>
    </row>
    <row r="1262" spans="1:7" x14ac:dyDescent="0.3">
      <c r="A1262" s="98" t="s">
        <v>88</v>
      </c>
      <c r="B1262" s="106" t="s">
        <v>308</v>
      </c>
      <c r="C1262" s="94">
        <v>46255</v>
      </c>
      <c r="D1262" s="91" t="s">
        <v>24</v>
      </c>
      <c r="E1262" s="98">
        <v>2088</v>
      </c>
      <c r="F1262" s="90">
        <v>0.30718299999999998</v>
      </c>
      <c r="G1262" s="92">
        <v>9.4645499999999994E-2</v>
      </c>
    </row>
    <row r="1263" spans="1:7" x14ac:dyDescent="0.3">
      <c r="A1263" s="98" t="s">
        <v>88</v>
      </c>
      <c r="B1263" s="106" t="s">
        <v>308</v>
      </c>
      <c r="C1263" s="94">
        <v>46255</v>
      </c>
      <c r="D1263" s="91" t="s">
        <v>25</v>
      </c>
      <c r="E1263" s="98">
        <v>1091</v>
      </c>
      <c r="F1263" s="90">
        <v>0.32910200000000001</v>
      </c>
      <c r="G1263" s="92">
        <v>7.9194000000000001E-2</v>
      </c>
    </row>
    <row r="1264" spans="1:7" x14ac:dyDescent="0.3">
      <c r="A1264" s="98" t="s">
        <v>88</v>
      </c>
      <c r="B1264" s="106" t="s">
        <v>308</v>
      </c>
      <c r="C1264" s="94">
        <v>46255</v>
      </c>
      <c r="D1264" s="91" t="s">
        <v>26</v>
      </c>
      <c r="E1264" s="98">
        <v>1914</v>
      </c>
      <c r="F1264" s="90">
        <v>0.30376599999999998</v>
      </c>
      <c r="G1264" s="92">
        <v>9.7724900000000003E-2</v>
      </c>
    </row>
    <row r="1265" spans="1:7" x14ac:dyDescent="0.3">
      <c r="A1265" s="98" t="s">
        <v>88</v>
      </c>
      <c r="B1265" s="106" t="s">
        <v>308</v>
      </c>
      <c r="C1265" s="94">
        <v>46255</v>
      </c>
      <c r="D1265" s="91" t="s">
        <v>27</v>
      </c>
      <c r="E1265" s="98">
        <v>2163</v>
      </c>
      <c r="F1265" s="90">
        <v>0.44899299999999998</v>
      </c>
      <c r="G1265" s="92">
        <v>0.101935</v>
      </c>
    </row>
    <row r="1266" spans="1:7" x14ac:dyDescent="0.3">
      <c r="A1266" s="98" t="s">
        <v>88</v>
      </c>
      <c r="B1266" s="106" t="s">
        <v>308</v>
      </c>
      <c r="C1266" s="94">
        <v>46255</v>
      </c>
      <c r="D1266" s="91" t="s">
        <v>28</v>
      </c>
      <c r="E1266" s="98">
        <v>1887</v>
      </c>
      <c r="F1266" s="90">
        <v>0.38950400000000002</v>
      </c>
      <c r="G1266" s="92">
        <v>8.74809E-2</v>
      </c>
    </row>
    <row r="1267" spans="1:7" x14ac:dyDescent="0.3">
      <c r="A1267" s="98" t="s">
        <v>88</v>
      </c>
      <c r="B1267" s="106" t="s">
        <v>308</v>
      </c>
      <c r="C1267" s="94">
        <v>46255</v>
      </c>
      <c r="D1267" s="91" t="s">
        <v>29</v>
      </c>
      <c r="E1267" s="98">
        <v>1002</v>
      </c>
      <c r="F1267" s="90">
        <v>0.33208100000000002</v>
      </c>
      <c r="G1267" s="92">
        <v>6.8804900000000002E-2</v>
      </c>
    </row>
    <row r="1268" spans="1:7" x14ac:dyDescent="0.3">
      <c r="A1268" s="98" t="s">
        <v>88</v>
      </c>
      <c r="B1268" s="106" t="s">
        <v>308</v>
      </c>
      <c r="C1268" s="94">
        <v>46255</v>
      </c>
      <c r="D1268" s="91" t="s">
        <v>30</v>
      </c>
      <c r="E1268" s="98">
        <v>1126</v>
      </c>
      <c r="F1268" s="90">
        <v>0.53193999999999997</v>
      </c>
      <c r="G1268" s="92">
        <v>0.10709299999999999</v>
      </c>
    </row>
    <row r="1269" spans="1:7" x14ac:dyDescent="0.3">
      <c r="B1269" s="106" t="str">
        <f t="shared" ref="B1269:B1320" si="4">IF($A1269="Daily", "n/a", "")</f>
        <v/>
      </c>
    </row>
    <row r="1270" spans="1:7" x14ac:dyDescent="0.3">
      <c r="B1270" s="106" t="str">
        <f t="shared" si="4"/>
        <v/>
      </c>
    </row>
    <row r="1271" spans="1:7" x14ac:dyDescent="0.3">
      <c r="B1271" s="106" t="str">
        <f t="shared" si="4"/>
        <v/>
      </c>
    </row>
    <row r="1272" spans="1:7" x14ac:dyDescent="0.3">
      <c r="B1272" s="106" t="str">
        <f t="shared" si="4"/>
        <v/>
      </c>
    </row>
    <row r="1273" spans="1:7" x14ac:dyDescent="0.3">
      <c r="B1273" s="106" t="str">
        <f t="shared" si="4"/>
        <v/>
      </c>
    </row>
    <row r="1274" spans="1:7" x14ac:dyDescent="0.3">
      <c r="B1274" s="106" t="str">
        <f t="shared" si="4"/>
        <v/>
      </c>
    </row>
    <row r="1275" spans="1:7" x14ac:dyDescent="0.3">
      <c r="B1275" s="106" t="str">
        <f t="shared" si="4"/>
        <v/>
      </c>
    </row>
    <row r="1276" spans="1:7" x14ac:dyDescent="0.3">
      <c r="B1276" s="106" t="str">
        <f t="shared" si="4"/>
        <v/>
      </c>
    </row>
    <row r="1277" spans="1:7" x14ac:dyDescent="0.3">
      <c r="B1277" s="106" t="str">
        <f t="shared" si="4"/>
        <v/>
      </c>
    </row>
    <row r="1278" spans="1:7" x14ac:dyDescent="0.3">
      <c r="B1278" s="106" t="str">
        <f t="shared" si="4"/>
        <v/>
      </c>
    </row>
    <row r="1279" spans="1:7" x14ac:dyDescent="0.3">
      <c r="B1279" s="106" t="str">
        <f t="shared" si="4"/>
        <v/>
      </c>
    </row>
    <row r="1280" spans="1:7" x14ac:dyDescent="0.3">
      <c r="B1280" s="106" t="str">
        <f t="shared" si="4"/>
        <v/>
      </c>
    </row>
    <row r="1281" spans="2:2" x14ac:dyDescent="0.3">
      <c r="B1281" s="106" t="str">
        <f t="shared" si="4"/>
        <v/>
      </c>
    </row>
    <row r="1282" spans="2:2" x14ac:dyDescent="0.3">
      <c r="B1282" s="106" t="str">
        <f t="shared" si="4"/>
        <v/>
      </c>
    </row>
    <row r="1283" spans="2:2" x14ac:dyDescent="0.3">
      <c r="B1283" s="106" t="str">
        <f t="shared" si="4"/>
        <v/>
      </c>
    </row>
    <row r="1284" spans="2:2" x14ac:dyDescent="0.3">
      <c r="B1284" s="106" t="str">
        <f t="shared" si="4"/>
        <v/>
      </c>
    </row>
    <row r="1285" spans="2:2" x14ac:dyDescent="0.3">
      <c r="B1285" s="106" t="str">
        <f t="shared" si="4"/>
        <v/>
      </c>
    </row>
    <row r="1286" spans="2:2" x14ac:dyDescent="0.3">
      <c r="B1286" s="106" t="str">
        <f t="shared" si="4"/>
        <v/>
      </c>
    </row>
    <row r="1287" spans="2:2" x14ac:dyDescent="0.3">
      <c r="B1287" s="106" t="str">
        <f t="shared" si="4"/>
        <v/>
      </c>
    </row>
    <row r="1288" spans="2:2" x14ac:dyDescent="0.3">
      <c r="B1288" s="106" t="str">
        <f t="shared" si="4"/>
        <v/>
      </c>
    </row>
    <row r="1289" spans="2:2" x14ac:dyDescent="0.3">
      <c r="B1289" s="106" t="str">
        <f t="shared" si="4"/>
        <v/>
      </c>
    </row>
    <row r="1290" spans="2:2" x14ac:dyDescent="0.3">
      <c r="B1290" s="106" t="str">
        <f t="shared" si="4"/>
        <v/>
      </c>
    </row>
    <row r="1291" spans="2:2" x14ac:dyDescent="0.3">
      <c r="B1291" s="106" t="str">
        <f t="shared" si="4"/>
        <v/>
      </c>
    </row>
    <row r="1292" spans="2:2" x14ac:dyDescent="0.3">
      <c r="B1292" s="106" t="str">
        <f t="shared" si="4"/>
        <v/>
      </c>
    </row>
    <row r="1293" spans="2:2" x14ac:dyDescent="0.3">
      <c r="B1293" s="106" t="str">
        <f t="shared" si="4"/>
        <v/>
      </c>
    </row>
    <row r="1294" spans="2:2" x14ac:dyDescent="0.3">
      <c r="B1294" s="106" t="str">
        <f t="shared" si="4"/>
        <v/>
      </c>
    </row>
    <row r="1295" spans="2:2" x14ac:dyDescent="0.3">
      <c r="B1295" s="106" t="str">
        <f t="shared" si="4"/>
        <v/>
      </c>
    </row>
    <row r="1296" spans="2:2" x14ac:dyDescent="0.3">
      <c r="B1296" s="106" t="str">
        <f t="shared" si="4"/>
        <v/>
      </c>
    </row>
    <row r="1297" spans="2:2" x14ac:dyDescent="0.3">
      <c r="B1297" s="106" t="str">
        <f t="shared" si="4"/>
        <v/>
      </c>
    </row>
    <row r="1298" spans="2:2" x14ac:dyDescent="0.3">
      <c r="B1298" s="106" t="str">
        <f t="shared" si="4"/>
        <v/>
      </c>
    </row>
    <row r="1299" spans="2:2" x14ac:dyDescent="0.3">
      <c r="B1299" s="106" t="str">
        <f t="shared" si="4"/>
        <v/>
      </c>
    </row>
    <row r="1300" spans="2:2" x14ac:dyDescent="0.3">
      <c r="B1300" s="106" t="str">
        <f t="shared" si="4"/>
        <v/>
      </c>
    </row>
    <row r="1301" spans="2:2" x14ac:dyDescent="0.3">
      <c r="B1301" s="106" t="str">
        <f t="shared" si="4"/>
        <v/>
      </c>
    </row>
    <row r="1302" spans="2:2" x14ac:dyDescent="0.3">
      <c r="B1302" s="106" t="str">
        <f t="shared" si="4"/>
        <v/>
      </c>
    </row>
    <row r="1303" spans="2:2" x14ac:dyDescent="0.3">
      <c r="B1303" s="106" t="str">
        <f t="shared" si="4"/>
        <v/>
      </c>
    </row>
    <row r="1304" spans="2:2" x14ac:dyDescent="0.3">
      <c r="B1304" s="106" t="str">
        <f t="shared" si="4"/>
        <v/>
      </c>
    </row>
    <row r="1305" spans="2:2" x14ac:dyDescent="0.3">
      <c r="B1305" s="106" t="str">
        <f t="shared" si="4"/>
        <v/>
      </c>
    </row>
    <row r="1306" spans="2:2" x14ac:dyDescent="0.3">
      <c r="B1306" s="106" t="str">
        <f t="shared" si="4"/>
        <v/>
      </c>
    </row>
    <row r="1307" spans="2:2" x14ac:dyDescent="0.3">
      <c r="B1307" s="106" t="str">
        <f t="shared" si="4"/>
        <v/>
      </c>
    </row>
    <row r="1308" spans="2:2" x14ac:dyDescent="0.3">
      <c r="B1308" s="106" t="str">
        <f t="shared" si="4"/>
        <v/>
      </c>
    </row>
    <row r="1309" spans="2:2" x14ac:dyDescent="0.3">
      <c r="B1309" s="106" t="str">
        <f t="shared" si="4"/>
        <v/>
      </c>
    </row>
    <row r="1310" spans="2:2" x14ac:dyDescent="0.3">
      <c r="B1310" s="106" t="str">
        <f t="shared" si="4"/>
        <v/>
      </c>
    </row>
    <row r="1311" spans="2:2" x14ac:dyDescent="0.3">
      <c r="B1311" s="106" t="str">
        <f t="shared" si="4"/>
        <v/>
      </c>
    </row>
    <row r="1312" spans="2:2" x14ac:dyDescent="0.3">
      <c r="B1312" s="106" t="str">
        <f t="shared" si="4"/>
        <v/>
      </c>
    </row>
    <row r="1313" spans="2:2" x14ac:dyDescent="0.3">
      <c r="B1313" s="106" t="str">
        <f t="shared" si="4"/>
        <v/>
      </c>
    </row>
    <row r="1314" spans="2:2" x14ac:dyDescent="0.3">
      <c r="B1314" s="106" t="str">
        <f t="shared" si="4"/>
        <v/>
      </c>
    </row>
    <row r="1315" spans="2:2" x14ac:dyDescent="0.3">
      <c r="B1315" s="106" t="str">
        <f t="shared" si="4"/>
        <v/>
      </c>
    </row>
    <row r="1316" spans="2:2" x14ac:dyDescent="0.3">
      <c r="B1316" s="106" t="str">
        <f t="shared" si="4"/>
        <v/>
      </c>
    </row>
    <row r="1317" spans="2:2" x14ac:dyDescent="0.3">
      <c r="B1317" s="106" t="str">
        <f t="shared" si="4"/>
        <v/>
      </c>
    </row>
    <row r="1318" spans="2:2" x14ac:dyDescent="0.3">
      <c r="B1318" s="106" t="str">
        <f t="shared" si="4"/>
        <v/>
      </c>
    </row>
    <row r="1319" spans="2:2" x14ac:dyDescent="0.3">
      <c r="B1319" s="106" t="str">
        <f t="shared" si="4"/>
        <v/>
      </c>
    </row>
    <row r="1320" spans="2:2" x14ac:dyDescent="0.3">
      <c r="B1320" s="106" t="str">
        <f t="shared" si="4"/>
        <v/>
      </c>
    </row>
    <row r="1321" spans="2:2" x14ac:dyDescent="0.3">
      <c r="B1321" s="106" t="str">
        <f t="shared" ref="B1321:B1384" si="5">IF($A1321="Daily", "n/a", "")</f>
        <v/>
      </c>
    </row>
    <row r="1322" spans="2:2" x14ac:dyDescent="0.3">
      <c r="B1322" s="106" t="str">
        <f t="shared" si="5"/>
        <v/>
      </c>
    </row>
    <row r="1323" spans="2:2" x14ac:dyDescent="0.3">
      <c r="B1323" s="106" t="str">
        <f t="shared" si="5"/>
        <v/>
      </c>
    </row>
    <row r="1324" spans="2:2" x14ac:dyDescent="0.3">
      <c r="B1324" s="106" t="str">
        <f t="shared" si="5"/>
        <v/>
      </c>
    </row>
    <row r="1325" spans="2:2" x14ac:dyDescent="0.3">
      <c r="B1325" s="106" t="str">
        <f t="shared" si="5"/>
        <v/>
      </c>
    </row>
    <row r="1326" spans="2:2" x14ac:dyDescent="0.3">
      <c r="B1326" s="106" t="str">
        <f t="shared" si="5"/>
        <v/>
      </c>
    </row>
    <row r="1327" spans="2:2" x14ac:dyDescent="0.3">
      <c r="B1327" s="106" t="str">
        <f t="shared" si="5"/>
        <v/>
      </c>
    </row>
    <row r="1328" spans="2:2" x14ac:dyDescent="0.3">
      <c r="B1328" s="106" t="str">
        <f t="shared" si="5"/>
        <v/>
      </c>
    </row>
    <row r="1329" spans="2:2" x14ac:dyDescent="0.3">
      <c r="B1329" s="106" t="str">
        <f t="shared" si="5"/>
        <v/>
      </c>
    </row>
    <row r="1330" spans="2:2" x14ac:dyDescent="0.3">
      <c r="B1330" s="106" t="str">
        <f t="shared" si="5"/>
        <v/>
      </c>
    </row>
    <row r="1331" spans="2:2" x14ac:dyDescent="0.3">
      <c r="B1331" s="106" t="str">
        <f t="shared" si="5"/>
        <v/>
      </c>
    </row>
    <row r="1332" spans="2:2" x14ac:dyDescent="0.3">
      <c r="B1332" s="106" t="str">
        <f t="shared" si="5"/>
        <v/>
      </c>
    </row>
    <row r="1333" spans="2:2" x14ac:dyDescent="0.3">
      <c r="B1333" s="106" t="str">
        <f t="shared" si="5"/>
        <v/>
      </c>
    </row>
    <row r="1334" spans="2:2" x14ac:dyDescent="0.3">
      <c r="B1334" s="106" t="str">
        <f t="shared" si="5"/>
        <v/>
      </c>
    </row>
    <row r="1335" spans="2:2" x14ac:dyDescent="0.3">
      <c r="B1335" s="106" t="str">
        <f t="shared" si="5"/>
        <v/>
      </c>
    </row>
    <row r="1336" spans="2:2" x14ac:dyDescent="0.3">
      <c r="B1336" s="106" t="str">
        <f t="shared" si="5"/>
        <v/>
      </c>
    </row>
    <row r="1337" spans="2:2" x14ac:dyDescent="0.3">
      <c r="B1337" s="106" t="str">
        <f t="shared" si="5"/>
        <v/>
      </c>
    </row>
    <row r="1338" spans="2:2" x14ac:dyDescent="0.3">
      <c r="B1338" s="106" t="str">
        <f t="shared" si="5"/>
        <v/>
      </c>
    </row>
    <row r="1339" spans="2:2" x14ac:dyDescent="0.3">
      <c r="B1339" s="106" t="str">
        <f t="shared" si="5"/>
        <v/>
      </c>
    </row>
    <row r="1340" spans="2:2" x14ac:dyDescent="0.3">
      <c r="B1340" s="106" t="str">
        <f t="shared" si="5"/>
        <v/>
      </c>
    </row>
    <row r="1341" spans="2:2" x14ac:dyDescent="0.3">
      <c r="B1341" s="106" t="str">
        <f t="shared" si="5"/>
        <v/>
      </c>
    </row>
    <row r="1342" spans="2:2" x14ac:dyDescent="0.3">
      <c r="B1342" s="106" t="str">
        <f t="shared" si="5"/>
        <v/>
      </c>
    </row>
    <row r="1343" spans="2:2" x14ac:dyDescent="0.3">
      <c r="B1343" s="106" t="str">
        <f t="shared" si="5"/>
        <v/>
      </c>
    </row>
    <row r="1344" spans="2:2" x14ac:dyDescent="0.3">
      <c r="B1344" s="106" t="str">
        <f t="shared" si="5"/>
        <v/>
      </c>
    </row>
    <row r="1345" spans="2:2" x14ac:dyDescent="0.3">
      <c r="B1345" s="106" t="str">
        <f t="shared" si="5"/>
        <v/>
      </c>
    </row>
    <row r="1346" spans="2:2" x14ac:dyDescent="0.3">
      <c r="B1346" s="106" t="str">
        <f t="shared" si="5"/>
        <v/>
      </c>
    </row>
    <row r="1347" spans="2:2" x14ac:dyDescent="0.3">
      <c r="B1347" s="106" t="str">
        <f t="shared" si="5"/>
        <v/>
      </c>
    </row>
    <row r="1348" spans="2:2" x14ac:dyDescent="0.3">
      <c r="B1348" s="106" t="str">
        <f t="shared" si="5"/>
        <v/>
      </c>
    </row>
    <row r="1349" spans="2:2" x14ac:dyDescent="0.3">
      <c r="B1349" s="106" t="str">
        <f t="shared" si="5"/>
        <v/>
      </c>
    </row>
    <row r="1350" spans="2:2" x14ac:dyDescent="0.3">
      <c r="B1350" s="106" t="str">
        <f t="shared" si="5"/>
        <v/>
      </c>
    </row>
    <row r="1351" spans="2:2" x14ac:dyDescent="0.3">
      <c r="B1351" s="106" t="str">
        <f t="shared" si="5"/>
        <v/>
      </c>
    </row>
    <row r="1352" spans="2:2" x14ac:dyDescent="0.3">
      <c r="B1352" s="106" t="str">
        <f t="shared" si="5"/>
        <v/>
      </c>
    </row>
    <row r="1353" spans="2:2" x14ac:dyDescent="0.3">
      <c r="B1353" s="106" t="str">
        <f t="shared" si="5"/>
        <v/>
      </c>
    </row>
    <row r="1354" spans="2:2" x14ac:dyDescent="0.3">
      <c r="B1354" s="106" t="str">
        <f t="shared" si="5"/>
        <v/>
      </c>
    </row>
    <row r="1355" spans="2:2" x14ac:dyDescent="0.3">
      <c r="B1355" s="106" t="str">
        <f t="shared" si="5"/>
        <v/>
      </c>
    </row>
    <row r="1356" spans="2:2" x14ac:dyDescent="0.3">
      <c r="B1356" s="106" t="str">
        <f t="shared" si="5"/>
        <v/>
      </c>
    </row>
    <row r="1357" spans="2:2" x14ac:dyDescent="0.3">
      <c r="B1357" s="106" t="str">
        <f t="shared" si="5"/>
        <v/>
      </c>
    </row>
    <row r="1358" spans="2:2" x14ac:dyDescent="0.3">
      <c r="B1358" s="106" t="str">
        <f t="shared" si="5"/>
        <v/>
      </c>
    </row>
    <row r="1359" spans="2:2" x14ac:dyDescent="0.3">
      <c r="B1359" s="106" t="str">
        <f t="shared" si="5"/>
        <v/>
      </c>
    </row>
    <row r="1360" spans="2:2" x14ac:dyDescent="0.3">
      <c r="B1360" s="106" t="str">
        <f t="shared" si="5"/>
        <v/>
      </c>
    </row>
    <row r="1361" spans="2:2" x14ac:dyDescent="0.3">
      <c r="B1361" s="106" t="str">
        <f t="shared" si="5"/>
        <v/>
      </c>
    </row>
    <row r="1362" spans="2:2" x14ac:dyDescent="0.3">
      <c r="B1362" s="106" t="str">
        <f t="shared" si="5"/>
        <v/>
      </c>
    </row>
    <row r="1363" spans="2:2" x14ac:dyDescent="0.3">
      <c r="B1363" s="106" t="str">
        <f t="shared" si="5"/>
        <v/>
      </c>
    </row>
    <row r="1364" spans="2:2" x14ac:dyDescent="0.3">
      <c r="B1364" s="106" t="str">
        <f t="shared" si="5"/>
        <v/>
      </c>
    </row>
    <row r="1365" spans="2:2" x14ac:dyDescent="0.3">
      <c r="B1365" s="106" t="str">
        <f t="shared" si="5"/>
        <v/>
      </c>
    </row>
    <row r="1366" spans="2:2" x14ac:dyDescent="0.3">
      <c r="B1366" s="106" t="str">
        <f t="shared" si="5"/>
        <v/>
      </c>
    </row>
    <row r="1367" spans="2:2" x14ac:dyDescent="0.3">
      <c r="B1367" s="106" t="str">
        <f t="shared" si="5"/>
        <v/>
      </c>
    </row>
    <row r="1368" spans="2:2" x14ac:dyDescent="0.3">
      <c r="B1368" s="106" t="str">
        <f t="shared" si="5"/>
        <v/>
      </c>
    </row>
    <row r="1369" spans="2:2" x14ac:dyDescent="0.3">
      <c r="B1369" s="106" t="str">
        <f t="shared" si="5"/>
        <v/>
      </c>
    </row>
    <row r="1370" spans="2:2" x14ac:dyDescent="0.3">
      <c r="B1370" s="106" t="str">
        <f t="shared" si="5"/>
        <v/>
      </c>
    </row>
    <row r="1371" spans="2:2" x14ac:dyDescent="0.3">
      <c r="B1371" s="106" t="str">
        <f t="shared" si="5"/>
        <v/>
      </c>
    </row>
    <row r="1372" spans="2:2" x14ac:dyDescent="0.3">
      <c r="B1372" s="106" t="str">
        <f t="shared" si="5"/>
        <v/>
      </c>
    </row>
    <row r="1373" spans="2:2" x14ac:dyDescent="0.3">
      <c r="B1373" s="106" t="str">
        <f t="shared" si="5"/>
        <v/>
      </c>
    </row>
    <row r="1374" spans="2:2" x14ac:dyDescent="0.3">
      <c r="B1374" s="106" t="str">
        <f t="shared" si="5"/>
        <v/>
      </c>
    </row>
    <row r="1375" spans="2:2" x14ac:dyDescent="0.3">
      <c r="B1375" s="106" t="str">
        <f t="shared" si="5"/>
        <v/>
      </c>
    </row>
    <row r="1376" spans="2:2" x14ac:dyDescent="0.3">
      <c r="B1376" s="106" t="str">
        <f t="shared" si="5"/>
        <v/>
      </c>
    </row>
    <row r="1377" spans="2:2" x14ac:dyDescent="0.3">
      <c r="B1377" s="106" t="str">
        <f t="shared" si="5"/>
        <v/>
      </c>
    </row>
    <row r="1378" spans="2:2" x14ac:dyDescent="0.3">
      <c r="B1378" s="106" t="str">
        <f t="shared" si="5"/>
        <v/>
      </c>
    </row>
    <row r="1379" spans="2:2" x14ac:dyDescent="0.3">
      <c r="B1379" s="106" t="str">
        <f t="shared" si="5"/>
        <v/>
      </c>
    </row>
    <row r="1380" spans="2:2" x14ac:dyDescent="0.3">
      <c r="B1380" s="106" t="str">
        <f t="shared" si="5"/>
        <v/>
      </c>
    </row>
    <row r="1381" spans="2:2" x14ac:dyDescent="0.3">
      <c r="B1381" s="106" t="str">
        <f t="shared" si="5"/>
        <v/>
      </c>
    </row>
    <row r="1382" spans="2:2" x14ac:dyDescent="0.3">
      <c r="B1382" s="106" t="str">
        <f t="shared" si="5"/>
        <v/>
      </c>
    </row>
    <row r="1383" spans="2:2" x14ac:dyDescent="0.3">
      <c r="B1383" s="106" t="str">
        <f t="shared" si="5"/>
        <v/>
      </c>
    </row>
    <row r="1384" spans="2:2" x14ac:dyDescent="0.3">
      <c r="B1384" s="106" t="str">
        <f t="shared" si="5"/>
        <v/>
      </c>
    </row>
    <row r="1385" spans="2:2" x14ac:dyDescent="0.3">
      <c r="B1385" s="106" t="str">
        <f t="shared" ref="B1385:B1448" si="6">IF($A1385="Daily", "n/a", "")</f>
        <v/>
      </c>
    </row>
    <row r="1386" spans="2:2" x14ac:dyDescent="0.3">
      <c r="B1386" s="106" t="str">
        <f t="shared" si="6"/>
        <v/>
      </c>
    </row>
    <row r="1387" spans="2:2" x14ac:dyDescent="0.3">
      <c r="B1387" s="106" t="str">
        <f t="shared" si="6"/>
        <v/>
      </c>
    </row>
    <row r="1388" spans="2:2" x14ac:dyDescent="0.3">
      <c r="B1388" s="106" t="str">
        <f t="shared" si="6"/>
        <v/>
      </c>
    </row>
    <row r="1389" spans="2:2" x14ac:dyDescent="0.3">
      <c r="B1389" s="106" t="str">
        <f t="shared" si="6"/>
        <v/>
      </c>
    </row>
    <row r="1390" spans="2:2" x14ac:dyDescent="0.3">
      <c r="B1390" s="106" t="str">
        <f t="shared" si="6"/>
        <v/>
      </c>
    </row>
    <row r="1391" spans="2:2" x14ac:dyDescent="0.3">
      <c r="B1391" s="106" t="str">
        <f t="shared" si="6"/>
        <v/>
      </c>
    </row>
    <row r="1392" spans="2:2" x14ac:dyDescent="0.3">
      <c r="B1392" s="106" t="str">
        <f t="shared" si="6"/>
        <v/>
      </c>
    </row>
    <row r="1393" spans="2:2" x14ac:dyDescent="0.3">
      <c r="B1393" s="106" t="str">
        <f t="shared" si="6"/>
        <v/>
      </c>
    </row>
    <row r="1394" spans="2:2" x14ac:dyDescent="0.3">
      <c r="B1394" s="106" t="str">
        <f t="shared" si="6"/>
        <v/>
      </c>
    </row>
    <row r="1395" spans="2:2" x14ac:dyDescent="0.3">
      <c r="B1395" s="106" t="str">
        <f t="shared" si="6"/>
        <v/>
      </c>
    </row>
    <row r="1396" spans="2:2" x14ac:dyDescent="0.3">
      <c r="B1396" s="106" t="str">
        <f t="shared" si="6"/>
        <v/>
      </c>
    </row>
    <row r="1397" spans="2:2" x14ac:dyDescent="0.3">
      <c r="B1397" s="106" t="str">
        <f t="shared" si="6"/>
        <v/>
      </c>
    </row>
    <row r="1398" spans="2:2" x14ac:dyDescent="0.3">
      <c r="B1398" s="106" t="str">
        <f t="shared" si="6"/>
        <v/>
      </c>
    </row>
    <row r="1399" spans="2:2" x14ac:dyDescent="0.3">
      <c r="B1399" s="106" t="str">
        <f t="shared" si="6"/>
        <v/>
      </c>
    </row>
    <row r="1400" spans="2:2" x14ac:dyDescent="0.3">
      <c r="B1400" s="106" t="str">
        <f t="shared" si="6"/>
        <v/>
      </c>
    </row>
    <row r="1401" spans="2:2" x14ac:dyDescent="0.3">
      <c r="B1401" s="106" t="str">
        <f t="shared" si="6"/>
        <v/>
      </c>
    </row>
    <row r="1402" spans="2:2" x14ac:dyDescent="0.3">
      <c r="B1402" s="106" t="str">
        <f t="shared" si="6"/>
        <v/>
      </c>
    </row>
    <row r="1403" spans="2:2" x14ac:dyDescent="0.3">
      <c r="B1403" s="106" t="str">
        <f t="shared" si="6"/>
        <v/>
      </c>
    </row>
    <row r="1404" spans="2:2" x14ac:dyDescent="0.3">
      <c r="B1404" s="106" t="str">
        <f t="shared" si="6"/>
        <v/>
      </c>
    </row>
    <row r="1405" spans="2:2" x14ac:dyDescent="0.3">
      <c r="B1405" s="106" t="str">
        <f t="shared" si="6"/>
        <v/>
      </c>
    </row>
    <row r="1406" spans="2:2" x14ac:dyDescent="0.3">
      <c r="B1406" s="106" t="str">
        <f t="shared" si="6"/>
        <v/>
      </c>
    </row>
    <row r="1407" spans="2:2" x14ac:dyDescent="0.3">
      <c r="B1407" s="106" t="str">
        <f t="shared" si="6"/>
        <v/>
      </c>
    </row>
    <row r="1408" spans="2:2" x14ac:dyDescent="0.3">
      <c r="B1408" s="106" t="str">
        <f t="shared" si="6"/>
        <v/>
      </c>
    </row>
    <row r="1409" spans="2:2" x14ac:dyDescent="0.3">
      <c r="B1409" s="106" t="str">
        <f t="shared" si="6"/>
        <v/>
      </c>
    </row>
    <row r="1410" spans="2:2" x14ac:dyDescent="0.3">
      <c r="B1410" s="106" t="str">
        <f t="shared" si="6"/>
        <v/>
      </c>
    </row>
    <row r="1411" spans="2:2" x14ac:dyDescent="0.3">
      <c r="B1411" s="106" t="str">
        <f t="shared" si="6"/>
        <v/>
      </c>
    </row>
    <row r="1412" spans="2:2" x14ac:dyDescent="0.3">
      <c r="B1412" s="106" t="str">
        <f t="shared" si="6"/>
        <v/>
      </c>
    </row>
    <row r="1413" spans="2:2" x14ac:dyDescent="0.3">
      <c r="B1413" s="106" t="str">
        <f t="shared" si="6"/>
        <v/>
      </c>
    </row>
    <row r="1414" spans="2:2" x14ac:dyDescent="0.3">
      <c r="B1414" s="106" t="str">
        <f t="shared" si="6"/>
        <v/>
      </c>
    </row>
    <row r="1415" spans="2:2" x14ac:dyDescent="0.3">
      <c r="B1415" s="106" t="str">
        <f t="shared" si="6"/>
        <v/>
      </c>
    </row>
    <row r="1416" spans="2:2" x14ac:dyDescent="0.3">
      <c r="B1416" s="106" t="str">
        <f t="shared" si="6"/>
        <v/>
      </c>
    </row>
    <row r="1417" spans="2:2" x14ac:dyDescent="0.3">
      <c r="B1417" s="106" t="str">
        <f t="shared" si="6"/>
        <v/>
      </c>
    </row>
    <row r="1418" spans="2:2" x14ac:dyDescent="0.3">
      <c r="B1418" s="106" t="str">
        <f t="shared" si="6"/>
        <v/>
      </c>
    </row>
    <row r="1419" spans="2:2" x14ac:dyDescent="0.3">
      <c r="B1419" s="106" t="str">
        <f t="shared" si="6"/>
        <v/>
      </c>
    </row>
    <row r="1420" spans="2:2" x14ac:dyDescent="0.3">
      <c r="B1420" s="106" t="str">
        <f t="shared" si="6"/>
        <v/>
      </c>
    </row>
    <row r="1421" spans="2:2" x14ac:dyDescent="0.3">
      <c r="B1421" s="106" t="str">
        <f t="shared" si="6"/>
        <v/>
      </c>
    </row>
    <row r="1422" spans="2:2" x14ac:dyDescent="0.3">
      <c r="B1422" s="106" t="str">
        <f t="shared" si="6"/>
        <v/>
      </c>
    </row>
    <row r="1423" spans="2:2" x14ac:dyDescent="0.3">
      <c r="B1423" s="106" t="str">
        <f t="shared" si="6"/>
        <v/>
      </c>
    </row>
    <row r="1424" spans="2:2" x14ac:dyDescent="0.3">
      <c r="B1424" s="106" t="str">
        <f t="shared" si="6"/>
        <v/>
      </c>
    </row>
    <row r="1425" spans="2:2" x14ac:dyDescent="0.3">
      <c r="B1425" s="106" t="str">
        <f t="shared" si="6"/>
        <v/>
      </c>
    </row>
    <row r="1426" spans="2:2" x14ac:dyDescent="0.3">
      <c r="B1426" s="106" t="str">
        <f t="shared" si="6"/>
        <v/>
      </c>
    </row>
    <row r="1427" spans="2:2" x14ac:dyDescent="0.3">
      <c r="B1427" s="106" t="str">
        <f t="shared" si="6"/>
        <v/>
      </c>
    </row>
    <row r="1428" spans="2:2" x14ac:dyDescent="0.3">
      <c r="B1428" s="106" t="str">
        <f t="shared" si="6"/>
        <v/>
      </c>
    </row>
    <row r="1429" spans="2:2" x14ac:dyDescent="0.3">
      <c r="B1429" s="106" t="str">
        <f t="shared" si="6"/>
        <v/>
      </c>
    </row>
    <row r="1430" spans="2:2" x14ac:dyDescent="0.3">
      <c r="B1430" s="106" t="str">
        <f t="shared" si="6"/>
        <v/>
      </c>
    </row>
    <row r="1431" spans="2:2" x14ac:dyDescent="0.3">
      <c r="B1431" s="106" t="str">
        <f t="shared" si="6"/>
        <v/>
      </c>
    </row>
    <row r="1432" spans="2:2" x14ac:dyDescent="0.3">
      <c r="B1432" s="106" t="str">
        <f t="shared" si="6"/>
        <v/>
      </c>
    </row>
    <row r="1433" spans="2:2" x14ac:dyDescent="0.3">
      <c r="B1433" s="106" t="str">
        <f t="shared" si="6"/>
        <v/>
      </c>
    </row>
    <row r="1434" spans="2:2" x14ac:dyDescent="0.3">
      <c r="B1434" s="106" t="str">
        <f t="shared" si="6"/>
        <v/>
      </c>
    </row>
    <row r="1435" spans="2:2" x14ac:dyDescent="0.3">
      <c r="B1435" s="106" t="str">
        <f t="shared" si="6"/>
        <v/>
      </c>
    </row>
    <row r="1436" spans="2:2" x14ac:dyDescent="0.3">
      <c r="B1436" s="106" t="str">
        <f t="shared" si="6"/>
        <v/>
      </c>
    </row>
    <row r="1437" spans="2:2" x14ac:dyDescent="0.3">
      <c r="B1437" s="106" t="str">
        <f t="shared" si="6"/>
        <v/>
      </c>
    </row>
    <row r="1438" spans="2:2" x14ac:dyDescent="0.3">
      <c r="B1438" s="106" t="str">
        <f t="shared" si="6"/>
        <v/>
      </c>
    </row>
    <row r="1439" spans="2:2" x14ac:dyDescent="0.3">
      <c r="B1439" s="106" t="str">
        <f t="shared" si="6"/>
        <v/>
      </c>
    </row>
    <row r="1440" spans="2:2" x14ac:dyDescent="0.3">
      <c r="B1440" s="106" t="str">
        <f t="shared" si="6"/>
        <v/>
      </c>
    </row>
    <row r="1441" spans="2:2" x14ac:dyDescent="0.3">
      <c r="B1441" s="106" t="str">
        <f t="shared" si="6"/>
        <v/>
      </c>
    </row>
    <row r="1442" spans="2:2" x14ac:dyDescent="0.3">
      <c r="B1442" s="106" t="str">
        <f t="shared" si="6"/>
        <v/>
      </c>
    </row>
    <row r="1443" spans="2:2" x14ac:dyDescent="0.3">
      <c r="B1443" s="106" t="str">
        <f t="shared" si="6"/>
        <v/>
      </c>
    </row>
    <row r="1444" spans="2:2" x14ac:dyDescent="0.3">
      <c r="B1444" s="106" t="str">
        <f t="shared" si="6"/>
        <v/>
      </c>
    </row>
    <row r="1445" spans="2:2" x14ac:dyDescent="0.3">
      <c r="B1445" s="106" t="str">
        <f t="shared" si="6"/>
        <v/>
      </c>
    </row>
    <row r="1446" spans="2:2" x14ac:dyDescent="0.3">
      <c r="B1446" s="106" t="str">
        <f t="shared" si="6"/>
        <v/>
      </c>
    </row>
    <row r="1447" spans="2:2" x14ac:dyDescent="0.3">
      <c r="B1447" s="106" t="str">
        <f t="shared" si="6"/>
        <v/>
      </c>
    </row>
    <row r="1448" spans="2:2" x14ac:dyDescent="0.3">
      <c r="B1448" s="106" t="str">
        <f t="shared" si="6"/>
        <v/>
      </c>
    </row>
    <row r="1449" spans="2:2" x14ac:dyDescent="0.3">
      <c r="B1449" s="106" t="str">
        <f t="shared" ref="B1449:B1512" si="7">IF($A1449="Daily", "n/a", "")</f>
        <v/>
      </c>
    </row>
    <row r="1450" spans="2:2" x14ac:dyDescent="0.3">
      <c r="B1450" s="106" t="str">
        <f t="shared" si="7"/>
        <v/>
      </c>
    </row>
    <row r="1451" spans="2:2" x14ac:dyDescent="0.3">
      <c r="B1451" s="106" t="str">
        <f t="shared" si="7"/>
        <v/>
      </c>
    </row>
    <row r="1452" spans="2:2" x14ac:dyDescent="0.3">
      <c r="B1452" s="106" t="str">
        <f t="shared" si="7"/>
        <v/>
      </c>
    </row>
    <row r="1453" spans="2:2" x14ac:dyDescent="0.3">
      <c r="B1453" s="106" t="str">
        <f t="shared" si="7"/>
        <v/>
      </c>
    </row>
    <row r="1454" spans="2:2" x14ac:dyDescent="0.3">
      <c r="B1454" s="106" t="str">
        <f t="shared" si="7"/>
        <v/>
      </c>
    </row>
    <row r="1455" spans="2:2" x14ac:dyDescent="0.3">
      <c r="B1455" s="106" t="str">
        <f t="shared" si="7"/>
        <v/>
      </c>
    </row>
    <row r="1456" spans="2:2" x14ac:dyDescent="0.3">
      <c r="B1456" s="106" t="str">
        <f t="shared" si="7"/>
        <v/>
      </c>
    </row>
    <row r="1457" spans="2:2" x14ac:dyDescent="0.3">
      <c r="B1457" s="106" t="str">
        <f t="shared" si="7"/>
        <v/>
      </c>
    </row>
    <row r="1458" spans="2:2" x14ac:dyDescent="0.3">
      <c r="B1458" s="106" t="str">
        <f t="shared" si="7"/>
        <v/>
      </c>
    </row>
    <row r="1459" spans="2:2" x14ac:dyDescent="0.3">
      <c r="B1459" s="106" t="str">
        <f t="shared" si="7"/>
        <v/>
      </c>
    </row>
    <row r="1460" spans="2:2" x14ac:dyDescent="0.3">
      <c r="B1460" s="106" t="str">
        <f t="shared" si="7"/>
        <v/>
      </c>
    </row>
    <row r="1461" spans="2:2" x14ac:dyDescent="0.3">
      <c r="B1461" s="106" t="str">
        <f t="shared" si="7"/>
        <v/>
      </c>
    </row>
    <row r="1462" spans="2:2" x14ac:dyDescent="0.3">
      <c r="B1462" s="106" t="str">
        <f t="shared" si="7"/>
        <v/>
      </c>
    </row>
    <row r="1463" spans="2:2" x14ac:dyDescent="0.3">
      <c r="B1463" s="106" t="str">
        <f t="shared" si="7"/>
        <v/>
      </c>
    </row>
    <row r="1464" spans="2:2" x14ac:dyDescent="0.3">
      <c r="B1464" s="106" t="str">
        <f t="shared" si="7"/>
        <v/>
      </c>
    </row>
    <row r="1465" spans="2:2" x14ac:dyDescent="0.3">
      <c r="B1465" s="106" t="str">
        <f t="shared" si="7"/>
        <v/>
      </c>
    </row>
    <row r="1466" spans="2:2" x14ac:dyDescent="0.3">
      <c r="B1466" s="106" t="str">
        <f t="shared" si="7"/>
        <v/>
      </c>
    </row>
    <row r="1467" spans="2:2" x14ac:dyDescent="0.3">
      <c r="B1467" s="106" t="str">
        <f t="shared" si="7"/>
        <v/>
      </c>
    </row>
    <row r="1468" spans="2:2" x14ac:dyDescent="0.3">
      <c r="B1468" s="106" t="str">
        <f t="shared" si="7"/>
        <v/>
      </c>
    </row>
    <row r="1469" spans="2:2" x14ac:dyDescent="0.3">
      <c r="B1469" s="106" t="str">
        <f t="shared" si="7"/>
        <v/>
      </c>
    </row>
    <row r="1470" spans="2:2" x14ac:dyDescent="0.3">
      <c r="B1470" s="106" t="str">
        <f t="shared" si="7"/>
        <v/>
      </c>
    </row>
    <row r="1471" spans="2:2" x14ac:dyDescent="0.3">
      <c r="B1471" s="106" t="str">
        <f t="shared" si="7"/>
        <v/>
      </c>
    </row>
    <row r="1472" spans="2:2" x14ac:dyDescent="0.3">
      <c r="B1472" s="106" t="str">
        <f t="shared" si="7"/>
        <v/>
      </c>
    </row>
    <row r="1473" spans="2:2" x14ac:dyDescent="0.3">
      <c r="B1473" s="106" t="str">
        <f t="shared" si="7"/>
        <v/>
      </c>
    </row>
    <row r="1474" spans="2:2" x14ac:dyDescent="0.3">
      <c r="B1474" s="106" t="str">
        <f t="shared" si="7"/>
        <v/>
      </c>
    </row>
    <row r="1475" spans="2:2" x14ac:dyDescent="0.3">
      <c r="B1475" s="106" t="str">
        <f t="shared" si="7"/>
        <v/>
      </c>
    </row>
    <row r="1476" spans="2:2" x14ac:dyDescent="0.3">
      <c r="B1476" s="106" t="str">
        <f t="shared" si="7"/>
        <v/>
      </c>
    </row>
    <row r="1477" spans="2:2" x14ac:dyDescent="0.3">
      <c r="B1477" s="106" t="str">
        <f t="shared" si="7"/>
        <v/>
      </c>
    </row>
    <row r="1478" spans="2:2" x14ac:dyDescent="0.3">
      <c r="B1478" s="106" t="str">
        <f t="shared" si="7"/>
        <v/>
      </c>
    </row>
    <row r="1479" spans="2:2" x14ac:dyDescent="0.3">
      <c r="B1479" s="106" t="str">
        <f t="shared" si="7"/>
        <v/>
      </c>
    </row>
    <row r="1480" spans="2:2" x14ac:dyDescent="0.3">
      <c r="B1480" s="106" t="str">
        <f t="shared" si="7"/>
        <v/>
      </c>
    </row>
    <row r="1481" spans="2:2" x14ac:dyDescent="0.3">
      <c r="B1481" s="106" t="str">
        <f t="shared" si="7"/>
        <v/>
      </c>
    </row>
    <row r="1482" spans="2:2" x14ac:dyDescent="0.3">
      <c r="B1482" s="106" t="str">
        <f t="shared" si="7"/>
        <v/>
      </c>
    </row>
    <row r="1483" spans="2:2" x14ac:dyDescent="0.3">
      <c r="B1483" s="106" t="str">
        <f t="shared" si="7"/>
        <v/>
      </c>
    </row>
    <row r="1484" spans="2:2" x14ac:dyDescent="0.3">
      <c r="B1484" s="106" t="str">
        <f t="shared" si="7"/>
        <v/>
      </c>
    </row>
    <row r="1485" spans="2:2" x14ac:dyDescent="0.3">
      <c r="B1485" s="106" t="str">
        <f t="shared" si="7"/>
        <v/>
      </c>
    </row>
    <row r="1486" spans="2:2" x14ac:dyDescent="0.3">
      <c r="B1486" s="106" t="str">
        <f t="shared" si="7"/>
        <v/>
      </c>
    </row>
    <row r="1487" spans="2:2" x14ac:dyDescent="0.3">
      <c r="B1487" s="106" t="str">
        <f t="shared" si="7"/>
        <v/>
      </c>
    </row>
    <row r="1488" spans="2:2" x14ac:dyDescent="0.3">
      <c r="B1488" s="106" t="str">
        <f t="shared" si="7"/>
        <v/>
      </c>
    </row>
    <row r="1489" spans="2:2" x14ac:dyDescent="0.3">
      <c r="B1489" s="106" t="str">
        <f t="shared" si="7"/>
        <v/>
      </c>
    </row>
    <row r="1490" spans="2:2" x14ac:dyDescent="0.3">
      <c r="B1490" s="106" t="str">
        <f t="shared" si="7"/>
        <v/>
      </c>
    </row>
    <row r="1491" spans="2:2" x14ac:dyDescent="0.3">
      <c r="B1491" s="106" t="str">
        <f t="shared" si="7"/>
        <v/>
      </c>
    </row>
    <row r="1492" spans="2:2" x14ac:dyDescent="0.3">
      <c r="B1492" s="106" t="str">
        <f t="shared" si="7"/>
        <v/>
      </c>
    </row>
    <row r="1493" spans="2:2" x14ac:dyDescent="0.3">
      <c r="B1493" s="106" t="str">
        <f t="shared" si="7"/>
        <v/>
      </c>
    </row>
    <row r="1494" spans="2:2" x14ac:dyDescent="0.3">
      <c r="B1494" s="106" t="str">
        <f t="shared" si="7"/>
        <v/>
      </c>
    </row>
    <row r="1495" spans="2:2" x14ac:dyDescent="0.3">
      <c r="B1495" s="106" t="str">
        <f t="shared" si="7"/>
        <v/>
      </c>
    </row>
    <row r="1496" spans="2:2" x14ac:dyDescent="0.3">
      <c r="B1496" s="106" t="str">
        <f t="shared" si="7"/>
        <v/>
      </c>
    </row>
    <row r="1497" spans="2:2" x14ac:dyDescent="0.3">
      <c r="B1497" s="106" t="str">
        <f t="shared" si="7"/>
        <v/>
      </c>
    </row>
    <row r="1498" spans="2:2" x14ac:dyDescent="0.3">
      <c r="B1498" s="106" t="str">
        <f t="shared" si="7"/>
        <v/>
      </c>
    </row>
    <row r="1499" spans="2:2" x14ac:dyDescent="0.3">
      <c r="B1499" s="106" t="str">
        <f t="shared" si="7"/>
        <v/>
      </c>
    </row>
    <row r="1500" spans="2:2" x14ac:dyDescent="0.3">
      <c r="B1500" s="106" t="str">
        <f t="shared" si="7"/>
        <v/>
      </c>
    </row>
    <row r="1501" spans="2:2" x14ac:dyDescent="0.3">
      <c r="B1501" s="106" t="str">
        <f t="shared" si="7"/>
        <v/>
      </c>
    </row>
    <row r="1502" spans="2:2" x14ac:dyDescent="0.3">
      <c r="B1502" s="106" t="str">
        <f t="shared" si="7"/>
        <v/>
      </c>
    </row>
    <row r="1503" spans="2:2" x14ac:dyDescent="0.3">
      <c r="B1503" s="106" t="str">
        <f t="shared" si="7"/>
        <v/>
      </c>
    </row>
    <row r="1504" spans="2:2" x14ac:dyDescent="0.3">
      <c r="B1504" s="106" t="str">
        <f t="shared" si="7"/>
        <v/>
      </c>
    </row>
    <row r="1505" spans="2:2" x14ac:dyDescent="0.3">
      <c r="B1505" s="106" t="str">
        <f t="shared" si="7"/>
        <v/>
      </c>
    </row>
    <row r="1506" spans="2:2" x14ac:dyDescent="0.3">
      <c r="B1506" s="106" t="str">
        <f t="shared" si="7"/>
        <v/>
      </c>
    </row>
    <row r="1507" spans="2:2" x14ac:dyDescent="0.3">
      <c r="B1507" s="106" t="str">
        <f t="shared" si="7"/>
        <v/>
      </c>
    </row>
    <row r="1508" spans="2:2" x14ac:dyDescent="0.3">
      <c r="B1508" s="106" t="str">
        <f t="shared" si="7"/>
        <v/>
      </c>
    </row>
    <row r="1509" spans="2:2" x14ac:dyDescent="0.3">
      <c r="B1509" s="106" t="str">
        <f t="shared" si="7"/>
        <v/>
      </c>
    </row>
    <row r="1510" spans="2:2" x14ac:dyDescent="0.3">
      <c r="B1510" s="106" t="str">
        <f t="shared" si="7"/>
        <v/>
      </c>
    </row>
    <row r="1511" spans="2:2" x14ac:dyDescent="0.3">
      <c r="B1511" s="106" t="str">
        <f t="shared" si="7"/>
        <v/>
      </c>
    </row>
    <row r="1512" spans="2:2" x14ac:dyDescent="0.3">
      <c r="B1512" s="106" t="str">
        <f t="shared" si="7"/>
        <v/>
      </c>
    </row>
    <row r="1513" spans="2:2" x14ac:dyDescent="0.3">
      <c r="B1513" s="106" t="str">
        <f t="shared" ref="B1513:B1576" si="8">IF($A1513="Daily", "n/a", "")</f>
        <v/>
      </c>
    </row>
    <row r="1514" spans="2:2" x14ac:dyDescent="0.3">
      <c r="B1514" s="106" t="str">
        <f t="shared" si="8"/>
        <v/>
      </c>
    </row>
    <row r="1515" spans="2:2" x14ac:dyDescent="0.3">
      <c r="B1515" s="106" t="str">
        <f t="shared" si="8"/>
        <v/>
      </c>
    </row>
    <row r="1516" spans="2:2" x14ac:dyDescent="0.3">
      <c r="B1516" s="106" t="str">
        <f t="shared" si="8"/>
        <v/>
      </c>
    </row>
    <row r="1517" spans="2:2" x14ac:dyDescent="0.3">
      <c r="B1517" s="106" t="str">
        <f t="shared" si="8"/>
        <v/>
      </c>
    </row>
    <row r="1518" spans="2:2" x14ac:dyDescent="0.3">
      <c r="B1518" s="106" t="str">
        <f t="shared" si="8"/>
        <v/>
      </c>
    </row>
    <row r="1519" spans="2:2" x14ac:dyDescent="0.3">
      <c r="B1519" s="106" t="str">
        <f t="shared" si="8"/>
        <v/>
      </c>
    </row>
    <row r="1520" spans="2:2" x14ac:dyDescent="0.3">
      <c r="B1520" s="106" t="str">
        <f t="shared" si="8"/>
        <v/>
      </c>
    </row>
    <row r="1521" spans="2:2" x14ac:dyDescent="0.3">
      <c r="B1521" s="106" t="str">
        <f t="shared" si="8"/>
        <v/>
      </c>
    </row>
    <row r="1522" spans="2:2" x14ac:dyDescent="0.3">
      <c r="B1522" s="106" t="str">
        <f t="shared" si="8"/>
        <v/>
      </c>
    </row>
    <row r="1523" spans="2:2" x14ac:dyDescent="0.3">
      <c r="B1523" s="106" t="str">
        <f t="shared" si="8"/>
        <v/>
      </c>
    </row>
    <row r="1524" spans="2:2" x14ac:dyDescent="0.3">
      <c r="B1524" s="106" t="str">
        <f t="shared" si="8"/>
        <v/>
      </c>
    </row>
    <row r="1525" spans="2:2" x14ac:dyDescent="0.3">
      <c r="B1525" s="106" t="str">
        <f t="shared" si="8"/>
        <v/>
      </c>
    </row>
    <row r="1526" spans="2:2" x14ac:dyDescent="0.3">
      <c r="B1526" s="106" t="str">
        <f t="shared" si="8"/>
        <v/>
      </c>
    </row>
    <row r="1527" spans="2:2" x14ac:dyDescent="0.3">
      <c r="B1527" s="106" t="str">
        <f t="shared" si="8"/>
        <v/>
      </c>
    </row>
    <row r="1528" spans="2:2" x14ac:dyDescent="0.3">
      <c r="B1528" s="106" t="str">
        <f t="shared" si="8"/>
        <v/>
      </c>
    </row>
    <row r="1529" spans="2:2" x14ac:dyDescent="0.3">
      <c r="B1529" s="106" t="str">
        <f t="shared" si="8"/>
        <v/>
      </c>
    </row>
    <row r="1530" spans="2:2" x14ac:dyDescent="0.3">
      <c r="B1530" s="106" t="str">
        <f t="shared" si="8"/>
        <v/>
      </c>
    </row>
    <row r="1531" spans="2:2" x14ac:dyDescent="0.3">
      <c r="B1531" s="106" t="str">
        <f t="shared" si="8"/>
        <v/>
      </c>
    </row>
    <row r="1532" spans="2:2" x14ac:dyDescent="0.3">
      <c r="B1532" s="106" t="str">
        <f t="shared" si="8"/>
        <v/>
      </c>
    </row>
    <row r="1533" spans="2:2" x14ac:dyDescent="0.3">
      <c r="B1533" s="106" t="str">
        <f t="shared" si="8"/>
        <v/>
      </c>
    </row>
    <row r="1534" spans="2:2" x14ac:dyDescent="0.3">
      <c r="B1534" s="106" t="str">
        <f t="shared" si="8"/>
        <v/>
      </c>
    </row>
    <row r="1535" spans="2:2" x14ac:dyDescent="0.3">
      <c r="B1535" s="106" t="str">
        <f t="shared" si="8"/>
        <v/>
      </c>
    </row>
    <row r="1536" spans="2:2" x14ac:dyDescent="0.3">
      <c r="B1536" s="106" t="str">
        <f t="shared" si="8"/>
        <v/>
      </c>
    </row>
    <row r="1537" spans="2:2" x14ac:dyDescent="0.3">
      <c r="B1537" s="106" t="str">
        <f t="shared" si="8"/>
        <v/>
      </c>
    </row>
    <row r="1538" spans="2:2" x14ac:dyDescent="0.3">
      <c r="B1538" s="106" t="str">
        <f t="shared" si="8"/>
        <v/>
      </c>
    </row>
    <row r="1539" spans="2:2" x14ac:dyDescent="0.3">
      <c r="B1539" s="106" t="str">
        <f t="shared" si="8"/>
        <v/>
      </c>
    </row>
    <row r="1540" spans="2:2" x14ac:dyDescent="0.3">
      <c r="B1540" s="106" t="str">
        <f t="shared" si="8"/>
        <v/>
      </c>
    </row>
    <row r="1541" spans="2:2" x14ac:dyDescent="0.3">
      <c r="B1541" s="106" t="str">
        <f t="shared" si="8"/>
        <v/>
      </c>
    </row>
    <row r="1542" spans="2:2" x14ac:dyDescent="0.3">
      <c r="B1542" s="106" t="str">
        <f t="shared" si="8"/>
        <v/>
      </c>
    </row>
    <row r="1543" spans="2:2" x14ac:dyDescent="0.3">
      <c r="B1543" s="106" t="str">
        <f t="shared" si="8"/>
        <v/>
      </c>
    </row>
    <row r="1544" spans="2:2" x14ac:dyDescent="0.3">
      <c r="B1544" s="106" t="str">
        <f t="shared" si="8"/>
        <v/>
      </c>
    </row>
    <row r="1545" spans="2:2" x14ac:dyDescent="0.3">
      <c r="B1545" s="106" t="str">
        <f t="shared" si="8"/>
        <v/>
      </c>
    </row>
    <row r="1546" spans="2:2" x14ac:dyDescent="0.3">
      <c r="B1546" s="106" t="str">
        <f t="shared" si="8"/>
        <v/>
      </c>
    </row>
    <row r="1547" spans="2:2" x14ac:dyDescent="0.3">
      <c r="B1547" s="106" t="str">
        <f t="shared" si="8"/>
        <v/>
      </c>
    </row>
    <row r="1548" spans="2:2" x14ac:dyDescent="0.3">
      <c r="B1548" s="106" t="str">
        <f t="shared" si="8"/>
        <v/>
      </c>
    </row>
    <row r="1549" spans="2:2" x14ac:dyDescent="0.3">
      <c r="B1549" s="106" t="str">
        <f t="shared" si="8"/>
        <v/>
      </c>
    </row>
    <row r="1550" spans="2:2" x14ac:dyDescent="0.3">
      <c r="B1550" s="106" t="str">
        <f t="shared" si="8"/>
        <v/>
      </c>
    </row>
    <row r="1551" spans="2:2" x14ac:dyDescent="0.3">
      <c r="B1551" s="106" t="str">
        <f t="shared" si="8"/>
        <v/>
      </c>
    </row>
    <row r="1552" spans="2:2" x14ac:dyDescent="0.3">
      <c r="B1552" s="106" t="str">
        <f t="shared" si="8"/>
        <v/>
      </c>
    </row>
    <row r="1553" spans="2:2" x14ac:dyDescent="0.3">
      <c r="B1553" s="106" t="str">
        <f t="shared" si="8"/>
        <v/>
      </c>
    </row>
    <row r="1554" spans="2:2" x14ac:dyDescent="0.3">
      <c r="B1554" s="106" t="str">
        <f t="shared" si="8"/>
        <v/>
      </c>
    </row>
    <row r="1555" spans="2:2" x14ac:dyDescent="0.3">
      <c r="B1555" s="106" t="str">
        <f t="shared" si="8"/>
        <v/>
      </c>
    </row>
    <row r="1556" spans="2:2" x14ac:dyDescent="0.3">
      <c r="B1556" s="106" t="str">
        <f t="shared" si="8"/>
        <v/>
      </c>
    </row>
    <row r="1557" spans="2:2" x14ac:dyDescent="0.3">
      <c r="B1557" s="106" t="str">
        <f t="shared" si="8"/>
        <v/>
      </c>
    </row>
    <row r="1558" spans="2:2" x14ac:dyDescent="0.3">
      <c r="B1558" s="106" t="str">
        <f t="shared" si="8"/>
        <v/>
      </c>
    </row>
    <row r="1559" spans="2:2" x14ac:dyDescent="0.3">
      <c r="B1559" s="106" t="str">
        <f t="shared" si="8"/>
        <v/>
      </c>
    </row>
    <row r="1560" spans="2:2" x14ac:dyDescent="0.3">
      <c r="B1560" s="106" t="str">
        <f t="shared" si="8"/>
        <v/>
      </c>
    </row>
    <row r="1561" spans="2:2" x14ac:dyDescent="0.3">
      <c r="B1561" s="106" t="str">
        <f t="shared" si="8"/>
        <v/>
      </c>
    </row>
    <row r="1562" spans="2:2" x14ac:dyDescent="0.3">
      <c r="B1562" s="106" t="str">
        <f t="shared" si="8"/>
        <v/>
      </c>
    </row>
    <row r="1563" spans="2:2" x14ac:dyDescent="0.3">
      <c r="B1563" s="106" t="str">
        <f t="shared" si="8"/>
        <v/>
      </c>
    </row>
    <row r="1564" spans="2:2" x14ac:dyDescent="0.3">
      <c r="B1564" s="106" t="str">
        <f t="shared" si="8"/>
        <v/>
      </c>
    </row>
    <row r="1565" spans="2:2" x14ac:dyDescent="0.3">
      <c r="B1565" s="106" t="str">
        <f t="shared" si="8"/>
        <v/>
      </c>
    </row>
    <row r="1566" spans="2:2" x14ac:dyDescent="0.3">
      <c r="B1566" s="106" t="str">
        <f t="shared" si="8"/>
        <v/>
      </c>
    </row>
    <row r="1567" spans="2:2" x14ac:dyDescent="0.3">
      <c r="B1567" s="106" t="str">
        <f t="shared" si="8"/>
        <v/>
      </c>
    </row>
    <row r="1568" spans="2:2" x14ac:dyDescent="0.3">
      <c r="B1568" s="106" t="str">
        <f t="shared" si="8"/>
        <v/>
      </c>
    </row>
    <row r="1569" spans="2:2" x14ac:dyDescent="0.3">
      <c r="B1569" s="106" t="str">
        <f t="shared" si="8"/>
        <v/>
      </c>
    </row>
    <row r="1570" spans="2:2" x14ac:dyDescent="0.3">
      <c r="B1570" s="106" t="str">
        <f t="shared" si="8"/>
        <v/>
      </c>
    </row>
    <row r="1571" spans="2:2" x14ac:dyDescent="0.3">
      <c r="B1571" s="106" t="str">
        <f t="shared" si="8"/>
        <v/>
      </c>
    </row>
    <row r="1572" spans="2:2" x14ac:dyDescent="0.3">
      <c r="B1572" s="106" t="str">
        <f t="shared" si="8"/>
        <v/>
      </c>
    </row>
    <row r="1573" spans="2:2" x14ac:dyDescent="0.3">
      <c r="B1573" s="106" t="str">
        <f t="shared" si="8"/>
        <v/>
      </c>
    </row>
    <row r="1574" spans="2:2" x14ac:dyDescent="0.3">
      <c r="B1574" s="106" t="str">
        <f t="shared" si="8"/>
        <v/>
      </c>
    </row>
    <row r="1575" spans="2:2" x14ac:dyDescent="0.3">
      <c r="B1575" s="106" t="str">
        <f t="shared" si="8"/>
        <v/>
      </c>
    </row>
    <row r="1576" spans="2:2" x14ac:dyDescent="0.3">
      <c r="B1576" s="106" t="str">
        <f t="shared" si="8"/>
        <v/>
      </c>
    </row>
    <row r="1577" spans="2:2" x14ac:dyDescent="0.3">
      <c r="B1577" s="106" t="str">
        <f t="shared" ref="B1577:B1640" si="9">IF($A1577="Daily", "n/a", "")</f>
        <v/>
      </c>
    </row>
    <row r="1578" spans="2:2" x14ac:dyDescent="0.3">
      <c r="B1578" s="106" t="str">
        <f t="shared" si="9"/>
        <v/>
      </c>
    </row>
    <row r="1579" spans="2:2" x14ac:dyDescent="0.3">
      <c r="B1579" s="106" t="str">
        <f t="shared" si="9"/>
        <v/>
      </c>
    </row>
    <row r="1580" spans="2:2" x14ac:dyDescent="0.3">
      <c r="B1580" s="106" t="str">
        <f t="shared" si="9"/>
        <v/>
      </c>
    </row>
    <row r="1581" spans="2:2" x14ac:dyDescent="0.3">
      <c r="B1581" s="106" t="str">
        <f t="shared" si="9"/>
        <v/>
      </c>
    </row>
    <row r="1582" spans="2:2" x14ac:dyDescent="0.3">
      <c r="B1582" s="106" t="str">
        <f t="shared" si="9"/>
        <v/>
      </c>
    </row>
    <row r="1583" spans="2:2" x14ac:dyDescent="0.3">
      <c r="B1583" s="106" t="str">
        <f t="shared" si="9"/>
        <v/>
      </c>
    </row>
    <row r="1584" spans="2:2" x14ac:dyDescent="0.3">
      <c r="B1584" s="106" t="str">
        <f t="shared" si="9"/>
        <v/>
      </c>
    </row>
    <row r="1585" spans="2:2" x14ac:dyDescent="0.3">
      <c r="B1585" s="106" t="str">
        <f t="shared" si="9"/>
        <v/>
      </c>
    </row>
    <row r="1586" spans="2:2" x14ac:dyDescent="0.3">
      <c r="B1586" s="106" t="str">
        <f t="shared" si="9"/>
        <v/>
      </c>
    </row>
    <row r="1587" spans="2:2" x14ac:dyDescent="0.3">
      <c r="B1587" s="106" t="str">
        <f t="shared" si="9"/>
        <v/>
      </c>
    </row>
    <row r="1588" spans="2:2" x14ac:dyDescent="0.3">
      <c r="B1588" s="106" t="str">
        <f t="shared" si="9"/>
        <v/>
      </c>
    </row>
    <row r="1589" spans="2:2" x14ac:dyDescent="0.3">
      <c r="B1589" s="106" t="str">
        <f t="shared" si="9"/>
        <v/>
      </c>
    </row>
    <row r="1590" spans="2:2" x14ac:dyDescent="0.3">
      <c r="B1590" s="106" t="str">
        <f t="shared" si="9"/>
        <v/>
      </c>
    </row>
    <row r="1591" spans="2:2" x14ac:dyDescent="0.3">
      <c r="B1591" s="106" t="str">
        <f t="shared" si="9"/>
        <v/>
      </c>
    </row>
    <row r="1592" spans="2:2" x14ac:dyDescent="0.3">
      <c r="B1592" s="106" t="str">
        <f t="shared" si="9"/>
        <v/>
      </c>
    </row>
    <row r="1593" spans="2:2" x14ac:dyDescent="0.3">
      <c r="B1593" s="106" t="str">
        <f t="shared" si="9"/>
        <v/>
      </c>
    </row>
    <row r="1594" spans="2:2" x14ac:dyDescent="0.3">
      <c r="B1594" s="106" t="str">
        <f t="shared" si="9"/>
        <v/>
      </c>
    </row>
    <row r="1595" spans="2:2" x14ac:dyDescent="0.3">
      <c r="B1595" s="106" t="str">
        <f t="shared" si="9"/>
        <v/>
      </c>
    </row>
    <row r="1596" spans="2:2" x14ac:dyDescent="0.3">
      <c r="B1596" s="106" t="str">
        <f t="shared" si="9"/>
        <v/>
      </c>
    </row>
    <row r="1597" spans="2:2" x14ac:dyDescent="0.3">
      <c r="B1597" s="106" t="str">
        <f t="shared" si="9"/>
        <v/>
      </c>
    </row>
    <row r="1598" spans="2:2" x14ac:dyDescent="0.3">
      <c r="B1598" s="106" t="str">
        <f t="shared" si="9"/>
        <v/>
      </c>
    </row>
    <row r="1599" spans="2:2" x14ac:dyDescent="0.3">
      <c r="B1599" s="106" t="str">
        <f t="shared" si="9"/>
        <v/>
      </c>
    </row>
    <row r="1600" spans="2:2" x14ac:dyDescent="0.3">
      <c r="B1600" s="106" t="str">
        <f t="shared" si="9"/>
        <v/>
      </c>
    </row>
    <row r="1601" spans="2:2" x14ac:dyDescent="0.3">
      <c r="B1601" s="106" t="str">
        <f t="shared" si="9"/>
        <v/>
      </c>
    </row>
    <row r="1602" spans="2:2" x14ac:dyDescent="0.3">
      <c r="B1602" s="106" t="str">
        <f t="shared" si="9"/>
        <v/>
      </c>
    </row>
    <row r="1603" spans="2:2" x14ac:dyDescent="0.3">
      <c r="B1603" s="106" t="str">
        <f t="shared" si="9"/>
        <v/>
      </c>
    </row>
    <row r="1604" spans="2:2" x14ac:dyDescent="0.3">
      <c r="B1604" s="106" t="str">
        <f t="shared" si="9"/>
        <v/>
      </c>
    </row>
    <row r="1605" spans="2:2" x14ac:dyDescent="0.3">
      <c r="B1605" s="106" t="str">
        <f t="shared" si="9"/>
        <v/>
      </c>
    </row>
    <row r="1606" spans="2:2" x14ac:dyDescent="0.3">
      <c r="B1606" s="106" t="str">
        <f t="shared" si="9"/>
        <v/>
      </c>
    </row>
    <row r="1607" spans="2:2" x14ac:dyDescent="0.3">
      <c r="B1607" s="106" t="str">
        <f t="shared" si="9"/>
        <v/>
      </c>
    </row>
    <row r="1608" spans="2:2" x14ac:dyDescent="0.3">
      <c r="B1608" s="106" t="str">
        <f t="shared" si="9"/>
        <v/>
      </c>
    </row>
    <row r="1609" spans="2:2" x14ac:dyDescent="0.3">
      <c r="B1609" s="106" t="str">
        <f t="shared" si="9"/>
        <v/>
      </c>
    </row>
    <row r="1610" spans="2:2" x14ac:dyDescent="0.3">
      <c r="B1610" s="106" t="str">
        <f t="shared" si="9"/>
        <v/>
      </c>
    </row>
    <row r="1611" spans="2:2" x14ac:dyDescent="0.3">
      <c r="B1611" s="106" t="str">
        <f t="shared" si="9"/>
        <v/>
      </c>
    </row>
    <row r="1612" spans="2:2" x14ac:dyDescent="0.3">
      <c r="B1612" s="106" t="str">
        <f t="shared" si="9"/>
        <v/>
      </c>
    </row>
    <row r="1613" spans="2:2" x14ac:dyDescent="0.3">
      <c r="B1613" s="106" t="str">
        <f t="shared" si="9"/>
        <v/>
      </c>
    </row>
    <row r="1614" spans="2:2" x14ac:dyDescent="0.3">
      <c r="B1614" s="106" t="str">
        <f t="shared" si="9"/>
        <v/>
      </c>
    </row>
    <row r="1615" spans="2:2" x14ac:dyDescent="0.3">
      <c r="B1615" s="106" t="str">
        <f t="shared" si="9"/>
        <v/>
      </c>
    </row>
    <row r="1616" spans="2:2" x14ac:dyDescent="0.3">
      <c r="B1616" s="106" t="str">
        <f t="shared" si="9"/>
        <v/>
      </c>
    </row>
    <row r="1617" spans="2:2" x14ac:dyDescent="0.3">
      <c r="B1617" s="106" t="str">
        <f t="shared" si="9"/>
        <v/>
      </c>
    </row>
    <row r="1618" spans="2:2" x14ac:dyDescent="0.3">
      <c r="B1618" s="106" t="str">
        <f t="shared" si="9"/>
        <v/>
      </c>
    </row>
    <row r="1619" spans="2:2" x14ac:dyDescent="0.3">
      <c r="B1619" s="106" t="str">
        <f t="shared" si="9"/>
        <v/>
      </c>
    </row>
    <row r="1620" spans="2:2" x14ac:dyDescent="0.3">
      <c r="B1620" s="106" t="str">
        <f t="shared" si="9"/>
        <v/>
      </c>
    </row>
    <row r="1621" spans="2:2" x14ac:dyDescent="0.3">
      <c r="B1621" s="106" t="str">
        <f t="shared" si="9"/>
        <v/>
      </c>
    </row>
    <row r="1622" spans="2:2" x14ac:dyDescent="0.3">
      <c r="B1622" s="106" t="str">
        <f t="shared" si="9"/>
        <v/>
      </c>
    </row>
    <row r="1623" spans="2:2" x14ac:dyDescent="0.3">
      <c r="B1623" s="106" t="str">
        <f t="shared" si="9"/>
        <v/>
      </c>
    </row>
    <row r="1624" spans="2:2" x14ac:dyDescent="0.3">
      <c r="B1624" s="106" t="str">
        <f t="shared" si="9"/>
        <v/>
      </c>
    </row>
    <row r="1625" spans="2:2" x14ac:dyDescent="0.3">
      <c r="B1625" s="106" t="str">
        <f t="shared" si="9"/>
        <v/>
      </c>
    </row>
    <row r="1626" spans="2:2" x14ac:dyDescent="0.3">
      <c r="B1626" s="106" t="str">
        <f t="shared" si="9"/>
        <v/>
      </c>
    </row>
    <row r="1627" spans="2:2" x14ac:dyDescent="0.3">
      <c r="B1627" s="106" t="str">
        <f t="shared" si="9"/>
        <v/>
      </c>
    </row>
    <row r="1628" spans="2:2" x14ac:dyDescent="0.3">
      <c r="B1628" s="106" t="str">
        <f t="shared" si="9"/>
        <v/>
      </c>
    </row>
    <row r="1629" spans="2:2" x14ac:dyDescent="0.3">
      <c r="B1629" s="106" t="str">
        <f t="shared" si="9"/>
        <v/>
      </c>
    </row>
    <row r="1630" spans="2:2" x14ac:dyDescent="0.3">
      <c r="B1630" s="106" t="str">
        <f t="shared" si="9"/>
        <v/>
      </c>
    </row>
    <row r="1631" spans="2:2" x14ac:dyDescent="0.3">
      <c r="B1631" s="106" t="str">
        <f t="shared" si="9"/>
        <v/>
      </c>
    </row>
    <row r="1632" spans="2:2" x14ac:dyDescent="0.3">
      <c r="B1632" s="106" t="str">
        <f t="shared" si="9"/>
        <v/>
      </c>
    </row>
    <row r="1633" spans="2:2" x14ac:dyDescent="0.3">
      <c r="B1633" s="106" t="str">
        <f t="shared" si="9"/>
        <v/>
      </c>
    </row>
    <row r="1634" spans="2:2" x14ac:dyDescent="0.3">
      <c r="B1634" s="106" t="str">
        <f t="shared" si="9"/>
        <v/>
      </c>
    </row>
    <row r="1635" spans="2:2" x14ac:dyDescent="0.3">
      <c r="B1635" s="106" t="str">
        <f t="shared" si="9"/>
        <v/>
      </c>
    </row>
    <row r="1636" spans="2:2" x14ac:dyDescent="0.3">
      <c r="B1636" s="106" t="str">
        <f t="shared" si="9"/>
        <v/>
      </c>
    </row>
    <row r="1637" spans="2:2" x14ac:dyDescent="0.3">
      <c r="B1637" s="106" t="str">
        <f t="shared" si="9"/>
        <v/>
      </c>
    </row>
    <row r="1638" spans="2:2" x14ac:dyDescent="0.3">
      <c r="B1638" s="106" t="str">
        <f t="shared" si="9"/>
        <v/>
      </c>
    </row>
    <row r="1639" spans="2:2" x14ac:dyDescent="0.3">
      <c r="B1639" s="106" t="str">
        <f t="shared" si="9"/>
        <v/>
      </c>
    </row>
    <row r="1640" spans="2:2" x14ac:dyDescent="0.3">
      <c r="B1640" s="106" t="str">
        <f t="shared" si="9"/>
        <v/>
      </c>
    </row>
    <row r="1641" spans="2:2" x14ac:dyDescent="0.3">
      <c r="B1641" s="106" t="str">
        <f t="shared" ref="B1641:B1704" si="10">IF($A1641="Daily", "n/a", "")</f>
        <v/>
      </c>
    </row>
    <row r="1642" spans="2:2" x14ac:dyDescent="0.3">
      <c r="B1642" s="106" t="str">
        <f t="shared" si="10"/>
        <v/>
      </c>
    </row>
    <row r="1643" spans="2:2" x14ac:dyDescent="0.3">
      <c r="B1643" s="106" t="str">
        <f t="shared" si="10"/>
        <v/>
      </c>
    </row>
    <row r="1644" spans="2:2" x14ac:dyDescent="0.3">
      <c r="B1644" s="106" t="str">
        <f t="shared" si="10"/>
        <v/>
      </c>
    </row>
    <row r="1645" spans="2:2" x14ac:dyDescent="0.3">
      <c r="B1645" s="106" t="str">
        <f t="shared" si="10"/>
        <v/>
      </c>
    </row>
    <row r="1646" spans="2:2" x14ac:dyDescent="0.3">
      <c r="B1646" s="106" t="str">
        <f t="shared" si="10"/>
        <v/>
      </c>
    </row>
    <row r="1647" spans="2:2" x14ac:dyDescent="0.3">
      <c r="B1647" s="106" t="str">
        <f t="shared" si="10"/>
        <v/>
      </c>
    </row>
    <row r="1648" spans="2:2" x14ac:dyDescent="0.3">
      <c r="B1648" s="106" t="str">
        <f t="shared" si="10"/>
        <v/>
      </c>
    </row>
    <row r="1649" spans="2:2" x14ac:dyDescent="0.3">
      <c r="B1649" s="106" t="str">
        <f t="shared" si="10"/>
        <v/>
      </c>
    </row>
    <row r="1650" spans="2:2" x14ac:dyDescent="0.3">
      <c r="B1650" s="106" t="str">
        <f t="shared" si="10"/>
        <v/>
      </c>
    </row>
    <row r="1651" spans="2:2" x14ac:dyDescent="0.3">
      <c r="B1651" s="106" t="str">
        <f t="shared" si="10"/>
        <v/>
      </c>
    </row>
    <row r="1652" spans="2:2" x14ac:dyDescent="0.3">
      <c r="B1652" s="106" t="str">
        <f t="shared" si="10"/>
        <v/>
      </c>
    </row>
    <row r="1653" spans="2:2" x14ac:dyDescent="0.3">
      <c r="B1653" s="106" t="str">
        <f t="shared" si="10"/>
        <v/>
      </c>
    </row>
    <row r="1654" spans="2:2" x14ac:dyDescent="0.3">
      <c r="B1654" s="106" t="str">
        <f t="shared" si="10"/>
        <v/>
      </c>
    </row>
    <row r="1655" spans="2:2" x14ac:dyDescent="0.3">
      <c r="B1655" s="106" t="str">
        <f t="shared" si="10"/>
        <v/>
      </c>
    </row>
    <row r="1656" spans="2:2" x14ac:dyDescent="0.3">
      <c r="B1656" s="106" t="str">
        <f t="shared" si="10"/>
        <v/>
      </c>
    </row>
    <row r="1657" spans="2:2" x14ac:dyDescent="0.3">
      <c r="B1657" s="106" t="str">
        <f t="shared" si="10"/>
        <v/>
      </c>
    </row>
    <row r="1658" spans="2:2" x14ac:dyDescent="0.3">
      <c r="B1658" s="106" t="str">
        <f t="shared" si="10"/>
        <v/>
      </c>
    </row>
    <row r="1659" spans="2:2" x14ac:dyDescent="0.3">
      <c r="B1659" s="106" t="str">
        <f t="shared" si="10"/>
        <v/>
      </c>
    </row>
    <row r="1660" spans="2:2" x14ac:dyDescent="0.3">
      <c r="B1660" s="106" t="str">
        <f t="shared" si="10"/>
        <v/>
      </c>
    </row>
    <row r="1661" spans="2:2" x14ac:dyDescent="0.3">
      <c r="B1661" s="106" t="str">
        <f t="shared" si="10"/>
        <v/>
      </c>
    </row>
    <row r="1662" spans="2:2" x14ac:dyDescent="0.3">
      <c r="B1662" s="106" t="str">
        <f t="shared" si="10"/>
        <v/>
      </c>
    </row>
    <row r="1663" spans="2:2" x14ac:dyDescent="0.3">
      <c r="B1663" s="106" t="str">
        <f t="shared" si="10"/>
        <v/>
      </c>
    </row>
    <row r="1664" spans="2:2" x14ac:dyDescent="0.3">
      <c r="B1664" s="106" t="str">
        <f t="shared" si="10"/>
        <v/>
      </c>
    </row>
    <row r="1665" spans="2:2" x14ac:dyDescent="0.3">
      <c r="B1665" s="106" t="str">
        <f t="shared" si="10"/>
        <v/>
      </c>
    </row>
    <row r="1666" spans="2:2" x14ac:dyDescent="0.3">
      <c r="B1666" s="106" t="str">
        <f t="shared" si="10"/>
        <v/>
      </c>
    </row>
    <row r="1667" spans="2:2" x14ac:dyDescent="0.3">
      <c r="B1667" s="106" t="str">
        <f t="shared" si="10"/>
        <v/>
      </c>
    </row>
    <row r="1668" spans="2:2" x14ac:dyDescent="0.3">
      <c r="B1668" s="106" t="str">
        <f t="shared" si="10"/>
        <v/>
      </c>
    </row>
    <row r="1669" spans="2:2" x14ac:dyDescent="0.3">
      <c r="B1669" s="106" t="str">
        <f t="shared" si="10"/>
        <v/>
      </c>
    </row>
    <row r="1670" spans="2:2" x14ac:dyDescent="0.3">
      <c r="B1670" s="106" t="str">
        <f t="shared" si="10"/>
        <v/>
      </c>
    </row>
    <row r="1671" spans="2:2" x14ac:dyDescent="0.3">
      <c r="B1671" s="106" t="str">
        <f t="shared" si="10"/>
        <v/>
      </c>
    </row>
    <row r="1672" spans="2:2" x14ac:dyDescent="0.3">
      <c r="B1672" s="106" t="str">
        <f t="shared" si="10"/>
        <v/>
      </c>
    </row>
    <row r="1673" spans="2:2" x14ac:dyDescent="0.3">
      <c r="B1673" s="106" t="str">
        <f t="shared" si="10"/>
        <v/>
      </c>
    </row>
    <row r="1674" spans="2:2" x14ac:dyDescent="0.3">
      <c r="B1674" s="106" t="str">
        <f t="shared" si="10"/>
        <v/>
      </c>
    </row>
    <row r="1675" spans="2:2" x14ac:dyDescent="0.3">
      <c r="B1675" s="106" t="str">
        <f t="shared" si="10"/>
        <v/>
      </c>
    </row>
    <row r="1676" spans="2:2" x14ac:dyDescent="0.3">
      <c r="B1676" s="106" t="str">
        <f t="shared" si="10"/>
        <v/>
      </c>
    </row>
    <row r="1677" spans="2:2" x14ac:dyDescent="0.3">
      <c r="B1677" s="106" t="str">
        <f t="shared" si="10"/>
        <v/>
      </c>
    </row>
    <row r="1678" spans="2:2" x14ac:dyDescent="0.3">
      <c r="B1678" s="106" t="str">
        <f t="shared" si="10"/>
        <v/>
      </c>
    </row>
    <row r="1679" spans="2:2" x14ac:dyDescent="0.3">
      <c r="B1679" s="106" t="str">
        <f t="shared" si="10"/>
        <v/>
      </c>
    </row>
    <row r="1680" spans="2:2" x14ac:dyDescent="0.3">
      <c r="B1680" s="106" t="str">
        <f t="shared" si="10"/>
        <v/>
      </c>
    </row>
    <row r="1681" spans="2:2" x14ac:dyDescent="0.3">
      <c r="B1681" s="106" t="str">
        <f t="shared" si="10"/>
        <v/>
      </c>
    </row>
    <row r="1682" spans="2:2" x14ac:dyDescent="0.3">
      <c r="B1682" s="106" t="str">
        <f t="shared" si="10"/>
        <v/>
      </c>
    </row>
    <row r="1683" spans="2:2" x14ac:dyDescent="0.3">
      <c r="B1683" s="106" t="str">
        <f t="shared" si="10"/>
        <v/>
      </c>
    </row>
    <row r="1684" spans="2:2" x14ac:dyDescent="0.3">
      <c r="B1684" s="106" t="str">
        <f t="shared" si="10"/>
        <v/>
      </c>
    </row>
    <row r="1685" spans="2:2" x14ac:dyDescent="0.3">
      <c r="B1685" s="106" t="str">
        <f t="shared" si="10"/>
        <v/>
      </c>
    </row>
    <row r="1686" spans="2:2" x14ac:dyDescent="0.3">
      <c r="B1686" s="106" t="str">
        <f t="shared" si="10"/>
        <v/>
      </c>
    </row>
    <row r="1687" spans="2:2" x14ac:dyDescent="0.3">
      <c r="B1687" s="106" t="str">
        <f t="shared" si="10"/>
        <v/>
      </c>
    </row>
    <row r="1688" spans="2:2" x14ac:dyDescent="0.3">
      <c r="B1688" s="106" t="str">
        <f t="shared" si="10"/>
        <v/>
      </c>
    </row>
    <row r="1689" spans="2:2" x14ac:dyDescent="0.3">
      <c r="B1689" s="106" t="str">
        <f t="shared" si="10"/>
        <v/>
      </c>
    </row>
    <row r="1690" spans="2:2" x14ac:dyDescent="0.3">
      <c r="B1690" s="106" t="str">
        <f t="shared" si="10"/>
        <v/>
      </c>
    </row>
    <row r="1691" spans="2:2" x14ac:dyDescent="0.3">
      <c r="B1691" s="106" t="str">
        <f t="shared" si="10"/>
        <v/>
      </c>
    </row>
    <row r="1692" spans="2:2" x14ac:dyDescent="0.3">
      <c r="B1692" s="106" t="str">
        <f t="shared" si="10"/>
        <v/>
      </c>
    </row>
    <row r="1693" spans="2:2" x14ac:dyDescent="0.3">
      <c r="B1693" s="106" t="str">
        <f t="shared" si="10"/>
        <v/>
      </c>
    </row>
    <row r="1694" spans="2:2" x14ac:dyDescent="0.3">
      <c r="B1694" s="106" t="str">
        <f t="shared" si="10"/>
        <v/>
      </c>
    </row>
    <row r="1695" spans="2:2" x14ac:dyDescent="0.3">
      <c r="B1695" s="106" t="str">
        <f t="shared" si="10"/>
        <v/>
      </c>
    </row>
    <row r="1696" spans="2:2" x14ac:dyDescent="0.3">
      <c r="B1696" s="106" t="str">
        <f t="shared" si="10"/>
        <v/>
      </c>
    </row>
    <row r="1697" spans="2:2" x14ac:dyDescent="0.3">
      <c r="B1697" s="106" t="str">
        <f t="shared" si="10"/>
        <v/>
      </c>
    </row>
    <row r="1698" spans="2:2" x14ac:dyDescent="0.3">
      <c r="B1698" s="106" t="str">
        <f t="shared" si="10"/>
        <v/>
      </c>
    </row>
    <row r="1699" spans="2:2" x14ac:dyDescent="0.3">
      <c r="B1699" s="106" t="str">
        <f t="shared" si="10"/>
        <v/>
      </c>
    </row>
    <row r="1700" spans="2:2" x14ac:dyDescent="0.3">
      <c r="B1700" s="106" t="str">
        <f t="shared" si="10"/>
        <v/>
      </c>
    </row>
    <row r="1701" spans="2:2" x14ac:dyDescent="0.3">
      <c r="B1701" s="106" t="str">
        <f t="shared" si="10"/>
        <v/>
      </c>
    </row>
    <row r="1702" spans="2:2" x14ac:dyDescent="0.3">
      <c r="B1702" s="106" t="str">
        <f t="shared" si="10"/>
        <v/>
      </c>
    </row>
    <row r="1703" spans="2:2" x14ac:dyDescent="0.3">
      <c r="B1703" s="106" t="str">
        <f t="shared" si="10"/>
        <v/>
      </c>
    </row>
    <row r="1704" spans="2:2" x14ac:dyDescent="0.3">
      <c r="B1704" s="106" t="str">
        <f t="shared" si="10"/>
        <v/>
      </c>
    </row>
    <row r="1705" spans="2:2" x14ac:dyDescent="0.3">
      <c r="B1705" s="106" t="str">
        <f t="shared" ref="B1705:B1768" si="11">IF($A1705="Daily", "n/a", "")</f>
        <v/>
      </c>
    </row>
    <row r="1706" spans="2:2" x14ac:dyDescent="0.3">
      <c r="B1706" s="106" t="str">
        <f t="shared" si="11"/>
        <v/>
      </c>
    </row>
    <row r="1707" spans="2:2" x14ac:dyDescent="0.3">
      <c r="B1707" s="106" t="str">
        <f t="shared" si="11"/>
        <v/>
      </c>
    </row>
    <row r="1708" spans="2:2" x14ac:dyDescent="0.3">
      <c r="B1708" s="106" t="str">
        <f t="shared" si="11"/>
        <v/>
      </c>
    </row>
    <row r="1709" spans="2:2" x14ac:dyDescent="0.3">
      <c r="B1709" s="106" t="str">
        <f t="shared" si="11"/>
        <v/>
      </c>
    </row>
    <row r="1710" spans="2:2" x14ac:dyDescent="0.3">
      <c r="B1710" s="106" t="str">
        <f t="shared" si="11"/>
        <v/>
      </c>
    </row>
    <row r="1711" spans="2:2" x14ac:dyDescent="0.3">
      <c r="B1711" s="106" t="str">
        <f t="shared" si="11"/>
        <v/>
      </c>
    </row>
    <row r="1712" spans="2:2" x14ac:dyDescent="0.3">
      <c r="B1712" s="106" t="str">
        <f t="shared" si="11"/>
        <v/>
      </c>
    </row>
    <row r="1713" spans="2:2" x14ac:dyDescent="0.3">
      <c r="B1713" s="106" t="str">
        <f t="shared" si="11"/>
        <v/>
      </c>
    </row>
    <row r="1714" spans="2:2" x14ac:dyDescent="0.3">
      <c r="B1714" s="106" t="str">
        <f t="shared" si="11"/>
        <v/>
      </c>
    </row>
    <row r="1715" spans="2:2" x14ac:dyDescent="0.3">
      <c r="B1715" s="106" t="str">
        <f t="shared" si="11"/>
        <v/>
      </c>
    </row>
    <row r="1716" spans="2:2" x14ac:dyDescent="0.3">
      <c r="B1716" s="106" t="str">
        <f t="shared" si="11"/>
        <v/>
      </c>
    </row>
    <row r="1717" spans="2:2" x14ac:dyDescent="0.3">
      <c r="B1717" s="106" t="str">
        <f t="shared" si="11"/>
        <v/>
      </c>
    </row>
    <row r="1718" spans="2:2" x14ac:dyDescent="0.3">
      <c r="B1718" s="106" t="str">
        <f t="shared" si="11"/>
        <v/>
      </c>
    </row>
    <row r="1719" spans="2:2" x14ac:dyDescent="0.3">
      <c r="B1719" s="106" t="str">
        <f t="shared" si="11"/>
        <v/>
      </c>
    </row>
    <row r="1720" spans="2:2" x14ac:dyDescent="0.3">
      <c r="B1720" s="106" t="str">
        <f t="shared" si="11"/>
        <v/>
      </c>
    </row>
    <row r="1721" spans="2:2" x14ac:dyDescent="0.3">
      <c r="B1721" s="106" t="str">
        <f t="shared" si="11"/>
        <v/>
      </c>
    </row>
    <row r="1722" spans="2:2" x14ac:dyDescent="0.3">
      <c r="B1722" s="106" t="str">
        <f t="shared" si="11"/>
        <v/>
      </c>
    </row>
    <row r="1723" spans="2:2" x14ac:dyDescent="0.3">
      <c r="B1723" s="106" t="str">
        <f t="shared" si="11"/>
        <v/>
      </c>
    </row>
    <row r="1724" spans="2:2" x14ac:dyDescent="0.3">
      <c r="B1724" s="106" t="str">
        <f t="shared" si="11"/>
        <v/>
      </c>
    </row>
    <row r="1725" spans="2:2" x14ac:dyDescent="0.3">
      <c r="B1725" s="106" t="str">
        <f t="shared" si="11"/>
        <v/>
      </c>
    </row>
    <row r="1726" spans="2:2" x14ac:dyDescent="0.3">
      <c r="B1726" s="106" t="str">
        <f t="shared" si="11"/>
        <v/>
      </c>
    </row>
    <row r="1727" spans="2:2" x14ac:dyDescent="0.3">
      <c r="B1727" s="106" t="str">
        <f t="shared" si="11"/>
        <v/>
      </c>
    </row>
    <row r="1728" spans="2:2" x14ac:dyDescent="0.3">
      <c r="B1728" s="106" t="str">
        <f t="shared" si="11"/>
        <v/>
      </c>
    </row>
    <row r="1729" spans="2:2" x14ac:dyDescent="0.3">
      <c r="B1729" s="106" t="str">
        <f t="shared" si="11"/>
        <v/>
      </c>
    </row>
    <row r="1730" spans="2:2" x14ac:dyDescent="0.3">
      <c r="B1730" s="106" t="str">
        <f t="shared" si="11"/>
        <v/>
      </c>
    </row>
    <row r="1731" spans="2:2" x14ac:dyDescent="0.3">
      <c r="B1731" s="106" t="str">
        <f t="shared" si="11"/>
        <v/>
      </c>
    </row>
    <row r="1732" spans="2:2" x14ac:dyDescent="0.3">
      <c r="B1732" s="106" t="str">
        <f t="shared" si="11"/>
        <v/>
      </c>
    </row>
    <row r="1733" spans="2:2" x14ac:dyDescent="0.3">
      <c r="B1733" s="106" t="str">
        <f t="shared" si="11"/>
        <v/>
      </c>
    </row>
    <row r="1734" spans="2:2" x14ac:dyDescent="0.3">
      <c r="B1734" s="106" t="str">
        <f t="shared" si="11"/>
        <v/>
      </c>
    </row>
    <row r="1735" spans="2:2" x14ac:dyDescent="0.3">
      <c r="B1735" s="106" t="str">
        <f t="shared" si="11"/>
        <v/>
      </c>
    </row>
    <row r="1736" spans="2:2" x14ac:dyDescent="0.3">
      <c r="B1736" s="106" t="str">
        <f t="shared" si="11"/>
        <v/>
      </c>
    </row>
    <row r="1737" spans="2:2" x14ac:dyDescent="0.3">
      <c r="B1737" s="106" t="str">
        <f t="shared" si="11"/>
        <v/>
      </c>
    </row>
    <row r="1738" spans="2:2" x14ac:dyDescent="0.3">
      <c r="B1738" s="106" t="str">
        <f t="shared" si="11"/>
        <v/>
      </c>
    </row>
    <row r="1739" spans="2:2" x14ac:dyDescent="0.3">
      <c r="B1739" s="106" t="str">
        <f t="shared" si="11"/>
        <v/>
      </c>
    </row>
    <row r="1740" spans="2:2" x14ac:dyDescent="0.3">
      <c r="B1740" s="106" t="str">
        <f t="shared" si="11"/>
        <v/>
      </c>
    </row>
    <row r="1741" spans="2:2" x14ac:dyDescent="0.3">
      <c r="B1741" s="106" t="str">
        <f t="shared" si="11"/>
        <v/>
      </c>
    </row>
    <row r="1742" spans="2:2" x14ac:dyDescent="0.3">
      <c r="B1742" s="106" t="str">
        <f t="shared" si="11"/>
        <v/>
      </c>
    </row>
    <row r="1743" spans="2:2" x14ac:dyDescent="0.3">
      <c r="B1743" s="106" t="str">
        <f t="shared" si="11"/>
        <v/>
      </c>
    </row>
    <row r="1744" spans="2:2" x14ac:dyDescent="0.3">
      <c r="B1744" s="106" t="str">
        <f t="shared" si="11"/>
        <v/>
      </c>
    </row>
    <row r="1745" spans="2:2" x14ac:dyDescent="0.3">
      <c r="B1745" s="106" t="str">
        <f t="shared" si="11"/>
        <v/>
      </c>
    </row>
    <row r="1746" spans="2:2" x14ac:dyDescent="0.3">
      <c r="B1746" s="106" t="str">
        <f t="shared" si="11"/>
        <v/>
      </c>
    </row>
    <row r="1747" spans="2:2" x14ac:dyDescent="0.3">
      <c r="B1747" s="106" t="str">
        <f t="shared" si="11"/>
        <v/>
      </c>
    </row>
    <row r="1748" spans="2:2" x14ac:dyDescent="0.3">
      <c r="B1748" s="106" t="str">
        <f t="shared" si="11"/>
        <v/>
      </c>
    </row>
    <row r="1749" spans="2:2" x14ac:dyDescent="0.3">
      <c r="B1749" s="106" t="str">
        <f t="shared" si="11"/>
        <v/>
      </c>
    </row>
    <row r="1750" spans="2:2" x14ac:dyDescent="0.3">
      <c r="B1750" s="106" t="str">
        <f t="shared" si="11"/>
        <v/>
      </c>
    </row>
    <row r="1751" spans="2:2" x14ac:dyDescent="0.3">
      <c r="B1751" s="106" t="str">
        <f t="shared" si="11"/>
        <v/>
      </c>
    </row>
    <row r="1752" spans="2:2" x14ac:dyDescent="0.3">
      <c r="B1752" s="106" t="str">
        <f t="shared" si="11"/>
        <v/>
      </c>
    </row>
    <row r="1753" spans="2:2" x14ac:dyDescent="0.3">
      <c r="B1753" s="106" t="str">
        <f t="shared" si="11"/>
        <v/>
      </c>
    </row>
    <row r="1754" spans="2:2" x14ac:dyDescent="0.3">
      <c r="B1754" s="106" t="str">
        <f t="shared" si="11"/>
        <v/>
      </c>
    </row>
    <row r="1755" spans="2:2" x14ac:dyDescent="0.3">
      <c r="B1755" s="106" t="str">
        <f t="shared" si="11"/>
        <v/>
      </c>
    </row>
    <row r="1756" spans="2:2" x14ac:dyDescent="0.3">
      <c r="B1756" s="106" t="str">
        <f t="shared" si="11"/>
        <v/>
      </c>
    </row>
    <row r="1757" spans="2:2" x14ac:dyDescent="0.3">
      <c r="B1757" s="106" t="str">
        <f t="shared" si="11"/>
        <v/>
      </c>
    </row>
    <row r="1758" spans="2:2" x14ac:dyDescent="0.3">
      <c r="B1758" s="106" t="str">
        <f t="shared" si="11"/>
        <v/>
      </c>
    </row>
    <row r="1759" spans="2:2" x14ac:dyDescent="0.3">
      <c r="B1759" s="106" t="str">
        <f t="shared" si="11"/>
        <v/>
      </c>
    </row>
    <row r="1760" spans="2:2" x14ac:dyDescent="0.3">
      <c r="B1760" s="106" t="str">
        <f t="shared" si="11"/>
        <v/>
      </c>
    </row>
    <row r="1761" spans="2:2" x14ac:dyDescent="0.3">
      <c r="B1761" s="106" t="str">
        <f t="shared" si="11"/>
        <v/>
      </c>
    </row>
    <row r="1762" spans="2:2" x14ac:dyDescent="0.3">
      <c r="B1762" s="106" t="str">
        <f t="shared" si="11"/>
        <v/>
      </c>
    </row>
    <row r="1763" spans="2:2" x14ac:dyDescent="0.3">
      <c r="B1763" s="106" t="str">
        <f t="shared" si="11"/>
        <v/>
      </c>
    </row>
    <row r="1764" spans="2:2" x14ac:dyDescent="0.3">
      <c r="B1764" s="106" t="str">
        <f t="shared" si="11"/>
        <v/>
      </c>
    </row>
    <row r="1765" spans="2:2" x14ac:dyDescent="0.3">
      <c r="B1765" s="106" t="str">
        <f t="shared" si="11"/>
        <v/>
      </c>
    </row>
    <row r="1766" spans="2:2" x14ac:dyDescent="0.3">
      <c r="B1766" s="106" t="str">
        <f t="shared" si="11"/>
        <v/>
      </c>
    </row>
    <row r="1767" spans="2:2" x14ac:dyDescent="0.3">
      <c r="B1767" s="106" t="str">
        <f t="shared" si="11"/>
        <v/>
      </c>
    </row>
    <row r="1768" spans="2:2" x14ac:dyDescent="0.3">
      <c r="B1768" s="106" t="str">
        <f t="shared" si="11"/>
        <v/>
      </c>
    </row>
    <row r="1769" spans="2:2" x14ac:dyDescent="0.3">
      <c r="B1769" s="106" t="str">
        <f t="shared" ref="B1769:B1832" si="12">IF($A1769="Daily", "n/a", "")</f>
        <v/>
      </c>
    </row>
    <row r="1770" spans="2:2" x14ac:dyDescent="0.3">
      <c r="B1770" s="106" t="str">
        <f t="shared" si="12"/>
        <v/>
      </c>
    </row>
    <row r="1771" spans="2:2" x14ac:dyDescent="0.3">
      <c r="B1771" s="106" t="str">
        <f t="shared" si="12"/>
        <v/>
      </c>
    </row>
    <row r="1772" spans="2:2" x14ac:dyDescent="0.3">
      <c r="B1772" s="106" t="str">
        <f t="shared" si="12"/>
        <v/>
      </c>
    </row>
    <row r="1773" spans="2:2" x14ac:dyDescent="0.3">
      <c r="B1773" s="106" t="str">
        <f t="shared" si="12"/>
        <v/>
      </c>
    </row>
    <row r="1774" spans="2:2" x14ac:dyDescent="0.3">
      <c r="B1774" s="106" t="str">
        <f t="shared" si="12"/>
        <v/>
      </c>
    </row>
    <row r="1775" spans="2:2" x14ac:dyDescent="0.3">
      <c r="B1775" s="106" t="str">
        <f t="shared" si="12"/>
        <v/>
      </c>
    </row>
    <row r="1776" spans="2:2" x14ac:dyDescent="0.3">
      <c r="B1776" s="106" t="str">
        <f t="shared" si="12"/>
        <v/>
      </c>
    </row>
    <row r="1777" spans="2:2" x14ac:dyDescent="0.3">
      <c r="B1777" s="106" t="str">
        <f t="shared" si="12"/>
        <v/>
      </c>
    </row>
    <row r="1778" spans="2:2" x14ac:dyDescent="0.3">
      <c r="B1778" s="106" t="str">
        <f t="shared" si="12"/>
        <v/>
      </c>
    </row>
    <row r="1779" spans="2:2" x14ac:dyDescent="0.3">
      <c r="B1779" s="106" t="str">
        <f t="shared" si="12"/>
        <v/>
      </c>
    </row>
    <row r="1780" spans="2:2" x14ac:dyDescent="0.3">
      <c r="B1780" s="106" t="str">
        <f t="shared" si="12"/>
        <v/>
      </c>
    </row>
    <row r="1781" spans="2:2" x14ac:dyDescent="0.3">
      <c r="B1781" s="106" t="str">
        <f t="shared" si="12"/>
        <v/>
      </c>
    </row>
    <row r="1782" spans="2:2" x14ac:dyDescent="0.3">
      <c r="B1782" s="106" t="str">
        <f t="shared" si="12"/>
        <v/>
      </c>
    </row>
    <row r="1783" spans="2:2" x14ac:dyDescent="0.3">
      <c r="B1783" s="106" t="str">
        <f t="shared" si="12"/>
        <v/>
      </c>
    </row>
    <row r="1784" spans="2:2" x14ac:dyDescent="0.3">
      <c r="B1784" s="106" t="str">
        <f t="shared" si="12"/>
        <v/>
      </c>
    </row>
    <row r="1785" spans="2:2" x14ac:dyDescent="0.3">
      <c r="B1785" s="106" t="str">
        <f t="shared" si="12"/>
        <v/>
      </c>
    </row>
    <row r="1786" spans="2:2" x14ac:dyDescent="0.3">
      <c r="B1786" s="106" t="str">
        <f t="shared" si="12"/>
        <v/>
      </c>
    </row>
    <row r="1787" spans="2:2" x14ac:dyDescent="0.3">
      <c r="B1787" s="106" t="str">
        <f t="shared" si="12"/>
        <v/>
      </c>
    </row>
    <row r="1788" spans="2:2" x14ac:dyDescent="0.3">
      <c r="B1788" s="106" t="str">
        <f t="shared" si="12"/>
        <v/>
      </c>
    </row>
    <row r="1789" spans="2:2" x14ac:dyDescent="0.3">
      <c r="B1789" s="106" t="str">
        <f t="shared" si="12"/>
        <v/>
      </c>
    </row>
    <row r="1790" spans="2:2" x14ac:dyDescent="0.3">
      <c r="B1790" s="106" t="str">
        <f t="shared" si="12"/>
        <v/>
      </c>
    </row>
    <row r="1791" spans="2:2" x14ac:dyDescent="0.3">
      <c r="B1791" s="106" t="str">
        <f t="shared" si="12"/>
        <v/>
      </c>
    </row>
    <row r="1792" spans="2:2" x14ac:dyDescent="0.3">
      <c r="B1792" s="106" t="str">
        <f t="shared" si="12"/>
        <v/>
      </c>
    </row>
    <row r="1793" spans="2:2" x14ac:dyDescent="0.3">
      <c r="B1793" s="106" t="str">
        <f t="shared" si="12"/>
        <v/>
      </c>
    </row>
    <row r="1794" spans="2:2" x14ac:dyDescent="0.3">
      <c r="B1794" s="106" t="str">
        <f t="shared" si="12"/>
        <v/>
      </c>
    </row>
    <row r="1795" spans="2:2" x14ac:dyDescent="0.3">
      <c r="B1795" s="106" t="str">
        <f t="shared" si="12"/>
        <v/>
      </c>
    </row>
    <row r="1796" spans="2:2" x14ac:dyDescent="0.3">
      <c r="B1796" s="106" t="str">
        <f t="shared" si="12"/>
        <v/>
      </c>
    </row>
    <row r="1797" spans="2:2" x14ac:dyDescent="0.3">
      <c r="B1797" s="106" t="str">
        <f t="shared" si="12"/>
        <v/>
      </c>
    </row>
    <row r="1798" spans="2:2" x14ac:dyDescent="0.3">
      <c r="B1798" s="106" t="str">
        <f t="shared" si="12"/>
        <v/>
      </c>
    </row>
    <row r="1799" spans="2:2" x14ac:dyDescent="0.3">
      <c r="B1799" s="106" t="str">
        <f t="shared" si="12"/>
        <v/>
      </c>
    </row>
    <row r="1800" spans="2:2" x14ac:dyDescent="0.3">
      <c r="B1800" s="106" t="str">
        <f t="shared" si="12"/>
        <v/>
      </c>
    </row>
    <row r="1801" spans="2:2" x14ac:dyDescent="0.3">
      <c r="B1801" s="106" t="str">
        <f t="shared" si="12"/>
        <v/>
      </c>
    </row>
    <row r="1802" spans="2:2" x14ac:dyDescent="0.3">
      <c r="B1802" s="106" t="str">
        <f t="shared" si="12"/>
        <v/>
      </c>
    </row>
    <row r="1803" spans="2:2" x14ac:dyDescent="0.3">
      <c r="B1803" s="106" t="str">
        <f t="shared" si="12"/>
        <v/>
      </c>
    </row>
    <row r="1804" spans="2:2" x14ac:dyDescent="0.3">
      <c r="B1804" s="106" t="str">
        <f t="shared" si="12"/>
        <v/>
      </c>
    </row>
    <row r="1805" spans="2:2" x14ac:dyDescent="0.3">
      <c r="B1805" s="106" t="str">
        <f t="shared" si="12"/>
        <v/>
      </c>
    </row>
    <row r="1806" spans="2:2" x14ac:dyDescent="0.3">
      <c r="B1806" s="106" t="str">
        <f t="shared" si="12"/>
        <v/>
      </c>
    </row>
    <row r="1807" spans="2:2" x14ac:dyDescent="0.3">
      <c r="B1807" s="106" t="str">
        <f t="shared" si="12"/>
        <v/>
      </c>
    </row>
    <row r="1808" spans="2:2" x14ac:dyDescent="0.3">
      <c r="B1808" s="106" t="str">
        <f t="shared" si="12"/>
        <v/>
      </c>
    </row>
    <row r="1809" spans="2:2" x14ac:dyDescent="0.3">
      <c r="B1809" s="106" t="str">
        <f t="shared" si="12"/>
        <v/>
      </c>
    </row>
    <row r="1810" spans="2:2" x14ac:dyDescent="0.3">
      <c r="B1810" s="106" t="str">
        <f t="shared" si="12"/>
        <v/>
      </c>
    </row>
    <row r="1811" spans="2:2" x14ac:dyDescent="0.3">
      <c r="B1811" s="106" t="str">
        <f t="shared" si="12"/>
        <v/>
      </c>
    </row>
    <row r="1812" spans="2:2" x14ac:dyDescent="0.3">
      <c r="B1812" s="106" t="str">
        <f t="shared" si="12"/>
        <v/>
      </c>
    </row>
    <row r="1813" spans="2:2" x14ac:dyDescent="0.3">
      <c r="B1813" s="106" t="str">
        <f t="shared" si="12"/>
        <v/>
      </c>
    </row>
    <row r="1814" spans="2:2" x14ac:dyDescent="0.3">
      <c r="B1814" s="106" t="str">
        <f t="shared" si="12"/>
        <v/>
      </c>
    </row>
    <row r="1815" spans="2:2" x14ac:dyDescent="0.3">
      <c r="B1815" s="106" t="str">
        <f t="shared" si="12"/>
        <v/>
      </c>
    </row>
    <row r="1816" spans="2:2" x14ac:dyDescent="0.3">
      <c r="B1816" s="106" t="str">
        <f t="shared" si="12"/>
        <v/>
      </c>
    </row>
    <row r="1817" spans="2:2" x14ac:dyDescent="0.3">
      <c r="B1817" s="106" t="str">
        <f t="shared" si="12"/>
        <v/>
      </c>
    </row>
    <row r="1818" spans="2:2" x14ac:dyDescent="0.3">
      <c r="B1818" s="106" t="str">
        <f t="shared" si="12"/>
        <v/>
      </c>
    </row>
    <row r="1819" spans="2:2" x14ac:dyDescent="0.3">
      <c r="B1819" s="106" t="str">
        <f t="shared" si="12"/>
        <v/>
      </c>
    </row>
    <row r="1820" spans="2:2" x14ac:dyDescent="0.3">
      <c r="B1820" s="106" t="str">
        <f t="shared" si="12"/>
        <v/>
      </c>
    </row>
    <row r="1821" spans="2:2" x14ac:dyDescent="0.3">
      <c r="B1821" s="106" t="str">
        <f t="shared" si="12"/>
        <v/>
      </c>
    </row>
    <row r="1822" spans="2:2" x14ac:dyDescent="0.3">
      <c r="B1822" s="106" t="str">
        <f t="shared" si="12"/>
        <v/>
      </c>
    </row>
    <row r="1823" spans="2:2" x14ac:dyDescent="0.3">
      <c r="B1823" s="106" t="str">
        <f t="shared" si="12"/>
        <v/>
      </c>
    </row>
    <row r="1824" spans="2:2" x14ac:dyDescent="0.3">
      <c r="B1824" s="106" t="str">
        <f t="shared" si="12"/>
        <v/>
      </c>
    </row>
    <row r="1825" spans="2:2" x14ac:dyDescent="0.3">
      <c r="B1825" s="106" t="str">
        <f t="shared" si="12"/>
        <v/>
      </c>
    </row>
    <row r="1826" spans="2:2" x14ac:dyDescent="0.3">
      <c r="B1826" s="106" t="str">
        <f t="shared" si="12"/>
        <v/>
      </c>
    </row>
    <row r="1827" spans="2:2" x14ac:dyDescent="0.3">
      <c r="B1827" s="106" t="str">
        <f t="shared" si="12"/>
        <v/>
      </c>
    </row>
    <row r="1828" spans="2:2" x14ac:dyDescent="0.3">
      <c r="B1828" s="106" t="str">
        <f t="shared" si="12"/>
        <v/>
      </c>
    </row>
    <row r="1829" spans="2:2" x14ac:dyDescent="0.3">
      <c r="B1829" s="106" t="str">
        <f t="shared" si="12"/>
        <v/>
      </c>
    </row>
    <row r="1830" spans="2:2" x14ac:dyDescent="0.3">
      <c r="B1830" s="106" t="str">
        <f t="shared" si="12"/>
        <v/>
      </c>
    </row>
    <row r="1831" spans="2:2" x14ac:dyDescent="0.3">
      <c r="B1831" s="106" t="str">
        <f t="shared" si="12"/>
        <v/>
      </c>
    </row>
    <row r="1832" spans="2:2" x14ac:dyDescent="0.3">
      <c r="B1832" s="106" t="str">
        <f t="shared" si="12"/>
        <v/>
      </c>
    </row>
    <row r="1833" spans="2:2" x14ac:dyDescent="0.3">
      <c r="B1833" s="106" t="str">
        <f t="shared" ref="B1833:B1896" si="13">IF($A1833="Daily", "n/a", "")</f>
        <v/>
      </c>
    </row>
    <row r="1834" spans="2:2" x14ac:dyDescent="0.3">
      <c r="B1834" s="106" t="str">
        <f t="shared" si="13"/>
        <v/>
      </c>
    </row>
    <row r="1835" spans="2:2" x14ac:dyDescent="0.3">
      <c r="B1835" s="106" t="str">
        <f t="shared" si="13"/>
        <v/>
      </c>
    </row>
    <row r="1836" spans="2:2" x14ac:dyDescent="0.3">
      <c r="B1836" s="106" t="str">
        <f t="shared" si="13"/>
        <v/>
      </c>
    </row>
    <row r="1837" spans="2:2" x14ac:dyDescent="0.3">
      <c r="B1837" s="106" t="str">
        <f t="shared" si="13"/>
        <v/>
      </c>
    </row>
    <row r="1838" spans="2:2" x14ac:dyDescent="0.3">
      <c r="B1838" s="106" t="str">
        <f t="shared" si="13"/>
        <v/>
      </c>
    </row>
    <row r="1839" spans="2:2" x14ac:dyDescent="0.3">
      <c r="B1839" s="106" t="str">
        <f t="shared" si="13"/>
        <v/>
      </c>
    </row>
    <row r="1840" spans="2:2" x14ac:dyDescent="0.3">
      <c r="B1840" s="106" t="str">
        <f t="shared" si="13"/>
        <v/>
      </c>
    </row>
    <row r="1841" spans="2:2" x14ac:dyDescent="0.3">
      <c r="B1841" s="106" t="str">
        <f t="shared" si="13"/>
        <v/>
      </c>
    </row>
    <row r="1842" spans="2:2" x14ac:dyDescent="0.3">
      <c r="B1842" s="106" t="str">
        <f t="shared" si="13"/>
        <v/>
      </c>
    </row>
    <row r="1843" spans="2:2" x14ac:dyDescent="0.3">
      <c r="B1843" s="106" t="str">
        <f t="shared" si="13"/>
        <v/>
      </c>
    </row>
    <row r="1844" spans="2:2" x14ac:dyDescent="0.3">
      <c r="B1844" s="106" t="str">
        <f t="shared" si="13"/>
        <v/>
      </c>
    </row>
    <row r="1845" spans="2:2" x14ac:dyDescent="0.3">
      <c r="B1845" s="106" t="str">
        <f t="shared" si="13"/>
        <v/>
      </c>
    </row>
    <row r="1846" spans="2:2" x14ac:dyDescent="0.3">
      <c r="B1846" s="106" t="str">
        <f t="shared" si="13"/>
        <v/>
      </c>
    </row>
    <row r="1847" spans="2:2" x14ac:dyDescent="0.3">
      <c r="B1847" s="106" t="str">
        <f t="shared" si="13"/>
        <v/>
      </c>
    </row>
    <row r="1848" spans="2:2" x14ac:dyDescent="0.3">
      <c r="B1848" s="106" t="str">
        <f t="shared" si="13"/>
        <v/>
      </c>
    </row>
    <row r="1849" spans="2:2" x14ac:dyDescent="0.3">
      <c r="B1849" s="106" t="str">
        <f t="shared" si="13"/>
        <v/>
      </c>
    </row>
    <row r="1850" spans="2:2" x14ac:dyDescent="0.3">
      <c r="B1850" s="106" t="str">
        <f t="shared" si="13"/>
        <v/>
      </c>
    </row>
    <row r="1851" spans="2:2" x14ac:dyDescent="0.3">
      <c r="B1851" s="106" t="str">
        <f t="shared" si="13"/>
        <v/>
      </c>
    </row>
    <row r="1852" spans="2:2" x14ac:dyDescent="0.3">
      <c r="B1852" s="106" t="str">
        <f t="shared" si="13"/>
        <v/>
      </c>
    </row>
    <row r="1853" spans="2:2" x14ac:dyDescent="0.3">
      <c r="B1853" s="106" t="str">
        <f t="shared" si="13"/>
        <v/>
      </c>
    </row>
    <row r="1854" spans="2:2" x14ac:dyDescent="0.3">
      <c r="B1854" s="106" t="str">
        <f t="shared" si="13"/>
        <v/>
      </c>
    </row>
    <row r="1855" spans="2:2" x14ac:dyDescent="0.3">
      <c r="B1855" s="106" t="str">
        <f t="shared" si="13"/>
        <v/>
      </c>
    </row>
    <row r="1856" spans="2:2" x14ac:dyDescent="0.3">
      <c r="B1856" s="106" t="str">
        <f t="shared" si="13"/>
        <v/>
      </c>
    </row>
    <row r="1857" spans="2:2" x14ac:dyDescent="0.3">
      <c r="B1857" s="106" t="str">
        <f t="shared" si="13"/>
        <v/>
      </c>
    </row>
    <row r="1858" spans="2:2" x14ac:dyDescent="0.3">
      <c r="B1858" s="106" t="str">
        <f t="shared" si="13"/>
        <v/>
      </c>
    </row>
    <row r="1859" spans="2:2" x14ac:dyDescent="0.3">
      <c r="B1859" s="106" t="str">
        <f t="shared" si="13"/>
        <v/>
      </c>
    </row>
    <row r="1860" spans="2:2" x14ac:dyDescent="0.3">
      <c r="B1860" s="106" t="str">
        <f t="shared" si="13"/>
        <v/>
      </c>
    </row>
    <row r="1861" spans="2:2" x14ac:dyDescent="0.3">
      <c r="B1861" s="106" t="str">
        <f t="shared" si="13"/>
        <v/>
      </c>
    </row>
    <row r="1862" spans="2:2" x14ac:dyDescent="0.3">
      <c r="B1862" s="106" t="str">
        <f t="shared" si="13"/>
        <v/>
      </c>
    </row>
    <row r="1863" spans="2:2" x14ac:dyDescent="0.3">
      <c r="B1863" s="106" t="str">
        <f t="shared" si="13"/>
        <v/>
      </c>
    </row>
    <row r="1864" spans="2:2" x14ac:dyDescent="0.3">
      <c r="B1864" s="106" t="str">
        <f t="shared" si="13"/>
        <v/>
      </c>
    </row>
    <row r="1865" spans="2:2" x14ac:dyDescent="0.3">
      <c r="B1865" s="106" t="str">
        <f t="shared" si="13"/>
        <v/>
      </c>
    </row>
    <row r="1866" spans="2:2" x14ac:dyDescent="0.3">
      <c r="B1866" s="106" t="str">
        <f t="shared" si="13"/>
        <v/>
      </c>
    </row>
    <row r="1867" spans="2:2" x14ac:dyDescent="0.3">
      <c r="B1867" s="106" t="str">
        <f t="shared" si="13"/>
        <v/>
      </c>
    </row>
    <row r="1868" spans="2:2" x14ac:dyDescent="0.3">
      <c r="B1868" s="106" t="str">
        <f t="shared" si="13"/>
        <v/>
      </c>
    </row>
    <row r="1869" spans="2:2" x14ac:dyDescent="0.3">
      <c r="B1869" s="106" t="str">
        <f t="shared" si="13"/>
        <v/>
      </c>
    </row>
    <row r="1870" spans="2:2" x14ac:dyDescent="0.3">
      <c r="B1870" s="106" t="str">
        <f t="shared" si="13"/>
        <v/>
      </c>
    </row>
    <row r="1871" spans="2:2" x14ac:dyDescent="0.3">
      <c r="B1871" s="106" t="str">
        <f t="shared" si="13"/>
        <v/>
      </c>
    </row>
    <row r="1872" spans="2:2" x14ac:dyDescent="0.3">
      <c r="B1872" s="106" t="str">
        <f t="shared" si="13"/>
        <v/>
      </c>
    </row>
    <row r="1873" spans="2:2" x14ac:dyDescent="0.3">
      <c r="B1873" s="106" t="str">
        <f t="shared" si="13"/>
        <v/>
      </c>
    </row>
    <row r="1874" spans="2:2" x14ac:dyDescent="0.3">
      <c r="B1874" s="106" t="str">
        <f t="shared" si="13"/>
        <v/>
      </c>
    </row>
    <row r="1875" spans="2:2" x14ac:dyDescent="0.3">
      <c r="B1875" s="106" t="str">
        <f t="shared" si="13"/>
        <v/>
      </c>
    </row>
    <row r="1876" spans="2:2" x14ac:dyDescent="0.3">
      <c r="B1876" s="106" t="str">
        <f t="shared" si="13"/>
        <v/>
      </c>
    </row>
    <row r="1877" spans="2:2" x14ac:dyDescent="0.3">
      <c r="B1877" s="106" t="str">
        <f t="shared" si="13"/>
        <v/>
      </c>
    </row>
    <row r="1878" spans="2:2" x14ac:dyDescent="0.3">
      <c r="B1878" s="106" t="str">
        <f t="shared" si="13"/>
        <v/>
      </c>
    </row>
    <row r="1879" spans="2:2" x14ac:dyDescent="0.3">
      <c r="B1879" s="106" t="str">
        <f t="shared" si="13"/>
        <v/>
      </c>
    </row>
    <row r="1880" spans="2:2" x14ac:dyDescent="0.3">
      <c r="B1880" s="106" t="str">
        <f t="shared" si="13"/>
        <v/>
      </c>
    </row>
    <row r="1881" spans="2:2" x14ac:dyDescent="0.3">
      <c r="B1881" s="106" t="str">
        <f t="shared" si="13"/>
        <v/>
      </c>
    </row>
    <row r="1882" spans="2:2" x14ac:dyDescent="0.3">
      <c r="B1882" s="106" t="str">
        <f t="shared" si="13"/>
        <v/>
      </c>
    </row>
    <row r="1883" spans="2:2" x14ac:dyDescent="0.3">
      <c r="B1883" s="106" t="str">
        <f t="shared" si="13"/>
        <v/>
      </c>
    </row>
    <row r="1884" spans="2:2" x14ac:dyDescent="0.3">
      <c r="B1884" s="106" t="str">
        <f t="shared" si="13"/>
        <v/>
      </c>
    </row>
    <row r="1885" spans="2:2" x14ac:dyDescent="0.3">
      <c r="B1885" s="106" t="str">
        <f t="shared" si="13"/>
        <v/>
      </c>
    </row>
    <row r="1886" spans="2:2" x14ac:dyDescent="0.3">
      <c r="B1886" s="106" t="str">
        <f t="shared" si="13"/>
        <v/>
      </c>
    </row>
    <row r="1887" spans="2:2" x14ac:dyDescent="0.3">
      <c r="B1887" s="106" t="str">
        <f t="shared" si="13"/>
        <v/>
      </c>
    </row>
    <row r="1888" spans="2:2" x14ac:dyDescent="0.3">
      <c r="B1888" s="106" t="str">
        <f t="shared" si="13"/>
        <v/>
      </c>
    </row>
    <row r="1889" spans="2:2" x14ac:dyDescent="0.3">
      <c r="B1889" s="106" t="str">
        <f t="shared" si="13"/>
        <v/>
      </c>
    </row>
    <row r="1890" spans="2:2" x14ac:dyDescent="0.3">
      <c r="B1890" s="106" t="str">
        <f t="shared" si="13"/>
        <v/>
      </c>
    </row>
    <row r="1891" spans="2:2" x14ac:dyDescent="0.3">
      <c r="B1891" s="106" t="str">
        <f t="shared" si="13"/>
        <v/>
      </c>
    </row>
    <row r="1892" spans="2:2" x14ac:dyDescent="0.3">
      <c r="B1892" s="106" t="str">
        <f t="shared" si="13"/>
        <v/>
      </c>
    </row>
    <row r="1893" spans="2:2" x14ac:dyDescent="0.3">
      <c r="B1893" s="106" t="str">
        <f t="shared" si="13"/>
        <v/>
      </c>
    </row>
    <row r="1894" spans="2:2" x14ac:dyDescent="0.3">
      <c r="B1894" s="106" t="str">
        <f t="shared" si="13"/>
        <v/>
      </c>
    </row>
    <row r="1895" spans="2:2" x14ac:dyDescent="0.3">
      <c r="B1895" s="106" t="str">
        <f t="shared" si="13"/>
        <v/>
      </c>
    </row>
    <row r="1896" spans="2:2" x14ac:dyDescent="0.3">
      <c r="B1896" s="106" t="str">
        <f t="shared" si="13"/>
        <v/>
      </c>
    </row>
    <row r="1897" spans="2:2" x14ac:dyDescent="0.3">
      <c r="B1897" s="106" t="str">
        <f t="shared" ref="B1897:B1960" si="14">IF($A1897="Daily", "n/a", "")</f>
        <v/>
      </c>
    </row>
    <row r="1898" spans="2:2" x14ac:dyDescent="0.3">
      <c r="B1898" s="106" t="str">
        <f t="shared" si="14"/>
        <v/>
      </c>
    </row>
    <row r="1899" spans="2:2" x14ac:dyDescent="0.3">
      <c r="B1899" s="106" t="str">
        <f t="shared" si="14"/>
        <v/>
      </c>
    </row>
    <row r="1900" spans="2:2" x14ac:dyDescent="0.3">
      <c r="B1900" s="106" t="str">
        <f t="shared" si="14"/>
        <v/>
      </c>
    </row>
    <row r="1901" spans="2:2" x14ac:dyDescent="0.3">
      <c r="B1901" s="106" t="str">
        <f t="shared" si="14"/>
        <v/>
      </c>
    </row>
    <row r="1902" spans="2:2" x14ac:dyDescent="0.3">
      <c r="B1902" s="106" t="str">
        <f t="shared" si="14"/>
        <v/>
      </c>
    </row>
    <row r="1903" spans="2:2" x14ac:dyDescent="0.3">
      <c r="B1903" s="106" t="str">
        <f t="shared" si="14"/>
        <v/>
      </c>
    </row>
    <row r="1904" spans="2:2" x14ac:dyDescent="0.3">
      <c r="B1904" s="106" t="str">
        <f t="shared" si="14"/>
        <v/>
      </c>
    </row>
    <row r="1905" spans="2:2" x14ac:dyDescent="0.3">
      <c r="B1905" s="106" t="str">
        <f t="shared" si="14"/>
        <v/>
      </c>
    </row>
    <row r="1906" spans="2:2" x14ac:dyDescent="0.3">
      <c r="B1906" s="106" t="str">
        <f t="shared" si="14"/>
        <v/>
      </c>
    </row>
    <row r="1907" spans="2:2" x14ac:dyDescent="0.3">
      <c r="B1907" s="106" t="str">
        <f t="shared" si="14"/>
        <v/>
      </c>
    </row>
    <row r="1908" spans="2:2" x14ac:dyDescent="0.3">
      <c r="B1908" s="106" t="str">
        <f t="shared" si="14"/>
        <v/>
      </c>
    </row>
    <row r="1909" spans="2:2" x14ac:dyDescent="0.3">
      <c r="B1909" s="106" t="str">
        <f t="shared" si="14"/>
        <v/>
      </c>
    </row>
    <row r="1910" spans="2:2" x14ac:dyDescent="0.3">
      <c r="B1910" s="106" t="str">
        <f t="shared" si="14"/>
        <v/>
      </c>
    </row>
    <row r="1911" spans="2:2" x14ac:dyDescent="0.3">
      <c r="B1911" s="106" t="str">
        <f t="shared" si="14"/>
        <v/>
      </c>
    </row>
    <row r="1912" spans="2:2" x14ac:dyDescent="0.3">
      <c r="B1912" s="106" t="str">
        <f t="shared" si="14"/>
        <v/>
      </c>
    </row>
    <row r="1913" spans="2:2" x14ac:dyDescent="0.3">
      <c r="B1913" s="106" t="str">
        <f t="shared" si="14"/>
        <v/>
      </c>
    </row>
    <row r="1914" spans="2:2" x14ac:dyDescent="0.3">
      <c r="B1914" s="106" t="str">
        <f t="shared" si="14"/>
        <v/>
      </c>
    </row>
    <row r="1915" spans="2:2" x14ac:dyDescent="0.3">
      <c r="B1915" s="106" t="str">
        <f t="shared" si="14"/>
        <v/>
      </c>
    </row>
    <row r="1916" spans="2:2" x14ac:dyDescent="0.3">
      <c r="B1916" s="106" t="str">
        <f t="shared" si="14"/>
        <v/>
      </c>
    </row>
    <row r="1917" spans="2:2" x14ac:dyDescent="0.3">
      <c r="B1917" s="106" t="str">
        <f t="shared" si="14"/>
        <v/>
      </c>
    </row>
    <row r="1918" spans="2:2" x14ac:dyDescent="0.3">
      <c r="B1918" s="106" t="str">
        <f t="shared" si="14"/>
        <v/>
      </c>
    </row>
    <row r="1919" spans="2:2" x14ac:dyDescent="0.3">
      <c r="B1919" s="106" t="str">
        <f t="shared" si="14"/>
        <v/>
      </c>
    </row>
    <row r="1920" spans="2:2" x14ac:dyDescent="0.3">
      <c r="B1920" s="106" t="str">
        <f t="shared" si="14"/>
        <v/>
      </c>
    </row>
    <row r="1921" spans="2:2" x14ac:dyDescent="0.3">
      <c r="B1921" s="106" t="str">
        <f t="shared" si="14"/>
        <v/>
      </c>
    </row>
    <row r="1922" spans="2:2" x14ac:dyDescent="0.3">
      <c r="B1922" s="106" t="str">
        <f t="shared" si="14"/>
        <v/>
      </c>
    </row>
    <row r="1923" spans="2:2" x14ac:dyDescent="0.3">
      <c r="B1923" s="106" t="str">
        <f t="shared" si="14"/>
        <v/>
      </c>
    </row>
    <row r="1924" spans="2:2" x14ac:dyDescent="0.3">
      <c r="B1924" s="106" t="str">
        <f t="shared" si="14"/>
        <v/>
      </c>
    </row>
    <row r="1925" spans="2:2" x14ac:dyDescent="0.3">
      <c r="B1925" s="106" t="str">
        <f t="shared" si="14"/>
        <v/>
      </c>
    </row>
    <row r="1926" spans="2:2" x14ac:dyDescent="0.3">
      <c r="B1926" s="106" t="str">
        <f t="shared" si="14"/>
        <v/>
      </c>
    </row>
    <row r="1927" spans="2:2" x14ac:dyDescent="0.3">
      <c r="B1927" s="106" t="str">
        <f t="shared" si="14"/>
        <v/>
      </c>
    </row>
    <row r="1928" spans="2:2" x14ac:dyDescent="0.3">
      <c r="B1928" s="106" t="str">
        <f t="shared" si="14"/>
        <v/>
      </c>
    </row>
    <row r="1929" spans="2:2" x14ac:dyDescent="0.3">
      <c r="B1929" s="106" t="str">
        <f t="shared" si="14"/>
        <v/>
      </c>
    </row>
    <row r="1930" spans="2:2" x14ac:dyDescent="0.3">
      <c r="B1930" s="106" t="str">
        <f t="shared" si="14"/>
        <v/>
      </c>
    </row>
    <row r="1931" spans="2:2" x14ac:dyDescent="0.3">
      <c r="B1931" s="106" t="str">
        <f t="shared" si="14"/>
        <v/>
      </c>
    </row>
    <row r="1932" spans="2:2" x14ac:dyDescent="0.3">
      <c r="B1932" s="106" t="str">
        <f t="shared" si="14"/>
        <v/>
      </c>
    </row>
    <row r="1933" spans="2:2" x14ac:dyDescent="0.3">
      <c r="B1933" s="106" t="str">
        <f t="shared" si="14"/>
        <v/>
      </c>
    </row>
    <row r="1934" spans="2:2" x14ac:dyDescent="0.3">
      <c r="B1934" s="106" t="str">
        <f t="shared" si="14"/>
        <v/>
      </c>
    </row>
    <row r="1935" spans="2:2" x14ac:dyDescent="0.3">
      <c r="B1935" s="106" t="str">
        <f t="shared" si="14"/>
        <v/>
      </c>
    </row>
    <row r="1936" spans="2:2" x14ac:dyDescent="0.3">
      <c r="B1936" s="106" t="str">
        <f t="shared" si="14"/>
        <v/>
      </c>
    </row>
    <row r="1937" spans="2:2" x14ac:dyDescent="0.3">
      <c r="B1937" s="106" t="str">
        <f t="shared" si="14"/>
        <v/>
      </c>
    </row>
    <row r="1938" spans="2:2" x14ac:dyDescent="0.3">
      <c r="B1938" s="106" t="str">
        <f t="shared" si="14"/>
        <v/>
      </c>
    </row>
    <row r="1939" spans="2:2" x14ac:dyDescent="0.3">
      <c r="B1939" s="106" t="str">
        <f t="shared" si="14"/>
        <v/>
      </c>
    </row>
    <row r="1940" spans="2:2" x14ac:dyDescent="0.3">
      <c r="B1940" s="106" t="str">
        <f t="shared" si="14"/>
        <v/>
      </c>
    </row>
    <row r="1941" spans="2:2" x14ac:dyDescent="0.3">
      <c r="B1941" s="106" t="str">
        <f t="shared" si="14"/>
        <v/>
      </c>
    </row>
    <row r="1942" spans="2:2" x14ac:dyDescent="0.3">
      <c r="B1942" s="106" t="str">
        <f t="shared" si="14"/>
        <v/>
      </c>
    </row>
    <row r="1943" spans="2:2" x14ac:dyDescent="0.3">
      <c r="B1943" s="106" t="str">
        <f t="shared" si="14"/>
        <v/>
      </c>
    </row>
    <row r="1944" spans="2:2" x14ac:dyDescent="0.3">
      <c r="B1944" s="106" t="str">
        <f t="shared" si="14"/>
        <v/>
      </c>
    </row>
    <row r="1945" spans="2:2" x14ac:dyDescent="0.3">
      <c r="B1945" s="106" t="str">
        <f t="shared" si="14"/>
        <v/>
      </c>
    </row>
    <row r="1946" spans="2:2" x14ac:dyDescent="0.3">
      <c r="B1946" s="106" t="str">
        <f t="shared" si="14"/>
        <v/>
      </c>
    </row>
    <row r="1947" spans="2:2" x14ac:dyDescent="0.3">
      <c r="B1947" s="106" t="str">
        <f t="shared" si="14"/>
        <v/>
      </c>
    </row>
    <row r="1948" spans="2:2" x14ac:dyDescent="0.3">
      <c r="B1948" s="106" t="str">
        <f t="shared" si="14"/>
        <v/>
      </c>
    </row>
    <row r="1949" spans="2:2" x14ac:dyDescent="0.3">
      <c r="B1949" s="106" t="str">
        <f t="shared" si="14"/>
        <v/>
      </c>
    </row>
    <row r="1950" spans="2:2" x14ac:dyDescent="0.3">
      <c r="B1950" s="106" t="str">
        <f t="shared" si="14"/>
        <v/>
      </c>
    </row>
    <row r="1951" spans="2:2" x14ac:dyDescent="0.3">
      <c r="B1951" s="106" t="str">
        <f t="shared" si="14"/>
        <v/>
      </c>
    </row>
    <row r="1952" spans="2:2" x14ac:dyDescent="0.3">
      <c r="B1952" s="106" t="str">
        <f t="shared" si="14"/>
        <v/>
      </c>
    </row>
    <row r="1953" spans="2:2" x14ac:dyDescent="0.3">
      <c r="B1953" s="106" t="str">
        <f t="shared" si="14"/>
        <v/>
      </c>
    </row>
    <row r="1954" spans="2:2" x14ac:dyDescent="0.3">
      <c r="B1954" s="106" t="str">
        <f t="shared" si="14"/>
        <v/>
      </c>
    </row>
    <row r="1955" spans="2:2" x14ac:dyDescent="0.3">
      <c r="B1955" s="106" t="str">
        <f t="shared" si="14"/>
        <v/>
      </c>
    </row>
    <row r="1956" spans="2:2" x14ac:dyDescent="0.3">
      <c r="B1956" s="106" t="str">
        <f t="shared" si="14"/>
        <v/>
      </c>
    </row>
    <row r="1957" spans="2:2" x14ac:dyDescent="0.3">
      <c r="B1957" s="106" t="str">
        <f t="shared" si="14"/>
        <v/>
      </c>
    </row>
    <row r="1958" spans="2:2" x14ac:dyDescent="0.3">
      <c r="B1958" s="106" t="str">
        <f t="shared" si="14"/>
        <v/>
      </c>
    </row>
    <row r="1959" spans="2:2" x14ac:dyDescent="0.3">
      <c r="B1959" s="106" t="str">
        <f t="shared" si="14"/>
        <v/>
      </c>
    </row>
    <row r="1960" spans="2:2" x14ac:dyDescent="0.3">
      <c r="B1960" s="106" t="str">
        <f t="shared" si="14"/>
        <v/>
      </c>
    </row>
    <row r="1961" spans="2:2" x14ac:dyDescent="0.3">
      <c r="B1961" s="106" t="str">
        <f t="shared" ref="B1961:B2024" si="15">IF($A1961="Daily", "n/a", "")</f>
        <v/>
      </c>
    </row>
    <row r="1962" spans="2:2" x14ac:dyDescent="0.3">
      <c r="B1962" s="106" t="str">
        <f t="shared" si="15"/>
        <v/>
      </c>
    </row>
    <row r="1963" spans="2:2" x14ac:dyDescent="0.3">
      <c r="B1963" s="106" t="str">
        <f t="shared" si="15"/>
        <v/>
      </c>
    </row>
    <row r="1964" spans="2:2" x14ac:dyDescent="0.3">
      <c r="B1964" s="106" t="str">
        <f t="shared" si="15"/>
        <v/>
      </c>
    </row>
    <row r="1965" spans="2:2" x14ac:dyDescent="0.3">
      <c r="B1965" s="106" t="str">
        <f t="shared" si="15"/>
        <v/>
      </c>
    </row>
    <row r="1966" spans="2:2" x14ac:dyDescent="0.3">
      <c r="B1966" s="106" t="str">
        <f t="shared" si="15"/>
        <v/>
      </c>
    </row>
    <row r="1967" spans="2:2" x14ac:dyDescent="0.3">
      <c r="B1967" s="106" t="str">
        <f t="shared" si="15"/>
        <v/>
      </c>
    </row>
    <row r="1968" spans="2:2" x14ac:dyDescent="0.3">
      <c r="B1968" s="106" t="str">
        <f t="shared" si="15"/>
        <v/>
      </c>
    </row>
    <row r="1969" spans="2:2" x14ac:dyDescent="0.3">
      <c r="B1969" s="106" t="str">
        <f t="shared" si="15"/>
        <v/>
      </c>
    </row>
    <row r="1970" spans="2:2" x14ac:dyDescent="0.3">
      <c r="B1970" s="106" t="str">
        <f t="shared" si="15"/>
        <v/>
      </c>
    </row>
    <row r="1971" spans="2:2" x14ac:dyDescent="0.3">
      <c r="B1971" s="106" t="str">
        <f t="shared" si="15"/>
        <v/>
      </c>
    </row>
    <row r="1972" spans="2:2" x14ac:dyDescent="0.3">
      <c r="B1972" s="106" t="str">
        <f t="shared" si="15"/>
        <v/>
      </c>
    </row>
    <row r="1973" spans="2:2" x14ac:dyDescent="0.3">
      <c r="B1973" s="106" t="str">
        <f t="shared" si="15"/>
        <v/>
      </c>
    </row>
    <row r="1974" spans="2:2" x14ac:dyDescent="0.3">
      <c r="B1974" s="106" t="str">
        <f t="shared" si="15"/>
        <v/>
      </c>
    </row>
    <row r="1975" spans="2:2" x14ac:dyDescent="0.3">
      <c r="B1975" s="106" t="str">
        <f t="shared" si="15"/>
        <v/>
      </c>
    </row>
    <row r="1976" spans="2:2" x14ac:dyDescent="0.3">
      <c r="B1976" s="106" t="str">
        <f t="shared" si="15"/>
        <v/>
      </c>
    </row>
    <row r="1977" spans="2:2" x14ac:dyDescent="0.3">
      <c r="B1977" s="106" t="str">
        <f t="shared" si="15"/>
        <v/>
      </c>
    </row>
    <row r="1978" spans="2:2" x14ac:dyDescent="0.3">
      <c r="B1978" s="106" t="str">
        <f t="shared" si="15"/>
        <v/>
      </c>
    </row>
    <row r="1979" spans="2:2" x14ac:dyDescent="0.3">
      <c r="B1979" s="106" t="str">
        <f t="shared" si="15"/>
        <v/>
      </c>
    </row>
    <row r="1980" spans="2:2" x14ac:dyDescent="0.3">
      <c r="B1980" s="106" t="str">
        <f t="shared" si="15"/>
        <v/>
      </c>
    </row>
    <row r="1981" spans="2:2" x14ac:dyDescent="0.3">
      <c r="B1981" s="106" t="str">
        <f t="shared" si="15"/>
        <v/>
      </c>
    </row>
    <row r="1982" spans="2:2" x14ac:dyDescent="0.3">
      <c r="B1982" s="106" t="str">
        <f t="shared" si="15"/>
        <v/>
      </c>
    </row>
    <row r="1983" spans="2:2" x14ac:dyDescent="0.3">
      <c r="B1983" s="106" t="str">
        <f t="shared" si="15"/>
        <v/>
      </c>
    </row>
    <row r="1984" spans="2:2" x14ac:dyDescent="0.3">
      <c r="B1984" s="106" t="str">
        <f t="shared" si="15"/>
        <v/>
      </c>
    </row>
    <row r="1985" spans="2:2" x14ac:dyDescent="0.3">
      <c r="B1985" s="106" t="str">
        <f t="shared" si="15"/>
        <v/>
      </c>
    </row>
    <row r="1986" spans="2:2" x14ac:dyDescent="0.3">
      <c r="B1986" s="106" t="str">
        <f t="shared" si="15"/>
        <v/>
      </c>
    </row>
    <row r="1987" spans="2:2" x14ac:dyDescent="0.3">
      <c r="B1987" s="106" t="str">
        <f t="shared" si="15"/>
        <v/>
      </c>
    </row>
    <row r="1988" spans="2:2" x14ac:dyDescent="0.3">
      <c r="B1988" s="106" t="str">
        <f t="shared" si="15"/>
        <v/>
      </c>
    </row>
    <row r="1989" spans="2:2" x14ac:dyDescent="0.3">
      <c r="B1989" s="106" t="str">
        <f t="shared" si="15"/>
        <v/>
      </c>
    </row>
    <row r="1990" spans="2:2" x14ac:dyDescent="0.3">
      <c r="B1990" s="106" t="str">
        <f t="shared" si="15"/>
        <v/>
      </c>
    </row>
    <row r="1991" spans="2:2" x14ac:dyDescent="0.3">
      <c r="B1991" s="106" t="str">
        <f t="shared" si="15"/>
        <v/>
      </c>
    </row>
    <row r="1992" spans="2:2" x14ac:dyDescent="0.3">
      <c r="B1992" s="106" t="str">
        <f t="shared" si="15"/>
        <v/>
      </c>
    </row>
    <row r="1993" spans="2:2" x14ac:dyDescent="0.3">
      <c r="B1993" s="106" t="str">
        <f t="shared" si="15"/>
        <v/>
      </c>
    </row>
    <row r="1994" spans="2:2" x14ac:dyDescent="0.3">
      <c r="B1994" s="106" t="str">
        <f t="shared" si="15"/>
        <v/>
      </c>
    </row>
    <row r="1995" spans="2:2" x14ac:dyDescent="0.3">
      <c r="B1995" s="106" t="str">
        <f t="shared" si="15"/>
        <v/>
      </c>
    </row>
    <row r="1996" spans="2:2" x14ac:dyDescent="0.3">
      <c r="B1996" s="106" t="str">
        <f t="shared" si="15"/>
        <v/>
      </c>
    </row>
    <row r="1997" spans="2:2" x14ac:dyDescent="0.3">
      <c r="B1997" s="106" t="str">
        <f t="shared" si="15"/>
        <v/>
      </c>
    </row>
    <row r="1998" spans="2:2" x14ac:dyDescent="0.3">
      <c r="B1998" s="106" t="str">
        <f t="shared" si="15"/>
        <v/>
      </c>
    </row>
    <row r="1999" spans="2:2" x14ac:dyDescent="0.3">
      <c r="B1999" s="106" t="str">
        <f t="shared" si="15"/>
        <v/>
      </c>
    </row>
    <row r="2000" spans="2:2" x14ac:dyDescent="0.3">
      <c r="B2000" s="106" t="str">
        <f t="shared" si="15"/>
        <v/>
      </c>
    </row>
    <row r="2001" spans="2:2" x14ac:dyDescent="0.3">
      <c r="B2001" s="106" t="str">
        <f t="shared" si="15"/>
        <v/>
      </c>
    </row>
    <row r="2002" spans="2:2" x14ac:dyDescent="0.3">
      <c r="B2002" s="106" t="str">
        <f t="shared" si="15"/>
        <v/>
      </c>
    </row>
    <row r="2003" spans="2:2" x14ac:dyDescent="0.3">
      <c r="B2003" s="106" t="str">
        <f t="shared" si="15"/>
        <v/>
      </c>
    </row>
    <row r="2004" spans="2:2" x14ac:dyDescent="0.3">
      <c r="B2004" s="106" t="str">
        <f t="shared" si="15"/>
        <v/>
      </c>
    </row>
    <row r="2005" spans="2:2" x14ac:dyDescent="0.3">
      <c r="B2005" s="106" t="str">
        <f t="shared" si="15"/>
        <v/>
      </c>
    </row>
    <row r="2006" spans="2:2" x14ac:dyDescent="0.3">
      <c r="B2006" s="106" t="str">
        <f t="shared" si="15"/>
        <v/>
      </c>
    </row>
    <row r="2007" spans="2:2" x14ac:dyDescent="0.3">
      <c r="B2007" s="106" t="str">
        <f t="shared" si="15"/>
        <v/>
      </c>
    </row>
    <row r="2008" spans="2:2" x14ac:dyDescent="0.3">
      <c r="B2008" s="106" t="str">
        <f t="shared" si="15"/>
        <v/>
      </c>
    </row>
    <row r="2009" spans="2:2" x14ac:dyDescent="0.3">
      <c r="B2009" s="106" t="str">
        <f t="shared" si="15"/>
        <v/>
      </c>
    </row>
    <row r="2010" spans="2:2" x14ac:dyDescent="0.3">
      <c r="B2010" s="106" t="str">
        <f t="shared" si="15"/>
        <v/>
      </c>
    </row>
    <row r="2011" spans="2:2" x14ac:dyDescent="0.3">
      <c r="B2011" s="106" t="str">
        <f t="shared" si="15"/>
        <v/>
      </c>
    </row>
    <row r="2012" spans="2:2" x14ac:dyDescent="0.3">
      <c r="B2012" s="106" t="str">
        <f t="shared" si="15"/>
        <v/>
      </c>
    </row>
    <row r="2013" spans="2:2" x14ac:dyDescent="0.3">
      <c r="B2013" s="106" t="str">
        <f t="shared" si="15"/>
        <v/>
      </c>
    </row>
    <row r="2014" spans="2:2" x14ac:dyDescent="0.3">
      <c r="B2014" s="106" t="str">
        <f t="shared" si="15"/>
        <v/>
      </c>
    </row>
    <row r="2015" spans="2:2" x14ac:dyDescent="0.3">
      <c r="B2015" s="106" t="str">
        <f t="shared" si="15"/>
        <v/>
      </c>
    </row>
    <row r="2016" spans="2:2" x14ac:dyDescent="0.3">
      <c r="B2016" s="106" t="str">
        <f t="shared" si="15"/>
        <v/>
      </c>
    </row>
    <row r="2017" spans="2:2" x14ac:dyDescent="0.3">
      <c r="B2017" s="106" t="str">
        <f t="shared" si="15"/>
        <v/>
      </c>
    </row>
    <row r="2018" spans="2:2" x14ac:dyDescent="0.3">
      <c r="B2018" s="106" t="str">
        <f t="shared" si="15"/>
        <v/>
      </c>
    </row>
    <row r="2019" spans="2:2" x14ac:dyDescent="0.3">
      <c r="B2019" s="106" t="str">
        <f t="shared" si="15"/>
        <v/>
      </c>
    </row>
    <row r="2020" spans="2:2" x14ac:dyDescent="0.3">
      <c r="B2020" s="106" t="str">
        <f t="shared" si="15"/>
        <v/>
      </c>
    </row>
    <row r="2021" spans="2:2" x14ac:dyDescent="0.3">
      <c r="B2021" s="106" t="str">
        <f t="shared" si="15"/>
        <v/>
      </c>
    </row>
    <row r="2022" spans="2:2" x14ac:dyDescent="0.3">
      <c r="B2022" s="106" t="str">
        <f t="shared" si="15"/>
        <v/>
      </c>
    </row>
    <row r="2023" spans="2:2" x14ac:dyDescent="0.3">
      <c r="B2023" s="106" t="str">
        <f t="shared" si="15"/>
        <v/>
      </c>
    </row>
    <row r="2024" spans="2:2" x14ac:dyDescent="0.3">
      <c r="B2024" s="106" t="str">
        <f t="shared" si="15"/>
        <v/>
      </c>
    </row>
    <row r="2025" spans="2:2" x14ac:dyDescent="0.3">
      <c r="B2025" s="106" t="str">
        <f t="shared" ref="B2025:B2088" si="16">IF($A2025="Daily", "n/a", "")</f>
        <v/>
      </c>
    </row>
    <row r="2026" spans="2:2" x14ac:dyDescent="0.3">
      <c r="B2026" s="106" t="str">
        <f t="shared" si="16"/>
        <v/>
      </c>
    </row>
    <row r="2027" spans="2:2" x14ac:dyDescent="0.3">
      <c r="B2027" s="106" t="str">
        <f t="shared" si="16"/>
        <v/>
      </c>
    </row>
    <row r="2028" spans="2:2" x14ac:dyDescent="0.3">
      <c r="B2028" s="106" t="str">
        <f t="shared" si="16"/>
        <v/>
      </c>
    </row>
    <row r="2029" spans="2:2" x14ac:dyDescent="0.3">
      <c r="B2029" s="106" t="str">
        <f t="shared" si="16"/>
        <v/>
      </c>
    </row>
    <row r="2030" spans="2:2" x14ac:dyDescent="0.3">
      <c r="B2030" s="106" t="str">
        <f t="shared" si="16"/>
        <v/>
      </c>
    </row>
    <row r="2031" spans="2:2" x14ac:dyDescent="0.3">
      <c r="B2031" s="106" t="str">
        <f t="shared" si="16"/>
        <v/>
      </c>
    </row>
    <row r="2032" spans="2:2" x14ac:dyDescent="0.3">
      <c r="B2032" s="106" t="str">
        <f t="shared" si="16"/>
        <v/>
      </c>
    </row>
    <row r="2033" spans="2:2" x14ac:dyDescent="0.3">
      <c r="B2033" s="106" t="str">
        <f t="shared" si="16"/>
        <v/>
      </c>
    </row>
    <row r="2034" spans="2:2" x14ac:dyDescent="0.3">
      <c r="B2034" s="106" t="str">
        <f t="shared" si="16"/>
        <v/>
      </c>
    </row>
    <row r="2035" spans="2:2" x14ac:dyDescent="0.3">
      <c r="B2035" s="106" t="str">
        <f t="shared" si="16"/>
        <v/>
      </c>
    </row>
    <row r="2036" spans="2:2" x14ac:dyDescent="0.3">
      <c r="B2036" s="106" t="str">
        <f t="shared" si="16"/>
        <v/>
      </c>
    </row>
    <row r="2037" spans="2:2" x14ac:dyDescent="0.3">
      <c r="B2037" s="106" t="str">
        <f t="shared" si="16"/>
        <v/>
      </c>
    </row>
    <row r="2038" spans="2:2" x14ac:dyDescent="0.3">
      <c r="B2038" s="106" t="str">
        <f t="shared" si="16"/>
        <v/>
      </c>
    </row>
    <row r="2039" spans="2:2" x14ac:dyDescent="0.3">
      <c r="B2039" s="106" t="str">
        <f t="shared" si="16"/>
        <v/>
      </c>
    </row>
    <row r="2040" spans="2:2" x14ac:dyDescent="0.3">
      <c r="B2040" s="106" t="str">
        <f t="shared" si="16"/>
        <v/>
      </c>
    </row>
    <row r="2041" spans="2:2" x14ac:dyDescent="0.3">
      <c r="B2041" s="106" t="str">
        <f t="shared" si="16"/>
        <v/>
      </c>
    </row>
    <row r="2042" spans="2:2" x14ac:dyDescent="0.3">
      <c r="B2042" s="106" t="str">
        <f t="shared" si="16"/>
        <v/>
      </c>
    </row>
    <row r="2043" spans="2:2" x14ac:dyDescent="0.3">
      <c r="B2043" s="106" t="str">
        <f t="shared" si="16"/>
        <v/>
      </c>
    </row>
    <row r="2044" spans="2:2" x14ac:dyDescent="0.3">
      <c r="B2044" s="106" t="str">
        <f t="shared" si="16"/>
        <v/>
      </c>
    </row>
    <row r="2045" spans="2:2" x14ac:dyDescent="0.3">
      <c r="B2045" s="106" t="str">
        <f t="shared" si="16"/>
        <v/>
      </c>
    </row>
    <row r="2046" spans="2:2" x14ac:dyDescent="0.3">
      <c r="B2046" s="106" t="str">
        <f t="shared" si="16"/>
        <v/>
      </c>
    </row>
    <row r="2047" spans="2:2" x14ac:dyDescent="0.3">
      <c r="B2047" s="106" t="str">
        <f t="shared" si="16"/>
        <v/>
      </c>
    </row>
    <row r="2048" spans="2:2" x14ac:dyDescent="0.3">
      <c r="B2048" s="106" t="str">
        <f t="shared" si="16"/>
        <v/>
      </c>
    </row>
    <row r="2049" spans="2:2" x14ac:dyDescent="0.3">
      <c r="B2049" s="106" t="str">
        <f t="shared" si="16"/>
        <v/>
      </c>
    </row>
    <row r="2050" spans="2:2" x14ac:dyDescent="0.3">
      <c r="B2050" s="106" t="str">
        <f t="shared" si="16"/>
        <v/>
      </c>
    </row>
    <row r="2051" spans="2:2" x14ac:dyDescent="0.3">
      <c r="B2051" s="106" t="str">
        <f t="shared" si="16"/>
        <v/>
      </c>
    </row>
    <row r="2052" spans="2:2" x14ac:dyDescent="0.3">
      <c r="B2052" s="106" t="str">
        <f t="shared" si="16"/>
        <v/>
      </c>
    </row>
    <row r="2053" spans="2:2" x14ac:dyDescent="0.3">
      <c r="B2053" s="106" t="str">
        <f t="shared" si="16"/>
        <v/>
      </c>
    </row>
    <row r="2054" spans="2:2" x14ac:dyDescent="0.3">
      <c r="B2054" s="106" t="str">
        <f t="shared" si="16"/>
        <v/>
      </c>
    </row>
    <row r="2055" spans="2:2" x14ac:dyDescent="0.3">
      <c r="B2055" s="106" t="str">
        <f t="shared" si="16"/>
        <v/>
      </c>
    </row>
    <row r="2056" spans="2:2" x14ac:dyDescent="0.3">
      <c r="B2056" s="106" t="str">
        <f t="shared" si="16"/>
        <v/>
      </c>
    </row>
    <row r="2057" spans="2:2" x14ac:dyDescent="0.3">
      <c r="B2057" s="106" t="str">
        <f t="shared" si="16"/>
        <v/>
      </c>
    </row>
    <row r="2058" spans="2:2" x14ac:dyDescent="0.3">
      <c r="B2058" s="106" t="str">
        <f t="shared" si="16"/>
        <v/>
      </c>
    </row>
    <row r="2059" spans="2:2" x14ac:dyDescent="0.3">
      <c r="B2059" s="106" t="str">
        <f t="shared" si="16"/>
        <v/>
      </c>
    </row>
    <row r="2060" spans="2:2" x14ac:dyDescent="0.3">
      <c r="B2060" s="106" t="str">
        <f t="shared" si="16"/>
        <v/>
      </c>
    </row>
    <row r="2061" spans="2:2" x14ac:dyDescent="0.3">
      <c r="B2061" s="106" t="str">
        <f t="shared" si="16"/>
        <v/>
      </c>
    </row>
    <row r="2062" spans="2:2" x14ac:dyDescent="0.3">
      <c r="B2062" s="106" t="str">
        <f t="shared" si="16"/>
        <v/>
      </c>
    </row>
    <row r="2063" spans="2:2" x14ac:dyDescent="0.3">
      <c r="B2063" s="106" t="str">
        <f t="shared" si="16"/>
        <v/>
      </c>
    </row>
    <row r="2064" spans="2:2" x14ac:dyDescent="0.3">
      <c r="B2064" s="106" t="str">
        <f t="shared" si="16"/>
        <v/>
      </c>
    </row>
    <row r="2065" spans="2:2" x14ac:dyDescent="0.3">
      <c r="B2065" s="106" t="str">
        <f t="shared" si="16"/>
        <v/>
      </c>
    </row>
    <row r="2066" spans="2:2" x14ac:dyDescent="0.3">
      <c r="B2066" s="106" t="str">
        <f t="shared" si="16"/>
        <v/>
      </c>
    </row>
    <row r="2067" spans="2:2" x14ac:dyDescent="0.3">
      <c r="B2067" s="106" t="str">
        <f t="shared" si="16"/>
        <v/>
      </c>
    </row>
    <row r="2068" spans="2:2" x14ac:dyDescent="0.3">
      <c r="B2068" s="106" t="str">
        <f t="shared" si="16"/>
        <v/>
      </c>
    </row>
    <row r="2069" spans="2:2" x14ac:dyDescent="0.3">
      <c r="B2069" s="106" t="str">
        <f t="shared" si="16"/>
        <v/>
      </c>
    </row>
    <row r="2070" spans="2:2" x14ac:dyDescent="0.3">
      <c r="B2070" s="106" t="str">
        <f t="shared" si="16"/>
        <v/>
      </c>
    </row>
    <row r="2071" spans="2:2" x14ac:dyDescent="0.3">
      <c r="B2071" s="106" t="str">
        <f t="shared" si="16"/>
        <v/>
      </c>
    </row>
    <row r="2072" spans="2:2" x14ac:dyDescent="0.3">
      <c r="B2072" s="106" t="str">
        <f t="shared" si="16"/>
        <v/>
      </c>
    </row>
    <row r="2073" spans="2:2" x14ac:dyDescent="0.3">
      <c r="B2073" s="106" t="str">
        <f t="shared" si="16"/>
        <v/>
      </c>
    </row>
    <row r="2074" spans="2:2" x14ac:dyDescent="0.3">
      <c r="B2074" s="106" t="str">
        <f t="shared" si="16"/>
        <v/>
      </c>
    </row>
    <row r="2075" spans="2:2" x14ac:dyDescent="0.3">
      <c r="B2075" s="106" t="str">
        <f t="shared" si="16"/>
        <v/>
      </c>
    </row>
    <row r="2076" spans="2:2" x14ac:dyDescent="0.3">
      <c r="B2076" s="106" t="str">
        <f t="shared" si="16"/>
        <v/>
      </c>
    </row>
    <row r="2077" spans="2:2" x14ac:dyDescent="0.3">
      <c r="B2077" s="106" t="str">
        <f t="shared" si="16"/>
        <v/>
      </c>
    </row>
    <row r="2078" spans="2:2" x14ac:dyDescent="0.3">
      <c r="B2078" s="106" t="str">
        <f t="shared" si="16"/>
        <v/>
      </c>
    </row>
    <row r="2079" spans="2:2" x14ac:dyDescent="0.3">
      <c r="B2079" s="106" t="str">
        <f t="shared" si="16"/>
        <v/>
      </c>
    </row>
    <row r="2080" spans="2:2" x14ac:dyDescent="0.3">
      <c r="B2080" s="106" t="str">
        <f t="shared" si="16"/>
        <v/>
      </c>
    </row>
    <row r="2081" spans="2:2" x14ac:dyDescent="0.3">
      <c r="B2081" s="106" t="str">
        <f t="shared" si="16"/>
        <v/>
      </c>
    </row>
    <row r="2082" spans="2:2" x14ac:dyDescent="0.3">
      <c r="B2082" s="106" t="str">
        <f t="shared" si="16"/>
        <v/>
      </c>
    </row>
    <row r="2083" spans="2:2" x14ac:dyDescent="0.3">
      <c r="B2083" s="106" t="str">
        <f t="shared" si="16"/>
        <v/>
      </c>
    </row>
    <row r="2084" spans="2:2" x14ac:dyDescent="0.3">
      <c r="B2084" s="106" t="str">
        <f t="shared" si="16"/>
        <v/>
      </c>
    </row>
    <row r="2085" spans="2:2" x14ac:dyDescent="0.3">
      <c r="B2085" s="106" t="str">
        <f t="shared" si="16"/>
        <v/>
      </c>
    </row>
    <row r="2086" spans="2:2" x14ac:dyDescent="0.3">
      <c r="B2086" s="106" t="str">
        <f t="shared" si="16"/>
        <v/>
      </c>
    </row>
    <row r="2087" spans="2:2" x14ac:dyDescent="0.3">
      <c r="B2087" s="106" t="str">
        <f t="shared" si="16"/>
        <v/>
      </c>
    </row>
    <row r="2088" spans="2:2" x14ac:dyDescent="0.3">
      <c r="B2088" s="106" t="str">
        <f t="shared" si="16"/>
        <v/>
      </c>
    </row>
    <row r="2089" spans="2:2" x14ac:dyDescent="0.3">
      <c r="B2089" s="106" t="str">
        <f t="shared" ref="B2089:B2152" si="17">IF($A2089="Daily", "n/a", "")</f>
        <v/>
      </c>
    </row>
    <row r="2090" spans="2:2" x14ac:dyDescent="0.3">
      <c r="B2090" s="106" t="str">
        <f t="shared" si="17"/>
        <v/>
      </c>
    </row>
    <row r="2091" spans="2:2" x14ac:dyDescent="0.3">
      <c r="B2091" s="106" t="str">
        <f t="shared" si="17"/>
        <v/>
      </c>
    </row>
    <row r="2092" spans="2:2" x14ac:dyDescent="0.3">
      <c r="B2092" s="106" t="str">
        <f t="shared" si="17"/>
        <v/>
      </c>
    </row>
    <row r="2093" spans="2:2" x14ac:dyDescent="0.3">
      <c r="B2093" s="106" t="str">
        <f t="shared" si="17"/>
        <v/>
      </c>
    </row>
    <row r="2094" spans="2:2" x14ac:dyDescent="0.3">
      <c r="B2094" s="106" t="str">
        <f t="shared" si="17"/>
        <v/>
      </c>
    </row>
    <row r="2095" spans="2:2" x14ac:dyDescent="0.3">
      <c r="B2095" s="106" t="str">
        <f t="shared" si="17"/>
        <v/>
      </c>
    </row>
    <row r="2096" spans="2:2" x14ac:dyDescent="0.3">
      <c r="B2096" s="106" t="str">
        <f t="shared" si="17"/>
        <v/>
      </c>
    </row>
    <row r="2097" spans="2:2" x14ac:dyDescent="0.3">
      <c r="B2097" s="106" t="str">
        <f t="shared" si="17"/>
        <v/>
      </c>
    </row>
    <row r="2098" spans="2:2" x14ac:dyDescent="0.3">
      <c r="B2098" s="106" t="str">
        <f t="shared" si="17"/>
        <v/>
      </c>
    </row>
    <row r="2099" spans="2:2" x14ac:dyDescent="0.3">
      <c r="B2099" s="106" t="str">
        <f t="shared" si="17"/>
        <v/>
      </c>
    </row>
    <row r="2100" spans="2:2" x14ac:dyDescent="0.3">
      <c r="B2100" s="106" t="str">
        <f t="shared" si="17"/>
        <v/>
      </c>
    </row>
    <row r="2101" spans="2:2" x14ac:dyDescent="0.3">
      <c r="B2101" s="106" t="str">
        <f t="shared" si="17"/>
        <v/>
      </c>
    </row>
    <row r="2102" spans="2:2" x14ac:dyDescent="0.3">
      <c r="B2102" s="106" t="str">
        <f t="shared" si="17"/>
        <v/>
      </c>
    </row>
    <row r="2103" spans="2:2" x14ac:dyDescent="0.3">
      <c r="B2103" s="106" t="str">
        <f t="shared" si="17"/>
        <v/>
      </c>
    </row>
    <row r="2104" spans="2:2" x14ac:dyDescent="0.3">
      <c r="B2104" s="106" t="str">
        <f t="shared" si="17"/>
        <v/>
      </c>
    </row>
    <row r="2105" spans="2:2" x14ac:dyDescent="0.3">
      <c r="B2105" s="106" t="str">
        <f t="shared" si="17"/>
        <v/>
      </c>
    </row>
    <row r="2106" spans="2:2" x14ac:dyDescent="0.3">
      <c r="B2106" s="106" t="str">
        <f t="shared" si="17"/>
        <v/>
      </c>
    </row>
    <row r="2107" spans="2:2" x14ac:dyDescent="0.3">
      <c r="B2107" s="106" t="str">
        <f t="shared" si="17"/>
        <v/>
      </c>
    </row>
    <row r="2108" spans="2:2" x14ac:dyDescent="0.3">
      <c r="B2108" s="106" t="str">
        <f t="shared" si="17"/>
        <v/>
      </c>
    </row>
    <row r="2109" spans="2:2" x14ac:dyDescent="0.3">
      <c r="B2109" s="106" t="str">
        <f t="shared" si="17"/>
        <v/>
      </c>
    </row>
    <row r="2110" spans="2:2" x14ac:dyDescent="0.3">
      <c r="B2110" s="106" t="str">
        <f t="shared" si="17"/>
        <v/>
      </c>
    </row>
    <row r="2111" spans="2:2" x14ac:dyDescent="0.3">
      <c r="B2111" s="106" t="str">
        <f t="shared" si="17"/>
        <v/>
      </c>
    </row>
    <row r="2112" spans="2:2" x14ac:dyDescent="0.3">
      <c r="B2112" s="106" t="str">
        <f t="shared" si="17"/>
        <v/>
      </c>
    </row>
    <row r="2113" spans="2:2" x14ac:dyDescent="0.3">
      <c r="B2113" s="106" t="str">
        <f t="shared" si="17"/>
        <v/>
      </c>
    </row>
    <row r="2114" spans="2:2" x14ac:dyDescent="0.3">
      <c r="B2114" s="106" t="str">
        <f t="shared" si="17"/>
        <v/>
      </c>
    </row>
    <row r="2115" spans="2:2" x14ac:dyDescent="0.3">
      <c r="B2115" s="106" t="str">
        <f t="shared" si="17"/>
        <v/>
      </c>
    </row>
    <row r="2116" spans="2:2" x14ac:dyDescent="0.3">
      <c r="B2116" s="106" t="str">
        <f t="shared" si="17"/>
        <v/>
      </c>
    </row>
    <row r="2117" spans="2:2" x14ac:dyDescent="0.3">
      <c r="B2117" s="106" t="str">
        <f t="shared" si="17"/>
        <v/>
      </c>
    </row>
    <row r="2118" spans="2:2" x14ac:dyDescent="0.3">
      <c r="B2118" s="106" t="str">
        <f t="shared" si="17"/>
        <v/>
      </c>
    </row>
    <row r="2119" spans="2:2" x14ac:dyDescent="0.3">
      <c r="B2119" s="106" t="str">
        <f t="shared" si="17"/>
        <v/>
      </c>
    </row>
    <row r="2120" spans="2:2" x14ac:dyDescent="0.3">
      <c r="B2120" s="106" t="str">
        <f t="shared" si="17"/>
        <v/>
      </c>
    </row>
    <row r="2121" spans="2:2" x14ac:dyDescent="0.3">
      <c r="B2121" s="106" t="str">
        <f t="shared" si="17"/>
        <v/>
      </c>
    </row>
    <row r="2122" spans="2:2" x14ac:dyDescent="0.3">
      <c r="B2122" s="106" t="str">
        <f t="shared" si="17"/>
        <v/>
      </c>
    </row>
    <row r="2123" spans="2:2" x14ac:dyDescent="0.3">
      <c r="B2123" s="106" t="str">
        <f t="shared" si="17"/>
        <v/>
      </c>
    </row>
    <row r="2124" spans="2:2" x14ac:dyDescent="0.3">
      <c r="B2124" s="106" t="str">
        <f t="shared" si="17"/>
        <v/>
      </c>
    </row>
    <row r="2125" spans="2:2" x14ac:dyDescent="0.3">
      <c r="B2125" s="106" t="str">
        <f t="shared" si="17"/>
        <v/>
      </c>
    </row>
    <row r="2126" spans="2:2" x14ac:dyDescent="0.3">
      <c r="B2126" s="106" t="str">
        <f t="shared" si="17"/>
        <v/>
      </c>
    </row>
    <row r="2127" spans="2:2" x14ac:dyDescent="0.3">
      <c r="B2127" s="106" t="str">
        <f t="shared" si="17"/>
        <v/>
      </c>
    </row>
    <row r="2128" spans="2:2" x14ac:dyDescent="0.3">
      <c r="B2128" s="106" t="str">
        <f t="shared" si="17"/>
        <v/>
      </c>
    </row>
    <row r="2129" spans="2:2" x14ac:dyDescent="0.3">
      <c r="B2129" s="106" t="str">
        <f t="shared" si="17"/>
        <v/>
      </c>
    </row>
    <row r="2130" spans="2:2" x14ac:dyDescent="0.3">
      <c r="B2130" s="106" t="str">
        <f t="shared" si="17"/>
        <v/>
      </c>
    </row>
    <row r="2131" spans="2:2" x14ac:dyDescent="0.3">
      <c r="B2131" s="106" t="str">
        <f t="shared" si="17"/>
        <v/>
      </c>
    </row>
    <row r="2132" spans="2:2" x14ac:dyDescent="0.3">
      <c r="B2132" s="106" t="str">
        <f t="shared" si="17"/>
        <v/>
      </c>
    </row>
    <row r="2133" spans="2:2" x14ac:dyDescent="0.3">
      <c r="B2133" s="106" t="str">
        <f t="shared" si="17"/>
        <v/>
      </c>
    </row>
    <row r="2134" spans="2:2" x14ac:dyDescent="0.3">
      <c r="B2134" s="106" t="str">
        <f t="shared" si="17"/>
        <v/>
      </c>
    </row>
    <row r="2135" spans="2:2" x14ac:dyDescent="0.3">
      <c r="B2135" s="106" t="str">
        <f t="shared" si="17"/>
        <v/>
      </c>
    </row>
    <row r="2136" spans="2:2" x14ac:dyDescent="0.3">
      <c r="B2136" s="106" t="str">
        <f t="shared" si="17"/>
        <v/>
      </c>
    </row>
    <row r="2137" spans="2:2" x14ac:dyDescent="0.3">
      <c r="B2137" s="106" t="str">
        <f t="shared" si="17"/>
        <v/>
      </c>
    </row>
    <row r="2138" spans="2:2" x14ac:dyDescent="0.3">
      <c r="B2138" s="106" t="str">
        <f t="shared" si="17"/>
        <v/>
      </c>
    </row>
    <row r="2139" spans="2:2" x14ac:dyDescent="0.3">
      <c r="B2139" s="106" t="str">
        <f t="shared" si="17"/>
        <v/>
      </c>
    </row>
    <row r="2140" spans="2:2" x14ac:dyDescent="0.3">
      <c r="B2140" s="106" t="str">
        <f t="shared" si="17"/>
        <v/>
      </c>
    </row>
    <row r="2141" spans="2:2" x14ac:dyDescent="0.3">
      <c r="B2141" s="106" t="str">
        <f t="shared" si="17"/>
        <v/>
      </c>
    </row>
    <row r="2142" spans="2:2" x14ac:dyDescent="0.3">
      <c r="B2142" s="106" t="str">
        <f t="shared" si="17"/>
        <v/>
      </c>
    </row>
    <row r="2143" spans="2:2" x14ac:dyDescent="0.3">
      <c r="B2143" s="106" t="str">
        <f t="shared" si="17"/>
        <v/>
      </c>
    </row>
    <row r="2144" spans="2:2" x14ac:dyDescent="0.3">
      <c r="B2144" s="106" t="str">
        <f t="shared" si="17"/>
        <v/>
      </c>
    </row>
    <row r="2145" spans="2:2" x14ac:dyDescent="0.3">
      <c r="B2145" s="106" t="str">
        <f t="shared" si="17"/>
        <v/>
      </c>
    </row>
    <row r="2146" spans="2:2" x14ac:dyDescent="0.3">
      <c r="B2146" s="106" t="str">
        <f t="shared" si="17"/>
        <v/>
      </c>
    </row>
    <row r="2147" spans="2:2" x14ac:dyDescent="0.3">
      <c r="B2147" s="106" t="str">
        <f t="shared" si="17"/>
        <v/>
      </c>
    </row>
    <row r="2148" spans="2:2" x14ac:dyDescent="0.3">
      <c r="B2148" s="106" t="str">
        <f t="shared" si="17"/>
        <v/>
      </c>
    </row>
    <row r="2149" spans="2:2" x14ac:dyDescent="0.3">
      <c r="B2149" s="106" t="str">
        <f t="shared" si="17"/>
        <v/>
      </c>
    </row>
    <row r="2150" spans="2:2" x14ac:dyDescent="0.3">
      <c r="B2150" s="106" t="str">
        <f t="shared" si="17"/>
        <v/>
      </c>
    </row>
    <row r="2151" spans="2:2" x14ac:dyDescent="0.3">
      <c r="B2151" s="106" t="str">
        <f t="shared" si="17"/>
        <v/>
      </c>
    </row>
    <row r="2152" spans="2:2" x14ac:dyDescent="0.3">
      <c r="B2152" s="106" t="str">
        <f t="shared" si="17"/>
        <v/>
      </c>
    </row>
    <row r="2153" spans="2:2" x14ac:dyDescent="0.3">
      <c r="B2153" s="106" t="str">
        <f t="shared" ref="B2153:B2216" si="18">IF($A2153="Daily", "n/a", "")</f>
        <v/>
      </c>
    </row>
    <row r="2154" spans="2:2" x14ac:dyDescent="0.3">
      <c r="B2154" s="106" t="str">
        <f t="shared" si="18"/>
        <v/>
      </c>
    </row>
    <row r="2155" spans="2:2" x14ac:dyDescent="0.3">
      <c r="B2155" s="106" t="str">
        <f t="shared" si="18"/>
        <v/>
      </c>
    </row>
    <row r="2156" spans="2:2" x14ac:dyDescent="0.3">
      <c r="B2156" s="106" t="str">
        <f t="shared" si="18"/>
        <v/>
      </c>
    </row>
    <row r="2157" spans="2:2" x14ac:dyDescent="0.3">
      <c r="B2157" s="106" t="str">
        <f t="shared" si="18"/>
        <v/>
      </c>
    </row>
    <row r="2158" spans="2:2" x14ac:dyDescent="0.3">
      <c r="B2158" s="106" t="str">
        <f t="shared" si="18"/>
        <v/>
      </c>
    </row>
    <row r="2159" spans="2:2" x14ac:dyDescent="0.3">
      <c r="B2159" s="106" t="str">
        <f t="shared" si="18"/>
        <v/>
      </c>
    </row>
    <row r="2160" spans="2:2" x14ac:dyDescent="0.3">
      <c r="B2160" s="106" t="str">
        <f t="shared" si="18"/>
        <v/>
      </c>
    </row>
    <row r="2161" spans="2:2" x14ac:dyDescent="0.3">
      <c r="B2161" s="106" t="str">
        <f t="shared" si="18"/>
        <v/>
      </c>
    </row>
    <row r="2162" spans="2:2" x14ac:dyDescent="0.3">
      <c r="B2162" s="106" t="str">
        <f t="shared" si="18"/>
        <v/>
      </c>
    </row>
    <row r="2163" spans="2:2" x14ac:dyDescent="0.3">
      <c r="B2163" s="106" t="str">
        <f t="shared" si="18"/>
        <v/>
      </c>
    </row>
    <row r="2164" spans="2:2" x14ac:dyDescent="0.3">
      <c r="B2164" s="106" t="str">
        <f t="shared" si="18"/>
        <v/>
      </c>
    </row>
    <row r="2165" spans="2:2" x14ac:dyDescent="0.3">
      <c r="B2165" s="106" t="str">
        <f t="shared" si="18"/>
        <v/>
      </c>
    </row>
    <row r="2166" spans="2:2" x14ac:dyDescent="0.3">
      <c r="B2166" s="106" t="str">
        <f t="shared" si="18"/>
        <v/>
      </c>
    </row>
    <row r="2167" spans="2:2" x14ac:dyDescent="0.3">
      <c r="B2167" s="106" t="str">
        <f t="shared" si="18"/>
        <v/>
      </c>
    </row>
    <row r="2168" spans="2:2" x14ac:dyDescent="0.3">
      <c r="B2168" s="106" t="str">
        <f t="shared" si="18"/>
        <v/>
      </c>
    </row>
    <row r="2169" spans="2:2" x14ac:dyDescent="0.3">
      <c r="B2169" s="106" t="str">
        <f t="shared" si="18"/>
        <v/>
      </c>
    </row>
    <row r="2170" spans="2:2" x14ac:dyDescent="0.3">
      <c r="B2170" s="106" t="str">
        <f t="shared" si="18"/>
        <v/>
      </c>
    </row>
    <row r="2171" spans="2:2" x14ac:dyDescent="0.3">
      <c r="B2171" s="106" t="str">
        <f t="shared" si="18"/>
        <v/>
      </c>
    </row>
    <row r="2172" spans="2:2" x14ac:dyDescent="0.3">
      <c r="B2172" s="106" t="str">
        <f t="shared" si="18"/>
        <v/>
      </c>
    </row>
    <row r="2173" spans="2:2" x14ac:dyDescent="0.3">
      <c r="B2173" s="106" t="str">
        <f t="shared" si="18"/>
        <v/>
      </c>
    </row>
    <row r="2174" spans="2:2" x14ac:dyDescent="0.3">
      <c r="B2174" s="106" t="str">
        <f t="shared" si="18"/>
        <v/>
      </c>
    </row>
    <row r="2175" spans="2:2" x14ac:dyDescent="0.3">
      <c r="B2175" s="106" t="str">
        <f t="shared" si="18"/>
        <v/>
      </c>
    </row>
    <row r="2176" spans="2:2" x14ac:dyDescent="0.3">
      <c r="B2176" s="106" t="str">
        <f t="shared" si="18"/>
        <v/>
      </c>
    </row>
    <row r="2177" spans="2:2" x14ac:dyDescent="0.3">
      <c r="B2177" s="106" t="str">
        <f t="shared" si="18"/>
        <v/>
      </c>
    </row>
    <row r="2178" spans="2:2" x14ac:dyDescent="0.3">
      <c r="B2178" s="106" t="str">
        <f t="shared" si="18"/>
        <v/>
      </c>
    </row>
    <row r="2179" spans="2:2" x14ac:dyDescent="0.3">
      <c r="B2179" s="106" t="str">
        <f t="shared" si="18"/>
        <v/>
      </c>
    </row>
    <row r="2180" spans="2:2" x14ac:dyDescent="0.3">
      <c r="B2180" s="106" t="str">
        <f t="shared" si="18"/>
        <v/>
      </c>
    </row>
    <row r="2181" spans="2:2" x14ac:dyDescent="0.3">
      <c r="B2181" s="106" t="str">
        <f t="shared" si="18"/>
        <v/>
      </c>
    </row>
    <row r="2182" spans="2:2" x14ac:dyDescent="0.3">
      <c r="B2182" s="106" t="str">
        <f t="shared" si="18"/>
        <v/>
      </c>
    </row>
    <row r="2183" spans="2:2" x14ac:dyDescent="0.3">
      <c r="B2183" s="106" t="str">
        <f t="shared" si="18"/>
        <v/>
      </c>
    </row>
    <row r="2184" spans="2:2" x14ac:dyDescent="0.3">
      <c r="B2184" s="106" t="str">
        <f t="shared" si="18"/>
        <v/>
      </c>
    </row>
    <row r="2185" spans="2:2" x14ac:dyDescent="0.3">
      <c r="B2185" s="106" t="str">
        <f t="shared" si="18"/>
        <v/>
      </c>
    </row>
    <row r="2186" spans="2:2" x14ac:dyDescent="0.3">
      <c r="B2186" s="106" t="str">
        <f t="shared" si="18"/>
        <v/>
      </c>
    </row>
    <row r="2187" spans="2:2" x14ac:dyDescent="0.3">
      <c r="B2187" s="106" t="str">
        <f t="shared" si="18"/>
        <v/>
      </c>
    </row>
    <row r="2188" spans="2:2" x14ac:dyDescent="0.3">
      <c r="B2188" s="106" t="str">
        <f t="shared" si="18"/>
        <v/>
      </c>
    </row>
    <row r="2189" spans="2:2" x14ac:dyDescent="0.3">
      <c r="B2189" s="106" t="str">
        <f t="shared" si="18"/>
        <v/>
      </c>
    </row>
    <row r="2190" spans="2:2" x14ac:dyDescent="0.3">
      <c r="B2190" s="106" t="str">
        <f t="shared" si="18"/>
        <v/>
      </c>
    </row>
    <row r="2191" spans="2:2" x14ac:dyDescent="0.3">
      <c r="B2191" s="106" t="str">
        <f t="shared" si="18"/>
        <v/>
      </c>
    </row>
    <row r="2192" spans="2:2" x14ac:dyDescent="0.3">
      <c r="B2192" s="106" t="str">
        <f t="shared" si="18"/>
        <v/>
      </c>
    </row>
    <row r="2193" spans="2:2" x14ac:dyDescent="0.3">
      <c r="B2193" s="106" t="str">
        <f t="shared" si="18"/>
        <v/>
      </c>
    </row>
    <row r="2194" spans="2:2" x14ac:dyDescent="0.3">
      <c r="B2194" s="106" t="str">
        <f t="shared" si="18"/>
        <v/>
      </c>
    </row>
    <row r="2195" spans="2:2" x14ac:dyDescent="0.3">
      <c r="B2195" s="106" t="str">
        <f t="shared" si="18"/>
        <v/>
      </c>
    </row>
    <row r="2196" spans="2:2" x14ac:dyDescent="0.3">
      <c r="B2196" s="106" t="str">
        <f t="shared" si="18"/>
        <v/>
      </c>
    </row>
    <row r="2197" spans="2:2" x14ac:dyDescent="0.3">
      <c r="B2197" s="106" t="str">
        <f t="shared" si="18"/>
        <v/>
      </c>
    </row>
    <row r="2198" spans="2:2" x14ac:dyDescent="0.3">
      <c r="B2198" s="106" t="str">
        <f t="shared" si="18"/>
        <v/>
      </c>
    </row>
    <row r="2199" spans="2:2" x14ac:dyDescent="0.3">
      <c r="B2199" s="106" t="str">
        <f t="shared" si="18"/>
        <v/>
      </c>
    </row>
    <row r="2200" spans="2:2" x14ac:dyDescent="0.3">
      <c r="B2200" s="106" t="str">
        <f t="shared" si="18"/>
        <v/>
      </c>
    </row>
    <row r="2201" spans="2:2" x14ac:dyDescent="0.3">
      <c r="B2201" s="106" t="str">
        <f t="shared" si="18"/>
        <v/>
      </c>
    </row>
    <row r="2202" spans="2:2" x14ac:dyDescent="0.3">
      <c r="B2202" s="106" t="str">
        <f t="shared" si="18"/>
        <v/>
      </c>
    </row>
    <row r="2203" spans="2:2" x14ac:dyDescent="0.3">
      <c r="B2203" s="106" t="str">
        <f t="shared" si="18"/>
        <v/>
      </c>
    </row>
    <row r="2204" spans="2:2" x14ac:dyDescent="0.3">
      <c r="B2204" s="106" t="str">
        <f t="shared" si="18"/>
        <v/>
      </c>
    </row>
    <row r="2205" spans="2:2" x14ac:dyDescent="0.3">
      <c r="B2205" s="106" t="str">
        <f t="shared" si="18"/>
        <v/>
      </c>
    </row>
    <row r="2206" spans="2:2" x14ac:dyDescent="0.3">
      <c r="B2206" s="106" t="str">
        <f t="shared" si="18"/>
        <v/>
      </c>
    </row>
    <row r="2207" spans="2:2" x14ac:dyDescent="0.3">
      <c r="B2207" s="106" t="str">
        <f t="shared" si="18"/>
        <v/>
      </c>
    </row>
    <row r="2208" spans="2:2" x14ac:dyDescent="0.3">
      <c r="B2208" s="106" t="str">
        <f t="shared" si="18"/>
        <v/>
      </c>
    </row>
    <row r="2209" spans="2:2" x14ac:dyDescent="0.3">
      <c r="B2209" s="106" t="str">
        <f t="shared" si="18"/>
        <v/>
      </c>
    </row>
    <row r="2210" spans="2:2" x14ac:dyDescent="0.3">
      <c r="B2210" s="106" t="str">
        <f t="shared" si="18"/>
        <v/>
      </c>
    </row>
    <row r="2211" spans="2:2" x14ac:dyDescent="0.3">
      <c r="B2211" s="106" t="str">
        <f t="shared" si="18"/>
        <v/>
      </c>
    </row>
    <row r="2212" spans="2:2" x14ac:dyDescent="0.3">
      <c r="B2212" s="106" t="str">
        <f t="shared" si="18"/>
        <v/>
      </c>
    </row>
    <row r="2213" spans="2:2" x14ac:dyDescent="0.3">
      <c r="B2213" s="106" t="str">
        <f t="shared" si="18"/>
        <v/>
      </c>
    </row>
    <row r="2214" spans="2:2" x14ac:dyDescent="0.3">
      <c r="B2214" s="106" t="str">
        <f t="shared" si="18"/>
        <v/>
      </c>
    </row>
    <row r="2215" spans="2:2" x14ac:dyDescent="0.3">
      <c r="B2215" s="106" t="str">
        <f t="shared" si="18"/>
        <v/>
      </c>
    </row>
    <row r="2216" spans="2:2" x14ac:dyDescent="0.3">
      <c r="B2216" s="106" t="str">
        <f t="shared" si="18"/>
        <v/>
      </c>
    </row>
    <row r="2217" spans="2:2" x14ac:dyDescent="0.3">
      <c r="B2217" s="106" t="str">
        <f t="shared" ref="B2217:B2280" si="19">IF($A2217="Daily", "n/a", "")</f>
        <v/>
      </c>
    </row>
    <row r="2218" spans="2:2" x14ac:dyDescent="0.3">
      <c r="B2218" s="106" t="str">
        <f t="shared" si="19"/>
        <v/>
      </c>
    </row>
    <row r="2219" spans="2:2" x14ac:dyDescent="0.3">
      <c r="B2219" s="106" t="str">
        <f t="shared" si="19"/>
        <v/>
      </c>
    </row>
    <row r="2220" spans="2:2" x14ac:dyDescent="0.3">
      <c r="B2220" s="106" t="str">
        <f t="shared" si="19"/>
        <v/>
      </c>
    </row>
    <row r="2221" spans="2:2" x14ac:dyDescent="0.3">
      <c r="B2221" s="106" t="str">
        <f t="shared" si="19"/>
        <v/>
      </c>
    </row>
    <row r="2222" spans="2:2" x14ac:dyDescent="0.3">
      <c r="B2222" s="106" t="str">
        <f t="shared" si="19"/>
        <v/>
      </c>
    </row>
    <row r="2223" spans="2:2" x14ac:dyDescent="0.3">
      <c r="B2223" s="106" t="str">
        <f t="shared" si="19"/>
        <v/>
      </c>
    </row>
    <row r="2224" spans="2:2" x14ac:dyDescent="0.3">
      <c r="B2224" s="106" t="str">
        <f t="shared" si="19"/>
        <v/>
      </c>
    </row>
    <row r="2225" spans="2:2" x14ac:dyDescent="0.3">
      <c r="B2225" s="106" t="str">
        <f t="shared" si="19"/>
        <v/>
      </c>
    </row>
    <row r="2226" spans="2:2" x14ac:dyDescent="0.3">
      <c r="B2226" s="106" t="str">
        <f t="shared" si="19"/>
        <v/>
      </c>
    </row>
    <row r="2227" spans="2:2" x14ac:dyDescent="0.3">
      <c r="B2227" s="106" t="str">
        <f t="shared" si="19"/>
        <v/>
      </c>
    </row>
    <row r="2228" spans="2:2" x14ac:dyDescent="0.3">
      <c r="B2228" s="106" t="str">
        <f t="shared" si="19"/>
        <v/>
      </c>
    </row>
    <row r="2229" spans="2:2" x14ac:dyDescent="0.3">
      <c r="B2229" s="106" t="str">
        <f t="shared" si="19"/>
        <v/>
      </c>
    </row>
    <row r="2230" spans="2:2" x14ac:dyDescent="0.3">
      <c r="B2230" s="106" t="str">
        <f t="shared" si="19"/>
        <v/>
      </c>
    </row>
    <row r="2231" spans="2:2" x14ac:dyDescent="0.3">
      <c r="B2231" s="106" t="str">
        <f t="shared" si="19"/>
        <v/>
      </c>
    </row>
    <row r="2232" spans="2:2" x14ac:dyDescent="0.3">
      <c r="B2232" s="106" t="str">
        <f t="shared" si="19"/>
        <v/>
      </c>
    </row>
    <row r="2233" spans="2:2" x14ac:dyDescent="0.3">
      <c r="B2233" s="106" t="str">
        <f t="shared" si="19"/>
        <v/>
      </c>
    </row>
    <row r="2234" spans="2:2" x14ac:dyDescent="0.3">
      <c r="B2234" s="106" t="str">
        <f t="shared" si="19"/>
        <v/>
      </c>
    </row>
    <row r="2235" spans="2:2" x14ac:dyDescent="0.3">
      <c r="B2235" s="106" t="str">
        <f t="shared" si="19"/>
        <v/>
      </c>
    </row>
    <row r="2236" spans="2:2" x14ac:dyDescent="0.3">
      <c r="B2236" s="106" t="str">
        <f t="shared" si="19"/>
        <v/>
      </c>
    </row>
    <row r="2237" spans="2:2" x14ac:dyDescent="0.3">
      <c r="B2237" s="106" t="str">
        <f t="shared" si="19"/>
        <v/>
      </c>
    </row>
    <row r="2238" spans="2:2" x14ac:dyDescent="0.3">
      <c r="B2238" s="106" t="str">
        <f t="shared" si="19"/>
        <v/>
      </c>
    </row>
    <row r="2239" spans="2:2" x14ac:dyDescent="0.3">
      <c r="B2239" s="106" t="str">
        <f t="shared" si="19"/>
        <v/>
      </c>
    </row>
    <row r="2240" spans="2:2" x14ac:dyDescent="0.3">
      <c r="B2240" s="106" t="str">
        <f t="shared" si="19"/>
        <v/>
      </c>
    </row>
    <row r="2241" spans="2:2" x14ac:dyDescent="0.3">
      <c r="B2241" s="106" t="str">
        <f t="shared" si="19"/>
        <v/>
      </c>
    </row>
    <row r="2242" spans="2:2" x14ac:dyDescent="0.3">
      <c r="B2242" s="106" t="str">
        <f t="shared" si="19"/>
        <v/>
      </c>
    </row>
    <row r="2243" spans="2:2" x14ac:dyDescent="0.3">
      <c r="B2243" s="106" t="str">
        <f t="shared" si="19"/>
        <v/>
      </c>
    </row>
    <row r="2244" spans="2:2" x14ac:dyDescent="0.3">
      <c r="B2244" s="106" t="str">
        <f t="shared" si="19"/>
        <v/>
      </c>
    </row>
    <row r="2245" spans="2:2" x14ac:dyDescent="0.3">
      <c r="B2245" s="106" t="str">
        <f t="shared" si="19"/>
        <v/>
      </c>
    </row>
    <row r="2246" spans="2:2" x14ac:dyDescent="0.3">
      <c r="B2246" s="106" t="str">
        <f t="shared" si="19"/>
        <v/>
      </c>
    </row>
    <row r="2247" spans="2:2" x14ac:dyDescent="0.3">
      <c r="B2247" s="106" t="str">
        <f t="shared" si="19"/>
        <v/>
      </c>
    </row>
    <row r="2248" spans="2:2" x14ac:dyDescent="0.3">
      <c r="B2248" s="106" t="str">
        <f t="shared" si="19"/>
        <v/>
      </c>
    </row>
    <row r="2249" spans="2:2" x14ac:dyDescent="0.3">
      <c r="B2249" s="106" t="str">
        <f t="shared" si="19"/>
        <v/>
      </c>
    </row>
    <row r="2250" spans="2:2" x14ac:dyDescent="0.3">
      <c r="B2250" s="106" t="str">
        <f t="shared" si="19"/>
        <v/>
      </c>
    </row>
    <row r="2251" spans="2:2" x14ac:dyDescent="0.3">
      <c r="B2251" s="106" t="str">
        <f t="shared" si="19"/>
        <v/>
      </c>
    </row>
    <row r="2252" spans="2:2" x14ac:dyDescent="0.3">
      <c r="B2252" s="106" t="str">
        <f t="shared" si="19"/>
        <v/>
      </c>
    </row>
    <row r="2253" spans="2:2" x14ac:dyDescent="0.3">
      <c r="B2253" s="106" t="str">
        <f t="shared" si="19"/>
        <v/>
      </c>
    </row>
    <row r="2254" spans="2:2" x14ac:dyDescent="0.3">
      <c r="B2254" s="106" t="str">
        <f t="shared" si="19"/>
        <v/>
      </c>
    </row>
    <row r="2255" spans="2:2" x14ac:dyDescent="0.3">
      <c r="B2255" s="106" t="str">
        <f t="shared" si="19"/>
        <v/>
      </c>
    </row>
    <row r="2256" spans="2:2" x14ac:dyDescent="0.3">
      <c r="B2256" s="106" t="str">
        <f t="shared" si="19"/>
        <v/>
      </c>
    </row>
    <row r="2257" spans="2:2" x14ac:dyDescent="0.3">
      <c r="B2257" s="106" t="str">
        <f t="shared" si="19"/>
        <v/>
      </c>
    </row>
    <row r="2258" spans="2:2" x14ac:dyDescent="0.3">
      <c r="B2258" s="106" t="str">
        <f t="shared" si="19"/>
        <v/>
      </c>
    </row>
    <row r="2259" spans="2:2" x14ac:dyDescent="0.3">
      <c r="B2259" s="106" t="str">
        <f t="shared" si="19"/>
        <v/>
      </c>
    </row>
    <row r="2260" spans="2:2" x14ac:dyDescent="0.3">
      <c r="B2260" s="106" t="str">
        <f t="shared" si="19"/>
        <v/>
      </c>
    </row>
    <row r="2261" spans="2:2" x14ac:dyDescent="0.3">
      <c r="B2261" s="106" t="str">
        <f t="shared" si="19"/>
        <v/>
      </c>
    </row>
    <row r="2262" spans="2:2" x14ac:dyDescent="0.3">
      <c r="B2262" s="106" t="str">
        <f t="shared" si="19"/>
        <v/>
      </c>
    </row>
    <row r="2263" spans="2:2" x14ac:dyDescent="0.3">
      <c r="B2263" s="106" t="str">
        <f t="shared" si="19"/>
        <v/>
      </c>
    </row>
    <row r="2264" spans="2:2" x14ac:dyDescent="0.3">
      <c r="B2264" s="106" t="str">
        <f t="shared" si="19"/>
        <v/>
      </c>
    </row>
    <row r="2265" spans="2:2" x14ac:dyDescent="0.3">
      <c r="B2265" s="106" t="str">
        <f t="shared" si="19"/>
        <v/>
      </c>
    </row>
    <row r="2266" spans="2:2" x14ac:dyDescent="0.3">
      <c r="B2266" s="106" t="str">
        <f t="shared" si="19"/>
        <v/>
      </c>
    </row>
    <row r="2267" spans="2:2" x14ac:dyDescent="0.3">
      <c r="B2267" s="106" t="str">
        <f t="shared" si="19"/>
        <v/>
      </c>
    </row>
    <row r="2268" spans="2:2" x14ac:dyDescent="0.3">
      <c r="B2268" s="106" t="str">
        <f t="shared" si="19"/>
        <v/>
      </c>
    </row>
    <row r="2269" spans="2:2" x14ac:dyDescent="0.3">
      <c r="B2269" s="106" t="str">
        <f t="shared" si="19"/>
        <v/>
      </c>
    </row>
    <row r="2270" spans="2:2" x14ac:dyDescent="0.3">
      <c r="B2270" s="106" t="str">
        <f t="shared" si="19"/>
        <v/>
      </c>
    </row>
    <row r="2271" spans="2:2" x14ac:dyDescent="0.3">
      <c r="B2271" s="106" t="str">
        <f t="shared" si="19"/>
        <v/>
      </c>
    </row>
    <row r="2272" spans="2:2" x14ac:dyDescent="0.3">
      <c r="B2272" s="106" t="str">
        <f t="shared" si="19"/>
        <v/>
      </c>
    </row>
    <row r="2273" spans="2:2" x14ac:dyDescent="0.3">
      <c r="B2273" s="106" t="str">
        <f t="shared" si="19"/>
        <v/>
      </c>
    </row>
    <row r="2274" spans="2:2" x14ac:dyDescent="0.3">
      <c r="B2274" s="106" t="str">
        <f t="shared" si="19"/>
        <v/>
      </c>
    </row>
    <row r="2275" spans="2:2" x14ac:dyDescent="0.3">
      <c r="B2275" s="106" t="str">
        <f t="shared" si="19"/>
        <v/>
      </c>
    </row>
    <row r="2276" spans="2:2" x14ac:dyDescent="0.3">
      <c r="B2276" s="106" t="str">
        <f t="shared" si="19"/>
        <v/>
      </c>
    </row>
    <row r="2277" spans="2:2" x14ac:dyDescent="0.3">
      <c r="B2277" s="106" t="str">
        <f t="shared" si="19"/>
        <v/>
      </c>
    </row>
    <row r="2278" spans="2:2" x14ac:dyDescent="0.3">
      <c r="B2278" s="106" t="str">
        <f t="shared" si="19"/>
        <v/>
      </c>
    </row>
    <row r="2279" spans="2:2" x14ac:dyDescent="0.3">
      <c r="B2279" s="106" t="str">
        <f t="shared" si="19"/>
        <v/>
      </c>
    </row>
    <row r="2280" spans="2:2" x14ac:dyDescent="0.3">
      <c r="B2280" s="106" t="str">
        <f t="shared" si="19"/>
        <v/>
      </c>
    </row>
    <row r="2281" spans="2:2" x14ac:dyDescent="0.3">
      <c r="B2281" s="106" t="str">
        <f t="shared" ref="B2281:B2344" si="20">IF($A2281="Daily", "n/a", "")</f>
        <v/>
      </c>
    </row>
    <row r="2282" spans="2:2" x14ac:dyDescent="0.3">
      <c r="B2282" s="106" t="str">
        <f t="shared" si="20"/>
        <v/>
      </c>
    </row>
    <row r="2283" spans="2:2" x14ac:dyDescent="0.3">
      <c r="B2283" s="106" t="str">
        <f t="shared" si="20"/>
        <v/>
      </c>
    </row>
    <row r="2284" spans="2:2" x14ac:dyDescent="0.3">
      <c r="B2284" s="106" t="str">
        <f t="shared" si="20"/>
        <v/>
      </c>
    </row>
    <row r="2285" spans="2:2" x14ac:dyDescent="0.3">
      <c r="B2285" s="106" t="str">
        <f t="shared" si="20"/>
        <v/>
      </c>
    </row>
    <row r="2286" spans="2:2" x14ac:dyDescent="0.3">
      <c r="B2286" s="106" t="str">
        <f t="shared" si="20"/>
        <v/>
      </c>
    </row>
    <row r="2287" spans="2:2" x14ac:dyDescent="0.3">
      <c r="B2287" s="106" t="str">
        <f t="shared" si="20"/>
        <v/>
      </c>
    </row>
    <row r="2288" spans="2:2" x14ac:dyDescent="0.3">
      <c r="B2288" s="106" t="str">
        <f t="shared" si="20"/>
        <v/>
      </c>
    </row>
    <row r="2289" spans="2:2" x14ac:dyDescent="0.3">
      <c r="B2289" s="106" t="str">
        <f t="shared" si="20"/>
        <v/>
      </c>
    </row>
    <row r="2290" spans="2:2" x14ac:dyDescent="0.3">
      <c r="B2290" s="106" t="str">
        <f t="shared" si="20"/>
        <v/>
      </c>
    </row>
    <row r="2291" spans="2:2" x14ac:dyDescent="0.3">
      <c r="B2291" s="106" t="str">
        <f t="shared" si="20"/>
        <v/>
      </c>
    </row>
    <row r="2292" spans="2:2" x14ac:dyDescent="0.3">
      <c r="B2292" s="106" t="str">
        <f t="shared" si="20"/>
        <v/>
      </c>
    </row>
    <row r="2293" spans="2:2" x14ac:dyDescent="0.3">
      <c r="B2293" s="106" t="str">
        <f t="shared" si="20"/>
        <v/>
      </c>
    </row>
    <row r="2294" spans="2:2" x14ac:dyDescent="0.3">
      <c r="B2294" s="106" t="str">
        <f t="shared" si="20"/>
        <v/>
      </c>
    </row>
    <row r="2295" spans="2:2" x14ac:dyDescent="0.3">
      <c r="B2295" s="106" t="str">
        <f t="shared" si="20"/>
        <v/>
      </c>
    </row>
    <row r="2296" spans="2:2" x14ac:dyDescent="0.3">
      <c r="B2296" s="106" t="str">
        <f t="shared" si="20"/>
        <v/>
      </c>
    </row>
    <row r="2297" spans="2:2" x14ac:dyDescent="0.3">
      <c r="B2297" s="106" t="str">
        <f t="shared" si="20"/>
        <v/>
      </c>
    </row>
    <row r="2298" spans="2:2" x14ac:dyDescent="0.3">
      <c r="B2298" s="106" t="str">
        <f t="shared" si="20"/>
        <v/>
      </c>
    </row>
    <row r="2299" spans="2:2" x14ac:dyDescent="0.3">
      <c r="B2299" s="106" t="str">
        <f t="shared" si="20"/>
        <v/>
      </c>
    </row>
    <row r="2300" spans="2:2" x14ac:dyDescent="0.3">
      <c r="B2300" s="106" t="str">
        <f t="shared" si="20"/>
        <v/>
      </c>
    </row>
    <row r="2301" spans="2:2" x14ac:dyDescent="0.3">
      <c r="B2301" s="106" t="str">
        <f t="shared" si="20"/>
        <v/>
      </c>
    </row>
    <row r="2302" spans="2:2" x14ac:dyDescent="0.3">
      <c r="B2302" s="106" t="str">
        <f t="shared" si="20"/>
        <v/>
      </c>
    </row>
    <row r="2303" spans="2:2" x14ac:dyDescent="0.3">
      <c r="B2303" s="106" t="str">
        <f t="shared" si="20"/>
        <v/>
      </c>
    </row>
    <row r="2304" spans="2:2" x14ac:dyDescent="0.3">
      <c r="B2304" s="106" t="str">
        <f t="shared" si="20"/>
        <v/>
      </c>
    </row>
    <row r="2305" spans="2:2" x14ac:dyDescent="0.3">
      <c r="B2305" s="106" t="str">
        <f t="shared" si="20"/>
        <v/>
      </c>
    </row>
    <row r="2306" spans="2:2" x14ac:dyDescent="0.3">
      <c r="B2306" s="106" t="str">
        <f t="shared" si="20"/>
        <v/>
      </c>
    </row>
    <row r="2307" spans="2:2" x14ac:dyDescent="0.3">
      <c r="B2307" s="106" t="str">
        <f t="shared" si="20"/>
        <v/>
      </c>
    </row>
    <row r="2308" spans="2:2" x14ac:dyDescent="0.3">
      <c r="B2308" s="106" t="str">
        <f t="shared" si="20"/>
        <v/>
      </c>
    </row>
    <row r="2309" spans="2:2" x14ac:dyDescent="0.3">
      <c r="B2309" s="106" t="str">
        <f t="shared" si="20"/>
        <v/>
      </c>
    </row>
    <row r="2310" spans="2:2" x14ac:dyDescent="0.3">
      <c r="B2310" s="106" t="str">
        <f t="shared" si="20"/>
        <v/>
      </c>
    </row>
    <row r="2311" spans="2:2" x14ac:dyDescent="0.3">
      <c r="B2311" s="106" t="str">
        <f t="shared" si="20"/>
        <v/>
      </c>
    </row>
    <row r="2312" spans="2:2" x14ac:dyDescent="0.3">
      <c r="B2312" s="106" t="str">
        <f t="shared" si="20"/>
        <v/>
      </c>
    </row>
    <row r="2313" spans="2:2" x14ac:dyDescent="0.3">
      <c r="B2313" s="106" t="str">
        <f t="shared" si="20"/>
        <v/>
      </c>
    </row>
    <row r="2314" spans="2:2" x14ac:dyDescent="0.3">
      <c r="B2314" s="106" t="str">
        <f t="shared" si="20"/>
        <v/>
      </c>
    </row>
    <row r="2315" spans="2:2" x14ac:dyDescent="0.3">
      <c r="B2315" s="106" t="str">
        <f t="shared" si="20"/>
        <v/>
      </c>
    </row>
    <row r="2316" spans="2:2" x14ac:dyDescent="0.3">
      <c r="B2316" s="106" t="str">
        <f t="shared" si="20"/>
        <v/>
      </c>
    </row>
    <row r="2317" spans="2:2" x14ac:dyDescent="0.3">
      <c r="B2317" s="106" t="str">
        <f t="shared" si="20"/>
        <v/>
      </c>
    </row>
    <row r="2318" spans="2:2" x14ac:dyDescent="0.3">
      <c r="B2318" s="106" t="str">
        <f t="shared" si="20"/>
        <v/>
      </c>
    </row>
    <row r="2319" spans="2:2" x14ac:dyDescent="0.3">
      <c r="B2319" s="106" t="str">
        <f t="shared" si="20"/>
        <v/>
      </c>
    </row>
    <row r="2320" spans="2:2" x14ac:dyDescent="0.3">
      <c r="B2320" s="106" t="str">
        <f t="shared" si="20"/>
        <v/>
      </c>
    </row>
    <row r="2321" spans="2:2" x14ac:dyDescent="0.3">
      <c r="B2321" s="106" t="str">
        <f t="shared" si="20"/>
        <v/>
      </c>
    </row>
    <row r="2322" spans="2:2" x14ac:dyDescent="0.3">
      <c r="B2322" s="106" t="str">
        <f t="shared" si="20"/>
        <v/>
      </c>
    </row>
    <row r="2323" spans="2:2" x14ac:dyDescent="0.3">
      <c r="B2323" s="106" t="str">
        <f t="shared" si="20"/>
        <v/>
      </c>
    </row>
    <row r="2324" spans="2:2" x14ac:dyDescent="0.3">
      <c r="B2324" s="106" t="str">
        <f t="shared" si="20"/>
        <v/>
      </c>
    </row>
    <row r="2325" spans="2:2" x14ac:dyDescent="0.3">
      <c r="B2325" s="106" t="str">
        <f t="shared" si="20"/>
        <v/>
      </c>
    </row>
    <row r="2326" spans="2:2" x14ac:dyDescent="0.3">
      <c r="B2326" s="106" t="str">
        <f t="shared" si="20"/>
        <v/>
      </c>
    </row>
    <row r="2327" spans="2:2" x14ac:dyDescent="0.3">
      <c r="B2327" s="106" t="str">
        <f t="shared" si="20"/>
        <v/>
      </c>
    </row>
    <row r="2328" spans="2:2" x14ac:dyDescent="0.3">
      <c r="B2328" s="106" t="str">
        <f t="shared" si="20"/>
        <v/>
      </c>
    </row>
    <row r="2329" spans="2:2" x14ac:dyDescent="0.3">
      <c r="B2329" s="106" t="str">
        <f t="shared" si="20"/>
        <v/>
      </c>
    </row>
    <row r="2330" spans="2:2" x14ac:dyDescent="0.3">
      <c r="B2330" s="106" t="str">
        <f t="shared" si="20"/>
        <v/>
      </c>
    </row>
    <row r="2331" spans="2:2" x14ac:dyDescent="0.3">
      <c r="B2331" s="106" t="str">
        <f t="shared" si="20"/>
        <v/>
      </c>
    </row>
    <row r="2332" spans="2:2" x14ac:dyDescent="0.3">
      <c r="B2332" s="106" t="str">
        <f t="shared" si="20"/>
        <v/>
      </c>
    </row>
    <row r="2333" spans="2:2" x14ac:dyDescent="0.3">
      <c r="B2333" s="106" t="str">
        <f t="shared" si="20"/>
        <v/>
      </c>
    </row>
    <row r="2334" spans="2:2" x14ac:dyDescent="0.3">
      <c r="B2334" s="106" t="str">
        <f t="shared" si="20"/>
        <v/>
      </c>
    </row>
    <row r="2335" spans="2:2" x14ac:dyDescent="0.3">
      <c r="B2335" s="106" t="str">
        <f t="shared" si="20"/>
        <v/>
      </c>
    </row>
    <row r="2336" spans="2:2" x14ac:dyDescent="0.3">
      <c r="B2336" s="106" t="str">
        <f t="shared" si="20"/>
        <v/>
      </c>
    </row>
    <row r="2337" spans="2:2" x14ac:dyDescent="0.3">
      <c r="B2337" s="106" t="str">
        <f t="shared" si="20"/>
        <v/>
      </c>
    </row>
    <row r="2338" spans="2:2" x14ac:dyDescent="0.3">
      <c r="B2338" s="106" t="str">
        <f t="shared" si="20"/>
        <v/>
      </c>
    </row>
    <row r="2339" spans="2:2" x14ac:dyDescent="0.3">
      <c r="B2339" s="106" t="str">
        <f t="shared" si="20"/>
        <v/>
      </c>
    </row>
    <row r="2340" spans="2:2" x14ac:dyDescent="0.3">
      <c r="B2340" s="106" t="str">
        <f t="shared" si="20"/>
        <v/>
      </c>
    </row>
    <row r="2341" spans="2:2" x14ac:dyDescent="0.3">
      <c r="B2341" s="106" t="str">
        <f t="shared" si="20"/>
        <v/>
      </c>
    </row>
    <row r="2342" spans="2:2" x14ac:dyDescent="0.3">
      <c r="B2342" s="106" t="str">
        <f t="shared" si="20"/>
        <v/>
      </c>
    </row>
    <row r="2343" spans="2:2" x14ac:dyDescent="0.3">
      <c r="B2343" s="106" t="str">
        <f t="shared" si="20"/>
        <v/>
      </c>
    </row>
    <row r="2344" spans="2:2" x14ac:dyDescent="0.3">
      <c r="B2344" s="106" t="str">
        <f t="shared" si="20"/>
        <v/>
      </c>
    </row>
    <row r="2345" spans="2:2" x14ac:dyDescent="0.3">
      <c r="B2345" s="106" t="str">
        <f t="shared" ref="B2345:B2408" si="21">IF($A2345="Daily", "n/a", "")</f>
        <v/>
      </c>
    </row>
    <row r="2346" spans="2:2" x14ac:dyDescent="0.3">
      <c r="B2346" s="106" t="str">
        <f t="shared" si="21"/>
        <v/>
      </c>
    </row>
    <row r="2347" spans="2:2" x14ac:dyDescent="0.3">
      <c r="B2347" s="106" t="str">
        <f t="shared" si="21"/>
        <v/>
      </c>
    </row>
    <row r="2348" spans="2:2" x14ac:dyDescent="0.3">
      <c r="B2348" s="106" t="str">
        <f t="shared" si="21"/>
        <v/>
      </c>
    </row>
    <row r="2349" spans="2:2" x14ac:dyDescent="0.3">
      <c r="B2349" s="106" t="str">
        <f t="shared" si="21"/>
        <v/>
      </c>
    </row>
    <row r="2350" spans="2:2" x14ac:dyDescent="0.3">
      <c r="B2350" s="106" t="str">
        <f t="shared" si="21"/>
        <v/>
      </c>
    </row>
    <row r="2351" spans="2:2" x14ac:dyDescent="0.3">
      <c r="B2351" s="106" t="str">
        <f t="shared" si="21"/>
        <v/>
      </c>
    </row>
    <row r="2352" spans="2:2" x14ac:dyDescent="0.3">
      <c r="B2352" s="106" t="str">
        <f t="shared" si="21"/>
        <v/>
      </c>
    </row>
    <row r="2353" spans="2:2" x14ac:dyDescent="0.3">
      <c r="B2353" s="106" t="str">
        <f t="shared" si="21"/>
        <v/>
      </c>
    </row>
    <row r="2354" spans="2:2" x14ac:dyDescent="0.3">
      <c r="B2354" s="106" t="str">
        <f t="shared" si="21"/>
        <v/>
      </c>
    </row>
    <row r="2355" spans="2:2" x14ac:dyDescent="0.3">
      <c r="B2355" s="106" t="str">
        <f t="shared" si="21"/>
        <v/>
      </c>
    </row>
    <row r="2356" spans="2:2" x14ac:dyDescent="0.3">
      <c r="B2356" s="106" t="str">
        <f t="shared" si="21"/>
        <v/>
      </c>
    </row>
    <row r="2357" spans="2:2" x14ac:dyDescent="0.3">
      <c r="B2357" s="106" t="str">
        <f t="shared" si="21"/>
        <v/>
      </c>
    </row>
    <row r="2358" spans="2:2" x14ac:dyDescent="0.3">
      <c r="B2358" s="106" t="str">
        <f t="shared" si="21"/>
        <v/>
      </c>
    </row>
    <row r="2359" spans="2:2" x14ac:dyDescent="0.3">
      <c r="B2359" s="106" t="str">
        <f t="shared" si="21"/>
        <v/>
      </c>
    </row>
    <row r="2360" spans="2:2" x14ac:dyDescent="0.3">
      <c r="B2360" s="106" t="str">
        <f t="shared" si="21"/>
        <v/>
      </c>
    </row>
    <row r="2361" spans="2:2" x14ac:dyDescent="0.3">
      <c r="B2361" s="106" t="str">
        <f t="shared" si="21"/>
        <v/>
      </c>
    </row>
    <row r="2362" spans="2:2" x14ac:dyDescent="0.3">
      <c r="B2362" s="106" t="str">
        <f t="shared" si="21"/>
        <v/>
      </c>
    </row>
    <row r="2363" spans="2:2" x14ac:dyDescent="0.3">
      <c r="B2363" s="106" t="str">
        <f t="shared" si="21"/>
        <v/>
      </c>
    </row>
    <row r="2364" spans="2:2" x14ac:dyDescent="0.3">
      <c r="B2364" s="106" t="str">
        <f t="shared" si="21"/>
        <v/>
      </c>
    </row>
    <row r="2365" spans="2:2" x14ac:dyDescent="0.3">
      <c r="B2365" s="106" t="str">
        <f t="shared" si="21"/>
        <v/>
      </c>
    </row>
    <row r="2366" spans="2:2" x14ac:dyDescent="0.3">
      <c r="B2366" s="106" t="str">
        <f t="shared" si="21"/>
        <v/>
      </c>
    </row>
    <row r="2367" spans="2:2" x14ac:dyDescent="0.3">
      <c r="B2367" s="106" t="str">
        <f t="shared" si="21"/>
        <v/>
      </c>
    </row>
    <row r="2368" spans="2:2" x14ac:dyDescent="0.3">
      <c r="B2368" s="106" t="str">
        <f t="shared" si="21"/>
        <v/>
      </c>
    </row>
    <row r="2369" spans="2:2" x14ac:dyDescent="0.3">
      <c r="B2369" s="106" t="str">
        <f t="shared" si="21"/>
        <v/>
      </c>
    </row>
    <row r="2370" spans="2:2" x14ac:dyDescent="0.3">
      <c r="B2370" s="106" t="str">
        <f t="shared" si="21"/>
        <v/>
      </c>
    </row>
    <row r="2371" spans="2:2" x14ac:dyDescent="0.3">
      <c r="B2371" s="106" t="str">
        <f t="shared" si="21"/>
        <v/>
      </c>
    </row>
    <row r="2372" spans="2:2" x14ac:dyDescent="0.3">
      <c r="B2372" s="106" t="str">
        <f t="shared" si="21"/>
        <v/>
      </c>
    </row>
    <row r="2373" spans="2:2" x14ac:dyDescent="0.3">
      <c r="B2373" s="106" t="str">
        <f t="shared" si="21"/>
        <v/>
      </c>
    </row>
    <row r="2374" spans="2:2" x14ac:dyDescent="0.3">
      <c r="B2374" s="106" t="str">
        <f t="shared" si="21"/>
        <v/>
      </c>
    </row>
    <row r="2375" spans="2:2" x14ac:dyDescent="0.3">
      <c r="B2375" s="106" t="str">
        <f t="shared" si="21"/>
        <v/>
      </c>
    </row>
    <row r="2376" spans="2:2" x14ac:dyDescent="0.3">
      <c r="B2376" s="106" t="str">
        <f t="shared" si="21"/>
        <v/>
      </c>
    </row>
    <row r="2377" spans="2:2" x14ac:dyDescent="0.3">
      <c r="B2377" s="106" t="str">
        <f t="shared" si="21"/>
        <v/>
      </c>
    </row>
    <row r="2378" spans="2:2" x14ac:dyDescent="0.3">
      <c r="B2378" s="106" t="str">
        <f t="shared" si="21"/>
        <v/>
      </c>
    </row>
    <row r="2379" spans="2:2" x14ac:dyDescent="0.3">
      <c r="B2379" s="106" t="str">
        <f t="shared" si="21"/>
        <v/>
      </c>
    </row>
    <row r="2380" spans="2:2" x14ac:dyDescent="0.3">
      <c r="B2380" s="106" t="str">
        <f t="shared" si="21"/>
        <v/>
      </c>
    </row>
    <row r="2381" spans="2:2" x14ac:dyDescent="0.3">
      <c r="B2381" s="106" t="str">
        <f t="shared" si="21"/>
        <v/>
      </c>
    </row>
    <row r="2382" spans="2:2" x14ac:dyDescent="0.3">
      <c r="B2382" s="106" t="str">
        <f t="shared" si="21"/>
        <v/>
      </c>
    </row>
    <row r="2383" spans="2:2" x14ac:dyDescent="0.3">
      <c r="B2383" s="106" t="str">
        <f t="shared" si="21"/>
        <v/>
      </c>
    </row>
    <row r="2384" spans="2:2" x14ac:dyDescent="0.3">
      <c r="B2384" s="106" t="str">
        <f t="shared" si="21"/>
        <v/>
      </c>
    </row>
    <row r="2385" spans="2:2" x14ac:dyDescent="0.3">
      <c r="B2385" s="106" t="str">
        <f t="shared" si="21"/>
        <v/>
      </c>
    </row>
    <row r="2386" spans="2:2" x14ac:dyDescent="0.3">
      <c r="B2386" s="106" t="str">
        <f t="shared" si="21"/>
        <v/>
      </c>
    </row>
    <row r="2387" spans="2:2" x14ac:dyDescent="0.3">
      <c r="B2387" s="106" t="str">
        <f t="shared" si="21"/>
        <v/>
      </c>
    </row>
    <row r="2388" spans="2:2" x14ac:dyDescent="0.3">
      <c r="B2388" s="106" t="str">
        <f t="shared" si="21"/>
        <v/>
      </c>
    </row>
    <row r="2389" spans="2:2" x14ac:dyDescent="0.3">
      <c r="B2389" s="106" t="str">
        <f t="shared" si="21"/>
        <v/>
      </c>
    </row>
    <row r="2390" spans="2:2" x14ac:dyDescent="0.3">
      <c r="B2390" s="106" t="str">
        <f t="shared" si="21"/>
        <v/>
      </c>
    </row>
    <row r="2391" spans="2:2" x14ac:dyDescent="0.3">
      <c r="B2391" s="106" t="str">
        <f t="shared" si="21"/>
        <v/>
      </c>
    </row>
    <row r="2392" spans="2:2" x14ac:dyDescent="0.3">
      <c r="B2392" s="106" t="str">
        <f t="shared" si="21"/>
        <v/>
      </c>
    </row>
    <row r="2393" spans="2:2" x14ac:dyDescent="0.3">
      <c r="B2393" s="106" t="str">
        <f t="shared" si="21"/>
        <v/>
      </c>
    </row>
    <row r="2394" spans="2:2" x14ac:dyDescent="0.3">
      <c r="B2394" s="106" t="str">
        <f t="shared" si="21"/>
        <v/>
      </c>
    </row>
    <row r="2395" spans="2:2" x14ac:dyDescent="0.3">
      <c r="B2395" s="106" t="str">
        <f t="shared" si="21"/>
        <v/>
      </c>
    </row>
    <row r="2396" spans="2:2" x14ac:dyDescent="0.3">
      <c r="B2396" s="106" t="str">
        <f t="shared" si="21"/>
        <v/>
      </c>
    </row>
    <row r="2397" spans="2:2" x14ac:dyDescent="0.3">
      <c r="B2397" s="106" t="str">
        <f t="shared" si="21"/>
        <v/>
      </c>
    </row>
    <row r="2398" spans="2:2" x14ac:dyDescent="0.3">
      <c r="B2398" s="106" t="str">
        <f t="shared" si="21"/>
        <v/>
      </c>
    </row>
    <row r="2399" spans="2:2" x14ac:dyDescent="0.3">
      <c r="B2399" s="106" t="str">
        <f t="shared" si="21"/>
        <v/>
      </c>
    </row>
    <row r="2400" spans="2:2" x14ac:dyDescent="0.3">
      <c r="B2400" s="106" t="str">
        <f t="shared" si="21"/>
        <v/>
      </c>
    </row>
    <row r="2401" spans="2:2" x14ac:dyDescent="0.3">
      <c r="B2401" s="106" t="str">
        <f t="shared" si="21"/>
        <v/>
      </c>
    </row>
    <row r="2402" spans="2:2" x14ac:dyDescent="0.3">
      <c r="B2402" s="106" t="str">
        <f t="shared" si="21"/>
        <v/>
      </c>
    </row>
    <row r="2403" spans="2:2" x14ac:dyDescent="0.3">
      <c r="B2403" s="106" t="str">
        <f t="shared" si="21"/>
        <v/>
      </c>
    </row>
    <row r="2404" spans="2:2" x14ac:dyDescent="0.3">
      <c r="B2404" s="106" t="str">
        <f t="shared" si="21"/>
        <v/>
      </c>
    </row>
    <row r="2405" spans="2:2" x14ac:dyDescent="0.3">
      <c r="B2405" s="106" t="str">
        <f t="shared" si="21"/>
        <v/>
      </c>
    </row>
    <row r="2406" spans="2:2" x14ac:dyDescent="0.3">
      <c r="B2406" s="106" t="str">
        <f t="shared" si="21"/>
        <v/>
      </c>
    </row>
    <row r="2407" spans="2:2" x14ac:dyDescent="0.3">
      <c r="B2407" s="106" t="str">
        <f t="shared" si="21"/>
        <v/>
      </c>
    </row>
    <row r="2408" spans="2:2" x14ac:dyDescent="0.3">
      <c r="B2408" s="106" t="str">
        <f t="shared" si="21"/>
        <v/>
      </c>
    </row>
    <row r="2409" spans="2:2" x14ac:dyDescent="0.3">
      <c r="B2409" s="106" t="str">
        <f t="shared" ref="B2409:B2472" si="22">IF($A2409="Daily", "n/a", "")</f>
        <v/>
      </c>
    </row>
    <row r="2410" spans="2:2" x14ac:dyDescent="0.3">
      <c r="B2410" s="106" t="str">
        <f t="shared" si="22"/>
        <v/>
      </c>
    </row>
    <row r="2411" spans="2:2" x14ac:dyDescent="0.3">
      <c r="B2411" s="106" t="str">
        <f t="shared" si="22"/>
        <v/>
      </c>
    </row>
    <row r="2412" spans="2:2" x14ac:dyDescent="0.3">
      <c r="B2412" s="106" t="str">
        <f t="shared" si="22"/>
        <v/>
      </c>
    </row>
    <row r="2413" spans="2:2" x14ac:dyDescent="0.3">
      <c r="B2413" s="106" t="str">
        <f t="shared" si="22"/>
        <v/>
      </c>
    </row>
    <row r="2414" spans="2:2" x14ac:dyDescent="0.3">
      <c r="B2414" s="106" t="str">
        <f t="shared" si="22"/>
        <v/>
      </c>
    </row>
    <row r="2415" spans="2:2" x14ac:dyDescent="0.3">
      <c r="B2415" s="106" t="str">
        <f t="shared" si="22"/>
        <v/>
      </c>
    </row>
    <row r="2416" spans="2:2" x14ac:dyDescent="0.3">
      <c r="B2416" s="106" t="str">
        <f t="shared" si="22"/>
        <v/>
      </c>
    </row>
    <row r="2417" spans="2:2" x14ac:dyDescent="0.3">
      <c r="B2417" s="106" t="str">
        <f t="shared" si="22"/>
        <v/>
      </c>
    </row>
    <row r="2418" spans="2:2" x14ac:dyDescent="0.3">
      <c r="B2418" s="106" t="str">
        <f t="shared" si="22"/>
        <v/>
      </c>
    </row>
    <row r="2419" spans="2:2" x14ac:dyDescent="0.3">
      <c r="B2419" s="106" t="str">
        <f t="shared" si="22"/>
        <v/>
      </c>
    </row>
    <row r="2420" spans="2:2" x14ac:dyDescent="0.3">
      <c r="B2420" s="106" t="str">
        <f t="shared" si="22"/>
        <v/>
      </c>
    </row>
    <row r="2421" spans="2:2" x14ac:dyDescent="0.3">
      <c r="B2421" s="106" t="str">
        <f t="shared" si="22"/>
        <v/>
      </c>
    </row>
    <row r="2422" spans="2:2" x14ac:dyDescent="0.3">
      <c r="B2422" s="106" t="str">
        <f t="shared" si="22"/>
        <v/>
      </c>
    </row>
    <row r="2423" spans="2:2" x14ac:dyDescent="0.3">
      <c r="B2423" s="106" t="str">
        <f t="shared" si="22"/>
        <v/>
      </c>
    </row>
    <row r="2424" spans="2:2" x14ac:dyDescent="0.3">
      <c r="B2424" s="106" t="str">
        <f t="shared" si="22"/>
        <v/>
      </c>
    </row>
    <row r="2425" spans="2:2" x14ac:dyDescent="0.3">
      <c r="B2425" s="106" t="str">
        <f t="shared" si="22"/>
        <v/>
      </c>
    </row>
    <row r="2426" spans="2:2" x14ac:dyDescent="0.3">
      <c r="B2426" s="106" t="str">
        <f t="shared" si="22"/>
        <v/>
      </c>
    </row>
    <row r="2427" spans="2:2" x14ac:dyDescent="0.3">
      <c r="B2427" s="106" t="str">
        <f t="shared" si="22"/>
        <v/>
      </c>
    </row>
    <row r="2428" spans="2:2" x14ac:dyDescent="0.3">
      <c r="B2428" s="106" t="str">
        <f t="shared" si="22"/>
        <v/>
      </c>
    </row>
    <row r="2429" spans="2:2" x14ac:dyDescent="0.3">
      <c r="B2429" s="106" t="str">
        <f t="shared" si="22"/>
        <v/>
      </c>
    </row>
    <row r="2430" spans="2:2" x14ac:dyDescent="0.3">
      <c r="B2430" s="106" t="str">
        <f t="shared" si="22"/>
        <v/>
      </c>
    </row>
    <row r="2431" spans="2:2" x14ac:dyDescent="0.3">
      <c r="B2431" s="106" t="str">
        <f t="shared" si="22"/>
        <v/>
      </c>
    </row>
    <row r="2432" spans="2:2" x14ac:dyDescent="0.3">
      <c r="B2432" s="106" t="str">
        <f t="shared" si="22"/>
        <v/>
      </c>
    </row>
    <row r="2433" spans="2:2" x14ac:dyDescent="0.3">
      <c r="B2433" s="106" t="str">
        <f t="shared" si="22"/>
        <v/>
      </c>
    </row>
    <row r="2434" spans="2:2" x14ac:dyDescent="0.3">
      <c r="B2434" s="106" t="str">
        <f t="shared" si="22"/>
        <v/>
      </c>
    </row>
    <row r="2435" spans="2:2" x14ac:dyDescent="0.3">
      <c r="B2435" s="106" t="str">
        <f t="shared" si="22"/>
        <v/>
      </c>
    </row>
    <row r="2436" spans="2:2" x14ac:dyDescent="0.3">
      <c r="B2436" s="106" t="str">
        <f t="shared" si="22"/>
        <v/>
      </c>
    </row>
    <row r="2437" spans="2:2" x14ac:dyDescent="0.3">
      <c r="B2437" s="106" t="str">
        <f t="shared" si="22"/>
        <v/>
      </c>
    </row>
    <row r="2438" spans="2:2" x14ac:dyDescent="0.3">
      <c r="B2438" s="106" t="str">
        <f t="shared" si="22"/>
        <v/>
      </c>
    </row>
    <row r="2439" spans="2:2" x14ac:dyDescent="0.3">
      <c r="B2439" s="106" t="str">
        <f t="shared" si="22"/>
        <v/>
      </c>
    </row>
    <row r="2440" spans="2:2" x14ac:dyDescent="0.3">
      <c r="B2440" s="106" t="str">
        <f t="shared" si="22"/>
        <v/>
      </c>
    </row>
    <row r="2441" spans="2:2" x14ac:dyDescent="0.3">
      <c r="B2441" s="106" t="str">
        <f t="shared" si="22"/>
        <v/>
      </c>
    </row>
    <row r="2442" spans="2:2" x14ac:dyDescent="0.3">
      <c r="B2442" s="106" t="str">
        <f t="shared" si="22"/>
        <v/>
      </c>
    </row>
    <row r="2443" spans="2:2" x14ac:dyDescent="0.3">
      <c r="B2443" s="106" t="str">
        <f t="shared" si="22"/>
        <v/>
      </c>
    </row>
    <row r="2444" spans="2:2" x14ac:dyDescent="0.3">
      <c r="B2444" s="106" t="str">
        <f t="shared" si="22"/>
        <v/>
      </c>
    </row>
    <row r="2445" spans="2:2" x14ac:dyDescent="0.3">
      <c r="B2445" s="106" t="str">
        <f t="shared" si="22"/>
        <v/>
      </c>
    </row>
    <row r="2446" spans="2:2" x14ac:dyDescent="0.3">
      <c r="B2446" s="106" t="str">
        <f t="shared" si="22"/>
        <v/>
      </c>
    </row>
    <row r="2447" spans="2:2" x14ac:dyDescent="0.3">
      <c r="B2447" s="106" t="str">
        <f t="shared" si="22"/>
        <v/>
      </c>
    </row>
    <row r="2448" spans="2:2" x14ac:dyDescent="0.3">
      <c r="B2448" s="106" t="str">
        <f t="shared" si="22"/>
        <v/>
      </c>
    </row>
    <row r="2449" spans="2:2" x14ac:dyDescent="0.3">
      <c r="B2449" s="106" t="str">
        <f t="shared" si="22"/>
        <v/>
      </c>
    </row>
    <row r="2450" spans="2:2" x14ac:dyDescent="0.3">
      <c r="B2450" s="106" t="str">
        <f t="shared" si="22"/>
        <v/>
      </c>
    </row>
    <row r="2451" spans="2:2" x14ac:dyDescent="0.3">
      <c r="B2451" s="106" t="str">
        <f t="shared" si="22"/>
        <v/>
      </c>
    </row>
    <row r="2452" spans="2:2" x14ac:dyDescent="0.3">
      <c r="B2452" s="106" t="str">
        <f t="shared" si="22"/>
        <v/>
      </c>
    </row>
    <row r="2453" spans="2:2" x14ac:dyDescent="0.3">
      <c r="B2453" s="106" t="str">
        <f t="shared" si="22"/>
        <v/>
      </c>
    </row>
    <row r="2454" spans="2:2" x14ac:dyDescent="0.3">
      <c r="B2454" s="106" t="str">
        <f t="shared" si="22"/>
        <v/>
      </c>
    </row>
    <row r="2455" spans="2:2" x14ac:dyDescent="0.3">
      <c r="B2455" s="106" t="str">
        <f t="shared" si="22"/>
        <v/>
      </c>
    </row>
    <row r="2456" spans="2:2" x14ac:dyDescent="0.3">
      <c r="B2456" s="106" t="str">
        <f t="shared" si="22"/>
        <v/>
      </c>
    </row>
    <row r="2457" spans="2:2" x14ac:dyDescent="0.3">
      <c r="B2457" s="106" t="str">
        <f t="shared" si="22"/>
        <v/>
      </c>
    </row>
    <row r="2458" spans="2:2" x14ac:dyDescent="0.3">
      <c r="B2458" s="106" t="str">
        <f t="shared" si="22"/>
        <v/>
      </c>
    </row>
    <row r="2459" spans="2:2" x14ac:dyDescent="0.3">
      <c r="B2459" s="106" t="str">
        <f t="shared" si="22"/>
        <v/>
      </c>
    </row>
    <row r="2460" spans="2:2" x14ac:dyDescent="0.3">
      <c r="B2460" s="106" t="str">
        <f t="shared" si="22"/>
        <v/>
      </c>
    </row>
    <row r="2461" spans="2:2" x14ac:dyDescent="0.3">
      <c r="B2461" s="106" t="str">
        <f t="shared" si="22"/>
        <v/>
      </c>
    </row>
    <row r="2462" spans="2:2" x14ac:dyDescent="0.3">
      <c r="B2462" s="106" t="str">
        <f t="shared" si="22"/>
        <v/>
      </c>
    </row>
    <row r="2463" spans="2:2" x14ac:dyDescent="0.3">
      <c r="B2463" s="106" t="str">
        <f t="shared" si="22"/>
        <v/>
      </c>
    </row>
    <row r="2464" spans="2:2" x14ac:dyDescent="0.3">
      <c r="B2464" s="106" t="str">
        <f t="shared" si="22"/>
        <v/>
      </c>
    </row>
    <row r="2465" spans="2:2" x14ac:dyDescent="0.3">
      <c r="B2465" s="106" t="str">
        <f t="shared" si="22"/>
        <v/>
      </c>
    </row>
    <row r="2466" spans="2:2" x14ac:dyDescent="0.3">
      <c r="B2466" s="106" t="str">
        <f t="shared" si="22"/>
        <v/>
      </c>
    </row>
    <row r="2467" spans="2:2" x14ac:dyDescent="0.3">
      <c r="B2467" s="106" t="str">
        <f t="shared" si="22"/>
        <v/>
      </c>
    </row>
    <row r="2468" spans="2:2" x14ac:dyDescent="0.3">
      <c r="B2468" s="106" t="str">
        <f t="shared" si="22"/>
        <v/>
      </c>
    </row>
    <row r="2469" spans="2:2" x14ac:dyDescent="0.3">
      <c r="B2469" s="106" t="str">
        <f t="shared" si="22"/>
        <v/>
      </c>
    </row>
    <row r="2470" spans="2:2" x14ac:dyDescent="0.3">
      <c r="B2470" s="106" t="str">
        <f t="shared" si="22"/>
        <v/>
      </c>
    </row>
    <row r="2471" spans="2:2" x14ac:dyDescent="0.3">
      <c r="B2471" s="106" t="str">
        <f t="shared" si="22"/>
        <v/>
      </c>
    </row>
    <row r="2472" spans="2:2" x14ac:dyDescent="0.3">
      <c r="B2472" s="106" t="str">
        <f t="shared" si="22"/>
        <v/>
      </c>
    </row>
    <row r="2473" spans="2:2" x14ac:dyDescent="0.3">
      <c r="B2473" s="106" t="str">
        <f t="shared" ref="B2473:B2536" si="23">IF($A2473="Daily", "n/a", "")</f>
        <v/>
      </c>
    </row>
    <row r="2474" spans="2:2" x14ac:dyDescent="0.3">
      <c r="B2474" s="106" t="str">
        <f t="shared" si="23"/>
        <v/>
      </c>
    </row>
    <row r="2475" spans="2:2" x14ac:dyDescent="0.3">
      <c r="B2475" s="106" t="str">
        <f t="shared" si="23"/>
        <v/>
      </c>
    </row>
    <row r="2476" spans="2:2" x14ac:dyDescent="0.3">
      <c r="B2476" s="106" t="str">
        <f t="shared" si="23"/>
        <v/>
      </c>
    </row>
    <row r="2477" spans="2:2" x14ac:dyDescent="0.3">
      <c r="B2477" s="106" t="str">
        <f t="shared" si="23"/>
        <v/>
      </c>
    </row>
    <row r="2478" spans="2:2" x14ac:dyDescent="0.3">
      <c r="B2478" s="106" t="str">
        <f t="shared" si="23"/>
        <v/>
      </c>
    </row>
    <row r="2479" spans="2:2" x14ac:dyDescent="0.3">
      <c r="B2479" s="106" t="str">
        <f t="shared" si="23"/>
        <v/>
      </c>
    </row>
    <row r="2480" spans="2:2" x14ac:dyDescent="0.3">
      <c r="B2480" s="106" t="str">
        <f t="shared" si="23"/>
        <v/>
      </c>
    </row>
    <row r="2481" spans="2:2" x14ac:dyDescent="0.3">
      <c r="B2481" s="106" t="str">
        <f t="shared" si="23"/>
        <v/>
      </c>
    </row>
    <row r="2482" spans="2:2" x14ac:dyDescent="0.3">
      <c r="B2482" s="106" t="str">
        <f t="shared" si="23"/>
        <v/>
      </c>
    </row>
    <row r="2483" spans="2:2" x14ac:dyDescent="0.3">
      <c r="B2483" s="106" t="str">
        <f t="shared" si="23"/>
        <v/>
      </c>
    </row>
    <row r="2484" spans="2:2" x14ac:dyDescent="0.3">
      <c r="B2484" s="106" t="str">
        <f t="shared" si="23"/>
        <v/>
      </c>
    </row>
    <row r="2485" spans="2:2" x14ac:dyDescent="0.3">
      <c r="B2485" s="106" t="str">
        <f t="shared" si="23"/>
        <v/>
      </c>
    </row>
    <row r="2486" spans="2:2" x14ac:dyDescent="0.3">
      <c r="B2486" s="106" t="str">
        <f t="shared" si="23"/>
        <v/>
      </c>
    </row>
    <row r="2487" spans="2:2" x14ac:dyDescent="0.3">
      <c r="B2487" s="106" t="str">
        <f t="shared" si="23"/>
        <v/>
      </c>
    </row>
    <row r="2488" spans="2:2" x14ac:dyDescent="0.3">
      <c r="B2488" s="106" t="str">
        <f t="shared" si="23"/>
        <v/>
      </c>
    </row>
    <row r="2489" spans="2:2" x14ac:dyDescent="0.3">
      <c r="B2489" s="106" t="str">
        <f t="shared" si="23"/>
        <v/>
      </c>
    </row>
    <row r="2490" spans="2:2" x14ac:dyDescent="0.3">
      <c r="B2490" s="106" t="str">
        <f t="shared" si="23"/>
        <v/>
      </c>
    </row>
    <row r="2491" spans="2:2" x14ac:dyDescent="0.3">
      <c r="B2491" s="106" t="str">
        <f t="shared" si="23"/>
        <v/>
      </c>
    </row>
    <row r="2492" spans="2:2" x14ac:dyDescent="0.3">
      <c r="B2492" s="106" t="str">
        <f t="shared" si="23"/>
        <v/>
      </c>
    </row>
    <row r="2493" spans="2:2" x14ac:dyDescent="0.3">
      <c r="B2493" s="106" t="str">
        <f t="shared" si="23"/>
        <v/>
      </c>
    </row>
    <row r="2494" spans="2:2" x14ac:dyDescent="0.3">
      <c r="B2494" s="106" t="str">
        <f t="shared" si="23"/>
        <v/>
      </c>
    </row>
    <row r="2495" spans="2:2" x14ac:dyDescent="0.3">
      <c r="B2495" s="106" t="str">
        <f t="shared" si="23"/>
        <v/>
      </c>
    </row>
    <row r="2496" spans="2:2" x14ac:dyDescent="0.3">
      <c r="B2496" s="106" t="str">
        <f t="shared" si="23"/>
        <v/>
      </c>
    </row>
    <row r="2497" spans="2:2" x14ac:dyDescent="0.3">
      <c r="B2497" s="106" t="str">
        <f t="shared" si="23"/>
        <v/>
      </c>
    </row>
    <row r="2498" spans="2:2" x14ac:dyDescent="0.3">
      <c r="B2498" s="106" t="str">
        <f t="shared" si="23"/>
        <v/>
      </c>
    </row>
    <row r="2499" spans="2:2" x14ac:dyDescent="0.3">
      <c r="B2499" s="106" t="str">
        <f t="shared" si="23"/>
        <v/>
      </c>
    </row>
    <row r="2500" spans="2:2" x14ac:dyDescent="0.3">
      <c r="B2500" s="106" t="str">
        <f t="shared" si="23"/>
        <v/>
      </c>
    </row>
    <row r="2501" spans="2:2" x14ac:dyDescent="0.3">
      <c r="B2501" s="106" t="str">
        <f t="shared" si="23"/>
        <v/>
      </c>
    </row>
    <row r="2502" spans="2:2" x14ac:dyDescent="0.3">
      <c r="B2502" s="106" t="str">
        <f t="shared" si="23"/>
        <v/>
      </c>
    </row>
    <row r="2503" spans="2:2" x14ac:dyDescent="0.3">
      <c r="B2503" s="106" t="str">
        <f t="shared" si="23"/>
        <v/>
      </c>
    </row>
    <row r="2504" spans="2:2" x14ac:dyDescent="0.3">
      <c r="B2504" s="106" t="str">
        <f t="shared" si="23"/>
        <v/>
      </c>
    </row>
    <row r="2505" spans="2:2" x14ac:dyDescent="0.3">
      <c r="B2505" s="106" t="str">
        <f t="shared" si="23"/>
        <v/>
      </c>
    </row>
    <row r="2506" spans="2:2" x14ac:dyDescent="0.3">
      <c r="B2506" s="106" t="str">
        <f t="shared" si="23"/>
        <v/>
      </c>
    </row>
    <row r="2507" spans="2:2" x14ac:dyDescent="0.3">
      <c r="B2507" s="106" t="str">
        <f t="shared" si="23"/>
        <v/>
      </c>
    </row>
    <row r="2508" spans="2:2" x14ac:dyDescent="0.3">
      <c r="B2508" s="106" t="str">
        <f t="shared" si="23"/>
        <v/>
      </c>
    </row>
    <row r="2509" spans="2:2" x14ac:dyDescent="0.3">
      <c r="B2509" s="106" t="str">
        <f t="shared" si="23"/>
        <v/>
      </c>
    </row>
    <row r="2510" spans="2:2" x14ac:dyDescent="0.3">
      <c r="B2510" s="106" t="str">
        <f t="shared" si="23"/>
        <v/>
      </c>
    </row>
    <row r="2511" spans="2:2" x14ac:dyDescent="0.3">
      <c r="B2511" s="106" t="str">
        <f t="shared" si="23"/>
        <v/>
      </c>
    </row>
    <row r="2512" spans="2:2" x14ac:dyDescent="0.3">
      <c r="B2512" s="106" t="str">
        <f t="shared" si="23"/>
        <v/>
      </c>
    </row>
    <row r="2513" spans="2:2" x14ac:dyDescent="0.3">
      <c r="B2513" s="106" t="str">
        <f t="shared" si="23"/>
        <v/>
      </c>
    </row>
    <row r="2514" spans="2:2" x14ac:dyDescent="0.3">
      <c r="B2514" s="106" t="str">
        <f t="shared" si="23"/>
        <v/>
      </c>
    </row>
    <row r="2515" spans="2:2" x14ac:dyDescent="0.3">
      <c r="B2515" s="106" t="str">
        <f t="shared" si="23"/>
        <v/>
      </c>
    </row>
    <row r="2516" spans="2:2" x14ac:dyDescent="0.3">
      <c r="B2516" s="106" t="str">
        <f t="shared" si="23"/>
        <v/>
      </c>
    </row>
    <row r="2517" spans="2:2" x14ac:dyDescent="0.3">
      <c r="B2517" s="106" t="str">
        <f t="shared" si="23"/>
        <v/>
      </c>
    </row>
    <row r="2518" spans="2:2" x14ac:dyDescent="0.3">
      <c r="B2518" s="106" t="str">
        <f t="shared" si="23"/>
        <v/>
      </c>
    </row>
    <row r="2519" spans="2:2" x14ac:dyDescent="0.3">
      <c r="B2519" s="106" t="str">
        <f t="shared" si="23"/>
        <v/>
      </c>
    </row>
    <row r="2520" spans="2:2" x14ac:dyDescent="0.3">
      <c r="B2520" s="106" t="str">
        <f t="shared" si="23"/>
        <v/>
      </c>
    </row>
    <row r="2521" spans="2:2" x14ac:dyDescent="0.3">
      <c r="B2521" s="106" t="str">
        <f t="shared" si="23"/>
        <v/>
      </c>
    </row>
    <row r="2522" spans="2:2" x14ac:dyDescent="0.3">
      <c r="B2522" s="106" t="str">
        <f t="shared" si="23"/>
        <v/>
      </c>
    </row>
    <row r="2523" spans="2:2" x14ac:dyDescent="0.3">
      <c r="B2523" s="106" t="str">
        <f t="shared" si="23"/>
        <v/>
      </c>
    </row>
    <row r="2524" spans="2:2" x14ac:dyDescent="0.3">
      <c r="B2524" s="106" t="str">
        <f t="shared" si="23"/>
        <v/>
      </c>
    </row>
    <row r="2525" spans="2:2" x14ac:dyDescent="0.3">
      <c r="B2525" s="106" t="str">
        <f t="shared" si="23"/>
        <v/>
      </c>
    </row>
    <row r="2526" spans="2:2" x14ac:dyDescent="0.3">
      <c r="B2526" s="106" t="str">
        <f t="shared" si="23"/>
        <v/>
      </c>
    </row>
    <row r="2527" spans="2:2" x14ac:dyDescent="0.3">
      <c r="B2527" s="106" t="str">
        <f t="shared" si="23"/>
        <v/>
      </c>
    </row>
    <row r="2528" spans="2:2" x14ac:dyDescent="0.3">
      <c r="B2528" s="106" t="str">
        <f t="shared" si="23"/>
        <v/>
      </c>
    </row>
    <row r="2529" spans="2:2" x14ac:dyDescent="0.3">
      <c r="B2529" s="106" t="str">
        <f t="shared" si="23"/>
        <v/>
      </c>
    </row>
    <row r="2530" spans="2:2" x14ac:dyDescent="0.3">
      <c r="B2530" s="106" t="str">
        <f t="shared" si="23"/>
        <v/>
      </c>
    </row>
    <row r="2531" spans="2:2" x14ac:dyDescent="0.3">
      <c r="B2531" s="106" t="str">
        <f t="shared" si="23"/>
        <v/>
      </c>
    </row>
    <row r="2532" spans="2:2" x14ac:dyDescent="0.3">
      <c r="B2532" s="106" t="str">
        <f t="shared" si="23"/>
        <v/>
      </c>
    </row>
    <row r="2533" spans="2:2" x14ac:dyDescent="0.3">
      <c r="B2533" s="106" t="str">
        <f t="shared" si="23"/>
        <v/>
      </c>
    </row>
    <row r="2534" spans="2:2" x14ac:dyDescent="0.3">
      <c r="B2534" s="106" t="str">
        <f t="shared" si="23"/>
        <v/>
      </c>
    </row>
    <row r="2535" spans="2:2" x14ac:dyDescent="0.3">
      <c r="B2535" s="106" t="str">
        <f t="shared" si="23"/>
        <v/>
      </c>
    </row>
    <row r="2536" spans="2:2" x14ac:dyDescent="0.3">
      <c r="B2536" s="106" t="str">
        <f t="shared" si="23"/>
        <v/>
      </c>
    </row>
    <row r="2537" spans="2:2" x14ac:dyDescent="0.3">
      <c r="B2537" s="106" t="str">
        <f t="shared" ref="B2537:B2600" si="24">IF($A2537="Daily", "n/a", "")</f>
        <v/>
      </c>
    </row>
    <row r="2538" spans="2:2" x14ac:dyDescent="0.3">
      <c r="B2538" s="106" t="str">
        <f t="shared" si="24"/>
        <v/>
      </c>
    </row>
    <row r="2539" spans="2:2" x14ac:dyDescent="0.3">
      <c r="B2539" s="106" t="str">
        <f t="shared" si="24"/>
        <v/>
      </c>
    </row>
    <row r="2540" spans="2:2" x14ac:dyDescent="0.3">
      <c r="B2540" s="106" t="str">
        <f t="shared" si="24"/>
        <v/>
      </c>
    </row>
    <row r="2541" spans="2:2" x14ac:dyDescent="0.3">
      <c r="B2541" s="106" t="str">
        <f t="shared" si="24"/>
        <v/>
      </c>
    </row>
    <row r="2542" spans="2:2" x14ac:dyDescent="0.3">
      <c r="B2542" s="106" t="str">
        <f t="shared" si="24"/>
        <v/>
      </c>
    </row>
    <row r="2543" spans="2:2" x14ac:dyDescent="0.3">
      <c r="B2543" s="106" t="str">
        <f t="shared" si="24"/>
        <v/>
      </c>
    </row>
    <row r="2544" spans="2:2" x14ac:dyDescent="0.3">
      <c r="B2544" s="106" t="str">
        <f t="shared" si="24"/>
        <v/>
      </c>
    </row>
    <row r="2545" spans="2:2" x14ac:dyDescent="0.3">
      <c r="B2545" s="106" t="str">
        <f t="shared" si="24"/>
        <v/>
      </c>
    </row>
    <row r="2546" spans="2:2" x14ac:dyDescent="0.3">
      <c r="B2546" s="106" t="str">
        <f t="shared" si="24"/>
        <v/>
      </c>
    </row>
    <row r="2547" spans="2:2" x14ac:dyDescent="0.3">
      <c r="B2547" s="106" t="str">
        <f t="shared" si="24"/>
        <v/>
      </c>
    </row>
    <row r="2548" spans="2:2" x14ac:dyDescent="0.3">
      <c r="B2548" s="106" t="str">
        <f t="shared" si="24"/>
        <v/>
      </c>
    </row>
    <row r="2549" spans="2:2" x14ac:dyDescent="0.3">
      <c r="B2549" s="106" t="str">
        <f t="shared" si="24"/>
        <v/>
      </c>
    </row>
    <row r="2550" spans="2:2" x14ac:dyDescent="0.3">
      <c r="B2550" s="106" t="str">
        <f t="shared" si="24"/>
        <v/>
      </c>
    </row>
    <row r="2551" spans="2:2" x14ac:dyDescent="0.3">
      <c r="B2551" s="106" t="str">
        <f t="shared" si="24"/>
        <v/>
      </c>
    </row>
    <row r="2552" spans="2:2" x14ac:dyDescent="0.3">
      <c r="B2552" s="106" t="str">
        <f t="shared" si="24"/>
        <v/>
      </c>
    </row>
    <row r="2553" spans="2:2" x14ac:dyDescent="0.3">
      <c r="B2553" s="106" t="str">
        <f t="shared" si="24"/>
        <v/>
      </c>
    </row>
    <row r="2554" spans="2:2" x14ac:dyDescent="0.3">
      <c r="B2554" s="106" t="str">
        <f t="shared" si="24"/>
        <v/>
      </c>
    </row>
    <row r="2555" spans="2:2" x14ac:dyDescent="0.3">
      <c r="B2555" s="106" t="str">
        <f t="shared" si="24"/>
        <v/>
      </c>
    </row>
    <row r="2556" spans="2:2" x14ac:dyDescent="0.3">
      <c r="B2556" s="106" t="str">
        <f t="shared" si="24"/>
        <v/>
      </c>
    </row>
    <row r="2557" spans="2:2" x14ac:dyDescent="0.3">
      <c r="B2557" s="106" t="str">
        <f t="shared" si="24"/>
        <v/>
      </c>
    </row>
    <row r="2558" spans="2:2" x14ac:dyDescent="0.3">
      <c r="B2558" s="106" t="str">
        <f t="shared" si="24"/>
        <v/>
      </c>
    </row>
    <row r="2559" spans="2:2" x14ac:dyDescent="0.3">
      <c r="B2559" s="106" t="str">
        <f t="shared" si="24"/>
        <v/>
      </c>
    </row>
    <row r="2560" spans="2:2" x14ac:dyDescent="0.3">
      <c r="B2560" s="106" t="str">
        <f t="shared" si="24"/>
        <v/>
      </c>
    </row>
    <row r="2561" spans="2:2" x14ac:dyDescent="0.3">
      <c r="B2561" s="106" t="str">
        <f t="shared" si="24"/>
        <v/>
      </c>
    </row>
    <row r="2562" spans="2:2" x14ac:dyDescent="0.3">
      <c r="B2562" s="106" t="str">
        <f t="shared" si="24"/>
        <v/>
      </c>
    </row>
    <row r="2563" spans="2:2" x14ac:dyDescent="0.3">
      <c r="B2563" s="106" t="str">
        <f t="shared" si="24"/>
        <v/>
      </c>
    </row>
    <row r="2564" spans="2:2" x14ac:dyDescent="0.3">
      <c r="B2564" s="106" t="str">
        <f t="shared" si="24"/>
        <v/>
      </c>
    </row>
    <row r="2565" spans="2:2" x14ac:dyDescent="0.3">
      <c r="B2565" s="106" t="str">
        <f t="shared" si="24"/>
        <v/>
      </c>
    </row>
    <row r="2566" spans="2:2" x14ac:dyDescent="0.3">
      <c r="B2566" s="106" t="str">
        <f t="shared" si="24"/>
        <v/>
      </c>
    </row>
    <row r="2567" spans="2:2" x14ac:dyDescent="0.3">
      <c r="B2567" s="106" t="str">
        <f t="shared" si="24"/>
        <v/>
      </c>
    </row>
    <row r="2568" spans="2:2" x14ac:dyDescent="0.3">
      <c r="B2568" s="106" t="str">
        <f t="shared" si="24"/>
        <v/>
      </c>
    </row>
    <row r="2569" spans="2:2" x14ac:dyDescent="0.3">
      <c r="B2569" s="106" t="str">
        <f t="shared" si="24"/>
        <v/>
      </c>
    </row>
    <row r="2570" spans="2:2" x14ac:dyDescent="0.3">
      <c r="B2570" s="106" t="str">
        <f t="shared" si="24"/>
        <v/>
      </c>
    </row>
    <row r="2571" spans="2:2" x14ac:dyDescent="0.3">
      <c r="B2571" s="106" t="str">
        <f t="shared" si="24"/>
        <v/>
      </c>
    </row>
    <row r="2572" spans="2:2" x14ac:dyDescent="0.3">
      <c r="B2572" s="106" t="str">
        <f t="shared" si="24"/>
        <v/>
      </c>
    </row>
    <row r="2573" spans="2:2" x14ac:dyDescent="0.3">
      <c r="B2573" s="106" t="str">
        <f t="shared" si="24"/>
        <v/>
      </c>
    </row>
    <row r="2574" spans="2:2" x14ac:dyDescent="0.3">
      <c r="B2574" s="106" t="str">
        <f t="shared" si="24"/>
        <v/>
      </c>
    </row>
    <row r="2575" spans="2:2" x14ac:dyDescent="0.3">
      <c r="B2575" s="106" t="str">
        <f t="shared" si="24"/>
        <v/>
      </c>
    </row>
    <row r="2576" spans="2:2" x14ac:dyDescent="0.3">
      <c r="B2576" s="106" t="str">
        <f t="shared" si="24"/>
        <v/>
      </c>
    </row>
    <row r="2577" spans="2:2" x14ac:dyDescent="0.3">
      <c r="B2577" s="106" t="str">
        <f t="shared" si="24"/>
        <v/>
      </c>
    </row>
    <row r="2578" spans="2:2" x14ac:dyDescent="0.3">
      <c r="B2578" s="106" t="str">
        <f t="shared" si="24"/>
        <v/>
      </c>
    </row>
    <row r="2579" spans="2:2" x14ac:dyDescent="0.3">
      <c r="B2579" s="106" t="str">
        <f t="shared" si="24"/>
        <v/>
      </c>
    </row>
    <row r="2580" spans="2:2" x14ac:dyDescent="0.3">
      <c r="B2580" s="106" t="str">
        <f t="shared" si="24"/>
        <v/>
      </c>
    </row>
    <row r="2581" spans="2:2" x14ac:dyDescent="0.3">
      <c r="B2581" s="106" t="str">
        <f t="shared" si="24"/>
        <v/>
      </c>
    </row>
    <row r="2582" spans="2:2" x14ac:dyDescent="0.3">
      <c r="B2582" s="106" t="str">
        <f t="shared" si="24"/>
        <v/>
      </c>
    </row>
    <row r="2583" spans="2:2" x14ac:dyDescent="0.3">
      <c r="B2583" s="106" t="str">
        <f t="shared" si="24"/>
        <v/>
      </c>
    </row>
    <row r="2584" spans="2:2" x14ac:dyDescent="0.3">
      <c r="B2584" s="106" t="str">
        <f t="shared" si="24"/>
        <v/>
      </c>
    </row>
    <row r="2585" spans="2:2" x14ac:dyDescent="0.3">
      <c r="B2585" s="106" t="str">
        <f t="shared" si="24"/>
        <v/>
      </c>
    </row>
    <row r="2586" spans="2:2" x14ac:dyDescent="0.3">
      <c r="B2586" s="106" t="str">
        <f t="shared" si="24"/>
        <v/>
      </c>
    </row>
    <row r="2587" spans="2:2" x14ac:dyDescent="0.3">
      <c r="B2587" s="106" t="str">
        <f t="shared" si="24"/>
        <v/>
      </c>
    </row>
    <row r="2588" spans="2:2" x14ac:dyDescent="0.3">
      <c r="B2588" s="106" t="str">
        <f t="shared" si="24"/>
        <v/>
      </c>
    </row>
    <row r="2589" spans="2:2" x14ac:dyDescent="0.3">
      <c r="B2589" s="106" t="str">
        <f t="shared" si="24"/>
        <v/>
      </c>
    </row>
    <row r="2590" spans="2:2" x14ac:dyDescent="0.3">
      <c r="B2590" s="106" t="str">
        <f t="shared" si="24"/>
        <v/>
      </c>
    </row>
    <row r="2591" spans="2:2" x14ac:dyDescent="0.3">
      <c r="B2591" s="106" t="str">
        <f t="shared" si="24"/>
        <v/>
      </c>
    </row>
    <row r="2592" spans="2:2" x14ac:dyDescent="0.3">
      <c r="B2592" s="106" t="str">
        <f t="shared" si="24"/>
        <v/>
      </c>
    </row>
    <row r="2593" spans="2:2" x14ac:dyDescent="0.3">
      <c r="B2593" s="106" t="str">
        <f t="shared" si="24"/>
        <v/>
      </c>
    </row>
    <row r="2594" spans="2:2" x14ac:dyDescent="0.3">
      <c r="B2594" s="106" t="str">
        <f t="shared" si="24"/>
        <v/>
      </c>
    </row>
    <row r="2595" spans="2:2" x14ac:dyDescent="0.3">
      <c r="B2595" s="106" t="str">
        <f t="shared" si="24"/>
        <v/>
      </c>
    </row>
    <row r="2596" spans="2:2" x14ac:dyDescent="0.3">
      <c r="B2596" s="106" t="str">
        <f t="shared" si="24"/>
        <v/>
      </c>
    </row>
    <row r="2597" spans="2:2" x14ac:dyDescent="0.3">
      <c r="B2597" s="106" t="str">
        <f t="shared" si="24"/>
        <v/>
      </c>
    </row>
    <row r="2598" spans="2:2" x14ac:dyDescent="0.3">
      <c r="B2598" s="106" t="str">
        <f t="shared" si="24"/>
        <v/>
      </c>
    </row>
    <row r="2599" spans="2:2" x14ac:dyDescent="0.3">
      <c r="B2599" s="106" t="str">
        <f t="shared" si="24"/>
        <v/>
      </c>
    </row>
    <row r="2600" spans="2:2" x14ac:dyDescent="0.3">
      <c r="B2600" s="106" t="str">
        <f t="shared" si="24"/>
        <v/>
      </c>
    </row>
    <row r="2601" spans="2:2" x14ac:dyDescent="0.3">
      <c r="B2601" s="106" t="str">
        <f t="shared" ref="B2601:B2664" si="25">IF($A2601="Daily", "n/a", "")</f>
        <v/>
      </c>
    </row>
    <row r="2602" spans="2:2" x14ac:dyDescent="0.3">
      <c r="B2602" s="106" t="str">
        <f t="shared" si="25"/>
        <v/>
      </c>
    </row>
    <row r="2603" spans="2:2" x14ac:dyDescent="0.3">
      <c r="B2603" s="106" t="str">
        <f t="shared" si="25"/>
        <v/>
      </c>
    </row>
    <row r="2604" spans="2:2" x14ac:dyDescent="0.3">
      <c r="B2604" s="106" t="str">
        <f t="shared" si="25"/>
        <v/>
      </c>
    </row>
    <row r="2605" spans="2:2" x14ac:dyDescent="0.3">
      <c r="B2605" s="106" t="str">
        <f t="shared" si="25"/>
        <v/>
      </c>
    </row>
    <row r="2606" spans="2:2" x14ac:dyDescent="0.3">
      <c r="B2606" s="106" t="str">
        <f t="shared" si="25"/>
        <v/>
      </c>
    </row>
    <row r="2607" spans="2:2" x14ac:dyDescent="0.3">
      <c r="B2607" s="106" t="str">
        <f t="shared" si="25"/>
        <v/>
      </c>
    </row>
    <row r="2608" spans="2:2" x14ac:dyDescent="0.3">
      <c r="B2608" s="106" t="str">
        <f t="shared" si="25"/>
        <v/>
      </c>
    </row>
    <row r="2609" spans="2:2" x14ac:dyDescent="0.3">
      <c r="B2609" s="106" t="str">
        <f t="shared" si="25"/>
        <v/>
      </c>
    </row>
    <row r="2610" spans="2:2" x14ac:dyDescent="0.3">
      <c r="B2610" s="106" t="str">
        <f t="shared" si="25"/>
        <v/>
      </c>
    </row>
    <row r="2611" spans="2:2" x14ac:dyDescent="0.3">
      <c r="B2611" s="106" t="str">
        <f t="shared" si="25"/>
        <v/>
      </c>
    </row>
    <row r="2612" spans="2:2" x14ac:dyDescent="0.3">
      <c r="B2612" s="106" t="str">
        <f t="shared" si="25"/>
        <v/>
      </c>
    </row>
    <row r="2613" spans="2:2" x14ac:dyDescent="0.3">
      <c r="B2613" s="106" t="str">
        <f t="shared" si="25"/>
        <v/>
      </c>
    </row>
    <row r="2614" spans="2:2" x14ac:dyDescent="0.3">
      <c r="B2614" s="106" t="str">
        <f t="shared" si="25"/>
        <v/>
      </c>
    </row>
    <row r="2615" spans="2:2" x14ac:dyDescent="0.3">
      <c r="B2615" s="106" t="str">
        <f t="shared" si="25"/>
        <v/>
      </c>
    </row>
    <row r="2616" spans="2:2" x14ac:dyDescent="0.3">
      <c r="B2616" s="106" t="str">
        <f t="shared" si="25"/>
        <v/>
      </c>
    </row>
    <row r="2617" spans="2:2" x14ac:dyDescent="0.3">
      <c r="B2617" s="106" t="str">
        <f t="shared" si="25"/>
        <v/>
      </c>
    </row>
    <row r="2618" spans="2:2" x14ac:dyDescent="0.3">
      <c r="B2618" s="106" t="str">
        <f t="shared" si="25"/>
        <v/>
      </c>
    </row>
    <row r="2619" spans="2:2" x14ac:dyDescent="0.3">
      <c r="B2619" s="106" t="str">
        <f t="shared" si="25"/>
        <v/>
      </c>
    </row>
    <row r="2620" spans="2:2" x14ac:dyDescent="0.3">
      <c r="B2620" s="106" t="str">
        <f t="shared" si="25"/>
        <v/>
      </c>
    </row>
    <row r="2621" spans="2:2" x14ac:dyDescent="0.3">
      <c r="B2621" s="106" t="str">
        <f t="shared" si="25"/>
        <v/>
      </c>
    </row>
    <row r="2622" spans="2:2" x14ac:dyDescent="0.3">
      <c r="B2622" s="106" t="str">
        <f t="shared" si="25"/>
        <v/>
      </c>
    </row>
    <row r="2623" spans="2:2" x14ac:dyDescent="0.3">
      <c r="B2623" s="106" t="str">
        <f t="shared" si="25"/>
        <v/>
      </c>
    </row>
    <row r="2624" spans="2:2" x14ac:dyDescent="0.3">
      <c r="B2624" s="106" t="str">
        <f t="shared" si="25"/>
        <v/>
      </c>
    </row>
    <row r="2625" spans="2:2" x14ac:dyDescent="0.3">
      <c r="B2625" s="106" t="str">
        <f t="shared" si="25"/>
        <v/>
      </c>
    </row>
    <row r="2626" spans="2:2" x14ac:dyDescent="0.3">
      <c r="B2626" s="106" t="str">
        <f t="shared" si="25"/>
        <v/>
      </c>
    </row>
    <row r="2627" spans="2:2" x14ac:dyDescent="0.3">
      <c r="B2627" s="106" t="str">
        <f t="shared" si="25"/>
        <v/>
      </c>
    </row>
    <row r="2628" spans="2:2" x14ac:dyDescent="0.3">
      <c r="B2628" s="106" t="str">
        <f t="shared" si="25"/>
        <v/>
      </c>
    </row>
    <row r="2629" spans="2:2" x14ac:dyDescent="0.3">
      <c r="B2629" s="106" t="str">
        <f t="shared" si="25"/>
        <v/>
      </c>
    </row>
    <row r="2630" spans="2:2" x14ac:dyDescent="0.3">
      <c r="B2630" s="106" t="str">
        <f t="shared" si="25"/>
        <v/>
      </c>
    </row>
    <row r="2631" spans="2:2" x14ac:dyDescent="0.3">
      <c r="B2631" s="106" t="str">
        <f t="shared" si="25"/>
        <v/>
      </c>
    </row>
    <row r="2632" spans="2:2" x14ac:dyDescent="0.3">
      <c r="B2632" s="106" t="str">
        <f t="shared" si="25"/>
        <v/>
      </c>
    </row>
    <row r="2633" spans="2:2" x14ac:dyDescent="0.3">
      <c r="B2633" s="106" t="str">
        <f t="shared" si="25"/>
        <v/>
      </c>
    </row>
    <row r="2634" spans="2:2" x14ac:dyDescent="0.3">
      <c r="B2634" s="106" t="str">
        <f t="shared" si="25"/>
        <v/>
      </c>
    </row>
    <row r="2635" spans="2:2" x14ac:dyDescent="0.3">
      <c r="B2635" s="106" t="str">
        <f t="shared" si="25"/>
        <v/>
      </c>
    </row>
    <row r="2636" spans="2:2" x14ac:dyDescent="0.3">
      <c r="B2636" s="106" t="str">
        <f t="shared" si="25"/>
        <v/>
      </c>
    </row>
    <row r="2637" spans="2:2" x14ac:dyDescent="0.3">
      <c r="B2637" s="106" t="str">
        <f t="shared" si="25"/>
        <v/>
      </c>
    </row>
    <row r="2638" spans="2:2" x14ac:dyDescent="0.3">
      <c r="B2638" s="106" t="str">
        <f t="shared" si="25"/>
        <v/>
      </c>
    </row>
    <row r="2639" spans="2:2" x14ac:dyDescent="0.3">
      <c r="B2639" s="106" t="str">
        <f t="shared" si="25"/>
        <v/>
      </c>
    </row>
    <row r="2640" spans="2:2" x14ac:dyDescent="0.3">
      <c r="B2640" s="106" t="str">
        <f t="shared" si="25"/>
        <v/>
      </c>
    </row>
    <row r="2641" spans="2:2" x14ac:dyDescent="0.3">
      <c r="B2641" s="106" t="str">
        <f t="shared" si="25"/>
        <v/>
      </c>
    </row>
    <row r="2642" spans="2:2" x14ac:dyDescent="0.3">
      <c r="B2642" s="106" t="str">
        <f t="shared" si="25"/>
        <v/>
      </c>
    </row>
    <row r="2643" spans="2:2" x14ac:dyDescent="0.3">
      <c r="B2643" s="106" t="str">
        <f t="shared" si="25"/>
        <v/>
      </c>
    </row>
    <row r="2644" spans="2:2" x14ac:dyDescent="0.3">
      <c r="B2644" s="106" t="str">
        <f t="shared" si="25"/>
        <v/>
      </c>
    </row>
    <row r="2645" spans="2:2" x14ac:dyDescent="0.3">
      <c r="B2645" s="106" t="str">
        <f t="shared" si="25"/>
        <v/>
      </c>
    </row>
    <row r="2646" spans="2:2" x14ac:dyDescent="0.3">
      <c r="B2646" s="106" t="str">
        <f t="shared" si="25"/>
        <v/>
      </c>
    </row>
    <row r="2647" spans="2:2" x14ac:dyDescent="0.3">
      <c r="B2647" s="106" t="str">
        <f t="shared" si="25"/>
        <v/>
      </c>
    </row>
    <row r="2648" spans="2:2" x14ac:dyDescent="0.3">
      <c r="B2648" s="106" t="str">
        <f t="shared" si="25"/>
        <v/>
      </c>
    </row>
    <row r="2649" spans="2:2" x14ac:dyDescent="0.3">
      <c r="B2649" s="106" t="str">
        <f t="shared" si="25"/>
        <v/>
      </c>
    </row>
    <row r="2650" spans="2:2" x14ac:dyDescent="0.3">
      <c r="B2650" s="106" t="str">
        <f t="shared" si="25"/>
        <v/>
      </c>
    </row>
    <row r="2651" spans="2:2" x14ac:dyDescent="0.3">
      <c r="B2651" s="106" t="str">
        <f t="shared" si="25"/>
        <v/>
      </c>
    </row>
    <row r="2652" spans="2:2" x14ac:dyDescent="0.3">
      <c r="B2652" s="106" t="str">
        <f t="shared" si="25"/>
        <v/>
      </c>
    </row>
    <row r="2653" spans="2:2" x14ac:dyDescent="0.3">
      <c r="B2653" s="106" t="str">
        <f t="shared" si="25"/>
        <v/>
      </c>
    </row>
    <row r="2654" spans="2:2" x14ac:dyDescent="0.3">
      <c r="B2654" s="106" t="str">
        <f t="shared" si="25"/>
        <v/>
      </c>
    </row>
    <row r="2655" spans="2:2" x14ac:dyDescent="0.3">
      <c r="B2655" s="106" t="str">
        <f t="shared" si="25"/>
        <v/>
      </c>
    </row>
    <row r="2656" spans="2:2" x14ac:dyDescent="0.3">
      <c r="B2656" s="106" t="str">
        <f t="shared" si="25"/>
        <v/>
      </c>
    </row>
    <row r="2657" spans="2:2" x14ac:dyDescent="0.3">
      <c r="B2657" s="106" t="str">
        <f t="shared" si="25"/>
        <v/>
      </c>
    </row>
    <row r="2658" spans="2:2" x14ac:dyDescent="0.3">
      <c r="B2658" s="106" t="str">
        <f t="shared" si="25"/>
        <v/>
      </c>
    </row>
    <row r="2659" spans="2:2" x14ac:dyDescent="0.3">
      <c r="B2659" s="106" t="str">
        <f t="shared" si="25"/>
        <v/>
      </c>
    </row>
    <row r="2660" spans="2:2" x14ac:dyDescent="0.3">
      <c r="B2660" s="106" t="str">
        <f t="shared" si="25"/>
        <v/>
      </c>
    </row>
    <row r="2661" spans="2:2" x14ac:dyDescent="0.3">
      <c r="B2661" s="106" t="str">
        <f t="shared" si="25"/>
        <v/>
      </c>
    </row>
    <row r="2662" spans="2:2" x14ac:dyDescent="0.3">
      <c r="B2662" s="106" t="str">
        <f t="shared" si="25"/>
        <v/>
      </c>
    </row>
    <row r="2663" spans="2:2" x14ac:dyDescent="0.3">
      <c r="B2663" s="106" t="str">
        <f t="shared" si="25"/>
        <v/>
      </c>
    </row>
    <row r="2664" spans="2:2" x14ac:dyDescent="0.3">
      <c r="B2664" s="106" t="str">
        <f t="shared" si="25"/>
        <v/>
      </c>
    </row>
    <row r="2665" spans="2:2" x14ac:dyDescent="0.3">
      <c r="B2665" s="106" t="str">
        <f t="shared" ref="B2665:B2728" si="26">IF($A2665="Daily", "n/a", "")</f>
        <v/>
      </c>
    </row>
    <row r="2666" spans="2:2" x14ac:dyDescent="0.3">
      <c r="B2666" s="106" t="str">
        <f t="shared" si="26"/>
        <v/>
      </c>
    </row>
    <row r="2667" spans="2:2" x14ac:dyDescent="0.3">
      <c r="B2667" s="106" t="str">
        <f t="shared" si="26"/>
        <v/>
      </c>
    </row>
    <row r="2668" spans="2:2" x14ac:dyDescent="0.3">
      <c r="B2668" s="106" t="str">
        <f t="shared" si="26"/>
        <v/>
      </c>
    </row>
    <row r="2669" spans="2:2" x14ac:dyDescent="0.3">
      <c r="B2669" s="106" t="str">
        <f t="shared" si="26"/>
        <v/>
      </c>
    </row>
    <row r="2670" spans="2:2" x14ac:dyDescent="0.3">
      <c r="B2670" s="106" t="str">
        <f t="shared" si="26"/>
        <v/>
      </c>
    </row>
    <row r="2671" spans="2:2" x14ac:dyDescent="0.3">
      <c r="B2671" s="106" t="str">
        <f t="shared" si="26"/>
        <v/>
      </c>
    </row>
    <row r="2672" spans="2:2" x14ac:dyDescent="0.3">
      <c r="B2672" s="106" t="str">
        <f t="shared" si="26"/>
        <v/>
      </c>
    </row>
    <row r="2673" spans="2:2" x14ac:dyDescent="0.3">
      <c r="B2673" s="106" t="str">
        <f t="shared" si="26"/>
        <v/>
      </c>
    </row>
    <row r="2674" spans="2:2" x14ac:dyDescent="0.3">
      <c r="B2674" s="106" t="str">
        <f t="shared" si="26"/>
        <v/>
      </c>
    </row>
    <row r="2675" spans="2:2" x14ac:dyDescent="0.3">
      <c r="B2675" s="106" t="str">
        <f t="shared" si="26"/>
        <v/>
      </c>
    </row>
    <row r="2676" spans="2:2" x14ac:dyDescent="0.3">
      <c r="B2676" s="106" t="str">
        <f t="shared" si="26"/>
        <v/>
      </c>
    </row>
    <row r="2677" spans="2:2" x14ac:dyDescent="0.3">
      <c r="B2677" s="106" t="str">
        <f t="shared" si="26"/>
        <v/>
      </c>
    </row>
    <row r="2678" spans="2:2" x14ac:dyDescent="0.3">
      <c r="B2678" s="106" t="str">
        <f t="shared" si="26"/>
        <v/>
      </c>
    </row>
    <row r="2679" spans="2:2" x14ac:dyDescent="0.3">
      <c r="B2679" s="106" t="str">
        <f t="shared" si="26"/>
        <v/>
      </c>
    </row>
    <row r="2680" spans="2:2" x14ac:dyDescent="0.3">
      <c r="B2680" s="106" t="str">
        <f t="shared" si="26"/>
        <v/>
      </c>
    </row>
    <row r="2681" spans="2:2" x14ac:dyDescent="0.3">
      <c r="B2681" s="106" t="str">
        <f t="shared" si="26"/>
        <v/>
      </c>
    </row>
    <row r="2682" spans="2:2" x14ac:dyDescent="0.3">
      <c r="B2682" s="106" t="str">
        <f t="shared" si="26"/>
        <v/>
      </c>
    </row>
    <row r="2683" spans="2:2" x14ac:dyDescent="0.3">
      <c r="B2683" s="106" t="str">
        <f t="shared" si="26"/>
        <v/>
      </c>
    </row>
    <row r="2684" spans="2:2" x14ac:dyDescent="0.3">
      <c r="B2684" s="106" t="str">
        <f t="shared" si="26"/>
        <v/>
      </c>
    </row>
    <row r="2685" spans="2:2" x14ac:dyDescent="0.3">
      <c r="B2685" s="106" t="str">
        <f t="shared" si="26"/>
        <v/>
      </c>
    </row>
    <row r="2686" spans="2:2" x14ac:dyDescent="0.3">
      <c r="B2686" s="106" t="str">
        <f t="shared" si="26"/>
        <v/>
      </c>
    </row>
    <row r="2687" spans="2:2" x14ac:dyDescent="0.3">
      <c r="B2687" s="106" t="str">
        <f t="shared" si="26"/>
        <v/>
      </c>
    </row>
    <row r="2688" spans="2:2" x14ac:dyDescent="0.3">
      <c r="B2688" s="106" t="str">
        <f t="shared" si="26"/>
        <v/>
      </c>
    </row>
    <row r="2689" spans="2:2" x14ac:dyDescent="0.3">
      <c r="B2689" s="106" t="str">
        <f t="shared" si="26"/>
        <v/>
      </c>
    </row>
    <row r="2690" spans="2:2" x14ac:dyDescent="0.3">
      <c r="B2690" s="106" t="str">
        <f t="shared" si="26"/>
        <v/>
      </c>
    </row>
    <row r="2691" spans="2:2" x14ac:dyDescent="0.3">
      <c r="B2691" s="106" t="str">
        <f t="shared" si="26"/>
        <v/>
      </c>
    </row>
    <row r="2692" spans="2:2" x14ac:dyDescent="0.3">
      <c r="B2692" s="106" t="str">
        <f t="shared" si="26"/>
        <v/>
      </c>
    </row>
    <row r="2693" spans="2:2" x14ac:dyDescent="0.3">
      <c r="B2693" s="106" t="str">
        <f t="shared" si="26"/>
        <v/>
      </c>
    </row>
    <row r="2694" spans="2:2" x14ac:dyDescent="0.3">
      <c r="B2694" s="106" t="str">
        <f t="shared" si="26"/>
        <v/>
      </c>
    </row>
    <row r="2695" spans="2:2" x14ac:dyDescent="0.3">
      <c r="B2695" s="106" t="str">
        <f t="shared" si="26"/>
        <v/>
      </c>
    </row>
    <row r="2696" spans="2:2" x14ac:dyDescent="0.3">
      <c r="B2696" s="106" t="str">
        <f t="shared" si="26"/>
        <v/>
      </c>
    </row>
    <row r="2697" spans="2:2" x14ac:dyDescent="0.3">
      <c r="B2697" s="106" t="str">
        <f t="shared" si="26"/>
        <v/>
      </c>
    </row>
    <row r="2698" spans="2:2" x14ac:dyDescent="0.3">
      <c r="B2698" s="106" t="str">
        <f t="shared" si="26"/>
        <v/>
      </c>
    </row>
    <row r="2699" spans="2:2" x14ac:dyDescent="0.3">
      <c r="B2699" s="106" t="str">
        <f t="shared" si="26"/>
        <v/>
      </c>
    </row>
    <row r="2700" spans="2:2" x14ac:dyDescent="0.3">
      <c r="B2700" s="106" t="str">
        <f t="shared" si="26"/>
        <v/>
      </c>
    </row>
    <row r="2701" spans="2:2" x14ac:dyDescent="0.3">
      <c r="B2701" s="106" t="str">
        <f t="shared" si="26"/>
        <v/>
      </c>
    </row>
    <row r="2702" spans="2:2" x14ac:dyDescent="0.3">
      <c r="B2702" s="106" t="str">
        <f t="shared" si="26"/>
        <v/>
      </c>
    </row>
    <row r="2703" spans="2:2" x14ac:dyDescent="0.3">
      <c r="B2703" s="106" t="str">
        <f t="shared" si="26"/>
        <v/>
      </c>
    </row>
    <row r="2704" spans="2:2" x14ac:dyDescent="0.3">
      <c r="B2704" s="106" t="str">
        <f t="shared" si="26"/>
        <v/>
      </c>
    </row>
    <row r="2705" spans="2:2" x14ac:dyDescent="0.3">
      <c r="B2705" s="106" t="str">
        <f t="shared" si="26"/>
        <v/>
      </c>
    </row>
    <row r="2706" spans="2:2" x14ac:dyDescent="0.3">
      <c r="B2706" s="106" t="str">
        <f t="shared" si="26"/>
        <v/>
      </c>
    </row>
    <row r="2707" spans="2:2" x14ac:dyDescent="0.3">
      <c r="B2707" s="106" t="str">
        <f t="shared" si="26"/>
        <v/>
      </c>
    </row>
    <row r="2708" spans="2:2" x14ac:dyDescent="0.3">
      <c r="B2708" s="106" t="str">
        <f t="shared" si="26"/>
        <v/>
      </c>
    </row>
    <row r="2709" spans="2:2" x14ac:dyDescent="0.3">
      <c r="B2709" s="106" t="str">
        <f t="shared" si="26"/>
        <v/>
      </c>
    </row>
    <row r="2710" spans="2:2" x14ac:dyDescent="0.3">
      <c r="B2710" s="106" t="str">
        <f t="shared" si="26"/>
        <v/>
      </c>
    </row>
    <row r="2711" spans="2:2" x14ac:dyDescent="0.3">
      <c r="B2711" s="106" t="str">
        <f t="shared" si="26"/>
        <v/>
      </c>
    </row>
    <row r="2712" spans="2:2" x14ac:dyDescent="0.3">
      <c r="B2712" s="106" t="str">
        <f t="shared" si="26"/>
        <v/>
      </c>
    </row>
    <row r="2713" spans="2:2" x14ac:dyDescent="0.3">
      <c r="B2713" s="106" t="str">
        <f t="shared" si="26"/>
        <v/>
      </c>
    </row>
    <row r="2714" spans="2:2" x14ac:dyDescent="0.3">
      <c r="B2714" s="106" t="str">
        <f t="shared" si="26"/>
        <v/>
      </c>
    </row>
    <row r="2715" spans="2:2" x14ac:dyDescent="0.3">
      <c r="B2715" s="106" t="str">
        <f t="shared" si="26"/>
        <v/>
      </c>
    </row>
    <row r="2716" spans="2:2" x14ac:dyDescent="0.3">
      <c r="B2716" s="106" t="str">
        <f t="shared" si="26"/>
        <v/>
      </c>
    </row>
    <row r="2717" spans="2:2" x14ac:dyDescent="0.3">
      <c r="B2717" s="106" t="str">
        <f t="shared" si="26"/>
        <v/>
      </c>
    </row>
    <row r="2718" spans="2:2" x14ac:dyDescent="0.3">
      <c r="B2718" s="106" t="str">
        <f t="shared" si="26"/>
        <v/>
      </c>
    </row>
    <row r="2719" spans="2:2" x14ac:dyDescent="0.3">
      <c r="B2719" s="106" t="str">
        <f t="shared" si="26"/>
        <v/>
      </c>
    </row>
    <row r="2720" spans="2:2" x14ac:dyDescent="0.3">
      <c r="B2720" s="106" t="str">
        <f t="shared" si="26"/>
        <v/>
      </c>
    </row>
    <row r="2721" spans="2:2" x14ac:dyDescent="0.3">
      <c r="B2721" s="106" t="str">
        <f t="shared" si="26"/>
        <v/>
      </c>
    </row>
    <row r="2722" spans="2:2" x14ac:dyDescent="0.3">
      <c r="B2722" s="106" t="str">
        <f t="shared" si="26"/>
        <v/>
      </c>
    </row>
    <row r="2723" spans="2:2" x14ac:dyDescent="0.3">
      <c r="B2723" s="106" t="str">
        <f t="shared" si="26"/>
        <v/>
      </c>
    </row>
    <row r="2724" spans="2:2" x14ac:dyDescent="0.3">
      <c r="B2724" s="106" t="str">
        <f t="shared" si="26"/>
        <v/>
      </c>
    </row>
    <row r="2725" spans="2:2" x14ac:dyDescent="0.3">
      <c r="B2725" s="106" t="str">
        <f t="shared" si="26"/>
        <v/>
      </c>
    </row>
    <row r="2726" spans="2:2" x14ac:dyDescent="0.3">
      <c r="B2726" s="106" t="str">
        <f t="shared" si="26"/>
        <v/>
      </c>
    </row>
    <row r="2727" spans="2:2" x14ac:dyDescent="0.3">
      <c r="B2727" s="106" t="str">
        <f t="shared" si="26"/>
        <v/>
      </c>
    </row>
    <row r="2728" spans="2:2" x14ac:dyDescent="0.3">
      <c r="B2728" s="106" t="str">
        <f t="shared" si="26"/>
        <v/>
      </c>
    </row>
    <row r="2729" spans="2:2" x14ac:dyDescent="0.3">
      <c r="B2729" s="106" t="str">
        <f t="shared" ref="B2729:B2792" si="27">IF($A2729="Daily", "n/a", "")</f>
        <v/>
      </c>
    </row>
    <row r="2730" spans="2:2" x14ac:dyDescent="0.3">
      <c r="B2730" s="106" t="str">
        <f t="shared" si="27"/>
        <v/>
      </c>
    </row>
    <row r="2731" spans="2:2" x14ac:dyDescent="0.3">
      <c r="B2731" s="106" t="str">
        <f t="shared" si="27"/>
        <v/>
      </c>
    </row>
    <row r="2732" spans="2:2" x14ac:dyDescent="0.3">
      <c r="B2732" s="106" t="str">
        <f t="shared" si="27"/>
        <v/>
      </c>
    </row>
    <row r="2733" spans="2:2" x14ac:dyDescent="0.3">
      <c r="B2733" s="106" t="str">
        <f t="shared" si="27"/>
        <v/>
      </c>
    </row>
    <row r="2734" spans="2:2" x14ac:dyDescent="0.3">
      <c r="B2734" s="106" t="str">
        <f t="shared" si="27"/>
        <v/>
      </c>
    </row>
    <row r="2735" spans="2:2" x14ac:dyDescent="0.3">
      <c r="B2735" s="106" t="str">
        <f t="shared" si="27"/>
        <v/>
      </c>
    </row>
    <row r="2736" spans="2:2" x14ac:dyDescent="0.3">
      <c r="B2736" s="106" t="str">
        <f t="shared" si="27"/>
        <v/>
      </c>
    </row>
    <row r="2737" spans="2:2" x14ac:dyDescent="0.3">
      <c r="B2737" s="106" t="str">
        <f t="shared" si="27"/>
        <v/>
      </c>
    </row>
    <row r="2738" spans="2:2" x14ac:dyDescent="0.3">
      <c r="B2738" s="106" t="str">
        <f t="shared" si="27"/>
        <v/>
      </c>
    </row>
    <row r="2739" spans="2:2" x14ac:dyDescent="0.3">
      <c r="B2739" s="106" t="str">
        <f t="shared" si="27"/>
        <v/>
      </c>
    </row>
    <row r="2740" spans="2:2" x14ac:dyDescent="0.3">
      <c r="B2740" s="106" t="str">
        <f t="shared" si="27"/>
        <v/>
      </c>
    </row>
    <row r="2741" spans="2:2" x14ac:dyDescent="0.3">
      <c r="B2741" s="106" t="str">
        <f t="shared" si="27"/>
        <v/>
      </c>
    </row>
    <row r="2742" spans="2:2" x14ac:dyDescent="0.3">
      <c r="B2742" s="106" t="str">
        <f t="shared" si="27"/>
        <v/>
      </c>
    </row>
    <row r="2743" spans="2:2" x14ac:dyDescent="0.3">
      <c r="B2743" s="106" t="str">
        <f t="shared" si="27"/>
        <v/>
      </c>
    </row>
    <row r="2744" spans="2:2" x14ac:dyDescent="0.3">
      <c r="B2744" s="106" t="str">
        <f t="shared" si="27"/>
        <v/>
      </c>
    </row>
    <row r="2745" spans="2:2" x14ac:dyDescent="0.3">
      <c r="B2745" s="106" t="str">
        <f t="shared" si="27"/>
        <v/>
      </c>
    </row>
    <row r="2746" spans="2:2" x14ac:dyDescent="0.3">
      <c r="B2746" s="106" t="str">
        <f t="shared" si="27"/>
        <v/>
      </c>
    </row>
    <row r="2747" spans="2:2" x14ac:dyDescent="0.3">
      <c r="B2747" s="106" t="str">
        <f t="shared" si="27"/>
        <v/>
      </c>
    </row>
    <row r="2748" spans="2:2" x14ac:dyDescent="0.3">
      <c r="B2748" s="106" t="str">
        <f t="shared" si="27"/>
        <v/>
      </c>
    </row>
    <row r="2749" spans="2:2" x14ac:dyDescent="0.3">
      <c r="B2749" s="106" t="str">
        <f t="shared" si="27"/>
        <v/>
      </c>
    </row>
    <row r="2750" spans="2:2" x14ac:dyDescent="0.3">
      <c r="B2750" s="106" t="str">
        <f t="shared" si="27"/>
        <v/>
      </c>
    </row>
    <row r="2751" spans="2:2" x14ac:dyDescent="0.3">
      <c r="B2751" s="106" t="str">
        <f t="shared" si="27"/>
        <v/>
      </c>
    </row>
    <row r="2752" spans="2:2" x14ac:dyDescent="0.3">
      <c r="B2752" s="106" t="str">
        <f t="shared" si="27"/>
        <v/>
      </c>
    </row>
    <row r="2753" spans="2:2" x14ac:dyDescent="0.3">
      <c r="B2753" s="106" t="str">
        <f t="shared" si="27"/>
        <v/>
      </c>
    </row>
    <row r="2754" spans="2:2" x14ac:dyDescent="0.3">
      <c r="B2754" s="106" t="str">
        <f t="shared" si="27"/>
        <v/>
      </c>
    </row>
    <row r="2755" spans="2:2" x14ac:dyDescent="0.3">
      <c r="B2755" s="106" t="str">
        <f t="shared" si="27"/>
        <v/>
      </c>
    </row>
    <row r="2756" spans="2:2" x14ac:dyDescent="0.3">
      <c r="B2756" s="106" t="str">
        <f t="shared" si="27"/>
        <v/>
      </c>
    </row>
    <row r="2757" spans="2:2" x14ac:dyDescent="0.3">
      <c r="B2757" s="106" t="str">
        <f t="shared" si="27"/>
        <v/>
      </c>
    </row>
    <row r="2758" spans="2:2" x14ac:dyDescent="0.3">
      <c r="B2758" s="106" t="str">
        <f t="shared" si="27"/>
        <v/>
      </c>
    </row>
    <row r="2759" spans="2:2" x14ac:dyDescent="0.3">
      <c r="B2759" s="106" t="str">
        <f t="shared" si="27"/>
        <v/>
      </c>
    </row>
    <row r="2760" spans="2:2" x14ac:dyDescent="0.3">
      <c r="B2760" s="106" t="str">
        <f t="shared" si="27"/>
        <v/>
      </c>
    </row>
    <row r="2761" spans="2:2" x14ac:dyDescent="0.3">
      <c r="B2761" s="106" t="str">
        <f t="shared" si="27"/>
        <v/>
      </c>
    </row>
    <row r="2762" spans="2:2" x14ac:dyDescent="0.3">
      <c r="B2762" s="106" t="str">
        <f t="shared" si="27"/>
        <v/>
      </c>
    </row>
    <row r="2763" spans="2:2" x14ac:dyDescent="0.3">
      <c r="B2763" s="106" t="str">
        <f t="shared" si="27"/>
        <v/>
      </c>
    </row>
    <row r="2764" spans="2:2" x14ac:dyDescent="0.3">
      <c r="B2764" s="106" t="str">
        <f t="shared" si="27"/>
        <v/>
      </c>
    </row>
    <row r="2765" spans="2:2" x14ac:dyDescent="0.3">
      <c r="B2765" s="106" t="str">
        <f t="shared" si="27"/>
        <v/>
      </c>
    </row>
    <row r="2766" spans="2:2" x14ac:dyDescent="0.3">
      <c r="B2766" s="106" t="str">
        <f t="shared" si="27"/>
        <v/>
      </c>
    </row>
    <row r="2767" spans="2:2" x14ac:dyDescent="0.3">
      <c r="B2767" s="106" t="str">
        <f t="shared" si="27"/>
        <v/>
      </c>
    </row>
    <row r="2768" spans="2:2" x14ac:dyDescent="0.3">
      <c r="B2768" s="106" t="str">
        <f t="shared" si="27"/>
        <v/>
      </c>
    </row>
    <row r="2769" spans="2:2" x14ac:dyDescent="0.3">
      <c r="B2769" s="106" t="str">
        <f t="shared" si="27"/>
        <v/>
      </c>
    </row>
    <row r="2770" spans="2:2" x14ac:dyDescent="0.3">
      <c r="B2770" s="106" t="str">
        <f t="shared" si="27"/>
        <v/>
      </c>
    </row>
    <row r="2771" spans="2:2" x14ac:dyDescent="0.3">
      <c r="B2771" s="106" t="str">
        <f t="shared" si="27"/>
        <v/>
      </c>
    </row>
    <row r="2772" spans="2:2" x14ac:dyDescent="0.3">
      <c r="B2772" s="106" t="str">
        <f t="shared" si="27"/>
        <v/>
      </c>
    </row>
    <row r="2773" spans="2:2" x14ac:dyDescent="0.3">
      <c r="B2773" s="106" t="str">
        <f t="shared" si="27"/>
        <v/>
      </c>
    </row>
    <row r="2774" spans="2:2" x14ac:dyDescent="0.3">
      <c r="B2774" s="106" t="str">
        <f t="shared" si="27"/>
        <v/>
      </c>
    </row>
    <row r="2775" spans="2:2" x14ac:dyDescent="0.3">
      <c r="B2775" s="106" t="str">
        <f t="shared" si="27"/>
        <v/>
      </c>
    </row>
    <row r="2776" spans="2:2" x14ac:dyDescent="0.3">
      <c r="B2776" s="106" t="str">
        <f t="shared" si="27"/>
        <v/>
      </c>
    </row>
    <row r="2777" spans="2:2" x14ac:dyDescent="0.3">
      <c r="B2777" s="106" t="str">
        <f t="shared" si="27"/>
        <v/>
      </c>
    </row>
    <row r="2778" spans="2:2" x14ac:dyDescent="0.3">
      <c r="B2778" s="106" t="str">
        <f t="shared" si="27"/>
        <v/>
      </c>
    </row>
    <row r="2779" spans="2:2" x14ac:dyDescent="0.3">
      <c r="B2779" s="106" t="str">
        <f t="shared" si="27"/>
        <v/>
      </c>
    </row>
    <row r="2780" spans="2:2" x14ac:dyDescent="0.3">
      <c r="B2780" s="106" t="str">
        <f t="shared" si="27"/>
        <v/>
      </c>
    </row>
    <row r="2781" spans="2:2" x14ac:dyDescent="0.3">
      <c r="B2781" s="106" t="str">
        <f t="shared" si="27"/>
        <v/>
      </c>
    </row>
    <row r="2782" spans="2:2" x14ac:dyDescent="0.3">
      <c r="B2782" s="106" t="str">
        <f t="shared" si="27"/>
        <v/>
      </c>
    </row>
    <row r="2783" spans="2:2" x14ac:dyDescent="0.3">
      <c r="B2783" s="106" t="str">
        <f t="shared" si="27"/>
        <v/>
      </c>
    </row>
    <row r="2784" spans="2:2" x14ac:dyDescent="0.3">
      <c r="B2784" s="106" t="str">
        <f t="shared" si="27"/>
        <v/>
      </c>
    </row>
    <row r="2785" spans="2:2" x14ac:dyDescent="0.3">
      <c r="B2785" s="106" t="str">
        <f t="shared" si="27"/>
        <v/>
      </c>
    </row>
    <row r="2786" spans="2:2" x14ac:dyDescent="0.3">
      <c r="B2786" s="106" t="str">
        <f t="shared" si="27"/>
        <v/>
      </c>
    </row>
    <row r="2787" spans="2:2" x14ac:dyDescent="0.3">
      <c r="B2787" s="106" t="str">
        <f t="shared" si="27"/>
        <v/>
      </c>
    </row>
    <row r="2788" spans="2:2" x14ac:dyDescent="0.3">
      <c r="B2788" s="106" t="str">
        <f t="shared" si="27"/>
        <v/>
      </c>
    </row>
    <row r="2789" spans="2:2" x14ac:dyDescent="0.3">
      <c r="B2789" s="106" t="str">
        <f t="shared" si="27"/>
        <v/>
      </c>
    </row>
    <row r="2790" spans="2:2" x14ac:dyDescent="0.3">
      <c r="B2790" s="106" t="str">
        <f t="shared" si="27"/>
        <v/>
      </c>
    </row>
    <row r="2791" spans="2:2" x14ac:dyDescent="0.3">
      <c r="B2791" s="106" t="str">
        <f t="shared" si="27"/>
        <v/>
      </c>
    </row>
    <row r="2792" spans="2:2" x14ac:dyDescent="0.3">
      <c r="B2792" s="106" t="str">
        <f t="shared" si="27"/>
        <v/>
      </c>
    </row>
    <row r="2793" spans="2:2" x14ac:dyDescent="0.3">
      <c r="B2793" s="106" t="str">
        <f t="shared" ref="B2793:B2856" si="28">IF($A2793="Daily", "n/a", "")</f>
        <v/>
      </c>
    </row>
    <row r="2794" spans="2:2" x14ac:dyDescent="0.3">
      <c r="B2794" s="106" t="str">
        <f t="shared" si="28"/>
        <v/>
      </c>
    </row>
    <row r="2795" spans="2:2" x14ac:dyDescent="0.3">
      <c r="B2795" s="106" t="str">
        <f t="shared" si="28"/>
        <v/>
      </c>
    </row>
    <row r="2796" spans="2:2" x14ac:dyDescent="0.3">
      <c r="B2796" s="106" t="str">
        <f t="shared" si="28"/>
        <v/>
      </c>
    </row>
    <row r="2797" spans="2:2" x14ac:dyDescent="0.3">
      <c r="B2797" s="106" t="str">
        <f t="shared" si="28"/>
        <v/>
      </c>
    </row>
    <row r="2798" spans="2:2" x14ac:dyDescent="0.3">
      <c r="B2798" s="106" t="str">
        <f t="shared" si="28"/>
        <v/>
      </c>
    </row>
    <row r="2799" spans="2:2" x14ac:dyDescent="0.3">
      <c r="B2799" s="106" t="str">
        <f t="shared" si="28"/>
        <v/>
      </c>
    </row>
    <row r="2800" spans="2:2" x14ac:dyDescent="0.3">
      <c r="B2800" s="106" t="str">
        <f t="shared" si="28"/>
        <v/>
      </c>
    </row>
    <row r="2801" spans="2:2" x14ac:dyDescent="0.3">
      <c r="B2801" s="106" t="str">
        <f t="shared" si="28"/>
        <v/>
      </c>
    </row>
    <row r="2802" spans="2:2" x14ac:dyDescent="0.3">
      <c r="B2802" s="106" t="str">
        <f t="shared" si="28"/>
        <v/>
      </c>
    </row>
    <row r="2803" spans="2:2" x14ac:dyDescent="0.3">
      <c r="B2803" s="106" t="str">
        <f t="shared" si="28"/>
        <v/>
      </c>
    </row>
    <row r="2804" spans="2:2" x14ac:dyDescent="0.3">
      <c r="B2804" s="106" t="str">
        <f t="shared" si="28"/>
        <v/>
      </c>
    </row>
    <row r="2805" spans="2:2" x14ac:dyDescent="0.3">
      <c r="B2805" s="106" t="str">
        <f t="shared" si="28"/>
        <v/>
      </c>
    </row>
    <row r="2806" spans="2:2" x14ac:dyDescent="0.3">
      <c r="B2806" s="106" t="str">
        <f t="shared" si="28"/>
        <v/>
      </c>
    </row>
    <row r="2807" spans="2:2" x14ac:dyDescent="0.3">
      <c r="B2807" s="106" t="str">
        <f t="shared" si="28"/>
        <v/>
      </c>
    </row>
    <row r="2808" spans="2:2" x14ac:dyDescent="0.3">
      <c r="B2808" s="106" t="str">
        <f t="shared" si="28"/>
        <v/>
      </c>
    </row>
    <row r="2809" spans="2:2" x14ac:dyDescent="0.3">
      <c r="B2809" s="106" t="str">
        <f t="shared" si="28"/>
        <v/>
      </c>
    </row>
    <row r="2810" spans="2:2" x14ac:dyDescent="0.3">
      <c r="B2810" s="106" t="str">
        <f t="shared" si="28"/>
        <v/>
      </c>
    </row>
    <row r="2811" spans="2:2" x14ac:dyDescent="0.3">
      <c r="B2811" s="106" t="str">
        <f t="shared" si="28"/>
        <v/>
      </c>
    </row>
    <row r="2812" spans="2:2" x14ac:dyDescent="0.3">
      <c r="B2812" s="106" t="str">
        <f t="shared" si="28"/>
        <v/>
      </c>
    </row>
    <row r="2813" spans="2:2" x14ac:dyDescent="0.3">
      <c r="B2813" s="106" t="str">
        <f t="shared" si="28"/>
        <v/>
      </c>
    </row>
    <row r="2814" spans="2:2" x14ac:dyDescent="0.3">
      <c r="B2814" s="106" t="str">
        <f t="shared" si="28"/>
        <v/>
      </c>
    </row>
    <row r="2815" spans="2:2" x14ac:dyDescent="0.3">
      <c r="B2815" s="106" t="str">
        <f t="shared" si="28"/>
        <v/>
      </c>
    </row>
    <row r="2816" spans="2:2" x14ac:dyDescent="0.3">
      <c r="B2816" s="106" t="str">
        <f t="shared" si="28"/>
        <v/>
      </c>
    </row>
    <row r="2817" spans="2:2" x14ac:dyDescent="0.3">
      <c r="B2817" s="106" t="str">
        <f t="shared" si="28"/>
        <v/>
      </c>
    </row>
    <row r="2818" spans="2:2" x14ac:dyDescent="0.3">
      <c r="B2818" s="106" t="str">
        <f t="shared" si="28"/>
        <v/>
      </c>
    </row>
    <row r="2819" spans="2:2" x14ac:dyDescent="0.3">
      <c r="B2819" s="106" t="str">
        <f t="shared" si="28"/>
        <v/>
      </c>
    </row>
    <row r="2820" spans="2:2" x14ac:dyDescent="0.3">
      <c r="B2820" s="106" t="str">
        <f t="shared" si="28"/>
        <v/>
      </c>
    </row>
    <row r="2821" spans="2:2" x14ac:dyDescent="0.3">
      <c r="B2821" s="106" t="str">
        <f t="shared" si="28"/>
        <v/>
      </c>
    </row>
    <row r="2822" spans="2:2" x14ac:dyDescent="0.3">
      <c r="B2822" s="106" t="str">
        <f t="shared" si="28"/>
        <v/>
      </c>
    </row>
    <row r="2823" spans="2:2" x14ac:dyDescent="0.3">
      <c r="B2823" s="106" t="str">
        <f t="shared" si="28"/>
        <v/>
      </c>
    </row>
    <row r="2824" spans="2:2" x14ac:dyDescent="0.3">
      <c r="B2824" s="106" t="str">
        <f t="shared" si="28"/>
        <v/>
      </c>
    </row>
    <row r="2825" spans="2:2" x14ac:dyDescent="0.3">
      <c r="B2825" s="106" t="str">
        <f t="shared" si="28"/>
        <v/>
      </c>
    </row>
    <row r="2826" spans="2:2" x14ac:dyDescent="0.3">
      <c r="B2826" s="106" t="str">
        <f t="shared" si="28"/>
        <v/>
      </c>
    </row>
    <row r="2827" spans="2:2" x14ac:dyDescent="0.3">
      <c r="B2827" s="106" t="str">
        <f t="shared" si="28"/>
        <v/>
      </c>
    </row>
    <row r="2828" spans="2:2" x14ac:dyDescent="0.3">
      <c r="B2828" s="106" t="str">
        <f t="shared" si="28"/>
        <v/>
      </c>
    </row>
    <row r="2829" spans="2:2" x14ac:dyDescent="0.3">
      <c r="B2829" s="106" t="str">
        <f t="shared" si="28"/>
        <v/>
      </c>
    </row>
    <row r="2830" spans="2:2" x14ac:dyDescent="0.3">
      <c r="B2830" s="106" t="str">
        <f t="shared" si="28"/>
        <v/>
      </c>
    </row>
    <row r="2831" spans="2:2" x14ac:dyDescent="0.3">
      <c r="B2831" s="106" t="str">
        <f t="shared" si="28"/>
        <v/>
      </c>
    </row>
    <row r="2832" spans="2:2" x14ac:dyDescent="0.3">
      <c r="B2832" s="106" t="str">
        <f t="shared" si="28"/>
        <v/>
      </c>
    </row>
    <row r="2833" spans="2:2" x14ac:dyDescent="0.3">
      <c r="B2833" s="106" t="str">
        <f t="shared" si="28"/>
        <v/>
      </c>
    </row>
    <row r="2834" spans="2:2" x14ac:dyDescent="0.3">
      <c r="B2834" s="106" t="str">
        <f t="shared" si="28"/>
        <v/>
      </c>
    </row>
    <row r="2835" spans="2:2" x14ac:dyDescent="0.3">
      <c r="B2835" s="106" t="str">
        <f t="shared" si="28"/>
        <v/>
      </c>
    </row>
    <row r="2836" spans="2:2" x14ac:dyDescent="0.3">
      <c r="B2836" s="106" t="str">
        <f t="shared" si="28"/>
        <v/>
      </c>
    </row>
    <row r="2837" spans="2:2" x14ac:dyDescent="0.3">
      <c r="B2837" s="106" t="str">
        <f t="shared" si="28"/>
        <v/>
      </c>
    </row>
    <row r="2838" spans="2:2" x14ac:dyDescent="0.3">
      <c r="B2838" s="106" t="str">
        <f t="shared" si="28"/>
        <v/>
      </c>
    </row>
    <row r="2839" spans="2:2" x14ac:dyDescent="0.3">
      <c r="B2839" s="106" t="str">
        <f t="shared" si="28"/>
        <v/>
      </c>
    </row>
    <row r="2840" spans="2:2" x14ac:dyDescent="0.3">
      <c r="B2840" s="106" t="str">
        <f t="shared" si="28"/>
        <v/>
      </c>
    </row>
    <row r="2841" spans="2:2" x14ac:dyDescent="0.3">
      <c r="B2841" s="106" t="str">
        <f t="shared" si="28"/>
        <v/>
      </c>
    </row>
    <row r="2842" spans="2:2" x14ac:dyDescent="0.3">
      <c r="B2842" s="106" t="str">
        <f t="shared" si="28"/>
        <v/>
      </c>
    </row>
    <row r="2843" spans="2:2" x14ac:dyDescent="0.3">
      <c r="B2843" s="106" t="str">
        <f t="shared" si="28"/>
        <v/>
      </c>
    </row>
    <row r="2844" spans="2:2" x14ac:dyDescent="0.3">
      <c r="B2844" s="106" t="str">
        <f t="shared" si="28"/>
        <v/>
      </c>
    </row>
    <row r="2845" spans="2:2" x14ac:dyDescent="0.3">
      <c r="B2845" s="106" t="str">
        <f t="shared" si="28"/>
        <v/>
      </c>
    </row>
    <row r="2846" spans="2:2" x14ac:dyDescent="0.3">
      <c r="B2846" s="106" t="str">
        <f t="shared" si="28"/>
        <v/>
      </c>
    </row>
    <row r="2847" spans="2:2" x14ac:dyDescent="0.3">
      <c r="B2847" s="106" t="str">
        <f t="shared" si="28"/>
        <v/>
      </c>
    </row>
    <row r="2848" spans="2:2" x14ac:dyDescent="0.3">
      <c r="B2848" s="106" t="str">
        <f t="shared" si="28"/>
        <v/>
      </c>
    </row>
    <row r="2849" spans="2:2" x14ac:dyDescent="0.3">
      <c r="B2849" s="106" t="str">
        <f t="shared" si="28"/>
        <v/>
      </c>
    </row>
    <row r="2850" spans="2:2" x14ac:dyDescent="0.3">
      <c r="B2850" s="106" t="str">
        <f t="shared" si="28"/>
        <v/>
      </c>
    </row>
    <row r="2851" spans="2:2" x14ac:dyDescent="0.3">
      <c r="B2851" s="106" t="str">
        <f t="shared" si="28"/>
        <v/>
      </c>
    </row>
    <row r="2852" spans="2:2" x14ac:dyDescent="0.3">
      <c r="B2852" s="106" t="str">
        <f t="shared" si="28"/>
        <v/>
      </c>
    </row>
    <row r="2853" spans="2:2" x14ac:dyDescent="0.3">
      <c r="B2853" s="106" t="str">
        <f t="shared" si="28"/>
        <v/>
      </c>
    </row>
    <row r="2854" spans="2:2" x14ac:dyDescent="0.3">
      <c r="B2854" s="106" t="str">
        <f t="shared" si="28"/>
        <v/>
      </c>
    </row>
    <row r="2855" spans="2:2" x14ac:dyDescent="0.3">
      <c r="B2855" s="106" t="str">
        <f t="shared" si="28"/>
        <v/>
      </c>
    </row>
    <row r="2856" spans="2:2" x14ac:dyDescent="0.3">
      <c r="B2856" s="106" t="str">
        <f t="shared" si="28"/>
        <v/>
      </c>
    </row>
    <row r="2857" spans="2:2" x14ac:dyDescent="0.3">
      <c r="B2857" s="106" t="str">
        <f t="shared" ref="B2857:B2920" si="29">IF($A2857="Daily", "n/a", "")</f>
        <v/>
      </c>
    </row>
    <row r="2858" spans="2:2" x14ac:dyDescent="0.3">
      <c r="B2858" s="106" t="str">
        <f t="shared" si="29"/>
        <v/>
      </c>
    </row>
    <row r="2859" spans="2:2" x14ac:dyDescent="0.3">
      <c r="B2859" s="106" t="str">
        <f t="shared" si="29"/>
        <v/>
      </c>
    </row>
    <row r="2860" spans="2:2" x14ac:dyDescent="0.3">
      <c r="B2860" s="106" t="str">
        <f t="shared" si="29"/>
        <v/>
      </c>
    </row>
    <row r="2861" spans="2:2" x14ac:dyDescent="0.3">
      <c r="B2861" s="106" t="str">
        <f t="shared" si="29"/>
        <v/>
      </c>
    </row>
    <row r="2862" spans="2:2" x14ac:dyDescent="0.3">
      <c r="B2862" s="106" t="str">
        <f t="shared" si="29"/>
        <v/>
      </c>
    </row>
    <row r="2863" spans="2:2" x14ac:dyDescent="0.3">
      <c r="B2863" s="106" t="str">
        <f t="shared" si="29"/>
        <v/>
      </c>
    </row>
    <row r="2864" spans="2:2" x14ac:dyDescent="0.3">
      <c r="B2864" s="106" t="str">
        <f t="shared" si="29"/>
        <v/>
      </c>
    </row>
    <row r="2865" spans="2:2" x14ac:dyDescent="0.3">
      <c r="B2865" s="106" t="str">
        <f t="shared" si="29"/>
        <v/>
      </c>
    </row>
    <row r="2866" spans="2:2" x14ac:dyDescent="0.3">
      <c r="B2866" s="106" t="str">
        <f t="shared" si="29"/>
        <v/>
      </c>
    </row>
    <row r="2867" spans="2:2" x14ac:dyDescent="0.3">
      <c r="B2867" s="106" t="str">
        <f t="shared" si="29"/>
        <v/>
      </c>
    </row>
    <row r="2868" spans="2:2" x14ac:dyDescent="0.3">
      <c r="B2868" s="106" t="str">
        <f t="shared" si="29"/>
        <v/>
      </c>
    </row>
    <row r="2869" spans="2:2" x14ac:dyDescent="0.3">
      <c r="B2869" s="106" t="str">
        <f t="shared" si="29"/>
        <v/>
      </c>
    </row>
    <row r="2870" spans="2:2" x14ac:dyDescent="0.3">
      <c r="B2870" s="106" t="str">
        <f t="shared" si="29"/>
        <v/>
      </c>
    </row>
    <row r="2871" spans="2:2" x14ac:dyDescent="0.3">
      <c r="B2871" s="106" t="str">
        <f t="shared" si="29"/>
        <v/>
      </c>
    </row>
    <row r="2872" spans="2:2" x14ac:dyDescent="0.3">
      <c r="B2872" s="106" t="str">
        <f t="shared" si="29"/>
        <v/>
      </c>
    </row>
    <row r="2873" spans="2:2" x14ac:dyDescent="0.3">
      <c r="B2873" s="106" t="str">
        <f t="shared" si="29"/>
        <v/>
      </c>
    </row>
    <row r="2874" spans="2:2" x14ac:dyDescent="0.3">
      <c r="B2874" s="106" t="str">
        <f t="shared" si="29"/>
        <v/>
      </c>
    </row>
    <row r="2875" spans="2:2" x14ac:dyDescent="0.3">
      <c r="B2875" s="106" t="str">
        <f t="shared" si="29"/>
        <v/>
      </c>
    </row>
    <row r="2876" spans="2:2" x14ac:dyDescent="0.3">
      <c r="B2876" s="106" t="str">
        <f t="shared" si="29"/>
        <v/>
      </c>
    </row>
    <row r="2877" spans="2:2" x14ac:dyDescent="0.3">
      <c r="B2877" s="106" t="str">
        <f t="shared" si="29"/>
        <v/>
      </c>
    </row>
    <row r="2878" spans="2:2" x14ac:dyDescent="0.3">
      <c r="B2878" s="106" t="str">
        <f t="shared" si="29"/>
        <v/>
      </c>
    </row>
    <row r="2879" spans="2:2" x14ac:dyDescent="0.3">
      <c r="B2879" s="106" t="str">
        <f t="shared" si="29"/>
        <v/>
      </c>
    </row>
    <row r="2880" spans="2:2" x14ac:dyDescent="0.3">
      <c r="B2880" s="106" t="str">
        <f t="shared" si="29"/>
        <v/>
      </c>
    </row>
    <row r="2881" spans="2:2" x14ac:dyDescent="0.3">
      <c r="B2881" s="106" t="str">
        <f t="shared" si="29"/>
        <v/>
      </c>
    </row>
    <row r="2882" spans="2:2" x14ac:dyDescent="0.3">
      <c r="B2882" s="106" t="str">
        <f t="shared" si="29"/>
        <v/>
      </c>
    </row>
    <row r="2883" spans="2:2" x14ac:dyDescent="0.3">
      <c r="B2883" s="106" t="str">
        <f t="shared" si="29"/>
        <v/>
      </c>
    </row>
    <row r="2884" spans="2:2" x14ac:dyDescent="0.3">
      <c r="B2884" s="106" t="str">
        <f t="shared" si="29"/>
        <v/>
      </c>
    </row>
    <row r="2885" spans="2:2" x14ac:dyDescent="0.3">
      <c r="B2885" s="106" t="str">
        <f t="shared" si="29"/>
        <v/>
      </c>
    </row>
    <row r="2886" spans="2:2" x14ac:dyDescent="0.3">
      <c r="B2886" s="106" t="str">
        <f t="shared" si="29"/>
        <v/>
      </c>
    </row>
    <row r="2887" spans="2:2" x14ac:dyDescent="0.3">
      <c r="B2887" s="106" t="str">
        <f t="shared" si="29"/>
        <v/>
      </c>
    </row>
    <row r="2888" spans="2:2" x14ac:dyDescent="0.3">
      <c r="B2888" s="106" t="str">
        <f t="shared" si="29"/>
        <v/>
      </c>
    </row>
    <row r="2889" spans="2:2" x14ac:dyDescent="0.3">
      <c r="B2889" s="106" t="str">
        <f t="shared" si="29"/>
        <v/>
      </c>
    </row>
    <row r="2890" spans="2:2" x14ac:dyDescent="0.3">
      <c r="B2890" s="106" t="str">
        <f t="shared" si="29"/>
        <v/>
      </c>
    </row>
    <row r="2891" spans="2:2" x14ac:dyDescent="0.3">
      <c r="B2891" s="106" t="str">
        <f t="shared" si="29"/>
        <v/>
      </c>
    </row>
    <row r="2892" spans="2:2" x14ac:dyDescent="0.3">
      <c r="B2892" s="106" t="str">
        <f t="shared" si="29"/>
        <v/>
      </c>
    </row>
    <row r="2893" spans="2:2" x14ac:dyDescent="0.3">
      <c r="B2893" s="106" t="str">
        <f t="shared" si="29"/>
        <v/>
      </c>
    </row>
    <row r="2894" spans="2:2" x14ac:dyDescent="0.3">
      <c r="B2894" s="106" t="str">
        <f t="shared" si="29"/>
        <v/>
      </c>
    </row>
    <row r="2895" spans="2:2" x14ac:dyDescent="0.3">
      <c r="B2895" s="106" t="str">
        <f t="shared" si="29"/>
        <v/>
      </c>
    </row>
    <row r="2896" spans="2:2" x14ac:dyDescent="0.3">
      <c r="B2896" s="106" t="str">
        <f t="shared" si="29"/>
        <v/>
      </c>
    </row>
    <row r="2897" spans="2:2" x14ac:dyDescent="0.3">
      <c r="B2897" s="106" t="str">
        <f t="shared" si="29"/>
        <v/>
      </c>
    </row>
    <row r="2898" spans="2:2" x14ac:dyDescent="0.3">
      <c r="B2898" s="106" t="str">
        <f t="shared" si="29"/>
        <v/>
      </c>
    </row>
    <row r="2899" spans="2:2" x14ac:dyDescent="0.3">
      <c r="B2899" s="106" t="str">
        <f t="shared" si="29"/>
        <v/>
      </c>
    </row>
    <row r="2900" spans="2:2" x14ac:dyDescent="0.3">
      <c r="B2900" s="106" t="str">
        <f t="shared" si="29"/>
        <v/>
      </c>
    </row>
    <row r="2901" spans="2:2" x14ac:dyDescent="0.3">
      <c r="B2901" s="106" t="str">
        <f t="shared" si="29"/>
        <v/>
      </c>
    </row>
    <row r="2902" spans="2:2" x14ac:dyDescent="0.3">
      <c r="B2902" s="106" t="str">
        <f t="shared" si="29"/>
        <v/>
      </c>
    </row>
    <row r="2903" spans="2:2" x14ac:dyDescent="0.3">
      <c r="B2903" s="106" t="str">
        <f t="shared" si="29"/>
        <v/>
      </c>
    </row>
    <row r="2904" spans="2:2" x14ac:dyDescent="0.3">
      <c r="B2904" s="106" t="str">
        <f t="shared" si="29"/>
        <v/>
      </c>
    </row>
    <row r="2905" spans="2:2" x14ac:dyDescent="0.3">
      <c r="B2905" s="106" t="str">
        <f t="shared" si="29"/>
        <v/>
      </c>
    </row>
    <row r="2906" spans="2:2" x14ac:dyDescent="0.3">
      <c r="B2906" s="106" t="str">
        <f t="shared" si="29"/>
        <v/>
      </c>
    </row>
    <row r="2907" spans="2:2" x14ac:dyDescent="0.3">
      <c r="B2907" s="106" t="str">
        <f t="shared" si="29"/>
        <v/>
      </c>
    </row>
    <row r="2908" spans="2:2" x14ac:dyDescent="0.3">
      <c r="B2908" s="106" t="str">
        <f t="shared" si="29"/>
        <v/>
      </c>
    </row>
    <row r="2909" spans="2:2" x14ac:dyDescent="0.3">
      <c r="B2909" s="106" t="str">
        <f t="shared" si="29"/>
        <v/>
      </c>
    </row>
    <row r="2910" spans="2:2" x14ac:dyDescent="0.3">
      <c r="B2910" s="106" t="str">
        <f t="shared" si="29"/>
        <v/>
      </c>
    </row>
    <row r="2911" spans="2:2" x14ac:dyDescent="0.3">
      <c r="B2911" s="106" t="str">
        <f t="shared" si="29"/>
        <v/>
      </c>
    </row>
    <row r="2912" spans="2:2" x14ac:dyDescent="0.3">
      <c r="B2912" s="106" t="str">
        <f t="shared" si="29"/>
        <v/>
      </c>
    </row>
    <row r="2913" spans="2:2" x14ac:dyDescent="0.3">
      <c r="B2913" s="106" t="str">
        <f t="shared" si="29"/>
        <v/>
      </c>
    </row>
    <row r="2914" spans="2:2" x14ac:dyDescent="0.3">
      <c r="B2914" s="106" t="str">
        <f t="shared" si="29"/>
        <v/>
      </c>
    </row>
    <row r="2915" spans="2:2" x14ac:dyDescent="0.3">
      <c r="B2915" s="106" t="str">
        <f t="shared" si="29"/>
        <v/>
      </c>
    </row>
    <row r="2916" spans="2:2" x14ac:dyDescent="0.3">
      <c r="B2916" s="106" t="str">
        <f t="shared" si="29"/>
        <v/>
      </c>
    </row>
    <row r="2917" spans="2:2" x14ac:dyDescent="0.3">
      <c r="B2917" s="106" t="str">
        <f t="shared" si="29"/>
        <v/>
      </c>
    </row>
    <row r="2918" spans="2:2" x14ac:dyDescent="0.3">
      <c r="B2918" s="106" t="str">
        <f t="shared" si="29"/>
        <v/>
      </c>
    </row>
    <row r="2919" spans="2:2" x14ac:dyDescent="0.3">
      <c r="B2919" s="106" t="str">
        <f t="shared" si="29"/>
        <v/>
      </c>
    </row>
    <row r="2920" spans="2:2" x14ac:dyDescent="0.3">
      <c r="B2920" s="106" t="str">
        <f t="shared" si="29"/>
        <v/>
      </c>
    </row>
    <row r="2921" spans="2:2" x14ac:dyDescent="0.3">
      <c r="B2921" s="106" t="str">
        <f t="shared" ref="B2921:B2984" si="30">IF($A2921="Daily", "n/a", "")</f>
        <v/>
      </c>
    </row>
    <row r="2922" spans="2:2" x14ac:dyDescent="0.3">
      <c r="B2922" s="106" t="str">
        <f t="shared" si="30"/>
        <v/>
      </c>
    </row>
    <row r="2923" spans="2:2" x14ac:dyDescent="0.3">
      <c r="B2923" s="106" t="str">
        <f t="shared" si="30"/>
        <v/>
      </c>
    </row>
    <row r="2924" spans="2:2" x14ac:dyDescent="0.3">
      <c r="B2924" s="106" t="str">
        <f t="shared" si="30"/>
        <v/>
      </c>
    </row>
    <row r="2925" spans="2:2" x14ac:dyDescent="0.3">
      <c r="B2925" s="106" t="str">
        <f t="shared" si="30"/>
        <v/>
      </c>
    </row>
    <row r="2926" spans="2:2" x14ac:dyDescent="0.3">
      <c r="B2926" s="106" t="str">
        <f t="shared" si="30"/>
        <v/>
      </c>
    </row>
    <row r="2927" spans="2:2" x14ac:dyDescent="0.3">
      <c r="B2927" s="106" t="str">
        <f t="shared" si="30"/>
        <v/>
      </c>
    </row>
    <row r="2928" spans="2:2" x14ac:dyDescent="0.3">
      <c r="B2928" s="106" t="str">
        <f t="shared" si="30"/>
        <v/>
      </c>
    </row>
    <row r="2929" spans="2:2" x14ac:dyDescent="0.3">
      <c r="B2929" s="106" t="str">
        <f t="shared" si="30"/>
        <v/>
      </c>
    </row>
    <row r="2930" spans="2:2" x14ac:dyDescent="0.3">
      <c r="B2930" s="106" t="str">
        <f t="shared" si="30"/>
        <v/>
      </c>
    </row>
    <row r="2931" spans="2:2" x14ac:dyDescent="0.3">
      <c r="B2931" s="106" t="str">
        <f t="shared" si="30"/>
        <v/>
      </c>
    </row>
    <row r="2932" spans="2:2" x14ac:dyDescent="0.3">
      <c r="B2932" s="106" t="str">
        <f t="shared" si="30"/>
        <v/>
      </c>
    </row>
    <row r="2933" spans="2:2" x14ac:dyDescent="0.3">
      <c r="B2933" s="106" t="str">
        <f t="shared" si="30"/>
        <v/>
      </c>
    </row>
    <row r="2934" spans="2:2" x14ac:dyDescent="0.3">
      <c r="B2934" s="106" t="str">
        <f t="shared" si="30"/>
        <v/>
      </c>
    </row>
    <row r="2935" spans="2:2" x14ac:dyDescent="0.3">
      <c r="B2935" s="106" t="str">
        <f t="shared" si="30"/>
        <v/>
      </c>
    </row>
    <row r="2936" spans="2:2" x14ac:dyDescent="0.3">
      <c r="B2936" s="106" t="str">
        <f t="shared" si="30"/>
        <v/>
      </c>
    </row>
    <row r="2937" spans="2:2" x14ac:dyDescent="0.3">
      <c r="B2937" s="106" t="str">
        <f t="shared" si="30"/>
        <v/>
      </c>
    </row>
    <row r="2938" spans="2:2" x14ac:dyDescent="0.3">
      <c r="B2938" s="106" t="str">
        <f t="shared" si="30"/>
        <v/>
      </c>
    </row>
    <row r="2939" spans="2:2" x14ac:dyDescent="0.3">
      <c r="B2939" s="106" t="str">
        <f t="shared" si="30"/>
        <v/>
      </c>
    </row>
    <row r="2940" spans="2:2" x14ac:dyDescent="0.3">
      <c r="B2940" s="106" t="str">
        <f t="shared" si="30"/>
        <v/>
      </c>
    </row>
    <row r="2941" spans="2:2" x14ac:dyDescent="0.3">
      <c r="B2941" s="106" t="str">
        <f t="shared" si="30"/>
        <v/>
      </c>
    </row>
    <row r="2942" spans="2:2" x14ac:dyDescent="0.3">
      <c r="B2942" s="106" t="str">
        <f t="shared" si="30"/>
        <v/>
      </c>
    </row>
    <row r="2943" spans="2:2" x14ac:dyDescent="0.3">
      <c r="B2943" s="106" t="str">
        <f t="shared" si="30"/>
        <v/>
      </c>
    </row>
    <row r="2944" spans="2:2" x14ac:dyDescent="0.3">
      <c r="B2944" s="106" t="str">
        <f t="shared" si="30"/>
        <v/>
      </c>
    </row>
    <row r="2945" spans="2:2" x14ac:dyDescent="0.3">
      <c r="B2945" s="106" t="str">
        <f t="shared" si="30"/>
        <v/>
      </c>
    </row>
    <row r="2946" spans="2:2" x14ac:dyDescent="0.3">
      <c r="B2946" s="106" t="str">
        <f t="shared" si="30"/>
        <v/>
      </c>
    </row>
    <row r="2947" spans="2:2" x14ac:dyDescent="0.3">
      <c r="B2947" s="106" t="str">
        <f t="shared" si="30"/>
        <v/>
      </c>
    </row>
    <row r="2948" spans="2:2" x14ac:dyDescent="0.3">
      <c r="B2948" s="106" t="str">
        <f t="shared" si="30"/>
        <v/>
      </c>
    </row>
    <row r="2949" spans="2:2" x14ac:dyDescent="0.3">
      <c r="B2949" s="106" t="str">
        <f t="shared" si="30"/>
        <v/>
      </c>
    </row>
    <row r="2950" spans="2:2" x14ac:dyDescent="0.3">
      <c r="B2950" s="106" t="str">
        <f t="shared" si="30"/>
        <v/>
      </c>
    </row>
    <row r="2951" spans="2:2" x14ac:dyDescent="0.3">
      <c r="B2951" s="106" t="str">
        <f t="shared" si="30"/>
        <v/>
      </c>
    </row>
    <row r="2952" spans="2:2" x14ac:dyDescent="0.3">
      <c r="B2952" s="106" t="str">
        <f t="shared" si="30"/>
        <v/>
      </c>
    </row>
    <row r="2953" spans="2:2" x14ac:dyDescent="0.3">
      <c r="B2953" s="106" t="str">
        <f t="shared" si="30"/>
        <v/>
      </c>
    </row>
    <row r="2954" spans="2:2" x14ac:dyDescent="0.3">
      <c r="B2954" s="106" t="str">
        <f t="shared" si="30"/>
        <v/>
      </c>
    </row>
    <row r="2955" spans="2:2" x14ac:dyDescent="0.3">
      <c r="B2955" s="106" t="str">
        <f t="shared" si="30"/>
        <v/>
      </c>
    </row>
    <row r="2956" spans="2:2" x14ac:dyDescent="0.3">
      <c r="B2956" s="106" t="str">
        <f t="shared" si="30"/>
        <v/>
      </c>
    </row>
    <row r="2957" spans="2:2" x14ac:dyDescent="0.3">
      <c r="B2957" s="106" t="str">
        <f t="shared" si="30"/>
        <v/>
      </c>
    </row>
    <row r="2958" spans="2:2" x14ac:dyDescent="0.3">
      <c r="B2958" s="106" t="str">
        <f t="shared" si="30"/>
        <v/>
      </c>
    </row>
    <row r="2959" spans="2:2" x14ac:dyDescent="0.3">
      <c r="B2959" s="106" t="str">
        <f t="shared" si="30"/>
        <v/>
      </c>
    </row>
    <row r="2960" spans="2:2" x14ac:dyDescent="0.3">
      <c r="B2960" s="106" t="str">
        <f t="shared" si="30"/>
        <v/>
      </c>
    </row>
    <row r="2961" spans="2:2" x14ac:dyDescent="0.3">
      <c r="B2961" s="106" t="str">
        <f t="shared" si="30"/>
        <v/>
      </c>
    </row>
    <row r="2962" spans="2:2" x14ac:dyDescent="0.3">
      <c r="B2962" s="106" t="str">
        <f t="shared" si="30"/>
        <v/>
      </c>
    </row>
    <row r="2963" spans="2:2" x14ac:dyDescent="0.3">
      <c r="B2963" s="106" t="str">
        <f t="shared" si="30"/>
        <v/>
      </c>
    </row>
    <row r="2964" spans="2:2" x14ac:dyDescent="0.3">
      <c r="B2964" s="106" t="str">
        <f t="shared" si="30"/>
        <v/>
      </c>
    </row>
    <row r="2965" spans="2:2" x14ac:dyDescent="0.3">
      <c r="B2965" s="106" t="str">
        <f t="shared" si="30"/>
        <v/>
      </c>
    </row>
    <row r="2966" spans="2:2" x14ac:dyDescent="0.3">
      <c r="B2966" s="106" t="str">
        <f t="shared" si="30"/>
        <v/>
      </c>
    </row>
    <row r="2967" spans="2:2" x14ac:dyDescent="0.3">
      <c r="B2967" s="106" t="str">
        <f t="shared" si="30"/>
        <v/>
      </c>
    </row>
    <row r="2968" spans="2:2" x14ac:dyDescent="0.3">
      <c r="B2968" s="106" t="str">
        <f t="shared" si="30"/>
        <v/>
      </c>
    </row>
    <row r="2969" spans="2:2" x14ac:dyDescent="0.3">
      <c r="B2969" s="106" t="str">
        <f t="shared" si="30"/>
        <v/>
      </c>
    </row>
    <row r="2970" spans="2:2" x14ac:dyDescent="0.3">
      <c r="B2970" s="106" t="str">
        <f t="shared" si="30"/>
        <v/>
      </c>
    </row>
    <row r="2971" spans="2:2" x14ac:dyDescent="0.3">
      <c r="B2971" s="106" t="str">
        <f t="shared" si="30"/>
        <v/>
      </c>
    </row>
    <row r="2972" spans="2:2" x14ac:dyDescent="0.3">
      <c r="B2972" s="106" t="str">
        <f t="shared" si="30"/>
        <v/>
      </c>
    </row>
    <row r="2973" spans="2:2" x14ac:dyDescent="0.3">
      <c r="B2973" s="106" t="str">
        <f t="shared" si="30"/>
        <v/>
      </c>
    </row>
    <row r="2974" spans="2:2" x14ac:dyDescent="0.3">
      <c r="B2974" s="106" t="str">
        <f t="shared" si="30"/>
        <v/>
      </c>
    </row>
    <row r="2975" spans="2:2" x14ac:dyDescent="0.3">
      <c r="B2975" s="106" t="str">
        <f t="shared" si="30"/>
        <v/>
      </c>
    </row>
    <row r="2976" spans="2:2" x14ac:dyDescent="0.3">
      <c r="B2976" s="106" t="str">
        <f t="shared" si="30"/>
        <v/>
      </c>
    </row>
    <row r="2977" spans="2:2" x14ac:dyDescent="0.3">
      <c r="B2977" s="106" t="str">
        <f t="shared" si="30"/>
        <v/>
      </c>
    </row>
    <row r="2978" spans="2:2" x14ac:dyDescent="0.3">
      <c r="B2978" s="106" t="str">
        <f t="shared" si="30"/>
        <v/>
      </c>
    </row>
    <row r="2979" spans="2:2" x14ac:dyDescent="0.3">
      <c r="B2979" s="106" t="str">
        <f t="shared" si="30"/>
        <v/>
      </c>
    </row>
    <row r="2980" spans="2:2" x14ac:dyDescent="0.3">
      <c r="B2980" s="106" t="str">
        <f t="shared" si="30"/>
        <v/>
      </c>
    </row>
    <row r="2981" spans="2:2" x14ac:dyDescent="0.3">
      <c r="B2981" s="106" t="str">
        <f t="shared" si="30"/>
        <v/>
      </c>
    </row>
    <row r="2982" spans="2:2" x14ac:dyDescent="0.3">
      <c r="B2982" s="106" t="str">
        <f t="shared" si="30"/>
        <v/>
      </c>
    </row>
    <row r="2983" spans="2:2" x14ac:dyDescent="0.3">
      <c r="B2983" s="106" t="str">
        <f t="shared" si="30"/>
        <v/>
      </c>
    </row>
    <row r="2984" spans="2:2" x14ac:dyDescent="0.3">
      <c r="B2984" s="106" t="str">
        <f t="shared" si="30"/>
        <v/>
      </c>
    </row>
    <row r="2985" spans="2:2" x14ac:dyDescent="0.3">
      <c r="B2985" s="106" t="str">
        <f t="shared" ref="B2985:B3048" si="31">IF($A2985="Daily", "n/a", "")</f>
        <v/>
      </c>
    </row>
    <row r="2986" spans="2:2" x14ac:dyDescent="0.3">
      <c r="B2986" s="106" t="str">
        <f t="shared" si="31"/>
        <v/>
      </c>
    </row>
    <row r="2987" spans="2:2" x14ac:dyDescent="0.3">
      <c r="B2987" s="106" t="str">
        <f t="shared" si="31"/>
        <v/>
      </c>
    </row>
    <row r="2988" spans="2:2" x14ac:dyDescent="0.3">
      <c r="B2988" s="106" t="str">
        <f t="shared" si="31"/>
        <v/>
      </c>
    </row>
    <row r="2989" spans="2:2" x14ac:dyDescent="0.3">
      <c r="B2989" s="106" t="str">
        <f t="shared" si="31"/>
        <v/>
      </c>
    </row>
    <row r="2990" spans="2:2" x14ac:dyDescent="0.3">
      <c r="B2990" s="106" t="str">
        <f t="shared" si="31"/>
        <v/>
      </c>
    </row>
    <row r="2991" spans="2:2" x14ac:dyDescent="0.3">
      <c r="B2991" s="106" t="str">
        <f t="shared" si="31"/>
        <v/>
      </c>
    </row>
    <row r="2992" spans="2:2" x14ac:dyDescent="0.3">
      <c r="B2992" s="106" t="str">
        <f t="shared" si="31"/>
        <v/>
      </c>
    </row>
    <row r="2993" spans="2:2" x14ac:dyDescent="0.3">
      <c r="B2993" s="106" t="str">
        <f t="shared" si="31"/>
        <v/>
      </c>
    </row>
    <row r="2994" spans="2:2" x14ac:dyDescent="0.3">
      <c r="B2994" s="106" t="str">
        <f t="shared" si="31"/>
        <v/>
      </c>
    </row>
    <row r="2995" spans="2:2" x14ac:dyDescent="0.3">
      <c r="B2995" s="106" t="str">
        <f t="shared" si="31"/>
        <v/>
      </c>
    </row>
    <row r="2996" spans="2:2" x14ac:dyDescent="0.3">
      <c r="B2996" s="106" t="str">
        <f t="shared" si="31"/>
        <v/>
      </c>
    </row>
    <row r="2997" spans="2:2" x14ac:dyDescent="0.3">
      <c r="B2997" s="106" t="str">
        <f t="shared" si="31"/>
        <v/>
      </c>
    </row>
    <row r="2998" spans="2:2" x14ac:dyDescent="0.3">
      <c r="B2998" s="106" t="str">
        <f t="shared" si="31"/>
        <v/>
      </c>
    </row>
    <row r="2999" spans="2:2" x14ac:dyDescent="0.3">
      <c r="B2999" s="106" t="str">
        <f t="shared" si="31"/>
        <v/>
      </c>
    </row>
    <row r="3000" spans="2:2" x14ac:dyDescent="0.3">
      <c r="B3000" s="106" t="str">
        <f t="shared" si="31"/>
        <v/>
      </c>
    </row>
    <row r="3001" spans="2:2" x14ac:dyDescent="0.3">
      <c r="B3001" s="106" t="str">
        <f t="shared" si="31"/>
        <v/>
      </c>
    </row>
    <row r="3002" spans="2:2" x14ac:dyDescent="0.3">
      <c r="B3002" s="106" t="str">
        <f t="shared" si="31"/>
        <v/>
      </c>
    </row>
    <row r="3003" spans="2:2" x14ac:dyDescent="0.3">
      <c r="B3003" s="106" t="str">
        <f t="shared" si="31"/>
        <v/>
      </c>
    </row>
    <row r="3004" spans="2:2" x14ac:dyDescent="0.3">
      <c r="B3004" s="106" t="str">
        <f t="shared" si="31"/>
        <v/>
      </c>
    </row>
    <row r="3005" spans="2:2" x14ac:dyDescent="0.3">
      <c r="B3005" s="106" t="str">
        <f t="shared" si="31"/>
        <v/>
      </c>
    </row>
    <row r="3006" spans="2:2" x14ac:dyDescent="0.3">
      <c r="B3006" s="106" t="str">
        <f t="shared" si="31"/>
        <v/>
      </c>
    </row>
    <row r="3007" spans="2:2" x14ac:dyDescent="0.3">
      <c r="B3007" s="106" t="str">
        <f t="shared" si="31"/>
        <v/>
      </c>
    </row>
    <row r="3008" spans="2:2" x14ac:dyDescent="0.3">
      <c r="B3008" s="106" t="str">
        <f t="shared" si="31"/>
        <v/>
      </c>
    </row>
    <row r="3009" spans="2:2" x14ac:dyDescent="0.3">
      <c r="B3009" s="106" t="str">
        <f t="shared" si="31"/>
        <v/>
      </c>
    </row>
    <row r="3010" spans="2:2" x14ac:dyDescent="0.3">
      <c r="B3010" s="106" t="str">
        <f t="shared" si="31"/>
        <v/>
      </c>
    </row>
    <row r="3011" spans="2:2" x14ac:dyDescent="0.3">
      <c r="B3011" s="106" t="str">
        <f t="shared" si="31"/>
        <v/>
      </c>
    </row>
    <row r="3012" spans="2:2" x14ac:dyDescent="0.3">
      <c r="B3012" s="106" t="str">
        <f t="shared" si="31"/>
        <v/>
      </c>
    </row>
    <row r="3013" spans="2:2" x14ac:dyDescent="0.3">
      <c r="B3013" s="106" t="str">
        <f t="shared" si="31"/>
        <v/>
      </c>
    </row>
    <row r="3014" spans="2:2" x14ac:dyDescent="0.3">
      <c r="B3014" s="106" t="str">
        <f t="shared" si="31"/>
        <v/>
      </c>
    </row>
    <row r="3015" spans="2:2" x14ac:dyDescent="0.3">
      <c r="B3015" s="106" t="str">
        <f t="shared" si="31"/>
        <v/>
      </c>
    </row>
    <row r="3016" spans="2:2" x14ac:dyDescent="0.3">
      <c r="B3016" s="106" t="str">
        <f t="shared" si="31"/>
        <v/>
      </c>
    </row>
    <row r="3017" spans="2:2" x14ac:dyDescent="0.3">
      <c r="B3017" s="106" t="str">
        <f t="shared" si="31"/>
        <v/>
      </c>
    </row>
    <row r="3018" spans="2:2" x14ac:dyDescent="0.3">
      <c r="B3018" s="106" t="str">
        <f t="shared" si="31"/>
        <v/>
      </c>
    </row>
    <row r="3019" spans="2:2" x14ac:dyDescent="0.3">
      <c r="B3019" s="106" t="str">
        <f t="shared" si="31"/>
        <v/>
      </c>
    </row>
    <row r="3020" spans="2:2" x14ac:dyDescent="0.3">
      <c r="B3020" s="106" t="str">
        <f t="shared" si="31"/>
        <v/>
      </c>
    </row>
    <row r="3021" spans="2:2" x14ac:dyDescent="0.3">
      <c r="B3021" s="106" t="str">
        <f t="shared" si="31"/>
        <v/>
      </c>
    </row>
    <row r="3022" spans="2:2" x14ac:dyDescent="0.3">
      <c r="B3022" s="106" t="str">
        <f t="shared" si="31"/>
        <v/>
      </c>
    </row>
    <row r="3023" spans="2:2" x14ac:dyDescent="0.3">
      <c r="B3023" s="106" t="str">
        <f t="shared" si="31"/>
        <v/>
      </c>
    </row>
    <row r="3024" spans="2:2" x14ac:dyDescent="0.3">
      <c r="B3024" s="106" t="str">
        <f t="shared" si="31"/>
        <v/>
      </c>
    </row>
    <row r="3025" spans="2:2" x14ac:dyDescent="0.3">
      <c r="B3025" s="106" t="str">
        <f t="shared" si="31"/>
        <v/>
      </c>
    </row>
    <row r="3026" spans="2:2" x14ac:dyDescent="0.3">
      <c r="B3026" s="106" t="str">
        <f t="shared" si="31"/>
        <v/>
      </c>
    </row>
    <row r="3027" spans="2:2" x14ac:dyDescent="0.3">
      <c r="B3027" s="106" t="str">
        <f t="shared" si="31"/>
        <v/>
      </c>
    </row>
    <row r="3028" spans="2:2" x14ac:dyDescent="0.3">
      <c r="B3028" s="106" t="str">
        <f t="shared" si="31"/>
        <v/>
      </c>
    </row>
    <row r="3029" spans="2:2" x14ac:dyDescent="0.3">
      <c r="B3029" s="106" t="str">
        <f t="shared" si="31"/>
        <v/>
      </c>
    </row>
    <row r="3030" spans="2:2" x14ac:dyDescent="0.3">
      <c r="B3030" s="106" t="str">
        <f t="shared" si="31"/>
        <v/>
      </c>
    </row>
    <row r="3031" spans="2:2" x14ac:dyDescent="0.3">
      <c r="B3031" s="106" t="str">
        <f t="shared" si="31"/>
        <v/>
      </c>
    </row>
    <row r="3032" spans="2:2" x14ac:dyDescent="0.3">
      <c r="B3032" s="106" t="str">
        <f t="shared" si="31"/>
        <v/>
      </c>
    </row>
    <row r="3033" spans="2:2" x14ac:dyDescent="0.3">
      <c r="B3033" s="106" t="str">
        <f t="shared" si="31"/>
        <v/>
      </c>
    </row>
    <row r="3034" spans="2:2" x14ac:dyDescent="0.3">
      <c r="B3034" s="106" t="str">
        <f t="shared" si="31"/>
        <v/>
      </c>
    </row>
    <row r="3035" spans="2:2" x14ac:dyDescent="0.3">
      <c r="B3035" s="106" t="str">
        <f t="shared" si="31"/>
        <v/>
      </c>
    </row>
    <row r="3036" spans="2:2" x14ac:dyDescent="0.3">
      <c r="B3036" s="106" t="str">
        <f t="shared" si="31"/>
        <v/>
      </c>
    </row>
    <row r="3037" spans="2:2" x14ac:dyDescent="0.3">
      <c r="B3037" s="106" t="str">
        <f t="shared" si="31"/>
        <v/>
      </c>
    </row>
    <row r="3038" spans="2:2" x14ac:dyDescent="0.3">
      <c r="B3038" s="106" t="str">
        <f t="shared" si="31"/>
        <v/>
      </c>
    </row>
    <row r="3039" spans="2:2" x14ac:dyDescent="0.3">
      <c r="B3039" s="106" t="str">
        <f t="shared" si="31"/>
        <v/>
      </c>
    </row>
    <row r="3040" spans="2:2" x14ac:dyDescent="0.3">
      <c r="B3040" s="106" t="str">
        <f t="shared" si="31"/>
        <v/>
      </c>
    </row>
    <row r="3041" spans="2:2" x14ac:dyDescent="0.3">
      <c r="B3041" s="106" t="str">
        <f t="shared" si="31"/>
        <v/>
      </c>
    </row>
    <row r="3042" spans="2:2" x14ac:dyDescent="0.3">
      <c r="B3042" s="106" t="str">
        <f t="shared" si="31"/>
        <v/>
      </c>
    </row>
    <row r="3043" spans="2:2" x14ac:dyDescent="0.3">
      <c r="B3043" s="106" t="str">
        <f t="shared" si="31"/>
        <v/>
      </c>
    </row>
    <row r="3044" spans="2:2" x14ac:dyDescent="0.3">
      <c r="B3044" s="106" t="str">
        <f t="shared" si="31"/>
        <v/>
      </c>
    </row>
    <row r="3045" spans="2:2" x14ac:dyDescent="0.3">
      <c r="B3045" s="106" t="str">
        <f t="shared" si="31"/>
        <v/>
      </c>
    </row>
    <row r="3046" spans="2:2" x14ac:dyDescent="0.3">
      <c r="B3046" s="106" t="str">
        <f t="shared" si="31"/>
        <v/>
      </c>
    </row>
    <row r="3047" spans="2:2" x14ac:dyDescent="0.3">
      <c r="B3047" s="106" t="str">
        <f t="shared" si="31"/>
        <v/>
      </c>
    </row>
    <row r="3048" spans="2:2" x14ac:dyDescent="0.3">
      <c r="B3048" s="106" t="str">
        <f t="shared" si="31"/>
        <v/>
      </c>
    </row>
    <row r="3049" spans="2:2" x14ac:dyDescent="0.3">
      <c r="B3049" s="106" t="str">
        <f t="shared" ref="B3049:B3117" si="32">IF($A3049="Daily", "n/a", "")</f>
        <v/>
      </c>
    </row>
    <row r="3050" spans="2:2" x14ac:dyDescent="0.3">
      <c r="B3050" s="106" t="str">
        <f t="shared" si="32"/>
        <v/>
      </c>
    </row>
    <row r="3051" spans="2:2" x14ac:dyDescent="0.3">
      <c r="B3051" s="106" t="str">
        <f t="shared" si="32"/>
        <v/>
      </c>
    </row>
    <row r="3052" spans="2:2" x14ac:dyDescent="0.3">
      <c r="B3052" s="106" t="str">
        <f t="shared" si="32"/>
        <v/>
      </c>
    </row>
    <row r="3053" spans="2:2" x14ac:dyDescent="0.3">
      <c r="B3053" s="106" t="str">
        <f t="shared" si="32"/>
        <v/>
      </c>
    </row>
    <row r="3054" spans="2:2" x14ac:dyDescent="0.3">
      <c r="B3054" s="106" t="str">
        <f t="shared" si="32"/>
        <v/>
      </c>
    </row>
    <row r="3055" spans="2:2" x14ac:dyDescent="0.3">
      <c r="B3055" s="106" t="str">
        <f t="shared" si="32"/>
        <v/>
      </c>
    </row>
    <row r="3056" spans="2:2" x14ac:dyDescent="0.3">
      <c r="B3056" s="106" t="str">
        <f t="shared" si="32"/>
        <v/>
      </c>
    </row>
    <row r="3057" spans="2:2" x14ac:dyDescent="0.3">
      <c r="B3057" s="106" t="str">
        <f t="shared" si="32"/>
        <v/>
      </c>
    </row>
    <row r="3058" spans="2:2" x14ac:dyDescent="0.3">
      <c r="B3058" s="106" t="str">
        <f t="shared" si="32"/>
        <v/>
      </c>
    </row>
    <row r="3059" spans="2:2" x14ac:dyDescent="0.3">
      <c r="B3059" s="106" t="str">
        <f t="shared" si="32"/>
        <v/>
      </c>
    </row>
    <row r="3060" spans="2:2" x14ac:dyDescent="0.3">
      <c r="B3060" s="106" t="str">
        <f t="shared" si="32"/>
        <v/>
      </c>
    </row>
    <row r="3061" spans="2:2" x14ac:dyDescent="0.3">
      <c r="B3061" s="106" t="str">
        <f t="shared" si="32"/>
        <v/>
      </c>
    </row>
    <row r="3062" spans="2:2" x14ac:dyDescent="0.3">
      <c r="B3062" s="106" t="str">
        <f t="shared" si="32"/>
        <v/>
      </c>
    </row>
    <row r="3063" spans="2:2" x14ac:dyDescent="0.3">
      <c r="B3063" s="106" t="str">
        <f t="shared" si="32"/>
        <v/>
      </c>
    </row>
    <row r="3064" spans="2:2" x14ac:dyDescent="0.3">
      <c r="B3064" s="106" t="str">
        <f t="shared" si="32"/>
        <v/>
      </c>
    </row>
    <row r="3065" spans="2:2" x14ac:dyDescent="0.3">
      <c r="B3065" s="106" t="str">
        <f t="shared" si="32"/>
        <v/>
      </c>
    </row>
    <row r="3066" spans="2:2" x14ac:dyDescent="0.3">
      <c r="B3066" s="106" t="str">
        <f t="shared" si="32"/>
        <v/>
      </c>
    </row>
    <row r="3067" spans="2:2" x14ac:dyDescent="0.3">
      <c r="B3067" s="106" t="str">
        <f t="shared" si="32"/>
        <v/>
      </c>
    </row>
    <row r="3068" spans="2:2" x14ac:dyDescent="0.3">
      <c r="B3068" s="106" t="str">
        <f t="shared" si="32"/>
        <v/>
      </c>
    </row>
    <row r="3069" spans="2:2" x14ac:dyDescent="0.3">
      <c r="B3069" s="106" t="str">
        <f t="shared" si="32"/>
        <v/>
      </c>
    </row>
    <row r="3070" spans="2:2" x14ac:dyDescent="0.3">
      <c r="B3070" s="106" t="str">
        <f t="shared" si="32"/>
        <v/>
      </c>
    </row>
    <row r="3071" spans="2:2" x14ac:dyDescent="0.3">
      <c r="B3071" s="106" t="str">
        <f t="shared" si="32"/>
        <v/>
      </c>
    </row>
    <row r="3072" spans="2:2" x14ac:dyDescent="0.3">
      <c r="B3072" s="106" t="str">
        <f t="shared" si="32"/>
        <v/>
      </c>
    </row>
    <row r="3073" spans="2:2" x14ac:dyDescent="0.3">
      <c r="B3073" s="106" t="str">
        <f t="shared" si="32"/>
        <v/>
      </c>
    </row>
    <row r="3074" spans="2:2" x14ac:dyDescent="0.3">
      <c r="B3074" s="106" t="str">
        <f t="shared" si="32"/>
        <v/>
      </c>
    </row>
    <row r="3075" spans="2:2" x14ac:dyDescent="0.3">
      <c r="B3075" s="106" t="str">
        <f t="shared" si="32"/>
        <v/>
      </c>
    </row>
    <row r="3076" spans="2:2" x14ac:dyDescent="0.3">
      <c r="B3076" s="106" t="str">
        <f t="shared" si="32"/>
        <v/>
      </c>
    </row>
    <row r="3077" spans="2:2" x14ac:dyDescent="0.3">
      <c r="B3077" s="106" t="str">
        <f t="shared" si="32"/>
        <v/>
      </c>
    </row>
    <row r="3078" spans="2:2" x14ac:dyDescent="0.3">
      <c r="B3078" s="106" t="str">
        <f t="shared" si="32"/>
        <v/>
      </c>
    </row>
    <row r="3079" spans="2:2" x14ac:dyDescent="0.3">
      <c r="B3079" s="106" t="str">
        <f t="shared" si="32"/>
        <v/>
      </c>
    </row>
    <row r="3080" spans="2:2" x14ac:dyDescent="0.3">
      <c r="B3080" s="106" t="str">
        <f t="shared" si="32"/>
        <v/>
      </c>
    </row>
    <row r="3081" spans="2:2" x14ac:dyDescent="0.3">
      <c r="B3081" s="106" t="str">
        <f t="shared" si="32"/>
        <v/>
      </c>
    </row>
    <row r="3082" spans="2:2" x14ac:dyDescent="0.3">
      <c r="B3082" s="106" t="str">
        <f t="shared" si="32"/>
        <v/>
      </c>
    </row>
    <row r="3083" spans="2:2" x14ac:dyDescent="0.3">
      <c r="B3083" s="106" t="str">
        <f t="shared" si="32"/>
        <v/>
      </c>
    </row>
    <row r="3084" spans="2:2" x14ac:dyDescent="0.3">
      <c r="B3084" s="106" t="str">
        <f t="shared" si="32"/>
        <v/>
      </c>
    </row>
    <row r="3085" spans="2:2" x14ac:dyDescent="0.3">
      <c r="B3085" s="106" t="str">
        <f t="shared" si="32"/>
        <v/>
      </c>
    </row>
    <row r="3086" spans="2:2" x14ac:dyDescent="0.3">
      <c r="B3086" s="106" t="str">
        <f t="shared" si="32"/>
        <v/>
      </c>
    </row>
    <row r="3087" spans="2:2" x14ac:dyDescent="0.3">
      <c r="B3087" s="106" t="str">
        <f t="shared" si="32"/>
        <v/>
      </c>
    </row>
    <row r="3088" spans="2:2" x14ac:dyDescent="0.3">
      <c r="B3088" s="106" t="str">
        <f t="shared" si="32"/>
        <v/>
      </c>
    </row>
    <row r="3089" spans="2:2" x14ac:dyDescent="0.3">
      <c r="B3089" s="106" t="str">
        <f t="shared" si="32"/>
        <v/>
      </c>
    </row>
    <row r="3090" spans="2:2" x14ac:dyDescent="0.3">
      <c r="B3090" s="106" t="str">
        <f t="shared" si="32"/>
        <v/>
      </c>
    </row>
    <row r="3091" spans="2:2" x14ac:dyDescent="0.3">
      <c r="B3091" s="106" t="str">
        <f t="shared" si="32"/>
        <v/>
      </c>
    </row>
    <row r="3092" spans="2:2" x14ac:dyDescent="0.3">
      <c r="B3092" s="106" t="str">
        <f t="shared" si="32"/>
        <v/>
      </c>
    </row>
    <row r="3093" spans="2:2" x14ac:dyDescent="0.3">
      <c r="B3093" s="106" t="str">
        <f t="shared" si="32"/>
        <v/>
      </c>
    </row>
    <row r="3094" spans="2:2" x14ac:dyDescent="0.3">
      <c r="B3094" s="106" t="str">
        <f t="shared" si="32"/>
        <v/>
      </c>
    </row>
    <row r="3095" spans="2:2" x14ac:dyDescent="0.3">
      <c r="B3095" s="106" t="str">
        <f t="shared" si="32"/>
        <v/>
      </c>
    </row>
    <row r="3096" spans="2:2" x14ac:dyDescent="0.3">
      <c r="B3096" s="106" t="str">
        <f t="shared" si="32"/>
        <v/>
      </c>
    </row>
    <row r="3097" spans="2:2" x14ac:dyDescent="0.3">
      <c r="B3097" s="106" t="str">
        <f t="shared" si="32"/>
        <v/>
      </c>
    </row>
    <row r="3098" spans="2:2" x14ac:dyDescent="0.3">
      <c r="B3098" s="106" t="str">
        <f t="shared" si="32"/>
        <v/>
      </c>
    </row>
    <row r="3099" spans="2:2" x14ac:dyDescent="0.3">
      <c r="B3099" s="106" t="str">
        <f t="shared" si="32"/>
        <v/>
      </c>
    </row>
    <row r="3100" spans="2:2" x14ac:dyDescent="0.3">
      <c r="B3100" s="106" t="str">
        <f t="shared" si="32"/>
        <v/>
      </c>
    </row>
    <row r="3101" spans="2:2" x14ac:dyDescent="0.3">
      <c r="B3101" s="106" t="str">
        <f t="shared" si="32"/>
        <v/>
      </c>
    </row>
    <row r="3102" spans="2:2" x14ac:dyDescent="0.3">
      <c r="B3102" s="106" t="str">
        <f t="shared" si="32"/>
        <v/>
      </c>
    </row>
    <row r="3103" spans="2:2" x14ac:dyDescent="0.3">
      <c r="B3103" s="106" t="str">
        <f t="shared" si="32"/>
        <v/>
      </c>
    </row>
    <row r="3104" spans="2:2" x14ac:dyDescent="0.3">
      <c r="B3104" s="106" t="str">
        <f t="shared" si="32"/>
        <v/>
      </c>
    </row>
    <row r="3105" spans="2:2" x14ac:dyDescent="0.3">
      <c r="B3105" s="106" t="str">
        <f t="shared" si="32"/>
        <v/>
      </c>
    </row>
    <row r="3106" spans="2:2" x14ac:dyDescent="0.3">
      <c r="B3106" s="106" t="str">
        <f t="shared" si="32"/>
        <v/>
      </c>
    </row>
    <row r="3107" spans="2:2" x14ac:dyDescent="0.3">
      <c r="B3107" s="106" t="str">
        <f t="shared" si="32"/>
        <v/>
      </c>
    </row>
    <row r="3108" spans="2:2" x14ac:dyDescent="0.3">
      <c r="B3108" s="106" t="str">
        <f t="shared" si="32"/>
        <v/>
      </c>
    </row>
    <row r="3109" spans="2:2" x14ac:dyDescent="0.3">
      <c r="B3109" s="106" t="str">
        <f t="shared" si="32"/>
        <v/>
      </c>
    </row>
    <row r="3110" spans="2:2" x14ac:dyDescent="0.3">
      <c r="B3110" s="106" t="str">
        <f t="shared" si="32"/>
        <v/>
      </c>
    </row>
    <row r="3111" spans="2:2" x14ac:dyDescent="0.3">
      <c r="B3111" s="106" t="str">
        <f t="shared" si="32"/>
        <v/>
      </c>
    </row>
    <row r="3112" spans="2:2" x14ac:dyDescent="0.3">
      <c r="B3112" s="106" t="str">
        <f t="shared" si="32"/>
        <v/>
      </c>
    </row>
    <row r="3113" spans="2:2" x14ac:dyDescent="0.3">
      <c r="B3113" s="106" t="str">
        <f t="shared" si="32"/>
        <v/>
      </c>
    </row>
    <row r="3114" spans="2:2" x14ac:dyDescent="0.3">
      <c r="B3114" s="106" t="str">
        <f t="shared" si="32"/>
        <v/>
      </c>
    </row>
    <row r="3115" spans="2:2" x14ac:dyDescent="0.3">
      <c r="B3115" s="106" t="str">
        <f t="shared" si="32"/>
        <v/>
      </c>
    </row>
    <row r="3116" spans="2:2" x14ac:dyDescent="0.3">
      <c r="B3116" s="106" t="str">
        <f t="shared" si="32"/>
        <v/>
      </c>
    </row>
    <row r="3117" spans="2:2" x14ac:dyDescent="0.3">
      <c r="B3117" s="106" t="str">
        <f t="shared" si="32"/>
        <v/>
      </c>
    </row>
  </sheetData>
  <sheetProtection sheet="1" objects="1" scenarios="1" selectLockedCells="1" selectUnlockedCells="1"/>
  <mergeCells count="13">
    <mergeCell ref="A1:XFD1"/>
    <mergeCell ref="H8:M8"/>
    <mergeCell ref="H20:J20"/>
    <mergeCell ref="H19:J19"/>
    <mergeCell ref="A2:E2"/>
    <mergeCell ref="F2:G2"/>
    <mergeCell ref="H15:M16"/>
    <mergeCell ref="H11:M11"/>
    <mergeCell ref="H10:M10"/>
    <mergeCell ref="H9:M9"/>
    <mergeCell ref="H12:M12"/>
    <mergeCell ref="H13:M13"/>
    <mergeCell ref="H14:M14"/>
  </mergeCells>
  <phoneticPr fontId="71" type="noConversion"/>
  <conditionalFormatting sqref="A4:G9962">
    <cfRule type="expression" dxfId="56" priority="7">
      <formula>EXACT($A4, "Daily")</formula>
    </cfRule>
    <cfRule type="expression" dxfId="55" priority="8">
      <formula>EXACT($A4, "Error")</formula>
    </cfRule>
    <cfRule type="expression" dxfId="54" priority="9">
      <formula>EXACT($A4, "Trial")</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4E31-2FCA-43AE-94DA-CE8F36D7A5A8}">
  <sheetPr>
    <tabColor theme="0"/>
  </sheetPr>
  <dimension ref="A1:AO59"/>
  <sheetViews>
    <sheetView tabSelected="1" zoomScale="85" zoomScaleNormal="85" workbookViewId="0">
      <pane xSplit="1" topLeftCell="B1" activePane="topRight" state="frozen"/>
      <selection pane="topRight" sqref="A1:XFD1"/>
    </sheetView>
  </sheetViews>
  <sheetFormatPr defaultRowHeight="15" x14ac:dyDescent="0.25"/>
  <cols>
    <col min="1" max="1" width="20.77734375" style="215" customWidth="1"/>
    <col min="2" max="2" width="15.77734375" style="222" customWidth="1"/>
    <col min="3" max="20" width="8.33203125" style="106" customWidth="1"/>
    <col min="21" max="21" width="15.77734375" style="229" customWidth="1"/>
    <col min="22" max="22" width="15.77734375" style="230" customWidth="1"/>
    <col min="23" max="40" width="9.6640625" style="225" bestFit="1" customWidth="1"/>
    <col min="41" max="41" width="9.109375" style="223" hidden="1" customWidth="1"/>
    <col min="42" max="16384" width="8.88671875" style="42"/>
  </cols>
  <sheetData>
    <row r="1" spans="1:41" s="359" customFormat="1" ht="24.6" thickTop="1" thickBot="1" x14ac:dyDescent="0.5">
      <c r="A1" s="358" t="s">
        <v>311</v>
      </c>
    </row>
    <row r="2" spans="1:41" ht="14.4" customHeight="1" thickTop="1" x14ac:dyDescent="0.25">
      <c r="A2" s="294" t="s">
        <v>31</v>
      </c>
      <c r="B2" s="283" t="s">
        <v>270</v>
      </c>
      <c r="C2" s="292" t="s">
        <v>284</v>
      </c>
      <c r="D2" s="292"/>
      <c r="E2" s="292"/>
      <c r="F2" s="292"/>
      <c r="G2" s="292"/>
      <c r="H2" s="292"/>
      <c r="I2" s="292"/>
      <c r="J2" s="292"/>
      <c r="K2" s="292"/>
      <c r="L2" s="292"/>
      <c r="M2" s="292"/>
      <c r="N2" s="292"/>
      <c r="O2" s="292"/>
      <c r="P2" s="292"/>
      <c r="Q2" s="292"/>
      <c r="R2" s="292"/>
      <c r="S2" s="292"/>
      <c r="T2" s="293"/>
      <c r="U2" s="285" t="s">
        <v>268</v>
      </c>
      <c r="V2" s="286"/>
      <c r="W2" s="231">
        <f>_xlfn.QUARTILE.INC(W6:W201,3)-_xlfn.QUARTILE.INC(W6:W201,1)</f>
        <v>0.28301409244420761</v>
      </c>
      <c r="X2" s="231">
        <f t="shared" ref="X2:AN2" si="0">_xlfn.QUARTILE.INC(X6:X201,3)-_xlfn.QUARTILE.INC(X6:X201,1)</f>
        <v>0.18719346020109917</v>
      </c>
      <c r="Y2" s="231">
        <f t="shared" si="0"/>
        <v>0.14568574994615302</v>
      </c>
      <c r="Z2" s="231">
        <f t="shared" si="0"/>
        <v>0.17077195947463419</v>
      </c>
      <c r="AA2" s="231">
        <f t="shared" si="0"/>
        <v>0.19233957382155431</v>
      </c>
      <c r="AB2" s="231">
        <f t="shared" si="0"/>
        <v>0.14783131087779988</v>
      </c>
      <c r="AC2" s="231">
        <f t="shared" si="0"/>
        <v>0.13626575390958928</v>
      </c>
      <c r="AD2" s="231">
        <f t="shared" si="0"/>
        <v>0.27871909670440209</v>
      </c>
      <c r="AE2" s="231">
        <f t="shared" si="0"/>
        <v>0.18712881726904163</v>
      </c>
      <c r="AF2" s="231">
        <f t="shared" si="0"/>
        <v>0.31922332312427604</v>
      </c>
      <c r="AG2" s="231">
        <f t="shared" si="0"/>
        <v>0.41984999276273416</v>
      </c>
      <c r="AH2" s="231">
        <f t="shared" si="0"/>
        <v>0.28229354500425485</v>
      </c>
      <c r="AI2" s="231">
        <f t="shared" si="0"/>
        <v>0.21567902035949815</v>
      </c>
      <c r="AJ2" s="231">
        <f t="shared" si="0"/>
        <v>0.29062293410472817</v>
      </c>
      <c r="AK2" s="231">
        <f t="shared" si="0"/>
        <v>0.24173000343030326</v>
      </c>
      <c r="AL2" s="231">
        <f t="shared" si="0"/>
        <v>0.2385462810025053</v>
      </c>
      <c r="AM2" s="231">
        <f t="shared" si="0"/>
        <v>0.11724533999861486</v>
      </c>
      <c r="AN2" s="231">
        <f t="shared" si="0"/>
        <v>0.25907142325068966</v>
      </c>
    </row>
    <row r="3" spans="1:41" ht="42" customHeight="1" x14ac:dyDescent="0.25">
      <c r="A3" s="294"/>
      <c r="B3" s="284"/>
      <c r="C3" s="232" cm="1">
        <f t="array" ref="C3">MEDIAN(_xlfn._xlws.FILTER(C$6:C$302, ISNUMBER(C$6:C$302)))</f>
        <v>0.10863400000000001</v>
      </c>
      <c r="D3" s="232" cm="1">
        <f t="array" ref="D3">MEDIAN(_xlfn._xlws.FILTER(D$6:D$302, ISNUMBER(D$6:D$302)))</f>
        <v>0.111233</v>
      </c>
      <c r="E3" s="232" cm="1">
        <f t="array" ref="E3">MEDIAN(_xlfn._xlws.FILTER(E$6:E$302, ISNUMBER(E$6:E$302)))</f>
        <v>0.113829</v>
      </c>
      <c r="F3" s="232" cm="1">
        <f t="array" ref="F3">MEDIAN(_xlfn._xlws.FILTER(F$6:F$302, ISNUMBER(F$6:F$302)))</f>
        <v>0.11031250000000001</v>
      </c>
      <c r="G3" s="232" cm="1">
        <f t="array" ref="G3">MEDIAN(_xlfn._xlws.FILTER(G$6:G$302, ISNUMBER(G$6:G$302)))</f>
        <v>7.1702650000000007E-2</v>
      </c>
      <c r="H3" s="232" cm="1">
        <f t="array" ref="H3">MEDIAN(_xlfn._xlws.FILTER(H$6:H$302, ISNUMBER(H$6:H$302)))</f>
        <v>9.796465E-2</v>
      </c>
      <c r="I3" s="232" cm="1">
        <f t="array" ref="I3">MEDIAN(_xlfn._xlws.FILTER(I$6:I$302, ISNUMBER(I$6:I$302)))</f>
        <v>0.1021595</v>
      </c>
      <c r="J3" s="232" cm="1">
        <f t="array" ref="J3">MEDIAN(_xlfn._xlws.FILTER(J$6:J$302, ISNUMBER(J$6:J$302)))</f>
        <v>7.24495E-2</v>
      </c>
      <c r="K3" s="232" cm="1">
        <f t="array" ref="K3">MEDIAN(_xlfn._xlws.FILTER(K$6:K$302, ISNUMBER(K$6:K$302)))</f>
        <v>9.4021750000000001E-2</v>
      </c>
      <c r="L3" s="232" cm="1">
        <f t="array" ref="L3">MEDIAN(_xlfn._xlws.FILTER(L$6:L$302, ISNUMBER(L$6:L$302)))</f>
        <v>0.10406899999999999</v>
      </c>
      <c r="M3" s="232" cm="1">
        <f t="array" ref="M3">MEDIAN(_xlfn._xlws.FILTER(M$6:M$302, ISNUMBER(M$6:M$302)))</f>
        <v>0.12183849999999999</v>
      </c>
      <c r="N3" s="232" cm="1">
        <f t="array" ref="N3">MEDIAN(_xlfn._xlws.FILTER(N$6:N$302, ISNUMBER(N$6:N$302)))</f>
        <v>8.7546100000000002E-2</v>
      </c>
      <c r="O3" s="232" cm="1">
        <f t="array" ref="O3">MEDIAN(_xlfn._xlws.FILTER(O$6:O$302, ISNUMBER(O$6:O$302)))</f>
        <v>5.6752250000000004E-2</v>
      </c>
      <c r="P3" s="232" cm="1">
        <f t="array" ref="P3">MEDIAN(_xlfn._xlws.FILTER(P$6:P$302, ISNUMBER(P$6:P$302)))</f>
        <v>7.2041099999999997E-2</v>
      </c>
      <c r="Q3" s="232" cm="1">
        <f t="array" ref="Q3">MEDIAN(_xlfn._xlws.FILTER(Q$6:Q$302, ISNUMBER(Q$6:Q$302)))</f>
        <v>0.10177900000000001</v>
      </c>
      <c r="R3" s="232" cm="1">
        <f t="array" ref="R3">MEDIAN(_xlfn._xlws.FILTER(R$6:R$302, ISNUMBER(R$6:R$302)))</f>
        <v>9.2652149999999989E-2</v>
      </c>
      <c r="S3" s="232" cm="1">
        <f t="array" ref="S3">MEDIAN(_xlfn._xlws.FILTER(S$6:S$302, ISNUMBER(S$6:S$302)))</f>
        <v>7.6681400000000011E-2</v>
      </c>
      <c r="T3" s="232" cm="1">
        <f t="array" ref="T3">MEDIAN(_xlfn._xlws.FILTER(T$6:T$302, ISNUMBER(T$6:T$302)))</f>
        <v>0.10575</v>
      </c>
      <c r="U3" s="285"/>
      <c r="V3" s="286"/>
      <c r="W3" s="233" t="s">
        <v>274</v>
      </c>
      <c r="X3" s="289" t="s">
        <v>283</v>
      </c>
      <c r="Y3" s="290"/>
      <c r="Z3" s="290"/>
      <c r="AA3" s="290"/>
      <c r="AB3" s="290"/>
      <c r="AC3" s="290"/>
      <c r="AD3" s="290"/>
      <c r="AE3" s="290"/>
      <c r="AF3" s="290"/>
      <c r="AG3" s="290"/>
      <c r="AH3" s="290"/>
      <c r="AI3" s="290"/>
      <c r="AJ3" s="290"/>
      <c r="AK3" s="290"/>
      <c r="AL3" s="290"/>
      <c r="AM3" s="291"/>
      <c r="AN3" s="233" t="s">
        <v>274</v>
      </c>
    </row>
    <row r="4" spans="1:41" s="217" customFormat="1" ht="15.6" x14ac:dyDescent="0.2">
      <c r="A4" s="294"/>
      <c r="B4" s="221" t="s">
        <v>13</v>
      </c>
      <c r="C4" s="216" t="str" cm="1">
        <f t="array" ref="C4:T4">TRANSPOSE('Data-Lists'!$A$4:$A$21)</f>
        <v>#1 (Vero v2.2)</v>
      </c>
      <c r="D4" s="216" t="str">
        <v>#2 (Vero v2.2)</v>
      </c>
      <c r="E4" s="216" t="str">
        <v>#3 (Vero v2.2)</v>
      </c>
      <c r="F4" s="216" t="str">
        <v>#4 (Vero v2.2)</v>
      </c>
      <c r="G4" s="216" t="str">
        <v>#5 (Vero v2.2)</v>
      </c>
      <c r="H4" s="216" t="str">
        <v>#6 (Vero v2.2)</v>
      </c>
      <c r="I4" s="216" t="str">
        <v>#7 (Vero v2.2)</v>
      </c>
      <c r="J4" s="216" t="str">
        <v>#8 (Vero v2.2)</v>
      </c>
      <c r="K4" s="216" t="str">
        <v>#9 (Vero v2.2)</v>
      </c>
      <c r="L4" s="216" t="str">
        <v>#10 (Vero v2.2)</v>
      </c>
      <c r="M4" s="216" t="str">
        <v>#11 (Vero v2.2)</v>
      </c>
      <c r="N4" s="216" t="str">
        <v>#12 (Vero v2.2)</v>
      </c>
      <c r="O4" s="216" t="str">
        <v>#13 (Vero v2.2)</v>
      </c>
      <c r="P4" s="216" t="str">
        <v>#14 (Vero v2.2)</v>
      </c>
      <c r="Q4" s="216" t="str">
        <v>#15 (Vero v2.2)</v>
      </c>
      <c r="R4" s="216" t="str">
        <v>#16 (Vero v2.2)</v>
      </c>
      <c r="S4" s="216" t="str">
        <v>#17 (Vero v2.2)</v>
      </c>
      <c r="T4" s="216" t="str">
        <v>#18 (Vero v2.2)</v>
      </c>
      <c r="U4" s="287"/>
      <c r="V4" s="288"/>
      <c r="W4" s="231">
        <f>MEDIAN(W6:W202)</f>
        <v>1.1165314791227998</v>
      </c>
      <c r="X4" s="231">
        <f t="shared" ref="X4:AN4" si="1">MEDIAN(X6:X202)</f>
        <v>1.1609110777909792</v>
      </c>
      <c r="Y4" s="231">
        <f t="shared" si="1"/>
        <v>1.1860317014911572</v>
      </c>
      <c r="Z4" s="231">
        <f t="shared" si="1"/>
        <v>1.1629962332315735</v>
      </c>
      <c r="AA4" s="231">
        <f t="shared" si="1"/>
        <v>0.79586558218386316</v>
      </c>
      <c r="AB4" s="231">
        <f t="shared" si="1"/>
        <v>1.0164964094085991</v>
      </c>
      <c r="AC4" s="231">
        <f t="shared" si="1"/>
        <v>1.079921795268888</v>
      </c>
      <c r="AD4" s="231">
        <f t="shared" si="1"/>
        <v>0.84386403070613591</v>
      </c>
      <c r="AE4" s="231">
        <f t="shared" si="1"/>
        <v>0.95986531248134388</v>
      </c>
      <c r="AF4" s="231">
        <f t="shared" si="1"/>
        <v>1.0335495374980839</v>
      </c>
      <c r="AG4" s="231">
        <f t="shared" si="1"/>
        <v>1.2089367764672301</v>
      </c>
      <c r="AH4" s="231">
        <f t="shared" si="1"/>
        <v>0.84502368215835322</v>
      </c>
      <c r="AI4" s="231">
        <f t="shared" si="1"/>
        <v>0.66651488474762233</v>
      </c>
      <c r="AJ4" s="231">
        <f t="shared" si="1"/>
        <v>0.77533796428628099</v>
      </c>
      <c r="AK4" s="231">
        <f t="shared" si="1"/>
        <v>1.0605348903920522</v>
      </c>
      <c r="AL4" s="231">
        <f t="shared" si="1"/>
        <v>0.97125939758318425</v>
      </c>
      <c r="AM4" s="231">
        <f t="shared" si="1"/>
        <v>0.85361228473937223</v>
      </c>
      <c r="AN4" s="231">
        <f t="shared" si="1"/>
        <v>1.1608232078940164</v>
      </c>
      <c r="AO4" s="224"/>
    </row>
    <row r="5" spans="1:41" s="220" customFormat="1" ht="16.2" thickBot="1" x14ac:dyDescent="0.35">
      <c r="A5" s="295"/>
      <c r="B5" s="243" t="s">
        <v>269</v>
      </c>
      <c r="C5" s="212">
        <f>VALUE(RIGHT(LEFT(C$4,3),2))</f>
        <v>1</v>
      </c>
      <c r="D5" s="212">
        <f t="shared" ref="D5:T5" si="2">VALUE(RIGHT(LEFT(D$4,3),2))</f>
        <v>2</v>
      </c>
      <c r="E5" s="212">
        <f t="shared" si="2"/>
        <v>3</v>
      </c>
      <c r="F5" s="212">
        <f t="shared" si="2"/>
        <v>4</v>
      </c>
      <c r="G5" s="212">
        <f t="shared" si="2"/>
        <v>5</v>
      </c>
      <c r="H5" s="212">
        <f t="shared" si="2"/>
        <v>6</v>
      </c>
      <c r="I5" s="212">
        <f t="shared" si="2"/>
        <v>7</v>
      </c>
      <c r="J5" s="212">
        <f t="shared" si="2"/>
        <v>8</v>
      </c>
      <c r="K5" s="212">
        <f t="shared" si="2"/>
        <v>9</v>
      </c>
      <c r="L5" s="212">
        <f t="shared" si="2"/>
        <v>10</v>
      </c>
      <c r="M5" s="212">
        <f t="shared" si="2"/>
        <v>11</v>
      </c>
      <c r="N5" s="212">
        <f t="shared" si="2"/>
        <v>12</v>
      </c>
      <c r="O5" s="212">
        <f t="shared" si="2"/>
        <v>13</v>
      </c>
      <c r="P5" s="212">
        <f t="shared" si="2"/>
        <v>14</v>
      </c>
      <c r="Q5" s="212">
        <f t="shared" si="2"/>
        <v>15</v>
      </c>
      <c r="R5" s="212">
        <f t="shared" si="2"/>
        <v>16</v>
      </c>
      <c r="S5" s="212">
        <f t="shared" si="2"/>
        <v>17</v>
      </c>
      <c r="T5" s="214">
        <f t="shared" si="2"/>
        <v>18</v>
      </c>
      <c r="U5" s="218" t="s">
        <v>267</v>
      </c>
      <c r="V5" s="219" t="s">
        <v>266</v>
      </c>
      <c r="W5" s="234" t="str">
        <f>_xlfn.CONCAT("Cam ", LEFT(C$4,3))</f>
        <v xml:space="preserve">Cam #1 </v>
      </c>
      <c r="X5" s="234" t="str">
        <f t="shared" ref="X5:AN5" si="3">_xlfn.CONCAT("Cam ", LEFT(D$4,3))</f>
        <v xml:space="preserve">Cam #2 </v>
      </c>
      <c r="Y5" s="234" t="str">
        <f t="shared" si="3"/>
        <v xml:space="preserve">Cam #3 </v>
      </c>
      <c r="Z5" s="234" t="str">
        <f t="shared" si="3"/>
        <v xml:space="preserve">Cam #4 </v>
      </c>
      <c r="AA5" s="234" t="str">
        <f t="shared" si="3"/>
        <v xml:space="preserve">Cam #5 </v>
      </c>
      <c r="AB5" s="234" t="str">
        <f t="shared" si="3"/>
        <v xml:space="preserve">Cam #6 </v>
      </c>
      <c r="AC5" s="234" t="str">
        <f t="shared" si="3"/>
        <v xml:space="preserve">Cam #7 </v>
      </c>
      <c r="AD5" s="234" t="str">
        <f t="shared" si="3"/>
        <v xml:space="preserve">Cam #8 </v>
      </c>
      <c r="AE5" s="234" t="str">
        <f t="shared" si="3"/>
        <v xml:space="preserve">Cam #9 </v>
      </c>
      <c r="AF5" s="234" t="str">
        <f t="shared" si="3"/>
        <v>Cam #10</v>
      </c>
      <c r="AG5" s="234" t="str">
        <f t="shared" si="3"/>
        <v>Cam #11</v>
      </c>
      <c r="AH5" s="234" t="str">
        <f t="shared" si="3"/>
        <v>Cam #12</v>
      </c>
      <c r="AI5" s="234" t="str">
        <f t="shared" si="3"/>
        <v>Cam #13</v>
      </c>
      <c r="AJ5" s="234" t="str">
        <f t="shared" si="3"/>
        <v>Cam #14</v>
      </c>
      <c r="AK5" s="234" t="str">
        <f t="shared" si="3"/>
        <v>Cam #15</v>
      </c>
      <c r="AL5" s="234" t="str">
        <f t="shared" si="3"/>
        <v>Cam #16</v>
      </c>
      <c r="AM5" s="234" t="str">
        <f t="shared" si="3"/>
        <v>Cam #17</v>
      </c>
      <c r="AN5" s="234" t="str">
        <f t="shared" si="3"/>
        <v>Cam #18</v>
      </c>
      <c r="AO5" s="228" t="s">
        <v>271</v>
      </c>
    </row>
    <row r="6" spans="1:41" x14ac:dyDescent="0.25">
      <c r="A6" s="215" cm="1">
        <f t="array" ref="A6:A27">_xlfn.UNIQUE(_xlfn._xlws.FILTER(Log!$C:$C, (Log!$B:B="n/a") * (Log!$A:$A="Daily")))</f>
        <v>46228</v>
      </c>
      <c r="B6" s="222">
        <f>IF($A6&lt;&gt;"", MEDIAN($C6:$T6), "")</f>
        <v>9.2427499999999996E-2</v>
      </c>
      <c r="C6" s="106" cm="1">
        <f t="array" ref="C6">IF($A6&lt;&gt;"", IFERROR(_xlfn._xlws.FILTER(Log!$G:$G, (Log!$A:$A="Daily") * (Log!$C:$C=$A6) * (Log!$D:$D=C$4)), "Unknown"), "")</f>
        <v>7.9356800000000005E-2</v>
      </c>
      <c r="D6" s="106" cm="1">
        <f t="array" ref="D6">IF($A6&lt;&gt;"", IFERROR(_xlfn._xlws.FILTER(Log!$G:$G, (Log!$A:$A="Daily") * (Log!$C:$C=$A6) * (Log!$D:$D=D$4)), "Unknown"), "")</f>
        <v>0.112306</v>
      </c>
      <c r="E6" s="106" cm="1">
        <f t="array" ref="E6">IF($A6&lt;&gt;"", IFERROR(_xlfn._xlws.FILTER(Log!$G:$G, (Log!$A:$A="Daily") * (Log!$C:$C=$A6) * (Log!$D:$D=E$4)), "Unknown"), "")</f>
        <v>9.2427499999999996E-2</v>
      </c>
      <c r="F6" s="106" cm="1">
        <f t="array" ref="F6">IF($A6&lt;&gt;"", IFERROR(_xlfn._xlws.FILTER(Log!$G:$G, (Log!$A:$A="Daily") * (Log!$C:$C=$A6) * (Log!$D:$D=F$4)), "Unknown"), "")</f>
        <v>0.12157900000000001</v>
      </c>
      <c r="G6" s="106" cm="1">
        <f t="array" ref="G6">IF($A6&lt;&gt;"", IFERROR(_xlfn._xlws.FILTER(Log!$G:$G, (Log!$A:$A="Daily") * (Log!$C:$C=$A6) * (Log!$D:$D=G$4)), "Unknown"), "")</f>
        <v>4.4366900000000001E-2</v>
      </c>
      <c r="H6" s="106" cm="1">
        <f t="array" ref="H6">IF($A6&lt;&gt;"", IFERROR(_xlfn._xlws.FILTER(Log!$G:$G, (Log!$A:$A="Daily") * (Log!$C:$C=$A6) * (Log!$D:$D=H$4)), "Unknown"), "")</f>
        <v>8.9975399999999997E-2</v>
      </c>
      <c r="I6" s="106" cm="1">
        <f t="array" ref="I6">IF($A6&lt;&gt;"", IFERROR(_xlfn._xlws.FILTER(Log!$G:$G, (Log!$A:$A="Daily") * (Log!$C:$C=$A6) * (Log!$D:$D=I$4)), "Unknown"), "")</f>
        <v>0.102799</v>
      </c>
      <c r="J6" s="106" t="str" cm="1">
        <f t="array" ref="J6">IF($A6&lt;&gt;"", IFERROR(_xlfn._xlws.FILTER(Log!$G:$G, (Log!$A:$A="Daily") * (Log!$C:$C=$A6) * (Log!$D:$D=J$4)), "Unknown"), "")</f>
        <v>Unknown</v>
      </c>
      <c r="K6" s="106" cm="1">
        <f t="array" ref="K6">IF($A6&lt;&gt;"", IFERROR(_xlfn._xlws.FILTER(Log!$G:$G, (Log!$A:$A="Daily") * (Log!$C:$C=$A6) * (Log!$D:$D=K$4)), "Unknown"), "")</f>
        <v>7.95796E-2</v>
      </c>
      <c r="L6" s="106" cm="1">
        <f t="array" ref="L6">IF($A6&lt;&gt;"", IFERROR(_xlfn._xlws.FILTER(Log!$G:$G, (Log!$A:$A="Daily") * (Log!$C:$C=$A6) * (Log!$D:$D=L$4)), "Unknown"), "")</f>
        <v>0.13203699999999999</v>
      </c>
      <c r="M6" s="106" cm="1">
        <f t="array" ref="M6">IF($A6&lt;&gt;"", IFERROR(_xlfn._xlws.FILTER(Log!$G:$G, (Log!$A:$A="Daily") * (Log!$C:$C=$A6) * (Log!$D:$D=M$4)), "Unknown"), "")</f>
        <v>4.5056100000000002E-2</v>
      </c>
      <c r="N6" s="106" cm="1">
        <f t="array" ref="N6">IF($A6&lt;&gt;"", IFERROR(_xlfn._xlws.FILTER(Log!$G:$G, (Log!$A:$A="Daily") * (Log!$C:$C=$A6) * (Log!$D:$D=N$4)), "Unknown"), "")</f>
        <v>0.14066300000000001</v>
      </c>
      <c r="O6" s="106" cm="1">
        <f t="array" ref="O6">IF($A6&lt;&gt;"", IFERROR(_xlfn._xlws.FILTER(Log!$G:$G, (Log!$A:$A="Daily") * (Log!$C:$C=$A6) * (Log!$D:$D=O$4)), "Unknown"), "")</f>
        <v>4.2415799999999997E-2</v>
      </c>
      <c r="P6" s="106" cm="1">
        <f t="array" ref="P6">IF($A6&lt;&gt;"", IFERROR(_xlfn._xlws.FILTER(Log!$G:$G, (Log!$A:$A="Daily") * (Log!$C:$C=$A6) * (Log!$D:$D=P$4)), "Unknown"), "")</f>
        <v>4.9050299999999998E-2</v>
      </c>
      <c r="Q6" s="106" cm="1">
        <f t="array" ref="Q6">IF($A6&lt;&gt;"", IFERROR(_xlfn._xlws.FILTER(Log!$G:$G, (Log!$A:$A="Daily") * (Log!$C:$C=$A6) * (Log!$D:$D=Q$4)), "Unknown"), "")</f>
        <v>0.10267900000000001</v>
      </c>
      <c r="R6" s="106" cm="1">
        <f t="array" ref="R6">IF($A6&lt;&gt;"", IFERROR(_xlfn._xlws.FILTER(Log!$G:$G, (Log!$A:$A="Daily") * (Log!$C:$C=$A6) * (Log!$D:$D=R$4)), "Unknown"), "")</f>
        <v>0.147318</v>
      </c>
      <c r="S6" s="106" cm="1">
        <f t="array" ref="S6">IF($A6&lt;&gt;"", IFERROR(_xlfn._xlws.FILTER(Log!$G:$G, (Log!$A:$A="Daily") * (Log!$C:$C=$A6) * (Log!$D:$D=S$4)), "Unknown"), "")</f>
        <v>7.7194100000000002E-2</v>
      </c>
      <c r="T6" s="106" cm="1">
        <f t="array" ref="T6">IF($A6&lt;&gt;"", IFERROR(_xlfn._xlws.FILTER(Log!$G:$G, (Log!$A:$A="Daily") * (Log!$C:$C=$A6) * (Log!$D:$D=T$4)), "Unknown"), "")</f>
        <v>0.109931</v>
      </c>
      <c r="U6" s="229" t="str" cm="1">
        <f t="array" ref="U6">_xlfn._xlws.FILTER('Daily WE'!F:F, ('Daily WE'!$B:$B="n/a") * ('Daily WE'!$C:$C ='Daily IE'!$A6))</f>
        <v>A</v>
      </c>
      <c r="V6" s="230" cm="1">
        <f t="array" ref="V6">_xlfn._xlws.FILTER('Daily WE'!G:G, ('Daily WE'!$B:$B="n/a") * ('Daily WE'!$C:$C ='Daily IE'!$A6))</f>
        <v>1000</v>
      </c>
      <c r="W6" s="226">
        <f>IF(ISBLANK($A6), "", IF(ISNUMBER(C6), C6/$B6, "Unknown"))</f>
        <v>0.85858429579941042</v>
      </c>
      <c r="X6" s="226">
        <f t="shared" ref="X6:AN6" si="4">IF(ISBLANK($A6), "", IF(ISNUMBER(D6), D6/$B6, "Unknown"))</f>
        <v>1.2150712720781154</v>
      </c>
      <c r="Y6" s="226">
        <f t="shared" si="4"/>
        <v>1</v>
      </c>
      <c r="Z6" s="226">
        <f t="shared" si="4"/>
        <v>1.315398555624679</v>
      </c>
      <c r="AA6" s="226">
        <f t="shared" si="4"/>
        <v>0.48001839279435238</v>
      </c>
      <c r="AB6" s="226">
        <f t="shared" si="4"/>
        <v>0.97347001704038305</v>
      </c>
      <c r="AC6" s="226">
        <f t="shared" si="4"/>
        <v>1.1122122744854075</v>
      </c>
      <c r="AD6" s="226" t="str">
        <f t="shared" si="4"/>
        <v>Unknown</v>
      </c>
      <c r="AE6" s="226">
        <f t="shared" si="4"/>
        <v>0.86099483378864516</v>
      </c>
      <c r="AF6" s="226">
        <f t="shared" si="4"/>
        <v>1.428546698763896</v>
      </c>
      <c r="AG6" s="226">
        <f t="shared" si="4"/>
        <v>0.48747504801060293</v>
      </c>
      <c r="AH6" s="226">
        <f t="shared" si="4"/>
        <v>1.5218739011657787</v>
      </c>
      <c r="AI6" s="226">
        <f t="shared" si="4"/>
        <v>0.458908874523275</v>
      </c>
      <c r="AJ6" s="226">
        <f t="shared" si="4"/>
        <v>0.53068945930594247</v>
      </c>
      <c r="AK6" s="226">
        <f t="shared" si="4"/>
        <v>1.1109139595899491</v>
      </c>
      <c r="AL6" s="226">
        <f t="shared" si="4"/>
        <v>1.5938762814097538</v>
      </c>
      <c r="AM6" s="226">
        <f t="shared" si="4"/>
        <v>0.83518541559600779</v>
      </c>
      <c r="AN6" s="226">
        <f t="shared" si="4"/>
        <v>1.1893754564388306</v>
      </c>
      <c r="AO6" s="226" t="str">
        <f t="shared" ref="AO6" si="5">IF(ISBLANK(U6), "", IF(ISNUMBER(U6), U6/$B6, "Unknown"))</f>
        <v>Unknown</v>
      </c>
    </row>
    <row r="7" spans="1:41" x14ac:dyDescent="0.25">
      <c r="A7" s="215">
        <v>46230</v>
      </c>
      <c r="B7" s="222">
        <f t="shared" ref="B7:B39" si="6">IF($A7&lt;&gt;"", MEDIAN($C7:$T7), "")</f>
        <v>9.5911099999999999E-2</v>
      </c>
      <c r="C7" s="106" cm="1">
        <f t="array" ref="C7">IF($A7&lt;&gt;"", IFERROR(_xlfn._xlws.FILTER(Log!$G:$G, (Log!$A:$A="Daily") * (Log!$C:$C=$A7) * (Log!$D:$D=C$4)), "Unknown"), "")</f>
        <v>0.10861</v>
      </c>
      <c r="D7" s="106" cm="1">
        <f t="array" ref="D7">IF($A7&lt;&gt;"", IFERROR(_xlfn._xlws.FILTER(Log!$G:$G, (Log!$A:$A="Daily") * (Log!$C:$C=$A7) * (Log!$D:$D=D$4)), "Unknown"), "")</f>
        <v>0.10678</v>
      </c>
      <c r="E7" s="106" cm="1">
        <f t="array" ref="E7">IF($A7&lt;&gt;"", IFERROR(_xlfn._xlws.FILTER(Log!$G:$G, (Log!$A:$A="Daily") * (Log!$C:$C=$A7) * (Log!$D:$D=E$4)), "Unknown"), "")</f>
        <v>9.8741200000000001E-2</v>
      </c>
      <c r="F7" s="106" cm="1">
        <f t="array" ref="F7">IF($A7&lt;&gt;"", IFERROR(_xlfn._xlws.FILTER(Log!$G:$G, (Log!$A:$A="Daily") * (Log!$C:$C=$A7) * (Log!$D:$D=F$4)), "Unknown"), "")</f>
        <v>0.120907</v>
      </c>
      <c r="G7" s="106" cm="1">
        <f t="array" ref="G7">IF($A7&lt;&gt;"", IFERROR(_xlfn._xlws.FILTER(Log!$G:$G, (Log!$A:$A="Daily") * (Log!$C:$C=$A7) * (Log!$D:$D=G$4)), "Unknown"), "")</f>
        <v>6.7092299999999994E-2</v>
      </c>
      <c r="H7" s="106" cm="1">
        <f t="array" ref="H7">IF($A7&lt;&gt;"", IFERROR(_xlfn._xlws.FILTER(Log!$G:$G, (Log!$A:$A="Daily") * (Log!$C:$C=$A7) * (Log!$D:$D=H$4)), "Unknown"), "")</f>
        <v>7.3608499999999993E-2</v>
      </c>
      <c r="I7" s="106" cm="1">
        <f t="array" ref="I7">IF($A7&lt;&gt;"", IFERROR(_xlfn._xlws.FILTER(Log!$G:$G, (Log!$A:$A="Daily") * (Log!$C:$C=$A7) * (Log!$D:$D=I$4)), "Unknown"), "")</f>
        <v>7.6716000000000006E-2</v>
      </c>
      <c r="J7" s="106" cm="1">
        <f t="array" ref="J7">IF($A7&lt;&gt;"", IFERROR(_xlfn._xlws.FILTER(Log!$G:$G, (Log!$A:$A="Daily") * (Log!$C:$C=$A7) * (Log!$D:$D=J$4)), "Unknown"), "")</f>
        <v>4.9118500000000002E-2</v>
      </c>
      <c r="K7" s="106" cm="1">
        <f t="array" ref="K7">IF($A7&lt;&gt;"", IFERROR(_xlfn._xlws.FILTER(Log!$G:$G, (Log!$A:$A="Daily") * (Log!$C:$C=$A7) * (Log!$D:$D=K$4)), "Unknown"), "")</f>
        <v>8.1860199999999994E-2</v>
      </c>
      <c r="L7" s="106" cm="1">
        <f t="array" ref="L7">IF($A7&lt;&gt;"", IFERROR(_xlfn._xlws.FILTER(Log!$G:$G, (Log!$A:$A="Daily") * (Log!$C:$C=$A7) * (Log!$D:$D=L$4)), "Unknown"), "")</f>
        <v>0.123795</v>
      </c>
      <c r="M7" s="106" cm="1">
        <f t="array" ref="M7">IF($A7&lt;&gt;"", IFERROR(_xlfn._xlws.FILTER(Log!$G:$G, (Log!$A:$A="Daily") * (Log!$C:$C=$A7) * (Log!$D:$D=M$4)), "Unknown"), "")</f>
        <v>0.14344199999999999</v>
      </c>
      <c r="N7" s="106" cm="1">
        <f t="array" ref="N7">IF($A7&lt;&gt;"", IFERROR(_xlfn._xlws.FILTER(Log!$G:$G, (Log!$A:$A="Daily") * (Log!$C:$C=$A7) * (Log!$D:$D=N$4)), "Unknown"), "")</f>
        <v>9.3080999999999997E-2</v>
      </c>
      <c r="O7" s="106" cm="1">
        <f t="array" ref="O7">IF($A7&lt;&gt;"", IFERROR(_xlfn._xlws.FILTER(Log!$G:$G, (Log!$A:$A="Daily") * (Log!$C:$C=$A7) * (Log!$D:$D=O$4)), "Unknown"), "")</f>
        <v>4.46854E-2</v>
      </c>
      <c r="P7" s="106" cm="1">
        <f t="array" ref="P7">IF($A7&lt;&gt;"", IFERROR(_xlfn._xlws.FILTER(Log!$G:$G, (Log!$A:$A="Daily") * (Log!$C:$C=$A7) * (Log!$D:$D=P$4)), "Unknown"), "")</f>
        <v>6.9651900000000003E-2</v>
      </c>
      <c r="Q7" s="106" cm="1">
        <f t="array" ref="Q7">IF($A7&lt;&gt;"", IFERROR(_xlfn._xlws.FILTER(Log!$G:$G, (Log!$A:$A="Daily") * (Log!$C:$C=$A7) * (Log!$D:$D=Q$4)), "Unknown"), "")</f>
        <v>0.104768</v>
      </c>
      <c r="R7" s="106" cm="1">
        <f t="array" ref="R7">IF($A7&lt;&gt;"", IFERROR(_xlfn._xlws.FILTER(Log!$G:$G, (Log!$A:$A="Daily") * (Log!$C:$C=$A7) * (Log!$D:$D=R$4)), "Unknown"), "")</f>
        <v>0.111633</v>
      </c>
      <c r="S7" s="106" cm="1">
        <f t="array" ref="S7">IF($A7&lt;&gt;"", IFERROR(_xlfn._xlws.FILTER(Log!$G:$G, (Log!$A:$A="Daily") * (Log!$C:$C=$A7) * (Log!$D:$D=S$4)), "Unknown"), "")</f>
        <v>6.6401399999999999E-2</v>
      </c>
      <c r="T7" s="106" cm="1">
        <f t="array" ref="T7">IF($A7&lt;&gt;"", IFERROR(_xlfn._xlws.FILTER(Log!$G:$G, (Log!$A:$A="Daily") * (Log!$C:$C=$A7) * (Log!$D:$D=T$4)), "Unknown"), "")</f>
        <v>0.114508</v>
      </c>
      <c r="U7" s="229" t="str" cm="1">
        <f t="array" ref="U7">_xlfn._xlws.FILTER('Daily WE'!F:F, ('Daily WE'!$B:$B="n/a") * ('Daily WE'!$C:$C ='Daily IE'!$A7))</f>
        <v>A</v>
      </c>
      <c r="V7" s="230" cm="1">
        <f t="array" ref="V7">_xlfn._xlws.FILTER('Daily WE'!G:G, ('Daily WE'!$B:$B="n/a") * ('Daily WE'!$C:$C ='Daily IE'!$A7))</f>
        <v>1000</v>
      </c>
      <c r="W7" s="226">
        <f t="shared" ref="W7:W54" si="7">IF(ISBLANK($A7), "", IF(ISNUMBER(C7), C7/$B7, "Unknown"))</f>
        <v>1.1324028188603821</v>
      </c>
      <c r="X7" s="226">
        <f t="shared" ref="X7:X54" si="8">IF(ISBLANK($A7), "", IF(ISNUMBER(D7), D7/$B7, "Unknown"))</f>
        <v>1.113322649828852</v>
      </c>
      <c r="Y7" s="226">
        <f t="shared" ref="Y7:Y54" si="9">IF(ISBLANK($A7), "", IF(ISNUMBER(E7), E7/$B7, "Unknown"))</f>
        <v>1.0295075335388708</v>
      </c>
      <c r="Z7" s="226">
        <f t="shared" ref="Z7:Z54" si="10">IF(ISBLANK($A7), "", IF(ISNUMBER(F7), F7/$B7, "Unknown"))</f>
        <v>1.2606152989591404</v>
      </c>
      <c r="AA7" s="226">
        <f t="shared" ref="AA7:AA54" si="11">IF(ISBLANK($A7), "", IF(ISNUMBER(G7), G7/$B7, "Unknown"))</f>
        <v>0.69952591514433671</v>
      </c>
      <c r="AB7" s="226">
        <f t="shared" ref="AB7:AB54" si="12">IF(ISBLANK($A7), "", IF(ISNUMBER(H7), H7/$B7, "Unknown"))</f>
        <v>0.76746591374720963</v>
      </c>
      <c r="AC7" s="226">
        <f t="shared" ref="AC7:AC54" si="13">IF(ISBLANK($A7), "", IF(ISNUMBER(I7), I7/$B7, "Unknown"))</f>
        <v>0.79986570897424814</v>
      </c>
      <c r="AD7" s="226">
        <f t="shared" ref="AD7:AD54" si="14">IF(ISBLANK($A7), "", IF(ISNUMBER(J7), J7/$B7, "Unknown"))</f>
        <v>0.51212529102470938</v>
      </c>
      <c r="AE7" s="226">
        <f t="shared" ref="AE7:AE54" si="15">IF(ISBLANK($A7), "", IF(ISNUMBER(K7), K7/$B7, "Unknown"))</f>
        <v>0.8535007939644107</v>
      </c>
      <c r="AF7" s="226">
        <f t="shared" ref="AF7:AF54" si="16">IF(ISBLANK($A7), "", IF(ISNUMBER(L7), L7/$B7, "Unknown"))</f>
        <v>1.2907265165345825</v>
      </c>
      <c r="AG7" s="226">
        <f t="shared" ref="AG7:AG54" si="17">IF(ISBLANK($A7), "", IF(ISNUMBER(M7), M7/$B7, "Unknown"))</f>
        <v>1.4955724624157161</v>
      </c>
      <c r="AH7" s="226">
        <f t="shared" ref="AH7:AH54" si="18">IF(ISBLANK($A7), "", IF(ISNUMBER(N7), N7/$B7, "Unknown"))</f>
        <v>0.97049246646112908</v>
      </c>
      <c r="AI7" s="226">
        <f t="shared" ref="AI7:AI54" si="19">IF(ISBLANK($A7), "", IF(ISNUMBER(O7), O7/$B7, "Unknown"))</f>
        <v>0.465904363519968</v>
      </c>
      <c r="AJ7" s="226">
        <f t="shared" ref="AJ7:AJ54" si="20">IF(ISBLANK($A7), "", IF(ISNUMBER(P7), P7/$B7, "Unknown"))</f>
        <v>0.72621312861597875</v>
      </c>
      <c r="AK7" s="226">
        <f t="shared" ref="AK7:AK54" si="21">IF(ISBLANK($A7), "", IF(ISNUMBER(Q7), Q7/$B7, "Unknown"))</f>
        <v>1.0923448902160438</v>
      </c>
      <c r="AL7" s="226">
        <f t="shared" ref="AL7:AL54" si="22">IF(ISBLANK($A7), "", IF(ISNUMBER(R7), R7/$B7, "Unknown"))</f>
        <v>1.1639215898889701</v>
      </c>
      <c r="AM7" s="226">
        <f t="shared" ref="AM7:AM54" si="23">IF(ISBLANK($A7), "", IF(ISNUMBER(S7), S7/$B7, "Unknown"))</f>
        <v>0.6923223693607935</v>
      </c>
      <c r="AN7" s="226">
        <f t="shared" ref="AN7:AN54" si="24">IF(ISBLANK($A7), "", IF(ISNUMBER(T7), T7/$B7, "Unknown"))</f>
        <v>1.1938972652800353</v>
      </c>
      <c r="AO7" s="227" cm="1">
        <f t="array" ref="AO7">MEDIAN(_xlfn._xlws.FILTER($W$6:$AN$6,($W$6:$AN$6&lt;&gt;"Unknown")))</f>
        <v>1</v>
      </c>
    </row>
    <row r="8" spans="1:41" x14ac:dyDescent="0.25">
      <c r="A8" s="215">
        <v>46231</v>
      </c>
      <c r="B8" s="222">
        <f t="shared" si="6"/>
        <v>7.9860750000000008E-2</v>
      </c>
      <c r="C8" s="106" cm="1">
        <f t="array" ref="C8">IF($A8&lt;&gt;"", IFERROR(_xlfn._xlws.FILTER(Log!$G:$G, (Log!$A:$A="Daily") * (Log!$C:$C=$A8) * (Log!$D:$D=C$4)), "Unknown"), "")</f>
        <v>9.1957899999999995E-2</v>
      </c>
      <c r="D8" s="106" cm="1">
        <f t="array" ref="D8">IF($A8&lt;&gt;"", IFERROR(_xlfn._xlws.FILTER(Log!$G:$G, (Log!$A:$A="Daily") * (Log!$C:$C=$A8) * (Log!$D:$D=D$4)), "Unknown"), "")</f>
        <v>0.14671400000000001</v>
      </c>
      <c r="E8" s="106" cm="1">
        <f t="array" ref="E8">IF($A8&lt;&gt;"", IFERROR(_xlfn._xlws.FILTER(Log!$G:$G, (Log!$A:$A="Daily") * (Log!$C:$C=$A8) * (Log!$D:$D=E$4)), "Unknown"), "")</f>
        <v>8.1951999999999997E-2</v>
      </c>
      <c r="F8" s="106" cm="1">
        <f t="array" ref="F8">IF($A8&lt;&gt;"", IFERROR(_xlfn._xlws.FILTER(Log!$G:$G, (Log!$A:$A="Daily") * (Log!$C:$C=$A8) * (Log!$D:$D=F$4)), "Unknown"), "")</f>
        <v>0.109685</v>
      </c>
      <c r="G8" s="106" cm="1">
        <f t="array" ref="G8">IF($A8&lt;&gt;"", IFERROR(_xlfn._xlws.FILTER(Log!$G:$G, (Log!$A:$A="Daily") * (Log!$C:$C=$A8) * (Log!$D:$D=G$4)), "Unknown"), "")</f>
        <v>7.7769500000000005E-2</v>
      </c>
      <c r="H8" s="106" cm="1">
        <f t="array" ref="H8">IF($A8&lt;&gt;"", IFERROR(_xlfn._xlws.FILTER(Log!$G:$G, (Log!$A:$A="Daily") * (Log!$C:$C=$A8) * (Log!$D:$D=H$4)), "Unknown"), "")</f>
        <v>8.4118100000000001E-2</v>
      </c>
      <c r="I8" s="106" cm="1">
        <f t="array" ref="I8">IF($A8&lt;&gt;"", IFERROR(_xlfn._xlws.FILTER(Log!$G:$G, (Log!$A:$A="Daily") * (Log!$C:$C=$A8) * (Log!$D:$D=I$4)), "Unknown"), "")</f>
        <v>8.9207099999999998E-2</v>
      </c>
      <c r="J8" s="106" cm="1">
        <f t="array" ref="J8">IF($A8&lt;&gt;"", IFERROR(_xlfn._xlws.FILTER(Log!$G:$G, (Log!$A:$A="Daily") * (Log!$C:$C=$A8) * (Log!$D:$D=J$4)), "Unknown"), "")</f>
        <v>4.7859600000000002E-2</v>
      </c>
      <c r="K8" s="106" cm="1">
        <f t="array" ref="K8">IF($A8&lt;&gt;"", IFERROR(_xlfn._xlws.FILTER(Log!$G:$G, (Log!$A:$A="Daily") * (Log!$C:$C=$A8) * (Log!$D:$D=K$4)), "Unknown"), "")</f>
        <v>6.8267099999999997E-2</v>
      </c>
      <c r="L8" s="106" cm="1">
        <f t="array" ref="L8">IF($A8&lt;&gt;"", IFERROR(_xlfn._xlws.FILTER(Log!$G:$G, (Log!$A:$A="Daily") * (Log!$C:$C=$A8) * (Log!$D:$D=L$4)), "Unknown"), "")</f>
        <v>0.13811000000000001</v>
      </c>
      <c r="M8" s="106" cm="1">
        <f t="array" ref="M8">IF($A8&lt;&gt;"", IFERROR(_xlfn._xlws.FILTER(Log!$G:$G, (Log!$A:$A="Daily") * (Log!$C:$C=$A8) * (Log!$D:$D=M$4)), "Unknown"), "")</f>
        <v>0.118642</v>
      </c>
      <c r="N8" s="106" cm="1">
        <f t="array" ref="N8">IF($A8&lt;&gt;"", IFERROR(_xlfn._xlws.FILTER(Log!$G:$G, (Log!$A:$A="Daily") * (Log!$C:$C=$A8) * (Log!$D:$D=N$4)), "Unknown"), "")</f>
        <v>5.9232199999999999E-2</v>
      </c>
      <c r="O8" s="106" cm="1">
        <f t="array" ref="O8">IF($A8&lt;&gt;"", IFERROR(_xlfn._xlws.FILTER(Log!$G:$G, (Log!$A:$A="Daily") * (Log!$C:$C=$A8) * (Log!$D:$D=O$4)), "Unknown"), "")</f>
        <v>5.2973800000000001E-2</v>
      </c>
      <c r="P8" s="106" cm="1">
        <f t="array" ref="P8">IF($A8&lt;&gt;"", IFERROR(_xlfn._xlws.FILTER(Log!$G:$G, (Log!$A:$A="Daily") * (Log!$C:$C=$A8) * (Log!$D:$D=P$4)), "Unknown"), "")</f>
        <v>6.1579000000000002E-2</v>
      </c>
      <c r="Q8" s="106" cm="1">
        <f t="array" ref="Q8">IF($A8&lt;&gt;"", IFERROR(_xlfn._xlws.FILTER(Log!$G:$G, (Log!$A:$A="Daily") * (Log!$C:$C=$A8) * (Log!$D:$D=Q$4)), "Unknown"), "")</f>
        <v>6.7059099999999996E-2</v>
      </c>
      <c r="R8" s="106" cm="1">
        <f t="array" ref="R8">IF($A8&lt;&gt;"", IFERROR(_xlfn._xlws.FILTER(Log!$G:$G, (Log!$A:$A="Daily") * (Log!$C:$C=$A8) * (Log!$D:$D=R$4)), "Unknown"), "")</f>
        <v>6.5277500000000002E-2</v>
      </c>
      <c r="S8" s="106" cm="1">
        <f t="array" ref="S8">IF($A8&lt;&gt;"", IFERROR(_xlfn._xlws.FILTER(Log!$G:$G, (Log!$A:$A="Daily") * (Log!$C:$C=$A8) * (Log!$D:$D=S$4)), "Unknown"), "")</f>
        <v>6.9472199999999998E-2</v>
      </c>
      <c r="T8" s="106" cm="1">
        <f t="array" ref="T8">IF($A8&lt;&gt;"", IFERROR(_xlfn._xlws.FILTER(Log!$G:$G, (Log!$A:$A="Daily") * (Log!$C:$C=$A8) * (Log!$D:$D=T$4)), "Unknown"), "")</f>
        <v>9.5271300000000003E-2</v>
      </c>
      <c r="U8" s="229" t="str" cm="1">
        <f t="array" ref="U8">_xlfn._xlws.FILTER('Daily WE'!F:F, ('Daily WE'!$B:$B="n/a") * ('Daily WE'!$C:$C ='Daily IE'!$A8))</f>
        <v>B</v>
      </c>
      <c r="V8" s="230" cm="1">
        <f t="array" ref="V8">_xlfn._xlws.FILTER('Daily WE'!G:G, ('Daily WE'!$B:$B="n/a") * ('Daily WE'!$C:$C ='Daily IE'!$A8))</f>
        <v>1000</v>
      </c>
      <c r="W8" s="226">
        <f t="shared" si="7"/>
        <v>1.1514780414659265</v>
      </c>
      <c r="X8" s="226">
        <f t="shared" si="8"/>
        <v>1.8371227417723974</v>
      </c>
      <c r="Y8" s="226">
        <f t="shared" si="9"/>
        <v>1.026186205363711</v>
      </c>
      <c r="Z8" s="226">
        <f t="shared" si="10"/>
        <v>1.3734531669186678</v>
      </c>
      <c r="AA8" s="226">
        <f t="shared" si="11"/>
        <v>0.97381379463628881</v>
      </c>
      <c r="AB8" s="226">
        <f t="shared" si="12"/>
        <v>1.0533096671393645</v>
      </c>
      <c r="AC8" s="226">
        <f t="shared" si="13"/>
        <v>1.1170330857148223</v>
      </c>
      <c r="AD8" s="226">
        <f t="shared" si="14"/>
        <v>0.59928813591157104</v>
      </c>
      <c r="AE8" s="226">
        <f t="shared" si="15"/>
        <v>0.85482668269456508</v>
      </c>
      <c r="AF8" s="226">
        <f t="shared" si="16"/>
        <v>1.7293852111331285</v>
      </c>
      <c r="AG8" s="226">
        <f t="shared" si="17"/>
        <v>1.4856108914579438</v>
      </c>
      <c r="AH8" s="226">
        <f t="shared" si="18"/>
        <v>0.74169351026630725</v>
      </c>
      <c r="AI8" s="226">
        <f t="shared" si="19"/>
        <v>0.6633271037399473</v>
      </c>
      <c r="AJ8" s="226">
        <f t="shared" si="20"/>
        <v>0.77107966053411714</v>
      </c>
      <c r="AK8" s="226">
        <f t="shared" si="21"/>
        <v>0.8397003534276849</v>
      </c>
      <c r="AL8" s="226">
        <f t="shared" si="22"/>
        <v>0.81739152211818689</v>
      </c>
      <c r="AM8" s="226">
        <f t="shared" si="23"/>
        <v>0.8699166987537682</v>
      </c>
      <c r="AN8" s="226">
        <f t="shared" si="24"/>
        <v>1.1929677595063908</v>
      </c>
      <c r="AO8" s="227" cm="1">
        <f t="array" ref="AO8">MEDIAN(_xlfn._xlws.FILTER($W$6:$AN$6,($W$6:$AN$6&lt;&gt;"Unknown")))</f>
        <v>1</v>
      </c>
    </row>
    <row r="9" spans="1:41" x14ac:dyDescent="0.25">
      <c r="A9" s="215">
        <v>46232</v>
      </c>
      <c r="B9" s="222">
        <f t="shared" si="6"/>
        <v>8.1860299999999997E-2</v>
      </c>
      <c r="C9" s="106" cm="1">
        <f t="array" ref="C9">IF($A9&lt;&gt;"", IFERROR(_xlfn._xlws.FILTER(Log!$G:$G, (Log!$A:$A="Daily") * (Log!$C:$C=$A9) * (Log!$D:$D=C$4)), "Unknown"), "")</f>
        <v>8.0479400000000006E-2</v>
      </c>
      <c r="D9" s="106" cm="1">
        <f t="array" ref="D9">IF($A9&lt;&gt;"", IFERROR(_xlfn._xlws.FILTER(Log!$G:$G, (Log!$A:$A="Daily") * (Log!$C:$C=$A9) * (Log!$D:$D=D$4)), "Unknown"), "")</f>
        <v>0.104628</v>
      </c>
      <c r="E9" s="106" cm="1">
        <f t="array" ref="E9">IF($A9&lt;&gt;"", IFERROR(_xlfn._xlws.FILTER(Log!$G:$G, (Log!$A:$A="Daily") * (Log!$C:$C=$A9) * (Log!$D:$D=E$4)), "Unknown"), "")</f>
        <v>0.106193</v>
      </c>
      <c r="F9" s="106" cm="1">
        <f t="array" ref="F9">IF($A9&lt;&gt;"", IFERROR(_xlfn._xlws.FILTER(Log!$G:$G, (Log!$A:$A="Daily") * (Log!$C:$C=$A9) * (Log!$D:$D=F$4)), "Unknown"), "")</f>
        <v>0.112651</v>
      </c>
      <c r="G9" s="106" cm="1">
        <f t="array" ref="G9">IF($A9&lt;&gt;"", IFERROR(_xlfn._xlws.FILTER(Log!$G:$G, (Log!$A:$A="Daily") * (Log!$C:$C=$A9) * (Log!$D:$D=G$4)), "Unknown"), "")</f>
        <v>6.4562400000000006E-2</v>
      </c>
      <c r="H9" s="106" cm="1">
        <f t="array" ref="H9">IF($A9&lt;&gt;"", IFERROR(_xlfn._xlws.FILTER(Log!$G:$G, (Log!$A:$A="Daily") * (Log!$C:$C=$A9) * (Log!$D:$D=H$4)), "Unknown"), "")</f>
        <v>8.06085E-2</v>
      </c>
      <c r="I9" s="106" cm="1">
        <f t="array" ref="I9">IF($A9&lt;&gt;"", IFERROR(_xlfn._xlws.FILTER(Log!$G:$G, (Log!$A:$A="Daily") * (Log!$C:$C=$A9) * (Log!$D:$D=I$4)), "Unknown"), "")</f>
        <v>8.3112099999999994E-2</v>
      </c>
      <c r="J9" s="106" cm="1">
        <f t="array" ref="J9">IF($A9&lt;&gt;"", IFERROR(_xlfn._xlws.FILTER(Log!$G:$G, (Log!$A:$A="Daily") * (Log!$C:$C=$A9) * (Log!$D:$D=J$4)), "Unknown"), "")</f>
        <v>6.9231899999999999E-2</v>
      </c>
      <c r="K9" s="106" cm="1">
        <f t="array" ref="K9">IF($A9&lt;&gt;"", IFERROR(_xlfn._xlws.FILTER(Log!$G:$G, (Log!$A:$A="Daily") * (Log!$C:$C=$A9) * (Log!$D:$D=K$4)), "Unknown"), "")</f>
        <v>8.5488999999999996E-2</v>
      </c>
      <c r="L9" s="106" cm="1">
        <f t="array" ref="L9">IF($A9&lt;&gt;"", IFERROR(_xlfn._xlws.FILTER(Log!$G:$G, (Log!$A:$A="Daily") * (Log!$C:$C=$A9) * (Log!$D:$D=L$4)), "Unknown"), "")</f>
        <v>0.136459</v>
      </c>
      <c r="M9" s="106" cm="1">
        <f t="array" ref="M9">IF($A9&lt;&gt;"", IFERROR(_xlfn._xlws.FILTER(Log!$G:$G, (Log!$A:$A="Daily") * (Log!$C:$C=$A9) * (Log!$D:$D=M$4)), "Unknown"), "")</f>
        <v>0.13156499999999999</v>
      </c>
      <c r="N9" s="106" cm="1">
        <f t="array" ref="N9">IF($A9&lt;&gt;"", IFERROR(_xlfn._xlws.FILTER(Log!$G:$G, (Log!$A:$A="Daily") * (Log!$C:$C=$A9) * (Log!$D:$D=N$4)), "Unknown"), "")</f>
        <v>6.2631199999999998E-2</v>
      </c>
      <c r="O9" s="106" cm="1">
        <f t="array" ref="O9">IF($A9&lt;&gt;"", IFERROR(_xlfn._xlws.FILTER(Log!$G:$G, (Log!$A:$A="Daily") * (Log!$C:$C=$A9) * (Log!$D:$D=O$4)), "Unknown"), "")</f>
        <v>6.1802799999999998E-2</v>
      </c>
      <c r="P9" s="106" cm="1">
        <f t="array" ref="P9">IF($A9&lt;&gt;"", IFERROR(_xlfn._xlws.FILTER(Log!$G:$G, (Log!$A:$A="Daily") * (Log!$C:$C=$A9) * (Log!$D:$D=P$4)), "Unknown"), "")</f>
        <v>5.9381200000000002E-2</v>
      </c>
      <c r="Q9" s="106" cm="1">
        <f t="array" ref="Q9">IF($A9&lt;&gt;"", IFERROR(_xlfn._xlws.FILTER(Log!$G:$G, (Log!$A:$A="Daily") * (Log!$C:$C=$A9) * (Log!$D:$D=Q$4)), "Unknown"), "")</f>
        <v>9.9357200000000007E-2</v>
      </c>
      <c r="R9" s="106" cm="1">
        <f t="array" ref="R9">IF($A9&lt;&gt;"", IFERROR(_xlfn._xlws.FILTER(Log!$G:$G, (Log!$A:$A="Daily") * (Log!$C:$C=$A9) * (Log!$D:$D=R$4)), "Unknown"), "")</f>
        <v>7.9746600000000001E-2</v>
      </c>
      <c r="S9" s="106" cm="1">
        <f t="array" ref="S9">IF($A9&lt;&gt;"", IFERROR(_xlfn._xlws.FILTER(Log!$G:$G, (Log!$A:$A="Daily") * (Log!$C:$C=$A9) * (Log!$D:$D=S$4)), "Unknown"), "")</f>
        <v>7.3407E-2</v>
      </c>
      <c r="T9" s="106" cm="1">
        <f t="array" ref="T9">IF($A9&lt;&gt;"", IFERROR(_xlfn._xlws.FILTER(Log!$G:$G, (Log!$A:$A="Daily") * (Log!$C:$C=$A9) * (Log!$D:$D=T$4)), "Unknown"), "")</f>
        <v>0.10856499999999999</v>
      </c>
      <c r="U9" s="229" t="str" cm="1">
        <f t="array" ref="U9">_xlfn._xlws.FILTER('Daily WE'!F:F, ('Daily WE'!$B:$B="n/a") * ('Daily WE'!$C:$C ='Daily IE'!$A9))</f>
        <v>A</v>
      </c>
      <c r="V9" s="230" cm="1">
        <f t="array" ref="V9">_xlfn._xlws.FILTER('Daily WE'!G:G, ('Daily WE'!$B:$B="n/a") * ('Daily WE'!$C:$C ='Daily IE'!$A9))</f>
        <v>1000</v>
      </c>
      <c r="W9" s="226">
        <f t="shared" si="7"/>
        <v>0.98313101711085848</v>
      </c>
      <c r="X9" s="226">
        <f t="shared" si="8"/>
        <v>1.2781287144073501</v>
      </c>
      <c r="Y9" s="226">
        <f t="shared" si="9"/>
        <v>1.2972466506963694</v>
      </c>
      <c r="Z9" s="226">
        <f t="shared" si="10"/>
        <v>1.3761371507311848</v>
      </c>
      <c r="AA9" s="226">
        <f t="shared" si="11"/>
        <v>0.78868999991448852</v>
      </c>
      <c r="AB9" s="226">
        <f t="shared" si="12"/>
        <v>0.98470809415553084</v>
      </c>
      <c r="AC9" s="226">
        <f t="shared" si="13"/>
        <v>1.0152919058444692</v>
      </c>
      <c r="AD9" s="226">
        <f t="shared" si="14"/>
        <v>0.84573230247140552</v>
      </c>
      <c r="AE9" s="226">
        <f t="shared" si="15"/>
        <v>1.0443279587296894</v>
      </c>
      <c r="AF9" s="226">
        <f t="shared" si="16"/>
        <v>1.666974100998897</v>
      </c>
      <c r="AG9" s="226">
        <f t="shared" si="17"/>
        <v>1.6071893213193695</v>
      </c>
      <c r="AH9" s="226">
        <f t="shared" si="18"/>
        <v>0.76509858869317604</v>
      </c>
      <c r="AI9" s="226">
        <f t="shared" si="19"/>
        <v>0.75497890919041344</v>
      </c>
      <c r="AJ9" s="226">
        <f t="shared" si="20"/>
        <v>0.72539680406741736</v>
      </c>
      <c r="AK9" s="226">
        <f t="shared" si="21"/>
        <v>1.2137409708979812</v>
      </c>
      <c r="AL9" s="226">
        <f t="shared" si="22"/>
        <v>0.97417918087277966</v>
      </c>
      <c r="AM9" s="226">
        <f t="shared" si="23"/>
        <v>0.89673504739171495</v>
      </c>
      <c r="AN9" s="226">
        <f t="shared" si="24"/>
        <v>1.3262228455063076</v>
      </c>
      <c r="AO9" s="227" cm="1">
        <f t="array" ref="AO9">MEDIAN(_xlfn._xlws.FILTER($W$6:$AN$6,($W$6:$AN$6&lt;&gt;"Unknown")))</f>
        <v>1</v>
      </c>
    </row>
    <row r="10" spans="1:41" x14ac:dyDescent="0.25">
      <c r="A10" s="215">
        <v>46233</v>
      </c>
      <c r="B10" s="222">
        <f t="shared" si="6"/>
        <v>7.6076000000000005E-2</v>
      </c>
      <c r="C10" s="106" cm="1">
        <f t="array" ref="C10">IF($A10&lt;&gt;"", IFERROR(_xlfn._xlws.FILTER(Log!$G:$G, (Log!$A:$A="Daily") * (Log!$C:$C=$A10) * (Log!$D:$D=C$4)), "Unknown"), "")</f>
        <v>6.17744E-2</v>
      </c>
      <c r="D10" s="106" cm="1">
        <f t="array" ref="D10">IF($A10&lt;&gt;"", IFERROR(_xlfn._xlws.FILTER(Log!$G:$G, (Log!$A:$A="Daily") * (Log!$C:$C=$A10) * (Log!$D:$D=D$4)), "Unknown"), "")</f>
        <v>0.10016</v>
      </c>
      <c r="E10" s="106" cm="1">
        <f t="array" ref="E10">IF($A10&lt;&gt;"", IFERROR(_xlfn._xlws.FILTER(Log!$G:$G, (Log!$A:$A="Daily") * (Log!$C:$C=$A10) * (Log!$D:$D=E$4)), "Unknown"), "")</f>
        <v>0.101578</v>
      </c>
      <c r="F10" s="106" cm="1">
        <f t="array" ref="F10">IF($A10&lt;&gt;"", IFERROR(_xlfn._xlws.FILTER(Log!$G:$G, (Log!$A:$A="Daily") * (Log!$C:$C=$A10) * (Log!$D:$D=F$4)), "Unknown"), "")</f>
        <v>8.9885099999999996E-2</v>
      </c>
      <c r="G10" s="106" cm="1">
        <f t="array" ref="G10">IF($A10&lt;&gt;"", IFERROR(_xlfn._xlws.FILTER(Log!$G:$G, (Log!$A:$A="Daily") * (Log!$C:$C=$A10) * (Log!$D:$D=G$4)), "Unknown"), "")</f>
        <v>6.1423999999999999E-2</v>
      </c>
      <c r="H10" s="106" cm="1">
        <f t="array" ref="H10">IF($A10&lt;&gt;"", IFERROR(_xlfn._xlws.FILTER(Log!$G:$G, (Log!$A:$A="Daily") * (Log!$C:$C=$A10) * (Log!$D:$D=H$4)), "Unknown"), "")</f>
        <v>7.0834300000000003E-2</v>
      </c>
      <c r="I10" s="106" cm="1">
        <f t="array" ref="I10">IF($A10&lt;&gt;"", IFERROR(_xlfn._xlws.FILTER(Log!$G:$G, (Log!$A:$A="Daily") * (Log!$C:$C=$A10) * (Log!$D:$D=I$4)), "Unknown"), "")</f>
        <v>7.9699599999999995E-2</v>
      </c>
      <c r="J10" s="106" cm="1">
        <f t="array" ref="J10">IF($A10&lt;&gt;"", IFERROR(_xlfn._xlws.FILTER(Log!$G:$G, (Log!$A:$A="Daily") * (Log!$C:$C=$A10) * (Log!$D:$D=J$4)), "Unknown"), "")</f>
        <v>6.4197799999999999E-2</v>
      </c>
      <c r="K10" s="106" cm="1">
        <f t="array" ref="K10">IF($A10&lt;&gt;"", IFERROR(_xlfn._xlws.FILTER(Log!$G:$G, (Log!$A:$A="Daily") * (Log!$C:$C=$A10) * (Log!$D:$D=K$4)), "Unknown"), "")</f>
        <v>8.2395399999999994E-2</v>
      </c>
      <c r="L10" s="106" cm="1">
        <f t="array" ref="L10">IF($A10&lt;&gt;"", IFERROR(_xlfn._xlws.FILTER(Log!$G:$G, (Log!$A:$A="Daily") * (Log!$C:$C=$A10) * (Log!$D:$D=L$4)), "Unknown"), "")</f>
        <v>7.1129800000000007E-2</v>
      </c>
      <c r="M10" s="106" cm="1">
        <f t="array" ref="M10">IF($A10&lt;&gt;"", IFERROR(_xlfn._xlws.FILTER(Log!$G:$G, (Log!$A:$A="Daily") * (Log!$C:$C=$A10) * (Log!$D:$D=M$4)), "Unknown"), "")</f>
        <v>0.12241299999999999</v>
      </c>
      <c r="N10" s="106" cm="1">
        <f t="array" ref="N10">IF($A10&lt;&gt;"", IFERROR(_xlfn._xlws.FILTER(Log!$G:$G, (Log!$A:$A="Daily") * (Log!$C:$C=$A10) * (Log!$D:$D=N$4)), "Unknown"), "")</f>
        <v>8.4493100000000002E-2</v>
      </c>
      <c r="O10" s="106" cm="1">
        <f t="array" ref="O10">IF($A10&lt;&gt;"", IFERROR(_xlfn._xlws.FILTER(Log!$G:$G, (Log!$A:$A="Daily") * (Log!$C:$C=$A10) * (Log!$D:$D=O$4)), "Unknown"), "")</f>
        <v>5.0948300000000002E-2</v>
      </c>
      <c r="P10" s="106" cm="1">
        <f t="array" ref="P10">IF($A10&lt;&gt;"", IFERROR(_xlfn._xlws.FILTER(Log!$G:$G, (Log!$A:$A="Daily") * (Log!$C:$C=$A10) * (Log!$D:$D=P$4)), "Unknown"), "")</f>
        <v>7.4430300000000005E-2</v>
      </c>
      <c r="Q10" s="106" cm="1">
        <f t="array" ref="Q10">IF($A10&lt;&gt;"", IFERROR(_xlfn._xlws.FILTER(Log!$G:$G, (Log!$A:$A="Daily") * (Log!$C:$C=$A10) * (Log!$D:$D=Q$4)), "Unknown"), "")</f>
        <v>7.7721700000000005E-2</v>
      </c>
      <c r="R10" s="106" cm="1">
        <f t="array" ref="R10">IF($A10&lt;&gt;"", IFERROR(_xlfn._xlws.FILTER(Log!$G:$G, (Log!$A:$A="Daily") * (Log!$C:$C=$A10) * (Log!$D:$D=R$4)), "Unknown"), "")</f>
        <v>7.3749300000000004E-2</v>
      </c>
      <c r="S10" s="106" cm="1">
        <f t="array" ref="S10">IF($A10&lt;&gt;"", IFERROR(_xlfn._xlws.FILTER(Log!$G:$G, (Log!$A:$A="Daily") * (Log!$C:$C=$A10) * (Log!$D:$D=S$4)), "Unknown"), "")</f>
        <v>6.9205000000000003E-2</v>
      </c>
      <c r="T10" s="106" cm="1">
        <f t="array" ref="T10">IF($A10&lt;&gt;"", IFERROR(_xlfn._xlws.FILTER(Log!$G:$G, (Log!$A:$A="Daily") * (Log!$C:$C=$A10) * (Log!$D:$D=T$4)), "Unknown"), "")</f>
        <v>8.9530799999999994E-2</v>
      </c>
      <c r="U10" s="229" t="str" cm="1">
        <f t="array" ref="U10">_xlfn._xlws.FILTER('Daily WE'!F:F, ('Daily WE'!$B:$B="n/a") * ('Daily WE'!$C:$C ='Daily IE'!$A10))</f>
        <v>A</v>
      </c>
      <c r="V10" s="230" cm="1">
        <f t="array" ref="V10">_xlfn._xlws.FILTER('Daily WE'!G:G, ('Daily WE'!$B:$B="n/a") * ('Daily WE'!$C:$C ='Daily IE'!$A10))</f>
        <v>1000</v>
      </c>
      <c r="W10" s="226">
        <f t="shared" si="7"/>
        <v>0.81200904358799086</v>
      </c>
      <c r="X10" s="226">
        <f t="shared" si="8"/>
        <v>1.3165781586834218</v>
      </c>
      <c r="Y10" s="226">
        <f t="shared" si="9"/>
        <v>1.3352174141647826</v>
      </c>
      <c r="Z10" s="226">
        <f t="shared" si="10"/>
        <v>1.1815171670434828</v>
      </c>
      <c r="AA10" s="226">
        <f t="shared" si="11"/>
        <v>0.80740312319259677</v>
      </c>
      <c r="AB10" s="226">
        <f t="shared" si="12"/>
        <v>0.9310991639939008</v>
      </c>
      <c r="AC10" s="226">
        <f t="shared" si="13"/>
        <v>1.0476313160523685</v>
      </c>
      <c r="AD10" s="226">
        <f t="shared" si="14"/>
        <v>0.84386403070613591</v>
      </c>
      <c r="AE10" s="226">
        <f t="shared" si="15"/>
        <v>1.0830669330669329</v>
      </c>
      <c r="AF10" s="226">
        <f t="shared" si="16"/>
        <v>0.93498343761501657</v>
      </c>
      <c r="AG10" s="226">
        <f t="shared" si="17"/>
        <v>1.6090882801409114</v>
      </c>
      <c r="AH10" s="226">
        <f t="shared" si="18"/>
        <v>1.1106406751143594</v>
      </c>
      <c r="AI10" s="226">
        <f t="shared" si="19"/>
        <v>0.66970266575529735</v>
      </c>
      <c r="AJ10" s="226">
        <f t="shared" si="20"/>
        <v>0.97836768494663229</v>
      </c>
      <c r="AK10" s="226">
        <f t="shared" si="21"/>
        <v>1.0216323150533677</v>
      </c>
      <c r="AL10" s="226">
        <f t="shared" si="22"/>
        <v>0.96941611020558383</v>
      </c>
      <c r="AM10" s="226">
        <f t="shared" si="23"/>
        <v>0.90968242284031753</v>
      </c>
      <c r="AN10" s="226">
        <f t="shared" si="24"/>
        <v>1.1768599821231398</v>
      </c>
      <c r="AO10" s="227" cm="1">
        <f t="array" ref="AO10">MEDIAN(_xlfn._xlws.FILTER($W$6:$AN$6,($W$6:$AN$6&lt;&gt;"Unknown")))</f>
        <v>1</v>
      </c>
    </row>
    <row r="11" spans="1:41" x14ac:dyDescent="0.25">
      <c r="A11" s="215">
        <v>46234</v>
      </c>
      <c r="B11" s="222">
        <f t="shared" si="6"/>
        <v>8.7495450000000002E-2</v>
      </c>
      <c r="C11" s="106" cm="1">
        <f t="array" ref="C11">IF($A11&lt;&gt;"", IFERROR(_xlfn._xlws.FILTER(Log!$G:$G, (Log!$A:$A="Daily") * (Log!$C:$C=$A11) * (Log!$D:$D=C$4)), "Unknown"), "")</f>
        <v>0.147318</v>
      </c>
      <c r="D11" s="106" cm="1">
        <f t="array" ref="D11">IF($A11&lt;&gt;"", IFERROR(_xlfn._xlws.FILTER(Log!$G:$G, (Log!$A:$A="Daily") * (Log!$C:$C=$A11) * (Log!$D:$D=D$4)), "Unknown"), "")</f>
        <v>0.119767</v>
      </c>
      <c r="E11" s="106" cm="1">
        <f t="array" ref="E11">IF($A11&lt;&gt;"", IFERROR(_xlfn._xlws.FILTER(Log!$G:$G, (Log!$A:$A="Daily") * (Log!$C:$C=$A11) * (Log!$D:$D=E$4)), "Unknown"), "")</f>
        <v>9.4635200000000003E-2</v>
      </c>
      <c r="F11" s="106" cm="1">
        <f t="array" ref="F11">IF($A11&lt;&gt;"", IFERROR(_xlfn._xlws.FILTER(Log!$G:$G, (Log!$A:$A="Daily") * (Log!$C:$C=$A11) * (Log!$D:$D=F$4)), "Unknown"), "")</f>
        <v>0.106142</v>
      </c>
      <c r="G11" s="106" cm="1">
        <f t="array" ref="G11">IF($A11&lt;&gt;"", IFERROR(_xlfn._xlws.FILTER(Log!$G:$G, (Log!$A:$A="Daily") * (Log!$C:$C=$A11) * (Log!$D:$D=G$4)), "Unknown"), "")</f>
        <v>5.20276E-2</v>
      </c>
      <c r="H11" s="106" cm="1">
        <f t="array" ref="H11">IF($A11&lt;&gt;"", IFERROR(_xlfn._xlws.FILTER(Log!$G:$G, (Log!$A:$A="Daily") * (Log!$C:$C=$A11) * (Log!$D:$D=H$4)), "Unknown"), "")</f>
        <v>7.4700000000000003E-2</v>
      </c>
      <c r="I11" s="106" cm="1">
        <f t="array" ref="I11">IF($A11&lt;&gt;"", IFERROR(_xlfn._xlws.FILTER(Log!$G:$G, (Log!$A:$A="Daily") * (Log!$C:$C=$A11) * (Log!$D:$D=I$4)), "Unknown"), "")</f>
        <v>7.7942899999999996E-2</v>
      </c>
      <c r="J11" s="106" cm="1">
        <f t="array" ref="J11">IF($A11&lt;&gt;"", IFERROR(_xlfn._xlws.FILTER(Log!$G:$G, (Log!$A:$A="Daily") * (Log!$C:$C=$A11) * (Log!$D:$D=J$4)), "Unknown"), "")</f>
        <v>8.0192100000000002E-2</v>
      </c>
      <c r="K11" s="106" cm="1">
        <f t="array" ref="K11">IF($A11&lt;&gt;"", IFERROR(_xlfn._xlws.FILTER(Log!$G:$G, (Log!$A:$A="Daily") * (Log!$C:$C=$A11) * (Log!$D:$D=K$4)), "Unknown"), "")</f>
        <v>9.3003100000000005E-2</v>
      </c>
      <c r="L11" s="106" cm="1">
        <f t="array" ref="L11">IF($A11&lt;&gt;"", IFERROR(_xlfn._xlws.FILTER(Log!$G:$G, (Log!$A:$A="Daily") * (Log!$C:$C=$A11) * (Log!$D:$D=L$4)), "Unknown"), "")</f>
        <v>0.14021400000000001</v>
      </c>
      <c r="M11" s="106" cm="1">
        <f t="array" ref="M11">IF($A11&lt;&gt;"", IFERROR(_xlfn._xlws.FILTER(Log!$G:$G, (Log!$A:$A="Daily") * (Log!$C:$C=$A11) * (Log!$D:$D=M$4)), "Unknown"), "")</f>
        <v>0.202345</v>
      </c>
      <c r="N11" s="106" cm="1">
        <f t="array" ref="N11">IF($A11&lt;&gt;"", IFERROR(_xlfn._xlws.FILTER(Log!$G:$G, (Log!$A:$A="Daily") * (Log!$C:$C=$A11) * (Log!$D:$D=N$4)), "Unknown"), "")</f>
        <v>8.19878E-2</v>
      </c>
      <c r="O11" s="106" cm="1">
        <f t="array" ref="O11">IF($A11&lt;&gt;"", IFERROR(_xlfn._xlws.FILTER(Log!$G:$G, (Log!$A:$A="Daily") * (Log!$C:$C=$A11) * (Log!$D:$D=O$4)), "Unknown"), "")</f>
        <v>5.8651200000000001E-2</v>
      </c>
      <c r="P11" s="106" cm="1">
        <f t="array" ref="P11">IF($A11&lt;&gt;"", IFERROR(_xlfn._xlws.FILTER(Log!$G:$G, (Log!$A:$A="Daily") * (Log!$C:$C=$A11) * (Log!$D:$D=P$4)), "Unknown"), "")</f>
        <v>5.2653600000000002E-2</v>
      </c>
      <c r="Q11" s="106" cm="1">
        <f t="array" ref="Q11">IF($A11&lt;&gt;"", IFERROR(_xlfn._xlws.FILTER(Log!$G:$G, (Log!$A:$A="Daily") * (Log!$C:$C=$A11) * (Log!$D:$D=Q$4)), "Unknown"), "")</f>
        <v>9.4883999999999996E-2</v>
      </c>
      <c r="R11" s="106" cm="1">
        <f t="array" ref="R11">IF($A11&lt;&gt;"", IFERROR(_xlfn._xlws.FILTER(Log!$G:$G, (Log!$A:$A="Daily") * (Log!$C:$C=$A11) * (Log!$D:$D=R$4)), "Unknown"), "")</f>
        <v>7.2502700000000003E-2</v>
      </c>
      <c r="S11" s="106" cm="1">
        <f t="array" ref="S11">IF($A11&lt;&gt;"", IFERROR(_xlfn._xlws.FILTER(Log!$G:$G, (Log!$A:$A="Daily") * (Log!$C:$C=$A11) * (Log!$D:$D=S$4)), "Unknown"), "")</f>
        <v>7.7646499999999993E-2</v>
      </c>
      <c r="T11" s="106" cm="1">
        <f t="array" ref="T11">IF($A11&lt;&gt;"", IFERROR(_xlfn._xlws.FILTER(Log!$G:$G, (Log!$A:$A="Daily") * (Log!$C:$C=$A11) * (Log!$D:$D=T$4)), "Unknown"), "")</f>
        <v>0.104738</v>
      </c>
      <c r="U11" s="229" t="str" cm="1">
        <f t="array" ref="U11">_xlfn._xlws.FILTER('Daily WE'!F:F, ('Daily WE'!$B:$B="n/a") * ('Daily WE'!$C:$C ='Daily IE'!$A11))</f>
        <v>C</v>
      </c>
      <c r="V11" s="230" cm="1">
        <f t="array" ref="V11">_xlfn._xlws.FILTER('Daily WE'!G:G, ('Daily WE'!$B:$B="n/a") * ('Daily WE'!$C:$C ='Daily IE'!$A11))</f>
        <v>1500</v>
      </c>
      <c r="W11" s="226">
        <f t="shared" si="7"/>
        <v>1.6837218392499267</v>
      </c>
      <c r="X11" s="226">
        <f t="shared" si="8"/>
        <v>1.3688368938041922</v>
      </c>
      <c r="Y11" s="226">
        <f t="shared" si="9"/>
        <v>1.0816013861292215</v>
      </c>
      <c r="Z11" s="226">
        <f t="shared" si="10"/>
        <v>1.213114510525976</v>
      </c>
      <c r="AA11" s="226">
        <f t="shared" si="11"/>
        <v>0.59463206372445654</v>
      </c>
      <c r="AB11" s="226">
        <f t="shared" si="12"/>
        <v>0.8537586811657063</v>
      </c>
      <c r="AC11" s="226">
        <f t="shared" si="13"/>
        <v>0.89082232276078344</v>
      </c>
      <c r="AD11" s="226">
        <f t="shared" si="14"/>
        <v>0.91652880235486534</v>
      </c>
      <c r="AE11" s="226">
        <f t="shared" si="15"/>
        <v>1.0629478447164966</v>
      </c>
      <c r="AF11" s="226">
        <f t="shared" si="16"/>
        <v>1.6025290457960957</v>
      </c>
      <c r="AG11" s="226">
        <f t="shared" si="17"/>
        <v>2.3126345427105064</v>
      </c>
      <c r="AH11" s="226">
        <f t="shared" si="18"/>
        <v>0.93705215528350327</v>
      </c>
      <c r="AI11" s="226">
        <f t="shared" si="19"/>
        <v>0.67033428595429823</v>
      </c>
      <c r="AJ11" s="226">
        <f t="shared" si="20"/>
        <v>0.60178672148094559</v>
      </c>
      <c r="AK11" s="226">
        <f t="shared" si="21"/>
        <v>1.0844449625666248</v>
      </c>
      <c r="AL11" s="226">
        <f t="shared" si="22"/>
        <v>0.8286453752738</v>
      </c>
      <c r="AM11" s="226">
        <f t="shared" si="23"/>
        <v>0.88743471803390905</v>
      </c>
      <c r="AN11" s="226">
        <f t="shared" si="24"/>
        <v>1.1970679618197289</v>
      </c>
      <c r="AO11" s="227" cm="1">
        <f t="array" ref="AO11">MEDIAN(_xlfn._xlws.FILTER($W$6:$AN$6,($W$6:$AN$6&lt;&gt;"Unknown")))</f>
        <v>1</v>
      </c>
    </row>
    <row r="12" spans="1:41" x14ac:dyDescent="0.25">
      <c r="A12" s="215">
        <v>46235</v>
      </c>
      <c r="B12" s="222">
        <f t="shared" si="6"/>
        <v>9.8948800000000003E-2</v>
      </c>
      <c r="C12" s="106" cm="1">
        <f t="array" ref="C12">IF($A12&lt;&gt;"", IFERROR(_xlfn._xlws.FILTER(Log!$G:$G, (Log!$A:$A="Daily") * (Log!$C:$C=$A12) * (Log!$D:$D=C$4)), "Unknown"), "")</f>
        <v>0.10890900000000001</v>
      </c>
      <c r="D12" s="106" cm="1">
        <f t="array" ref="D12">IF($A12&lt;&gt;"", IFERROR(_xlfn._xlws.FILTER(Log!$G:$G, (Log!$A:$A="Daily") * (Log!$C:$C=$A12) * (Log!$D:$D=D$4)), "Unknown"), "")</f>
        <v>0.127695</v>
      </c>
      <c r="E12" s="106" cm="1">
        <f t="array" ref="E12">IF($A12&lt;&gt;"", IFERROR(_xlfn._xlws.FILTER(Log!$G:$G, (Log!$A:$A="Daily") * (Log!$C:$C=$A12) * (Log!$D:$D=E$4)), "Unknown"), "")</f>
        <v>0.12779199999999999</v>
      </c>
      <c r="F12" s="106" cm="1">
        <f t="array" ref="F12">IF($A12&lt;&gt;"", IFERROR(_xlfn._xlws.FILTER(Log!$G:$G, (Log!$A:$A="Daily") * (Log!$C:$C=$A12) * (Log!$D:$D=F$4)), "Unknown"), "")</f>
        <v>9.3412599999999998E-2</v>
      </c>
      <c r="G12" s="106" cm="1">
        <f t="array" ref="G12">IF($A12&lt;&gt;"", IFERROR(_xlfn._xlws.FILTER(Log!$G:$G, (Log!$A:$A="Daily") * (Log!$C:$C=$A12) * (Log!$D:$D=G$4)), "Unknown"), "")</f>
        <v>9.1877600000000004E-2</v>
      </c>
      <c r="H12" s="106" cm="1">
        <f t="array" ref="H12">IF($A12&lt;&gt;"", IFERROR(_xlfn._xlws.FILTER(Log!$G:$G, (Log!$A:$A="Daily") * (Log!$C:$C=$A12) * (Log!$D:$D=H$4)), "Unknown"), "")</f>
        <v>0.31046400000000002</v>
      </c>
      <c r="I12" s="106" cm="1">
        <f t="array" ref="I12">IF($A12&lt;&gt;"", IFERROR(_xlfn._xlws.FILTER(Log!$G:$G, (Log!$A:$A="Daily") * (Log!$C:$C=$A12) * (Log!$D:$D=I$4)), "Unknown"), "")</f>
        <v>0.169795</v>
      </c>
      <c r="J12" s="106" cm="1">
        <f t="array" ref="J12">IF($A12&lt;&gt;"", IFERROR(_xlfn._xlws.FILTER(Log!$G:$G, (Log!$A:$A="Daily") * (Log!$C:$C=$A12) * (Log!$D:$D=J$4)), "Unknown"), "")</f>
        <v>6.2046299999999999E-2</v>
      </c>
      <c r="K12" s="106" cm="1">
        <f t="array" ref="K12">IF($A12&lt;&gt;"", IFERROR(_xlfn._xlws.FILTER(Log!$G:$G, (Log!$A:$A="Daily") * (Log!$C:$C=$A12) * (Log!$D:$D=K$4)), "Unknown"), "")</f>
        <v>0.246172</v>
      </c>
      <c r="L12" s="106" cm="1">
        <f t="array" ref="L12">IF($A12&lt;&gt;"", IFERROR(_xlfn._xlws.FILTER(Log!$G:$G, (Log!$A:$A="Daily") * (Log!$C:$C=$A12) * (Log!$D:$D=L$4)), "Unknown"), "")</f>
        <v>0.10304000000000001</v>
      </c>
      <c r="M12" s="106" cm="1">
        <f t="array" ref="M12">IF($A12&lt;&gt;"", IFERROR(_xlfn._xlws.FILTER(Log!$G:$G, (Log!$A:$A="Daily") * (Log!$C:$C=$A12) * (Log!$D:$D=M$4)), "Unknown"), "")</f>
        <v>7.1269700000000005E-2</v>
      </c>
      <c r="N12" s="106" cm="1">
        <f t="array" ref="N12">IF($A12&lt;&gt;"", IFERROR(_xlfn._xlws.FILTER(Log!$G:$G, (Log!$A:$A="Daily") * (Log!$C:$C=$A12) * (Log!$D:$D=N$4)), "Unknown"), "")</f>
        <v>7.0344799999999999E-2</v>
      </c>
      <c r="O12" s="106" cm="1">
        <f t="array" ref="O12">IF($A12&lt;&gt;"", IFERROR(_xlfn._xlws.FILTER(Log!$G:$G, (Log!$A:$A="Daily") * (Log!$C:$C=$A12) * (Log!$D:$D=O$4)), "Unknown"), "")</f>
        <v>5.4853300000000001E-2</v>
      </c>
      <c r="P12" s="106" cm="1">
        <f t="array" ref="P12">IF($A12&lt;&gt;"", IFERROR(_xlfn._xlws.FILTER(Log!$G:$G, (Log!$A:$A="Daily") * (Log!$C:$C=$A12) * (Log!$D:$D=P$4)), "Unknown"), "")</f>
        <v>7.8953300000000004E-2</v>
      </c>
      <c r="Q12" s="106" cm="1">
        <f t="array" ref="Q12">IF($A12&lt;&gt;"", IFERROR(_xlfn._xlws.FILTER(Log!$G:$G, (Log!$A:$A="Daily") * (Log!$C:$C=$A12) * (Log!$D:$D=Q$4)), "Unknown"), "")</f>
        <v>0.16242100000000001</v>
      </c>
      <c r="R12" s="106" cm="1">
        <f t="array" ref="R12">IF($A12&lt;&gt;"", IFERROR(_xlfn._xlws.FILTER(Log!$G:$G, (Log!$A:$A="Daily") * (Log!$C:$C=$A12) * (Log!$D:$D=R$4)), "Unknown"), "")</f>
        <v>8.6132899999999998E-2</v>
      </c>
      <c r="S12" s="106" cm="1">
        <f t="array" ref="S12">IF($A12&lt;&gt;"", IFERROR(_xlfn._xlws.FILTER(Log!$G:$G, (Log!$A:$A="Daily") * (Log!$C:$C=$A12) * (Log!$D:$D=S$4)), "Unknown"), "")</f>
        <v>0.22051299999999999</v>
      </c>
      <c r="T12" s="106" cm="1">
        <f t="array" ref="T12">IF($A12&lt;&gt;"", IFERROR(_xlfn._xlws.FILTER(Log!$G:$G, (Log!$A:$A="Daily") * (Log!$C:$C=$A12) * (Log!$D:$D=T$4)), "Unknown"), "")</f>
        <v>9.48576E-2</v>
      </c>
      <c r="U12" s="229" t="str" cm="1">
        <f t="array" ref="U12">_xlfn._xlws.FILTER('Daily WE'!F:F, ('Daily WE'!$B:$B="n/a") * ('Daily WE'!$C:$C ='Daily IE'!$A12))</f>
        <v>C</v>
      </c>
      <c r="V12" s="230" cm="1">
        <f t="array" ref="V12">_xlfn._xlws.FILTER('Daily WE'!G:G, ('Daily WE'!$B:$B="n/a") * ('Daily WE'!$C:$C ='Daily IE'!$A12))</f>
        <v>1500</v>
      </c>
      <c r="W12" s="226">
        <f t="shared" si="7"/>
        <v>1.1006601393852173</v>
      </c>
      <c r="X12" s="226">
        <f t="shared" si="8"/>
        <v>1.2905159031741669</v>
      </c>
      <c r="Y12" s="226">
        <f t="shared" si="9"/>
        <v>1.2914962081399672</v>
      </c>
      <c r="Z12" s="226">
        <f t="shared" si="10"/>
        <v>0.94404985204469383</v>
      </c>
      <c r="AA12" s="226">
        <f t="shared" si="11"/>
        <v>0.92853677861682005</v>
      </c>
      <c r="AB12" s="226">
        <f t="shared" si="12"/>
        <v>3.1376226897142767</v>
      </c>
      <c r="AC12" s="226">
        <f t="shared" si="13"/>
        <v>1.7159884708051032</v>
      </c>
      <c r="AD12" s="226">
        <f t="shared" si="14"/>
        <v>0.62705459793347662</v>
      </c>
      <c r="AE12" s="226">
        <f t="shared" si="15"/>
        <v>2.4878725158870041</v>
      </c>
      <c r="AF12" s="226">
        <f t="shared" si="16"/>
        <v>1.0413466358359071</v>
      </c>
      <c r="AG12" s="226">
        <f t="shared" si="17"/>
        <v>0.72026846207331474</v>
      </c>
      <c r="AH12" s="226">
        <f t="shared" si="18"/>
        <v>0.71092120369322309</v>
      </c>
      <c r="AI12" s="226">
        <f t="shared" si="19"/>
        <v>0.55436043691282766</v>
      </c>
      <c r="AJ12" s="226">
        <f t="shared" si="20"/>
        <v>0.79792074284882686</v>
      </c>
      <c r="AK12" s="226">
        <f t="shared" si="21"/>
        <v>1.6414650809307441</v>
      </c>
      <c r="AL12" s="226">
        <f t="shared" si="22"/>
        <v>0.87047948029688071</v>
      </c>
      <c r="AM12" s="226">
        <f t="shared" si="23"/>
        <v>2.2285565868408712</v>
      </c>
      <c r="AN12" s="226">
        <f t="shared" si="24"/>
        <v>0.95865336416409297</v>
      </c>
      <c r="AO12" s="227" cm="1">
        <f t="array" ref="AO12">MEDIAN(_xlfn._xlws.FILTER($W$6:$AN$6,($W$6:$AN$6&lt;&gt;"Unknown")))</f>
        <v>1</v>
      </c>
    </row>
    <row r="13" spans="1:41" x14ac:dyDescent="0.25">
      <c r="A13" s="215">
        <v>46237</v>
      </c>
      <c r="B13" s="222">
        <f t="shared" si="6"/>
        <v>8.9209250000000004E-2</v>
      </c>
      <c r="C13" s="106" cm="1">
        <f t="array" ref="C13">IF($A13&lt;&gt;"", IFERROR(_xlfn._xlws.FILTER(Log!$G:$G, (Log!$A:$A="Daily") * (Log!$C:$C=$A13) * (Log!$D:$D=C$4)), "Unknown"), "")</f>
        <v>5.7477100000000003E-2</v>
      </c>
      <c r="D13" s="106" cm="1">
        <f t="array" ref="D13">IF($A13&lt;&gt;"", IFERROR(_xlfn._xlws.FILTER(Log!$G:$G, (Log!$A:$A="Daily") * (Log!$C:$C=$A13) * (Log!$D:$D=D$4)), "Unknown"), "")</f>
        <v>0.10617699999999999</v>
      </c>
      <c r="E13" s="106" cm="1">
        <f t="array" ref="E13">IF($A13&lt;&gt;"", IFERROR(_xlfn._xlws.FILTER(Log!$G:$G, (Log!$A:$A="Daily") * (Log!$C:$C=$A13) * (Log!$D:$D=E$4)), "Unknown"), "")</f>
        <v>0.118227</v>
      </c>
      <c r="F13" s="106" cm="1">
        <f t="array" ref="F13">IF($A13&lt;&gt;"", IFERROR(_xlfn._xlws.FILTER(Log!$G:$G, (Log!$A:$A="Daily") * (Log!$C:$C=$A13) * (Log!$D:$D=F$4)), "Unknown"), "")</f>
        <v>9.0625700000000003E-2</v>
      </c>
      <c r="G13" s="106" cm="1">
        <f t="array" ref="G13">IF($A13&lt;&gt;"", IFERROR(_xlfn._xlws.FILTER(Log!$G:$G, (Log!$A:$A="Daily") * (Log!$C:$C=$A13) * (Log!$D:$D=G$4)), "Unknown"), "")</f>
        <v>7.16387E-2</v>
      </c>
      <c r="H13" s="106" cm="1">
        <f t="array" ref="H13">IF($A13&lt;&gt;"", IFERROR(_xlfn._xlws.FILTER(Log!$G:$G, (Log!$A:$A="Daily") * (Log!$C:$C=$A13) * (Log!$D:$D=H$4)), "Unknown"), "")</f>
        <v>9.6034400000000006E-2</v>
      </c>
      <c r="I13" s="106" cm="1">
        <f t="array" ref="I13">IF($A13&lt;&gt;"", IFERROR(_xlfn._xlws.FILTER(Log!$G:$G, (Log!$A:$A="Daily") * (Log!$C:$C=$A13) * (Log!$D:$D=I$4)), "Unknown"), "")</f>
        <v>0.10152</v>
      </c>
      <c r="J13" s="106" cm="1">
        <f t="array" ref="J13">IF($A13&lt;&gt;"", IFERROR(_xlfn._xlws.FILTER(Log!$G:$G, (Log!$A:$A="Daily") * (Log!$C:$C=$A13) * (Log!$D:$D=J$4)), "Unknown"), "")</f>
        <v>8.7792800000000004E-2</v>
      </c>
      <c r="K13" s="106" cm="1">
        <f t="array" ref="K13">IF($A13&lt;&gt;"", IFERROR(_xlfn._xlws.FILTER(Log!$G:$G, (Log!$A:$A="Daily") * (Log!$C:$C=$A13) * (Log!$D:$D=K$4)), "Unknown"), "")</f>
        <v>7.6540499999999997E-2</v>
      </c>
      <c r="L13" s="106" cm="1">
        <f t="array" ref="L13">IF($A13&lt;&gt;"", IFERROR(_xlfn._xlws.FILTER(Log!$G:$G, (Log!$A:$A="Daily") * (Log!$C:$C=$A13) * (Log!$D:$D=L$4)), "Unknown"), "")</f>
        <v>8.3027799999999999E-2</v>
      </c>
      <c r="M13" s="106" cm="1">
        <f t="array" ref="M13">IF($A13&lt;&gt;"", IFERROR(_xlfn._xlws.FILTER(Log!$G:$G, (Log!$A:$A="Daily") * (Log!$C:$C=$A13) * (Log!$D:$D=M$4)), "Unknown"), "")</f>
        <v>9.6549800000000005E-2</v>
      </c>
      <c r="N13" s="106" cm="1">
        <f t="array" ref="N13">IF($A13&lt;&gt;"", IFERROR(_xlfn._xlws.FILTER(Log!$G:$G, (Log!$A:$A="Daily") * (Log!$C:$C=$A13) * (Log!$D:$D=N$4)), "Unknown"), "")</f>
        <v>0.12311800000000001</v>
      </c>
      <c r="O13" s="106" cm="1">
        <f t="array" ref="O13">IF($A13&lt;&gt;"", IFERROR(_xlfn._xlws.FILTER(Log!$G:$G, (Log!$A:$A="Daily") * (Log!$C:$C=$A13) * (Log!$D:$D=O$4)), "Unknown"), "")</f>
        <v>4.2684399999999997E-2</v>
      </c>
      <c r="P13" s="106" cm="1">
        <f t="array" ref="P13">IF($A13&lt;&gt;"", IFERROR(_xlfn._xlws.FILTER(Log!$G:$G, (Log!$A:$A="Daily") * (Log!$C:$C=$A13) * (Log!$D:$D=P$4)), "Unknown"), "")</f>
        <v>6.9537399999999999E-2</v>
      </c>
      <c r="Q13" s="106" cm="1">
        <f t="array" ref="Q13">IF($A13&lt;&gt;"", IFERROR(_xlfn._xlws.FILTER(Log!$G:$G, (Log!$A:$A="Daily") * (Log!$C:$C=$A13) * (Log!$D:$D=Q$4)), "Unknown"), "")</f>
        <v>8.2053500000000001E-2</v>
      </c>
      <c r="R13" s="106" cm="1">
        <f t="array" ref="R13">IF($A13&lt;&gt;"", IFERROR(_xlfn._xlws.FILTER(Log!$G:$G, (Log!$A:$A="Daily") * (Log!$C:$C=$A13) * (Log!$D:$D=R$4)), "Unknown"), "")</f>
        <v>9.5755999999999994E-2</v>
      </c>
      <c r="S13" s="106" cm="1">
        <f t="array" ref="S13">IF($A13&lt;&gt;"", IFERROR(_xlfn._xlws.FILTER(Log!$G:$G, (Log!$A:$A="Daily") * (Log!$C:$C=$A13) * (Log!$D:$D=S$4)), "Unknown"), "")</f>
        <v>7.5786900000000004E-2</v>
      </c>
      <c r="T13" s="106" cm="1">
        <f t="array" ref="T13">IF($A13&lt;&gt;"", IFERROR(_xlfn._xlws.FILTER(Log!$G:$G, (Log!$A:$A="Daily") * (Log!$C:$C=$A13) * (Log!$D:$D=T$4)), "Unknown"), "")</f>
        <v>0.15168999999999999</v>
      </c>
      <c r="U13" s="229" t="str" cm="1">
        <f t="array" ref="U13">_xlfn._xlws.FILTER('Daily WE'!F:F, ('Daily WE'!$B:$B="n/a") * ('Daily WE'!$C:$C ='Daily IE'!$A13))</f>
        <v>A</v>
      </c>
      <c r="V13" s="230" cm="1">
        <f t="array" ref="V13">_xlfn._xlws.FILTER('Daily WE'!G:G, ('Daily WE'!$B:$B="n/a") * ('Daily WE'!$C:$C ='Daily IE'!$A13))</f>
        <v>1000</v>
      </c>
      <c r="W13" s="226">
        <f t="shared" si="7"/>
        <v>0.6442952944902014</v>
      </c>
      <c r="X13" s="226">
        <f t="shared" si="8"/>
        <v>1.190201688726225</v>
      </c>
      <c r="Y13" s="226">
        <f t="shared" si="9"/>
        <v>1.3252773675375591</v>
      </c>
      <c r="Z13" s="226">
        <f t="shared" si="10"/>
        <v>1.0158778377802751</v>
      </c>
      <c r="AA13" s="226">
        <f t="shared" si="11"/>
        <v>0.8030411644532377</v>
      </c>
      <c r="AB13" s="226">
        <f t="shared" si="12"/>
        <v>1.0765072007667367</v>
      </c>
      <c r="AC13" s="226">
        <f t="shared" si="13"/>
        <v>1.1379985819856124</v>
      </c>
      <c r="AD13" s="226">
        <f t="shared" si="14"/>
        <v>0.98412216221972493</v>
      </c>
      <c r="AE13" s="226">
        <f t="shared" si="15"/>
        <v>0.85798838124970223</v>
      </c>
      <c r="AF13" s="226">
        <f t="shared" si="16"/>
        <v>0.93070841868976584</v>
      </c>
      <c r="AG13" s="226">
        <f t="shared" si="17"/>
        <v>1.0822846285558954</v>
      </c>
      <c r="AH13" s="226">
        <f t="shared" si="18"/>
        <v>1.3801035206550891</v>
      </c>
      <c r="AI13" s="226">
        <f t="shared" si="19"/>
        <v>0.47847504602941954</v>
      </c>
      <c r="AJ13" s="226">
        <f t="shared" si="20"/>
        <v>0.77948643218051938</v>
      </c>
      <c r="AK13" s="226">
        <f t="shared" si="21"/>
        <v>0.91978690550587516</v>
      </c>
      <c r="AL13" s="226">
        <f t="shared" si="22"/>
        <v>1.073386448154199</v>
      </c>
      <c r="AM13" s="226">
        <f t="shared" si="23"/>
        <v>0.84954082676404075</v>
      </c>
      <c r="AN13" s="226">
        <f t="shared" si="24"/>
        <v>1.7003842090366188</v>
      </c>
      <c r="AO13" s="227" cm="1">
        <f t="array" ref="AO13">MEDIAN(_xlfn._xlws.FILTER($W$6:$AN$6,($W$6:$AN$6&lt;&gt;"Unknown")))</f>
        <v>1</v>
      </c>
    </row>
    <row r="14" spans="1:41" x14ac:dyDescent="0.25">
      <c r="A14" s="215">
        <v>46238</v>
      </c>
      <c r="B14" s="222">
        <f t="shared" si="6"/>
        <v>0.1044055</v>
      </c>
      <c r="C14" s="106" cm="1">
        <f t="array" ref="C14">IF($A14&lt;&gt;"", IFERROR(_xlfn._xlws.FILTER(Log!$G:$G, (Log!$A:$A="Daily") * (Log!$C:$C=$A14) * (Log!$D:$D=C$4)), "Unknown"), "")</f>
        <v>0.12504399999999999</v>
      </c>
      <c r="D14" s="106" cm="1">
        <f t="array" ref="D14">IF($A14&lt;&gt;"", IFERROR(_xlfn._xlws.FILTER(Log!$G:$G, (Log!$A:$A="Daily") * (Log!$C:$C=$A14) * (Log!$D:$D=D$4)), "Unknown"), "")</f>
        <v>0.110958</v>
      </c>
      <c r="E14" s="106" cm="1">
        <f t="array" ref="E14">IF($A14&lt;&gt;"", IFERROR(_xlfn._xlws.FILTER(Log!$G:$G, (Log!$A:$A="Daily") * (Log!$C:$C=$A14) * (Log!$D:$D=E$4)), "Unknown"), "")</f>
        <v>0.122268</v>
      </c>
      <c r="F14" s="106" cm="1">
        <f t="array" ref="F14">IF($A14&lt;&gt;"", IFERROR(_xlfn._xlws.FILTER(Log!$G:$G, (Log!$A:$A="Daily") * (Log!$C:$C=$A14) * (Log!$D:$D=F$4)), "Unknown"), "")</f>
        <v>0.113594</v>
      </c>
      <c r="G14" s="106" cm="1">
        <f t="array" ref="G14">IF($A14&lt;&gt;"", IFERROR(_xlfn._xlws.FILTER(Log!$G:$G, (Log!$A:$A="Daily") * (Log!$C:$C=$A14) * (Log!$D:$D=G$4)), "Unknown"), "")</f>
        <v>7.17666E-2</v>
      </c>
      <c r="H14" s="106" cm="1">
        <f t="array" ref="H14">IF($A14&lt;&gt;"", IFERROR(_xlfn._xlws.FILTER(Log!$G:$G, (Log!$A:$A="Daily") * (Log!$C:$C=$A14) * (Log!$D:$D=H$4)), "Unknown"), "")</f>
        <v>0.103851</v>
      </c>
      <c r="I14" s="106" cm="1">
        <f t="array" ref="I14">IF($A14&lt;&gt;"", IFERROR(_xlfn._xlws.FILTER(Log!$G:$G, (Log!$A:$A="Daily") * (Log!$C:$C=$A14) * (Log!$D:$D=I$4)), "Unknown"), "")</f>
        <v>0.10496</v>
      </c>
      <c r="J14" s="106" cm="1">
        <f t="array" ref="J14">IF($A14&lt;&gt;"", IFERROR(_xlfn._xlws.FILTER(Log!$G:$G, (Log!$A:$A="Daily") * (Log!$C:$C=$A14) * (Log!$D:$D=J$4)), "Unknown"), "")</f>
        <v>8.7746599999999994E-2</v>
      </c>
      <c r="K14" s="106" cm="1">
        <f t="array" ref="K14">IF($A14&lt;&gt;"", IFERROR(_xlfn._xlws.FILTER(Log!$G:$G, (Log!$A:$A="Daily") * (Log!$C:$C=$A14) * (Log!$D:$D=K$4)), "Unknown"), "")</f>
        <v>9.9526400000000001E-2</v>
      </c>
      <c r="L14" s="106" cm="1">
        <f t="array" ref="L14">IF($A14&lt;&gt;"", IFERROR(_xlfn._xlws.FILTER(Log!$G:$G, (Log!$A:$A="Daily") * (Log!$C:$C=$A14) * (Log!$D:$D=L$4)), "Unknown"), "")</f>
        <v>0.106061</v>
      </c>
      <c r="M14" s="106" cm="1">
        <f t="array" ref="M14">IF($A14&lt;&gt;"", IFERROR(_xlfn._xlws.FILTER(Log!$G:$G, (Log!$A:$A="Daily") * (Log!$C:$C=$A14) * (Log!$D:$D=M$4)), "Unknown"), "")</f>
        <v>0.12640199999999999</v>
      </c>
      <c r="N14" s="106" cm="1">
        <f t="array" ref="N14">IF($A14&lt;&gt;"", IFERROR(_xlfn._xlws.FILTER(Log!$G:$G, (Log!$A:$A="Daily") * (Log!$C:$C=$A14) * (Log!$D:$D=N$4)), "Unknown"), "")</f>
        <v>7.0670399999999994E-2</v>
      </c>
      <c r="O14" s="106" cm="1">
        <f t="array" ref="O14">IF($A14&lt;&gt;"", IFERROR(_xlfn._xlws.FILTER(Log!$G:$G, (Log!$A:$A="Daily") * (Log!$C:$C=$A14) * (Log!$D:$D=O$4)), "Unknown"), "")</f>
        <v>6.0045899999999999E-2</v>
      </c>
      <c r="P14" s="106" cm="1">
        <f t="array" ref="P14">IF($A14&lt;&gt;"", IFERROR(_xlfn._xlws.FILTER(Log!$G:$G, (Log!$A:$A="Daily") * (Log!$C:$C=$A14) * (Log!$D:$D=P$4)), "Unknown"), "")</f>
        <v>5.6044799999999999E-2</v>
      </c>
      <c r="Q14" s="106" cm="1">
        <f t="array" ref="Q14">IF($A14&lt;&gt;"", IFERROR(_xlfn._xlws.FILTER(Log!$G:$G, (Log!$A:$A="Daily") * (Log!$C:$C=$A14) * (Log!$D:$D=Q$4)), "Unknown"), "")</f>
        <v>0.10938199999999999</v>
      </c>
      <c r="R14" s="106" cm="1">
        <f t="array" ref="R14">IF($A14&lt;&gt;"", IFERROR(_xlfn._xlws.FILTER(Log!$G:$G, (Log!$A:$A="Daily") * (Log!$C:$C=$A14) * (Log!$D:$D=R$4)), "Unknown"), "")</f>
        <v>6.1940599999999998E-2</v>
      </c>
      <c r="S14" s="106" cm="1">
        <f t="array" ref="S14">IF($A14&lt;&gt;"", IFERROR(_xlfn._xlws.FILTER(Log!$G:$G, (Log!$A:$A="Daily") * (Log!$C:$C=$A14) * (Log!$D:$D=S$4)), "Unknown"), "")</f>
        <v>8.9546899999999999E-2</v>
      </c>
      <c r="T14" s="106" cm="1">
        <f t="array" ref="T14">IF($A14&lt;&gt;"", IFERROR(_xlfn._xlws.FILTER(Log!$G:$G, (Log!$A:$A="Daily") * (Log!$C:$C=$A14) * (Log!$D:$D=T$4)), "Unknown"), "")</f>
        <v>0.119522</v>
      </c>
      <c r="U14" s="229" t="str" cm="1">
        <f t="array" ref="U14">_xlfn._xlws.FILTER('Daily WE'!F:F, ('Daily WE'!$B:$B="n/a") * ('Daily WE'!$C:$C ='Daily IE'!$A14))</f>
        <v>A</v>
      </c>
      <c r="V14" s="230" cm="1">
        <f t="array" ref="V14">_xlfn._xlws.FILTER('Daily WE'!G:G, ('Daily WE'!$B:$B="n/a") * ('Daily WE'!$C:$C ='Daily IE'!$A14))</f>
        <v>1000</v>
      </c>
      <c r="W14" s="226">
        <f t="shared" si="7"/>
        <v>1.197676367624311</v>
      </c>
      <c r="X14" s="226">
        <f t="shared" si="8"/>
        <v>1.062760103634387</v>
      </c>
      <c r="Y14" s="226">
        <f t="shared" si="9"/>
        <v>1.1710877300525355</v>
      </c>
      <c r="Z14" s="226">
        <f t="shared" si="10"/>
        <v>1.0880078156802084</v>
      </c>
      <c r="AA14" s="226">
        <f t="shared" si="11"/>
        <v>0.68738332750669262</v>
      </c>
      <c r="AB14" s="226">
        <f t="shared" si="12"/>
        <v>0.99468897711327464</v>
      </c>
      <c r="AC14" s="226">
        <f t="shared" si="13"/>
        <v>1.0053110228867252</v>
      </c>
      <c r="AD14" s="226">
        <f t="shared" si="14"/>
        <v>0.84044039825488115</v>
      </c>
      <c r="AE14" s="226">
        <f t="shared" si="15"/>
        <v>0.95326778761655284</v>
      </c>
      <c r="AF14" s="226">
        <f t="shared" si="16"/>
        <v>1.0158564443444071</v>
      </c>
      <c r="AG14" s="226">
        <f t="shared" si="17"/>
        <v>1.2106833452260655</v>
      </c>
      <c r="AH14" s="226">
        <f t="shared" si="18"/>
        <v>0.67688388063847205</v>
      </c>
      <c r="AI14" s="226">
        <f t="shared" si="19"/>
        <v>0.57512200027776317</v>
      </c>
      <c r="AJ14" s="226">
        <f t="shared" si="20"/>
        <v>0.53679930654994223</v>
      </c>
      <c r="AK14" s="226">
        <f t="shared" si="21"/>
        <v>1.0476651134279324</v>
      </c>
      <c r="AL14" s="226">
        <f t="shared" si="22"/>
        <v>0.5932695116636576</v>
      </c>
      <c r="AM14" s="226">
        <f t="shared" si="23"/>
        <v>0.85768374271470371</v>
      </c>
      <c r="AN14" s="226">
        <f t="shared" si="24"/>
        <v>1.1447864336648932</v>
      </c>
      <c r="AO14" s="227" cm="1">
        <f t="array" ref="AO14">MEDIAN(_xlfn._xlws.FILTER($W$6:$AN$6,($W$6:$AN$6&lt;&gt;"Unknown")))</f>
        <v>1</v>
      </c>
    </row>
    <row r="15" spans="1:41" x14ac:dyDescent="0.25">
      <c r="A15" s="215">
        <v>46239</v>
      </c>
      <c r="B15" s="222">
        <f t="shared" si="6"/>
        <v>9.6666599999999991E-2</v>
      </c>
      <c r="C15" s="106" cm="1">
        <f t="array" ref="C15">IF($A15&lt;&gt;"", IFERROR(_xlfn._xlws.FILTER(Log!$G:$G, (Log!$A:$A="Daily") * (Log!$C:$C=$A15) * (Log!$D:$D=C$4)), "Unknown"), "")</f>
        <v>0.114288</v>
      </c>
      <c r="D15" s="106" cm="1">
        <f t="array" ref="D15">IF($A15&lt;&gt;"", IFERROR(_xlfn._xlws.FILTER(Log!$G:$G, (Log!$A:$A="Daily") * (Log!$C:$C=$A15) * (Log!$D:$D=D$4)), "Unknown"), "")</f>
        <v>0.11280999999999999</v>
      </c>
      <c r="E15" s="106" cm="1">
        <f t="array" ref="E15">IF($A15&lt;&gt;"", IFERROR(_xlfn._xlws.FILTER(Log!$G:$G, (Log!$A:$A="Daily") * (Log!$C:$C=$A15) * (Log!$D:$D=E$4)), "Unknown"), "")</f>
        <v>0.114023</v>
      </c>
      <c r="F15" s="106" cm="1">
        <f t="array" ref="F15">IF($A15&lt;&gt;"", IFERROR(_xlfn._xlws.FILTER(Log!$G:$G, (Log!$A:$A="Daily") * (Log!$C:$C=$A15) * (Log!$D:$D=F$4)), "Unknown"), "")</f>
        <v>0.11620800000000001</v>
      </c>
      <c r="G15" s="106" cm="1">
        <f t="array" ref="G15">IF($A15&lt;&gt;"", IFERROR(_xlfn._xlws.FILTER(Log!$G:$G, (Log!$A:$A="Daily") * (Log!$C:$C=$A15) * (Log!$D:$D=G$4)), "Unknown"), "")</f>
        <v>6.3077099999999997E-2</v>
      </c>
      <c r="H15" s="106" cm="1">
        <f t="array" ref="H15">IF($A15&lt;&gt;"", IFERROR(_xlfn._xlws.FILTER(Log!$G:$G, (Log!$A:$A="Daily") * (Log!$C:$C=$A15) * (Log!$D:$D=H$4)), "Unknown"), "")</f>
        <v>9.7109000000000001E-2</v>
      </c>
      <c r="I15" s="106" cm="1">
        <f t="array" ref="I15">IF($A15&lt;&gt;"", IFERROR(_xlfn._xlws.FILTER(Log!$G:$G, (Log!$A:$A="Daily") * (Log!$C:$C=$A15) * (Log!$D:$D=I$4)), "Unknown"), "")</f>
        <v>9.6224199999999996E-2</v>
      </c>
      <c r="J15" s="106" cm="1">
        <f t="array" ref="J15">IF($A15&lt;&gt;"", IFERROR(_xlfn._xlws.FILTER(Log!$G:$G, (Log!$A:$A="Daily") * (Log!$C:$C=$A15) * (Log!$D:$D=J$4)), "Unknown"), "")</f>
        <v>5.7725699999999998E-2</v>
      </c>
      <c r="K15" s="106" cm="1">
        <f t="array" ref="K15">IF($A15&lt;&gt;"", IFERROR(_xlfn._xlws.FILTER(Log!$G:$G, (Log!$A:$A="Daily") * (Log!$C:$C=$A15) * (Log!$D:$D=K$4)), "Unknown"), "")</f>
        <v>7.9509399999999994E-2</v>
      </c>
      <c r="L15" s="106" cm="1">
        <f t="array" ref="L15">IF($A15&lt;&gt;"", IFERROR(_xlfn._xlws.FILTER(Log!$G:$G, (Log!$A:$A="Daily") * (Log!$C:$C=$A15) * (Log!$D:$D=L$4)), "Unknown"), "")</f>
        <v>0.10316400000000001</v>
      </c>
      <c r="M15" s="106" cm="1">
        <f t="array" ref="M15">IF($A15&lt;&gt;"", IFERROR(_xlfn._xlws.FILTER(Log!$G:$G, (Log!$A:$A="Daily") * (Log!$C:$C=$A15) * (Log!$D:$D=M$4)), "Unknown"), "")</f>
        <v>0.103961</v>
      </c>
      <c r="N15" s="106" cm="1">
        <f t="array" ref="N15">IF($A15&lt;&gt;"", IFERROR(_xlfn._xlws.FILTER(Log!$G:$G, (Log!$A:$A="Daily") * (Log!$C:$C=$A15) * (Log!$D:$D=N$4)), "Unknown"), "")</f>
        <v>5.22023E-2</v>
      </c>
      <c r="O15" s="106" cm="1">
        <f t="array" ref="O15">IF($A15&lt;&gt;"", IFERROR(_xlfn._xlws.FILTER(Log!$G:$G, (Log!$A:$A="Daily") * (Log!$C:$C=$A15) * (Log!$D:$D=O$4)), "Unknown"), "")</f>
        <v>5.2189399999999997E-2</v>
      </c>
      <c r="P15" s="106" cm="1">
        <f t="array" ref="P15">IF($A15&lt;&gt;"", IFERROR(_xlfn._xlws.FILTER(Log!$G:$G, (Log!$A:$A="Daily") * (Log!$C:$C=$A15) * (Log!$D:$D=P$4)), "Unknown"), "")</f>
        <v>7.6153299999999993E-2</v>
      </c>
      <c r="Q15" s="106" cm="1">
        <f t="array" ref="Q15">IF($A15&lt;&gt;"", IFERROR(_xlfn._xlws.FILTER(Log!$G:$G, (Log!$A:$A="Daily") * (Log!$C:$C=$A15) * (Log!$D:$D=Q$4)), "Unknown"), "")</f>
        <v>8.3133600000000002E-2</v>
      </c>
      <c r="R15" s="106" cm="1">
        <f t="array" ref="R15">IF($A15&lt;&gt;"", IFERROR(_xlfn._xlws.FILTER(Log!$G:$G, (Log!$A:$A="Daily") * (Log!$C:$C=$A15) * (Log!$D:$D=R$4)), "Unknown"), "")</f>
        <v>0.101206</v>
      </c>
      <c r="S15" s="106" cm="1">
        <f t="array" ref="S15">IF($A15&lt;&gt;"", IFERROR(_xlfn._xlws.FILTER(Log!$G:$G, (Log!$A:$A="Daily") * (Log!$C:$C=$A15) * (Log!$D:$D=S$4)), "Unknown"), "")</f>
        <v>6.8822900000000006E-2</v>
      </c>
      <c r="T15" s="106" cm="1">
        <f t="array" ref="T15">IF($A15&lt;&gt;"", IFERROR(_xlfn._xlws.FILTER(Log!$G:$G, (Log!$A:$A="Daily") * (Log!$C:$C=$A15) * (Log!$D:$D=T$4)), "Unknown"), "")</f>
        <v>0.10704900000000001</v>
      </c>
      <c r="U15" s="229" t="str" cm="1">
        <f t="array" ref="U15">_xlfn._xlws.FILTER('Daily WE'!F:F, ('Daily WE'!$B:$B="n/a") * ('Daily WE'!$C:$C ='Daily IE'!$A15))</f>
        <v>A</v>
      </c>
      <c r="V15" s="230" cm="1">
        <f t="array" ref="V15">_xlfn._xlws.FILTER('Daily WE'!G:G, ('Daily WE'!$B:$B="n/a") * ('Daily WE'!$C:$C ='Daily IE'!$A15))</f>
        <v>1000</v>
      </c>
      <c r="W15" s="226">
        <f t="shared" si="7"/>
        <v>1.1822904705451522</v>
      </c>
      <c r="X15" s="226">
        <f t="shared" si="8"/>
        <v>1.1670008048281413</v>
      </c>
      <c r="Y15" s="226">
        <f t="shared" si="9"/>
        <v>1.1795490893441996</v>
      </c>
      <c r="Z15" s="226">
        <f t="shared" si="10"/>
        <v>1.2021525532086577</v>
      </c>
      <c r="AA15" s="226">
        <f t="shared" si="11"/>
        <v>0.65252217415322356</v>
      </c>
      <c r="AB15" s="226">
        <f t="shared" si="12"/>
        <v>1.0045765548803827</v>
      </c>
      <c r="AC15" s="226">
        <f t="shared" si="13"/>
        <v>0.99542344511961733</v>
      </c>
      <c r="AD15" s="226">
        <f t="shared" si="14"/>
        <v>0.59716282562953493</v>
      </c>
      <c r="AE15" s="226">
        <f t="shared" si="15"/>
        <v>0.82251160173213911</v>
      </c>
      <c r="AF15" s="226">
        <f t="shared" si="16"/>
        <v>1.0672145291134685</v>
      </c>
      <c r="AG15" s="226">
        <f t="shared" si="17"/>
        <v>1.0754593623857673</v>
      </c>
      <c r="AH15" s="226">
        <f t="shared" si="18"/>
        <v>0.54002416553390731</v>
      </c>
      <c r="AI15" s="226">
        <f t="shared" si="19"/>
        <v>0.53989071716601189</v>
      </c>
      <c r="AJ15" s="226">
        <f t="shared" si="20"/>
        <v>0.78779330192641517</v>
      </c>
      <c r="AK15" s="226">
        <f t="shared" si="21"/>
        <v>0.86000335172644959</v>
      </c>
      <c r="AL15" s="226">
        <f t="shared" si="22"/>
        <v>1.0469593427305812</v>
      </c>
      <c r="AM15" s="226">
        <f t="shared" si="23"/>
        <v>0.71196152549070735</v>
      </c>
      <c r="AN15" s="226">
        <f t="shared" si="24"/>
        <v>1.1074042120029051</v>
      </c>
      <c r="AO15" s="227" cm="1">
        <f t="array" ref="AO15">MEDIAN(_xlfn._xlws.FILTER($W$6:$AN$6,($W$6:$AN$6&lt;&gt;"Unknown")))</f>
        <v>1</v>
      </c>
    </row>
    <row r="16" spans="1:41" x14ac:dyDescent="0.25">
      <c r="A16" s="215">
        <v>46240</v>
      </c>
      <c r="B16" s="222">
        <f t="shared" si="6"/>
        <v>9.1197250000000007E-2</v>
      </c>
      <c r="C16" s="106" cm="1">
        <f t="array" ref="C16">IF($A16&lt;&gt;"", IFERROR(_xlfn._xlws.FILTER(Log!$G:$G, (Log!$A:$A="Daily") * (Log!$C:$C=$A16) * (Log!$D:$D=C$4)), "Unknown"), "")</f>
        <v>0.10691000000000001</v>
      </c>
      <c r="D16" s="106" cm="1">
        <f t="array" ref="D16">IF($A16&lt;&gt;"", IFERROR(_xlfn._xlws.FILTER(Log!$G:$G, (Log!$A:$A="Daily") * (Log!$C:$C=$A16) * (Log!$D:$D=D$4)), "Unknown"), "")</f>
        <v>0.10311099999999999</v>
      </c>
      <c r="E16" s="106" cm="1">
        <f t="array" ref="E16">IF($A16&lt;&gt;"", IFERROR(_xlfn._xlws.FILTER(Log!$G:$G, (Log!$A:$A="Daily") * (Log!$C:$C=$A16) * (Log!$D:$D=E$4)), "Unknown"), "")</f>
        <v>0.10940999999999999</v>
      </c>
      <c r="F16" s="106" cm="1">
        <f t="array" ref="F16">IF($A16&lt;&gt;"", IFERROR(_xlfn._xlws.FILTER(Log!$G:$G, (Log!$A:$A="Daily") * (Log!$C:$C=$A16) * (Log!$D:$D=F$4)), "Unknown"), "")</f>
        <v>0.10437299999999999</v>
      </c>
      <c r="G16" s="106" cm="1">
        <f t="array" ref="G16">IF($A16&lt;&gt;"", IFERROR(_xlfn._xlws.FILTER(Log!$G:$G, (Log!$A:$A="Daily") * (Log!$C:$C=$A16) * (Log!$D:$D=G$4)), "Unknown"), "")</f>
        <v>7.01209E-2</v>
      </c>
      <c r="H16" s="106" cm="1">
        <f t="array" ref="H16">IF($A16&lt;&gt;"", IFERROR(_xlfn._xlws.FILTER(Log!$G:$G, (Log!$A:$A="Daily") * (Log!$C:$C=$A16) * (Log!$D:$D=H$4)), "Unknown"), "")</f>
        <v>9.88203E-2</v>
      </c>
      <c r="I16" s="106" cm="1">
        <f t="array" ref="I16">IF($A16&lt;&gt;"", IFERROR(_xlfn._xlws.FILTER(Log!$G:$G, (Log!$A:$A="Daily") * (Log!$C:$C=$A16) * (Log!$D:$D=I$4)), "Unknown"), "")</f>
        <v>9.2985300000000007E-2</v>
      </c>
      <c r="J16" s="106" cm="1">
        <f t="array" ref="J16">IF($A16&lt;&gt;"", IFERROR(_xlfn._xlws.FILTER(Log!$G:$G, (Log!$A:$A="Daily") * (Log!$C:$C=$A16) * (Log!$D:$D=J$4)), "Unknown"), "")</f>
        <v>7.24495E-2</v>
      </c>
      <c r="K16" s="106" cm="1">
        <f t="array" ref="K16">IF($A16&lt;&gt;"", IFERROR(_xlfn._xlws.FILTER(Log!$G:$G, (Log!$A:$A="Daily") * (Log!$C:$C=$A16) * (Log!$D:$D=K$4)), "Unknown"), "")</f>
        <v>9.5427200000000004E-2</v>
      </c>
      <c r="L16" s="106" cm="1">
        <f t="array" ref="L16">IF($A16&lt;&gt;"", IFERROR(_xlfn._xlws.FILTER(Log!$G:$G, (Log!$A:$A="Daily") * (Log!$C:$C=$A16) * (Log!$D:$D=L$4)), "Unknown"), "")</f>
        <v>8.52522E-2</v>
      </c>
      <c r="M16" s="106" cm="1">
        <f t="array" ref="M16">IF($A16&lt;&gt;"", IFERROR(_xlfn._xlws.FILTER(Log!$G:$G, (Log!$A:$A="Daily") * (Log!$C:$C=$A16) * (Log!$D:$D=M$4)), "Unknown"), "")</f>
        <v>8.8343599999999994E-2</v>
      </c>
      <c r="N16" s="106" cm="1">
        <f t="array" ref="N16">IF($A16&lt;&gt;"", IFERROR(_xlfn._xlws.FILTER(Log!$G:$G, (Log!$A:$A="Daily") * (Log!$C:$C=$A16) * (Log!$D:$D=N$4)), "Unknown"), "")</f>
        <v>7.3253399999999996E-2</v>
      </c>
      <c r="O16" s="106" cm="1">
        <f t="array" ref="O16">IF($A16&lt;&gt;"", IFERROR(_xlfn._xlws.FILTER(Log!$G:$G, (Log!$A:$A="Daily") * (Log!$C:$C=$A16) * (Log!$D:$D=O$4)), "Unknown"), "")</f>
        <v>4.8736000000000002E-2</v>
      </c>
      <c r="P16" s="106" cm="1">
        <f t="array" ref="P16">IF($A16&lt;&gt;"", IFERROR(_xlfn._xlws.FILTER(Log!$G:$G, (Log!$A:$A="Daily") * (Log!$C:$C=$A16) * (Log!$D:$D=P$4)), "Unknown"), "")</f>
        <v>8.9409199999999994E-2</v>
      </c>
      <c r="Q16" s="106" cm="1">
        <f t="array" ref="Q16">IF($A16&lt;&gt;"", IFERROR(_xlfn._xlws.FILTER(Log!$G:$G, (Log!$A:$A="Daily") * (Log!$C:$C=$A16) * (Log!$D:$D=Q$4)), "Unknown"), "")</f>
        <v>9.3203400000000006E-2</v>
      </c>
      <c r="R16" s="106" cm="1">
        <f t="array" ref="R16">IF($A16&lt;&gt;"", IFERROR(_xlfn._xlws.FILTER(Log!$G:$G, (Log!$A:$A="Daily") * (Log!$C:$C=$A16) * (Log!$D:$D=R$4)), "Unknown"), "")</f>
        <v>8.7431800000000004E-2</v>
      </c>
      <c r="S16" s="106" cm="1">
        <f t="array" ref="S16">IF($A16&lt;&gt;"", IFERROR(_xlfn._xlws.FILTER(Log!$G:$G, (Log!$A:$A="Daily") * (Log!$C:$C=$A16) * (Log!$D:$D=S$4)), "Unknown"), "")</f>
        <v>7.4926099999999995E-2</v>
      </c>
      <c r="T16" s="106" cm="1">
        <f t="array" ref="T16">IF($A16&lt;&gt;"", IFERROR(_xlfn._xlws.FILTER(Log!$G:$G, (Log!$A:$A="Daily") * (Log!$C:$C=$A16) * (Log!$D:$D=T$4)), "Unknown"), "")</f>
        <v>0.103296</v>
      </c>
      <c r="U16" s="229" t="str" cm="1">
        <f t="array" ref="U16">_xlfn._xlws.FILTER('Daily WE'!F:F, ('Daily WE'!$B:$B="n/a") * ('Daily WE'!$C:$C ='Daily IE'!$A16))</f>
        <v>A</v>
      </c>
      <c r="V16" s="230" cm="1">
        <f t="array" ref="V16">_xlfn._xlws.FILTER('Daily WE'!G:G, ('Daily WE'!$B:$B="n/a") * ('Daily WE'!$C:$C ='Daily IE'!$A16))</f>
        <v>1000</v>
      </c>
      <c r="W16" s="226">
        <f t="shared" si="7"/>
        <v>1.1722941207108766</v>
      </c>
      <c r="X16" s="226">
        <f t="shared" si="8"/>
        <v>1.1306371628530465</v>
      </c>
      <c r="Y16" s="226">
        <f t="shared" si="9"/>
        <v>1.1997072280140024</v>
      </c>
      <c r="Z16" s="226">
        <f t="shared" si="10"/>
        <v>1.1444752994196643</v>
      </c>
      <c r="AA16" s="226">
        <f t="shared" si="11"/>
        <v>0.76889270235670482</v>
      </c>
      <c r="AB16" s="226">
        <f t="shared" si="12"/>
        <v>1.0835885950508375</v>
      </c>
      <c r="AC16" s="226">
        <f t="shared" si="13"/>
        <v>1.0196064026053417</v>
      </c>
      <c r="AD16" s="226">
        <f t="shared" si="14"/>
        <v>0.79442636702312841</v>
      </c>
      <c r="AE16" s="226">
        <f t="shared" si="15"/>
        <v>1.046382429294743</v>
      </c>
      <c r="AF16" s="226">
        <f t="shared" si="16"/>
        <v>0.93481108257102041</v>
      </c>
      <c r="AG16" s="226">
        <f t="shared" si="17"/>
        <v>0.96870903453777379</v>
      </c>
      <c r="AH16" s="226">
        <f t="shared" si="18"/>
        <v>0.8032413258075215</v>
      </c>
      <c r="AI16" s="226">
        <f t="shared" si="19"/>
        <v>0.53440207901005787</v>
      </c>
      <c r="AJ16" s="226">
        <f t="shared" si="20"/>
        <v>0.98039359739465815</v>
      </c>
      <c r="AK16" s="226">
        <f t="shared" si="21"/>
        <v>1.0219979220864663</v>
      </c>
      <c r="AL16" s="226">
        <f t="shared" si="22"/>
        <v>0.95871092604217778</v>
      </c>
      <c r="AM16" s="226">
        <f t="shared" si="23"/>
        <v>0.82158288764189702</v>
      </c>
      <c r="AN16" s="226">
        <f t="shared" si="24"/>
        <v>1.1326657327934777</v>
      </c>
      <c r="AO16" s="227" cm="1">
        <f t="array" ref="AO16">MEDIAN(_xlfn._xlws.FILTER($W$6:$AN$6,($W$6:$AN$6&lt;&gt;"Unknown")))</f>
        <v>1</v>
      </c>
    </row>
    <row r="17" spans="1:41" x14ac:dyDescent="0.25">
      <c r="A17" s="215">
        <v>46242</v>
      </c>
      <c r="B17" s="222">
        <f t="shared" si="6"/>
        <v>8.9996099999999996E-2</v>
      </c>
      <c r="C17" s="106" cm="1">
        <f t="array" ref="C17">IF($A17&lt;&gt;"", IFERROR(_xlfn._xlws.FILTER(Log!$G:$G, (Log!$A:$A="Daily") * (Log!$C:$C=$A17) * (Log!$D:$D=C$4)), "Unknown"), "")</f>
        <v>0.121479</v>
      </c>
      <c r="D17" s="106" cm="1">
        <f t="array" ref="D17">IF($A17&lt;&gt;"", IFERROR(_xlfn._xlws.FILTER(Log!$G:$G, (Log!$A:$A="Daily") * (Log!$C:$C=$A17) * (Log!$D:$D=D$4)), "Unknown"), "")</f>
        <v>0.107791</v>
      </c>
      <c r="E17" s="106" cm="1">
        <f t="array" ref="E17">IF($A17&lt;&gt;"", IFERROR(_xlfn._xlws.FILTER(Log!$G:$G, (Log!$A:$A="Daily") * (Log!$C:$C=$A17) * (Log!$D:$D=E$4)), "Unknown"), "")</f>
        <v>0.113635</v>
      </c>
      <c r="F17" s="106" cm="1">
        <f t="array" ref="F17">IF($A17&lt;&gt;"", IFERROR(_xlfn._xlws.FILTER(Log!$G:$G, (Log!$A:$A="Daily") * (Log!$C:$C=$A17) * (Log!$D:$D=F$4)), "Unknown"), "")</f>
        <v>0.11029799999999999</v>
      </c>
      <c r="G17" s="106" cm="1">
        <f t="array" ref="G17">IF($A17&lt;&gt;"", IFERROR(_xlfn._xlws.FILTER(Log!$G:$G, (Log!$A:$A="Daily") * (Log!$C:$C=$A17) * (Log!$D:$D=G$4)), "Unknown"), "")</f>
        <v>9.0749499999999997E-2</v>
      </c>
      <c r="H17" s="106" cm="1">
        <f t="array" ref="H17">IF($A17&lt;&gt;"", IFERROR(_xlfn._xlws.FILTER(Log!$G:$G, (Log!$A:$A="Daily") * (Log!$C:$C=$A17) * (Log!$D:$D=H$4)), "Unknown"), "")</f>
        <v>8.1662799999999994E-2</v>
      </c>
      <c r="I17" s="106" cm="1">
        <f t="array" ref="I17">IF($A17&lt;&gt;"", IFERROR(_xlfn._xlws.FILTER(Log!$G:$G, (Log!$A:$A="Daily") * (Log!$C:$C=$A17) * (Log!$D:$D=I$4)), "Unknown"), "")</f>
        <v>8.9242699999999994E-2</v>
      </c>
      <c r="J17" s="106" cm="1">
        <f t="array" ref="J17">IF($A17&lt;&gt;"", IFERROR(_xlfn._xlws.FILTER(Log!$G:$G, (Log!$A:$A="Daily") * (Log!$C:$C=$A17) * (Log!$D:$D=J$4)), "Unknown"), "")</f>
        <v>8.1516099999999994E-2</v>
      </c>
      <c r="K17" s="106" cm="1">
        <f t="array" ref="K17">IF($A17&lt;&gt;"", IFERROR(_xlfn._xlws.FILTER(Log!$G:$G, (Log!$A:$A="Daily") * (Log!$C:$C=$A17) * (Log!$D:$D=K$4)), "Unknown"), "")</f>
        <v>8.65345E-2</v>
      </c>
      <c r="L17" s="106" cm="1">
        <f t="array" ref="L17">IF($A17&lt;&gt;"", IFERROR(_xlfn._xlws.FILTER(Log!$G:$G, (Log!$A:$A="Daily") * (Log!$C:$C=$A17) * (Log!$D:$D=L$4)), "Unknown"), "")</f>
        <v>0.104974</v>
      </c>
      <c r="M17" s="106" cm="1">
        <f t="array" ref="M17">IF($A17&lt;&gt;"", IFERROR(_xlfn._xlws.FILTER(Log!$G:$G, (Log!$A:$A="Daily") * (Log!$C:$C=$A17) * (Log!$D:$D=M$4)), "Unknown"), "")</f>
        <v>0.13869799999999999</v>
      </c>
      <c r="N17" s="106" cm="1">
        <f t="array" ref="N17">IF($A17&lt;&gt;"", IFERROR(_xlfn._xlws.FILTER(Log!$G:$G, (Log!$A:$A="Daily") * (Log!$C:$C=$A17) * (Log!$D:$D=N$4)), "Unknown"), "")</f>
        <v>5.6090300000000003E-2</v>
      </c>
      <c r="O17" s="106" cm="1">
        <f t="array" ref="O17">IF($A17&lt;&gt;"", IFERROR(_xlfn._xlws.FILTER(Log!$G:$G, (Log!$A:$A="Daily") * (Log!$C:$C=$A17) * (Log!$D:$D=O$4)), "Unknown"), "")</f>
        <v>4.3160200000000003E-2</v>
      </c>
      <c r="P17" s="106" cm="1">
        <f t="array" ref="P17">IF($A17&lt;&gt;"", IFERROR(_xlfn._xlws.FILTER(Log!$G:$G, (Log!$A:$A="Daily") * (Log!$C:$C=$A17) * (Log!$D:$D=P$4)), "Unknown"), "")</f>
        <v>5.5523200000000002E-2</v>
      </c>
      <c r="Q17" s="106" cm="1">
        <f t="array" ref="Q17">IF($A17&lt;&gt;"", IFERROR(_xlfn._xlws.FILTER(Log!$G:$G, (Log!$A:$A="Daily") * (Log!$C:$C=$A17) * (Log!$D:$D=Q$4)), "Unknown"), "")</f>
        <v>8.0594700000000005E-2</v>
      </c>
      <c r="R17" s="106" cm="1">
        <f t="array" ref="R17">IF($A17&lt;&gt;"", IFERROR(_xlfn._xlws.FILTER(Log!$G:$G, (Log!$A:$A="Daily") * (Log!$C:$C=$A17) * (Log!$D:$D=R$4)), "Unknown"), "")</f>
        <v>0.118765</v>
      </c>
      <c r="S17" s="106" cm="1">
        <f t="array" ref="S17">IF($A17&lt;&gt;"", IFERROR(_xlfn._xlws.FILTER(Log!$G:$G, (Log!$A:$A="Daily") * (Log!$C:$C=$A17) * (Log!$D:$D=S$4)), "Unknown"), "")</f>
        <v>7.8585799999999997E-2</v>
      </c>
      <c r="T17" s="106" cm="1">
        <f t="array" ref="T17">IF($A17&lt;&gt;"", IFERROR(_xlfn._xlws.FILTER(Log!$G:$G, (Log!$A:$A="Daily") * (Log!$C:$C=$A17) * (Log!$D:$D=T$4)), "Unknown"), "")</f>
        <v>0.11252</v>
      </c>
      <c r="U17" s="229" t="str" cm="1">
        <f t="array" ref="U17">_xlfn._xlws.FILTER('Daily WE'!F:F, ('Daily WE'!$B:$B="n/a") * ('Daily WE'!$C:$C ='Daily IE'!$A17))</f>
        <v>A</v>
      </c>
      <c r="V17" s="230" cm="1">
        <f t="array" ref="V17">_xlfn._xlws.FILTER('Daily WE'!G:G, ('Daily WE'!$B:$B="n/a") * ('Daily WE'!$C:$C ='Daily IE'!$A17))</f>
        <v>1000</v>
      </c>
      <c r="W17" s="226">
        <f t="shared" si="7"/>
        <v>1.3498251590902273</v>
      </c>
      <c r="X17" s="226">
        <f t="shared" si="8"/>
        <v>1.1977296793972183</v>
      </c>
      <c r="Y17" s="226">
        <f t="shared" si="9"/>
        <v>1.2626658266302651</v>
      </c>
      <c r="Z17" s="226">
        <f t="shared" si="10"/>
        <v>1.2255864420791567</v>
      </c>
      <c r="AA17" s="226">
        <f t="shared" si="11"/>
        <v>1.0083714738749789</v>
      </c>
      <c r="AB17" s="226">
        <f t="shared" si="12"/>
        <v>0.90740376527427302</v>
      </c>
      <c r="AC17" s="226">
        <f t="shared" si="13"/>
        <v>0.99162852612502095</v>
      </c>
      <c r="AD17" s="226">
        <f t="shared" si="14"/>
        <v>0.90577369463787871</v>
      </c>
      <c r="AE17" s="226">
        <f t="shared" si="15"/>
        <v>0.96153611100925485</v>
      </c>
      <c r="AF17" s="226">
        <f t="shared" si="16"/>
        <v>1.166428323005108</v>
      </c>
      <c r="AG17" s="226">
        <f t="shared" si="17"/>
        <v>1.5411556723013553</v>
      </c>
      <c r="AH17" s="226">
        <f t="shared" si="18"/>
        <v>0.62325256316662614</v>
      </c>
      <c r="AI17" s="226">
        <f t="shared" si="19"/>
        <v>0.47957855951535683</v>
      </c>
      <c r="AJ17" s="226">
        <f t="shared" si="20"/>
        <v>0.61695117899553431</v>
      </c>
      <c r="AK17" s="226">
        <f t="shared" si="21"/>
        <v>0.89553547320383897</v>
      </c>
      <c r="AL17" s="226">
        <f t="shared" si="22"/>
        <v>1.319668296737303</v>
      </c>
      <c r="AM17" s="226">
        <f t="shared" si="23"/>
        <v>0.87321339480266369</v>
      </c>
      <c r="AN17" s="226">
        <f t="shared" si="24"/>
        <v>1.2502764008662597</v>
      </c>
      <c r="AO17" s="227" cm="1">
        <f t="array" ref="AO17">MEDIAN(_xlfn._xlws.FILTER($W$6:$AN$6,($W$6:$AN$6&lt;&gt;"Unknown")))</f>
        <v>1</v>
      </c>
    </row>
    <row r="18" spans="1:41" x14ac:dyDescent="0.25">
      <c r="A18" s="215">
        <v>46244</v>
      </c>
      <c r="B18" s="222">
        <f t="shared" si="6"/>
        <v>0.12565799999999999</v>
      </c>
      <c r="C18" s="106" cm="1">
        <f t="array" ref="C18">IF($A18&lt;&gt;"", IFERROR(_xlfn._xlws.FILTER(Log!$G:$G, (Log!$A:$A="Daily") * (Log!$C:$C=$A18) * (Log!$D:$D=C$4)), "Unknown"), "")</f>
        <v>0.145202</v>
      </c>
      <c r="D18" s="106" cm="1">
        <f t="array" ref="D18">IF($A18&lt;&gt;"", IFERROR(_xlfn._xlws.FILTER(Log!$G:$G, (Log!$A:$A="Daily") * (Log!$C:$C=$A18) * (Log!$D:$D=D$4)), "Unknown"), "")</f>
        <v>0.13970399999999999</v>
      </c>
      <c r="E18" s="106" cm="1">
        <f t="array" ref="E18">IF($A18&lt;&gt;"", IFERROR(_xlfn._xlws.FILTER(Log!$G:$G, (Log!$A:$A="Daily") * (Log!$C:$C=$A18) * (Log!$D:$D=E$4)), "Unknown"), "")</f>
        <v>0.142537</v>
      </c>
      <c r="F18" s="106" cm="1">
        <f t="array" ref="F18">IF($A18&lt;&gt;"", IFERROR(_xlfn._xlws.FILTER(Log!$G:$G, (Log!$A:$A="Daily") * (Log!$C:$C=$A18) * (Log!$D:$D=F$4)), "Unknown"), "")</f>
        <v>0.11326600000000001</v>
      </c>
      <c r="G18" s="106" cm="1">
        <f t="array" ref="G18">IF($A18&lt;&gt;"", IFERROR(_xlfn._xlws.FILTER(Log!$G:$G, (Log!$A:$A="Daily") * (Log!$C:$C=$A18) * (Log!$D:$D=G$4)), "Unknown"), "")</f>
        <v>0.10468</v>
      </c>
      <c r="H18" s="106" cm="1">
        <f t="array" ref="H18">IF($A18&lt;&gt;"", IFERROR(_xlfn._xlws.FILTER(Log!$G:$G, (Log!$A:$A="Daily") * (Log!$C:$C=$A18) * (Log!$D:$D=H$4)), "Unknown"), "")</f>
        <v>0.14379</v>
      </c>
      <c r="I18" s="106" cm="1">
        <f t="array" ref="I18">IF($A18&lt;&gt;"", IFERROR(_xlfn._xlws.FILTER(Log!$G:$G, (Log!$A:$A="Daily") * (Log!$C:$C=$A18) * (Log!$D:$D=I$4)), "Unknown"), "")</f>
        <v>0.14311299999999999</v>
      </c>
      <c r="J18" s="106" cm="1">
        <f t="array" ref="J18">IF($A18&lt;&gt;"", IFERROR(_xlfn._xlws.FILTER(Log!$G:$G, (Log!$A:$A="Daily") * (Log!$C:$C=$A18) * (Log!$D:$D=J$4)), "Unknown"), "")</f>
        <v>6.9675000000000001E-2</v>
      </c>
      <c r="K18" s="106" cm="1">
        <f t="array" ref="K18">IF($A18&lt;&gt;"", IFERROR(_xlfn._xlws.FILTER(Log!$G:$G, (Log!$A:$A="Daily") * (Log!$C:$C=$A18) * (Log!$D:$D=K$4)), "Unknown"), "")</f>
        <v>0.122422</v>
      </c>
      <c r="L18" s="106" cm="1">
        <f t="array" ref="L18">IF($A18&lt;&gt;"", IFERROR(_xlfn._xlws.FILTER(Log!$G:$G, (Log!$A:$A="Daily") * (Log!$C:$C=$A18) * (Log!$D:$D=L$4)), "Unknown"), "")</f>
        <v>0.12889400000000001</v>
      </c>
      <c r="M18" s="106" cm="1">
        <f t="array" ref="M18">IF($A18&lt;&gt;"", IFERROR(_xlfn._xlws.FILTER(Log!$G:$G, (Log!$A:$A="Daily") * (Log!$C:$C=$A18) * (Log!$D:$D=M$4)), "Unknown"), "")</f>
        <v>0.13805799999999999</v>
      </c>
      <c r="N18" s="106" cm="1">
        <f t="array" ref="N18">IF($A18&lt;&gt;"", IFERROR(_xlfn._xlws.FILTER(Log!$G:$G, (Log!$A:$A="Daily") * (Log!$C:$C=$A18) * (Log!$D:$D=N$4)), "Unknown"), "")</f>
        <v>0.14469499999999999</v>
      </c>
      <c r="O18" s="106" cm="1">
        <f t="array" ref="O18">IF($A18&lt;&gt;"", IFERROR(_xlfn._xlws.FILTER(Log!$G:$G, (Log!$A:$A="Daily") * (Log!$C:$C=$A18) * (Log!$D:$D=O$4)), "Unknown"), "")</f>
        <v>4.7153599999999997E-2</v>
      </c>
      <c r="P18" s="106" cm="1">
        <f t="array" ref="P18">IF($A18&lt;&gt;"", IFERROR(_xlfn._xlws.FILTER(Log!$G:$G, (Log!$A:$A="Daily") * (Log!$C:$C=$A18) * (Log!$D:$D=P$4)), "Unknown"), "")</f>
        <v>0.103725</v>
      </c>
      <c r="Q18" s="106" cm="1">
        <f t="array" ref="Q18">IF($A18&lt;&gt;"", IFERROR(_xlfn._xlws.FILTER(Log!$G:$G, (Log!$A:$A="Daily") * (Log!$C:$C=$A18) * (Log!$D:$D=Q$4)), "Unknown"), "")</f>
        <v>0.14813200000000001</v>
      </c>
      <c r="R18" s="106" cm="1">
        <f t="array" ref="R18">IF($A18&lt;&gt;"", IFERROR(_xlfn._xlws.FILTER(Log!$G:$G, (Log!$A:$A="Daily") * (Log!$C:$C=$A18) * (Log!$D:$D=R$4)), "Unknown"), "")</f>
        <v>9.1163099999999997E-2</v>
      </c>
      <c r="S18" s="106" cm="1">
        <f t="array" ref="S18">IF($A18&lt;&gt;"", IFERROR(_xlfn._xlws.FILTER(Log!$G:$G, (Log!$A:$A="Daily") * (Log!$C:$C=$A18) * (Log!$D:$D=S$4)), "Unknown"), "")</f>
        <v>0.11161600000000001</v>
      </c>
      <c r="T18" s="106" cm="1">
        <f t="array" ref="T18">IF($A18&lt;&gt;"", IFERROR(_xlfn._xlws.FILTER(Log!$G:$G, (Log!$A:$A="Daily") * (Log!$C:$C=$A18) * (Log!$D:$D=T$4)), "Unknown"), "")</f>
        <v>8.3233199999999993E-2</v>
      </c>
      <c r="U18" s="229" t="str" cm="1">
        <f t="array" ref="U18">_xlfn._xlws.FILTER('Daily WE'!F:F, ('Daily WE'!$B:$B="n/a") * ('Daily WE'!$C:$C ='Daily IE'!$A18))</f>
        <v>D</v>
      </c>
      <c r="V18" s="230" cm="1">
        <f t="array" ref="V18">_xlfn._xlws.FILTER('Daily WE'!G:G, ('Daily WE'!$B:$B="n/a") * ('Daily WE'!$C:$C ='Daily IE'!$A18))</f>
        <v>1000</v>
      </c>
      <c r="W18" s="226">
        <f t="shared" si="7"/>
        <v>1.1555332728517087</v>
      </c>
      <c r="X18" s="226">
        <f t="shared" si="8"/>
        <v>1.1117795922265197</v>
      </c>
      <c r="Y18" s="226">
        <f t="shared" si="9"/>
        <v>1.1343249136545226</v>
      </c>
      <c r="Z18" s="226">
        <f t="shared" si="10"/>
        <v>0.9013831192602143</v>
      </c>
      <c r="AA18" s="226">
        <f t="shared" si="11"/>
        <v>0.83305479953524653</v>
      </c>
      <c r="AB18" s="226">
        <f t="shared" si="12"/>
        <v>1.1442964236260327</v>
      </c>
      <c r="AC18" s="226">
        <f t="shared" si="13"/>
        <v>1.1389087841601808</v>
      </c>
      <c r="AD18" s="226">
        <f t="shared" si="14"/>
        <v>0.55448121090579194</v>
      </c>
      <c r="AE18" s="226">
        <f t="shared" si="15"/>
        <v>0.97424756083973973</v>
      </c>
      <c r="AF18" s="226">
        <f t="shared" si="16"/>
        <v>1.0257524391602606</v>
      </c>
      <c r="AG18" s="226">
        <f t="shared" si="17"/>
        <v>1.0986805456079198</v>
      </c>
      <c r="AH18" s="226">
        <f t="shared" si="18"/>
        <v>1.1514985118337073</v>
      </c>
      <c r="AI18" s="226">
        <f t="shared" si="19"/>
        <v>0.37525346575625906</v>
      </c>
      <c r="AJ18" s="226">
        <f t="shared" si="20"/>
        <v>0.82545480590173326</v>
      </c>
      <c r="AK18" s="226">
        <f t="shared" si="21"/>
        <v>1.1788505308058383</v>
      </c>
      <c r="AL18" s="226">
        <f t="shared" si="22"/>
        <v>0.72548584252494874</v>
      </c>
      <c r="AM18" s="226">
        <f t="shared" si="23"/>
        <v>0.88825224020754756</v>
      </c>
      <c r="AN18" s="226">
        <f t="shared" si="24"/>
        <v>0.66237883779783224</v>
      </c>
      <c r="AO18" s="227" cm="1">
        <f t="array" ref="AO18">MEDIAN(_xlfn._xlws.FILTER($W$6:$AN$6,($W$6:$AN$6&lt;&gt;"Unknown")))</f>
        <v>1</v>
      </c>
    </row>
    <row r="19" spans="1:41" x14ac:dyDescent="0.25">
      <c r="A19" s="215">
        <v>46245</v>
      </c>
      <c r="B19" s="222">
        <f t="shared" si="6"/>
        <v>6.6415000000000002E-2</v>
      </c>
      <c r="C19" s="106" cm="1">
        <f t="array" ref="C19">IF($A19&lt;&gt;"", IFERROR(_xlfn._xlws.FILTER(Log!$G:$G, (Log!$A:$A="Daily") * (Log!$C:$C=$A19) * (Log!$D:$D=C$4)), "Unknown"), "")</f>
        <v>5.9408799999999998E-2</v>
      </c>
      <c r="D19" s="106" cm="1">
        <f t="array" ref="D19">IF($A19&lt;&gt;"", IFERROR(_xlfn._xlws.FILTER(Log!$G:$G, (Log!$A:$A="Daily") * (Log!$C:$C=$A19) * (Log!$D:$D=D$4)), "Unknown"), "")</f>
        <v>7.8345899999999996E-2</v>
      </c>
      <c r="E19" s="106" cm="1">
        <f t="array" ref="E19">IF($A19&lt;&gt;"", IFERROR(_xlfn._xlws.FILTER(Log!$G:$G, (Log!$A:$A="Daily") * (Log!$C:$C=$A19) * (Log!$D:$D=E$4)), "Unknown"), "")</f>
        <v>9.4695399999999999E-2</v>
      </c>
      <c r="F19" s="106" cm="1">
        <f t="array" ref="F19">IF($A19&lt;&gt;"", IFERROR(_xlfn._xlws.FILTER(Log!$G:$G, (Log!$A:$A="Daily") * (Log!$C:$C=$A19) * (Log!$D:$D=F$4)), "Unknown"), "")</f>
        <v>0.110303</v>
      </c>
      <c r="G19" s="106" cm="1">
        <f t="array" ref="G19">IF($A19&lt;&gt;"", IFERROR(_xlfn._xlws.FILTER(Log!$G:$G, (Log!$A:$A="Daily") * (Log!$C:$C=$A19) * (Log!$D:$D=G$4)), "Unknown"), "")</f>
        <v>6.0416400000000002E-2</v>
      </c>
      <c r="H19" s="106" cm="1">
        <f t="array" ref="H19">IF($A19&lt;&gt;"", IFERROR(_xlfn._xlws.FILTER(Log!$G:$G, (Log!$A:$A="Daily") * (Log!$C:$C=$A19) * (Log!$D:$D=H$4)), "Unknown"), "")</f>
        <v>5.91297E-2</v>
      </c>
      <c r="I19" s="106" cm="1">
        <f t="array" ref="I19">IF($A19&lt;&gt;"", IFERROR(_xlfn._xlws.FILTER(Log!$G:$G, (Log!$A:$A="Daily") * (Log!$C:$C=$A19) * (Log!$D:$D=I$4)), "Unknown"), "")</f>
        <v>6.8007200000000004E-2</v>
      </c>
      <c r="J19" s="106" cm="1">
        <f t="array" ref="J19">IF($A19&lt;&gt;"", IFERROR(_xlfn._xlws.FILTER(Log!$G:$G, (Log!$A:$A="Daily") * (Log!$C:$C=$A19) * (Log!$D:$D=J$4)), "Unknown"), "")</f>
        <v>5.76237E-2</v>
      </c>
      <c r="K19" s="106" cm="1">
        <f t="array" ref="K19">IF($A19&lt;&gt;"", IFERROR(_xlfn._xlws.FILTER(Log!$G:$G, (Log!$A:$A="Daily") * (Log!$C:$C=$A19) * (Log!$D:$D=K$4)), "Unknown"), "")</f>
        <v>8.9464500000000002E-2</v>
      </c>
      <c r="L19" s="106" cm="1">
        <f t="array" ref="L19">IF($A19&lt;&gt;"", IFERROR(_xlfn._xlws.FILTER(Log!$G:$G, (Log!$A:$A="Daily") * (Log!$C:$C=$A19) * (Log!$D:$D=L$4)), "Unknown"), "")</f>
        <v>7.0241100000000001E-2</v>
      </c>
      <c r="M19" s="106" cm="1">
        <f t="array" ref="M19">IF($A19&lt;&gt;"", IFERROR(_xlfn._xlws.FILTER(Log!$G:$G, (Log!$A:$A="Daily") * (Log!$C:$C=$A19) * (Log!$D:$D=M$4)), "Unknown"), "")</f>
        <v>7.1229399999999998E-2</v>
      </c>
      <c r="N19" s="106" cm="1">
        <f t="array" ref="N19">IF($A19&lt;&gt;"", IFERROR(_xlfn._xlws.FILTER(Log!$G:$G, (Log!$A:$A="Daily") * (Log!$C:$C=$A19) * (Log!$D:$D=N$4)), "Unknown"), "")</f>
        <v>9.9747299999999997E-2</v>
      </c>
      <c r="O19" s="106" cm="1">
        <f t="array" ref="O19">IF($A19&lt;&gt;"", IFERROR(_xlfn._xlws.FILTER(Log!$G:$G, (Log!$A:$A="Daily") * (Log!$C:$C=$A19) * (Log!$D:$D=O$4)), "Unknown"), "")</f>
        <v>4.92053E-2</v>
      </c>
      <c r="P19" s="106" cm="1">
        <f t="array" ref="P19">IF($A19&lt;&gt;"", IFERROR(_xlfn._xlws.FILTER(Log!$G:$G, (Log!$A:$A="Daily") * (Log!$C:$C=$A19) * (Log!$D:$D=P$4)), "Unknown"), "")</f>
        <v>6.48228E-2</v>
      </c>
      <c r="Q19" s="106" cm="1">
        <f t="array" ref="Q19">IF($A19&lt;&gt;"", IFERROR(_xlfn._xlws.FILTER(Log!$G:$G, (Log!$A:$A="Daily") * (Log!$C:$C=$A19) * (Log!$D:$D=Q$4)), "Unknown"), "")</f>
        <v>9.04861E-2</v>
      </c>
      <c r="R19" s="106" cm="1">
        <f t="array" ref="R19">IF($A19&lt;&gt;"", IFERROR(_xlfn._xlws.FILTER(Log!$G:$G, (Log!$A:$A="Daily") * (Log!$C:$C=$A19) * (Log!$D:$D=R$4)), "Unknown"), "")</f>
        <v>5.4997999999999998E-2</v>
      </c>
      <c r="S19" s="106" cm="1">
        <f t="array" ref="S19">IF($A19&lt;&gt;"", IFERROR(_xlfn._xlws.FILTER(Log!$G:$G, (Log!$A:$A="Daily") * (Log!$C:$C=$A19) * (Log!$D:$D=S$4)), "Unknown"), "")</f>
        <v>4.7409600000000003E-2</v>
      </c>
      <c r="T19" s="106" cm="1">
        <f t="array" ref="T19">IF($A19&lt;&gt;"", IFERROR(_xlfn._xlws.FILTER(Log!$G:$G, (Log!$A:$A="Daily") * (Log!$C:$C=$A19) * (Log!$D:$D=T$4)), "Unknown"), "")</f>
        <v>5.6996400000000003E-2</v>
      </c>
      <c r="U19" s="229" t="str" cm="1">
        <f t="array" ref="U19">_xlfn._xlws.FILTER('Daily WE'!F:F, ('Daily WE'!$B:$B="n/a") * ('Daily WE'!$C:$C ='Daily IE'!$A19))</f>
        <v>E</v>
      </c>
      <c r="V19" s="230" cm="1">
        <f t="array" ref="V19">_xlfn._xlws.FILTER('Daily WE'!G:G, ('Daily WE'!$B:$B="n/a") * ('Daily WE'!$C:$C ='Daily IE'!$A19))</f>
        <v>1000</v>
      </c>
      <c r="W19" s="226">
        <f t="shared" si="7"/>
        <v>0.8945087706090491</v>
      </c>
      <c r="X19" s="226">
        <f t="shared" si="8"/>
        <v>1.1796416472182487</v>
      </c>
      <c r="Y19" s="226">
        <f t="shared" si="9"/>
        <v>1.4258134457577354</v>
      </c>
      <c r="Z19" s="226">
        <f t="shared" si="10"/>
        <v>1.6608145750207031</v>
      </c>
      <c r="AA19" s="226">
        <f t="shared" si="11"/>
        <v>0.90968004215915077</v>
      </c>
      <c r="AB19" s="226">
        <f t="shared" si="12"/>
        <v>0.89030640668523675</v>
      </c>
      <c r="AC19" s="226">
        <f t="shared" si="13"/>
        <v>1.023973499962358</v>
      </c>
      <c r="AD19" s="226">
        <f t="shared" si="14"/>
        <v>0.86763080629375888</v>
      </c>
      <c r="AE19" s="226">
        <f t="shared" si="15"/>
        <v>1.347052623654295</v>
      </c>
      <c r="AF19" s="226">
        <f t="shared" si="16"/>
        <v>1.0576089738763834</v>
      </c>
      <c r="AG19" s="226">
        <f t="shared" si="17"/>
        <v>1.0724896484227959</v>
      </c>
      <c r="AH19" s="226">
        <f t="shared" si="18"/>
        <v>1.5018790935782578</v>
      </c>
      <c r="AI19" s="226">
        <f t="shared" si="19"/>
        <v>0.74087630806293758</v>
      </c>
      <c r="AJ19" s="226">
        <f t="shared" si="20"/>
        <v>0.97602650003764202</v>
      </c>
      <c r="AK19" s="226">
        <f t="shared" si="21"/>
        <v>1.3624346909583678</v>
      </c>
      <c r="AL19" s="226">
        <f t="shared" si="22"/>
        <v>0.82809606263645252</v>
      </c>
      <c r="AM19" s="226">
        <f t="shared" si="23"/>
        <v>0.71383874124821201</v>
      </c>
      <c r="AN19" s="226">
        <f t="shared" si="24"/>
        <v>0.85818565083189036</v>
      </c>
      <c r="AO19" s="227" cm="1">
        <f t="array" ref="AO19">MEDIAN(_xlfn._xlws.FILTER($W$6:$AN$6,($W$6:$AN$6&lt;&gt;"Unknown")))</f>
        <v>1</v>
      </c>
    </row>
    <row r="20" spans="1:41" x14ac:dyDescent="0.25">
      <c r="A20" s="215">
        <v>46246</v>
      </c>
      <c r="B20" s="222">
        <f t="shared" si="6"/>
        <v>0.12649150000000001</v>
      </c>
      <c r="C20" s="106" cm="1">
        <f t="array" ref="C20">IF($A20&lt;&gt;"", IFERROR(_xlfn._xlws.FILTER(Log!$G:$G, (Log!$A:$A="Daily") * (Log!$C:$C=$A20) * (Log!$D:$D=C$4)), "Unknown"), "")</f>
        <v>0.1021</v>
      </c>
      <c r="D20" s="106" cm="1">
        <f t="array" ref="D20">IF($A20&lt;&gt;"", IFERROR(_xlfn._xlws.FILTER(Log!$G:$G, (Log!$A:$A="Daily") * (Log!$C:$C=$A20) * (Log!$D:$D=D$4)), "Unknown"), "")</f>
        <v>0.126891</v>
      </c>
      <c r="E20" s="106" cm="1">
        <f t="array" ref="E20">IF($A20&lt;&gt;"", IFERROR(_xlfn._xlws.FILTER(Log!$G:$G, (Log!$A:$A="Daily") * (Log!$C:$C=$A20) * (Log!$D:$D=E$4)), "Unknown"), "")</f>
        <v>0.152672</v>
      </c>
      <c r="F20" s="106" cm="1">
        <f t="array" ref="F20">IF($A20&lt;&gt;"", IFERROR(_xlfn._xlws.FILTER(Log!$G:$G, (Log!$A:$A="Daily") * (Log!$C:$C=$A20) * (Log!$D:$D=F$4)), "Unknown"), "")</f>
        <v>0.144092</v>
      </c>
      <c r="G20" s="106" cm="1">
        <f t="array" ref="G20">IF($A20&lt;&gt;"", IFERROR(_xlfn._xlws.FILTER(Log!$G:$G, (Log!$A:$A="Daily") * (Log!$C:$C=$A20) * (Log!$D:$D=G$4)), "Unknown"), "")</f>
        <v>0.224774</v>
      </c>
      <c r="H20" s="106" cm="1">
        <f t="array" ref="H20">IF($A20&lt;&gt;"", IFERROR(_xlfn._xlws.FILTER(Log!$G:$G, (Log!$A:$A="Daily") * (Log!$C:$C=$A20) * (Log!$D:$D=H$4)), "Unknown"), "")</f>
        <v>0.25578600000000001</v>
      </c>
      <c r="I20" s="106" cm="1">
        <f t="array" ref="I20">IF($A20&lt;&gt;"", IFERROR(_xlfn._xlws.FILTER(Log!$G:$G, (Log!$A:$A="Daily") * (Log!$C:$C=$A20) * (Log!$D:$D=I$4)), "Unknown"), "")</f>
        <v>0.28981800000000002</v>
      </c>
      <c r="J20" s="106" cm="1">
        <f t="array" ref="J20">IF($A20&lt;&gt;"", IFERROR(_xlfn._xlws.FILTER(Log!$G:$G, (Log!$A:$A="Daily") * (Log!$C:$C=$A20) * (Log!$D:$D=J$4)), "Unknown"), "")</f>
        <v>0.16748499999999999</v>
      </c>
      <c r="K20" s="106" cm="1">
        <f t="array" ref="K20">IF($A20&lt;&gt;"", IFERROR(_xlfn._xlws.FILTER(Log!$G:$G, (Log!$A:$A="Daily") * (Log!$C:$C=$A20) * (Log!$D:$D=K$4)), "Unknown"), "")</f>
        <v>0.12609200000000001</v>
      </c>
      <c r="L20" s="106" cm="1">
        <f t="array" ref="L20">IF($A20&lt;&gt;"", IFERROR(_xlfn._xlws.FILTER(Log!$G:$G, (Log!$A:$A="Daily") * (Log!$C:$C=$A20) * (Log!$D:$D=L$4)), "Unknown"), "")</f>
        <v>0.136105</v>
      </c>
      <c r="M20" s="106" cm="1">
        <f t="array" ref="M20">IF($A20&lt;&gt;"", IFERROR(_xlfn._xlws.FILTER(Log!$G:$G, (Log!$A:$A="Daily") * (Log!$C:$C=$A20) * (Log!$D:$D=M$4)), "Unknown"), "")</f>
        <v>0.11713899999999999</v>
      </c>
      <c r="N20" s="106" cm="1">
        <f t="array" ref="N20">IF($A20&lt;&gt;"", IFERROR(_xlfn._xlws.FILTER(Log!$G:$G, (Log!$A:$A="Daily") * (Log!$C:$C=$A20) * (Log!$D:$D=N$4)), "Unknown"), "")</f>
        <v>5.0965499999999997E-2</v>
      </c>
      <c r="O20" s="106" cm="1">
        <f t="array" ref="O20">IF($A20&lt;&gt;"", IFERROR(_xlfn._xlws.FILTER(Log!$G:$G, (Log!$A:$A="Daily") * (Log!$C:$C=$A20) * (Log!$D:$D=O$4)), "Unknown"), "")</f>
        <v>9.9886199999999994E-2</v>
      </c>
      <c r="P20" s="106" cm="1">
        <f t="array" ref="P20">IF($A20&lt;&gt;"", IFERROR(_xlfn._xlws.FILTER(Log!$G:$G, (Log!$A:$A="Daily") * (Log!$C:$C=$A20) * (Log!$D:$D=P$4)), "Unknown"), "")</f>
        <v>4.2027099999999998E-2</v>
      </c>
      <c r="Q20" s="106" cm="1">
        <f t="array" ref="Q20">IF($A20&lt;&gt;"", IFERROR(_xlfn._xlws.FILTER(Log!$G:$G, (Log!$A:$A="Daily") * (Log!$C:$C=$A20) * (Log!$D:$D=Q$4)), "Unknown"), "")</f>
        <v>0.1166</v>
      </c>
      <c r="R20" s="106" cm="1">
        <f t="array" ref="R20">IF($A20&lt;&gt;"", IFERROR(_xlfn._xlws.FILTER(Log!$G:$G, (Log!$A:$A="Daily") * (Log!$C:$C=$A20) * (Log!$D:$D=R$4)), "Unknown"), "")</f>
        <v>6.2857700000000002E-2</v>
      </c>
      <c r="S20" s="106" cm="1">
        <f t="array" ref="S20">IF($A20&lt;&gt;"", IFERROR(_xlfn._xlws.FILTER(Log!$G:$G, (Log!$A:$A="Daily") * (Log!$C:$C=$A20) * (Log!$D:$D=S$4)), "Unknown"), "")</f>
        <v>0.14205200000000001</v>
      </c>
      <c r="T20" s="106" cm="1">
        <f t="array" ref="T20">IF($A20&lt;&gt;"", IFERROR(_xlfn._xlws.FILTER(Log!$G:$G, (Log!$A:$A="Daily") * (Log!$C:$C=$A20) * (Log!$D:$D=T$4)), "Unknown"), "")</f>
        <v>0.106762</v>
      </c>
      <c r="U20" s="229" t="str" cm="1">
        <f t="array" ref="U20">_xlfn._xlws.FILTER('Daily WE'!F:F, ('Daily WE'!$B:$B="n/a") * ('Daily WE'!$C:$C ='Daily IE'!$A20))</f>
        <v>G</v>
      </c>
      <c r="V20" s="230" cm="1">
        <f t="array" ref="V20">_xlfn._xlws.FILTER('Daily WE'!G:G, ('Daily WE'!$B:$B="n/a") * ('Daily WE'!$C:$C ='Daily IE'!$A20))</f>
        <v>1000</v>
      </c>
      <c r="W20" s="226">
        <f t="shared" si="7"/>
        <v>0.80716886114877273</v>
      </c>
      <c r="X20" s="226">
        <f t="shared" si="8"/>
        <v>1.0031583149855918</v>
      </c>
      <c r="Y20" s="226">
        <f t="shared" si="9"/>
        <v>1.2069743816778202</v>
      </c>
      <c r="Z20" s="226">
        <f t="shared" si="10"/>
        <v>1.1391437369309398</v>
      </c>
      <c r="AA20" s="226">
        <f t="shared" si="11"/>
        <v>1.7769889676381416</v>
      </c>
      <c r="AB20" s="226">
        <f t="shared" si="12"/>
        <v>2.0221595917512243</v>
      </c>
      <c r="AC20" s="226">
        <f t="shared" si="13"/>
        <v>2.2912053379080808</v>
      </c>
      <c r="AD20" s="226">
        <f t="shared" si="14"/>
        <v>1.324081064735575</v>
      </c>
      <c r="AE20" s="226">
        <f t="shared" si="15"/>
        <v>0.99684168501440806</v>
      </c>
      <c r="AF20" s="226">
        <f t="shared" si="16"/>
        <v>1.0760011542277543</v>
      </c>
      <c r="AG20" s="226">
        <f t="shared" si="17"/>
        <v>0.92606222552503514</v>
      </c>
      <c r="AH20" s="226">
        <f t="shared" si="18"/>
        <v>0.40291640149733376</v>
      </c>
      <c r="AI20" s="226">
        <f t="shared" si="19"/>
        <v>0.78966728989694956</v>
      </c>
      <c r="AJ20" s="226">
        <f t="shared" si="20"/>
        <v>0.33225236478340436</v>
      </c>
      <c r="AK20" s="226">
        <f t="shared" si="21"/>
        <v>0.92180106963709019</v>
      </c>
      <c r="AL20" s="226">
        <f t="shared" si="22"/>
        <v>0.49693220493076612</v>
      </c>
      <c r="AM20" s="226">
        <f t="shared" si="23"/>
        <v>1.1230161710470665</v>
      </c>
      <c r="AN20" s="226">
        <f t="shared" si="24"/>
        <v>0.84402509259515457</v>
      </c>
      <c r="AO20" s="227" cm="1">
        <f t="array" ref="AO20">MEDIAN(_xlfn._xlws.FILTER($W$6:$AN$6,($W$6:$AN$6&lt;&gt;"Unknown")))</f>
        <v>1</v>
      </c>
    </row>
    <row r="21" spans="1:41" x14ac:dyDescent="0.25">
      <c r="A21" s="215">
        <v>46247</v>
      </c>
      <c r="B21" s="222">
        <f t="shared" si="6"/>
        <v>7.4596800000000005E-2</v>
      </c>
      <c r="C21" s="106" cm="1">
        <f t="array" ref="C21">IF($A21&lt;&gt;"", IFERROR(_xlfn._xlws.FILTER(Log!$G:$G, (Log!$A:$A="Daily") * (Log!$C:$C=$A21) * (Log!$D:$D=C$4)), "Unknown"), "")</f>
        <v>0.113922</v>
      </c>
      <c r="D21" s="106" cm="1">
        <f t="array" ref="D21">IF($A21&lt;&gt;"", IFERROR(_xlfn._xlws.FILTER(Log!$G:$G, (Log!$A:$A="Daily") * (Log!$C:$C=$A21) * (Log!$D:$D=D$4)), "Unknown"), "")</f>
        <v>0.120023</v>
      </c>
      <c r="E21" s="106" cm="1">
        <f t="array" ref="E21">IF($A21&lt;&gt;"", IFERROR(_xlfn._xlws.FILTER(Log!$G:$G, (Log!$A:$A="Daily") * (Log!$C:$C=$A21) * (Log!$D:$D=E$4)), "Unknown"), "")</f>
        <v>8.8552900000000004E-2</v>
      </c>
      <c r="F21" s="106" cm="1">
        <f t="array" ref="F21">IF($A21&lt;&gt;"", IFERROR(_xlfn._xlws.FILTER(Log!$G:$G, (Log!$A:$A="Daily") * (Log!$C:$C=$A21) * (Log!$D:$D=F$4)), "Unknown"), "")</f>
        <v>8.9120500000000005E-2</v>
      </c>
      <c r="G21" s="106" cm="1">
        <f t="array" ref="G21">IF($A21&lt;&gt;"", IFERROR(_xlfn._xlws.FILTER(Log!$G:$G, (Log!$A:$A="Daily") * (Log!$C:$C=$A21) * (Log!$D:$D=G$4)), "Unknown"), "")</f>
        <v>5.1662399999999997E-2</v>
      </c>
      <c r="H21" s="106" cm="1">
        <f t="array" ref="H21">IF($A21&lt;&gt;"", IFERROR(_xlfn._xlws.FILTER(Log!$G:$G, (Log!$A:$A="Daily") * (Log!$C:$C=$A21) * (Log!$D:$D=H$4)), "Unknown"), "")</f>
        <v>7.4387800000000004E-2</v>
      </c>
      <c r="I21" s="106" cm="1">
        <f t="array" ref="I21">IF($A21&lt;&gt;"", IFERROR(_xlfn._xlws.FILTER(Log!$G:$G, (Log!$A:$A="Daily") * (Log!$C:$C=$A21) * (Log!$D:$D=I$4)), "Unknown"), "")</f>
        <v>7.3980000000000004E-2</v>
      </c>
      <c r="J21" s="106" cm="1">
        <f t="array" ref="J21">IF($A21&lt;&gt;"", IFERROR(_xlfn._xlws.FILTER(Log!$G:$G, (Log!$A:$A="Daily") * (Log!$C:$C=$A21) * (Log!$D:$D=J$4)), "Unknown"), "")</f>
        <v>5.5200300000000001E-2</v>
      </c>
      <c r="K21" s="106" cm="1">
        <f t="array" ref="K21">IF($A21&lt;&gt;"", IFERROR(_xlfn._xlws.FILTER(Log!$G:$G, (Log!$A:$A="Daily") * (Log!$C:$C=$A21) * (Log!$D:$D=K$4)), "Unknown"), "")</f>
        <v>0.10433099999999999</v>
      </c>
      <c r="L21" s="106" cm="1">
        <f t="array" ref="L21">IF($A21&lt;&gt;"", IFERROR(_xlfn._xlws.FILTER(Log!$G:$G, (Log!$A:$A="Daily") * (Log!$C:$C=$A21) * (Log!$D:$D=L$4)), "Unknown"), "")</f>
        <v>0.105559</v>
      </c>
      <c r="M21" s="106" cm="1">
        <f t="array" ref="M21">IF($A21&lt;&gt;"", IFERROR(_xlfn._xlws.FILTER(Log!$G:$G, (Log!$A:$A="Daily") * (Log!$C:$C=$A21) * (Log!$D:$D=M$4)), "Unknown"), "")</f>
        <v>0.12531</v>
      </c>
      <c r="N21" s="106" cm="1">
        <f t="array" ref="N21">IF($A21&lt;&gt;"", IFERROR(_xlfn._xlws.FILTER(Log!$G:$G, (Log!$A:$A="Daily") * (Log!$C:$C=$A21) * (Log!$D:$D=N$4)), "Unknown"), "")</f>
        <v>5.6661400000000001E-2</v>
      </c>
      <c r="O21" s="106" cm="1">
        <f t="array" ref="O21">IF($A21&lt;&gt;"", IFERROR(_xlfn._xlws.FILTER(Log!$G:$G, (Log!$A:$A="Daily") * (Log!$C:$C=$A21) * (Log!$D:$D=O$4)), "Unknown"), "")</f>
        <v>8.7344000000000005E-2</v>
      </c>
      <c r="P21" s="106" cm="1">
        <f t="array" ref="P21">IF($A21&lt;&gt;"", IFERROR(_xlfn._xlws.FILTER(Log!$G:$G, (Log!$A:$A="Daily") * (Log!$C:$C=$A21) * (Log!$D:$D=P$4)), "Unknown"), "")</f>
        <v>4.45136E-2</v>
      </c>
      <c r="Q21" s="106" cm="1">
        <f t="array" ref="Q21">IF($A21&lt;&gt;"", IFERROR(_xlfn._xlws.FILTER(Log!$G:$G, (Log!$A:$A="Daily") * (Log!$C:$C=$A21) * (Log!$D:$D=Q$4)), "Unknown"), "")</f>
        <v>6.9248599999999993E-2</v>
      </c>
      <c r="R21" s="106" cm="1">
        <f t="array" ref="R21">IF($A21&lt;&gt;"", IFERROR(_xlfn._xlws.FILTER(Log!$G:$G, (Log!$A:$A="Daily") * (Log!$C:$C=$A21) * (Log!$D:$D=R$4)), "Unknown"), "")</f>
        <v>5.6595100000000002E-2</v>
      </c>
      <c r="S21" s="106" cm="1">
        <f t="array" ref="S21">IF($A21&lt;&gt;"", IFERROR(_xlfn._xlws.FILTER(Log!$G:$G, (Log!$A:$A="Daily") * (Log!$C:$C=$A21) * (Log!$D:$D=S$4)), "Unknown"), "")</f>
        <v>6.4263700000000007E-2</v>
      </c>
      <c r="T21" s="106" cm="1">
        <f t="array" ref="T21">IF($A21&lt;&gt;"", IFERROR(_xlfn._xlws.FILTER(Log!$G:$G, (Log!$A:$A="Daily") * (Log!$C:$C=$A21) * (Log!$D:$D=T$4)), "Unknown"), "")</f>
        <v>7.4805800000000006E-2</v>
      </c>
      <c r="U21" s="229" t="str" cm="1">
        <f t="array" ref="U21">_xlfn._xlws.FILTER('Daily WE'!F:F, ('Daily WE'!$B:$B="n/a") * ('Daily WE'!$C:$C ='Daily IE'!$A21))</f>
        <v>F</v>
      </c>
      <c r="V21" s="230" cm="1">
        <f t="array" ref="V21">_xlfn._xlws.FILTER('Daily WE'!G:G, ('Daily WE'!$B:$B="n/a") * ('Daily WE'!$C:$C ='Daily IE'!$A21))</f>
        <v>1000</v>
      </c>
      <c r="W21" s="226">
        <f t="shared" si="7"/>
        <v>1.5271700662763013</v>
      </c>
      <c r="X21" s="226">
        <f t="shared" si="8"/>
        <v>1.6089564163610235</v>
      </c>
      <c r="Y21" s="226">
        <f t="shared" si="9"/>
        <v>1.1870871136563499</v>
      </c>
      <c r="Z21" s="226">
        <f t="shared" si="10"/>
        <v>1.194696019132188</v>
      </c>
      <c r="AA21" s="226">
        <f t="shared" si="11"/>
        <v>0.69255517662956045</v>
      </c>
      <c r="AB21" s="226">
        <f t="shared" si="12"/>
        <v>0.99719827123951699</v>
      </c>
      <c r="AC21" s="226">
        <f t="shared" si="13"/>
        <v>0.99173154880638315</v>
      </c>
      <c r="AD21" s="226">
        <f t="shared" si="14"/>
        <v>0.73998214400617712</v>
      </c>
      <c r="AE21" s="226">
        <f t="shared" si="15"/>
        <v>1.3985988675117429</v>
      </c>
      <c r="AF21" s="226">
        <f t="shared" si="16"/>
        <v>1.4150606996546768</v>
      </c>
      <c r="AG21" s="226">
        <f t="shared" si="17"/>
        <v>1.6798307702207065</v>
      </c>
      <c r="AH21" s="226">
        <f t="shared" si="18"/>
        <v>0.75956877506809939</v>
      </c>
      <c r="AI21" s="226">
        <f t="shared" si="19"/>
        <v>1.1708813246680823</v>
      </c>
      <c r="AJ21" s="226">
        <f t="shared" si="20"/>
        <v>0.59672264762027327</v>
      </c>
      <c r="AK21" s="226">
        <f t="shared" si="21"/>
        <v>0.92830523561332379</v>
      </c>
      <c r="AL21" s="226">
        <f t="shared" si="22"/>
        <v>0.75867999699719024</v>
      </c>
      <c r="AM21" s="226">
        <f t="shared" si="23"/>
        <v>0.86148065332561186</v>
      </c>
      <c r="AN21" s="226">
        <f t="shared" si="24"/>
        <v>1.0028017287604831</v>
      </c>
      <c r="AO21" s="227"/>
    </row>
    <row r="22" spans="1:41" x14ac:dyDescent="0.25">
      <c r="A22" s="215">
        <v>46248</v>
      </c>
      <c r="B22" s="222">
        <f t="shared" si="6"/>
        <v>9.3980399999999992E-2</v>
      </c>
      <c r="C22" s="106" cm="1">
        <f t="array" ref="C22">IF($A22&lt;&gt;"", IFERROR(_xlfn._xlws.FILTER(Log!$G:$G, (Log!$A:$A="Daily") * (Log!$C:$C=$A22) * (Log!$D:$D=C$4)), "Unknown"), "")</f>
        <v>0.12145400000000001</v>
      </c>
      <c r="D22" s="106" cm="1">
        <f t="array" ref="D22">IF($A22&lt;&gt;"", IFERROR(_xlfn._xlws.FILTER(Log!$G:$G, (Log!$A:$A="Daily") * (Log!$C:$C=$A22) * (Log!$D:$D=D$4)), "Unknown"), "")</f>
        <v>0.107267</v>
      </c>
      <c r="E22" s="106" cm="1">
        <f t="array" ref="E22">IF($A22&lt;&gt;"", IFERROR(_xlfn._xlws.FILTER(Log!$G:$G, (Log!$A:$A="Daily") * (Log!$C:$C=$A22) * (Log!$D:$D=E$4)), "Unknown"), "")</f>
        <v>0.10422099999999999</v>
      </c>
      <c r="F22" s="106" cm="1">
        <f t="array" ref="F22">IF($A22&lt;&gt;"", IFERROR(_xlfn._xlws.FILTER(Log!$G:$G, (Log!$A:$A="Daily") * (Log!$C:$C=$A22) * (Log!$D:$D=F$4)), "Unknown"), "")</f>
        <v>9.0715000000000004E-2</v>
      </c>
      <c r="G22" s="106" cm="1">
        <f t="array" ref="G22">IF($A22&lt;&gt;"", IFERROR(_xlfn._xlws.FILTER(Log!$G:$G, (Log!$A:$A="Daily") * (Log!$C:$C=$A22) * (Log!$D:$D=G$4)), "Unknown"), "")</f>
        <v>6.9010299999999997E-2</v>
      </c>
      <c r="H22" s="106" cm="1">
        <f t="array" ref="H22">IF($A22&lt;&gt;"", IFERROR(_xlfn._xlws.FILTER(Log!$G:$G, (Log!$A:$A="Daily") * (Log!$C:$C=$A22) * (Log!$D:$D=H$4)), "Unknown"), "")</f>
        <v>0.101456</v>
      </c>
      <c r="I22" s="106" cm="1">
        <f t="array" ref="I22">IF($A22&lt;&gt;"", IFERROR(_xlfn._xlws.FILTER(Log!$G:$G, (Log!$A:$A="Daily") * (Log!$C:$C=$A22) * (Log!$D:$D=I$4)), "Unknown"), "")</f>
        <v>0.10539</v>
      </c>
      <c r="J22" s="106" cm="1">
        <f t="array" ref="J22">IF($A22&lt;&gt;"", IFERROR(_xlfn._xlws.FILTER(Log!$G:$G, (Log!$A:$A="Daily") * (Log!$C:$C=$A22) * (Log!$D:$D=J$4)), "Unknown"), "")</f>
        <v>8.0909599999999998E-2</v>
      </c>
      <c r="K22" s="106" cm="1">
        <f t="array" ref="K22">IF($A22&lt;&gt;"", IFERROR(_xlfn._xlws.FILTER(Log!$G:$G, (Log!$A:$A="Daily") * (Log!$C:$C=$A22) * (Log!$D:$D=K$4)), "Unknown"), "")</f>
        <v>8.7667900000000007E-2</v>
      </c>
      <c r="L22" s="106" cm="1">
        <f t="array" ref="L22">IF($A22&lt;&gt;"", IFERROR(_xlfn._xlws.FILTER(Log!$G:$G, (Log!$A:$A="Daily") * (Log!$C:$C=$A22) * (Log!$D:$D=L$4)), "Unknown"), "")</f>
        <v>9.0296399999999999E-2</v>
      </c>
      <c r="M22" s="106" cm="1">
        <f t="array" ref="M22">IF($A22&lt;&gt;"", IFERROR(_xlfn._xlws.FILTER(Log!$G:$G, (Log!$A:$A="Daily") * (Log!$C:$C=$A22) * (Log!$D:$D=M$4)), "Unknown"), "")</f>
        <v>0.121264</v>
      </c>
      <c r="N22" s="106" cm="1">
        <f t="array" ref="N22">IF($A22&lt;&gt;"", IFERROR(_xlfn._xlws.FILTER(Log!$G:$G, (Log!$A:$A="Daily") * (Log!$C:$C=$A22) * (Log!$D:$D=N$4)), "Unknown"), "")</f>
        <v>9.0599100000000002E-2</v>
      </c>
      <c r="O22" s="106" cm="1">
        <f t="array" ref="O22">IF($A22&lt;&gt;"", IFERROR(_xlfn._xlws.FILTER(Log!$G:$G, (Log!$A:$A="Daily") * (Log!$C:$C=$A22) * (Log!$D:$D=O$4)), "Unknown"), "")</f>
        <v>6.8542400000000003E-2</v>
      </c>
      <c r="P22" s="106" cm="1">
        <f t="array" ref="P22">IF($A22&lt;&gt;"", IFERROR(_xlfn._xlws.FILTER(Log!$G:$G, (Log!$A:$A="Daily") * (Log!$C:$C=$A22) * (Log!$D:$D=P$4)), "Unknown"), "")</f>
        <v>0.11930399999999999</v>
      </c>
      <c r="Q22" s="106" cm="1">
        <f t="array" ref="Q22">IF($A22&lt;&gt;"", IFERROR(_xlfn._xlws.FILTER(Log!$G:$G, (Log!$A:$A="Daily") * (Log!$C:$C=$A22) * (Log!$D:$D=Q$4)), "Unknown"), "")</f>
        <v>0.100879</v>
      </c>
      <c r="R22" s="106" cm="1">
        <f t="array" ref="R22">IF($A22&lt;&gt;"", IFERROR(_xlfn._xlws.FILTER(Log!$G:$G, (Log!$A:$A="Daily") * (Log!$C:$C=$A22) * (Log!$D:$D=R$4)), "Unknown"), "")</f>
        <v>9.7245799999999993E-2</v>
      </c>
      <c r="S22" s="106" cm="1">
        <f t="array" ref="S22">IF($A22&lt;&gt;"", IFERROR(_xlfn._xlws.FILTER(Log!$G:$G, (Log!$A:$A="Daily") * (Log!$C:$C=$A22) * (Log!$D:$D=S$4)), "Unknown"), "")</f>
        <v>7.7229000000000006E-2</v>
      </c>
      <c r="T22" s="106" cm="1">
        <f t="array" ref="T22">IF($A22&lt;&gt;"", IFERROR(_xlfn._xlws.FILTER(Log!$G:$G, (Log!$A:$A="Daily") * (Log!$C:$C=$A22) * (Log!$D:$D=T$4)), "Unknown"), "")</f>
        <v>7.9971700000000007E-2</v>
      </c>
      <c r="U22" s="229" t="str" cm="1">
        <f t="array" ref="U22">_xlfn._xlws.FILTER('Daily WE'!F:F, ('Daily WE'!$B:$B="n/a") * ('Daily WE'!$C:$C ='Daily IE'!$A22))</f>
        <v>H</v>
      </c>
      <c r="V22" s="230" cm="1">
        <f t="array" ref="V22">_xlfn._xlws.FILTER('Daily WE'!G:G, ('Daily WE'!$B:$B="n/a") * ('Daily WE'!$C:$C ='Daily IE'!$A22))</f>
        <v>1000</v>
      </c>
      <c r="W22" s="226">
        <f t="shared" si="7"/>
        <v>1.292333295027474</v>
      </c>
      <c r="X22" s="226">
        <f t="shared" si="8"/>
        <v>1.1413762869704749</v>
      </c>
      <c r="Y22" s="226">
        <f t="shared" si="9"/>
        <v>1.1089652736102422</v>
      </c>
      <c r="Z22" s="226">
        <f t="shared" si="10"/>
        <v>0.96525445731237591</v>
      </c>
      <c r="AA22" s="226">
        <f t="shared" si="11"/>
        <v>0.73430523811347903</v>
      </c>
      <c r="AB22" s="226">
        <f t="shared" si="12"/>
        <v>1.0795442453958486</v>
      </c>
      <c r="AC22" s="226">
        <f t="shared" si="13"/>
        <v>1.1214040374375935</v>
      </c>
      <c r="AD22" s="226">
        <f t="shared" si="14"/>
        <v>0.8609199364973974</v>
      </c>
      <c r="AE22" s="226">
        <f t="shared" si="15"/>
        <v>0.9328317393839568</v>
      </c>
      <c r="AF22" s="226">
        <f t="shared" si="16"/>
        <v>0.96080033709156387</v>
      </c>
      <c r="AG22" s="226">
        <f t="shared" si="17"/>
        <v>1.2903115968861594</v>
      </c>
      <c r="AH22" s="226">
        <f t="shared" si="18"/>
        <v>0.96402122144617397</v>
      </c>
      <c r="AI22" s="226">
        <f t="shared" si="19"/>
        <v>0.72932654042757861</v>
      </c>
      <c r="AJ22" s="226">
        <f t="shared" si="20"/>
        <v>1.2694561844810195</v>
      </c>
      <c r="AK22" s="226">
        <f t="shared" si="21"/>
        <v>1.0734046673561721</v>
      </c>
      <c r="AL22" s="226">
        <f t="shared" si="22"/>
        <v>1.0347455426876242</v>
      </c>
      <c r="AM22" s="226">
        <f t="shared" si="23"/>
        <v>0.82175645134517428</v>
      </c>
      <c r="AN22" s="226">
        <f t="shared" si="24"/>
        <v>0.85094019604087678</v>
      </c>
      <c r="AO22" s="227"/>
    </row>
    <row r="23" spans="1:41" x14ac:dyDescent="0.25">
      <c r="A23" s="215">
        <v>46251</v>
      </c>
      <c r="B23" s="222">
        <f t="shared" si="6"/>
        <v>9.6876199999999996E-2</v>
      </c>
      <c r="C23" s="106" cm="1">
        <f t="array" ref="C23">IF($A23&lt;&gt;"", IFERROR(_xlfn._xlws.FILTER(Log!$G:$G, (Log!$A:$A="Daily") * (Log!$B:$B="n/a") * (Log!$C:$C=$A23) * (Log!$D:$D=C$4)), "Unknown"), "")</f>
        <v>0.11214499999999999</v>
      </c>
      <c r="D23" s="106" cm="1">
        <f t="array" ref="D23">IF($A23&lt;&gt;"", IFERROR(_xlfn._xlws.FILTER(Log!$G:$G, (Log!$A:$A="Daily") * (Log!$B:$B="n/a") * (Log!$C:$C=$A23) * (Log!$D:$D=D$4)), "Unknown"), "")</f>
        <v>9.5325900000000005E-2</v>
      </c>
      <c r="E23" s="106" cm="1">
        <f t="array" ref="E23">IF($A23&lt;&gt;"", IFERROR(_xlfn._xlws.FILTER(Log!$G:$G, (Log!$A:$A="Daily") * (Log!$B:$B="n/a") * (Log!$C:$C=$A23) * (Log!$D:$D=E$4)), "Unknown"), "")</f>
        <v>0.114796</v>
      </c>
      <c r="F23" s="106" cm="1">
        <f t="array" ref="F23">IF($A23&lt;&gt;"", IFERROR(_xlfn._xlws.FILTER(Log!$G:$G, (Log!$A:$A="Daily") * (Log!$B:$B="n/a") * (Log!$C:$C=$A23) * (Log!$D:$D=F$4)), "Unknown"), "")</f>
        <v>0.104508</v>
      </c>
      <c r="G23" s="106" cm="1">
        <f t="array" ref="G23">IF($A23&lt;&gt;"", IFERROR(_xlfn._xlws.FILTER(Log!$G:$G, (Log!$A:$A="Daily") * (Log!$B:$B="n/a") * (Log!$C:$C=$A23) * (Log!$D:$D=G$4)), "Unknown"), "")</f>
        <v>8.4469199999999994E-2</v>
      </c>
      <c r="H23" s="106" cm="1">
        <f t="array" ref="H23">IF($A23&lt;&gt;"", IFERROR(_xlfn._xlws.FILTER(Log!$G:$G, (Log!$A:$A="Daily") * (Log!$B:$B="n/a") * (Log!$C:$C=$A23) * (Log!$D:$D=H$4)), "Unknown"), "")</f>
        <v>0.11239</v>
      </c>
      <c r="I23" s="106" cm="1">
        <f t="array" ref="I23">IF($A23&lt;&gt;"", IFERROR(_xlfn._xlws.FILTER(Log!$G:$G, (Log!$A:$A="Daily") * (Log!$B:$B="n/a") * (Log!$C:$C=$A23) * (Log!$D:$D=I$4)), "Unknown"), "")</f>
        <v>0.108448</v>
      </c>
      <c r="J23" s="106" cm="1">
        <f t="array" ref="J23">IF($A23&lt;&gt;"", IFERROR(_xlfn._xlws.FILTER(Log!$G:$G, (Log!$A:$A="Daily") * (Log!$B:$B="n/a") * (Log!$C:$C=$A23) * (Log!$D:$D=J$4)), "Unknown"), "")</f>
        <v>8.7974200000000002E-2</v>
      </c>
      <c r="K23" s="106" cm="1">
        <f t="array" ref="K23">IF($A23&lt;&gt;"", IFERROR(_xlfn._xlws.FILTER(Log!$G:$G, (Log!$A:$A="Daily") * (Log!$B:$B="n/a") * (Log!$C:$C=$A23) * (Log!$D:$D=K$4)), "Unknown"), "")</f>
        <v>9.5040399999999997E-2</v>
      </c>
      <c r="L23" s="106" cm="1">
        <f t="array" ref="L23">IF($A23&lt;&gt;"", IFERROR(_xlfn._xlws.FILTER(Log!$G:$G, (Log!$A:$A="Daily") * (Log!$B:$B="n/a") * (Log!$C:$C=$A23) * (Log!$D:$D=L$4)), "Unknown"), "")</f>
        <v>9.3296199999999996E-2</v>
      </c>
      <c r="M23" s="106" cm="1">
        <f t="array" ref="M23">IF($A23&lt;&gt;"", IFERROR(_xlfn._xlws.FILTER(Log!$G:$G, (Log!$A:$A="Daily") * (Log!$B:$B="n/a") * (Log!$C:$C=$A23) * (Log!$D:$D=M$4)), "Unknown"), "")</f>
        <v>0.116948</v>
      </c>
      <c r="N23" s="106" cm="1">
        <f t="array" ref="N23">IF($A23&lt;&gt;"", IFERROR(_xlfn._xlws.FILTER(Log!$G:$G, (Log!$A:$A="Daily") * (Log!$B:$B="n/a") * (Log!$C:$C=$A23) * (Log!$D:$D=N$4)), "Unknown"), "")</f>
        <v>9.7337800000000002E-2</v>
      </c>
      <c r="O23" s="106" cm="1">
        <f t="array" ref="O23">IF($A23&lt;&gt;"", IFERROR(_xlfn._xlws.FILTER(Log!$G:$G, (Log!$A:$A="Daily") * (Log!$B:$B="n/a") * (Log!$C:$C=$A23) * (Log!$D:$D=O$4)), "Unknown"), "")</f>
        <v>9.3941499999999997E-2</v>
      </c>
      <c r="P23" s="106" cm="1">
        <f t="array" ref="P23">IF($A23&lt;&gt;"", IFERROR(_xlfn._xlws.FILTER(Log!$G:$G, (Log!$A:$A="Daily") * (Log!$B:$B="n/a") * (Log!$C:$C=$A23) * (Log!$D:$D=P$4)), "Unknown"), "")</f>
        <v>9.2274499999999995E-2</v>
      </c>
      <c r="Q23" s="106" cm="1">
        <f t="array" ref="Q23">IF($A23&lt;&gt;"", IFERROR(_xlfn._xlws.FILTER(Log!$G:$G, (Log!$A:$A="Daily") * (Log!$B:$B="n/a") * (Log!$C:$C=$A23) * (Log!$D:$D=Q$4)), "Unknown"), "")</f>
        <v>0.13004399999999999</v>
      </c>
      <c r="R23" s="106" cm="1">
        <f t="array" ref="R23">IF($A23&lt;&gt;"", IFERROR(_xlfn._xlws.FILTER(Log!$G:$G, (Log!$A:$A="Daily") * (Log!$B:$B="n/a") * (Log!$C:$C=$A23) * (Log!$D:$D=R$4)), "Unknown"), "")</f>
        <v>9.6414600000000003E-2</v>
      </c>
      <c r="S23" s="106" cm="1">
        <f t="array" ref="S23">IF($A23&lt;&gt;"", IFERROR(_xlfn._xlws.FILTER(Log!$G:$G, (Log!$A:$A="Daily") * (Log!$B:$B="n/a") * (Log!$C:$C=$A23) * (Log!$D:$D=S$4)), "Unknown"), "")</f>
        <v>6.8599099999999996E-2</v>
      </c>
      <c r="T23" s="106" cm="1">
        <f t="array" ref="T23">IF($A23&lt;&gt;"", IFERROR(_xlfn._xlws.FILTER(Log!$G:$G, (Log!$A:$A="Daily") * (Log!$B:$B="n/a") * (Log!$C:$C=$A23) * (Log!$D:$D=T$4)), "Unknown"), "")</f>
        <v>0.12032900000000001</v>
      </c>
      <c r="U23" s="229" t="str" cm="1">
        <f t="array" ref="U23">_xlfn._xlws.FILTER('Daily WE'!F:F, ('Daily WE'!$B:$B="n/a") * ('Daily WE'!$C:$C ='Daily IE'!$A23))</f>
        <v>I</v>
      </c>
      <c r="V23" s="230" cm="1">
        <f t="array" ref="V23">_xlfn._xlws.FILTER('Daily WE'!G:G, ('Daily WE'!$B:$B="n/a") * ('Daily WE'!$C:$C ='Daily IE'!$A23))</f>
        <v>1000</v>
      </c>
      <c r="W23" s="226">
        <f t="shared" ref="W23" si="25">IF(ISBLANK($A23), "", IF(ISNUMBER(C23), C23/$B23, "Unknown"))</f>
        <v>1.1576114670063442</v>
      </c>
      <c r="X23" s="226">
        <f t="shared" ref="X23" si="26">IF(ISBLANK($A23), "", IF(ISNUMBER(D23), D23/$B23, "Unknown"))</f>
        <v>0.98399710145525954</v>
      </c>
      <c r="Y23" s="226">
        <f t="shared" ref="Y23" si="27">IF(ISBLANK($A23), "", IF(ISNUMBER(E23), E23/$B23, "Unknown"))</f>
        <v>1.1849762893259645</v>
      </c>
      <c r="Z23" s="226">
        <f t="shared" ref="Z23" si="28">IF(ISBLANK($A23), "", IF(ISNUMBER(F23), F23/$B23, "Unknown"))</f>
        <v>1.0787788951259443</v>
      </c>
      <c r="AA23" s="226">
        <f t="shared" ref="AA23" si="29">IF(ISBLANK($A23), "", IF(ISNUMBER(G23), G23/$B23, "Unknown"))</f>
        <v>0.87192932835928738</v>
      </c>
      <c r="AB23" s="226">
        <f t="shared" ref="AB23" si="30">IF(ISBLANK($A23), "", IF(ISNUMBER(H23), H23/$B23, "Unknown"))</f>
        <v>1.1601404679374294</v>
      </c>
      <c r="AC23" s="226">
        <f t="shared" ref="AC23" si="31">IF(ISBLANK($A23), "", IF(ISNUMBER(I23), I23/$B23, "Unknown"))</f>
        <v>1.119449359078907</v>
      </c>
      <c r="AD23" s="226">
        <f t="shared" ref="AD23" si="32">IF(ISBLANK($A23), "", IF(ISNUMBER(J23), J23/$B23, "Unknown"))</f>
        <v>0.90810952535297629</v>
      </c>
      <c r="AE23" s="226">
        <f t="shared" ref="AE23" si="33">IF(ISBLANK($A23), "", IF(ISNUMBER(K23), K23/$B23, "Unknown"))</f>
        <v>0.98105004118658656</v>
      </c>
      <c r="AF23" s="226">
        <f t="shared" ref="AF23" si="34">IF(ISBLANK($A23), "", IF(ISNUMBER(L23), L23/$B23, "Unknown"))</f>
        <v>0.96304561904781572</v>
      </c>
      <c r="AG23" s="226">
        <f t="shared" ref="AG23" si="35">IF(ISBLANK($A23), "", IF(ISNUMBER(M23), M23/$B23, "Unknown"))</f>
        <v>1.2071902077083949</v>
      </c>
      <c r="AH23" s="226">
        <f t="shared" ref="AH23" si="36">IF(ISBLANK($A23), "", IF(ISNUMBER(N23), N23/$B23, "Unknown"))</f>
        <v>1.0047648442032202</v>
      </c>
      <c r="AI23" s="226">
        <f t="shared" ref="AI23" si="37">IF(ISBLANK($A23), "", IF(ISNUMBER(O23), O23/$B23, "Unknown"))</f>
        <v>0.96970669782671082</v>
      </c>
      <c r="AJ23" s="226">
        <f t="shared" ref="AJ23" si="38">IF(ISBLANK($A23), "", IF(ISNUMBER(P23), P23/$B23, "Unknown"))</f>
        <v>0.95249916904255116</v>
      </c>
      <c r="AK23" s="226">
        <f t="shared" ref="AK23" si="39">IF(ISBLANK($A23), "", IF(ISNUMBER(Q23), Q23/$B23, "Unknown"))</f>
        <v>1.3423730493144859</v>
      </c>
      <c r="AL23" s="226">
        <f t="shared" ref="AL23" si="40">IF(ISBLANK($A23), "", IF(ISNUMBER(R23), R23/$B23, "Unknown"))</f>
        <v>0.9952351557967799</v>
      </c>
      <c r="AM23" s="226">
        <f t="shared" ref="AM23" si="41">IF(ISBLANK($A23), "", IF(ISNUMBER(S23), S23/$B23, "Unknown"))</f>
        <v>0.70811097049636551</v>
      </c>
      <c r="AN23" s="226">
        <f t="shared" ref="AN23" si="42">IF(ISBLANK($A23), "", IF(ISNUMBER(T23), T23/$B23, "Unknown"))</f>
        <v>1.2420904205573713</v>
      </c>
    </row>
    <row r="24" spans="1:41" x14ac:dyDescent="0.25">
      <c r="A24" s="215">
        <v>46252</v>
      </c>
      <c r="B24" s="222">
        <f t="shared" si="6"/>
        <v>0.11287549999999999</v>
      </c>
      <c r="C24" s="106" cm="1">
        <f t="array" ref="C24">IF($A24&lt;&gt;"", IFERROR(_xlfn._xlws.FILTER(Log!$G:$G, (Log!$A:$A="Daily") * (Log!$B:$B="n/a") * (Log!$C:$C=$A24) * (Log!$D:$D=C$4)), "Unknown"), "")</f>
        <v>0.116243</v>
      </c>
      <c r="D24" s="106" cm="1">
        <f t="array" ref="D24">IF($A24&lt;&gt;"", IFERROR(_xlfn._xlws.FILTER(Log!$G:$G, (Log!$A:$A="Daily") * (Log!$B:$B="n/a") * (Log!$C:$C=$A24) * (Log!$D:$D=D$4)), "Unknown"), "")</f>
        <v>0.114894</v>
      </c>
      <c r="E24" s="106" cm="1">
        <f t="array" ref="E24">IF($A24&lt;&gt;"", IFERROR(_xlfn._xlws.FILTER(Log!$G:$G, (Log!$A:$A="Daily") * (Log!$B:$B="n/a") * (Log!$C:$C=$A24) * (Log!$D:$D=E$4)), "Unknown"), "")</f>
        <v>0.12031799999999999</v>
      </c>
      <c r="F24" s="106" cm="1">
        <f t="array" ref="F24">IF($A24&lt;&gt;"", IFERROR(_xlfn._xlws.FILTER(Log!$G:$G, (Log!$A:$A="Daily") * (Log!$B:$B="n/a") * (Log!$C:$C=$A24) * (Log!$D:$D=F$4)), "Unknown"), "")</f>
        <v>0.12797800000000001</v>
      </c>
      <c r="G24" s="106" cm="1">
        <f t="array" ref="G24">IF($A24&lt;&gt;"", IFERROR(_xlfn._xlws.FILTER(Log!$G:$G, (Log!$A:$A="Daily") * (Log!$B:$B="n/a") * (Log!$C:$C=$A24) * (Log!$D:$D=G$4)), "Unknown"), "")</f>
        <v>8.7530300000000005E-2</v>
      </c>
      <c r="H24" s="106" cm="1">
        <f t="array" ref="H24">IF($A24&lt;&gt;"", IFERROR(_xlfn._xlws.FILTER(Log!$G:$G, (Log!$A:$A="Daily") * (Log!$B:$B="n/a") * (Log!$C:$C=$A24) * (Log!$D:$D=H$4)), "Unknown"), "")</f>
        <v>0.11608300000000001</v>
      </c>
      <c r="I24" s="106" cm="1">
        <f t="array" ref="I24">IF($A24&lt;&gt;"", IFERROR(_xlfn._xlws.FILTER(Log!$G:$G, (Log!$A:$A="Daily") * (Log!$B:$B="n/a") * (Log!$C:$C=$A24) * (Log!$D:$D=I$4)), "Unknown"), "")</f>
        <v>0.13243199999999999</v>
      </c>
      <c r="J24" s="106" cm="1">
        <f t="array" ref="J24">IF($A24&lt;&gt;"", IFERROR(_xlfn._xlws.FILTER(Log!$G:$G, (Log!$A:$A="Daily") * (Log!$B:$B="n/a") * (Log!$C:$C=$A24) * (Log!$D:$D=J$4)), "Unknown"), "")</f>
        <v>7.0449899999999996E-2</v>
      </c>
      <c r="K24" s="106" cm="1">
        <f t="array" ref="K24">IF($A24&lt;&gt;"", IFERROR(_xlfn._xlws.FILTER(Log!$G:$G, (Log!$A:$A="Daily") * (Log!$B:$B="n/a") * (Log!$C:$C=$A24) * (Log!$D:$D=K$4)), "Unknown"), "")</f>
        <v>9.5622499999999999E-2</v>
      </c>
      <c r="L24" s="106" cm="1">
        <f t="array" ref="L24">IF($A24&lt;&gt;"", IFERROR(_xlfn._xlws.FILTER(Log!$G:$G, (Log!$A:$A="Daily") * (Log!$B:$B="n/a") * (Log!$C:$C=$A24) * (Log!$D:$D=L$4)), "Unknown"), "")</f>
        <v>9.45627E-2</v>
      </c>
      <c r="M24" s="106" cm="1">
        <f t="array" ref="M24">IF($A24&lt;&gt;"", IFERROR(_xlfn._xlws.FILTER(Log!$G:$G, (Log!$A:$A="Daily") * (Log!$B:$B="n/a") * (Log!$C:$C=$A24) * (Log!$D:$D=M$4)), "Unknown"), "")</f>
        <v>0.135014</v>
      </c>
      <c r="N24" s="106" cm="1">
        <f t="array" ref="N24">IF($A24&lt;&gt;"", IFERROR(_xlfn._xlws.FILTER(Log!$G:$G, (Log!$A:$A="Daily") * (Log!$B:$B="n/a") * (Log!$C:$C=$A24) * (Log!$D:$D=N$4)), "Unknown"), "")</f>
        <v>9.1429200000000002E-2</v>
      </c>
      <c r="O24" s="106" cm="1">
        <f t="array" ref="O24">IF($A24&lt;&gt;"", IFERROR(_xlfn._xlws.FILTER(Log!$G:$G, (Log!$A:$A="Daily") * (Log!$B:$B="n/a") * (Log!$C:$C=$A24) * (Log!$D:$D=O$4)), "Unknown"), "")</f>
        <v>8.6167999999999995E-2</v>
      </c>
      <c r="P24" s="106" cm="1">
        <f t="array" ref="P24">IF($A24&lt;&gt;"", IFERROR(_xlfn._xlws.FILTER(Log!$G:$G, (Log!$A:$A="Daily") * (Log!$B:$B="n/a") * (Log!$C:$C=$A24) * (Log!$D:$D=P$4)), "Unknown"), "")</f>
        <v>8.7048399999999998E-2</v>
      </c>
      <c r="Q24" s="106" cm="1">
        <f t="array" ref="Q24">IF($A24&lt;&gt;"", IFERROR(_xlfn._xlws.FILTER(Log!$G:$G, (Log!$A:$A="Daily") * (Log!$B:$B="n/a") * (Log!$C:$C=$A24) * (Log!$D:$D=Q$4)), "Unknown"), "")</f>
        <v>0.110857</v>
      </c>
      <c r="R24" s="106" cm="1">
        <f t="array" ref="R24">IF($A24&lt;&gt;"", IFERROR(_xlfn._xlws.FILTER(Log!$G:$G, (Log!$A:$A="Daily") * (Log!$B:$B="n/a") * (Log!$C:$C=$A24) * (Log!$D:$D=R$4)), "Unknown"), "")</f>
        <v>0.121682</v>
      </c>
      <c r="S24" s="106" cm="1">
        <f t="array" ref="S24">IF($A24&lt;&gt;"", IFERROR(_xlfn._xlws.FILTER(Log!$G:$G, (Log!$A:$A="Daily") * (Log!$B:$B="n/a") * (Log!$C:$C=$A24) * (Log!$D:$D=S$4)), "Unknown"), "")</f>
        <v>8.5094100000000006E-2</v>
      </c>
      <c r="T24" s="106" cm="1">
        <f t="array" ref="T24">IF($A24&lt;&gt;"", IFERROR(_xlfn._xlws.FILTER(Log!$G:$G, (Log!$A:$A="Daily") * (Log!$B:$B="n/a") * (Log!$C:$C=$A24) * (Log!$D:$D=T$4)), "Unknown"), "")</f>
        <v>0.13900999999999999</v>
      </c>
      <c r="U24" s="229" t="str" cm="1">
        <f t="array" ref="U24">_xlfn._xlws.FILTER('Daily WE'!F:F, ('Daily WE'!$B:$B="n/a") * ('Daily WE'!$C:$C ='Daily IE'!$A24))</f>
        <v>I</v>
      </c>
      <c r="V24" s="230" cm="1">
        <f t="array" ref="V24">_xlfn._xlws.FILTER('Daily WE'!G:G, ('Daily WE'!$B:$B="n/a") * ('Daily WE'!$C:$C ='Daily IE'!$A24))</f>
        <v>1000</v>
      </c>
      <c r="W24" s="226">
        <f t="shared" ref="W24:W49" si="43">IF(ISBLANK($A24), "", IF(ISNUMBER(C24), C24/$B24, "Unknown"))</f>
        <v>1.0298337548892365</v>
      </c>
      <c r="X24" s="226">
        <f t="shared" ref="X24:X49" si="44">IF(ISBLANK($A24), "", IF(ISNUMBER(D24), D24/$B24, "Unknown"))</f>
        <v>1.0178825342966367</v>
      </c>
      <c r="Y24" s="226">
        <f t="shared" ref="Y24:Y49" si="45">IF(ISBLANK($A24), "", IF(ISNUMBER(E24), E24/$B24, "Unknown"))</f>
        <v>1.0659354775837095</v>
      </c>
      <c r="Z24" s="226">
        <f t="shared" ref="Z24:Z49" si="46">IF(ISBLANK($A24), "", IF(ISNUMBER(F24), F24/$B24, "Unknown"))</f>
        <v>1.1337978569308664</v>
      </c>
      <c r="AA24" s="226">
        <f t="shared" ref="AA24:AA49" si="47">IF(ISBLANK($A24), "", IF(ISNUMBER(G24), G24/$B24, "Unknown"))</f>
        <v>0.77545880195436578</v>
      </c>
      <c r="AB24" s="226">
        <f t="shared" ref="AB24:AB49" si="48">IF(ISBLANK($A24), "", IF(ISNUMBER(H24), H24/$B24, "Unknown"))</f>
        <v>1.0284162639368155</v>
      </c>
      <c r="AC24" s="226">
        <f t="shared" ref="AC24:AC49" si="49">IF(ISBLANK($A24), "", IF(ISNUMBER(I24), I24/$B24, "Unknown"))</f>
        <v>1.1732572613188867</v>
      </c>
      <c r="AD24" s="226">
        <f t="shared" ref="AD24:AD49" si="50">IF(ISBLANK($A24), "", IF(ISNUMBER(J24), J24/$B24, "Unknown"))</f>
        <v>0.62413809905603967</v>
      </c>
      <c r="AE24" s="226">
        <f t="shared" ref="AE24:AE49" si="51">IF(ISBLANK($A24), "", IF(ISNUMBER(K24), K24/$B24, "Unknown"))</f>
        <v>0.8471501787367498</v>
      </c>
      <c r="AF24" s="226">
        <f t="shared" ref="AF24:AF49" si="52">IF(ISBLANK($A24), "", IF(ISNUMBER(L24), L24/$B24, "Unknown"))</f>
        <v>0.83776107304065106</v>
      </c>
      <c r="AG24" s="226">
        <f t="shared" ref="AG24:AG49" si="53">IF(ISBLANK($A24), "", IF(ISNUMBER(M24), M24/$B24, "Unknown"))</f>
        <v>1.1961320215635811</v>
      </c>
      <c r="AH24" s="226">
        <f t="shared" ref="AH24:AH49" si="54">IF(ISBLANK($A24), "", IF(ISNUMBER(N24), N24/$B24, "Unknown"))</f>
        <v>0.81000039866933049</v>
      </c>
      <c r="AI24" s="226">
        <f t="shared" ref="AI24:AI49" si="55">IF(ISBLANK($A24), "", IF(ISNUMBER(O24), O24/$B24, "Unknown"))</f>
        <v>0.76338975242634588</v>
      </c>
      <c r="AJ24" s="226">
        <f t="shared" ref="AJ24:AJ49" si="56">IF(ISBLANK($A24), "", IF(ISNUMBER(P24), P24/$B24, "Unknown"))</f>
        <v>0.77118949639204259</v>
      </c>
      <c r="AK24" s="226">
        <f t="shared" ref="AK24:AK49" si="57">IF(ISBLANK($A24), "", IF(ISNUMBER(Q24), Q24/$B24, "Unknown"))</f>
        <v>0.98211746570336356</v>
      </c>
      <c r="AL24" s="226">
        <f t="shared" ref="AL24:AL49" si="58">IF(ISBLANK($A24), "", IF(ISNUMBER(R24), R24/$B24, "Unknown"))</f>
        <v>1.0780195879530989</v>
      </c>
      <c r="AM24" s="226">
        <f t="shared" ref="AM24:AM49" si="59">IF(ISBLANK($A24), "", IF(ISNUMBER(S24), S24/$B24, "Unknown"))</f>
        <v>0.75387573034006505</v>
      </c>
      <c r="AN24" s="226">
        <f t="shared" ref="AN24:AN49" si="60">IF(ISBLANK($A24), "", IF(ISNUMBER(T24), T24/$B24, "Unknown"))</f>
        <v>1.2315338581002964</v>
      </c>
    </row>
    <row r="25" spans="1:41" x14ac:dyDescent="0.25">
      <c r="A25" s="215">
        <v>46253</v>
      </c>
      <c r="B25" s="222">
        <f t="shared" si="6"/>
        <v>0.12506349999999999</v>
      </c>
      <c r="C25" s="106" cm="1">
        <f t="array" ref="C25">IF($A25&lt;&gt;"", IFERROR(_xlfn._xlws.FILTER(Log!$G:$G, (Log!$A:$A="Daily") * (Log!$B:$B="n/a") * (Log!$C:$C=$A25) * (Log!$D:$D=C$4)), "Unknown"), "")</f>
        <v>8.9035699999999995E-2</v>
      </c>
      <c r="D25" s="106" cm="1">
        <f t="array" ref="D25">IF($A25&lt;&gt;"", IFERROR(_xlfn._xlws.FILTER(Log!$G:$G, (Log!$A:$A="Daily") * (Log!$B:$B="n/a") * (Log!$C:$C=$A25) * (Log!$D:$D=D$4)), "Unknown"), "")</f>
        <v>0.144426</v>
      </c>
      <c r="E25" s="106" cm="1">
        <f t="array" ref="E25">IF($A25&lt;&gt;"", IFERROR(_xlfn._xlws.FILTER(Log!$G:$G, (Log!$A:$A="Daily") * (Log!$B:$B="n/a") * (Log!$C:$C=$A25) * (Log!$D:$D=E$4)), "Unknown"), "")</f>
        <v>0.14702699999999999</v>
      </c>
      <c r="F25" s="106" cm="1">
        <f t="array" ref="F25">IF($A25&lt;&gt;"", IFERROR(_xlfn._xlws.FILTER(Log!$G:$G, (Log!$A:$A="Daily") * (Log!$B:$B="n/a") * (Log!$C:$C=$A25) * (Log!$D:$D=F$4)), "Unknown"), "")</f>
        <v>0.16939599999999999</v>
      </c>
      <c r="G25" s="106" cm="1">
        <f t="array" ref="G25">IF($A25&lt;&gt;"", IFERROR(_xlfn._xlws.FILTER(Log!$G:$G, (Log!$A:$A="Daily") * (Log!$B:$B="n/a") * (Log!$C:$C=$A25) * (Log!$D:$D=G$4)), "Unknown"), "")</f>
        <v>0.13553999999999999</v>
      </c>
      <c r="H25" s="106" cm="1">
        <f t="array" ref="H25">IF($A25&lt;&gt;"", IFERROR(_xlfn._xlws.FILTER(Log!$G:$G, (Log!$A:$A="Daily") * (Log!$B:$B="n/a") * (Log!$C:$C=$A25) * (Log!$D:$D=H$4)), "Unknown"), "")</f>
        <v>0.143265</v>
      </c>
      <c r="I25" s="106" cm="1">
        <f t="array" ref="I25">IF($A25&lt;&gt;"", IFERROR(_xlfn._xlws.FILTER(Log!$G:$G, (Log!$A:$A="Daily") * (Log!$B:$B="n/a") * (Log!$C:$C=$A25) * (Log!$D:$D=I$4)), "Unknown"), "")</f>
        <v>0.16206999999999999</v>
      </c>
      <c r="J25" s="106" cm="1">
        <f t="array" ref="J25">IF($A25&lt;&gt;"", IFERROR(_xlfn._xlws.FILTER(Log!$G:$G, (Log!$A:$A="Daily") * (Log!$B:$B="n/a") * (Log!$C:$C=$A25) * (Log!$D:$D=J$4)), "Unknown"), "")</f>
        <v>0.11058999999999999</v>
      </c>
      <c r="K25" s="106" cm="1">
        <f t="array" ref="K25">IF($A25&lt;&gt;"", IFERROR(_xlfn._xlws.FILTER(Log!$G:$G, (Log!$A:$A="Daily") * (Log!$B:$B="n/a") * (Log!$C:$C=$A25) * (Log!$D:$D=K$4)), "Unknown"), "")</f>
        <v>9.7254199999999999E-2</v>
      </c>
      <c r="L25" s="106" cm="1">
        <f t="array" ref="L25">IF($A25&lt;&gt;"", IFERROR(_xlfn._xlws.FILTER(Log!$G:$G, (Log!$A:$A="Daily") * (Log!$B:$B="n/a") * (Log!$C:$C=$A25) * (Log!$D:$D=L$4)), "Unknown"), "")</f>
        <v>0.11839</v>
      </c>
      <c r="M25" s="106" cm="1">
        <f t="array" ref="M25">IF($A25&lt;&gt;"", IFERROR(_xlfn._xlws.FILTER(Log!$G:$G, (Log!$A:$A="Daily") * (Log!$B:$B="n/a") * (Log!$C:$C=$A25) * (Log!$D:$D=M$4)), "Unknown"), "")</f>
        <v>8.3699099999999999E-2</v>
      </c>
      <c r="N25" s="106" cm="1">
        <f t="array" ref="N25">IF($A25&lt;&gt;"", IFERROR(_xlfn._xlws.FILTER(Log!$G:$G, (Log!$A:$A="Daily") * (Log!$B:$B="n/a") * (Log!$C:$C=$A25) * (Log!$D:$D=N$4)), "Unknown"), "")</f>
        <v>0.10334599999999999</v>
      </c>
      <c r="O25" s="106" cm="1">
        <f t="array" ref="O25">IF($A25&lt;&gt;"", IFERROR(_xlfn._xlws.FILTER(Log!$G:$G, (Log!$A:$A="Daily") * (Log!$B:$B="n/a") * (Log!$C:$C=$A25) * (Log!$D:$D=O$4)), "Unknown"), "")</f>
        <v>8.9939000000000005E-2</v>
      </c>
      <c r="P25" s="106" cm="1">
        <f t="array" ref="P25">IF($A25&lt;&gt;"", IFERROR(_xlfn._xlws.FILTER(Log!$G:$G, (Log!$A:$A="Daily") * (Log!$B:$B="n/a") * (Log!$C:$C=$A25) * (Log!$D:$D=P$4)), "Unknown"), "")</f>
        <v>8.3743399999999996E-2</v>
      </c>
      <c r="Q25" s="106" cm="1">
        <f t="array" ref="Q25">IF($A25&lt;&gt;"", IFERROR(_xlfn._xlws.FILTER(Log!$G:$G, (Log!$A:$A="Daily") * (Log!$B:$B="n/a") * (Log!$C:$C=$A25) * (Log!$D:$D=Q$4)), "Unknown"), "")</f>
        <v>0.103865</v>
      </c>
      <c r="R25" s="106" cm="1">
        <f t="array" ref="R25">IF($A25&lt;&gt;"", IFERROR(_xlfn._xlws.FILTER(Log!$G:$G, (Log!$A:$A="Daily") * (Log!$B:$B="n/a") * (Log!$C:$C=$A25) * (Log!$D:$D=R$4)), "Unknown"), "")</f>
        <v>0.21911</v>
      </c>
      <c r="S25" s="106" cm="1">
        <f t="array" ref="S25">IF($A25&lt;&gt;"", IFERROR(_xlfn._xlws.FILTER(Log!$G:$G, (Log!$A:$A="Daily") * (Log!$B:$B="n/a") * (Log!$C:$C=$A25) * (Log!$D:$D=S$4)), "Unknown"), "")</f>
        <v>0.13173699999999999</v>
      </c>
      <c r="T25" s="106" cm="1">
        <f t="array" ref="T25">IF($A25&lt;&gt;"", IFERROR(_xlfn._xlws.FILTER(Log!$G:$G, (Log!$A:$A="Daily") * (Log!$B:$B="n/a") * (Log!$C:$C=$A25) * (Log!$D:$D=T$4)), "Unknown"), "")</f>
        <v>0.17069999999999999</v>
      </c>
      <c r="U25" s="229" t="str" cm="1">
        <f t="array" ref="U25">_xlfn._xlws.FILTER('Daily WE'!F:F, ('Daily WE'!$B:$B="n/a") * ('Daily WE'!$C:$C ='Daily IE'!$A25))</f>
        <v>D</v>
      </c>
      <c r="V25" s="230" cm="1">
        <f t="array" ref="V25">_xlfn._xlws.FILTER('Daily WE'!G:G, ('Daily WE'!$B:$B="n/a") * ('Daily WE'!$C:$C ='Daily IE'!$A25))</f>
        <v>1000</v>
      </c>
      <c r="W25" s="226">
        <f t="shared" si="43"/>
        <v>0.71192394263714032</v>
      </c>
      <c r="X25" s="226">
        <f t="shared" si="44"/>
        <v>1.1548213507538172</v>
      </c>
      <c r="Y25" s="226">
        <f t="shared" si="45"/>
        <v>1.1756187856568863</v>
      </c>
      <c r="Z25" s="226">
        <f t="shared" si="46"/>
        <v>1.354479924198507</v>
      </c>
      <c r="AA25" s="226">
        <f t="shared" si="47"/>
        <v>1.083769445121878</v>
      </c>
      <c r="AB25" s="226">
        <f t="shared" si="48"/>
        <v>1.1455380666621358</v>
      </c>
      <c r="AC25" s="226">
        <f t="shared" si="49"/>
        <v>1.2959016819455715</v>
      </c>
      <c r="AD25" s="226">
        <f t="shared" si="50"/>
        <v>0.88427079043845724</v>
      </c>
      <c r="AE25" s="226">
        <f t="shared" si="51"/>
        <v>0.77763855961171724</v>
      </c>
      <c r="AF25" s="226">
        <f t="shared" si="52"/>
        <v>0.94663910733347456</v>
      </c>
      <c r="AG25" s="226">
        <f t="shared" si="53"/>
        <v>0.6692528195676597</v>
      </c>
      <c r="AH25" s="226">
        <f t="shared" si="54"/>
        <v>0.82634821510672574</v>
      </c>
      <c r="AI25" s="226">
        <f t="shared" si="55"/>
        <v>0.71914667348986727</v>
      </c>
      <c r="AJ25" s="226">
        <f t="shared" si="56"/>
        <v>0.66960703962387103</v>
      </c>
      <c r="AK25" s="226">
        <f t="shared" si="57"/>
        <v>0.83049810696166348</v>
      </c>
      <c r="AL25" s="226">
        <f t="shared" si="58"/>
        <v>1.7519899890855446</v>
      </c>
      <c r="AM25" s="226">
        <f t="shared" si="59"/>
        <v>1.0533608926665254</v>
      </c>
      <c r="AN25" s="226">
        <f t="shared" si="60"/>
        <v>1.364906627433264</v>
      </c>
    </row>
    <row r="26" spans="1:41" x14ac:dyDescent="0.25">
      <c r="A26" s="215">
        <v>46254</v>
      </c>
      <c r="B26" s="222">
        <f t="shared" si="6"/>
        <v>0.10490250000000001</v>
      </c>
      <c r="C26" s="106" cm="1">
        <f t="array" ref="C26">IF($A26&lt;&gt;"", IFERROR(_xlfn._xlws.FILTER(Log!$G:$G, (Log!$A:$A="Daily") * (Log!$B:$B="n/a") * (Log!$C:$C=$A26) * (Log!$D:$D=C$4)), "Unknown"), "")</f>
        <v>9.47881E-2</v>
      </c>
      <c r="D26" s="106" cm="1">
        <f t="array" ref="D26">IF($A26&lt;&gt;"", IFERROR(_xlfn._xlws.FILTER(Log!$G:$G, (Log!$A:$A="Daily") * (Log!$B:$B="n/a") * (Log!$C:$C=$A26) * (Log!$D:$D=D$4)), "Unknown"), "")</f>
        <v>0.111508</v>
      </c>
      <c r="E26" s="106" cm="1">
        <f t="array" ref="E26">IF($A26&lt;&gt;"", IFERROR(_xlfn._xlws.FILTER(Log!$G:$G, (Log!$A:$A="Daily") * (Log!$B:$B="n/a") * (Log!$C:$C=$A26) * (Log!$D:$D=E$4)), "Unknown"), "")</f>
        <v>0.13175400000000001</v>
      </c>
      <c r="F26" s="106" cm="1">
        <f t="array" ref="F26">IF($A26&lt;&gt;"", IFERROR(_xlfn._xlws.FILTER(Log!$G:$G, (Log!$A:$A="Daily") * (Log!$B:$B="n/a") * (Log!$C:$C=$A26) * (Log!$D:$D=F$4)), "Unknown"), "")</f>
        <v>0.119186</v>
      </c>
      <c r="G26" s="106" cm="1">
        <f t="array" ref="G26">IF($A26&lt;&gt;"", IFERROR(_xlfn._xlws.FILTER(Log!$G:$G, (Log!$A:$A="Daily") * (Log!$B:$B="n/a") * (Log!$C:$C=$A26) * (Log!$D:$D=G$4)), "Unknown"), "")</f>
        <v>8.6050100000000004E-2</v>
      </c>
      <c r="H26" s="106" cm="1">
        <f t="array" ref="H26">IF($A26&lt;&gt;"", IFERROR(_xlfn._xlws.FILTER(Log!$G:$G, (Log!$A:$A="Daily") * (Log!$B:$B="n/a") * (Log!$C:$C=$A26) * (Log!$D:$D=H$4)), "Unknown"), "")</f>
        <v>0.119339</v>
      </c>
      <c r="I26" s="106" cm="1">
        <f t="array" ref="I26">IF($A26&lt;&gt;"", IFERROR(_xlfn._xlws.FILTER(Log!$G:$G, (Log!$A:$A="Daily") * (Log!$B:$B="n/a") * (Log!$C:$C=$A26) * (Log!$D:$D=I$4)), "Unknown"), "")</f>
        <v>0.12601200000000001</v>
      </c>
      <c r="J26" s="106" cm="1">
        <f t="array" ref="J26">IF($A26&lt;&gt;"", IFERROR(_xlfn._xlws.FILTER(Log!$G:$G, (Log!$A:$A="Daily") * (Log!$B:$B="n/a") * (Log!$C:$C=$A26) * (Log!$D:$D=J$4)), "Unknown"), "")</f>
        <v>0.111093</v>
      </c>
      <c r="K26" s="106" cm="1">
        <f t="array" ref="K26">IF($A26&lt;&gt;"", IFERROR(_xlfn._xlws.FILTER(Log!$G:$G, (Log!$A:$A="Daily") * (Log!$B:$B="n/a") * (Log!$C:$C=$A26) * (Log!$D:$D=K$4)), "Unknown"), "")</f>
        <v>0.100517</v>
      </c>
      <c r="L26" s="106" cm="1">
        <f t="array" ref="L26">IF($A26&lt;&gt;"", IFERROR(_xlfn._xlws.FILTER(Log!$G:$G, (Log!$A:$A="Daily") * (Log!$B:$B="n/a") * (Log!$C:$C=$A26) * (Log!$D:$D=L$4)), "Unknown"), "")</f>
        <v>9.3672500000000006E-2</v>
      </c>
      <c r="M26" s="106" cm="1">
        <f t="array" ref="M26">IF($A26&lt;&gt;"", IFERROR(_xlfn._xlws.FILTER(Log!$G:$G, (Log!$A:$A="Daily") * (Log!$B:$B="n/a") * (Log!$C:$C=$A26) * (Log!$D:$D=M$4)), "Unknown"), "")</f>
        <v>0.127884</v>
      </c>
      <c r="N26" s="106" cm="1">
        <f t="array" ref="N26">IF($A26&lt;&gt;"", IFERROR(_xlfn._xlws.FILTER(Log!$G:$G, (Log!$A:$A="Daily") * (Log!$B:$B="n/a") * (Log!$C:$C=$A26) * (Log!$D:$D=N$4)), "Unknown"), "")</f>
        <v>9.0604199999999996E-2</v>
      </c>
      <c r="O26" s="106" cm="1">
        <f t="array" ref="O26">IF($A26&lt;&gt;"", IFERROR(_xlfn._xlws.FILTER(Log!$G:$G, (Log!$A:$A="Daily") * (Log!$B:$B="n/a") * (Log!$C:$C=$A26) * (Log!$D:$D=O$4)), "Unknown"), "")</f>
        <v>0.107061</v>
      </c>
      <c r="P26" s="106" cm="1">
        <f t="array" ref="P26">IF($A26&lt;&gt;"", IFERROR(_xlfn._xlws.FILTER(Log!$G:$G, (Log!$A:$A="Daily") * (Log!$B:$B="n/a") * (Log!$C:$C=$A26) * (Log!$D:$D=P$4)), "Unknown"), "")</f>
        <v>8.6382500000000001E-2</v>
      </c>
      <c r="Q26" s="106" cm="1">
        <f t="array" ref="Q26">IF($A26&lt;&gt;"", IFERROR(_xlfn._xlws.FILTER(Log!$G:$G, (Log!$A:$A="Daily") * (Log!$B:$B="n/a") * (Log!$C:$C=$A26) * (Log!$D:$D=Q$4)), "Unknown"), "")</f>
        <v>0.13422300000000001</v>
      </c>
      <c r="R26" s="106" cm="1">
        <f t="array" ref="R26">IF($A26&lt;&gt;"", IFERROR(_xlfn._xlws.FILTER(Log!$G:$G, (Log!$A:$A="Daily") * (Log!$B:$B="n/a") * (Log!$C:$C=$A26) * (Log!$D:$D=R$4)), "Unknown"), "")</f>
        <v>9.4141199999999994E-2</v>
      </c>
      <c r="S26" s="106" cm="1">
        <f t="array" ref="S26">IF($A26&lt;&gt;"", IFERROR(_xlfn._xlws.FILTER(Log!$G:$G, (Log!$A:$A="Daily") * (Log!$B:$B="n/a") * (Log!$C:$C=$A26) * (Log!$D:$D=S$4)), "Unknown"), "")</f>
        <v>7.6168700000000006E-2</v>
      </c>
      <c r="T26" s="106" cm="1">
        <f t="array" ref="T26">IF($A26&lt;&gt;"", IFERROR(_xlfn._xlws.FILTER(Log!$G:$G, (Log!$A:$A="Daily") * (Log!$B:$B="n/a") * (Log!$C:$C=$A26) * (Log!$D:$D=T$4)), "Unknown"), "")</f>
        <v>0.102744</v>
      </c>
      <c r="U26" s="229" t="str" cm="1">
        <f t="array" ref="U26">_xlfn._xlws.FILTER('Daily WE'!F:F, ('Daily WE'!$B:$B="n/a") * ('Daily WE'!$C:$C ='Daily IE'!$A26))</f>
        <v>H</v>
      </c>
      <c r="V26" s="230" cm="1">
        <f t="array" ref="V26">_xlfn._xlws.FILTER('Daily WE'!G:G, ('Daily WE'!$B:$B="n/a") * ('Daily WE'!$C:$C ='Daily IE'!$A26))</f>
        <v>1000</v>
      </c>
      <c r="W26" s="226">
        <f t="shared" si="43"/>
        <v>0.90358285074235589</v>
      </c>
      <c r="X26" s="226">
        <f t="shared" si="44"/>
        <v>1.0629679940897498</v>
      </c>
      <c r="Y26" s="226">
        <f t="shared" si="45"/>
        <v>1.2559662543790662</v>
      </c>
      <c r="Z26" s="226">
        <f t="shared" si="46"/>
        <v>1.1361597674030646</v>
      </c>
      <c r="AA26" s="226">
        <f t="shared" si="47"/>
        <v>0.82028645647148535</v>
      </c>
      <c r="AB26" s="226">
        <f t="shared" si="48"/>
        <v>1.1376182645790138</v>
      </c>
      <c r="AC26" s="226">
        <f t="shared" si="49"/>
        <v>1.2012297133052119</v>
      </c>
      <c r="AD26" s="226">
        <f t="shared" si="50"/>
        <v>1.059011939658254</v>
      </c>
      <c r="AE26" s="226">
        <f t="shared" si="51"/>
        <v>0.9581945139534328</v>
      </c>
      <c r="AF26" s="226">
        <f t="shared" si="52"/>
        <v>0.89294821381759248</v>
      </c>
      <c r="AG26" s="226">
        <f t="shared" si="53"/>
        <v>1.2190748552227066</v>
      </c>
      <c r="AH26" s="226">
        <f t="shared" si="54"/>
        <v>0.86369914920998059</v>
      </c>
      <c r="AI26" s="226">
        <f t="shared" si="55"/>
        <v>1.020576249374419</v>
      </c>
      <c r="AJ26" s="226">
        <f t="shared" si="56"/>
        <v>0.82345511308119435</v>
      </c>
      <c r="AK26" s="226">
        <f t="shared" si="57"/>
        <v>1.2795023950811468</v>
      </c>
      <c r="AL26" s="226">
        <f t="shared" si="58"/>
        <v>0.89741617215986258</v>
      </c>
      <c r="AM26" s="226">
        <f t="shared" si="59"/>
        <v>0.72609041729224755</v>
      </c>
      <c r="AN26" s="226">
        <f t="shared" si="60"/>
        <v>0.97942375062558085</v>
      </c>
    </row>
    <row r="27" spans="1:41" x14ac:dyDescent="0.25">
      <c r="A27" s="215">
        <v>46255</v>
      </c>
      <c r="B27" s="222">
        <f t="shared" si="6"/>
        <v>0.104806</v>
      </c>
      <c r="C27" s="106" cm="1">
        <f t="array" ref="C27">IF($A27&lt;&gt;"", IFERROR(_xlfn._xlws.FILTER(Log!$G:$G, (Log!$A:$A="Daily") * (Log!$B:$B="n/a") * (Log!$C:$C=$A27) * (Log!$D:$D=C$4)), "Unknown"), "")</f>
        <v>0.108658</v>
      </c>
      <c r="D27" s="106" cm="1">
        <f t="array" ref="D27">IF($A27&lt;&gt;"", IFERROR(_xlfn._xlws.FILTER(Log!$G:$G, (Log!$A:$A="Daily") * (Log!$B:$B="n/a") * (Log!$C:$C=$A27) * (Log!$D:$D=D$4)), "Unknown"), "")</f>
        <v>0.110641</v>
      </c>
      <c r="E27" s="106" cm="1">
        <f t="array" ref="E27">IF($A27&lt;&gt;"", IFERROR(_xlfn._xlws.FILTER(Log!$G:$G, (Log!$A:$A="Daily") * (Log!$B:$B="n/a") * (Log!$C:$C=$A27) * (Log!$D:$D=E$4)), "Unknown"), "")</f>
        <v>0.127246</v>
      </c>
      <c r="F27" s="106" cm="1">
        <f t="array" ref="F27">IF($A27&lt;&gt;"", IFERROR(_xlfn._xlws.FILTER(Log!$G:$G, (Log!$A:$A="Daily") * (Log!$B:$B="n/a") * (Log!$C:$C=$A27) * (Log!$D:$D=F$4)), "Unknown"), "")</f>
        <v>0.110322</v>
      </c>
      <c r="G27" s="106" cm="1">
        <f t="array" ref="G27">IF($A27&lt;&gt;"", IFERROR(_xlfn._xlws.FILTER(Log!$G:$G, (Log!$A:$A="Daily") * (Log!$B:$B="n/a") * (Log!$C:$C=$A27) * (Log!$D:$D=G$4)), "Unknown"), "")</f>
        <v>7.68263E-2</v>
      </c>
      <c r="H27" s="106" cm="1">
        <f t="array" ref="H27">IF($A27&lt;&gt;"", IFERROR(_xlfn._xlws.FILTER(Log!$G:$G, (Log!$A:$A="Daily") * (Log!$B:$B="n/a") * (Log!$C:$C=$A27) * (Log!$D:$D=H$4)), "Unknown"), "")</f>
        <v>0.104654</v>
      </c>
      <c r="I27" s="106" cm="1">
        <f t="array" ref="I27">IF($A27&lt;&gt;"", IFERROR(_xlfn._xlws.FILTER(Log!$G:$G, (Log!$A:$A="Daily") * (Log!$B:$B="n/a") * (Log!$C:$C=$A27) * (Log!$D:$D=I$4)), "Unknown"), "")</f>
        <v>0.104958</v>
      </c>
      <c r="J27" s="106" cm="1">
        <f t="array" ref="J27">IF($A27&lt;&gt;"", IFERROR(_xlfn._xlws.FILTER(Log!$G:$G, (Log!$A:$A="Daily") * (Log!$B:$B="n/a") * (Log!$C:$C=$A27) * (Log!$D:$D=J$4)), "Unknown"), "")</f>
        <v>8.1655400000000003E-2</v>
      </c>
      <c r="K27" s="106" cm="1">
        <f t="array" ref="K27">IF($A27&lt;&gt;"", IFERROR(_xlfn._xlws.FILTER(Log!$G:$G, (Log!$A:$A="Daily") * (Log!$B:$B="n/a") * (Log!$C:$C=$A27) * (Log!$D:$D=K$4)), "Unknown"), "")</f>
        <v>9.6756599999999998E-2</v>
      </c>
      <c r="L27" s="106" cm="1">
        <f t="array" ref="L27">IF($A27&lt;&gt;"", IFERROR(_xlfn._xlws.FILTER(Log!$G:$G, (Log!$A:$A="Daily") * (Log!$B:$B="n/a") * (Log!$C:$C=$A27) * (Log!$D:$D=L$4)), "Unknown"), "")</f>
        <v>9.8345600000000005E-2</v>
      </c>
      <c r="M27" s="106" cm="1">
        <f t="array" ref="M27">IF($A27&lt;&gt;"", IFERROR(_xlfn._xlws.FILTER(Log!$G:$G, (Log!$A:$A="Daily") * (Log!$B:$B="n/a") * (Log!$C:$C=$A27) * (Log!$D:$D=M$4)), "Unknown"), "")</f>
        <v>0.14977499999999999</v>
      </c>
      <c r="N27" s="106" cm="1">
        <f t="array" ref="N27">IF($A27&lt;&gt;"", IFERROR(_xlfn._xlws.FILTER(Log!$G:$G, (Log!$A:$A="Daily") * (Log!$B:$B="n/a") * (Log!$C:$C=$A27) * (Log!$D:$D=N$4)), "Unknown"), "")</f>
        <v>0.108616</v>
      </c>
      <c r="O27" s="106" cm="1">
        <f t="array" ref="O27">IF($A27&lt;&gt;"", IFERROR(_xlfn._xlws.FILTER(Log!$G:$G, (Log!$A:$A="Daily") * (Log!$B:$B="n/a") * (Log!$C:$C=$A27) * (Log!$D:$D=O$4)), "Unknown"), "")</f>
        <v>6.2629799999999999E-2</v>
      </c>
      <c r="P27" s="106" cm="1">
        <f t="array" ref="P27">IF($A27&lt;&gt;"", IFERROR(_xlfn._xlws.FILTER(Log!$G:$G, (Log!$A:$A="Daily") * (Log!$B:$B="n/a") * (Log!$C:$C=$A27) * (Log!$D:$D=P$4)), "Unknown"), "")</f>
        <v>0.106111</v>
      </c>
      <c r="Q27" s="106" cm="1">
        <f t="array" ref="Q27">IF($A27&lt;&gt;"", IFERROR(_xlfn._xlws.FILTER(Log!$G:$G, (Log!$A:$A="Daily") * (Log!$B:$B="n/a") * (Log!$C:$C=$A27) * (Log!$D:$D=Q$4)), "Unknown"), "")</f>
        <v>0.11781</v>
      </c>
      <c r="R27" s="106" cm="1">
        <f t="array" ref="R27">IF($A27&lt;&gt;"", IFERROR(_xlfn._xlws.FILTER(Log!$G:$G, (Log!$A:$A="Daily") * (Log!$B:$B="n/a") * (Log!$C:$C=$A27) * (Log!$D:$D=R$4)), "Unknown"), "")</f>
        <v>0.10198699999999999</v>
      </c>
      <c r="S27" s="106" cm="1">
        <f t="array" ref="S27">IF($A27&lt;&gt;"", IFERROR(_xlfn._xlws.FILTER(Log!$G:$G, (Log!$A:$A="Daily") * (Log!$B:$B="n/a") * (Log!$C:$C=$A27) * (Log!$D:$D=S$4)), "Unknown"), "")</f>
        <v>8.6207000000000006E-2</v>
      </c>
      <c r="T27" s="106" cm="1">
        <f t="array" ref="T27">IF($A27&lt;&gt;"", IFERROR(_xlfn._xlws.FILTER(Log!$G:$G, (Log!$A:$A="Daily") * (Log!$B:$B="n/a") * (Log!$C:$C=$A27) * (Log!$D:$D=T$4)), "Unknown"), "")</f>
        <v>9.3972299999999995E-2</v>
      </c>
      <c r="U27" s="229" t="str" cm="1">
        <f t="array" ref="U27">_xlfn._xlws.FILTER('Daily WE'!F:F, ('Daily WE'!$B:$B="n/a") * ('Daily WE'!$C:$C ='Daily IE'!$A27))</f>
        <v>H</v>
      </c>
      <c r="V27" s="230" cm="1">
        <f t="array" ref="V27">_xlfn._xlws.FILTER('Daily WE'!G:G, ('Daily WE'!$B:$B="n/a") * ('Daily WE'!$C:$C ='Daily IE'!$A27))</f>
        <v>1000</v>
      </c>
      <c r="W27" s="226">
        <f t="shared" si="43"/>
        <v>1.0367536209758985</v>
      </c>
      <c r="X27" s="226">
        <f t="shared" si="44"/>
        <v>1.0556742934564816</v>
      </c>
      <c r="Y27" s="226">
        <f t="shared" si="45"/>
        <v>1.214109879205389</v>
      </c>
      <c r="Z27" s="226">
        <f t="shared" si="46"/>
        <v>1.0526305745854245</v>
      </c>
      <c r="AA27" s="226">
        <f t="shared" si="47"/>
        <v>0.73303341411751233</v>
      </c>
      <c r="AB27" s="226">
        <f t="shared" si="48"/>
        <v>0.99854970135297594</v>
      </c>
      <c r="AC27" s="226">
        <f t="shared" si="49"/>
        <v>1.001450298647024</v>
      </c>
      <c r="AD27" s="226">
        <f t="shared" si="50"/>
        <v>0.77910997461977372</v>
      </c>
      <c r="AE27" s="226">
        <f t="shared" si="51"/>
        <v>0.92319714520161056</v>
      </c>
      <c r="AF27" s="226">
        <f t="shared" si="52"/>
        <v>0.93835849092609214</v>
      </c>
      <c r="AG27" s="226">
        <f t="shared" si="53"/>
        <v>1.4290689464343644</v>
      </c>
      <c r="AH27" s="226">
        <f t="shared" si="54"/>
        <v>1.0363528805602733</v>
      </c>
      <c r="AI27" s="226">
        <f t="shared" si="55"/>
        <v>0.5975783829170086</v>
      </c>
      <c r="AJ27" s="226">
        <f t="shared" si="56"/>
        <v>1.0124515771997786</v>
      </c>
      <c r="AK27" s="226">
        <f t="shared" si="57"/>
        <v>1.1240768658282922</v>
      </c>
      <c r="AL27" s="226">
        <f t="shared" si="58"/>
        <v>0.97310268496078467</v>
      </c>
      <c r="AM27" s="226">
        <f t="shared" si="59"/>
        <v>0.82253878594736951</v>
      </c>
      <c r="AN27" s="226">
        <f t="shared" si="60"/>
        <v>0.89663091807720929</v>
      </c>
    </row>
    <row r="28" spans="1:41" x14ac:dyDescent="0.25">
      <c r="B28" s="222" t="str">
        <f t="shared" si="6"/>
        <v/>
      </c>
      <c r="C28" s="106" t="str" cm="1">
        <f t="array" ref="C28">IF($A28&lt;&gt;"", IFERROR(_xlfn._xlws.FILTER(Log!$G:$G, (Log!$A:$A="Daily") * (Log!$B:$B="n/a") * (Log!$C:$C=$A28) * (Log!$D:$D=C$4)), "Unknown"), "")</f>
        <v/>
      </c>
      <c r="D28" s="106" t="str" cm="1">
        <f t="array" ref="D28">IF($A28&lt;&gt;"", IFERROR(_xlfn._xlws.FILTER(Log!$G:$G, (Log!$A:$A="Daily") * (Log!$B:$B="n/a") * (Log!$C:$C=$A28) * (Log!$D:$D=D$4)), "Unknown"), "")</f>
        <v/>
      </c>
      <c r="E28" s="106" t="str" cm="1">
        <f t="array" ref="E28">IF($A28&lt;&gt;"", IFERROR(_xlfn._xlws.FILTER(Log!$G:$G, (Log!$A:$A="Daily") * (Log!$B:$B="n/a") * (Log!$C:$C=$A28) * (Log!$D:$D=E$4)), "Unknown"), "")</f>
        <v/>
      </c>
      <c r="F28" s="106" t="str" cm="1">
        <f t="array" ref="F28">IF($A28&lt;&gt;"", IFERROR(_xlfn._xlws.FILTER(Log!$G:$G, (Log!$A:$A="Daily") * (Log!$B:$B="n/a") * (Log!$C:$C=$A28) * (Log!$D:$D=F$4)), "Unknown"), "")</f>
        <v/>
      </c>
      <c r="G28" s="106" t="str" cm="1">
        <f t="array" ref="G28">IF($A28&lt;&gt;"", IFERROR(_xlfn._xlws.FILTER(Log!$G:$G, (Log!$A:$A="Daily") * (Log!$B:$B="n/a") * (Log!$C:$C=$A28) * (Log!$D:$D=G$4)), "Unknown"), "")</f>
        <v/>
      </c>
      <c r="H28" s="106" t="str" cm="1">
        <f t="array" ref="H28">IF($A28&lt;&gt;"", IFERROR(_xlfn._xlws.FILTER(Log!$G:$G, (Log!$A:$A="Daily") * (Log!$B:$B="n/a") * (Log!$C:$C=$A28) * (Log!$D:$D=H$4)), "Unknown"), "")</f>
        <v/>
      </c>
      <c r="I28" s="106" t="str" cm="1">
        <f t="array" ref="I28">IF($A28&lt;&gt;"", IFERROR(_xlfn._xlws.FILTER(Log!$G:$G, (Log!$A:$A="Daily") * (Log!$B:$B="n/a") * (Log!$C:$C=$A28) * (Log!$D:$D=I$4)), "Unknown"), "")</f>
        <v/>
      </c>
      <c r="J28" s="106" t="str" cm="1">
        <f t="array" ref="J28">IF($A28&lt;&gt;"", IFERROR(_xlfn._xlws.FILTER(Log!$G:$G, (Log!$A:$A="Daily") * (Log!$B:$B="n/a") * (Log!$C:$C=$A28) * (Log!$D:$D=J$4)), "Unknown"), "")</f>
        <v/>
      </c>
      <c r="K28" s="106" t="str" cm="1">
        <f t="array" ref="K28">IF($A28&lt;&gt;"", IFERROR(_xlfn._xlws.FILTER(Log!$G:$G, (Log!$A:$A="Daily") * (Log!$B:$B="n/a") * (Log!$C:$C=$A28) * (Log!$D:$D=K$4)), "Unknown"), "")</f>
        <v/>
      </c>
      <c r="L28" s="106" t="str" cm="1">
        <f t="array" ref="L28">IF($A28&lt;&gt;"", IFERROR(_xlfn._xlws.FILTER(Log!$G:$G, (Log!$A:$A="Daily") * (Log!$B:$B="n/a") * (Log!$C:$C=$A28) * (Log!$D:$D=L$4)), "Unknown"), "")</f>
        <v/>
      </c>
      <c r="M28" s="106" t="str" cm="1">
        <f t="array" ref="M28">IF($A28&lt;&gt;"", IFERROR(_xlfn._xlws.FILTER(Log!$G:$G, (Log!$A:$A="Daily") * (Log!$B:$B="n/a") * (Log!$C:$C=$A28) * (Log!$D:$D=M$4)), "Unknown"), "")</f>
        <v/>
      </c>
      <c r="N28" s="106" t="str" cm="1">
        <f t="array" ref="N28">IF($A28&lt;&gt;"", IFERROR(_xlfn._xlws.FILTER(Log!$G:$G, (Log!$A:$A="Daily") * (Log!$B:$B="n/a") * (Log!$C:$C=$A28) * (Log!$D:$D=N$4)), "Unknown"), "")</f>
        <v/>
      </c>
      <c r="O28" s="106" t="str" cm="1">
        <f t="array" ref="O28">IF($A28&lt;&gt;"", IFERROR(_xlfn._xlws.FILTER(Log!$G:$G, (Log!$A:$A="Daily") * (Log!$B:$B="n/a") * (Log!$C:$C=$A28) * (Log!$D:$D=O$4)), "Unknown"), "")</f>
        <v/>
      </c>
      <c r="P28" s="106" t="str" cm="1">
        <f t="array" ref="P28">IF($A28&lt;&gt;"", IFERROR(_xlfn._xlws.FILTER(Log!$G:$G, (Log!$A:$A="Daily") * (Log!$B:$B="n/a") * (Log!$C:$C=$A28) * (Log!$D:$D=P$4)), "Unknown"), "")</f>
        <v/>
      </c>
      <c r="Q28" s="106" t="str" cm="1">
        <f t="array" ref="Q28">IF($A28&lt;&gt;"", IFERROR(_xlfn._xlws.FILTER(Log!$G:$G, (Log!$A:$A="Daily") * (Log!$B:$B="n/a") * (Log!$C:$C=$A28) * (Log!$D:$D=Q$4)), "Unknown"), "")</f>
        <v/>
      </c>
      <c r="R28" s="106" t="str" cm="1">
        <f t="array" ref="R28">IF($A28&lt;&gt;"", IFERROR(_xlfn._xlws.FILTER(Log!$G:$G, (Log!$A:$A="Daily") * (Log!$B:$B="n/a") * (Log!$C:$C=$A28) * (Log!$D:$D=R$4)), "Unknown"), "")</f>
        <v/>
      </c>
      <c r="S28" s="106" t="str" cm="1">
        <f t="array" ref="S28">IF($A28&lt;&gt;"", IFERROR(_xlfn._xlws.FILTER(Log!$G:$G, (Log!$A:$A="Daily") * (Log!$B:$B="n/a") * (Log!$C:$C=$A28) * (Log!$D:$D=S$4)), "Unknown"), "")</f>
        <v/>
      </c>
      <c r="T28" s="106" t="str" cm="1">
        <f t="array" ref="T28">IF($A28&lt;&gt;"", IFERROR(_xlfn._xlws.FILTER(Log!$G:$G, (Log!$A:$A="Daily") * (Log!$B:$B="n/a") * (Log!$C:$C=$A28) * (Log!$D:$D=T$4)), "Unknown"), "")</f>
        <v/>
      </c>
      <c r="W28" s="226" t="str">
        <f t="shared" si="43"/>
        <v/>
      </c>
      <c r="X28" s="226" t="str">
        <f t="shared" si="44"/>
        <v/>
      </c>
      <c r="Y28" s="226" t="str">
        <f t="shared" si="45"/>
        <v/>
      </c>
      <c r="Z28" s="226" t="str">
        <f t="shared" si="46"/>
        <v/>
      </c>
      <c r="AA28" s="226" t="str">
        <f t="shared" si="47"/>
        <v/>
      </c>
      <c r="AB28" s="226" t="str">
        <f t="shared" si="48"/>
        <v/>
      </c>
      <c r="AC28" s="226" t="str">
        <f t="shared" si="49"/>
        <v/>
      </c>
      <c r="AD28" s="226" t="str">
        <f t="shared" si="50"/>
        <v/>
      </c>
      <c r="AE28" s="226" t="str">
        <f t="shared" si="51"/>
        <v/>
      </c>
      <c r="AF28" s="226" t="str">
        <f t="shared" si="52"/>
        <v/>
      </c>
      <c r="AG28" s="226" t="str">
        <f t="shared" si="53"/>
        <v/>
      </c>
      <c r="AH28" s="226" t="str">
        <f t="shared" si="54"/>
        <v/>
      </c>
      <c r="AI28" s="226" t="str">
        <f t="shared" si="55"/>
        <v/>
      </c>
      <c r="AJ28" s="226" t="str">
        <f t="shared" si="56"/>
        <v/>
      </c>
      <c r="AK28" s="226" t="str">
        <f t="shared" si="57"/>
        <v/>
      </c>
      <c r="AL28" s="226" t="str">
        <f t="shared" si="58"/>
        <v/>
      </c>
      <c r="AM28" s="226" t="str">
        <f t="shared" si="59"/>
        <v/>
      </c>
      <c r="AN28" s="226" t="str">
        <f t="shared" si="60"/>
        <v/>
      </c>
    </row>
    <row r="29" spans="1:41" x14ac:dyDescent="0.25">
      <c r="B29" s="222" t="str">
        <f t="shared" si="6"/>
        <v/>
      </c>
      <c r="C29" s="106" t="str" cm="1">
        <f t="array" ref="C29">IF($A29&lt;&gt;"", IFERROR(_xlfn._xlws.FILTER(Log!$G:$G, (Log!$A:$A="Daily") * (Log!$B:$B="n/a") * (Log!$C:$C=$A29) * (Log!$D:$D=C$4)), "Unknown"), "")</f>
        <v/>
      </c>
      <c r="D29" s="106" t="str" cm="1">
        <f t="array" ref="D29">IF($A29&lt;&gt;"", IFERROR(_xlfn._xlws.FILTER(Log!$G:$G, (Log!$A:$A="Daily") * (Log!$B:$B="n/a") * (Log!$C:$C=$A29) * (Log!$D:$D=D$4)), "Unknown"), "")</f>
        <v/>
      </c>
      <c r="E29" s="106" t="str" cm="1">
        <f t="array" ref="E29">IF($A29&lt;&gt;"", IFERROR(_xlfn._xlws.FILTER(Log!$G:$G, (Log!$A:$A="Daily") * (Log!$B:$B="n/a") * (Log!$C:$C=$A29) * (Log!$D:$D=E$4)), "Unknown"), "")</f>
        <v/>
      </c>
      <c r="F29" s="106" t="str" cm="1">
        <f t="array" ref="F29">IF($A29&lt;&gt;"", IFERROR(_xlfn._xlws.FILTER(Log!$G:$G, (Log!$A:$A="Daily") * (Log!$B:$B="n/a") * (Log!$C:$C=$A29) * (Log!$D:$D=F$4)), "Unknown"), "")</f>
        <v/>
      </c>
      <c r="G29" s="106" t="str" cm="1">
        <f t="array" ref="G29">IF($A29&lt;&gt;"", IFERROR(_xlfn._xlws.FILTER(Log!$G:$G, (Log!$A:$A="Daily") * (Log!$B:$B="n/a") * (Log!$C:$C=$A29) * (Log!$D:$D=G$4)), "Unknown"), "")</f>
        <v/>
      </c>
      <c r="H29" s="106" t="str" cm="1">
        <f t="array" ref="H29">IF($A29&lt;&gt;"", IFERROR(_xlfn._xlws.FILTER(Log!$G:$G, (Log!$A:$A="Daily") * (Log!$B:$B="n/a") * (Log!$C:$C=$A29) * (Log!$D:$D=H$4)), "Unknown"), "")</f>
        <v/>
      </c>
      <c r="I29" s="106" t="str" cm="1">
        <f t="array" ref="I29">IF($A29&lt;&gt;"", IFERROR(_xlfn._xlws.FILTER(Log!$G:$G, (Log!$A:$A="Daily") * (Log!$B:$B="n/a") * (Log!$C:$C=$A29) * (Log!$D:$D=I$4)), "Unknown"), "")</f>
        <v/>
      </c>
      <c r="J29" s="106" t="str" cm="1">
        <f t="array" ref="J29">IF($A29&lt;&gt;"", IFERROR(_xlfn._xlws.FILTER(Log!$G:$G, (Log!$A:$A="Daily") * (Log!$B:$B="n/a") * (Log!$C:$C=$A29) * (Log!$D:$D=J$4)), "Unknown"), "")</f>
        <v/>
      </c>
      <c r="K29" s="106" t="str" cm="1">
        <f t="array" ref="K29">IF($A29&lt;&gt;"", IFERROR(_xlfn._xlws.FILTER(Log!$G:$G, (Log!$A:$A="Daily") * (Log!$B:$B="n/a") * (Log!$C:$C=$A29) * (Log!$D:$D=K$4)), "Unknown"), "")</f>
        <v/>
      </c>
      <c r="L29" s="106" t="str" cm="1">
        <f t="array" ref="L29">IF($A29&lt;&gt;"", IFERROR(_xlfn._xlws.FILTER(Log!$G:$G, (Log!$A:$A="Daily") * (Log!$B:$B="n/a") * (Log!$C:$C=$A29) * (Log!$D:$D=L$4)), "Unknown"), "")</f>
        <v/>
      </c>
      <c r="M29" s="106" t="str" cm="1">
        <f t="array" ref="M29">IF($A29&lt;&gt;"", IFERROR(_xlfn._xlws.FILTER(Log!$G:$G, (Log!$A:$A="Daily") * (Log!$B:$B="n/a") * (Log!$C:$C=$A29) * (Log!$D:$D=M$4)), "Unknown"), "")</f>
        <v/>
      </c>
      <c r="N29" s="106" t="str" cm="1">
        <f t="array" ref="N29">IF($A29&lt;&gt;"", IFERROR(_xlfn._xlws.FILTER(Log!$G:$G, (Log!$A:$A="Daily") * (Log!$B:$B="n/a") * (Log!$C:$C=$A29) * (Log!$D:$D=N$4)), "Unknown"), "")</f>
        <v/>
      </c>
      <c r="O29" s="106" t="str" cm="1">
        <f t="array" ref="O29">IF($A29&lt;&gt;"", IFERROR(_xlfn._xlws.FILTER(Log!$G:$G, (Log!$A:$A="Daily") * (Log!$B:$B="n/a") * (Log!$C:$C=$A29) * (Log!$D:$D=O$4)), "Unknown"), "")</f>
        <v/>
      </c>
      <c r="P29" s="106" t="str" cm="1">
        <f t="array" ref="P29">IF($A29&lt;&gt;"", IFERROR(_xlfn._xlws.FILTER(Log!$G:$G, (Log!$A:$A="Daily") * (Log!$B:$B="n/a") * (Log!$C:$C=$A29) * (Log!$D:$D=P$4)), "Unknown"), "")</f>
        <v/>
      </c>
      <c r="Q29" s="106" t="str" cm="1">
        <f t="array" ref="Q29">IF($A29&lt;&gt;"", IFERROR(_xlfn._xlws.FILTER(Log!$G:$G, (Log!$A:$A="Daily") * (Log!$B:$B="n/a") * (Log!$C:$C=$A29) * (Log!$D:$D=Q$4)), "Unknown"), "")</f>
        <v/>
      </c>
      <c r="R29" s="106" t="str" cm="1">
        <f t="array" ref="R29">IF($A29&lt;&gt;"", IFERROR(_xlfn._xlws.FILTER(Log!$G:$G, (Log!$A:$A="Daily") * (Log!$B:$B="n/a") * (Log!$C:$C=$A29) * (Log!$D:$D=R$4)), "Unknown"), "")</f>
        <v/>
      </c>
      <c r="S29" s="106" t="str" cm="1">
        <f t="array" ref="S29">IF($A29&lt;&gt;"", IFERROR(_xlfn._xlws.FILTER(Log!$G:$G, (Log!$A:$A="Daily") * (Log!$B:$B="n/a") * (Log!$C:$C=$A29) * (Log!$D:$D=S$4)), "Unknown"), "")</f>
        <v/>
      </c>
      <c r="T29" s="106" t="str" cm="1">
        <f t="array" ref="T29">IF($A29&lt;&gt;"", IFERROR(_xlfn._xlws.FILTER(Log!$G:$G, (Log!$A:$A="Daily") * (Log!$B:$B="n/a") * (Log!$C:$C=$A29) * (Log!$D:$D=T$4)), "Unknown"), "")</f>
        <v/>
      </c>
      <c r="W29" s="226" t="str">
        <f t="shared" si="43"/>
        <v/>
      </c>
      <c r="X29" s="226" t="str">
        <f t="shared" si="44"/>
        <v/>
      </c>
      <c r="Y29" s="226" t="str">
        <f t="shared" si="45"/>
        <v/>
      </c>
      <c r="Z29" s="226" t="str">
        <f t="shared" si="46"/>
        <v/>
      </c>
      <c r="AA29" s="226" t="str">
        <f t="shared" si="47"/>
        <v/>
      </c>
      <c r="AB29" s="226" t="str">
        <f t="shared" si="48"/>
        <v/>
      </c>
      <c r="AC29" s="226" t="str">
        <f t="shared" si="49"/>
        <v/>
      </c>
      <c r="AD29" s="226" t="str">
        <f t="shared" si="50"/>
        <v/>
      </c>
      <c r="AE29" s="226" t="str">
        <f t="shared" si="51"/>
        <v/>
      </c>
      <c r="AF29" s="226" t="str">
        <f t="shared" si="52"/>
        <v/>
      </c>
      <c r="AG29" s="226" t="str">
        <f t="shared" si="53"/>
        <v/>
      </c>
      <c r="AH29" s="226" t="str">
        <f t="shared" si="54"/>
        <v/>
      </c>
      <c r="AI29" s="226" t="str">
        <f t="shared" si="55"/>
        <v/>
      </c>
      <c r="AJ29" s="226" t="str">
        <f t="shared" si="56"/>
        <v/>
      </c>
      <c r="AK29" s="226" t="str">
        <f t="shared" si="57"/>
        <v/>
      </c>
      <c r="AL29" s="226" t="str">
        <f t="shared" si="58"/>
        <v/>
      </c>
      <c r="AM29" s="226" t="str">
        <f t="shared" si="59"/>
        <v/>
      </c>
      <c r="AN29" s="226" t="str">
        <f t="shared" si="60"/>
        <v/>
      </c>
    </row>
    <row r="30" spans="1:41" x14ac:dyDescent="0.25">
      <c r="B30" s="222" t="str">
        <f t="shared" si="6"/>
        <v/>
      </c>
      <c r="C30" s="106" t="str" cm="1">
        <f t="array" ref="C30">IF($A30&lt;&gt;"", IFERROR(_xlfn._xlws.FILTER(Log!$G:$G, (Log!$A:$A="Daily") * (Log!$B:$B="n/a") * (Log!$C:$C=$A30) * (Log!$D:$D=C$4)), "Unknown"), "")</f>
        <v/>
      </c>
      <c r="D30" s="106" t="str" cm="1">
        <f t="array" ref="D30">IF($A30&lt;&gt;"", IFERROR(_xlfn._xlws.FILTER(Log!$G:$G, (Log!$A:$A="Daily") * (Log!$B:$B="n/a") * (Log!$C:$C=$A30) * (Log!$D:$D=D$4)), "Unknown"), "")</f>
        <v/>
      </c>
      <c r="E30" s="106" t="str" cm="1">
        <f t="array" ref="E30">IF($A30&lt;&gt;"", IFERROR(_xlfn._xlws.FILTER(Log!$G:$G, (Log!$A:$A="Daily") * (Log!$B:$B="n/a") * (Log!$C:$C=$A30) * (Log!$D:$D=E$4)), "Unknown"), "")</f>
        <v/>
      </c>
      <c r="F30" s="106" t="str" cm="1">
        <f t="array" ref="F30">IF($A30&lt;&gt;"", IFERROR(_xlfn._xlws.FILTER(Log!$G:$G, (Log!$A:$A="Daily") * (Log!$B:$B="n/a") * (Log!$C:$C=$A30) * (Log!$D:$D=F$4)), "Unknown"), "")</f>
        <v/>
      </c>
      <c r="G30" s="106" t="str" cm="1">
        <f t="array" ref="G30">IF($A30&lt;&gt;"", IFERROR(_xlfn._xlws.FILTER(Log!$G:$G, (Log!$A:$A="Daily") * (Log!$B:$B="n/a") * (Log!$C:$C=$A30) * (Log!$D:$D=G$4)), "Unknown"), "")</f>
        <v/>
      </c>
      <c r="H30" s="106" t="str" cm="1">
        <f t="array" ref="H30">IF($A30&lt;&gt;"", IFERROR(_xlfn._xlws.FILTER(Log!$G:$G, (Log!$A:$A="Daily") * (Log!$B:$B="n/a") * (Log!$C:$C=$A30) * (Log!$D:$D=H$4)), "Unknown"), "")</f>
        <v/>
      </c>
      <c r="I30" s="106" t="str" cm="1">
        <f t="array" ref="I30">IF($A30&lt;&gt;"", IFERROR(_xlfn._xlws.FILTER(Log!$G:$G, (Log!$A:$A="Daily") * (Log!$B:$B="n/a") * (Log!$C:$C=$A30) * (Log!$D:$D=I$4)), "Unknown"), "")</f>
        <v/>
      </c>
      <c r="J30" s="106" t="str" cm="1">
        <f t="array" ref="J30">IF($A30&lt;&gt;"", IFERROR(_xlfn._xlws.FILTER(Log!$G:$G, (Log!$A:$A="Daily") * (Log!$B:$B="n/a") * (Log!$C:$C=$A30) * (Log!$D:$D=J$4)), "Unknown"), "")</f>
        <v/>
      </c>
      <c r="K30" s="106" t="str" cm="1">
        <f t="array" ref="K30">IF($A30&lt;&gt;"", IFERROR(_xlfn._xlws.FILTER(Log!$G:$G, (Log!$A:$A="Daily") * (Log!$B:$B="n/a") * (Log!$C:$C=$A30) * (Log!$D:$D=K$4)), "Unknown"), "")</f>
        <v/>
      </c>
      <c r="L30" s="106" t="str" cm="1">
        <f t="array" ref="L30">IF($A30&lt;&gt;"", IFERROR(_xlfn._xlws.FILTER(Log!$G:$G, (Log!$A:$A="Daily") * (Log!$B:$B="n/a") * (Log!$C:$C=$A30) * (Log!$D:$D=L$4)), "Unknown"), "")</f>
        <v/>
      </c>
      <c r="M30" s="106" t="str" cm="1">
        <f t="array" ref="M30">IF($A30&lt;&gt;"", IFERROR(_xlfn._xlws.FILTER(Log!$G:$G, (Log!$A:$A="Daily") * (Log!$B:$B="n/a") * (Log!$C:$C=$A30) * (Log!$D:$D=M$4)), "Unknown"), "")</f>
        <v/>
      </c>
      <c r="N30" s="106" t="str" cm="1">
        <f t="array" ref="N30">IF($A30&lt;&gt;"", IFERROR(_xlfn._xlws.FILTER(Log!$G:$G, (Log!$A:$A="Daily") * (Log!$B:$B="n/a") * (Log!$C:$C=$A30) * (Log!$D:$D=N$4)), "Unknown"), "")</f>
        <v/>
      </c>
      <c r="O30" s="106" t="str" cm="1">
        <f t="array" ref="O30">IF($A30&lt;&gt;"", IFERROR(_xlfn._xlws.FILTER(Log!$G:$G, (Log!$A:$A="Daily") * (Log!$B:$B="n/a") * (Log!$C:$C=$A30) * (Log!$D:$D=O$4)), "Unknown"), "")</f>
        <v/>
      </c>
      <c r="P30" s="106" t="str" cm="1">
        <f t="array" ref="P30">IF($A30&lt;&gt;"", IFERROR(_xlfn._xlws.FILTER(Log!$G:$G, (Log!$A:$A="Daily") * (Log!$B:$B="n/a") * (Log!$C:$C=$A30) * (Log!$D:$D=P$4)), "Unknown"), "")</f>
        <v/>
      </c>
      <c r="Q30" s="106" t="str" cm="1">
        <f t="array" ref="Q30">IF($A30&lt;&gt;"", IFERROR(_xlfn._xlws.FILTER(Log!$G:$G, (Log!$A:$A="Daily") * (Log!$B:$B="n/a") * (Log!$C:$C=$A30) * (Log!$D:$D=Q$4)), "Unknown"), "")</f>
        <v/>
      </c>
      <c r="R30" s="106" t="str" cm="1">
        <f t="array" ref="R30">IF($A30&lt;&gt;"", IFERROR(_xlfn._xlws.FILTER(Log!$G:$G, (Log!$A:$A="Daily") * (Log!$B:$B="n/a") * (Log!$C:$C=$A30) * (Log!$D:$D=R$4)), "Unknown"), "")</f>
        <v/>
      </c>
      <c r="S30" s="106" t="str" cm="1">
        <f t="array" ref="S30">IF($A30&lt;&gt;"", IFERROR(_xlfn._xlws.FILTER(Log!$G:$G, (Log!$A:$A="Daily") * (Log!$B:$B="n/a") * (Log!$C:$C=$A30) * (Log!$D:$D=S$4)), "Unknown"), "")</f>
        <v/>
      </c>
      <c r="T30" s="106" t="str" cm="1">
        <f t="array" ref="T30">IF($A30&lt;&gt;"", IFERROR(_xlfn._xlws.FILTER(Log!$G:$G, (Log!$A:$A="Daily") * (Log!$B:$B="n/a") * (Log!$C:$C=$A30) * (Log!$D:$D=T$4)), "Unknown"), "")</f>
        <v/>
      </c>
      <c r="W30" s="226" t="str">
        <f t="shared" si="43"/>
        <v/>
      </c>
      <c r="X30" s="226" t="str">
        <f t="shared" si="44"/>
        <v/>
      </c>
      <c r="Y30" s="226" t="str">
        <f t="shared" si="45"/>
        <v/>
      </c>
      <c r="Z30" s="226" t="str">
        <f t="shared" si="46"/>
        <v/>
      </c>
      <c r="AA30" s="226" t="str">
        <f t="shared" si="47"/>
        <v/>
      </c>
      <c r="AB30" s="226" t="str">
        <f t="shared" si="48"/>
        <v/>
      </c>
      <c r="AC30" s="226" t="str">
        <f t="shared" si="49"/>
        <v/>
      </c>
      <c r="AD30" s="226" t="str">
        <f t="shared" si="50"/>
        <v/>
      </c>
      <c r="AE30" s="226" t="str">
        <f t="shared" si="51"/>
        <v/>
      </c>
      <c r="AF30" s="226" t="str">
        <f t="shared" si="52"/>
        <v/>
      </c>
      <c r="AG30" s="226" t="str">
        <f t="shared" si="53"/>
        <v/>
      </c>
      <c r="AH30" s="226" t="str">
        <f t="shared" si="54"/>
        <v/>
      </c>
      <c r="AI30" s="226" t="str">
        <f t="shared" si="55"/>
        <v/>
      </c>
      <c r="AJ30" s="226" t="str">
        <f t="shared" si="56"/>
        <v/>
      </c>
      <c r="AK30" s="226" t="str">
        <f t="shared" si="57"/>
        <v/>
      </c>
      <c r="AL30" s="226" t="str">
        <f t="shared" si="58"/>
        <v/>
      </c>
      <c r="AM30" s="226" t="str">
        <f t="shared" si="59"/>
        <v/>
      </c>
      <c r="AN30" s="226" t="str">
        <f t="shared" si="60"/>
        <v/>
      </c>
    </row>
    <row r="31" spans="1:41" x14ac:dyDescent="0.25">
      <c r="B31" s="222" t="str">
        <f t="shared" si="6"/>
        <v/>
      </c>
      <c r="C31" s="106" t="str" cm="1">
        <f t="array" ref="C31">IF($A31&lt;&gt;"", IFERROR(_xlfn._xlws.FILTER(Log!$G:$G, (Log!$A:$A="Daily") * (Log!$B:$B="n/a") * (Log!$C:$C=$A31) * (Log!$D:$D=C$4)), "Unknown"), "")</f>
        <v/>
      </c>
      <c r="D31" s="106" t="str" cm="1">
        <f t="array" ref="D31">IF($A31&lt;&gt;"", IFERROR(_xlfn._xlws.FILTER(Log!$G:$G, (Log!$A:$A="Daily") * (Log!$B:$B="n/a") * (Log!$C:$C=$A31) * (Log!$D:$D=D$4)), "Unknown"), "")</f>
        <v/>
      </c>
      <c r="E31" s="106" t="str" cm="1">
        <f t="array" ref="E31">IF($A31&lt;&gt;"", IFERROR(_xlfn._xlws.FILTER(Log!$G:$G, (Log!$A:$A="Daily") * (Log!$B:$B="n/a") * (Log!$C:$C=$A31) * (Log!$D:$D=E$4)), "Unknown"), "")</f>
        <v/>
      </c>
      <c r="F31" s="106" t="str" cm="1">
        <f t="array" ref="F31">IF($A31&lt;&gt;"", IFERROR(_xlfn._xlws.FILTER(Log!$G:$G, (Log!$A:$A="Daily") * (Log!$B:$B="n/a") * (Log!$C:$C=$A31) * (Log!$D:$D=F$4)), "Unknown"), "")</f>
        <v/>
      </c>
      <c r="G31" s="106" t="str" cm="1">
        <f t="array" ref="G31">IF($A31&lt;&gt;"", IFERROR(_xlfn._xlws.FILTER(Log!$G:$G, (Log!$A:$A="Daily") * (Log!$B:$B="n/a") * (Log!$C:$C=$A31) * (Log!$D:$D=G$4)), "Unknown"), "")</f>
        <v/>
      </c>
      <c r="H31" s="106" t="str" cm="1">
        <f t="array" ref="H31">IF($A31&lt;&gt;"", IFERROR(_xlfn._xlws.FILTER(Log!$G:$G, (Log!$A:$A="Daily") * (Log!$B:$B="n/a") * (Log!$C:$C=$A31) * (Log!$D:$D=H$4)), "Unknown"), "")</f>
        <v/>
      </c>
      <c r="I31" s="106" t="str" cm="1">
        <f t="array" ref="I31">IF($A31&lt;&gt;"", IFERROR(_xlfn._xlws.FILTER(Log!$G:$G, (Log!$A:$A="Daily") * (Log!$B:$B="n/a") * (Log!$C:$C=$A31) * (Log!$D:$D=I$4)), "Unknown"), "")</f>
        <v/>
      </c>
      <c r="J31" s="106" t="str" cm="1">
        <f t="array" ref="J31">IF($A31&lt;&gt;"", IFERROR(_xlfn._xlws.FILTER(Log!$G:$G, (Log!$A:$A="Daily") * (Log!$B:$B="n/a") * (Log!$C:$C=$A31) * (Log!$D:$D=J$4)), "Unknown"), "")</f>
        <v/>
      </c>
      <c r="K31" s="106" t="str" cm="1">
        <f t="array" ref="K31">IF($A31&lt;&gt;"", IFERROR(_xlfn._xlws.FILTER(Log!$G:$G, (Log!$A:$A="Daily") * (Log!$B:$B="n/a") * (Log!$C:$C=$A31) * (Log!$D:$D=K$4)), "Unknown"), "")</f>
        <v/>
      </c>
      <c r="L31" s="106" t="str" cm="1">
        <f t="array" ref="L31">IF($A31&lt;&gt;"", IFERROR(_xlfn._xlws.FILTER(Log!$G:$G, (Log!$A:$A="Daily") * (Log!$B:$B="n/a") * (Log!$C:$C=$A31) * (Log!$D:$D=L$4)), "Unknown"), "")</f>
        <v/>
      </c>
      <c r="M31" s="106" t="str" cm="1">
        <f t="array" ref="M31">IF($A31&lt;&gt;"", IFERROR(_xlfn._xlws.FILTER(Log!$G:$G, (Log!$A:$A="Daily") * (Log!$B:$B="n/a") * (Log!$C:$C=$A31) * (Log!$D:$D=M$4)), "Unknown"), "")</f>
        <v/>
      </c>
      <c r="N31" s="106" t="str" cm="1">
        <f t="array" ref="N31">IF($A31&lt;&gt;"", IFERROR(_xlfn._xlws.FILTER(Log!$G:$G, (Log!$A:$A="Daily") * (Log!$B:$B="n/a") * (Log!$C:$C=$A31) * (Log!$D:$D=N$4)), "Unknown"), "")</f>
        <v/>
      </c>
      <c r="O31" s="106" t="str" cm="1">
        <f t="array" ref="O31">IF($A31&lt;&gt;"", IFERROR(_xlfn._xlws.FILTER(Log!$G:$G, (Log!$A:$A="Daily") * (Log!$B:$B="n/a") * (Log!$C:$C=$A31) * (Log!$D:$D=O$4)), "Unknown"), "")</f>
        <v/>
      </c>
      <c r="P31" s="106" t="str" cm="1">
        <f t="array" ref="P31">IF($A31&lt;&gt;"", IFERROR(_xlfn._xlws.FILTER(Log!$G:$G, (Log!$A:$A="Daily") * (Log!$B:$B="n/a") * (Log!$C:$C=$A31) * (Log!$D:$D=P$4)), "Unknown"), "")</f>
        <v/>
      </c>
      <c r="Q31" s="106" t="str" cm="1">
        <f t="array" ref="Q31">IF($A31&lt;&gt;"", IFERROR(_xlfn._xlws.FILTER(Log!$G:$G, (Log!$A:$A="Daily") * (Log!$B:$B="n/a") * (Log!$C:$C=$A31) * (Log!$D:$D=Q$4)), "Unknown"), "")</f>
        <v/>
      </c>
      <c r="R31" s="106" t="str" cm="1">
        <f t="array" ref="R31">IF($A31&lt;&gt;"", IFERROR(_xlfn._xlws.FILTER(Log!$G:$G, (Log!$A:$A="Daily") * (Log!$B:$B="n/a") * (Log!$C:$C=$A31) * (Log!$D:$D=R$4)), "Unknown"), "")</f>
        <v/>
      </c>
      <c r="S31" s="106" t="str" cm="1">
        <f t="array" ref="S31">IF($A31&lt;&gt;"", IFERROR(_xlfn._xlws.FILTER(Log!$G:$G, (Log!$A:$A="Daily") * (Log!$B:$B="n/a") * (Log!$C:$C=$A31) * (Log!$D:$D=S$4)), "Unknown"), "")</f>
        <v/>
      </c>
      <c r="T31" s="106" t="str" cm="1">
        <f t="array" ref="T31">IF($A31&lt;&gt;"", IFERROR(_xlfn._xlws.FILTER(Log!$G:$G, (Log!$A:$A="Daily") * (Log!$B:$B="n/a") * (Log!$C:$C=$A31) * (Log!$D:$D=T$4)), "Unknown"), "")</f>
        <v/>
      </c>
      <c r="W31" s="226" t="str">
        <f t="shared" si="43"/>
        <v/>
      </c>
      <c r="X31" s="226" t="str">
        <f t="shared" si="44"/>
        <v/>
      </c>
      <c r="Y31" s="226" t="str">
        <f t="shared" si="45"/>
        <v/>
      </c>
      <c r="Z31" s="226" t="str">
        <f t="shared" si="46"/>
        <v/>
      </c>
      <c r="AA31" s="226" t="str">
        <f t="shared" si="47"/>
        <v/>
      </c>
      <c r="AB31" s="226" t="str">
        <f t="shared" si="48"/>
        <v/>
      </c>
      <c r="AC31" s="226" t="str">
        <f t="shared" si="49"/>
        <v/>
      </c>
      <c r="AD31" s="226" t="str">
        <f t="shared" si="50"/>
        <v/>
      </c>
      <c r="AE31" s="226" t="str">
        <f t="shared" si="51"/>
        <v/>
      </c>
      <c r="AF31" s="226" t="str">
        <f t="shared" si="52"/>
        <v/>
      </c>
      <c r="AG31" s="226" t="str">
        <f t="shared" si="53"/>
        <v/>
      </c>
      <c r="AH31" s="226" t="str">
        <f t="shared" si="54"/>
        <v/>
      </c>
      <c r="AI31" s="226" t="str">
        <f t="shared" si="55"/>
        <v/>
      </c>
      <c r="AJ31" s="226" t="str">
        <f t="shared" si="56"/>
        <v/>
      </c>
      <c r="AK31" s="226" t="str">
        <f t="shared" si="57"/>
        <v/>
      </c>
      <c r="AL31" s="226" t="str">
        <f t="shared" si="58"/>
        <v/>
      </c>
      <c r="AM31" s="226" t="str">
        <f t="shared" si="59"/>
        <v/>
      </c>
      <c r="AN31" s="226" t="str">
        <f t="shared" si="60"/>
        <v/>
      </c>
    </row>
    <row r="32" spans="1:41" x14ac:dyDescent="0.25">
      <c r="B32" s="222" t="str">
        <f t="shared" si="6"/>
        <v/>
      </c>
      <c r="C32" s="106" t="str" cm="1">
        <f t="array" ref="C32">IF($A32&lt;&gt;"", IFERROR(_xlfn._xlws.FILTER(Log!$G:$G, (Log!$A:$A="Daily") * (Log!$B:$B="n/a") * (Log!$C:$C=$A32) * (Log!$D:$D=C$4)), "Unknown"), "")</f>
        <v/>
      </c>
      <c r="D32" s="106" t="str" cm="1">
        <f t="array" ref="D32">IF($A32&lt;&gt;"", IFERROR(_xlfn._xlws.FILTER(Log!$G:$G, (Log!$A:$A="Daily") * (Log!$B:$B="n/a") * (Log!$C:$C=$A32) * (Log!$D:$D=D$4)), "Unknown"), "")</f>
        <v/>
      </c>
      <c r="E32" s="106" t="str" cm="1">
        <f t="array" ref="E32">IF($A32&lt;&gt;"", IFERROR(_xlfn._xlws.FILTER(Log!$G:$G, (Log!$A:$A="Daily") * (Log!$B:$B="n/a") * (Log!$C:$C=$A32) * (Log!$D:$D=E$4)), "Unknown"), "")</f>
        <v/>
      </c>
      <c r="F32" s="106" t="str" cm="1">
        <f t="array" ref="F32">IF($A32&lt;&gt;"", IFERROR(_xlfn._xlws.FILTER(Log!$G:$G, (Log!$A:$A="Daily") * (Log!$B:$B="n/a") * (Log!$C:$C=$A32) * (Log!$D:$D=F$4)), "Unknown"), "")</f>
        <v/>
      </c>
      <c r="G32" s="106" t="str" cm="1">
        <f t="array" ref="G32">IF($A32&lt;&gt;"", IFERROR(_xlfn._xlws.FILTER(Log!$G:$G, (Log!$A:$A="Daily") * (Log!$B:$B="n/a") * (Log!$C:$C=$A32) * (Log!$D:$D=G$4)), "Unknown"), "")</f>
        <v/>
      </c>
      <c r="H32" s="106" t="str" cm="1">
        <f t="array" ref="H32">IF($A32&lt;&gt;"", IFERROR(_xlfn._xlws.FILTER(Log!$G:$G, (Log!$A:$A="Daily") * (Log!$B:$B="n/a") * (Log!$C:$C=$A32) * (Log!$D:$D=H$4)), "Unknown"), "")</f>
        <v/>
      </c>
      <c r="I32" s="106" t="str" cm="1">
        <f t="array" ref="I32">IF($A32&lt;&gt;"", IFERROR(_xlfn._xlws.FILTER(Log!$G:$G, (Log!$A:$A="Daily") * (Log!$B:$B="n/a") * (Log!$C:$C=$A32) * (Log!$D:$D=I$4)), "Unknown"), "")</f>
        <v/>
      </c>
      <c r="J32" s="106" t="str" cm="1">
        <f t="array" ref="J32">IF($A32&lt;&gt;"", IFERROR(_xlfn._xlws.FILTER(Log!$G:$G, (Log!$A:$A="Daily") * (Log!$B:$B="n/a") * (Log!$C:$C=$A32) * (Log!$D:$D=J$4)), "Unknown"), "")</f>
        <v/>
      </c>
      <c r="K32" s="106" t="str" cm="1">
        <f t="array" ref="K32">IF($A32&lt;&gt;"", IFERROR(_xlfn._xlws.FILTER(Log!$G:$G, (Log!$A:$A="Daily") * (Log!$B:$B="n/a") * (Log!$C:$C=$A32) * (Log!$D:$D=K$4)), "Unknown"), "")</f>
        <v/>
      </c>
      <c r="L32" s="106" t="str" cm="1">
        <f t="array" ref="L32">IF($A32&lt;&gt;"", IFERROR(_xlfn._xlws.FILTER(Log!$G:$G, (Log!$A:$A="Daily") * (Log!$B:$B="n/a") * (Log!$C:$C=$A32) * (Log!$D:$D=L$4)), "Unknown"), "")</f>
        <v/>
      </c>
      <c r="M32" s="106" t="str" cm="1">
        <f t="array" ref="M32">IF($A32&lt;&gt;"", IFERROR(_xlfn._xlws.FILTER(Log!$G:$G, (Log!$A:$A="Daily") * (Log!$B:$B="n/a") * (Log!$C:$C=$A32) * (Log!$D:$D=M$4)), "Unknown"), "")</f>
        <v/>
      </c>
      <c r="N32" s="106" t="str" cm="1">
        <f t="array" ref="N32">IF($A32&lt;&gt;"", IFERROR(_xlfn._xlws.FILTER(Log!$G:$G, (Log!$A:$A="Daily") * (Log!$B:$B="n/a") * (Log!$C:$C=$A32) * (Log!$D:$D=N$4)), "Unknown"), "")</f>
        <v/>
      </c>
      <c r="O32" s="106" t="str" cm="1">
        <f t="array" ref="O32">IF($A32&lt;&gt;"", IFERROR(_xlfn._xlws.FILTER(Log!$G:$G, (Log!$A:$A="Daily") * (Log!$B:$B="n/a") * (Log!$C:$C=$A32) * (Log!$D:$D=O$4)), "Unknown"), "")</f>
        <v/>
      </c>
      <c r="P32" s="106" t="str" cm="1">
        <f t="array" ref="P32">IF($A32&lt;&gt;"", IFERROR(_xlfn._xlws.FILTER(Log!$G:$G, (Log!$A:$A="Daily") * (Log!$B:$B="n/a") * (Log!$C:$C=$A32) * (Log!$D:$D=P$4)), "Unknown"), "")</f>
        <v/>
      </c>
      <c r="Q32" s="106" t="str" cm="1">
        <f t="array" ref="Q32">IF($A32&lt;&gt;"", IFERROR(_xlfn._xlws.FILTER(Log!$G:$G, (Log!$A:$A="Daily") * (Log!$B:$B="n/a") * (Log!$C:$C=$A32) * (Log!$D:$D=Q$4)), "Unknown"), "")</f>
        <v/>
      </c>
      <c r="R32" s="106" t="str" cm="1">
        <f t="array" ref="R32">IF($A32&lt;&gt;"", IFERROR(_xlfn._xlws.FILTER(Log!$G:$G, (Log!$A:$A="Daily") * (Log!$B:$B="n/a") * (Log!$C:$C=$A32) * (Log!$D:$D=R$4)), "Unknown"), "")</f>
        <v/>
      </c>
      <c r="S32" s="106" t="str" cm="1">
        <f t="array" ref="S32">IF($A32&lt;&gt;"", IFERROR(_xlfn._xlws.FILTER(Log!$G:$G, (Log!$A:$A="Daily") * (Log!$B:$B="n/a") * (Log!$C:$C=$A32) * (Log!$D:$D=S$4)), "Unknown"), "")</f>
        <v/>
      </c>
      <c r="T32" s="106" t="str" cm="1">
        <f t="array" ref="T32">IF($A32&lt;&gt;"", IFERROR(_xlfn._xlws.FILTER(Log!$G:$G, (Log!$A:$A="Daily") * (Log!$B:$B="n/a") * (Log!$C:$C=$A32) * (Log!$D:$D=T$4)), "Unknown"), "")</f>
        <v/>
      </c>
      <c r="W32" s="226" t="str">
        <f t="shared" si="43"/>
        <v/>
      </c>
      <c r="X32" s="226" t="str">
        <f t="shared" si="44"/>
        <v/>
      </c>
      <c r="Y32" s="226" t="str">
        <f t="shared" si="45"/>
        <v/>
      </c>
      <c r="Z32" s="226" t="str">
        <f t="shared" si="46"/>
        <v/>
      </c>
      <c r="AA32" s="226" t="str">
        <f t="shared" si="47"/>
        <v/>
      </c>
      <c r="AB32" s="226" t="str">
        <f t="shared" si="48"/>
        <v/>
      </c>
      <c r="AC32" s="226" t="str">
        <f t="shared" si="49"/>
        <v/>
      </c>
      <c r="AD32" s="226" t="str">
        <f t="shared" si="50"/>
        <v/>
      </c>
      <c r="AE32" s="226" t="str">
        <f t="shared" si="51"/>
        <v/>
      </c>
      <c r="AF32" s="226" t="str">
        <f t="shared" si="52"/>
        <v/>
      </c>
      <c r="AG32" s="226" t="str">
        <f t="shared" si="53"/>
        <v/>
      </c>
      <c r="AH32" s="226" t="str">
        <f t="shared" si="54"/>
        <v/>
      </c>
      <c r="AI32" s="226" t="str">
        <f t="shared" si="55"/>
        <v/>
      </c>
      <c r="AJ32" s="226" t="str">
        <f t="shared" si="56"/>
        <v/>
      </c>
      <c r="AK32" s="226" t="str">
        <f t="shared" si="57"/>
        <v/>
      </c>
      <c r="AL32" s="226" t="str">
        <f t="shared" si="58"/>
        <v/>
      </c>
      <c r="AM32" s="226" t="str">
        <f t="shared" si="59"/>
        <v/>
      </c>
      <c r="AN32" s="226" t="str">
        <f t="shared" si="60"/>
        <v/>
      </c>
    </row>
    <row r="33" spans="2:40" x14ac:dyDescent="0.25">
      <c r="B33" s="222" t="str">
        <f t="shared" si="6"/>
        <v/>
      </c>
      <c r="C33" s="106" t="str" cm="1">
        <f t="array" ref="C33">IF($A33&lt;&gt;"", IFERROR(_xlfn._xlws.FILTER(Log!$G:$G, (Log!$A:$A="Daily") * (Log!$B:$B="n/a") * (Log!$C:$C=$A33) * (Log!$D:$D=C$4)), "Unknown"), "")</f>
        <v/>
      </c>
      <c r="D33" s="106" t="str" cm="1">
        <f t="array" ref="D33">IF($A33&lt;&gt;"", IFERROR(_xlfn._xlws.FILTER(Log!$G:$G, (Log!$A:$A="Daily") * (Log!$B:$B="n/a") * (Log!$C:$C=$A33) * (Log!$D:$D=D$4)), "Unknown"), "")</f>
        <v/>
      </c>
      <c r="E33" s="106" t="str" cm="1">
        <f t="array" ref="E33">IF($A33&lt;&gt;"", IFERROR(_xlfn._xlws.FILTER(Log!$G:$G, (Log!$A:$A="Daily") * (Log!$B:$B="n/a") * (Log!$C:$C=$A33) * (Log!$D:$D=E$4)), "Unknown"), "")</f>
        <v/>
      </c>
      <c r="F33" s="106" t="str" cm="1">
        <f t="array" ref="F33">IF($A33&lt;&gt;"", IFERROR(_xlfn._xlws.FILTER(Log!$G:$G, (Log!$A:$A="Daily") * (Log!$B:$B="n/a") * (Log!$C:$C=$A33) * (Log!$D:$D=F$4)), "Unknown"), "")</f>
        <v/>
      </c>
      <c r="G33" s="106" t="str" cm="1">
        <f t="array" ref="G33">IF($A33&lt;&gt;"", IFERROR(_xlfn._xlws.FILTER(Log!$G:$G, (Log!$A:$A="Daily") * (Log!$B:$B="n/a") * (Log!$C:$C=$A33) * (Log!$D:$D=G$4)), "Unknown"), "")</f>
        <v/>
      </c>
      <c r="H33" s="106" t="str" cm="1">
        <f t="array" ref="H33">IF($A33&lt;&gt;"", IFERROR(_xlfn._xlws.FILTER(Log!$G:$G, (Log!$A:$A="Daily") * (Log!$B:$B="n/a") * (Log!$C:$C=$A33) * (Log!$D:$D=H$4)), "Unknown"), "")</f>
        <v/>
      </c>
      <c r="I33" s="106" t="str" cm="1">
        <f t="array" ref="I33">IF($A33&lt;&gt;"", IFERROR(_xlfn._xlws.FILTER(Log!$G:$G, (Log!$A:$A="Daily") * (Log!$B:$B="n/a") * (Log!$C:$C=$A33) * (Log!$D:$D=I$4)), "Unknown"), "")</f>
        <v/>
      </c>
      <c r="J33" s="106" t="str" cm="1">
        <f t="array" ref="J33">IF($A33&lt;&gt;"", IFERROR(_xlfn._xlws.FILTER(Log!$G:$G, (Log!$A:$A="Daily") * (Log!$B:$B="n/a") * (Log!$C:$C=$A33) * (Log!$D:$D=J$4)), "Unknown"), "")</f>
        <v/>
      </c>
      <c r="K33" s="106" t="str" cm="1">
        <f t="array" ref="K33">IF($A33&lt;&gt;"", IFERROR(_xlfn._xlws.FILTER(Log!$G:$G, (Log!$A:$A="Daily") * (Log!$B:$B="n/a") * (Log!$C:$C=$A33) * (Log!$D:$D=K$4)), "Unknown"), "")</f>
        <v/>
      </c>
      <c r="L33" s="106" t="str" cm="1">
        <f t="array" ref="L33">IF($A33&lt;&gt;"", IFERROR(_xlfn._xlws.FILTER(Log!$G:$G, (Log!$A:$A="Daily") * (Log!$B:$B="n/a") * (Log!$C:$C=$A33) * (Log!$D:$D=L$4)), "Unknown"), "")</f>
        <v/>
      </c>
      <c r="M33" s="106" t="str" cm="1">
        <f t="array" ref="M33">IF($A33&lt;&gt;"", IFERROR(_xlfn._xlws.FILTER(Log!$G:$G, (Log!$A:$A="Daily") * (Log!$B:$B="n/a") * (Log!$C:$C=$A33) * (Log!$D:$D=M$4)), "Unknown"), "")</f>
        <v/>
      </c>
      <c r="N33" s="106" t="str" cm="1">
        <f t="array" ref="N33">IF($A33&lt;&gt;"", IFERROR(_xlfn._xlws.FILTER(Log!$G:$G, (Log!$A:$A="Daily") * (Log!$B:$B="n/a") * (Log!$C:$C=$A33) * (Log!$D:$D=N$4)), "Unknown"), "")</f>
        <v/>
      </c>
      <c r="O33" s="106" t="str" cm="1">
        <f t="array" ref="O33">IF($A33&lt;&gt;"", IFERROR(_xlfn._xlws.FILTER(Log!$G:$G, (Log!$A:$A="Daily") * (Log!$B:$B="n/a") * (Log!$C:$C=$A33) * (Log!$D:$D=O$4)), "Unknown"), "")</f>
        <v/>
      </c>
      <c r="P33" s="106" t="str" cm="1">
        <f t="array" ref="P33">IF($A33&lt;&gt;"", IFERROR(_xlfn._xlws.FILTER(Log!$G:$G, (Log!$A:$A="Daily") * (Log!$B:$B="n/a") * (Log!$C:$C=$A33) * (Log!$D:$D=P$4)), "Unknown"), "")</f>
        <v/>
      </c>
      <c r="Q33" s="106" t="str" cm="1">
        <f t="array" ref="Q33">IF($A33&lt;&gt;"", IFERROR(_xlfn._xlws.FILTER(Log!$G:$G, (Log!$A:$A="Daily") * (Log!$B:$B="n/a") * (Log!$C:$C=$A33) * (Log!$D:$D=Q$4)), "Unknown"), "")</f>
        <v/>
      </c>
      <c r="R33" s="106" t="str" cm="1">
        <f t="array" ref="R33">IF($A33&lt;&gt;"", IFERROR(_xlfn._xlws.FILTER(Log!$G:$G, (Log!$A:$A="Daily") * (Log!$B:$B="n/a") * (Log!$C:$C=$A33) * (Log!$D:$D=R$4)), "Unknown"), "")</f>
        <v/>
      </c>
      <c r="S33" s="106" t="str" cm="1">
        <f t="array" ref="S33">IF($A33&lt;&gt;"", IFERROR(_xlfn._xlws.FILTER(Log!$G:$G, (Log!$A:$A="Daily") * (Log!$B:$B="n/a") * (Log!$C:$C=$A33) * (Log!$D:$D=S$4)), "Unknown"), "")</f>
        <v/>
      </c>
      <c r="T33" s="106" t="str" cm="1">
        <f t="array" ref="T33">IF($A33&lt;&gt;"", IFERROR(_xlfn._xlws.FILTER(Log!$G:$G, (Log!$A:$A="Daily") * (Log!$B:$B="n/a") * (Log!$C:$C=$A33) * (Log!$D:$D=T$4)), "Unknown"), "")</f>
        <v/>
      </c>
      <c r="W33" s="226" t="str">
        <f t="shared" si="43"/>
        <v/>
      </c>
      <c r="X33" s="226" t="str">
        <f t="shared" si="44"/>
        <v/>
      </c>
      <c r="Y33" s="226" t="str">
        <f t="shared" si="45"/>
        <v/>
      </c>
      <c r="Z33" s="226" t="str">
        <f t="shared" si="46"/>
        <v/>
      </c>
      <c r="AA33" s="226" t="str">
        <f t="shared" si="47"/>
        <v/>
      </c>
      <c r="AB33" s="226" t="str">
        <f t="shared" si="48"/>
        <v/>
      </c>
      <c r="AC33" s="226" t="str">
        <f t="shared" si="49"/>
        <v/>
      </c>
      <c r="AD33" s="226" t="str">
        <f t="shared" si="50"/>
        <v/>
      </c>
      <c r="AE33" s="226" t="str">
        <f t="shared" si="51"/>
        <v/>
      </c>
      <c r="AF33" s="226" t="str">
        <f t="shared" si="52"/>
        <v/>
      </c>
      <c r="AG33" s="226" t="str">
        <f t="shared" si="53"/>
        <v/>
      </c>
      <c r="AH33" s="226" t="str">
        <f t="shared" si="54"/>
        <v/>
      </c>
      <c r="AI33" s="226" t="str">
        <f t="shared" si="55"/>
        <v/>
      </c>
      <c r="AJ33" s="226" t="str">
        <f t="shared" si="56"/>
        <v/>
      </c>
      <c r="AK33" s="226" t="str">
        <f t="shared" si="57"/>
        <v/>
      </c>
      <c r="AL33" s="226" t="str">
        <f t="shared" si="58"/>
        <v/>
      </c>
      <c r="AM33" s="226" t="str">
        <f t="shared" si="59"/>
        <v/>
      </c>
      <c r="AN33" s="226" t="str">
        <f t="shared" si="60"/>
        <v/>
      </c>
    </row>
    <row r="34" spans="2:40" x14ac:dyDescent="0.25">
      <c r="B34" s="222" t="str">
        <f t="shared" si="6"/>
        <v/>
      </c>
      <c r="C34" s="106" t="str" cm="1">
        <f t="array" ref="C34">IF($A34&lt;&gt;"", IFERROR(_xlfn._xlws.FILTER(Log!$G:$G, (Log!$A:$A="Daily") * (Log!$B:$B="n/a") * (Log!$C:$C=$A34) * (Log!$D:$D=C$4)), "Unknown"), "")</f>
        <v/>
      </c>
      <c r="D34" s="106" t="str" cm="1">
        <f t="array" ref="D34">IF($A34&lt;&gt;"", IFERROR(_xlfn._xlws.FILTER(Log!$G:$G, (Log!$A:$A="Daily") * (Log!$B:$B="n/a") * (Log!$C:$C=$A34) * (Log!$D:$D=D$4)), "Unknown"), "")</f>
        <v/>
      </c>
      <c r="E34" s="106" t="str" cm="1">
        <f t="array" ref="E34">IF($A34&lt;&gt;"", IFERROR(_xlfn._xlws.FILTER(Log!$G:$G, (Log!$A:$A="Daily") * (Log!$B:$B="n/a") * (Log!$C:$C=$A34) * (Log!$D:$D=E$4)), "Unknown"), "")</f>
        <v/>
      </c>
      <c r="F34" s="106" t="str" cm="1">
        <f t="array" ref="F34">IF($A34&lt;&gt;"", IFERROR(_xlfn._xlws.FILTER(Log!$G:$G, (Log!$A:$A="Daily") * (Log!$B:$B="n/a") * (Log!$C:$C=$A34) * (Log!$D:$D=F$4)), "Unknown"), "")</f>
        <v/>
      </c>
      <c r="G34" s="106" t="str" cm="1">
        <f t="array" ref="G34">IF($A34&lt;&gt;"", IFERROR(_xlfn._xlws.FILTER(Log!$G:$G, (Log!$A:$A="Daily") * (Log!$B:$B="n/a") * (Log!$C:$C=$A34) * (Log!$D:$D=G$4)), "Unknown"), "")</f>
        <v/>
      </c>
      <c r="H34" s="106" t="str" cm="1">
        <f t="array" ref="H34">IF($A34&lt;&gt;"", IFERROR(_xlfn._xlws.FILTER(Log!$G:$G, (Log!$A:$A="Daily") * (Log!$B:$B="n/a") * (Log!$C:$C=$A34) * (Log!$D:$D=H$4)), "Unknown"), "")</f>
        <v/>
      </c>
      <c r="I34" s="106" t="str" cm="1">
        <f t="array" ref="I34">IF($A34&lt;&gt;"", IFERROR(_xlfn._xlws.FILTER(Log!$G:$G, (Log!$A:$A="Daily") * (Log!$B:$B="n/a") * (Log!$C:$C=$A34) * (Log!$D:$D=I$4)), "Unknown"), "")</f>
        <v/>
      </c>
      <c r="J34" s="106" t="str" cm="1">
        <f t="array" ref="J34">IF($A34&lt;&gt;"", IFERROR(_xlfn._xlws.FILTER(Log!$G:$G, (Log!$A:$A="Daily") * (Log!$B:$B="n/a") * (Log!$C:$C=$A34) * (Log!$D:$D=J$4)), "Unknown"), "")</f>
        <v/>
      </c>
      <c r="K34" s="106" t="str" cm="1">
        <f t="array" ref="K34">IF($A34&lt;&gt;"", IFERROR(_xlfn._xlws.FILTER(Log!$G:$G, (Log!$A:$A="Daily") * (Log!$B:$B="n/a") * (Log!$C:$C=$A34) * (Log!$D:$D=K$4)), "Unknown"), "")</f>
        <v/>
      </c>
      <c r="L34" s="106" t="str" cm="1">
        <f t="array" ref="L34">IF($A34&lt;&gt;"", IFERROR(_xlfn._xlws.FILTER(Log!$G:$G, (Log!$A:$A="Daily") * (Log!$B:$B="n/a") * (Log!$C:$C=$A34) * (Log!$D:$D=L$4)), "Unknown"), "")</f>
        <v/>
      </c>
      <c r="M34" s="106" t="str" cm="1">
        <f t="array" ref="M34">IF($A34&lt;&gt;"", IFERROR(_xlfn._xlws.FILTER(Log!$G:$G, (Log!$A:$A="Daily") * (Log!$B:$B="n/a") * (Log!$C:$C=$A34) * (Log!$D:$D=M$4)), "Unknown"), "")</f>
        <v/>
      </c>
      <c r="N34" s="106" t="str" cm="1">
        <f t="array" ref="N34">IF($A34&lt;&gt;"", IFERROR(_xlfn._xlws.FILTER(Log!$G:$G, (Log!$A:$A="Daily") * (Log!$B:$B="n/a") * (Log!$C:$C=$A34) * (Log!$D:$D=N$4)), "Unknown"), "")</f>
        <v/>
      </c>
      <c r="O34" s="106" t="str" cm="1">
        <f t="array" ref="O34">IF($A34&lt;&gt;"", IFERROR(_xlfn._xlws.FILTER(Log!$G:$G, (Log!$A:$A="Daily") * (Log!$B:$B="n/a") * (Log!$C:$C=$A34) * (Log!$D:$D=O$4)), "Unknown"), "")</f>
        <v/>
      </c>
      <c r="P34" s="106" t="str" cm="1">
        <f t="array" ref="P34">IF($A34&lt;&gt;"", IFERROR(_xlfn._xlws.FILTER(Log!$G:$G, (Log!$A:$A="Daily") * (Log!$B:$B="n/a") * (Log!$C:$C=$A34) * (Log!$D:$D=P$4)), "Unknown"), "")</f>
        <v/>
      </c>
      <c r="Q34" s="106" t="str" cm="1">
        <f t="array" ref="Q34">IF($A34&lt;&gt;"", IFERROR(_xlfn._xlws.FILTER(Log!$G:$G, (Log!$A:$A="Daily") * (Log!$B:$B="n/a") * (Log!$C:$C=$A34) * (Log!$D:$D=Q$4)), "Unknown"), "")</f>
        <v/>
      </c>
      <c r="R34" s="106" t="str" cm="1">
        <f t="array" ref="R34">IF($A34&lt;&gt;"", IFERROR(_xlfn._xlws.FILTER(Log!$G:$G, (Log!$A:$A="Daily") * (Log!$B:$B="n/a") * (Log!$C:$C=$A34) * (Log!$D:$D=R$4)), "Unknown"), "")</f>
        <v/>
      </c>
      <c r="S34" s="106" t="str" cm="1">
        <f t="array" ref="S34">IF($A34&lt;&gt;"", IFERROR(_xlfn._xlws.FILTER(Log!$G:$G, (Log!$A:$A="Daily") * (Log!$B:$B="n/a") * (Log!$C:$C=$A34) * (Log!$D:$D=S$4)), "Unknown"), "")</f>
        <v/>
      </c>
      <c r="T34" s="106" t="str" cm="1">
        <f t="array" ref="T34">IF($A34&lt;&gt;"", IFERROR(_xlfn._xlws.FILTER(Log!$G:$G, (Log!$A:$A="Daily") * (Log!$B:$B="n/a") * (Log!$C:$C=$A34) * (Log!$D:$D=T$4)), "Unknown"), "")</f>
        <v/>
      </c>
      <c r="W34" s="226" t="str">
        <f t="shared" si="43"/>
        <v/>
      </c>
      <c r="X34" s="226" t="str">
        <f t="shared" si="44"/>
        <v/>
      </c>
      <c r="Y34" s="226" t="str">
        <f t="shared" si="45"/>
        <v/>
      </c>
      <c r="Z34" s="226" t="str">
        <f t="shared" si="46"/>
        <v/>
      </c>
      <c r="AA34" s="226" t="str">
        <f t="shared" si="47"/>
        <v/>
      </c>
      <c r="AB34" s="226" t="str">
        <f t="shared" si="48"/>
        <v/>
      </c>
      <c r="AC34" s="226" t="str">
        <f t="shared" si="49"/>
        <v/>
      </c>
      <c r="AD34" s="226" t="str">
        <f t="shared" si="50"/>
        <v/>
      </c>
      <c r="AE34" s="226" t="str">
        <f t="shared" si="51"/>
        <v/>
      </c>
      <c r="AF34" s="226" t="str">
        <f t="shared" si="52"/>
        <v/>
      </c>
      <c r="AG34" s="226" t="str">
        <f t="shared" si="53"/>
        <v/>
      </c>
      <c r="AH34" s="226" t="str">
        <f t="shared" si="54"/>
        <v/>
      </c>
      <c r="AI34" s="226" t="str">
        <f t="shared" si="55"/>
        <v/>
      </c>
      <c r="AJ34" s="226" t="str">
        <f t="shared" si="56"/>
        <v/>
      </c>
      <c r="AK34" s="226" t="str">
        <f t="shared" si="57"/>
        <v/>
      </c>
      <c r="AL34" s="226" t="str">
        <f t="shared" si="58"/>
        <v/>
      </c>
      <c r="AM34" s="226" t="str">
        <f t="shared" si="59"/>
        <v/>
      </c>
      <c r="AN34" s="226" t="str">
        <f t="shared" si="60"/>
        <v/>
      </c>
    </row>
    <row r="35" spans="2:40" x14ac:dyDescent="0.25">
      <c r="B35" s="222" t="str">
        <f t="shared" si="6"/>
        <v/>
      </c>
      <c r="C35" s="106" t="str" cm="1">
        <f t="array" ref="C35">IF($A35&lt;&gt;"", IFERROR(_xlfn._xlws.FILTER(Log!$G:$G, (Log!$A:$A="Daily") * (Log!$B:$B="n/a") * (Log!$C:$C=$A35) * (Log!$D:$D=C$4)), "Unknown"), "")</f>
        <v/>
      </c>
      <c r="D35" s="106" t="str" cm="1">
        <f t="array" ref="D35">IF($A35&lt;&gt;"", IFERROR(_xlfn._xlws.FILTER(Log!$G:$G, (Log!$A:$A="Daily") * (Log!$B:$B="n/a") * (Log!$C:$C=$A35) * (Log!$D:$D=D$4)), "Unknown"), "")</f>
        <v/>
      </c>
      <c r="E35" s="106" t="str" cm="1">
        <f t="array" ref="E35">IF($A35&lt;&gt;"", IFERROR(_xlfn._xlws.FILTER(Log!$G:$G, (Log!$A:$A="Daily") * (Log!$B:$B="n/a") * (Log!$C:$C=$A35) * (Log!$D:$D=E$4)), "Unknown"), "")</f>
        <v/>
      </c>
      <c r="F35" s="106" t="str" cm="1">
        <f t="array" ref="F35">IF($A35&lt;&gt;"", IFERROR(_xlfn._xlws.FILTER(Log!$G:$G, (Log!$A:$A="Daily") * (Log!$B:$B="n/a") * (Log!$C:$C=$A35) * (Log!$D:$D=F$4)), "Unknown"), "")</f>
        <v/>
      </c>
      <c r="G35" s="106" t="str" cm="1">
        <f t="array" ref="G35">IF($A35&lt;&gt;"", IFERROR(_xlfn._xlws.FILTER(Log!$G:$G, (Log!$A:$A="Daily") * (Log!$B:$B="n/a") * (Log!$C:$C=$A35) * (Log!$D:$D=G$4)), "Unknown"), "")</f>
        <v/>
      </c>
      <c r="H35" s="106" t="str" cm="1">
        <f t="array" ref="H35">IF($A35&lt;&gt;"", IFERROR(_xlfn._xlws.FILTER(Log!$G:$G, (Log!$A:$A="Daily") * (Log!$B:$B="n/a") * (Log!$C:$C=$A35) * (Log!$D:$D=H$4)), "Unknown"), "")</f>
        <v/>
      </c>
      <c r="I35" s="106" t="str" cm="1">
        <f t="array" ref="I35">IF($A35&lt;&gt;"", IFERROR(_xlfn._xlws.FILTER(Log!$G:$G, (Log!$A:$A="Daily") * (Log!$B:$B="n/a") * (Log!$C:$C=$A35) * (Log!$D:$D=I$4)), "Unknown"), "")</f>
        <v/>
      </c>
      <c r="J35" s="106" t="str" cm="1">
        <f t="array" ref="J35">IF($A35&lt;&gt;"", IFERROR(_xlfn._xlws.FILTER(Log!$G:$G, (Log!$A:$A="Daily") * (Log!$B:$B="n/a") * (Log!$C:$C=$A35) * (Log!$D:$D=J$4)), "Unknown"), "")</f>
        <v/>
      </c>
      <c r="K35" s="106" t="str" cm="1">
        <f t="array" ref="K35">IF($A35&lt;&gt;"", IFERROR(_xlfn._xlws.FILTER(Log!$G:$G, (Log!$A:$A="Daily") * (Log!$B:$B="n/a") * (Log!$C:$C=$A35) * (Log!$D:$D=K$4)), "Unknown"), "")</f>
        <v/>
      </c>
      <c r="L35" s="106" t="str" cm="1">
        <f t="array" ref="L35">IF($A35&lt;&gt;"", IFERROR(_xlfn._xlws.FILTER(Log!$G:$G, (Log!$A:$A="Daily") * (Log!$B:$B="n/a") * (Log!$C:$C=$A35) * (Log!$D:$D=L$4)), "Unknown"), "")</f>
        <v/>
      </c>
      <c r="M35" s="106" t="str" cm="1">
        <f t="array" ref="M35">IF($A35&lt;&gt;"", IFERROR(_xlfn._xlws.FILTER(Log!$G:$G, (Log!$A:$A="Daily") * (Log!$B:$B="n/a") * (Log!$C:$C=$A35) * (Log!$D:$D=M$4)), "Unknown"), "")</f>
        <v/>
      </c>
      <c r="N35" s="106" t="str" cm="1">
        <f t="array" ref="N35">IF($A35&lt;&gt;"", IFERROR(_xlfn._xlws.FILTER(Log!$G:$G, (Log!$A:$A="Daily") * (Log!$B:$B="n/a") * (Log!$C:$C=$A35) * (Log!$D:$D=N$4)), "Unknown"), "")</f>
        <v/>
      </c>
      <c r="O35" s="106" t="str" cm="1">
        <f t="array" ref="O35">IF($A35&lt;&gt;"", IFERROR(_xlfn._xlws.FILTER(Log!$G:$G, (Log!$A:$A="Daily") * (Log!$B:$B="n/a") * (Log!$C:$C=$A35) * (Log!$D:$D=O$4)), "Unknown"), "")</f>
        <v/>
      </c>
      <c r="P35" s="106" t="str" cm="1">
        <f t="array" ref="P35">IF($A35&lt;&gt;"", IFERROR(_xlfn._xlws.FILTER(Log!$G:$G, (Log!$A:$A="Daily") * (Log!$B:$B="n/a") * (Log!$C:$C=$A35) * (Log!$D:$D=P$4)), "Unknown"), "")</f>
        <v/>
      </c>
      <c r="Q35" s="106" t="str" cm="1">
        <f t="array" ref="Q35">IF($A35&lt;&gt;"", IFERROR(_xlfn._xlws.FILTER(Log!$G:$G, (Log!$A:$A="Daily") * (Log!$B:$B="n/a") * (Log!$C:$C=$A35) * (Log!$D:$D=Q$4)), "Unknown"), "")</f>
        <v/>
      </c>
      <c r="R35" s="106" t="str" cm="1">
        <f t="array" ref="R35">IF($A35&lt;&gt;"", IFERROR(_xlfn._xlws.FILTER(Log!$G:$G, (Log!$A:$A="Daily") * (Log!$B:$B="n/a") * (Log!$C:$C=$A35) * (Log!$D:$D=R$4)), "Unknown"), "")</f>
        <v/>
      </c>
      <c r="S35" s="106" t="str" cm="1">
        <f t="array" ref="S35">IF($A35&lt;&gt;"", IFERROR(_xlfn._xlws.FILTER(Log!$G:$G, (Log!$A:$A="Daily") * (Log!$B:$B="n/a") * (Log!$C:$C=$A35) * (Log!$D:$D=S$4)), "Unknown"), "")</f>
        <v/>
      </c>
      <c r="T35" s="106" t="str" cm="1">
        <f t="array" ref="T35">IF($A35&lt;&gt;"", IFERROR(_xlfn._xlws.FILTER(Log!$G:$G, (Log!$A:$A="Daily") * (Log!$B:$B="n/a") * (Log!$C:$C=$A35) * (Log!$D:$D=T$4)), "Unknown"), "")</f>
        <v/>
      </c>
      <c r="W35" s="226" t="str">
        <f t="shared" si="43"/>
        <v/>
      </c>
      <c r="X35" s="226" t="str">
        <f t="shared" si="44"/>
        <v/>
      </c>
      <c r="Y35" s="226" t="str">
        <f t="shared" si="45"/>
        <v/>
      </c>
      <c r="Z35" s="226" t="str">
        <f t="shared" si="46"/>
        <v/>
      </c>
      <c r="AA35" s="226" t="str">
        <f t="shared" si="47"/>
        <v/>
      </c>
      <c r="AB35" s="226" t="str">
        <f t="shared" si="48"/>
        <v/>
      </c>
      <c r="AC35" s="226" t="str">
        <f t="shared" si="49"/>
        <v/>
      </c>
      <c r="AD35" s="226" t="str">
        <f t="shared" si="50"/>
        <v/>
      </c>
      <c r="AE35" s="226" t="str">
        <f t="shared" si="51"/>
        <v/>
      </c>
      <c r="AF35" s="226" t="str">
        <f t="shared" si="52"/>
        <v/>
      </c>
      <c r="AG35" s="226" t="str">
        <f t="shared" si="53"/>
        <v/>
      </c>
      <c r="AH35" s="226" t="str">
        <f t="shared" si="54"/>
        <v/>
      </c>
      <c r="AI35" s="226" t="str">
        <f t="shared" si="55"/>
        <v/>
      </c>
      <c r="AJ35" s="226" t="str">
        <f t="shared" si="56"/>
        <v/>
      </c>
      <c r="AK35" s="226" t="str">
        <f t="shared" si="57"/>
        <v/>
      </c>
      <c r="AL35" s="226" t="str">
        <f t="shared" si="58"/>
        <v/>
      </c>
      <c r="AM35" s="226" t="str">
        <f t="shared" si="59"/>
        <v/>
      </c>
      <c r="AN35" s="226" t="str">
        <f t="shared" si="60"/>
        <v/>
      </c>
    </row>
    <row r="36" spans="2:40" x14ac:dyDescent="0.25">
      <c r="B36" s="222" t="str">
        <f t="shared" si="6"/>
        <v/>
      </c>
      <c r="C36" s="106" t="str" cm="1">
        <f t="array" ref="C36">IF($A36&lt;&gt;"", IFERROR(_xlfn._xlws.FILTER(Log!$G:$G, (Log!$A:$A="Daily") * (Log!$B:$B="n/a") * (Log!$C:$C=$A36) * (Log!$D:$D=C$4)), "Unknown"), "")</f>
        <v/>
      </c>
      <c r="D36" s="106" t="str" cm="1">
        <f t="array" ref="D36">IF($A36&lt;&gt;"", IFERROR(_xlfn._xlws.FILTER(Log!$G:$G, (Log!$A:$A="Daily") * (Log!$B:$B="n/a") * (Log!$C:$C=$A36) * (Log!$D:$D=D$4)), "Unknown"), "")</f>
        <v/>
      </c>
      <c r="E36" s="106" t="str" cm="1">
        <f t="array" ref="E36">IF($A36&lt;&gt;"", IFERROR(_xlfn._xlws.FILTER(Log!$G:$G, (Log!$A:$A="Daily") * (Log!$B:$B="n/a") * (Log!$C:$C=$A36) * (Log!$D:$D=E$4)), "Unknown"), "")</f>
        <v/>
      </c>
      <c r="F36" s="106" t="str" cm="1">
        <f t="array" ref="F36">IF($A36&lt;&gt;"", IFERROR(_xlfn._xlws.FILTER(Log!$G:$G, (Log!$A:$A="Daily") * (Log!$B:$B="n/a") * (Log!$C:$C=$A36) * (Log!$D:$D=F$4)), "Unknown"), "")</f>
        <v/>
      </c>
      <c r="G36" s="106" t="str" cm="1">
        <f t="array" ref="G36">IF($A36&lt;&gt;"", IFERROR(_xlfn._xlws.FILTER(Log!$G:$G, (Log!$A:$A="Daily") * (Log!$B:$B="n/a") * (Log!$C:$C=$A36) * (Log!$D:$D=G$4)), "Unknown"), "")</f>
        <v/>
      </c>
      <c r="H36" s="106" t="str" cm="1">
        <f t="array" ref="H36">IF($A36&lt;&gt;"", IFERROR(_xlfn._xlws.FILTER(Log!$G:$G, (Log!$A:$A="Daily") * (Log!$B:$B="n/a") * (Log!$C:$C=$A36) * (Log!$D:$D=H$4)), "Unknown"), "")</f>
        <v/>
      </c>
      <c r="I36" s="106" t="str" cm="1">
        <f t="array" ref="I36">IF($A36&lt;&gt;"", IFERROR(_xlfn._xlws.FILTER(Log!$G:$G, (Log!$A:$A="Daily") * (Log!$B:$B="n/a") * (Log!$C:$C=$A36) * (Log!$D:$D=I$4)), "Unknown"), "")</f>
        <v/>
      </c>
      <c r="J36" s="106" t="str" cm="1">
        <f t="array" ref="J36">IF($A36&lt;&gt;"", IFERROR(_xlfn._xlws.FILTER(Log!$G:$G, (Log!$A:$A="Daily") * (Log!$B:$B="n/a") * (Log!$C:$C=$A36) * (Log!$D:$D=J$4)), "Unknown"), "")</f>
        <v/>
      </c>
      <c r="K36" s="106" t="str" cm="1">
        <f t="array" ref="K36">IF($A36&lt;&gt;"", IFERROR(_xlfn._xlws.FILTER(Log!$G:$G, (Log!$A:$A="Daily") * (Log!$B:$B="n/a") * (Log!$C:$C=$A36) * (Log!$D:$D=K$4)), "Unknown"), "")</f>
        <v/>
      </c>
      <c r="L36" s="106" t="str" cm="1">
        <f t="array" ref="L36">IF($A36&lt;&gt;"", IFERROR(_xlfn._xlws.FILTER(Log!$G:$G, (Log!$A:$A="Daily") * (Log!$B:$B="n/a") * (Log!$C:$C=$A36) * (Log!$D:$D=L$4)), "Unknown"), "")</f>
        <v/>
      </c>
      <c r="M36" s="106" t="str" cm="1">
        <f t="array" ref="M36">IF($A36&lt;&gt;"", IFERROR(_xlfn._xlws.FILTER(Log!$G:$G, (Log!$A:$A="Daily") * (Log!$B:$B="n/a") * (Log!$C:$C=$A36) * (Log!$D:$D=M$4)), "Unknown"), "")</f>
        <v/>
      </c>
      <c r="N36" s="106" t="str" cm="1">
        <f t="array" ref="N36">IF($A36&lt;&gt;"", IFERROR(_xlfn._xlws.FILTER(Log!$G:$G, (Log!$A:$A="Daily") * (Log!$B:$B="n/a") * (Log!$C:$C=$A36) * (Log!$D:$D=N$4)), "Unknown"), "")</f>
        <v/>
      </c>
      <c r="O36" s="106" t="str" cm="1">
        <f t="array" ref="O36">IF($A36&lt;&gt;"", IFERROR(_xlfn._xlws.FILTER(Log!$G:$G, (Log!$A:$A="Daily") * (Log!$B:$B="n/a") * (Log!$C:$C=$A36) * (Log!$D:$D=O$4)), "Unknown"), "")</f>
        <v/>
      </c>
      <c r="P36" s="106" t="str" cm="1">
        <f t="array" ref="P36">IF($A36&lt;&gt;"", IFERROR(_xlfn._xlws.FILTER(Log!$G:$G, (Log!$A:$A="Daily") * (Log!$B:$B="n/a") * (Log!$C:$C=$A36) * (Log!$D:$D=P$4)), "Unknown"), "")</f>
        <v/>
      </c>
      <c r="Q36" s="106" t="str" cm="1">
        <f t="array" ref="Q36">IF($A36&lt;&gt;"", IFERROR(_xlfn._xlws.FILTER(Log!$G:$G, (Log!$A:$A="Daily") * (Log!$B:$B="n/a") * (Log!$C:$C=$A36) * (Log!$D:$D=Q$4)), "Unknown"), "")</f>
        <v/>
      </c>
      <c r="R36" s="106" t="str" cm="1">
        <f t="array" ref="R36">IF($A36&lt;&gt;"", IFERROR(_xlfn._xlws.FILTER(Log!$G:$G, (Log!$A:$A="Daily") * (Log!$B:$B="n/a") * (Log!$C:$C=$A36) * (Log!$D:$D=R$4)), "Unknown"), "")</f>
        <v/>
      </c>
      <c r="S36" s="106" t="str" cm="1">
        <f t="array" ref="S36">IF($A36&lt;&gt;"", IFERROR(_xlfn._xlws.FILTER(Log!$G:$G, (Log!$A:$A="Daily") * (Log!$B:$B="n/a") * (Log!$C:$C=$A36) * (Log!$D:$D=S$4)), "Unknown"), "")</f>
        <v/>
      </c>
      <c r="T36" s="106" t="str" cm="1">
        <f t="array" ref="T36">IF($A36&lt;&gt;"", IFERROR(_xlfn._xlws.FILTER(Log!$G:$G, (Log!$A:$A="Daily") * (Log!$B:$B="n/a") * (Log!$C:$C=$A36) * (Log!$D:$D=T$4)), "Unknown"), "")</f>
        <v/>
      </c>
      <c r="W36" s="226" t="str">
        <f t="shared" si="43"/>
        <v/>
      </c>
      <c r="X36" s="226" t="str">
        <f t="shared" si="44"/>
        <v/>
      </c>
      <c r="Y36" s="226" t="str">
        <f t="shared" si="45"/>
        <v/>
      </c>
      <c r="Z36" s="226" t="str">
        <f t="shared" si="46"/>
        <v/>
      </c>
      <c r="AA36" s="226" t="str">
        <f t="shared" si="47"/>
        <v/>
      </c>
      <c r="AB36" s="226" t="str">
        <f t="shared" si="48"/>
        <v/>
      </c>
      <c r="AC36" s="226" t="str">
        <f t="shared" si="49"/>
        <v/>
      </c>
      <c r="AD36" s="226" t="str">
        <f t="shared" si="50"/>
        <v/>
      </c>
      <c r="AE36" s="226" t="str">
        <f t="shared" si="51"/>
        <v/>
      </c>
      <c r="AF36" s="226" t="str">
        <f t="shared" si="52"/>
        <v/>
      </c>
      <c r="AG36" s="226" t="str">
        <f t="shared" si="53"/>
        <v/>
      </c>
      <c r="AH36" s="226" t="str">
        <f t="shared" si="54"/>
        <v/>
      </c>
      <c r="AI36" s="226" t="str">
        <f t="shared" si="55"/>
        <v/>
      </c>
      <c r="AJ36" s="226" t="str">
        <f t="shared" si="56"/>
        <v/>
      </c>
      <c r="AK36" s="226" t="str">
        <f t="shared" si="57"/>
        <v/>
      </c>
      <c r="AL36" s="226" t="str">
        <f t="shared" si="58"/>
        <v/>
      </c>
      <c r="AM36" s="226" t="str">
        <f t="shared" si="59"/>
        <v/>
      </c>
      <c r="AN36" s="226" t="str">
        <f t="shared" si="60"/>
        <v/>
      </c>
    </row>
    <row r="37" spans="2:40" x14ac:dyDescent="0.25">
      <c r="B37" s="222" t="str">
        <f t="shared" si="6"/>
        <v/>
      </c>
      <c r="C37" s="106" t="str" cm="1">
        <f t="array" ref="C37">IF($A37&lt;&gt;"", IFERROR(_xlfn._xlws.FILTER(Log!$G:$G, (Log!$A:$A="Daily") * (Log!$B:$B="n/a") * (Log!$C:$C=$A37) * (Log!$D:$D=C$4)), "Unknown"), "")</f>
        <v/>
      </c>
      <c r="D37" s="106" t="str" cm="1">
        <f t="array" ref="D37">IF($A37&lt;&gt;"", IFERROR(_xlfn._xlws.FILTER(Log!$G:$G, (Log!$A:$A="Daily") * (Log!$B:$B="n/a") * (Log!$C:$C=$A37) * (Log!$D:$D=D$4)), "Unknown"), "")</f>
        <v/>
      </c>
      <c r="E37" s="106" t="str" cm="1">
        <f t="array" ref="E37">IF($A37&lt;&gt;"", IFERROR(_xlfn._xlws.FILTER(Log!$G:$G, (Log!$A:$A="Daily") * (Log!$B:$B="n/a") * (Log!$C:$C=$A37) * (Log!$D:$D=E$4)), "Unknown"), "")</f>
        <v/>
      </c>
      <c r="F37" s="106" t="str" cm="1">
        <f t="array" ref="F37">IF($A37&lt;&gt;"", IFERROR(_xlfn._xlws.FILTER(Log!$G:$G, (Log!$A:$A="Daily") * (Log!$B:$B="n/a") * (Log!$C:$C=$A37) * (Log!$D:$D=F$4)), "Unknown"), "")</f>
        <v/>
      </c>
      <c r="G37" s="106" t="str" cm="1">
        <f t="array" ref="G37">IF($A37&lt;&gt;"", IFERROR(_xlfn._xlws.FILTER(Log!$G:$G, (Log!$A:$A="Daily") * (Log!$B:$B="n/a") * (Log!$C:$C=$A37) * (Log!$D:$D=G$4)), "Unknown"), "")</f>
        <v/>
      </c>
      <c r="H37" s="106" t="str" cm="1">
        <f t="array" ref="H37">IF($A37&lt;&gt;"", IFERROR(_xlfn._xlws.FILTER(Log!$G:$G, (Log!$A:$A="Daily") * (Log!$B:$B="n/a") * (Log!$C:$C=$A37) * (Log!$D:$D=H$4)), "Unknown"), "")</f>
        <v/>
      </c>
      <c r="I37" s="106" t="str" cm="1">
        <f t="array" ref="I37">IF($A37&lt;&gt;"", IFERROR(_xlfn._xlws.FILTER(Log!$G:$G, (Log!$A:$A="Daily") * (Log!$B:$B="n/a") * (Log!$C:$C=$A37) * (Log!$D:$D=I$4)), "Unknown"), "")</f>
        <v/>
      </c>
      <c r="J37" s="106" t="str" cm="1">
        <f t="array" ref="J37">IF($A37&lt;&gt;"", IFERROR(_xlfn._xlws.FILTER(Log!$G:$G, (Log!$A:$A="Daily") * (Log!$B:$B="n/a") * (Log!$C:$C=$A37) * (Log!$D:$D=J$4)), "Unknown"), "")</f>
        <v/>
      </c>
      <c r="K37" s="106" t="str" cm="1">
        <f t="array" ref="K37">IF($A37&lt;&gt;"", IFERROR(_xlfn._xlws.FILTER(Log!$G:$G, (Log!$A:$A="Daily") * (Log!$B:$B="n/a") * (Log!$C:$C=$A37) * (Log!$D:$D=K$4)), "Unknown"), "")</f>
        <v/>
      </c>
      <c r="L37" s="106" t="str" cm="1">
        <f t="array" ref="L37">IF($A37&lt;&gt;"", IFERROR(_xlfn._xlws.FILTER(Log!$G:$G, (Log!$A:$A="Daily") * (Log!$B:$B="n/a") * (Log!$C:$C=$A37) * (Log!$D:$D=L$4)), "Unknown"), "")</f>
        <v/>
      </c>
      <c r="M37" s="106" t="str" cm="1">
        <f t="array" ref="M37">IF($A37&lt;&gt;"", IFERROR(_xlfn._xlws.FILTER(Log!$G:$G, (Log!$A:$A="Daily") * (Log!$B:$B="n/a") * (Log!$C:$C=$A37) * (Log!$D:$D=M$4)), "Unknown"), "")</f>
        <v/>
      </c>
      <c r="N37" s="106" t="str" cm="1">
        <f t="array" ref="N37">IF($A37&lt;&gt;"", IFERROR(_xlfn._xlws.FILTER(Log!$G:$G, (Log!$A:$A="Daily") * (Log!$B:$B="n/a") * (Log!$C:$C=$A37) * (Log!$D:$D=N$4)), "Unknown"), "")</f>
        <v/>
      </c>
      <c r="O37" s="106" t="str" cm="1">
        <f t="array" ref="O37">IF($A37&lt;&gt;"", IFERROR(_xlfn._xlws.FILTER(Log!$G:$G, (Log!$A:$A="Daily") * (Log!$B:$B="n/a") * (Log!$C:$C=$A37) * (Log!$D:$D=O$4)), "Unknown"), "")</f>
        <v/>
      </c>
      <c r="P37" s="106" t="str" cm="1">
        <f t="array" ref="P37">IF($A37&lt;&gt;"", IFERROR(_xlfn._xlws.FILTER(Log!$G:$G, (Log!$A:$A="Daily") * (Log!$B:$B="n/a") * (Log!$C:$C=$A37) * (Log!$D:$D=P$4)), "Unknown"), "")</f>
        <v/>
      </c>
      <c r="Q37" s="106" t="str" cm="1">
        <f t="array" ref="Q37">IF($A37&lt;&gt;"", IFERROR(_xlfn._xlws.FILTER(Log!$G:$G, (Log!$A:$A="Daily") * (Log!$B:$B="n/a") * (Log!$C:$C=$A37) * (Log!$D:$D=Q$4)), "Unknown"), "")</f>
        <v/>
      </c>
      <c r="R37" s="106" t="str" cm="1">
        <f t="array" ref="R37">IF($A37&lt;&gt;"", IFERROR(_xlfn._xlws.FILTER(Log!$G:$G, (Log!$A:$A="Daily") * (Log!$B:$B="n/a") * (Log!$C:$C=$A37) * (Log!$D:$D=R$4)), "Unknown"), "")</f>
        <v/>
      </c>
      <c r="S37" s="106" t="str" cm="1">
        <f t="array" ref="S37">IF($A37&lt;&gt;"", IFERROR(_xlfn._xlws.FILTER(Log!$G:$G, (Log!$A:$A="Daily") * (Log!$B:$B="n/a") * (Log!$C:$C=$A37) * (Log!$D:$D=S$4)), "Unknown"), "")</f>
        <v/>
      </c>
      <c r="T37" s="106" t="str" cm="1">
        <f t="array" ref="T37">IF($A37&lt;&gt;"", IFERROR(_xlfn._xlws.FILTER(Log!$G:$G, (Log!$A:$A="Daily") * (Log!$B:$B="n/a") * (Log!$C:$C=$A37) * (Log!$D:$D=T$4)), "Unknown"), "")</f>
        <v/>
      </c>
      <c r="W37" s="226" t="str">
        <f t="shared" si="43"/>
        <v/>
      </c>
      <c r="X37" s="226" t="str">
        <f t="shared" si="44"/>
        <v/>
      </c>
      <c r="Y37" s="226" t="str">
        <f t="shared" si="45"/>
        <v/>
      </c>
      <c r="Z37" s="226" t="str">
        <f t="shared" si="46"/>
        <v/>
      </c>
      <c r="AA37" s="226" t="str">
        <f t="shared" si="47"/>
        <v/>
      </c>
      <c r="AB37" s="226" t="str">
        <f t="shared" si="48"/>
        <v/>
      </c>
      <c r="AC37" s="226" t="str">
        <f t="shared" si="49"/>
        <v/>
      </c>
      <c r="AD37" s="226" t="str">
        <f t="shared" si="50"/>
        <v/>
      </c>
      <c r="AE37" s="226" t="str">
        <f t="shared" si="51"/>
        <v/>
      </c>
      <c r="AF37" s="226" t="str">
        <f t="shared" si="52"/>
        <v/>
      </c>
      <c r="AG37" s="226" t="str">
        <f t="shared" si="53"/>
        <v/>
      </c>
      <c r="AH37" s="226" t="str">
        <f t="shared" si="54"/>
        <v/>
      </c>
      <c r="AI37" s="226" t="str">
        <f t="shared" si="55"/>
        <v/>
      </c>
      <c r="AJ37" s="226" t="str">
        <f t="shared" si="56"/>
        <v/>
      </c>
      <c r="AK37" s="226" t="str">
        <f t="shared" si="57"/>
        <v/>
      </c>
      <c r="AL37" s="226" t="str">
        <f t="shared" si="58"/>
        <v/>
      </c>
      <c r="AM37" s="226" t="str">
        <f t="shared" si="59"/>
        <v/>
      </c>
      <c r="AN37" s="226" t="str">
        <f t="shared" si="60"/>
        <v/>
      </c>
    </row>
    <row r="38" spans="2:40" x14ac:dyDescent="0.25">
      <c r="B38" s="222" t="str">
        <f t="shared" si="6"/>
        <v/>
      </c>
      <c r="C38" s="106" t="str" cm="1">
        <f t="array" ref="C38">IF($A38&lt;&gt;"", IFERROR(_xlfn._xlws.FILTER(Log!$G:$G, (Log!$A:$A="Daily") * (Log!$B:$B="n/a") * (Log!$C:$C=$A38) * (Log!$D:$D=C$4)), "Unknown"), "")</f>
        <v/>
      </c>
      <c r="D38" s="106" t="str" cm="1">
        <f t="array" ref="D38">IF($A38&lt;&gt;"", IFERROR(_xlfn._xlws.FILTER(Log!$G:$G, (Log!$A:$A="Daily") * (Log!$B:$B="n/a") * (Log!$C:$C=$A38) * (Log!$D:$D=D$4)), "Unknown"), "")</f>
        <v/>
      </c>
      <c r="E38" s="106" t="str" cm="1">
        <f t="array" ref="E38">IF($A38&lt;&gt;"", IFERROR(_xlfn._xlws.FILTER(Log!$G:$G, (Log!$A:$A="Daily") * (Log!$B:$B="n/a") * (Log!$C:$C=$A38) * (Log!$D:$D=E$4)), "Unknown"), "")</f>
        <v/>
      </c>
      <c r="F38" s="106" t="str" cm="1">
        <f t="array" ref="F38">IF($A38&lt;&gt;"", IFERROR(_xlfn._xlws.FILTER(Log!$G:$G, (Log!$A:$A="Daily") * (Log!$B:$B="n/a") * (Log!$C:$C=$A38) * (Log!$D:$D=F$4)), "Unknown"), "")</f>
        <v/>
      </c>
      <c r="G38" s="106" t="str" cm="1">
        <f t="array" ref="G38">IF($A38&lt;&gt;"", IFERROR(_xlfn._xlws.FILTER(Log!$G:$G, (Log!$A:$A="Daily") * (Log!$B:$B="n/a") * (Log!$C:$C=$A38) * (Log!$D:$D=G$4)), "Unknown"), "")</f>
        <v/>
      </c>
      <c r="H38" s="106" t="str" cm="1">
        <f t="array" ref="H38">IF($A38&lt;&gt;"", IFERROR(_xlfn._xlws.FILTER(Log!$G:$G, (Log!$A:$A="Daily") * (Log!$B:$B="n/a") * (Log!$C:$C=$A38) * (Log!$D:$D=H$4)), "Unknown"), "")</f>
        <v/>
      </c>
      <c r="I38" s="106" t="str" cm="1">
        <f t="array" ref="I38">IF($A38&lt;&gt;"", IFERROR(_xlfn._xlws.FILTER(Log!$G:$G, (Log!$A:$A="Daily") * (Log!$B:$B="n/a") * (Log!$C:$C=$A38) * (Log!$D:$D=I$4)), "Unknown"), "")</f>
        <v/>
      </c>
      <c r="J38" s="106" t="str" cm="1">
        <f t="array" ref="J38">IF($A38&lt;&gt;"", IFERROR(_xlfn._xlws.FILTER(Log!$G:$G, (Log!$A:$A="Daily") * (Log!$B:$B="n/a") * (Log!$C:$C=$A38) * (Log!$D:$D=J$4)), "Unknown"), "")</f>
        <v/>
      </c>
      <c r="K38" s="106" t="str" cm="1">
        <f t="array" ref="K38">IF($A38&lt;&gt;"", IFERROR(_xlfn._xlws.FILTER(Log!$G:$G, (Log!$A:$A="Daily") * (Log!$B:$B="n/a") * (Log!$C:$C=$A38) * (Log!$D:$D=K$4)), "Unknown"), "")</f>
        <v/>
      </c>
      <c r="L38" s="106" t="str" cm="1">
        <f t="array" ref="L38">IF($A38&lt;&gt;"", IFERROR(_xlfn._xlws.FILTER(Log!$G:$G, (Log!$A:$A="Daily") * (Log!$B:$B="n/a") * (Log!$C:$C=$A38) * (Log!$D:$D=L$4)), "Unknown"), "")</f>
        <v/>
      </c>
      <c r="M38" s="106" t="str" cm="1">
        <f t="array" ref="M38">IF($A38&lt;&gt;"", IFERROR(_xlfn._xlws.FILTER(Log!$G:$G, (Log!$A:$A="Daily") * (Log!$B:$B="n/a") * (Log!$C:$C=$A38) * (Log!$D:$D=M$4)), "Unknown"), "")</f>
        <v/>
      </c>
      <c r="N38" s="106" t="str" cm="1">
        <f t="array" ref="N38">IF($A38&lt;&gt;"", IFERROR(_xlfn._xlws.FILTER(Log!$G:$G, (Log!$A:$A="Daily") * (Log!$B:$B="n/a") * (Log!$C:$C=$A38) * (Log!$D:$D=N$4)), "Unknown"), "")</f>
        <v/>
      </c>
      <c r="O38" s="106" t="str" cm="1">
        <f t="array" ref="O38">IF($A38&lt;&gt;"", IFERROR(_xlfn._xlws.FILTER(Log!$G:$G, (Log!$A:$A="Daily") * (Log!$B:$B="n/a") * (Log!$C:$C=$A38) * (Log!$D:$D=O$4)), "Unknown"), "")</f>
        <v/>
      </c>
      <c r="P38" s="106" t="str" cm="1">
        <f t="array" ref="P38">IF($A38&lt;&gt;"", IFERROR(_xlfn._xlws.FILTER(Log!$G:$G, (Log!$A:$A="Daily") * (Log!$B:$B="n/a") * (Log!$C:$C=$A38) * (Log!$D:$D=P$4)), "Unknown"), "")</f>
        <v/>
      </c>
      <c r="Q38" s="106" t="str" cm="1">
        <f t="array" ref="Q38">IF($A38&lt;&gt;"", IFERROR(_xlfn._xlws.FILTER(Log!$G:$G, (Log!$A:$A="Daily") * (Log!$B:$B="n/a") * (Log!$C:$C=$A38) * (Log!$D:$D=Q$4)), "Unknown"), "")</f>
        <v/>
      </c>
      <c r="R38" s="106" t="str" cm="1">
        <f t="array" ref="R38">IF($A38&lt;&gt;"", IFERROR(_xlfn._xlws.FILTER(Log!$G:$G, (Log!$A:$A="Daily") * (Log!$B:$B="n/a") * (Log!$C:$C=$A38) * (Log!$D:$D=R$4)), "Unknown"), "")</f>
        <v/>
      </c>
      <c r="S38" s="106" t="str" cm="1">
        <f t="array" ref="S38">IF($A38&lt;&gt;"", IFERROR(_xlfn._xlws.FILTER(Log!$G:$G, (Log!$A:$A="Daily") * (Log!$B:$B="n/a") * (Log!$C:$C=$A38) * (Log!$D:$D=S$4)), "Unknown"), "")</f>
        <v/>
      </c>
      <c r="T38" s="106" t="str" cm="1">
        <f t="array" ref="T38">IF($A38&lt;&gt;"", IFERROR(_xlfn._xlws.FILTER(Log!$G:$G, (Log!$A:$A="Daily") * (Log!$B:$B="n/a") * (Log!$C:$C=$A38) * (Log!$D:$D=T$4)), "Unknown"), "")</f>
        <v/>
      </c>
      <c r="W38" s="226" t="str">
        <f t="shared" si="43"/>
        <v/>
      </c>
      <c r="X38" s="226" t="str">
        <f t="shared" si="44"/>
        <v/>
      </c>
      <c r="Y38" s="226" t="str">
        <f t="shared" si="45"/>
        <v/>
      </c>
      <c r="Z38" s="226" t="str">
        <f t="shared" si="46"/>
        <v/>
      </c>
      <c r="AA38" s="226" t="str">
        <f t="shared" si="47"/>
        <v/>
      </c>
      <c r="AB38" s="226" t="str">
        <f t="shared" si="48"/>
        <v/>
      </c>
      <c r="AC38" s="226" t="str">
        <f t="shared" si="49"/>
        <v/>
      </c>
      <c r="AD38" s="226" t="str">
        <f t="shared" si="50"/>
        <v/>
      </c>
      <c r="AE38" s="226" t="str">
        <f t="shared" si="51"/>
        <v/>
      </c>
      <c r="AF38" s="226" t="str">
        <f t="shared" si="52"/>
        <v/>
      </c>
      <c r="AG38" s="226" t="str">
        <f t="shared" si="53"/>
        <v/>
      </c>
      <c r="AH38" s="226" t="str">
        <f t="shared" si="54"/>
        <v/>
      </c>
      <c r="AI38" s="226" t="str">
        <f t="shared" si="55"/>
        <v/>
      </c>
      <c r="AJ38" s="226" t="str">
        <f t="shared" si="56"/>
        <v/>
      </c>
      <c r="AK38" s="226" t="str">
        <f t="shared" si="57"/>
        <v/>
      </c>
      <c r="AL38" s="226" t="str">
        <f t="shared" si="58"/>
        <v/>
      </c>
      <c r="AM38" s="226" t="str">
        <f t="shared" si="59"/>
        <v/>
      </c>
      <c r="AN38" s="226" t="str">
        <f t="shared" si="60"/>
        <v/>
      </c>
    </row>
    <row r="39" spans="2:40" x14ac:dyDescent="0.25">
      <c r="B39" s="222" t="str">
        <f t="shared" si="6"/>
        <v/>
      </c>
      <c r="C39" s="106" t="str" cm="1">
        <f t="array" ref="C39">IF($A39&lt;&gt;"", IFERROR(_xlfn._xlws.FILTER(Log!$G:$G, (Log!$A:$A="Daily") * (Log!$B:$B="n/a") * (Log!$C:$C=$A39) * (Log!$D:$D=C$4)), "Unknown"), "")</f>
        <v/>
      </c>
      <c r="D39" s="106" t="str" cm="1">
        <f t="array" ref="D39">IF($A39&lt;&gt;"", IFERROR(_xlfn._xlws.FILTER(Log!$G:$G, (Log!$A:$A="Daily") * (Log!$B:$B="n/a") * (Log!$C:$C=$A39) * (Log!$D:$D=D$4)), "Unknown"), "")</f>
        <v/>
      </c>
      <c r="E39" s="106" t="str" cm="1">
        <f t="array" ref="E39">IF($A39&lt;&gt;"", IFERROR(_xlfn._xlws.FILTER(Log!$G:$G, (Log!$A:$A="Daily") * (Log!$B:$B="n/a") * (Log!$C:$C=$A39) * (Log!$D:$D=E$4)), "Unknown"), "")</f>
        <v/>
      </c>
      <c r="F39" s="106" t="str" cm="1">
        <f t="array" ref="F39">IF($A39&lt;&gt;"", IFERROR(_xlfn._xlws.FILTER(Log!$G:$G, (Log!$A:$A="Daily") * (Log!$B:$B="n/a") * (Log!$C:$C=$A39) * (Log!$D:$D=F$4)), "Unknown"), "")</f>
        <v/>
      </c>
      <c r="G39" s="106" t="str" cm="1">
        <f t="array" ref="G39">IF($A39&lt;&gt;"", IFERROR(_xlfn._xlws.FILTER(Log!$G:$G, (Log!$A:$A="Daily") * (Log!$B:$B="n/a") * (Log!$C:$C=$A39) * (Log!$D:$D=G$4)), "Unknown"), "")</f>
        <v/>
      </c>
      <c r="H39" s="106" t="str" cm="1">
        <f t="array" ref="H39">IF($A39&lt;&gt;"", IFERROR(_xlfn._xlws.FILTER(Log!$G:$G, (Log!$A:$A="Daily") * (Log!$B:$B="n/a") * (Log!$C:$C=$A39) * (Log!$D:$D=H$4)), "Unknown"), "")</f>
        <v/>
      </c>
      <c r="I39" s="106" t="str" cm="1">
        <f t="array" ref="I39">IF($A39&lt;&gt;"", IFERROR(_xlfn._xlws.FILTER(Log!$G:$G, (Log!$A:$A="Daily") * (Log!$B:$B="n/a") * (Log!$C:$C=$A39) * (Log!$D:$D=I$4)), "Unknown"), "")</f>
        <v/>
      </c>
      <c r="J39" s="106" t="str" cm="1">
        <f t="array" ref="J39">IF($A39&lt;&gt;"", IFERROR(_xlfn._xlws.FILTER(Log!$G:$G, (Log!$A:$A="Daily") * (Log!$B:$B="n/a") * (Log!$C:$C=$A39) * (Log!$D:$D=J$4)), "Unknown"), "")</f>
        <v/>
      </c>
      <c r="K39" s="106" t="str" cm="1">
        <f t="array" ref="K39">IF($A39&lt;&gt;"", IFERROR(_xlfn._xlws.FILTER(Log!$G:$G, (Log!$A:$A="Daily") * (Log!$B:$B="n/a") * (Log!$C:$C=$A39) * (Log!$D:$D=K$4)), "Unknown"), "")</f>
        <v/>
      </c>
      <c r="L39" s="106" t="str" cm="1">
        <f t="array" ref="L39">IF($A39&lt;&gt;"", IFERROR(_xlfn._xlws.FILTER(Log!$G:$G, (Log!$A:$A="Daily") * (Log!$B:$B="n/a") * (Log!$C:$C=$A39) * (Log!$D:$D=L$4)), "Unknown"), "")</f>
        <v/>
      </c>
      <c r="M39" s="106" t="str" cm="1">
        <f t="array" ref="M39">IF($A39&lt;&gt;"", IFERROR(_xlfn._xlws.FILTER(Log!$G:$G, (Log!$A:$A="Daily") * (Log!$B:$B="n/a") * (Log!$C:$C=$A39) * (Log!$D:$D=M$4)), "Unknown"), "")</f>
        <v/>
      </c>
      <c r="N39" s="106" t="str" cm="1">
        <f t="array" ref="N39">IF($A39&lt;&gt;"", IFERROR(_xlfn._xlws.FILTER(Log!$G:$G, (Log!$A:$A="Daily") * (Log!$B:$B="n/a") * (Log!$C:$C=$A39) * (Log!$D:$D=N$4)), "Unknown"), "")</f>
        <v/>
      </c>
      <c r="O39" s="106" t="str" cm="1">
        <f t="array" ref="O39">IF($A39&lt;&gt;"", IFERROR(_xlfn._xlws.FILTER(Log!$G:$G, (Log!$A:$A="Daily") * (Log!$B:$B="n/a") * (Log!$C:$C=$A39) * (Log!$D:$D=O$4)), "Unknown"), "")</f>
        <v/>
      </c>
      <c r="P39" s="106" t="str" cm="1">
        <f t="array" ref="P39">IF($A39&lt;&gt;"", IFERROR(_xlfn._xlws.FILTER(Log!$G:$G, (Log!$A:$A="Daily") * (Log!$B:$B="n/a") * (Log!$C:$C=$A39) * (Log!$D:$D=P$4)), "Unknown"), "")</f>
        <v/>
      </c>
      <c r="Q39" s="106" t="str" cm="1">
        <f t="array" ref="Q39">IF($A39&lt;&gt;"", IFERROR(_xlfn._xlws.FILTER(Log!$G:$G, (Log!$A:$A="Daily") * (Log!$B:$B="n/a") * (Log!$C:$C=$A39) * (Log!$D:$D=Q$4)), "Unknown"), "")</f>
        <v/>
      </c>
      <c r="R39" s="106" t="str" cm="1">
        <f t="array" ref="R39">IF($A39&lt;&gt;"", IFERROR(_xlfn._xlws.FILTER(Log!$G:$G, (Log!$A:$A="Daily") * (Log!$B:$B="n/a") * (Log!$C:$C=$A39) * (Log!$D:$D=R$4)), "Unknown"), "")</f>
        <v/>
      </c>
      <c r="S39" s="106" t="str" cm="1">
        <f t="array" ref="S39">IF($A39&lt;&gt;"", IFERROR(_xlfn._xlws.FILTER(Log!$G:$G, (Log!$A:$A="Daily") * (Log!$B:$B="n/a") * (Log!$C:$C=$A39) * (Log!$D:$D=S$4)), "Unknown"), "")</f>
        <v/>
      </c>
      <c r="T39" s="106" t="str" cm="1">
        <f t="array" ref="T39">IF($A39&lt;&gt;"", IFERROR(_xlfn._xlws.FILTER(Log!$G:$G, (Log!$A:$A="Daily") * (Log!$B:$B="n/a") * (Log!$C:$C=$A39) * (Log!$D:$D=T$4)), "Unknown"), "")</f>
        <v/>
      </c>
      <c r="W39" s="226" t="str">
        <f t="shared" si="43"/>
        <v/>
      </c>
      <c r="X39" s="226" t="str">
        <f t="shared" si="44"/>
        <v/>
      </c>
      <c r="Y39" s="226" t="str">
        <f t="shared" si="45"/>
        <v/>
      </c>
      <c r="Z39" s="226" t="str">
        <f t="shared" si="46"/>
        <v/>
      </c>
      <c r="AA39" s="226" t="str">
        <f t="shared" si="47"/>
        <v/>
      </c>
      <c r="AB39" s="226" t="str">
        <f t="shared" si="48"/>
        <v/>
      </c>
      <c r="AC39" s="226" t="str">
        <f t="shared" si="49"/>
        <v/>
      </c>
      <c r="AD39" s="226" t="str">
        <f t="shared" si="50"/>
        <v/>
      </c>
      <c r="AE39" s="226" t="str">
        <f t="shared" si="51"/>
        <v/>
      </c>
      <c r="AF39" s="226" t="str">
        <f t="shared" si="52"/>
        <v/>
      </c>
      <c r="AG39" s="226" t="str">
        <f t="shared" si="53"/>
        <v/>
      </c>
      <c r="AH39" s="226" t="str">
        <f t="shared" si="54"/>
        <v/>
      </c>
      <c r="AI39" s="226" t="str">
        <f t="shared" si="55"/>
        <v/>
      </c>
      <c r="AJ39" s="226" t="str">
        <f t="shared" si="56"/>
        <v/>
      </c>
      <c r="AK39" s="226" t="str">
        <f t="shared" si="57"/>
        <v/>
      </c>
      <c r="AL39" s="226" t="str">
        <f t="shared" si="58"/>
        <v/>
      </c>
      <c r="AM39" s="226" t="str">
        <f t="shared" si="59"/>
        <v/>
      </c>
      <c r="AN39" s="226" t="str">
        <f t="shared" si="60"/>
        <v/>
      </c>
    </row>
    <row r="40" spans="2:40" x14ac:dyDescent="0.25">
      <c r="C40" s="106" t="str" cm="1">
        <f t="array" ref="C40">IF($A40&lt;&gt;"", IFERROR(_xlfn._xlws.FILTER(Log!$G:$G, (Log!$A:$A="Daily") * (Log!$B:$B="n/a") * (Log!$C:$C=$A40) * (Log!$D:$D=C$4)), "Unknown"), "")</f>
        <v/>
      </c>
      <c r="D40" s="106" t="str" cm="1">
        <f t="array" ref="D40">IF($A40&lt;&gt;"", IFERROR(_xlfn._xlws.FILTER(Log!$G:$G, (Log!$A:$A="Daily") * (Log!$B:$B="n/a") * (Log!$C:$C=$A40) * (Log!$D:$D=D$4)), "Unknown"), "")</f>
        <v/>
      </c>
      <c r="E40" s="106" t="str" cm="1">
        <f t="array" ref="E40">IF($A40&lt;&gt;"", IFERROR(_xlfn._xlws.FILTER(Log!$G:$G, (Log!$A:$A="Daily") * (Log!$B:$B="n/a") * (Log!$C:$C=$A40) * (Log!$D:$D=E$4)), "Unknown"), "")</f>
        <v/>
      </c>
      <c r="F40" s="106" t="str" cm="1">
        <f t="array" ref="F40">IF($A40&lt;&gt;"", IFERROR(_xlfn._xlws.FILTER(Log!$G:$G, (Log!$A:$A="Daily") * (Log!$B:$B="n/a") * (Log!$C:$C=$A40) * (Log!$D:$D=F$4)), "Unknown"), "")</f>
        <v/>
      </c>
      <c r="G40" s="106" t="str" cm="1">
        <f t="array" ref="G40">IF($A40&lt;&gt;"", IFERROR(_xlfn._xlws.FILTER(Log!$G:$G, (Log!$A:$A="Daily") * (Log!$B:$B="n/a") * (Log!$C:$C=$A40) * (Log!$D:$D=G$4)), "Unknown"), "")</f>
        <v/>
      </c>
      <c r="H40" s="106" t="str" cm="1">
        <f t="array" ref="H40">IF($A40&lt;&gt;"", IFERROR(_xlfn._xlws.FILTER(Log!$G:$G, (Log!$A:$A="Daily") * (Log!$B:$B="n/a") * (Log!$C:$C=$A40) * (Log!$D:$D=H$4)), "Unknown"), "")</f>
        <v/>
      </c>
      <c r="I40" s="106" t="str" cm="1">
        <f t="array" ref="I40">IF($A40&lt;&gt;"", IFERROR(_xlfn._xlws.FILTER(Log!$G:$G, (Log!$A:$A="Daily") * (Log!$B:$B="n/a") * (Log!$C:$C=$A40) * (Log!$D:$D=I$4)), "Unknown"), "")</f>
        <v/>
      </c>
      <c r="J40" s="106" t="str" cm="1">
        <f t="array" ref="J40">IF($A40&lt;&gt;"", IFERROR(_xlfn._xlws.FILTER(Log!$G:$G, (Log!$A:$A="Daily") * (Log!$B:$B="n/a") * (Log!$C:$C=$A40) * (Log!$D:$D=J$4)), "Unknown"), "")</f>
        <v/>
      </c>
      <c r="K40" s="106" t="str" cm="1">
        <f t="array" ref="K40">IF($A40&lt;&gt;"", IFERROR(_xlfn._xlws.FILTER(Log!$G:$G, (Log!$A:$A="Daily") * (Log!$B:$B="n/a") * (Log!$C:$C=$A40) * (Log!$D:$D=K$4)), "Unknown"), "")</f>
        <v/>
      </c>
      <c r="L40" s="106" t="str" cm="1">
        <f t="array" ref="L40">IF($A40&lt;&gt;"", IFERROR(_xlfn._xlws.FILTER(Log!$G:$G, (Log!$A:$A="Daily") * (Log!$B:$B="n/a") * (Log!$C:$C=$A40) * (Log!$D:$D=L$4)), "Unknown"), "")</f>
        <v/>
      </c>
      <c r="M40" s="106" t="str" cm="1">
        <f t="array" ref="M40">IF($A40&lt;&gt;"", IFERROR(_xlfn._xlws.FILTER(Log!$G:$G, (Log!$A:$A="Daily") * (Log!$B:$B="n/a") * (Log!$C:$C=$A40) * (Log!$D:$D=M$4)), "Unknown"), "")</f>
        <v/>
      </c>
      <c r="N40" s="106" t="str" cm="1">
        <f t="array" ref="N40">IF($A40&lt;&gt;"", IFERROR(_xlfn._xlws.FILTER(Log!$G:$G, (Log!$A:$A="Daily") * (Log!$B:$B="n/a") * (Log!$C:$C=$A40) * (Log!$D:$D=N$4)), "Unknown"), "")</f>
        <v/>
      </c>
      <c r="O40" s="106" t="str" cm="1">
        <f t="array" ref="O40">IF($A40&lt;&gt;"", IFERROR(_xlfn._xlws.FILTER(Log!$G:$G, (Log!$A:$A="Daily") * (Log!$B:$B="n/a") * (Log!$C:$C=$A40) * (Log!$D:$D=O$4)), "Unknown"), "")</f>
        <v/>
      </c>
      <c r="P40" s="106" t="str" cm="1">
        <f t="array" ref="P40">IF($A40&lt;&gt;"", IFERROR(_xlfn._xlws.FILTER(Log!$G:$G, (Log!$A:$A="Daily") * (Log!$B:$B="n/a") * (Log!$C:$C=$A40) * (Log!$D:$D=P$4)), "Unknown"), "")</f>
        <v/>
      </c>
      <c r="Q40" s="106" t="str" cm="1">
        <f t="array" ref="Q40">IF($A40&lt;&gt;"", IFERROR(_xlfn._xlws.FILTER(Log!$G:$G, (Log!$A:$A="Daily") * (Log!$B:$B="n/a") * (Log!$C:$C=$A40) * (Log!$D:$D=Q$4)), "Unknown"), "")</f>
        <v/>
      </c>
      <c r="R40" s="106" t="str" cm="1">
        <f t="array" ref="R40">IF($A40&lt;&gt;"", IFERROR(_xlfn._xlws.FILTER(Log!$G:$G, (Log!$A:$A="Daily") * (Log!$B:$B="n/a") * (Log!$C:$C=$A40) * (Log!$D:$D=R$4)), "Unknown"), "")</f>
        <v/>
      </c>
      <c r="S40" s="106" t="str" cm="1">
        <f t="array" ref="S40">IF($A40&lt;&gt;"", IFERROR(_xlfn._xlws.FILTER(Log!$G:$G, (Log!$A:$A="Daily") * (Log!$B:$B="n/a") * (Log!$C:$C=$A40) * (Log!$D:$D=S$4)), "Unknown"), "")</f>
        <v/>
      </c>
      <c r="T40" s="106" t="str" cm="1">
        <f t="array" ref="T40">IF($A40&lt;&gt;"", IFERROR(_xlfn._xlws.FILTER(Log!$G:$G, (Log!$A:$A="Daily") * (Log!$B:$B="n/a") * (Log!$C:$C=$A40) * (Log!$D:$D=T$4)), "Unknown"), "")</f>
        <v/>
      </c>
      <c r="W40" s="226" t="str">
        <f t="shared" si="43"/>
        <v/>
      </c>
      <c r="X40" s="226" t="str">
        <f t="shared" si="44"/>
        <v/>
      </c>
      <c r="Y40" s="226" t="str">
        <f t="shared" si="45"/>
        <v/>
      </c>
      <c r="Z40" s="226" t="str">
        <f t="shared" si="46"/>
        <v/>
      </c>
      <c r="AA40" s="226" t="str">
        <f t="shared" si="47"/>
        <v/>
      </c>
      <c r="AB40" s="226" t="str">
        <f t="shared" si="48"/>
        <v/>
      </c>
      <c r="AC40" s="226" t="str">
        <f t="shared" si="49"/>
        <v/>
      </c>
      <c r="AD40" s="226" t="str">
        <f t="shared" si="50"/>
        <v/>
      </c>
      <c r="AE40" s="226" t="str">
        <f t="shared" si="51"/>
        <v/>
      </c>
      <c r="AF40" s="226" t="str">
        <f t="shared" si="52"/>
        <v/>
      </c>
      <c r="AG40" s="226" t="str">
        <f t="shared" si="53"/>
        <v/>
      </c>
      <c r="AH40" s="226" t="str">
        <f t="shared" si="54"/>
        <v/>
      </c>
      <c r="AI40" s="226" t="str">
        <f t="shared" si="55"/>
        <v/>
      </c>
      <c r="AJ40" s="226" t="str">
        <f t="shared" si="56"/>
        <v/>
      </c>
      <c r="AK40" s="226" t="str">
        <f t="shared" si="57"/>
        <v/>
      </c>
      <c r="AL40" s="226" t="str">
        <f t="shared" si="58"/>
        <v/>
      </c>
      <c r="AM40" s="226" t="str">
        <f t="shared" si="59"/>
        <v/>
      </c>
      <c r="AN40" s="226" t="str">
        <f t="shared" si="60"/>
        <v/>
      </c>
    </row>
    <row r="41" spans="2:40" x14ac:dyDescent="0.25">
      <c r="C41" s="106" t="str" cm="1">
        <f t="array" ref="C41">IF($A41&lt;&gt;"", IFERROR(_xlfn._xlws.FILTER(Log!$G:$G, (Log!$A:$A="Daily") * (Log!$B:$B="n/a") * (Log!$C:$C=$A41) * (Log!$D:$D=C$4)), "Unknown"), "")</f>
        <v/>
      </c>
      <c r="D41" s="106" t="str" cm="1">
        <f t="array" ref="D41">IF($A41&lt;&gt;"", IFERROR(_xlfn._xlws.FILTER(Log!$G:$G, (Log!$A:$A="Daily") * (Log!$B:$B="n/a") * (Log!$C:$C=$A41) * (Log!$D:$D=D$4)), "Unknown"), "")</f>
        <v/>
      </c>
      <c r="E41" s="106" t="str" cm="1">
        <f t="array" ref="E41">IF($A41&lt;&gt;"", IFERROR(_xlfn._xlws.FILTER(Log!$G:$G, (Log!$A:$A="Daily") * (Log!$B:$B="n/a") * (Log!$C:$C=$A41) * (Log!$D:$D=E$4)), "Unknown"), "")</f>
        <v/>
      </c>
      <c r="F41" s="106" t="str" cm="1">
        <f t="array" ref="F41">IF($A41&lt;&gt;"", IFERROR(_xlfn._xlws.FILTER(Log!$G:$G, (Log!$A:$A="Daily") * (Log!$B:$B="n/a") * (Log!$C:$C=$A41) * (Log!$D:$D=F$4)), "Unknown"), "")</f>
        <v/>
      </c>
      <c r="G41" s="106" t="str" cm="1">
        <f t="array" ref="G41">IF($A41&lt;&gt;"", IFERROR(_xlfn._xlws.FILTER(Log!$G:$G, (Log!$A:$A="Daily") * (Log!$B:$B="n/a") * (Log!$C:$C=$A41) * (Log!$D:$D=G$4)), "Unknown"), "")</f>
        <v/>
      </c>
      <c r="H41" s="106" t="str" cm="1">
        <f t="array" ref="H41">IF($A41&lt;&gt;"", IFERROR(_xlfn._xlws.FILTER(Log!$G:$G, (Log!$A:$A="Daily") * (Log!$B:$B="n/a") * (Log!$C:$C=$A41) * (Log!$D:$D=H$4)), "Unknown"), "")</f>
        <v/>
      </c>
      <c r="I41" s="106" t="str" cm="1">
        <f t="array" ref="I41">IF($A41&lt;&gt;"", IFERROR(_xlfn._xlws.FILTER(Log!$G:$G, (Log!$A:$A="Daily") * (Log!$B:$B="n/a") * (Log!$C:$C=$A41) * (Log!$D:$D=I$4)), "Unknown"), "")</f>
        <v/>
      </c>
      <c r="J41" s="106" t="str" cm="1">
        <f t="array" ref="J41">IF($A41&lt;&gt;"", IFERROR(_xlfn._xlws.FILTER(Log!$G:$G, (Log!$A:$A="Daily") * (Log!$B:$B="n/a") * (Log!$C:$C=$A41) * (Log!$D:$D=J$4)), "Unknown"), "")</f>
        <v/>
      </c>
      <c r="K41" s="106" t="str" cm="1">
        <f t="array" ref="K41">IF($A41&lt;&gt;"", IFERROR(_xlfn._xlws.FILTER(Log!$G:$G, (Log!$A:$A="Daily") * (Log!$B:$B="n/a") * (Log!$C:$C=$A41) * (Log!$D:$D=K$4)), "Unknown"), "")</f>
        <v/>
      </c>
      <c r="L41" s="106" t="str" cm="1">
        <f t="array" ref="L41">IF($A41&lt;&gt;"", IFERROR(_xlfn._xlws.FILTER(Log!$G:$G, (Log!$A:$A="Daily") * (Log!$B:$B="n/a") * (Log!$C:$C=$A41) * (Log!$D:$D=L$4)), "Unknown"), "")</f>
        <v/>
      </c>
      <c r="M41" s="106" t="str" cm="1">
        <f t="array" ref="M41">IF($A41&lt;&gt;"", IFERROR(_xlfn._xlws.FILTER(Log!$G:$G, (Log!$A:$A="Daily") * (Log!$B:$B="n/a") * (Log!$C:$C=$A41) * (Log!$D:$D=M$4)), "Unknown"), "")</f>
        <v/>
      </c>
      <c r="N41" s="106" t="str" cm="1">
        <f t="array" ref="N41">IF($A41&lt;&gt;"", IFERROR(_xlfn._xlws.FILTER(Log!$G:$G, (Log!$A:$A="Daily") * (Log!$B:$B="n/a") * (Log!$C:$C=$A41) * (Log!$D:$D=N$4)), "Unknown"), "")</f>
        <v/>
      </c>
      <c r="O41" s="106" t="str" cm="1">
        <f t="array" ref="O41">IF($A41&lt;&gt;"", IFERROR(_xlfn._xlws.FILTER(Log!$G:$G, (Log!$A:$A="Daily") * (Log!$B:$B="n/a") * (Log!$C:$C=$A41) * (Log!$D:$D=O$4)), "Unknown"), "")</f>
        <v/>
      </c>
      <c r="P41" s="106" t="str" cm="1">
        <f t="array" ref="P41">IF($A41&lt;&gt;"", IFERROR(_xlfn._xlws.FILTER(Log!$G:$G, (Log!$A:$A="Daily") * (Log!$B:$B="n/a") * (Log!$C:$C=$A41) * (Log!$D:$D=P$4)), "Unknown"), "")</f>
        <v/>
      </c>
      <c r="Q41" s="106" t="str" cm="1">
        <f t="array" ref="Q41">IF($A41&lt;&gt;"", IFERROR(_xlfn._xlws.FILTER(Log!$G:$G, (Log!$A:$A="Daily") * (Log!$B:$B="n/a") * (Log!$C:$C=$A41) * (Log!$D:$D=Q$4)), "Unknown"), "")</f>
        <v/>
      </c>
      <c r="R41" s="106" t="str" cm="1">
        <f t="array" ref="R41">IF($A41&lt;&gt;"", IFERROR(_xlfn._xlws.FILTER(Log!$G:$G, (Log!$A:$A="Daily") * (Log!$B:$B="n/a") * (Log!$C:$C=$A41) * (Log!$D:$D=R$4)), "Unknown"), "")</f>
        <v/>
      </c>
      <c r="S41" s="106" t="str" cm="1">
        <f t="array" ref="S41">IF($A41&lt;&gt;"", IFERROR(_xlfn._xlws.FILTER(Log!$G:$G, (Log!$A:$A="Daily") * (Log!$B:$B="n/a") * (Log!$C:$C=$A41) * (Log!$D:$D=S$4)), "Unknown"), "")</f>
        <v/>
      </c>
      <c r="T41" s="106" t="str" cm="1">
        <f t="array" ref="T41">IF($A41&lt;&gt;"", IFERROR(_xlfn._xlws.FILTER(Log!$G:$G, (Log!$A:$A="Daily") * (Log!$B:$B="n/a") * (Log!$C:$C=$A41) * (Log!$D:$D=T$4)), "Unknown"), "")</f>
        <v/>
      </c>
      <c r="W41" s="226" t="str">
        <f t="shared" si="43"/>
        <v/>
      </c>
      <c r="X41" s="226" t="str">
        <f t="shared" si="44"/>
        <v/>
      </c>
      <c r="Y41" s="226" t="str">
        <f t="shared" si="45"/>
        <v/>
      </c>
      <c r="Z41" s="226" t="str">
        <f t="shared" si="46"/>
        <v/>
      </c>
      <c r="AA41" s="226" t="str">
        <f t="shared" si="47"/>
        <v/>
      </c>
      <c r="AB41" s="226" t="str">
        <f t="shared" si="48"/>
        <v/>
      </c>
      <c r="AC41" s="226" t="str">
        <f t="shared" si="49"/>
        <v/>
      </c>
      <c r="AD41" s="226" t="str">
        <f t="shared" si="50"/>
        <v/>
      </c>
      <c r="AE41" s="226" t="str">
        <f t="shared" si="51"/>
        <v/>
      </c>
      <c r="AF41" s="226" t="str">
        <f t="shared" si="52"/>
        <v/>
      </c>
      <c r="AG41" s="226" t="str">
        <f t="shared" si="53"/>
        <v/>
      </c>
      <c r="AH41" s="226" t="str">
        <f t="shared" si="54"/>
        <v/>
      </c>
      <c r="AI41" s="226" t="str">
        <f t="shared" si="55"/>
        <v/>
      </c>
      <c r="AJ41" s="226" t="str">
        <f t="shared" si="56"/>
        <v/>
      </c>
      <c r="AK41" s="226" t="str">
        <f t="shared" si="57"/>
        <v/>
      </c>
      <c r="AL41" s="226" t="str">
        <f t="shared" si="58"/>
        <v/>
      </c>
      <c r="AM41" s="226" t="str">
        <f t="shared" si="59"/>
        <v/>
      </c>
      <c r="AN41" s="226" t="str">
        <f t="shared" si="60"/>
        <v/>
      </c>
    </row>
    <row r="42" spans="2:40" x14ac:dyDescent="0.25">
      <c r="C42" s="106" t="str" cm="1">
        <f t="array" ref="C42">IF($A42&lt;&gt;"", IFERROR(_xlfn._xlws.FILTER(Log!$G:$G, (Log!$A:$A="Daily") * (Log!$B:$B="n/a") * (Log!$C:$C=$A42) * (Log!$D:$D=C$4)), "Unknown"), "")</f>
        <v/>
      </c>
      <c r="D42" s="106" t="str" cm="1">
        <f t="array" ref="D42">IF($A42&lt;&gt;"", IFERROR(_xlfn._xlws.FILTER(Log!$G:$G, (Log!$A:$A="Daily") * (Log!$B:$B="n/a") * (Log!$C:$C=$A42) * (Log!$D:$D=D$4)), "Unknown"), "")</f>
        <v/>
      </c>
      <c r="E42" s="106" t="str" cm="1">
        <f t="array" ref="E42">IF($A42&lt;&gt;"", IFERROR(_xlfn._xlws.FILTER(Log!$G:$G, (Log!$A:$A="Daily") * (Log!$B:$B="n/a") * (Log!$C:$C=$A42) * (Log!$D:$D=E$4)), "Unknown"), "")</f>
        <v/>
      </c>
      <c r="F42" s="106" t="str" cm="1">
        <f t="array" ref="F42">IF($A42&lt;&gt;"", IFERROR(_xlfn._xlws.FILTER(Log!$G:$G, (Log!$A:$A="Daily") * (Log!$B:$B="n/a") * (Log!$C:$C=$A42) * (Log!$D:$D=F$4)), "Unknown"), "")</f>
        <v/>
      </c>
      <c r="G42" s="106" t="str" cm="1">
        <f t="array" ref="G42">IF($A42&lt;&gt;"", IFERROR(_xlfn._xlws.FILTER(Log!$G:$G, (Log!$A:$A="Daily") * (Log!$B:$B="n/a") * (Log!$C:$C=$A42) * (Log!$D:$D=G$4)), "Unknown"), "")</f>
        <v/>
      </c>
      <c r="H42" s="106" t="str" cm="1">
        <f t="array" ref="H42">IF($A42&lt;&gt;"", IFERROR(_xlfn._xlws.FILTER(Log!$G:$G, (Log!$A:$A="Daily") * (Log!$B:$B="n/a") * (Log!$C:$C=$A42) * (Log!$D:$D=H$4)), "Unknown"), "")</f>
        <v/>
      </c>
      <c r="I42" s="106" t="str" cm="1">
        <f t="array" ref="I42">IF($A42&lt;&gt;"", IFERROR(_xlfn._xlws.FILTER(Log!$G:$G, (Log!$A:$A="Daily") * (Log!$B:$B="n/a") * (Log!$C:$C=$A42) * (Log!$D:$D=I$4)), "Unknown"), "")</f>
        <v/>
      </c>
      <c r="J42" s="106" t="str" cm="1">
        <f t="array" ref="J42">IF($A42&lt;&gt;"", IFERROR(_xlfn._xlws.FILTER(Log!$G:$G, (Log!$A:$A="Daily") * (Log!$B:$B="n/a") * (Log!$C:$C=$A42) * (Log!$D:$D=J$4)), "Unknown"), "")</f>
        <v/>
      </c>
      <c r="K42" s="106" t="str" cm="1">
        <f t="array" ref="K42">IF($A42&lt;&gt;"", IFERROR(_xlfn._xlws.FILTER(Log!$G:$G, (Log!$A:$A="Daily") * (Log!$B:$B="n/a") * (Log!$C:$C=$A42) * (Log!$D:$D=K$4)), "Unknown"), "")</f>
        <v/>
      </c>
      <c r="L42" s="106" t="str" cm="1">
        <f t="array" ref="L42">IF($A42&lt;&gt;"", IFERROR(_xlfn._xlws.FILTER(Log!$G:$G, (Log!$A:$A="Daily") * (Log!$B:$B="n/a") * (Log!$C:$C=$A42) * (Log!$D:$D=L$4)), "Unknown"), "")</f>
        <v/>
      </c>
      <c r="M42" s="106" t="str" cm="1">
        <f t="array" ref="M42">IF($A42&lt;&gt;"", IFERROR(_xlfn._xlws.FILTER(Log!$G:$G, (Log!$A:$A="Daily") * (Log!$B:$B="n/a") * (Log!$C:$C=$A42) * (Log!$D:$D=M$4)), "Unknown"), "")</f>
        <v/>
      </c>
      <c r="N42" s="106" t="str" cm="1">
        <f t="array" ref="N42">IF($A42&lt;&gt;"", IFERROR(_xlfn._xlws.FILTER(Log!$G:$G, (Log!$A:$A="Daily") * (Log!$B:$B="n/a") * (Log!$C:$C=$A42) * (Log!$D:$D=N$4)), "Unknown"), "")</f>
        <v/>
      </c>
      <c r="O42" s="106" t="str" cm="1">
        <f t="array" ref="O42">IF($A42&lt;&gt;"", IFERROR(_xlfn._xlws.FILTER(Log!$G:$G, (Log!$A:$A="Daily") * (Log!$B:$B="n/a") * (Log!$C:$C=$A42) * (Log!$D:$D=O$4)), "Unknown"), "")</f>
        <v/>
      </c>
      <c r="P42" s="106" t="str" cm="1">
        <f t="array" ref="P42">IF($A42&lt;&gt;"", IFERROR(_xlfn._xlws.FILTER(Log!$G:$G, (Log!$A:$A="Daily") * (Log!$B:$B="n/a") * (Log!$C:$C=$A42) * (Log!$D:$D=P$4)), "Unknown"), "")</f>
        <v/>
      </c>
      <c r="Q42" s="106" t="str" cm="1">
        <f t="array" ref="Q42">IF($A42&lt;&gt;"", IFERROR(_xlfn._xlws.FILTER(Log!$G:$G, (Log!$A:$A="Daily") * (Log!$B:$B="n/a") * (Log!$C:$C=$A42) * (Log!$D:$D=Q$4)), "Unknown"), "")</f>
        <v/>
      </c>
      <c r="R42" s="106" t="str" cm="1">
        <f t="array" ref="R42">IF($A42&lt;&gt;"", IFERROR(_xlfn._xlws.FILTER(Log!$G:$G, (Log!$A:$A="Daily") * (Log!$B:$B="n/a") * (Log!$C:$C=$A42) * (Log!$D:$D=R$4)), "Unknown"), "")</f>
        <v/>
      </c>
      <c r="S42" s="106" t="str" cm="1">
        <f t="array" ref="S42">IF($A42&lt;&gt;"", IFERROR(_xlfn._xlws.FILTER(Log!$G:$G, (Log!$A:$A="Daily") * (Log!$B:$B="n/a") * (Log!$C:$C=$A42) * (Log!$D:$D=S$4)), "Unknown"), "")</f>
        <v/>
      </c>
      <c r="T42" s="106" t="str" cm="1">
        <f t="array" ref="T42">IF($A42&lt;&gt;"", IFERROR(_xlfn._xlws.FILTER(Log!$G:$G, (Log!$A:$A="Daily") * (Log!$B:$B="n/a") * (Log!$C:$C=$A42) * (Log!$D:$D=T$4)), "Unknown"), "")</f>
        <v/>
      </c>
      <c r="W42" s="226" t="str">
        <f t="shared" si="43"/>
        <v/>
      </c>
      <c r="X42" s="226" t="str">
        <f t="shared" si="44"/>
        <v/>
      </c>
      <c r="Y42" s="226" t="str">
        <f t="shared" si="45"/>
        <v/>
      </c>
      <c r="Z42" s="226" t="str">
        <f t="shared" si="46"/>
        <v/>
      </c>
      <c r="AA42" s="226" t="str">
        <f t="shared" si="47"/>
        <v/>
      </c>
      <c r="AB42" s="226" t="str">
        <f t="shared" si="48"/>
        <v/>
      </c>
      <c r="AC42" s="226" t="str">
        <f t="shared" si="49"/>
        <v/>
      </c>
      <c r="AD42" s="226" t="str">
        <f t="shared" si="50"/>
        <v/>
      </c>
      <c r="AE42" s="226" t="str">
        <f t="shared" si="51"/>
        <v/>
      </c>
      <c r="AF42" s="226" t="str">
        <f t="shared" si="52"/>
        <v/>
      </c>
      <c r="AG42" s="226" t="str">
        <f t="shared" si="53"/>
        <v/>
      </c>
      <c r="AH42" s="226" t="str">
        <f t="shared" si="54"/>
        <v/>
      </c>
      <c r="AI42" s="226" t="str">
        <f t="shared" si="55"/>
        <v/>
      </c>
      <c r="AJ42" s="226" t="str">
        <f t="shared" si="56"/>
        <v/>
      </c>
      <c r="AK42" s="226" t="str">
        <f t="shared" si="57"/>
        <v/>
      </c>
      <c r="AL42" s="226" t="str">
        <f t="shared" si="58"/>
        <v/>
      </c>
      <c r="AM42" s="226" t="str">
        <f t="shared" si="59"/>
        <v/>
      </c>
      <c r="AN42" s="226" t="str">
        <f t="shared" si="60"/>
        <v/>
      </c>
    </row>
    <row r="43" spans="2:40" x14ac:dyDescent="0.25">
      <c r="C43" s="106" t="str" cm="1">
        <f t="array" ref="C43">IF($A43&lt;&gt;"", IFERROR(_xlfn._xlws.FILTER(Log!$G:$G, (Log!$A:$A="Daily") * (Log!$B:$B="n/a") * (Log!$C:$C=$A43) * (Log!$D:$D=C$4)), "Unknown"), "")</f>
        <v/>
      </c>
      <c r="D43" s="106" t="str" cm="1">
        <f t="array" ref="D43">IF($A43&lt;&gt;"", IFERROR(_xlfn._xlws.FILTER(Log!$G:$G, (Log!$A:$A="Daily") * (Log!$B:$B="n/a") * (Log!$C:$C=$A43) * (Log!$D:$D=D$4)), "Unknown"), "")</f>
        <v/>
      </c>
      <c r="E43" s="106" t="str" cm="1">
        <f t="array" ref="E43">IF($A43&lt;&gt;"", IFERROR(_xlfn._xlws.FILTER(Log!$G:$G, (Log!$A:$A="Daily") * (Log!$B:$B="n/a") * (Log!$C:$C=$A43) * (Log!$D:$D=E$4)), "Unknown"), "")</f>
        <v/>
      </c>
      <c r="F43" s="106" t="str" cm="1">
        <f t="array" ref="F43">IF($A43&lt;&gt;"", IFERROR(_xlfn._xlws.FILTER(Log!$G:$G, (Log!$A:$A="Daily") * (Log!$B:$B="n/a") * (Log!$C:$C=$A43) * (Log!$D:$D=F$4)), "Unknown"), "")</f>
        <v/>
      </c>
      <c r="G43" s="106" t="str" cm="1">
        <f t="array" ref="G43">IF($A43&lt;&gt;"", IFERROR(_xlfn._xlws.FILTER(Log!$G:$G, (Log!$A:$A="Daily") * (Log!$B:$B="n/a") * (Log!$C:$C=$A43) * (Log!$D:$D=G$4)), "Unknown"), "")</f>
        <v/>
      </c>
      <c r="H43" s="106" t="str" cm="1">
        <f t="array" ref="H43">IF($A43&lt;&gt;"", IFERROR(_xlfn._xlws.FILTER(Log!$G:$G, (Log!$A:$A="Daily") * (Log!$B:$B="n/a") * (Log!$C:$C=$A43) * (Log!$D:$D=H$4)), "Unknown"), "")</f>
        <v/>
      </c>
      <c r="I43" s="106" t="str" cm="1">
        <f t="array" ref="I43">IF($A43&lt;&gt;"", IFERROR(_xlfn._xlws.FILTER(Log!$G:$G, (Log!$A:$A="Daily") * (Log!$B:$B="n/a") * (Log!$C:$C=$A43) * (Log!$D:$D=I$4)), "Unknown"), "")</f>
        <v/>
      </c>
      <c r="J43" s="106" t="str" cm="1">
        <f t="array" ref="J43">IF($A43&lt;&gt;"", IFERROR(_xlfn._xlws.FILTER(Log!$G:$G, (Log!$A:$A="Daily") * (Log!$B:$B="n/a") * (Log!$C:$C=$A43) * (Log!$D:$D=J$4)), "Unknown"), "")</f>
        <v/>
      </c>
      <c r="K43" s="106" t="str" cm="1">
        <f t="array" ref="K43">IF($A43&lt;&gt;"", IFERROR(_xlfn._xlws.FILTER(Log!$G:$G, (Log!$A:$A="Daily") * (Log!$B:$B="n/a") * (Log!$C:$C=$A43) * (Log!$D:$D=K$4)), "Unknown"), "")</f>
        <v/>
      </c>
      <c r="L43" s="106" t="str" cm="1">
        <f t="array" ref="L43">IF($A43&lt;&gt;"", IFERROR(_xlfn._xlws.FILTER(Log!$G:$G, (Log!$A:$A="Daily") * (Log!$B:$B="n/a") * (Log!$C:$C=$A43) * (Log!$D:$D=L$4)), "Unknown"), "")</f>
        <v/>
      </c>
      <c r="M43" s="106" t="str" cm="1">
        <f t="array" ref="M43">IF($A43&lt;&gt;"", IFERROR(_xlfn._xlws.FILTER(Log!$G:$G, (Log!$A:$A="Daily") * (Log!$B:$B="n/a") * (Log!$C:$C=$A43) * (Log!$D:$D=M$4)), "Unknown"), "")</f>
        <v/>
      </c>
      <c r="N43" s="106" t="str" cm="1">
        <f t="array" ref="N43">IF($A43&lt;&gt;"", IFERROR(_xlfn._xlws.FILTER(Log!$G:$G, (Log!$A:$A="Daily") * (Log!$B:$B="n/a") * (Log!$C:$C=$A43) * (Log!$D:$D=N$4)), "Unknown"), "")</f>
        <v/>
      </c>
      <c r="O43" s="106" t="str" cm="1">
        <f t="array" ref="O43">IF($A43&lt;&gt;"", IFERROR(_xlfn._xlws.FILTER(Log!$G:$G, (Log!$A:$A="Daily") * (Log!$B:$B="n/a") * (Log!$C:$C=$A43) * (Log!$D:$D=O$4)), "Unknown"), "")</f>
        <v/>
      </c>
      <c r="P43" s="106" t="str" cm="1">
        <f t="array" ref="P43">IF($A43&lt;&gt;"", IFERROR(_xlfn._xlws.FILTER(Log!$G:$G, (Log!$A:$A="Daily") * (Log!$B:$B="n/a") * (Log!$C:$C=$A43) * (Log!$D:$D=P$4)), "Unknown"), "")</f>
        <v/>
      </c>
      <c r="Q43" s="106" t="str" cm="1">
        <f t="array" ref="Q43">IF($A43&lt;&gt;"", IFERROR(_xlfn._xlws.FILTER(Log!$G:$G, (Log!$A:$A="Daily") * (Log!$B:$B="n/a") * (Log!$C:$C=$A43) * (Log!$D:$D=Q$4)), "Unknown"), "")</f>
        <v/>
      </c>
      <c r="R43" s="106" t="str" cm="1">
        <f t="array" ref="R43">IF($A43&lt;&gt;"", IFERROR(_xlfn._xlws.FILTER(Log!$G:$G, (Log!$A:$A="Daily") * (Log!$B:$B="n/a") * (Log!$C:$C=$A43) * (Log!$D:$D=R$4)), "Unknown"), "")</f>
        <v/>
      </c>
      <c r="S43" s="106" t="str" cm="1">
        <f t="array" ref="S43">IF($A43&lt;&gt;"", IFERROR(_xlfn._xlws.FILTER(Log!$G:$G, (Log!$A:$A="Daily") * (Log!$B:$B="n/a") * (Log!$C:$C=$A43) * (Log!$D:$D=S$4)), "Unknown"), "")</f>
        <v/>
      </c>
      <c r="T43" s="106" t="str" cm="1">
        <f t="array" ref="T43">IF($A43&lt;&gt;"", IFERROR(_xlfn._xlws.FILTER(Log!$G:$G, (Log!$A:$A="Daily") * (Log!$B:$B="n/a") * (Log!$C:$C=$A43) * (Log!$D:$D=T$4)), "Unknown"), "")</f>
        <v/>
      </c>
      <c r="W43" s="226" t="str">
        <f t="shared" si="43"/>
        <v/>
      </c>
      <c r="X43" s="226" t="str">
        <f t="shared" si="44"/>
        <v/>
      </c>
      <c r="Y43" s="226" t="str">
        <f t="shared" si="45"/>
        <v/>
      </c>
      <c r="Z43" s="226" t="str">
        <f t="shared" si="46"/>
        <v/>
      </c>
      <c r="AA43" s="226" t="str">
        <f t="shared" si="47"/>
        <v/>
      </c>
      <c r="AB43" s="226" t="str">
        <f t="shared" si="48"/>
        <v/>
      </c>
      <c r="AC43" s="226" t="str">
        <f t="shared" si="49"/>
        <v/>
      </c>
      <c r="AD43" s="226" t="str">
        <f t="shared" si="50"/>
        <v/>
      </c>
      <c r="AE43" s="226" t="str">
        <f t="shared" si="51"/>
        <v/>
      </c>
      <c r="AF43" s="226" t="str">
        <f t="shared" si="52"/>
        <v/>
      </c>
      <c r="AG43" s="226" t="str">
        <f t="shared" si="53"/>
        <v/>
      </c>
      <c r="AH43" s="226" t="str">
        <f t="shared" si="54"/>
        <v/>
      </c>
      <c r="AI43" s="226" t="str">
        <f t="shared" si="55"/>
        <v/>
      </c>
      <c r="AJ43" s="226" t="str">
        <f t="shared" si="56"/>
        <v/>
      </c>
      <c r="AK43" s="226" t="str">
        <f t="shared" si="57"/>
        <v/>
      </c>
      <c r="AL43" s="226" t="str">
        <f t="shared" si="58"/>
        <v/>
      </c>
      <c r="AM43" s="226" t="str">
        <f t="shared" si="59"/>
        <v/>
      </c>
      <c r="AN43" s="226" t="str">
        <f t="shared" si="60"/>
        <v/>
      </c>
    </row>
    <row r="44" spans="2:40" x14ac:dyDescent="0.25">
      <c r="C44" s="106" t="str" cm="1">
        <f t="array" ref="C44">IF($A44&lt;&gt;"", IFERROR(_xlfn._xlws.FILTER(Log!$G:$G, (Log!$A:$A="Daily") * (Log!$B:$B="n/a") * (Log!$C:$C=$A44) * (Log!$D:$D=C$4)), "Unknown"), "")</f>
        <v/>
      </c>
      <c r="D44" s="106" t="str" cm="1">
        <f t="array" ref="D44">IF($A44&lt;&gt;"", IFERROR(_xlfn._xlws.FILTER(Log!$G:$G, (Log!$A:$A="Daily") * (Log!$B:$B="n/a") * (Log!$C:$C=$A44) * (Log!$D:$D=D$4)), "Unknown"), "")</f>
        <v/>
      </c>
      <c r="E44" s="106" t="str" cm="1">
        <f t="array" ref="E44">IF($A44&lt;&gt;"", IFERROR(_xlfn._xlws.FILTER(Log!$G:$G, (Log!$A:$A="Daily") * (Log!$B:$B="n/a") * (Log!$C:$C=$A44) * (Log!$D:$D=E$4)), "Unknown"), "")</f>
        <v/>
      </c>
      <c r="F44" s="106" t="str" cm="1">
        <f t="array" ref="F44">IF($A44&lt;&gt;"", IFERROR(_xlfn._xlws.FILTER(Log!$G:$G, (Log!$A:$A="Daily") * (Log!$B:$B="n/a") * (Log!$C:$C=$A44) * (Log!$D:$D=F$4)), "Unknown"), "")</f>
        <v/>
      </c>
      <c r="G44" s="106" t="str" cm="1">
        <f t="array" ref="G44">IF($A44&lt;&gt;"", IFERROR(_xlfn._xlws.FILTER(Log!$G:$G, (Log!$A:$A="Daily") * (Log!$B:$B="n/a") * (Log!$C:$C=$A44) * (Log!$D:$D=G$4)), "Unknown"), "")</f>
        <v/>
      </c>
      <c r="H44" s="106" t="str" cm="1">
        <f t="array" ref="H44">IF($A44&lt;&gt;"", IFERROR(_xlfn._xlws.FILTER(Log!$G:$G, (Log!$A:$A="Daily") * (Log!$B:$B="n/a") * (Log!$C:$C=$A44) * (Log!$D:$D=H$4)), "Unknown"), "")</f>
        <v/>
      </c>
      <c r="I44" s="106" t="str" cm="1">
        <f t="array" ref="I44">IF($A44&lt;&gt;"", IFERROR(_xlfn._xlws.FILTER(Log!$G:$G, (Log!$A:$A="Daily") * (Log!$B:$B="n/a") * (Log!$C:$C=$A44) * (Log!$D:$D=I$4)), "Unknown"), "")</f>
        <v/>
      </c>
      <c r="J44" s="106" t="str" cm="1">
        <f t="array" ref="J44">IF($A44&lt;&gt;"", IFERROR(_xlfn._xlws.FILTER(Log!$G:$G, (Log!$A:$A="Daily") * (Log!$B:$B="n/a") * (Log!$C:$C=$A44) * (Log!$D:$D=J$4)), "Unknown"), "")</f>
        <v/>
      </c>
      <c r="K44" s="106" t="str" cm="1">
        <f t="array" ref="K44">IF($A44&lt;&gt;"", IFERROR(_xlfn._xlws.FILTER(Log!$G:$G, (Log!$A:$A="Daily") * (Log!$B:$B="n/a") * (Log!$C:$C=$A44) * (Log!$D:$D=K$4)), "Unknown"), "")</f>
        <v/>
      </c>
      <c r="L44" s="106" t="str" cm="1">
        <f t="array" ref="L44">IF($A44&lt;&gt;"", IFERROR(_xlfn._xlws.FILTER(Log!$G:$G, (Log!$A:$A="Daily") * (Log!$B:$B="n/a") * (Log!$C:$C=$A44) * (Log!$D:$D=L$4)), "Unknown"), "")</f>
        <v/>
      </c>
      <c r="M44" s="106" t="str" cm="1">
        <f t="array" ref="M44">IF($A44&lt;&gt;"", IFERROR(_xlfn._xlws.FILTER(Log!$G:$G, (Log!$A:$A="Daily") * (Log!$B:$B="n/a") * (Log!$C:$C=$A44) * (Log!$D:$D=M$4)), "Unknown"), "")</f>
        <v/>
      </c>
      <c r="N44" s="106" t="str" cm="1">
        <f t="array" ref="N44">IF($A44&lt;&gt;"", IFERROR(_xlfn._xlws.FILTER(Log!$G:$G, (Log!$A:$A="Daily") * (Log!$B:$B="n/a") * (Log!$C:$C=$A44) * (Log!$D:$D=N$4)), "Unknown"), "")</f>
        <v/>
      </c>
      <c r="O44" s="106" t="str" cm="1">
        <f t="array" ref="O44">IF($A44&lt;&gt;"", IFERROR(_xlfn._xlws.FILTER(Log!$G:$G, (Log!$A:$A="Daily") * (Log!$B:$B="n/a") * (Log!$C:$C=$A44) * (Log!$D:$D=O$4)), "Unknown"), "")</f>
        <v/>
      </c>
      <c r="P44" s="106" t="str" cm="1">
        <f t="array" ref="P44">IF($A44&lt;&gt;"", IFERROR(_xlfn._xlws.FILTER(Log!$G:$G, (Log!$A:$A="Daily") * (Log!$B:$B="n/a") * (Log!$C:$C=$A44) * (Log!$D:$D=P$4)), "Unknown"), "")</f>
        <v/>
      </c>
      <c r="Q44" s="106" t="str" cm="1">
        <f t="array" ref="Q44">IF($A44&lt;&gt;"", IFERROR(_xlfn._xlws.FILTER(Log!$G:$G, (Log!$A:$A="Daily") * (Log!$B:$B="n/a") * (Log!$C:$C=$A44) * (Log!$D:$D=Q$4)), "Unknown"), "")</f>
        <v/>
      </c>
      <c r="R44" s="106" t="str" cm="1">
        <f t="array" ref="R44">IF($A44&lt;&gt;"", IFERROR(_xlfn._xlws.FILTER(Log!$G:$G, (Log!$A:$A="Daily") * (Log!$B:$B="n/a") * (Log!$C:$C=$A44) * (Log!$D:$D=R$4)), "Unknown"), "")</f>
        <v/>
      </c>
      <c r="S44" s="106" t="str" cm="1">
        <f t="array" ref="S44">IF($A44&lt;&gt;"", IFERROR(_xlfn._xlws.FILTER(Log!$G:$G, (Log!$A:$A="Daily") * (Log!$B:$B="n/a") * (Log!$C:$C=$A44) * (Log!$D:$D=S$4)), "Unknown"), "")</f>
        <v/>
      </c>
      <c r="T44" s="106" t="str" cm="1">
        <f t="array" ref="T44">IF($A44&lt;&gt;"", IFERROR(_xlfn._xlws.FILTER(Log!$G:$G, (Log!$A:$A="Daily") * (Log!$B:$B="n/a") * (Log!$C:$C=$A44) * (Log!$D:$D=T$4)), "Unknown"), "")</f>
        <v/>
      </c>
      <c r="W44" s="226" t="str">
        <f t="shared" si="43"/>
        <v/>
      </c>
      <c r="X44" s="226" t="str">
        <f t="shared" si="44"/>
        <v/>
      </c>
      <c r="Y44" s="226" t="str">
        <f t="shared" si="45"/>
        <v/>
      </c>
      <c r="Z44" s="226" t="str">
        <f t="shared" si="46"/>
        <v/>
      </c>
      <c r="AA44" s="226" t="str">
        <f t="shared" si="47"/>
        <v/>
      </c>
      <c r="AB44" s="226" t="str">
        <f t="shared" si="48"/>
        <v/>
      </c>
      <c r="AC44" s="226" t="str">
        <f t="shared" si="49"/>
        <v/>
      </c>
      <c r="AD44" s="226" t="str">
        <f t="shared" si="50"/>
        <v/>
      </c>
      <c r="AE44" s="226" t="str">
        <f t="shared" si="51"/>
        <v/>
      </c>
      <c r="AF44" s="226" t="str">
        <f t="shared" si="52"/>
        <v/>
      </c>
      <c r="AG44" s="226" t="str">
        <f t="shared" si="53"/>
        <v/>
      </c>
      <c r="AH44" s="226" t="str">
        <f t="shared" si="54"/>
        <v/>
      </c>
      <c r="AI44" s="226" t="str">
        <f t="shared" si="55"/>
        <v/>
      </c>
      <c r="AJ44" s="226" t="str">
        <f t="shared" si="56"/>
        <v/>
      </c>
      <c r="AK44" s="226" t="str">
        <f t="shared" si="57"/>
        <v/>
      </c>
      <c r="AL44" s="226" t="str">
        <f t="shared" si="58"/>
        <v/>
      </c>
      <c r="AM44" s="226" t="str">
        <f t="shared" si="59"/>
        <v/>
      </c>
      <c r="AN44" s="226" t="str">
        <f t="shared" si="60"/>
        <v/>
      </c>
    </row>
    <row r="45" spans="2:40" x14ac:dyDescent="0.25">
      <c r="C45" s="106" t="str" cm="1">
        <f t="array" ref="C45">IF($A45&lt;&gt;"", IFERROR(_xlfn._xlws.FILTER(Log!$G:$G, (Log!$A:$A="Daily") * (Log!$B:$B="n/a") * (Log!$C:$C=$A45) * (Log!$D:$D=C$4)), "Unknown"), "")</f>
        <v/>
      </c>
      <c r="D45" s="106" t="str" cm="1">
        <f t="array" ref="D45">IF($A45&lt;&gt;"", IFERROR(_xlfn._xlws.FILTER(Log!$G:$G, (Log!$A:$A="Daily") * (Log!$B:$B="n/a") * (Log!$C:$C=$A45) * (Log!$D:$D=D$4)), "Unknown"), "")</f>
        <v/>
      </c>
      <c r="E45" s="106" t="str" cm="1">
        <f t="array" ref="E45">IF($A45&lt;&gt;"", IFERROR(_xlfn._xlws.FILTER(Log!$G:$G, (Log!$A:$A="Daily") * (Log!$B:$B="n/a") * (Log!$C:$C=$A45) * (Log!$D:$D=E$4)), "Unknown"), "")</f>
        <v/>
      </c>
      <c r="F45" s="106" t="str" cm="1">
        <f t="array" ref="F45">IF($A45&lt;&gt;"", IFERROR(_xlfn._xlws.FILTER(Log!$G:$G, (Log!$A:$A="Daily") * (Log!$B:$B="n/a") * (Log!$C:$C=$A45) * (Log!$D:$D=F$4)), "Unknown"), "")</f>
        <v/>
      </c>
      <c r="G45" s="106" t="str" cm="1">
        <f t="array" ref="G45">IF($A45&lt;&gt;"", IFERROR(_xlfn._xlws.FILTER(Log!$G:$G, (Log!$A:$A="Daily") * (Log!$B:$B="n/a") * (Log!$C:$C=$A45) * (Log!$D:$D=G$4)), "Unknown"), "")</f>
        <v/>
      </c>
      <c r="H45" s="106" t="str" cm="1">
        <f t="array" ref="H45">IF($A45&lt;&gt;"", IFERROR(_xlfn._xlws.FILTER(Log!$G:$G, (Log!$A:$A="Daily") * (Log!$B:$B="n/a") * (Log!$C:$C=$A45) * (Log!$D:$D=H$4)), "Unknown"), "")</f>
        <v/>
      </c>
      <c r="I45" s="106" t="str" cm="1">
        <f t="array" ref="I45">IF($A45&lt;&gt;"", IFERROR(_xlfn._xlws.FILTER(Log!$G:$G, (Log!$A:$A="Daily") * (Log!$B:$B="n/a") * (Log!$C:$C=$A45) * (Log!$D:$D=I$4)), "Unknown"), "")</f>
        <v/>
      </c>
      <c r="J45" s="106" t="str" cm="1">
        <f t="array" ref="J45">IF($A45&lt;&gt;"", IFERROR(_xlfn._xlws.FILTER(Log!$G:$G, (Log!$A:$A="Daily") * (Log!$B:$B="n/a") * (Log!$C:$C=$A45) * (Log!$D:$D=J$4)), "Unknown"), "")</f>
        <v/>
      </c>
      <c r="K45" s="106" t="str" cm="1">
        <f t="array" ref="K45">IF($A45&lt;&gt;"", IFERROR(_xlfn._xlws.FILTER(Log!$G:$G, (Log!$A:$A="Daily") * (Log!$B:$B="n/a") * (Log!$C:$C=$A45) * (Log!$D:$D=K$4)), "Unknown"), "")</f>
        <v/>
      </c>
      <c r="L45" s="106" t="str" cm="1">
        <f t="array" ref="L45">IF($A45&lt;&gt;"", IFERROR(_xlfn._xlws.FILTER(Log!$G:$G, (Log!$A:$A="Daily") * (Log!$B:$B="n/a") * (Log!$C:$C=$A45) * (Log!$D:$D=L$4)), "Unknown"), "")</f>
        <v/>
      </c>
      <c r="M45" s="106" t="str" cm="1">
        <f t="array" ref="M45">IF($A45&lt;&gt;"", IFERROR(_xlfn._xlws.FILTER(Log!$G:$G, (Log!$A:$A="Daily") * (Log!$B:$B="n/a") * (Log!$C:$C=$A45) * (Log!$D:$D=M$4)), "Unknown"), "")</f>
        <v/>
      </c>
      <c r="N45" s="106" t="str" cm="1">
        <f t="array" ref="N45">IF($A45&lt;&gt;"", IFERROR(_xlfn._xlws.FILTER(Log!$G:$G, (Log!$A:$A="Daily") * (Log!$B:$B="n/a") * (Log!$C:$C=$A45) * (Log!$D:$D=N$4)), "Unknown"), "")</f>
        <v/>
      </c>
      <c r="O45" s="106" t="str" cm="1">
        <f t="array" ref="O45">IF($A45&lt;&gt;"", IFERROR(_xlfn._xlws.FILTER(Log!$G:$G, (Log!$A:$A="Daily") * (Log!$B:$B="n/a") * (Log!$C:$C=$A45) * (Log!$D:$D=O$4)), "Unknown"), "")</f>
        <v/>
      </c>
      <c r="P45" s="106" t="str" cm="1">
        <f t="array" ref="P45">IF($A45&lt;&gt;"", IFERROR(_xlfn._xlws.FILTER(Log!$G:$G, (Log!$A:$A="Daily") * (Log!$B:$B="n/a") * (Log!$C:$C=$A45) * (Log!$D:$D=P$4)), "Unknown"), "")</f>
        <v/>
      </c>
      <c r="Q45" s="106" t="str" cm="1">
        <f t="array" ref="Q45">IF($A45&lt;&gt;"", IFERROR(_xlfn._xlws.FILTER(Log!$G:$G, (Log!$A:$A="Daily") * (Log!$B:$B="n/a") * (Log!$C:$C=$A45) * (Log!$D:$D=Q$4)), "Unknown"), "")</f>
        <v/>
      </c>
      <c r="R45" s="106" t="str" cm="1">
        <f t="array" ref="R45">IF($A45&lt;&gt;"", IFERROR(_xlfn._xlws.FILTER(Log!$G:$G, (Log!$A:$A="Daily") * (Log!$B:$B="n/a") * (Log!$C:$C=$A45) * (Log!$D:$D=R$4)), "Unknown"), "")</f>
        <v/>
      </c>
      <c r="S45" s="106" t="str" cm="1">
        <f t="array" ref="S45">IF($A45&lt;&gt;"", IFERROR(_xlfn._xlws.FILTER(Log!$G:$G, (Log!$A:$A="Daily") * (Log!$B:$B="n/a") * (Log!$C:$C=$A45) * (Log!$D:$D=S$4)), "Unknown"), "")</f>
        <v/>
      </c>
      <c r="T45" s="106" t="str" cm="1">
        <f t="array" ref="T45">IF($A45&lt;&gt;"", IFERROR(_xlfn._xlws.FILTER(Log!$G:$G, (Log!$A:$A="Daily") * (Log!$B:$B="n/a") * (Log!$C:$C=$A45) * (Log!$D:$D=T$4)), "Unknown"), "")</f>
        <v/>
      </c>
      <c r="W45" s="226" t="str">
        <f t="shared" si="43"/>
        <v/>
      </c>
      <c r="X45" s="226" t="str">
        <f t="shared" si="44"/>
        <v/>
      </c>
      <c r="Y45" s="226" t="str">
        <f t="shared" si="45"/>
        <v/>
      </c>
      <c r="Z45" s="226" t="str">
        <f t="shared" si="46"/>
        <v/>
      </c>
      <c r="AA45" s="226" t="str">
        <f t="shared" si="47"/>
        <v/>
      </c>
      <c r="AB45" s="226" t="str">
        <f t="shared" si="48"/>
        <v/>
      </c>
      <c r="AC45" s="226" t="str">
        <f t="shared" si="49"/>
        <v/>
      </c>
      <c r="AD45" s="226" t="str">
        <f t="shared" si="50"/>
        <v/>
      </c>
      <c r="AE45" s="226" t="str">
        <f t="shared" si="51"/>
        <v/>
      </c>
      <c r="AF45" s="226" t="str">
        <f t="shared" si="52"/>
        <v/>
      </c>
      <c r="AG45" s="226" t="str">
        <f t="shared" si="53"/>
        <v/>
      </c>
      <c r="AH45" s="226" t="str">
        <f t="shared" si="54"/>
        <v/>
      </c>
      <c r="AI45" s="226" t="str">
        <f t="shared" si="55"/>
        <v/>
      </c>
      <c r="AJ45" s="226" t="str">
        <f t="shared" si="56"/>
        <v/>
      </c>
      <c r="AK45" s="226" t="str">
        <f t="shared" si="57"/>
        <v/>
      </c>
      <c r="AL45" s="226" t="str">
        <f t="shared" si="58"/>
        <v/>
      </c>
      <c r="AM45" s="226" t="str">
        <f t="shared" si="59"/>
        <v/>
      </c>
      <c r="AN45" s="226" t="str">
        <f t="shared" si="60"/>
        <v/>
      </c>
    </row>
    <row r="46" spans="2:40" x14ac:dyDescent="0.25">
      <c r="C46" s="106" t="str" cm="1">
        <f t="array" ref="C46">IF($A46&lt;&gt;"", IFERROR(_xlfn._xlws.FILTER(Log!$G:$G, (Log!$A:$A="Daily") * (Log!$B:$B="n/a") * (Log!$C:$C=$A46) * (Log!$D:$D=C$4)), "Unknown"), "")</f>
        <v/>
      </c>
      <c r="D46" s="106" t="str" cm="1">
        <f t="array" ref="D46">IF($A46&lt;&gt;"", IFERROR(_xlfn._xlws.FILTER(Log!$G:$G, (Log!$A:$A="Daily") * (Log!$B:$B="n/a") * (Log!$C:$C=$A46) * (Log!$D:$D=D$4)), "Unknown"), "")</f>
        <v/>
      </c>
      <c r="E46" s="106" t="str" cm="1">
        <f t="array" ref="E46">IF($A46&lt;&gt;"", IFERROR(_xlfn._xlws.FILTER(Log!$G:$G, (Log!$A:$A="Daily") * (Log!$B:$B="n/a") * (Log!$C:$C=$A46) * (Log!$D:$D=E$4)), "Unknown"), "")</f>
        <v/>
      </c>
      <c r="F46" s="106" t="str" cm="1">
        <f t="array" ref="F46">IF($A46&lt;&gt;"", IFERROR(_xlfn._xlws.FILTER(Log!$G:$G, (Log!$A:$A="Daily") * (Log!$B:$B="n/a") * (Log!$C:$C=$A46) * (Log!$D:$D=F$4)), "Unknown"), "")</f>
        <v/>
      </c>
      <c r="G46" s="106" t="str" cm="1">
        <f t="array" ref="G46">IF($A46&lt;&gt;"", IFERROR(_xlfn._xlws.FILTER(Log!$G:$G, (Log!$A:$A="Daily") * (Log!$B:$B="n/a") * (Log!$C:$C=$A46) * (Log!$D:$D=G$4)), "Unknown"), "")</f>
        <v/>
      </c>
      <c r="H46" s="106" t="str" cm="1">
        <f t="array" ref="H46">IF($A46&lt;&gt;"", IFERROR(_xlfn._xlws.FILTER(Log!$G:$G, (Log!$A:$A="Daily") * (Log!$B:$B="n/a") * (Log!$C:$C=$A46) * (Log!$D:$D=H$4)), "Unknown"), "")</f>
        <v/>
      </c>
      <c r="I46" s="106" t="str" cm="1">
        <f t="array" ref="I46">IF($A46&lt;&gt;"", IFERROR(_xlfn._xlws.FILTER(Log!$G:$G, (Log!$A:$A="Daily") * (Log!$B:$B="n/a") * (Log!$C:$C=$A46) * (Log!$D:$D=I$4)), "Unknown"), "")</f>
        <v/>
      </c>
      <c r="J46" s="106" t="str" cm="1">
        <f t="array" ref="J46">IF($A46&lt;&gt;"", IFERROR(_xlfn._xlws.FILTER(Log!$G:$G, (Log!$A:$A="Daily") * (Log!$B:$B="n/a") * (Log!$C:$C=$A46) * (Log!$D:$D=J$4)), "Unknown"), "")</f>
        <v/>
      </c>
      <c r="K46" s="106" t="str" cm="1">
        <f t="array" ref="K46">IF($A46&lt;&gt;"", IFERROR(_xlfn._xlws.FILTER(Log!$G:$G, (Log!$A:$A="Daily") * (Log!$B:$B="n/a") * (Log!$C:$C=$A46) * (Log!$D:$D=K$4)), "Unknown"), "")</f>
        <v/>
      </c>
      <c r="L46" s="106" t="str" cm="1">
        <f t="array" ref="L46">IF($A46&lt;&gt;"", IFERROR(_xlfn._xlws.FILTER(Log!$G:$G, (Log!$A:$A="Daily") * (Log!$B:$B="n/a") * (Log!$C:$C=$A46) * (Log!$D:$D=L$4)), "Unknown"), "")</f>
        <v/>
      </c>
      <c r="M46" s="106" t="str" cm="1">
        <f t="array" ref="M46">IF($A46&lt;&gt;"", IFERROR(_xlfn._xlws.FILTER(Log!$G:$G, (Log!$A:$A="Daily") * (Log!$B:$B="n/a") * (Log!$C:$C=$A46) * (Log!$D:$D=M$4)), "Unknown"), "")</f>
        <v/>
      </c>
      <c r="N46" s="106" t="str" cm="1">
        <f t="array" ref="N46">IF($A46&lt;&gt;"", IFERROR(_xlfn._xlws.FILTER(Log!$G:$G, (Log!$A:$A="Daily") * (Log!$B:$B="n/a") * (Log!$C:$C=$A46) * (Log!$D:$D=N$4)), "Unknown"), "")</f>
        <v/>
      </c>
      <c r="O46" s="106" t="str" cm="1">
        <f t="array" ref="O46">IF($A46&lt;&gt;"", IFERROR(_xlfn._xlws.FILTER(Log!$G:$G, (Log!$A:$A="Daily") * (Log!$B:$B="n/a") * (Log!$C:$C=$A46) * (Log!$D:$D=O$4)), "Unknown"), "")</f>
        <v/>
      </c>
      <c r="P46" s="106" t="str" cm="1">
        <f t="array" ref="P46">IF($A46&lt;&gt;"", IFERROR(_xlfn._xlws.FILTER(Log!$G:$G, (Log!$A:$A="Daily") * (Log!$B:$B="n/a") * (Log!$C:$C=$A46) * (Log!$D:$D=P$4)), "Unknown"), "")</f>
        <v/>
      </c>
      <c r="Q46" s="106" t="str" cm="1">
        <f t="array" ref="Q46">IF($A46&lt;&gt;"", IFERROR(_xlfn._xlws.FILTER(Log!$G:$G, (Log!$A:$A="Daily") * (Log!$B:$B="n/a") * (Log!$C:$C=$A46) * (Log!$D:$D=Q$4)), "Unknown"), "")</f>
        <v/>
      </c>
      <c r="R46" s="106" t="str" cm="1">
        <f t="array" ref="R46">IF($A46&lt;&gt;"", IFERROR(_xlfn._xlws.FILTER(Log!$G:$G, (Log!$A:$A="Daily") * (Log!$B:$B="n/a") * (Log!$C:$C=$A46) * (Log!$D:$D=R$4)), "Unknown"), "")</f>
        <v/>
      </c>
      <c r="S46" s="106" t="str" cm="1">
        <f t="array" ref="S46">IF($A46&lt;&gt;"", IFERROR(_xlfn._xlws.FILTER(Log!$G:$G, (Log!$A:$A="Daily") * (Log!$B:$B="n/a") * (Log!$C:$C=$A46) * (Log!$D:$D=S$4)), "Unknown"), "")</f>
        <v/>
      </c>
      <c r="T46" s="106" t="str" cm="1">
        <f t="array" ref="T46">IF($A46&lt;&gt;"", IFERROR(_xlfn._xlws.FILTER(Log!$G:$G, (Log!$A:$A="Daily") * (Log!$B:$B="n/a") * (Log!$C:$C=$A46) * (Log!$D:$D=T$4)), "Unknown"), "")</f>
        <v/>
      </c>
      <c r="W46" s="226" t="str">
        <f t="shared" si="43"/>
        <v/>
      </c>
      <c r="X46" s="226" t="str">
        <f t="shared" si="44"/>
        <v/>
      </c>
      <c r="Y46" s="226" t="str">
        <f t="shared" si="45"/>
        <v/>
      </c>
      <c r="Z46" s="226" t="str">
        <f t="shared" si="46"/>
        <v/>
      </c>
      <c r="AA46" s="226" t="str">
        <f t="shared" si="47"/>
        <v/>
      </c>
      <c r="AB46" s="226" t="str">
        <f t="shared" si="48"/>
        <v/>
      </c>
      <c r="AC46" s="226" t="str">
        <f t="shared" si="49"/>
        <v/>
      </c>
      <c r="AD46" s="226" t="str">
        <f t="shared" si="50"/>
        <v/>
      </c>
      <c r="AE46" s="226" t="str">
        <f t="shared" si="51"/>
        <v/>
      </c>
      <c r="AF46" s="226" t="str">
        <f t="shared" si="52"/>
        <v/>
      </c>
      <c r="AG46" s="226" t="str">
        <f t="shared" si="53"/>
        <v/>
      </c>
      <c r="AH46" s="226" t="str">
        <f t="shared" si="54"/>
        <v/>
      </c>
      <c r="AI46" s="226" t="str">
        <f t="shared" si="55"/>
        <v/>
      </c>
      <c r="AJ46" s="226" t="str">
        <f t="shared" si="56"/>
        <v/>
      </c>
      <c r="AK46" s="226" t="str">
        <f t="shared" si="57"/>
        <v/>
      </c>
      <c r="AL46" s="226" t="str">
        <f t="shared" si="58"/>
        <v/>
      </c>
      <c r="AM46" s="226" t="str">
        <f t="shared" si="59"/>
        <v/>
      </c>
      <c r="AN46" s="226" t="str">
        <f t="shared" si="60"/>
        <v/>
      </c>
    </row>
    <row r="47" spans="2:40" x14ac:dyDescent="0.25">
      <c r="C47" s="106" t="str" cm="1">
        <f t="array" ref="C47">IF($A47&lt;&gt;"", IFERROR(_xlfn._xlws.FILTER(Log!$G:$G, (Log!$A:$A="Daily") * (Log!$B:$B="n/a") * (Log!$C:$C=$A47) * (Log!$D:$D=C$4)), "Unknown"), "")</f>
        <v/>
      </c>
      <c r="D47" s="106" t="str" cm="1">
        <f t="array" ref="D47">IF($A47&lt;&gt;"", IFERROR(_xlfn._xlws.FILTER(Log!$G:$G, (Log!$A:$A="Daily") * (Log!$B:$B="n/a") * (Log!$C:$C=$A47) * (Log!$D:$D=D$4)), "Unknown"), "")</f>
        <v/>
      </c>
      <c r="E47" s="106" t="str" cm="1">
        <f t="array" ref="E47">IF($A47&lt;&gt;"", IFERROR(_xlfn._xlws.FILTER(Log!$G:$G, (Log!$A:$A="Daily") * (Log!$B:$B="n/a") * (Log!$C:$C=$A47) * (Log!$D:$D=E$4)), "Unknown"), "")</f>
        <v/>
      </c>
      <c r="F47" s="106" t="str" cm="1">
        <f t="array" ref="F47">IF($A47&lt;&gt;"", IFERROR(_xlfn._xlws.FILTER(Log!$G:$G, (Log!$A:$A="Daily") * (Log!$B:$B="n/a") * (Log!$C:$C=$A47) * (Log!$D:$D=F$4)), "Unknown"), "")</f>
        <v/>
      </c>
      <c r="G47" s="106" t="str" cm="1">
        <f t="array" ref="G47">IF($A47&lt;&gt;"", IFERROR(_xlfn._xlws.FILTER(Log!$G:$G, (Log!$A:$A="Daily") * (Log!$B:$B="n/a") * (Log!$C:$C=$A47) * (Log!$D:$D=G$4)), "Unknown"), "")</f>
        <v/>
      </c>
      <c r="H47" s="106" t="str" cm="1">
        <f t="array" ref="H47">IF($A47&lt;&gt;"", IFERROR(_xlfn._xlws.FILTER(Log!$G:$G, (Log!$A:$A="Daily") * (Log!$B:$B="n/a") * (Log!$C:$C=$A47) * (Log!$D:$D=H$4)), "Unknown"), "")</f>
        <v/>
      </c>
      <c r="I47" s="106" t="str" cm="1">
        <f t="array" ref="I47">IF($A47&lt;&gt;"", IFERROR(_xlfn._xlws.FILTER(Log!$G:$G, (Log!$A:$A="Daily") * (Log!$B:$B="n/a") * (Log!$C:$C=$A47) * (Log!$D:$D=I$4)), "Unknown"), "")</f>
        <v/>
      </c>
      <c r="J47" s="106" t="str" cm="1">
        <f t="array" ref="J47">IF($A47&lt;&gt;"", IFERROR(_xlfn._xlws.FILTER(Log!$G:$G, (Log!$A:$A="Daily") * (Log!$B:$B="n/a") * (Log!$C:$C=$A47) * (Log!$D:$D=J$4)), "Unknown"), "")</f>
        <v/>
      </c>
      <c r="K47" s="106" t="str" cm="1">
        <f t="array" ref="K47">IF($A47&lt;&gt;"", IFERROR(_xlfn._xlws.FILTER(Log!$G:$G, (Log!$A:$A="Daily") * (Log!$B:$B="n/a") * (Log!$C:$C=$A47) * (Log!$D:$D=K$4)), "Unknown"), "")</f>
        <v/>
      </c>
      <c r="L47" s="106" t="str" cm="1">
        <f t="array" ref="L47">IF($A47&lt;&gt;"", IFERROR(_xlfn._xlws.FILTER(Log!$G:$G, (Log!$A:$A="Daily") * (Log!$B:$B="n/a") * (Log!$C:$C=$A47) * (Log!$D:$D=L$4)), "Unknown"), "")</f>
        <v/>
      </c>
      <c r="M47" s="106" t="str" cm="1">
        <f t="array" ref="M47">IF($A47&lt;&gt;"", IFERROR(_xlfn._xlws.FILTER(Log!$G:$G, (Log!$A:$A="Daily") * (Log!$B:$B="n/a") * (Log!$C:$C=$A47) * (Log!$D:$D=M$4)), "Unknown"), "")</f>
        <v/>
      </c>
      <c r="N47" s="106" t="str" cm="1">
        <f t="array" ref="N47">IF($A47&lt;&gt;"", IFERROR(_xlfn._xlws.FILTER(Log!$G:$G, (Log!$A:$A="Daily") * (Log!$B:$B="n/a") * (Log!$C:$C=$A47) * (Log!$D:$D=N$4)), "Unknown"), "")</f>
        <v/>
      </c>
      <c r="O47" s="106" t="str" cm="1">
        <f t="array" ref="O47">IF($A47&lt;&gt;"", IFERROR(_xlfn._xlws.FILTER(Log!$G:$G, (Log!$A:$A="Daily") * (Log!$B:$B="n/a") * (Log!$C:$C=$A47) * (Log!$D:$D=O$4)), "Unknown"), "")</f>
        <v/>
      </c>
      <c r="P47" s="106" t="str" cm="1">
        <f t="array" ref="P47">IF($A47&lt;&gt;"", IFERROR(_xlfn._xlws.FILTER(Log!$G:$G, (Log!$A:$A="Daily") * (Log!$B:$B="n/a") * (Log!$C:$C=$A47) * (Log!$D:$D=P$4)), "Unknown"), "")</f>
        <v/>
      </c>
      <c r="Q47" s="106" t="str" cm="1">
        <f t="array" ref="Q47">IF($A47&lt;&gt;"", IFERROR(_xlfn._xlws.FILTER(Log!$G:$G, (Log!$A:$A="Daily") * (Log!$B:$B="n/a") * (Log!$C:$C=$A47) * (Log!$D:$D=Q$4)), "Unknown"), "")</f>
        <v/>
      </c>
      <c r="R47" s="106" t="str" cm="1">
        <f t="array" ref="R47">IF($A47&lt;&gt;"", IFERROR(_xlfn._xlws.FILTER(Log!$G:$G, (Log!$A:$A="Daily") * (Log!$B:$B="n/a") * (Log!$C:$C=$A47) * (Log!$D:$D=R$4)), "Unknown"), "")</f>
        <v/>
      </c>
      <c r="S47" s="106" t="str" cm="1">
        <f t="array" ref="S47">IF($A47&lt;&gt;"", IFERROR(_xlfn._xlws.FILTER(Log!$G:$G, (Log!$A:$A="Daily") * (Log!$B:$B="n/a") * (Log!$C:$C=$A47) * (Log!$D:$D=S$4)), "Unknown"), "")</f>
        <v/>
      </c>
      <c r="T47" s="106" t="str" cm="1">
        <f t="array" ref="T47">IF($A47&lt;&gt;"", IFERROR(_xlfn._xlws.FILTER(Log!$G:$G, (Log!$A:$A="Daily") * (Log!$B:$B="n/a") * (Log!$C:$C=$A47) * (Log!$D:$D=T$4)), "Unknown"), "")</f>
        <v/>
      </c>
      <c r="W47" s="226" t="str">
        <f t="shared" si="43"/>
        <v/>
      </c>
      <c r="X47" s="226" t="str">
        <f t="shared" si="44"/>
        <v/>
      </c>
      <c r="Y47" s="226" t="str">
        <f t="shared" si="45"/>
        <v/>
      </c>
      <c r="Z47" s="226" t="str">
        <f t="shared" si="46"/>
        <v/>
      </c>
      <c r="AA47" s="226" t="str">
        <f t="shared" si="47"/>
        <v/>
      </c>
      <c r="AB47" s="226" t="str">
        <f t="shared" si="48"/>
        <v/>
      </c>
      <c r="AC47" s="226" t="str">
        <f t="shared" si="49"/>
        <v/>
      </c>
      <c r="AD47" s="226" t="str">
        <f t="shared" si="50"/>
        <v/>
      </c>
      <c r="AE47" s="226" t="str">
        <f t="shared" si="51"/>
        <v/>
      </c>
      <c r="AF47" s="226" t="str">
        <f t="shared" si="52"/>
        <v/>
      </c>
      <c r="AG47" s="226" t="str">
        <f t="shared" si="53"/>
        <v/>
      </c>
      <c r="AH47" s="226" t="str">
        <f t="shared" si="54"/>
        <v/>
      </c>
      <c r="AI47" s="226" t="str">
        <f t="shared" si="55"/>
        <v/>
      </c>
      <c r="AJ47" s="226" t="str">
        <f t="shared" si="56"/>
        <v/>
      </c>
      <c r="AK47" s="226" t="str">
        <f t="shared" si="57"/>
        <v/>
      </c>
      <c r="AL47" s="226" t="str">
        <f t="shared" si="58"/>
        <v/>
      </c>
      <c r="AM47" s="226" t="str">
        <f t="shared" si="59"/>
        <v/>
      </c>
      <c r="AN47" s="226" t="str">
        <f t="shared" si="60"/>
        <v/>
      </c>
    </row>
    <row r="48" spans="2:40" x14ac:dyDescent="0.25">
      <c r="C48" s="106" t="str" cm="1">
        <f t="array" ref="C48">IF($A48&lt;&gt;"", IFERROR(_xlfn._xlws.FILTER(Log!$G:$G, (Log!$A:$A="Daily") * (Log!$B:$B="n/a") * (Log!$C:$C=$A48) * (Log!$D:$D=C$4)), "Unknown"), "")</f>
        <v/>
      </c>
      <c r="D48" s="106" t="str" cm="1">
        <f t="array" ref="D48">IF($A48&lt;&gt;"", IFERROR(_xlfn._xlws.FILTER(Log!$G:$G, (Log!$A:$A="Daily") * (Log!$B:$B="n/a") * (Log!$C:$C=$A48) * (Log!$D:$D=D$4)), "Unknown"), "")</f>
        <v/>
      </c>
      <c r="E48" s="106" t="str" cm="1">
        <f t="array" ref="E48">IF($A48&lt;&gt;"", IFERROR(_xlfn._xlws.FILTER(Log!$G:$G, (Log!$A:$A="Daily") * (Log!$B:$B="n/a") * (Log!$C:$C=$A48) * (Log!$D:$D=E$4)), "Unknown"), "")</f>
        <v/>
      </c>
      <c r="F48" s="106" t="str" cm="1">
        <f t="array" ref="F48">IF($A48&lt;&gt;"", IFERROR(_xlfn._xlws.FILTER(Log!$G:$G, (Log!$A:$A="Daily") * (Log!$B:$B="n/a") * (Log!$C:$C=$A48) * (Log!$D:$D=F$4)), "Unknown"), "")</f>
        <v/>
      </c>
      <c r="G48" s="106" t="str" cm="1">
        <f t="array" ref="G48">IF($A48&lt;&gt;"", IFERROR(_xlfn._xlws.FILTER(Log!$G:$G, (Log!$A:$A="Daily") * (Log!$B:$B="n/a") * (Log!$C:$C=$A48) * (Log!$D:$D=G$4)), "Unknown"), "")</f>
        <v/>
      </c>
      <c r="H48" s="106" t="str" cm="1">
        <f t="array" ref="H48">IF($A48&lt;&gt;"", IFERROR(_xlfn._xlws.FILTER(Log!$G:$G, (Log!$A:$A="Daily") * (Log!$B:$B="n/a") * (Log!$C:$C=$A48) * (Log!$D:$D=H$4)), "Unknown"), "")</f>
        <v/>
      </c>
      <c r="I48" s="106" t="str" cm="1">
        <f t="array" ref="I48">IF($A48&lt;&gt;"", IFERROR(_xlfn._xlws.FILTER(Log!$G:$G, (Log!$A:$A="Daily") * (Log!$B:$B="n/a") * (Log!$C:$C=$A48) * (Log!$D:$D=I$4)), "Unknown"), "")</f>
        <v/>
      </c>
      <c r="J48" s="106" t="str" cm="1">
        <f t="array" ref="J48">IF($A48&lt;&gt;"", IFERROR(_xlfn._xlws.FILTER(Log!$G:$G, (Log!$A:$A="Daily") * (Log!$B:$B="n/a") * (Log!$C:$C=$A48) * (Log!$D:$D=J$4)), "Unknown"), "")</f>
        <v/>
      </c>
      <c r="K48" s="106" t="str" cm="1">
        <f t="array" ref="K48">IF($A48&lt;&gt;"", IFERROR(_xlfn._xlws.FILTER(Log!$G:$G, (Log!$A:$A="Daily") * (Log!$B:$B="n/a") * (Log!$C:$C=$A48) * (Log!$D:$D=K$4)), "Unknown"), "")</f>
        <v/>
      </c>
      <c r="L48" s="106" t="str" cm="1">
        <f t="array" ref="L48">IF($A48&lt;&gt;"", IFERROR(_xlfn._xlws.FILTER(Log!$G:$G, (Log!$A:$A="Daily") * (Log!$B:$B="n/a") * (Log!$C:$C=$A48) * (Log!$D:$D=L$4)), "Unknown"), "")</f>
        <v/>
      </c>
      <c r="M48" s="106" t="str" cm="1">
        <f t="array" ref="M48">IF($A48&lt;&gt;"", IFERROR(_xlfn._xlws.FILTER(Log!$G:$G, (Log!$A:$A="Daily") * (Log!$B:$B="n/a") * (Log!$C:$C=$A48) * (Log!$D:$D=M$4)), "Unknown"), "")</f>
        <v/>
      </c>
      <c r="N48" s="106" t="str" cm="1">
        <f t="array" ref="N48">IF($A48&lt;&gt;"", IFERROR(_xlfn._xlws.FILTER(Log!$G:$G, (Log!$A:$A="Daily") * (Log!$B:$B="n/a") * (Log!$C:$C=$A48) * (Log!$D:$D=N$4)), "Unknown"), "")</f>
        <v/>
      </c>
      <c r="O48" s="106" t="str" cm="1">
        <f t="array" ref="O48">IF($A48&lt;&gt;"", IFERROR(_xlfn._xlws.FILTER(Log!$G:$G, (Log!$A:$A="Daily") * (Log!$B:$B="n/a") * (Log!$C:$C=$A48) * (Log!$D:$D=O$4)), "Unknown"), "")</f>
        <v/>
      </c>
      <c r="P48" s="106" t="str" cm="1">
        <f t="array" ref="P48">IF($A48&lt;&gt;"", IFERROR(_xlfn._xlws.FILTER(Log!$G:$G, (Log!$A:$A="Daily") * (Log!$B:$B="n/a") * (Log!$C:$C=$A48) * (Log!$D:$D=P$4)), "Unknown"), "")</f>
        <v/>
      </c>
      <c r="Q48" s="106" t="str" cm="1">
        <f t="array" ref="Q48">IF($A48&lt;&gt;"", IFERROR(_xlfn._xlws.FILTER(Log!$G:$G, (Log!$A:$A="Daily") * (Log!$B:$B="n/a") * (Log!$C:$C=$A48) * (Log!$D:$D=Q$4)), "Unknown"), "")</f>
        <v/>
      </c>
      <c r="R48" s="106" t="str" cm="1">
        <f t="array" ref="R48">IF($A48&lt;&gt;"", IFERROR(_xlfn._xlws.FILTER(Log!$G:$G, (Log!$A:$A="Daily") * (Log!$B:$B="n/a") * (Log!$C:$C=$A48) * (Log!$D:$D=R$4)), "Unknown"), "")</f>
        <v/>
      </c>
      <c r="S48" s="106" t="str" cm="1">
        <f t="array" ref="S48">IF($A48&lt;&gt;"", IFERROR(_xlfn._xlws.FILTER(Log!$G:$G, (Log!$A:$A="Daily") * (Log!$B:$B="n/a") * (Log!$C:$C=$A48) * (Log!$D:$D=S$4)), "Unknown"), "")</f>
        <v/>
      </c>
      <c r="T48" s="106" t="str" cm="1">
        <f t="array" ref="T48">IF($A48&lt;&gt;"", IFERROR(_xlfn._xlws.FILTER(Log!$G:$G, (Log!$A:$A="Daily") * (Log!$B:$B="n/a") * (Log!$C:$C=$A48) * (Log!$D:$D=T$4)), "Unknown"), "")</f>
        <v/>
      </c>
      <c r="W48" s="226" t="str">
        <f t="shared" si="43"/>
        <v/>
      </c>
      <c r="X48" s="226" t="str">
        <f t="shared" si="44"/>
        <v/>
      </c>
      <c r="Y48" s="226" t="str">
        <f t="shared" si="45"/>
        <v/>
      </c>
      <c r="Z48" s="226" t="str">
        <f t="shared" si="46"/>
        <v/>
      </c>
      <c r="AA48" s="226" t="str">
        <f t="shared" si="47"/>
        <v/>
      </c>
      <c r="AB48" s="226" t="str">
        <f t="shared" si="48"/>
        <v/>
      </c>
      <c r="AC48" s="226" t="str">
        <f t="shared" si="49"/>
        <v/>
      </c>
      <c r="AD48" s="226" t="str">
        <f t="shared" si="50"/>
        <v/>
      </c>
      <c r="AE48" s="226" t="str">
        <f t="shared" si="51"/>
        <v/>
      </c>
      <c r="AF48" s="226" t="str">
        <f t="shared" si="52"/>
        <v/>
      </c>
      <c r="AG48" s="226" t="str">
        <f t="shared" si="53"/>
        <v/>
      </c>
      <c r="AH48" s="226" t="str">
        <f t="shared" si="54"/>
        <v/>
      </c>
      <c r="AI48" s="226" t="str">
        <f t="shared" si="55"/>
        <v/>
      </c>
      <c r="AJ48" s="226" t="str">
        <f t="shared" si="56"/>
        <v/>
      </c>
      <c r="AK48" s="226" t="str">
        <f t="shared" si="57"/>
        <v/>
      </c>
      <c r="AL48" s="226" t="str">
        <f t="shared" si="58"/>
        <v/>
      </c>
      <c r="AM48" s="226" t="str">
        <f t="shared" si="59"/>
        <v/>
      </c>
      <c r="AN48" s="226" t="str">
        <f t="shared" si="60"/>
        <v/>
      </c>
    </row>
    <row r="49" spans="3:40" x14ac:dyDescent="0.25">
      <c r="C49" s="106" t="str" cm="1">
        <f t="array" ref="C49">IF($A49&lt;&gt;"", IFERROR(_xlfn._xlws.FILTER(Log!$G:$G, (Log!$A:$A="Daily") * (Log!$B:$B="n/a") * (Log!$C:$C=$A49) * (Log!$D:$D=C$4)), "Unknown"), "")</f>
        <v/>
      </c>
      <c r="D49" s="106" t="str" cm="1">
        <f t="array" ref="D49">IF($A49&lt;&gt;"", IFERROR(_xlfn._xlws.FILTER(Log!$G:$G, (Log!$A:$A="Daily") * (Log!$B:$B="n/a") * (Log!$C:$C=$A49) * (Log!$D:$D=D$4)), "Unknown"), "")</f>
        <v/>
      </c>
      <c r="E49" s="106" t="str" cm="1">
        <f t="array" ref="E49">IF($A49&lt;&gt;"", IFERROR(_xlfn._xlws.FILTER(Log!$G:$G, (Log!$A:$A="Daily") * (Log!$B:$B="n/a") * (Log!$C:$C=$A49) * (Log!$D:$D=E$4)), "Unknown"), "")</f>
        <v/>
      </c>
      <c r="F49" s="106" t="str" cm="1">
        <f t="array" ref="F49">IF($A49&lt;&gt;"", IFERROR(_xlfn._xlws.FILTER(Log!$G:$G, (Log!$A:$A="Daily") * (Log!$B:$B="n/a") * (Log!$C:$C=$A49) * (Log!$D:$D=F$4)), "Unknown"), "")</f>
        <v/>
      </c>
      <c r="G49" s="106" t="str" cm="1">
        <f t="array" ref="G49">IF($A49&lt;&gt;"", IFERROR(_xlfn._xlws.FILTER(Log!$G:$G, (Log!$A:$A="Daily") * (Log!$B:$B="n/a") * (Log!$C:$C=$A49) * (Log!$D:$D=G$4)), "Unknown"), "")</f>
        <v/>
      </c>
      <c r="H49" s="106" t="str" cm="1">
        <f t="array" ref="H49">IF($A49&lt;&gt;"", IFERROR(_xlfn._xlws.FILTER(Log!$G:$G, (Log!$A:$A="Daily") * (Log!$B:$B="n/a") * (Log!$C:$C=$A49) * (Log!$D:$D=H$4)), "Unknown"), "")</f>
        <v/>
      </c>
      <c r="I49" s="106" t="str" cm="1">
        <f t="array" ref="I49">IF($A49&lt;&gt;"", IFERROR(_xlfn._xlws.FILTER(Log!$G:$G, (Log!$A:$A="Daily") * (Log!$B:$B="n/a") * (Log!$C:$C=$A49) * (Log!$D:$D=I$4)), "Unknown"), "")</f>
        <v/>
      </c>
      <c r="J49" s="106" t="str" cm="1">
        <f t="array" ref="J49">IF($A49&lt;&gt;"", IFERROR(_xlfn._xlws.FILTER(Log!$G:$G, (Log!$A:$A="Daily") * (Log!$B:$B="n/a") * (Log!$C:$C=$A49) * (Log!$D:$D=J$4)), "Unknown"), "")</f>
        <v/>
      </c>
      <c r="K49" s="106" t="str" cm="1">
        <f t="array" ref="K49">IF($A49&lt;&gt;"", IFERROR(_xlfn._xlws.FILTER(Log!$G:$G, (Log!$A:$A="Daily") * (Log!$B:$B="n/a") * (Log!$C:$C=$A49) * (Log!$D:$D=K$4)), "Unknown"), "")</f>
        <v/>
      </c>
      <c r="L49" s="106" t="str" cm="1">
        <f t="array" ref="L49">IF($A49&lt;&gt;"", IFERROR(_xlfn._xlws.FILTER(Log!$G:$G, (Log!$A:$A="Daily") * (Log!$B:$B="n/a") * (Log!$C:$C=$A49) * (Log!$D:$D=L$4)), "Unknown"), "")</f>
        <v/>
      </c>
      <c r="M49" s="106" t="str" cm="1">
        <f t="array" ref="M49">IF($A49&lt;&gt;"", IFERROR(_xlfn._xlws.FILTER(Log!$G:$G, (Log!$A:$A="Daily") * (Log!$B:$B="n/a") * (Log!$C:$C=$A49) * (Log!$D:$D=M$4)), "Unknown"), "")</f>
        <v/>
      </c>
      <c r="N49" s="106" t="str" cm="1">
        <f t="array" ref="N49">IF($A49&lt;&gt;"", IFERROR(_xlfn._xlws.FILTER(Log!$G:$G, (Log!$A:$A="Daily") * (Log!$B:$B="n/a") * (Log!$C:$C=$A49) * (Log!$D:$D=N$4)), "Unknown"), "")</f>
        <v/>
      </c>
      <c r="O49" s="106" t="str" cm="1">
        <f t="array" ref="O49">IF($A49&lt;&gt;"", IFERROR(_xlfn._xlws.FILTER(Log!$G:$G, (Log!$A:$A="Daily") * (Log!$B:$B="n/a") * (Log!$C:$C=$A49) * (Log!$D:$D=O$4)), "Unknown"), "")</f>
        <v/>
      </c>
      <c r="P49" s="106" t="str" cm="1">
        <f t="array" ref="P49">IF($A49&lt;&gt;"", IFERROR(_xlfn._xlws.FILTER(Log!$G:$G, (Log!$A:$A="Daily") * (Log!$B:$B="n/a") * (Log!$C:$C=$A49) * (Log!$D:$D=P$4)), "Unknown"), "")</f>
        <v/>
      </c>
      <c r="Q49" s="106" t="str" cm="1">
        <f t="array" ref="Q49">IF($A49&lt;&gt;"", IFERROR(_xlfn._xlws.FILTER(Log!$G:$G, (Log!$A:$A="Daily") * (Log!$B:$B="n/a") * (Log!$C:$C=$A49) * (Log!$D:$D=Q$4)), "Unknown"), "")</f>
        <v/>
      </c>
      <c r="R49" s="106" t="str" cm="1">
        <f t="array" ref="R49">IF($A49&lt;&gt;"", IFERROR(_xlfn._xlws.FILTER(Log!$G:$G, (Log!$A:$A="Daily") * (Log!$B:$B="n/a") * (Log!$C:$C=$A49) * (Log!$D:$D=R$4)), "Unknown"), "")</f>
        <v/>
      </c>
      <c r="S49" s="106" t="str" cm="1">
        <f t="array" ref="S49">IF($A49&lt;&gt;"", IFERROR(_xlfn._xlws.FILTER(Log!$G:$G, (Log!$A:$A="Daily") * (Log!$B:$B="n/a") * (Log!$C:$C=$A49) * (Log!$D:$D=S$4)), "Unknown"), "")</f>
        <v/>
      </c>
      <c r="T49" s="106" t="str" cm="1">
        <f t="array" ref="T49">IF($A49&lt;&gt;"", IFERROR(_xlfn._xlws.FILTER(Log!$G:$G, (Log!$A:$A="Daily") * (Log!$B:$B="n/a") * (Log!$C:$C=$A49) * (Log!$D:$D=T$4)), "Unknown"), "")</f>
        <v/>
      </c>
      <c r="W49" s="226" t="str">
        <f t="shared" si="43"/>
        <v/>
      </c>
      <c r="X49" s="226" t="str">
        <f t="shared" si="44"/>
        <v/>
      </c>
      <c r="Y49" s="226" t="str">
        <f t="shared" si="45"/>
        <v/>
      </c>
      <c r="Z49" s="226" t="str">
        <f t="shared" si="46"/>
        <v/>
      </c>
      <c r="AA49" s="226" t="str">
        <f t="shared" si="47"/>
        <v/>
      </c>
      <c r="AB49" s="226" t="str">
        <f t="shared" si="48"/>
        <v/>
      </c>
      <c r="AC49" s="226" t="str">
        <f t="shared" si="49"/>
        <v/>
      </c>
      <c r="AD49" s="226" t="str">
        <f t="shared" si="50"/>
        <v/>
      </c>
      <c r="AE49" s="226" t="str">
        <f t="shared" si="51"/>
        <v/>
      </c>
      <c r="AF49" s="226" t="str">
        <f t="shared" si="52"/>
        <v/>
      </c>
      <c r="AG49" s="226" t="str">
        <f t="shared" si="53"/>
        <v/>
      </c>
      <c r="AH49" s="226" t="str">
        <f t="shared" si="54"/>
        <v/>
      </c>
      <c r="AI49" s="226" t="str">
        <f t="shared" si="55"/>
        <v/>
      </c>
      <c r="AJ49" s="226" t="str">
        <f t="shared" si="56"/>
        <v/>
      </c>
      <c r="AK49" s="226" t="str">
        <f t="shared" si="57"/>
        <v/>
      </c>
      <c r="AL49" s="226" t="str">
        <f t="shared" si="58"/>
        <v/>
      </c>
      <c r="AM49" s="226" t="str">
        <f t="shared" si="59"/>
        <v/>
      </c>
      <c r="AN49" s="226" t="str">
        <f t="shared" si="60"/>
        <v/>
      </c>
    </row>
    <row r="50" spans="3:40" x14ac:dyDescent="0.25">
      <c r="C50" s="106" t="str" cm="1">
        <f t="array" ref="C50">IF($A50&lt;&gt;"", IFERROR(_xlfn._xlws.FILTER(Log!$G:$G, (Log!$A:$A="Daily") * (Log!$C:$C=$A50) * (Log!$D:$D=C$4)), "Unknown"), "")</f>
        <v/>
      </c>
      <c r="D50" s="106" t="str" cm="1">
        <f t="array" ref="D50">IF($A50&lt;&gt;"", IFERROR(_xlfn._xlws.FILTER(Log!$G:$G, (Log!$A:$A="Daily") * (Log!$C:$C=$A50) * (Log!$D:$D=D$4)), "Unknown"), "")</f>
        <v/>
      </c>
      <c r="E50" s="106" t="str" cm="1">
        <f t="array" ref="E50">IF($A50&lt;&gt;"", IFERROR(_xlfn._xlws.FILTER(Log!$G:$G, (Log!$A:$A="Daily") * (Log!$C:$C=$A50) * (Log!$D:$D=E$4)), "Unknown"), "")</f>
        <v/>
      </c>
      <c r="F50" s="106" t="str" cm="1">
        <f t="array" ref="F50">IF($A50&lt;&gt;"", IFERROR(_xlfn._xlws.FILTER(Log!$G:$G, (Log!$A:$A="Daily") * (Log!$C:$C=$A50) * (Log!$D:$D=F$4)), "Unknown"), "")</f>
        <v/>
      </c>
      <c r="G50" s="106" t="str" cm="1">
        <f t="array" ref="G50">IF($A50&lt;&gt;"", IFERROR(_xlfn._xlws.FILTER(Log!$G:$G, (Log!$A:$A="Daily") * (Log!$C:$C=$A50) * (Log!$D:$D=G$4)), "Unknown"), "")</f>
        <v/>
      </c>
      <c r="H50" s="106" t="str" cm="1">
        <f t="array" ref="H50">IF($A50&lt;&gt;"", IFERROR(_xlfn._xlws.FILTER(Log!$G:$G, (Log!$A:$A="Daily") * (Log!$C:$C=$A50) * (Log!$D:$D=H$4)), "Unknown"), "")</f>
        <v/>
      </c>
      <c r="I50" s="106" t="str" cm="1">
        <f t="array" ref="I50">IF($A50&lt;&gt;"", IFERROR(_xlfn._xlws.FILTER(Log!$G:$G, (Log!$A:$A="Daily") * (Log!$C:$C=$A50) * (Log!$D:$D=I$4)), "Unknown"), "")</f>
        <v/>
      </c>
      <c r="J50" s="106" t="str" cm="1">
        <f t="array" ref="J50">IF($A50&lt;&gt;"", IFERROR(_xlfn._xlws.FILTER(Log!$G:$G, (Log!$A:$A="Daily") * (Log!$C:$C=$A50) * (Log!$D:$D=J$4)), "Unknown"), "")</f>
        <v/>
      </c>
      <c r="K50" s="106" t="str" cm="1">
        <f t="array" ref="K50">IF($A50&lt;&gt;"", IFERROR(_xlfn._xlws.FILTER(Log!$G:$G, (Log!$A:$A="Daily") * (Log!$C:$C=$A50) * (Log!$D:$D=K$4)), "Unknown"), "")</f>
        <v/>
      </c>
      <c r="L50" s="106" t="str" cm="1">
        <f t="array" ref="L50">IF($A50&lt;&gt;"", IFERROR(_xlfn._xlws.FILTER(Log!$G:$G, (Log!$A:$A="Daily") * (Log!$C:$C=$A50) * (Log!$D:$D=L$4)), "Unknown"), "")</f>
        <v/>
      </c>
      <c r="M50" s="106" t="str" cm="1">
        <f t="array" ref="M50">IF($A50&lt;&gt;"", IFERROR(_xlfn._xlws.FILTER(Log!$G:$G, (Log!$A:$A="Daily") * (Log!$C:$C=$A50) * (Log!$D:$D=M$4)), "Unknown"), "")</f>
        <v/>
      </c>
      <c r="N50" s="106" t="str" cm="1">
        <f t="array" ref="N50">IF($A50&lt;&gt;"", IFERROR(_xlfn._xlws.FILTER(Log!$G:$G, (Log!$A:$A="Daily") * (Log!$C:$C=$A50) * (Log!$D:$D=N$4)), "Unknown"), "")</f>
        <v/>
      </c>
      <c r="O50" s="106" t="str" cm="1">
        <f t="array" ref="O50">IF($A50&lt;&gt;"", IFERROR(_xlfn._xlws.FILTER(Log!$G:$G, (Log!$A:$A="Daily") * (Log!$C:$C=$A50) * (Log!$D:$D=O$4)), "Unknown"), "")</f>
        <v/>
      </c>
      <c r="P50" s="106" t="str" cm="1">
        <f t="array" ref="P50">IF($A50&lt;&gt;"", IFERROR(_xlfn._xlws.FILTER(Log!$G:$G, (Log!$A:$A="Daily") * (Log!$C:$C=$A50) * (Log!$D:$D=P$4)), "Unknown"), "")</f>
        <v/>
      </c>
      <c r="Q50" s="106" t="str" cm="1">
        <f t="array" ref="Q50">IF($A50&lt;&gt;"", IFERROR(_xlfn._xlws.FILTER(Log!$G:$G, (Log!$A:$A="Daily") * (Log!$C:$C=$A50) * (Log!$D:$D=Q$4)), "Unknown"), "")</f>
        <v/>
      </c>
      <c r="R50" s="106" t="str" cm="1">
        <f t="array" ref="R50">IF($A50&lt;&gt;"", IFERROR(_xlfn._xlws.FILTER(Log!$G:$G, (Log!$A:$A="Daily") * (Log!$C:$C=$A50) * (Log!$D:$D=R$4)), "Unknown"), "")</f>
        <v/>
      </c>
      <c r="S50" s="106" t="str" cm="1">
        <f t="array" ref="S50">IF($A50&lt;&gt;"", IFERROR(_xlfn._xlws.FILTER(Log!$G:$G, (Log!$A:$A="Daily") * (Log!$C:$C=$A50) * (Log!$D:$D=S$4)), "Unknown"), "")</f>
        <v/>
      </c>
      <c r="T50" s="106" t="str" cm="1">
        <f t="array" ref="T50">IF($A50&lt;&gt;"", IFERROR(_xlfn._xlws.FILTER(Log!$G:$G, (Log!$A:$A="Daily") * (Log!$C:$C=$A50) * (Log!$D:$D=T$4)), "Unknown"), "")</f>
        <v/>
      </c>
      <c r="W50" s="226" t="str">
        <f t="shared" si="7"/>
        <v/>
      </c>
      <c r="X50" s="226" t="str">
        <f t="shared" si="8"/>
        <v/>
      </c>
      <c r="Y50" s="226" t="str">
        <f t="shared" si="9"/>
        <v/>
      </c>
      <c r="Z50" s="226" t="str">
        <f t="shared" si="10"/>
        <v/>
      </c>
      <c r="AA50" s="226" t="str">
        <f t="shared" si="11"/>
        <v/>
      </c>
      <c r="AB50" s="226" t="str">
        <f t="shared" si="12"/>
        <v/>
      </c>
      <c r="AC50" s="226" t="str">
        <f t="shared" si="13"/>
        <v/>
      </c>
      <c r="AD50" s="226" t="str">
        <f t="shared" si="14"/>
        <v/>
      </c>
      <c r="AE50" s="226" t="str">
        <f t="shared" si="15"/>
        <v/>
      </c>
      <c r="AF50" s="226" t="str">
        <f t="shared" si="16"/>
        <v/>
      </c>
      <c r="AG50" s="226" t="str">
        <f t="shared" si="17"/>
        <v/>
      </c>
      <c r="AH50" s="226" t="str">
        <f t="shared" si="18"/>
        <v/>
      </c>
      <c r="AI50" s="226" t="str">
        <f t="shared" si="19"/>
        <v/>
      </c>
      <c r="AJ50" s="226" t="str">
        <f t="shared" si="20"/>
        <v/>
      </c>
      <c r="AK50" s="226" t="str">
        <f t="shared" si="21"/>
        <v/>
      </c>
      <c r="AL50" s="226" t="str">
        <f t="shared" si="22"/>
        <v/>
      </c>
      <c r="AM50" s="226" t="str">
        <f t="shared" si="23"/>
        <v/>
      </c>
      <c r="AN50" s="226" t="str">
        <f t="shared" si="24"/>
        <v/>
      </c>
    </row>
    <row r="51" spans="3:40" x14ac:dyDescent="0.25">
      <c r="C51" s="106" t="str" cm="1">
        <f t="array" ref="C51">IF($A51&lt;&gt;"", IFERROR(_xlfn._xlws.FILTER(Log!$G:$G, (Log!$A:$A="Daily") * (Log!$C:$C=$A51) * (Log!$D:$D=C$4)), "Unknown"), "")</f>
        <v/>
      </c>
      <c r="D51" s="106" t="str" cm="1">
        <f t="array" ref="D51">IF($A51&lt;&gt;"", IFERROR(_xlfn._xlws.FILTER(Log!$G:$G, (Log!$A:$A="Daily") * (Log!$C:$C=$A51) * (Log!$D:$D=D$4)), "Unknown"), "")</f>
        <v/>
      </c>
      <c r="E51" s="106" t="str" cm="1">
        <f t="array" ref="E51">IF($A51&lt;&gt;"", IFERROR(_xlfn._xlws.FILTER(Log!$G:$G, (Log!$A:$A="Daily") * (Log!$C:$C=$A51) * (Log!$D:$D=E$4)), "Unknown"), "")</f>
        <v/>
      </c>
      <c r="F51" s="106" t="str" cm="1">
        <f t="array" ref="F51">IF($A51&lt;&gt;"", IFERROR(_xlfn._xlws.FILTER(Log!$G:$G, (Log!$A:$A="Daily") * (Log!$C:$C=$A51) * (Log!$D:$D=F$4)), "Unknown"), "")</f>
        <v/>
      </c>
      <c r="G51" s="106" t="str" cm="1">
        <f t="array" ref="G51">IF($A51&lt;&gt;"", IFERROR(_xlfn._xlws.FILTER(Log!$G:$G, (Log!$A:$A="Daily") * (Log!$C:$C=$A51) * (Log!$D:$D=G$4)), "Unknown"), "")</f>
        <v/>
      </c>
      <c r="H51" s="106" t="str" cm="1">
        <f t="array" ref="H51">IF($A51&lt;&gt;"", IFERROR(_xlfn._xlws.FILTER(Log!$G:$G, (Log!$A:$A="Daily") * (Log!$C:$C=$A51) * (Log!$D:$D=H$4)), "Unknown"), "")</f>
        <v/>
      </c>
      <c r="I51" s="106" t="str" cm="1">
        <f t="array" ref="I51">IF($A51&lt;&gt;"", IFERROR(_xlfn._xlws.FILTER(Log!$G:$G, (Log!$A:$A="Daily") * (Log!$C:$C=$A51) * (Log!$D:$D=I$4)), "Unknown"), "")</f>
        <v/>
      </c>
      <c r="J51" s="106" t="str" cm="1">
        <f t="array" ref="J51">IF($A51&lt;&gt;"", IFERROR(_xlfn._xlws.FILTER(Log!$G:$G, (Log!$A:$A="Daily") * (Log!$C:$C=$A51) * (Log!$D:$D=J$4)), "Unknown"), "")</f>
        <v/>
      </c>
      <c r="K51" s="106" t="str" cm="1">
        <f t="array" ref="K51">IF($A51&lt;&gt;"", IFERROR(_xlfn._xlws.FILTER(Log!$G:$G, (Log!$A:$A="Daily") * (Log!$C:$C=$A51) * (Log!$D:$D=K$4)), "Unknown"), "")</f>
        <v/>
      </c>
      <c r="L51" s="106" t="str" cm="1">
        <f t="array" ref="L51">IF($A51&lt;&gt;"", IFERROR(_xlfn._xlws.FILTER(Log!$G:$G, (Log!$A:$A="Daily") * (Log!$C:$C=$A51) * (Log!$D:$D=L$4)), "Unknown"), "")</f>
        <v/>
      </c>
      <c r="M51" s="106" t="str" cm="1">
        <f t="array" ref="M51">IF($A51&lt;&gt;"", IFERROR(_xlfn._xlws.FILTER(Log!$G:$G, (Log!$A:$A="Daily") * (Log!$C:$C=$A51) * (Log!$D:$D=M$4)), "Unknown"), "")</f>
        <v/>
      </c>
      <c r="N51" s="106" t="str" cm="1">
        <f t="array" ref="N51">IF($A51&lt;&gt;"", IFERROR(_xlfn._xlws.FILTER(Log!$G:$G, (Log!$A:$A="Daily") * (Log!$C:$C=$A51) * (Log!$D:$D=N$4)), "Unknown"), "")</f>
        <v/>
      </c>
      <c r="O51" s="106" t="str" cm="1">
        <f t="array" ref="O51">IF($A51&lt;&gt;"", IFERROR(_xlfn._xlws.FILTER(Log!$G:$G, (Log!$A:$A="Daily") * (Log!$C:$C=$A51) * (Log!$D:$D=O$4)), "Unknown"), "")</f>
        <v/>
      </c>
      <c r="P51" s="106" t="str" cm="1">
        <f t="array" ref="P51">IF($A51&lt;&gt;"", IFERROR(_xlfn._xlws.FILTER(Log!$G:$G, (Log!$A:$A="Daily") * (Log!$C:$C=$A51) * (Log!$D:$D=P$4)), "Unknown"), "")</f>
        <v/>
      </c>
      <c r="Q51" s="106" t="str" cm="1">
        <f t="array" ref="Q51">IF($A51&lt;&gt;"", IFERROR(_xlfn._xlws.FILTER(Log!$G:$G, (Log!$A:$A="Daily") * (Log!$C:$C=$A51) * (Log!$D:$D=Q$4)), "Unknown"), "")</f>
        <v/>
      </c>
      <c r="R51" s="106" t="str" cm="1">
        <f t="array" ref="R51">IF($A51&lt;&gt;"", IFERROR(_xlfn._xlws.FILTER(Log!$G:$G, (Log!$A:$A="Daily") * (Log!$C:$C=$A51) * (Log!$D:$D=R$4)), "Unknown"), "")</f>
        <v/>
      </c>
      <c r="S51" s="106" t="str" cm="1">
        <f t="array" ref="S51">IF($A51&lt;&gt;"", IFERROR(_xlfn._xlws.FILTER(Log!$G:$G, (Log!$A:$A="Daily") * (Log!$C:$C=$A51) * (Log!$D:$D=S$4)), "Unknown"), "")</f>
        <v/>
      </c>
      <c r="T51" s="106" t="str" cm="1">
        <f t="array" ref="T51">IF($A51&lt;&gt;"", IFERROR(_xlfn._xlws.FILTER(Log!$G:$G, (Log!$A:$A="Daily") * (Log!$C:$C=$A51) * (Log!$D:$D=T$4)), "Unknown"), "")</f>
        <v/>
      </c>
      <c r="W51" s="226" t="str">
        <f t="shared" si="7"/>
        <v/>
      </c>
      <c r="X51" s="226" t="str">
        <f t="shared" si="8"/>
        <v/>
      </c>
      <c r="Y51" s="226" t="str">
        <f t="shared" si="9"/>
        <v/>
      </c>
      <c r="Z51" s="226" t="str">
        <f t="shared" si="10"/>
        <v/>
      </c>
      <c r="AA51" s="226" t="str">
        <f t="shared" si="11"/>
        <v/>
      </c>
      <c r="AB51" s="226" t="str">
        <f t="shared" si="12"/>
        <v/>
      </c>
      <c r="AC51" s="226" t="str">
        <f t="shared" si="13"/>
        <v/>
      </c>
      <c r="AD51" s="226" t="str">
        <f t="shared" si="14"/>
        <v/>
      </c>
      <c r="AE51" s="226" t="str">
        <f t="shared" si="15"/>
        <v/>
      </c>
      <c r="AF51" s="226" t="str">
        <f t="shared" si="16"/>
        <v/>
      </c>
      <c r="AG51" s="226" t="str">
        <f t="shared" si="17"/>
        <v/>
      </c>
      <c r="AH51" s="226" t="str">
        <f t="shared" si="18"/>
        <v/>
      </c>
      <c r="AI51" s="226" t="str">
        <f t="shared" si="19"/>
        <v/>
      </c>
      <c r="AJ51" s="226" t="str">
        <f t="shared" si="20"/>
        <v/>
      </c>
      <c r="AK51" s="226" t="str">
        <f t="shared" si="21"/>
        <v/>
      </c>
      <c r="AL51" s="226" t="str">
        <f t="shared" si="22"/>
        <v/>
      </c>
      <c r="AM51" s="226" t="str">
        <f t="shared" si="23"/>
        <v/>
      </c>
      <c r="AN51" s="226" t="str">
        <f t="shared" si="24"/>
        <v/>
      </c>
    </row>
    <row r="52" spans="3:40" x14ac:dyDescent="0.25">
      <c r="C52" s="106" t="str" cm="1">
        <f t="array" ref="C52">IF($A52&lt;&gt;"", IFERROR(_xlfn._xlws.FILTER(Log!$G:$G, (Log!$A:$A="Daily") * (Log!$C:$C=$A52) * (Log!$D:$D=C$4)), "Unknown"), "")</f>
        <v/>
      </c>
      <c r="D52" s="106" t="str" cm="1">
        <f t="array" ref="D52">IF($A52&lt;&gt;"", IFERROR(_xlfn._xlws.FILTER(Log!$G:$G, (Log!$A:$A="Daily") * (Log!$C:$C=$A52) * (Log!$D:$D=D$4)), "Unknown"), "")</f>
        <v/>
      </c>
      <c r="E52" s="106" t="str" cm="1">
        <f t="array" ref="E52">IF($A52&lt;&gt;"", IFERROR(_xlfn._xlws.FILTER(Log!$G:$G, (Log!$A:$A="Daily") * (Log!$C:$C=$A52) * (Log!$D:$D=E$4)), "Unknown"), "")</f>
        <v/>
      </c>
      <c r="F52" s="106" t="str" cm="1">
        <f t="array" ref="F52">IF($A52&lt;&gt;"", IFERROR(_xlfn._xlws.FILTER(Log!$G:$G, (Log!$A:$A="Daily") * (Log!$C:$C=$A52) * (Log!$D:$D=F$4)), "Unknown"), "")</f>
        <v/>
      </c>
      <c r="G52" s="106" t="str" cm="1">
        <f t="array" ref="G52">IF($A52&lt;&gt;"", IFERROR(_xlfn._xlws.FILTER(Log!$G:$G, (Log!$A:$A="Daily") * (Log!$C:$C=$A52) * (Log!$D:$D=G$4)), "Unknown"), "")</f>
        <v/>
      </c>
      <c r="H52" s="106" t="str" cm="1">
        <f t="array" ref="H52">IF($A52&lt;&gt;"", IFERROR(_xlfn._xlws.FILTER(Log!$G:$G, (Log!$A:$A="Daily") * (Log!$C:$C=$A52) * (Log!$D:$D=H$4)), "Unknown"), "")</f>
        <v/>
      </c>
      <c r="I52" s="106" t="str" cm="1">
        <f t="array" ref="I52">IF($A52&lt;&gt;"", IFERROR(_xlfn._xlws.FILTER(Log!$G:$G, (Log!$A:$A="Daily") * (Log!$C:$C=$A52) * (Log!$D:$D=I$4)), "Unknown"), "")</f>
        <v/>
      </c>
      <c r="J52" s="106" t="str" cm="1">
        <f t="array" ref="J52">IF($A52&lt;&gt;"", IFERROR(_xlfn._xlws.FILTER(Log!$G:$G, (Log!$A:$A="Daily") * (Log!$C:$C=$A52) * (Log!$D:$D=J$4)), "Unknown"), "")</f>
        <v/>
      </c>
      <c r="K52" s="106" t="str" cm="1">
        <f t="array" ref="K52">IF($A52&lt;&gt;"", IFERROR(_xlfn._xlws.FILTER(Log!$G:$G, (Log!$A:$A="Daily") * (Log!$C:$C=$A52) * (Log!$D:$D=K$4)), "Unknown"), "")</f>
        <v/>
      </c>
      <c r="L52" s="106" t="str" cm="1">
        <f t="array" ref="L52">IF($A52&lt;&gt;"", IFERROR(_xlfn._xlws.FILTER(Log!$G:$G, (Log!$A:$A="Daily") * (Log!$C:$C=$A52) * (Log!$D:$D=L$4)), "Unknown"), "")</f>
        <v/>
      </c>
      <c r="M52" s="106" t="str" cm="1">
        <f t="array" ref="M52">IF($A52&lt;&gt;"", IFERROR(_xlfn._xlws.FILTER(Log!$G:$G, (Log!$A:$A="Daily") * (Log!$C:$C=$A52) * (Log!$D:$D=M$4)), "Unknown"), "")</f>
        <v/>
      </c>
      <c r="N52" s="106" t="str" cm="1">
        <f t="array" ref="N52">IF($A52&lt;&gt;"", IFERROR(_xlfn._xlws.FILTER(Log!$G:$G, (Log!$A:$A="Daily") * (Log!$C:$C=$A52) * (Log!$D:$D=N$4)), "Unknown"), "")</f>
        <v/>
      </c>
      <c r="O52" s="106" t="str" cm="1">
        <f t="array" ref="O52">IF($A52&lt;&gt;"", IFERROR(_xlfn._xlws.FILTER(Log!$G:$G, (Log!$A:$A="Daily") * (Log!$C:$C=$A52) * (Log!$D:$D=O$4)), "Unknown"), "")</f>
        <v/>
      </c>
      <c r="P52" s="106" t="str" cm="1">
        <f t="array" ref="P52">IF($A52&lt;&gt;"", IFERROR(_xlfn._xlws.FILTER(Log!$G:$G, (Log!$A:$A="Daily") * (Log!$C:$C=$A52) * (Log!$D:$D=P$4)), "Unknown"), "")</f>
        <v/>
      </c>
      <c r="Q52" s="106" t="str" cm="1">
        <f t="array" ref="Q52">IF($A52&lt;&gt;"", IFERROR(_xlfn._xlws.FILTER(Log!$G:$G, (Log!$A:$A="Daily") * (Log!$C:$C=$A52) * (Log!$D:$D=Q$4)), "Unknown"), "")</f>
        <v/>
      </c>
      <c r="R52" s="106" t="str" cm="1">
        <f t="array" ref="R52">IF($A52&lt;&gt;"", IFERROR(_xlfn._xlws.FILTER(Log!$G:$G, (Log!$A:$A="Daily") * (Log!$C:$C=$A52) * (Log!$D:$D=R$4)), "Unknown"), "")</f>
        <v/>
      </c>
      <c r="S52" s="106" t="str" cm="1">
        <f t="array" ref="S52">IF($A52&lt;&gt;"", IFERROR(_xlfn._xlws.FILTER(Log!$G:$G, (Log!$A:$A="Daily") * (Log!$C:$C=$A52) * (Log!$D:$D=S$4)), "Unknown"), "")</f>
        <v/>
      </c>
      <c r="T52" s="106" t="str" cm="1">
        <f t="array" ref="T52">IF($A52&lt;&gt;"", IFERROR(_xlfn._xlws.FILTER(Log!$G:$G, (Log!$A:$A="Daily") * (Log!$C:$C=$A52) * (Log!$D:$D=T$4)), "Unknown"), "")</f>
        <v/>
      </c>
      <c r="W52" s="226" t="str">
        <f t="shared" si="7"/>
        <v/>
      </c>
      <c r="X52" s="226" t="str">
        <f t="shared" si="8"/>
        <v/>
      </c>
      <c r="Y52" s="226" t="str">
        <f t="shared" si="9"/>
        <v/>
      </c>
      <c r="Z52" s="226" t="str">
        <f t="shared" si="10"/>
        <v/>
      </c>
      <c r="AA52" s="226" t="str">
        <f t="shared" si="11"/>
        <v/>
      </c>
      <c r="AB52" s="226" t="str">
        <f t="shared" si="12"/>
        <v/>
      </c>
      <c r="AC52" s="226" t="str">
        <f t="shared" si="13"/>
        <v/>
      </c>
      <c r="AD52" s="226" t="str">
        <f t="shared" si="14"/>
        <v/>
      </c>
      <c r="AE52" s="226" t="str">
        <f t="shared" si="15"/>
        <v/>
      </c>
      <c r="AF52" s="226" t="str">
        <f t="shared" si="16"/>
        <v/>
      </c>
      <c r="AG52" s="226" t="str">
        <f t="shared" si="17"/>
        <v/>
      </c>
      <c r="AH52" s="226" t="str">
        <f t="shared" si="18"/>
        <v/>
      </c>
      <c r="AI52" s="226" t="str">
        <f t="shared" si="19"/>
        <v/>
      </c>
      <c r="AJ52" s="226" t="str">
        <f t="shared" si="20"/>
        <v/>
      </c>
      <c r="AK52" s="226" t="str">
        <f t="shared" si="21"/>
        <v/>
      </c>
      <c r="AL52" s="226" t="str">
        <f t="shared" si="22"/>
        <v/>
      </c>
      <c r="AM52" s="226" t="str">
        <f t="shared" si="23"/>
        <v/>
      </c>
      <c r="AN52" s="226" t="str">
        <f t="shared" si="24"/>
        <v/>
      </c>
    </row>
    <row r="53" spans="3:40" x14ac:dyDescent="0.25">
      <c r="C53" s="106" t="str" cm="1">
        <f t="array" ref="C53">IF($A53&lt;&gt;"", IFERROR(_xlfn._xlws.FILTER(Log!$G:$G, (Log!$A:$A="Daily") * (Log!$C:$C=$A53) * (Log!$D:$D=C$4)), "Unknown"), "")</f>
        <v/>
      </c>
      <c r="D53" s="106" t="str" cm="1">
        <f t="array" ref="D53">IF($A53&lt;&gt;"", IFERROR(_xlfn._xlws.FILTER(Log!$G:$G, (Log!$A:$A="Daily") * (Log!$C:$C=$A53) * (Log!$D:$D=D$4)), "Unknown"), "")</f>
        <v/>
      </c>
      <c r="E53" s="106" t="str" cm="1">
        <f t="array" ref="E53">IF($A53&lt;&gt;"", IFERROR(_xlfn._xlws.FILTER(Log!$G:$G, (Log!$A:$A="Daily") * (Log!$C:$C=$A53) * (Log!$D:$D=E$4)), "Unknown"), "")</f>
        <v/>
      </c>
      <c r="F53" s="106" t="str" cm="1">
        <f t="array" ref="F53">IF($A53&lt;&gt;"", IFERROR(_xlfn._xlws.FILTER(Log!$G:$G, (Log!$A:$A="Daily") * (Log!$C:$C=$A53) * (Log!$D:$D=F$4)), "Unknown"), "")</f>
        <v/>
      </c>
      <c r="G53" s="106" t="str" cm="1">
        <f t="array" ref="G53">IF($A53&lt;&gt;"", IFERROR(_xlfn._xlws.FILTER(Log!$G:$G, (Log!$A:$A="Daily") * (Log!$C:$C=$A53) * (Log!$D:$D=G$4)), "Unknown"), "")</f>
        <v/>
      </c>
      <c r="H53" s="106" t="str" cm="1">
        <f t="array" ref="H53">IF($A53&lt;&gt;"", IFERROR(_xlfn._xlws.FILTER(Log!$G:$G, (Log!$A:$A="Daily") * (Log!$C:$C=$A53) * (Log!$D:$D=H$4)), "Unknown"), "")</f>
        <v/>
      </c>
      <c r="I53" s="106" t="str" cm="1">
        <f t="array" ref="I53">IF($A53&lt;&gt;"", IFERROR(_xlfn._xlws.FILTER(Log!$G:$G, (Log!$A:$A="Daily") * (Log!$C:$C=$A53) * (Log!$D:$D=I$4)), "Unknown"), "")</f>
        <v/>
      </c>
      <c r="J53" s="106" t="str" cm="1">
        <f t="array" ref="J53">IF($A53&lt;&gt;"", IFERROR(_xlfn._xlws.FILTER(Log!$G:$G, (Log!$A:$A="Daily") * (Log!$C:$C=$A53) * (Log!$D:$D=J$4)), "Unknown"), "")</f>
        <v/>
      </c>
      <c r="K53" s="106" t="str" cm="1">
        <f t="array" ref="K53">IF($A53&lt;&gt;"", IFERROR(_xlfn._xlws.FILTER(Log!$G:$G, (Log!$A:$A="Daily") * (Log!$C:$C=$A53) * (Log!$D:$D=K$4)), "Unknown"), "")</f>
        <v/>
      </c>
      <c r="L53" s="106" t="str" cm="1">
        <f t="array" ref="L53">IF($A53&lt;&gt;"", IFERROR(_xlfn._xlws.FILTER(Log!$G:$G, (Log!$A:$A="Daily") * (Log!$C:$C=$A53) * (Log!$D:$D=L$4)), "Unknown"), "")</f>
        <v/>
      </c>
      <c r="M53" s="106" t="str" cm="1">
        <f t="array" ref="M53">IF($A53&lt;&gt;"", IFERROR(_xlfn._xlws.FILTER(Log!$G:$G, (Log!$A:$A="Daily") * (Log!$C:$C=$A53) * (Log!$D:$D=M$4)), "Unknown"), "")</f>
        <v/>
      </c>
      <c r="N53" s="106" t="str" cm="1">
        <f t="array" ref="N53">IF($A53&lt;&gt;"", IFERROR(_xlfn._xlws.FILTER(Log!$G:$G, (Log!$A:$A="Daily") * (Log!$C:$C=$A53) * (Log!$D:$D=N$4)), "Unknown"), "")</f>
        <v/>
      </c>
      <c r="O53" s="106" t="str" cm="1">
        <f t="array" ref="O53">IF($A53&lt;&gt;"", IFERROR(_xlfn._xlws.FILTER(Log!$G:$G, (Log!$A:$A="Daily") * (Log!$C:$C=$A53) * (Log!$D:$D=O$4)), "Unknown"), "")</f>
        <v/>
      </c>
      <c r="P53" s="106" t="str" cm="1">
        <f t="array" ref="P53">IF($A53&lt;&gt;"", IFERROR(_xlfn._xlws.FILTER(Log!$G:$G, (Log!$A:$A="Daily") * (Log!$C:$C=$A53) * (Log!$D:$D=P$4)), "Unknown"), "")</f>
        <v/>
      </c>
      <c r="Q53" s="106" t="str" cm="1">
        <f t="array" ref="Q53">IF($A53&lt;&gt;"", IFERROR(_xlfn._xlws.FILTER(Log!$G:$G, (Log!$A:$A="Daily") * (Log!$C:$C=$A53) * (Log!$D:$D=Q$4)), "Unknown"), "")</f>
        <v/>
      </c>
      <c r="R53" s="106" t="str" cm="1">
        <f t="array" ref="R53">IF($A53&lt;&gt;"", IFERROR(_xlfn._xlws.FILTER(Log!$G:$G, (Log!$A:$A="Daily") * (Log!$C:$C=$A53) * (Log!$D:$D=R$4)), "Unknown"), "")</f>
        <v/>
      </c>
      <c r="S53" s="106" t="str" cm="1">
        <f t="array" ref="S53">IF($A53&lt;&gt;"", IFERROR(_xlfn._xlws.FILTER(Log!$G:$G, (Log!$A:$A="Daily") * (Log!$C:$C=$A53) * (Log!$D:$D=S$4)), "Unknown"), "")</f>
        <v/>
      </c>
      <c r="T53" s="106" t="str" cm="1">
        <f t="array" ref="T53">IF($A53&lt;&gt;"", IFERROR(_xlfn._xlws.FILTER(Log!$G:$G, (Log!$A:$A="Daily") * (Log!$C:$C=$A53) * (Log!$D:$D=T$4)), "Unknown"), "")</f>
        <v/>
      </c>
      <c r="W53" s="226" t="str">
        <f t="shared" si="7"/>
        <v/>
      </c>
      <c r="X53" s="226" t="str">
        <f t="shared" si="8"/>
        <v/>
      </c>
      <c r="Y53" s="226" t="str">
        <f t="shared" si="9"/>
        <v/>
      </c>
      <c r="Z53" s="226" t="str">
        <f t="shared" si="10"/>
        <v/>
      </c>
      <c r="AA53" s="226" t="str">
        <f t="shared" si="11"/>
        <v/>
      </c>
      <c r="AB53" s="226" t="str">
        <f t="shared" si="12"/>
        <v/>
      </c>
      <c r="AC53" s="226" t="str">
        <f t="shared" si="13"/>
        <v/>
      </c>
      <c r="AD53" s="226" t="str">
        <f t="shared" si="14"/>
        <v/>
      </c>
      <c r="AE53" s="226" t="str">
        <f t="shared" si="15"/>
        <v/>
      </c>
      <c r="AF53" s="226" t="str">
        <f t="shared" si="16"/>
        <v/>
      </c>
      <c r="AG53" s="226" t="str">
        <f t="shared" si="17"/>
        <v/>
      </c>
      <c r="AH53" s="226" t="str">
        <f t="shared" si="18"/>
        <v/>
      </c>
      <c r="AI53" s="226" t="str">
        <f t="shared" si="19"/>
        <v/>
      </c>
      <c r="AJ53" s="226" t="str">
        <f t="shared" si="20"/>
        <v/>
      </c>
      <c r="AK53" s="226" t="str">
        <f t="shared" si="21"/>
        <v/>
      </c>
      <c r="AL53" s="226" t="str">
        <f t="shared" si="22"/>
        <v/>
      </c>
      <c r="AM53" s="226" t="str">
        <f t="shared" si="23"/>
        <v/>
      </c>
      <c r="AN53" s="226" t="str">
        <f t="shared" si="24"/>
        <v/>
      </c>
    </row>
    <row r="54" spans="3:40" x14ac:dyDescent="0.25">
      <c r="C54" s="106" t="str" cm="1">
        <f t="array" ref="C54">IF($A54&lt;&gt;"", IFERROR(_xlfn._xlws.FILTER(Log!$G:$G, (Log!$A:$A="Daily") * (Log!$C:$C=$A54) * (Log!$D:$D=C$4)), NA()), "")</f>
        <v/>
      </c>
      <c r="D54" s="106" t="str" cm="1">
        <f t="array" ref="D54">IF($A54&lt;&gt;"", IFERROR(_xlfn._xlws.FILTER(Log!$G:$G, (Log!$A:$A="Daily") * (Log!$C:$C=$A54) * (Log!$D:$D=D$4)), NA()), "")</f>
        <v/>
      </c>
      <c r="E54" s="106" t="str" cm="1">
        <f t="array" ref="E54">IF($A54&lt;&gt;"", IFERROR(_xlfn._xlws.FILTER(Log!$G:$G, (Log!$A:$A="Daily") * (Log!$C:$C=$A54) * (Log!$D:$D=E$4)), NA()), "")</f>
        <v/>
      </c>
      <c r="F54" s="106" t="str" cm="1">
        <f t="array" ref="F54">IF($A54&lt;&gt;"", IFERROR(_xlfn._xlws.FILTER(Log!$G:$G, (Log!$A:$A="Daily") * (Log!$C:$C=$A54) * (Log!$D:$D=F$4)), NA()), "")</f>
        <v/>
      </c>
      <c r="G54" s="106" t="str" cm="1">
        <f t="array" ref="G54">IF($A54&lt;&gt;"", IFERROR(_xlfn._xlws.FILTER(Log!$G:$G, (Log!$A:$A="Daily") * (Log!$C:$C=$A54) * (Log!$D:$D=G$4)), NA()), "")</f>
        <v/>
      </c>
      <c r="H54" s="106" t="str" cm="1">
        <f t="array" ref="H54">IF($A54&lt;&gt;"", IFERROR(_xlfn._xlws.FILTER(Log!$G:$G, (Log!$A:$A="Daily") * (Log!$C:$C=$A54) * (Log!$D:$D=H$4)), NA()), "")</f>
        <v/>
      </c>
      <c r="I54" s="106" t="str" cm="1">
        <f t="array" ref="I54">IF($A54&lt;&gt;"", IFERROR(_xlfn._xlws.FILTER(Log!$G:$G, (Log!$A:$A="Daily") * (Log!$C:$C=$A54) * (Log!$D:$D=I$4)), NA()), "")</f>
        <v/>
      </c>
      <c r="J54" s="106" t="str" cm="1">
        <f t="array" ref="J54">IF($A54&lt;&gt;"", IFERROR(_xlfn._xlws.FILTER(Log!$G:$G, (Log!$A:$A="Daily") * (Log!$C:$C=$A54) * (Log!$D:$D=J$4)), NA()), "")</f>
        <v/>
      </c>
      <c r="K54" s="106" t="str" cm="1">
        <f t="array" ref="K54">IF($A54&lt;&gt;"", IFERROR(_xlfn._xlws.FILTER(Log!$G:$G, (Log!$A:$A="Daily") * (Log!$C:$C=$A54) * (Log!$D:$D=K$4)), NA()), "")</f>
        <v/>
      </c>
      <c r="L54" s="106" t="str" cm="1">
        <f t="array" ref="L54">IF($A54&lt;&gt;"", IFERROR(_xlfn._xlws.FILTER(Log!$G:$G, (Log!$A:$A="Daily") * (Log!$C:$C=$A54) * (Log!$D:$D=L$4)), NA()), "")</f>
        <v/>
      </c>
      <c r="M54" s="106" t="str" cm="1">
        <f t="array" ref="M54">IF($A54&lt;&gt;"", IFERROR(_xlfn._xlws.FILTER(Log!$G:$G, (Log!$A:$A="Daily") * (Log!$C:$C=$A54) * (Log!$D:$D=M$4)), NA()), "")</f>
        <v/>
      </c>
      <c r="N54" s="106" t="str" cm="1">
        <f t="array" ref="N54">IF($A54&lt;&gt;"", IFERROR(_xlfn._xlws.FILTER(Log!$G:$G, (Log!$A:$A="Daily") * (Log!$C:$C=$A54) * (Log!$D:$D=N$4)), NA()), "")</f>
        <v/>
      </c>
      <c r="O54" s="106" t="str" cm="1">
        <f t="array" ref="O54">IF($A54&lt;&gt;"", IFERROR(_xlfn._xlws.FILTER(Log!$G:$G, (Log!$A:$A="Daily") * (Log!$C:$C=$A54) * (Log!$D:$D=O$4)), NA()), "")</f>
        <v/>
      </c>
      <c r="P54" s="106" t="str" cm="1">
        <f t="array" ref="P54">IF($A54&lt;&gt;"", IFERROR(_xlfn._xlws.FILTER(Log!$G:$G, (Log!$A:$A="Daily") * (Log!$C:$C=$A54) * (Log!$D:$D=P$4)), NA()), "")</f>
        <v/>
      </c>
      <c r="Q54" s="106" t="str" cm="1">
        <f t="array" ref="Q54">IF($A54&lt;&gt;"", IFERROR(_xlfn._xlws.FILTER(Log!$G:$G, (Log!$A:$A="Daily") * (Log!$C:$C=$A54) * (Log!$D:$D=Q$4)), NA()), "")</f>
        <v/>
      </c>
      <c r="R54" s="106" t="str" cm="1">
        <f t="array" ref="R54">IF($A54&lt;&gt;"", IFERROR(_xlfn._xlws.FILTER(Log!$G:$G, (Log!$A:$A="Daily") * (Log!$C:$C=$A54) * (Log!$D:$D=R$4)), NA()), "")</f>
        <v/>
      </c>
      <c r="S54" s="106" t="str" cm="1">
        <f t="array" ref="S54">IF($A54&lt;&gt;"", IFERROR(_xlfn._xlws.FILTER(Log!$G:$G, (Log!$A:$A="Daily") * (Log!$C:$C=$A54) * (Log!$D:$D=S$4)), NA()), "")</f>
        <v/>
      </c>
      <c r="T54" s="106" t="str" cm="1">
        <f t="array" ref="T54">IF($A54&lt;&gt;"", IFERROR(_xlfn._xlws.FILTER(Log!$G:$G, (Log!$A:$A="Daily") * (Log!$C:$C=$A54) * (Log!$D:$D=T$4)), NA()), "")</f>
        <v/>
      </c>
      <c r="W54" s="226" t="str">
        <f t="shared" si="7"/>
        <v/>
      </c>
      <c r="X54" s="226" t="str">
        <f t="shared" si="8"/>
        <v/>
      </c>
      <c r="Y54" s="226" t="str">
        <f t="shared" si="9"/>
        <v/>
      </c>
      <c r="Z54" s="226" t="str">
        <f t="shared" si="10"/>
        <v/>
      </c>
      <c r="AA54" s="226" t="str">
        <f t="shared" si="11"/>
        <v/>
      </c>
      <c r="AB54" s="226" t="str">
        <f t="shared" si="12"/>
        <v/>
      </c>
      <c r="AC54" s="226" t="str">
        <f t="shared" si="13"/>
        <v/>
      </c>
      <c r="AD54" s="226" t="str">
        <f t="shared" si="14"/>
        <v/>
      </c>
      <c r="AE54" s="226" t="str">
        <f t="shared" si="15"/>
        <v/>
      </c>
      <c r="AF54" s="226" t="str">
        <f t="shared" si="16"/>
        <v/>
      </c>
      <c r="AG54" s="226" t="str">
        <f t="shared" si="17"/>
        <v/>
      </c>
      <c r="AH54" s="226" t="str">
        <f t="shared" si="18"/>
        <v/>
      </c>
      <c r="AI54" s="226" t="str">
        <f t="shared" si="19"/>
        <v/>
      </c>
      <c r="AJ54" s="226" t="str">
        <f t="shared" si="20"/>
        <v/>
      </c>
      <c r="AK54" s="226" t="str">
        <f t="shared" si="21"/>
        <v/>
      </c>
      <c r="AL54" s="226" t="str">
        <f t="shared" si="22"/>
        <v/>
      </c>
      <c r="AM54" s="226" t="str">
        <f t="shared" si="23"/>
        <v/>
      </c>
      <c r="AN54" s="226" t="str">
        <f t="shared" si="24"/>
        <v/>
      </c>
    </row>
    <row r="55" spans="3:40" x14ac:dyDescent="0.25">
      <c r="C55" s="106" t="str" cm="1">
        <f t="array" ref="C55">IF($A55&lt;&gt;"", IFERROR(_xlfn._xlws.FILTER(Log!$G:$G, (Log!$A:$A="Daily") * (Log!$C:$C=$A55) * (Log!$D:$D=C$4)), NA()), "")</f>
        <v/>
      </c>
      <c r="D55" s="106" t="str" cm="1">
        <f t="array" ref="D55">IF($A55&lt;&gt;"", IFERROR(_xlfn._xlws.FILTER(Log!$G:$G, (Log!$A:$A="Daily") * (Log!$C:$C=$A55) * (Log!$D:$D=D$4)), NA()), "")</f>
        <v/>
      </c>
      <c r="E55" s="106" t="str" cm="1">
        <f t="array" ref="E55">IF($A55&lt;&gt;"", IFERROR(_xlfn._xlws.FILTER(Log!$G:$G, (Log!$A:$A="Daily") * (Log!$C:$C=$A55) * (Log!$D:$D=E$4)), NA()), "")</f>
        <v/>
      </c>
      <c r="F55" s="106" t="str" cm="1">
        <f t="array" ref="F55">IF($A55&lt;&gt;"", IFERROR(_xlfn._xlws.FILTER(Log!$G:$G, (Log!$A:$A="Daily") * (Log!$C:$C=$A55) * (Log!$D:$D=F$4)), NA()), "")</f>
        <v/>
      </c>
      <c r="G55" s="106" t="str" cm="1">
        <f t="array" ref="G55">IF($A55&lt;&gt;"", IFERROR(_xlfn._xlws.FILTER(Log!$G:$G, (Log!$A:$A="Daily") * (Log!$C:$C=$A55) * (Log!$D:$D=G$4)), NA()), "")</f>
        <v/>
      </c>
      <c r="H55" s="106" t="str" cm="1">
        <f t="array" ref="H55">IF($A55&lt;&gt;"", IFERROR(_xlfn._xlws.FILTER(Log!$G:$G, (Log!$A:$A="Daily") * (Log!$C:$C=$A55) * (Log!$D:$D=H$4)), NA()), "")</f>
        <v/>
      </c>
      <c r="I55" s="106" t="str" cm="1">
        <f t="array" ref="I55">IF($A55&lt;&gt;"", IFERROR(_xlfn._xlws.FILTER(Log!$G:$G, (Log!$A:$A="Daily") * (Log!$C:$C=$A55) * (Log!$D:$D=I$4)), NA()), "")</f>
        <v/>
      </c>
      <c r="J55" s="106" t="str" cm="1">
        <f t="array" ref="J55">IF($A55&lt;&gt;"", IFERROR(_xlfn._xlws.FILTER(Log!$G:$G, (Log!$A:$A="Daily") * (Log!$C:$C=$A55) * (Log!$D:$D=J$4)), NA()), "")</f>
        <v/>
      </c>
      <c r="K55" s="106" t="str" cm="1">
        <f t="array" ref="K55">IF($A55&lt;&gt;"", IFERROR(_xlfn._xlws.FILTER(Log!$G:$G, (Log!$A:$A="Daily") * (Log!$C:$C=$A55) * (Log!$D:$D=K$4)), NA()), "")</f>
        <v/>
      </c>
      <c r="L55" s="106" t="str" cm="1">
        <f t="array" ref="L55">IF($A55&lt;&gt;"", IFERROR(_xlfn._xlws.FILTER(Log!$G:$G, (Log!$A:$A="Daily") * (Log!$C:$C=$A55) * (Log!$D:$D=L$4)), NA()), "")</f>
        <v/>
      </c>
      <c r="M55" s="106" t="str" cm="1">
        <f t="array" ref="M55">IF($A55&lt;&gt;"", IFERROR(_xlfn._xlws.FILTER(Log!$G:$G, (Log!$A:$A="Daily") * (Log!$C:$C=$A55) * (Log!$D:$D=M$4)), NA()), "")</f>
        <v/>
      </c>
      <c r="N55" s="106" t="str" cm="1">
        <f t="array" ref="N55">IF($A55&lt;&gt;"", IFERROR(_xlfn._xlws.FILTER(Log!$G:$G, (Log!$A:$A="Daily") * (Log!$C:$C=$A55) * (Log!$D:$D=N$4)), NA()), "")</f>
        <v/>
      </c>
      <c r="O55" s="106" t="str" cm="1">
        <f t="array" ref="O55">IF($A55&lt;&gt;"", IFERROR(_xlfn._xlws.FILTER(Log!$G:$G, (Log!$A:$A="Daily") * (Log!$C:$C=$A55) * (Log!$D:$D=O$4)), NA()), "")</f>
        <v/>
      </c>
      <c r="P55" s="106" t="str" cm="1">
        <f t="array" ref="P55">IF($A55&lt;&gt;"", IFERROR(_xlfn._xlws.FILTER(Log!$G:$G, (Log!$A:$A="Daily") * (Log!$C:$C=$A55) * (Log!$D:$D=P$4)), NA()), "")</f>
        <v/>
      </c>
      <c r="Q55" s="106" t="str" cm="1">
        <f t="array" ref="Q55">IF($A55&lt;&gt;"", IFERROR(_xlfn._xlws.FILTER(Log!$G:$G, (Log!$A:$A="Daily") * (Log!$C:$C=$A55) * (Log!$D:$D=Q$4)), NA()), "")</f>
        <v/>
      </c>
      <c r="R55" s="106" t="str" cm="1">
        <f t="array" ref="R55">IF($A55&lt;&gt;"", IFERROR(_xlfn._xlws.FILTER(Log!$G:$G, (Log!$A:$A="Daily") * (Log!$C:$C=$A55) * (Log!$D:$D=R$4)), NA()), "")</f>
        <v/>
      </c>
      <c r="S55" s="106" t="str" cm="1">
        <f t="array" ref="S55">IF($A55&lt;&gt;"", IFERROR(_xlfn._xlws.FILTER(Log!$G:$G, (Log!$A:$A="Daily") * (Log!$C:$C=$A55) * (Log!$D:$D=S$4)), NA()), "")</f>
        <v/>
      </c>
      <c r="T55" s="106" t="str" cm="1">
        <f t="array" ref="T55">IF($A55&lt;&gt;"", IFERROR(_xlfn._xlws.FILTER(Log!$G:$G, (Log!$A:$A="Daily") * (Log!$C:$C=$A55) * (Log!$D:$D=T$4)), NA()), "")</f>
        <v/>
      </c>
    </row>
    <row r="56" spans="3:40" x14ac:dyDescent="0.25">
      <c r="C56" s="106" t="str" cm="1">
        <f t="array" ref="C56">IF($A56&lt;&gt;"", IFERROR(_xlfn._xlws.FILTER(Log!$G:$G, (Log!$A:$A="Daily") * (Log!$C:$C=$A56) * (Log!$D:$D=C$4)), NA()), "")</f>
        <v/>
      </c>
      <c r="D56" s="106" t="str" cm="1">
        <f t="array" ref="D56">IF($A56&lt;&gt;"", IFERROR(_xlfn._xlws.FILTER(Log!$G:$G, (Log!$A:$A="Daily") * (Log!$C:$C=$A56) * (Log!$D:$D=D$4)), NA()), "")</f>
        <v/>
      </c>
      <c r="E56" s="106" t="str" cm="1">
        <f t="array" ref="E56">IF($A56&lt;&gt;"", IFERROR(_xlfn._xlws.FILTER(Log!$G:$G, (Log!$A:$A="Daily") * (Log!$C:$C=$A56) * (Log!$D:$D=E$4)), NA()), "")</f>
        <v/>
      </c>
      <c r="F56" s="106" t="str" cm="1">
        <f t="array" ref="F56">IF($A56&lt;&gt;"", IFERROR(_xlfn._xlws.FILTER(Log!$G:$G, (Log!$A:$A="Daily") * (Log!$C:$C=$A56) * (Log!$D:$D=F$4)), NA()), "")</f>
        <v/>
      </c>
      <c r="G56" s="106" t="str" cm="1">
        <f t="array" ref="G56">IF($A56&lt;&gt;"", IFERROR(_xlfn._xlws.FILTER(Log!$G:$G, (Log!$A:$A="Daily") * (Log!$C:$C=$A56) * (Log!$D:$D=G$4)), NA()), "")</f>
        <v/>
      </c>
      <c r="H56" s="106" t="str" cm="1">
        <f t="array" ref="H56">IF($A56&lt;&gt;"", IFERROR(_xlfn._xlws.FILTER(Log!$G:$G, (Log!$A:$A="Daily") * (Log!$C:$C=$A56) * (Log!$D:$D=H$4)), NA()), "")</f>
        <v/>
      </c>
      <c r="I56" s="106" t="str" cm="1">
        <f t="array" ref="I56">IF($A56&lt;&gt;"", IFERROR(_xlfn._xlws.FILTER(Log!$G:$G, (Log!$A:$A="Daily") * (Log!$C:$C=$A56) * (Log!$D:$D=I$4)), NA()), "")</f>
        <v/>
      </c>
      <c r="J56" s="106" t="str" cm="1">
        <f t="array" ref="J56">IF($A56&lt;&gt;"", IFERROR(_xlfn._xlws.FILTER(Log!$G:$G, (Log!$A:$A="Daily") * (Log!$C:$C=$A56) * (Log!$D:$D=J$4)), NA()), "")</f>
        <v/>
      </c>
      <c r="K56" s="106" t="str" cm="1">
        <f t="array" ref="K56">IF($A56&lt;&gt;"", IFERROR(_xlfn._xlws.FILTER(Log!$G:$G, (Log!$A:$A="Daily") * (Log!$C:$C=$A56) * (Log!$D:$D=K$4)), NA()), "")</f>
        <v/>
      </c>
      <c r="L56" s="106" t="str" cm="1">
        <f t="array" ref="L56">IF($A56&lt;&gt;"", IFERROR(_xlfn._xlws.FILTER(Log!$G:$G, (Log!$A:$A="Daily") * (Log!$C:$C=$A56) * (Log!$D:$D=L$4)), NA()), "")</f>
        <v/>
      </c>
      <c r="M56" s="106" t="str" cm="1">
        <f t="array" ref="M56">IF($A56&lt;&gt;"", IFERROR(_xlfn._xlws.FILTER(Log!$G:$G, (Log!$A:$A="Daily") * (Log!$C:$C=$A56) * (Log!$D:$D=M$4)), NA()), "")</f>
        <v/>
      </c>
      <c r="N56" s="106" t="str" cm="1">
        <f t="array" ref="N56">IF($A56&lt;&gt;"", IFERROR(_xlfn._xlws.FILTER(Log!$G:$G, (Log!$A:$A="Daily") * (Log!$C:$C=$A56) * (Log!$D:$D=N$4)), NA()), "")</f>
        <v/>
      </c>
      <c r="O56" s="106" t="str" cm="1">
        <f t="array" ref="O56">IF($A56&lt;&gt;"", IFERROR(_xlfn._xlws.FILTER(Log!$G:$G, (Log!$A:$A="Daily") * (Log!$C:$C=$A56) * (Log!$D:$D=O$4)), NA()), "")</f>
        <v/>
      </c>
      <c r="P56" s="106" t="str" cm="1">
        <f t="array" ref="P56">IF($A56&lt;&gt;"", IFERROR(_xlfn._xlws.FILTER(Log!$G:$G, (Log!$A:$A="Daily") * (Log!$C:$C=$A56) * (Log!$D:$D=P$4)), NA()), "")</f>
        <v/>
      </c>
      <c r="Q56" s="106" t="str" cm="1">
        <f t="array" ref="Q56">IF($A56&lt;&gt;"", IFERROR(_xlfn._xlws.FILTER(Log!$G:$G, (Log!$A:$A="Daily") * (Log!$C:$C=$A56) * (Log!$D:$D=Q$4)), NA()), "")</f>
        <v/>
      </c>
      <c r="R56" s="106" t="str" cm="1">
        <f t="array" ref="R56">IF($A56&lt;&gt;"", IFERROR(_xlfn._xlws.FILTER(Log!$G:$G, (Log!$A:$A="Daily") * (Log!$C:$C=$A56) * (Log!$D:$D=R$4)), NA()), "")</f>
        <v/>
      </c>
      <c r="S56" s="106" t="str" cm="1">
        <f t="array" ref="S56">IF($A56&lt;&gt;"", IFERROR(_xlfn._xlws.FILTER(Log!$G:$G, (Log!$A:$A="Daily") * (Log!$C:$C=$A56) * (Log!$D:$D=S$4)), NA()), "")</f>
        <v/>
      </c>
      <c r="T56" s="106" t="str" cm="1">
        <f t="array" ref="T56">IF($A56&lt;&gt;"", IFERROR(_xlfn._xlws.FILTER(Log!$G:$G, (Log!$A:$A="Daily") * (Log!$C:$C=$A56) * (Log!$D:$D=T$4)), NA()), "")</f>
        <v/>
      </c>
    </row>
    <row r="57" spans="3:40" x14ac:dyDescent="0.25">
      <c r="C57" s="106" t="str" cm="1">
        <f t="array" ref="C57">IF($A57&lt;&gt;"", IFERROR(_xlfn._xlws.FILTER(Log!$G:$G, (Log!$A:$A="Daily") * (Log!$C:$C=$A57) * (Log!$D:$D=C$4)), NA()), "")</f>
        <v/>
      </c>
      <c r="D57" s="106" t="str" cm="1">
        <f t="array" ref="D57">IF($A57&lt;&gt;"", IFERROR(_xlfn._xlws.FILTER(Log!$G:$G, (Log!$A:$A="Daily") * (Log!$C:$C=$A57) * (Log!$D:$D=D$4)), NA()), "")</f>
        <v/>
      </c>
      <c r="E57" s="106" t="str" cm="1">
        <f t="array" ref="E57">IF($A57&lt;&gt;"", IFERROR(_xlfn._xlws.FILTER(Log!$G:$G, (Log!$A:$A="Daily") * (Log!$C:$C=$A57) * (Log!$D:$D=E$4)), NA()), "")</f>
        <v/>
      </c>
      <c r="F57" s="106" t="str" cm="1">
        <f t="array" ref="F57">IF($A57&lt;&gt;"", IFERROR(_xlfn._xlws.FILTER(Log!$G:$G, (Log!$A:$A="Daily") * (Log!$C:$C=$A57) * (Log!$D:$D=F$4)), NA()), "")</f>
        <v/>
      </c>
      <c r="G57" s="106" t="str" cm="1">
        <f t="array" ref="G57">IF($A57&lt;&gt;"", IFERROR(_xlfn._xlws.FILTER(Log!$G:$G, (Log!$A:$A="Daily") * (Log!$C:$C=$A57) * (Log!$D:$D=G$4)), NA()), "")</f>
        <v/>
      </c>
      <c r="H57" s="106" t="str" cm="1">
        <f t="array" ref="H57">IF($A57&lt;&gt;"", IFERROR(_xlfn._xlws.FILTER(Log!$G:$G, (Log!$A:$A="Daily") * (Log!$C:$C=$A57) * (Log!$D:$D=H$4)), NA()), "")</f>
        <v/>
      </c>
      <c r="I57" s="106" t="str" cm="1">
        <f t="array" ref="I57">IF($A57&lt;&gt;"", IFERROR(_xlfn._xlws.FILTER(Log!$G:$G, (Log!$A:$A="Daily") * (Log!$C:$C=$A57) * (Log!$D:$D=I$4)), NA()), "")</f>
        <v/>
      </c>
      <c r="J57" s="106" t="str" cm="1">
        <f t="array" ref="J57">IF($A57&lt;&gt;"", IFERROR(_xlfn._xlws.FILTER(Log!$G:$G, (Log!$A:$A="Daily") * (Log!$C:$C=$A57) * (Log!$D:$D=J$4)), NA()), "")</f>
        <v/>
      </c>
      <c r="K57" s="106" t="str" cm="1">
        <f t="array" ref="K57">IF($A57&lt;&gt;"", IFERROR(_xlfn._xlws.FILTER(Log!$G:$G, (Log!$A:$A="Daily") * (Log!$C:$C=$A57) * (Log!$D:$D=K$4)), NA()), "")</f>
        <v/>
      </c>
      <c r="L57" s="106" t="str" cm="1">
        <f t="array" ref="L57">IF($A57&lt;&gt;"", IFERROR(_xlfn._xlws.FILTER(Log!$G:$G, (Log!$A:$A="Daily") * (Log!$C:$C=$A57) * (Log!$D:$D=L$4)), NA()), "")</f>
        <v/>
      </c>
      <c r="M57" s="106" t="str" cm="1">
        <f t="array" ref="M57">IF($A57&lt;&gt;"", IFERROR(_xlfn._xlws.FILTER(Log!$G:$G, (Log!$A:$A="Daily") * (Log!$C:$C=$A57) * (Log!$D:$D=M$4)), NA()), "")</f>
        <v/>
      </c>
      <c r="N57" s="106" t="str" cm="1">
        <f t="array" ref="N57">IF($A57&lt;&gt;"", IFERROR(_xlfn._xlws.FILTER(Log!$G:$G, (Log!$A:$A="Daily") * (Log!$C:$C=$A57) * (Log!$D:$D=N$4)), NA()), "")</f>
        <v/>
      </c>
      <c r="O57" s="106" t="str" cm="1">
        <f t="array" ref="O57">IF($A57&lt;&gt;"", IFERROR(_xlfn._xlws.FILTER(Log!$G:$G, (Log!$A:$A="Daily") * (Log!$C:$C=$A57) * (Log!$D:$D=O$4)), NA()), "")</f>
        <v/>
      </c>
      <c r="P57" s="106" t="str" cm="1">
        <f t="array" ref="P57">IF($A57&lt;&gt;"", IFERROR(_xlfn._xlws.FILTER(Log!$G:$G, (Log!$A:$A="Daily") * (Log!$C:$C=$A57) * (Log!$D:$D=P$4)), NA()), "")</f>
        <v/>
      </c>
      <c r="Q57" s="106" t="str" cm="1">
        <f t="array" ref="Q57">IF($A57&lt;&gt;"", IFERROR(_xlfn._xlws.FILTER(Log!$G:$G, (Log!$A:$A="Daily") * (Log!$C:$C=$A57) * (Log!$D:$D=Q$4)), NA()), "")</f>
        <v/>
      </c>
      <c r="R57" s="106" t="str" cm="1">
        <f t="array" ref="R57">IF($A57&lt;&gt;"", IFERROR(_xlfn._xlws.FILTER(Log!$G:$G, (Log!$A:$A="Daily") * (Log!$C:$C=$A57) * (Log!$D:$D=R$4)), NA()), "")</f>
        <v/>
      </c>
      <c r="S57" s="106" t="str" cm="1">
        <f t="array" ref="S57">IF($A57&lt;&gt;"", IFERROR(_xlfn._xlws.FILTER(Log!$G:$G, (Log!$A:$A="Daily") * (Log!$C:$C=$A57) * (Log!$D:$D=S$4)), NA()), "")</f>
        <v/>
      </c>
      <c r="T57" s="106" t="str" cm="1">
        <f t="array" ref="T57">IF($A57&lt;&gt;"", IFERROR(_xlfn._xlws.FILTER(Log!$G:$G, (Log!$A:$A="Daily") * (Log!$C:$C=$A57) * (Log!$D:$D=T$4)), NA()), "")</f>
        <v/>
      </c>
    </row>
    <row r="58" spans="3:40" x14ac:dyDescent="0.25">
      <c r="C58" s="106" t="str" cm="1">
        <f t="array" ref="C58">IF($A58&lt;&gt;"", IFERROR(_xlfn._xlws.FILTER(Log!$G:$G, (Log!$A:$A="Daily") * (Log!$C:$C=$A58) * (Log!$D:$D=C$4)), NA()), "")</f>
        <v/>
      </c>
      <c r="D58" s="106" t="str" cm="1">
        <f t="array" ref="D58">IF($A58&lt;&gt;"", IFERROR(_xlfn._xlws.FILTER(Log!$G:$G, (Log!$A:$A="Daily") * (Log!$C:$C=$A58) * (Log!$D:$D=D$4)), NA()), "")</f>
        <v/>
      </c>
      <c r="E58" s="106" t="str" cm="1">
        <f t="array" ref="E58">IF($A58&lt;&gt;"", IFERROR(_xlfn._xlws.FILTER(Log!$G:$G, (Log!$A:$A="Daily") * (Log!$C:$C=$A58) * (Log!$D:$D=E$4)), NA()), "")</f>
        <v/>
      </c>
      <c r="F58" s="106" t="str" cm="1">
        <f t="array" ref="F58">IF($A58&lt;&gt;"", IFERROR(_xlfn._xlws.FILTER(Log!$G:$G, (Log!$A:$A="Daily") * (Log!$C:$C=$A58) * (Log!$D:$D=F$4)), NA()), "")</f>
        <v/>
      </c>
      <c r="G58" s="106" t="str" cm="1">
        <f t="array" ref="G58">IF($A58&lt;&gt;"", IFERROR(_xlfn._xlws.FILTER(Log!$G:$G, (Log!$A:$A="Daily") * (Log!$C:$C=$A58) * (Log!$D:$D=G$4)), NA()), "")</f>
        <v/>
      </c>
      <c r="H58" s="106" t="str" cm="1">
        <f t="array" ref="H58">IF($A58&lt;&gt;"", IFERROR(_xlfn._xlws.FILTER(Log!$G:$G, (Log!$A:$A="Daily") * (Log!$C:$C=$A58) * (Log!$D:$D=H$4)), NA()), "")</f>
        <v/>
      </c>
      <c r="I58" s="106" t="str" cm="1">
        <f t="array" ref="I58">IF($A58&lt;&gt;"", IFERROR(_xlfn._xlws.FILTER(Log!$G:$G, (Log!$A:$A="Daily") * (Log!$C:$C=$A58) * (Log!$D:$D=I$4)), NA()), "")</f>
        <v/>
      </c>
      <c r="J58" s="106" t="str" cm="1">
        <f t="array" ref="J58">IF($A58&lt;&gt;"", IFERROR(_xlfn._xlws.FILTER(Log!$G:$G, (Log!$A:$A="Daily") * (Log!$C:$C=$A58) * (Log!$D:$D=J$4)), NA()), "")</f>
        <v/>
      </c>
      <c r="K58" s="106" t="str" cm="1">
        <f t="array" ref="K58">IF($A58&lt;&gt;"", IFERROR(_xlfn._xlws.FILTER(Log!$G:$G, (Log!$A:$A="Daily") * (Log!$C:$C=$A58) * (Log!$D:$D=K$4)), NA()), "")</f>
        <v/>
      </c>
      <c r="L58" s="106" t="str" cm="1">
        <f t="array" ref="L58">IF($A58&lt;&gt;"", IFERROR(_xlfn._xlws.FILTER(Log!$G:$G, (Log!$A:$A="Daily") * (Log!$C:$C=$A58) * (Log!$D:$D=L$4)), NA()), "")</f>
        <v/>
      </c>
      <c r="M58" s="106" t="str" cm="1">
        <f t="array" ref="M58">IF($A58&lt;&gt;"", IFERROR(_xlfn._xlws.FILTER(Log!$G:$G, (Log!$A:$A="Daily") * (Log!$C:$C=$A58) * (Log!$D:$D=M$4)), NA()), "")</f>
        <v/>
      </c>
      <c r="N58" s="106" t="str" cm="1">
        <f t="array" ref="N58">IF($A58&lt;&gt;"", IFERROR(_xlfn._xlws.FILTER(Log!$G:$G, (Log!$A:$A="Daily") * (Log!$C:$C=$A58) * (Log!$D:$D=N$4)), NA()), "")</f>
        <v/>
      </c>
      <c r="O58" s="106" t="str" cm="1">
        <f t="array" ref="O58">IF($A58&lt;&gt;"", IFERROR(_xlfn._xlws.FILTER(Log!$G:$G, (Log!$A:$A="Daily") * (Log!$C:$C=$A58) * (Log!$D:$D=O$4)), NA()), "")</f>
        <v/>
      </c>
      <c r="P58" s="106" t="str" cm="1">
        <f t="array" ref="P58">IF($A58&lt;&gt;"", IFERROR(_xlfn._xlws.FILTER(Log!$G:$G, (Log!$A:$A="Daily") * (Log!$C:$C=$A58) * (Log!$D:$D=P$4)), NA()), "")</f>
        <v/>
      </c>
      <c r="Q58" s="106" t="str" cm="1">
        <f t="array" ref="Q58">IF($A58&lt;&gt;"", IFERROR(_xlfn._xlws.FILTER(Log!$G:$G, (Log!$A:$A="Daily") * (Log!$C:$C=$A58) * (Log!$D:$D=Q$4)), NA()), "")</f>
        <v/>
      </c>
      <c r="R58" s="106" t="str" cm="1">
        <f t="array" ref="R58">IF($A58&lt;&gt;"", IFERROR(_xlfn._xlws.FILTER(Log!$G:$G, (Log!$A:$A="Daily") * (Log!$C:$C=$A58) * (Log!$D:$D=R$4)), NA()), "")</f>
        <v/>
      </c>
      <c r="S58" s="106" t="str" cm="1">
        <f t="array" ref="S58">IF($A58&lt;&gt;"", IFERROR(_xlfn._xlws.FILTER(Log!$G:$G, (Log!$A:$A="Daily") * (Log!$C:$C=$A58) * (Log!$D:$D=S$4)), NA()), "")</f>
        <v/>
      </c>
      <c r="T58" s="106" t="str" cm="1">
        <f t="array" ref="T58">IF($A58&lt;&gt;"", IFERROR(_xlfn._xlws.FILTER(Log!$G:$G, (Log!$A:$A="Daily") * (Log!$C:$C=$A58) * (Log!$D:$D=T$4)), NA()), "")</f>
        <v/>
      </c>
    </row>
    <row r="59" spans="3:40" x14ac:dyDescent="0.25">
      <c r="C59" s="106" t="str" cm="1">
        <f t="array" ref="C59">IF($A59&lt;&gt;"", IFERROR(_xlfn._xlws.FILTER(Log!$G:$G, (Log!$A:$A="Daily") * (Log!$C:$C=$A59) * (Log!$D:$D=C$4)), NA()), "")</f>
        <v/>
      </c>
      <c r="D59" s="106" t="str" cm="1">
        <f t="array" ref="D59">IF($A59&lt;&gt;"", IFERROR(_xlfn._xlws.FILTER(Log!$G:$G, (Log!$A:$A="Daily") * (Log!$C:$C=$A59) * (Log!$D:$D=D$4)), NA()), "")</f>
        <v/>
      </c>
      <c r="E59" s="106" t="str" cm="1">
        <f t="array" ref="E59">IF($A59&lt;&gt;"", IFERROR(_xlfn._xlws.FILTER(Log!$G:$G, (Log!$A:$A="Daily") * (Log!$C:$C=$A59) * (Log!$D:$D=E$4)), NA()), "")</f>
        <v/>
      </c>
      <c r="F59" s="106" t="str" cm="1">
        <f t="array" ref="F59">IF($A59&lt;&gt;"", IFERROR(_xlfn._xlws.FILTER(Log!$G:$G, (Log!$A:$A="Daily") * (Log!$C:$C=$A59) * (Log!$D:$D=F$4)), NA()), "")</f>
        <v/>
      </c>
      <c r="G59" s="106" t="str" cm="1">
        <f t="array" ref="G59">IF($A59&lt;&gt;"", IFERROR(_xlfn._xlws.FILTER(Log!$G:$G, (Log!$A:$A="Daily") * (Log!$C:$C=$A59) * (Log!$D:$D=G$4)), NA()), "")</f>
        <v/>
      </c>
      <c r="H59" s="106" t="str" cm="1">
        <f t="array" ref="H59">IF($A59&lt;&gt;"", IFERROR(_xlfn._xlws.FILTER(Log!$G:$G, (Log!$A:$A="Daily") * (Log!$C:$C=$A59) * (Log!$D:$D=H$4)), NA()), "")</f>
        <v/>
      </c>
      <c r="I59" s="106" t="str" cm="1">
        <f t="array" ref="I59">IF($A59&lt;&gt;"", IFERROR(_xlfn._xlws.FILTER(Log!$G:$G, (Log!$A:$A="Daily") * (Log!$C:$C=$A59) * (Log!$D:$D=I$4)), NA()), "")</f>
        <v/>
      </c>
      <c r="J59" s="106" t="str" cm="1">
        <f t="array" ref="J59">IF($A59&lt;&gt;"", IFERROR(_xlfn._xlws.FILTER(Log!$G:$G, (Log!$A:$A="Daily") * (Log!$C:$C=$A59) * (Log!$D:$D=J$4)), NA()), "")</f>
        <v/>
      </c>
      <c r="K59" s="106" t="str" cm="1">
        <f t="array" ref="K59">IF($A59&lt;&gt;"", IFERROR(_xlfn._xlws.FILTER(Log!$G:$G, (Log!$A:$A="Daily") * (Log!$C:$C=$A59) * (Log!$D:$D=K$4)), NA()), "")</f>
        <v/>
      </c>
      <c r="L59" s="106" t="str" cm="1">
        <f t="array" ref="L59">IF($A59&lt;&gt;"", IFERROR(_xlfn._xlws.FILTER(Log!$G:$G, (Log!$A:$A="Daily") * (Log!$C:$C=$A59) * (Log!$D:$D=L$4)), NA()), "")</f>
        <v/>
      </c>
      <c r="M59" s="106" t="str" cm="1">
        <f t="array" ref="M59">IF($A59&lt;&gt;"", IFERROR(_xlfn._xlws.FILTER(Log!$G:$G, (Log!$A:$A="Daily") * (Log!$C:$C=$A59) * (Log!$D:$D=M$4)), NA()), "")</f>
        <v/>
      </c>
      <c r="N59" s="106" t="str" cm="1">
        <f t="array" ref="N59">IF($A59&lt;&gt;"", IFERROR(_xlfn._xlws.FILTER(Log!$G:$G, (Log!$A:$A="Daily") * (Log!$C:$C=$A59) * (Log!$D:$D=N$4)), NA()), "")</f>
        <v/>
      </c>
      <c r="O59" s="106" t="str" cm="1">
        <f t="array" ref="O59">IF($A59&lt;&gt;"", IFERROR(_xlfn._xlws.FILTER(Log!$G:$G, (Log!$A:$A="Daily") * (Log!$C:$C=$A59) * (Log!$D:$D=O$4)), NA()), "")</f>
        <v/>
      </c>
      <c r="P59" s="106" t="str" cm="1">
        <f t="array" ref="P59">IF($A59&lt;&gt;"", IFERROR(_xlfn._xlws.FILTER(Log!$G:$G, (Log!$A:$A="Daily") * (Log!$C:$C=$A59) * (Log!$D:$D=P$4)), NA()), "")</f>
        <v/>
      </c>
      <c r="Q59" s="106" t="str" cm="1">
        <f t="array" ref="Q59">IF($A59&lt;&gt;"", IFERROR(_xlfn._xlws.FILTER(Log!$G:$G, (Log!$A:$A="Daily") * (Log!$C:$C=$A59) * (Log!$D:$D=Q$4)), NA()), "")</f>
        <v/>
      </c>
      <c r="R59" s="106" t="str" cm="1">
        <f t="array" ref="R59">IF($A59&lt;&gt;"", IFERROR(_xlfn._xlws.FILTER(Log!$G:$G, (Log!$A:$A="Daily") * (Log!$C:$C=$A59) * (Log!$D:$D=R$4)), NA()), "")</f>
        <v/>
      </c>
      <c r="S59" s="106" t="str" cm="1">
        <f t="array" ref="S59">IF($A59&lt;&gt;"", IFERROR(_xlfn._xlws.FILTER(Log!$G:$G, (Log!$A:$A="Daily") * (Log!$C:$C=$A59) * (Log!$D:$D=S$4)), NA()), "")</f>
        <v/>
      </c>
      <c r="T59" s="106" t="str" cm="1">
        <f t="array" ref="T59">IF($A59&lt;&gt;"", IFERROR(_xlfn._xlws.FILTER(Log!$G:$G, (Log!$A:$A="Daily") * (Log!$C:$C=$A59) * (Log!$D:$D=T$4)), NA()), "")</f>
        <v/>
      </c>
    </row>
  </sheetData>
  <sheetProtection sheet="1" objects="1" scenarios="1" selectLockedCells="1" selectUnlockedCells="1"/>
  <mergeCells count="6">
    <mergeCell ref="A1:XFD1"/>
    <mergeCell ref="B2:B3"/>
    <mergeCell ref="U2:V4"/>
    <mergeCell ref="X3:AM3"/>
    <mergeCell ref="C2:T2"/>
    <mergeCell ref="A2:A5"/>
  </mergeCells>
  <conditionalFormatting sqref="B6:B200">
    <cfRule type="expression" dxfId="53" priority="12">
      <formula>AND(MOD(ROW(), 2)=1, $A6&lt;&gt;"")</formula>
    </cfRule>
  </conditionalFormatting>
  <conditionalFormatting sqref="C2 C3:T1048576">
    <cfRule type="containsText" dxfId="52" priority="13" operator="containsText" text="Unknown">
      <formula>NOT(ISERROR(SEARCH("Unknown",C2)))</formula>
    </cfRule>
  </conditionalFormatting>
  <conditionalFormatting sqref="C60:C202 C6:T59">
    <cfRule type="colorScale" priority="32">
      <colorScale>
        <cfvo type="min"/>
        <cfvo type="percentile" val="50"/>
        <cfvo type="max"/>
        <color rgb="FF63BE7B"/>
        <color rgb="FFFFEB84"/>
        <color rgb="FFF8696B"/>
      </colorScale>
    </cfRule>
  </conditionalFormatting>
  <conditionalFormatting sqref="D60:D202">
    <cfRule type="colorScale" priority="31">
      <colorScale>
        <cfvo type="min"/>
        <cfvo type="percentile" val="50"/>
        <cfvo type="max"/>
        <color rgb="FF63BE7B"/>
        <color rgb="FFFFEB84"/>
        <color rgb="FFF8696B"/>
      </colorScale>
    </cfRule>
  </conditionalFormatting>
  <conditionalFormatting sqref="E60:E202">
    <cfRule type="colorScale" priority="30">
      <colorScale>
        <cfvo type="min"/>
        <cfvo type="percentile" val="50"/>
        <cfvo type="max"/>
        <color rgb="FF63BE7B"/>
        <color rgb="FFFFEB84"/>
        <color rgb="FFF8696B"/>
      </colorScale>
    </cfRule>
  </conditionalFormatting>
  <conditionalFormatting sqref="F60:F202">
    <cfRule type="colorScale" priority="29">
      <colorScale>
        <cfvo type="min"/>
        <cfvo type="percentile" val="50"/>
        <cfvo type="max"/>
        <color rgb="FF63BE7B"/>
        <color rgb="FFFFEB84"/>
        <color rgb="FFF8696B"/>
      </colorScale>
    </cfRule>
  </conditionalFormatting>
  <conditionalFormatting sqref="G60:G202">
    <cfRule type="colorScale" priority="28">
      <colorScale>
        <cfvo type="min"/>
        <cfvo type="percentile" val="50"/>
        <cfvo type="max"/>
        <color rgb="FF63BE7B"/>
        <color rgb="FFFFEB84"/>
        <color rgb="FFF8696B"/>
      </colorScale>
    </cfRule>
  </conditionalFormatting>
  <conditionalFormatting sqref="H60:H202">
    <cfRule type="colorScale" priority="27">
      <colorScale>
        <cfvo type="min"/>
        <cfvo type="percentile" val="50"/>
        <cfvo type="max"/>
        <color rgb="FF63BE7B"/>
        <color rgb="FFFFEB84"/>
        <color rgb="FFF8696B"/>
      </colorScale>
    </cfRule>
  </conditionalFormatting>
  <conditionalFormatting sqref="I60:I202">
    <cfRule type="colorScale" priority="26">
      <colorScale>
        <cfvo type="min"/>
        <cfvo type="percentile" val="50"/>
        <cfvo type="max"/>
        <color rgb="FF63BE7B"/>
        <color rgb="FFFFEB84"/>
        <color rgb="FFF8696B"/>
      </colorScale>
    </cfRule>
  </conditionalFormatting>
  <conditionalFormatting sqref="J60:J202">
    <cfRule type="colorScale" priority="25">
      <colorScale>
        <cfvo type="min"/>
        <cfvo type="percentile" val="50"/>
        <cfvo type="max"/>
        <color rgb="FF63BE7B"/>
        <color rgb="FFFFEB84"/>
        <color rgb="FFF8696B"/>
      </colorScale>
    </cfRule>
  </conditionalFormatting>
  <conditionalFormatting sqref="K60:K202">
    <cfRule type="colorScale" priority="24">
      <colorScale>
        <cfvo type="min"/>
        <cfvo type="percentile" val="50"/>
        <cfvo type="max"/>
        <color rgb="FF63BE7B"/>
        <color rgb="FFFFEB84"/>
        <color rgb="FFF8696B"/>
      </colorScale>
    </cfRule>
  </conditionalFormatting>
  <conditionalFormatting sqref="L60:L202">
    <cfRule type="colorScale" priority="22">
      <colorScale>
        <cfvo type="min"/>
        <cfvo type="percentile" val="50"/>
        <cfvo type="max"/>
        <color rgb="FF63BE7B"/>
        <color rgb="FFFFEB84"/>
        <color rgb="FFF8696B"/>
      </colorScale>
    </cfRule>
  </conditionalFormatting>
  <conditionalFormatting sqref="M60:M202">
    <cfRule type="colorScale" priority="21">
      <colorScale>
        <cfvo type="min"/>
        <cfvo type="percentile" val="50"/>
        <cfvo type="max"/>
        <color rgb="FF63BE7B"/>
        <color rgb="FFFFEB84"/>
        <color rgb="FFF8696B"/>
      </colorScale>
    </cfRule>
  </conditionalFormatting>
  <conditionalFormatting sqref="N60:N202">
    <cfRule type="colorScale" priority="20">
      <colorScale>
        <cfvo type="min"/>
        <cfvo type="percentile" val="50"/>
        <cfvo type="max"/>
        <color rgb="FF63BE7B"/>
        <color rgb="FFFFEB84"/>
        <color rgb="FFF8696B"/>
      </colorScale>
    </cfRule>
  </conditionalFormatting>
  <conditionalFormatting sqref="O60:O202">
    <cfRule type="colorScale" priority="19">
      <colorScale>
        <cfvo type="min"/>
        <cfvo type="percentile" val="50"/>
        <cfvo type="max"/>
        <color rgb="FF63BE7B"/>
        <color rgb="FFFFEB84"/>
        <color rgb="FFF8696B"/>
      </colorScale>
    </cfRule>
  </conditionalFormatting>
  <conditionalFormatting sqref="P60:P202">
    <cfRule type="colorScale" priority="18">
      <colorScale>
        <cfvo type="min"/>
        <cfvo type="percentile" val="50"/>
        <cfvo type="max"/>
        <color rgb="FF63BE7B"/>
        <color rgb="FFFFEB84"/>
        <color rgb="FFF8696B"/>
      </colorScale>
    </cfRule>
  </conditionalFormatting>
  <conditionalFormatting sqref="Q60:Q202">
    <cfRule type="colorScale" priority="17">
      <colorScale>
        <cfvo type="min"/>
        <cfvo type="percentile" val="50"/>
        <cfvo type="max"/>
        <color rgb="FF63BE7B"/>
        <color rgb="FFFFEB84"/>
        <color rgb="FFF8696B"/>
      </colorScale>
    </cfRule>
  </conditionalFormatting>
  <conditionalFormatting sqref="R60:R202">
    <cfRule type="colorScale" priority="16">
      <colorScale>
        <cfvo type="min"/>
        <cfvo type="percentile" val="50"/>
        <cfvo type="max"/>
        <color rgb="FF63BE7B"/>
        <color rgb="FFFFEB84"/>
        <color rgb="FFF8696B"/>
      </colorScale>
    </cfRule>
  </conditionalFormatting>
  <conditionalFormatting sqref="S60:S202">
    <cfRule type="colorScale" priority="15">
      <colorScale>
        <cfvo type="min"/>
        <cfvo type="percentile" val="50"/>
        <cfvo type="max"/>
        <color rgb="FF63BE7B"/>
        <color rgb="FFFFEB84"/>
        <color rgb="FFF8696B"/>
      </colorScale>
    </cfRule>
  </conditionalFormatting>
  <conditionalFormatting sqref="T60:T202">
    <cfRule type="colorScale" priority="14">
      <colorScale>
        <cfvo type="min"/>
        <cfvo type="percentile" val="50"/>
        <cfvo type="max"/>
        <color rgb="FF63BE7B"/>
        <color rgb="FFFFEB84"/>
        <color rgb="FFF8696B"/>
      </colorScale>
    </cfRule>
  </conditionalFormatting>
  <conditionalFormatting sqref="U6:V402">
    <cfRule type="expression" dxfId="51" priority="6">
      <formula>AND(MOD(ROW(), 2)=1, $A6&lt;&gt;"")</formula>
    </cfRule>
  </conditionalFormatting>
  <conditionalFormatting sqref="W6:AN201">
    <cfRule type="containsText" dxfId="50" priority="1" stopIfTrue="1" operator="containsText" text="Unknown">
      <formula>NOT(ISERROR(SEARCH("Unknown",W6)))</formula>
    </cfRule>
    <cfRule type="expression" dxfId="49" priority="2" stopIfTrue="1">
      <formula>AND(W6&gt;(W$4+(W$2*2.5)), W6&lt;&gt;"")</formula>
    </cfRule>
    <cfRule type="expression" dxfId="48" priority="3" stopIfTrue="1">
      <formula>AND(W6&lt;(W$4-(W$2*2.5)), W6&lt;&gt;"")</formula>
    </cfRule>
    <cfRule type="expression" dxfId="47" priority="5">
      <formula>AND(W6&lt;(W$4-(W$2*1)), W6&lt;&gt;"")</formula>
    </cfRule>
    <cfRule type="expression" dxfId="46" priority="8">
      <formula>AND(W6&gt;(W$4+(W$2*1)), W6&lt;&gt;"")</formula>
    </cfRule>
  </conditionalFormatting>
  <conditionalFormatting sqref="AO3:AO5 AO7:AO1048576">
    <cfRule type="cellIs" dxfId="45" priority="7" operator="equal">
      <formula>1</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DE9D9"/>
  </sheetPr>
  <dimension ref="A1:CS651"/>
  <sheetViews>
    <sheetView showZeros="0" zoomScale="70" zoomScaleNormal="70" workbookViewId="0">
      <pane ySplit="2" topLeftCell="A3" activePane="bottomLeft" state="frozen"/>
      <selection activeCell="U16" sqref="U16:AA16"/>
      <selection pane="bottomLeft" sqref="A1:XFD1"/>
    </sheetView>
  </sheetViews>
  <sheetFormatPr defaultColWidth="8.6640625" defaultRowHeight="40.049999999999997" customHeight="1" x14ac:dyDescent="0.3"/>
  <cols>
    <col min="1" max="1" width="10.77734375" style="40" customWidth="1"/>
    <col min="2" max="2" width="15.77734375" style="106" customWidth="1"/>
    <col min="3" max="3" width="15.77734375" style="75" customWidth="1"/>
    <col min="4" max="4" width="15.77734375" style="41" customWidth="1"/>
    <col min="5" max="5" width="12.77734375" style="44" customWidth="1"/>
    <col min="6" max="6" width="12.77734375" style="75" customWidth="1"/>
    <col min="7" max="7" width="15.77734375" style="45" customWidth="1"/>
    <col min="8" max="8" width="15" style="40" customWidth="1"/>
    <col min="9" max="9" width="18.77734375" style="46" customWidth="1"/>
    <col min="10" max="11" width="18.77734375" style="45" hidden="1" customWidth="1"/>
    <col min="12" max="13" width="18.77734375" style="75" hidden="1" customWidth="1"/>
    <col min="14" max="19" width="15" style="40" customWidth="1"/>
    <col min="20" max="21" width="15" style="40" hidden="1" customWidth="1"/>
    <col min="22" max="22" width="75.77734375" style="143" customWidth="1"/>
    <col min="23" max="23" width="35.77734375" style="40" customWidth="1"/>
    <col min="24" max="24" width="8.6640625" style="40"/>
    <col min="25" max="25" width="8.6640625" style="43" customWidth="1"/>
    <col min="26" max="93" width="8.6640625" style="40"/>
    <col min="94" max="95" width="15" style="40" customWidth="1"/>
    <col min="96" max="16384" width="8.6640625" style="40"/>
  </cols>
  <sheetData>
    <row r="1" spans="1:97" s="359" customFormat="1" ht="24.6" thickTop="1" thickBot="1" x14ac:dyDescent="0.5">
      <c r="A1" s="358" t="s">
        <v>311</v>
      </c>
    </row>
    <row r="2" spans="1:97" s="115" customFormat="1" ht="40.049999999999997" customHeight="1" thickTop="1" thickBot="1" x14ac:dyDescent="0.35">
      <c r="A2" s="150" t="s">
        <v>85</v>
      </c>
      <c r="B2" s="235" t="s">
        <v>277</v>
      </c>
      <c r="C2" s="175" t="s">
        <v>31</v>
      </c>
      <c r="D2" s="176" t="s">
        <v>42</v>
      </c>
      <c r="E2" s="176" t="s">
        <v>43</v>
      </c>
      <c r="F2" s="177" t="s">
        <v>75</v>
      </c>
      <c r="G2" s="178" t="s">
        <v>225</v>
      </c>
      <c r="H2" s="181" t="s">
        <v>240</v>
      </c>
      <c r="I2" s="179" t="s">
        <v>228</v>
      </c>
      <c r="J2" s="181" t="s">
        <v>242</v>
      </c>
      <c r="K2" s="181" t="s">
        <v>243</v>
      </c>
      <c r="L2" s="175" t="s">
        <v>239</v>
      </c>
      <c r="M2" s="175" t="s">
        <v>244</v>
      </c>
      <c r="N2" s="175" t="s">
        <v>164</v>
      </c>
      <c r="O2" s="175" t="s">
        <v>165</v>
      </c>
      <c r="P2" s="175" t="s">
        <v>166</v>
      </c>
      <c r="Q2" s="175" t="s">
        <v>167</v>
      </c>
      <c r="R2" s="175" t="s">
        <v>168</v>
      </c>
      <c r="S2" s="175" t="s">
        <v>169</v>
      </c>
      <c r="T2" s="249" t="s">
        <v>153</v>
      </c>
      <c r="U2" s="250"/>
      <c r="V2" s="253" t="s">
        <v>40</v>
      </c>
      <c r="W2" s="254"/>
      <c r="X2" s="248" t="s">
        <v>163</v>
      </c>
      <c r="Y2" s="248"/>
      <c r="Z2" s="248"/>
      <c r="AA2" s="248"/>
      <c r="AB2" s="248"/>
      <c r="AC2" s="248"/>
      <c r="AD2" s="248"/>
      <c r="AE2" s="248"/>
      <c r="AF2" s="248"/>
      <c r="AG2" s="248"/>
      <c r="AH2" s="248"/>
      <c r="AI2" s="248"/>
      <c r="AJ2" s="248"/>
      <c r="AK2" s="248"/>
      <c r="AL2" s="248"/>
      <c r="CP2" s="249" t="s">
        <v>153</v>
      </c>
      <c r="CQ2" s="250"/>
    </row>
    <row r="3" spans="1:97" ht="40.049999999999997" customHeight="1" x14ac:dyDescent="0.3">
      <c r="A3" s="103" t="str">
        <f t="shared" ref="A3:A34" si="0">IF(C3&lt;&gt;"", "Daily", "")</f>
        <v>Daily</v>
      </c>
      <c r="B3" s="236" t="s">
        <v>89</v>
      </c>
      <c r="C3" s="204" cm="1">
        <f t="array" ref="C3:C26">_xlfn.CHOOSECOLS(_xlfn.UNIQUE(_xlfn._xlws.FILTER(Log!$A:$C,Log!$A:$A="Daily")),3)</f>
        <v>46228</v>
      </c>
      <c r="D3" s="31">
        <v>23.5</v>
      </c>
      <c r="E3" s="32">
        <v>0.85833333333333328</v>
      </c>
      <c r="F3" s="75" t="s">
        <v>73</v>
      </c>
      <c r="G3" s="36">
        <v>1000</v>
      </c>
      <c r="H3" s="7">
        <f>IF(COUNTBLANK($A3:$E3)&gt;0, "", IFERROR(AVERAGEIFS(Log!$E:$E, Log!$A:$A, $A3, Log!$B:$B, $B3, Log!$C:$C, $C3),""))</f>
        <v>2045.4117647058824</v>
      </c>
      <c r="I3" s="37">
        <f t="shared" ref="I3:I27" si="1">IF(AND($H3&lt;&gt;"", $G3&lt;&gt;""), $H3/$G3, "")</f>
        <v>2.0454117647058823</v>
      </c>
      <c r="J3" s="36" cm="1">
        <f t="array" ref="J3">_xlfn.MAXIFS(Log!$E:$E, Log!$A:$A, category, Log!$B:$B, key, Log!$C:$C, _xleta.DATE)</f>
        <v>0</v>
      </c>
      <c r="K3" s="36"/>
      <c r="L3" s="180"/>
      <c r="M3" s="180"/>
      <c r="N3" s="6">
        <f>IF(COUNTBLANK($A3:$E3)&gt;0, "", IFERROR(AVERAGEIFS(Log!$F:$F, Log!$A:$A, $A3, Log!$B:$B, $B3, Log!$C:$C, $C3),""))</f>
        <v>0.3911837647058824</v>
      </c>
      <c r="O3" s="6">
        <f>IF(COUNTBLANK($A3:$E3)&gt;0, "", IFERROR(_xlfn.MINIFS(Log!$F:$F, Log!$A:$A, $A3, Log!$B:$B, $B3, Log!$C:$C, $C3),""))</f>
        <v>0.13059299999999999</v>
      </c>
      <c r="P3" s="6">
        <f>IF(COUNTBLANK($A3:$E3)&gt;0, "", IFERROR(_xlfn.MAXIFS(Log!$F:$F, Log!$A:$A, $A3, Log!$B:$B, $B3, Log!$C:$C, $C3),""))</f>
        <v>0.64795899999999995</v>
      </c>
      <c r="Q3" s="6">
        <f>IF(COUNTBLANK($A3:$E3)&gt;0, "", IFERROR(AVERAGEIFS(Log!$G:$G, Log!$A:$A, $A3, Log!$B:$B, $B3, Log!$C:$C, $C3),""))</f>
        <v>9.2278499999999999E-2</v>
      </c>
      <c r="R3" s="6">
        <f>IF(COUNTBLANK($A3:$E3)&gt;0, "", IFERROR(_xlfn.MINIFS(Log!$G:$G, Log!$A:$A, $A3, Log!$B:$B, $B3, Log!$C:$C, $C3),""))</f>
        <v>4.2415799999999997E-2</v>
      </c>
      <c r="S3" s="6">
        <f>IF(COUNTBLANK($A3:$E3)&gt;0, "", IFERROR(_xlfn.MAXIFS(Log!$G:$G, Log!$A:$A, $A3, Log!$B:$B, $B3, Log!$C:$C, $C3),""))</f>
        <v>0.147318</v>
      </c>
      <c r="T3" s="6">
        <f>IF($N3&lt;&gt;"", 'Daily Camera Trends'!$M$5, "")</f>
        <v>0.4150363317865432</v>
      </c>
      <c r="U3" s="6">
        <f>IF(Q3&lt;&gt;"", 'Daily Camera Trends'!$N$5, "")</f>
        <v>9.9319293039443104E-2</v>
      </c>
      <c r="V3" s="143" t="s">
        <v>116</v>
      </c>
      <c r="Y3" s="40"/>
      <c r="CP3" s="6">
        <f>IF($N3&lt;&gt;"", 'Daily Camera Trends'!$M$5, "")</f>
        <v>0.4150363317865432</v>
      </c>
      <c r="CQ3" s="6">
        <f>IF($Q3&lt;&gt;"", 'Daily Camera Trends'!$N$5, "")</f>
        <v>9.9319293039443104E-2</v>
      </c>
      <c r="CS3" s="47" t="s">
        <v>154</v>
      </c>
    </row>
    <row r="4" spans="1:97" ht="40.049999999999997" customHeight="1" x14ac:dyDescent="0.3">
      <c r="A4" s="103" t="str">
        <f t="shared" si="0"/>
        <v>Daily</v>
      </c>
      <c r="B4" s="236" t="s">
        <v>89</v>
      </c>
      <c r="C4" s="204">
        <v>46230</v>
      </c>
      <c r="D4" s="31">
        <v>23.5</v>
      </c>
      <c r="E4" s="32">
        <v>0.60138888888888886</v>
      </c>
      <c r="F4" s="75" t="s">
        <v>73</v>
      </c>
      <c r="G4" s="36">
        <v>1000</v>
      </c>
      <c r="H4" s="7">
        <f>IF(COUNTBLANK($A4:$E4)&gt;0, "", IFERROR(AVERAGEIFS(Log!$E:$E, Log!$A:$A, $A4, Log!$B:$B, $B4, Log!$C:$C, $C4),""))</f>
        <v>1582.8333333333333</v>
      </c>
      <c r="I4" s="37">
        <f t="shared" si="1"/>
        <v>1.5828333333333333</v>
      </c>
      <c r="J4" s="36">
        <f>IF(COUNTBLANK($A4:$E4)&gt;0, "", IFERROR(_xlfn.MAXIFS(Log!$E:$E, Log!$A:$A, $A4, Log!$B:$B, $B4, Log!$C:$C, $C4),""))</f>
        <v>2611</v>
      </c>
      <c r="K4" s="36">
        <f>IF(COUNTBLANK($A4:$E4)&gt;0, "", IFERROR(_xlfn.MINIFS(Log!$E:$E, Log!$A:$A, $A4, Log!$B:$B, $B4, Log!$C:$C, $C4),""))</f>
        <v>1005</v>
      </c>
      <c r="L4" s="180" t="e" cm="1" vm="1">
        <f t="array" ref="L4">_xlfn.LET(_xlpm.row_no, ROW(C4),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4" s="180" t="e" cm="1">
        <f t="array" ref="M4">_xlfn.LET(_xlpm.row_no, ROW(C4),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4" s="6">
        <f>IF(COUNTBLANK($A4:$E4)&gt;0, "", IFERROR(AVERAGEIFS(Log!$F:$F, Log!$A:$A, $A4, Log!$B:$B, $B4, Log!$C:$C, $C4),""))</f>
        <v>0.3804177222222222</v>
      </c>
      <c r="O4" s="6">
        <f>IF(COUNTBLANK($A4:$E4)&gt;0, "", IFERROR(_xlfn.MINIFS(Log!$F:$F, Log!$A:$A, $A4, Log!$B:$B, $B4, Log!$C:$C, $C4),""))</f>
        <v>0.162101</v>
      </c>
      <c r="P4" s="6">
        <f>IF(COUNTBLANK($A4:$E4)&gt;0, "", IFERROR(_xlfn.MAXIFS(Log!$F:$F, Log!$A:$A, $A4, Log!$B:$B, $B4, Log!$C:$C, $C4),""))</f>
        <v>0.610344</v>
      </c>
      <c r="Q4" s="6">
        <f>IF(COUNTBLANK($A4:$E4)&gt;0, "", IFERROR(AVERAGEIFS(Log!$G:$G, Log!$A:$A, $A4, Log!$B:$B, $B4, Log!$C:$C, $C4),""))</f>
        <v>9.1966633333333339E-2</v>
      </c>
      <c r="R4" s="6">
        <f>IF(COUNTBLANK($A4:$E4)&gt;0, "", IFERROR(_xlfn.MINIFS(Log!$G:$G, Log!$A:$A, $A4, Log!$B:$B, $B4, Log!$C:$C, $C4),""))</f>
        <v>4.46854E-2</v>
      </c>
      <c r="S4" s="6">
        <f>IF(COUNTBLANK($A4:$E4)&gt;0, "", IFERROR(_xlfn.MAXIFS(Log!$G:$G, Log!$A:$A, $A4, Log!$B:$B, $B4, Log!$C:$C, $C4),""))</f>
        <v>0.14344199999999999</v>
      </c>
      <c r="T4" s="6">
        <f>IF($N4&lt;&gt;"", 'Daily Camera Trends'!$M$5, "")</f>
        <v>0.4150363317865432</v>
      </c>
      <c r="U4" s="6">
        <f>IF(Q4&lt;&gt;"", 'Daily Camera Trends'!$N$5, "")</f>
        <v>9.9319293039443104E-2</v>
      </c>
      <c r="V4" s="143" t="s">
        <v>41</v>
      </c>
      <c r="CP4" s="6">
        <f>IF($N4&lt;&gt;"", 'Daily Camera Trends'!$M$5, "")</f>
        <v>0.4150363317865432</v>
      </c>
      <c r="CQ4" s="6">
        <f>IF($Q4&lt;&gt;"", 'Daily Camera Trends'!$N$5, "")</f>
        <v>9.9319293039443104E-2</v>
      </c>
      <c r="CS4" s="75" t="s">
        <v>155</v>
      </c>
    </row>
    <row r="5" spans="1:97" ht="40.049999999999997" customHeight="1" x14ac:dyDescent="0.3">
      <c r="A5" s="103" t="str">
        <f t="shared" si="0"/>
        <v>Daily</v>
      </c>
      <c r="B5" s="236" t="s">
        <v>89</v>
      </c>
      <c r="C5" s="204">
        <v>46231</v>
      </c>
      <c r="D5" s="31">
        <v>24.5</v>
      </c>
      <c r="E5" s="32">
        <v>0.50694444444444442</v>
      </c>
      <c r="F5" s="75" t="s">
        <v>74</v>
      </c>
      <c r="G5" s="36">
        <v>1000</v>
      </c>
      <c r="H5" s="7">
        <f>IF(COUNTBLANK($A5:$E5)&gt;0, "", IFERROR(AVERAGEIFS(Log!$E:$E, Log!$A:$A, $A5, Log!$B:$B, $B5, Log!$C:$C, $C5),""))</f>
        <v>1833.0555555555557</v>
      </c>
      <c r="I5" s="37">
        <f t="shared" si="1"/>
        <v>1.8330555555555557</v>
      </c>
      <c r="J5" s="36">
        <f>IF(COUNTBLANK($A5:$E5)&gt;0, "", IFERROR(_xlfn.MAXIFS(Log!$E:$E, Log!$A:$A, $A5, Log!$B:$B, $B5, Log!$C:$C, $C5),""))</f>
        <v>2717</v>
      </c>
      <c r="K5" s="36">
        <f>IF(COUNTBLANK($A5:$E5)&gt;0, "", IFERROR(_xlfn.MINIFS(Log!$E:$E, Log!$A:$A, $A5, Log!$B:$B, $B5, Log!$C:$C, $C5),""))</f>
        <v>1004</v>
      </c>
      <c r="L5" s="180" t="e" cm="1" vm="1">
        <f t="array" ref="L5">_xlfn.LET(_xlpm.row_no, ROW(C5),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5" s="180" t="e" cm="1">
        <f t="array" ref="M5">_xlfn.LET(_xlpm.row_no, ROW(C5),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5" s="6">
        <f>IF(COUNTBLANK($A5:$E5)&gt;0, "", IFERROR(AVERAGEIFS(Log!$F:$F, Log!$A:$A, $A5, Log!$B:$B, $B5, Log!$C:$C, $C5),""))</f>
        <v>0.3508782777777778</v>
      </c>
      <c r="O5" s="6">
        <f>IF(COUNTBLANK($A5:$E5)&gt;0, "", IFERROR(_xlfn.MINIFS(Log!$F:$F, Log!$A:$A, $A5, Log!$B:$B, $B5, Log!$C:$C, $C5),""))</f>
        <v>0.157855</v>
      </c>
      <c r="P5" s="6">
        <f>IF(COUNTBLANK($A5:$E5)&gt;0, "", IFERROR(_xlfn.MAXIFS(Log!$F:$F, Log!$A:$A, $A5, Log!$B:$B, $B5, Log!$C:$C, $C5),""))</f>
        <v>0.55680700000000005</v>
      </c>
      <c r="Q5" s="6">
        <f>IF(COUNTBLANK($A5:$E5)&gt;0, "", IFERROR(AVERAGEIFS(Log!$G:$G, Log!$A:$A, $A5, Log!$B:$B, $B5, Log!$C:$C, $C5),""))</f>
        <v>8.4730411111111126E-2</v>
      </c>
      <c r="R5" s="6">
        <f>IF(COUNTBLANK($A5:$E5)&gt;0, "", IFERROR(_xlfn.MINIFS(Log!$G:$G, Log!$A:$A, $A5, Log!$B:$B, $B5, Log!$C:$C, $C5),""))</f>
        <v>4.7859600000000002E-2</v>
      </c>
      <c r="S5" s="6">
        <f>IF(COUNTBLANK($A5:$E5)&gt;0, "", IFERROR(_xlfn.MAXIFS(Log!$G:$G, Log!$A:$A, $A5, Log!$B:$B, $B5, Log!$C:$C, $C5),""))</f>
        <v>0.14671400000000001</v>
      </c>
      <c r="T5" s="6">
        <f>IF($N5&lt;&gt;"", 'Daily Camera Trends'!$M$5, "")</f>
        <v>0.4150363317865432</v>
      </c>
      <c r="U5" s="6">
        <f>IF(Q5&lt;&gt;"", 'Daily Camera Trends'!$N$5, "")</f>
        <v>9.9319293039443104E-2</v>
      </c>
      <c r="V5" s="143" t="s">
        <v>77</v>
      </c>
      <c r="CP5" s="6">
        <f>IF($N5&lt;&gt;"", 'Daily Camera Trends'!$M$5, "")</f>
        <v>0.4150363317865432</v>
      </c>
      <c r="CQ5" s="6">
        <f>IF($Q5&lt;&gt;"", 'Daily Camera Trends'!$N$5, "")</f>
        <v>9.9319293039443104E-2</v>
      </c>
    </row>
    <row r="6" spans="1:97" ht="40.049999999999997" customHeight="1" x14ac:dyDescent="0.3">
      <c r="A6" s="103" t="str">
        <f t="shared" si="0"/>
        <v>Daily</v>
      </c>
      <c r="B6" s="236" t="s">
        <v>89</v>
      </c>
      <c r="C6" s="204">
        <v>46232</v>
      </c>
      <c r="D6" s="31">
        <v>25.5</v>
      </c>
      <c r="E6" s="32">
        <v>0.82291666666666663</v>
      </c>
      <c r="F6" s="75" t="s">
        <v>73</v>
      </c>
      <c r="G6" s="36">
        <v>1000</v>
      </c>
      <c r="H6" s="7">
        <f>IF(COUNTBLANK($A6:$E6)&gt;0, "", IFERROR(AVERAGEIFS(Log!$E:$E, Log!$A:$A, $A6, Log!$B:$B, $B6, Log!$C:$C, $C6),""))</f>
        <v>2014.2222222222222</v>
      </c>
      <c r="I6" s="37">
        <f t="shared" si="1"/>
        <v>2.0142222222222221</v>
      </c>
      <c r="J6" s="36">
        <f>IF(COUNTBLANK($A6:$E6)&gt;0, "", IFERROR(_xlfn.MAXIFS(Log!$E:$E, Log!$A:$A, $A6, Log!$B:$B, $B6, Log!$C:$C, $C6),""))</f>
        <v>3094</v>
      </c>
      <c r="K6" s="36">
        <f>IF(COUNTBLANK($A6:$E6)&gt;0, "", IFERROR(_xlfn.MINIFS(Log!$E:$E, Log!$A:$A, $A6, Log!$B:$B, $B6, Log!$C:$C, $C6),""))</f>
        <v>1004</v>
      </c>
      <c r="L6" s="180" t="e" cm="1" vm="1">
        <f t="array" ref="L6">_xlfn.LET(_xlpm.row_no, ROW(C6),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6" s="180" t="e" cm="1">
        <f t="array" ref="M6">_xlfn.LET(_xlpm.row_no, ROW(C6),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6" s="6">
        <f>IF(COUNTBLANK($A6:$E6)&gt;0, "", IFERROR(AVERAGEIFS(Log!$F:$F, Log!$A:$A, $A6, Log!$B:$B, $B6, Log!$C:$C, $C6),""))</f>
        <v>0.36980916666666658</v>
      </c>
      <c r="O6" s="6">
        <f>IF(COUNTBLANK($A6:$E6)&gt;0, "", IFERROR(_xlfn.MINIFS(Log!$F:$F, Log!$A:$A, $A6, Log!$B:$B, $B6, Log!$C:$C, $C6),""))</f>
        <v>0.18460799999999999</v>
      </c>
      <c r="P6" s="6">
        <f>IF(COUNTBLANK($A6:$E6)&gt;0, "", IFERROR(_xlfn.MAXIFS(Log!$F:$F, Log!$A:$A, $A6, Log!$B:$B, $B6, Log!$C:$C, $C6),""))</f>
        <v>0.56917399999999996</v>
      </c>
      <c r="Q6" s="6">
        <f>IF(COUNTBLANK($A6:$E6)&gt;0, "", IFERROR(AVERAGEIFS(Log!$G:$G, Log!$A:$A, $A6, Log!$B:$B, $B6, Log!$C:$C, $C6),""))</f>
        <v>8.8881683333333336E-2</v>
      </c>
      <c r="R6" s="6">
        <f>IF(COUNTBLANK($A6:$E6)&gt;0, "", IFERROR(_xlfn.MINIFS(Log!$G:$G, Log!$A:$A, $A6, Log!$B:$B, $B6, Log!$C:$C, $C6),""))</f>
        <v>5.9381200000000002E-2</v>
      </c>
      <c r="S6" s="6">
        <f>IF(COUNTBLANK($A6:$E6)&gt;0, "", IFERROR(_xlfn.MAXIFS(Log!$G:$G, Log!$A:$A, $A6, Log!$B:$B, $B6, Log!$C:$C, $C6),""))</f>
        <v>0.136459</v>
      </c>
      <c r="T6" s="6">
        <f>IF($N6&lt;&gt;"", 'Daily Camera Trends'!$M$5, "")</f>
        <v>0.4150363317865432</v>
      </c>
      <c r="U6" s="6">
        <f>IF(Q6&lt;&gt;"", 'Daily Camera Trends'!$N$5, "")</f>
        <v>9.9319293039443104E-2</v>
      </c>
      <c r="V6" s="143" t="s">
        <v>47</v>
      </c>
      <c r="CP6" s="6">
        <f>IF($N6&lt;&gt;"", 'Daily Camera Trends'!$M$5, "")</f>
        <v>0.4150363317865432</v>
      </c>
      <c r="CQ6" s="6">
        <f>IF($Q6&lt;&gt;"", 'Daily Camera Trends'!$N$5, "")</f>
        <v>9.9319293039443104E-2</v>
      </c>
    </row>
    <row r="7" spans="1:97" ht="40.049999999999997" customHeight="1" x14ac:dyDescent="0.3">
      <c r="A7" s="103" t="str">
        <f t="shared" si="0"/>
        <v>Daily</v>
      </c>
      <c r="B7" s="236" t="s">
        <v>89</v>
      </c>
      <c r="C7" s="204">
        <v>46233</v>
      </c>
      <c r="D7" s="31">
        <v>24.5</v>
      </c>
      <c r="E7" s="32">
        <v>0.53333333333333333</v>
      </c>
      <c r="F7" s="75" t="s">
        <v>73</v>
      </c>
      <c r="G7" s="36">
        <v>1000</v>
      </c>
      <c r="H7" s="7">
        <f>IF(COUNTBLANK($A7:$E7)&gt;0, "", IFERROR(AVERAGEIFS(Log!$E:$E, Log!$A:$A, $A7, Log!$B:$B, $B7, Log!$C:$C, $C7),""))</f>
        <v>1931.5555555555557</v>
      </c>
      <c r="I7" s="37">
        <f t="shared" si="1"/>
        <v>1.9315555555555557</v>
      </c>
      <c r="J7" s="36">
        <f>IF(COUNTBLANK($A7:$E7)&gt;0, "", IFERROR(_xlfn.MAXIFS(Log!$E:$E, Log!$A:$A, $A7, Log!$B:$B, $B7, Log!$C:$C, $C7),""))</f>
        <v>2638</v>
      </c>
      <c r="K7" s="36">
        <f>IF(COUNTBLANK($A7:$E7)&gt;0, "", IFERROR(_xlfn.MINIFS(Log!$E:$E, Log!$A:$A, $A7, Log!$B:$B, $B7, Log!$C:$C, $C7),""))</f>
        <v>1004</v>
      </c>
      <c r="L7" s="180" t="e" cm="1" vm="1">
        <f t="array" ref="L7">_xlfn.LET(_xlpm.row_no, ROW(C7),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7" s="180" t="e" cm="1">
        <f t="array" ref="M7">_xlfn.LET(_xlpm.row_no, ROW(C7),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7" s="6">
        <f>IF(COUNTBLANK($A7:$E7)&gt;0, "", IFERROR(AVERAGEIFS(Log!$F:$F, Log!$A:$A, $A7, Log!$B:$B, $B7, Log!$C:$C, $C7),""))</f>
        <v>0.32767977777777779</v>
      </c>
      <c r="O7" s="6">
        <f>IF(COUNTBLANK($A7:$E7)&gt;0, "", IFERROR(_xlfn.MINIFS(Log!$F:$F, Log!$A:$A, $A7, Log!$B:$B, $B7, Log!$C:$C, $C7),""))</f>
        <v>0.21171599999999999</v>
      </c>
      <c r="P7" s="6">
        <f>IF(COUNTBLANK($A7:$E7)&gt;0, "", IFERROR(_xlfn.MAXIFS(Log!$F:$F, Log!$A:$A, $A7, Log!$B:$B, $B7, Log!$C:$C, $C7),""))</f>
        <v>0.45406200000000002</v>
      </c>
      <c r="Q7" s="6">
        <f>IF(COUNTBLANK($A7:$E7)&gt;0, "", IFERROR(AVERAGEIFS(Log!$G:$G, Log!$A:$A, $A7, Log!$B:$B, $B7, Log!$C:$C, $C7),""))</f>
        <v>7.9198327777777758E-2</v>
      </c>
      <c r="R7" s="6">
        <f>IF(COUNTBLANK($A7:$E7)&gt;0, "", IFERROR(_xlfn.MINIFS(Log!$G:$G, Log!$A:$A, $A7, Log!$B:$B, $B7, Log!$C:$C, $C7),""))</f>
        <v>5.0948300000000002E-2</v>
      </c>
      <c r="S7" s="6">
        <f>IF(COUNTBLANK($A7:$E7)&gt;0, "", IFERROR(_xlfn.MAXIFS(Log!$G:$G, Log!$A:$A, $A7, Log!$B:$B, $B7, Log!$C:$C, $C7),""))</f>
        <v>0.12241299999999999</v>
      </c>
      <c r="T7" s="6">
        <f>IF($N7&lt;&gt;"", 'Daily Camera Trends'!$M$5, "")</f>
        <v>0.4150363317865432</v>
      </c>
      <c r="U7" s="6">
        <f>IF(Q7&lt;&gt;"", 'Daily Camera Trends'!$N$5, "")</f>
        <v>9.9319293039443104E-2</v>
      </c>
      <c r="V7" s="143" t="s">
        <v>49</v>
      </c>
      <c r="CP7" s="6">
        <f>IF($N7&lt;&gt;"", 'Daily Camera Trends'!$M$5, "")</f>
        <v>0.4150363317865432</v>
      </c>
      <c r="CQ7" s="6">
        <f>IF($Q7&lt;&gt;"", 'Daily Camera Trends'!$N$5, "")</f>
        <v>9.9319293039443104E-2</v>
      </c>
    </row>
    <row r="8" spans="1:97" ht="40.049999999999997" customHeight="1" x14ac:dyDescent="0.3">
      <c r="A8" s="103" t="str">
        <f t="shared" si="0"/>
        <v>Daily</v>
      </c>
      <c r="B8" s="236" t="s">
        <v>89</v>
      </c>
      <c r="C8" s="204">
        <v>46234</v>
      </c>
      <c r="D8" s="31">
        <v>24.5</v>
      </c>
      <c r="E8" s="32">
        <v>0.58333333333333337</v>
      </c>
      <c r="F8" s="75" t="s">
        <v>76</v>
      </c>
      <c r="G8" s="36">
        <v>1500</v>
      </c>
      <c r="H8" s="7">
        <f>IF(COUNTBLANK($A8:$E8)&gt;0, "", IFERROR(AVERAGEIFS(Log!$E:$E, Log!$A:$A, $A8, Log!$B:$B, $B8, Log!$C:$C, $C8),""))</f>
        <v>2650.3888888888887</v>
      </c>
      <c r="I8" s="37">
        <f t="shared" si="1"/>
        <v>1.7669259259259258</v>
      </c>
      <c r="J8" s="36">
        <f>IF(COUNTBLANK($A8:$E8)&gt;0, "", IFERROR(_xlfn.MAXIFS(Log!$E:$E, Log!$A:$A, $A8, Log!$B:$B, $B8, Log!$C:$C, $C8),""))</f>
        <v>4033</v>
      </c>
      <c r="K8" s="36">
        <f>IF(COUNTBLANK($A8:$E8)&gt;0, "", IFERROR(_xlfn.MINIFS(Log!$E:$E, Log!$A:$A, $A8, Log!$B:$B, $B8, Log!$C:$C, $C8),""))</f>
        <v>1502</v>
      </c>
      <c r="L8" s="180" t="e" cm="1" vm="1">
        <f t="array" ref="L8">_xlfn.LET(_xlpm.row_no, ROW(C8),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8" s="180" t="e" cm="1">
        <f t="array" ref="M8">_xlfn.LET(_xlpm.row_no, ROW(C8),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8" s="6">
        <f>IF(COUNTBLANK($A8:$E8)&gt;0, "", IFERROR(AVERAGEIFS(Log!$F:$F, Log!$A:$A, $A8, Log!$B:$B, $B8, Log!$C:$C, $C8),""))</f>
        <v>0.39170800000000006</v>
      </c>
      <c r="O8" s="6">
        <f>IF(COUNTBLANK($A8:$E8)&gt;0, "", IFERROR(_xlfn.MINIFS(Log!$F:$F, Log!$A:$A, $A8, Log!$B:$B, $B8, Log!$C:$C, $C8),""))</f>
        <v>0.163774</v>
      </c>
      <c r="P8" s="6">
        <f>IF(COUNTBLANK($A8:$E8)&gt;0, "", IFERROR(_xlfn.MAXIFS(Log!$F:$F, Log!$A:$A, $A8, Log!$B:$B, $B8, Log!$C:$C, $C8),""))</f>
        <v>0.61609199999999997</v>
      </c>
      <c r="Q8" s="6">
        <f>IF(COUNTBLANK($A8:$E8)&gt;0, "", IFERROR(AVERAGEIFS(Log!$G:$G, Log!$A:$A, $A8, Log!$B:$B, $B8, Log!$C:$C, $C8),""))</f>
        <v>9.6186149999999998E-2</v>
      </c>
      <c r="R8" s="6">
        <f>IF(COUNTBLANK($A8:$E8)&gt;0, "", IFERROR(_xlfn.MINIFS(Log!$G:$G, Log!$A:$A, $A8, Log!$B:$B, $B8, Log!$C:$C, $C8),""))</f>
        <v>5.20276E-2</v>
      </c>
      <c r="S8" s="6">
        <f>IF(COUNTBLANK($A8:$E8)&gt;0, "", IFERROR(_xlfn.MAXIFS(Log!$G:$G, Log!$A:$A, $A8, Log!$B:$B, $B8, Log!$C:$C, $C8),""))</f>
        <v>0.202345</v>
      </c>
      <c r="T8" s="6">
        <f>IF($N8&lt;&gt;"", 'Daily Camera Trends'!$M$5, "")</f>
        <v>0.4150363317865432</v>
      </c>
      <c r="U8" s="6">
        <f>IF(Q8&lt;&gt;"", 'Daily Camera Trends'!$N$5, "")</f>
        <v>9.9319293039443104E-2</v>
      </c>
      <c r="V8" s="143" t="s">
        <v>197</v>
      </c>
      <c r="CP8" s="6">
        <f>IF($N8&lt;&gt;"", 'Daily Camera Trends'!$M$5, "")</f>
        <v>0.4150363317865432</v>
      </c>
      <c r="CQ8" s="6">
        <f>IF($Q8&lt;&gt;"", 'Daily Camera Trends'!$N$5, "")</f>
        <v>9.9319293039443104E-2</v>
      </c>
    </row>
    <row r="9" spans="1:97" ht="40.049999999999997" customHeight="1" x14ac:dyDescent="0.3">
      <c r="A9" s="103" t="str">
        <f t="shared" si="0"/>
        <v>Daily</v>
      </c>
      <c r="B9" s="236" t="s">
        <v>89</v>
      </c>
      <c r="C9" s="204">
        <v>46235</v>
      </c>
      <c r="D9" s="31">
        <v>24</v>
      </c>
      <c r="E9" s="32">
        <v>0.74097222222222225</v>
      </c>
      <c r="F9" s="75" t="s">
        <v>76</v>
      </c>
      <c r="G9" s="36">
        <v>1500</v>
      </c>
      <c r="H9" s="7">
        <f>IF(COUNTBLANK($A9:$E9)&gt;0, "", IFERROR(AVERAGEIFS(Log!$E:$E, Log!$A:$A, $A9, Log!$B:$B, $B9, Log!$C:$C, $C9),""))</f>
        <v>2360.4444444444443</v>
      </c>
      <c r="I9" s="37">
        <f t="shared" si="1"/>
        <v>1.5736296296296295</v>
      </c>
      <c r="J9" s="36">
        <f>IF(COUNTBLANK($A9:$E9)&gt;0, "", IFERROR(_xlfn.MAXIFS(Log!$E:$E, Log!$A:$A, $A9, Log!$B:$B, $B9, Log!$C:$C, $C9),""))</f>
        <v>3742</v>
      </c>
      <c r="K9" s="36">
        <f>IF(COUNTBLANK($A9:$E9)&gt;0, "", IFERROR(_xlfn.MINIFS(Log!$E:$E, Log!$A:$A, $A9, Log!$B:$B, $B9, Log!$C:$C, $C9),""))</f>
        <v>1503</v>
      </c>
      <c r="L9" s="180" t="e" cm="1" vm="1">
        <f t="array" ref="L9">_xlfn.LET(_xlpm.row_no, ROW(C9),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9" s="180" t="e" cm="1">
        <f t="array" ref="M9">_xlfn.LET(_xlpm.row_no, ROW(C9),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9" s="6">
        <f>IF(COUNTBLANK($A9:$E9)&gt;0, "", IFERROR(AVERAGEIFS(Log!$F:$F, Log!$A:$A, $A9, Log!$B:$B, $B9, Log!$C:$C, $C9),""))</f>
        <v>0.5529641111111111</v>
      </c>
      <c r="O9" s="6">
        <f>IF(COUNTBLANK($A9:$E9)&gt;0, "", IFERROR(_xlfn.MINIFS(Log!$F:$F, Log!$A:$A, $A9, Log!$B:$B, $B9, Log!$C:$C, $C9),""))</f>
        <v>0.204627</v>
      </c>
      <c r="P9" s="6">
        <f>IF(COUNTBLANK($A9:$E9)&gt;0, "", IFERROR(_xlfn.MAXIFS(Log!$F:$F, Log!$A:$A, $A9, Log!$B:$B, $B9, Log!$C:$C, $C9),""))</f>
        <v>1.47159</v>
      </c>
      <c r="Q9" s="6">
        <f>IF(COUNTBLANK($A9:$E9)&gt;0, "", IFERROR(AVERAGEIFS(Log!$G:$G, Log!$A:$A, $A9, Log!$B:$B, $B9, Log!$C:$C, $C9),""))</f>
        <v>0.12669717222222221</v>
      </c>
      <c r="R9" s="6">
        <f>IF(COUNTBLANK($A9:$E9)&gt;0, "", IFERROR(_xlfn.MINIFS(Log!$G:$G, Log!$A:$A, $A9, Log!$B:$B, $B9, Log!$C:$C, $C9),""))</f>
        <v>5.4853300000000001E-2</v>
      </c>
      <c r="S9" s="6">
        <f>IF(COUNTBLANK($A9:$E9)&gt;0, "", IFERROR(_xlfn.MAXIFS(Log!$G:$G, Log!$A:$A, $A9, Log!$B:$B, $B9, Log!$C:$C, $C9),""))</f>
        <v>0.31046400000000002</v>
      </c>
      <c r="T9" s="6">
        <f>IF($N9&lt;&gt;"", 'Daily Camera Trends'!$M$5, "")</f>
        <v>0.4150363317865432</v>
      </c>
      <c r="U9" s="6">
        <f>IF(Q9&lt;&gt;"", 'Daily Camera Trends'!$N$5, "")</f>
        <v>9.9319293039443104E-2</v>
      </c>
      <c r="V9" s="143" t="s">
        <v>52</v>
      </c>
      <c r="CP9" s="6">
        <f>IF($N9&lt;&gt;"", 'Daily Camera Trends'!$M$5, "")</f>
        <v>0.4150363317865432</v>
      </c>
      <c r="CQ9" s="6">
        <f>IF($Q9&lt;&gt;"", 'Daily Camera Trends'!$N$5, "")</f>
        <v>9.9319293039443104E-2</v>
      </c>
    </row>
    <row r="10" spans="1:97" ht="40.049999999999997" customHeight="1" x14ac:dyDescent="0.3">
      <c r="A10" s="103" t="str">
        <f t="shared" si="0"/>
        <v>Daily</v>
      </c>
      <c r="B10" s="236" t="s">
        <v>89</v>
      </c>
      <c r="C10" s="204">
        <v>46237</v>
      </c>
      <c r="D10" s="31">
        <v>24</v>
      </c>
      <c r="E10" s="44">
        <v>0.46597222222222223</v>
      </c>
      <c r="F10" s="75" t="s">
        <v>73</v>
      </c>
      <c r="G10" s="36">
        <v>1000</v>
      </c>
      <c r="H10" s="7">
        <f>IF(COUNTBLANK($A10:$E10)&gt;0, "", IFERROR(AVERAGEIFS(Log!$E:$E, Log!$A:$A, $A10, Log!$B:$B, $B10, Log!$C:$C, $C10),""))</f>
        <v>2116.6111111111113</v>
      </c>
      <c r="I10" s="37">
        <f t="shared" si="1"/>
        <v>2.1166111111111112</v>
      </c>
      <c r="J10" s="36">
        <f>IF(COUNTBLANK($A10:$E10)&gt;0, "", IFERROR(_xlfn.MAXIFS(Log!$E:$E, Log!$A:$A, $A10, Log!$B:$B, $B10, Log!$C:$C, $C10),""))</f>
        <v>3654</v>
      </c>
      <c r="K10" s="36">
        <f>IF(COUNTBLANK($A10:$E10)&gt;0, "", IFERROR(_xlfn.MINIFS(Log!$E:$E, Log!$A:$A, $A10, Log!$B:$B, $B10, Log!$C:$C, $C10),""))</f>
        <v>1004</v>
      </c>
      <c r="L10" s="180" t="e" cm="1" vm="1">
        <f t="array" ref="L10">_xlfn.LET(_xlpm.row_no, ROW(C10),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0" s="180" t="e" cm="1">
        <f t="array" ref="M10">_xlfn.LET(_xlpm.row_no, ROW(C10),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0" s="6">
        <f>IF(COUNTBLANK($A10:$E10)&gt;0, "", IFERROR(AVERAGEIFS(Log!$F:$F, Log!$A:$A, $A10, Log!$B:$B, $B10, Log!$C:$C, $C10),""))</f>
        <v>0.37600283333333329</v>
      </c>
      <c r="O10" s="6">
        <f>IF(COUNTBLANK($A10:$E10)&gt;0, "", IFERROR(_xlfn.MINIFS(Log!$F:$F, Log!$A:$A, $A10, Log!$B:$B, $B10, Log!$C:$C, $C10),""))</f>
        <v>0.179206</v>
      </c>
      <c r="P10" s="6">
        <f>IF(COUNTBLANK($A10:$E10)&gt;0, "", IFERROR(_xlfn.MAXIFS(Log!$F:$F, Log!$A:$A, $A10, Log!$B:$B, $B10, Log!$C:$C, $C10),""))</f>
        <v>0.79732999999999998</v>
      </c>
      <c r="Q10" s="6">
        <f>IF(COUNTBLANK($A10:$E10)&gt;0, "", IFERROR(AVERAGEIFS(Log!$G:$G, Log!$A:$A, $A10, Log!$B:$B, $B10, Log!$C:$C, $C10),""))</f>
        <v>9.034650000000001E-2</v>
      </c>
      <c r="R10" s="6">
        <f>IF(COUNTBLANK($A10:$E10)&gt;0, "", IFERROR(_xlfn.MINIFS(Log!$G:$G, Log!$A:$A, $A10, Log!$B:$B, $B10, Log!$C:$C, $C10),""))</f>
        <v>4.2684399999999997E-2</v>
      </c>
      <c r="S10" s="6">
        <f>IF(COUNTBLANK($A10:$E10)&gt;0, "", IFERROR(_xlfn.MAXIFS(Log!$G:$G, Log!$A:$A, $A10, Log!$B:$B, $B10, Log!$C:$C, $C10),""))</f>
        <v>0.15168999999999999</v>
      </c>
      <c r="T10" s="6">
        <f>IF($N10&lt;&gt;"", 'Daily Camera Trends'!$M$5, "")</f>
        <v>0.4150363317865432</v>
      </c>
      <c r="U10" s="6">
        <f>IF(Q10&lt;&gt;"", 'Daily Camera Trends'!$N$5, "")</f>
        <v>9.9319293039443104E-2</v>
      </c>
      <c r="V10" s="144" t="s">
        <v>117</v>
      </c>
      <c r="CP10" s="6">
        <f>IF($N10&lt;&gt;"", 'Daily Camera Trends'!$M$5, "")</f>
        <v>0.4150363317865432</v>
      </c>
      <c r="CQ10" s="6">
        <f>IF($Q10&lt;&gt;"", 'Daily Camera Trends'!$N$5, "")</f>
        <v>9.9319293039443104E-2</v>
      </c>
    </row>
    <row r="11" spans="1:97" ht="40.049999999999997" customHeight="1" x14ac:dyDescent="0.3">
      <c r="A11" s="103" t="str">
        <f t="shared" si="0"/>
        <v>Daily</v>
      </c>
      <c r="B11" s="236" t="s">
        <v>89</v>
      </c>
      <c r="C11" s="204">
        <v>46238</v>
      </c>
      <c r="D11" s="31">
        <v>24.5</v>
      </c>
      <c r="E11" s="32">
        <v>0.52083333333333337</v>
      </c>
      <c r="F11" s="75" t="s">
        <v>73</v>
      </c>
      <c r="G11" s="36">
        <v>1000</v>
      </c>
      <c r="H11" s="7">
        <f>IF(COUNTBLANK($A11:$E11)&gt;0, "", IFERROR(AVERAGEIFS(Log!$E:$E, Log!$A:$A, $A11, Log!$B:$B, $B11, Log!$C:$C, $C11),""))</f>
        <v>2144.6111111111113</v>
      </c>
      <c r="I11" s="37">
        <f t="shared" si="1"/>
        <v>2.1446111111111112</v>
      </c>
      <c r="J11" s="36">
        <f>IF(COUNTBLANK($A11:$E11)&gt;0, "", IFERROR(_xlfn.MAXIFS(Log!$E:$E, Log!$A:$A, $A11, Log!$B:$B, $B11, Log!$C:$C, $C11),""))</f>
        <v>3274</v>
      </c>
      <c r="K11" s="36">
        <f>IF(COUNTBLANK($A11:$E11)&gt;0, "", IFERROR(_xlfn.MINIFS(Log!$E:$E, Log!$A:$A, $A11, Log!$B:$B, $B11, Log!$C:$C, $C11),""))</f>
        <v>1006</v>
      </c>
      <c r="L11" s="180" t="e" cm="1" vm="1">
        <f t="array" ref="L11">_xlfn.LET(_xlpm.row_no, ROW(C11),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1" s="180" t="e" cm="1">
        <f t="array" ref="M11">_xlfn.LET(_xlpm.row_no, ROW(C11),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1" s="6">
        <f>IF(COUNTBLANK($A11:$E11)&gt;0, "", IFERROR(AVERAGEIFS(Log!$F:$F, Log!$A:$A, $A11, Log!$B:$B, $B11, Log!$C:$C, $C11),""))</f>
        <v>0.40401527777777774</v>
      </c>
      <c r="O11" s="6">
        <f>IF(COUNTBLANK($A11:$E11)&gt;0, "", IFERROR(_xlfn.MINIFS(Log!$F:$F, Log!$A:$A, $A11, Log!$B:$B, $B11, Log!$C:$C, $C11),""))</f>
        <v>0.174374</v>
      </c>
      <c r="P11" s="6">
        <f>IF(COUNTBLANK($A11:$E11)&gt;0, "", IFERROR(_xlfn.MAXIFS(Log!$F:$F, Log!$A:$A, $A11, Log!$B:$B, $B11, Log!$C:$C, $C11),""))</f>
        <v>0.59375999999999995</v>
      </c>
      <c r="Q11" s="6">
        <f>IF(COUNTBLANK($A11:$E11)&gt;0, "", IFERROR(AVERAGEIFS(Log!$G:$G, Log!$A:$A, $A11, Log!$B:$B, $B11, Log!$C:$C, $C11),""))</f>
        <v>9.6629455555555549E-2</v>
      </c>
      <c r="R11" s="6">
        <f>IF(COUNTBLANK($A11:$E11)&gt;0, "", IFERROR(_xlfn.MINIFS(Log!$G:$G, Log!$A:$A, $A11, Log!$B:$B, $B11, Log!$C:$C, $C11),""))</f>
        <v>5.6044799999999999E-2</v>
      </c>
      <c r="S11" s="6">
        <f>IF(COUNTBLANK($A11:$E11)&gt;0, "", IFERROR(_xlfn.MAXIFS(Log!$G:$G, Log!$A:$A, $A11, Log!$B:$B, $B11, Log!$C:$C, $C11),""))</f>
        <v>0.12640199999999999</v>
      </c>
      <c r="T11" s="6">
        <f>IF($N11&lt;&gt;"", 'Daily Camera Trends'!$M$5, "")</f>
        <v>0.4150363317865432</v>
      </c>
      <c r="U11" s="6">
        <f>IF(Q11&lt;&gt;"", 'Daily Camera Trends'!$N$5, "")</f>
        <v>9.9319293039443104E-2</v>
      </c>
      <c r="V11" s="143" t="s">
        <v>78</v>
      </c>
      <c r="CP11" s="6">
        <f>IF($N11&lt;&gt;"", 'Daily Camera Trends'!$M$5, "")</f>
        <v>0.4150363317865432</v>
      </c>
      <c r="CQ11" s="6">
        <f>IF($Q11&lt;&gt;"", 'Daily Camera Trends'!$N$5, "")</f>
        <v>9.9319293039443104E-2</v>
      </c>
    </row>
    <row r="12" spans="1:97" ht="40.049999999999997" customHeight="1" x14ac:dyDescent="0.3">
      <c r="A12" s="103" t="str">
        <f t="shared" si="0"/>
        <v>Daily</v>
      </c>
      <c r="B12" s="236" t="s">
        <v>89</v>
      </c>
      <c r="C12" s="204">
        <v>46239</v>
      </c>
      <c r="D12" s="31">
        <v>25</v>
      </c>
      <c r="E12" s="32">
        <v>0.59305555555555556</v>
      </c>
      <c r="F12" s="75" t="s">
        <v>73</v>
      </c>
      <c r="G12" s="36">
        <v>1000</v>
      </c>
      <c r="H12" s="7">
        <f>IF(COUNTBLANK($A12:$E12)&gt;0, "", IFERROR(AVERAGEIFS(Log!$E:$E, Log!$A:$A, $A12, Log!$B:$B, $B12, Log!$C:$C, $C12),""))</f>
        <v>1975.4444444444443</v>
      </c>
      <c r="I12" s="37">
        <f t="shared" si="1"/>
        <v>1.9754444444444443</v>
      </c>
      <c r="J12" s="36">
        <f>IF(COUNTBLANK($A12:$E12)&gt;0, "", IFERROR(_xlfn.MAXIFS(Log!$E:$E, Log!$A:$A, $A12, Log!$B:$B, $B12, Log!$C:$C, $C12),""))</f>
        <v>3247</v>
      </c>
      <c r="K12" s="36">
        <f>IF(COUNTBLANK($A12:$E12)&gt;0, "", IFERROR(_xlfn.MINIFS(Log!$E:$E, Log!$A:$A, $A12, Log!$B:$B, $B12, Log!$C:$C, $C12),""))</f>
        <v>1003</v>
      </c>
      <c r="L12" s="180" t="e" cm="1" vm="1">
        <f t="array" ref="L12">_xlfn.LET(_xlpm.row_no, ROW(C12),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2" s="180" t="e" cm="1">
        <f t="array" ref="M12">_xlfn.LET(_xlpm.row_no, ROW(C12),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2" s="6">
        <f>IF(COUNTBLANK($A12:$E12)&gt;0, "", IFERROR(AVERAGEIFS(Log!$F:$F, Log!$A:$A, $A12, Log!$B:$B, $B12, Log!$C:$C, $C12),""))</f>
        <v>0.37193638888888891</v>
      </c>
      <c r="O12" s="6">
        <f>IF(COUNTBLANK($A12:$E12)&gt;0, "", IFERROR(_xlfn.MINIFS(Log!$F:$F, Log!$A:$A, $A12, Log!$B:$B, $B12, Log!$C:$C, $C12),""))</f>
        <v>0.16952999999999999</v>
      </c>
      <c r="P12" s="6">
        <f>IF(COUNTBLANK($A12:$E12)&gt;0, "", IFERROR(_xlfn.MAXIFS(Log!$F:$F, Log!$A:$A, $A12, Log!$B:$B, $B12, Log!$C:$C, $C12),""))</f>
        <v>0.58760599999999996</v>
      </c>
      <c r="Q12" s="6">
        <f>IF(COUNTBLANK($A12:$E12)&gt;0, "", IFERROR(AVERAGEIFS(Log!$G:$G, Log!$A:$A, $A12, Log!$B:$B, $B12, Log!$C:$C, $C12),""))</f>
        <v>8.8825327777777782E-2</v>
      </c>
      <c r="R12" s="6">
        <f>IF(COUNTBLANK($A12:$E12)&gt;0, "", IFERROR(_xlfn.MINIFS(Log!$G:$G, Log!$A:$A, $A12, Log!$B:$B, $B12, Log!$C:$C, $C12),""))</f>
        <v>5.2189399999999997E-2</v>
      </c>
      <c r="S12" s="6">
        <f>IF(COUNTBLANK($A12:$E12)&gt;0, "", IFERROR(_xlfn.MAXIFS(Log!$G:$G, Log!$A:$A, $A12, Log!$B:$B, $B12, Log!$C:$C, $C12),""))</f>
        <v>0.11620800000000001</v>
      </c>
      <c r="T12" s="6">
        <f>IF($N12&lt;&gt;"", 'Daily Camera Trends'!$M$5, "")</f>
        <v>0.4150363317865432</v>
      </c>
      <c r="U12" s="6">
        <f>IF(Q12&lt;&gt;"", 'Daily Camera Trends'!$N$5, "")</f>
        <v>9.9319293039443104E-2</v>
      </c>
      <c r="V12" s="143" t="s">
        <v>115</v>
      </c>
      <c r="CP12" s="6">
        <f>IF($N12&lt;&gt;"", 'Daily Camera Trends'!$M$5, "")</f>
        <v>0.4150363317865432</v>
      </c>
      <c r="CQ12" s="6">
        <f>IF($Q12&lt;&gt;"", 'Daily Camera Trends'!$N$5, "")</f>
        <v>9.9319293039443104E-2</v>
      </c>
    </row>
    <row r="13" spans="1:97" ht="40.049999999999997" customHeight="1" x14ac:dyDescent="0.3">
      <c r="A13" s="103" t="str">
        <f t="shared" si="0"/>
        <v>Daily</v>
      </c>
      <c r="B13" s="236" t="s">
        <v>89</v>
      </c>
      <c r="C13" s="204">
        <v>46240</v>
      </c>
      <c r="D13" s="31">
        <v>25</v>
      </c>
      <c r="E13" s="32">
        <v>0.47569444444444442</v>
      </c>
      <c r="F13" s="75" t="s">
        <v>73</v>
      </c>
      <c r="G13" s="36">
        <v>1000</v>
      </c>
      <c r="H13" s="7">
        <f>IF(COUNTBLANK($A13:$E13)&gt;0, "", IFERROR(AVERAGEIFS(Log!$E:$E, Log!$A:$A, $A13, Log!$B:$B, $B13, Log!$C:$C, $C13),""))</f>
        <v>2069.9444444444443</v>
      </c>
      <c r="I13" s="37">
        <f t="shared" si="1"/>
        <v>2.0699444444444444</v>
      </c>
      <c r="J13" s="36">
        <f>IF(COUNTBLANK($A13:$E13)&gt;0, "", IFERROR(_xlfn.MAXIFS(Log!$E:$E, Log!$A:$A, $A13, Log!$B:$B, $B13, Log!$C:$C, $C13),""))</f>
        <v>3135</v>
      </c>
      <c r="K13" s="36">
        <f>IF(COUNTBLANK($A13:$E13)&gt;0, "", IFERROR(_xlfn.MINIFS(Log!$E:$E, Log!$A:$A, $A13, Log!$B:$B, $B13, Log!$C:$C, $C13),""))</f>
        <v>1002</v>
      </c>
      <c r="L13" s="180" t="e" cm="1" vm="1">
        <f t="array" ref="L13">_xlfn.LET(_xlpm.row_no, ROW(C13),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3" s="180" t="e" cm="1">
        <f t="array" ref="M13">_xlfn.LET(_xlpm.row_no, ROW(C13),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3" s="6">
        <f>IF(COUNTBLANK($A13:$E13)&gt;0, "", IFERROR(AVERAGEIFS(Log!$F:$F, Log!$A:$A, $A13, Log!$B:$B, $B13, Log!$C:$C, $C13),""))</f>
        <v>0.37121238888888891</v>
      </c>
      <c r="O13" s="6">
        <f>IF(COUNTBLANK($A13:$E13)&gt;0, "", IFERROR(_xlfn.MINIFS(Log!$F:$F, Log!$A:$A, $A13, Log!$B:$B, $B13, Log!$C:$C, $C13),""))</f>
        <v>0.20263600000000001</v>
      </c>
      <c r="P13" s="6">
        <f>IF(COUNTBLANK($A13:$E13)&gt;0, "", IFERROR(_xlfn.MAXIFS(Log!$F:$F, Log!$A:$A, $A13, Log!$B:$B, $B13, Log!$C:$C, $C13),""))</f>
        <v>0.52784600000000004</v>
      </c>
      <c r="Q13" s="6">
        <f>IF(COUNTBLANK($A13:$E13)&gt;0, "", IFERROR(AVERAGEIFS(Log!$G:$G, Log!$A:$A, $A13, Log!$B:$B, $B13, Log!$C:$C, $C13),""))</f>
        <v>8.8747716666666671E-2</v>
      </c>
      <c r="R13" s="6">
        <f>IF(COUNTBLANK($A13:$E13)&gt;0, "", IFERROR(_xlfn.MINIFS(Log!$G:$G, Log!$A:$A, $A13, Log!$B:$B, $B13, Log!$C:$C, $C13),""))</f>
        <v>4.8736000000000002E-2</v>
      </c>
      <c r="S13" s="6">
        <f>IF(COUNTBLANK($A13:$E13)&gt;0, "", IFERROR(_xlfn.MAXIFS(Log!$G:$G, Log!$A:$A, $A13, Log!$B:$B, $B13, Log!$C:$C, $C13),""))</f>
        <v>0.10940999999999999</v>
      </c>
      <c r="T13" s="6">
        <f>IF($N13&lt;&gt;"", 'Daily Camera Trends'!$M$5, "")</f>
        <v>0.4150363317865432</v>
      </c>
      <c r="U13" s="6">
        <f>IF(Q13&lt;&gt;"", 'Daily Camera Trends'!$N$5, "")</f>
        <v>9.9319293039443104E-2</v>
      </c>
      <c r="V13" s="143" t="s">
        <v>114</v>
      </c>
      <c r="CP13" s="6">
        <f>IF($N13&lt;&gt;"", 'Daily Camera Trends'!$M$5, "")</f>
        <v>0.4150363317865432</v>
      </c>
      <c r="CQ13" s="6">
        <f>IF($Q13&lt;&gt;"", 'Daily Camera Trends'!$N$5, "")</f>
        <v>9.9319293039443104E-2</v>
      </c>
    </row>
    <row r="14" spans="1:97" ht="40.049999999999997" customHeight="1" x14ac:dyDescent="0.3">
      <c r="A14" s="103" t="str">
        <f t="shared" si="0"/>
        <v>Daily</v>
      </c>
      <c r="B14" s="236" t="s">
        <v>89</v>
      </c>
      <c r="C14" s="204">
        <v>46242</v>
      </c>
      <c r="D14" s="31">
        <v>24.5</v>
      </c>
      <c r="E14" s="32">
        <v>0.62361111111111112</v>
      </c>
      <c r="F14" s="75" t="s">
        <v>73</v>
      </c>
      <c r="G14" s="36">
        <v>1000</v>
      </c>
      <c r="H14" s="7">
        <f>IF(COUNTBLANK($A14:$E14)&gt;0, "", IFERROR(AVERAGEIFS(Log!$E:$E, Log!$A:$A, $A14, Log!$B:$B, $B14, Log!$C:$C, $C14),""))</f>
        <v>1881.4444444444443</v>
      </c>
      <c r="I14" s="37">
        <f t="shared" si="1"/>
        <v>1.8814444444444443</v>
      </c>
      <c r="J14" s="36">
        <f>IF(COUNTBLANK($A14:$E14)&gt;0, "", IFERROR(_xlfn.MAXIFS(Log!$E:$E, Log!$A:$A, $A14, Log!$B:$B, $B14, Log!$C:$C, $C14),""))</f>
        <v>2984</v>
      </c>
      <c r="K14" s="36">
        <f>IF(COUNTBLANK($A14:$E14)&gt;0, "", IFERROR(_xlfn.MINIFS(Log!$E:$E, Log!$A:$A, $A14, Log!$B:$B, $B14, Log!$C:$C, $C14),""))</f>
        <v>1003</v>
      </c>
      <c r="L14" s="180" t="e" cm="1" vm="1">
        <f t="array" ref="L14">_xlfn.LET(_xlpm.row_no, ROW(C14),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4" s="180" t="e" cm="1">
        <f t="array" ref="M14">_xlfn.LET(_xlpm.row_no, ROW(C14),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4" s="6">
        <f>IF(COUNTBLANK($A14:$E14)&gt;0, "", IFERROR(AVERAGEIFS(Log!$F:$F, Log!$A:$A, $A14, Log!$B:$B, $B14, Log!$C:$C, $C14),""))</f>
        <v>0.38615661111111116</v>
      </c>
      <c r="O14" s="6">
        <f>IF(COUNTBLANK($A14:$E14)&gt;0, "", IFERROR(_xlfn.MINIFS(Log!$F:$F, Log!$A:$A, $A14, Log!$B:$B, $B14, Log!$C:$C, $C14),""))</f>
        <v>0.17077700000000001</v>
      </c>
      <c r="P14" s="6">
        <f>IF(COUNTBLANK($A14:$E14)&gt;0, "", IFERROR(_xlfn.MAXIFS(Log!$F:$F, Log!$A:$A, $A14, Log!$B:$B, $B14, Log!$C:$C, $C14),""))</f>
        <v>0.54024799999999995</v>
      </c>
      <c r="Q14" s="6">
        <f>IF(COUNTBLANK($A14:$E14)&gt;0, "", IFERROR(AVERAGEIFS(Log!$G:$G, Log!$A:$A, $A14, Log!$B:$B, $B14, Log!$C:$C, $C14),""))</f>
        <v>9.2878877777777771E-2</v>
      </c>
      <c r="R14" s="6">
        <f>IF(COUNTBLANK($A14:$E14)&gt;0, "", IFERROR(_xlfn.MINIFS(Log!$G:$G, Log!$A:$A, $A14, Log!$B:$B, $B14, Log!$C:$C, $C14),""))</f>
        <v>4.3160200000000003E-2</v>
      </c>
      <c r="S14" s="6">
        <f>IF(COUNTBLANK($A14:$E14)&gt;0, "", IFERROR(_xlfn.MAXIFS(Log!$G:$G, Log!$A:$A, $A14, Log!$B:$B, $B14, Log!$C:$C, $C14),""))</f>
        <v>0.13869799999999999</v>
      </c>
      <c r="T14" s="6">
        <f>IF($N14&lt;&gt;"", 'Daily Camera Trends'!$M$5, "")</f>
        <v>0.4150363317865432</v>
      </c>
      <c r="U14" s="6">
        <f>IF(Q14&lt;&gt;"", 'Daily Camera Trends'!$N$5, "")</f>
        <v>9.9319293039443104E-2</v>
      </c>
      <c r="V14" s="143" t="s">
        <v>130</v>
      </c>
      <c r="AG14" s="174"/>
      <c r="CP14" s="6">
        <f>IF($N14&lt;&gt;"", 'Daily Camera Trends'!$M$5, "")</f>
        <v>0.4150363317865432</v>
      </c>
      <c r="CQ14" s="6">
        <f>IF($Q14&lt;&gt;"", 'Daily Camera Trends'!$N$5, "")</f>
        <v>9.9319293039443104E-2</v>
      </c>
    </row>
    <row r="15" spans="1:97" ht="40.049999999999997" customHeight="1" x14ac:dyDescent="0.3">
      <c r="A15" s="103" t="str">
        <f t="shared" si="0"/>
        <v>Daily</v>
      </c>
      <c r="B15" s="236" t="s">
        <v>89</v>
      </c>
      <c r="C15" s="204">
        <v>46244</v>
      </c>
      <c r="D15" s="31">
        <v>24</v>
      </c>
      <c r="E15" s="32">
        <v>0.52777777777777779</v>
      </c>
      <c r="F15" s="75" t="s">
        <v>157</v>
      </c>
      <c r="G15" s="36">
        <v>1000</v>
      </c>
      <c r="H15" s="7">
        <f>IF(COUNTBLANK($A15:$E15)&gt;0, "", IFERROR(AVERAGEIFS(Log!$E:$E, Log!$A:$A, $A15, Log!$B:$B, $B15, Log!$C:$C, $C15),""))</f>
        <v>1693.3888888888889</v>
      </c>
      <c r="I15" s="37">
        <f t="shared" si="1"/>
        <v>1.6933888888888888</v>
      </c>
      <c r="J15" s="36">
        <f>IF(COUNTBLANK($A15:$E15)&gt;0, "", IFERROR(_xlfn.MAXIFS(Log!$E:$E, Log!$A:$A, $A15, Log!$B:$B, $B15, Log!$C:$C, $C15),""))</f>
        <v>2879</v>
      </c>
      <c r="K15" s="36">
        <f>IF(COUNTBLANK($A15:$E15)&gt;0, "", IFERROR(_xlfn.MINIFS(Log!$E:$E, Log!$A:$A, $A15, Log!$B:$B, $B15, Log!$C:$C, $C15),""))</f>
        <v>1005</v>
      </c>
      <c r="L15" s="180" t="e" cm="1" vm="1">
        <f t="array" ref="L15">_xlfn.LET(_xlpm.row_no, ROW(C15),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5" s="180" t="e" cm="1">
        <f t="array" ref="M15">_xlfn.LET(_xlpm.row_no, ROW(C15),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5" s="6">
        <f>IF(COUNTBLANK($A15:$E15)&gt;0, "", IFERROR(AVERAGEIFS(Log!$F:$F, Log!$A:$A, $A15, Log!$B:$B, $B15, Log!$C:$C, $C15),""))</f>
        <v>0.4884073888888889</v>
      </c>
      <c r="O15" s="6">
        <f>IF(COUNTBLANK($A15:$E15)&gt;0, "", IFERROR(_xlfn.MINIFS(Log!$F:$F, Log!$A:$A, $A15, Log!$B:$B, $B15, Log!$C:$C, $C15),""))</f>
        <v>0.19611799999999999</v>
      </c>
      <c r="P15" s="6">
        <f>IF(COUNTBLANK($A15:$E15)&gt;0, "", IFERROR(_xlfn.MAXIFS(Log!$F:$F, Log!$A:$A, $A15, Log!$B:$B, $B15, Log!$C:$C, $C15),""))</f>
        <v>0.68407899999999999</v>
      </c>
      <c r="Q15" s="6">
        <f>IF(COUNTBLANK($A15:$E15)&gt;0, "", IFERROR(AVERAGEIFS(Log!$G:$G, Log!$A:$A, $A15, Log!$B:$B, $B15, Log!$C:$C, $C15),""))</f>
        <v>0.11783660555555556</v>
      </c>
      <c r="R15" s="6">
        <f>IF(COUNTBLANK($A15:$E15)&gt;0, "", IFERROR(_xlfn.MINIFS(Log!$G:$G, Log!$A:$A, $A15, Log!$B:$B, $B15, Log!$C:$C, $C15),""))</f>
        <v>4.7153599999999997E-2</v>
      </c>
      <c r="S15" s="6">
        <f>IF(COUNTBLANK($A15:$E15)&gt;0, "", IFERROR(_xlfn.MAXIFS(Log!$G:$G, Log!$A:$A, $A15, Log!$B:$B, $B15, Log!$C:$C, $C15),""))</f>
        <v>0.14813200000000001</v>
      </c>
      <c r="T15" s="6">
        <f>IF($N15&lt;&gt;"", 'Daily Camera Trends'!$M$5, "")</f>
        <v>0.4150363317865432</v>
      </c>
      <c r="U15" s="6">
        <f>IF(Q15&lt;&gt;"", 'Daily Camera Trends'!$N$5, "")</f>
        <v>9.9319293039443104E-2</v>
      </c>
      <c r="AG15" s="174"/>
      <c r="CP15" s="6">
        <f>IF($N15&lt;&gt;"", 'Daily Camera Trends'!$M$5, "")</f>
        <v>0.4150363317865432</v>
      </c>
      <c r="CQ15" s="6">
        <f>IF($Q15&lt;&gt;"", 'Daily Camera Trends'!$N$5, "")</f>
        <v>9.9319293039443104E-2</v>
      </c>
    </row>
    <row r="16" spans="1:97" ht="40.049999999999997" customHeight="1" x14ac:dyDescent="0.3">
      <c r="A16" s="103" t="str">
        <f t="shared" si="0"/>
        <v>Daily</v>
      </c>
      <c r="B16" s="236" t="s">
        <v>89</v>
      </c>
      <c r="C16" s="204">
        <v>46245</v>
      </c>
      <c r="D16" s="31">
        <v>24</v>
      </c>
      <c r="E16" s="32">
        <v>0.42777777777777776</v>
      </c>
      <c r="F16" s="75" t="s">
        <v>158</v>
      </c>
      <c r="G16" s="36">
        <v>1000</v>
      </c>
      <c r="H16" s="7">
        <f>IF(COUNTBLANK($A16:$E16)&gt;0, "", IFERROR(AVERAGEIFS(Log!$E:$E, Log!$A:$A, $A16, Log!$B:$B, $B16, Log!$C:$C, $C16),""))</f>
        <v>1382.3888888888889</v>
      </c>
      <c r="I16" s="37">
        <f t="shared" si="1"/>
        <v>1.3823888888888889</v>
      </c>
      <c r="J16" s="36">
        <f>IF(COUNTBLANK($A16:$E16)&gt;0, "", IFERROR(_xlfn.MAXIFS(Log!$E:$E, Log!$A:$A, $A16, Log!$B:$B, $B16, Log!$C:$C, $C16),""))</f>
        <v>2370</v>
      </c>
      <c r="K16" s="36">
        <f>IF(COUNTBLANK($A16:$E16)&gt;0, "", IFERROR(_xlfn.MINIFS(Log!$E:$E, Log!$A:$A, $A16, Log!$B:$B, $B16, Log!$C:$C, $C16),""))</f>
        <v>1002</v>
      </c>
      <c r="L16" s="180" t="e" cm="1" vm="1">
        <f t="array" ref="L16">_xlfn.LET(_xlpm.row_no, ROW(C16),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6" s="180" t="e" cm="1">
        <f t="array" ref="M16">_xlfn.LET(_xlpm.row_no, ROW(C16),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6" s="6">
        <f>IF(COUNTBLANK($A16:$E16)&gt;0, "", IFERROR(AVERAGEIFS(Log!$F:$F, Log!$A:$A, $A16, Log!$B:$B, $B16, Log!$C:$C, $C16),""))</f>
        <v>0.29684038888888886</v>
      </c>
      <c r="O16" s="6">
        <f>IF(COUNTBLANK($A16:$E16)&gt;0, "", IFERROR(_xlfn.MINIFS(Log!$F:$F, Log!$A:$A, $A16, Log!$B:$B, $B16, Log!$C:$C, $C16),""))</f>
        <v>0.19009200000000001</v>
      </c>
      <c r="P16" s="6">
        <f>IF(COUNTBLANK($A16:$E16)&gt;0, "", IFERROR(_xlfn.MAXIFS(Log!$F:$F, Log!$A:$A, $A16, Log!$B:$B, $B16, Log!$C:$C, $C16),""))</f>
        <v>0.55846799999999996</v>
      </c>
      <c r="Q16" s="6">
        <f>IF(COUNTBLANK($A16:$E16)&gt;0, "", IFERROR(AVERAGEIFS(Log!$G:$G, Log!$A:$A, $A16, Log!$B:$B, $B16, Log!$C:$C, $C16),""))</f>
        <v>7.1251700000000001E-2</v>
      </c>
      <c r="R16" s="6">
        <f>IF(COUNTBLANK($A16:$E16)&gt;0, "", IFERROR(_xlfn.MINIFS(Log!$G:$G, Log!$A:$A, $A16, Log!$B:$B, $B16, Log!$C:$C, $C16),""))</f>
        <v>4.7409600000000003E-2</v>
      </c>
      <c r="S16" s="6">
        <f>IF(COUNTBLANK($A16:$E16)&gt;0, "", IFERROR(_xlfn.MAXIFS(Log!$G:$G, Log!$A:$A, $A16, Log!$B:$B, $B16, Log!$C:$C, $C16),""))</f>
        <v>0.110303</v>
      </c>
      <c r="T16" s="6">
        <f>IF($N16&lt;&gt;"", 'Daily Camera Trends'!$M$5, "")</f>
        <v>0.4150363317865432</v>
      </c>
      <c r="U16" s="6">
        <f>IF(Q16&lt;&gt;"", 'Daily Camera Trends'!$N$5, "")</f>
        <v>9.9319293039443104E-2</v>
      </c>
      <c r="V16" s="145" t="s">
        <v>170</v>
      </c>
      <c r="CP16" s="6">
        <f>IF($N16&lt;&gt;"", 'Daily Camera Trends'!$M$5, "")</f>
        <v>0.4150363317865432</v>
      </c>
      <c r="CQ16" s="6">
        <f>IF($Q16&lt;&gt;"", 'Daily Camera Trends'!$N$5, "")</f>
        <v>9.9319293039443104E-2</v>
      </c>
    </row>
    <row r="17" spans="1:95" ht="40.049999999999997" customHeight="1" x14ac:dyDescent="0.3">
      <c r="A17" s="103" t="str">
        <f t="shared" si="0"/>
        <v>Daily</v>
      </c>
      <c r="B17" s="236" t="s">
        <v>89</v>
      </c>
      <c r="C17" s="204">
        <v>46246</v>
      </c>
      <c r="D17" s="31">
        <v>25</v>
      </c>
      <c r="E17" s="32">
        <v>0.61597222222222225</v>
      </c>
      <c r="F17" s="75" t="s">
        <v>161</v>
      </c>
      <c r="G17" s="36">
        <v>1000</v>
      </c>
      <c r="H17" s="7">
        <f>IF(COUNTBLANK($A17:$E17)&gt;0, "", IFERROR(AVERAGEIFS(Log!$E:$E, Log!$A:$A, $A17, Log!$B:$B, $B17, Log!$C:$C, $C17),""))</f>
        <v>1707.3888888888889</v>
      </c>
      <c r="I17" s="37">
        <f t="shared" si="1"/>
        <v>1.7073888888888888</v>
      </c>
      <c r="J17" s="36">
        <f>IF(COUNTBLANK($A17:$E17)&gt;0, "", IFERROR(_xlfn.MAXIFS(Log!$E:$E, Log!$A:$A, $A17, Log!$B:$B, $B17, Log!$C:$C, $C17),""))</f>
        <v>3124</v>
      </c>
      <c r="K17" s="36">
        <f>IF(COUNTBLANK($A17:$E17)&gt;0, "", IFERROR(_xlfn.MINIFS(Log!$E:$E, Log!$A:$A, $A17, Log!$B:$B, $B17, Log!$C:$C, $C17),""))</f>
        <v>1002</v>
      </c>
      <c r="L17" s="180" t="e" cm="1" vm="1">
        <f t="array" ref="L17">_xlfn.LET(_xlpm.row_no, ROW(C17),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7" s="180" t="e" cm="1">
        <f t="array" ref="M17">_xlfn.LET(_xlpm.row_no, ROW(C17),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7" s="6">
        <f>IF(COUNTBLANK($A17:$E17)&gt;0, "", IFERROR(AVERAGEIFS(Log!$F:$F, Log!$A:$A, $A17, Log!$B:$B, $B17, Log!$C:$C, $C17),""))</f>
        <v>0.58543183333333326</v>
      </c>
      <c r="O17" s="6">
        <f>IF(COUNTBLANK($A17:$E17)&gt;0, "", IFERROR(_xlfn.MINIFS(Log!$F:$F, Log!$A:$A, $A17, Log!$B:$B, $B17, Log!$C:$C, $C17),""))</f>
        <v>0.13086600000000001</v>
      </c>
      <c r="P17" s="6">
        <f>IF(COUNTBLANK($A17:$E17)&gt;0, "", IFERROR(_xlfn.MAXIFS(Log!$F:$F, Log!$A:$A, $A17, Log!$B:$B, $B17, Log!$C:$C, $C17),""))</f>
        <v>1.3784799999999999</v>
      </c>
      <c r="Q17" s="6">
        <f>IF(COUNTBLANK($A17:$E17)&gt;0, "", IFERROR(AVERAGEIFS(Log!$G:$G, Log!$A:$A, $A17, Log!$B:$B, $B17, Log!$C:$C, $C17),""))</f>
        <v>0.13689469444444444</v>
      </c>
      <c r="R17" s="6">
        <f>IF(COUNTBLANK($A17:$E17)&gt;0, "", IFERROR(_xlfn.MINIFS(Log!$G:$G, Log!$A:$A, $A17, Log!$B:$B, $B17, Log!$C:$C, $C17),""))</f>
        <v>4.2027099999999998E-2</v>
      </c>
      <c r="S17" s="6">
        <f>IF(COUNTBLANK($A17:$E17)&gt;0, "", IFERROR(_xlfn.MAXIFS(Log!$G:$G, Log!$A:$A, $A17, Log!$B:$B, $B17, Log!$C:$C, $C17),""))</f>
        <v>0.28981800000000002</v>
      </c>
      <c r="T17" s="6">
        <f>IF($N17&lt;&gt;"", 'Daily Camera Trends'!$M$5, "")</f>
        <v>0.4150363317865432</v>
      </c>
      <c r="U17" s="6">
        <f>IF(Q17&lt;&gt;"", 'Daily Camera Trends'!$N$5, "")</f>
        <v>9.9319293039443104E-2</v>
      </c>
      <c r="V17" s="145" t="s">
        <v>223</v>
      </c>
      <c r="CP17" s="6">
        <f>IF($N17&lt;&gt;"", 'Daily Camera Trends'!$M$5, "")</f>
        <v>0.4150363317865432</v>
      </c>
      <c r="CQ17" s="6">
        <f>IF($Q17&lt;&gt;"", 'Daily Camera Trends'!$N$5, "")</f>
        <v>9.9319293039443104E-2</v>
      </c>
    </row>
    <row r="18" spans="1:95" ht="40.049999999999997" customHeight="1" x14ac:dyDescent="0.3">
      <c r="A18" s="103" t="str">
        <f t="shared" si="0"/>
        <v>Daily</v>
      </c>
      <c r="B18" s="236" t="s">
        <v>89</v>
      </c>
      <c r="C18" s="204">
        <v>46247</v>
      </c>
      <c r="D18" s="31">
        <v>25.5</v>
      </c>
      <c r="E18" s="32">
        <v>0.48402777777777778</v>
      </c>
      <c r="F18" s="75" t="s">
        <v>160</v>
      </c>
      <c r="G18" s="36">
        <v>1000</v>
      </c>
      <c r="H18" s="7">
        <f>IF(COUNTBLANK($A18:$E18)&gt;0, "", IFERROR(AVERAGEIFS(Log!$E:$E, Log!$A:$A, $A18, Log!$B:$B, $B18, Log!$C:$C, $C18),""))</f>
        <v>1514.6666666666667</v>
      </c>
      <c r="I18" s="37">
        <f t="shared" si="1"/>
        <v>1.5146666666666668</v>
      </c>
      <c r="J18" s="36">
        <f>IF(COUNTBLANK($A18:$E18)&gt;0, "", IFERROR(_xlfn.MAXIFS(Log!$E:$E, Log!$A:$A, $A18, Log!$B:$B, $B18, Log!$C:$C, $C18),""))</f>
        <v>2428</v>
      </c>
      <c r="K18" s="36">
        <f>IF(COUNTBLANK($A18:$E18)&gt;0, "", IFERROR(_xlfn.MINIFS(Log!$E:$E, Log!$A:$A, $A18, Log!$B:$B, $B18, Log!$C:$C, $C18),""))</f>
        <v>1004</v>
      </c>
      <c r="L18" s="180" t="e" cm="1" vm="1">
        <f t="array" ref="L18">_xlfn.LET(_xlpm.row_no, ROW(C18),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8" s="180" t="e" cm="1">
        <f t="array" ref="M18">_xlfn.LET(_xlpm.row_no, ROW(C18),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8" s="6">
        <f>IF(COUNTBLANK($A18:$E18)&gt;0, "", IFERROR(AVERAGEIFS(Log!$F:$F, Log!$A:$A, $A18, Log!$B:$B, $B18, Log!$C:$C, $C18),""))</f>
        <v>0.3348787222222222</v>
      </c>
      <c r="O18" s="6">
        <f>IF(COUNTBLANK($A18:$E18)&gt;0, "", IFERROR(_xlfn.MINIFS(Log!$F:$F, Log!$A:$A, $A18, Log!$B:$B, $B18, Log!$C:$C, $C18),""))</f>
        <v>0.13841200000000001</v>
      </c>
      <c r="P18" s="6">
        <f>IF(COUNTBLANK($A18:$E18)&gt;0, "", IFERROR(_xlfn.MAXIFS(Log!$F:$F, Log!$A:$A, $A18, Log!$B:$B, $B18, Log!$C:$C, $C18),""))</f>
        <v>0.53639599999999998</v>
      </c>
      <c r="Q18" s="6">
        <f>IF(COUNTBLANK($A18:$E18)&gt;0, "", IFERROR(AVERAGEIFS(Log!$G:$G, Log!$A:$A, $A18, Log!$B:$B, $B18, Log!$C:$C, $C18),""))</f>
        <v>8.0860061111111103E-2</v>
      </c>
      <c r="R18" s="6">
        <f>IF(COUNTBLANK($A18:$E18)&gt;0, "", IFERROR(_xlfn.MINIFS(Log!$G:$G, Log!$A:$A, $A18, Log!$B:$B, $B18, Log!$C:$C, $C18),""))</f>
        <v>4.45136E-2</v>
      </c>
      <c r="S18" s="6">
        <f>IF(COUNTBLANK($A18:$E18)&gt;0, "", IFERROR(_xlfn.MAXIFS(Log!$G:$G, Log!$A:$A, $A18, Log!$B:$B, $B18, Log!$C:$C, $C18),""))</f>
        <v>0.12531</v>
      </c>
      <c r="T18" s="6">
        <f>IF($N18&lt;&gt;"", 'Daily Camera Trends'!$M$5, "")</f>
        <v>0.4150363317865432</v>
      </c>
      <c r="U18" s="6">
        <f>IF(Q18&lt;&gt;"", 'Daily Camera Trends'!$N$5, "")</f>
        <v>9.9319293039443104E-2</v>
      </c>
      <c r="V18" s="145" t="s">
        <v>224</v>
      </c>
      <c r="Y18" s="40"/>
      <c r="CP18" s="6">
        <f>IF($N18&lt;&gt;"", 'Daily Camera Trends'!$M$5, "")</f>
        <v>0.4150363317865432</v>
      </c>
      <c r="CQ18" s="6">
        <f>IF($Q18&lt;&gt;"", 'Daily Camera Trends'!$N$5, "")</f>
        <v>9.9319293039443104E-2</v>
      </c>
    </row>
    <row r="19" spans="1:95" ht="40.049999999999997" customHeight="1" x14ac:dyDescent="0.3">
      <c r="A19" s="103" t="str">
        <f t="shared" si="0"/>
        <v>Daily</v>
      </c>
      <c r="B19" s="236" t="s">
        <v>89</v>
      </c>
      <c r="C19" s="204">
        <v>46248</v>
      </c>
      <c r="D19" s="31">
        <v>25.5</v>
      </c>
      <c r="E19" s="32">
        <v>0.48055555555555557</v>
      </c>
      <c r="F19" s="75" t="s">
        <v>245</v>
      </c>
      <c r="G19" s="36">
        <v>1000</v>
      </c>
      <c r="H19" s="7">
        <f>IF(COUNTBLANK($A19:$E19)&gt;0, "", IFERROR(AVERAGEIFS(Log!$E:$E, Log!$A:$A, $A19, Log!$B:$B, $B19, Log!$C:$C, $C19),""))</f>
        <v>1491.5</v>
      </c>
      <c r="I19" s="37">
        <f t="shared" si="1"/>
        <v>1.4915</v>
      </c>
      <c r="J19" s="36">
        <f>IF(COUNTBLANK($A19:$E19)&gt;0, "", IFERROR(_xlfn.MAXIFS(Log!$E:$E, Log!$A:$A, $A19, Log!$B:$B, $B19, Log!$C:$C, $C19),""))</f>
        <v>2288</v>
      </c>
      <c r="K19" s="36">
        <f>IF(COUNTBLANK($A19:$E19)&gt;0, "", IFERROR(_xlfn.MINIFS(Log!$E:$E, Log!$A:$A, $A19, Log!$B:$B, $B19, Log!$C:$C, $C19),""))</f>
        <v>1002</v>
      </c>
      <c r="L19" s="180" t="e" cm="1" vm="1">
        <f t="array" ref="L19">_xlfn.LET(_xlpm.row_no, ROW(C19),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19" s="180" t="e" cm="1">
        <f t="array" ref="M19">_xlfn.LET(_xlpm.row_no, ROW(C19),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19" s="6">
        <f>IF(COUNTBLANK($A19:$E19)&gt;0, "", IFERROR(AVERAGEIFS(Log!$F:$F, Log!$A:$A, $A19, Log!$B:$B, $B19, Log!$C:$C, $C19),""))</f>
        <v>0.39099744444444445</v>
      </c>
      <c r="O19" s="6">
        <f>IF(COUNTBLANK($A19:$E19)&gt;0, "", IFERROR(_xlfn.MINIFS(Log!$F:$F, Log!$A:$A, $A19, Log!$B:$B, $B19, Log!$C:$C, $C19),""))</f>
        <v>0.26705099999999998</v>
      </c>
      <c r="P19" s="6">
        <f>IF(COUNTBLANK($A19:$E19)&gt;0, "", IFERROR(_xlfn.MAXIFS(Log!$F:$F, Log!$A:$A, $A19, Log!$B:$B, $B19, Log!$C:$C, $C19),""))</f>
        <v>0.50386299999999995</v>
      </c>
      <c r="Q19" s="6">
        <f>IF(COUNTBLANK($A19:$E19)&gt;0, "", IFERROR(AVERAGEIFS(Log!$G:$G, Log!$A:$A, $A19, Log!$B:$B, $B19, Log!$C:$C, $C19),""))</f>
        <v>9.5190122222222215E-2</v>
      </c>
      <c r="R19" s="6">
        <f>IF(COUNTBLANK($A19:$E19)&gt;0, "", IFERROR(_xlfn.MINIFS(Log!$G:$G, Log!$A:$A, $A19, Log!$B:$B, $B19, Log!$C:$C, $C19),""))</f>
        <v>6.8542400000000003E-2</v>
      </c>
      <c r="S19" s="6">
        <f>IF(COUNTBLANK($A19:$E19)&gt;0, "", IFERROR(_xlfn.MAXIFS(Log!$G:$G, Log!$A:$A, $A19, Log!$B:$B, $B19, Log!$C:$C, $C19),""))</f>
        <v>0.12145400000000001</v>
      </c>
      <c r="T19" s="6">
        <f>IF($N19&lt;&gt;"", 'Daily Camera Trends'!$M$5, "")</f>
        <v>0.4150363317865432</v>
      </c>
      <c r="U19" s="6">
        <f>IF(Q19&lt;&gt;"", 'Daily Camera Trends'!$N$5, "")</f>
        <v>9.9319293039443104E-2</v>
      </c>
      <c r="V19" s="146" t="s">
        <v>250</v>
      </c>
      <c r="Y19" s="40"/>
      <c r="CP19" s="6">
        <f>IF($N19&lt;&gt;"", 'Daily Camera Trends'!$M$5, "")</f>
        <v>0.4150363317865432</v>
      </c>
      <c r="CQ19" s="6">
        <f>IF($Q19&lt;&gt;"", 'Daily Camera Trends'!$N$5, "")</f>
        <v>9.9319293039443104E-2</v>
      </c>
    </row>
    <row r="20" spans="1:95" ht="40.049999999999997" customHeight="1" x14ac:dyDescent="0.3">
      <c r="A20" s="103" t="str">
        <f t="shared" si="0"/>
        <v>Daily</v>
      </c>
      <c r="B20" s="236" t="s">
        <v>275</v>
      </c>
      <c r="C20" s="204">
        <v>46251</v>
      </c>
      <c r="D20" s="31">
        <v>25</v>
      </c>
      <c r="E20" s="32">
        <v>0.71805555555555556</v>
      </c>
      <c r="F20" s="75" t="s">
        <v>273</v>
      </c>
      <c r="G20" s="36">
        <v>1000</v>
      </c>
      <c r="H20" s="7">
        <f>IF(COUNTBLANK($A20:$E20)&gt;0, "", IFERROR(AVERAGEIFS(Log!$E:$E, Log!$A:$A, $A20, Log!$B:$B, $B20, Log!$C:$C, $C20),""))</f>
        <v>1520.0555555555557</v>
      </c>
      <c r="I20" s="37">
        <f t="shared" si="1"/>
        <v>1.5200555555555557</v>
      </c>
      <c r="J20" s="36">
        <f>IF(COUNTBLANK($A20:$E20)&gt;0, "", IFERROR(_xlfn.MAXIFS(Log!$E:$E, Log!$A:$A, $A20, Log!$B:$B, $B20, Log!$C:$C, $C20),""))</f>
        <v>2127</v>
      </c>
      <c r="K20" s="36">
        <f>IF(COUNTBLANK($A20:$E20)&gt;0, "", IFERROR(_xlfn.MINIFS(Log!$E:$E, Log!$A:$A, $A20, Log!$B:$B, $B20, Log!$C:$C, $C20),""))</f>
        <v>1002</v>
      </c>
      <c r="L20" s="180" t="e" cm="1" vm="1">
        <f t="array" ref="L20">_xlfn.LET(_xlpm.row_no, ROW(C20),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0" s="180" t="e" cm="1">
        <f t="array" ref="M20">_xlfn.LET(_xlpm.row_no, ROW(C20),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0" s="6">
        <f>IF(COUNTBLANK($A20:$E20)&gt;0, "", IFERROR(AVERAGEIFS(Log!$F:$F, Log!$A:$A, $A20, Log!$B:$B, $B20, Log!$C:$C, $C20),""))</f>
        <v>0.4757022222222223</v>
      </c>
      <c r="O20" s="6">
        <f>IF(COUNTBLANK($A20:$E20)&gt;0, "", IFERROR(_xlfn.MINIFS(Log!$F:$F, Log!$A:$A, $A20, Log!$B:$B, $B20, Log!$C:$C, $C20),""))</f>
        <v>0.26756999999999997</v>
      </c>
      <c r="P20" s="6">
        <f>IF(COUNTBLANK($A20:$E20)&gt;0, "", IFERROR(_xlfn.MAXIFS(Log!$F:$F, Log!$A:$A, $A20, Log!$B:$B, $B20, Log!$C:$C, $C20),""))</f>
        <v>0.69558200000000003</v>
      </c>
      <c r="Q20" s="6">
        <f>IF(COUNTBLANK($A20:$E20)&gt;0, "", IFERROR(AVERAGEIFS(Log!$G:$G, Log!$A:$A, $A20, Log!$B:$B, $B20, Log!$C:$C, $C20),""))</f>
        <v>0.11488596111111112</v>
      </c>
      <c r="R20" s="6">
        <f>IF(COUNTBLANK($A20:$E20)&gt;0, "", IFERROR(_xlfn.MINIFS(Log!$G:$G, Log!$A:$A, $A20, Log!$B:$B, $B20, Log!$C:$C, $C20),""))</f>
        <v>8.2005300000000003E-2</v>
      </c>
      <c r="S20" s="6">
        <f>IF(COUNTBLANK($A20:$E20)&gt;0, "", IFERROR(_xlfn.MAXIFS(Log!$G:$G, Log!$A:$A, $A20, Log!$B:$B, $B20, Log!$C:$C, $C20),""))</f>
        <v>0.18115400000000001</v>
      </c>
      <c r="T20" s="6">
        <f>IF($N20&lt;&gt;"", 'Daily Camera Trends'!$M$5, "")</f>
        <v>0.4150363317865432</v>
      </c>
      <c r="U20" s="6">
        <f>IF(Q20&lt;&gt;"", 'Daily Camera Trends'!$N$5, "")</f>
        <v>9.9319293039443104E-2</v>
      </c>
      <c r="V20" s="143" t="s">
        <v>281</v>
      </c>
      <c r="W20" s="251" t="s">
        <v>280</v>
      </c>
      <c r="Y20" s="40"/>
      <c r="CP20" s="6">
        <f>IF($N20&lt;&gt;"", 'Daily Camera Trends'!$M$5, "")</f>
        <v>0.4150363317865432</v>
      </c>
      <c r="CQ20" s="6">
        <f>IF($Q20&lt;&gt;"", 'Daily Camera Trends'!$N$5, "")</f>
        <v>9.9319293039443104E-2</v>
      </c>
    </row>
    <row r="21" spans="1:95" ht="40.049999999999997" customHeight="1" x14ac:dyDescent="0.3">
      <c r="A21" s="103" t="str">
        <f t="shared" si="0"/>
        <v>Daily</v>
      </c>
      <c r="B21" s="236" t="s">
        <v>276</v>
      </c>
      <c r="C21" s="204">
        <v>46251</v>
      </c>
      <c r="D21" s="31">
        <v>25</v>
      </c>
      <c r="E21" s="32">
        <v>0.72569444444444442</v>
      </c>
      <c r="F21" s="75" t="s">
        <v>273</v>
      </c>
      <c r="G21" s="36">
        <v>1000</v>
      </c>
      <c r="H21" s="7">
        <f>IF(COUNTBLANK($A21:$E21)&gt;0, "", IFERROR(AVERAGEIFS(Log!$E:$E, Log!$A:$A, $A21, Log!$B:$B, $B21, Log!$C:$C, $C21),""))</f>
        <v>1653.2777777777778</v>
      </c>
      <c r="I21" s="37">
        <f t="shared" si="1"/>
        <v>1.6532777777777778</v>
      </c>
      <c r="J21" s="36">
        <f>IF(COUNTBLANK($A21:$E21)&gt;0, "", IFERROR(_xlfn.MAXIFS(Log!$E:$E, Log!$A:$A, $A21, Log!$B:$B, $B21, Log!$C:$C, $C21),""))</f>
        <v>2625</v>
      </c>
      <c r="K21" s="36">
        <f>IF(COUNTBLANK($A21:$E21)&gt;0, "", IFERROR(_xlfn.MINIFS(Log!$E:$E, Log!$A:$A, $A21, Log!$B:$B, $B21, Log!$C:$C, $C21),""))</f>
        <v>1001</v>
      </c>
      <c r="L21" s="180" t="e" cm="1" vm="1">
        <f t="array" ref="L21">_xlfn.LET(_xlpm.row_no, ROW(C21),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1" s="180" t="e" cm="1">
        <f t="array" ref="M21">_xlfn.LET(_xlpm.row_no, ROW(C21),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1" s="6">
        <f>IF(COUNTBLANK($A21:$E21)&gt;0, "", IFERROR(AVERAGEIFS(Log!$F:$F, Log!$A:$A, $A21, Log!$B:$B, $B21, Log!$C:$C, $C21),""))</f>
        <v>0.43154094444444446</v>
      </c>
      <c r="O21" s="6">
        <f>IF(COUNTBLANK($A21:$E21)&gt;0, "", IFERROR(_xlfn.MINIFS(Log!$F:$F, Log!$A:$A, $A21, Log!$B:$B, $B21, Log!$C:$C, $C21),""))</f>
        <v>0.27182600000000001</v>
      </c>
      <c r="P21" s="6">
        <f>IF(COUNTBLANK($A21:$E21)&gt;0, "", IFERROR(_xlfn.MAXIFS(Log!$F:$F, Log!$A:$A, $A21, Log!$B:$B, $B21, Log!$C:$C, $C21),""))</f>
        <v>0.60282599999999997</v>
      </c>
      <c r="Q21" s="6">
        <f>IF(COUNTBLANK($A21:$E21)&gt;0, "", IFERROR(AVERAGEIFS(Log!$G:$G, Log!$A:$A, $A21, Log!$B:$B, $B21, Log!$C:$C, $C21),""))</f>
        <v>0.10342318888888889</v>
      </c>
      <c r="R21" s="6">
        <f>IF(COUNTBLANK($A21:$E21)&gt;0, "", IFERROR(_xlfn.MINIFS(Log!$G:$G, Log!$A:$A, $A21, Log!$B:$B, $B21, Log!$C:$C, $C21),""))</f>
        <v>7.3693800000000004E-2</v>
      </c>
      <c r="S21" s="6">
        <f>IF(COUNTBLANK($A21:$E21)&gt;0, "", IFERROR(_xlfn.MAXIFS(Log!$G:$G, Log!$A:$A, $A21, Log!$B:$B, $B21, Log!$C:$C, $C21),""))</f>
        <v>0.13685900000000001</v>
      </c>
      <c r="T21" s="6">
        <f>IF($N21&lt;&gt;"", 'Daily Camera Trends'!$M$5, "")</f>
        <v>0.4150363317865432</v>
      </c>
      <c r="U21" s="6">
        <f>IF(Q21&lt;&gt;"", 'Daily Camera Trends'!$N$5, "")</f>
        <v>9.9319293039443104E-2</v>
      </c>
      <c r="V21" s="143" t="s">
        <v>278</v>
      </c>
      <c r="W21" s="252"/>
      <c r="Y21" s="40"/>
      <c r="CP21" s="6">
        <f>IF($N21&lt;&gt;"", 'Daily Camera Trends'!$M$5, "")</f>
        <v>0.4150363317865432</v>
      </c>
      <c r="CQ21" s="6">
        <f>IF($Q21&lt;&gt;"", 'Daily Camera Trends'!$N$5, "")</f>
        <v>9.9319293039443104E-2</v>
      </c>
    </row>
    <row r="22" spans="1:95" ht="40.049999999999997" customHeight="1" x14ac:dyDescent="0.3">
      <c r="A22" s="103" t="str">
        <f t="shared" si="0"/>
        <v>Daily</v>
      </c>
      <c r="B22" s="236" t="s">
        <v>89</v>
      </c>
      <c r="C22" s="204">
        <v>46251</v>
      </c>
      <c r="D22" s="31">
        <v>25</v>
      </c>
      <c r="E22" s="32">
        <v>0.7319444444444444</v>
      </c>
      <c r="F22" s="75" t="s">
        <v>273</v>
      </c>
      <c r="G22" s="36">
        <v>1000</v>
      </c>
      <c r="H22" s="7">
        <f>IF(COUNTBLANK($A22:$E22)&gt;0, "", IFERROR(AVERAGEIFS(Log!$E:$E, Log!$A:$A, $A22, Log!$B:$B, $B22, Log!$C:$C, $C22),""))</f>
        <v>1684.5</v>
      </c>
      <c r="I22" s="37">
        <f t="shared" si="1"/>
        <v>1.6845000000000001</v>
      </c>
      <c r="J22" s="36">
        <f>IF(COUNTBLANK($A22:$E22)&gt;0, "", IFERROR(_xlfn.MAXIFS(Log!$E:$E, Log!$A:$A, $A22, Log!$B:$B, $B22, Log!$C:$C, $C22),""))</f>
        <v>2552</v>
      </c>
      <c r="K22" s="36">
        <f>IF(COUNTBLANK($A22:$E22)&gt;0, "", IFERROR(_xlfn.MINIFS(Log!$E:$E, Log!$A:$A, $A22, Log!$B:$B, $B22, Log!$C:$C, $C22),""))</f>
        <v>1004</v>
      </c>
      <c r="L22" s="180" t="e" cm="1" vm="1">
        <f t="array" ref="L22">_xlfn.LET(_xlpm.row_no, ROW(C22),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2" s="180" t="e" cm="1">
        <f t="array" ref="M22">_xlfn.LET(_xlpm.row_no, ROW(C22),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2" s="6">
        <f>IF(COUNTBLANK($A22:$E22)&gt;0, "", IFERROR(AVERAGEIFS(Log!$F:$F, Log!$A:$A, $A22, Log!$B:$B, $B22, Log!$C:$C, $C22),""))</f>
        <v>0.42146349999999999</v>
      </c>
      <c r="O22" s="6">
        <f>IF(COUNTBLANK($A22:$E22)&gt;0, "", IFERROR(_xlfn.MINIFS(Log!$F:$F, Log!$A:$A, $A22, Log!$B:$B, $B22, Log!$C:$C, $C22),""))</f>
        <v>0.28678700000000001</v>
      </c>
      <c r="P22" s="6">
        <f>IF(COUNTBLANK($A22:$E22)&gt;0, "", IFERROR(_xlfn.MAXIFS(Log!$F:$F, Log!$A:$A, $A22, Log!$B:$B, $B22, Log!$C:$C, $C22),""))</f>
        <v>0.59777599999999997</v>
      </c>
      <c r="Q22" s="6">
        <f>IF(COUNTBLANK($A22:$E22)&gt;0, "", IFERROR(AVERAGEIFS(Log!$G:$G, Log!$A:$A, $A22, Log!$B:$B, $B22, Log!$C:$C, $C22),""))</f>
        <v>0.10134896666666665</v>
      </c>
      <c r="R22" s="6">
        <f>IF(COUNTBLANK($A22:$E22)&gt;0, "", IFERROR(_xlfn.MINIFS(Log!$G:$G, Log!$A:$A, $A22, Log!$B:$B, $B22, Log!$C:$C, $C22),""))</f>
        <v>6.8599099999999996E-2</v>
      </c>
      <c r="S22" s="6">
        <f>IF(COUNTBLANK($A22:$E22)&gt;0, "", IFERROR(_xlfn.MAXIFS(Log!$G:$G, Log!$A:$A, $A22, Log!$B:$B, $B22, Log!$C:$C, $C22),""))</f>
        <v>0.13004399999999999</v>
      </c>
      <c r="T22" s="6">
        <f>IF($N22&lt;&gt;"", 'Daily Camera Trends'!$M$5, "")</f>
        <v>0.4150363317865432</v>
      </c>
      <c r="U22" s="6">
        <f>IF(Q22&lt;&gt;"", 'Daily Camera Trends'!$N$5, "")</f>
        <v>9.9319293039443104E-2</v>
      </c>
      <c r="V22" s="143" t="s">
        <v>279</v>
      </c>
      <c r="W22" s="252"/>
      <c r="Y22" s="40"/>
      <c r="CP22" s="6">
        <f>IF($N22&lt;&gt;"", 'Daily Camera Trends'!$M$5, "")</f>
        <v>0.4150363317865432</v>
      </c>
      <c r="CQ22" s="6">
        <f>IF($Q22&lt;&gt;"", 'Daily Camera Trends'!$N$5, "")</f>
        <v>9.9319293039443104E-2</v>
      </c>
    </row>
    <row r="23" spans="1:95" ht="40.049999999999997" customHeight="1" x14ac:dyDescent="0.3">
      <c r="A23" s="103" t="str">
        <f t="shared" si="0"/>
        <v>Daily</v>
      </c>
      <c r="B23" s="236" t="s">
        <v>89</v>
      </c>
      <c r="C23" s="204">
        <v>46252</v>
      </c>
      <c r="D23" s="31">
        <v>25</v>
      </c>
      <c r="E23" s="32">
        <v>0.75416666666666665</v>
      </c>
      <c r="F23" s="75" t="s">
        <v>273</v>
      </c>
      <c r="G23" s="36">
        <v>1000</v>
      </c>
      <c r="H23" s="7">
        <f>IF(COUNTBLANK($A23:$E23)&gt;0, "", IFERROR(AVERAGEIFS(Log!$E:$E, Log!$A:$A, $A23, Log!$B:$B, $B23, Log!$C:$C, $C23),""))</f>
        <v>1852</v>
      </c>
      <c r="I23" s="37">
        <f t="shared" si="1"/>
        <v>1.8520000000000001</v>
      </c>
      <c r="J23" s="36">
        <f>IF(COUNTBLANK($A23:$E23)&gt;0, "", IFERROR(_xlfn.MAXIFS(Log!$E:$E, Log!$A:$A, $A23, Log!$B:$B, $B23, Log!$C:$C, $C23),""))</f>
        <v>2710</v>
      </c>
      <c r="K23" s="36">
        <f>IF(COUNTBLANK($A23:$E23)&gt;0, "", IFERROR(_xlfn.MINIFS(Log!$E:$E, Log!$A:$A, $A23, Log!$B:$B, $B23, Log!$C:$C, $C23),""))</f>
        <v>1004</v>
      </c>
      <c r="L23" s="180" t="e" cm="1" vm="1">
        <f t="array" ref="L23">_xlfn.LET(_xlpm.row_no, ROW(C23),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3" s="180" t="e" cm="1">
        <f t="array" ref="M23">_xlfn.LET(_xlpm.row_no, ROW(C23),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3" s="6">
        <f>IF(COUNTBLANK($A23:$E23)&gt;0, "", IFERROR(AVERAGEIFS(Log!$F:$F, Log!$A:$A, $A23, Log!$B:$B, $B23, Log!$C:$C, $C23),""))</f>
        <v>0.44992333333333334</v>
      </c>
      <c r="O23" s="6">
        <f>IF(COUNTBLANK($A23:$E23)&gt;0, "", IFERROR(_xlfn.MINIFS(Log!$F:$F, Log!$A:$A, $A23, Log!$B:$B, $B23, Log!$C:$C, $C23),""))</f>
        <v>0.232436</v>
      </c>
      <c r="P23" s="6">
        <f>IF(COUNTBLANK($A23:$E23)&gt;0, "", IFERROR(_xlfn.MAXIFS(Log!$F:$F, Log!$A:$A, $A23, Log!$B:$B, $B23, Log!$C:$C, $C23),""))</f>
        <v>0.69097900000000001</v>
      </c>
      <c r="Q23" s="6">
        <f>IF(COUNTBLANK($A23:$E23)&gt;0, "", IFERROR(AVERAGEIFS(Log!$G:$G, Log!$A:$A, $A23, Log!$B:$B, $B23, Log!$C:$C, $C23),""))</f>
        <v>0.10735645000000002</v>
      </c>
      <c r="R23" s="6">
        <f>IF(COUNTBLANK($A23:$E23)&gt;0, "", IFERROR(_xlfn.MINIFS(Log!$G:$G, Log!$A:$A, $A23, Log!$B:$B, $B23, Log!$C:$C, $C23),""))</f>
        <v>7.0449899999999996E-2</v>
      </c>
      <c r="S23" s="6">
        <f>IF(COUNTBLANK($A23:$E23)&gt;0, "", IFERROR(_xlfn.MAXIFS(Log!$G:$G, Log!$A:$A, $A23, Log!$B:$B, $B23, Log!$C:$C, $C23),""))</f>
        <v>0.13900999999999999</v>
      </c>
      <c r="T23" s="6">
        <f>IF($N23&lt;&gt;"", 'Daily Camera Trends'!$M$5, "")</f>
        <v>0.4150363317865432</v>
      </c>
      <c r="U23" s="6">
        <f>IF(Q23&lt;&gt;"", 'Daily Camera Trends'!$N$5, "")</f>
        <v>9.9319293039443104E-2</v>
      </c>
      <c r="V23" s="143" t="s">
        <v>282</v>
      </c>
      <c r="Y23" s="40"/>
      <c r="CP23" s="6">
        <f>IF($N23&lt;&gt;"", 'Daily Camera Trends'!$M$5, "")</f>
        <v>0.4150363317865432</v>
      </c>
      <c r="CQ23" s="6">
        <f>IF($Q23&lt;&gt;"", 'Daily Camera Trends'!$N$5, "")</f>
        <v>9.9319293039443104E-2</v>
      </c>
    </row>
    <row r="24" spans="1:95" ht="40.049999999999997" customHeight="1" x14ac:dyDescent="0.3">
      <c r="A24" s="103" t="str">
        <f t="shared" si="0"/>
        <v>Daily</v>
      </c>
      <c r="B24" s="236" t="s">
        <v>89</v>
      </c>
      <c r="C24" s="204">
        <v>46253</v>
      </c>
      <c r="D24" s="31">
        <v>24.5</v>
      </c>
      <c r="E24" s="32">
        <v>0.85138888888888886</v>
      </c>
      <c r="F24" s="75" t="s">
        <v>157</v>
      </c>
      <c r="G24" s="36">
        <v>1000</v>
      </c>
      <c r="H24" s="7">
        <f>IF(COUNTBLANK($A24:$E24)&gt;0, "", IFERROR(AVERAGEIFS(Log!$E:$E, Log!$A:$A, $A24, Log!$B:$B, $B24, Log!$C:$C, $C24),""))</f>
        <v>1711.3888888888889</v>
      </c>
      <c r="I24" s="37">
        <f t="shared" si="1"/>
        <v>1.7113888888888888</v>
      </c>
      <c r="J24" s="36">
        <f>IF(COUNTBLANK($A24:$E24)&gt;0, "", IFERROR(_xlfn.MAXIFS(Log!$E:$E, Log!$A:$A, $A24, Log!$B:$B, $B24, Log!$C:$C, $C24),""))</f>
        <v>2728</v>
      </c>
      <c r="K24" s="36">
        <f>IF(COUNTBLANK($A24:$E24)&gt;0, "", IFERROR(_xlfn.MINIFS(Log!$E:$E, Log!$A:$A, $A24, Log!$B:$B, $B24, Log!$C:$C, $C24),""))</f>
        <v>1001</v>
      </c>
      <c r="L24" s="180" t="e" cm="1" vm="1">
        <f t="array" ref="L24">_xlfn.LET(_xlpm.row_no, ROW(C24),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4" s="180" t="e" cm="1">
        <f t="array" ref="M24">_xlfn.LET(_xlpm.row_no, ROW(C24),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4" s="6">
        <f>IF(COUNTBLANK($A24:$E24)&gt;0, "", IFERROR(AVERAGEIFS(Log!$F:$F, Log!$A:$A, $A24, Log!$B:$B, $B24, Log!$C:$C, $C24),""))</f>
        <v>0.54501322222222226</v>
      </c>
      <c r="O24" s="6">
        <f>IF(COUNTBLANK($A24:$E24)&gt;0, "", IFERROR(_xlfn.MINIFS(Log!$F:$F, Log!$A:$A, $A24, Log!$B:$B, $B24, Log!$C:$C, $C24),""))</f>
        <v>0.25521100000000002</v>
      </c>
      <c r="P24" s="6">
        <f>IF(COUNTBLANK($A24:$E24)&gt;0, "", IFERROR(_xlfn.MAXIFS(Log!$F:$F, Log!$A:$A, $A24, Log!$B:$B, $B24, Log!$C:$C, $C24),""))</f>
        <v>0.97526599999999997</v>
      </c>
      <c r="Q24" s="6">
        <f>IF(COUNTBLANK($A24:$E24)&gt;0, "", IFERROR(AVERAGEIFS(Log!$G:$G, Log!$A:$A, $A24, Log!$B:$B, $B24, Log!$C:$C, $C24),""))</f>
        <v>0.12795185555555555</v>
      </c>
      <c r="R24" s="6">
        <f>IF(COUNTBLANK($A24:$E24)&gt;0, "", IFERROR(_xlfn.MINIFS(Log!$G:$G, Log!$A:$A, $A24, Log!$B:$B, $B24, Log!$C:$C, $C24),""))</f>
        <v>8.3699099999999999E-2</v>
      </c>
      <c r="S24" s="6">
        <f>IF(COUNTBLANK($A24:$E24)&gt;0, "", IFERROR(_xlfn.MAXIFS(Log!$G:$G, Log!$A:$A, $A24, Log!$B:$B, $B24, Log!$C:$C, $C24),""))</f>
        <v>0.21911</v>
      </c>
      <c r="T24" s="6">
        <f>IF($N24&lt;&gt;"", 'Daily Camera Trends'!$M$5, "")</f>
        <v>0.4150363317865432</v>
      </c>
      <c r="U24" s="6">
        <f>IF(Q24&lt;&gt;"", 'Daily Camera Trends'!$N$5, "")</f>
        <v>9.9319293039443104E-2</v>
      </c>
      <c r="V24" s="143" t="s">
        <v>288</v>
      </c>
      <c r="Y24" s="40"/>
      <c r="CP24" s="6">
        <f>IF($N24&lt;&gt;"", 'Daily Camera Trends'!$M$5, "")</f>
        <v>0.4150363317865432</v>
      </c>
      <c r="CQ24" s="6">
        <f>IF($Q24&lt;&gt;"", 'Daily Camera Trends'!$N$5, "")</f>
        <v>9.9319293039443104E-2</v>
      </c>
    </row>
    <row r="25" spans="1:95" ht="40.049999999999997" customHeight="1" x14ac:dyDescent="0.3">
      <c r="A25" s="103" t="str">
        <f t="shared" si="0"/>
        <v>Daily</v>
      </c>
      <c r="B25" s="236" t="s">
        <v>89</v>
      </c>
      <c r="C25" s="204">
        <v>46254</v>
      </c>
      <c r="D25" s="31">
        <v>24.5</v>
      </c>
      <c r="E25" s="32">
        <v>0.78680555555555554</v>
      </c>
      <c r="F25" s="75" t="s">
        <v>245</v>
      </c>
      <c r="G25" s="36">
        <v>1000</v>
      </c>
      <c r="H25" s="7">
        <f>IF(COUNTBLANK($A25:$E25)&gt;0, "", IFERROR(AVERAGEIFS(Log!$E:$E, Log!$A:$A, $A25, Log!$B:$B, $B25, Log!$C:$C, $C25),""))</f>
        <v>1787</v>
      </c>
      <c r="I25" s="37">
        <f t="shared" si="1"/>
        <v>1.7869999999999999</v>
      </c>
      <c r="J25" s="36">
        <f>IF(COUNTBLANK($A25:$E25)&gt;0, "", IFERROR(_xlfn.MAXIFS(Log!$E:$E, Log!$A:$A, $A25, Log!$B:$B, $B25, Log!$C:$C, $C25),""))</f>
        <v>3016</v>
      </c>
      <c r="K25" s="36">
        <f>IF(COUNTBLANK($A25:$E25)&gt;0, "", IFERROR(_xlfn.MINIFS(Log!$E:$E, Log!$A:$A, $A25, Log!$B:$B, $B25, Log!$C:$C, $C25),""))</f>
        <v>1005</v>
      </c>
      <c r="L25" s="180" t="e" cm="1" vm="1">
        <f t="array" ref="L25">_xlfn.LET(_xlpm.row_no, ROW(C25),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5" s="180" t="e" cm="1">
        <f t="array" ref="M25">_xlfn.LET(_xlpm.row_no, ROW(C25),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5" s="6">
        <f>IF(COUNTBLANK($A25:$E25)&gt;0, "", IFERROR(AVERAGEIFS(Log!$F:$F, Log!$A:$A, $A25, Log!$B:$B, $B25, Log!$C:$C, $C25),""))</f>
        <v>0.44261372222222228</v>
      </c>
      <c r="O25" s="6">
        <f>IF(COUNTBLANK($A25:$E25)&gt;0, "", IFERROR(_xlfn.MINIFS(Log!$F:$F, Log!$A:$A, $A25, Log!$B:$B, $B25, Log!$C:$C, $C25),""))</f>
        <v>0.26846599999999998</v>
      </c>
      <c r="P25" s="6">
        <f>IF(COUNTBLANK($A25:$E25)&gt;0, "", IFERROR(_xlfn.MAXIFS(Log!$F:$F, Log!$A:$A, $A25, Log!$B:$B, $B25, Log!$C:$C, $C25),""))</f>
        <v>0.60257000000000005</v>
      </c>
      <c r="Q25" s="6">
        <f>IF(COUNTBLANK($A25:$E25)&gt;0, "", IFERROR(AVERAGEIFS(Log!$G:$G, Log!$A:$A, $A25, Log!$B:$B, $B25, Log!$C:$C, $C25),""))</f>
        <v>0.10628490555555556</v>
      </c>
      <c r="R25" s="6">
        <f>IF(COUNTBLANK($A25:$E25)&gt;0, "", IFERROR(_xlfn.MINIFS(Log!$G:$G, Log!$A:$A, $A25, Log!$B:$B, $B25, Log!$C:$C, $C25),""))</f>
        <v>7.6168700000000006E-2</v>
      </c>
      <c r="S25" s="6">
        <f>IF(COUNTBLANK($A25:$E25)&gt;0, "", IFERROR(_xlfn.MAXIFS(Log!$G:$G, Log!$A:$A, $A25, Log!$B:$B, $B25, Log!$C:$C, $C25),""))</f>
        <v>0.13422300000000001</v>
      </c>
      <c r="T25" s="6">
        <f>IF($N25&lt;&gt;"", 'Daily Camera Trends'!$M$5, "")</f>
        <v>0.4150363317865432</v>
      </c>
      <c r="U25" s="6">
        <f>IF(Q25&lt;&gt;"", 'Daily Camera Trends'!$N$5, "")</f>
        <v>9.9319293039443104E-2</v>
      </c>
      <c r="V25" s="143" t="s">
        <v>289</v>
      </c>
      <c r="CP25" s="6">
        <f>IF($N25&lt;&gt;"", 'Daily Camera Trends'!$M$5, "")</f>
        <v>0.4150363317865432</v>
      </c>
      <c r="CQ25" s="6">
        <f>IF($Q25&lt;&gt;"", 'Daily Camera Trends'!$N$5, "")</f>
        <v>9.9319293039443104E-2</v>
      </c>
    </row>
    <row r="26" spans="1:95" ht="40.049999999999997" customHeight="1" x14ac:dyDescent="0.3">
      <c r="A26" s="103" t="str">
        <f t="shared" si="0"/>
        <v>Daily</v>
      </c>
      <c r="B26" s="236" t="s">
        <v>89</v>
      </c>
      <c r="C26" s="204">
        <v>46255</v>
      </c>
      <c r="D26" s="246">
        <v>0</v>
      </c>
      <c r="E26" s="32">
        <v>0.82986111111111116</v>
      </c>
      <c r="F26" s="75" t="s">
        <v>245</v>
      </c>
      <c r="G26" s="36">
        <v>1000</v>
      </c>
      <c r="H26" s="7">
        <f>IF(COUNTBLANK($A26:$E26)&gt;0, "", IFERROR(AVERAGEIFS(Log!$E:$E, Log!$A:$A, $A26, Log!$B:$B, $B26, Log!$C:$C, $C26),""))</f>
        <v>1564.8888888888889</v>
      </c>
      <c r="I26" s="37">
        <f t="shared" si="1"/>
        <v>1.564888888888889</v>
      </c>
      <c r="J26" s="36">
        <f>IF(COUNTBLANK($A26:$E26)&gt;0, "", IFERROR(_xlfn.MAXIFS(Log!$E:$E, Log!$A:$A, $A26, Log!$B:$B, $B26, Log!$C:$C, $C26),""))</f>
        <v>2366</v>
      </c>
      <c r="K26" s="36">
        <f>IF(COUNTBLANK($A26:$E26)&gt;0, "", IFERROR(_xlfn.MINIFS(Log!$E:$E, Log!$A:$A, $A26, Log!$B:$B, $B26, Log!$C:$C, $C26),""))</f>
        <v>1007</v>
      </c>
      <c r="L26" s="180" t="e" cm="1" vm="1">
        <f t="array" ref="L26">_xlfn.LET(_xlpm.row_no, ROW(C26),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6" s="180" t="e" cm="1">
        <f t="array" ref="M26">_xlfn.LET(_xlpm.row_no, ROW(C26),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6" s="6">
        <f>IF(COUNTBLANK($A26:$E26)&gt;0, "", IFERROR(AVERAGEIFS(Log!$F:$F, Log!$A:$A, $A26, Log!$B:$B, $B26, Log!$C:$C, $C26),""))</f>
        <v>0.42276977777777769</v>
      </c>
      <c r="O26" s="6">
        <f>IF(COUNTBLANK($A26:$E26)&gt;0, "", IFERROR(_xlfn.MINIFS(Log!$F:$F, Log!$A:$A, $A26, Log!$B:$B, $B26, Log!$C:$C, $C26),""))</f>
        <v>0.26023600000000002</v>
      </c>
      <c r="P26" s="6">
        <f>IF(COUNTBLANK($A26:$E26)&gt;0, "", IFERROR(_xlfn.MAXIFS(Log!$F:$F, Log!$A:$A, $A26, Log!$B:$B, $B26, Log!$C:$C, $C26),""))</f>
        <v>0.55751899999999999</v>
      </c>
      <c r="Q26" s="6">
        <f>IF(COUNTBLANK($A26:$E26)&gt;0, "", IFERROR(AVERAGEIFS(Log!$G:$G, Log!$A:$A, $A26, Log!$B:$B, $B26, Log!$C:$C, $C26),""))</f>
        <v>0.10262061111111112</v>
      </c>
      <c r="R26" s="6">
        <f>IF(COUNTBLANK($A26:$E26)&gt;0, "", IFERROR(_xlfn.MINIFS(Log!$G:$G, Log!$A:$A, $A26, Log!$B:$B, $B26, Log!$C:$C, $C26),""))</f>
        <v>6.2629799999999999E-2</v>
      </c>
      <c r="S26" s="6">
        <f>IF(COUNTBLANK($A26:$E26)&gt;0, "", IFERROR(_xlfn.MAXIFS(Log!$G:$G, Log!$A:$A, $A26, Log!$B:$B, $B26, Log!$C:$C, $C26),""))</f>
        <v>0.14977499999999999</v>
      </c>
      <c r="T26" s="6">
        <f>IF($N26&lt;&gt;"", 'Daily Camera Trends'!$M$5, "")</f>
        <v>0.4150363317865432</v>
      </c>
      <c r="U26" s="6">
        <f>IF(Q26&lt;&gt;"", 'Daily Camera Trends'!$N$5, "")</f>
        <v>9.9319293039443104E-2</v>
      </c>
      <c r="V26" s="143" t="s">
        <v>302</v>
      </c>
      <c r="CP26" s="6">
        <f>IF($N26&lt;&gt;"", 'Daily Camera Trends'!$M$5, "")</f>
        <v>0.4150363317865432</v>
      </c>
      <c r="CQ26" s="6">
        <f>IF($Q26&lt;&gt;"", 'Daily Camera Trends'!$N$5, "")</f>
        <v>9.9319293039443104E-2</v>
      </c>
    </row>
    <row r="27" spans="1:95" ht="40.049999999999997" customHeight="1" x14ac:dyDescent="0.3">
      <c r="A27" s="103" t="str">
        <f t="shared" si="0"/>
        <v/>
      </c>
      <c r="B27" s="236" t="s">
        <v>89</v>
      </c>
      <c r="C27" s="204"/>
      <c r="D27" s="31">
        <v>23</v>
      </c>
      <c r="E27" s="32">
        <v>0.67291666666666672</v>
      </c>
      <c r="F27" s="75" t="s">
        <v>157</v>
      </c>
      <c r="G27" s="36"/>
      <c r="H27" s="7" t="str">
        <f>IF(COUNTBLANK($A27:$E27)&gt;0, "", IFERROR(AVERAGEIFS(Log!$E:$E, Log!$A:$A, $A27, Log!$B:$B, $B27, Log!$C:$C, $C27),""))</f>
        <v/>
      </c>
      <c r="I27" s="37" t="str">
        <f t="shared" si="1"/>
        <v/>
      </c>
      <c r="J27" s="36" t="str">
        <f>IF(COUNTBLANK($A27:$E27)&gt;0, "", IFERROR(_xlfn.MAXIFS(Log!$E:$E, Log!$A:$A, $A27, Log!$B:$B, $B27, Log!$C:$C, $C27),""))</f>
        <v/>
      </c>
      <c r="K27" s="36" t="str">
        <f>IF(COUNTBLANK($A27:$E27)&gt;0, "", IFERROR(_xlfn.MINIFS(Log!$E:$E, Log!$A:$A, $A27, Log!$B:$B, $B27, Log!$C:$C, $C27),""))</f>
        <v/>
      </c>
      <c r="L27" s="180" t="e" cm="1" vm="1">
        <f t="array" ref="L27">_xlfn.LET(_xlpm.row_no, ROW(C27),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#VALUE!</v>
      </c>
      <c r="M27" s="180" t="e" cm="1">
        <f t="array" ref="M27">_xlfn.LET(_xlpm.row_no, ROW(C27),
 _xlpm.identity, INDEX(#REF!,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#REF!</v>
      </c>
      <c r="N27" s="6" t="str">
        <f>IF(COUNTBLANK($A27:$E27)&gt;0, "", IFERROR(AVERAGEIFS(Log!$F:$F, Log!$A:$A, $A27, Log!$B:$B, $B27, Log!$C:$C, $C27),""))</f>
        <v/>
      </c>
      <c r="O27" s="6" t="str">
        <f>IF(COUNTBLANK($A27:$E27)&gt;0, "", IFERROR(_xlfn.MINIFS(Log!$F:$F, Log!$A:$A, $A27, Log!$B:$B, $B27, Log!$C:$C, $C27),""))</f>
        <v/>
      </c>
      <c r="P27" s="6" t="str">
        <f>IF(COUNTBLANK($A27:$E27)&gt;0, "", IFERROR(_xlfn.MAXIFS(Log!$F:$F, Log!$A:$A, $A27, Log!$B:$B, $B27, Log!$C:$C, $C27),""))</f>
        <v/>
      </c>
      <c r="Q27" s="6" t="str">
        <f>IF(COUNTBLANK($A27:$E27)&gt;0, "", IFERROR(AVERAGEIFS(Log!$G:$G, Log!$A:$A, $A27, Log!$B:$B, $B27, Log!$C:$C, $C27),""))</f>
        <v/>
      </c>
      <c r="R27" s="6" t="str">
        <f>IF(COUNTBLANK($A27:$E27)&gt;0, "", IFERROR(_xlfn.MINIFS(Log!$G:$G, Log!$A:$A, $A27, Log!$B:$B, $B27, Log!$C:$C, $C27),""))</f>
        <v/>
      </c>
      <c r="S27" s="6" t="str">
        <f>IF(COUNTBLANK($A27:$E27)&gt;0, "", IFERROR(_xlfn.MAXIFS(Log!$G:$G, Log!$A:$A, $A27, Log!$B:$B, $B27, Log!$C:$C, $C27),""))</f>
        <v/>
      </c>
      <c r="T27" s="6" t="str">
        <f>IF($N27&lt;&gt;"", 'Daily Camera Trends'!$M$5, "")</f>
        <v/>
      </c>
      <c r="U27" s="6" t="str">
        <f>IF(Q27&lt;&gt;"", 'Daily Camera Trends'!$N$5, "")</f>
        <v/>
      </c>
      <c r="CP27" s="6" t="str">
        <f>IF($N27&lt;&gt;"", 'Daily Camera Trends'!$M$5, "")</f>
        <v/>
      </c>
      <c r="CQ27" s="6" t="str">
        <f>IF($Q27&lt;&gt;"", 'Daily Camera Trends'!$N$5, "")</f>
        <v/>
      </c>
    </row>
    <row r="28" spans="1:95" ht="40.049999999999997" customHeight="1" x14ac:dyDescent="0.3">
      <c r="A28" s="103" t="str">
        <f t="shared" si="0"/>
        <v/>
      </c>
      <c r="B28" s="236" t="s">
        <v>89</v>
      </c>
      <c r="C28" s="204"/>
      <c r="D28" s="31"/>
      <c r="E28" s="32"/>
      <c r="G28" s="36"/>
      <c r="H28" s="7"/>
      <c r="I28" s="37"/>
      <c r="J28" s="36"/>
      <c r="K28" s="36"/>
      <c r="L28" s="180"/>
      <c r="M28" s="180"/>
      <c r="N28" s="6"/>
      <c r="O28" s="6"/>
      <c r="P28" s="6"/>
      <c r="Q28" s="6"/>
      <c r="R28" s="6" t="str">
        <f>IF(COUNTBLANK($A28:$E28)&gt;0, "", IFERROR(_xlfn.MINIFS(Log!$G:$G, Log!$A:$A, $A28, Log!$B:$B, $B28, Log!$C:$C, $C28),""))</f>
        <v/>
      </c>
      <c r="S28" s="6" t="str">
        <f>IF(COUNTBLANK($A28:$E28)&gt;0, "", IFERROR(_xlfn.MAXIFS(Log!$G:$G, Log!$A:$A, $A28, Log!$B:$B, $B28, Log!$C:$C, $C28),""))</f>
        <v/>
      </c>
      <c r="T28" s="6" t="str">
        <f>IF($N28&lt;&gt;"", 'Daily Camera Trends'!$M$5, "")</f>
        <v/>
      </c>
      <c r="U28" s="6" t="str">
        <f>IF(Q28&lt;&gt;"", 'Daily Camera Trends'!$N$5, "")</f>
        <v/>
      </c>
      <c r="CP28" s="6" t="str">
        <f>IF($N28&lt;&gt;"", 'Daily Camera Trends'!$M$5, "")</f>
        <v/>
      </c>
      <c r="CQ28" s="6" t="str">
        <f>IF($Q28&lt;&gt;"", 'Daily Camera Trends'!$N$5, "")</f>
        <v/>
      </c>
    </row>
    <row r="29" spans="1:95" ht="40.049999999999997" customHeight="1" x14ac:dyDescent="0.3">
      <c r="A29" s="103" t="str">
        <f t="shared" si="0"/>
        <v/>
      </c>
      <c r="B29" s="236" t="s">
        <v>89</v>
      </c>
      <c r="C29" s="204"/>
      <c r="D29" s="31"/>
      <c r="E29" s="32"/>
      <c r="G29" s="36"/>
      <c r="H29" s="7"/>
      <c r="I29" s="37"/>
      <c r="J29" s="36"/>
      <c r="K29" s="36"/>
      <c r="L29" s="180"/>
      <c r="M29" s="180"/>
      <c r="N29" s="6"/>
      <c r="O29" s="6"/>
      <c r="P29" s="6"/>
      <c r="Q29" s="6"/>
      <c r="R29" s="6" t="str">
        <f>IF(COUNTBLANK($A29:$E29)&gt;0, "", IFERROR(_xlfn.MINIFS(Log!$G:$G, Log!$A:$A, $A29, Log!$B:$B, $B29, Log!$C:$C, $C29),""))</f>
        <v/>
      </c>
      <c r="S29" s="6" t="str">
        <f>IF(COUNTBLANK($A29:$E29)&gt;0, "", IFERROR(_xlfn.MAXIFS(Log!$G:$G, Log!$A:$A, $A29, Log!$B:$B, $B29, Log!$C:$C, $C29),""))</f>
        <v/>
      </c>
      <c r="T29" s="6" t="str">
        <f>IF($N29&lt;&gt;"", 'Daily Camera Trends'!$M$5, "")</f>
        <v/>
      </c>
      <c r="U29" s="6" t="str">
        <f>IF(Q29&lt;&gt;"", 'Daily Camera Trends'!$N$5, "")</f>
        <v/>
      </c>
      <c r="CP29" s="6" t="str">
        <f>IF($N29&lt;&gt;"", 'Daily Camera Trends'!$M$5, "")</f>
        <v/>
      </c>
      <c r="CQ29" s="6" t="str">
        <f>IF($Q29&lt;&gt;"", 'Daily Camera Trends'!$N$5, "")</f>
        <v/>
      </c>
    </row>
    <row r="30" spans="1:95" ht="40.049999999999997" customHeight="1" x14ac:dyDescent="0.3">
      <c r="A30" s="103" t="str">
        <f t="shared" si="0"/>
        <v/>
      </c>
      <c r="B30" s="236" t="s">
        <v>89</v>
      </c>
      <c r="C30" s="204"/>
      <c r="D30" s="31"/>
      <c r="E30" s="32"/>
      <c r="G30" s="36"/>
      <c r="H30" s="7"/>
      <c r="I30" s="37"/>
      <c r="J30" s="36"/>
      <c r="K30" s="36"/>
      <c r="L30" s="180"/>
      <c r="M30" s="180"/>
      <c r="N30" s="6"/>
      <c r="O30" s="6"/>
      <c r="P30" s="6"/>
      <c r="Q30" s="6"/>
      <c r="R30" s="6" t="str">
        <f>IF(COUNTBLANK($A30:$E30)&gt;0, "", IFERROR(_xlfn.MINIFS(Log!$G:$G, Log!$A:$A, $A30, Log!$B:$B, $B30, Log!$C:$C, $C30),""))</f>
        <v/>
      </c>
      <c r="S30" s="6" t="str">
        <f>IF(COUNTBLANK($A30:$E30)&gt;0, "", IFERROR(_xlfn.MAXIFS(Log!$G:$G, Log!$A:$A, $A30, Log!$B:$B, $B30, Log!$C:$C, $C30),""))</f>
        <v/>
      </c>
      <c r="T30" s="6" t="str">
        <f>IF($N30&lt;&gt;"", 'Daily Camera Trends'!$M$5, "")</f>
        <v/>
      </c>
      <c r="U30" s="6" t="str">
        <f>IF(Q30&lt;&gt;"", 'Daily Camera Trends'!$N$5, "")</f>
        <v/>
      </c>
      <c r="CP30" s="6" t="str">
        <f>IF($N30&lt;&gt;"", 'Daily Camera Trends'!$M$5, "")</f>
        <v/>
      </c>
      <c r="CQ30" s="6" t="str">
        <f>IF($Q30&lt;&gt;"", 'Daily Camera Trends'!$N$5, "")</f>
        <v/>
      </c>
    </row>
    <row r="31" spans="1:95" ht="40.049999999999997" customHeight="1" x14ac:dyDescent="0.3">
      <c r="A31" s="103" t="str">
        <f t="shared" si="0"/>
        <v/>
      </c>
      <c r="B31" s="236" t="s">
        <v>89</v>
      </c>
      <c r="C31" s="204"/>
      <c r="D31" s="31"/>
      <c r="E31" s="32"/>
      <c r="G31" s="36"/>
      <c r="H31" s="7"/>
      <c r="I31" s="37"/>
      <c r="J31" s="36"/>
      <c r="K31" s="36"/>
      <c r="L31" s="180"/>
      <c r="M31" s="180"/>
      <c r="N31" s="6"/>
      <c r="O31" s="6"/>
      <c r="P31" s="6"/>
      <c r="Q31" s="6"/>
      <c r="R31" s="6" t="str">
        <f>IF(COUNTBLANK($A31:$E31)&gt;0, "", IFERROR(_xlfn.MINIFS(Log!$G:$G, Log!$A:$A, $A31, Log!$B:$B, $B31, Log!$C:$C, $C31),""))</f>
        <v/>
      </c>
      <c r="S31" s="6" t="str">
        <f>IF(COUNTBLANK($A31:$E31)&gt;0, "", IFERROR(_xlfn.MAXIFS(Log!$G:$G, Log!$A:$A, $A31, Log!$B:$B, $B31, Log!$C:$C, $C31),""))</f>
        <v/>
      </c>
      <c r="T31" s="6" t="str">
        <f>IF($N31&lt;&gt;"", 'Daily Camera Trends'!$M$5, "")</f>
        <v/>
      </c>
      <c r="U31" s="6" t="str">
        <f>IF(Q31&lt;&gt;"", 'Daily Camera Trends'!$N$5, "")</f>
        <v/>
      </c>
      <c r="CP31" s="6" t="str">
        <f>IF($N31&lt;&gt;"", 'Daily Camera Trends'!$M$5, "")</f>
        <v/>
      </c>
      <c r="CQ31" s="6" t="str">
        <f>IF($Q31&lt;&gt;"", 'Daily Camera Trends'!$N$5, "")</f>
        <v/>
      </c>
    </row>
    <row r="32" spans="1:95" ht="40.049999999999997" customHeight="1" x14ac:dyDescent="0.3">
      <c r="A32" s="103" t="str">
        <f t="shared" si="0"/>
        <v/>
      </c>
      <c r="B32" s="236" t="s">
        <v>89</v>
      </c>
      <c r="C32" s="204"/>
      <c r="D32" s="31"/>
      <c r="E32" s="32"/>
      <c r="G32" s="36"/>
      <c r="H32" s="7"/>
      <c r="I32" s="37"/>
      <c r="J32" s="36"/>
      <c r="K32" s="36"/>
      <c r="L32" s="180"/>
      <c r="M32" s="180"/>
      <c r="N32" s="6"/>
      <c r="O32" s="6"/>
      <c r="P32" s="6"/>
      <c r="Q32" s="6"/>
      <c r="R32" s="6" t="str">
        <f>IF(COUNTBLANK($A32:$E32)&gt;0, "", IFERROR(_xlfn.MINIFS(Log!$G:$G, Log!$A:$A, $A32, Log!$B:$B, $B32, Log!$C:$C, $C32),""))</f>
        <v/>
      </c>
      <c r="S32" s="6" t="str">
        <f>IF(COUNTBLANK($A32:$E32)&gt;0, "", IFERROR(_xlfn.MAXIFS(Log!$G:$G, Log!$A:$A, $A32, Log!$B:$B, $B32, Log!$C:$C, $C32),""))</f>
        <v/>
      </c>
      <c r="T32" s="6" t="str">
        <f>IF($N32&lt;&gt;"", 'Daily Camera Trends'!$M$5, "")</f>
        <v/>
      </c>
      <c r="U32" s="6" t="str">
        <f>IF(Q32&lt;&gt;"", 'Daily Camera Trends'!$N$5, "")</f>
        <v/>
      </c>
      <c r="CP32" s="6" t="str">
        <f>IF($N32&lt;&gt;"", 'Daily Camera Trends'!$M$5, "")</f>
        <v/>
      </c>
      <c r="CQ32" s="6" t="str">
        <f>IF($Q32&lt;&gt;"", 'Daily Camera Trends'!$N$5, "")</f>
        <v/>
      </c>
    </row>
    <row r="33" spans="1:95" ht="40.049999999999997" customHeight="1" x14ac:dyDescent="0.3">
      <c r="A33" s="103" t="str">
        <f t="shared" si="0"/>
        <v/>
      </c>
      <c r="B33" s="236" t="s">
        <v>89</v>
      </c>
      <c r="C33" s="204"/>
      <c r="D33" s="31"/>
      <c r="E33" s="32"/>
      <c r="G33" s="36"/>
      <c r="H33" s="7"/>
      <c r="I33" s="37"/>
      <c r="J33" s="36"/>
      <c r="K33" s="36"/>
      <c r="L33" s="180"/>
      <c r="M33" s="180"/>
      <c r="N33" s="6"/>
      <c r="O33" s="6"/>
      <c r="P33" s="6"/>
      <c r="Q33" s="6"/>
      <c r="R33" s="6" t="str">
        <f>IF(COUNTBLANK($A33:$E33)&gt;0, "", IFERROR(_xlfn.MINIFS(Log!$G:$G, Log!$A:$A, $A33, Log!$B:$B, $B33, Log!$C:$C, $C33),""))</f>
        <v/>
      </c>
      <c r="S33" s="6" t="str">
        <f>IF(COUNTBLANK($A33:$E33)&gt;0, "", IFERROR(_xlfn.MAXIFS(Log!$G:$G, Log!$A:$A, $A33, Log!$B:$B, $B33, Log!$C:$C, $C33),""))</f>
        <v/>
      </c>
      <c r="T33" s="6" t="str">
        <f>IF($N33&lt;&gt;"", 'Daily Camera Trends'!$M$5, "")</f>
        <v/>
      </c>
      <c r="U33" s="6" t="str">
        <f>IF(Q33&lt;&gt;"", 'Daily Camera Trends'!$N$5, "")</f>
        <v/>
      </c>
      <c r="CP33" s="6" t="str">
        <f>IF($N33&lt;&gt;"", 'Daily Camera Trends'!$M$5, "")</f>
        <v/>
      </c>
      <c r="CQ33" s="6" t="str">
        <f>IF($Q33&lt;&gt;"", 'Daily Camera Trends'!$N$5, "")</f>
        <v/>
      </c>
    </row>
    <row r="34" spans="1:95" ht="40.049999999999997" customHeight="1" x14ac:dyDescent="0.3">
      <c r="A34" s="103" t="str">
        <f t="shared" si="0"/>
        <v/>
      </c>
      <c r="B34" s="236" t="s">
        <v>89</v>
      </c>
      <c r="C34" s="204"/>
      <c r="D34" s="31"/>
      <c r="E34" s="32"/>
      <c r="G34" s="36"/>
      <c r="H34" s="7"/>
      <c r="I34" s="37"/>
      <c r="J34" s="36"/>
      <c r="K34" s="36"/>
      <c r="L34" s="180"/>
      <c r="M34" s="180"/>
      <c r="N34" s="6"/>
      <c r="O34" s="6"/>
      <c r="P34" s="6"/>
      <c r="Q34" s="6"/>
      <c r="R34" s="6" t="str">
        <f>IF(COUNTBLANK($A34:$E34)&gt;0, "", IFERROR(_xlfn.MINIFS(Log!$G:$G, Log!$A:$A, $A34, Log!$B:$B, $B34, Log!$C:$C, $C34),""))</f>
        <v/>
      </c>
      <c r="S34" s="6" t="str">
        <f>IF(COUNTBLANK($A34:$E34)&gt;0, "", IFERROR(_xlfn.MAXIFS(Log!$G:$G, Log!$A:$A, $A34, Log!$B:$B, $B34, Log!$C:$C, $C34),""))</f>
        <v/>
      </c>
      <c r="T34" s="6" t="str">
        <f>IF($N34&lt;&gt;"", 'Daily Camera Trends'!$M$5, "")</f>
        <v/>
      </c>
      <c r="U34" s="6" t="str">
        <f>IF(Q34&lt;&gt;"", 'Daily Camera Trends'!$N$5, "")</f>
        <v/>
      </c>
      <c r="CP34" s="6" t="str">
        <f>IF($N34&lt;&gt;"", 'Daily Camera Trends'!$M$5, "")</f>
        <v/>
      </c>
      <c r="CQ34" s="6" t="str">
        <f>IF($Q34&lt;&gt;"", 'Daily Camera Trends'!$N$5, "")</f>
        <v/>
      </c>
    </row>
    <row r="35" spans="1:95" ht="40.049999999999997" customHeight="1" x14ac:dyDescent="0.3">
      <c r="A35" s="103" t="str">
        <f t="shared" ref="A35:A67" si="2">IF(C35&lt;&gt;"", "Daily", "")</f>
        <v/>
      </c>
      <c r="B35" s="236" t="s">
        <v>89</v>
      </c>
      <c r="C35" s="204"/>
      <c r="D35" s="31"/>
      <c r="E35" s="32"/>
      <c r="G35" s="36"/>
      <c r="H35" s="7"/>
      <c r="I35" s="37"/>
      <c r="J35" s="36"/>
      <c r="K35" s="36"/>
      <c r="L35" s="180"/>
      <c r="M35" s="180"/>
      <c r="N35" s="6"/>
      <c r="O35" s="6"/>
      <c r="P35" s="6"/>
      <c r="Q35" s="6"/>
      <c r="R35" s="6" t="str">
        <f>IF(COUNTBLANK($A35:$E35)&gt;0, "", IFERROR(_xlfn.MINIFS(Log!$G:$G, Log!$A:$A, $A35, Log!$B:$B, $B35, Log!$C:$C, $C35),""))</f>
        <v/>
      </c>
      <c r="S35" s="6" t="str">
        <f>IF(COUNTBLANK($A35:$E35)&gt;0, "", IFERROR(_xlfn.MAXIFS(Log!$G:$G, Log!$A:$A, $A35, Log!$B:$B, $B35, Log!$C:$C, $C35),""))</f>
        <v/>
      </c>
      <c r="T35" s="6" t="str">
        <f>IF($N35&lt;&gt;"", 'Daily Camera Trends'!$M$5, "")</f>
        <v/>
      </c>
      <c r="U35" s="6" t="str">
        <f>IF(Q35&lt;&gt;"", 'Daily Camera Trends'!$N$5, "")</f>
        <v/>
      </c>
      <c r="CP35" s="6" t="str">
        <f>IF($N35&lt;&gt;"", 'Daily Camera Trends'!$M$5, "")</f>
        <v/>
      </c>
      <c r="CQ35" s="6" t="str">
        <f>IF($Q35&lt;&gt;"", 'Daily Camera Trends'!$N$5, "")</f>
        <v/>
      </c>
    </row>
    <row r="36" spans="1:95" ht="40.049999999999997" customHeight="1" x14ac:dyDescent="0.3">
      <c r="A36" s="103" t="str">
        <f t="shared" si="2"/>
        <v/>
      </c>
      <c r="B36" s="236" t="s">
        <v>89</v>
      </c>
      <c r="C36" s="204"/>
      <c r="D36" s="31"/>
      <c r="E36" s="32"/>
      <c r="G36" s="36"/>
      <c r="H36" s="7"/>
      <c r="I36" s="37"/>
      <c r="J36" s="36"/>
      <c r="K36" s="36"/>
      <c r="L36" s="180"/>
      <c r="M36" s="180"/>
      <c r="N36" s="6"/>
      <c r="O36" s="6"/>
      <c r="P36" s="6"/>
      <c r="Q36" s="6"/>
      <c r="R36" s="6" t="str">
        <f>IF(COUNTBLANK($A36:$E36)&gt;0, "", IFERROR(_xlfn.MINIFS(Log!$G:$G, Log!$A:$A, $A36, Log!$B:$B, $B36, Log!$C:$C, $C36),""))</f>
        <v/>
      </c>
      <c r="S36" s="6" t="str">
        <f>IF(COUNTBLANK($A36:$E36)&gt;0, "", IFERROR(_xlfn.MAXIFS(Log!$G:$G, Log!$A:$A, $A36, Log!$B:$B, $B36, Log!$C:$C, $C36),""))</f>
        <v/>
      </c>
      <c r="T36" s="6" t="str">
        <f>IF($N36&lt;&gt;"", 'Daily Camera Trends'!$M$5, "")</f>
        <v/>
      </c>
      <c r="U36" s="6" t="str">
        <f>IF(Q36&lt;&gt;"", 'Daily Camera Trends'!$N$5, "")</f>
        <v/>
      </c>
      <c r="CP36" s="6" t="str">
        <f>IF($N36&lt;&gt;"", 'Daily Camera Trends'!$M$5, "")</f>
        <v/>
      </c>
      <c r="CQ36" s="6" t="str">
        <f>IF($Q36&lt;&gt;"", 'Daily Camera Trends'!$N$5, "")</f>
        <v/>
      </c>
    </row>
    <row r="37" spans="1:95" ht="40.049999999999997" customHeight="1" x14ac:dyDescent="0.3">
      <c r="A37" s="103" t="str">
        <f t="shared" si="2"/>
        <v/>
      </c>
      <c r="B37" s="236" t="s">
        <v>89</v>
      </c>
      <c r="C37" s="204"/>
      <c r="D37" s="31"/>
      <c r="E37" s="32"/>
      <c r="G37" s="36"/>
      <c r="H37" s="7"/>
      <c r="I37" s="37"/>
      <c r="J37" s="36"/>
      <c r="K37" s="36"/>
      <c r="L37" s="180"/>
      <c r="M37" s="180"/>
      <c r="N37" s="6"/>
      <c r="O37" s="6"/>
      <c r="P37" s="6"/>
      <c r="Q37" s="6"/>
      <c r="R37" s="6" t="str">
        <f>IF(COUNTBLANK($A37:$E37)&gt;0, "", IFERROR(_xlfn.MINIFS(Log!$G:$G, Log!$A:$A, $A37, Log!$B:$B, $B37, Log!$C:$C, $C37),""))</f>
        <v/>
      </c>
      <c r="S37" s="6" t="str">
        <f>IF(COUNTBLANK($A37:$E37)&gt;0, "", IFERROR(_xlfn.MAXIFS(Log!$G:$G, Log!$A:$A, $A37, Log!$B:$B, $B37, Log!$C:$C, $C37),""))</f>
        <v/>
      </c>
      <c r="T37" s="6" t="str">
        <f>IF($N37&lt;&gt;"", 'Daily Camera Trends'!$M$5, "")</f>
        <v/>
      </c>
      <c r="U37" s="6" t="str">
        <f>IF(Q37&lt;&gt;"", 'Daily Camera Trends'!$N$5, "")</f>
        <v/>
      </c>
      <c r="CP37" s="6" t="str">
        <f>IF($N37&lt;&gt;"", 'Daily Camera Trends'!$M$5, "")</f>
        <v/>
      </c>
      <c r="CQ37" s="6" t="str">
        <f>IF($Q37&lt;&gt;"", 'Daily Camera Trends'!$N$5, "")</f>
        <v/>
      </c>
    </row>
    <row r="38" spans="1:95" ht="40.049999999999997" customHeight="1" x14ac:dyDescent="0.3">
      <c r="A38" s="103" t="str">
        <f t="shared" si="2"/>
        <v/>
      </c>
      <c r="B38" s="236" t="s">
        <v>89</v>
      </c>
      <c r="C38" s="204"/>
      <c r="D38" s="31"/>
      <c r="E38" s="32"/>
      <c r="G38" s="36"/>
      <c r="H38" s="7"/>
      <c r="I38" s="37"/>
      <c r="J38" s="36"/>
      <c r="K38" s="36"/>
      <c r="L38" s="180"/>
      <c r="M38" s="180"/>
      <c r="N38" s="6"/>
      <c r="O38" s="6"/>
      <c r="P38" s="6"/>
      <c r="Q38" s="6"/>
      <c r="R38" s="6" t="str">
        <f>IF(COUNTBLANK($A38:$E38)&gt;0, "", IFERROR(_xlfn.MINIFS(Log!$G:$G, Log!$A:$A, $A38, Log!$B:$B, $B38, Log!$C:$C, $C38),""))</f>
        <v/>
      </c>
      <c r="S38" s="6" t="str">
        <f>IF(COUNTBLANK($A38:$E38)&gt;0, "", IFERROR(_xlfn.MAXIFS(Log!$G:$G, Log!$A:$A, $A38, Log!$B:$B, $B38, Log!$C:$C, $C38),""))</f>
        <v/>
      </c>
      <c r="T38" s="6" t="str">
        <f>IF($N38&lt;&gt;"", 'Daily Camera Trends'!$M$5, "")</f>
        <v/>
      </c>
      <c r="U38" s="6" t="str">
        <f>IF(Q38&lt;&gt;"", 'Daily Camera Trends'!$N$5, "")</f>
        <v/>
      </c>
      <c r="CP38" s="6" t="str">
        <f>IF($N38&lt;&gt;"", 'Daily Camera Trends'!$M$5, "")</f>
        <v/>
      </c>
      <c r="CQ38" s="6" t="str">
        <f>IF($Q38&lt;&gt;"", 'Daily Camera Trends'!$N$5, "")</f>
        <v/>
      </c>
    </row>
    <row r="39" spans="1:95" ht="40.049999999999997" customHeight="1" x14ac:dyDescent="0.3">
      <c r="A39" s="103" t="str">
        <f t="shared" si="2"/>
        <v/>
      </c>
      <c r="B39" s="236" t="s">
        <v>89</v>
      </c>
      <c r="C39" s="204"/>
      <c r="D39" s="31"/>
      <c r="E39" s="32"/>
      <c r="G39" s="36"/>
      <c r="H39" s="7"/>
      <c r="I39" s="37"/>
      <c r="J39" s="36"/>
      <c r="K39" s="36"/>
      <c r="L39" s="180"/>
      <c r="M39" s="180"/>
      <c r="N39" s="6"/>
      <c r="O39" s="6"/>
      <c r="P39" s="6"/>
      <c r="Q39" s="6"/>
      <c r="R39" s="6" t="str">
        <f>IF(COUNTBLANK($A39:$E39)&gt;0, "", IFERROR(_xlfn.MINIFS(Log!$G:$G, Log!$A:$A, $A39, Log!$B:$B, $B39, Log!$C:$C, $C39),""))</f>
        <v/>
      </c>
      <c r="S39" s="6" t="str">
        <f>IF(COUNTBLANK($A39:$E39)&gt;0, "", IFERROR(_xlfn.MAXIFS(Log!$G:$G, Log!$A:$A, $A39, Log!$B:$B, $B39, Log!$C:$C, $C39),""))</f>
        <v/>
      </c>
      <c r="T39" s="6" t="str">
        <f>IF($N39&lt;&gt;"", 'Daily Camera Trends'!$M$5, "")</f>
        <v/>
      </c>
      <c r="U39" s="6" t="str">
        <f>IF(Q39&lt;&gt;"", 'Daily Camera Trends'!$N$5, "")</f>
        <v/>
      </c>
      <c r="CP39" s="6" t="str">
        <f>IF($N39&lt;&gt;"", 'Daily Camera Trends'!$M$5, "")</f>
        <v/>
      </c>
      <c r="CQ39" s="6" t="str">
        <f>IF($Q39&lt;&gt;"", 'Daily Camera Trends'!$N$5, "")</f>
        <v/>
      </c>
    </row>
    <row r="40" spans="1:95" ht="40.049999999999997" customHeight="1" x14ac:dyDescent="0.3">
      <c r="A40" s="103" t="str">
        <f t="shared" si="2"/>
        <v/>
      </c>
      <c r="B40" s="236" t="s">
        <v>89</v>
      </c>
      <c r="C40" s="204"/>
      <c r="D40" s="31"/>
      <c r="E40" s="32"/>
      <c r="G40" s="36"/>
      <c r="H40" s="7"/>
      <c r="I40" s="37"/>
      <c r="J40" s="36"/>
      <c r="K40" s="36"/>
      <c r="L40" s="180"/>
      <c r="M40" s="180"/>
      <c r="N40" s="6"/>
      <c r="O40" s="6"/>
      <c r="P40" s="6"/>
      <c r="Q40" s="6"/>
      <c r="R40" s="6" t="str">
        <f>IF(COUNTBLANK($A40:$E40)&gt;0, "", IFERROR(_xlfn.MINIFS(Log!$G:$G, Log!$A:$A, $A40, Log!$B:$B, $B40, Log!$C:$C, $C40),""))</f>
        <v/>
      </c>
      <c r="S40" s="6" t="str">
        <f>IF(COUNTBLANK($A40:$E40)&gt;0, "", IFERROR(_xlfn.MAXIFS(Log!$G:$G, Log!$A:$A, $A40, Log!$B:$B, $B40, Log!$C:$C, $C40),""))</f>
        <v/>
      </c>
      <c r="T40" s="6" t="str">
        <f>IF($N40&lt;&gt;"", 'Daily Camera Trends'!$M$5, "")</f>
        <v/>
      </c>
      <c r="U40" s="6" t="str">
        <f>IF(Q40&lt;&gt;"", 'Daily Camera Trends'!$N$5, "")</f>
        <v/>
      </c>
      <c r="CP40" s="6" t="str">
        <f>IF($N40&lt;&gt;"", 'Daily Camera Trends'!$M$5, "")</f>
        <v/>
      </c>
      <c r="CQ40" s="6" t="str">
        <f>IF($Q40&lt;&gt;"", 'Daily Camera Trends'!$N$5, "")</f>
        <v/>
      </c>
    </row>
    <row r="41" spans="1:95" ht="40.049999999999997" customHeight="1" x14ac:dyDescent="0.3">
      <c r="A41" s="103" t="str">
        <f t="shared" si="2"/>
        <v/>
      </c>
      <c r="B41" s="236" t="s">
        <v>89</v>
      </c>
      <c r="C41" s="204"/>
      <c r="D41" s="31"/>
      <c r="E41" s="32"/>
      <c r="G41" s="36"/>
      <c r="H41" s="7"/>
      <c r="I41" s="37"/>
      <c r="J41" s="36"/>
      <c r="K41" s="36"/>
      <c r="L41" s="180"/>
      <c r="M41" s="180"/>
      <c r="N41" s="6"/>
      <c r="O41" s="6"/>
      <c r="P41" s="6"/>
      <c r="Q41" s="6"/>
      <c r="R41" s="6" t="str">
        <f>IF(COUNTBLANK($A41:$E41)&gt;0, "", IFERROR(_xlfn.MINIFS(Log!$G:$G, Log!$A:$A, $A41, Log!$B:$B, $B41, Log!$C:$C, $C41),""))</f>
        <v/>
      </c>
      <c r="S41" s="6" t="str">
        <f>IF(COUNTBLANK($A41:$E41)&gt;0, "", IFERROR(_xlfn.MAXIFS(Log!$G:$G, Log!$A:$A, $A41, Log!$B:$B, $B41, Log!$C:$C, $C41),""))</f>
        <v/>
      </c>
      <c r="T41" s="6" t="str">
        <f>IF($N41&lt;&gt;"", 'Daily Camera Trends'!$M$5, "")</f>
        <v/>
      </c>
      <c r="U41" s="6" t="str">
        <f>IF(Q41&lt;&gt;"", 'Daily Camera Trends'!$N$5, "")</f>
        <v/>
      </c>
      <c r="CP41" s="6" t="str">
        <f>IF($N41&lt;&gt;"", 'Daily Camera Trends'!$M$5, "")</f>
        <v/>
      </c>
      <c r="CQ41" s="6" t="str">
        <f>IF($Q41&lt;&gt;"", 'Daily Camera Trends'!$N$5, "")</f>
        <v/>
      </c>
    </row>
    <row r="42" spans="1:95" ht="40.049999999999997" customHeight="1" x14ac:dyDescent="0.3">
      <c r="A42" s="103" t="str">
        <f t="shared" si="2"/>
        <v/>
      </c>
      <c r="B42" s="236" t="s">
        <v>89</v>
      </c>
      <c r="C42" s="204"/>
      <c r="D42" s="31"/>
      <c r="E42" s="32"/>
      <c r="G42" s="36"/>
      <c r="H42" s="7"/>
      <c r="I42" s="37"/>
      <c r="J42" s="36"/>
      <c r="K42" s="36"/>
      <c r="L42" s="180"/>
      <c r="M42" s="180"/>
      <c r="N42" s="6"/>
      <c r="O42" s="6"/>
      <c r="P42" s="6"/>
      <c r="Q42" s="6"/>
      <c r="R42" s="6" t="str">
        <f>IF(COUNTBLANK($A42:$E42)&gt;0, "", IFERROR(_xlfn.MINIFS(Log!$G:$G, Log!$A:$A, $A42, Log!$B:$B, $B42, Log!$C:$C, $C42),""))</f>
        <v/>
      </c>
      <c r="S42" s="6" t="str">
        <f>IF(COUNTBLANK($A42:$E42)&gt;0, "", IFERROR(_xlfn.MAXIFS(Log!$G:$G, Log!$A:$A, $A42, Log!$B:$B, $B42, Log!$C:$C, $C42),""))</f>
        <v/>
      </c>
      <c r="T42" s="6" t="str">
        <f>IF($N42&lt;&gt;"", 'Daily Camera Trends'!$M$5, "")</f>
        <v/>
      </c>
      <c r="U42" s="6" t="str">
        <f>IF(Q42&lt;&gt;"", 'Daily Camera Trends'!$N$5, "")</f>
        <v/>
      </c>
      <c r="CP42" s="6" t="str">
        <f>IF($N42&lt;&gt;"", 'Daily Camera Trends'!$M$5, "")</f>
        <v/>
      </c>
      <c r="CQ42" s="6" t="str">
        <f>IF($Q42&lt;&gt;"", 'Daily Camera Trends'!$N$5, "")</f>
        <v/>
      </c>
    </row>
    <row r="43" spans="1:95" ht="40.049999999999997" customHeight="1" x14ac:dyDescent="0.3">
      <c r="A43" s="103" t="str">
        <f t="shared" si="2"/>
        <v/>
      </c>
      <c r="B43" s="236" t="s">
        <v>89</v>
      </c>
      <c r="C43" s="204"/>
      <c r="D43" s="31"/>
      <c r="E43" s="32"/>
      <c r="G43" s="36"/>
      <c r="H43" s="7"/>
      <c r="I43" s="37"/>
      <c r="J43" s="36"/>
      <c r="K43" s="36"/>
      <c r="L43" s="180"/>
      <c r="M43" s="180"/>
      <c r="N43" s="6"/>
      <c r="O43" s="6"/>
      <c r="P43" s="6"/>
      <c r="Q43" s="6"/>
      <c r="R43" s="6" t="str">
        <f>IF(COUNTBLANK($A43:$E43)&gt;0, "", IFERROR(_xlfn.MINIFS(Log!$G:$G, Log!$A:$A, $A43, Log!$B:$B, $B43, Log!$C:$C, $C43),""))</f>
        <v/>
      </c>
      <c r="S43" s="6" t="str">
        <f>IF(COUNTBLANK($A43:$E43)&gt;0, "", IFERROR(_xlfn.MAXIFS(Log!$G:$G, Log!$A:$A, $A43, Log!$B:$B, $B43, Log!$C:$C, $C43),""))</f>
        <v/>
      </c>
      <c r="T43" s="6" t="str">
        <f>IF($N43&lt;&gt;"", 'Daily Camera Trends'!$M$5, "")</f>
        <v/>
      </c>
      <c r="U43" s="6" t="str">
        <f>IF(Q43&lt;&gt;"", 'Daily Camera Trends'!$N$5, "")</f>
        <v/>
      </c>
      <c r="CP43" s="6" t="str">
        <f>IF($N43&lt;&gt;"", 'Daily Camera Trends'!$M$5, "")</f>
        <v/>
      </c>
      <c r="CQ43" s="6" t="str">
        <f>IF($Q43&lt;&gt;"", 'Daily Camera Trends'!$N$5, "")</f>
        <v/>
      </c>
    </row>
    <row r="44" spans="1:95" ht="40.049999999999997" customHeight="1" x14ac:dyDescent="0.3">
      <c r="A44" s="103" t="str">
        <f t="shared" si="2"/>
        <v/>
      </c>
      <c r="B44" s="236" t="s">
        <v>89</v>
      </c>
      <c r="C44" s="204"/>
      <c r="D44" s="31"/>
      <c r="E44" s="32"/>
      <c r="G44" s="36"/>
      <c r="H44" s="7"/>
      <c r="I44" s="37"/>
      <c r="J44" s="36"/>
      <c r="K44" s="36"/>
      <c r="L44" s="180"/>
      <c r="M44" s="180"/>
      <c r="N44" s="6"/>
      <c r="O44" s="6"/>
      <c r="P44" s="6"/>
      <c r="Q44" s="6"/>
      <c r="R44" s="6" t="str">
        <f>IF(COUNTBLANK($A44:$E44)&gt;0, "", IFERROR(_xlfn.MINIFS(Log!$G:$G, Log!$A:$A, $A44, Log!$B:$B, $B44, Log!$C:$C, $C44),""))</f>
        <v/>
      </c>
      <c r="S44" s="6" t="str">
        <f>IF(COUNTBLANK($A44:$E44)&gt;0, "", IFERROR(_xlfn.MAXIFS(Log!$G:$G, Log!$A:$A, $A44, Log!$B:$B, $B44, Log!$C:$C, $C44),""))</f>
        <v/>
      </c>
      <c r="T44" s="6" t="str">
        <f>IF($N44&lt;&gt;"", 'Daily Camera Trends'!$M$5, "")</f>
        <v/>
      </c>
      <c r="U44" s="6" t="str">
        <f>IF(Q44&lt;&gt;"", 'Daily Camera Trends'!$N$5, "")</f>
        <v/>
      </c>
      <c r="CP44" s="6" t="str">
        <f>IF($N44&lt;&gt;"", 'Daily Camera Trends'!$M$5, "")</f>
        <v/>
      </c>
      <c r="CQ44" s="6" t="str">
        <f>IF($Q44&lt;&gt;"", 'Daily Camera Trends'!$N$5, "")</f>
        <v/>
      </c>
    </row>
    <row r="45" spans="1:95" ht="40.049999999999997" customHeight="1" x14ac:dyDescent="0.3">
      <c r="A45" s="103" t="str">
        <f t="shared" si="2"/>
        <v/>
      </c>
      <c r="B45" s="236" t="s">
        <v>89</v>
      </c>
      <c r="C45" s="204"/>
      <c r="D45" s="31"/>
      <c r="E45" s="32"/>
      <c r="G45" s="36"/>
      <c r="H45" s="7"/>
      <c r="I45" s="37"/>
      <c r="J45" s="36"/>
      <c r="K45" s="36"/>
      <c r="L45" s="180"/>
      <c r="M45" s="180"/>
      <c r="N45" s="6"/>
      <c r="O45" s="6"/>
      <c r="P45" s="6"/>
      <c r="Q45" s="6"/>
      <c r="R45" s="6" t="str">
        <f>IF(COUNTBLANK($A45:$E45)&gt;0, "", IFERROR(_xlfn.MINIFS(Log!$G:$G, Log!$A:$A, $A45, Log!$B:$B, $B45, Log!$C:$C, $C45),""))</f>
        <v/>
      </c>
      <c r="S45" s="6" t="str">
        <f>IF(COUNTBLANK($A45:$E45)&gt;0, "", IFERROR(_xlfn.MAXIFS(Log!$G:$G, Log!$A:$A, $A45, Log!$B:$B, $B45, Log!$C:$C, $C45),""))</f>
        <v/>
      </c>
      <c r="T45" s="6" t="str">
        <f>IF($N45&lt;&gt;"", 'Daily Camera Trends'!$M$5, "")</f>
        <v/>
      </c>
      <c r="U45" s="6" t="str">
        <f>IF(Q45&lt;&gt;"", 'Daily Camera Trends'!$N$5, "")</f>
        <v/>
      </c>
      <c r="CP45" s="6" t="str">
        <f>IF($N45&lt;&gt;"", 'Daily Camera Trends'!$M$5, "")</f>
        <v/>
      </c>
      <c r="CQ45" s="6" t="str">
        <f>IF($Q45&lt;&gt;"", 'Daily Camera Trends'!$N$5, "")</f>
        <v/>
      </c>
    </row>
    <row r="46" spans="1:95" ht="40.049999999999997" customHeight="1" x14ac:dyDescent="0.3">
      <c r="A46" s="103" t="str">
        <f t="shared" si="2"/>
        <v/>
      </c>
      <c r="B46" s="236" t="s">
        <v>89</v>
      </c>
      <c r="C46" s="204"/>
      <c r="D46" s="31"/>
      <c r="E46" s="32"/>
      <c r="G46" s="36"/>
      <c r="H46" s="7"/>
      <c r="I46" s="37"/>
      <c r="J46" s="36"/>
      <c r="K46" s="36"/>
      <c r="L46" s="180"/>
      <c r="M46" s="180"/>
      <c r="N46" s="6"/>
      <c r="O46" s="6"/>
      <c r="P46" s="6"/>
      <c r="Q46" s="6"/>
      <c r="R46" s="6" t="str">
        <f>IF(COUNTBLANK($A46:$E46)&gt;0, "", IFERROR(_xlfn.MINIFS(Log!$G:$G, Log!$A:$A, $A46, Log!$B:$B, $B46, Log!$C:$C, $C46),""))</f>
        <v/>
      </c>
      <c r="S46" s="6" t="str">
        <f>IF(COUNTBLANK($A46:$E46)&gt;0, "", IFERROR(_xlfn.MAXIFS(Log!$G:$G, Log!$A:$A, $A46, Log!$B:$B, $B46, Log!$C:$C, $C46),""))</f>
        <v/>
      </c>
      <c r="T46" s="6" t="str">
        <f>IF($N46&lt;&gt;"", 'Daily Camera Trends'!$M$5, "")</f>
        <v/>
      </c>
      <c r="U46" s="6" t="str">
        <f>IF(Q46&lt;&gt;"", 'Daily Camera Trends'!$N$5, "")</f>
        <v/>
      </c>
      <c r="CP46" s="6" t="str">
        <f>IF($N46&lt;&gt;"", 'Daily Camera Trends'!$M$5, "")</f>
        <v/>
      </c>
      <c r="CQ46" s="6" t="str">
        <f>IF($Q46&lt;&gt;"", 'Daily Camera Trends'!$N$5, "")</f>
        <v/>
      </c>
    </row>
    <row r="47" spans="1:95" ht="40.049999999999997" customHeight="1" x14ac:dyDescent="0.3">
      <c r="A47" s="103" t="str">
        <f t="shared" si="2"/>
        <v/>
      </c>
      <c r="B47" s="236" t="s">
        <v>89</v>
      </c>
      <c r="C47" s="204"/>
      <c r="D47" s="31"/>
      <c r="E47" s="32"/>
      <c r="G47" s="36"/>
      <c r="H47" s="7"/>
      <c r="I47" s="37"/>
      <c r="J47" s="36"/>
      <c r="K47" s="36"/>
      <c r="L47" s="180"/>
      <c r="M47" s="180"/>
      <c r="N47" s="6"/>
      <c r="O47" s="6"/>
      <c r="P47" s="6"/>
      <c r="Q47" s="6"/>
      <c r="R47" s="6" t="str">
        <f>IF(COUNTBLANK($A47:$E47)&gt;0, "", IFERROR(_xlfn.MINIFS(Log!$G:$G, Log!$A:$A, $A47, Log!$B:$B, $B47, Log!$C:$C, $C47),""))</f>
        <v/>
      </c>
      <c r="S47" s="6" t="str">
        <f>IF(COUNTBLANK($A47:$E47)&gt;0, "", IFERROR(_xlfn.MAXIFS(Log!$G:$G, Log!$A:$A, $A47, Log!$B:$B, $B47, Log!$C:$C, $C47),""))</f>
        <v/>
      </c>
      <c r="T47" s="6" t="str">
        <f>IF($N47&lt;&gt;"", 'Daily Camera Trends'!$M$5, "")</f>
        <v/>
      </c>
      <c r="U47" s="6" t="str">
        <f>IF(Q47&lt;&gt;"", 'Daily Camera Trends'!$N$5, "")</f>
        <v/>
      </c>
      <c r="CP47" s="6" t="str">
        <f>IF($N47&lt;&gt;"", 'Daily Camera Trends'!$M$5, "")</f>
        <v/>
      </c>
      <c r="CQ47" s="6" t="str">
        <f>IF($Q47&lt;&gt;"", 'Daily Camera Trends'!$N$5, "")</f>
        <v/>
      </c>
    </row>
    <row r="48" spans="1:95" ht="40.049999999999997" customHeight="1" x14ac:dyDescent="0.3">
      <c r="A48" s="103" t="str">
        <f t="shared" si="2"/>
        <v/>
      </c>
      <c r="B48" s="236" t="s">
        <v>89</v>
      </c>
      <c r="C48" s="204"/>
      <c r="D48" s="31"/>
      <c r="E48" s="32"/>
      <c r="G48" s="36"/>
      <c r="H48" s="7"/>
      <c r="I48" s="37"/>
      <c r="J48" s="36"/>
      <c r="K48" s="36"/>
      <c r="L48" s="180"/>
      <c r="M48" s="180"/>
      <c r="N48" s="6"/>
      <c r="O48" s="6"/>
      <c r="P48" s="6"/>
      <c r="Q48" s="6"/>
      <c r="R48" s="6" t="str">
        <f>IF(COUNTBLANK($A48:$E48)&gt;0, "", IFERROR(_xlfn.MINIFS(Log!$G:$G, Log!$A:$A, $A48, Log!$B:$B, $B48, Log!$C:$C, $C48),""))</f>
        <v/>
      </c>
      <c r="S48" s="6" t="str">
        <f>IF(COUNTBLANK($A48:$E48)&gt;0, "", IFERROR(_xlfn.MAXIFS(Log!$G:$G, Log!$A:$A, $A48, Log!$B:$B, $B48, Log!$C:$C, $C48),""))</f>
        <v/>
      </c>
      <c r="T48" s="6" t="str">
        <f>IF($N48&lt;&gt;"", 'Daily Camera Trends'!$M$5, "")</f>
        <v/>
      </c>
      <c r="U48" s="6" t="str">
        <f>IF(Q48&lt;&gt;"", 'Daily Camera Trends'!$N$5, "")</f>
        <v/>
      </c>
      <c r="CP48" s="6" t="str">
        <f>IF($N48&lt;&gt;"", 'Daily Camera Trends'!$M$5, "")</f>
        <v/>
      </c>
      <c r="CQ48" s="6" t="str">
        <f>IF($Q48&lt;&gt;"", 'Daily Camera Trends'!$N$5, "")</f>
        <v/>
      </c>
    </row>
    <row r="49" spans="1:95" ht="40.049999999999997" customHeight="1" x14ac:dyDescent="0.3">
      <c r="A49" s="103" t="str">
        <f t="shared" si="2"/>
        <v/>
      </c>
      <c r="B49" s="236" t="s">
        <v>89</v>
      </c>
      <c r="C49" s="204"/>
      <c r="D49" s="31"/>
      <c r="E49" s="32"/>
      <c r="G49" s="36"/>
      <c r="H49" s="7"/>
      <c r="I49" s="37"/>
      <c r="J49" s="36"/>
      <c r="K49" s="36"/>
      <c r="L49" s="180"/>
      <c r="M49" s="180"/>
      <c r="N49" s="6"/>
      <c r="O49" s="6"/>
      <c r="P49" s="6"/>
      <c r="Q49" s="6"/>
      <c r="R49" s="6" t="str">
        <f>IF(COUNTBLANK($A49:$E49)&gt;0, "", IFERROR(_xlfn.MINIFS(Log!$G:$G, Log!$A:$A, $A49, Log!$B:$B, $B49, Log!$C:$C, $C49),""))</f>
        <v/>
      </c>
      <c r="S49" s="6" t="str">
        <f>IF(COUNTBLANK($A49:$E49)&gt;0, "", IFERROR(_xlfn.MAXIFS(Log!$G:$G, Log!$A:$A, $A49, Log!$B:$B, $B49, Log!$C:$C, $C49),""))</f>
        <v/>
      </c>
      <c r="T49" s="6" t="str">
        <f>IF($N49&lt;&gt;"", 'Daily Camera Trends'!$M$5, "")</f>
        <v/>
      </c>
      <c r="U49" s="6" t="str">
        <f>IF(Q49&lt;&gt;"", 'Daily Camera Trends'!$N$5, "")</f>
        <v/>
      </c>
      <c r="CP49" s="6" t="str">
        <f>IF($N49&lt;&gt;"", 'Daily Camera Trends'!$M$5, "")</f>
        <v/>
      </c>
      <c r="CQ49" s="6" t="str">
        <f>IF($Q49&lt;&gt;"", 'Daily Camera Trends'!$N$5, "")</f>
        <v/>
      </c>
    </row>
    <row r="50" spans="1:95" ht="40.049999999999997" customHeight="1" x14ac:dyDescent="0.3">
      <c r="A50" s="103" t="str">
        <f t="shared" si="2"/>
        <v/>
      </c>
      <c r="B50" s="236" t="s">
        <v>89</v>
      </c>
      <c r="C50" s="204"/>
      <c r="D50" s="31"/>
      <c r="E50" s="32"/>
      <c r="G50" s="36"/>
      <c r="H50" s="7"/>
      <c r="I50" s="37"/>
      <c r="J50" s="36"/>
      <c r="K50" s="36"/>
      <c r="L50" s="180"/>
      <c r="M50" s="180"/>
      <c r="N50" s="6"/>
      <c r="O50" s="6"/>
      <c r="P50" s="6"/>
      <c r="Q50" s="6"/>
      <c r="R50" s="6" t="str">
        <f>IF(COUNTBLANK($A50:$E50)&gt;0, "", IFERROR(_xlfn.MINIFS(Log!$G:$G, Log!$A:$A, $A50, Log!$B:$B, $B50, Log!$C:$C, $C50),""))</f>
        <v/>
      </c>
      <c r="S50" s="6" t="str">
        <f>IF(COUNTBLANK($A50:$E50)&gt;0, "", IFERROR(_xlfn.MAXIFS(Log!$G:$G, Log!$A:$A, $A50, Log!$B:$B, $B50, Log!$C:$C, $C50),""))</f>
        <v/>
      </c>
      <c r="T50" s="6" t="str">
        <f>IF($N50&lt;&gt;"", 'Daily Camera Trends'!$M$5, "")</f>
        <v/>
      </c>
      <c r="U50" s="6" t="str">
        <f>IF(Q50&lt;&gt;"", 'Daily Camera Trends'!$N$5, "")</f>
        <v/>
      </c>
      <c r="CP50" s="6" t="str">
        <f>IF($N50&lt;&gt;"", 'Daily Camera Trends'!$M$5, "")</f>
        <v/>
      </c>
      <c r="CQ50" s="6" t="str">
        <f>IF($Q50&lt;&gt;"", 'Daily Camera Trends'!$N$5, "")</f>
        <v/>
      </c>
    </row>
    <row r="51" spans="1:95" ht="40.049999999999997" customHeight="1" x14ac:dyDescent="0.3">
      <c r="A51" s="103" t="str">
        <f t="shared" si="2"/>
        <v/>
      </c>
      <c r="B51" s="236" t="s">
        <v>89</v>
      </c>
      <c r="C51" s="204"/>
      <c r="D51" s="31"/>
      <c r="E51" s="32"/>
      <c r="G51" s="36"/>
      <c r="H51" s="7"/>
      <c r="I51" s="37"/>
      <c r="J51" s="36"/>
      <c r="K51" s="36"/>
      <c r="L51" s="180"/>
      <c r="M51" s="180"/>
      <c r="N51" s="6"/>
      <c r="O51" s="6"/>
      <c r="P51" s="6"/>
      <c r="Q51" s="6"/>
      <c r="R51" s="6" t="str">
        <f>IF(COUNTBLANK($A51:$E51)&gt;0, "", IFERROR(_xlfn.MINIFS(Log!$G:$G, Log!$A:$A, $A51, Log!$B:$B, $B51, Log!$C:$C, $C51),""))</f>
        <v/>
      </c>
      <c r="S51" s="6" t="str">
        <f>IF(COUNTBLANK($A51:$E51)&gt;0, "", IFERROR(_xlfn.MAXIFS(Log!$G:$G, Log!$A:$A, $A51, Log!$B:$B, $B51, Log!$C:$C, $C51),""))</f>
        <v/>
      </c>
      <c r="T51" s="6" t="str">
        <f>IF($N51&lt;&gt;"", 'Daily Camera Trends'!$M$5, "")</f>
        <v/>
      </c>
      <c r="U51" s="6" t="str">
        <f>IF(Q51&lt;&gt;"", 'Daily Camera Trends'!$N$5, "")</f>
        <v/>
      </c>
      <c r="CP51" s="6" t="str">
        <f>IF($N51&lt;&gt;"", 'Daily Camera Trends'!$M$5, "")</f>
        <v/>
      </c>
      <c r="CQ51" s="6" t="str">
        <f>IF($Q51&lt;&gt;"", 'Daily Camera Trends'!$N$5, "")</f>
        <v/>
      </c>
    </row>
    <row r="52" spans="1:95" ht="40.049999999999997" customHeight="1" x14ac:dyDescent="0.3">
      <c r="A52" s="103" t="str">
        <f t="shared" si="2"/>
        <v/>
      </c>
      <c r="B52" s="236" t="s">
        <v>89</v>
      </c>
      <c r="C52" s="204"/>
      <c r="D52" s="31"/>
      <c r="E52" s="32"/>
      <c r="G52" s="36"/>
      <c r="H52" s="7"/>
      <c r="I52" s="37"/>
      <c r="J52" s="36"/>
      <c r="K52" s="36"/>
      <c r="L52" s="180"/>
      <c r="M52" s="180"/>
      <c r="N52" s="6"/>
      <c r="O52" s="6"/>
      <c r="P52" s="6"/>
      <c r="Q52" s="6"/>
      <c r="R52" s="6" t="str">
        <f>IF(COUNTBLANK($A52:$E52)&gt;0, "", IFERROR(_xlfn.MINIFS(Log!$G:$G, Log!$A:$A, $A52, Log!$B:$B, $B52, Log!$C:$C, $C52),""))</f>
        <v/>
      </c>
      <c r="S52" s="6" t="str">
        <f>IF(COUNTBLANK($A52:$E52)&gt;0, "", IFERROR(_xlfn.MAXIFS(Log!$G:$G, Log!$A:$A, $A52, Log!$B:$B, $B52, Log!$C:$C, $C52),""))</f>
        <v/>
      </c>
      <c r="T52" s="6" t="str">
        <f>IF($N52&lt;&gt;"", 'Daily Camera Trends'!$M$5, "")</f>
        <v/>
      </c>
      <c r="U52" s="6" t="str">
        <f>IF(Q52&lt;&gt;"", 'Daily Camera Trends'!$N$5, "")</f>
        <v/>
      </c>
      <c r="CP52" s="6" t="str">
        <f>IF($N52&lt;&gt;"", 'Daily Camera Trends'!$M$5, "")</f>
        <v/>
      </c>
      <c r="CQ52" s="6" t="str">
        <f>IF($Q52&lt;&gt;"", 'Daily Camera Trends'!$N$5, "")</f>
        <v/>
      </c>
    </row>
    <row r="53" spans="1:95" ht="40.049999999999997" customHeight="1" x14ac:dyDescent="0.3">
      <c r="A53" s="103" t="str">
        <f t="shared" si="2"/>
        <v/>
      </c>
      <c r="B53" s="236" t="s">
        <v>89</v>
      </c>
      <c r="C53" s="204"/>
      <c r="D53" s="31"/>
      <c r="E53" s="32"/>
      <c r="G53" s="36"/>
      <c r="H53" s="7"/>
      <c r="I53" s="37"/>
      <c r="J53" s="36"/>
      <c r="K53" s="36"/>
      <c r="L53" s="180"/>
      <c r="M53" s="180"/>
      <c r="N53" s="6"/>
      <c r="O53" s="6"/>
      <c r="P53" s="6"/>
      <c r="Q53" s="6"/>
      <c r="R53" s="6" t="str">
        <f>IF(COUNTBLANK($A53:$E53)&gt;0, "", IFERROR(_xlfn.MINIFS(Log!$G:$G, Log!$A:$A, $A53, Log!$B:$B, $B53, Log!$C:$C, $C53),""))</f>
        <v/>
      </c>
      <c r="S53" s="6" t="str">
        <f>IF(COUNTBLANK($A53:$E53)&gt;0, "", IFERROR(_xlfn.MAXIFS(Log!$G:$G, Log!$A:$A, $A53, Log!$B:$B, $B53, Log!$C:$C, $C53),""))</f>
        <v/>
      </c>
      <c r="T53" s="6" t="str">
        <f>IF($N53&lt;&gt;"", 'Daily Camera Trends'!$M$5, "")</f>
        <v/>
      </c>
      <c r="U53" s="6" t="str">
        <f>IF(Q53&lt;&gt;"", 'Daily Camera Trends'!$N$5, "")</f>
        <v/>
      </c>
      <c r="CP53" s="6" t="str">
        <f>IF($N53&lt;&gt;"", 'Daily Camera Trends'!$M$5, "")</f>
        <v/>
      </c>
      <c r="CQ53" s="6" t="str">
        <f>IF($Q53&lt;&gt;"", 'Daily Camera Trends'!$N$5, "")</f>
        <v/>
      </c>
    </row>
    <row r="54" spans="1:95" ht="40.049999999999997" customHeight="1" x14ac:dyDescent="0.3">
      <c r="A54" s="103" t="str">
        <f t="shared" si="2"/>
        <v/>
      </c>
      <c r="B54" s="236" t="s">
        <v>89</v>
      </c>
      <c r="C54" s="204"/>
      <c r="D54" s="31"/>
      <c r="E54" s="32"/>
      <c r="G54" s="36"/>
      <c r="H54" s="7"/>
      <c r="I54" s="37"/>
      <c r="J54" s="36"/>
      <c r="K54" s="36"/>
      <c r="L54" s="180"/>
      <c r="M54" s="180"/>
      <c r="N54" s="6"/>
      <c r="O54" s="6"/>
      <c r="P54" s="6"/>
      <c r="Q54" s="6"/>
      <c r="R54" s="6" t="str">
        <f>IF(COUNTBLANK($A54:$E54)&gt;0, "", IFERROR(_xlfn.MINIFS(Log!$G:$G, Log!$A:$A, $A54, Log!$B:$B, $B54, Log!$C:$C, $C54),""))</f>
        <v/>
      </c>
      <c r="S54" s="6" t="str">
        <f>IF(COUNTBLANK($A54:$E54)&gt;0, "", IFERROR(_xlfn.MAXIFS(Log!$G:$G, Log!$A:$A, $A54, Log!$B:$B, $B54, Log!$C:$C, $C54),""))</f>
        <v/>
      </c>
      <c r="T54" s="6" t="str">
        <f>IF($N54&lt;&gt;"", 'Daily Camera Trends'!$M$5, "")</f>
        <v/>
      </c>
      <c r="U54" s="6" t="str">
        <f>IF(Q54&lt;&gt;"", 'Daily Camera Trends'!$N$5, "")</f>
        <v/>
      </c>
      <c r="CP54" s="6" t="str">
        <f>IF($N54&lt;&gt;"", 'Daily Camera Trends'!$M$5, "")</f>
        <v/>
      </c>
      <c r="CQ54" s="6" t="str">
        <f>IF($Q54&lt;&gt;"", 'Daily Camera Trends'!$N$5, "")</f>
        <v/>
      </c>
    </row>
    <row r="55" spans="1:95" ht="40.049999999999997" customHeight="1" x14ac:dyDescent="0.3">
      <c r="A55" s="103" t="str">
        <f t="shared" si="2"/>
        <v/>
      </c>
      <c r="B55" s="236" t="s">
        <v>89</v>
      </c>
      <c r="C55" s="204"/>
      <c r="D55" s="31"/>
      <c r="E55" s="32"/>
      <c r="G55" s="36"/>
      <c r="H55" s="7"/>
      <c r="I55" s="37"/>
      <c r="J55" s="36"/>
      <c r="K55" s="36"/>
      <c r="L55" s="180"/>
      <c r="M55" s="180"/>
      <c r="N55" s="6"/>
      <c r="O55" s="6"/>
      <c r="P55" s="6"/>
      <c r="Q55" s="6"/>
      <c r="R55" s="6" t="str">
        <f>IF(COUNTBLANK($A55:$E55)&gt;0, "", IFERROR(_xlfn.MINIFS(Log!$G:$G, Log!$A:$A, $A55, Log!$B:$B, $B55, Log!$C:$C, $C55),""))</f>
        <v/>
      </c>
      <c r="S55" s="6" t="str">
        <f>IF(COUNTBLANK($A55:$E55)&gt;0, "", IFERROR(_xlfn.MAXIFS(Log!$G:$G, Log!$A:$A, $A55, Log!$B:$B, $B55, Log!$C:$C, $C55),""))</f>
        <v/>
      </c>
      <c r="T55" s="6" t="str">
        <f>IF($N55&lt;&gt;"", 'Daily Camera Trends'!$M$5, "")</f>
        <v/>
      </c>
      <c r="U55" s="6" t="str">
        <f>IF(Q55&lt;&gt;"", 'Daily Camera Trends'!$N$5, "")</f>
        <v/>
      </c>
      <c r="CP55" s="6" t="str">
        <f>IF($N55&lt;&gt;"", 'Daily Camera Trends'!$M$5, "")</f>
        <v/>
      </c>
      <c r="CQ55" s="6" t="str">
        <f>IF($Q55&lt;&gt;"", 'Daily Camera Trends'!$N$5, "")</f>
        <v/>
      </c>
    </row>
    <row r="56" spans="1:95" ht="40.049999999999997" customHeight="1" x14ac:dyDescent="0.3">
      <c r="A56" s="103" t="str">
        <f t="shared" si="2"/>
        <v/>
      </c>
      <c r="B56" s="236" t="s">
        <v>89</v>
      </c>
      <c r="C56" s="204"/>
      <c r="D56" s="31"/>
      <c r="E56" s="32"/>
      <c r="G56" s="36"/>
      <c r="H56" s="7"/>
      <c r="I56" s="37"/>
      <c r="J56" s="36"/>
      <c r="K56" s="36"/>
      <c r="L56" s="180"/>
      <c r="M56" s="180"/>
      <c r="N56" s="6"/>
      <c r="O56" s="6"/>
      <c r="P56" s="6"/>
      <c r="Q56" s="6"/>
      <c r="R56" s="6" t="str">
        <f>IF(COUNTBLANK($A56:$E56)&gt;0, "", IFERROR(_xlfn.MINIFS(Log!$G:$G, Log!$A:$A, $A56, Log!$B:$B, $B56, Log!$C:$C, $C56),""))</f>
        <v/>
      </c>
      <c r="S56" s="6" t="str">
        <f>IF(COUNTBLANK($A56:$E56)&gt;0, "", IFERROR(_xlfn.MAXIFS(Log!$G:$G, Log!$A:$A, $A56, Log!$B:$B, $B56, Log!$C:$C, $C56),""))</f>
        <v/>
      </c>
      <c r="T56" s="6" t="str">
        <f>IF($N56&lt;&gt;"", 'Daily Camera Trends'!$M$5, "")</f>
        <v/>
      </c>
      <c r="U56" s="6" t="str">
        <f>IF(Q56&lt;&gt;"", 'Daily Camera Trends'!$N$5, "")</f>
        <v/>
      </c>
      <c r="CP56" s="6" t="str">
        <f>IF($N56&lt;&gt;"", 'Daily Camera Trends'!$M$5, "")</f>
        <v/>
      </c>
      <c r="CQ56" s="6" t="str">
        <f>IF($Q56&lt;&gt;"", 'Daily Camera Trends'!$N$5, "")</f>
        <v/>
      </c>
    </row>
    <row r="57" spans="1:95" ht="40.049999999999997" customHeight="1" x14ac:dyDescent="0.3">
      <c r="A57" s="103" t="str">
        <f t="shared" si="2"/>
        <v/>
      </c>
      <c r="B57" s="236" t="s">
        <v>89</v>
      </c>
      <c r="H57" s="7"/>
      <c r="I57" s="37"/>
      <c r="J57" s="36"/>
      <c r="K57" s="36"/>
      <c r="L57" s="180"/>
      <c r="M57" s="180"/>
      <c r="N57" s="6"/>
      <c r="O57" s="6"/>
      <c r="P57" s="6"/>
      <c r="Q57" s="6"/>
      <c r="R57" s="6" t="str">
        <f>IF(COUNTBLANK($A57:$E57)&gt;0, "", IFERROR(_xlfn.MINIFS(Log!$G:$G, Log!$A:$A, $A57, Log!$B:$B, $B57, Log!$C:$C, $C57),""))</f>
        <v/>
      </c>
      <c r="S57" s="6" t="str">
        <f>IF(COUNTBLANK($A57:$E57)&gt;0, "", IFERROR(_xlfn.MAXIFS(Log!$G:$G, Log!$A:$A, $A57, Log!$B:$B, $B57, Log!$C:$C, $C57),""))</f>
        <v/>
      </c>
      <c r="T57" s="6" t="str">
        <f>IF($N57&lt;&gt;"", 'Daily Camera Trends'!$M$5, "")</f>
        <v/>
      </c>
      <c r="U57" s="6" t="str">
        <f>IF(Q57&lt;&gt;"", 'Daily Camera Trends'!$N$5, "")</f>
        <v/>
      </c>
      <c r="CP57" s="6" t="str">
        <f>IF($N57&lt;&gt;"", 'Daily Camera Trends'!$M$5, "")</f>
        <v/>
      </c>
      <c r="CQ57" s="6" t="str">
        <f>IF($Q57&lt;&gt;"", 'Daily Camera Trends'!$N$5, "")</f>
        <v/>
      </c>
    </row>
    <row r="58" spans="1:95" ht="40.049999999999997" customHeight="1" x14ac:dyDescent="0.3">
      <c r="A58" s="103" t="str">
        <f t="shared" si="2"/>
        <v/>
      </c>
      <c r="B58" s="236" t="s">
        <v>89</v>
      </c>
      <c r="H58" s="7"/>
      <c r="I58" s="37"/>
      <c r="J58" s="36"/>
      <c r="K58" s="36"/>
      <c r="L58" s="180"/>
      <c r="M58" s="180"/>
      <c r="N58" s="6"/>
      <c r="O58" s="6"/>
      <c r="P58" s="6"/>
      <c r="Q58" s="6"/>
      <c r="R58" s="6" t="str">
        <f>IF(COUNTBLANK($A58:$E58)&gt;0, "", IFERROR(_xlfn.MINIFS(Log!$G:$G, Log!$A:$A, $A58, Log!$B:$B, $B58, Log!$C:$C, $C58),""))</f>
        <v/>
      </c>
      <c r="S58" s="6" t="str">
        <f>IF(COUNTBLANK($A58:$E58)&gt;0, "", IFERROR(_xlfn.MAXIFS(Log!$G:$G, Log!$A:$A, $A58, Log!$B:$B, $B58, Log!$C:$C, $C58),""))</f>
        <v/>
      </c>
      <c r="T58" s="6" t="str">
        <f>IF($N58&lt;&gt;"", 'Daily Camera Trends'!$M$5, "")</f>
        <v/>
      </c>
      <c r="U58" s="6" t="str">
        <f>IF(Q58&lt;&gt;"", 'Daily Camera Trends'!$N$5, "")</f>
        <v/>
      </c>
      <c r="CP58" s="6" t="str">
        <f>IF($N58&lt;&gt;"", 'Daily Camera Trends'!$M$5, "")</f>
        <v/>
      </c>
      <c r="CQ58" s="6" t="str">
        <f>IF($Q58&lt;&gt;"", 'Daily Camera Trends'!$N$5, "")</f>
        <v/>
      </c>
    </row>
    <row r="59" spans="1:95" ht="40.049999999999997" customHeight="1" x14ac:dyDescent="0.3">
      <c r="A59" s="103" t="str">
        <f t="shared" si="2"/>
        <v/>
      </c>
      <c r="B59" s="236" t="s">
        <v>89</v>
      </c>
      <c r="H59" s="7"/>
      <c r="I59" s="37"/>
      <c r="J59" s="36"/>
      <c r="K59" s="36"/>
      <c r="L59" s="180"/>
      <c r="M59" s="180"/>
      <c r="N59" s="6"/>
      <c r="O59" s="6"/>
      <c r="P59" s="6"/>
      <c r="Q59" s="6"/>
      <c r="R59" s="6" t="str">
        <f>IF(COUNTBLANK($A59:$E59)&gt;0, "", IFERROR(_xlfn.MINIFS(Log!$G:$G, Log!$A:$A, $A59, Log!$B:$B, $B59, Log!$C:$C, $C59),""))</f>
        <v/>
      </c>
      <c r="S59" s="6" t="str">
        <f>IF(COUNTBLANK($A59:$E59)&gt;0, "", IFERROR(_xlfn.MAXIFS(Log!$G:$G, Log!$A:$A, $A59, Log!$B:$B, $B59, Log!$C:$C, $C59),""))</f>
        <v/>
      </c>
      <c r="T59" s="6" t="str">
        <f>IF($N59&lt;&gt;"", 'Daily Camera Trends'!$M$5, "")</f>
        <v/>
      </c>
      <c r="U59" s="6" t="str">
        <f>IF(Q59&lt;&gt;"", 'Daily Camera Trends'!$N$5, "")</f>
        <v/>
      </c>
      <c r="CP59" s="6" t="str">
        <f>IF($N59&lt;&gt;"", 'Daily Camera Trends'!$M$5, "")</f>
        <v/>
      </c>
      <c r="CQ59" s="6" t="str">
        <f>IF($Q59&lt;&gt;"", 'Daily Camera Trends'!$N$5, "")</f>
        <v/>
      </c>
    </row>
    <row r="60" spans="1:95" ht="40.049999999999997" customHeight="1" x14ac:dyDescent="0.3">
      <c r="A60" s="103" t="str">
        <f t="shared" si="2"/>
        <v/>
      </c>
      <c r="B60" s="236" t="s">
        <v>89</v>
      </c>
      <c r="H60" s="7"/>
      <c r="I60" s="37"/>
      <c r="J60" s="36"/>
      <c r="K60" s="36"/>
      <c r="L60" s="180"/>
      <c r="M60" s="180"/>
      <c r="N60" s="6"/>
      <c r="O60" s="6"/>
      <c r="P60" s="6"/>
      <c r="Q60" s="6"/>
      <c r="R60" s="6" t="str">
        <f>IF(COUNTBLANK($A60:$E60)&gt;0, "", IFERROR(_xlfn.MINIFS(Log!$G:$G, Log!$A:$A, $A60, Log!$B:$B, $B60, Log!$C:$C, $C60),""))</f>
        <v/>
      </c>
      <c r="S60" s="6" t="str">
        <f>IF(COUNTBLANK($A60:$E60)&gt;0, "", IFERROR(_xlfn.MAXIFS(Log!$G:$G, Log!$A:$A, $A60, Log!$B:$B, $B60, Log!$C:$C, $C60),""))</f>
        <v/>
      </c>
      <c r="T60" s="6" t="str">
        <f>IF($N60&lt;&gt;"", 'Daily Camera Trends'!$M$5, "")</f>
        <v/>
      </c>
      <c r="U60" s="6" t="str">
        <f>IF(Q60&lt;&gt;"", 'Daily Camera Trends'!$N$5, "")</f>
        <v/>
      </c>
      <c r="CP60" s="6" t="str">
        <f>IF($N60&lt;&gt;"", 'Daily Camera Trends'!$M$5, "")</f>
        <v/>
      </c>
      <c r="CQ60" s="6" t="str">
        <f>IF($Q60&lt;&gt;"", 'Daily Camera Trends'!$N$5, "")</f>
        <v/>
      </c>
    </row>
    <row r="61" spans="1:95" ht="40.049999999999997" customHeight="1" x14ac:dyDescent="0.3">
      <c r="A61" s="103" t="str">
        <f t="shared" si="2"/>
        <v/>
      </c>
      <c r="B61" s="236" t="s">
        <v>89</v>
      </c>
      <c r="H61" s="7"/>
      <c r="I61" s="37"/>
      <c r="J61" s="36"/>
      <c r="K61" s="36"/>
      <c r="L61" s="180"/>
      <c r="M61" s="180"/>
      <c r="N61" s="6"/>
      <c r="O61" s="6"/>
      <c r="P61" s="6"/>
      <c r="Q61" s="6"/>
      <c r="R61" s="6" t="str">
        <f>IF(COUNTBLANK($A61:$E61)&gt;0, "", IFERROR(_xlfn.MINIFS(Log!$G:$G, Log!$A:$A, $A61, Log!$B:$B, $B61, Log!$C:$C, $C61),""))</f>
        <v/>
      </c>
      <c r="S61" s="6" t="str">
        <f>IF(COUNTBLANK($A61:$E61)&gt;0, "", IFERROR(_xlfn.MAXIFS(Log!$G:$G, Log!$A:$A, $A61, Log!$B:$B, $B61, Log!$C:$C, $C61),""))</f>
        <v/>
      </c>
      <c r="T61" s="6" t="str">
        <f>IF($N61&lt;&gt;"", 'Daily Camera Trends'!$M$5, "")</f>
        <v/>
      </c>
      <c r="U61" s="6" t="str">
        <f>IF(Q61&lt;&gt;"", 'Daily Camera Trends'!$N$5, "")</f>
        <v/>
      </c>
      <c r="CP61" s="6" t="str">
        <f>IF($N61&lt;&gt;"", 'Daily Camera Trends'!$M$5, "")</f>
        <v/>
      </c>
      <c r="CQ61" s="6" t="str">
        <f>IF($Q61&lt;&gt;"", 'Daily Camera Trends'!$N$5, "")</f>
        <v/>
      </c>
    </row>
    <row r="62" spans="1:95" ht="40.049999999999997" customHeight="1" x14ac:dyDescent="0.3">
      <c r="A62" s="103" t="str">
        <f t="shared" si="2"/>
        <v/>
      </c>
      <c r="B62" s="236" t="s">
        <v>89</v>
      </c>
      <c r="H62" s="7"/>
      <c r="I62" s="37"/>
      <c r="J62" s="36"/>
      <c r="K62" s="36"/>
      <c r="L62" s="180"/>
      <c r="M62" s="180"/>
      <c r="N62" s="6"/>
      <c r="O62" s="6"/>
      <c r="P62" s="6"/>
      <c r="Q62" s="6"/>
      <c r="R62" s="6" t="str">
        <f>IF(COUNTBLANK($A62:$E62)&gt;0, "", IFERROR(_xlfn.MINIFS(Log!$G:$G, Log!$A:$A, $A62, Log!$B:$B, $B62, Log!$C:$C, $C62),""))</f>
        <v/>
      </c>
      <c r="S62" s="6" t="str">
        <f>IF(COUNTBLANK($A62:$E62)&gt;0, "", IFERROR(_xlfn.MAXIFS(Log!$G:$G, Log!$A:$A, $A62, Log!$B:$B, $B62, Log!$C:$C, $C62),""))</f>
        <v/>
      </c>
      <c r="T62" s="6" t="str">
        <f>IF($N62&lt;&gt;"", 'Daily Camera Trends'!$M$5, "")</f>
        <v/>
      </c>
      <c r="U62" s="6" t="str">
        <f>IF(Q62&lt;&gt;"", 'Daily Camera Trends'!$N$5, "")</f>
        <v/>
      </c>
      <c r="CP62" s="6" t="str">
        <f>IF($N62&lt;&gt;"", 'Daily Camera Trends'!$M$5, "")</f>
        <v/>
      </c>
      <c r="CQ62" s="6" t="str">
        <f>IF($Q62&lt;&gt;"", 'Daily Camera Trends'!$N$5, "")</f>
        <v/>
      </c>
    </row>
    <row r="63" spans="1:95" ht="40.049999999999997" customHeight="1" x14ac:dyDescent="0.3">
      <c r="A63" s="103" t="str">
        <f t="shared" si="2"/>
        <v/>
      </c>
      <c r="B63" s="236" t="s">
        <v>89</v>
      </c>
      <c r="H63" s="7"/>
      <c r="I63" s="37"/>
      <c r="J63" s="36"/>
      <c r="K63" s="36"/>
      <c r="L63" s="180"/>
      <c r="M63" s="180"/>
      <c r="N63" s="6"/>
      <c r="O63" s="6"/>
      <c r="P63" s="6"/>
      <c r="Q63" s="6"/>
      <c r="R63" s="6" t="str">
        <f>IF(COUNTBLANK($A63:$E63)&gt;0, "", IFERROR(_xlfn.MINIFS(Log!$G:$G, Log!$A:$A, $A63, Log!$B:$B, $B63, Log!$C:$C, $C63),""))</f>
        <v/>
      </c>
      <c r="S63" s="6" t="str">
        <f>IF(COUNTBLANK($A63:$E63)&gt;0, "", IFERROR(_xlfn.MAXIFS(Log!$G:$G, Log!$A:$A, $A63, Log!$B:$B, $B63, Log!$C:$C, $C63),""))</f>
        <v/>
      </c>
      <c r="T63" s="6" t="str">
        <f>IF($N63&lt;&gt;"", 'Daily Camera Trends'!$M$5, "")</f>
        <v/>
      </c>
      <c r="U63" s="6" t="str">
        <f>IF(Q63&lt;&gt;"", 'Daily Camera Trends'!$N$5, "")</f>
        <v/>
      </c>
      <c r="CP63" s="6" t="str">
        <f>IF($N63&lt;&gt;"", 'Daily Camera Trends'!$M$5, "")</f>
        <v/>
      </c>
      <c r="CQ63" s="6" t="str">
        <f>IF($Q63&lt;&gt;"", 'Daily Camera Trends'!$N$5, "")</f>
        <v/>
      </c>
    </row>
    <row r="64" spans="1:95" ht="40.049999999999997" customHeight="1" x14ac:dyDescent="0.3">
      <c r="A64" s="103" t="str">
        <f t="shared" si="2"/>
        <v/>
      </c>
      <c r="B64" s="236" t="s">
        <v>89</v>
      </c>
      <c r="H64" s="7"/>
      <c r="I64" s="37"/>
      <c r="J64" s="36"/>
      <c r="K64" s="36"/>
      <c r="L64" s="180"/>
      <c r="M64" s="180"/>
      <c r="N64" s="6"/>
      <c r="O64" s="6"/>
      <c r="P64" s="6"/>
      <c r="Q64" s="6"/>
      <c r="R64" s="6" t="str">
        <f>IF(COUNTBLANK($A64:$E64)&gt;0, "", IFERROR(_xlfn.MINIFS(Log!$G:$G, Log!$A:$A, $A64, Log!$B:$B, $B64, Log!$C:$C, $C64),""))</f>
        <v/>
      </c>
      <c r="S64" s="6" t="str">
        <f>IF(COUNTBLANK($A64:$E64)&gt;0, "", IFERROR(_xlfn.MAXIFS(Log!$G:$G, Log!$A:$A, $A64, Log!$B:$B, $B64, Log!$C:$C, $C64),""))</f>
        <v/>
      </c>
      <c r="T64" s="6" t="str">
        <f>IF($N64&lt;&gt;"", 'Daily Camera Trends'!$M$5, "")</f>
        <v/>
      </c>
      <c r="U64" s="6" t="str">
        <f>IF(Q64&lt;&gt;"", 'Daily Camera Trends'!$N$5, "")</f>
        <v/>
      </c>
      <c r="CP64" s="6" t="str">
        <f>IF($N64&lt;&gt;"", 'Daily Camera Trends'!$M$5, "")</f>
        <v/>
      </c>
      <c r="CQ64" s="6" t="str">
        <f>IF($Q64&lt;&gt;"", 'Daily Camera Trends'!$N$5, "")</f>
        <v/>
      </c>
    </row>
    <row r="65" spans="1:95" ht="40.049999999999997" customHeight="1" x14ac:dyDescent="0.3">
      <c r="A65" s="103" t="str">
        <f t="shared" si="2"/>
        <v/>
      </c>
      <c r="B65" s="236" t="s">
        <v>89</v>
      </c>
      <c r="H65" s="7"/>
      <c r="I65" s="37"/>
      <c r="J65" s="36"/>
      <c r="K65" s="36"/>
      <c r="L65" s="180"/>
      <c r="M65" s="180"/>
      <c r="N65" s="6"/>
      <c r="O65" s="6"/>
      <c r="P65" s="6"/>
      <c r="Q65" s="6"/>
      <c r="R65" s="6" t="str">
        <f>IF(COUNTBLANK($A65:$E65)&gt;0, "", IFERROR(_xlfn.MINIFS(Log!$G:$G, Log!$A:$A, $A65, Log!$B:$B, $B65, Log!$C:$C, $C65),""))</f>
        <v/>
      </c>
      <c r="S65" s="6" t="str">
        <f>IF(COUNTBLANK($A65:$E65)&gt;0, "", IFERROR(_xlfn.MAXIFS(Log!$G:$G, Log!$A:$A, $A65, Log!$B:$B, $B65, Log!$C:$C, $C65),""))</f>
        <v/>
      </c>
      <c r="T65" s="6" t="str">
        <f>IF($N65&lt;&gt;"", 'Daily Camera Trends'!$M$5, "")</f>
        <v/>
      </c>
      <c r="U65" s="6" t="str">
        <f>IF(Q65&lt;&gt;"", 'Daily Camera Trends'!$N$5, "")</f>
        <v/>
      </c>
      <c r="CP65" s="6" t="str">
        <f>IF($N65&lt;&gt;"", 'Daily Camera Trends'!$M$5, "")</f>
        <v/>
      </c>
      <c r="CQ65" s="6" t="str">
        <f>IF($Q65&lt;&gt;"", 'Daily Camera Trends'!$N$5, "")</f>
        <v/>
      </c>
    </row>
    <row r="66" spans="1:95" ht="40.049999999999997" customHeight="1" x14ac:dyDescent="0.3">
      <c r="A66" s="103" t="str">
        <f t="shared" si="2"/>
        <v/>
      </c>
      <c r="B66" s="236" t="s">
        <v>89</v>
      </c>
      <c r="H66" s="7"/>
      <c r="I66" s="37"/>
      <c r="J66" s="36"/>
      <c r="K66" s="36"/>
      <c r="L66" s="180"/>
      <c r="M66" s="180"/>
      <c r="N66" s="6"/>
      <c r="O66" s="6"/>
      <c r="P66" s="6"/>
      <c r="Q66" s="6"/>
      <c r="R66" s="6" t="str">
        <f>IF(COUNTBLANK($A66:$E66)&gt;0, "", IFERROR(_xlfn.MINIFS(Log!$G:$G, Log!$A:$A, $A66, Log!$B:$B, $B66, Log!$C:$C, $C66),""))</f>
        <v/>
      </c>
      <c r="S66" s="6" t="str">
        <f>IF(COUNTBLANK($A66:$E66)&gt;0, "", IFERROR(_xlfn.MAXIFS(Log!$G:$G, Log!$A:$A, $A66, Log!$B:$B, $B66, Log!$C:$C, $C66),""))</f>
        <v/>
      </c>
      <c r="T66" s="6" t="str">
        <f>IF($N66&lt;&gt;"", 'Daily Camera Trends'!$M$5, "")</f>
        <v/>
      </c>
      <c r="U66" s="6" t="str">
        <f>IF(Q66&lt;&gt;"", 'Daily Camera Trends'!$N$5, "")</f>
        <v/>
      </c>
      <c r="CP66" s="6" t="str">
        <f>IF($N66&lt;&gt;"", 'Daily Camera Trends'!$M$5, "")</f>
        <v/>
      </c>
      <c r="CQ66" s="6" t="str">
        <f>IF($Q66&lt;&gt;"", 'Daily Camera Trends'!$N$5, "")</f>
        <v/>
      </c>
    </row>
    <row r="67" spans="1:95" ht="40.049999999999997" customHeight="1" x14ac:dyDescent="0.3">
      <c r="A67" s="103" t="str">
        <f t="shared" si="2"/>
        <v/>
      </c>
      <c r="B67" s="236" t="s">
        <v>89</v>
      </c>
      <c r="H67" s="7"/>
      <c r="I67" s="37"/>
      <c r="J67" s="36"/>
      <c r="K67" s="36"/>
      <c r="L67" s="180"/>
      <c r="M67" s="180"/>
      <c r="N67" s="6"/>
      <c r="O67" s="6"/>
      <c r="P67" s="6"/>
      <c r="Q67" s="6"/>
      <c r="R67" s="6" t="str">
        <f>IF(COUNTBLANK($A67:$E67)&gt;0, "", IFERROR(_xlfn.MINIFS(Log!$G:$G, Log!$A:$A, $A67, Log!$B:$B, $B67, Log!$C:$C, $C67),""))</f>
        <v/>
      </c>
      <c r="S67" s="6" t="str">
        <f>IF(COUNTBLANK($A67:$E67)&gt;0, "", IFERROR(_xlfn.MAXIFS(Log!$G:$G, Log!$A:$A, $A67, Log!$B:$B, $B67, Log!$C:$C, $C67),""))</f>
        <v/>
      </c>
      <c r="T67" s="6" t="str">
        <f>IF($N67&lt;&gt;"", 'Daily Camera Trends'!$M$5, "")</f>
        <v/>
      </c>
      <c r="U67" s="6" t="str">
        <f>IF(Q67&lt;&gt;"", 'Daily Camera Trends'!$N$5, "")</f>
        <v/>
      </c>
      <c r="CP67" s="6" t="str">
        <f>IF($N67&lt;&gt;"", 'Daily Camera Trends'!$M$5, "")</f>
        <v/>
      </c>
      <c r="CQ67" s="6" t="str">
        <f>IF($Q67&lt;&gt;"", 'Daily Camera Trends'!$N$5, "")</f>
        <v/>
      </c>
    </row>
    <row r="68" spans="1:95" ht="40.049999999999997" customHeight="1" x14ac:dyDescent="0.3">
      <c r="A68" s="103" t="str">
        <f t="shared" ref="A68:A131" si="3">IF(C68&lt;&gt;"", "Daily", "")</f>
        <v/>
      </c>
      <c r="B68" s="236" t="s">
        <v>89</v>
      </c>
      <c r="H68" s="7"/>
      <c r="I68" s="37"/>
      <c r="J68" s="36"/>
      <c r="K68" s="36"/>
      <c r="L68" s="180"/>
      <c r="M68" s="180"/>
      <c r="N68" s="6"/>
      <c r="O68" s="6"/>
      <c r="P68" s="6"/>
      <c r="Q68" s="6"/>
      <c r="R68" s="6" t="str">
        <f>IF(COUNTBLANK($A68:$E68)&gt;0, "", IFERROR(_xlfn.MINIFS(Log!$G:$G, Log!$A:$A, $A68, Log!$B:$B, $B68, Log!$C:$C, $C68),""))</f>
        <v/>
      </c>
      <c r="S68" s="6" t="str">
        <f>IF(COUNTBLANK($A68:$E68)&gt;0, "", IFERROR(_xlfn.MAXIFS(Log!$G:$G, Log!$A:$A, $A68, Log!$B:$B, $B68, Log!$C:$C, $C68),""))</f>
        <v/>
      </c>
      <c r="T68" s="6" t="str">
        <f>IF($N68&lt;&gt;"", 'Daily Camera Trends'!$M$5, "")</f>
        <v/>
      </c>
      <c r="U68" s="6" t="str">
        <f>IF(Q68&lt;&gt;"", 'Daily Camera Trends'!$N$5, "")</f>
        <v/>
      </c>
      <c r="CP68" s="6" t="str">
        <f>IF($N68&lt;&gt;"", 'Daily Camera Trends'!$M$5, "")</f>
        <v/>
      </c>
      <c r="CQ68" s="6" t="str">
        <f>IF($Q68&lt;&gt;"", 'Daily Camera Trends'!$N$5, "")</f>
        <v/>
      </c>
    </row>
    <row r="69" spans="1:95" ht="40.049999999999997" customHeight="1" x14ac:dyDescent="0.3">
      <c r="A69" s="103" t="str">
        <f t="shared" si="3"/>
        <v/>
      </c>
      <c r="B69" s="236" t="s">
        <v>89</v>
      </c>
      <c r="H69" s="7"/>
      <c r="I69" s="37"/>
      <c r="J69" s="36"/>
      <c r="K69" s="36"/>
      <c r="L69" s="180"/>
      <c r="M69" s="180"/>
      <c r="N69" s="6"/>
      <c r="O69" s="6"/>
      <c r="P69" s="6"/>
      <c r="Q69" s="6"/>
      <c r="R69" s="6" t="str">
        <f>IF(COUNTBLANK($A69:$E69)&gt;0, "", IFERROR(_xlfn.MINIFS(Log!$G:$G, Log!$A:$A, $A69, Log!$B:$B, $B69, Log!$C:$C, $C69),""))</f>
        <v/>
      </c>
      <c r="S69" s="6" t="str">
        <f>IF(COUNTBLANK($A69:$E69)&gt;0, "", IFERROR(_xlfn.MAXIFS(Log!$G:$G, Log!$A:$A, $A69, Log!$B:$B, $B69, Log!$C:$C, $C69),""))</f>
        <v/>
      </c>
      <c r="T69" s="6" t="str">
        <f>IF($N69&lt;&gt;"", 'Daily Camera Trends'!$M$5, "")</f>
        <v/>
      </c>
      <c r="U69" s="6" t="str">
        <f>IF(Q69&lt;&gt;"", 'Daily Camera Trends'!$N$5, "")</f>
        <v/>
      </c>
      <c r="CP69" s="6" t="str">
        <f>IF($N69&lt;&gt;"", 'Daily Camera Trends'!$M$5, "")</f>
        <v/>
      </c>
      <c r="CQ69" s="6" t="str">
        <f>IF($Q69&lt;&gt;"", 'Daily Camera Trends'!$N$5, "")</f>
        <v/>
      </c>
    </row>
    <row r="70" spans="1:95" ht="40.049999999999997" customHeight="1" x14ac:dyDescent="0.3">
      <c r="A70" s="103" t="str">
        <f t="shared" si="3"/>
        <v/>
      </c>
      <c r="B70" s="236" t="s">
        <v>89</v>
      </c>
      <c r="H70" s="7"/>
      <c r="I70" s="37"/>
      <c r="J70" s="36"/>
      <c r="K70" s="36"/>
      <c r="L70" s="180"/>
      <c r="M70" s="180"/>
      <c r="N70" s="6"/>
      <c r="O70" s="6"/>
      <c r="P70" s="6"/>
      <c r="Q70" s="6"/>
      <c r="R70" s="6" t="str">
        <f>IF(COUNTBLANK($A70:$E70)&gt;0, "", IFERROR(_xlfn.MINIFS(Log!$G:$G, Log!$A:$A, $A70, Log!$B:$B, $B70, Log!$C:$C, $C70),""))</f>
        <v/>
      </c>
      <c r="S70" s="6" t="str">
        <f>IF(COUNTBLANK($A70:$E70)&gt;0, "", IFERROR(_xlfn.MAXIFS(Log!$G:$G, Log!$A:$A, $A70, Log!$B:$B, $B70, Log!$C:$C, $C70),""))</f>
        <v/>
      </c>
      <c r="T70" s="6" t="str">
        <f>IF($N70&lt;&gt;"", 'Daily Camera Trends'!$M$5, "")</f>
        <v/>
      </c>
      <c r="U70" s="6" t="str">
        <f>IF(Q70&lt;&gt;"", 'Daily Camera Trends'!$N$5, "")</f>
        <v/>
      </c>
      <c r="CP70" s="6" t="str">
        <f>IF($N70&lt;&gt;"", 'Daily Camera Trends'!$M$5, "")</f>
        <v/>
      </c>
      <c r="CQ70" s="6" t="str">
        <f>IF($Q70&lt;&gt;"", 'Daily Camera Trends'!$N$5, "")</f>
        <v/>
      </c>
    </row>
    <row r="71" spans="1:95" ht="40.049999999999997" customHeight="1" x14ac:dyDescent="0.3">
      <c r="A71" s="103" t="str">
        <f t="shared" si="3"/>
        <v/>
      </c>
      <c r="B71" s="236" t="s">
        <v>89</v>
      </c>
      <c r="H71" s="7"/>
      <c r="I71" s="37"/>
      <c r="J71" s="36"/>
      <c r="K71" s="36"/>
      <c r="L71" s="180"/>
      <c r="M71" s="180"/>
      <c r="N71" s="6"/>
      <c r="O71" s="6"/>
      <c r="P71" s="6"/>
      <c r="Q71" s="6"/>
      <c r="R71" s="6" t="str">
        <f>IF(COUNTBLANK($A71:$E71)&gt;0, "", IFERROR(_xlfn.MINIFS(Log!$G:$G, Log!$A:$A, $A71, Log!$B:$B, $B71, Log!$C:$C, $C71),""))</f>
        <v/>
      </c>
      <c r="S71" s="6" t="str">
        <f>IF(COUNTBLANK($A71:$E71)&gt;0, "", IFERROR(_xlfn.MAXIFS(Log!$G:$G, Log!$A:$A, $A71, Log!$B:$B, $B71, Log!$C:$C, $C71),""))</f>
        <v/>
      </c>
      <c r="T71" s="6" t="str">
        <f>IF($N71&lt;&gt;"", 'Daily Camera Trends'!$M$5, "")</f>
        <v/>
      </c>
      <c r="U71" s="6" t="str">
        <f>IF(Q71&lt;&gt;"", 'Daily Camera Trends'!$N$5, "")</f>
        <v/>
      </c>
      <c r="CP71" s="6" t="str">
        <f>IF($N71&lt;&gt;"", 'Daily Camera Trends'!$M$5, "")</f>
        <v/>
      </c>
      <c r="CQ71" s="6" t="str">
        <f>IF($Q71&lt;&gt;"", 'Daily Camera Trends'!$N$5, "")</f>
        <v/>
      </c>
    </row>
    <row r="72" spans="1:95" ht="40.049999999999997" customHeight="1" x14ac:dyDescent="0.3">
      <c r="A72" s="103" t="str">
        <f t="shared" si="3"/>
        <v/>
      </c>
      <c r="B72" s="236" t="s">
        <v>89</v>
      </c>
      <c r="H72" s="7"/>
      <c r="I72" s="37"/>
      <c r="J72" s="36"/>
      <c r="K72" s="36"/>
      <c r="L72" s="180"/>
      <c r="M72" s="180"/>
      <c r="N72" s="6"/>
      <c r="O72" s="6"/>
      <c r="P72" s="6"/>
      <c r="Q72" s="6"/>
      <c r="R72" s="6" t="str">
        <f>IF(COUNTBLANK($A72:$E72)&gt;0, "", IFERROR(_xlfn.MINIFS(Log!$G:$G, Log!$A:$A, $A72, Log!$B:$B, $B72, Log!$C:$C, $C72),""))</f>
        <v/>
      </c>
      <c r="S72" s="6" t="str">
        <f>IF(COUNTBLANK($A72:$E72)&gt;0, "", IFERROR(_xlfn.MAXIFS(Log!$G:$G, Log!$A:$A, $A72, Log!$B:$B, $B72, Log!$C:$C, $C72),""))</f>
        <v/>
      </c>
      <c r="T72" s="6" t="str">
        <f>IF($N72&lt;&gt;"", 'Daily Camera Trends'!$M$5, "")</f>
        <v/>
      </c>
      <c r="U72" s="6" t="str">
        <f>IF(Q72&lt;&gt;"", 'Daily Camera Trends'!$N$5, "")</f>
        <v/>
      </c>
      <c r="CP72" s="6" t="str">
        <f>IF($N72&lt;&gt;"", 'Daily Camera Trends'!$M$5, "")</f>
        <v/>
      </c>
      <c r="CQ72" s="6" t="str">
        <f>IF($Q72&lt;&gt;"", 'Daily Camera Trends'!$N$5, "")</f>
        <v/>
      </c>
    </row>
    <row r="73" spans="1:95" ht="40.049999999999997" customHeight="1" x14ac:dyDescent="0.3">
      <c r="A73" s="103" t="str">
        <f t="shared" si="3"/>
        <v/>
      </c>
      <c r="B73" s="236" t="s">
        <v>89</v>
      </c>
      <c r="H73" s="7"/>
      <c r="I73" s="37"/>
      <c r="J73" s="36"/>
      <c r="K73" s="36"/>
      <c r="L73" s="180"/>
      <c r="M73" s="180"/>
      <c r="N73" s="6"/>
      <c r="O73" s="6"/>
      <c r="P73" s="6"/>
      <c r="Q73" s="6"/>
      <c r="R73" s="6" t="str">
        <f>IF(COUNTBLANK($A73:$E73)&gt;0, "", IFERROR(_xlfn.MINIFS(Log!$G:$G, Log!$A:$A, $A73, Log!$B:$B, $B73, Log!$C:$C, $C73),""))</f>
        <v/>
      </c>
      <c r="S73" s="6" t="str">
        <f>IF(COUNTBLANK($A73:$E73)&gt;0, "", IFERROR(_xlfn.MAXIFS(Log!$G:$G, Log!$A:$A, $A73, Log!$B:$B, $B73, Log!$C:$C, $C73),""))</f>
        <v/>
      </c>
      <c r="T73" s="6" t="str">
        <f>IF($N73&lt;&gt;"", 'Daily Camera Trends'!$M$5, "")</f>
        <v/>
      </c>
      <c r="U73" s="6" t="str">
        <f>IF(Q73&lt;&gt;"", 'Daily Camera Trends'!$N$5, "")</f>
        <v/>
      </c>
      <c r="CP73" s="6" t="str">
        <f>IF($N73&lt;&gt;"", 'Daily Camera Trends'!$M$5, "")</f>
        <v/>
      </c>
      <c r="CQ73" s="6" t="str">
        <f>IF($Q73&lt;&gt;"", 'Daily Camera Trends'!$N$5, "")</f>
        <v/>
      </c>
    </row>
    <row r="74" spans="1:95" ht="40.049999999999997" customHeight="1" x14ac:dyDescent="0.3">
      <c r="A74" s="103" t="str">
        <f t="shared" si="3"/>
        <v/>
      </c>
      <c r="B74" s="236" t="s">
        <v>89</v>
      </c>
      <c r="H74" s="7"/>
      <c r="I74" s="37"/>
      <c r="J74" s="36"/>
      <c r="K74" s="36"/>
      <c r="L74" s="180"/>
      <c r="M74" s="180"/>
      <c r="N74" s="6"/>
      <c r="O74" s="6"/>
      <c r="P74" s="6"/>
      <c r="Q74" s="6"/>
      <c r="R74" s="6" t="str">
        <f>IF(COUNTBLANK($A74:$E74)&gt;0, "", IFERROR(_xlfn.MINIFS(Log!$G:$G, Log!$A:$A, $A74, Log!$B:$B, $B74, Log!$C:$C, $C74),""))</f>
        <v/>
      </c>
      <c r="S74" s="6" t="str">
        <f>IF(COUNTBLANK($A74:$E74)&gt;0, "", IFERROR(_xlfn.MAXIFS(Log!$G:$G, Log!$A:$A, $A74, Log!$B:$B, $B74, Log!$C:$C, $C74),""))</f>
        <v/>
      </c>
      <c r="T74" s="6" t="str">
        <f>IF($N74&lt;&gt;"", 'Daily Camera Trends'!$M$5, "")</f>
        <v/>
      </c>
      <c r="U74" s="6" t="str">
        <f>IF(Q74&lt;&gt;"", 'Daily Camera Trends'!$N$5, "")</f>
        <v/>
      </c>
      <c r="CP74" s="6" t="str">
        <f>IF($N74&lt;&gt;"", 'Daily Camera Trends'!$M$5, "")</f>
        <v/>
      </c>
      <c r="CQ74" s="6" t="str">
        <f>IF($Q74&lt;&gt;"", 'Daily Camera Trends'!$N$5, "")</f>
        <v/>
      </c>
    </row>
    <row r="75" spans="1:95" ht="40.049999999999997" customHeight="1" x14ac:dyDescent="0.3">
      <c r="A75" s="103" t="str">
        <f t="shared" si="3"/>
        <v/>
      </c>
      <c r="B75" s="236" t="s">
        <v>89</v>
      </c>
      <c r="H75" s="7"/>
      <c r="I75" s="37"/>
      <c r="J75" s="36"/>
      <c r="K75" s="36"/>
      <c r="L75" s="180"/>
      <c r="M75" s="180"/>
      <c r="N75" s="6"/>
      <c r="O75" s="6"/>
      <c r="P75" s="6"/>
      <c r="Q75" s="6"/>
      <c r="R75" s="6" t="str">
        <f>IF(COUNTBLANK($A75:$E75)&gt;0, "", IFERROR(_xlfn.MINIFS(Log!$G:$G, Log!$A:$A, $A75, Log!$B:$B, $B75, Log!$C:$C, $C75),""))</f>
        <v/>
      </c>
      <c r="S75" s="6" t="str">
        <f>IF(COUNTBLANK($A75:$E75)&gt;0, "", IFERROR(_xlfn.MAXIFS(Log!$G:$G, Log!$A:$A, $A75, Log!$B:$B, $B75, Log!$C:$C, $C75),""))</f>
        <v/>
      </c>
      <c r="T75" s="6" t="str">
        <f>IF($N75&lt;&gt;"", 'Daily Camera Trends'!$M$5, "")</f>
        <v/>
      </c>
      <c r="U75" s="6" t="str">
        <f>IF(Q75&lt;&gt;"", 'Daily Camera Trends'!$N$5, "")</f>
        <v/>
      </c>
      <c r="CP75" s="6" t="str">
        <f>IF($N75&lt;&gt;"", 'Daily Camera Trends'!$M$5, "")</f>
        <v/>
      </c>
      <c r="CQ75" s="6" t="str">
        <f>IF($Q75&lt;&gt;"", 'Daily Camera Trends'!$N$5, "")</f>
        <v/>
      </c>
    </row>
    <row r="76" spans="1:95" ht="40.049999999999997" customHeight="1" x14ac:dyDescent="0.3">
      <c r="A76" s="103" t="str">
        <f t="shared" si="3"/>
        <v/>
      </c>
      <c r="B76" s="236" t="s">
        <v>89</v>
      </c>
      <c r="H76" s="7"/>
      <c r="I76" s="37"/>
      <c r="J76" s="36"/>
      <c r="K76" s="36"/>
      <c r="L76" s="180"/>
      <c r="M76" s="180"/>
      <c r="N76" s="6"/>
      <c r="O76" s="6"/>
      <c r="P76" s="6"/>
      <c r="Q76" s="6"/>
      <c r="R76" s="6" t="str">
        <f>IF(COUNTBLANK($A76:$E76)&gt;0, "", IFERROR(_xlfn.MINIFS(Log!$G:$G, Log!$A:$A, $A76, Log!$B:$B, $B76, Log!$C:$C, $C76),""))</f>
        <v/>
      </c>
      <c r="S76" s="6" t="str">
        <f>IF(COUNTBLANK($A76:$E76)&gt;0, "", IFERROR(_xlfn.MAXIFS(Log!$G:$G, Log!$A:$A, $A76, Log!$B:$B, $B76, Log!$C:$C, $C76),""))</f>
        <v/>
      </c>
      <c r="T76" s="6" t="str">
        <f>IF($N76&lt;&gt;"", 'Daily Camera Trends'!$M$5, "")</f>
        <v/>
      </c>
      <c r="U76" s="6" t="str">
        <f>IF(Q76&lt;&gt;"", 'Daily Camera Trends'!$N$5, "")</f>
        <v/>
      </c>
      <c r="CP76" s="6" t="str">
        <f>IF($N76&lt;&gt;"", 'Daily Camera Trends'!$M$5, "")</f>
        <v/>
      </c>
      <c r="CQ76" s="6" t="str">
        <f>IF($Q76&lt;&gt;"", 'Daily Camera Trends'!$N$5, "")</f>
        <v/>
      </c>
    </row>
    <row r="77" spans="1:95" ht="40.049999999999997" customHeight="1" x14ac:dyDescent="0.3">
      <c r="A77" s="103" t="str">
        <f t="shared" si="3"/>
        <v/>
      </c>
      <c r="B77" s="236" t="s">
        <v>89</v>
      </c>
      <c r="H77" s="7"/>
      <c r="I77" s="37"/>
      <c r="J77" s="36"/>
      <c r="K77" s="36"/>
      <c r="L77" s="180"/>
      <c r="M77" s="180"/>
      <c r="N77" s="6"/>
      <c r="O77" s="6"/>
      <c r="P77" s="6"/>
      <c r="Q77" s="6"/>
      <c r="R77" s="6" t="str">
        <f>IF(COUNTBLANK($A77:$E77)&gt;0, "", IFERROR(_xlfn.MINIFS(Log!$G:$G, Log!$A:$A, $A77, Log!$B:$B, $B77, Log!$C:$C, $C77),""))</f>
        <v/>
      </c>
      <c r="S77" s="6" t="str">
        <f>IF(COUNTBLANK($A77:$E77)&gt;0, "", IFERROR(_xlfn.MAXIFS(Log!$G:$G, Log!$A:$A, $A77, Log!$B:$B, $B77, Log!$C:$C, $C77),""))</f>
        <v/>
      </c>
      <c r="T77" s="6" t="str">
        <f>IF($N77&lt;&gt;"", 'Daily Camera Trends'!$M$5, "")</f>
        <v/>
      </c>
      <c r="U77" s="6" t="str">
        <f>IF(Q77&lt;&gt;"", 'Daily Camera Trends'!$N$5, "")</f>
        <v/>
      </c>
      <c r="CP77" s="6" t="str">
        <f>IF($N77&lt;&gt;"", 'Daily Camera Trends'!$M$5, "")</f>
        <v/>
      </c>
      <c r="CQ77" s="6" t="str">
        <f>IF($Q77&lt;&gt;"", 'Daily Camera Trends'!$N$5, "")</f>
        <v/>
      </c>
    </row>
    <row r="78" spans="1:95" ht="40.049999999999997" customHeight="1" x14ac:dyDescent="0.3">
      <c r="A78" s="103" t="str">
        <f t="shared" si="3"/>
        <v/>
      </c>
      <c r="B78" s="236" t="s">
        <v>89</v>
      </c>
      <c r="H78" s="7"/>
      <c r="I78" s="37"/>
      <c r="J78" s="36"/>
      <c r="K78" s="36"/>
      <c r="L78" s="180"/>
      <c r="M78" s="180"/>
      <c r="N78" s="6"/>
      <c r="O78" s="6"/>
      <c r="P78" s="6"/>
      <c r="Q78" s="6"/>
      <c r="R78" s="6" t="str">
        <f>IF(COUNTBLANK($A78:$E78)&gt;0, "", IFERROR(_xlfn.MINIFS(Log!$G:$G, Log!$A:$A, $A78, Log!$B:$B, $B78, Log!$C:$C, $C78),""))</f>
        <v/>
      </c>
      <c r="S78" s="6" t="str">
        <f>IF(COUNTBLANK($A78:$E78)&gt;0, "", IFERROR(_xlfn.MAXIFS(Log!$G:$G, Log!$A:$A, $A78, Log!$B:$B, $B78, Log!$C:$C, $C78),""))</f>
        <v/>
      </c>
      <c r="T78" s="6" t="str">
        <f>IF($N78&lt;&gt;"", 'Daily Camera Trends'!$M$5, "")</f>
        <v/>
      </c>
      <c r="U78" s="6" t="str">
        <f>IF(Q78&lt;&gt;"", 'Daily Camera Trends'!$N$5, "")</f>
        <v/>
      </c>
      <c r="CP78" s="6" t="str">
        <f>IF($N78&lt;&gt;"", 'Daily Camera Trends'!$M$5, "")</f>
        <v/>
      </c>
      <c r="CQ78" s="6" t="str">
        <f>IF($Q78&lt;&gt;"", 'Daily Camera Trends'!$N$5, "")</f>
        <v/>
      </c>
    </row>
    <row r="79" spans="1:95" ht="40.049999999999997" customHeight="1" x14ac:dyDescent="0.3">
      <c r="A79" s="103" t="str">
        <f t="shared" si="3"/>
        <v/>
      </c>
      <c r="B79" s="236" t="s">
        <v>89</v>
      </c>
      <c r="H79" s="7"/>
      <c r="I79" s="37"/>
      <c r="J79" s="36"/>
      <c r="K79" s="36"/>
      <c r="L79" s="180"/>
      <c r="M79" s="180"/>
      <c r="N79" s="6"/>
      <c r="O79" s="6"/>
      <c r="P79" s="6"/>
      <c r="Q79" s="6"/>
      <c r="R79" s="6" t="str">
        <f>IF(COUNTBLANK($A79:$E79)&gt;0, "", IFERROR(_xlfn.MINIFS(Log!$G:$G, Log!$A:$A, $A79, Log!$B:$B, $B79, Log!$C:$C, $C79),""))</f>
        <v/>
      </c>
      <c r="S79" s="6" t="str">
        <f>IF(COUNTBLANK($A79:$E79)&gt;0, "", IFERROR(_xlfn.MAXIFS(Log!$G:$G, Log!$A:$A, $A79, Log!$B:$B, $B79, Log!$C:$C, $C79),""))</f>
        <v/>
      </c>
      <c r="T79" s="6" t="str">
        <f>IF($N79&lt;&gt;"", 'Daily Camera Trends'!$M$5, "")</f>
        <v/>
      </c>
      <c r="U79" s="6" t="str">
        <f>IF(Q79&lt;&gt;"", 'Daily Camera Trends'!$N$5, "")</f>
        <v/>
      </c>
      <c r="CP79" s="6" t="str">
        <f>IF($N79&lt;&gt;"", 'Daily Camera Trends'!$M$5, "")</f>
        <v/>
      </c>
      <c r="CQ79" s="6" t="str">
        <f>IF($Q79&lt;&gt;"", 'Daily Camera Trends'!$N$5, "")</f>
        <v/>
      </c>
    </row>
    <row r="80" spans="1:95" ht="40.049999999999997" customHeight="1" x14ac:dyDescent="0.3">
      <c r="A80" s="103" t="str">
        <f t="shared" si="3"/>
        <v/>
      </c>
      <c r="B80" s="236" t="s">
        <v>89</v>
      </c>
      <c r="H80" s="7"/>
      <c r="I80" s="37"/>
      <c r="J80" s="36"/>
      <c r="K80" s="36"/>
      <c r="L80" s="180"/>
      <c r="M80" s="180"/>
      <c r="N80" s="6"/>
      <c r="O80" s="6"/>
      <c r="P80" s="6"/>
      <c r="Q80" s="6"/>
      <c r="R80" s="6" t="str">
        <f>IF(COUNTBLANK($A80:$E80)&gt;0, "", IFERROR(_xlfn.MINIFS(Log!$G:$G, Log!$A:$A, $A80, Log!$B:$B, $B80, Log!$C:$C, $C80),""))</f>
        <v/>
      </c>
      <c r="S80" s="6" t="str">
        <f>IF(COUNTBLANK($A80:$E80)&gt;0, "", IFERROR(_xlfn.MAXIFS(Log!$G:$G, Log!$A:$A, $A80, Log!$B:$B, $B80, Log!$C:$C, $C80),""))</f>
        <v/>
      </c>
      <c r="T80" s="6" t="str">
        <f>IF($N80&lt;&gt;"", 'Daily Camera Trends'!$M$5, "")</f>
        <v/>
      </c>
      <c r="U80" s="6" t="str">
        <f>IF(Q80&lt;&gt;"", 'Daily Camera Trends'!$N$5, "")</f>
        <v/>
      </c>
      <c r="CP80" s="6" t="str">
        <f>IF($N80&lt;&gt;"", 'Daily Camera Trends'!$M$5, "")</f>
        <v/>
      </c>
      <c r="CQ80" s="6" t="str">
        <f>IF($Q80&lt;&gt;"", 'Daily Camera Trends'!$N$5, "")</f>
        <v/>
      </c>
    </row>
    <row r="81" spans="1:95" ht="40.049999999999997" customHeight="1" x14ac:dyDescent="0.3">
      <c r="A81" s="103" t="str">
        <f t="shared" si="3"/>
        <v/>
      </c>
      <c r="B81" s="236" t="s">
        <v>89</v>
      </c>
      <c r="H81" s="7"/>
      <c r="I81" s="37"/>
      <c r="J81" s="36"/>
      <c r="K81" s="36"/>
      <c r="L81" s="180"/>
      <c r="M81" s="180"/>
      <c r="N81" s="6"/>
      <c r="O81" s="6"/>
      <c r="P81" s="6"/>
      <c r="Q81" s="6"/>
      <c r="R81" s="6" t="str">
        <f>IF(COUNTBLANK($A81:$E81)&gt;0, "", IFERROR(_xlfn.MINIFS(Log!$G:$G, Log!$A:$A, $A81, Log!$B:$B, $B81, Log!$C:$C, $C81),""))</f>
        <v/>
      </c>
      <c r="S81" s="6" t="str">
        <f>IF(COUNTBLANK($A81:$E81)&gt;0, "", IFERROR(_xlfn.MAXIFS(Log!$G:$G, Log!$A:$A, $A81, Log!$B:$B, $B81, Log!$C:$C, $C81),""))</f>
        <v/>
      </c>
      <c r="T81" s="6" t="str">
        <f>IF($N81&lt;&gt;"", 'Daily Camera Trends'!$M$5, "")</f>
        <v/>
      </c>
      <c r="U81" s="6" t="str">
        <f>IF(Q81&lt;&gt;"", 'Daily Camera Trends'!$N$5, "")</f>
        <v/>
      </c>
      <c r="CP81" s="6" t="str">
        <f>IF($N81&lt;&gt;"", 'Daily Camera Trends'!$M$5, "")</f>
        <v/>
      </c>
      <c r="CQ81" s="6" t="str">
        <f>IF($Q81&lt;&gt;"", 'Daily Camera Trends'!$N$5, "")</f>
        <v/>
      </c>
    </row>
    <row r="82" spans="1:95" ht="40.049999999999997" customHeight="1" x14ac:dyDescent="0.3">
      <c r="A82" s="103" t="str">
        <f t="shared" si="3"/>
        <v/>
      </c>
      <c r="B82" s="236" t="s">
        <v>89</v>
      </c>
      <c r="H82" s="7"/>
      <c r="I82" s="37"/>
      <c r="J82" s="36"/>
      <c r="K82" s="36"/>
      <c r="L82" s="180"/>
      <c r="M82" s="180"/>
      <c r="N82" s="6"/>
      <c r="O82" s="6"/>
      <c r="P82" s="6"/>
      <c r="Q82" s="6"/>
      <c r="R82" s="6" t="str">
        <f>IF(COUNTBLANK($A82:$E82)&gt;0, "", IFERROR(_xlfn.MINIFS(Log!$G:$G, Log!$A:$A, $A82, Log!$B:$B, $B82, Log!$C:$C, $C82),""))</f>
        <v/>
      </c>
      <c r="S82" s="6" t="str">
        <f>IF(COUNTBLANK($A82:$E82)&gt;0, "", IFERROR(_xlfn.MAXIFS(Log!$G:$G, Log!$A:$A, $A82, Log!$B:$B, $B82, Log!$C:$C, $C82),""))</f>
        <v/>
      </c>
      <c r="T82" s="6" t="str">
        <f>IF($N82&lt;&gt;"", 'Daily Camera Trends'!$M$5, "")</f>
        <v/>
      </c>
      <c r="U82" s="6" t="str">
        <f>IF(Q82&lt;&gt;"", 'Daily Camera Trends'!$N$5, "")</f>
        <v/>
      </c>
      <c r="CP82" s="6" t="str">
        <f>IF($N82&lt;&gt;"", 'Daily Camera Trends'!$M$5, "")</f>
        <v/>
      </c>
      <c r="CQ82" s="6" t="str">
        <f>IF($Q82&lt;&gt;"", 'Daily Camera Trends'!$N$5, "")</f>
        <v/>
      </c>
    </row>
    <row r="83" spans="1:95" ht="40.049999999999997" customHeight="1" x14ac:dyDescent="0.3">
      <c r="A83" s="103" t="str">
        <f t="shared" si="3"/>
        <v/>
      </c>
      <c r="B83" s="236" t="s">
        <v>89</v>
      </c>
      <c r="H83" s="7"/>
      <c r="I83" s="37"/>
      <c r="J83" s="36"/>
      <c r="K83" s="36"/>
      <c r="L83" s="180"/>
      <c r="M83" s="180"/>
      <c r="N83" s="6"/>
      <c r="O83" s="6"/>
      <c r="P83" s="6"/>
      <c r="Q83" s="6"/>
      <c r="R83" s="6" t="str">
        <f>IF(COUNTBLANK($A83:$E83)&gt;0, "", IFERROR(_xlfn.MINIFS(Log!$G:$G, Log!$A:$A, $A83, Log!$B:$B, $B83, Log!$C:$C, $C83),""))</f>
        <v/>
      </c>
      <c r="S83" s="6" t="str">
        <f>IF(COUNTBLANK($A83:$E83)&gt;0, "", IFERROR(_xlfn.MAXIFS(Log!$G:$G, Log!$A:$A, $A83, Log!$B:$B, $B83, Log!$C:$C, $C83),""))</f>
        <v/>
      </c>
      <c r="T83" s="6" t="str">
        <f>IF($N83&lt;&gt;"", 'Daily Camera Trends'!$M$5, "")</f>
        <v/>
      </c>
      <c r="U83" s="6" t="str">
        <f>IF(Q83&lt;&gt;"", 'Daily Camera Trends'!$N$5, "")</f>
        <v/>
      </c>
      <c r="CP83" s="6" t="str">
        <f>IF($N83&lt;&gt;"", 'Daily Camera Trends'!$M$5, "")</f>
        <v/>
      </c>
      <c r="CQ83" s="6" t="str">
        <f>IF($Q83&lt;&gt;"", 'Daily Camera Trends'!$N$5, "")</f>
        <v/>
      </c>
    </row>
    <row r="84" spans="1:95" ht="40.049999999999997" customHeight="1" x14ac:dyDescent="0.3">
      <c r="A84" s="103" t="str">
        <f t="shared" si="3"/>
        <v/>
      </c>
      <c r="B84" s="236" t="s">
        <v>89</v>
      </c>
      <c r="H84" s="7"/>
      <c r="I84" s="37"/>
      <c r="J84" s="36"/>
      <c r="K84" s="36"/>
      <c r="L84" s="180"/>
      <c r="M84" s="180"/>
      <c r="N84" s="6"/>
      <c r="O84" s="6"/>
      <c r="P84" s="6"/>
      <c r="Q84" s="6"/>
      <c r="R84" s="6" t="str">
        <f>IF(COUNTBLANK($A84:$E84)&gt;0, "", IFERROR(_xlfn.MINIFS(Log!$G:$G, Log!$A:$A, $A84, Log!$B:$B, $B84, Log!$C:$C, $C84),""))</f>
        <v/>
      </c>
      <c r="S84" s="6" t="str">
        <f>IF(COUNTBLANK($A84:$E84)&gt;0, "", IFERROR(_xlfn.MAXIFS(Log!$G:$G, Log!$A:$A, $A84, Log!$B:$B, $B84, Log!$C:$C, $C84),""))</f>
        <v/>
      </c>
      <c r="T84" s="6" t="str">
        <f>IF($N84&lt;&gt;"", 'Daily Camera Trends'!$M$5, "")</f>
        <v/>
      </c>
      <c r="U84" s="6" t="str">
        <f>IF(Q84&lt;&gt;"", 'Daily Camera Trends'!$N$5, "")</f>
        <v/>
      </c>
      <c r="CP84" s="6" t="str">
        <f>IF($N84&lt;&gt;"", 'Daily Camera Trends'!$M$5, "")</f>
        <v/>
      </c>
      <c r="CQ84" s="6" t="str">
        <f>IF($Q84&lt;&gt;"", 'Daily Camera Trends'!$N$5, "")</f>
        <v/>
      </c>
    </row>
    <row r="85" spans="1:95" ht="40.049999999999997" customHeight="1" x14ac:dyDescent="0.3">
      <c r="A85" s="103" t="str">
        <f t="shared" si="3"/>
        <v/>
      </c>
      <c r="B85" s="236" t="s">
        <v>89</v>
      </c>
      <c r="H85" s="7"/>
      <c r="I85" s="37"/>
      <c r="J85" s="36"/>
      <c r="K85" s="36"/>
      <c r="L85" s="180"/>
      <c r="M85" s="180"/>
      <c r="N85" s="6"/>
      <c r="O85" s="6"/>
      <c r="P85" s="6"/>
      <c r="Q85" s="6"/>
      <c r="R85" s="6" t="str">
        <f>IF(COUNTBLANK($A85:$E85)&gt;0, "", IFERROR(_xlfn.MINIFS(Log!$G:$G, Log!$A:$A, $A85, Log!$B:$B, $B85, Log!$C:$C, $C85),""))</f>
        <v/>
      </c>
      <c r="S85" s="6" t="str">
        <f>IF(COUNTBLANK($A85:$E85)&gt;0, "", IFERROR(_xlfn.MAXIFS(Log!$G:$G, Log!$A:$A, $A85, Log!$B:$B, $B85, Log!$C:$C, $C85),""))</f>
        <v/>
      </c>
      <c r="T85" s="6" t="str">
        <f>IF($N85&lt;&gt;"", 'Daily Camera Trends'!$M$5, "")</f>
        <v/>
      </c>
      <c r="U85" s="6" t="str">
        <f>IF(Q85&lt;&gt;"", 'Daily Camera Trends'!$N$5, "")</f>
        <v/>
      </c>
      <c r="CP85" s="6" t="str">
        <f>IF($N85&lt;&gt;"", 'Daily Camera Trends'!$M$5, "")</f>
        <v/>
      </c>
      <c r="CQ85" s="6" t="str">
        <f>IF($Q85&lt;&gt;"", 'Daily Camera Trends'!$N$5, "")</f>
        <v/>
      </c>
    </row>
    <row r="86" spans="1:95" ht="40.049999999999997" customHeight="1" x14ac:dyDescent="0.3">
      <c r="A86" s="103" t="str">
        <f t="shared" si="3"/>
        <v/>
      </c>
      <c r="B86" s="236" t="s">
        <v>89</v>
      </c>
      <c r="H86" s="7"/>
      <c r="I86" s="37"/>
      <c r="J86" s="36"/>
      <c r="K86" s="36"/>
      <c r="L86" s="180"/>
      <c r="M86" s="180"/>
      <c r="N86" s="6"/>
      <c r="O86" s="6"/>
      <c r="P86" s="6"/>
      <c r="Q86" s="6"/>
      <c r="R86" s="6" t="str">
        <f>IF(COUNTBLANK($A86:$E86)&gt;0, "", IFERROR(_xlfn.MINIFS(Log!$G:$G, Log!$A:$A, $A86, Log!$B:$B, $B86, Log!$C:$C, $C86),""))</f>
        <v/>
      </c>
      <c r="S86" s="6" t="str">
        <f>IF(COUNTBLANK($A86:$E86)&gt;0, "", IFERROR(_xlfn.MAXIFS(Log!$G:$G, Log!$A:$A, $A86, Log!$B:$B, $B86, Log!$C:$C, $C86),""))</f>
        <v/>
      </c>
      <c r="T86" s="6" t="str">
        <f>IF($N86&lt;&gt;"", 'Daily Camera Trends'!$M$5, "")</f>
        <v/>
      </c>
      <c r="U86" s="6" t="str">
        <f>IF(Q86&lt;&gt;"", 'Daily Camera Trends'!$N$5, "")</f>
        <v/>
      </c>
      <c r="CP86" s="6" t="str">
        <f>IF($N86&lt;&gt;"", 'Daily Camera Trends'!$M$5, "")</f>
        <v/>
      </c>
      <c r="CQ86" s="6" t="str">
        <f>IF($Q86&lt;&gt;"", 'Daily Camera Trends'!$N$5, "")</f>
        <v/>
      </c>
    </row>
    <row r="87" spans="1:95" ht="40.049999999999997" customHeight="1" x14ac:dyDescent="0.3">
      <c r="A87" s="103" t="str">
        <f t="shared" si="3"/>
        <v/>
      </c>
      <c r="B87" s="236" t="s">
        <v>89</v>
      </c>
      <c r="H87" s="7"/>
      <c r="I87" s="37"/>
      <c r="J87" s="36"/>
      <c r="K87" s="36"/>
      <c r="L87" s="180"/>
      <c r="M87" s="180"/>
      <c r="N87" s="6"/>
      <c r="O87" s="6"/>
      <c r="P87" s="6"/>
      <c r="Q87" s="6"/>
      <c r="R87" s="6" t="str">
        <f>IF(COUNTBLANK($A87:$E87)&gt;0, "", IFERROR(_xlfn.MINIFS(Log!$G:$G, Log!$A:$A, $A87, Log!$B:$B, $B87, Log!$C:$C, $C87),""))</f>
        <v/>
      </c>
      <c r="S87" s="6" t="str">
        <f>IF(COUNTBLANK($A87:$E87)&gt;0, "", IFERROR(_xlfn.MAXIFS(Log!$G:$G, Log!$A:$A, $A87, Log!$B:$B, $B87, Log!$C:$C, $C87),""))</f>
        <v/>
      </c>
      <c r="T87" s="6" t="str">
        <f>IF($N87&lt;&gt;"", 'Daily Camera Trends'!$M$5, "")</f>
        <v/>
      </c>
      <c r="U87" s="6" t="str">
        <f>IF(Q87&lt;&gt;"", 'Daily Camera Trends'!$N$5, "")</f>
        <v/>
      </c>
      <c r="CP87" s="6" t="str">
        <f>IF($N87&lt;&gt;"", 'Daily Camera Trends'!$M$5, "")</f>
        <v/>
      </c>
      <c r="CQ87" s="6" t="str">
        <f>IF($Q87&lt;&gt;"", 'Daily Camera Trends'!$N$5, "")</f>
        <v/>
      </c>
    </row>
    <row r="88" spans="1:95" ht="40.049999999999997" customHeight="1" x14ac:dyDescent="0.3">
      <c r="A88" s="103" t="str">
        <f t="shared" si="3"/>
        <v/>
      </c>
      <c r="B88" s="236" t="s">
        <v>89</v>
      </c>
      <c r="H88" s="7"/>
      <c r="I88" s="37"/>
      <c r="J88" s="36"/>
      <c r="K88" s="36"/>
      <c r="L88" s="180"/>
      <c r="M88" s="180"/>
      <c r="N88" s="6"/>
      <c r="O88" s="6"/>
      <c r="P88" s="6"/>
      <c r="Q88" s="6"/>
      <c r="R88" s="6" t="str">
        <f>IF(COUNTBLANK($A88:$E88)&gt;0, "", IFERROR(_xlfn.MINIFS(Log!$G:$G, Log!$A:$A, $A88, Log!$B:$B, $B88, Log!$C:$C, $C88),""))</f>
        <v/>
      </c>
      <c r="S88" s="6" t="str">
        <f>IF(COUNTBLANK($A88:$E88)&gt;0, "", IFERROR(_xlfn.MAXIFS(Log!$G:$G, Log!$A:$A, $A88, Log!$B:$B, $B88, Log!$C:$C, $C88),""))</f>
        <v/>
      </c>
      <c r="T88" s="6" t="str">
        <f>IF($N88&lt;&gt;"", 'Daily Camera Trends'!$M$5, "")</f>
        <v/>
      </c>
      <c r="U88" s="6" t="str">
        <f>IF(Q88&lt;&gt;"", 'Daily Camera Trends'!$N$5, "")</f>
        <v/>
      </c>
      <c r="CP88" s="6" t="str">
        <f>IF($N88&lt;&gt;"", 'Daily Camera Trends'!$M$5, "")</f>
        <v/>
      </c>
      <c r="CQ88" s="6" t="str">
        <f>IF($Q88&lt;&gt;"", 'Daily Camera Trends'!$N$5, "")</f>
        <v/>
      </c>
    </row>
    <row r="89" spans="1:95" ht="40.049999999999997" customHeight="1" x14ac:dyDescent="0.3">
      <c r="A89" s="103" t="str">
        <f t="shared" si="3"/>
        <v/>
      </c>
      <c r="B89" s="236" t="s">
        <v>89</v>
      </c>
      <c r="H89" s="7"/>
      <c r="I89" s="37"/>
      <c r="J89" s="36"/>
      <c r="K89" s="36"/>
      <c r="L89" s="180"/>
      <c r="M89" s="180"/>
      <c r="N89" s="6"/>
      <c r="O89" s="6"/>
      <c r="P89" s="6"/>
      <c r="Q89" s="6"/>
      <c r="R89" s="6" t="str">
        <f>IF(COUNTBLANK($A89:$E89)&gt;0, "", IFERROR(_xlfn.MINIFS(Log!$G:$G, Log!$A:$A, $A89, Log!$B:$B, $B89, Log!$C:$C, $C89),""))</f>
        <v/>
      </c>
      <c r="S89" s="6" t="str">
        <f>IF(COUNTBLANK($A89:$E89)&gt;0, "", IFERROR(_xlfn.MAXIFS(Log!$G:$G, Log!$A:$A, $A89, Log!$B:$B, $B89, Log!$C:$C, $C89),""))</f>
        <v/>
      </c>
      <c r="T89" s="6" t="str">
        <f>IF($N89&lt;&gt;"", 'Daily Camera Trends'!$M$5, "")</f>
        <v/>
      </c>
      <c r="U89" s="6" t="str">
        <f>IF(Q89&lt;&gt;"", 'Daily Camera Trends'!$N$5, "")</f>
        <v/>
      </c>
      <c r="CP89" s="6" t="str">
        <f>IF($N89&lt;&gt;"", 'Daily Camera Trends'!$M$5, "")</f>
        <v/>
      </c>
      <c r="CQ89" s="6" t="str">
        <f>IF($Q89&lt;&gt;"", 'Daily Camera Trends'!$N$5, "")</f>
        <v/>
      </c>
    </row>
    <row r="90" spans="1:95" ht="40.049999999999997" customHeight="1" x14ac:dyDescent="0.3">
      <c r="A90" s="103" t="str">
        <f t="shared" si="3"/>
        <v/>
      </c>
      <c r="B90" s="236" t="s">
        <v>89</v>
      </c>
      <c r="H90" s="7"/>
      <c r="I90" s="37"/>
      <c r="J90" s="36"/>
      <c r="K90" s="36"/>
      <c r="L90" s="180"/>
      <c r="M90" s="180"/>
      <c r="N90" s="6"/>
      <c r="O90" s="6"/>
      <c r="P90" s="6"/>
      <c r="Q90" s="6"/>
      <c r="R90" s="6" t="str">
        <f>IF(COUNTBLANK($A90:$E90)&gt;0, "", IFERROR(_xlfn.MINIFS(Log!$G:$G, Log!$A:$A, $A90, Log!$B:$B, $B90, Log!$C:$C, $C90),""))</f>
        <v/>
      </c>
      <c r="S90" s="6" t="str">
        <f>IF(COUNTBLANK($A90:$E90)&gt;0, "", IFERROR(_xlfn.MAXIFS(Log!$G:$G, Log!$A:$A, $A90, Log!$B:$B, $B90, Log!$C:$C, $C90),""))</f>
        <v/>
      </c>
      <c r="T90" s="6" t="str">
        <f>IF($N90&lt;&gt;"", 'Daily Camera Trends'!$M$5, "")</f>
        <v/>
      </c>
      <c r="U90" s="6" t="str">
        <f>IF(Q90&lt;&gt;"", 'Daily Camera Trends'!$N$5, "")</f>
        <v/>
      </c>
      <c r="CP90" s="6" t="str">
        <f>IF($N90&lt;&gt;"", 'Daily Camera Trends'!$M$5, "")</f>
        <v/>
      </c>
      <c r="CQ90" s="6" t="str">
        <f>IF($Q90&lt;&gt;"", 'Daily Camera Trends'!$N$5, "")</f>
        <v/>
      </c>
    </row>
    <row r="91" spans="1:95" ht="40.049999999999997" customHeight="1" x14ac:dyDescent="0.3">
      <c r="A91" s="103" t="str">
        <f t="shared" si="3"/>
        <v/>
      </c>
      <c r="B91" s="236" t="s">
        <v>89</v>
      </c>
      <c r="H91" s="7"/>
      <c r="I91" s="37"/>
      <c r="J91" s="36"/>
      <c r="K91" s="36"/>
      <c r="L91" s="180"/>
      <c r="M91" s="180"/>
      <c r="N91" s="6"/>
      <c r="O91" s="6"/>
      <c r="P91" s="6"/>
      <c r="Q91" s="6"/>
      <c r="R91" s="6" t="str">
        <f>IF(COUNTBLANK($A91:$E91)&gt;0, "", IFERROR(_xlfn.MINIFS(Log!$G:$G, Log!$A:$A, $A91, Log!$B:$B, $B91, Log!$C:$C, $C91),""))</f>
        <v/>
      </c>
      <c r="S91" s="6" t="str">
        <f>IF(COUNTBLANK($A91:$E91)&gt;0, "", IFERROR(_xlfn.MAXIFS(Log!$G:$G, Log!$A:$A, $A91, Log!$B:$B, $B91, Log!$C:$C, $C91),""))</f>
        <v/>
      </c>
      <c r="T91" s="6" t="str">
        <f>IF($N91&lt;&gt;"", 'Daily Camera Trends'!$M$5, "")</f>
        <v/>
      </c>
      <c r="U91" s="6" t="str">
        <f>IF(Q91&lt;&gt;"", 'Daily Camera Trends'!$N$5, "")</f>
        <v/>
      </c>
      <c r="CP91" s="6" t="str">
        <f>IF($N91&lt;&gt;"", 'Daily Camera Trends'!$M$5, "")</f>
        <v/>
      </c>
      <c r="CQ91" s="6" t="str">
        <f>IF($Q91&lt;&gt;"", 'Daily Camera Trends'!$N$5, "")</f>
        <v/>
      </c>
    </row>
    <row r="92" spans="1:95" ht="40.049999999999997" customHeight="1" x14ac:dyDescent="0.3">
      <c r="A92" s="103" t="str">
        <f t="shared" si="3"/>
        <v/>
      </c>
      <c r="B92" s="236" t="s">
        <v>89</v>
      </c>
      <c r="H92" s="7"/>
      <c r="I92" s="37"/>
      <c r="J92" s="36"/>
      <c r="K92" s="36"/>
      <c r="L92" s="180"/>
      <c r="M92" s="180"/>
      <c r="N92" s="6"/>
      <c r="O92" s="6"/>
      <c r="P92" s="6"/>
      <c r="Q92" s="6"/>
      <c r="R92" s="6" t="str">
        <f>IF(COUNTBLANK($A92:$E92)&gt;0, "", IFERROR(_xlfn.MINIFS(Log!$G:$G, Log!$A:$A, $A92, Log!$B:$B, $B92, Log!$C:$C, $C92),""))</f>
        <v/>
      </c>
      <c r="S92" s="6" t="str">
        <f>IF(COUNTBLANK($A92:$E92)&gt;0, "", IFERROR(_xlfn.MAXIFS(Log!$G:$G, Log!$A:$A, $A92, Log!$B:$B, $B92, Log!$C:$C, $C92),""))</f>
        <v/>
      </c>
      <c r="T92" s="6" t="str">
        <f>IF($N92&lt;&gt;"", 'Daily Camera Trends'!$M$5, "")</f>
        <v/>
      </c>
      <c r="U92" s="6" t="str">
        <f>IF(Q92&lt;&gt;"", 'Daily Camera Trends'!$N$5, "")</f>
        <v/>
      </c>
      <c r="CP92" s="6" t="str">
        <f>IF($N92&lt;&gt;"", 'Daily Camera Trends'!$M$5, "")</f>
        <v/>
      </c>
      <c r="CQ92" s="6" t="str">
        <f>IF($Q92&lt;&gt;"", 'Daily Camera Trends'!$N$5, "")</f>
        <v/>
      </c>
    </row>
    <row r="93" spans="1:95" ht="40.049999999999997" customHeight="1" x14ac:dyDescent="0.3">
      <c r="A93" s="103" t="str">
        <f t="shared" si="3"/>
        <v/>
      </c>
      <c r="B93" s="236" t="s">
        <v>89</v>
      </c>
      <c r="H93" s="7"/>
      <c r="I93" s="37"/>
      <c r="J93" s="36"/>
      <c r="K93" s="36"/>
      <c r="L93" s="180"/>
      <c r="M93" s="180"/>
      <c r="N93" s="6"/>
      <c r="O93" s="6"/>
      <c r="P93" s="6"/>
      <c r="Q93" s="6"/>
      <c r="R93" s="6" t="str">
        <f>IF(COUNTBLANK($A93:$E93)&gt;0, "", IFERROR(_xlfn.MINIFS(Log!$G:$G, Log!$A:$A, $A93, Log!$B:$B, $B93, Log!$C:$C, $C93),""))</f>
        <v/>
      </c>
      <c r="S93" s="6" t="str">
        <f>IF(COUNTBLANK($A93:$E93)&gt;0, "", IFERROR(_xlfn.MAXIFS(Log!$G:$G, Log!$A:$A, $A93, Log!$B:$B, $B93, Log!$C:$C, $C93),""))</f>
        <v/>
      </c>
      <c r="T93" s="6" t="str">
        <f>IF($N93&lt;&gt;"", 'Daily Camera Trends'!$M$5, "")</f>
        <v/>
      </c>
      <c r="U93" s="6" t="str">
        <f>IF(Q93&lt;&gt;"", 'Daily Camera Trends'!$N$5, "")</f>
        <v/>
      </c>
      <c r="CP93" s="6" t="str">
        <f>IF($N93&lt;&gt;"", 'Daily Camera Trends'!$M$5, "")</f>
        <v/>
      </c>
      <c r="CQ93" s="6" t="str">
        <f>IF($Q93&lt;&gt;"", 'Daily Camera Trends'!$N$5, "")</f>
        <v/>
      </c>
    </row>
    <row r="94" spans="1:95" ht="40.049999999999997" customHeight="1" x14ac:dyDescent="0.3">
      <c r="A94" s="103" t="str">
        <f t="shared" si="3"/>
        <v/>
      </c>
      <c r="B94" s="236" t="s">
        <v>89</v>
      </c>
      <c r="H94" s="7"/>
      <c r="I94" s="37"/>
      <c r="J94" s="36"/>
      <c r="K94" s="36"/>
      <c r="L94" s="180"/>
      <c r="M94" s="180"/>
      <c r="N94" s="6"/>
      <c r="O94" s="6"/>
      <c r="P94" s="6"/>
      <c r="Q94" s="6"/>
      <c r="R94" s="6" t="str">
        <f>IF(COUNTBLANK($A94:$E94)&gt;0, "", IFERROR(_xlfn.MINIFS(Log!$G:$G, Log!$A:$A, $A94, Log!$B:$B, $B94, Log!$C:$C, $C94),""))</f>
        <v/>
      </c>
      <c r="S94" s="6" t="str">
        <f>IF(COUNTBLANK($A94:$E94)&gt;0, "", IFERROR(_xlfn.MAXIFS(Log!$G:$G, Log!$A:$A, $A94, Log!$B:$B, $B94, Log!$C:$C, $C94),""))</f>
        <v/>
      </c>
      <c r="T94" s="6" t="str">
        <f>IF($N94&lt;&gt;"", 'Daily Camera Trends'!$M$5, "")</f>
        <v/>
      </c>
      <c r="U94" s="6" t="str">
        <f>IF(Q94&lt;&gt;"", 'Daily Camera Trends'!$N$5, "")</f>
        <v/>
      </c>
      <c r="CP94" s="6" t="str">
        <f>IF($N94&lt;&gt;"", 'Daily Camera Trends'!$M$5, "")</f>
        <v/>
      </c>
      <c r="CQ94" s="6" t="str">
        <f>IF($Q94&lt;&gt;"", 'Daily Camera Trends'!$N$5, "")</f>
        <v/>
      </c>
    </row>
    <row r="95" spans="1:95" ht="40.049999999999997" customHeight="1" x14ac:dyDescent="0.3">
      <c r="A95" s="103" t="str">
        <f t="shared" si="3"/>
        <v/>
      </c>
      <c r="B95" s="236" t="s">
        <v>89</v>
      </c>
      <c r="H95" s="7"/>
      <c r="I95" s="37"/>
      <c r="J95" s="36"/>
      <c r="K95" s="36"/>
      <c r="L95" s="180"/>
      <c r="M95" s="180"/>
      <c r="N95" s="6"/>
      <c r="O95" s="6"/>
      <c r="P95" s="6"/>
      <c r="Q95" s="6"/>
      <c r="R95" s="6" t="str">
        <f>IF(COUNTBLANK($A95:$E95)&gt;0, "", IFERROR(_xlfn.MINIFS(Log!$G:$G, Log!$A:$A, $A95, Log!$B:$B, $B95, Log!$C:$C, $C95),""))</f>
        <v/>
      </c>
      <c r="S95" s="6" t="str">
        <f>IF(COUNTBLANK($A95:$E95)&gt;0, "", IFERROR(_xlfn.MAXIFS(Log!$G:$G, Log!$A:$A, $A95, Log!$B:$B, $B95, Log!$C:$C, $C95),""))</f>
        <v/>
      </c>
      <c r="T95" s="6" t="str">
        <f>IF($N95&lt;&gt;"", 'Daily Camera Trends'!$M$5, "")</f>
        <v/>
      </c>
      <c r="U95" s="6" t="str">
        <f>IF(Q95&lt;&gt;"", 'Daily Camera Trends'!$N$5, "")</f>
        <v/>
      </c>
      <c r="CP95" s="6" t="str">
        <f>IF($N95&lt;&gt;"", 'Daily Camera Trends'!$M$5, "")</f>
        <v/>
      </c>
      <c r="CQ95" s="6" t="str">
        <f>IF($Q95&lt;&gt;"", 'Daily Camera Trends'!$N$5, "")</f>
        <v/>
      </c>
    </row>
    <row r="96" spans="1:95" ht="40.049999999999997" customHeight="1" x14ac:dyDescent="0.3">
      <c r="A96" s="103" t="str">
        <f t="shared" si="3"/>
        <v/>
      </c>
      <c r="B96" s="236" t="s">
        <v>89</v>
      </c>
      <c r="H96" s="7"/>
      <c r="I96" s="37"/>
      <c r="J96" s="36"/>
      <c r="K96" s="36"/>
      <c r="L96" s="180"/>
      <c r="M96" s="180"/>
      <c r="N96" s="6"/>
      <c r="O96" s="6"/>
      <c r="P96" s="6"/>
      <c r="Q96" s="6"/>
      <c r="R96" s="6" t="str">
        <f>IF(COUNTBLANK($A96:$E96)&gt;0, "", IFERROR(_xlfn.MINIFS(Log!$G:$G, Log!$A:$A, $A96, Log!$B:$B, $B96, Log!$C:$C, $C96),""))</f>
        <v/>
      </c>
      <c r="S96" s="6" t="str">
        <f>IF(COUNTBLANK($A96:$E96)&gt;0, "", IFERROR(_xlfn.MAXIFS(Log!$G:$G, Log!$A:$A, $A96, Log!$B:$B, $B96, Log!$C:$C, $C96),""))</f>
        <v/>
      </c>
      <c r="T96" s="6" t="str">
        <f>IF($N96&lt;&gt;"", 'Daily Camera Trends'!$M$5, "")</f>
        <v/>
      </c>
      <c r="U96" s="6" t="str">
        <f>IF(Q96&lt;&gt;"", 'Daily Camera Trends'!$N$5, "")</f>
        <v/>
      </c>
      <c r="CP96" s="6" t="str">
        <f>IF($N96&lt;&gt;"", 'Daily Camera Trends'!$M$5, "")</f>
        <v/>
      </c>
      <c r="CQ96" s="6" t="str">
        <f>IF($Q96&lt;&gt;"", 'Daily Camera Trends'!$N$5, "")</f>
        <v/>
      </c>
    </row>
    <row r="97" spans="1:95" ht="40.049999999999997" customHeight="1" x14ac:dyDescent="0.3">
      <c r="A97" s="103" t="str">
        <f t="shared" si="3"/>
        <v/>
      </c>
      <c r="B97" s="236" t="s">
        <v>89</v>
      </c>
      <c r="H97" s="7"/>
      <c r="I97" s="37"/>
      <c r="J97" s="36"/>
      <c r="K97" s="36"/>
      <c r="L97" s="180"/>
      <c r="M97" s="180"/>
      <c r="N97" s="6"/>
      <c r="O97" s="6"/>
      <c r="P97" s="6"/>
      <c r="Q97" s="6"/>
      <c r="R97" s="6" t="str">
        <f>IF(COUNTBLANK($A97:$E97)&gt;0, "", IFERROR(_xlfn.MINIFS(Log!$G:$G, Log!$A:$A, $A97, Log!$B:$B, $B97, Log!$C:$C, $C97),""))</f>
        <v/>
      </c>
      <c r="S97" s="6" t="str">
        <f>IF(COUNTBLANK($A97:$E97)&gt;0, "", IFERROR(_xlfn.MAXIFS(Log!$G:$G, Log!$A:$A, $A97, Log!$B:$B, $B97, Log!$C:$C, $C97),""))</f>
        <v/>
      </c>
      <c r="T97" s="6" t="str">
        <f>IF($N97&lt;&gt;"", 'Daily Camera Trends'!$M$5, "")</f>
        <v/>
      </c>
      <c r="U97" s="6" t="str">
        <f>IF(Q97&lt;&gt;"", 'Daily Camera Trends'!$N$5, "")</f>
        <v/>
      </c>
      <c r="CP97" s="6" t="str">
        <f>IF($N97&lt;&gt;"", 'Daily Camera Trends'!$M$5, "")</f>
        <v/>
      </c>
      <c r="CQ97" s="6" t="str">
        <f>IF($Q97&lt;&gt;"", 'Daily Camera Trends'!$N$5, "")</f>
        <v/>
      </c>
    </row>
    <row r="98" spans="1:95" ht="40.049999999999997" customHeight="1" x14ac:dyDescent="0.3">
      <c r="A98" s="103" t="str">
        <f t="shared" si="3"/>
        <v/>
      </c>
      <c r="B98" s="236" t="s">
        <v>89</v>
      </c>
      <c r="H98" s="7"/>
      <c r="I98" s="37"/>
      <c r="J98" s="36"/>
      <c r="K98" s="36"/>
      <c r="L98" s="180"/>
      <c r="M98" s="180"/>
      <c r="N98" s="6"/>
      <c r="O98" s="6"/>
      <c r="P98" s="6"/>
      <c r="Q98" s="6"/>
      <c r="R98" s="6" t="str">
        <f>IF(COUNTBLANK($A98:$E98)&gt;0, "", IFERROR(_xlfn.MINIFS(Log!$G:$G, Log!$A:$A, $A98, Log!$B:$B, $B98, Log!$C:$C, $C98),""))</f>
        <v/>
      </c>
      <c r="S98" s="6" t="str">
        <f>IF(COUNTBLANK($A98:$E98)&gt;0, "", IFERROR(_xlfn.MAXIFS(Log!$G:$G, Log!$A:$A, $A98, Log!$B:$B, $B98, Log!$C:$C, $C98),""))</f>
        <v/>
      </c>
      <c r="T98" s="6" t="str">
        <f>IF($N98&lt;&gt;"", 'Daily Camera Trends'!$M$5, "")</f>
        <v/>
      </c>
      <c r="U98" s="6" t="str">
        <f>IF(Q98&lt;&gt;"", 'Daily Camera Trends'!$N$5, "")</f>
        <v/>
      </c>
      <c r="CP98" s="6" t="str">
        <f>IF($N98&lt;&gt;"", 'Daily Camera Trends'!$M$5, "")</f>
        <v/>
      </c>
      <c r="CQ98" s="6" t="str">
        <f>IF($Q98&lt;&gt;"", 'Daily Camera Trends'!$N$5, "")</f>
        <v/>
      </c>
    </row>
    <row r="99" spans="1:95" ht="40.049999999999997" customHeight="1" x14ac:dyDescent="0.3">
      <c r="A99" s="103" t="str">
        <f t="shared" si="3"/>
        <v/>
      </c>
      <c r="B99" s="236" t="s">
        <v>89</v>
      </c>
      <c r="H99" s="7"/>
      <c r="I99" s="37"/>
      <c r="J99" s="36"/>
      <c r="K99" s="36"/>
      <c r="L99" s="180"/>
      <c r="M99" s="180"/>
      <c r="N99" s="6"/>
      <c r="O99" s="6"/>
      <c r="P99" s="6"/>
      <c r="Q99" s="6"/>
      <c r="R99" s="6" t="str">
        <f>IF(COUNTBLANK($A99:$E99)&gt;0, "", IFERROR(_xlfn.MINIFS(Log!$G:$G, Log!$A:$A, $A99, Log!$B:$B, $B99, Log!$C:$C, $C99),""))</f>
        <v/>
      </c>
      <c r="S99" s="6" t="str">
        <f>IF(COUNTBLANK($A99:$E99)&gt;0, "", IFERROR(_xlfn.MAXIFS(Log!$G:$G, Log!$A:$A, $A99, Log!$B:$B, $B99, Log!$C:$C, $C99),""))</f>
        <v/>
      </c>
      <c r="T99" s="6" t="str">
        <f>IF($N99&lt;&gt;"", 'Daily Camera Trends'!$M$5, "")</f>
        <v/>
      </c>
      <c r="U99" s="6" t="str">
        <f>IF(Q99&lt;&gt;"", 'Daily Camera Trends'!$N$5, "")</f>
        <v/>
      </c>
      <c r="CP99" s="6" t="str">
        <f>IF($N99&lt;&gt;"", 'Daily Camera Trends'!$M$5, "")</f>
        <v/>
      </c>
      <c r="CQ99" s="6" t="str">
        <f>IF($Q99&lt;&gt;"", 'Daily Camera Trends'!$N$5, "")</f>
        <v/>
      </c>
    </row>
    <row r="100" spans="1:95" ht="40.049999999999997" customHeight="1" x14ac:dyDescent="0.3">
      <c r="A100" s="103" t="str">
        <f t="shared" si="3"/>
        <v/>
      </c>
      <c r="B100" s="236" t="s">
        <v>89</v>
      </c>
      <c r="H100" s="7"/>
      <c r="I100" s="37"/>
      <c r="J100" s="36"/>
      <c r="K100" s="36"/>
      <c r="L100" s="180"/>
      <c r="M100" s="180"/>
      <c r="N100" s="6"/>
      <c r="O100" s="6"/>
      <c r="P100" s="6"/>
      <c r="Q100" s="6"/>
      <c r="R100" s="6" t="str">
        <f>IF(COUNTBLANK($A100:$E100)&gt;0, "", IFERROR(_xlfn.MINIFS(Log!$G:$G, Log!$A:$A, $A100, Log!$B:$B, $B100, Log!$C:$C, $C100),""))</f>
        <v/>
      </c>
      <c r="S100" s="6" t="str">
        <f>IF(COUNTBLANK($A100:$E100)&gt;0, "", IFERROR(_xlfn.MAXIFS(Log!$G:$G, Log!$A:$A, $A100, Log!$B:$B, $B100, Log!$C:$C, $C100),""))</f>
        <v/>
      </c>
      <c r="T100" s="6" t="str">
        <f>IF($N100&lt;&gt;"", 'Daily Camera Trends'!$M$5, "")</f>
        <v/>
      </c>
      <c r="U100" s="6" t="str">
        <f>IF(Q100&lt;&gt;"", 'Daily Camera Trends'!$N$5, "")</f>
        <v/>
      </c>
      <c r="CP100" s="6" t="str">
        <f>IF($N100&lt;&gt;"", 'Daily Camera Trends'!$M$5, "")</f>
        <v/>
      </c>
      <c r="CQ100" s="6" t="str">
        <f>IF($Q100&lt;&gt;"", 'Daily Camera Trends'!$N$5, "")</f>
        <v/>
      </c>
    </row>
    <row r="101" spans="1:95" ht="40.049999999999997" customHeight="1" x14ac:dyDescent="0.3">
      <c r="A101" s="103" t="str">
        <f t="shared" si="3"/>
        <v/>
      </c>
      <c r="B101" s="236" t="s">
        <v>89</v>
      </c>
      <c r="H101" s="7"/>
      <c r="I101" s="37"/>
      <c r="J101" s="36"/>
      <c r="K101" s="36"/>
      <c r="L101" s="180"/>
      <c r="M101" s="180"/>
      <c r="N101" s="6"/>
      <c r="O101" s="6"/>
      <c r="P101" s="6"/>
      <c r="Q101" s="6"/>
      <c r="R101" s="6" t="str">
        <f>IF(COUNTBLANK($A101:$E101)&gt;0, "", IFERROR(_xlfn.MINIFS(Log!$G:$G, Log!$A:$A, $A101, Log!$B:$B, $B101, Log!$C:$C, $C101),""))</f>
        <v/>
      </c>
      <c r="S101" s="6" t="str">
        <f>IF(COUNTBLANK($A101:$E101)&gt;0, "", IFERROR(_xlfn.MAXIFS(Log!$G:$G, Log!$A:$A, $A101, Log!$B:$B, $B101, Log!$C:$C, $C101),""))</f>
        <v/>
      </c>
      <c r="T101" s="6" t="str">
        <f>IF($N101&lt;&gt;"", 'Daily Camera Trends'!$M$5, "")</f>
        <v/>
      </c>
      <c r="U101" s="6" t="str">
        <f>IF(Q101&lt;&gt;"", 'Daily Camera Trends'!$N$5, "")</f>
        <v/>
      </c>
      <c r="CP101" s="6" t="str">
        <f>IF($N101&lt;&gt;"", 'Daily Camera Trends'!$M$5, "")</f>
        <v/>
      </c>
      <c r="CQ101" s="6" t="str">
        <f>IF($Q101&lt;&gt;"", 'Daily Camera Trends'!$N$5, "")</f>
        <v/>
      </c>
    </row>
    <row r="102" spans="1:95" ht="40.049999999999997" customHeight="1" x14ac:dyDescent="0.3">
      <c r="A102" s="103" t="str">
        <f t="shared" si="3"/>
        <v/>
      </c>
      <c r="B102" s="236" t="s">
        <v>89</v>
      </c>
      <c r="H102" s="7"/>
      <c r="I102" s="37"/>
      <c r="J102" s="36"/>
      <c r="K102" s="36"/>
      <c r="L102" s="180"/>
      <c r="M102" s="180"/>
      <c r="N102" s="6"/>
      <c r="O102" s="6"/>
      <c r="P102" s="6"/>
      <c r="Q102" s="6"/>
      <c r="R102" s="6" t="str">
        <f>IF(COUNTBLANK($A102:$E102)&gt;0, "", IFERROR(_xlfn.MINIFS(Log!$G:$G, Log!$A:$A, $A102, Log!$B:$B, $B102, Log!$C:$C, $C102),""))</f>
        <v/>
      </c>
      <c r="S102" s="6" t="str">
        <f>IF(COUNTBLANK($A102:$E102)&gt;0, "", IFERROR(_xlfn.MAXIFS(Log!$G:$G, Log!$A:$A, $A102, Log!$B:$B, $B102, Log!$C:$C, $C102),""))</f>
        <v/>
      </c>
      <c r="T102" s="6" t="str">
        <f>IF($N102&lt;&gt;"", 'Daily Camera Trends'!$M$5, "")</f>
        <v/>
      </c>
      <c r="U102" s="6" t="str">
        <f>IF(Q102&lt;&gt;"", 'Daily Camera Trends'!$N$5, "")</f>
        <v/>
      </c>
      <c r="CP102" s="6" t="str">
        <f>IF($N102&lt;&gt;"", 'Daily Camera Trends'!$M$5, "")</f>
        <v/>
      </c>
      <c r="CQ102" s="6" t="str">
        <f>IF($Q102&lt;&gt;"", 'Daily Camera Trends'!$N$5, "")</f>
        <v/>
      </c>
    </row>
    <row r="103" spans="1:95" ht="40.049999999999997" customHeight="1" x14ac:dyDescent="0.3">
      <c r="A103" s="103" t="str">
        <f t="shared" si="3"/>
        <v/>
      </c>
      <c r="B103" s="236" t="s">
        <v>89</v>
      </c>
      <c r="H103" s="7"/>
      <c r="I103" s="37"/>
      <c r="J103" s="36"/>
      <c r="K103" s="36"/>
      <c r="L103" s="180"/>
      <c r="M103" s="180"/>
      <c r="N103" s="6"/>
      <c r="O103" s="6"/>
      <c r="P103" s="6"/>
      <c r="Q103" s="6"/>
      <c r="R103" s="6" t="str">
        <f>IF(COUNTBLANK($A103:$E103)&gt;0, "", IFERROR(_xlfn.MINIFS(Log!$G:$G, Log!$A:$A, $A103, Log!$B:$B, $B103, Log!$C:$C, $C103),""))</f>
        <v/>
      </c>
      <c r="S103" s="6" t="str">
        <f>IF(COUNTBLANK($A103:$E103)&gt;0, "", IFERROR(_xlfn.MAXIFS(Log!$G:$G, Log!$A:$A, $A103, Log!$B:$B, $B103, Log!$C:$C, $C103),""))</f>
        <v/>
      </c>
      <c r="T103" s="6" t="str">
        <f>IF($N103&lt;&gt;"", 'Daily Camera Trends'!$M$5, "")</f>
        <v/>
      </c>
      <c r="U103" s="6" t="str">
        <f>IF(Q103&lt;&gt;"", 'Daily Camera Trends'!$N$5, "")</f>
        <v/>
      </c>
      <c r="CP103" s="6" t="str">
        <f>IF($N103&lt;&gt;"", 'Daily Camera Trends'!$M$5, "")</f>
        <v/>
      </c>
      <c r="CQ103" s="6" t="str">
        <f>IF($Q103&lt;&gt;"", 'Daily Camera Trends'!$N$5, "")</f>
        <v/>
      </c>
    </row>
    <row r="104" spans="1:95" ht="40.049999999999997" customHeight="1" x14ac:dyDescent="0.3">
      <c r="A104" s="103" t="str">
        <f t="shared" si="3"/>
        <v/>
      </c>
      <c r="B104" s="236" t="s">
        <v>89</v>
      </c>
      <c r="H104" s="7"/>
      <c r="I104" s="37"/>
      <c r="J104" s="36"/>
      <c r="K104" s="36"/>
      <c r="L104" s="180"/>
      <c r="M104" s="180"/>
      <c r="N104" s="6"/>
      <c r="O104" s="6"/>
      <c r="P104" s="6"/>
      <c r="Q104" s="6"/>
      <c r="R104" s="6" t="str">
        <f>IF(COUNTBLANK($A104:$E104)&gt;0, "", IFERROR(_xlfn.MINIFS(Log!$G:$G, Log!$A:$A, $A104, Log!$B:$B, $B104, Log!$C:$C, $C104),""))</f>
        <v/>
      </c>
      <c r="S104" s="6" t="str">
        <f>IF(COUNTBLANK($A104:$E104)&gt;0, "", IFERROR(_xlfn.MAXIFS(Log!$G:$G, Log!$A:$A, $A104, Log!$B:$B, $B104, Log!$C:$C, $C104),""))</f>
        <v/>
      </c>
      <c r="T104" s="6" t="str">
        <f>IF($N104&lt;&gt;"", 'Daily Camera Trends'!$M$5, "")</f>
        <v/>
      </c>
      <c r="U104" s="6" t="str">
        <f>IF(Q104&lt;&gt;"", 'Daily Camera Trends'!$N$5, "")</f>
        <v/>
      </c>
      <c r="CP104" s="6" t="str">
        <f>IF($N104&lt;&gt;"", 'Daily Camera Trends'!$M$5, "")</f>
        <v/>
      </c>
      <c r="CQ104" s="6" t="str">
        <f>IF($Q104&lt;&gt;"", 'Daily Camera Trends'!$N$5, "")</f>
        <v/>
      </c>
    </row>
    <row r="105" spans="1:95" ht="40.049999999999997" customHeight="1" x14ac:dyDescent="0.3">
      <c r="A105" s="103" t="str">
        <f t="shared" si="3"/>
        <v/>
      </c>
      <c r="B105" s="236" t="s">
        <v>89</v>
      </c>
      <c r="H105" s="7"/>
      <c r="I105" s="37"/>
      <c r="J105" s="36"/>
      <c r="K105" s="36"/>
      <c r="L105" s="180"/>
      <c r="M105" s="180"/>
      <c r="N105" s="6"/>
      <c r="O105" s="6"/>
      <c r="P105" s="6"/>
      <c r="Q105" s="6"/>
      <c r="R105" s="6" t="str">
        <f>IF(COUNTBLANK($A105:$E105)&gt;0, "", IFERROR(_xlfn.MINIFS(Log!$G:$G, Log!$A:$A, $A105, Log!$B:$B, $B105, Log!$C:$C, $C105),""))</f>
        <v/>
      </c>
      <c r="S105" s="6" t="str">
        <f>IF(COUNTBLANK($A105:$E105)&gt;0, "", IFERROR(_xlfn.MAXIFS(Log!$G:$G, Log!$A:$A, $A105, Log!$B:$B, $B105, Log!$C:$C, $C105),""))</f>
        <v/>
      </c>
      <c r="T105" s="6" t="str">
        <f>IF($N105&lt;&gt;"", 'Daily Camera Trends'!$M$5, "")</f>
        <v/>
      </c>
      <c r="U105" s="6" t="str">
        <f>IF(Q105&lt;&gt;"", 'Daily Camera Trends'!$N$5, "")</f>
        <v/>
      </c>
      <c r="CP105" s="6" t="str">
        <f>IF($N105&lt;&gt;"", 'Daily Camera Trends'!$M$5, "")</f>
        <v/>
      </c>
      <c r="CQ105" s="6" t="str">
        <f>IF($Q105&lt;&gt;"", 'Daily Camera Trends'!$N$5, "")</f>
        <v/>
      </c>
    </row>
    <row r="106" spans="1:95" ht="40.049999999999997" customHeight="1" x14ac:dyDescent="0.3">
      <c r="A106" s="103" t="str">
        <f t="shared" si="3"/>
        <v/>
      </c>
      <c r="B106" s="236" t="s">
        <v>89</v>
      </c>
      <c r="H106" s="7"/>
      <c r="I106" s="37"/>
      <c r="J106" s="36"/>
      <c r="K106" s="36"/>
      <c r="L106" s="180"/>
      <c r="M106" s="180"/>
      <c r="N106" s="6"/>
      <c r="O106" s="6"/>
      <c r="P106" s="6"/>
      <c r="Q106" s="6"/>
      <c r="R106" s="6" t="str">
        <f>IF(COUNTBLANK($A106:$E106)&gt;0, "", IFERROR(_xlfn.MINIFS(Log!$G:$G, Log!$A:$A, $A106, Log!$B:$B, $B106, Log!$C:$C, $C106),""))</f>
        <v/>
      </c>
      <c r="S106" s="6" t="str">
        <f>IF(COUNTBLANK($A106:$E106)&gt;0, "", IFERROR(_xlfn.MAXIFS(Log!$G:$G, Log!$A:$A, $A106, Log!$B:$B, $B106, Log!$C:$C, $C106),""))</f>
        <v/>
      </c>
      <c r="T106" s="6" t="str">
        <f>IF($N106&lt;&gt;"", 'Daily Camera Trends'!$M$5, "")</f>
        <v/>
      </c>
      <c r="U106" s="6" t="str">
        <f>IF(Q106&lt;&gt;"", 'Daily Camera Trends'!$N$5, "")</f>
        <v/>
      </c>
      <c r="CP106" s="6" t="str">
        <f>IF($N106&lt;&gt;"", 'Daily Camera Trends'!$M$5, "")</f>
        <v/>
      </c>
      <c r="CQ106" s="6" t="str">
        <f>IF($Q106&lt;&gt;"", 'Daily Camera Trends'!$N$5, "")</f>
        <v/>
      </c>
    </row>
    <row r="107" spans="1:95" ht="40.049999999999997" customHeight="1" x14ac:dyDescent="0.3">
      <c r="A107" s="103" t="str">
        <f t="shared" si="3"/>
        <v/>
      </c>
      <c r="B107" s="236" t="s">
        <v>89</v>
      </c>
      <c r="H107" s="7"/>
      <c r="I107" s="37"/>
      <c r="J107" s="36"/>
      <c r="K107" s="36"/>
      <c r="L107" s="180"/>
      <c r="M107" s="180"/>
      <c r="N107" s="6"/>
      <c r="O107" s="6"/>
      <c r="P107" s="6"/>
      <c r="Q107" s="6"/>
      <c r="R107" s="6" t="str">
        <f>IF(COUNTBLANK($A107:$E107)&gt;0, "", IFERROR(_xlfn.MINIFS(Log!$G:$G, Log!$A:$A, $A107, Log!$B:$B, $B107, Log!$C:$C, $C107),""))</f>
        <v/>
      </c>
      <c r="S107" s="6" t="str">
        <f>IF(COUNTBLANK($A107:$E107)&gt;0, "", IFERROR(_xlfn.MAXIFS(Log!$G:$G, Log!$A:$A, $A107, Log!$B:$B, $B107, Log!$C:$C, $C107),""))</f>
        <v/>
      </c>
      <c r="T107" s="6" t="str">
        <f>IF($N107&lt;&gt;"", 'Daily Camera Trends'!$M$5, "")</f>
        <v/>
      </c>
      <c r="U107" s="6" t="str">
        <f>IF(Q107&lt;&gt;"", 'Daily Camera Trends'!$N$5, "")</f>
        <v/>
      </c>
      <c r="CP107" s="6" t="str">
        <f>IF($N107&lt;&gt;"", 'Daily Camera Trends'!$M$5, "")</f>
        <v/>
      </c>
      <c r="CQ107" s="6" t="str">
        <f>IF($Q107&lt;&gt;"", 'Daily Camera Trends'!$N$5, "")</f>
        <v/>
      </c>
    </row>
    <row r="108" spans="1:95" ht="40.049999999999997" customHeight="1" x14ac:dyDescent="0.3">
      <c r="A108" s="103" t="str">
        <f t="shared" si="3"/>
        <v/>
      </c>
      <c r="B108" s="236" t="s">
        <v>89</v>
      </c>
      <c r="H108" s="7"/>
      <c r="I108" s="37"/>
      <c r="J108" s="36"/>
      <c r="K108" s="36"/>
      <c r="L108" s="180"/>
      <c r="M108" s="180"/>
      <c r="N108" s="6"/>
      <c r="O108" s="6"/>
      <c r="P108" s="6"/>
      <c r="Q108" s="6"/>
      <c r="R108" s="6" t="str">
        <f>IF(COUNTBLANK($A108:$E108)&gt;0, "", IFERROR(_xlfn.MINIFS(Log!$G:$G, Log!$A:$A, $A108, Log!$B:$B, $B108, Log!$C:$C, $C108),""))</f>
        <v/>
      </c>
      <c r="S108" s="6" t="str">
        <f>IF(COUNTBLANK($A108:$E108)&gt;0, "", IFERROR(_xlfn.MAXIFS(Log!$G:$G, Log!$A:$A, $A108, Log!$B:$B, $B108, Log!$C:$C, $C108),""))</f>
        <v/>
      </c>
      <c r="T108" s="6" t="str">
        <f>IF($N108&lt;&gt;"", 'Daily Camera Trends'!$M$5, "")</f>
        <v/>
      </c>
      <c r="U108" s="6" t="str">
        <f>IF(Q108&lt;&gt;"", 'Daily Camera Trends'!$N$5, "")</f>
        <v/>
      </c>
      <c r="CP108" s="6" t="str">
        <f>IF($N108&lt;&gt;"", 'Daily Camera Trends'!$M$5, "")</f>
        <v/>
      </c>
      <c r="CQ108" s="6" t="str">
        <f>IF($Q108&lt;&gt;"", 'Daily Camera Trends'!$N$5, "")</f>
        <v/>
      </c>
    </row>
    <row r="109" spans="1:95" ht="40.049999999999997" customHeight="1" x14ac:dyDescent="0.3">
      <c r="A109" s="103" t="str">
        <f t="shared" si="3"/>
        <v/>
      </c>
      <c r="B109" s="236" t="s">
        <v>89</v>
      </c>
      <c r="H109" s="7"/>
      <c r="I109" s="37"/>
      <c r="J109" s="36"/>
      <c r="K109" s="36"/>
      <c r="L109" s="180"/>
      <c r="M109" s="180"/>
      <c r="N109" s="6"/>
      <c r="O109" s="6"/>
      <c r="P109" s="6"/>
      <c r="Q109" s="6"/>
      <c r="R109" s="6" t="str">
        <f>IF(COUNTBLANK($A109:$E109)&gt;0, "", IFERROR(_xlfn.MINIFS(Log!$G:$G, Log!$A:$A, $A109, Log!$B:$B, $B109, Log!$C:$C, $C109),""))</f>
        <v/>
      </c>
      <c r="S109" s="6" t="str">
        <f>IF(COUNTBLANK($A109:$E109)&gt;0, "", IFERROR(_xlfn.MAXIFS(Log!$G:$G, Log!$A:$A, $A109, Log!$B:$B, $B109, Log!$C:$C, $C109),""))</f>
        <v/>
      </c>
      <c r="T109" s="6" t="str">
        <f>IF($N109&lt;&gt;"", 'Daily Camera Trends'!$M$5, "")</f>
        <v/>
      </c>
      <c r="U109" s="6" t="str">
        <f>IF(Q109&lt;&gt;"", 'Daily Camera Trends'!$N$5, "")</f>
        <v/>
      </c>
      <c r="CP109" s="6" t="str">
        <f>IF($N109&lt;&gt;"", 'Daily Camera Trends'!$M$5, "")</f>
        <v/>
      </c>
      <c r="CQ109" s="6" t="str">
        <f>IF($Q109&lt;&gt;"", 'Daily Camera Trends'!$N$5, "")</f>
        <v/>
      </c>
    </row>
    <row r="110" spans="1:95" ht="40.049999999999997" customHeight="1" x14ac:dyDescent="0.3">
      <c r="A110" s="103" t="str">
        <f t="shared" si="3"/>
        <v/>
      </c>
      <c r="B110" s="236" t="s">
        <v>89</v>
      </c>
      <c r="H110" s="7"/>
      <c r="I110" s="37"/>
      <c r="J110" s="36"/>
      <c r="K110" s="36"/>
      <c r="L110" s="180"/>
      <c r="M110" s="180"/>
      <c r="N110" s="6"/>
      <c r="O110" s="6"/>
      <c r="P110" s="6"/>
      <c r="Q110" s="6"/>
      <c r="R110" s="6" t="str">
        <f>IF(COUNTBLANK($A110:$E110)&gt;0, "", IFERROR(_xlfn.MINIFS(Log!$G:$G, Log!$A:$A, $A110, Log!$B:$B, $B110, Log!$C:$C, $C110),""))</f>
        <v/>
      </c>
      <c r="S110" s="6" t="str">
        <f>IF(COUNTBLANK($A110:$E110)&gt;0, "", IFERROR(_xlfn.MAXIFS(Log!$G:$G, Log!$A:$A, $A110, Log!$B:$B, $B110, Log!$C:$C, $C110),""))</f>
        <v/>
      </c>
      <c r="T110" s="6" t="str">
        <f>IF($N110&lt;&gt;"", 'Daily Camera Trends'!$M$5, "")</f>
        <v/>
      </c>
      <c r="U110" s="6" t="str">
        <f>IF(Q110&lt;&gt;"", 'Daily Camera Trends'!$N$5, "")</f>
        <v/>
      </c>
      <c r="CP110" s="6" t="str">
        <f>IF($N110&lt;&gt;"", 'Daily Camera Trends'!$M$5, "")</f>
        <v/>
      </c>
      <c r="CQ110" s="6" t="str">
        <f>IF($Q110&lt;&gt;"", 'Daily Camera Trends'!$N$5, "")</f>
        <v/>
      </c>
    </row>
    <row r="111" spans="1:95" ht="40.049999999999997" customHeight="1" x14ac:dyDescent="0.3">
      <c r="A111" s="103" t="str">
        <f t="shared" si="3"/>
        <v/>
      </c>
      <c r="B111" s="236" t="s">
        <v>89</v>
      </c>
      <c r="H111" s="7" t="str">
        <f>IF(COUNTBLANK($A111:$E111)&gt;0, "", IFERROR(AVERAGEIFS(Log!$E:$E, Log!$A:$A, $A111, Log!$B:$B, $B111, Log!$C:$C, $C111),""))</f>
        <v/>
      </c>
      <c r="I111" s="37" t="str">
        <f t="shared" ref="I111:I130" si="4">IF(AND($H111&lt;&gt;"", $G111&lt;&gt;""), $H111/$G111, "")</f>
        <v/>
      </c>
      <c r="J111" s="36"/>
      <c r="K111" s="36"/>
      <c r="L111" s="180"/>
      <c r="M111" s="180"/>
      <c r="N111" s="6" t="str">
        <f>IF(COUNTBLANK($A111:$E111)&gt;0, "", IFERROR(AVERAGEIFS(Log!#REF!, Log!$A:$A, $A111, Log!$B:$B, $B111, Log!$C:$C, $C111),""))</f>
        <v/>
      </c>
      <c r="O111" s="6" t="str">
        <f>IF(COUNTBLANK($A111:$E111)&gt;0, "", IFERROR(_xlfn.MINIFS(Log!$F:$F, Log!$A:$A, $A111, Log!$B:$B, $B111, Log!$C:$C, $C111),""))</f>
        <v/>
      </c>
      <c r="P111" s="6" t="str">
        <f>IF(COUNTBLANK($A111:$E111)&gt;0, "", IFERROR(_xlfn.MAXIFS(Log!$F:$F, Log!$A:$A, $A111, Log!$B:$B, $B111, Log!$C:$C, $C111),""))</f>
        <v/>
      </c>
      <c r="Q111" s="6" t="str">
        <f>IF(COUNTBLANK($A111:$E111)&gt;0, "", IFERROR(AVERAGEIFS(Log!#REF!, Log!$A:$A, $A111, Log!$B:$B, $B111, Log!$C:$C, $C111),""))</f>
        <v/>
      </c>
      <c r="R111" s="6" t="str">
        <f>IF(COUNTBLANK($A111:$E111)&gt;0, "", IFERROR(_xlfn.MINIFS(Log!$G:$G, Log!$A:$A, $A111, Log!$B:$B, $B111, Log!$C:$C, $C111),""))</f>
        <v/>
      </c>
      <c r="S111" s="6" t="str">
        <f>IF(COUNTBLANK($A111:$E111)&gt;0, "", IFERROR(_xlfn.MAXIFS(Log!$G:$G, Log!$A:$A, $A111, Log!$B:$B, $B111, Log!$C:$C, $C111),""))</f>
        <v/>
      </c>
      <c r="T111" s="6" t="str">
        <f>IF($N111&lt;&gt;"", 'Daily Camera Trends'!$M$5, "")</f>
        <v/>
      </c>
      <c r="U111" s="6" t="str">
        <f>IF(Q111&lt;&gt;"", 'Daily Camera Trends'!$N$5, "")</f>
        <v/>
      </c>
      <c r="CP111" s="6" t="str">
        <f>IF($N111&lt;&gt;"", 'Daily Camera Trends'!$M$5, "")</f>
        <v/>
      </c>
      <c r="CQ111" s="6" t="str">
        <f>IF($Q111&lt;&gt;"", 'Daily Camera Trends'!$N$5, "")</f>
        <v/>
      </c>
    </row>
    <row r="112" spans="1:95" ht="40.049999999999997" customHeight="1" x14ac:dyDescent="0.3">
      <c r="A112" s="103" t="str">
        <f t="shared" si="3"/>
        <v/>
      </c>
      <c r="B112" s="236" t="s">
        <v>89</v>
      </c>
      <c r="H112" s="7" t="str">
        <f>IF(COUNTBLANK($A112:$E112)&gt;0, "", IFERROR(AVERAGEIFS(Log!$E:$E, Log!$A:$A, $A112, Log!$B:$B, $B112, Log!$C:$C, $C112),""))</f>
        <v/>
      </c>
      <c r="I112" s="37" t="str">
        <f t="shared" si="4"/>
        <v/>
      </c>
      <c r="J112" s="36"/>
      <c r="K112" s="36"/>
      <c r="L112" s="180"/>
      <c r="M112" s="180"/>
      <c r="N112" s="6" t="str">
        <f>IF(COUNTBLANK($A112:$E112)&gt;0, "", IFERROR(AVERAGEIFS(Log!#REF!, Log!$A:$A, $A112, Log!$B:$B, $B112, Log!$C:$C, $C112),""))</f>
        <v/>
      </c>
      <c r="O112" s="6" t="str">
        <f>IF(COUNTBLANK($A112:$E112)&gt;0, "", IFERROR(_xlfn.MINIFS(Log!$F:$F, Log!$A:$A, $A112, Log!$B:$B, $B112, Log!$C:$C, $C112),""))</f>
        <v/>
      </c>
      <c r="P112" s="6" t="str">
        <f>IF(COUNTBLANK($A112:$E112)&gt;0, "", IFERROR(_xlfn.MAXIFS(Log!$F:$F, Log!$A:$A, $A112, Log!$B:$B, $B112, Log!$C:$C, $C112),""))</f>
        <v/>
      </c>
      <c r="Q112" s="6" t="str">
        <f>IF(COUNTBLANK($A112:$E112)&gt;0, "", IFERROR(AVERAGEIFS(Log!#REF!, Log!$A:$A, $A112, Log!$B:$B, $B112, Log!$C:$C, $C112),""))</f>
        <v/>
      </c>
      <c r="R112" s="6" t="str">
        <f>IF(COUNTBLANK($A112:$E112)&gt;0, "", IFERROR(_xlfn.MINIFS(Log!$G:$G, Log!$A:$A, $A112, Log!$B:$B, $B112, Log!$C:$C, $C112),""))</f>
        <v/>
      </c>
      <c r="S112" s="6" t="str">
        <f>IF(COUNTBLANK($A112:$E112)&gt;0, "", IFERROR(_xlfn.MAXIFS(Log!$G:$G, Log!$A:$A, $A112, Log!$B:$B, $B112, Log!$C:$C, $C112),""))</f>
        <v/>
      </c>
      <c r="T112" s="6" t="str">
        <f>IF($N112&lt;&gt;"", 'Daily Camera Trends'!$M$5, "")</f>
        <v/>
      </c>
      <c r="U112" s="6" t="str">
        <f>IF(Q112&lt;&gt;"", 'Daily Camera Trends'!$N$5, "")</f>
        <v/>
      </c>
      <c r="CP112" s="6" t="str">
        <f>IF($N112&lt;&gt;"", 'Daily Camera Trends'!$M$5, "")</f>
        <v/>
      </c>
      <c r="CQ112" s="6" t="str">
        <f>IF($Q112&lt;&gt;"", 'Daily Camera Trends'!$N$5, "")</f>
        <v/>
      </c>
    </row>
    <row r="113" spans="1:95" ht="40.049999999999997" customHeight="1" x14ac:dyDescent="0.3">
      <c r="A113" s="103" t="str">
        <f t="shared" si="3"/>
        <v/>
      </c>
      <c r="B113" s="236" t="s">
        <v>89</v>
      </c>
      <c r="H113" s="7" t="str">
        <f>IF(COUNTBLANK($A113:$E113)&gt;0, "", IFERROR(AVERAGEIFS(Log!$E:$E, Log!$A:$A, $A113, Log!$B:$B, $B113, Log!$C:$C, $C113),""))</f>
        <v/>
      </c>
      <c r="I113" s="37" t="str">
        <f t="shared" si="4"/>
        <v/>
      </c>
      <c r="J113" s="36"/>
      <c r="K113" s="36"/>
      <c r="L113" s="180"/>
      <c r="M113" s="180"/>
      <c r="N113" s="6" t="str">
        <f>IF(COUNTBLANK($A113:$E113)&gt;0, "", IFERROR(AVERAGEIFS(Log!#REF!, Log!$A:$A, $A113, Log!$B:$B, $B113, Log!$C:$C, $C113),""))</f>
        <v/>
      </c>
      <c r="O113" s="6" t="str">
        <f>IF(COUNTBLANK($A113:$E113)&gt;0, "", IFERROR(_xlfn.MINIFS(Log!$F:$F, Log!$A:$A, $A113, Log!$B:$B, $B113, Log!$C:$C, $C113),""))</f>
        <v/>
      </c>
      <c r="P113" s="6" t="str">
        <f>IF(COUNTBLANK($A113:$E113)&gt;0, "", IFERROR(_xlfn.MAXIFS(Log!$F:$F, Log!$A:$A, $A113, Log!$B:$B, $B113, Log!$C:$C, $C113),""))</f>
        <v/>
      </c>
      <c r="Q113" s="6" t="str">
        <f>IF(COUNTBLANK($A113:$E113)&gt;0, "", IFERROR(AVERAGEIFS(Log!#REF!, Log!$A:$A, $A113, Log!$B:$B, $B113, Log!$C:$C, $C113),""))</f>
        <v/>
      </c>
      <c r="R113" s="6" t="str">
        <f>IF(COUNTBLANK($A113:$E113)&gt;0, "", IFERROR(_xlfn.MINIFS(Log!$G:$G, Log!$A:$A, $A113, Log!$B:$B, $B113, Log!$C:$C, $C113),""))</f>
        <v/>
      </c>
      <c r="S113" s="6" t="str">
        <f>IF(COUNTBLANK($A113:$E113)&gt;0, "", IFERROR(_xlfn.MAXIFS(Log!$G:$G, Log!$A:$A, $A113, Log!$B:$B, $B113, Log!$C:$C, $C113),""))</f>
        <v/>
      </c>
      <c r="T113" s="6" t="str">
        <f>IF($N113&lt;&gt;"", 'Daily Camera Trends'!$M$5, "")</f>
        <v/>
      </c>
      <c r="U113" s="6" t="str">
        <f>IF(Q113&lt;&gt;"", 'Daily Camera Trends'!$N$5, "")</f>
        <v/>
      </c>
      <c r="CP113" s="6" t="str">
        <f>IF($N113&lt;&gt;"", 'Daily Camera Trends'!$M$5, "")</f>
        <v/>
      </c>
      <c r="CQ113" s="6" t="str">
        <f>IF($Q113&lt;&gt;"", 'Daily Camera Trends'!$N$5, "")</f>
        <v/>
      </c>
    </row>
    <row r="114" spans="1:95" ht="40.049999999999997" customHeight="1" x14ac:dyDescent="0.3">
      <c r="A114" s="103" t="str">
        <f t="shared" si="3"/>
        <v/>
      </c>
      <c r="B114" s="236" t="s">
        <v>89</v>
      </c>
      <c r="H114" s="7" t="str">
        <f>IF(COUNTBLANK($A114:$E114)&gt;0, "", IFERROR(AVERAGEIFS(Log!$E:$E, Log!$A:$A, $A114, Log!$B:$B, $B114, Log!$C:$C, $C114),""))</f>
        <v/>
      </c>
      <c r="I114" s="37" t="str">
        <f t="shared" si="4"/>
        <v/>
      </c>
      <c r="J114" s="36"/>
      <c r="K114" s="36"/>
      <c r="L114" s="180"/>
      <c r="M114" s="180"/>
      <c r="N114" s="6" t="str">
        <f>IF(COUNTBLANK($A114:$E114)&gt;0, "", IFERROR(AVERAGEIFS(Log!#REF!, Log!$A:$A, $A114, Log!$B:$B, $B114, Log!$C:$C, $C114),""))</f>
        <v/>
      </c>
      <c r="O114" s="6" t="str">
        <f>IF(COUNTBLANK($A114:$E114)&gt;0, "", IFERROR(_xlfn.MINIFS(Log!$F:$F, Log!$A:$A, $A114, Log!$B:$B, $B114, Log!$C:$C, $C114),""))</f>
        <v/>
      </c>
      <c r="P114" s="6" t="str">
        <f>IF(COUNTBLANK($A114:$E114)&gt;0, "", IFERROR(_xlfn.MAXIFS(Log!$F:$F, Log!$A:$A, $A114, Log!$B:$B, $B114, Log!$C:$C, $C114),""))</f>
        <v/>
      </c>
      <c r="Q114" s="6" t="str">
        <f>IF(COUNTBLANK($A114:$E114)&gt;0, "", IFERROR(AVERAGEIFS(Log!#REF!, Log!$A:$A, $A114, Log!$B:$B, $B114, Log!$C:$C, $C114),""))</f>
        <v/>
      </c>
      <c r="R114" s="6" t="str">
        <f>IF(COUNTBLANK($A114:$E114)&gt;0, "", IFERROR(_xlfn.MINIFS(Log!$G:$G, Log!$A:$A, $A114, Log!$B:$B, $B114, Log!$C:$C, $C114),""))</f>
        <v/>
      </c>
      <c r="S114" s="6" t="str">
        <f>IF(COUNTBLANK($A114:$E114)&gt;0, "", IFERROR(_xlfn.MAXIFS(Log!$G:$G, Log!$A:$A, $A114, Log!$B:$B, $B114, Log!$C:$C, $C114),""))</f>
        <v/>
      </c>
      <c r="T114" s="6" t="str">
        <f>IF($N114&lt;&gt;"", 'Daily Camera Trends'!$M$5, "")</f>
        <v/>
      </c>
      <c r="U114" s="6" t="str">
        <f>IF(Q114&lt;&gt;"", 'Daily Camera Trends'!$N$5, "")</f>
        <v/>
      </c>
      <c r="CP114" s="6" t="str">
        <f>IF($N114&lt;&gt;"", 'Daily Camera Trends'!$M$5, "")</f>
        <v/>
      </c>
      <c r="CQ114" s="6" t="str">
        <f>IF($Q114&lt;&gt;"", 'Daily Camera Trends'!$N$5, "")</f>
        <v/>
      </c>
    </row>
    <row r="115" spans="1:95" ht="40.049999999999997" customHeight="1" x14ac:dyDescent="0.3">
      <c r="A115" s="103" t="str">
        <f t="shared" si="3"/>
        <v/>
      </c>
      <c r="B115" s="236" t="s">
        <v>89</v>
      </c>
      <c r="H115" s="7" t="str">
        <f>IF(COUNTBLANK($A115:$E115)&gt;0, "", IFERROR(AVERAGEIFS(Log!$E:$E, Log!$A:$A, $A115, Log!$B:$B, $B115, Log!$C:$C, $C115),""))</f>
        <v/>
      </c>
      <c r="I115" s="37" t="str">
        <f t="shared" si="4"/>
        <v/>
      </c>
      <c r="J115" s="36"/>
      <c r="K115" s="36"/>
      <c r="L115" s="180"/>
      <c r="M115" s="180"/>
      <c r="N115" s="6" t="str">
        <f>IF(COUNTBLANK($A115:$E115)&gt;0, "", IFERROR(AVERAGEIFS(Log!#REF!, Log!$A:$A, $A115, Log!$B:$B, $B115, Log!$C:$C, $C115),""))</f>
        <v/>
      </c>
      <c r="O115" s="6" t="str">
        <f>IF(COUNTBLANK($A115:$E115)&gt;0, "", IFERROR(_xlfn.MINIFS(Log!$F:$F, Log!$A:$A, $A115, Log!$B:$B, $B115, Log!$C:$C, $C115),""))</f>
        <v/>
      </c>
      <c r="P115" s="6" t="str">
        <f>IF(COUNTBLANK($A115:$E115)&gt;0, "", IFERROR(_xlfn.MAXIFS(Log!$F:$F, Log!$A:$A, $A115, Log!$B:$B, $B115, Log!$C:$C, $C115),""))</f>
        <v/>
      </c>
      <c r="Q115" s="6" t="str">
        <f>IF(COUNTBLANK($A115:$E115)&gt;0, "", IFERROR(AVERAGEIFS(Log!#REF!, Log!$A:$A, $A115, Log!$B:$B, $B115, Log!$C:$C, $C115),""))</f>
        <v/>
      </c>
      <c r="R115" s="6" t="str">
        <f>IF(COUNTBLANK($A115:$E115)&gt;0, "", IFERROR(_xlfn.MINIFS(Log!$G:$G, Log!$A:$A, $A115, Log!$B:$B, $B115, Log!$C:$C, $C115),""))</f>
        <v/>
      </c>
      <c r="S115" s="6" t="str">
        <f>IF(COUNTBLANK($A115:$E115)&gt;0, "", IFERROR(_xlfn.MAXIFS(Log!$G:$G, Log!$A:$A, $A115, Log!$B:$B, $B115, Log!$C:$C, $C115),""))</f>
        <v/>
      </c>
      <c r="T115" s="6" t="str">
        <f>IF($N115&lt;&gt;"", 'Daily Camera Trends'!$M$5, "")</f>
        <v/>
      </c>
      <c r="U115" s="6" t="str">
        <f>IF(Q115&lt;&gt;"", 'Daily Camera Trends'!$N$5, "")</f>
        <v/>
      </c>
      <c r="CP115" s="6" t="str">
        <f>IF($N115&lt;&gt;"", 'Daily Camera Trends'!$M$5, "")</f>
        <v/>
      </c>
      <c r="CQ115" s="6" t="str">
        <f>IF($Q115&lt;&gt;"", 'Daily Camera Trends'!$N$5, "")</f>
        <v/>
      </c>
    </row>
    <row r="116" spans="1:95" ht="40.049999999999997" customHeight="1" x14ac:dyDescent="0.3">
      <c r="A116" s="103" t="str">
        <f t="shared" si="3"/>
        <v/>
      </c>
      <c r="B116" s="236" t="s">
        <v>89</v>
      </c>
      <c r="H116" s="7" t="str">
        <f>IF(COUNTBLANK($A116:$E116)&gt;0, "", IFERROR(AVERAGEIFS(Log!$E:$E, Log!$A:$A, $A116, Log!$B:$B, $B116, Log!$C:$C, $C116),""))</f>
        <v/>
      </c>
      <c r="I116" s="37" t="str">
        <f t="shared" si="4"/>
        <v/>
      </c>
      <c r="J116" s="36"/>
      <c r="K116" s="36"/>
      <c r="L116" s="180"/>
      <c r="M116" s="180"/>
      <c r="N116" s="6" t="str">
        <f>IF(COUNTBLANK($A116:$E116)&gt;0, "", IFERROR(AVERAGEIFS(Log!#REF!, Log!$A:$A, $A116, Log!$B:$B, $B116, Log!$C:$C, $C116),""))</f>
        <v/>
      </c>
      <c r="O116" s="6" t="str">
        <f>IF(COUNTBLANK($A116:$E116)&gt;0, "", IFERROR(_xlfn.MINIFS(Log!$F:$F, Log!$A:$A, $A116, Log!$B:$B, $B116, Log!$C:$C, $C116),""))</f>
        <v/>
      </c>
      <c r="P116" s="6" t="str">
        <f>IF(COUNTBLANK($A116:$E116)&gt;0, "", IFERROR(_xlfn.MAXIFS(Log!$F:$F, Log!$A:$A, $A116, Log!$B:$B, $B116, Log!$C:$C, $C116),""))</f>
        <v/>
      </c>
      <c r="Q116" s="6" t="str">
        <f>IF(COUNTBLANK($A116:$E116)&gt;0, "", IFERROR(AVERAGEIFS(Log!#REF!, Log!$A:$A, $A116, Log!$B:$B, $B116, Log!$C:$C, $C116),""))</f>
        <v/>
      </c>
      <c r="R116" s="6" t="str">
        <f>IF(COUNTBLANK($A116:$E116)&gt;0, "", IFERROR(_xlfn.MINIFS(Log!$G:$G, Log!$A:$A, $A116, Log!$B:$B, $B116, Log!$C:$C, $C116),""))</f>
        <v/>
      </c>
      <c r="S116" s="6" t="str">
        <f>IF(COUNTBLANK($A116:$E116)&gt;0, "", IFERROR(_xlfn.MAXIFS(Log!$G:$G, Log!$A:$A, $A116, Log!$B:$B, $B116, Log!$C:$C, $C116),""))</f>
        <v/>
      </c>
      <c r="T116" s="6" t="str">
        <f>IF($N116&lt;&gt;"", 'Daily Camera Trends'!$M$5, "")</f>
        <v/>
      </c>
      <c r="U116" s="6" t="str">
        <f>IF(Q116&lt;&gt;"", 'Daily Camera Trends'!$N$5, "")</f>
        <v/>
      </c>
      <c r="CP116" s="6" t="str">
        <f>IF($N116&lt;&gt;"", 'Daily Camera Trends'!$M$5, "")</f>
        <v/>
      </c>
      <c r="CQ116" s="6" t="str">
        <f>IF($Q116&lt;&gt;"", 'Daily Camera Trends'!$N$5, "")</f>
        <v/>
      </c>
    </row>
    <row r="117" spans="1:95" ht="40.049999999999997" customHeight="1" x14ac:dyDescent="0.3">
      <c r="A117" s="103" t="str">
        <f t="shared" si="3"/>
        <v/>
      </c>
      <c r="B117" s="236" t="s">
        <v>89</v>
      </c>
      <c r="H117" s="7" t="str">
        <f>IF(COUNTBLANK($A117:$E117)&gt;0, "", IFERROR(AVERAGEIFS(Log!$E:$E, Log!$A:$A, $A117, Log!$B:$B, $B117, Log!$C:$C, $C117),""))</f>
        <v/>
      </c>
      <c r="I117" s="37" t="str">
        <f t="shared" si="4"/>
        <v/>
      </c>
      <c r="J117" s="36"/>
      <c r="K117" s="36"/>
      <c r="L117" s="180"/>
      <c r="M117" s="180"/>
      <c r="N117" s="6" t="str">
        <f>IF(COUNTBLANK($A117:$E117)&gt;0, "", IFERROR(AVERAGEIFS(Log!#REF!, Log!$A:$A, $A117, Log!$B:$B, $B117, Log!$C:$C, $C117),""))</f>
        <v/>
      </c>
      <c r="O117" s="6" t="str">
        <f>IF(COUNTBLANK($A117:$E117)&gt;0, "", IFERROR(_xlfn.MINIFS(Log!$F:$F, Log!$A:$A, $A117, Log!$B:$B, $B117, Log!$C:$C, $C117),""))</f>
        <v/>
      </c>
      <c r="P117" s="6" t="str">
        <f>IF(COUNTBLANK($A117:$E117)&gt;0, "", IFERROR(_xlfn.MAXIFS(Log!$F:$F, Log!$A:$A, $A117, Log!$B:$B, $B117, Log!$C:$C, $C117),""))</f>
        <v/>
      </c>
      <c r="Q117" s="6" t="str">
        <f>IF(COUNTBLANK($A117:$E117)&gt;0, "", IFERROR(AVERAGEIFS(Log!#REF!, Log!$A:$A, $A117, Log!$B:$B, $B117, Log!$C:$C, $C117),""))</f>
        <v/>
      </c>
      <c r="R117" s="6" t="str">
        <f>IF(COUNTBLANK($A117:$E117)&gt;0, "", IFERROR(_xlfn.MINIFS(Log!$G:$G, Log!$A:$A, $A117, Log!$B:$B, $B117, Log!$C:$C, $C117),""))</f>
        <v/>
      </c>
      <c r="S117" s="6" t="str">
        <f>IF(COUNTBLANK($A117:$E117)&gt;0, "", IFERROR(_xlfn.MAXIFS(Log!$G:$G, Log!$A:$A, $A117, Log!$B:$B, $B117, Log!$C:$C, $C117),""))</f>
        <v/>
      </c>
      <c r="T117" s="6" t="str">
        <f>IF($N117&lt;&gt;"", 'Daily Camera Trends'!$M$5, "")</f>
        <v/>
      </c>
      <c r="U117" s="6" t="str">
        <f>IF(Q117&lt;&gt;"", 'Daily Camera Trends'!$N$5, "")</f>
        <v/>
      </c>
      <c r="CP117" s="6" t="str">
        <f>IF($N117&lt;&gt;"", 'Daily Camera Trends'!$M$5, "")</f>
        <v/>
      </c>
      <c r="CQ117" s="6" t="str">
        <f>IF($Q117&lt;&gt;"", 'Daily Camera Trends'!$N$5, "")</f>
        <v/>
      </c>
    </row>
    <row r="118" spans="1:95" ht="40.049999999999997" customHeight="1" x14ac:dyDescent="0.3">
      <c r="A118" s="103" t="str">
        <f t="shared" si="3"/>
        <v/>
      </c>
      <c r="B118" s="236" t="s">
        <v>89</v>
      </c>
      <c r="H118" s="7" t="str">
        <f>IF(COUNTBLANK($A118:$E118)&gt;0, "", IFERROR(AVERAGEIFS(Log!$E:$E, Log!$A:$A, $A118, Log!$B:$B, $B118, Log!$C:$C, $C118),""))</f>
        <v/>
      </c>
      <c r="I118" s="37" t="str">
        <f t="shared" si="4"/>
        <v/>
      </c>
      <c r="J118" s="36"/>
      <c r="K118" s="36"/>
      <c r="L118" s="180"/>
      <c r="M118" s="180"/>
      <c r="N118" s="6" t="str">
        <f>IF(COUNTBLANK($A118:$E118)&gt;0, "", IFERROR(AVERAGEIFS(Log!#REF!, Log!$A:$A, $A118, Log!$B:$B, $B118, Log!$C:$C, $C118),""))</f>
        <v/>
      </c>
      <c r="O118" s="6" t="str">
        <f>IF(COUNTBLANK($A118:$E118)&gt;0, "", IFERROR(_xlfn.MINIFS(Log!$F:$F, Log!$A:$A, $A118, Log!$B:$B, $B118, Log!$C:$C, $C118),""))</f>
        <v/>
      </c>
      <c r="P118" s="6" t="str">
        <f>IF(COUNTBLANK($A118:$E118)&gt;0, "", IFERROR(_xlfn.MAXIFS(Log!$F:$F, Log!$A:$A, $A118, Log!$B:$B, $B118, Log!$C:$C, $C118),""))</f>
        <v/>
      </c>
      <c r="Q118" s="6" t="str">
        <f>IF(COUNTBLANK($A118:$E118)&gt;0, "", IFERROR(AVERAGEIFS(Log!#REF!, Log!$A:$A, $A118, Log!$B:$B, $B118, Log!$C:$C, $C118),""))</f>
        <v/>
      </c>
      <c r="R118" s="6" t="str">
        <f>IF(COUNTBLANK($A118:$E118)&gt;0, "", IFERROR(_xlfn.MINIFS(Log!$G:$G, Log!$A:$A, $A118, Log!$B:$B, $B118, Log!$C:$C, $C118),""))</f>
        <v/>
      </c>
      <c r="S118" s="6" t="str">
        <f>IF(COUNTBLANK($A118:$E118)&gt;0, "", IFERROR(_xlfn.MAXIFS(Log!$G:$G, Log!$A:$A, $A118, Log!$B:$B, $B118, Log!$C:$C, $C118),""))</f>
        <v/>
      </c>
      <c r="T118" s="6" t="str">
        <f>IF($N118&lt;&gt;"", 'Daily Camera Trends'!$M$5, "")</f>
        <v/>
      </c>
      <c r="U118" s="6" t="str">
        <f>IF(Q118&lt;&gt;"", 'Daily Camera Trends'!$N$5, "")</f>
        <v/>
      </c>
      <c r="CP118" s="6" t="str">
        <f>IF($N118&lt;&gt;"", 'Daily Camera Trends'!$M$5, "")</f>
        <v/>
      </c>
      <c r="CQ118" s="6" t="str">
        <f>IF($Q118&lt;&gt;"", 'Daily Camera Trends'!$N$5, "")</f>
        <v/>
      </c>
    </row>
    <row r="119" spans="1:95" ht="40.049999999999997" customHeight="1" x14ac:dyDescent="0.3">
      <c r="A119" s="103" t="str">
        <f t="shared" si="3"/>
        <v/>
      </c>
      <c r="B119" s="236" t="s">
        <v>89</v>
      </c>
      <c r="H119" s="7" t="str">
        <f>IF(COUNTBLANK($A119:$E119)&gt;0, "", IFERROR(AVERAGEIFS(Log!$E:$E, Log!$A:$A, $A119, Log!$B:$B, $B119, Log!$C:$C, $C119),""))</f>
        <v/>
      </c>
      <c r="I119" s="37" t="str">
        <f t="shared" si="4"/>
        <v/>
      </c>
      <c r="J119" s="36"/>
      <c r="K119" s="36"/>
      <c r="L119" s="180"/>
      <c r="M119" s="180"/>
      <c r="N119" s="6" t="str">
        <f>IF(COUNTBLANK($A119:$E119)&gt;0, "", IFERROR(AVERAGEIFS(Log!#REF!, Log!$A:$A, $A119, Log!$B:$B, $B119, Log!$C:$C, $C119),""))</f>
        <v/>
      </c>
      <c r="O119" s="6" t="str">
        <f>IF(COUNTBLANK($A119:$E119)&gt;0, "", IFERROR(_xlfn.MINIFS(Log!$F:$F, Log!$A:$A, $A119, Log!$B:$B, $B119, Log!$C:$C, $C119),""))</f>
        <v/>
      </c>
      <c r="P119" s="6" t="str">
        <f>IF(COUNTBLANK($A119:$E119)&gt;0, "", IFERROR(_xlfn.MAXIFS(Log!$F:$F, Log!$A:$A, $A119, Log!$B:$B, $B119, Log!$C:$C, $C119),""))</f>
        <v/>
      </c>
      <c r="Q119" s="6" t="str">
        <f>IF(COUNTBLANK($A119:$E119)&gt;0, "", IFERROR(AVERAGEIFS(Log!#REF!, Log!$A:$A, $A119, Log!$B:$B, $B119, Log!$C:$C, $C119),""))</f>
        <v/>
      </c>
      <c r="R119" s="6" t="str">
        <f>IF(COUNTBLANK($A119:$E119)&gt;0, "", IFERROR(_xlfn.MINIFS(Log!$G:$G, Log!$A:$A, $A119, Log!$B:$B, $B119, Log!$C:$C, $C119),""))</f>
        <v/>
      </c>
      <c r="S119" s="6" t="str">
        <f>IF(COUNTBLANK($A119:$E119)&gt;0, "", IFERROR(_xlfn.MAXIFS(Log!$G:$G, Log!$A:$A, $A119, Log!$B:$B, $B119, Log!$C:$C, $C119),""))</f>
        <v/>
      </c>
      <c r="T119" s="6" t="str">
        <f>IF($N119&lt;&gt;"", 'Daily Camera Trends'!$M$5, "")</f>
        <v/>
      </c>
      <c r="U119" s="6" t="str">
        <f>IF(Q119&lt;&gt;"", 'Daily Camera Trends'!$N$5, "")</f>
        <v/>
      </c>
      <c r="CP119" s="6" t="str">
        <f>IF($N119&lt;&gt;"", 'Daily Camera Trends'!$M$5, "")</f>
        <v/>
      </c>
      <c r="CQ119" s="6" t="str">
        <f>IF($Q119&lt;&gt;"", 'Daily Camera Trends'!$N$5, "")</f>
        <v/>
      </c>
    </row>
    <row r="120" spans="1:95" ht="40.049999999999997" customHeight="1" x14ac:dyDescent="0.3">
      <c r="A120" s="103" t="str">
        <f t="shared" si="3"/>
        <v/>
      </c>
      <c r="B120" s="236" t="s">
        <v>89</v>
      </c>
      <c r="H120" s="7" t="str">
        <f>IF(COUNTBLANK($A120:$E120)&gt;0, "", IFERROR(AVERAGEIFS(Log!$E:$E, Log!$A:$A, $A120, Log!$B:$B, $B120, Log!$C:$C, $C120),""))</f>
        <v/>
      </c>
      <c r="I120" s="37" t="str">
        <f t="shared" si="4"/>
        <v/>
      </c>
      <c r="J120" s="36"/>
      <c r="K120" s="36"/>
      <c r="L120" s="180"/>
      <c r="M120" s="180"/>
      <c r="N120" s="6" t="str">
        <f>IF(COUNTBLANK($A120:$E120)&gt;0, "", IFERROR(AVERAGEIFS(Log!#REF!, Log!$A:$A, $A120, Log!$B:$B, $B120, Log!$C:$C, $C120),""))</f>
        <v/>
      </c>
      <c r="O120" s="6" t="str">
        <f>IF(COUNTBLANK($A120:$E120)&gt;0, "", IFERROR(_xlfn.MINIFS(Log!$F:$F, Log!$A:$A, $A120, Log!$B:$B, $B120, Log!$C:$C, $C120),""))</f>
        <v/>
      </c>
      <c r="P120" s="6" t="str">
        <f>IF(COUNTBLANK($A120:$E120)&gt;0, "", IFERROR(_xlfn.MAXIFS(Log!$F:$F, Log!$A:$A, $A120, Log!$B:$B, $B120, Log!$C:$C, $C120),""))</f>
        <v/>
      </c>
      <c r="Q120" s="6" t="str">
        <f>IF(COUNTBLANK($A120:$E120)&gt;0, "", IFERROR(AVERAGEIFS(Log!#REF!, Log!$A:$A, $A120, Log!$B:$B, $B120, Log!$C:$C, $C120),""))</f>
        <v/>
      </c>
      <c r="R120" s="6" t="str">
        <f>IF(COUNTBLANK($A120:$E120)&gt;0, "", IFERROR(_xlfn.MINIFS(Log!$G:$G, Log!$A:$A, $A120, Log!$B:$B, $B120, Log!$C:$C, $C120),""))</f>
        <v/>
      </c>
      <c r="S120" s="6" t="str">
        <f>IF(COUNTBLANK($A120:$E120)&gt;0, "", IFERROR(_xlfn.MAXIFS(Log!$G:$G, Log!$A:$A, $A120, Log!$B:$B, $B120, Log!$C:$C, $C120),""))</f>
        <v/>
      </c>
      <c r="T120" s="6" t="str">
        <f>IF($N120&lt;&gt;"", 'Daily Camera Trends'!$M$5, "")</f>
        <v/>
      </c>
      <c r="U120" s="6" t="str">
        <f>IF(Q120&lt;&gt;"", 'Daily Camera Trends'!$N$5, "")</f>
        <v/>
      </c>
      <c r="CP120" s="6" t="str">
        <f>IF($N120&lt;&gt;"", 'Daily Camera Trends'!$M$5, "")</f>
        <v/>
      </c>
      <c r="CQ120" s="6" t="str">
        <f>IF($Q120&lt;&gt;"", 'Daily Camera Trends'!$N$5, "")</f>
        <v/>
      </c>
    </row>
    <row r="121" spans="1:95" ht="40.049999999999997" customHeight="1" x14ac:dyDescent="0.3">
      <c r="A121" s="103" t="str">
        <f t="shared" si="3"/>
        <v/>
      </c>
      <c r="B121" s="236" t="s">
        <v>89</v>
      </c>
      <c r="H121" s="7" t="str">
        <f>IF(COUNTBLANK($A121:$E121)&gt;0, "", IFERROR(AVERAGEIFS(Log!$E:$E, Log!$A:$A, $A121, Log!$B:$B, $B121, Log!$C:$C, $C121),""))</f>
        <v/>
      </c>
      <c r="I121" s="37" t="str">
        <f t="shared" si="4"/>
        <v/>
      </c>
      <c r="J121" s="36"/>
      <c r="K121" s="36"/>
      <c r="L121" s="180"/>
      <c r="M121" s="180"/>
      <c r="N121" s="6" t="str">
        <f>IF(COUNTBLANK($A121:$E121)&gt;0, "", IFERROR(AVERAGEIFS(Log!#REF!, Log!$A:$A, $A121, Log!$B:$B, $B121, Log!$C:$C, $C121),""))</f>
        <v/>
      </c>
      <c r="O121" s="6" t="str">
        <f>IF(COUNTBLANK($A121:$E121)&gt;0, "", IFERROR(_xlfn.MINIFS(Log!$F:$F, Log!$A:$A, $A121, Log!$B:$B, $B121, Log!$C:$C, $C121),""))</f>
        <v/>
      </c>
      <c r="P121" s="6" t="str">
        <f>IF(COUNTBLANK($A121:$E121)&gt;0, "", IFERROR(_xlfn.MAXIFS(Log!$F:$F, Log!$A:$A, $A121, Log!$B:$B, $B121, Log!$C:$C, $C121),""))</f>
        <v/>
      </c>
      <c r="Q121" s="6" t="str">
        <f>IF(COUNTBLANK($A121:$E121)&gt;0, "", IFERROR(AVERAGEIFS(Log!#REF!, Log!$A:$A, $A121, Log!$B:$B, $B121, Log!$C:$C, $C121),""))</f>
        <v/>
      </c>
      <c r="R121" s="6" t="str">
        <f>IF(COUNTBLANK($A121:$E121)&gt;0, "", IFERROR(_xlfn.MINIFS(Log!$G:$G, Log!$A:$A, $A121, Log!$B:$B, $B121, Log!$C:$C, $C121),""))</f>
        <v/>
      </c>
      <c r="S121" s="6" t="str">
        <f>IF(COUNTBLANK($A121:$E121)&gt;0, "", IFERROR(_xlfn.MAXIFS(Log!$G:$G, Log!$A:$A, $A121, Log!$B:$B, $B121, Log!$C:$C, $C121),""))</f>
        <v/>
      </c>
      <c r="T121" s="6" t="str">
        <f>IF($N121&lt;&gt;"", 'Daily Camera Trends'!$M$5, "")</f>
        <v/>
      </c>
      <c r="U121" s="6" t="str">
        <f>IF(Q121&lt;&gt;"", 'Daily Camera Trends'!$N$5, "")</f>
        <v/>
      </c>
      <c r="CP121" s="6" t="str">
        <f>IF($N121&lt;&gt;"", 'Daily Camera Trends'!$M$5, "")</f>
        <v/>
      </c>
      <c r="CQ121" s="6" t="str">
        <f>IF($Q121&lt;&gt;"", 'Daily Camera Trends'!$N$5, "")</f>
        <v/>
      </c>
    </row>
    <row r="122" spans="1:95" ht="40.049999999999997" customHeight="1" x14ac:dyDescent="0.3">
      <c r="A122" s="103" t="str">
        <f t="shared" si="3"/>
        <v/>
      </c>
      <c r="B122" s="236" t="s">
        <v>89</v>
      </c>
      <c r="H122" s="7" t="str">
        <f>IF(COUNTBLANK($A122:$E122)&gt;0, "", IFERROR(AVERAGEIFS(Log!$E:$E, Log!$A:$A, $A122, Log!$B:$B, $B122, Log!$C:$C, $C122),""))</f>
        <v/>
      </c>
      <c r="I122" s="37" t="str">
        <f t="shared" si="4"/>
        <v/>
      </c>
      <c r="J122" s="36"/>
      <c r="K122" s="36"/>
      <c r="L122" s="180"/>
      <c r="M122" s="180"/>
      <c r="N122" s="6" t="str">
        <f>IF(COUNTBLANK($A122:$E122)&gt;0, "", IFERROR(AVERAGEIFS(Log!#REF!, Log!$A:$A, $A122, Log!$B:$B, $B122, Log!$C:$C, $C122),""))</f>
        <v/>
      </c>
      <c r="O122" s="6" t="str">
        <f>IF(COUNTBLANK($A122:$E122)&gt;0, "", IFERROR(_xlfn.MINIFS(Log!$F:$F, Log!$A:$A, $A122, Log!$B:$B, $B122, Log!$C:$C, $C122),""))</f>
        <v/>
      </c>
      <c r="P122" s="6" t="str">
        <f>IF(COUNTBLANK($A122:$E122)&gt;0, "", IFERROR(_xlfn.MAXIFS(Log!$F:$F, Log!$A:$A, $A122, Log!$B:$B, $B122, Log!$C:$C, $C122),""))</f>
        <v/>
      </c>
      <c r="Q122" s="6" t="str">
        <f>IF(COUNTBLANK($A122:$E122)&gt;0, "", IFERROR(AVERAGEIFS(Log!#REF!, Log!$A:$A, $A122, Log!$B:$B, $B122, Log!$C:$C, $C122),""))</f>
        <v/>
      </c>
      <c r="R122" s="6" t="str">
        <f>IF(COUNTBLANK($A122:$E122)&gt;0, "", IFERROR(_xlfn.MINIFS(Log!$G:$G, Log!$A:$A, $A122, Log!$B:$B, $B122, Log!$C:$C, $C122),""))</f>
        <v/>
      </c>
      <c r="S122" s="6" t="str">
        <f>IF(COUNTBLANK($A122:$E122)&gt;0, "", IFERROR(_xlfn.MAXIFS(Log!$G:$G, Log!$A:$A, $A122, Log!$B:$B, $B122, Log!$C:$C, $C122),""))</f>
        <v/>
      </c>
      <c r="T122" s="6" t="str">
        <f>IF($N122&lt;&gt;"", 'Daily Camera Trends'!$M$5, "")</f>
        <v/>
      </c>
      <c r="U122" s="6" t="str">
        <f>IF(Q122&lt;&gt;"", 'Daily Camera Trends'!$N$5, "")</f>
        <v/>
      </c>
      <c r="CP122" s="6" t="str">
        <f>IF($N122&lt;&gt;"", 'Daily Camera Trends'!$M$5, "")</f>
        <v/>
      </c>
      <c r="CQ122" s="6" t="str">
        <f>IF($Q122&lt;&gt;"", 'Daily Camera Trends'!$N$5, "")</f>
        <v/>
      </c>
    </row>
    <row r="123" spans="1:95" ht="40.049999999999997" customHeight="1" x14ac:dyDescent="0.3">
      <c r="A123" s="103" t="str">
        <f t="shared" si="3"/>
        <v/>
      </c>
      <c r="B123" s="236" t="s">
        <v>89</v>
      </c>
      <c r="H123" s="7" t="str">
        <f>IF(COUNTBLANK($A123:$E123)&gt;0, "", IFERROR(AVERAGEIFS(Log!$E:$E, Log!$A:$A, $A123, Log!$B:$B, $B123, Log!$C:$C, $C123),""))</f>
        <v/>
      </c>
      <c r="I123" s="37" t="str">
        <f t="shared" si="4"/>
        <v/>
      </c>
      <c r="J123" s="36"/>
      <c r="K123" s="36"/>
      <c r="L123" s="180"/>
      <c r="M123" s="180"/>
      <c r="N123" s="6" t="str">
        <f>IF(COUNTBLANK($A123:$E123)&gt;0, "", IFERROR(AVERAGEIFS(Log!#REF!, Log!$A:$A, $A123, Log!$B:$B, $B123, Log!$C:$C, $C123),""))</f>
        <v/>
      </c>
      <c r="O123" s="6" t="str">
        <f>IF(COUNTBLANK($A123:$E123)&gt;0, "", IFERROR(_xlfn.MINIFS(Log!$F:$F, Log!$A:$A, $A123, Log!$B:$B, $B123, Log!$C:$C, $C123),""))</f>
        <v/>
      </c>
      <c r="P123" s="6" t="str">
        <f>IF(COUNTBLANK($A123:$E123)&gt;0, "", IFERROR(_xlfn.MAXIFS(Log!$F:$F, Log!$A:$A, $A123, Log!$B:$B, $B123, Log!$C:$C, $C123),""))</f>
        <v/>
      </c>
      <c r="Q123" s="6" t="str">
        <f>IF(COUNTBLANK($A123:$E123)&gt;0, "", IFERROR(AVERAGEIFS(Log!#REF!, Log!$A:$A, $A123, Log!$B:$B, $B123, Log!$C:$C, $C123),""))</f>
        <v/>
      </c>
      <c r="R123" s="6" t="str">
        <f>IF(COUNTBLANK($A123:$E123)&gt;0, "", IFERROR(_xlfn.MINIFS(Log!$G:$G, Log!$A:$A, $A123, Log!$B:$B, $B123, Log!$C:$C, $C123),""))</f>
        <v/>
      </c>
      <c r="S123" s="6" t="str">
        <f>IF(COUNTBLANK($A123:$E123)&gt;0, "", IFERROR(_xlfn.MAXIFS(Log!$G:$G, Log!$A:$A, $A123, Log!$B:$B, $B123, Log!$C:$C, $C123),""))</f>
        <v/>
      </c>
      <c r="T123" s="6" t="str">
        <f>IF($N123&lt;&gt;"", 'Daily Camera Trends'!$M$5, "")</f>
        <v/>
      </c>
      <c r="U123" s="6" t="str">
        <f>IF(Q123&lt;&gt;"", 'Daily Camera Trends'!$N$5, "")</f>
        <v/>
      </c>
      <c r="CP123" s="6" t="str">
        <f>IF($N123&lt;&gt;"", 'Daily Camera Trends'!$M$5, "")</f>
        <v/>
      </c>
      <c r="CQ123" s="6" t="str">
        <f>IF($Q123&lt;&gt;"", 'Daily Camera Trends'!$N$5, "")</f>
        <v/>
      </c>
    </row>
    <row r="124" spans="1:95" ht="40.049999999999997" customHeight="1" x14ac:dyDescent="0.3">
      <c r="A124" s="103" t="str">
        <f t="shared" si="3"/>
        <v/>
      </c>
      <c r="B124" s="236" t="s">
        <v>89</v>
      </c>
      <c r="H124" s="7" t="str">
        <f>IF(COUNTBLANK($A124:$E124)&gt;0, "", IFERROR(AVERAGEIFS(Log!$E:$E, Log!$A:$A, $A124, Log!$B:$B, $B124, Log!$C:$C, $C124),""))</f>
        <v/>
      </c>
      <c r="I124" s="37" t="str">
        <f t="shared" si="4"/>
        <v/>
      </c>
      <c r="J124" s="36"/>
      <c r="K124" s="36"/>
      <c r="L124" s="180"/>
      <c r="M124" s="180"/>
      <c r="N124" s="6" t="str">
        <f>IF(COUNTBLANK($A124:$E124)&gt;0, "", IFERROR(AVERAGEIFS(Log!#REF!, Log!$A:$A, $A124, Log!$B:$B, $B124, Log!$C:$C, $C124),""))</f>
        <v/>
      </c>
      <c r="O124" s="6" t="str">
        <f>IF(COUNTBLANK($A124:$E124)&gt;0, "", IFERROR(_xlfn.MINIFS(Log!$F:$F, Log!$A:$A, $A124, Log!$B:$B, $B124, Log!$C:$C, $C124),""))</f>
        <v/>
      </c>
      <c r="P124" s="6" t="str">
        <f>IF(COUNTBLANK($A124:$E124)&gt;0, "", IFERROR(_xlfn.MAXIFS(Log!$F:$F, Log!$A:$A, $A124, Log!$B:$B, $B124, Log!$C:$C, $C124),""))</f>
        <v/>
      </c>
      <c r="Q124" s="6" t="str">
        <f>IF(COUNTBLANK($A124:$E124)&gt;0, "", IFERROR(AVERAGEIFS(Log!#REF!, Log!$A:$A, $A124, Log!$B:$B, $B124, Log!$C:$C, $C124),""))</f>
        <v/>
      </c>
      <c r="R124" s="6" t="str">
        <f>IF(COUNTBLANK($A124:$E124)&gt;0, "", IFERROR(_xlfn.MINIFS(Log!$G:$G, Log!$A:$A, $A124, Log!$B:$B, $B124, Log!$C:$C, $C124),""))</f>
        <v/>
      </c>
      <c r="S124" s="6" t="str">
        <f>IF(COUNTBLANK($A124:$E124)&gt;0, "", IFERROR(_xlfn.MAXIFS(Log!$G:$G, Log!$A:$A, $A124, Log!$B:$B, $B124, Log!$C:$C, $C124),""))</f>
        <v/>
      </c>
      <c r="T124" s="6" t="str">
        <f>IF($N124&lt;&gt;"", 'Daily Camera Trends'!$M$5, "")</f>
        <v/>
      </c>
      <c r="U124" s="6" t="str">
        <f>IF(Q124&lt;&gt;"", 'Daily Camera Trends'!$N$5, "")</f>
        <v/>
      </c>
      <c r="CP124" s="6" t="str">
        <f>IF($N124&lt;&gt;"", 'Daily Camera Trends'!$M$5, "")</f>
        <v/>
      </c>
      <c r="CQ124" s="6" t="str">
        <f>IF($Q124&lt;&gt;"", 'Daily Camera Trends'!$N$5, "")</f>
        <v/>
      </c>
    </row>
    <row r="125" spans="1:95" ht="40.049999999999997" customHeight="1" x14ac:dyDescent="0.3">
      <c r="A125" s="103" t="str">
        <f t="shared" si="3"/>
        <v/>
      </c>
      <c r="B125" s="236" t="s">
        <v>89</v>
      </c>
      <c r="H125" s="7" t="str">
        <f>IF(COUNTBLANK($A125:$E125)&gt;0, "", IFERROR(AVERAGEIFS(Log!$E:$E, Log!$A:$A, $A125, Log!$B:$B, $B125, Log!$C:$C, $C125),""))</f>
        <v/>
      </c>
      <c r="I125" s="37" t="str">
        <f t="shared" si="4"/>
        <v/>
      </c>
      <c r="J125" s="36"/>
      <c r="K125" s="36"/>
      <c r="L125" s="180"/>
      <c r="M125" s="180"/>
      <c r="N125" s="6" t="str">
        <f>IF(COUNTBLANK($A125:$E125)&gt;0, "", IFERROR(AVERAGEIFS(Log!#REF!, Log!$A:$A, $A125, Log!$B:$B, $B125, Log!$C:$C, $C125),""))</f>
        <v/>
      </c>
      <c r="O125" s="6" t="str">
        <f>IF(COUNTBLANK($A125:$E125)&gt;0, "", IFERROR(_xlfn.MINIFS(Log!$F:$F, Log!$A:$A, $A125, Log!$B:$B, $B125, Log!$C:$C, $C125),""))</f>
        <v/>
      </c>
      <c r="P125" s="6" t="str">
        <f>IF(COUNTBLANK($A125:$E125)&gt;0, "", IFERROR(_xlfn.MAXIFS(Log!$F:$F, Log!$A:$A, $A125, Log!$B:$B, $B125, Log!$C:$C, $C125),""))</f>
        <v/>
      </c>
      <c r="Q125" s="6" t="str">
        <f>IF(COUNTBLANK($A125:$E125)&gt;0, "", IFERROR(AVERAGEIFS(Log!#REF!, Log!$A:$A, $A125, Log!$B:$B, $B125, Log!$C:$C, $C125),""))</f>
        <v/>
      </c>
      <c r="R125" s="6" t="str">
        <f>IF(COUNTBLANK($A125:$E125)&gt;0, "", IFERROR(_xlfn.MINIFS(Log!$G:$G, Log!$A:$A, $A125, Log!$B:$B, $B125, Log!$C:$C, $C125),""))</f>
        <v/>
      </c>
      <c r="S125" s="6" t="str">
        <f>IF(COUNTBLANK($A125:$E125)&gt;0, "", IFERROR(_xlfn.MAXIFS(Log!$G:$G, Log!$A:$A, $A125, Log!$B:$B, $B125, Log!$C:$C, $C125),""))</f>
        <v/>
      </c>
      <c r="T125" s="6" t="str">
        <f>IF($N125&lt;&gt;"", 'Daily Camera Trends'!$M$5, "")</f>
        <v/>
      </c>
      <c r="U125" s="6" t="str">
        <f>IF(Q125&lt;&gt;"", 'Daily Camera Trends'!$N$5, "")</f>
        <v/>
      </c>
      <c r="CP125" s="6" t="str">
        <f>IF($N125&lt;&gt;"", 'Daily Camera Trends'!$M$5, "")</f>
        <v/>
      </c>
      <c r="CQ125" s="6" t="str">
        <f>IF($Q125&lt;&gt;"", 'Daily Camera Trends'!$N$5, "")</f>
        <v/>
      </c>
    </row>
    <row r="126" spans="1:95" ht="40.049999999999997" customHeight="1" x14ac:dyDescent="0.3">
      <c r="A126" s="103" t="str">
        <f t="shared" si="3"/>
        <v/>
      </c>
      <c r="B126" s="236" t="s">
        <v>89</v>
      </c>
      <c r="H126" s="7" t="str">
        <f>IF(COUNTBLANK($A126:$E126)&gt;0, "", IFERROR(AVERAGEIFS(Log!$E:$E, Log!$A:$A, $A126, Log!$B:$B, $B126, Log!$C:$C, $C126),""))</f>
        <v/>
      </c>
      <c r="I126" s="37" t="str">
        <f t="shared" si="4"/>
        <v/>
      </c>
      <c r="J126" s="36"/>
      <c r="K126" s="36"/>
      <c r="L126" s="180"/>
      <c r="M126" s="180"/>
      <c r="N126" s="6" t="str">
        <f>IF(COUNTBLANK($A126:$E126)&gt;0, "", IFERROR(AVERAGEIFS(Log!#REF!, Log!$A:$A, $A126, Log!$B:$B, $B126, Log!$C:$C, $C126),""))</f>
        <v/>
      </c>
      <c r="O126" s="6" t="str">
        <f>IF(COUNTBLANK($A126:$E126)&gt;0, "", IFERROR(_xlfn.MINIFS(Log!$F:$F, Log!$A:$A, $A126, Log!$B:$B, $B126, Log!$C:$C, $C126),""))</f>
        <v/>
      </c>
      <c r="P126" s="6" t="str">
        <f>IF(COUNTBLANK($A126:$E126)&gt;0, "", IFERROR(_xlfn.MAXIFS(Log!$F:$F, Log!$A:$A, $A126, Log!$B:$B, $B126, Log!$C:$C, $C126),""))</f>
        <v/>
      </c>
      <c r="Q126" s="6" t="str">
        <f>IF(COUNTBLANK($A126:$E126)&gt;0, "", IFERROR(AVERAGEIFS(Log!#REF!, Log!$A:$A, $A126, Log!$B:$B, $B126, Log!$C:$C, $C126),""))</f>
        <v/>
      </c>
      <c r="R126" s="6" t="str">
        <f>IF(COUNTBLANK($A126:$E126)&gt;0, "", IFERROR(_xlfn.MINIFS(Log!$G:$G, Log!$A:$A, $A126, Log!$B:$B, $B126, Log!$C:$C, $C126),""))</f>
        <v/>
      </c>
      <c r="S126" s="6" t="str">
        <f>IF(COUNTBLANK($A126:$E126)&gt;0, "", IFERROR(_xlfn.MAXIFS(Log!$G:$G, Log!$A:$A, $A126, Log!$B:$B, $B126, Log!$C:$C, $C126),""))</f>
        <v/>
      </c>
      <c r="T126" s="6" t="str">
        <f>IF($N126&lt;&gt;"", 'Daily Camera Trends'!$M$5, "")</f>
        <v/>
      </c>
      <c r="U126" s="6" t="str">
        <f>IF(Q126&lt;&gt;"", 'Daily Camera Trends'!$N$5, "")</f>
        <v/>
      </c>
      <c r="CP126" s="6" t="str">
        <f>IF($N126&lt;&gt;"", 'Daily Camera Trends'!$M$5, "")</f>
        <v/>
      </c>
      <c r="CQ126" s="6" t="str">
        <f>IF($Q126&lt;&gt;"", 'Daily Camera Trends'!$N$5, "")</f>
        <v/>
      </c>
    </row>
    <row r="127" spans="1:95" ht="40.049999999999997" customHeight="1" x14ac:dyDescent="0.3">
      <c r="A127" s="103" t="str">
        <f t="shared" si="3"/>
        <v/>
      </c>
      <c r="B127" s="236" t="s">
        <v>89</v>
      </c>
      <c r="H127" s="7" t="str">
        <f>IF(COUNTBLANK($A127:$E127)&gt;0, "", IFERROR(AVERAGEIFS(Log!$E:$E, Log!$A:$A, $A127, Log!$B:$B, $B127, Log!$C:$C, $C127),""))</f>
        <v/>
      </c>
      <c r="I127" s="37" t="str">
        <f t="shared" si="4"/>
        <v/>
      </c>
      <c r="J127" s="36"/>
      <c r="K127" s="36"/>
      <c r="L127" s="180"/>
      <c r="M127" s="180"/>
      <c r="N127" s="6" t="str">
        <f>IF(COUNTBLANK($A127:$E127)&gt;0, "", IFERROR(AVERAGEIFS(Log!#REF!, Log!$A:$A, $A127, Log!$B:$B, $B127, Log!$C:$C, $C127),""))</f>
        <v/>
      </c>
      <c r="O127" s="6" t="str">
        <f>IF(COUNTBLANK($A127:$E127)&gt;0, "", IFERROR(_xlfn.MINIFS(Log!$F:$F, Log!$A:$A, $A127, Log!$B:$B, $B127, Log!$C:$C, $C127),""))</f>
        <v/>
      </c>
      <c r="P127" s="6" t="str">
        <f>IF(COUNTBLANK($A127:$E127)&gt;0, "", IFERROR(_xlfn.MAXIFS(Log!$F:$F, Log!$A:$A, $A127, Log!$B:$B, $B127, Log!$C:$C, $C127),""))</f>
        <v/>
      </c>
      <c r="Q127" s="6" t="str">
        <f>IF(COUNTBLANK($A127:$E127)&gt;0, "", IFERROR(AVERAGEIFS(Log!#REF!, Log!$A:$A, $A127, Log!$B:$B, $B127, Log!$C:$C, $C127),""))</f>
        <v/>
      </c>
      <c r="R127" s="6" t="str">
        <f>IF(COUNTBLANK($A127:$E127)&gt;0, "", IFERROR(_xlfn.MINIFS(Log!$G:$G, Log!$A:$A, $A127, Log!$B:$B, $B127, Log!$C:$C, $C127),""))</f>
        <v/>
      </c>
      <c r="S127" s="6" t="str">
        <f>IF(COUNTBLANK($A127:$E127)&gt;0, "", IFERROR(_xlfn.MAXIFS(Log!$G:$G, Log!$A:$A, $A127, Log!$B:$B, $B127, Log!$C:$C, $C127),""))</f>
        <v/>
      </c>
      <c r="T127" s="6" t="str">
        <f>IF($N127&lt;&gt;"", 'Daily Camera Trends'!$M$5, "")</f>
        <v/>
      </c>
      <c r="U127" s="6" t="str">
        <f>IF(Q127&lt;&gt;"", 'Daily Camera Trends'!$N$5, "")</f>
        <v/>
      </c>
      <c r="CP127" s="6" t="str">
        <f>IF($N127&lt;&gt;"", 'Daily Camera Trends'!$M$5, "")</f>
        <v/>
      </c>
      <c r="CQ127" s="6" t="str">
        <f>IF($Q127&lt;&gt;"", 'Daily Camera Trends'!$N$5, "")</f>
        <v/>
      </c>
    </row>
    <row r="128" spans="1:95" ht="40.049999999999997" customHeight="1" x14ac:dyDescent="0.3">
      <c r="A128" s="103" t="str">
        <f t="shared" si="3"/>
        <v/>
      </c>
      <c r="B128" s="236" t="s">
        <v>89</v>
      </c>
      <c r="H128" s="7" t="str">
        <f>IF(COUNTBLANK($A128:$E128)&gt;0, "", IFERROR(AVERAGEIFS(Log!$E:$E, Log!$A:$A, $A128, Log!$B:$B, $B128, Log!$C:$C, $C128),""))</f>
        <v/>
      </c>
      <c r="I128" s="37" t="str">
        <f t="shared" si="4"/>
        <v/>
      </c>
      <c r="J128" s="36"/>
      <c r="K128" s="36"/>
      <c r="L128" s="180"/>
      <c r="M128" s="180"/>
      <c r="N128" s="6" t="str">
        <f>IF(COUNTBLANK($A128:$E128)&gt;0, "", IFERROR(AVERAGEIFS(Log!#REF!, Log!$A:$A, $A128, Log!$B:$B, $B128, Log!$C:$C, $C128),""))</f>
        <v/>
      </c>
      <c r="O128" s="6" t="str">
        <f>IF(COUNTBLANK($A128:$E128)&gt;0, "", IFERROR(_xlfn.MINIFS(Log!$F:$F, Log!$A:$A, $A128, Log!$B:$B, $B128, Log!$C:$C, $C128),""))</f>
        <v/>
      </c>
      <c r="P128" s="6" t="str">
        <f>IF(COUNTBLANK($A128:$E128)&gt;0, "", IFERROR(_xlfn.MAXIFS(Log!$F:$F, Log!$A:$A, $A128, Log!$B:$B, $B128, Log!$C:$C, $C128),""))</f>
        <v/>
      </c>
      <c r="Q128" s="6" t="str">
        <f>IF(COUNTBLANK($A128:$E128)&gt;0, "", IFERROR(AVERAGEIFS(Log!#REF!, Log!$A:$A, $A128, Log!$B:$B, $B128, Log!$C:$C, $C128),""))</f>
        <v/>
      </c>
      <c r="R128" s="6" t="str">
        <f>IF(COUNTBLANK($A128:$E128)&gt;0, "", IFERROR(_xlfn.MINIFS(Log!$G:$G, Log!$A:$A, $A128, Log!$B:$B, $B128, Log!$C:$C, $C128),""))</f>
        <v/>
      </c>
      <c r="S128" s="6" t="str">
        <f>IF(COUNTBLANK($A128:$E128)&gt;0, "", IFERROR(_xlfn.MAXIFS(Log!$G:$G, Log!$A:$A, $A128, Log!$B:$B, $B128, Log!$C:$C, $C128),""))</f>
        <v/>
      </c>
      <c r="T128" s="6" t="str">
        <f>IF($N128&lt;&gt;"", 'Daily Camera Trends'!$M$5, "")</f>
        <v/>
      </c>
      <c r="U128" s="6" t="str">
        <f>IF(Q128&lt;&gt;"", 'Daily Camera Trends'!$N$5, "")</f>
        <v/>
      </c>
      <c r="CP128" s="6" t="str">
        <f>IF($N128&lt;&gt;"", 'Daily Camera Trends'!$M$5, "")</f>
        <v/>
      </c>
      <c r="CQ128" s="6" t="str">
        <f>IF($Q128&lt;&gt;"", 'Daily Camera Trends'!$N$5, "")</f>
        <v/>
      </c>
    </row>
    <row r="129" spans="1:95" ht="40.049999999999997" customHeight="1" x14ac:dyDescent="0.3">
      <c r="A129" s="103" t="str">
        <f t="shared" si="3"/>
        <v/>
      </c>
      <c r="B129" s="236" t="s">
        <v>89</v>
      </c>
      <c r="H129" s="7" t="str">
        <f>IF(COUNTBLANK($A129:$E129)&gt;0, "", IFERROR(AVERAGEIFS(Log!$E:$E, Log!$A:$A, $A129, Log!$B:$B, $B129, Log!$C:$C, $C129),""))</f>
        <v/>
      </c>
      <c r="I129" s="37" t="str">
        <f t="shared" si="4"/>
        <v/>
      </c>
      <c r="J129" s="36"/>
      <c r="K129" s="36"/>
      <c r="L129" s="180"/>
      <c r="M129" s="180"/>
      <c r="N129" s="6" t="str">
        <f>IF(COUNTBLANK($A129:$E129)&gt;0, "", IFERROR(AVERAGEIFS(Log!#REF!, Log!$A:$A, $A129, Log!$B:$B, $B129, Log!$C:$C, $C129),""))</f>
        <v/>
      </c>
      <c r="O129" s="6" t="str">
        <f>IF(COUNTBLANK($A129:$E129)&gt;0, "", IFERROR(_xlfn.MINIFS(Log!$F:$F, Log!$A:$A, $A129, Log!$B:$B, $B129, Log!$C:$C, $C129),""))</f>
        <v/>
      </c>
      <c r="P129" s="6" t="str">
        <f>IF(COUNTBLANK($A129:$E129)&gt;0, "", IFERROR(_xlfn.MAXIFS(Log!$F:$F, Log!$A:$A, $A129, Log!$B:$B, $B129, Log!$C:$C, $C129),""))</f>
        <v/>
      </c>
      <c r="Q129" s="6" t="str">
        <f>IF(COUNTBLANK($A129:$E129)&gt;0, "", IFERROR(AVERAGEIFS(Log!#REF!, Log!$A:$A, $A129, Log!$B:$B, $B129, Log!$C:$C, $C129),""))</f>
        <v/>
      </c>
      <c r="R129" s="6" t="str">
        <f>IF(COUNTBLANK($A129:$E129)&gt;0, "", IFERROR(_xlfn.MINIFS(Log!$G:$G, Log!$A:$A, $A129, Log!$B:$B, $B129, Log!$C:$C, $C129),""))</f>
        <v/>
      </c>
      <c r="S129" s="6" t="str">
        <f>IF(COUNTBLANK($A129:$E129)&gt;0, "", IFERROR(_xlfn.MAXIFS(Log!$G:$G, Log!$A:$A, $A129, Log!$B:$B, $B129, Log!$C:$C, $C129),""))</f>
        <v/>
      </c>
      <c r="T129" s="6" t="str">
        <f>IF($N129&lt;&gt;"", 'Daily Camera Trends'!$M$5, "")</f>
        <v/>
      </c>
      <c r="U129" s="6" t="str">
        <f>IF(Q129&lt;&gt;"", 'Daily Camera Trends'!$N$5, "")</f>
        <v/>
      </c>
      <c r="CP129" s="6" t="str">
        <f>IF($N129&lt;&gt;"", 'Daily Camera Trends'!$M$5, "")</f>
        <v/>
      </c>
      <c r="CQ129" s="6" t="str">
        <f>IF($Q129&lt;&gt;"", 'Daily Camera Trends'!$N$5, "")</f>
        <v/>
      </c>
    </row>
    <row r="130" spans="1:95" ht="40.049999999999997" customHeight="1" x14ac:dyDescent="0.3">
      <c r="A130" s="103" t="str">
        <f t="shared" si="3"/>
        <v/>
      </c>
      <c r="B130" s="236" t="s">
        <v>89</v>
      </c>
      <c r="H130" s="7" t="str">
        <f>IF(COUNTBLANK($A130:$E130)&gt;0, "", IFERROR(AVERAGEIFS(Log!$E:$E, Log!$A:$A, $A130, Log!$B:$B, $B130, Log!$C:$C, $C130),""))</f>
        <v/>
      </c>
      <c r="I130" s="37" t="str">
        <f t="shared" si="4"/>
        <v/>
      </c>
      <c r="J130" s="36"/>
      <c r="K130" s="36"/>
      <c r="L130" s="180"/>
      <c r="M130" s="180"/>
      <c r="N130" s="6" t="str">
        <f>IF(COUNTBLANK($A130:$E130)&gt;0, "", IFERROR(AVERAGEIFS(Log!#REF!, Log!$A:$A, $A130, Log!$B:$B, $B130, Log!$C:$C, $C130),""))</f>
        <v/>
      </c>
      <c r="O130" s="6" t="str">
        <f>IF(COUNTBLANK($A130:$E130)&gt;0, "", IFERROR(_xlfn.MINIFS(Log!$F:$F, Log!$A:$A, $A130, Log!$B:$B, $B130, Log!$C:$C, $C130),""))</f>
        <v/>
      </c>
      <c r="P130" s="6" t="str">
        <f>IF(COUNTBLANK($A130:$E130)&gt;0, "", IFERROR(_xlfn.MAXIFS(Log!$F:$F, Log!$A:$A, $A130, Log!$B:$B, $B130, Log!$C:$C, $C130),""))</f>
        <v/>
      </c>
      <c r="Q130" s="6" t="str">
        <f>IF(COUNTBLANK($A130:$E130)&gt;0, "", IFERROR(AVERAGEIFS(Log!#REF!, Log!$A:$A, $A130, Log!$B:$B, $B130, Log!$C:$C, $C130),""))</f>
        <v/>
      </c>
      <c r="R130" s="6" t="str">
        <f>IF(COUNTBLANK($A130:$E130)&gt;0, "", IFERROR(_xlfn.MINIFS(Log!$G:$G, Log!$A:$A, $A130, Log!$B:$B, $B130, Log!$C:$C, $C130),""))</f>
        <v/>
      </c>
      <c r="S130" s="6" t="str">
        <f>IF(COUNTBLANK($A130:$E130)&gt;0, "", IFERROR(_xlfn.MAXIFS(Log!$G:$G, Log!$A:$A, $A130, Log!$B:$B, $B130, Log!$C:$C, $C130),""))</f>
        <v/>
      </c>
      <c r="T130" s="6" t="str">
        <f>IF($N130&lt;&gt;"", 'Daily Camera Trends'!$M$5, "")</f>
        <v/>
      </c>
      <c r="U130" s="6" t="str">
        <f>IF(Q130&lt;&gt;"", 'Daily Camera Trends'!$N$5, "")</f>
        <v/>
      </c>
      <c r="CP130" s="6" t="str">
        <f>IF($N130&lt;&gt;"", 'Daily Camera Trends'!$M$5, "")</f>
        <v/>
      </c>
      <c r="CQ130" s="6" t="str">
        <f>IF($Q130&lt;&gt;"", 'Daily Camera Trends'!$N$5, "")</f>
        <v/>
      </c>
    </row>
    <row r="131" spans="1:95" ht="40.049999999999997" customHeight="1" x14ac:dyDescent="0.3">
      <c r="A131" s="103" t="str">
        <f t="shared" si="3"/>
        <v/>
      </c>
      <c r="B131" s="236" t="s">
        <v>89</v>
      </c>
      <c r="H131" s="7" t="str">
        <f>IF(COUNTBLANK($A131:$E131)&gt;0, "", IFERROR(AVERAGEIFS(Log!$E:$E, Log!$A:$A, $A131, Log!$B:$B, $B131, Log!$C:$C, $C131),""))</f>
        <v/>
      </c>
      <c r="I131" s="37" t="str">
        <f t="shared" ref="I131:I194" si="5">IF(AND($H131&lt;&gt;"", $G131&lt;&gt;""), $H131/$G131, "")</f>
        <v/>
      </c>
      <c r="J131" s="36"/>
      <c r="K131" s="36"/>
      <c r="L131" s="180"/>
      <c r="M131" s="180"/>
      <c r="N131" s="6" t="str">
        <f>IF(COUNTBLANK($A131:$E131)&gt;0, "", IFERROR(AVERAGEIFS(Log!#REF!, Log!$A:$A, $A131, Log!$B:$B, $B131, Log!$C:$C, $C131),""))</f>
        <v/>
      </c>
      <c r="O131" s="6" t="str">
        <f>IF(COUNTBLANK($A131:$E131)&gt;0, "", IFERROR(_xlfn.MINIFS(Log!$F:$F, Log!$A:$A, $A131, Log!$B:$B, $B131, Log!$C:$C, $C131),""))</f>
        <v/>
      </c>
      <c r="P131" s="6" t="str">
        <f>IF(COUNTBLANK($A131:$E131)&gt;0, "", IFERROR(_xlfn.MAXIFS(Log!$F:$F, Log!$A:$A, $A131, Log!$B:$B, $B131, Log!$C:$C, $C131),""))</f>
        <v/>
      </c>
      <c r="Q131" s="6" t="str">
        <f>IF(COUNTBLANK($A131:$E131)&gt;0, "", IFERROR(AVERAGEIFS(Log!#REF!, Log!$A:$A, $A131, Log!$B:$B, $B131, Log!$C:$C, $C131),""))</f>
        <v/>
      </c>
      <c r="R131" s="6" t="str">
        <f>IF(COUNTBLANK($A131:$E131)&gt;0, "", IFERROR(_xlfn.MINIFS(Log!$G:$G, Log!$A:$A, $A131, Log!$B:$B, $B131, Log!$C:$C, $C131),""))</f>
        <v/>
      </c>
      <c r="S131" s="6" t="str">
        <f>IF(COUNTBLANK($A131:$E131)&gt;0, "", IFERROR(_xlfn.MAXIFS(Log!$G:$G, Log!$A:$A, $A131, Log!$B:$B, $B131, Log!$C:$C, $C131),""))</f>
        <v/>
      </c>
      <c r="T131" s="6" t="str">
        <f>IF($N131&lt;&gt;"", 'Daily Camera Trends'!$M$5, "")</f>
        <v/>
      </c>
      <c r="U131" s="6" t="str">
        <f>IF(Q131&lt;&gt;"", 'Daily Camera Trends'!$N$5, "")</f>
        <v/>
      </c>
      <c r="CP131" s="6" t="str">
        <f>IF($N131&lt;&gt;"", 'Daily Camera Trends'!$M$5, "")</f>
        <v/>
      </c>
      <c r="CQ131" s="6" t="str">
        <f>IF($Q131&lt;&gt;"", 'Daily Camera Trends'!$N$5, "")</f>
        <v/>
      </c>
    </row>
    <row r="132" spans="1:95" ht="40.049999999999997" customHeight="1" x14ac:dyDescent="0.3">
      <c r="A132" s="103" t="str">
        <f t="shared" ref="A132:A195" si="6">IF(C132&lt;&gt;"", "Daily", "")</f>
        <v/>
      </c>
      <c r="B132" s="236" t="s">
        <v>89</v>
      </c>
      <c r="H132" s="7" t="str">
        <f>IF(COUNTBLANK($A132:$E132)&gt;0, "", IFERROR(AVERAGEIFS(Log!$E:$E, Log!$A:$A, $A132, Log!$B:$B, $B132, Log!$C:$C, $C132),""))</f>
        <v/>
      </c>
      <c r="I132" s="37" t="str">
        <f t="shared" si="5"/>
        <v/>
      </c>
      <c r="J132" s="36"/>
      <c r="K132" s="36"/>
      <c r="L132" s="180"/>
      <c r="M132" s="180"/>
      <c r="N132" s="6" t="str">
        <f>IF(COUNTBLANK($A132:$E132)&gt;0, "", IFERROR(AVERAGEIFS(Log!#REF!, Log!$A:$A, $A132, Log!$B:$B, $B132, Log!$C:$C, $C132),""))</f>
        <v/>
      </c>
      <c r="O132" s="6" t="str">
        <f>IF(COUNTBLANK($A132:$E132)&gt;0, "", IFERROR(_xlfn.MINIFS(Log!$F:$F, Log!$A:$A, $A132, Log!$B:$B, $B132, Log!$C:$C, $C132),""))</f>
        <v/>
      </c>
      <c r="P132" s="6" t="str">
        <f>IF(COUNTBLANK($A132:$E132)&gt;0, "", IFERROR(_xlfn.MAXIFS(Log!$F:$F, Log!$A:$A, $A132, Log!$B:$B, $B132, Log!$C:$C, $C132),""))</f>
        <v/>
      </c>
      <c r="Q132" s="6" t="str">
        <f>IF(COUNTBLANK($A132:$E132)&gt;0, "", IFERROR(AVERAGEIFS(Log!#REF!, Log!$A:$A, $A132, Log!$B:$B, $B132, Log!$C:$C, $C132),""))</f>
        <v/>
      </c>
      <c r="R132" s="6" t="str">
        <f>IF(COUNTBLANK($A132:$E132)&gt;0, "", IFERROR(_xlfn.MINIFS(Log!$G:$G, Log!$A:$A, $A132, Log!$B:$B, $B132, Log!$C:$C, $C132),""))</f>
        <v/>
      </c>
      <c r="S132" s="6" t="str">
        <f>IF(COUNTBLANK($A132:$E132)&gt;0, "", IFERROR(_xlfn.MAXIFS(Log!$G:$G, Log!$A:$A, $A132, Log!$B:$B, $B132, Log!$C:$C, $C132),""))</f>
        <v/>
      </c>
      <c r="T132" s="6" t="str">
        <f>IF($N132&lt;&gt;"", 'Daily Camera Trends'!$M$5, "")</f>
        <v/>
      </c>
      <c r="U132" s="6" t="str">
        <f>IF(Q132&lt;&gt;"", 'Daily Camera Trends'!$N$5, "")</f>
        <v/>
      </c>
      <c r="CP132" s="6" t="str">
        <f>IF($N132&lt;&gt;"", 'Daily Camera Trends'!$M$5, "")</f>
        <v/>
      </c>
      <c r="CQ132" s="6" t="str">
        <f>IF($Q132&lt;&gt;"", 'Daily Camera Trends'!$N$5, "")</f>
        <v/>
      </c>
    </row>
    <row r="133" spans="1:95" ht="40.049999999999997" customHeight="1" x14ac:dyDescent="0.3">
      <c r="A133" s="103" t="str">
        <f t="shared" si="6"/>
        <v/>
      </c>
      <c r="B133" s="236" t="s">
        <v>89</v>
      </c>
      <c r="H133" s="7" t="str">
        <f>IF(COUNTBLANK($A133:$E133)&gt;0, "", IFERROR(AVERAGEIFS(Log!$E:$E, Log!$A:$A, $A133, Log!$B:$B, $B133, Log!$C:$C, $C133),""))</f>
        <v/>
      </c>
      <c r="I133" s="37" t="str">
        <f t="shared" si="5"/>
        <v/>
      </c>
      <c r="J133" s="36"/>
      <c r="K133" s="36"/>
      <c r="L133" s="180"/>
      <c r="M133" s="180"/>
      <c r="N133" s="6" t="str">
        <f>IF(COUNTBLANK($A133:$E133)&gt;0, "", IFERROR(AVERAGEIFS(Log!#REF!, Log!$A:$A, $A133, Log!$B:$B, $B133, Log!$C:$C, $C133),""))</f>
        <v/>
      </c>
      <c r="O133" s="6" t="str">
        <f>IF(COUNTBLANK($A133:$E133)&gt;0, "", IFERROR(_xlfn.MINIFS(Log!$F:$F, Log!$A:$A, $A133, Log!$B:$B, $B133, Log!$C:$C, $C133),""))</f>
        <v/>
      </c>
      <c r="P133" s="6" t="str">
        <f>IF(COUNTBLANK($A133:$E133)&gt;0, "", IFERROR(_xlfn.MAXIFS(Log!$F:$F, Log!$A:$A, $A133, Log!$B:$B, $B133, Log!$C:$C, $C133),""))</f>
        <v/>
      </c>
      <c r="Q133" s="6" t="str">
        <f>IF(COUNTBLANK($A133:$E133)&gt;0, "", IFERROR(AVERAGEIFS(Log!#REF!, Log!$A:$A, $A133, Log!$B:$B, $B133, Log!$C:$C, $C133),""))</f>
        <v/>
      </c>
      <c r="R133" s="6" t="str">
        <f>IF(COUNTBLANK($A133:$E133)&gt;0, "", IFERROR(_xlfn.MINIFS(Log!$G:$G, Log!$A:$A, $A133, Log!$B:$B, $B133, Log!$C:$C, $C133),""))</f>
        <v/>
      </c>
      <c r="S133" s="6" t="str">
        <f>IF(COUNTBLANK($A133:$E133)&gt;0, "", IFERROR(_xlfn.MAXIFS(Log!$G:$G, Log!$A:$A, $A133, Log!$B:$B, $B133, Log!$C:$C, $C133),""))</f>
        <v/>
      </c>
      <c r="T133" s="6" t="str">
        <f>IF($N133&lt;&gt;"", 'Daily Camera Trends'!$M$5, "")</f>
        <v/>
      </c>
      <c r="U133" s="6" t="str">
        <f>IF(Q133&lt;&gt;"", 'Daily Camera Trends'!$N$5, "")</f>
        <v/>
      </c>
      <c r="CP133" s="6" t="str">
        <f>IF($N133&lt;&gt;"", 'Daily Camera Trends'!$M$5, "")</f>
        <v/>
      </c>
      <c r="CQ133" s="6" t="str">
        <f>IF($Q133&lt;&gt;"", 'Daily Camera Trends'!$N$5, "")</f>
        <v/>
      </c>
    </row>
    <row r="134" spans="1:95" ht="40.049999999999997" customHeight="1" x14ac:dyDescent="0.3">
      <c r="A134" s="103" t="str">
        <f t="shared" si="6"/>
        <v/>
      </c>
      <c r="B134" s="236" t="s">
        <v>89</v>
      </c>
      <c r="H134" s="7" t="str">
        <f>IF(COUNTBLANK($A134:$E134)&gt;0, "", IFERROR(AVERAGEIFS(Log!$E:$E, Log!$A:$A, $A134, Log!$B:$B, $B134, Log!$C:$C, $C134),""))</f>
        <v/>
      </c>
      <c r="I134" s="37" t="str">
        <f t="shared" si="5"/>
        <v/>
      </c>
      <c r="J134" s="36"/>
      <c r="K134" s="36"/>
      <c r="L134" s="180"/>
      <c r="M134" s="180"/>
      <c r="N134" s="6" t="str">
        <f>IF(COUNTBLANK($A134:$E134)&gt;0, "", IFERROR(AVERAGEIFS(Log!#REF!, Log!$A:$A, $A134, Log!$B:$B, $B134, Log!$C:$C, $C134),""))</f>
        <v/>
      </c>
      <c r="O134" s="6" t="str">
        <f>IF(COUNTBLANK($A134:$E134)&gt;0, "", IFERROR(_xlfn.MINIFS(Log!$F:$F, Log!$A:$A, $A134, Log!$B:$B, $B134, Log!$C:$C, $C134),""))</f>
        <v/>
      </c>
      <c r="P134" s="6" t="str">
        <f>IF(COUNTBLANK($A134:$E134)&gt;0, "", IFERROR(_xlfn.MAXIFS(Log!$F:$F, Log!$A:$A, $A134, Log!$B:$B, $B134, Log!$C:$C, $C134),""))</f>
        <v/>
      </c>
      <c r="Q134" s="6" t="str">
        <f>IF(COUNTBLANK($A134:$E134)&gt;0, "", IFERROR(AVERAGEIFS(Log!#REF!, Log!$A:$A, $A134, Log!$B:$B, $B134, Log!$C:$C, $C134),""))</f>
        <v/>
      </c>
      <c r="R134" s="6" t="str">
        <f>IF(COUNTBLANK($A134:$E134)&gt;0, "", IFERROR(_xlfn.MINIFS(Log!$G:$G, Log!$A:$A, $A134, Log!$B:$B, $B134, Log!$C:$C, $C134),""))</f>
        <v/>
      </c>
      <c r="S134" s="6" t="str">
        <f>IF(COUNTBLANK($A134:$E134)&gt;0, "", IFERROR(_xlfn.MAXIFS(Log!$G:$G, Log!$A:$A, $A134, Log!$B:$B, $B134, Log!$C:$C, $C134),""))</f>
        <v/>
      </c>
      <c r="T134" s="6" t="str">
        <f>IF($N134&lt;&gt;"", 'Daily Camera Trends'!$M$5, "")</f>
        <v/>
      </c>
      <c r="U134" s="6" t="str">
        <f>IF(Q134&lt;&gt;"", 'Daily Camera Trends'!$N$5, "")</f>
        <v/>
      </c>
      <c r="CP134" s="6" t="str">
        <f>IF($N134&lt;&gt;"", 'Daily Camera Trends'!$M$5, "")</f>
        <v/>
      </c>
      <c r="CQ134" s="6" t="str">
        <f>IF($Q134&lt;&gt;"", 'Daily Camera Trends'!$N$5, "")</f>
        <v/>
      </c>
    </row>
    <row r="135" spans="1:95" ht="40.049999999999997" customHeight="1" x14ac:dyDescent="0.3">
      <c r="A135" s="103" t="str">
        <f t="shared" si="6"/>
        <v/>
      </c>
      <c r="B135" s="236" t="s">
        <v>89</v>
      </c>
      <c r="H135" s="7" t="str">
        <f>IF(COUNTBLANK($A135:$E135)&gt;0, "", IFERROR(AVERAGEIFS(Log!$E:$E, Log!$A:$A, $A135, Log!$B:$B, $B135, Log!$C:$C, $C135),""))</f>
        <v/>
      </c>
      <c r="I135" s="37" t="str">
        <f t="shared" si="5"/>
        <v/>
      </c>
      <c r="J135" s="36"/>
      <c r="K135" s="36"/>
      <c r="L135" s="180"/>
      <c r="M135" s="180"/>
      <c r="N135" s="6" t="str">
        <f>IF(COUNTBLANK($A135:$E135)&gt;0, "", IFERROR(AVERAGEIFS(Log!#REF!, Log!$A:$A, $A135, Log!$B:$B, $B135, Log!$C:$C, $C135),""))</f>
        <v/>
      </c>
      <c r="O135" s="6" t="str">
        <f>IF(COUNTBLANK($A135:$E135)&gt;0, "", IFERROR(_xlfn.MINIFS(Log!$F:$F, Log!$A:$A, $A135, Log!$B:$B, $B135, Log!$C:$C, $C135),""))</f>
        <v/>
      </c>
      <c r="P135" s="6" t="str">
        <f>IF(COUNTBLANK($A135:$E135)&gt;0, "", IFERROR(_xlfn.MAXIFS(Log!$F:$F, Log!$A:$A, $A135, Log!$B:$B, $B135, Log!$C:$C, $C135),""))</f>
        <v/>
      </c>
      <c r="Q135" s="6" t="str">
        <f>IF(COUNTBLANK($A135:$E135)&gt;0, "", IFERROR(AVERAGEIFS(Log!#REF!, Log!$A:$A, $A135, Log!$B:$B, $B135, Log!$C:$C, $C135),""))</f>
        <v/>
      </c>
      <c r="R135" s="6" t="str">
        <f>IF(COUNTBLANK($A135:$E135)&gt;0, "", IFERROR(_xlfn.MINIFS(Log!$G:$G, Log!$A:$A, $A135, Log!$B:$B, $B135, Log!$C:$C, $C135),""))</f>
        <v/>
      </c>
      <c r="S135" s="6" t="str">
        <f>IF(COUNTBLANK($A135:$E135)&gt;0, "", IFERROR(_xlfn.MAXIFS(Log!$G:$G, Log!$A:$A, $A135, Log!$B:$B, $B135, Log!$C:$C, $C135),""))</f>
        <v/>
      </c>
      <c r="T135" s="6" t="str">
        <f>IF($N135&lt;&gt;"", 'Daily Camera Trends'!$M$5, "")</f>
        <v/>
      </c>
      <c r="U135" s="6" t="str">
        <f>IF(Q135&lt;&gt;"", 'Daily Camera Trends'!$N$5, "")</f>
        <v/>
      </c>
      <c r="CP135" s="6" t="str">
        <f>IF($N135&lt;&gt;"", 'Daily Camera Trends'!$M$5, "")</f>
        <v/>
      </c>
      <c r="CQ135" s="6" t="str">
        <f>IF($Q135&lt;&gt;"", 'Daily Camera Trends'!$N$5, "")</f>
        <v/>
      </c>
    </row>
    <row r="136" spans="1:95" ht="40.049999999999997" customHeight="1" x14ac:dyDescent="0.3">
      <c r="A136" s="103" t="str">
        <f t="shared" si="6"/>
        <v/>
      </c>
      <c r="B136" s="236" t="s">
        <v>89</v>
      </c>
      <c r="H136" s="7" t="str">
        <f>IF(COUNTBLANK($A136:$E136)&gt;0, "", IFERROR(AVERAGEIFS(Log!$E:$E, Log!$A:$A, $A136, Log!$B:$B, $B136, Log!$C:$C, $C136),""))</f>
        <v/>
      </c>
      <c r="I136" s="37" t="str">
        <f t="shared" si="5"/>
        <v/>
      </c>
      <c r="J136" s="36"/>
      <c r="K136" s="36"/>
      <c r="L136" s="180"/>
      <c r="M136" s="180"/>
      <c r="N136" s="6" t="str">
        <f>IF(COUNTBLANK($A136:$E136)&gt;0, "", IFERROR(AVERAGEIFS(Log!#REF!, Log!$A:$A, $A136, Log!$B:$B, $B136, Log!$C:$C, $C136),""))</f>
        <v/>
      </c>
      <c r="O136" s="6" t="str">
        <f>IF(COUNTBLANK($A136:$E136)&gt;0, "", IFERROR(_xlfn.MINIFS(Log!$F:$F, Log!$A:$A, $A136, Log!$B:$B, $B136, Log!$C:$C, $C136),""))</f>
        <v/>
      </c>
      <c r="P136" s="6" t="str">
        <f>IF(COUNTBLANK($A136:$E136)&gt;0, "", IFERROR(_xlfn.MAXIFS(Log!$F:$F, Log!$A:$A, $A136, Log!$B:$B, $B136, Log!$C:$C, $C136),""))</f>
        <v/>
      </c>
      <c r="Q136" s="6" t="str">
        <f>IF(COUNTBLANK($A136:$E136)&gt;0, "", IFERROR(AVERAGEIFS(Log!#REF!, Log!$A:$A, $A136, Log!$B:$B, $B136, Log!$C:$C, $C136),""))</f>
        <v/>
      </c>
      <c r="R136" s="6" t="str">
        <f>IF(COUNTBLANK($A136:$E136)&gt;0, "", IFERROR(_xlfn.MINIFS(Log!$G:$G, Log!$A:$A, $A136, Log!$B:$B, $B136, Log!$C:$C, $C136),""))</f>
        <v/>
      </c>
      <c r="S136" s="6" t="str">
        <f>IF(COUNTBLANK($A136:$E136)&gt;0, "", IFERROR(_xlfn.MAXIFS(Log!$G:$G, Log!$A:$A, $A136, Log!$B:$B, $B136, Log!$C:$C, $C136),""))</f>
        <v/>
      </c>
      <c r="T136" s="6" t="str">
        <f>IF($N136&lt;&gt;"", 'Daily Camera Trends'!$M$5, "")</f>
        <v/>
      </c>
      <c r="U136" s="6" t="str">
        <f>IF(Q136&lt;&gt;"", 'Daily Camera Trends'!$N$5, "")</f>
        <v/>
      </c>
      <c r="CP136" s="6" t="str">
        <f>IF($N136&lt;&gt;"", 'Daily Camera Trends'!$M$5, "")</f>
        <v/>
      </c>
      <c r="CQ136" s="6" t="str">
        <f>IF($Q136&lt;&gt;"", 'Daily Camera Trends'!$N$5, "")</f>
        <v/>
      </c>
    </row>
    <row r="137" spans="1:95" ht="40.049999999999997" customHeight="1" x14ac:dyDescent="0.3">
      <c r="A137" s="103" t="str">
        <f t="shared" si="6"/>
        <v/>
      </c>
      <c r="B137" s="236" t="s">
        <v>89</v>
      </c>
      <c r="H137" s="7" t="str">
        <f>IF(COUNTBLANK($A137:$E137)&gt;0, "", IFERROR(AVERAGEIFS(Log!$E:$E, Log!$A:$A, $A137, Log!$B:$B, $B137, Log!$C:$C, $C137),""))</f>
        <v/>
      </c>
      <c r="I137" s="37" t="str">
        <f t="shared" si="5"/>
        <v/>
      </c>
      <c r="J137" s="36"/>
      <c r="K137" s="36"/>
      <c r="L137" s="180"/>
      <c r="M137" s="180"/>
      <c r="N137" s="6" t="str">
        <f>IF(COUNTBLANK($A137:$E137)&gt;0, "", IFERROR(AVERAGEIFS(Log!#REF!, Log!$A:$A, $A137, Log!$B:$B, $B137, Log!$C:$C, $C137),""))</f>
        <v/>
      </c>
      <c r="O137" s="6" t="str">
        <f>IF(COUNTBLANK($A137:$E137)&gt;0, "", IFERROR(_xlfn.MINIFS(Log!$F:$F, Log!$A:$A, $A137, Log!$B:$B, $B137, Log!$C:$C, $C137),""))</f>
        <v/>
      </c>
      <c r="P137" s="6" t="str">
        <f>IF(COUNTBLANK($A137:$E137)&gt;0, "", IFERROR(_xlfn.MAXIFS(Log!$F:$F, Log!$A:$A, $A137, Log!$B:$B, $B137, Log!$C:$C, $C137),""))</f>
        <v/>
      </c>
      <c r="Q137" s="6" t="str">
        <f>IF(COUNTBLANK($A137:$E137)&gt;0, "", IFERROR(AVERAGEIFS(Log!#REF!, Log!$A:$A, $A137, Log!$B:$B, $B137, Log!$C:$C, $C137),""))</f>
        <v/>
      </c>
      <c r="R137" s="6" t="str">
        <f>IF(COUNTBLANK($A137:$E137)&gt;0, "", IFERROR(_xlfn.MINIFS(Log!$G:$G, Log!$A:$A, $A137, Log!$B:$B, $B137, Log!$C:$C, $C137),""))</f>
        <v/>
      </c>
      <c r="S137" s="6" t="str">
        <f>IF(COUNTBLANK($A137:$E137)&gt;0, "", IFERROR(_xlfn.MAXIFS(Log!$G:$G, Log!$A:$A, $A137, Log!$B:$B, $B137, Log!$C:$C, $C137),""))</f>
        <v/>
      </c>
      <c r="T137" s="6" t="str">
        <f>IF($N137&lt;&gt;"", 'Daily Camera Trends'!$M$5, "")</f>
        <v/>
      </c>
      <c r="U137" s="6" t="str">
        <f>IF(Q137&lt;&gt;"", 'Daily Camera Trends'!$N$5, "")</f>
        <v/>
      </c>
      <c r="CP137" s="6" t="str">
        <f>IF($N137&lt;&gt;"", 'Daily Camera Trends'!$M$5, "")</f>
        <v/>
      </c>
      <c r="CQ137" s="6" t="str">
        <f>IF($Q137&lt;&gt;"", 'Daily Camera Trends'!$N$5, "")</f>
        <v/>
      </c>
    </row>
    <row r="138" spans="1:95" ht="40.049999999999997" customHeight="1" x14ac:dyDescent="0.3">
      <c r="A138" s="103" t="str">
        <f t="shared" si="6"/>
        <v/>
      </c>
      <c r="B138" s="236" t="s">
        <v>89</v>
      </c>
      <c r="H138" s="7" t="str">
        <f>IF(COUNTBLANK($A138:$E138)&gt;0, "", IFERROR(AVERAGEIFS(Log!$E:$E, Log!$A:$A, $A138, Log!$B:$B, $B138, Log!$C:$C, $C138),""))</f>
        <v/>
      </c>
      <c r="I138" s="37" t="str">
        <f t="shared" si="5"/>
        <v/>
      </c>
      <c r="J138" s="36"/>
      <c r="K138" s="36"/>
      <c r="L138" s="180"/>
      <c r="M138" s="180"/>
      <c r="N138" s="6" t="str">
        <f>IF(COUNTBLANK($A138:$E138)&gt;0, "", IFERROR(AVERAGEIFS(Log!#REF!, Log!$A:$A, $A138, Log!$B:$B, $B138, Log!$C:$C, $C138),""))</f>
        <v/>
      </c>
      <c r="O138" s="6" t="str">
        <f>IF(COUNTBLANK($A138:$E138)&gt;0, "", IFERROR(_xlfn.MINIFS(Log!$F:$F, Log!$A:$A, $A138, Log!$B:$B, $B138, Log!$C:$C, $C138),""))</f>
        <v/>
      </c>
      <c r="P138" s="6" t="str">
        <f>IF(COUNTBLANK($A138:$E138)&gt;0, "", IFERROR(_xlfn.MAXIFS(Log!$F:$F, Log!$A:$A, $A138, Log!$B:$B, $B138, Log!$C:$C, $C138),""))</f>
        <v/>
      </c>
      <c r="Q138" s="6" t="str">
        <f>IF(COUNTBLANK($A138:$E138)&gt;0, "", IFERROR(AVERAGEIFS(Log!#REF!, Log!$A:$A, $A138, Log!$B:$B, $B138, Log!$C:$C, $C138),""))</f>
        <v/>
      </c>
      <c r="R138" s="6" t="str">
        <f>IF(COUNTBLANK($A138:$E138)&gt;0, "", IFERROR(_xlfn.MINIFS(Log!$G:$G, Log!$A:$A, $A138, Log!$B:$B, $B138, Log!$C:$C, $C138),""))</f>
        <v/>
      </c>
      <c r="S138" s="6" t="str">
        <f>IF(COUNTBLANK($A138:$E138)&gt;0, "", IFERROR(_xlfn.MAXIFS(Log!$G:$G, Log!$A:$A, $A138, Log!$B:$B, $B138, Log!$C:$C, $C138),""))</f>
        <v/>
      </c>
      <c r="T138" s="6" t="str">
        <f>IF($N138&lt;&gt;"", 'Daily Camera Trends'!$M$5, "")</f>
        <v/>
      </c>
      <c r="U138" s="6" t="str">
        <f>IF(Q138&lt;&gt;"", 'Daily Camera Trends'!$N$5, "")</f>
        <v/>
      </c>
      <c r="CP138" s="6" t="str">
        <f>IF($N138&lt;&gt;"", 'Daily Camera Trends'!$M$5, "")</f>
        <v/>
      </c>
      <c r="CQ138" s="6" t="str">
        <f>IF($Q138&lt;&gt;"", 'Daily Camera Trends'!$N$5, "")</f>
        <v/>
      </c>
    </row>
    <row r="139" spans="1:95" ht="40.049999999999997" customHeight="1" x14ac:dyDescent="0.3">
      <c r="A139" s="103" t="str">
        <f t="shared" si="6"/>
        <v/>
      </c>
      <c r="B139" s="236" t="s">
        <v>89</v>
      </c>
      <c r="H139" s="7" t="str">
        <f>IF(COUNTBLANK($A139:$E139)&gt;0, "", IFERROR(AVERAGEIFS(Log!$E:$E, Log!$A:$A, $A139, Log!$B:$B, $B139, Log!$C:$C, $C139),""))</f>
        <v/>
      </c>
      <c r="I139" s="37" t="str">
        <f t="shared" si="5"/>
        <v/>
      </c>
      <c r="J139" s="36"/>
      <c r="K139" s="36"/>
      <c r="L139" s="180"/>
      <c r="M139" s="180"/>
      <c r="N139" s="6" t="str">
        <f>IF(COUNTBLANK($A139:$E139)&gt;0, "", IFERROR(AVERAGEIFS(Log!#REF!, Log!$A:$A, $A139, Log!$B:$B, $B139, Log!$C:$C, $C139),""))</f>
        <v/>
      </c>
      <c r="O139" s="6" t="str">
        <f>IF(COUNTBLANK($A139:$E139)&gt;0, "", IFERROR(_xlfn.MINIFS(Log!$F:$F, Log!$A:$A, $A139, Log!$B:$B, $B139, Log!$C:$C, $C139),""))</f>
        <v/>
      </c>
      <c r="P139" s="6" t="str">
        <f>IF(COUNTBLANK($A139:$E139)&gt;0, "", IFERROR(_xlfn.MAXIFS(Log!$F:$F, Log!$A:$A, $A139, Log!$B:$B, $B139, Log!$C:$C, $C139),""))</f>
        <v/>
      </c>
      <c r="Q139" s="6" t="str">
        <f>IF(COUNTBLANK($A139:$E139)&gt;0, "", IFERROR(AVERAGEIFS(Log!#REF!, Log!$A:$A, $A139, Log!$B:$B, $B139, Log!$C:$C, $C139),""))</f>
        <v/>
      </c>
      <c r="R139" s="6" t="str">
        <f>IF(COUNTBLANK($A139:$E139)&gt;0, "", IFERROR(_xlfn.MINIFS(Log!$G:$G, Log!$A:$A, $A139, Log!$B:$B, $B139, Log!$C:$C, $C139),""))</f>
        <v/>
      </c>
      <c r="S139" s="6" t="str">
        <f>IF(COUNTBLANK($A139:$E139)&gt;0, "", IFERROR(_xlfn.MAXIFS(Log!$G:$G, Log!$A:$A, $A139, Log!$B:$B, $B139, Log!$C:$C, $C139),""))</f>
        <v/>
      </c>
      <c r="T139" s="6" t="str">
        <f>IF($N139&lt;&gt;"", 'Daily Camera Trends'!$M$5, "")</f>
        <v/>
      </c>
      <c r="U139" s="6" t="str">
        <f>IF(Q139&lt;&gt;"", 'Daily Camera Trends'!$N$5, "")</f>
        <v/>
      </c>
      <c r="CP139" s="6" t="str">
        <f>IF($N139&lt;&gt;"", 'Daily Camera Trends'!$M$5, "")</f>
        <v/>
      </c>
      <c r="CQ139" s="6" t="str">
        <f>IF($Q139&lt;&gt;"", 'Daily Camera Trends'!$N$5, "")</f>
        <v/>
      </c>
    </row>
    <row r="140" spans="1:95" ht="40.049999999999997" customHeight="1" x14ac:dyDescent="0.3">
      <c r="A140" s="103" t="str">
        <f t="shared" si="6"/>
        <v/>
      </c>
      <c r="B140" s="236" t="s">
        <v>89</v>
      </c>
      <c r="H140" s="7" t="str">
        <f>IF(COUNTBLANK($A140:$E140)&gt;0, "", IFERROR(AVERAGEIFS(Log!$E:$E, Log!$A:$A, $A140, Log!$B:$B, $B140, Log!$C:$C, $C140),""))</f>
        <v/>
      </c>
      <c r="I140" s="37" t="str">
        <f t="shared" si="5"/>
        <v/>
      </c>
      <c r="J140" s="36"/>
      <c r="K140" s="36"/>
      <c r="L140" s="180"/>
      <c r="M140" s="180"/>
      <c r="N140" s="6" t="str">
        <f>IF(COUNTBLANK($A140:$E140)&gt;0, "", IFERROR(AVERAGEIFS(Log!#REF!, Log!$A:$A, $A140, Log!$B:$B, $B140, Log!$C:$C, $C140),""))</f>
        <v/>
      </c>
      <c r="O140" s="6" t="str">
        <f>IF(COUNTBLANK($A140:$E140)&gt;0, "", IFERROR(_xlfn.MINIFS(Log!$F:$F, Log!$A:$A, $A140, Log!$B:$B, $B140, Log!$C:$C, $C140),""))</f>
        <v/>
      </c>
      <c r="P140" s="6" t="str">
        <f>IF(COUNTBLANK($A140:$E140)&gt;0, "", IFERROR(_xlfn.MAXIFS(Log!$F:$F, Log!$A:$A, $A140, Log!$B:$B, $B140, Log!$C:$C, $C140),""))</f>
        <v/>
      </c>
      <c r="Q140" s="6" t="str">
        <f>IF(COUNTBLANK($A140:$E140)&gt;0, "", IFERROR(AVERAGEIFS(Log!#REF!, Log!$A:$A, $A140, Log!$B:$B, $B140, Log!$C:$C, $C140),""))</f>
        <v/>
      </c>
      <c r="R140" s="6" t="str">
        <f>IF(COUNTBLANK($A140:$E140)&gt;0, "", IFERROR(_xlfn.MINIFS(Log!$G:$G, Log!$A:$A, $A140, Log!$B:$B, $B140, Log!$C:$C, $C140),""))</f>
        <v/>
      </c>
      <c r="S140" s="6" t="str">
        <f>IF(COUNTBLANK($A140:$E140)&gt;0, "", IFERROR(_xlfn.MAXIFS(Log!$G:$G, Log!$A:$A, $A140, Log!$B:$B, $B140, Log!$C:$C, $C140),""))</f>
        <v/>
      </c>
      <c r="T140" s="6" t="str">
        <f>IF($N140&lt;&gt;"", 'Daily Camera Trends'!$M$5, "")</f>
        <v/>
      </c>
      <c r="U140" s="6" t="str">
        <f>IF(Q140&lt;&gt;"", 'Daily Camera Trends'!$N$5, "")</f>
        <v/>
      </c>
      <c r="CP140" s="6" t="str">
        <f>IF($N140&lt;&gt;"", 'Daily Camera Trends'!$M$5, "")</f>
        <v/>
      </c>
      <c r="CQ140" s="6" t="str">
        <f>IF($Q140&lt;&gt;"", 'Daily Camera Trends'!$N$5, "")</f>
        <v/>
      </c>
    </row>
    <row r="141" spans="1:95" ht="40.049999999999997" customHeight="1" x14ac:dyDescent="0.3">
      <c r="A141" s="103" t="str">
        <f t="shared" si="6"/>
        <v/>
      </c>
      <c r="B141" s="236" t="s">
        <v>89</v>
      </c>
      <c r="H141" s="7" t="str">
        <f>IF(COUNTBLANK($A141:$E141)&gt;0, "", IFERROR(AVERAGEIFS(Log!$E:$E, Log!$A:$A, $A141, Log!$B:$B, $B141, Log!$C:$C, $C141),""))</f>
        <v/>
      </c>
      <c r="I141" s="37" t="str">
        <f t="shared" si="5"/>
        <v/>
      </c>
      <c r="J141" s="36"/>
      <c r="K141" s="36"/>
      <c r="L141" s="180"/>
      <c r="M141" s="180"/>
      <c r="N141" s="6" t="str">
        <f>IF(COUNTBLANK($A141:$E141)&gt;0, "", IFERROR(AVERAGEIFS(Log!#REF!, Log!$A:$A, $A141, Log!$B:$B, $B141, Log!$C:$C, $C141),""))</f>
        <v/>
      </c>
      <c r="O141" s="6" t="str">
        <f>IF(COUNTBLANK($A141:$E141)&gt;0, "", IFERROR(_xlfn.MINIFS(Log!$F:$F, Log!$A:$A, $A141, Log!$B:$B, $B141, Log!$C:$C, $C141),""))</f>
        <v/>
      </c>
      <c r="P141" s="6" t="str">
        <f>IF(COUNTBLANK($A141:$E141)&gt;0, "", IFERROR(_xlfn.MAXIFS(Log!$F:$F, Log!$A:$A, $A141, Log!$B:$B, $B141, Log!$C:$C, $C141),""))</f>
        <v/>
      </c>
      <c r="Q141" s="6" t="str">
        <f>IF(COUNTBLANK($A141:$E141)&gt;0, "", IFERROR(AVERAGEIFS(Log!#REF!, Log!$A:$A, $A141, Log!$B:$B, $B141, Log!$C:$C, $C141),""))</f>
        <v/>
      </c>
      <c r="R141" s="6" t="str">
        <f>IF(COUNTBLANK($A141:$E141)&gt;0, "", IFERROR(_xlfn.MINIFS(Log!$G:$G, Log!$A:$A, $A141, Log!$B:$B, $B141, Log!$C:$C, $C141),""))</f>
        <v/>
      </c>
      <c r="S141" s="6" t="str">
        <f>IF(COUNTBLANK($A141:$E141)&gt;0, "", IFERROR(_xlfn.MAXIFS(Log!$G:$G, Log!$A:$A, $A141, Log!$B:$B, $B141, Log!$C:$C, $C141),""))</f>
        <v/>
      </c>
      <c r="T141" s="6" t="str">
        <f>IF($N141&lt;&gt;"", 'Daily Camera Trends'!$M$5, "")</f>
        <v/>
      </c>
      <c r="U141" s="6" t="str">
        <f>IF(Q141&lt;&gt;"", 'Daily Camera Trends'!$N$5, "")</f>
        <v/>
      </c>
      <c r="CP141" s="6" t="str">
        <f>IF($N141&lt;&gt;"", 'Daily Camera Trends'!$M$5, "")</f>
        <v/>
      </c>
      <c r="CQ141" s="6" t="str">
        <f>IF($Q141&lt;&gt;"", 'Daily Camera Trends'!$N$5, "")</f>
        <v/>
      </c>
    </row>
    <row r="142" spans="1:95" ht="40.049999999999997" customHeight="1" x14ac:dyDescent="0.3">
      <c r="A142" s="103" t="str">
        <f t="shared" si="6"/>
        <v/>
      </c>
      <c r="B142" s="236" t="s">
        <v>89</v>
      </c>
      <c r="H142" s="7" t="str">
        <f>IF(COUNTBLANK($A142:$E142)&gt;0, "", IFERROR(AVERAGEIFS(Log!$E:$E, Log!$A:$A, $A142, Log!$B:$B, $B142, Log!$C:$C, $C142),""))</f>
        <v/>
      </c>
      <c r="I142" s="37" t="str">
        <f t="shared" si="5"/>
        <v/>
      </c>
      <c r="J142" s="36"/>
      <c r="K142" s="36"/>
      <c r="L142" s="180"/>
      <c r="M142" s="180"/>
      <c r="N142" s="6" t="str">
        <f>IF(COUNTBLANK($A142:$E142)&gt;0, "", IFERROR(AVERAGEIFS(Log!#REF!, Log!$A:$A, $A142, Log!$B:$B, $B142, Log!$C:$C, $C142),""))</f>
        <v/>
      </c>
      <c r="O142" s="6" t="str">
        <f>IF(COUNTBLANK($A142:$E142)&gt;0, "", IFERROR(_xlfn.MINIFS(Log!$F:$F, Log!$A:$A, $A142, Log!$B:$B, $B142, Log!$C:$C, $C142),""))</f>
        <v/>
      </c>
      <c r="P142" s="6" t="str">
        <f>IF(COUNTBLANK($A142:$E142)&gt;0, "", IFERROR(_xlfn.MAXIFS(Log!$F:$F, Log!$A:$A, $A142, Log!$B:$B, $B142, Log!$C:$C, $C142),""))</f>
        <v/>
      </c>
      <c r="Q142" s="6" t="str">
        <f>IF(COUNTBLANK($A142:$E142)&gt;0, "", IFERROR(AVERAGEIFS(Log!#REF!, Log!$A:$A, $A142, Log!$B:$B, $B142, Log!$C:$C, $C142),""))</f>
        <v/>
      </c>
      <c r="R142" s="6" t="str">
        <f>IF(COUNTBLANK($A142:$E142)&gt;0, "", IFERROR(_xlfn.MINIFS(Log!$G:$G, Log!$A:$A, $A142, Log!$B:$B, $B142, Log!$C:$C, $C142),""))</f>
        <v/>
      </c>
      <c r="S142" s="6" t="str">
        <f>IF(COUNTBLANK($A142:$E142)&gt;0, "", IFERROR(_xlfn.MAXIFS(Log!$G:$G, Log!$A:$A, $A142, Log!$B:$B, $B142, Log!$C:$C, $C142),""))</f>
        <v/>
      </c>
      <c r="T142" s="6" t="str">
        <f>IF($N142&lt;&gt;"", 'Daily Camera Trends'!$M$5, "")</f>
        <v/>
      </c>
      <c r="U142" s="6" t="str">
        <f>IF(Q142&lt;&gt;"", 'Daily Camera Trends'!$N$5, "")</f>
        <v/>
      </c>
      <c r="CP142" s="6" t="str">
        <f>IF($N142&lt;&gt;"", 'Daily Camera Trends'!$M$5, "")</f>
        <v/>
      </c>
      <c r="CQ142" s="6" t="str">
        <f>IF($Q142&lt;&gt;"", 'Daily Camera Trends'!$N$5, "")</f>
        <v/>
      </c>
    </row>
    <row r="143" spans="1:95" ht="40.049999999999997" customHeight="1" x14ac:dyDescent="0.3">
      <c r="A143" s="103" t="str">
        <f t="shared" si="6"/>
        <v/>
      </c>
      <c r="B143" s="236" t="s">
        <v>89</v>
      </c>
      <c r="H143" s="7" t="str">
        <f>IF(COUNTBLANK($A143:$E143)&gt;0, "", IFERROR(AVERAGEIFS(Log!$E:$E, Log!$A:$A, $A143, Log!$B:$B, $B143, Log!$C:$C, $C143),""))</f>
        <v/>
      </c>
      <c r="I143" s="37" t="str">
        <f t="shared" si="5"/>
        <v/>
      </c>
      <c r="J143" s="36"/>
      <c r="K143" s="36"/>
      <c r="L143" s="180"/>
      <c r="M143" s="180"/>
      <c r="N143" s="6" t="str">
        <f>IF(COUNTBLANK($A143:$E143)&gt;0, "", IFERROR(AVERAGEIFS(Log!#REF!, Log!$A:$A, $A143, Log!$B:$B, $B143, Log!$C:$C, $C143),""))</f>
        <v/>
      </c>
      <c r="O143" s="6" t="str">
        <f>IF(COUNTBLANK($A143:$E143)&gt;0, "", IFERROR(_xlfn.MINIFS(Log!$F:$F, Log!$A:$A, $A143, Log!$B:$B, $B143, Log!$C:$C, $C143),""))</f>
        <v/>
      </c>
      <c r="P143" s="6" t="str">
        <f>IF(COUNTBLANK($A143:$E143)&gt;0, "", IFERROR(_xlfn.MAXIFS(Log!$F:$F, Log!$A:$A, $A143, Log!$B:$B, $B143, Log!$C:$C, $C143),""))</f>
        <v/>
      </c>
      <c r="Q143" s="6" t="str">
        <f>IF(COUNTBLANK($A143:$E143)&gt;0, "", IFERROR(AVERAGEIFS(Log!#REF!, Log!$A:$A, $A143, Log!$B:$B, $B143, Log!$C:$C, $C143),""))</f>
        <v/>
      </c>
      <c r="R143" s="6" t="str">
        <f>IF(COUNTBLANK($A143:$E143)&gt;0, "", IFERROR(_xlfn.MINIFS(Log!$G:$G, Log!$A:$A, $A143, Log!$B:$B, $B143, Log!$C:$C, $C143),""))</f>
        <v/>
      </c>
      <c r="S143" s="6" t="str">
        <f>IF(COUNTBLANK($A143:$E143)&gt;0, "", IFERROR(_xlfn.MAXIFS(Log!$G:$G, Log!$A:$A, $A143, Log!$B:$B, $B143, Log!$C:$C, $C143),""))</f>
        <v/>
      </c>
      <c r="T143" s="6" t="str">
        <f>IF($N143&lt;&gt;"", 'Daily Camera Trends'!$M$5, "")</f>
        <v/>
      </c>
      <c r="U143" s="6" t="str">
        <f>IF(Q143&lt;&gt;"", 'Daily Camera Trends'!$N$5, "")</f>
        <v/>
      </c>
      <c r="CP143" s="6" t="str">
        <f>IF($N143&lt;&gt;"", 'Daily Camera Trends'!$M$5, "")</f>
        <v/>
      </c>
      <c r="CQ143" s="6" t="str">
        <f>IF($Q143&lt;&gt;"", 'Daily Camera Trends'!$N$5, "")</f>
        <v/>
      </c>
    </row>
    <row r="144" spans="1:95" ht="40.049999999999997" customHeight="1" x14ac:dyDescent="0.3">
      <c r="A144" s="103" t="str">
        <f t="shared" si="6"/>
        <v/>
      </c>
      <c r="B144" s="236" t="s">
        <v>89</v>
      </c>
      <c r="H144" s="7" t="str">
        <f>IF(COUNTBLANK($A144:$E144)&gt;0, "", IFERROR(AVERAGEIFS(Log!$E:$E, Log!$A:$A, $A144, Log!$B:$B, $B144, Log!$C:$C, $C144),""))</f>
        <v/>
      </c>
      <c r="I144" s="37" t="str">
        <f t="shared" si="5"/>
        <v/>
      </c>
      <c r="J144" s="36"/>
      <c r="K144" s="36"/>
      <c r="L144" s="180"/>
      <c r="M144" s="180"/>
      <c r="N144" s="6" t="str">
        <f>IF(COUNTBLANK($A144:$E144)&gt;0, "", IFERROR(AVERAGEIFS(Log!#REF!, Log!$A:$A, $A144, Log!$B:$B, $B144, Log!$C:$C, $C144),""))</f>
        <v/>
      </c>
      <c r="O144" s="6" t="str">
        <f>IF(COUNTBLANK($A144:$E144)&gt;0, "", IFERROR(_xlfn.MINIFS(Log!$F:$F, Log!$A:$A, $A144, Log!$B:$B, $B144, Log!$C:$C, $C144),""))</f>
        <v/>
      </c>
      <c r="P144" s="6" t="str">
        <f>IF(COUNTBLANK($A144:$E144)&gt;0, "", IFERROR(_xlfn.MAXIFS(Log!$F:$F, Log!$A:$A, $A144, Log!$B:$B, $B144, Log!$C:$C, $C144),""))</f>
        <v/>
      </c>
      <c r="Q144" s="6" t="str">
        <f>IF(COUNTBLANK($A144:$E144)&gt;0, "", IFERROR(AVERAGEIFS(Log!#REF!, Log!$A:$A, $A144, Log!$B:$B, $B144, Log!$C:$C, $C144),""))</f>
        <v/>
      </c>
      <c r="R144" s="6" t="str">
        <f>IF(COUNTBLANK($A144:$E144)&gt;0, "", IFERROR(_xlfn.MINIFS(Log!$G:$G, Log!$A:$A, $A144, Log!$B:$B, $B144, Log!$C:$C, $C144),""))</f>
        <v/>
      </c>
      <c r="S144" s="6" t="str">
        <f>IF(COUNTBLANK($A144:$E144)&gt;0, "", IFERROR(_xlfn.MAXIFS(Log!$G:$G, Log!$A:$A, $A144, Log!$B:$B, $B144, Log!$C:$C, $C144),""))</f>
        <v/>
      </c>
      <c r="T144" s="6" t="str">
        <f>IF($N144&lt;&gt;"", 'Daily Camera Trends'!$M$5, "")</f>
        <v/>
      </c>
      <c r="U144" s="6" t="str">
        <f>IF(Q144&lt;&gt;"", 'Daily Camera Trends'!$N$5, "")</f>
        <v/>
      </c>
      <c r="CP144" s="6" t="str">
        <f>IF($N144&lt;&gt;"", 'Daily Camera Trends'!$M$5, "")</f>
        <v/>
      </c>
      <c r="CQ144" s="6" t="str">
        <f>IF($Q144&lt;&gt;"", 'Daily Camera Trends'!$N$5, "")</f>
        <v/>
      </c>
    </row>
    <row r="145" spans="1:95" ht="40.049999999999997" customHeight="1" x14ac:dyDescent="0.3">
      <c r="A145" s="103" t="str">
        <f t="shared" si="6"/>
        <v/>
      </c>
      <c r="B145" s="236" t="s">
        <v>89</v>
      </c>
      <c r="H145" s="7" t="str">
        <f>IF(COUNTBLANK($A145:$E145)&gt;0, "", IFERROR(AVERAGEIFS(Log!$E:$E, Log!$A:$A, $A145, Log!$B:$B, $B145, Log!$C:$C, $C145),""))</f>
        <v/>
      </c>
      <c r="I145" s="37" t="str">
        <f t="shared" si="5"/>
        <v/>
      </c>
      <c r="J145" s="36"/>
      <c r="K145" s="36"/>
      <c r="L145" s="180"/>
      <c r="M145" s="180"/>
      <c r="N145" s="6" t="str">
        <f>IF(COUNTBLANK($A145:$E145)&gt;0, "", IFERROR(AVERAGEIFS(Log!#REF!, Log!$A:$A, $A145, Log!$B:$B, $B145, Log!$C:$C, $C145),""))</f>
        <v/>
      </c>
      <c r="O145" s="6" t="str">
        <f>IF(COUNTBLANK($A145:$E145)&gt;0, "", IFERROR(_xlfn.MINIFS(Log!$F:$F, Log!$A:$A, $A145, Log!$B:$B, $B145, Log!$C:$C, $C145),""))</f>
        <v/>
      </c>
      <c r="P145" s="6" t="str">
        <f>IF(COUNTBLANK($A145:$E145)&gt;0, "", IFERROR(_xlfn.MAXIFS(Log!$F:$F, Log!$A:$A, $A145, Log!$B:$B, $B145, Log!$C:$C, $C145),""))</f>
        <v/>
      </c>
      <c r="Q145" s="6" t="str">
        <f>IF(COUNTBLANK($A145:$E145)&gt;0, "", IFERROR(AVERAGEIFS(Log!#REF!, Log!$A:$A, $A145, Log!$B:$B, $B145, Log!$C:$C, $C145),""))</f>
        <v/>
      </c>
      <c r="R145" s="6" t="str">
        <f>IF(COUNTBLANK($A145:$E145)&gt;0, "", IFERROR(_xlfn.MINIFS(Log!$G:$G, Log!$A:$A, $A145, Log!$B:$B, $B145, Log!$C:$C, $C145),""))</f>
        <v/>
      </c>
      <c r="S145" s="6" t="str">
        <f>IF(COUNTBLANK($A145:$E145)&gt;0, "", IFERROR(_xlfn.MAXIFS(Log!$G:$G, Log!$A:$A, $A145, Log!$B:$B, $B145, Log!$C:$C, $C145),""))</f>
        <v/>
      </c>
      <c r="T145" s="6" t="str">
        <f>IF($N145&lt;&gt;"", 'Daily Camera Trends'!$M$5, "")</f>
        <v/>
      </c>
      <c r="U145" s="6" t="str">
        <f>IF(Q145&lt;&gt;"", 'Daily Camera Trends'!$N$5, "")</f>
        <v/>
      </c>
      <c r="CP145" s="6" t="str">
        <f>IF($N145&lt;&gt;"", 'Daily Camera Trends'!$M$5, "")</f>
        <v/>
      </c>
      <c r="CQ145" s="6" t="str">
        <f>IF($Q145&lt;&gt;"", 'Daily Camera Trends'!$N$5, "")</f>
        <v/>
      </c>
    </row>
    <row r="146" spans="1:95" ht="40.049999999999997" customHeight="1" x14ac:dyDescent="0.3">
      <c r="A146" s="103" t="str">
        <f t="shared" si="6"/>
        <v/>
      </c>
      <c r="B146" s="236" t="s">
        <v>89</v>
      </c>
      <c r="H146" s="7" t="str">
        <f>IF(COUNTBLANK($A146:$E146)&gt;0, "", IFERROR(AVERAGEIFS(Log!$E:$E, Log!$A:$A, $A146, Log!$B:$B, $B146, Log!$C:$C, $C146),""))</f>
        <v/>
      </c>
      <c r="I146" s="37" t="str">
        <f t="shared" si="5"/>
        <v/>
      </c>
      <c r="J146" s="36"/>
      <c r="K146" s="36"/>
      <c r="L146" s="180"/>
      <c r="M146" s="180"/>
      <c r="N146" s="6" t="str">
        <f>IF(COUNTBLANK($A146:$E146)&gt;0, "", IFERROR(AVERAGEIFS(Log!#REF!, Log!$A:$A, $A146, Log!$B:$B, $B146, Log!$C:$C, $C146),""))</f>
        <v/>
      </c>
      <c r="O146" s="6" t="str">
        <f>IF(COUNTBLANK($A146:$E146)&gt;0, "", IFERROR(_xlfn.MINIFS(Log!$F:$F, Log!$A:$A, $A146, Log!$B:$B, $B146, Log!$C:$C, $C146),""))</f>
        <v/>
      </c>
      <c r="P146" s="6" t="str">
        <f>IF(COUNTBLANK($A146:$E146)&gt;0, "", IFERROR(_xlfn.MAXIFS(Log!$F:$F, Log!$A:$A, $A146, Log!$B:$B, $B146, Log!$C:$C, $C146),""))</f>
        <v/>
      </c>
      <c r="Q146" s="6" t="str">
        <f>IF(COUNTBLANK($A146:$E146)&gt;0, "", IFERROR(AVERAGEIFS(Log!#REF!, Log!$A:$A, $A146, Log!$B:$B, $B146, Log!$C:$C, $C146),""))</f>
        <v/>
      </c>
      <c r="R146" s="6" t="str">
        <f>IF(COUNTBLANK($A146:$E146)&gt;0, "", IFERROR(_xlfn.MINIFS(Log!$G:$G, Log!$A:$A, $A146, Log!$B:$B, $B146, Log!$C:$C, $C146),""))</f>
        <v/>
      </c>
      <c r="S146" s="6" t="str">
        <f>IF(COUNTBLANK($A146:$E146)&gt;0, "", IFERROR(_xlfn.MAXIFS(Log!$G:$G, Log!$A:$A, $A146, Log!$B:$B, $B146, Log!$C:$C, $C146),""))</f>
        <v/>
      </c>
      <c r="T146" s="6" t="str">
        <f>IF($N146&lt;&gt;"", 'Daily Camera Trends'!$M$5, "")</f>
        <v/>
      </c>
      <c r="U146" s="6" t="str">
        <f>IF(Q146&lt;&gt;"", 'Daily Camera Trends'!$N$5, "")</f>
        <v/>
      </c>
      <c r="CP146" s="6" t="str">
        <f>IF($N146&lt;&gt;"", 'Daily Camera Trends'!$M$5, "")</f>
        <v/>
      </c>
      <c r="CQ146" s="6" t="str">
        <f>IF($Q146&lt;&gt;"", 'Daily Camera Trends'!$N$5, "")</f>
        <v/>
      </c>
    </row>
    <row r="147" spans="1:95" ht="40.049999999999997" customHeight="1" x14ac:dyDescent="0.3">
      <c r="A147" s="103" t="str">
        <f t="shared" si="6"/>
        <v/>
      </c>
      <c r="B147" s="236" t="s">
        <v>89</v>
      </c>
      <c r="H147" s="7" t="str">
        <f>IF(COUNTBLANK($A147:$E147)&gt;0, "", IFERROR(AVERAGEIFS(Log!$E:$E, Log!$A:$A, $A147, Log!$B:$B, $B147, Log!$C:$C, $C147),""))</f>
        <v/>
      </c>
      <c r="I147" s="37" t="str">
        <f t="shared" si="5"/>
        <v/>
      </c>
      <c r="J147" s="36"/>
      <c r="K147" s="36"/>
      <c r="L147" s="180"/>
      <c r="M147" s="180"/>
      <c r="N147" s="6" t="str">
        <f>IF(COUNTBLANK($A147:$E147)&gt;0, "", IFERROR(AVERAGEIFS(Log!#REF!, Log!$A:$A, $A147, Log!$B:$B, $B147, Log!$C:$C, $C147),""))</f>
        <v/>
      </c>
      <c r="O147" s="6" t="str">
        <f>IF(COUNTBLANK($A147:$E147)&gt;0, "", IFERROR(_xlfn.MINIFS(Log!$F:$F, Log!$A:$A, $A147, Log!$B:$B, $B147, Log!$C:$C, $C147),""))</f>
        <v/>
      </c>
      <c r="P147" s="6" t="str">
        <f>IF(COUNTBLANK($A147:$E147)&gt;0, "", IFERROR(_xlfn.MAXIFS(Log!$F:$F, Log!$A:$A, $A147, Log!$B:$B, $B147, Log!$C:$C, $C147),""))</f>
        <v/>
      </c>
      <c r="Q147" s="6" t="str">
        <f>IF(COUNTBLANK($A147:$E147)&gt;0, "", IFERROR(AVERAGEIFS(Log!#REF!, Log!$A:$A, $A147, Log!$B:$B, $B147, Log!$C:$C, $C147),""))</f>
        <v/>
      </c>
      <c r="R147" s="6" t="str">
        <f>IF(COUNTBLANK($A147:$E147)&gt;0, "", IFERROR(_xlfn.MINIFS(Log!$G:$G, Log!$A:$A, $A147, Log!$B:$B, $B147, Log!$C:$C, $C147),""))</f>
        <v/>
      </c>
      <c r="S147" s="6" t="str">
        <f>IF(COUNTBLANK($A147:$E147)&gt;0, "", IFERROR(_xlfn.MAXIFS(Log!$G:$G, Log!$A:$A, $A147, Log!$B:$B, $B147, Log!$C:$C, $C147),""))</f>
        <v/>
      </c>
      <c r="T147" s="6" t="str">
        <f>IF($N147&lt;&gt;"", 'Daily Camera Trends'!$M$5, "")</f>
        <v/>
      </c>
      <c r="U147" s="6" t="str">
        <f>IF(Q147&lt;&gt;"", 'Daily Camera Trends'!$N$5, "")</f>
        <v/>
      </c>
      <c r="CP147" s="6" t="str">
        <f>IF($N147&lt;&gt;"", 'Daily Camera Trends'!$M$5, "")</f>
        <v/>
      </c>
      <c r="CQ147" s="6" t="str">
        <f>IF($Q147&lt;&gt;"", 'Daily Camera Trends'!$N$5, "")</f>
        <v/>
      </c>
    </row>
    <row r="148" spans="1:95" ht="40.049999999999997" customHeight="1" x14ac:dyDescent="0.3">
      <c r="A148" s="103" t="str">
        <f t="shared" si="6"/>
        <v/>
      </c>
      <c r="B148" s="236" t="s">
        <v>89</v>
      </c>
      <c r="H148" s="7" t="str">
        <f>IF(COUNTBLANK($A148:$E148)&gt;0, "", IFERROR(AVERAGEIFS(Log!$E:$E, Log!$A:$A, $A148, Log!$B:$B, $B148, Log!$C:$C, $C148),""))</f>
        <v/>
      </c>
      <c r="I148" s="37" t="str">
        <f t="shared" si="5"/>
        <v/>
      </c>
      <c r="J148" s="36"/>
      <c r="K148" s="36"/>
      <c r="L148" s="180"/>
      <c r="M148" s="180"/>
      <c r="N148" s="6" t="str">
        <f>IF(COUNTBLANK($A148:$E148)&gt;0, "", IFERROR(AVERAGEIFS(Log!#REF!, Log!$A:$A, $A148, Log!$B:$B, $B148, Log!$C:$C, $C148),""))</f>
        <v/>
      </c>
      <c r="O148" s="6" t="str">
        <f>IF(COUNTBLANK($A148:$E148)&gt;0, "", IFERROR(_xlfn.MINIFS(Log!$F:$F, Log!$A:$A, $A148, Log!$B:$B, $B148, Log!$C:$C, $C148),""))</f>
        <v/>
      </c>
      <c r="P148" s="6" t="str">
        <f>IF(COUNTBLANK($A148:$E148)&gt;0, "", IFERROR(_xlfn.MAXIFS(Log!$F:$F, Log!$A:$A, $A148, Log!$B:$B, $B148, Log!$C:$C, $C148),""))</f>
        <v/>
      </c>
      <c r="Q148" s="6" t="str">
        <f>IF(COUNTBLANK($A148:$E148)&gt;0, "", IFERROR(AVERAGEIFS(Log!#REF!, Log!$A:$A, $A148, Log!$B:$B, $B148, Log!$C:$C, $C148),""))</f>
        <v/>
      </c>
      <c r="R148" s="6" t="str">
        <f>IF(COUNTBLANK($A148:$E148)&gt;0, "", IFERROR(_xlfn.MINIFS(Log!$G:$G, Log!$A:$A, $A148, Log!$B:$B, $B148, Log!$C:$C, $C148),""))</f>
        <v/>
      </c>
      <c r="S148" s="6" t="str">
        <f>IF(COUNTBLANK($A148:$E148)&gt;0, "", IFERROR(_xlfn.MAXIFS(Log!$G:$G, Log!$A:$A, $A148, Log!$B:$B, $B148, Log!$C:$C, $C148),""))</f>
        <v/>
      </c>
      <c r="T148" s="6" t="str">
        <f>IF($N148&lt;&gt;"", 'Daily Camera Trends'!$M$5, "")</f>
        <v/>
      </c>
      <c r="U148" s="6" t="str">
        <f>IF(Q148&lt;&gt;"", 'Daily Camera Trends'!$N$5, "")</f>
        <v/>
      </c>
      <c r="CP148" s="6" t="str">
        <f>IF($N148&lt;&gt;"", 'Daily Camera Trends'!$M$5, "")</f>
        <v/>
      </c>
      <c r="CQ148" s="6" t="str">
        <f>IF($Q148&lt;&gt;"", 'Daily Camera Trends'!$N$5, "")</f>
        <v/>
      </c>
    </row>
    <row r="149" spans="1:95" ht="40.049999999999997" customHeight="1" x14ac:dyDescent="0.3">
      <c r="A149" s="103" t="str">
        <f t="shared" si="6"/>
        <v/>
      </c>
      <c r="B149" s="236" t="s">
        <v>89</v>
      </c>
      <c r="H149" s="7" t="str">
        <f>IF(COUNTBLANK($A149:$E149)&gt;0, "", IFERROR(AVERAGEIFS(Log!$E:$E, Log!$A:$A, $A149, Log!$B:$B, $B149, Log!$C:$C, $C149),""))</f>
        <v/>
      </c>
      <c r="I149" s="37" t="str">
        <f t="shared" si="5"/>
        <v/>
      </c>
      <c r="J149" s="36"/>
      <c r="K149" s="36"/>
      <c r="L149" s="180"/>
      <c r="M149" s="180"/>
      <c r="N149" s="6" t="str">
        <f>IF(COUNTBLANK($A149:$E149)&gt;0, "", IFERROR(AVERAGEIFS(Log!#REF!, Log!$A:$A, $A149, Log!$B:$B, $B149, Log!$C:$C, $C149),""))</f>
        <v/>
      </c>
      <c r="O149" s="6" t="str">
        <f>IF(COUNTBLANK($A149:$E149)&gt;0, "", IFERROR(_xlfn.MINIFS(Log!$F:$F, Log!$A:$A, $A149, Log!$B:$B, $B149, Log!$C:$C, $C149),""))</f>
        <v/>
      </c>
      <c r="P149" s="6" t="str">
        <f>IF(COUNTBLANK($A149:$E149)&gt;0, "", IFERROR(_xlfn.MAXIFS(Log!$F:$F, Log!$A:$A, $A149, Log!$B:$B, $B149, Log!$C:$C, $C149),""))</f>
        <v/>
      </c>
      <c r="Q149" s="6" t="str">
        <f>IF(COUNTBLANK($A149:$E149)&gt;0, "", IFERROR(AVERAGEIFS(Log!#REF!, Log!$A:$A, $A149, Log!$B:$B, $B149, Log!$C:$C, $C149),""))</f>
        <v/>
      </c>
      <c r="R149" s="6" t="str">
        <f>IF(COUNTBLANK($A149:$E149)&gt;0, "", IFERROR(_xlfn.MINIFS(Log!$G:$G, Log!$A:$A, $A149, Log!$B:$B, $B149, Log!$C:$C, $C149),""))</f>
        <v/>
      </c>
      <c r="S149" s="6" t="str">
        <f>IF(COUNTBLANK($A149:$E149)&gt;0, "", IFERROR(_xlfn.MAXIFS(Log!$G:$G, Log!$A:$A, $A149, Log!$B:$B, $B149, Log!$C:$C, $C149),""))</f>
        <v/>
      </c>
      <c r="T149" s="6" t="str">
        <f>IF($N149&lt;&gt;"", 'Daily Camera Trends'!$M$5, "")</f>
        <v/>
      </c>
      <c r="U149" s="6" t="str">
        <f>IF(Q149&lt;&gt;"", 'Daily Camera Trends'!$N$5, "")</f>
        <v/>
      </c>
      <c r="CP149" s="6" t="str">
        <f>IF($N149&lt;&gt;"", 'Daily Camera Trends'!$M$5, "")</f>
        <v/>
      </c>
      <c r="CQ149" s="6" t="str">
        <f>IF($Q149&lt;&gt;"", 'Daily Camera Trends'!$N$5, "")</f>
        <v/>
      </c>
    </row>
    <row r="150" spans="1:95" ht="40.049999999999997" customHeight="1" x14ac:dyDescent="0.3">
      <c r="A150" s="103" t="str">
        <f t="shared" si="6"/>
        <v/>
      </c>
      <c r="B150" s="236" t="s">
        <v>89</v>
      </c>
      <c r="H150" s="7" t="str">
        <f>IF(COUNTBLANK($A150:$E150)&gt;0, "", IFERROR(AVERAGEIFS(Log!$E:$E, Log!$A:$A, $A150, Log!$B:$B, $B150, Log!$C:$C, $C150),""))</f>
        <v/>
      </c>
      <c r="I150" s="37" t="str">
        <f t="shared" si="5"/>
        <v/>
      </c>
      <c r="J150" s="36"/>
      <c r="K150" s="36"/>
      <c r="L150" s="180"/>
      <c r="M150" s="180"/>
      <c r="N150" s="6" t="str">
        <f>IF(COUNTBLANK($A150:$E150)&gt;0, "", IFERROR(AVERAGEIFS(Log!#REF!, Log!$A:$A, $A150, Log!$B:$B, $B150, Log!$C:$C, $C150),""))</f>
        <v/>
      </c>
      <c r="O150" s="6" t="str">
        <f>IF(COUNTBLANK($A150:$E150)&gt;0, "", IFERROR(_xlfn.MINIFS(Log!$F:$F, Log!$A:$A, $A150, Log!$B:$B, $B150, Log!$C:$C, $C150),""))</f>
        <v/>
      </c>
      <c r="P150" s="6" t="str">
        <f>IF(COUNTBLANK($A150:$E150)&gt;0, "", IFERROR(_xlfn.MAXIFS(Log!$F:$F, Log!$A:$A, $A150, Log!$B:$B, $B150, Log!$C:$C, $C150),""))</f>
        <v/>
      </c>
      <c r="Q150" s="6" t="str">
        <f>IF(COUNTBLANK($A150:$E150)&gt;0, "", IFERROR(AVERAGEIFS(Log!#REF!, Log!$A:$A, $A150, Log!$B:$B, $B150, Log!$C:$C, $C150),""))</f>
        <v/>
      </c>
      <c r="R150" s="6" t="str">
        <f>IF(COUNTBLANK($A150:$E150)&gt;0, "", IFERROR(_xlfn.MINIFS(Log!$G:$G, Log!$A:$A, $A150, Log!$B:$B, $B150, Log!$C:$C, $C150),""))</f>
        <v/>
      </c>
      <c r="S150" s="6" t="str">
        <f>IF(COUNTBLANK($A150:$E150)&gt;0, "", IFERROR(_xlfn.MAXIFS(Log!$G:$G, Log!$A:$A, $A150, Log!$B:$B, $B150, Log!$C:$C, $C150),""))</f>
        <v/>
      </c>
      <c r="T150" s="6" t="str">
        <f>IF($N150&lt;&gt;"", 'Daily Camera Trends'!$M$5, "")</f>
        <v/>
      </c>
      <c r="U150" s="6" t="str">
        <f>IF(Q150&lt;&gt;"", 'Daily Camera Trends'!$N$5, "")</f>
        <v/>
      </c>
      <c r="CP150" s="6" t="str">
        <f>IF($N150&lt;&gt;"", 'Daily Camera Trends'!$M$5, "")</f>
        <v/>
      </c>
      <c r="CQ150" s="6" t="str">
        <f>IF($Q150&lt;&gt;"", 'Daily Camera Trends'!$N$5, "")</f>
        <v/>
      </c>
    </row>
    <row r="151" spans="1:95" ht="40.049999999999997" customHeight="1" x14ac:dyDescent="0.3">
      <c r="A151" s="103" t="str">
        <f t="shared" si="6"/>
        <v/>
      </c>
      <c r="B151" s="236" t="s">
        <v>89</v>
      </c>
      <c r="H151" s="7" t="str">
        <f>IF(COUNTBLANK($A151:$E151)&gt;0, "", IFERROR(AVERAGEIFS(Log!$E:$E, Log!$A:$A, $A151, Log!$B:$B, $B151, Log!$C:$C, $C151),""))</f>
        <v/>
      </c>
      <c r="I151" s="37" t="str">
        <f t="shared" si="5"/>
        <v/>
      </c>
      <c r="J151" s="36"/>
      <c r="K151" s="36"/>
      <c r="L151" s="180"/>
      <c r="M151" s="180"/>
      <c r="N151" s="6" t="str">
        <f>IF(COUNTBLANK($A151:$E151)&gt;0, "", IFERROR(AVERAGEIFS(Log!#REF!, Log!$A:$A, $A151, Log!$B:$B, $B151, Log!$C:$C, $C151),""))</f>
        <v/>
      </c>
      <c r="O151" s="6" t="str">
        <f>IF(COUNTBLANK($A151:$E151)&gt;0, "", IFERROR(_xlfn.MINIFS(Log!$F:$F, Log!$A:$A, $A151, Log!$B:$B, $B151, Log!$C:$C, $C151),""))</f>
        <v/>
      </c>
      <c r="P151" s="6" t="str">
        <f>IF(COUNTBLANK($A151:$E151)&gt;0, "", IFERROR(_xlfn.MAXIFS(Log!$F:$F, Log!$A:$A, $A151, Log!$B:$B, $B151, Log!$C:$C, $C151),""))</f>
        <v/>
      </c>
      <c r="Q151" s="6" t="str">
        <f>IF(COUNTBLANK($A151:$E151)&gt;0, "", IFERROR(AVERAGEIFS(Log!#REF!, Log!$A:$A, $A151, Log!$B:$B, $B151, Log!$C:$C, $C151),""))</f>
        <v/>
      </c>
      <c r="R151" s="6" t="str">
        <f>IF(COUNTBLANK($A151:$E151)&gt;0, "", IFERROR(_xlfn.MINIFS(Log!$G:$G, Log!$A:$A, $A151, Log!$B:$B, $B151, Log!$C:$C, $C151),""))</f>
        <v/>
      </c>
      <c r="S151" s="6" t="str">
        <f>IF(COUNTBLANK($A151:$E151)&gt;0, "", IFERROR(_xlfn.MAXIFS(Log!$G:$G, Log!$A:$A, $A151, Log!$B:$B, $B151, Log!$C:$C, $C151),""))</f>
        <v/>
      </c>
      <c r="T151" s="6" t="str">
        <f>IF($N151&lt;&gt;"", 'Daily Camera Trends'!$M$5, "")</f>
        <v/>
      </c>
      <c r="U151" s="6" t="str">
        <f>IF(Q151&lt;&gt;"", 'Daily Camera Trends'!$N$5, "")</f>
        <v/>
      </c>
      <c r="CP151" s="6" t="str">
        <f>IF($N151&lt;&gt;"", 'Daily Camera Trends'!$M$5, "")</f>
        <v/>
      </c>
      <c r="CQ151" s="6" t="str">
        <f>IF($Q151&lt;&gt;"", 'Daily Camera Trends'!$N$5, "")</f>
        <v/>
      </c>
    </row>
    <row r="152" spans="1:95" ht="40.049999999999997" customHeight="1" x14ac:dyDescent="0.3">
      <c r="A152" s="103" t="str">
        <f t="shared" si="6"/>
        <v/>
      </c>
      <c r="B152" s="236" t="s">
        <v>89</v>
      </c>
      <c r="H152" s="7" t="str">
        <f>IF(COUNTBLANK($A152:$E152)&gt;0, "", IFERROR(AVERAGEIFS(Log!$E:$E, Log!$A:$A, $A152, Log!$B:$B, $B152, Log!$C:$C, $C152),""))</f>
        <v/>
      </c>
      <c r="I152" s="37" t="str">
        <f t="shared" si="5"/>
        <v/>
      </c>
      <c r="J152" s="36"/>
      <c r="K152" s="36"/>
      <c r="L152" s="180"/>
      <c r="M152" s="180"/>
      <c r="N152" s="6" t="str">
        <f>IF(COUNTBLANK($A152:$E152)&gt;0, "", IFERROR(AVERAGEIFS(Log!#REF!, Log!$A:$A, $A152, Log!$B:$B, $B152, Log!$C:$C, $C152),""))</f>
        <v/>
      </c>
      <c r="O152" s="6" t="str">
        <f>IF(COUNTBLANK($A152:$E152)&gt;0, "", IFERROR(_xlfn.MINIFS(Log!$F:$F, Log!$A:$A, $A152, Log!$B:$B, $B152, Log!$C:$C, $C152),""))</f>
        <v/>
      </c>
      <c r="P152" s="6" t="str">
        <f>IF(COUNTBLANK($A152:$E152)&gt;0, "", IFERROR(_xlfn.MAXIFS(Log!$F:$F, Log!$A:$A, $A152, Log!$B:$B, $B152, Log!$C:$C, $C152),""))</f>
        <v/>
      </c>
      <c r="Q152" s="6" t="str">
        <f>IF(COUNTBLANK($A152:$E152)&gt;0, "", IFERROR(AVERAGEIFS(Log!#REF!, Log!$A:$A, $A152, Log!$B:$B, $B152, Log!$C:$C, $C152),""))</f>
        <v/>
      </c>
      <c r="R152" s="6" t="str">
        <f>IF(COUNTBLANK($A152:$E152)&gt;0, "", IFERROR(_xlfn.MINIFS(Log!$G:$G, Log!$A:$A, $A152, Log!$B:$B, $B152, Log!$C:$C, $C152),""))</f>
        <v/>
      </c>
      <c r="S152" s="6" t="str">
        <f>IF(COUNTBLANK($A152:$E152)&gt;0, "", IFERROR(_xlfn.MAXIFS(Log!$G:$G, Log!$A:$A, $A152, Log!$B:$B, $B152, Log!$C:$C, $C152),""))</f>
        <v/>
      </c>
      <c r="T152" s="6" t="str">
        <f>IF($N152&lt;&gt;"", 'Daily Camera Trends'!$M$5, "")</f>
        <v/>
      </c>
      <c r="U152" s="6" t="str">
        <f>IF(Q152&lt;&gt;"", 'Daily Camera Trends'!$N$5, "")</f>
        <v/>
      </c>
      <c r="CP152" s="6" t="str">
        <f>IF($N152&lt;&gt;"", 'Daily Camera Trends'!$M$5, "")</f>
        <v/>
      </c>
      <c r="CQ152" s="6" t="str">
        <f>IF($Q152&lt;&gt;"", 'Daily Camera Trends'!$N$5, "")</f>
        <v/>
      </c>
    </row>
    <row r="153" spans="1:95" ht="40.049999999999997" customHeight="1" x14ac:dyDescent="0.3">
      <c r="A153" s="103" t="str">
        <f t="shared" si="6"/>
        <v/>
      </c>
      <c r="B153" s="236" t="s">
        <v>89</v>
      </c>
      <c r="H153" s="7" t="str">
        <f>IF(COUNTBLANK($A153:$E153)&gt;0, "", IFERROR(AVERAGEIFS(Log!$E:$E, Log!$A:$A, $A153, Log!$B:$B, $B153, Log!$C:$C, $C153),""))</f>
        <v/>
      </c>
      <c r="I153" s="37" t="str">
        <f t="shared" si="5"/>
        <v/>
      </c>
      <c r="J153" s="36"/>
      <c r="K153" s="36"/>
      <c r="L153" s="180"/>
      <c r="M153" s="180"/>
      <c r="N153" s="6" t="str">
        <f>IF(COUNTBLANK($A153:$E153)&gt;0, "", IFERROR(AVERAGEIFS(Log!#REF!, Log!$A:$A, $A153, Log!$B:$B, $B153, Log!$C:$C, $C153),""))</f>
        <v/>
      </c>
      <c r="O153" s="6" t="str">
        <f>IF(COUNTBLANK($A153:$E153)&gt;0, "", IFERROR(_xlfn.MINIFS(Log!$F:$F, Log!$A:$A, $A153, Log!$B:$B, $B153, Log!$C:$C, $C153),""))</f>
        <v/>
      </c>
      <c r="P153" s="6" t="str">
        <f>IF(COUNTBLANK($A153:$E153)&gt;0, "", IFERROR(_xlfn.MAXIFS(Log!$F:$F, Log!$A:$A, $A153, Log!$B:$B, $B153, Log!$C:$C, $C153),""))</f>
        <v/>
      </c>
      <c r="Q153" s="6" t="str">
        <f>IF(COUNTBLANK($A153:$E153)&gt;0, "", IFERROR(AVERAGEIFS(Log!#REF!, Log!$A:$A, $A153, Log!$B:$B, $B153, Log!$C:$C, $C153),""))</f>
        <v/>
      </c>
      <c r="R153" s="6" t="str">
        <f>IF(COUNTBLANK($A153:$E153)&gt;0, "", IFERROR(_xlfn.MINIFS(Log!$G:$G, Log!$A:$A, $A153, Log!$B:$B, $B153, Log!$C:$C, $C153),""))</f>
        <v/>
      </c>
      <c r="S153" s="6" t="str">
        <f>IF(COUNTBLANK($A153:$E153)&gt;0, "", IFERROR(_xlfn.MAXIFS(Log!$G:$G, Log!$A:$A, $A153, Log!$B:$B, $B153, Log!$C:$C, $C153),""))</f>
        <v/>
      </c>
      <c r="T153" s="6" t="str">
        <f>IF($N153&lt;&gt;"", 'Daily Camera Trends'!$M$5, "")</f>
        <v/>
      </c>
      <c r="U153" s="6" t="str">
        <f>IF(Q153&lt;&gt;"", 'Daily Camera Trends'!$N$5, "")</f>
        <v/>
      </c>
      <c r="CP153" s="6" t="str">
        <f>IF($N153&lt;&gt;"", 'Daily Camera Trends'!$M$5, "")</f>
        <v/>
      </c>
      <c r="CQ153" s="6" t="str">
        <f>IF($Q153&lt;&gt;"", 'Daily Camera Trends'!$N$5, "")</f>
        <v/>
      </c>
    </row>
    <row r="154" spans="1:95" ht="40.049999999999997" customHeight="1" x14ac:dyDescent="0.3">
      <c r="A154" s="103" t="str">
        <f t="shared" si="6"/>
        <v/>
      </c>
      <c r="B154" s="236" t="s">
        <v>89</v>
      </c>
      <c r="H154" s="7" t="str">
        <f>IF(COUNTBLANK($A154:$E154)&gt;0, "", IFERROR(AVERAGEIFS(Log!$E:$E, Log!$A:$A, $A154, Log!$B:$B, $B154, Log!$C:$C, $C154),""))</f>
        <v/>
      </c>
      <c r="I154" s="37" t="str">
        <f t="shared" si="5"/>
        <v/>
      </c>
      <c r="J154" s="36"/>
      <c r="K154" s="36"/>
      <c r="L154" s="180"/>
      <c r="M154" s="180"/>
      <c r="N154" s="6" t="str">
        <f>IF(COUNTBLANK($A154:$E154)&gt;0, "", IFERROR(AVERAGEIFS(Log!#REF!, Log!$A:$A, $A154, Log!$B:$B, $B154, Log!$C:$C, $C154),""))</f>
        <v/>
      </c>
      <c r="O154" s="6" t="str">
        <f>IF(COUNTBLANK($A154:$E154)&gt;0, "", IFERROR(_xlfn.MINIFS(Log!$F:$F, Log!$A:$A, $A154, Log!$B:$B, $B154, Log!$C:$C, $C154),""))</f>
        <v/>
      </c>
      <c r="P154" s="6" t="str">
        <f>IF(COUNTBLANK($A154:$E154)&gt;0, "", IFERROR(_xlfn.MAXIFS(Log!$F:$F, Log!$A:$A, $A154, Log!$B:$B, $B154, Log!$C:$C, $C154),""))</f>
        <v/>
      </c>
      <c r="Q154" s="6" t="str">
        <f>IF(COUNTBLANK($A154:$E154)&gt;0, "", IFERROR(AVERAGEIFS(Log!#REF!, Log!$A:$A, $A154, Log!$B:$B, $B154, Log!$C:$C, $C154),""))</f>
        <v/>
      </c>
      <c r="R154" s="6" t="str">
        <f>IF(COUNTBLANK($A154:$E154)&gt;0, "", IFERROR(_xlfn.MINIFS(Log!$G:$G, Log!$A:$A, $A154, Log!$B:$B, $B154, Log!$C:$C, $C154),""))</f>
        <v/>
      </c>
      <c r="S154" s="6" t="str">
        <f>IF(COUNTBLANK($A154:$E154)&gt;0, "", IFERROR(_xlfn.MAXIFS(Log!$G:$G, Log!$A:$A, $A154, Log!$B:$B, $B154, Log!$C:$C, $C154),""))</f>
        <v/>
      </c>
      <c r="T154" s="6" t="str">
        <f>IF($N154&lt;&gt;"", 'Daily Camera Trends'!$M$5, "")</f>
        <v/>
      </c>
      <c r="U154" s="6" t="str">
        <f>IF(Q154&lt;&gt;"", 'Daily Camera Trends'!$N$5, "")</f>
        <v/>
      </c>
      <c r="CP154" s="6" t="str">
        <f>IF($N154&lt;&gt;"", 'Daily Camera Trends'!$M$5, "")</f>
        <v/>
      </c>
      <c r="CQ154" s="6" t="str">
        <f>IF($Q154&lt;&gt;"", 'Daily Camera Trends'!$N$5, "")</f>
        <v/>
      </c>
    </row>
    <row r="155" spans="1:95" ht="40.049999999999997" customHeight="1" x14ac:dyDescent="0.3">
      <c r="A155" s="103" t="str">
        <f t="shared" si="6"/>
        <v/>
      </c>
      <c r="B155" s="236" t="s">
        <v>89</v>
      </c>
      <c r="H155" s="7" t="str">
        <f>IF(COUNTBLANK($A155:$E155)&gt;0, "", IFERROR(AVERAGEIFS(Log!$E:$E, Log!$A:$A, $A155, Log!$B:$B, $B155, Log!$C:$C, $C155),""))</f>
        <v/>
      </c>
      <c r="I155" s="37" t="str">
        <f t="shared" si="5"/>
        <v/>
      </c>
      <c r="J155" s="36"/>
      <c r="K155" s="36"/>
      <c r="L155" s="180"/>
      <c r="M155" s="180"/>
      <c r="N155" s="6" t="str">
        <f>IF(COUNTBLANK($A155:$E155)&gt;0, "", IFERROR(AVERAGEIFS(Log!#REF!, Log!$A:$A, $A155, Log!$B:$B, $B155, Log!$C:$C, $C155),""))</f>
        <v/>
      </c>
      <c r="O155" s="6" t="str">
        <f>IF(COUNTBLANK($A155:$E155)&gt;0, "", IFERROR(_xlfn.MINIFS(Log!$F:$F, Log!$A:$A, $A155, Log!$B:$B, $B155, Log!$C:$C, $C155),""))</f>
        <v/>
      </c>
      <c r="P155" s="6" t="str">
        <f>IF(COUNTBLANK($A155:$E155)&gt;0, "", IFERROR(_xlfn.MAXIFS(Log!$F:$F, Log!$A:$A, $A155, Log!$B:$B, $B155, Log!$C:$C, $C155),""))</f>
        <v/>
      </c>
      <c r="Q155" s="6" t="str">
        <f>IF(COUNTBLANK($A155:$E155)&gt;0, "", IFERROR(AVERAGEIFS(Log!#REF!, Log!$A:$A, $A155, Log!$B:$B, $B155, Log!$C:$C, $C155),""))</f>
        <v/>
      </c>
      <c r="R155" s="6" t="str">
        <f>IF(COUNTBLANK($A155:$E155)&gt;0, "", IFERROR(_xlfn.MINIFS(Log!$G:$G, Log!$A:$A, $A155, Log!$B:$B, $B155, Log!$C:$C, $C155),""))</f>
        <v/>
      </c>
      <c r="S155" s="6" t="str">
        <f>IF(COUNTBLANK($A155:$E155)&gt;0, "", IFERROR(_xlfn.MAXIFS(Log!$G:$G, Log!$A:$A, $A155, Log!$B:$B, $B155, Log!$C:$C, $C155),""))</f>
        <v/>
      </c>
      <c r="T155" s="6" t="str">
        <f>IF($N155&lt;&gt;"", 'Daily Camera Trends'!$M$5, "")</f>
        <v/>
      </c>
      <c r="U155" s="6" t="str">
        <f>IF(Q155&lt;&gt;"", 'Daily Camera Trends'!$N$5, "")</f>
        <v/>
      </c>
      <c r="CP155" s="6" t="str">
        <f>IF($N155&lt;&gt;"", 'Daily Camera Trends'!$M$5, "")</f>
        <v/>
      </c>
      <c r="CQ155" s="6" t="str">
        <f>IF($Q155&lt;&gt;"", 'Daily Camera Trends'!$N$5, "")</f>
        <v/>
      </c>
    </row>
    <row r="156" spans="1:95" ht="40.049999999999997" customHeight="1" x14ac:dyDescent="0.3">
      <c r="A156" s="103" t="str">
        <f t="shared" si="6"/>
        <v/>
      </c>
      <c r="B156" s="236" t="s">
        <v>89</v>
      </c>
      <c r="H156" s="7" t="str">
        <f>IF(COUNTBLANK($A156:$E156)&gt;0, "", IFERROR(AVERAGEIFS(Log!$E:$E, Log!$A:$A, $A156, Log!$B:$B, $B156, Log!$C:$C, $C156),""))</f>
        <v/>
      </c>
      <c r="I156" s="37" t="str">
        <f t="shared" si="5"/>
        <v/>
      </c>
      <c r="J156" s="36"/>
      <c r="K156" s="36"/>
      <c r="L156" s="180"/>
      <c r="M156" s="180"/>
      <c r="N156" s="6" t="str">
        <f>IF(COUNTBLANK($A156:$E156)&gt;0, "", IFERROR(AVERAGEIFS(Log!#REF!, Log!$A:$A, $A156, Log!$B:$B, $B156, Log!$C:$C, $C156),""))</f>
        <v/>
      </c>
      <c r="O156" s="6" t="str">
        <f>IF(COUNTBLANK($A156:$E156)&gt;0, "", IFERROR(_xlfn.MINIFS(Log!$F:$F, Log!$A:$A, $A156, Log!$B:$B, $B156, Log!$C:$C, $C156),""))</f>
        <v/>
      </c>
      <c r="P156" s="6" t="str">
        <f>IF(COUNTBLANK($A156:$E156)&gt;0, "", IFERROR(_xlfn.MAXIFS(Log!$F:$F, Log!$A:$A, $A156, Log!$B:$B, $B156, Log!$C:$C, $C156),""))</f>
        <v/>
      </c>
      <c r="Q156" s="6" t="str">
        <f>IF(COUNTBLANK($A156:$E156)&gt;0, "", IFERROR(AVERAGEIFS(Log!#REF!, Log!$A:$A, $A156, Log!$B:$B, $B156, Log!$C:$C, $C156),""))</f>
        <v/>
      </c>
      <c r="R156" s="6" t="str">
        <f>IF(COUNTBLANK($A156:$E156)&gt;0, "", IFERROR(_xlfn.MINIFS(Log!$G:$G, Log!$A:$A, $A156, Log!$B:$B, $B156, Log!$C:$C, $C156),""))</f>
        <v/>
      </c>
      <c r="S156" s="6" t="str">
        <f>IF(COUNTBLANK($A156:$E156)&gt;0, "", IFERROR(_xlfn.MAXIFS(Log!$G:$G, Log!$A:$A, $A156, Log!$B:$B, $B156, Log!$C:$C, $C156),""))</f>
        <v/>
      </c>
      <c r="T156" s="6" t="str">
        <f>IF($N156&lt;&gt;"", 'Daily Camera Trends'!$M$5, "")</f>
        <v/>
      </c>
      <c r="U156" s="6" t="str">
        <f>IF(Q156&lt;&gt;"", 'Daily Camera Trends'!$N$5, "")</f>
        <v/>
      </c>
      <c r="CP156" s="6" t="str">
        <f>IF($N156&lt;&gt;"", 'Daily Camera Trends'!$M$5, "")</f>
        <v/>
      </c>
      <c r="CQ156" s="6" t="str">
        <f>IF($Q156&lt;&gt;"", 'Daily Camera Trends'!$N$5, "")</f>
        <v/>
      </c>
    </row>
    <row r="157" spans="1:95" ht="40.049999999999997" customHeight="1" x14ac:dyDescent="0.3">
      <c r="A157" s="103" t="str">
        <f t="shared" si="6"/>
        <v/>
      </c>
      <c r="B157" s="236" t="s">
        <v>89</v>
      </c>
      <c r="H157" s="7" t="str">
        <f>IF(COUNTBLANK($A157:$E157)&gt;0, "", IFERROR(AVERAGEIFS(Log!$E:$E, Log!$A:$A, $A157, Log!$B:$B, $B157, Log!$C:$C, $C157),""))</f>
        <v/>
      </c>
      <c r="I157" s="37" t="str">
        <f t="shared" si="5"/>
        <v/>
      </c>
      <c r="J157" s="36"/>
      <c r="K157" s="36"/>
      <c r="L157" s="180"/>
      <c r="M157" s="180"/>
      <c r="N157" s="6" t="str">
        <f>IF(COUNTBLANK($A157:$E157)&gt;0, "", IFERROR(AVERAGEIFS(Log!#REF!, Log!$A:$A, $A157, Log!$B:$B, $B157, Log!$C:$C, $C157),""))</f>
        <v/>
      </c>
      <c r="O157" s="6" t="str">
        <f>IF(COUNTBLANK($A157:$E157)&gt;0, "", IFERROR(_xlfn.MINIFS(Log!$F:$F, Log!$A:$A, $A157, Log!$B:$B, $B157, Log!$C:$C, $C157),""))</f>
        <v/>
      </c>
      <c r="P157" s="6" t="str">
        <f>IF(COUNTBLANK($A157:$E157)&gt;0, "", IFERROR(_xlfn.MAXIFS(Log!$F:$F, Log!$A:$A, $A157, Log!$B:$B, $B157, Log!$C:$C, $C157),""))</f>
        <v/>
      </c>
      <c r="Q157" s="6" t="str">
        <f>IF(COUNTBLANK($A157:$E157)&gt;0, "", IFERROR(AVERAGEIFS(Log!#REF!, Log!$A:$A, $A157, Log!$B:$B, $B157, Log!$C:$C, $C157),""))</f>
        <v/>
      </c>
      <c r="R157" s="6" t="str">
        <f>IF(COUNTBLANK($A157:$E157)&gt;0, "", IFERROR(_xlfn.MINIFS(Log!$G:$G, Log!$A:$A, $A157, Log!$B:$B, $B157, Log!$C:$C, $C157),""))</f>
        <v/>
      </c>
      <c r="S157" s="6" t="str">
        <f>IF(COUNTBLANK($A157:$E157)&gt;0, "", IFERROR(_xlfn.MAXIFS(Log!$G:$G, Log!$A:$A, $A157, Log!$B:$B, $B157, Log!$C:$C, $C157),""))</f>
        <v/>
      </c>
      <c r="T157" s="6" t="str">
        <f>IF($N157&lt;&gt;"", 'Daily Camera Trends'!$M$5, "")</f>
        <v/>
      </c>
      <c r="U157" s="6" t="str">
        <f>IF(Q157&lt;&gt;"", 'Daily Camera Trends'!$N$5, "")</f>
        <v/>
      </c>
      <c r="CP157" s="6" t="str">
        <f>IF($N157&lt;&gt;"", 'Daily Camera Trends'!$M$5, "")</f>
        <v/>
      </c>
      <c r="CQ157" s="6" t="str">
        <f>IF($Q157&lt;&gt;"", 'Daily Camera Trends'!$N$5, "")</f>
        <v/>
      </c>
    </row>
    <row r="158" spans="1:95" ht="40.049999999999997" customHeight="1" x14ac:dyDescent="0.3">
      <c r="A158" s="103" t="str">
        <f t="shared" si="6"/>
        <v/>
      </c>
      <c r="B158" s="236" t="s">
        <v>89</v>
      </c>
      <c r="H158" s="7" t="str">
        <f>IF(COUNTBLANK($A158:$E158)&gt;0, "", IFERROR(AVERAGEIFS(Log!$E:$E, Log!$A:$A, $A158, Log!$B:$B, $B158, Log!$C:$C, $C158),""))</f>
        <v/>
      </c>
      <c r="I158" s="37" t="str">
        <f t="shared" si="5"/>
        <v/>
      </c>
      <c r="J158" s="36"/>
      <c r="K158" s="36"/>
      <c r="L158" s="180"/>
      <c r="M158" s="180"/>
      <c r="N158" s="6" t="str">
        <f>IF(COUNTBLANK($A158:$E158)&gt;0, "", IFERROR(AVERAGEIFS(Log!#REF!, Log!$A:$A, $A158, Log!$B:$B, $B158, Log!$C:$C, $C158),""))</f>
        <v/>
      </c>
      <c r="O158" s="6" t="str">
        <f>IF(COUNTBLANK($A158:$E158)&gt;0, "", IFERROR(_xlfn.MINIFS(Log!$F:$F, Log!$A:$A, $A158, Log!$B:$B, $B158, Log!$C:$C, $C158),""))</f>
        <v/>
      </c>
      <c r="P158" s="6" t="str">
        <f>IF(COUNTBLANK($A158:$E158)&gt;0, "", IFERROR(_xlfn.MAXIFS(Log!$F:$F, Log!$A:$A, $A158, Log!$B:$B, $B158, Log!$C:$C, $C158),""))</f>
        <v/>
      </c>
      <c r="Q158" s="6" t="str">
        <f>IF(COUNTBLANK($A158:$E158)&gt;0, "", IFERROR(AVERAGEIFS(Log!#REF!, Log!$A:$A, $A158, Log!$B:$B, $B158, Log!$C:$C, $C158),""))</f>
        <v/>
      </c>
      <c r="R158" s="6" t="str">
        <f>IF(COUNTBLANK($A158:$E158)&gt;0, "", IFERROR(_xlfn.MINIFS(Log!$G:$G, Log!$A:$A, $A158, Log!$B:$B, $B158, Log!$C:$C, $C158),""))</f>
        <v/>
      </c>
      <c r="S158" s="6" t="str">
        <f>IF(COUNTBLANK($A158:$E158)&gt;0, "", IFERROR(_xlfn.MAXIFS(Log!$G:$G, Log!$A:$A, $A158, Log!$B:$B, $B158, Log!$C:$C, $C158),""))</f>
        <v/>
      </c>
      <c r="T158" s="6" t="str">
        <f>IF($N158&lt;&gt;"", 'Daily Camera Trends'!$M$5, "")</f>
        <v/>
      </c>
      <c r="U158" s="6" t="str">
        <f>IF(Q158&lt;&gt;"", 'Daily Camera Trends'!$N$5, "")</f>
        <v/>
      </c>
      <c r="CP158" s="6" t="str">
        <f>IF($N158&lt;&gt;"", 'Daily Camera Trends'!$M$5, "")</f>
        <v/>
      </c>
      <c r="CQ158" s="6" t="str">
        <f>IF($Q158&lt;&gt;"", 'Daily Camera Trends'!$N$5, "")</f>
        <v/>
      </c>
    </row>
    <row r="159" spans="1:95" ht="40.049999999999997" customHeight="1" x14ac:dyDescent="0.3">
      <c r="A159" s="103" t="str">
        <f t="shared" si="6"/>
        <v/>
      </c>
      <c r="B159" s="236" t="s">
        <v>89</v>
      </c>
      <c r="H159" s="7" t="str">
        <f>IF(COUNTBLANK($A159:$E159)&gt;0, "", IFERROR(AVERAGEIFS(Log!$E:$E, Log!$A:$A, $A159, Log!$B:$B, $B159, Log!$C:$C, $C159),""))</f>
        <v/>
      </c>
      <c r="I159" s="37" t="str">
        <f t="shared" si="5"/>
        <v/>
      </c>
      <c r="J159" s="36"/>
      <c r="K159" s="36"/>
      <c r="L159" s="180"/>
      <c r="M159" s="180"/>
      <c r="N159" s="6" t="str">
        <f>IF(COUNTBLANK($A159:$E159)&gt;0, "", IFERROR(AVERAGEIFS(Log!#REF!, Log!$A:$A, $A159, Log!$B:$B, $B159, Log!$C:$C, $C159),""))</f>
        <v/>
      </c>
      <c r="O159" s="6" t="str">
        <f>IF(COUNTBLANK($A159:$E159)&gt;0, "", IFERROR(_xlfn.MINIFS(Log!$F:$F, Log!$A:$A, $A159, Log!$B:$B, $B159, Log!$C:$C, $C159),""))</f>
        <v/>
      </c>
      <c r="P159" s="6" t="str">
        <f>IF(COUNTBLANK($A159:$E159)&gt;0, "", IFERROR(_xlfn.MAXIFS(Log!$F:$F, Log!$A:$A, $A159, Log!$B:$B, $B159, Log!$C:$C, $C159),""))</f>
        <v/>
      </c>
      <c r="Q159" s="6" t="str">
        <f>IF(COUNTBLANK($A159:$E159)&gt;0, "", IFERROR(AVERAGEIFS(Log!#REF!, Log!$A:$A, $A159, Log!$B:$B, $B159, Log!$C:$C, $C159),""))</f>
        <v/>
      </c>
      <c r="R159" s="6" t="str">
        <f>IF(COUNTBLANK($A159:$E159)&gt;0, "", IFERROR(_xlfn.MINIFS(Log!$G:$G, Log!$A:$A, $A159, Log!$B:$B, $B159, Log!$C:$C, $C159),""))</f>
        <v/>
      </c>
      <c r="S159" s="6" t="str">
        <f>IF(COUNTBLANK($A159:$E159)&gt;0, "", IFERROR(_xlfn.MAXIFS(Log!$G:$G, Log!$A:$A, $A159, Log!$B:$B, $B159, Log!$C:$C, $C159),""))</f>
        <v/>
      </c>
      <c r="T159" s="6" t="str">
        <f>IF($N159&lt;&gt;"", 'Daily Camera Trends'!$M$5, "")</f>
        <v/>
      </c>
      <c r="U159" s="6" t="str">
        <f>IF(Q159&lt;&gt;"", 'Daily Camera Trends'!$N$5, "")</f>
        <v/>
      </c>
      <c r="CP159" s="6" t="str">
        <f>IF($N159&lt;&gt;"", 'Daily Camera Trends'!$M$5, "")</f>
        <v/>
      </c>
      <c r="CQ159" s="6" t="str">
        <f>IF($Q159&lt;&gt;"", 'Daily Camera Trends'!$N$5, "")</f>
        <v/>
      </c>
    </row>
    <row r="160" spans="1:95" ht="40.049999999999997" customHeight="1" x14ac:dyDescent="0.3">
      <c r="A160" s="103" t="str">
        <f t="shared" si="6"/>
        <v/>
      </c>
      <c r="B160" s="236" t="s">
        <v>89</v>
      </c>
      <c r="H160" s="7" t="str">
        <f>IF(COUNTBLANK($A160:$E160)&gt;0, "", IFERROR(AVERAGEIFS(Log!$E:$E, Log!$A:$A, $A160, Log!$B:$B, $B160, Log!$C:$C, $C160),""))</f>
        <v/>
      </c>
      <c r="I160" s="37" t="str">
        <f t="shared" si="5"/>
        <v/>
      </c>
      <c r="J160" s="36"/>
      <c r="K160" s="36"/>
      <c r="L160" s="180"/>
      <c r="M160" s="180"/>
      <c r="N160" s="6" t="str">
        <f>IF(COUNTBLANK($A160:$E160)&gt;0, "", IFERROR(AVERAGEIFS(Log!#REF!, Log!$A:$A, $A160, Log!$B:$B, $B160, Log!$C:$C, $C160),""))</f>
        <v/>
      </c>
      <c r="O160" s="6" t="str">
        <f>IF(COUNTBLANK($A160:$E160)&gt;0, "", IFERROR(_xlfn.MINIFS(Log!$F:$F, Log!$A:$A, $A160, Log!$B:$B, $B160, Log!$C:$C, $C160),""))</f>
        <v/>
      </c>
      <c r="P160" s="6" t="str">
        <f>IF(COUNTBLANK($A160:$E160)&gt;0, "", IFERROR(_xlfn.MAXIFS(Log!$F:$F, Log!$A:$A, $A160, Log!$B:$B, $B160, Log!$C:$C, $C160),""))</f>
        <v/>
      </c>
      <c r="Q160" s="6" t="str">
        <f>IF(COUNTBLANK($A160:$E160)&gt;0, "", IFERROR(AVERAGEIFS(Log!#REF!, Log!$A:$A, $A160, Log!$B:$B, $B160, Log!$C:$C, $C160),""))</f>
        <v/>
      </c>
      <c r="R160" s="6" t="str">
        <f>IF(COUNTBLANK($A160:$E160)&gt;0, "", IFERROR(_xlfn.MINIFS(Log!$G:$G, Log!$A:$A, $A160, Log!$B:$B, $B160, Log!$C:$C, $C160),""))</f>
        <v/>
      </c>
      <c r="S160" s="6" t="str">
        <f>IF(COUNTBLANK($A160:$E160)&gt;0, "", IFERROR(_xlfn.MAXIFS(Log!$G:$G, Log!$A:$A, $A160, Log!$B:$B, $B160, Log!$C:$C, $C160),""))</f>
        <v/>
      </c>
      <c r="T160" s="6" t="str">
        <f>IF($N160&lt;&gt;"", 'Daily Camera Trends'!$M$5, "")</f>
        <v/>
      </c>
      <c r="U160" s="6" t="str">
        <f>IF(Q160&lt;&gt;"", 'Daily Camera Trends'!$N$5, "")</f>
        <v/>
      </c>
      <c r="CP160" s="6" t="str">
        <f>IF($N160&lt;&gt;"", 'Daily Camera Trends'!$M$5, "")</f>
        <v/>
      </c>
      <c r="CQ160" s="6" t="str">
        <f>IF($Q160&lt;&gt;"", 'Daily Camera Trends'!$N$5, "")</f>
        <v/>
      </c>
    </row>
    <row r="161" spans="1:95" ht="40.049999999999997" customHeight="1" x14ac:dyDescent="0.3">
      <c r="A161" s="103" t="str">
        <f t="shared" si="6"/>
        <v/>
      </c>
      <c r="B161" s="236" t="s">
        <v>89</v>
      </c>
      <c r="H161" s="7" t="str">
        <f>IF(COUNTBLANK($A161:$E161)&gt;0, "", IFERROR(AVERAGEIFS(Log!$E:$E, Log!$A:$A, $A161, Log!$B:$B, $B161, Log!$C:$C, $C161),""))</f>
        <v/>
      </c>
      <c r="I161" s="37" t="str">
        <f t="shared" si="5"/>
        <v/>
      </c>
      <c r="J161" s="36"/>
      <c r="K161" s="36"/>
      <c r="L161" s="180"/>
      <c r="M161" s="180"/>
      <c r="N161" s="6" t="str">
        <f>IF(COUNTBLANK($A161:$E161)&gt;0, "", IFERROR(AVERAGEIFS(Log!#REF!, Log!$A:$A, $A161, Log!$B:$B, $B161, Log!$C:$C, $C161),""))</f>
        <v/>
      </c>
      <c r="O161" s="6" t="str">
        <f>IF(COUNTBLANK($A161:$E161)&gt;0, "", IFERROR(_xlfn.MINIFS(Log!$F:$F, Log!$A:$A, $A161, Log!$B:$B, $B161, Log!$C:$C, $C161),""))</f>
        <v/>
      </c>
      <c r="P161" s="6" t="str">
        <f>IF(COUNTBLANK($A161:$E161)&gt;0, "", IFERROR(_xlfn.MAXIFS(Log!$F:$F, Log!$A:$A, $A161, Log!$B:$B, $B161, Log!$C:$C, $C161),""))</f>
        <v/>
      </c>
      <c r="Q161" s="6" t="str">
        <f>IF(COUNTBLANK($A161:$E161)&gt;0, "", IFERROR(AVERAGEIFS(Log!#REF!, Log!$A:$A, $A161, Log!$B:$B, $B161, Log!$C:$C, $C161),""))</f>
        <v/>
      </c>
      <c r="R161" s="6" t="str">
        <f>IF(COUNTBLANK($A161:$E161)&gt;0, "", IFERROR(_xlfn.MINIFS(Log!$G:$G, Log!$A:$A, $A161, Log!$B:$B, $B161, Log!$C:$C, $C161),""))</f>
        <v/>
      </c>
      <c r="S161" s="6" t="str">
        <f>IF(COUNTBLANK($A161:$E161)&gt;0, "", IFERROR(_xlfn.MAXIFS(Log!$G:$G, Log!$A:$A, $A161, Log!$B:$B, $B161, Log!$C:$C, $C161),""))</f>
        <v/>
      </c>
      <c r="T161" s="6" t="str">
        <f>IF($N161&lt;&gt;"", 'Daily Camera Trends'!$M$5, "")</f>
        <v/>
      </c>
      <c r="U161" s="6" t="str">
        <f>IF(Q161&lt;&gt;"", 'Daily Camera Trends'!$N$5, "")</f>
        <v/>
      </c>
      <c r="CP161" s="6" t="str">
        <f>IF($N161&lt;&gt;"", 'Daily Camera Trends'!$M$5, "")</f>
        <v/>
      </c>
      <c r="CQ161" s="6" t="str">
        <f>IF($Q161&lt;&gt;"", 'Daily Camera Trends'!$N$5, "")</f>
        <v/>
      </c>
    </row>
    <row r="162" spans="1:95" ht="40.049999999999997" customHeight="1" x14ac:dyDescent="0.3">
      <c r="A162" s="103" t="str">
        <f t="shared" si="6"/>
        <v/>
      </c>
      <c r="B162" s="236" t="s">
        <v>89</v>
      </c>
      <c r="H162" s="7" t="str">
        <f>IF(COUNTBLANK($A162:$E162)&gt;0, "", IFERROR(AVERAGEIFS(Log!$E:$E, Log!$A:$A, $A162, Log!$B:$B, $B162, Log!$C:$C, $C162),""))</f>
        <v/>
      </c>
      <c r="I162" s="37" t="str">
        <f t="shared" si="5"/>
        <v/>
      </c>
      <c r="J162" s="36"/>
      <c r="K162" s="36"/>
      <c r="L162" s="180"/>
      <c r="M162" s="180"/>
      <c r="N162" s="6" t="str">
        <f>IF(COUNTBLANK($A162:$E162)&gt;0, "", IFERROR(AVERAGEIFS(Log!#REF!, Log!$A:$A, $A162, Log!$B:$B, $B162, Log!$C:$C, $C162),""))</f>
        <v/>
      </c>
      <c r="O162" s="6" t="str">
        <f>IF(COUNTBLANK($A162:$E162)&gt;0, "", IFERROR(_xlfn.MINIFS(Log!$F:$F, Log!$A:$A, $A162, Log!$B:$B, $B162, Log!$C:$C, $C162),""))</f>
        <v/>
      </c>
      <c r="P162" s="6" t="str">
        <f>IF(COUNTBLANK($A162:$E162)&gt;0, "", IFERROR(_xlfn.MAXIFS(Log!$F:$F, Log!$A:$A, $A162, Log!$B:$B, $B162, Log!$C:$C, $C162),""))</f>
        <v/>
      </c>
      <c r="Q162" s="6" t="str">
        <f>IF(COUNTBLANK($A162:$E162)&gt;0, "", IFERROR(AVERAGEIFS(Log!#REF!, Log!$A:$A, $A162, Log!$B:$B, $B162, Log!$C:$C, $C162),""))</f>
        <v/>
      </c>
      <c r="R162" s="6" t="str">
        <f>IF(COUNTBLANK($A162:$E162)&gt;0, "", IFERROR(_xlfn.MINIFS(Log!$G:$G, Log!$A:$A, $A162, Log!$B:$B, $B162, Log!$C:$C, $C162),""))</f>
        <v/>
      </c>
      <c r="S162" s="6" t="str">
        <f>IF(COUNTBLANK($A162:$E162)&gt;0, "", IFERROR(_xlfn.MAXIFS(Log!$G:$G, Log!$A:$A, $A162, Log!$B:$B, $B162, Log!$C:$C, $C162),""))</f>
        <v/>
      </c>
      <c r="T162" s="6" t="str">
        <f>IF($N162&lt;&gt;"", 'Daily Camera Trends'!$M$5, "")</f>
        <v/>
      </c>
      <c r="U162" s="6" t="str">
        <f>IF(Q162&lt;&gt;"", 'Daily Camera Trends'!$N$5, "")</f>
        <v/>
      </c>
      <c r="CP162" s="6" t="str">
        <f>IF($N162&lt;&gt;"", 'Daily Camera Trends'!$M$5, "")</f>
        <v/>
      </c>
      <c r="CQ162" s="6" t="str">
        <f>IF($Q162&lt;&gt;"", 'Daily Camera Trends'!$N$5, "")</f>
        <v/>
      </c>
    </row>
    <row r="163" spans="1:95" ht="40.049999999999997" customHeight="1" x14ac:dyDescent="0.3">
      <c r="A163" s="103" t="str">
        <f t="shared" si="6"/>
        <v/>
      </c>
      <c r="B163" s="236" t="s">
        <v>89</v>
      </c>
      <c r="H163" s="7" t="str">
        <f>IF(COUNTBLANK($A163:$E163)&gt;0, "", IFERROR(AVERAGEIFS(Log!$E:$E, Log!$A:$A, $A163, Log!$B:$B, $B163, Log!$C:$C, $C163),""))</f>
        <v/>
      </c>
      <c r="I163" s="37" t="str">
        <f t="shared" si="5"/>
        <v/>
      </c>
      <c r="J163" s="36"/>
      <c r="K163" s="36"/>
      <c r="L163" s="180"/>
      <c r="M163" s="180"/>
      <c r="N163" s="6" t="str">
        <f>IF(COUNTBLANK($A163:$E163)&gt;0, "", IFERROR(AVERAGEIFS(Log!#REF!, Log!$A:$A, $A163, Log!$B:$B, $B163, Log!$C:$C, $C163),""))</f>
        <v/>
      </c>
      <c r="O163" s="6" t="str">
        <f>IF(COUNTBLANK($A163:$E163)&gt;0, "", IFERROR(_xlfn.MINIFS(Log!$F:$F, Log!$A:$A, $A163, Log!$B:$B, $B163, Log!$C:$C, $C163),""))</f>
        <v/>
      </c>
      <c r="P163" s="6" t="str">
        <f>IF(COUNTBLANK($A163:$E163)&gt;0, "", IFERROR(_xlfn.MAXIFS(Log!$F:$F, Log!$A:$A, $A163, Log!$B:$B, $B163, Log!$C:$C, $C163),""))</f>
        <v/>
      </c>
      <c r="Q163" s="6" t="str">
        <f>IF(COUNTBLANK($A163:$E163)&gt;0, "", IFERROR(AVERAGEIFS(Log!#REF!, Log!$A:$A, $A163, Log!$B:$B, $B163, Log!$C:$C, $C163),""))</f>
        <v/>
      </c>
      <c r="R163" s="6" t="str">
        <f>IF(COUNTBLANK($A163:$E163)&gt;0, "", IFERROR(_xlfn.MINIFS(Log!$G:$G, Log!$A:$A, $A163, Log!$B:$B, $B163, Log!$C:$C, $C163),""))</f>
        <v/>
      </c>
      <c r="S163" s="6" t="str">
        <f>IF(COUNTBLANK($A163:$E163)&gt;0, "", IFERROR(_xlfn.MAXIFS(Log!$G:$G, Log!$A:$A, $A163, Log!$B:$B, $B163, Log!$C:$C, $C163),""))</f>
        <v/>
      </c>
      <c r="T163" s="6" t="str">
        <f>IF($N163&lt;&gt;"", 'Daily Camera Trends'!$M$5, "")</f>
        <v/>
      </c>
      <c r="U163" s="6" t="str">
        <f>IF(Q163&lt;&gt;"", 'Daily Camera Trends'!$N$5, "")</f>
        <v/>
      </c>
      <c r="CP163" s="6" t="str">
        <f>IF($N163&lt;&gt;"", 'Daily Camera Trends'!$M$5, "")</f>
        <v/>
      </c>
      <c r="CQ163" s="6" t="str">
        <f>IF($Q163&lt;&gt;"", 'Daily Camera Trends'!$N$5, "")</f>
        <v/>
      </c>
    </row>
    <row r="164" spans="1:95" ht="40.049999999999997" customHeight="1" x14ac:dyDescent="0.3">
      <c r="A164" s="103" t="str">
        <f t="shared" si="6"/>
        <v/>
      </c>
      <c r="B164" s="236" t="s">
        <v>89</v>
      </c>
      <c r="H164" s="7" t="str">
        <f>IF(COUNTBLANK($A164:$E164)&gt;0, "", IFERROR(AVERAGEIFS(Log!$E:$E, Log!$A:$A, $A164, Log!$B:$B, $B164, Log!$C:$C, $C164),""))</f>
        <v/>
      </c>
      <c r="I164" s="37" t="str">
        <f t="shared" si="5"/>
        <v/>
      </c>
      <c r="J164" s="36"/>
      <c r="K164" s="36"/>
      <c r="L164" s="180"/>
      <c r="M164" s="180"/>
      <c r="N164" s="6" t="str">
        <f>IF(COUNTBLANK($A164:$E164)&gt;0, "", IFERROR(AVERAGEIFS(Log!#REF!, Log!$A:$A, $A164, Log!$B:$B, $B164, Log!$C:$C, $C164),""))</f>
        <v/>
      </c>
      <c r="O164" s="6" t="str">
        <f>IF(COUNTBLANK($A164:$E164)&gt;0, "", IFERROR(_xlfn.MINIFS(Log!$F:$F, Log!$A:$A, $A164, Log!$B:$B, $B164, Log!$C:$C, $C164),""))</f>
        <v/>
      </c>
      <c r="P164" s="6" t="str">
        <f>IF(COUNTBLANK($A164:$E164)&gt;0, "", IFERROR(_xlfn.MAXIFS(Log!$F:$F, Log!$A:$A, $A164, Log!$B:$B, $B164, Log!$C:$C, $C164),""))</f>
        <v/>
      </c>
      <c r="Q164" s="6" t="str">
        <f>IF(COUNTBLANK($A164:$E164)&gt;0, "", IFERROR(AVERAGEIFS(Log!#REF!, Log!$A:$A, $A164, Log!$B:$B, $B164, Log!$C:$C, $C164),""))</f>
        <v/>
      </c>
      <c r="R164" s="6" t="str">
        <f>IF(COUNTBLANK($A164:$E164)&gt;0, "", IFERROR(_xlfn.MINIFS(Log!$G:$G, Log!$A:$A, $A164, Log!$B:$B, $B164, Log!$C:$C, $C164),""))</f>
        <v/>
      </c>
      <c r="S164" s="6" t="str">
        <f>IF(COUNTBLANK($A164:$E164)&gt;0, "", IFERROR(_xlfn.MAXIFS(Log!$G:$G, Log!$A:$A, $A164, Log!$B:$B, $B164, Log!$C:$C, $C164),""))</f>
        <v/>
      </c>
      <c r="T164" s="6" t="str">
        <f>IF($N164&lt;&gt;"", 'Daily Camera Trends'!$M$5, "")</f>
        <v/>
      </c>
      <c r="U164" s="6" t="str">
        <f>IF(Q164&lt;&gt;"", 'Daily Camera Trends'!$N$5, "")</f>
        <v/>
      </c>
      <c r="CP164" s="6" t="str">
        <f>IF($N164&lt;&gt;"", 'Daily Camera Trends'!$M$5, "")</f>
        <v/>
      </c>
      <c r="CQ164" s="6" t="str">
        <f>IF($Q164&lt;&gt;"", 'Daily Camera Trends'!$N$5, "")</f>
        <v/>
      </c>
    </row>
    <row r="165" spans="1:95" ht="40.049999999999997" customHeight="1" x14ac:dyDescent="0.3">
      <c r="A165" s="103" t="str">
        <f t="shared" si="6"/>
        <v/>
      </c>
      <c r="B165" s="236" t="s">
        <v>89</v>
      </c>
      <c r="H165" s="7" t="str">
        <f>IF(COUNTBLANK($A165:$E165)&gt;0, "", IFERROR(AVERAGEIFS(Log!$E:$E, Log!$A:$A, $A165, Log!$B:$B, $B165, Log!$C:$C, $C165),""))</f>
        <v/>
      </c>
      <c r="I165" s="37" t="str">
        <f t="shared" si="5"/>
        <v/>
      </c>
      <c r="J165" s="36"/>
      <c r="K165" s="36"/>
      <c r="L165" s="180"/>
      <c r="M165" s="180"/>
      <c r="N165" s="6" t="str">
        <f>IF(COUNTBLANK($A165:$E165)&gt;0, "", IFERROR(AVERAGEIFS(Log!#REF!, Log!$A:$A, $A165, Log!$B:$B, $B165, Log!$C:$C, $C165),""))</f>
        <v/>
      </c>
      <c r="O165" s="6" t="str">
        <f>IF(COUNTBLANK($A165:$E165)&gt;0, "", IFERROR(_xlfn.MINIFS(Log!$F:$F, Log!$A:$A, $A165, Log!$B:$B, $B165, Log!$C:$C, $C165),""))</f>
        <v/>
      </c>
      <c r="P165" s="6" t="str">
        <f>IF(COUNTBLANK($A165:$E165)&gt;0, "", IFERROR(_xlfn.MAXIFS(Log!$F:$F, Log!$A:$A, $A165, Log!$B:$B, $B165, Log!$C:$C, $C165),""))</f>
        <v/>
      </c>
      <c r="Q165" s="6" t="str">
        <f>IF(COUNTBLANK($A165:$E165)&gt;0, "", IFERROR(AVERAGEIFS(Log!#REF!, Log!$A:$A, $A165, Log!$B:$B, $B165, Log!$C:$C, $C165),""))</f>
        <v/>
      </c>
      <c r="R165" s="6" t="str">
        <f>IF(COUNTBLANK($A165:$E165)&gt;0, "", IFERROR(_xlfn.MINIFS(Log!$G:$G, Log!$A:$A, $A165, Log!$B:$B, $B165, Log!$C:$C, $C165),""))</f>
        <v/>
      </c>
      <c r="S165" s="6" t="str">
        <f>IF(COUNTBLANK($A165:$E165)&gt;0, "", IFERROR(_xlfn.MAXIFS(Log!$G:$G, Log!$A:$A, $A165, Log!$B:$B, $B165, Log!$C:$C, $C165),""))</f>
        <v/>
      </c>
      <c r="T165" s="6" t="str">
        <f>IF($N165&lt;&gt;"", 'Daily Camera Trends'!$M$5, "")</f>
        <v/>
      </c>
      <c r="U165" s="6" t="str">
        <f>IF(Q165&lt;&gt;"", 'Daily Camera Trends'!$N$5, "")</f>
        <v/>
      </c>
      <c r="CP165" s="6" t="str">
        <f>IF($N165&lt;&gt;"", 'Daily Camera Trends'!$M$5, "")</f>
        <v/>
      </c>
      <c r="CQ165" s="6" t="str">
        <f>IF($Q165&lt;&gt;"", 'Daily Camera Trends'!$N$5, "")</f>
        <v/>
      </c>
    </row>
    <row r="166" spans="1:95" ht="40.049999999999997" customHeight="1" x14ac:dyDescent="0.3">
      <c r="A166" s="103" t="str">
        <f t="shared" si="6"/>
        <v/>
      </c>
      <c r="B166" s="236" t="s">
        <v>89</v>
      </c>
      <c r="H166" s="7" t="str">
        <f>IF(COUNTBLANK($A166:$E166)&gt;0, "", IFERROR(AVERAGEIFS(Log!$E:$E, Log!$A:$A, $A166, Log!$B:$B, $B166, Log!$C:$C, $C166),""))</f>
        <v/>
      </c>
      <c r="I166" s="37" t="str">
        <f t="shared" si="5"/>
        <v/>
      </c>
      <c r="J166" s="36"/>
      <c r="K166" s="36"/>
      <c r="L166" s="180"/>
      <c r="M166" s="180"/>
      <c r="N166" s="6" t="str">
        <f>IF(COUNTBLANK($A166:$E166)&gt;0, "", IFERROR(AVERAGEIFS(Log!#REF!, Log!$A:$A, $A166, Log!$B:$B, $B166, Log!$C:$C, $C166),""))</f>
        <v/>
      </c>
      <c r="O166" s="6" t="str">
        <f>IF(COUNTBLANK($A166:$E166)&gt;0, "", IFERROR(_xlfn.MINIFS(Log!$F:$F, Log!$A:$A, $A166, Log!$B:$B, $B166, Log!$C:$C, $C166),""))</f>
        <v/>
      </c>
      <c r="P166" s="6" t="str">
        <f>IF(COUNTBLANK($A166:$E166)&gt;0, "", IFERROR(_xlfn.MAXIFS(Log!$F:$F, Log!$A:$A, $A166, Log!$B:$B, $B166, Log!$C:$C, $C166),""))</f>
        <v/>
      </c>
      <c r="Q166" s="6" t="str">
        <f>IF(COUNTBLANK($A166:$E166)&gt;0, "", IFERROR(AVERAGEIFS(Log!#REF!, Log!$A:$A, $A166, Log!$B:$B, $B166, Log!$C:$C, $C166),""))</f>
        <v/>
      </c>
      <c r="R166" s="6" t="str">
        <f>IF(COUNTBLANK($A166:$E166)&gt;0, "", IFERROR(_xlfn.MINIFS(Log!$G:$G, Log!$A:$A, $A166, Log!$B:$B, $B166, Log!$C:$C, $C166),""))</f>
        <v/>
      </c>
      <c r="S166" s="6" t="str">
        <f>IF(COUNTBLANK($A166:$E166)&gt;0, "", IFERROR(_xlfn.MAXIFS(Log!$G:$G, Log!$A:$A, $A166, Log!$B:$B, $B166, Log!$C:$C, $C166),""))</f>
        <v/>
      </c>
      <c r="T166" s="6" t="str">
        <f>IF($N166&lt;&gt;"", 'Daily Camera Trends'!$M$5, "")</f>
        <v/>
      </c>
      <c r="U166" s="6" t="str">
        <f>IF(Q166&lt;&gt;"", 'Daily Camera Trends'!$N$5, "")</f>
        <v/>
      </c>
      <c r="CP166" s="6" t="str">
        <f>IF($N166&lt;&gt;"", 'Daily Camera Trends'!$M$5, "")</f>
        <v/>
      </c>
      <c r="CQ166" s="6" t="str">
        <f>IF($Q166&lt;&gt;"", 'Daily Camera Trends'!$N$5, "")</f>
        <v/>
      </c>
    </row>
    <row r="167" spans="1:95" ht="40.049999999999997" customHeight="1" x14ac:dyDescent="0.3">
      <c r="A167" s="103" t="str">
        <f t="shared" si="6"/>
        <v/>
      </c>
      <c r="B167" s="236" t="s">
        <v>89</v>
      </c>
      <c r="H167" s="7" t="str">
        <f>IF(COUNTBLANK($A167:$E167)&gt;0, "", IFERROR(AVERAGEIFS(Log!$E:$E, Log!$A:$A, $A167, Log!$B:$B, $B167, Log!$C:$C, $C167),""))</f>
        <v/>
      </c>
      <c r="I167" s="37" t="str">
        <f t="shared" si="5"/>
        <v/>
      </c>
      <c r="J167" s="36"/>
      <c r="K167" s="36"/>
      <c r="L167" s="180"/>
      <c r="M167" s="180"/>
      <c r="N167" s="6" t="str">
        <f>IF(COUNTBLANK($A167:$E167)&gt;0, "", IFERROR(AVERAGEIFS(Log!#REF!, Log!$A:$A, $A167, Log!$B:$B, $B167, Log!$C:$C, $C167),""))</f>
        <v/>
      </c>
      <c r="O167" s="6" t="str">
        <f>IF(COUNTBLANK($A167:$E167)&gt;0, "", IFERROR(_xlfn.MINIFS(Log!$F:$F, Log!$A:$A, $A167, Log!$B:$B, $B167, Log!$C:$C, $C167),""))</f>
        <v/>
      </c>
      <c r="P167" s="6" t="str">
        <f>IF(COUNTBLANK($A167:$E167)&gt;0, "", IFERROR(_xlfn.MAXIFS(Log!$F:$F, Log!$A:$A, $A167, Log!$B:$B, $B167, Log!$C:$C, $C167),""))</f>
        <v/>
      </c>
      <c r="Q167" s="6" t="str">
        <f>IF(COUNTBLANK($A167:$E167)&gt;0, "", IFERROR(AVERAGEIFS(Log!#REF!, Log!$A:$A, $A167, Log!$B:$B, $B167, Log!$C:$C, $C167),""))</f>
        <v/>
      </c>
      <c r="R167" s="6" t="str">
        <f>IF(COUNTBLANK($A167:$E167)&gt;0, "", IFERROR(_xlfn.MINIFS(Log!$G:$G, Log!$A:$A, $A167, Log!$B:$B, $B167, Log!$C:$C, $C167),""))</f>
        <v/>
      </c>
      <c r="S167" s="6" t="str">
        <f>IF(COUNTBLANK($A167:$E167)&gt;0, "", IFERROR(_xlfn.MAXIFS(Log!$G:$G, Log!$A:$A, $A167, Log!$B:$B, $B167, Log!$C:$C, $C167),""))</f>
        <v/>
      </c>
      <c r="T167" s="6" t="str">
        <f>IF($N167&lt;&gt;"", 'Daily Camera Trends'!$M$5, "")</f>
        <v/>
      </c>
      <c r="U167" s="6" t="str">
        <f>IF(Q167&lt;&gt;"", 'Daily Camera Trends'!$N$5, "")</f>
        <v/>
      </c>
      <c r="CP167" s="6" t="str">
        <f>IF($N167&lt;&gt;"", 'Daily Camera Trends'!$M$5, "")</f>
        <v/>
      </c>
      <c r="CQ167" s="6" t="str">
        <f>IF($Q167&lt;&gt;"", 'Daily Camera Trends'!$N$5, "")</f>
        <v/>
      </c>
    </row>
    <row r="168" spans="1:95" ht="40.049999999999997" customHeight="1" x14ac:dyDescent="0.3">
      <c r="A168" s="103" t="str">
        <f t="shared" si="6"/>
        <v/>
      </c>
      <c r="B168" s="236" t="s">
        <v>89</v>
      </c>
      <c r="H168" s="7" t="str">
        <f>IF(COUNTBLANK($A168:$E168)&gt;0, "", IFERROR(AVERAGEIFS(Log!$E:$E, Log!$A:$A, $A168, Log!$B:$B, $B168, Log!$C:$C, $C168),""))</f>
        <v/>
      </c>
      <c r="I168" s="37" t="str">
        <f t="shared" si="5"/>
        <v/>
      </c>
      <c r="J168" s="36"/>
      <c r="K168" s="36"/>
      <c r="L168" s="180"/>
      <c r="M168" s="180"/>
      <c r="N168" s="6" t="str">
        <f>IF(COUNTBLANK($A168:$E168)&gt;0, "", IFERROR(AVERAGEIFS(Log!#REF!, Log!$A:$A, $A168, Log!$B:$B, $B168, Log!$C:$C, $C168),""))</f>
        <v/>
      </c>
      <c r="O168" s="6" t="str">
        <f>IF(COUNTBLANK($A168:$E168)&gt;0, "", IFERROR(_xlfn.MINIFS(Log!$F:$F, Log!$A:$A, $A168, Log!$B:$B, $B168, Log!$C:$C, $C168),""))</f>
        <v/>
      </c>
      <c r="P168" s="6" t="str">
        <f>IF(COUNTBLANK($A168:$E168)&gt;0, "", IFERROR(_xlfn.MAXIFS(Log!$F:$F, Log!$A:$A, $A168, Log!$B:$B, $B168, Log!$C:$C, $C168),""))</f>
        <v/>
      </c>
      <c r="Q168" s="6" t="str">
        <f>IF(COUNTBLANK($A168:$E168)&gt;0, "", IFERROR(AVERAGEIFS(Log!#REF!, Log!$A:$A, $A168, Log!$B:$B, $B168, Log!$C:$C, $C168),""))</f>
        <v/>
      </c>
      <c r="R168" s="6" t="str">
        <f>IF(COUNTBLANK($A168:$E168)&gt;0, "", IFERROR(_xlfn.MINIFS(Log!$G:$G, Log!$A:$A, $A168, Log!$B:$B, $B168, Log!$C:$C, $C168),""))</f>
        <v/>
      </c>
      <c r="S168" s="6" t="str">
        <f>IF(COUNTBLANK($A168:$E168)&gt;0, "", IFERROR(_xlfn.MAXIFS(Log!$G:$G, Log!$A:$A, $A168, Log!$B:$B, $B168, Log!$C:$C, $C168),""))</f>
        <v/>
      </c>
      <c r="T168" s="6" t="str">
        <f>IF($N168&lt;&gt;"", 'Daily Camera Trends'!$M$5, "")</f>
        <v/>
      </c>
      <c r="U168" s="6" t="str">
        <f>IF(Q168&lt;&gt;"", 'Daily Camera Trends'!$N$5, "")</f>
        <v/>
      </c>
      <c r="CP168" s="6" t="str">
        <f>IF($N168&lt;&gt;"", 'Daily Camera Trends'!$M$5, "")</f>
        <v/>
      </c>
      <c r="CQ168" s="6" t="str">
        <f>IF($Q168&lt;&gt;"", 'Daily Camera Trends'!$N$5, "")</f>
        <v/>
      </c>
    </row>
    <row r="169" spans="1:95" ht="40.049999999999997" customHeight="1" x14ac:dyDescent="0.3">
      <c r="A169" s="103" t="str">
        <f t="shared" si="6"/>
        <v/>
      </c>
      <c r="B169" s="236" t="s">
        <v>89</v>
      </c>
      <c r="H169" s="7" t="str">
        <f>IF(COUNTBLANK($A169:$E169)&gt;0, "", IFERROR(AVERAGEIFS(Log!$E:$E, Log!$A:$A, $A169, Log!$B:$B, $B169, Log!$C:$C, $C169),""))</f>
        <v/>
      </c>
      <c r="I169" s="37" t="str">
        <f t="shared" si="5"/>
        <v/>
      </c>
      <c r="J169" s="36"/>
      <c r="K169" s="36"/>
      <c r="L169" s="180"/>
      <c r="M169" s="180"/>
      <c r="N169" s="6" t="str">
        <f>IF(COUNTBLANK($A169:$E169)&gt;0, "", IFERROR(AVERAGEIFS(Log!#REF!, Log!$A:$A, $A169, Log!$B:$B, $B169, Log!$C:$C, $C169),""))</f>
        <v/>
      </c>
      <c r="O169" s="6" t="str">
        <f>IF(COUNTBLANK($A169:$E169)&gt;0, "", IFERROR(_xlfn.MINIFS(Log!$F:$F, Log!$A:$A, $A169, Log!$B:$B, $B169, Log!$C:$C, $C169),""))</f>
        <v/>
      </c>
      <c r="P169" s="6" t="str">
        <f>IF(COUNTBLANK($A169:$E169)&gt;0, "", IFERROR(_xlfn.MAXIFS(Log!$F:$F, Log!$A:$A, $A169, Log!$B:$B, $B169, Log!$C:$C, $C169),""))</f>
        <v/>
      </c>
      <c r="Q169" s="6" t="str">
        <f>IF(COUNTBLANK($A169:$E169)&gt;0, "", IFERROR(AVERAGEIFS(Log!#REF!, Log!$A:$A, $A169, Log!$B:$B, $B169, Log!$C:$C, $C169),""))</f>
        <v/>
      </c>
      <c r="R169" s="6" t="str">
        <f>IF(COUNTBLANK($A169:$E169)&gt;0, "", IFERROR(_xlfn.MINIFS(Log!$G:$G, Log!$A:$A, $A169, Log!$B:$B, $B169, Log!$C:$C, $C169),""))</f>
        <v/>
      </c>
      <c r="S169" s="6" t="str">
        <f>IF(COUNTBLANK($A169:$E169)&gt;0, "", IFERROR(_xlfn.MAXIFS(Log!$G:$G, Log!$A:$A, $A169, Log!$B:$B, $B169, Log!$C:$C, $C169),""))</f>
        <v/>
      </c>
      <c r="T169" s="6" t="str">
        <f>IF($N169&lt;&gt;"", 'Daily Camera Trends'!$M$5, "")</f>
        <v/>
      </c>
      <c r="U169" s="6" t="str">
        <f>IF(Q169&lt;&gt;"", 'Daily Camera Trends'!$N$5, "")</f>
        <v/>
      </c>
      <c r="CP169" s="6" t="str">
        <f>IF($N169&lt;&gt;"", 'Daily Camera Trends'!$M$5, "")</f>
        <v/>
      </c>
      <c r="CQ169" s="6" t="str">
        <f>IF($Q169&lt;&gt;"", 'Daily Camera Trends'!$N$5, "")</f>
        <v/>
      </c>
    </row>
    <row r="170" spans="1:95" ht="40.049999999999997" customHeight="1" x14ac:dyDescent="0.3">
      <c r="A170" s="103" t="str">
        <f t="shared" si="6"/>
        <v/>
      </c>
      <c r="B170" s="236" t="s">
        <v>89</v>
      </c>
      <c r="H170" s="7" t="str">
        <f>IF(COUNTBLANK($A170:$E170)&gt;0, "", IFERROR(AVERAGEIFS(Log!$E:$E, Log!$A:$A, $A170, Log!$B:$B, $B170, Log!$C:$C, $C170),""))</f>
        <v/>
      </c>
      <c r="I170" s="37" t="str">
        <f t="shared" si="5"/>
        <v/>
      </c>
      <c r="J170" s="36"/>
      <c r="K170" s="36"/>
      <c r="L170" s="180"/>
      <c r="M170" s="180"/>
      <c r="N170" s="6" t="str">
        <f>IF(COUNTBLANK($A170:$E170)&gt;0, "", IFERROR(AVERAGEIFS(Log!#REF!, Log!$A:$A, $A170, Log!$B:$B, $B170, Log!$C:$C, $C170),""))</f>
        <v/>
      </c>
      <c r="O170" s="6" t="str">
        <f>IF(COUNTBLANK($A170:$E170)&gt;0, "", IFERROR(_xlfn.MINIFS(Log!$F:$F, Log!$A:$A, $A170, Log!$B:$B, $B170, Log!$C:$C, $C170),""))</f>
        <v/>
      </c>
      <c r="P170" s="6" t="str">
        <f>IF(COUNTBLANK($A170:$E170)&gt;0, "", IFERROR(_xlfn.MAXIFS(Log!$F:$F, Log!$A:$A, $A170, Log!$B:$B, $B170, Log!$C:$C, $C170),""))</f>
        <v/>
      </c>
      <c r="Q170" s="6" t="str">
        <f>IF(COUNTBLANK($A170:$E170)&gt;0, "", IFERROR(AVERAGEIFS(Log!#REF!, Log!$A:$A, $A170, Log!$B:$B, $B170, Log!$C:$C, $C170),""))</f>
        <v/>
      </c>
      <c r="R170" s="6" t="str">
        <f>IF(COUNTBLANK($A170:$E170)&gt;0, "", IFERROR(_xlfn.MINIFS(Log!$G:$G, Log!$A:$A, $A170, Log!$B:$B, $B170, Log!$C:$C, $C170),""))</f>
        <v/>
      </c>
      <c r="S170" s="6" t="str">
        <f>IF(COUNTBLANK($A170:$E170)&gt;0, "", IFERROR(_xlfn.MAXIFS(Log!$G:$G, Log!$A:$A, $A170, Log!$B:$B, $B170, Log!$C:$C, $C170),""))</f>
        <v/>
      </c>
      <c r="T170" s="6" t="str">
        <f>IF($N170&lt;&gt;"", 'Daily Camera Trends'!$M$5, "")</f>
        <v/>
      </c>
      <c r="U170" s="6" t="str">
        <f>IF(Q170&lt;&gt;"", 'Daily Camera Trends'!$N$5, "")</f>
        <v/>
      </c>
      <c r="CP170" s="6" t="str">
        <f>IF($N170&lt;&gt;"", 'Daily Camera Trends'!$M$5, "")</f>
        <v/>
      </c>
      <c r="CQ170" s="6" t="str">
        <f>IF($Q170&lt;&gt;"", 'Daily Camera Trends'!$N$5, "")</f>
        <v/>
      </c>
    </row>
    <row r="171" spans="1:95" ht="40.049999999999997" customHeight="1" x14ac:dyDescent="0.3">
      <c r="A171" s="103" t="str">
        <f t="shared" si="6"/>
        <v/>
      </c>
      <c r="B171" s="236" t="s">
        <v>89</v>
      </c>
      <c r="H171" s="7" t="str">
        <f>IF(COUNTBLANK($A171:$E171)&gt;0, "", IFERROR(AVERAGEIFS(Log!$E:$E, Log!$A:$A, $A171, Log!$B:$B, $B171, Log!$C:$C, $C171),""))</f>
        <v/>
      </c>
      <c r="I171" s="37" t="str">
        <f t="shared" si="5"/>
        <v/>
      </c>
      <c r="J171" s="36"/>
      <c r="K171" s="36"/>
      <c r="L171" s="180"/>
      <c r="M171" s="180"/>
      <c r="N171" s="6" t="str">
        <f>IF(COUNTBLANK($A171:$E171)&gt;0, "", IFERROR(AVERAGEIFS(Log!#REF!, Log!$A:$A, $A171, Log!$B:$B, $B171, Log!$C:$C, $C171),""))</f>
        <v/>
      </c>
      <c r="O171" s="6" t="str">
        <f>IF(COUNTBLANK($A171:$E171)&gt;0, "", IFERROR(_xlfn.MINIFS(Log!$F:$F, Log!$A:$A, $A171, Log!$B:$B, $B171, Log!$C:$C, $C171),""))</f>
        <v/>
      </c>
      <c r="P171" s="6" t="str">
        <f>IF(COUNTBLANK($A171:$E171)&gt;0, "", IFERROR(_xlfn.MAXIFS(Log!$F:$F, Log!$A:$A, $A171, Log!$B:$B, $B171, Log!$C:$C, $C171),""))</f>
        <v/>
      </c>
      <c r="Q171" s="6" t="str">
        <f>IF(COUNTBLANK($A171:$E171)&gt;0, "", IFERROR(AVERAGEIFS(Log!#REF!, Log!$A:$A, $A171, Log!$B:$B, $B171, Log!$C:$C, $C171),""))</f>
        <v/>
      </c>
      <c r="R171" s="6" t="str">
        <f>IF(COUNTBLANK($A171:$E171)&gt;0, "", IFERROR(_xlfn.MINIFS(Log!$G:$G, Log!$A:$A, $A171, Log!$B:$B, $B171, Log!$C:$C, $C171),""))</f>
        <v/>
      </c>
      <c r="S171" s="6" t="str">
        <f>IF(COUNTBLANK($A171:$E171)&gt;0, "", IFERROR(_xlfn.MAXIFS(Log!$G:$G, Log!$A:$A, $A171, Log!$B:$B, $B171, Log!$C:$C, $C171),""))</f>
        <v/>
      </c>
      <c r="T171" s="6" t="str">
        <f>IF($N171&lt;&gt;"", 'Daily Camera Trends'!$M$5, "")</f>
        <v/>
      </c>
      <c r="U171" s="6" t="str">
        <f>IF(Q171&lt;&gt;"", 'Daily Camera Trends'!$N$5, "")</f>
        <v/>
      </c>
      <c r="CP171" s="6" t="str">
        <f>IF($N171&lt;&gt;"", 'Daily Camera Trends'!$M$5, "")</f>
        <v/>
      </c>
      <c r="CQ171" s="6" t="str">
        <f>IF($Q171&lt;&gt;"", 'Daily Camera Trends'!$N$5, "")</f>
        <v/>
      </c>
    </row>
    <row r="172" spans="1:95" ht="40.049999999999997" customHeight="1" x14ac:dyDescent="0.3">
      <c r="A172" s="103" t="str">
        <f t="shared" si="6"/>
        <v/>
      </c>
      <c r="B172" s="236" t="s">
        <v>89</v>
      </c>
      <c r="H172" s="7" t="str">
        <f>IF(COUNTBLANK($A172:$E172)&gt;0, "", IFERROR(AVERAGEIFS(Log!$E:$E, Log!$A:$A, $A172, Log!$B:$B, $B172, Log!$C:$C, $C172),""))</f>
        <v/>
      </c>
      <c r="I172" s="37" t="str">
        <f t="shared" si="5"/>
        <v/>
      </c>
      <c r="J172" s="36"/>
      <c r="K172" s="36"/>
      <c r="L172" s="180"/>
      <c r="M172" s="180"/>
      <c r="N172" s="6" t="str">
        <f>IF(COUNTBLANK($A172:$E172)&gt;0, "", IFERROR(AVERAGEIFS(Log!#REF!, Log!$A:$A, $A172, Log!$B:$B, $B172, Log!$C:$C, $C172),""))</f>
        <v/>
      </c>
      <c r="O172" s="6" t="str">
        <f>IF(COUNTBLANK($A172:$E172)&gt;0, "", IFERROR(_xlfn.MINIFS(Log!$F:$F, Log!$A:$A, $A172, Log!$B:$B, $B172, Log!$C:$C, $C172),""))</f>
        <v/>
      </c>
      <c r="P172" s="6" t="str">
        <f>IF(COUNTBLANK($A172:$E172)&gt;0, "", IFERROR(_xlfn.MAXIFS(Log!$F:$F, Log!$A:$A, $A172, Log!$B:$B, $B172, Log!$C:$C, $C172),""))</f>
        <v/>
      </c>
      <c r="Q172" s="6" t="str">
        <f>IF(COUNTBLANK($A172:$E172)&gt;0, "", IFERROR(AVERAGEIFS(Log!#REF!, Log!$A:$A, $A172, Log!$B:$B, $B172, Log!$C:$C, $C172),""))</f>
        <v/>
      </c>
      <c r="R172" s="6" t="str">
        <f>IF(COUNTBLANK($A172:$E172)&gt;0, "", IFERROR(_xlfn.MINIFS(Log!$G:$G, Log!$A:$A, $A172, Log!$B:$B, $B172, Log!$C:$C, $C172),""))</f>
        <v/>
      </c>
      <c r="S172" s="6" t="str">
        <f>IF(COUNTBLANK($A172:$E172)&gt;0, "", IFERROR(_xlfn.MAXIFS(Log!$G:$G, Log!$A:$A, $A172, Log!$B:$B, $B172, Log!$C:$C, $C172),""))</f>
        <v/>
      </c>
      <c r="T172" s="6" t="str">
        <f>IF($N172&lt;&gt;"", 'Daily Camera Trends'!$M$5, "")</f>
        <v/>
      </c>
      <c r="U172" s="6" t="str">
        <f>IF(Q172&lt;&gt;"", 'Daily Camera Trends'!$N$5, "")</f>
        <v/>
      </c>
      <c r="CP172" s="6" t="str">
        <f>IF($N172&lt;&gt;"", 'Daily Camera Trends'!$M$5, "")</f>
        <v/>
      </c>
      <c r="CQ172" s="6" t="str">
        <f>IF($Q172&lt;&gt;"", 'Daily Camera Trends'!$N$5, "")</f>
        <v/>
      </c>
    </row>
    <row r="173" spans="1:95" ht="40.049999999999997" customHeight="1" x14ac:dyDescent="0.3">
      <c r="A173" s="103" t="str">
        <f t="shared" si="6"/>
        <v/>
      </c>
      <c r="B173" s="236" t="s">
        <v>89</v>
      </c>
      <c r="H173" s="7" t="str">
        <f>IF(COUNTBLANK($A173:$E173)&gt;0, "", IFERROR(AVERAGEIFS(Log!$E:$E, Log!$A:$A, $A173, Log!$B:$B, $B173, Log!$C:$C, $C173),""))</f>
        <v/>
      </c>
      <c r="I173" s="37" t="str">
        <f t="shared" si="5"/>
        <v/>
      </c>
      <c r="J173" s="36"/>
      <c r="K173" s="36"/>
      <c r="L173" s="180"/>
      <c r="M173" s="180"/>
      <c r="N173" s="6" t="str">
        <f>IF(COUNTBLANK($A173:$E173)&gt;0, "", IFERROR(AVERAGEIFS(Log!#REF!, Log!$A:$A, $A173, Log!$B:$B, $B173, Log!$C:$C, $C173),""))</f>
        <v/>
      </c>
      <c r="O173" s="6" t="str">
        <f>IF(COUNTBLANK($A173:$E173)&gt;0, "", IFERROR(_xlfn.MINIFS(Log!$F:$F, Log!$A:$A, $A173, Log!$B:$B, $B173, Log!$C:$C, $C173),""))</f>
        <v/>
      </c>
      <c r="P173" s="6" t="str">
        <f>IF(COUNTBLANK($A173:$E173)&gt;0, "", IFERROR(_xlfn.MAXIFS(Log!$F:$F, Log!$A:$A, $A173, Log!$B:$B, $B173, Log!$C:$C, $C173),""))</f>
        <v/>
      </c>
      <c r="Q173" s="6" t="str">
        <f>IF(COUNTBLANK($A173:$E173)&gt;0, "", IFERROR(AVERAGEIFS(Log!#REF!, Log!$A:$A, $A173, Log!$B:$B, $B173, Log!$C:$C, $C173),""))</f>
        <v/>
      </c>
      <c r="R173" s="6" t="str">
        <f>IF(COUNTBLANK($A173:$E173)&gt;0, "", IFERROR(_xlfn.MINIFS(Log!$G:$G, Log!$A:$A, $A173, Log!$B:$B, $B173, Log!$C:$C, $C173),""))</f>
        <v/>
      </c>
      <c r="S173" s="6" t="str">
        <f>IF(COUNTBLANK($A173:$E173)&gt;0, "", IFERROR(_xlfn.MAXIFS(Log!$G:$G, Log!$A:$A, $A173, Log!$B:$B, $B173, Log!$C:$C, $C173),""))</f>
        <v/>
      </c>
      <c r="T173" s="6" t="str">
        <f>IF($N173&lt;&gt;"", 'Daily Camera Trends'!$M$5, "")</f>
        <v/>
      </c>
      <c r="U173" s="6" t="str">
        <f>IF(Q173&lt;&gt;"", 'Daily Camera Trends'!$N$5, "")</f>
        <v/>
      </c>
      <c r="CP173" s="6" t="str">
        <f>IF($N173&lt;&gt;"", 'Daily Camera Trends'!$M$5, "")</f>
        <v/>
      </c>
      <c r="CQ173" s="6" t="str">
        <f>IF($Q173&lt;&gt;"", 'Daily Camera Trends'!$N$5, "")</f>
        <v/>
      </c>
    </row>
    <row r="174" spans="1:95" ht="40.049999999999997" customHeight="1" x14ac:dyDescent="0.3">
      <c r="A174" s="103" t="str">
        <f t="shared" si="6"/>
        <v/>
      </c>
      <c r="B174" s="236" t="s">
        <v>89</v>
      </c>
      <c r="H174" s="7" t="str">
        <f>IF(COUNTBLANK($A174:$E174)&gt;0, "", IFERROR(AVERAGEIFS(Log!$E:$E, Log!$A:$A, $A174, Log!$B:$B, $B174, Log!$C:$C, $C174),""))</f>
        <v/>
      </c>
      <c r="I174" s="37" t="str">
        <f t="shared" si="5"/>
        <v/>
      </c>
      <c r="J174" s="36"/>
      <c r="K174" s="36"/>
      <c r="L174" s="180"/>
      <c r="M174" s="180"/>
      <c r="N174" s="6" t="str">
        <f>IF(COUNTBLANK($A174:$E174)&gt;0, "", IFERROR(AVERAGEIFS(Log!#REF!, Log!$A:$A, $A174, Log!$B:$B, $B174, Log!$C:$C, $C174),""))</f>
        <v/>
      </c>
      <c r="O174" s="6" t="str">
        <f>IF(COUNTBLANK($A174:$E174)&gt;0, "", IFERROR(_xlfn.MINIFS(Log!$F:$F, Log!$A:$A, $A174, Log!$B:$B, $B174, Log!$C:$C, $C174),""))</f>
        <v/>
      </c>
      <c r="P174" s="6" t="str">
        <f>IF(COUNTBLANK($A174:$E174)&gt;0, "", IFERROR(_xlfn.MAXIFS(Log!$F:$F, Log!$A:$A, $A174, Log!$B:$B, $B174, Log!$C:$C, $C174),""))</f>
        <v/>
      </c>
      <c r="Q174" s="6" t="str">
        <f>IF(COUNTBLANK($A174:$E174)&gt;0, "", IFERROR(AVERAGEIFS(Log!#REF!, Log!$A:$A, $A174, Log!$B:$B, $B174, Log!$C:$C, $C174),""))</f>
        <v/>
      </c>
      <c r="R174" s="6" t="str">
        <f>IF(COUNTBLANK($A174:$E174)&gt;0, "", IFERROR(_xlfn.MINIFS(Log!$G:$G, Log!$A:$A, $A174, Log!$B:$B, $B174, Log!$C:$C, $C174),""))</f>
        <v/>
      </c>
      <c r="S174" s="6" t="str">
        <f>IF(COUNTBLANK($A174:$E174)&gt;0, "", IFERROR(_xlfn.MAXIFS(Log!$G:$G, Log!$A:$A, $A174, Log!$B:$B, $B174, Log!$C:$C, $C174),""))</f>
        <v/>
      </c>
      <c r="T174" s="6" t="str">
        <f>IF($N174&lt;&gt;"", 'Daily Camera Trends'!$M$5, "")</f>
        <v/>
      </c>
      <c r="U174" s="6" t="str">
        <f>IF(Q174&lt;&gt;"", 'Daily Camera Trends'!$N$5, "")</f>
        <v/>
      </c>
      <c r="CP174" s="6" t="str">
        <f>IF($N174&lt;&gt;"", 'Daily Camera Trends'!$M$5, "")</f>
        <v/>
      </c>
      <c r="CQ174" s="6" t="str">
        <f>IF($Q174&lt;&gt;"", 'Daily Camera Trends'!$N$5, "")</f>
        <v/>
      </c>
    </row>
    <row r="175" spans="1:95" ht="40.049999999999997" customHeight="1" x14ac:dyDescent="0.3">
      <c r="A175" s="103" t="str">
        <f t="shared" si="6"/>
        <v/>
      </c>
      <c r="B175" s="236" t="s">
        <v>89</v>
      </c>
      <c r="H175" s="7" t="str">
        <f>IF(COUNTBLANK($A175:$E175)&gt;0, "", IFERROR(AVERAGEIFS(Log!$E:$E, Log!$A:$A, $A175, Log!$B:$B, $B175, Log!$C:$C, $C175),""))</f>
        <v/>
      </c>
      <c r="I175" s="37" t="str">
        <f t="shared" si="5"/>
        <v/>
      </c>
      <c r="J175" s="36"/>
      <c r="K175" s="36"/>
      <c r="L175" s="180"/>
      <c r="M175" s="180"/>
      <c r="N175" s="6" t="str">
        <f>IF(COUNTBLANK($A175:$E175)&gt;0, "", IFERROR(AVERAGEIFS(Log!#REF!, Log!$A:$A, $A175, Log!$B:$B, $B175, Log!$C:$C, $C175),""))</f>
        <v/>
      </c>
      <c r="O175" s="6" t="str">
        <f>IF(COUNTBLANK($A175:$E175)&gt;0, "", IFERROR(_xlfn.MINIFS(Log!$F:$F, Log!$A:$A, $A175, Log!$B:$B, $B175, Log!$C:$C, $C175),""))</f>
        <v/>
      </c>
      <c r="P175" s="6" t="str">
        <f>IF(COUNTBLANK($A175:$E175)&gt;0, "", IFERROR(_xlfn.MAXIFS(Log!$F:$F, Log!$A:$A, $A175, Log!$B:$B, $B175, Log!$C:$C, $C175),""))</f>
        <v/>
      </c>
      <c r="Q175" s="6" t="str">
        <f>IF(COUNTBLANK($A175:$E175)&gt;0, "", IFERROR(AVERAGEIFS(Log!#REF!, Log!$A:$A, $A175, Log!$B:$B, $B175, Log!$C:$C, $C175),""))</f>
        <v/>
      </c>
      <c r="R175" s="6" t="str">
        <f>IF(COUNTBLANK($A175:$E175)&gt;0, "", IFERROR(_xlfn.MINIFS(Log!$G:$G, Log!$A:$A, $A175, Log!$B:$B, $B175, Log!$C:$C, $C175),""))</f>
        <v/>
      </c>
      <c r="S175" s="6" t="str">
        <f>IF(COUNTBLANK($A175:$E175)&gt;0, "", IFERROR(_xlfn.MAXIFS(Log!$G:$G, Log!$A:$A, $A175, Log!$B:$B, $B175, Log!$C:$C, $C175),""))</f>
        <v/>
      </c>
      <c r="T175" s="6" t="str">
        <f>IF($N175&lt;&gt;"", 'Daily Camera Trends'!$M$5, "")</f>
        <v/>
      </c>
      <c r="U175" s="6" t="str">
        <f>IF(Q175&lt;&gt;"", 'Daily Camera Trends'!$N$5, "")</f>
        <v/>
      </c>
      <c r="CP175" s="6" t="str">
        <f>IF($N175&lt;&gt;"", 'Daily Camera Trends'!$M$5, "")</f>
        <v/>
      </c>
      <c r="CQ175" s="6" t="str">
        <f>IF($Q175&lt;&gt;"", 'Daily Camera Trends'!$N$5, "")</f>
        <v/>
      </c>
    </row>
    <row r="176" spans="1:95" ht="40.049999999999997" customHeight="1" x14ac:dyDescent="0.3">
      <c r="A176" s="103" t="str">
        <f t="shared" si="6"/>
        <v/>
      </c>
      <c r="B176" s="236" t="s">
        <v>89</v>
      </c>
      <c r="H176" s="7" t="str">
        <f>IF(COUNTBLANK($A176:$E176)&gt;0, "", IFERROR(AVERAGEIFS(Log!$E:$E, Log!$A:$A, $A176, Log!$B:$B, $B176, Log!$C:$C, $C176),""))</f>
        <v/>
      </c>
      <c r="I176" s="37" t="str">
        <f t="shared" si="5"/>
        <v/>
      </c>
      <c r="J176" s="36"/>
      <c r="K176" s="36"/>
      <c r="L176" s="180"/>
      <c r="M176" s="180"/>
      <c r="N176" s="6" t="str">
        <f>IF(COUNTBLANK($A176:$E176)&gt;0, "", IFERROR(AVERAGEIFS(Log!#REF!, Log!$A:$A, $A176, Log!$B:$B, $B176, Log!$C:$C, $C176),""))</f>
        <v/>
      </c>
      <c r="O176" s="6" t="str">
        <f>IF(COUNTBLANK($A176:$E176)&gt;0, "", IFERROR(_xlfn.MINIFS(Log!$F:$F, Log!$A:$A, $A176, Log!$B:$B, $B176, Log!$C:$C, $C176),""))</f>
        <v/>
      </c>
      <c r="P176" s="6" t="str">
        <f>IF(COUNTBLANK($A176:$E176)&gt;0, "", IFERROR(_xlfn.MAXIFS(Log!$F:$F, Log!$A:$A, $A176, Log!$B:$B, $B176, Log!$C:$C, $C176),""))</f>
        <v/>
      </c>
      <c r="Q176" s="6" t="str">
        <f>IF(COUNTBLANK($A176:$E176)&gt;0, "", IFERROR(AVERAGEIFS(Log!#REF!, Log!$A:$A, $A176, Log!$B:$B, $B176, Log!$C:$C, $C176),""))</f>
        <v/>
      </c>
      <c r="R176" s="6" t="str">
        <f>IF(COUNTBLANK($A176:$E176)&gt;0, "", IFERROR(_xlfn.MINIFS(Log!$G:$G, Log!$A:$A, $A176, Log!$B:$B, $B176, Log!$C:$C, $C176),""))</f>
        <v/>
      </c>
      <c r="S176" s="6" t="str">
        <f>IF(COUNTBLANK($A176:$E176)&gt;0, "", IFERROR(_xlfn.MAXIFS(Log!$G:$G, Log!$A:$A, $A176, Log!$B:$B, $B176, Log!$C:$C, $C176),""))</f>
        <v/>
      </c>
      <c r="T176" s="6" t="str">
        <f>IF($N176&lt;&gt;"", 'Daily Camera Trends'!$M$5, "")</f>
        <v/>
      </c>
      <c r="U176" s="6" t="str">
        <f>IF(Q176&lt;&gt;"", 'Daily Camera Trends'!$N$5, "")</f>
        <v/>
      </c>
      <c r="CP176" s="6" t="str">
        <f>IF($N176&lt;&gt;"", 'Daily Camera Trends'!$M$5, "")</f>
        <v/>
      </c>
      <c r="CQ176" s="6" t="str">
        <f>IF($Q176&lt;&gt;"", 'Daily Camera Trends'!$N$5, "")</f>
        <v/>
      </c>
    </row>
    <row r="177" spans="1:95" ht="40.049999999999997" customHeight="1" x14ac:dyDescent="0.3">
      <c r="A177" s="103" t="str">
        <f t="shared" si="6"/>
        <v/>
      </c>
      <c r="B177" s="236" t="s">
        <v>89</v>
      </c>
      <c r="H177" s="7" t="str">
        <f>IF(COUNTBLANK($A177:$E177)&gt;0, "", IFERROR(AVERAGEIFS(Log!$E:$E, Log!$A:$A, $A177, Log!$B:$B, $B177, Log!$C:$C, $C177),""))</f>
        <v/>
      </c>
      <c r="I177" s="37" t="str">
        <f t="shared" si="5"/>
        <v/>
      </c>
      <c r="J177" s="36"/>
      <c r="K177" s="36"/>
      <c r="L177" s="180"/>
      <c r="M177" s="180"/>
      <c r="N177" s="6" t="str">
        <f>IF(COUNTBLANK($A177:$E177)&gt;0, "", IFERROR(AVERAGEIFS(Log!#REF!, Log!$A:$A, $A177, Log!$B:$B, $B177, Log!$C:$C, $C177),""))</f>
        <v/>
      </c>
      <c r="O177" s="6" t="str">
        <f>IF(COUNTBLANK($A177:$E177)&gt;0, "", IFERROR(_xlfn.MINIFS(Log!$F:$F, Log!$A:$A, $A177, Log!$B:$B, $B177, Log!$C:$C, $C177),""))</f>
        <v/>
      </c>
      <c r="P177" s="6" t="str">
        <f>IF(COUNTBLANK($A177:$E177)&gt;0, "", IFERROR(_xlfn.MAXIFS(Log!$F:$F, Log!$A:$A, $A177, Log!$B:$B, $B177, Log!$C:$C, $C177),""))</f>
        <v/>
      </c>
      <c r="Q177" s="6" t="str">
        <f>IF(COUNTBLANK($A177:$E177)&gt;0, "", IFERROR(AVERAGEIFS(Log!#REF!, Log!$A:$A, $A177, Log!$B:$B, $B177, Log!$C:$C, $C177),""))</f>
        <v/>
      </c>
      <c r="R177" s="6" t="str">
        <f>IF(COUNTBLANK($A177:$E177)&gt;0, "", IFERROR(_xlfn.MINIFS(Log!$G:$G, Log!$A:$A, $A177, Log!$B:$B, $B177, Log!$C:$C, $C177),""))</f>
        <v/>
      </c>
      <c r="S177" s="6" t="str">
        <f>IF(COUNTBLANK($A177:$E177)&gt;0, "", IFERROR(_xlfn.MAXIFS(Log!$G:$G, Log!$A:$A, $A177, Log!$B:$B, $B177, Log!$C:$C, $C177),""))</f>
        <v/>
      </c>
      <c r="T177" s="6" t="str">
        <f>IF($N177&lt;&gt;"", 'Daily Camera Trends'!$M$5, "")</f>
        <v/>
      </c>
      <c r="U177" s="6" t="str">
        <f>IF(Q177&lt;&gt;"", 'Daily Camera Trends'!$N$5, "")</f>
        <v/>
      </c>
      <c r="CP177" s="6" t="str">
        <f>IF($N177&lt;&gt;"", 'Daily Camera Trends'!$M$5, "")</f>
        <v/>
      </c>
      <c r="CQ177" s="6" t="str">
        <f>IF($Q177&lt;&gt;"", 'Daily Camera Trends'!$N$5, "")</f>
        <v/>
      </c>
    </row>
    <row r="178" spans="1:95" ht="40.049999999999997" customHeight="1" x14ac:dyDescent="0.3">
      <c r="A178" s="103" t="str">
        <f t="shared" si="6"/>
        <v/>
      </c>
      <c r="B178" s="236" t="s">
        <v>89</v>
      </c>
      <c r="H178" s="7" t="str">
        <f>IF(COUNTBLANK($A178:$E178)&gt;0, "", IFERROR(AVERAGEIFS(Log!$E:$E, Log!$A:$A, $A178, Log!$B:$B, $B178, Log!$C:$C, $C178),""))</f>
        <v/>
      </c>
      <c r="I178" s="37" t="str">
        <f t="shared" si="5"/>
        <v/>
      </c>
      <c r="J178" s="36"/>
      <c r="K178" s="36"/>
      <c r="L178" s="180"/>
      <c r="M178" s="180"/>
      <c r="N178" s="6" t="str">
        <f>IF(COUNTBLANK($A178:$E178)&gt;0, "", IFERROR(AVERAGEIFS(Log!#REF!, Log!$A:$A, $A178, Log!$B:$B, $B178, Log!$C:$C, $C178),""))</f>
        <v/>
      </c>
      <c r="O178" s="6" t="str">
        <f>IF(COUNTBLANK($A178:$E178)&gt;0, "", IFERROR(_xlfn.MINIFS(Log!$F:$F, Log!$A:$A, $A178, Log!$B:$B, $B178, Log!$C:$C, $C178),""))</f>
        <v/>
      </c>
      <c r="P178" s="6" t="str">
        <f>IF(COUNTBLANK($A178:$E178)&gt;0, "", IFERROR(_xlfn.MAXIFS(Log!$F:$F, Log!$A:$A, $A178, Log!$B:$B, $B178, Log!$C:$C, $C178),""))</f>
        <v/>
      </c>
      <c r="Q178" s="6" t="str">
        <f>IF(COUNTBLANK($A178:$E178)&gt;0, "", IFERROR(AVERAGEIFS(Log!#REF!, Log!$A:$A, $A178, Log!$B:$B, $B178, Log!$C:$C, $C178),""))</f>
        <v/>
      </c>
      <c r="R178" s="6" t="str">
        <f>IF(COUNTBLANK($A178:$E178)&gt;0, "", IFERROR(_xlfn.MINIFS(Log!$G:$G, Log!$A:$A, $A178, Log!$B:$B, $B178, Log!$C:$C, $C178),""))</f>
        <v/>
      </c>
      <c r="S178" s="6" t="str">
        <f>IF(COUNTBLANK($A178:$E178)&gt;0, "", IFERROR(_xlfn.MAXIFS(Log!$G:$G, Log!$A:$A, $A178, Log!$B:$B, $B178, Log!$C:$C, $C178),""))</f>
        <v/>
      </c>
      <c r="T178" s="6" t="str">
        <f>IF($N178&lt;&gt;"", 'Daily Camera Trends'!$M$5, "")</f>
        <v/>
      </c>
      <c r="U178" s="6" t="str">
        <f>IF(Q178&lt;&gt;"", 'Daily Camera Trends'!$N$5, "")</f>
        <v/>
      </c>
      <c r="CP178" s="6" t="str">
        <f>IF($N178&lt;&gt;"", 'Daily Camera Trends'!$M$5, "")</f>
        <v/>
      </c>
      <c r="CQ178" s="6" t="str">
        <f>IF($Q178&lt;&gt;"", 'Daily Camera Trends'!$N$5, "")</f>
        <v/>
      </c>
    </row>
    <row r="179" spans="1:95" ht="40.049999999999997" customHeight="1" x14ac:dyDescent="0.3">
      <c r="A179" s="103" t="str">
        <f t="shared" si="6"/>
        <v/>
      </c>
      <c r="B179" s="236" t="s">
        <v>89</v>
      </c>
      <c r="H179" s="7" t="str">
        <f>IF(COUNTBLANK($A179:$E179)&gt;0, "", IFERROR(AVERAGEIFS(Log!$E:$E, Log!$A:$A, $A179, Log!$B:$B, $B179, Log!$C:$C, $C179),""))</f>
        <v/>
      </c>
      <c r="I179" s="37" t="str">
        <f t="shared" si="5"/>
        <v/>
      </c>
      <c r="J179" s="36"/>
      <c r="K179" s="36"/>
      <c r="L179" s="180"/>
      <c r="M179" s="180"/>
      <c r="N179" s="6" t="str">
        <f>IF(COUNTBLANK($A179:$E179)&gt;0, "", IFERROR(AVERAGEIFS(Log!#REF!, Log!$A:$A, $A179, Log!$B:$B, $B179, Log!$C:$C, $C179),""))</f>
        <v/>
      </c>
      <c r="O179" s="6" t="str">
        <f>IF(COUNTBLANK($A179:$E179)&gt;0, "", IFERROR(_xlfn.MINIFS(Log!$F:$F, Log!$A:$A, $A179, Log!$B:$B, $B179, Log!$C:$C, $C179),""))</f>
        <v/>
      </c>
      <c r="P179" s="6" t="str">
        <f>IF(COUNTBLANK($A179:$E179)&gt;0, "", IFERROR(_xlfn.MAXIFS(Log!$F:$F, Log!$A:$A, $A179, Log!$B:$B, $B179, Log!$C:$C, $C179),""))</f>
        <v/>
      </c>
      <c r="Q179" s="6" t="str">
        <f>IF(COUNTBLANK($A179:$E179)&gt;0, "", IFERROR(AVERAGEIFS(Log!#REF!, Log!$A:$A, $A179, Log!$B:$B, $B179, Log!$C:$C, $C179),""))</f>
        <v/>
      </c>
      <c r="R179" s="6" t="str">
        <f>IF(COUNTBLANK($A179:$E179)&gt;0, "", IFERROR(_xlfn.MINIFS(Log!$G:$G, Log!$A:$A, $A179, Log!$B:$B, $B179, Log!$C:$C, $C179),""))</f>
        <v/>
      </c>
      <c r="S179" s="6" t="str">
        <f>IF(COUNTBLANK($A179:$E179)&gt;0, "", IFERROR(_xlfn.MAXIFS(Log!$G:$G, Log!$A:$A, $A179, Log!$B:$B, $B179, Log!$C:$C, $C179),""))</f>
        <v/>
      </c>
      <c r="T179" s="6" t="str">
        <f>IF($N179&lt;&gt;"", 'Daily Camera Trends'!$M$5, "")</f>
        <v/>
      </c>
      <c r="U179" s="6" t="str">
        <f>IF(Q179&lt;&gt;"", 'Daily Camera Trends'!$N$5, "")</f>
        <v/>
      </c>
      <c r="CP179" s="6" t="str">
        <f>IF($N179&lt;&gt;"", 'Daily Camera Trends'!$M$5, "")</f>
        <v/>
      </c>
      <c r="CQ179" s="6" t="str">
        <f>IF($Q179&lt;&gt;"", 'Daily Camera Trends'!$N$5, "")</f>
        <v/>
      </c>
    </row>
    <row r="180" spans="1:95" ht="40.049999999999997" customHeight="1" x14ac:dyDescent="0.3">
      <c r="A180" s="103" t="str">
        <f t="shared" si="6"/>
        <v/>
      </c>
      <c r="B180" s="236" t="s">
        <v>89</v>
      </c>
      <c r="H180" s="7" t="str">
        <f>IF(COUNTBLANK($A180:$E180)&gt;0, "", IFERROR(AVERAGEIFS(Log!$E:$E, Log!$A:$A, $A180, Log!$B:$B, $B180, Log!$C:$C, $C180),""))</f>
        <v/>
      </c>
      <c r="I180" s="37" t="str">
        <f t="shared" si="5"/>
        <v/>
      </c>
      <c r="J180" s="36"/>
      <c r="K180" s="36"/>
      <c r="L180" s="180"/>
      <c r="M180" s="180"/>
      <c r="N180" s="6" t="str">
        <f>IF(COUNTBLANK($A180:$E180)&gt;0, "", IFERROR(AVERAGEIFS(Log!#REF!, Log!$A:$A, $A180, Log!$B:$B, $B180, Log!$C:$C, $C180),""))</f>
        <v/>
      </c>
      <c r="O180" s="6" t="str">
        <f>IF(COUNTBLANK($A180:$E180)&gt;0, "", IFERROR(_xlfn.MINIFS(Log!$F:$F, Log!$A:$A, $A180, Log!$B:$B, $B180, Log!$C:$C, $C180),""))</f>
        <v/>
      </c>
      <c r="P180" s="6" t="str">
        <f>IF(COUNTBLANK($A180:$E180)&gt;0, "", IFERROR(_xlfn.MAXIFS(Log!$F:$F, Log!$A:$A, $A180, Log!$B:$B, $B180, Log!$C:$C, $C180),""))</f>
        <v/>
      </c>
      <c r="Q180" s="6" t="str">
        <f>IF(COUNTBLANK($A180:$E180)&gt;0, "", IFERROR(AVERAGEIFS(Log!#REF!, Log!$A:$A, $A180, Log!$B:$B, $B180, Log!$C:$C, $C180),""))</f>
        <v/>
      </c>
      <c r="R180" s="6" t="str">
        <f>IF(COUNTBLANK($A180:$E180)&gt;0, "", IFERROR(_xlfn.MINIFS(Log!$G:$G, Log!$A:$A, $A180, Log!$B:$B, $B180, Log!$C:$C, $C180),""))</f>
        <v/>
      </c>
      <c r="S180" s="6" t="str">
        <f>IF(COUNTBLANK($A180:$E180)&gt;0, "", IFERROR(_xlfn.MAXIFS(Log!$G:$G, Log!$A:$A, $A180, Log!$B:$B, $B180, Log!$C:$C, $C180),""))</f>
        <v/>
      </c>
      <c r="T180" s="6" t="str">
        <f>IF($N180&lt;&gt;"", 'Daily Camera Trends'!$M$5, "")</f>
        <v/>
      </c>
      <c r="U180" s="6" t="str">
        <f>IF(Q180&lt;&gt;"", 'Daily Camera Trends'!$N$5, "")</f>
        <v/>
      </c>
      <c r="CP180" s="6" t="str">
        <f>IF($N180&lt;&gt;"", 'Daily Camera Trends'!$M$5, "")</f>
        <v/>
      </c>
      <c r="CQ180" s="6" t="str">
        <f>IF($Q180&lt;&gt;"", 'Daily Camera Trends'!$N$5, "")</f>
        <v/>
      </c>
    </row>
    <row r="181" spans="1:95" ht="40.049999999999997" customHeight="1" x14ac:dyDescent="0.3">
      <c r="A181" s="103" t="str">
        <f t="shared" si="6"/>
        <v/>
      </c>
      <c r="B181" s="236" t="s">
        <v>89</v>
      </c>
      <c r="H181" s="7" t="str">
        <f>IF(COUNTBLANK($A181:$E181)&gt;0, "", IFERROR(AVERAGEIFS(Log!$E:$E, Log!$A:$A, $A181, Log!$B:$B, $B181, Log!$C:$C, $C181),""))</f>
        <v/>
      </c>
      <c r="I181" s="37" t="str">
        <f t="shared" si="5"/>
        <v/>
      </c>
      <c r="J181" s="36"/>
      <c r="K181" s="36"/>
      <c r="L181" s="180"/>
      <c r="M181" s="180"/>
      <c r="N181" s="6" t="str">
        <f>IF(COUNTBLANK($A181:$E181)&gt;0, "", IFERROR(AVERAGEIFS(Log!#REF!, Log!$A:$A, $A181, Log!$B:$B, $B181, Log!$C:$C, $C181),""))</f>
        <v/>
      </c>
      <c r="O181" s="6" t="str">
        <f>IF(COUNTBLANK($A181:$E181)&gt;0, "", IFERROR(_xlfn.MINIFS(Log!$F:$F, Log!$A:$A, $A181, Log!$B:$B, $B181, Log!$C:$C, $C181),""))</f>
        <v/>
      </c>
      <c r="P181" s="6" t="str">
        <f>IF(COUNTBLANK($A181:$E181)&gt;0, "", IFERROR(_xlfn.MAXIFS(Log!$F:$F, Log!$A:$A, $A181, Log!$B:$B, $B181, Log!$C:$C, $C181),""))</f>
        <v/>
      </c>
      <c r="Q181" s="6" t="str">
        <f>IF(COUNTBLANK($A181:$E181)&gt;0, "", IFERROR(AVERAGEIFS(Log!#REF!, Log!$A:$A, $A181, Log!$B:$B, $B181, Log!$C:$C, $C181),""))</f>
        <v/>
      </c>
      <c r="R181" s="6" t="str">
        <f>IF(COUNTBLANK($A181:$E181)&gt;0, "", IFERROR(_xlfn.MINIFS(Log!$G:$G, Log!$A:$A, $A181, Log!$B:$B, $B181, Log!$C:$C, $C181),""))</f>
        <v/>
      </c>
      <c r="S181" s="6" t="str">
        <f>IF(COUNTBLANK($A181:$E181)&gt;0, "", IFERROR(_xlfn.MAXIFS(Log!$G:$G, Log!$A:$A, $A181, Log!$B:$B, $B181, Log!$C:$C, $C181),""))</f>
        <v/>
      </c>
      <c r="T181" s="6" t="str">
        <f>IF($N181&lt;&gt;"", 'Daily Camera Trends'!$M$5, "")</f>
        <v/>
      </c>
      <c r="U181" s="6" t="str">
        <f>IF(Q181&lt;&gt;"", 'Daily Camera Trends'!$N$5, "")</f>
        <v/>
      </c>
      <c r="CP181" s="6" t="str">
        <f>IF($N181&lt;&gt;"", 'Daily Camera Trends'!$M$5, "")</f>
        <v/>
      </c>
      <c r="CQ181" s="6" t="str">
        <f>IF($Q181&lt;&gt;"", 'Daily Camera Trends'!$N$5, "")</f>
        <v/>
      </c>
    </row>
    <row r="182" spans="1:95" ht="40.049999999999997" customHeight="1" x14ac:dyDescent="0.3">
      <c r="A182" s="103" t="str">
        <f t="shared" si="6"/>
        <v/>
      </c>
      <c r="B182" s="236" t="s">
        <v>89</v>
      </c>
      <c r="H182" s="7" t="str">
        <f>IF(COUNTBLANK($A182:$E182)&gt;0, "", IFERROR(AVERAGEIFS(Log!$E:$E, Log!$A:$A, $A182, Log!$B:$B, $B182, Log!$C:$C, $C182),""))</f>
        <v/>
      </c>
      <c r="I182" s="37" t="str">
        <f t="shared" si="5"/>
        <v/>
      </c>
      <c r="J182" s="36"/>
      <c r="K182" s="36"/>
      <c r="L182" s="180"/>
      <c r="M182" s="180"/>
      <c r="N182" s="6" t="str">
        <f>IF(COUNTBLANK($A182:$E182)&gt;0, "", IFERROR(AVERAGEIFS(Log!#REF!, Log!$A:$A, $A182, Log!$B:$B, $B182, Log!$C:$C, $C182),""))</f>
        <v/>
      </c>
      <c r="O182" s="6" t="str">
        <f>IF(COUNTBLANK($A182:$E182)&gt;0, "", IFERROR(_xlfn.MINIFS(Log!$F:$F, Log!$A:$A, $A182, Log!$B:$B, $B182, Log!$C:$C, $C182),""))</f>
        <v/>
      </c>
      <c r="P182" s="6" t="str">
        <f>IF(COUNTBLANK($A182:$E182)&gt;0, "", IFERROR(_xlfn.MAXIFS(Log!$F:$F, Log!$A:$A, $A182, Log!$B:$B, $B182, Log!$C:$C, $C182),""))</f>
        <v/>
      </c>
      <c r="Q182" s="6" t="str">
        <f>IF(COUNTBLANK($A182:$E182)&gt;0, "", IFERROR(AVERAGEIFS(Log!#REF!, Log!$A:$A, $A182, Log!$B:$B, $B182, Log!$C:$C, $C182),""))</f>
        <v/>
      </c>
      <c r="R182" s="6" t="str">
        <f>IF(COUNTBLANK($A182:$E182)&gt;0, "", IFERROR(_xlfn.MINIFS(Log!$G:$G, Log!$A:$A, $A182, Log!$B:$B, $B182, Log!$C:$C, $C182),""))</f>
        <v/>
      </c>
      <c r="S182" s="6" t="str">
        <f>IF(COUNTBLANK($A182:$E182)&gt;0, "", IFERROR(_xlfn.MAXIFS(Log!$G:$G, Log!$A:$A, $A182, Log!$B:$B, $B182, Log!$C:$C, $C182),""))</f>
        <v/>
      </c>
      <c r="T182" s="6" t="str">
        <f>IF($N182&lt;&gt;"", 'Daily Camera Trends'!$M$5, "")</f>
        <v/>
      </c>
      <c r="U182" s="6" t="str">
        <f>IF(Q182&lt;&gt;"", 'Daily Camera Trends'!$N$5, "")</f>
        <v/>
      </c>
      <c r="CP182" s="6" t="str">
        <f>IF($N182&lt;&gt;"", 'Daily Camera Trends'!$M$5, "")</f>
        <v/>
      </c>
      <c r="CQ182" s="6" t="str">
        <f>IF($Q182&lt;&gt;"", 'Daily Camera Trends'!$N$5, "")</f>
        <v/>
      </c>
    </row>
    <row r="183" spans="1:95" ht="40.049999999999997" customHeight="1" x14ac:dyDescent="0.3">
      <c r="A183" s="103" t="str">
        <f t="shared" si="6"/>
        <v/>
      </c>
      <c r="B183" s="236" t="s">
        <v>89</v>
      </c>
      <c r="H183" s="7" t="str">
        <f>IF(COUNTBLANK($A183:$E183)&gt;0, "", IFERROR(AVERAGEIFS(Log!$E:$E, Log!$A:$A, $A183, Log!$B:$B, $B183, Log!$C:$C, $C183),""))</f>
        <v/>
      </c>
      <c r="I183" s="37" t="str">
        <f t="shared" si="5"/>
        <v/>
      </c>
      <c r="J183" s="36"/>
      <c r="K183" s="36"/>
      <c r="L183" s="180"/>
      <c r="M183" s="180"/>
      <c r="N183" s="6" t="str">
        <f>IF(COUNTBLANK($A183:$E183)&gt;0, "", IFERROR(AVERAGEIFS(Log!#REF!, Log!$A:$A, $A183, Log!$B:$B, $B183, Log!$C:$C, $C183),""))</f>
        <v/>
      </c>
      <c r="O183" s="6" t="str">
        <f>IF(COUNTBLANK($A183:$E183)&gt;0, "", IFERROR(_xlfn.MINIFS(Log!$F:$F, Log!$A:$A, $A183, Log!$B:$B, $B183, Log!$C:$C, $C183),""))</f>
        <v/>
      </c>
      <c r="P183" s="6" t="str">
        <f>IF(COUNTBLANK($A183:$E183)&gt;0, "", IFERROR(_xlfn.MAXIFS(Log!$F:$F, Log!$A:$A, $A183, Log!$B:$B, $B183, Log!$C:$C, $C183),""))</f>
        <v/>
      </c>
      <c r="Q183" s="6" t="str">
        <f>IF(COUNTBLANK($A183:$E183)&gt;0, "", IFERROR(AVERAGEIFS(Log!#REF!, Log!$A:$A, $A183, Log!$B:$B, $B183, Log!$C:$C, $C183),""))</f>
        <v/>
      </c>
      <c r="R183" s="6" t="str">
        <f>IF(COUNTBLANK($A183:$E183)&gt;0, "", IFERROR(_xlfn.MINIFS(Log!$G:$G, Log!$A:$A, $A183, Log!$B:$B, $B183, Log!$C:$C, $C183),""))</f>
        <v/>
      </c>
      <c r="S183" s="6" t="str">
        <f>IF(COUNTBLANK($A183:$E183)&gt;0, "", IFERROR(_xlfn.MAXIFS(Log!$G:$G, Log!$A:$A, $A183, Log!$B:$B, $B183, Log!$C:$C, $C183),""))</f>
        <v/>
      </c>
      <c r="T183" s="6" t="str">
        <f>IF($N183&lt;&gt;"", 'Daily Camera Trends'!$M$5, "")</f>
        <v/>
      </c>
      <c r="U183" s="6" t="str">
        <f>IF(Q183&lt;&gt;"", 'Daily Camera Trends'!$N$5, "")</f>
        <v/>
      </c>
      <c r="CP183" s="6" t="str">
        <f>IF($N183&lt;&gt;"", 'Daily Camera Trends'!$M$5, "")</f>
        <v/>
      </c>
      <c r="CQ183" s="6" t="str">
        <f>IF($Q183&lt;&gt;"", 'Daily Camera Trends'!$N$5, "")</f>
        <v/>
      </c>
    </row>
    <row r="184" spans="1:95" ht="40.049999999999997" customHeight="1" x14ac:dyDescent="0.3">
      <c r="A184" s="103" t="str">
        <f t="shared" si="6"/>
        <v/>
      </c>
      <c r="B184" s="236" t="s">
        <v>89</v>
      </c>
      <c r="H184" s="7" t="str">
        <f>IF(COUNTBLANK($A184:$E184)&gt;0, "", IFERROR(AVERAGEIFS(Log!$E:$E, Log!$A:$A, $A184, Log!$B:$B, $B184, Log!$C:$C, $C184),""))</f>
        <v/>
      </c>
      <c r="I184" s="37" t="str">
        <f t="shared" si="5"/>
        <v/>
      </c>
      <c r="J184" s="36"/>
      <c r="K184" s="36"/>
      <c r="L184" s="180"/>
      <c r="M184" s="180"/>
      <c r="N184" s="6" t="str">
        <f>IF(COUNTBLANK($A184:$E184)&gt;0, "", IFERROR(AVERAGEIFS(Log!#REF!, Log!$A:$A, $A184, Log!$B:$B, $B184, Log!$C:$C, $C184),""))</f>
        <v/>
      </c>
      <c r="O184" s="6" t="str">
        <f>IF(COUNTBLANK($A184:$E184)&gt;0, "", IFERROR(_xlfn.MINIFS(Log!$F:$F, Log!$A:$A, $A184, Log!$B:$B, $B184, Log!$C:$C, $C184),""))</f>
        <v/>
      </c>
      <c r="P184" s="6" t="str">
        <f>IF(COUNTBLANK($A184:$E184)&gt;0, "", IFERROR(_xlfn.MAXIFS(Log!$F:$F, Log!$A:$A, $A184, Log!$B:$B, $B184, Log!$C:$C, $C184),""))</f>
        <v/>
      </c>
      <c r="Q184" s="6" t="str">
        <f>IF(COUNTBLANK($A184:$E184)&gt;0, "", IFERROR(AVERAGEIFS(Log!#REF!, Log!$A:$A, $A184, Log!$B:$B, $B184, Log!$C:$C, $C184),""))</f>
        <v/>
      </c>
      <c r="R184" s="6" t="str">
        <f>IF(COUNTBLANK($A184:$E184)&gt;0, "", IFERROR(_xlfn.MINIFS(Log!$G:$G, Log!$A:$A, $A184, Log!$B:$B, $B184, Log!$C:$C, $C184),""))</f>
        <v/>
      </c>
      <c r="S184" s="6" t="str">
        <f>IF(COUNTBLANK($A184:$E184)&gt;0, "", IFERROR(_xlfn.MAXIFS(Log!$G:$G, Log!$A:$A, $A184, Log!$B:$B, $B184, Log!$C:$C, $C184),""))</f>
        <v/>
      </c>
      <c r="T184" s="6" t="str">
        <f>IF($N184&lt;&gt;"", 'Daily Camera Trends'!$M$5, "")</f>
        <v/>
      </c>
      <c r="U184" s="6" t="str">
        <f>IF(Q184&lt;&gt;"", 'Daily Camera Trends'!$N$5, "")</f>
        <v/>
      </c>
      <c r="CP184" s="6" t="str">
        <f>IF($N184&lt;&gt;"", 'Daily Camera Trends'!$M$5, "")</f>
        <v/>
      </c>
      <c r="CQ184" s="6" t="str">
        <f>IF($Q184&lt;&gt;"", 'Daily Camera Trends'!$N$5, "")</f>
        <v/>
      </c>
    </row>
    <row r="185" spans="1:95" ht="40.049999999999997" customHeight="1" x14ac:dyDescent="0.3">
      <c r="A185" s="103" t="str">
        <f t="shared" si="6"/>
        <v/>
      </c>
      <c r="B185" s="236" t="s">
        <v>89</v>
      </c>
      <c r="H185" s="7" t="str">
        <f>IF(COUNTBLANK($A185:$E185)&gt;0, "", IFERROR(AVERAGEIFS(Log!$E:$E, Log!$A:$A, $A185, Log!$B:$B, $B185, Log!$C:$C, $C185),""))</f>
        <v/>
      </c>
      <c r="I185" s="37" t="str">
        <f t="shared" si="5"/>
        <v/>
      </c>
      <c r="J185" s="36"/>
      <c r="K185" s="36"/>
      <c r="L185" s="180"/>
      <c r="M185" s="180"/>
      <c r="N185" s="6" t="str">
        <f>IF(COUNTBLANK($A185:$E185)&gt;0, "", IFERROR(AVERAGEIFS(Log!#REF!, Log!$A:$A, $A185, Log!$B:$B, $B185, Log!$C:$C, $C185),""))</f>
        <v/>
      </c>
      <c r="O185" s="6" t="str">
        <f>IF(COUNTBLANK($A185:$E185)&gt;0, "", IFERROR(_xlfn.MINIFS(Log!$F:$F, Log!$A:$A, $A185, Log!$B:$B, $B185, Log!$C:$C, $C185),""))</f>
        <v/>
      </c>
      <c r="P185" s="6" t="str">
        <f>IF(COUNTBLANK($A185:$E185)&gt;0, "", IFERROR(_xlfn.MAXIFS(Log!$F:$F, Log!$A:$A, $A185, Log!$B:$B, $B185, Log!$C:$C, $C185),""))</f>
        <v/>
      </c>
      <c r="Q185" s="6" t="str">
        <f>IF(COUNTBLANK($A185:$E185)&gt;0, "", IFERROR(AVERAGEIFS(Log!#REF!, Log!$A:$A, $A185, Log!$B:$B, $B185, Log!$C:$C, $C185),""))</f>
        <v/>
      </c>
      <c r="R185" s="6" t="str">
        <f>IF(COUNTBLANK($A185:$E185)&gt;0, "", IFERROR(_xlfn.MINIFS(Log!$G:$G, Log!$A:$A, $A185, Log!$B:$B, $B185, Log!$C:$C, $C185),""))</f>
        <v/>
      </c>
      <c r="S185" s="6" t="str">
        <f>IF(COUNTBLANK($A185:$E185)&gt;0, "", IFERROR(_xlfn.MAXIFS(Log!$G:$G, Log!$A:$A, $A185, Log!$B:$B, $B185, Log!$C:$C, $C185),""))</f>
        <v/>
      </c>
      <c r="T185" s="6" t="str">
        <f>IF($N185&lt;&gt;"", 'Daily Camera Trends'!$M$5, "")</f>
        <v/>
      </c>
      <c r="U185" s="6" t="str">
        <f>IF(Q185&lt;&gt;"", 'Daily Camera Trends'!$N$5, "")</f>
        <v/>
      </c>
      <c r="CP185" s="6" t="str">
        <f>IF($N185&lt;&gt;"", 'Daily Camera Trends'!$M$5, "")</f>
        <v/>
      </c>
      <c r="CQ185" s="6" t="str">
        <f>IF($Q185&lt;&gt;"", 'Daily Camera Trends'!$N$5, "")</f>
        <v/>
      </c>
    </row>
    <row r="186" spans="1:95" ht="40.049999999999997" customHeight="1" x14ac:dyDescent="0.3">
      <c r="A186" s="103" t="str">
        <f t="shared" si="6"/>
        <v/>
      </c>
      <c r="B186" s="236" t="s">
        <v>89</v>
      </c>
      <c r="H186" s="7" t="str">
        <f>IF(COUNTBLANK($A186:$E186)&gt;0, "", IFERROR(AVERAGEIFS(Log!$E:$E, Log!$A:$A, $A186, Log!$B:$B, $B186, Log!$C:$C, $C186),""))</f>
        <v/>
      </c>
      <c r="I186" s="37" t="str">
        <f t="shared" si="5"/>
        <v/>
      </c>
      <c r="J186" s="36"/>
      <c r="K186" s="36"/>
      <c r="L186" s="180"/>
      <c r="M186" s="180"/>
      <c r="N186" s="6" t="str">
        <f>IF(COUNTBLANK($A186:$E186)&gt;0, "", IFERROR(AVERAGEIFS(Log!#REF!, Log!$A:$A, $A186, Log!$B:$B, $B186, Log!$C:$C, $C186),""))</f>
        <v/>
      </c>
      <c r="O186" s="6" t="str">
        <f>IF(COUNTBLANK($A186:$E186)&gt;0, "", IFERROR(_xlfn.MINIFS(Log!$F:$F, Log!$A:$A, $A186, Log!$B:$B, $B186, Log!$C:$C, $C186),""))</f>
        <v/>
      </c>
      <c r="P186" s="6" t="str">
        <f>IF(COUNTBLANK($A186:$E186)&gt;0, "", IFERROR(_xlfn.MAXIFS(Log!$F:$F, Log!$A:$A, $A186, Log!$B:$B, $B186, Log!$C:$C, $C186),""))</f>
        <v/>
      </c>
      <c r="Q186" s="6" t="str">
        <f>IF(COUNTBLANK($A186:$E186)&gt;0, "", IFERROR(AVERAGEIFS(Log!#REF!, Log!$A:$A, $A186, Log!$B:$B, $B186, Log!$C:$C, $C186),""))</f>
        <v/>
      </c>
      <c r="R186" s="6" t="str">
        <f>IF(COUNTBLANK($A186:$E186)&gt;0, "", IFERROR(_xlfn.MINIFS(Log!$G:$G, Log!$A:$A, $A186, Log!$B:$B, $B186, Log!$C:$C, $C186),""))</f>
        <v/>
      </c>
      <c r="S186" s="6" t="str">
        <f>IF(COUNTBLANK($A186:$E186)&gt;0, "", IFERROR(_xlfn.MAXIFS(Log!$G:$G, Log!$A:$A, $A186, Log!$B:$B, $B186, Log!$C:$C, $C186),""))</f>
        <v/>
      </c>
      <c r="T186" s="6" t="str">
        <f>IF($N186&lt;&gt;"", 'Daily Camera Trends'!$M$5, "")</f>
        <v/>
      </c>
      <c r="U186" s="6" t="str">
        <f>IF(Q186&lt;&gt;"", 'Daily Camera Trends'!$N$5, "")</f>
        <v/>
      </c>
      <c r="CP186" s="6" t="str">
        <f>IF($N186&lt;&gt;"", 'Daily Camera Trends'!$M$5, "")</f>
        <v/>
      </c>
      <c r="CQ186" s="6" t="str">
        <f>IF($Q186&lt;&gt;"", 'Daily Camera Trends'!$N$5, "")</f>
        <v/>
      </c>
    </row>
    <row r="187" spans="1:95" ht="40.049999999999997" customHeight="1" x14ac:dyDescent="0.3">
      <c r="A187" s="103" t="str">
        <f t="shared" si="6"/>
        <v/>
      </c>
      <c r="B187" s="236" t="s">
        <v>89</v>
      </c>
      <c r="H187" s="7" t="str">
        <f>IF(COUNTBLANK($A187:$E187)&gt;0, "", IFERROR(AVERAGEIFS(Log!$E:$E, Log!$A:$A, $A187, Log!$B:$B, $B187, Log!$C:$C, $C187),""))</f>
        <v/>
      </c>
      <c r="I187" s="37" t="str">
        <f t="shared" si="5"/>
        <v/>
      </c>
      <c r="J187" s="36"/>
      <c r="K187" s="36"/>
      <c r="L187" s="180"/>
      <c r="M187" s="180"/>
      <c r="N187" s="6" t="str">
        <f>IF(COUNTBLANK($A187:$E187)&gt;0, "", IFERROR(AVERAGEIFS(Log!#REF!, Log!$A:$A, $A187, Log!$B:$B, $B187, Log!$C:$C, $C187),""))</f>
        <v/>
      </c>
      <c r="O187" s="6" t="str">
        <f>IF(COUNTBLANK($A187:$E187)&gt;0, "", IFERROR(_xlfn.MINIFS(Log!$F:$F, Log!$A:$A, $A187, Log!$B:$B, $B187, Log!$C:$C, $C187),""))</f>
        <v/>
      </c>
      <c r="P187" s="6" t="str">
        <f>IF(COUNTBLANK($A187:$E187)&gt;0, "", IFERROR(_xlfn.MAXIFS(Log!$F:$F, Log!$A:$A, $A187, Log!$B:$B, $B187, Log!$C:$C, $C187),""))</f>
        <v/>
      </c>
      <c r="Q187" s="6" t="str">
        <f>IF(COUNTBLANK($A187:$E187)&gt;0, "", IFERROR(AVERAGEIFS(Log!#REF!, Log!$A:$A, $A187, Log!$B:$B, $B187, Log!$C:$C, $C187),""))</f>
        <v/>
      </c>
      <c r="R187" s="6" t="str">
        <f>IF(COUNTBLANK($A187:$E187)&gt;0, "", IFERROR(_xlfn.MINIFS(Log!$G:$G, Log!$A:$A, $A187, Log!$B:$B, $B187, Log!$C:$C, $C187),""))</f>
        <v/>
      </c>
      <c r="S187" s="6" t="str">
        <f>IF(COUNTBLANK($A187:$E187)&gt;0, "", IFERROR(_xlfn.MAXIFS(Log!$G:$G, Log!$A:$A, $A187, Log!$B:$B, $B187, Log!$C:$C, $C187),""))</f>
        <v/>
      </c>
      <c r="T187" s="6" t="str">
        <f>IF($N187&lt;&gt;"", 'Daily Camera Trends'!$M$5, "")</f>
        <v/>
      </c>
      <c r="U187" s="6" t="str">
        <f>IF(Q187&lt;&gt;"", 'Daily Camera Trends'!$N$5, "")</f>
        <v/>
      </c>
      <c r="CP187" s="6" t="str">
        <f>IF($N187&lt;&gt;"", 'Daily Camera Trends'!$M$5, "")</f>
        <v/>
      </c>
      <c r="CQ187" s="6" t="str">
        <f>IF($Q187&lt;&gt;"", 'Daily Camera Trends'!$N$5, "")</f>
        <v/>
      </c>
    </row>
    <row r="188" spans="1:95" ht="40.049999999999997" customHeight="1" x14ac:dyDescent="0.3">
      <c r="A188" s="103" t="str">
        <f t="shared" si="6"/>
        <v/>
      </c>
      <c r="B188" s="236" t="s">
        <v>89</v>
      </c>
      <c r="H188" s="7" t="str">
        <f>IF(COUNTBLANK($A188:$E188)&gt;0, "", IFERROR(AVERAGEIFS(Log!$E:$E, Log!$A:$A, $A188, Log!$B:$B, $B188, Log!$C:$C, $C188),""))</f>
        <v/>
      </c>
      <c r="I188" s="37" t="str">
        <f t="shared" si="5"/>
        <v/>
      </c>
      <c r="J188" s="36"/>
      <c r="K188" s="36"/>
      <c r="L188" s="180"/>
      <c r="M188" s="180"/>
      <c r="N188" s="6" t="str">
        <f>IF(COUNTBLANK($A188:$E188)&gt;0, "", IFERROR(AVERAGEIFS(Log!#REF!, Log!$A:$A, $A188, Log!$B:$B, $B188, Log!$C:$C, $C188),""))</f>
        <v/>
      </c>
      <c r="O188" s="6" t="str">
        <f>IF(COUNTBLANK($A188:$E188)&gt;0, "", IFERROR(_xlfn.MINIFS(Log!$F:$F, Log!$A:$A, $A188, Log!$B:$B, $B188, Log!$C:$C, $C188),""))</f>
        <v/>
      </c>
      <c r="P188" s="6" t="str">
        <f>IF(COUNTBLANK($A188:$E188)&gt;0, "", IFERROR(_xlfn.MAXIFS(Log!$F:$F, Log!$A:$A, $A188, Log!$B:$B, $B188, Log!$C:$C, $C188),""))</f>
        <v/>
      </c>
      <c r="Q188" s="6" t="str">
        <f>IF(COUNTBLANK($A188:$E188)&gt;0, "", IFERROR(AVERAGEIFS(Log!#REF!, Log!$A:$A, $A188, Log!$B:$B, $B188, Log!$C:$C, $C188),""))</f>
        <v/>
      </c>
      <c r="R188" s="6" t="str">
        <f>IF(COUNTBLANK($A188:$E188)&gt;0, "", IFERROR(_xlfn.MINIFS(Log!$G:$G, Log!$A:$A, $A188, Log!$B:$B, $B188, Log!$C:$C, $C188),""))</f>
        <v/>
      </c>
      <c r="S188" s="6" t="str">
        <f>IF(COUNTBLANK($A188:$E188)&gt;0, "", IFERROR(_xlfn.MAXIFS(Log!$G:$G, Log!$A:$A, $A188, Log!$B:$B, $B188, Log!$C:$C, $C188),""))</f>
        <v/>
      </c>
      <c r="T188" s="6" t="str">
        <f>IF($N188&lt;&gt;"", 'Daily Camera Trends'!$M$5, "")</f>
        <v/>
      </c>
      <c r="U188" s="6" t="str">
        <f>IF(Q188&lt;&gt;"", 'Daily Camera Trends'!$N$5, "")</f>
        <v/>
      </c>
      <c r="CP188" s="6" t="str">
        <f>IF($N188&lt;&gt;"", 'Daily Camera Trends'!$M$5, "")</f>
        <v/>
      </c>
      <c r="CQ188" s="6" t="str">
        <f>IF($Q188&lt;&gt;"", 'Daily Camera Trends'!$N$5, "")</f>
        <v/>
      </c>
    </row>
    <row r="189" spans="1:95" ht="40.049999999999997" customHeight="1" x14ac:dyDescent="0.3">
      <c r="A189" s="103" t="str">
        <f t="shared" si="6"/>
        <v/>
      </c>
      <c r="B189" s="236" t="s">
        <v>89</v>
      </c>
      <c r="H189" s="7" t="str">
        <f>IF(COUNTBLANK($A189:$E189)&gt;0, "", IFERROR(AVERAGEIFS(Log!$E:$E, Log!$A:$A, $A189, Log!$B:$B, $B189, Log!$C:$C, $C189),""))</f>
        <v/>
      </c>
      <c r="I189" s="37" t="str">
        <f t="shared" si="5"/>
        <v/>
      </c>
      <c r="J189" s="36"/>
      <c r="K189" s="36"/>
      <c r="L189" s="180"/>
      <c r="M189" s="180"/>
      <c r="N189" s="6" t="str">
        <f>IF(COUNTBLANK($A189:$E189)&gt;0, "", IFERROR(AVERAGEIFS(Log!#REF!, Log!$A:$A, $A189, Log!$B:$B, $B189, Log!$C:$C, $C189),""))</f>
        <v/>
      </c>
      <c r="O189" s="6" t="str">
        <f>IF(COUNTBLANK($A189:$E189)&gt;0, "", IFERROR(_xlfn.MINIFS(Log!$F:$F, Log!$A:$A, $A189, Log!$B:$B, $B189, Log!$C:$C, $C189),""))</f>
        <v/>
      </c>
      <c r="P189" s="6" t="str">
        <f>IF(COUNTBLANK($A189:$E189)&gt;0, "", IFERROR(_xlfn.MAXIFS(Log!$F:$F, Log!$A:$A, $A189, Log!$B:$B, $B189, Log!$C:$C, $C189),""))</f>
        <v/>
      </c>
      <c r="Q189" s="6" t="str">
        <f>IF(COUNTBLANK($A189:$E189)&gt;0, "", IFERROR(AVERAGEIFS(Log!#REF!, Log!$A:$A, $A189, Log!$B:$B, $B189, Log!$C:$C, $C189),""))</f>
        <v/>
      </c>
      <c r="R189" s="6" t="str">
        <f>IF(COUNTBLANK($A189:$E189)&gt;0, "", IFERROR(_xlfn.MINIFS(Log!$G:$G, Log!$A:$A, $A189, Log!$B:$B, $B189, Log!$C:$C, $C189),""))</f>
        <v/>
      </c>
      <c r="S189" s="6" t="str">
        <f>IF(COUNTBLANK($A189:$E189)&gt;0, "", IFERROR(_xlfn.MAXIFS(Log!$G:$G, Log!$A:$A, $A189, Log!$B:$B, $B189, Log!$C:$C, $C189),""))</f>
        <v/>
      </c>
      <c r="T189" s="6" t="str">
        <f>IF($N189&lt;&gt;"", 'Daily Camera Trends'!$M$5, "")</f>
        <v/>
      </c>
      <c r="U189" s="6" t="str">
        <f>IF(Q189&lt;&gt;"", 'Daily Camera Trends'!$N$5, "")</f>
        <v/>
      </c>
      <c r="CP189" s="6" t="str">
        <f>IF($N189&lt;&gt;"", 'Daily Camera Trends'!$M$5, "")</f>
        <v/>
      </c>
      <c r="CQ189" s="6" t="str">
        <f>IF($Q189&lt;&gt;"", 'Daily Camera Trends'!$N$5, "")</f>
        <v/>
      </c>
    </row>
    <row r="190" spans="1:95" ht="40.049999999999997" customHeight="1" x14ac:dyDescent="0.3">
      <c r="A190" s="103" t="str">
        <f t="shared" si="6"/>
        <v/>
      </c>
      <c r="B190" s="236" t="s">
        <v>89</v>
      </c>
      <c r="H190" s="7" t="str">
        <f>IF(COUNTBLANK($A190:$E190)&gt;0, "", IFERROR(AVERAGEIFS(Log!$E:$E, Log!$A:$A, $A190, Log!$B:$B, $B190, Log!$C:$C, $C190),""))</f>
        <v/>
      </c>
      <c r="I190" s="37" t="str">
        <f t="shared" si="5"/>
        <v/>
      </c>
      <c r="J190" s="36"/>
      <c r="K190" s="36"/>
      <c r="L190" s="180"/>
      <c r="M190" s="180"/>
      <c r="N190" s="6" t="str">
        <f>IF(COUNTBLANK($A190:$E190)&gt;0, "", IFERROR(AVERAGEIFS(Log!#REF!, Log!$A:$A, $A190, Log!$B:$B, $B190, Log!$C:$C, $C190),""))</f>
        <v/>
      </c>
      <c r="O190" s="6" t="str">
        <f>IF(COUNTBLANK($A190:$E190)&gt;0, "", IFERROR(_xlfn.MINIFS(Log!$F:$F, Log!$A:$A, $A190, Log!$B:$B, $B190, Log!$C:$C, $C190),""))</f>
        <v/>
      </c>
      <c r="P190" s="6" t="str">
        <f>IF(COUNTBLANK($A190:$E190)&gt;0, "", IFERROR(_xlfn.MAXIFS(Log!$F:$F, Log!$A:$A, $A190, Log!$B:$B, $B190, Log!$C:$C, $C190),""))</f>
        <v/>
      </c>
      <c r="Q190" s="6" t="str">
        <f>IF(COUNTBLANK($A190:$E190)&gt;0, "", IFERROR(AVERAGEIFS(Log!#REF!, Log!$A:$A, $A190, Log!$B:$B, $B190, Log!$C:$C, $C190),""))</f>
        <v/>
      </c>
      <c r="R190" s="6" t="str">
        <f>IF(COUNTBLANK($A190:$E190)&gt;0, "", IFERROR(_xlfn.MINIFS(Log!$G:$G, Log!$A:$A, $A190, Log!$B:$B, $B190, Log!$C:$C, $C190),""))</f>
        <v/>
      </c>
      <c r="S190" s="6" t="str">
        <f>IF(COUNTBLANK($A190:$E190)&gt;0, "", IFERROR(_xlfn.MAXIFS(Log!$G:$G, Log!$A:$A, $A190, Log!$B:$B, $B190, Log!$C:$C, $C190),""))</f>
        <v/>
      </c>
      <c r="T190" s="6" t="str">
        <f>IF($N190&lt;&gt;"", 'Daily Camera Trends'!$M$5, "")</f>
        <v/>
      </c>
      <c r="U190" s="6" t="str">
        <f>IF(Q190&lt;&gt;"", 'Daily Camera Trends'!$N$5, "")</f>
        <v/>
      </c>
      <c r="CP190" s="6" t="str">
        <f>IF($N190&lt;&gt;"", 'Daily Camera Trends'!$M$5, "")</f>
        <v/>
      </c>
      <c r="CQ190" s="6" t="str">
        <f>IF($Q190&lt;&gt;"", 'Daily Camera Trends'!$N$5, "")</f>
        <v/>
      </c>
    </row>
    <row r="191" spans="1:95" ht="40.049999999999997" customHeight="1" x14ac:dyDescent="0.3">
      <c r="A191" s="103" t="str">
        <f t="shared" si="6"/>
        <v/>
      </c>
      <c r="B191" s="236" t="s">
        <v>89</v>
      </c>
      <c r="H191" s="7" t="str">
        <f>IF(COUNTBLANK($A191:$E191)&gt;0, "", IFERROR(AVERAGEIFS(Log!$E:$E, Log!$A:$A, $A191, Log!$B:$B, $B191, Log!$C:$C, $C191),""))</f>
        <v/>
      </c>
      <c r="I191" s="37" t="str">
        <f t="shared" si="5"/>
        <v/>
      </c>
      <c r="J191" s="36"/>
      <c r="K191" s="36"/>
      <c r="L191" s="180"/>
      <c r="M191" s="180"/>
      <c r="N191" s="6" t="str">
        <f>IF(COUNTBLANK($A191:$E191)&gt;0, "", IFERROR(AVERAGEIFS(Log!#REF!, Log!$A:$A, $A191, Log!$B:$B, $B191, Log!$C:$C, $C191),""))</f>
        <v/>
      </c>
      <c r="O191" s="6" t="str">
        <f>IF(COUNTBLANK($A191:$E191)&gt;0, "", IFERROR(_xlfn.MINIFS(Log!$F:$F, Log!$A:$A, $A191, Log!$B:$B, $B191, Log!$C:$C, $C191),""))</f>
        <v/>
      </c>
      <c r="P191" s="6" t="str">
        <f>IF(COUNTBLANK($A191:$E191)&gt;0, "", IFERROR(_xlfn.MAXIFS(Log!$F:$F, Log!$A:$A, $A191, Log!$B:$B, $B191, Log!$C:$C, $C191),""))</f>
        <v/>
      </c>
      <c r="Q191" s="6" t="str">
        <f>IF(COUNTBLANK($A191:$E191)&gt;0, "", IFERROR(AVERAGEIFS(Log!#REF!, Log!$A:$A, $A191, Log!$B:$B, $B191, Log!$C:$C, $C191),""))</f>
        <v/>
      </c>
      <c r="R191" s="6" t="str">
        <f>IF(COUNTBLANK($A191:$E191)&gt;0, "", IFERROR(_xlfn.MINIFS(Log!$G:$G, Log!$A:$A, $A191, Log!$B:$B, $B191, Log!$C:$C, $C191),""))</f>
        <v/>
      </c>
      <c r="S191" s="6" t="str">
        <f>IF(COUNTBLANK($A191:$E191)&gt;0, "", IFERROR(_xlfn.MAXIFS(Log!$G:$G, Log!$A:$A, $A191, Log!$B:$B, $B191, Log!$C:$C, $C191),""))</f>
        <v/>
      </c>
      <c r="T191" s="6" t="str">
        <f>IF($N191&lt;&gt;"", 'Daily Camera Trends'!$M$5, "")</f>
        <v/>
      </c>
      <c r="U191" s="6" t="str">
        <f>IF(Q191&lt;&gt;"", 'Daily Camera Trends'!$N$5, "")</f>
        <v/>
      </c>
      <c r="CP191" s="6" t="str">
        <f>IF($N191&lt;&gt;"", 'Daily Camera Trends'!$M$5, "")</f>
        <v/>
      </c>
      <c r="CQ191" s="6" t="str">
        <f>IF($Q191&lt;&gt;"", 'Daily Camera Trends'!$N$5, "")</f>
        <v/>
      </c>
    </row>
    <row r="192" spans="1:95" ht="40.049999999999997" customHeight="1" x14ac:dyDescent="0.3">
      <c r="A192" s="103" t="str">
        <f t="shared" si="6"/>
        <v/>
      </c>
      <c r="B192" s="236" t="s">
        <v>89</v>
      </c>
      <c r="H192" s="7" t="str">
        <f>IF(COUNTBLANK($A192:$E192)&gt;0, "", IFERROR(AVERAGEIFS(Log!$E:$E, Log!$A:$A, $A192, Log!$B:$B, $B192, Log!$C:$C, $C192),""))</f>
        <v/>
      </c>
      <c r="I192" s="37" t="str">
        <f t="shared" si="5"/>
        <v/>
      </c>
      <c r="N192" s="6" t="str">
        <f>IF(COUNTBLANK($A192:$E192)&gt;0, "", IFERROR(AVERAGEIFS(Log!#REF!, Log!$A:$A, $A192, Log!$B:$B, $B192, Log!$C:$C, $C192),""))</f>
        <v/>
      </c>
      <c r="O192" s="6" t="str">
        <f>IF(COUNTBLANK($A192:$E192)&gt;0, "", IFERROR(_xlfn.MINIFS(Log!$F:$F, Log!$A:$A, $A192, Log!$B:$B, $B192, Log!$C:$C, $C192),""))</f>
        <v/>
      </c>
      <c r="P192" s="6" t="str">
        <f>IF(COUNTBLANK($A192:$E192)&gt;0, "", IFERROR(_xlfn.MAXIFS(Log!$F:$F, Log!$A:$A, $A192, Log!$B:$B, $B192, Log!$C:$C, $C192),""))</f>
        <v/>
      </c>
      <c r="Q192" s="6" t="str">
        <f>IF(COUNTBLANK($A192:$E192)&gt;0, "", IFERROR(AVERAGEIFS(Log!#REF!, Log!$A:$A, $A192, Log!$B:$B, $B192, Log!$C:$C, $C192),""))</f>
        <v/>
      </c>
      <c r="R192" s="6" t="str">
        <f>IF(COUNTBLANK($A192:$E192)&gt;0, "", IFERROR(_xlfn.MINIFS(Log!$G:$G, Log!$A:$A, $A192, Log!$B:$B, $B192, Log!$C:$C, $C192),""))</f>
        <v/>
      </c>
      <c r="S192" s="6" t="str">
        <f>IF(COUNTBLANK($A192:$E192)&gt;0, "", IFERROR(_xlfn.MAXIFS(Log!$G:$G, Log!$A:$A, $A192, Log!$B:$B, $B192, Log!$C:$C, $C192),""))</f>
        <v/>
      </c>
      <c r="T192" s="6" t="str">
        <f>IF($N192&lt;&gt;"", 'Daily Camera Trends'!$M$5, "")</f>
        <v/>
      </c>
      <c r="U192" s="6" t="str">
        <f>IF(Q192&lt;&gt;"", 'Daily Camera Trends'!$N$5, "")</f>
        <v/>
      </c>
      <c r="CP192" s="6" t="str">
        <f>IF($N192&lt;&gt;"", 'Daily Camera Trends'!$M$5, "")</f>
        <v/>
      </c>
      <c r="CQ192" s="6" t="str">
        <f>IF($Q192&lt;&gt;"", 'Daily Camera Trends'!$N$5, "")</f>
        <v/>
      </c>
    </row>
    <row r="193" spans="1:95" ht="40.049999999999997" customHeight="1" x14ac:dyDescent="0.3">
      <c r="A193" s="103" t="str">
        <f t="shared" si="6"/>
        <v/>
      </c>
      <c r="B193" s="236" t="s">
        <v>89</v>
      </c>
      <c r="H193" s="7" t="str">
        <f>IF(COUNTBLANK($A193:$E193)&gt;0, "", IFERROR(AVERAGEIFS(Log!$E:$E, Log!$A:$A, $A193, Log!$B:$B, $B193, Log!$C:$C, $C193),""))</f>
        <v/>
      </c>
      <c r="I193" s="37" t="str">
        <f t="shared" si="5"/>
        <v/>
      </c>
      <c r="N193" s="6" t="str">
        <f>IF(COUNTBLANK($A193:$E193)&gt;0, "", IFERROR(AVERAGEIFS(Log!#REF!, Log!$A:$A, $A193, Log!$B:$B, $B193, Log!$C:$C, $C193),""))</f>
        <v/>
      </c>
      <c r="O193" s="6" t="str">
        <f>IF(COUNTBLANK($A193:$E193)&gt;0, "", IFERROR(_xlfn.MINIFS(Log!$F:$F, Log!$A:$A, $A193, Log!$B:$B, $B193, Log!$C:$C, $C193),""))</f>
        <v/>
      </c>
      <c r="P193" s="6" t="str">
        <f>IF(COUNTBLANK($A193:$E193)&gt;0, "", IFERROR(_xlfn.MAXIFS(Log!$F:$F, Log!$A:$A, $A193, Log!$B:$B, $B193, Log!$C:$C, $C193),""))</f>
        <v/>
      </c>
      <c r="Q193" s="6" t="str">
        <f>IF(COUNTBLANK($A193:$E193)&gt;0, "", IFERROR(AVERAGEIFS(Log!#REF!, Log!$A:$A, $A193, Log!$B:$B, $B193, Log!$C:$C, $C193),""))</f>
        <v/>
      </c>
      <c r="R193" s="6" t="str">
        <f>IF(COUNTBLANK($A193:$E193)&gt;0, "", IFERROR(_xlfn.MINIFS(Log!$G:$G, Log!$A:$A, $A193, Log!$B:$B, $B193, Log!$C:$C, $C193),""))</f>
        <v/>
      </c>
      <c r="S193" s="6" t="str">
        <f>IF(COUNTBLANK($A193:$E193)&gt;0, "", IFERROR(_xlfn.MAXIFS(Log!$G:$G, Log!$A:$A, $A193, Log!$B:$B, $B193, Log!$C:$C, $C193),""))</f>
        <v/>
      </c>
      <c r="T193" s="6" t="str">
        <f>IF($N193&lt;&gt;"", 'Daily Camera Trends'!$M$5, "")</f>
        <v/>
      </c>
      <c r="U193" s="6" t="str">
        <f>IF(Q193&lt;&gt;"", 'Daily Camera Trends'!$N$5, "")</f>
        <v/>
      </c>
      <c r="CP193" s="6" t="str">
        <f>IF($N193&lt;&gt;"", 'Daily Camera Trends'!$M$5, "")</f>
        <v/>
      </c>
      <c r="CQ193" s="6" t="str">
        <f>IF($Q193&lt;&gt;"", 'Daily Camera Trends'!$N$5, "")</f>
        <v/>
      </c>
    </row>
    <row r="194" spans="1:95" ht="40.049999999999997" customHeight="1" x14ac:dyDescent="0.3">
      <c r="A194" s="103" t="str">
        <f t="shared" si="6"/>
        <v/>
      </c>
      <c r="B194" s="236" t="s">
        <v>89</v>
      </c>
      <c r="H194" s="7" t="str">
        <f>IF(COUNTBLANK($A194:$E194)&gt;0, "", IFERROR(AVERAGEIFS(Log!$E:$E, Log!$A:$A, $A194, Log!$B:$B, $B194, Log!$C:$C, $C194),""))</f>
        <v/>
      </c>
      <c r="I194" s="37" t="str">
        <f t="shared" si="5"/>
        <v/>
      </c>
      <c r="N194" s="6" t="str">
        <f>IF(COUNTBLANK($A194:$E194)&gt;0, "", IFERROR(AVERAGEIFS(Log!#REF!, Log!$A:$A, $A194, Log!$B:$B, $B194, Log!$C:$C, $C194),""))</f>
        <v/>
      </c>
      <c r="O194" s="6" t="str">
        <f>IF(COUNTBLANK($A194:$E194)&gt;0, "", IFERROR(_xlfn.MINIFS(Log!$F:$F, Log!$A:$A, $A194, Log!$B:$B, $B194, Log!$C:$C, $C194),""))</f>
        <v/>
      </c>
      <c r="P194" s="6" t="str">
        <f>IF(COUNTBLANK($A194:$E194)&gt;0, "", IFERROR(_xlfn.MAXIFS(Log!$F:$F, Log!$A:$A, $A194, Log!$B:$B, $B194, Log!$C:$C, $C194),""))</f>
        <v/>
      </c>
      <c r="Q194" s="6" t="str">
        <f>IF(COUNTBLANK($A194:$E194)&gt;0, "", IFERROR(AVERAGEIFS(Log!#REF!, Log!$A:$A, $A194, Log!$B:$B, $B194, Log!$C:$C, $C194),""))</f>
        <v/>
      </c>
      <c r="R194" s="6" t="str">
        <f>IF(COUNTBLANK($A194:$E194)&gt;0, "", IFERROR(_xlfn.MINIFS(Log!$G:$G, Log!$A:$A, $A194, Log!$B:$B, $B194, Log!$C:$C, $C194),""))</f>
        <v/>
      </c>
      <c r="S194" s="6" t="str">
        <f>IF(COUNTBLANK($A194:$E194)&gt;0, "", IFERROR(_xlfn.MAXIFS(Log!$G:$G, Log!$A:$A, $A194, Log!$B:$B, $B194, Log!$C:$C, $C194),""))</f>
        <v/>
      </c>
      <c r="T194" s="6" t="str">
        <f>IF($N194&lt;&gt;"", 'Daily Camera Trends'!$M$5, "")</f>
        <v/>
      </c>
      <c r="U194" s="6" t="str">
        <f>IF(Q194&lt;&gt;"", 'Daily Camera Trends'!$N$5, "")</f>
        <v/>
      </c>
      <c r="CP194" s="6" t="str">
        <f>IF($N194&lt;&gt;"", 'Daily Camera Trends'!$M$5, "")</f>
        <v/>
      </c>
      <c r="CQ194" s="6" t="str">
        <f>IF($Q194&lt;&gt;"", 'Daily Camera Trends'!$N$5, "")</f>
        <v/>
      </c>
    </row>
    <row r="195" spans="1:95" ht="40.049999999999997" customHeight="1" x14ac:dyDescent="0.3">
      <c r="A195" s="103" t="str">
        <f t="shared" si="6"/>
        <v/>
      </c>
      <c r="B195" s="236" t="s">
        <v>89</v>
      </c>
      <c r="H195" s="7" t="str">
        <f>IF(COUNTBLANK($A195:$E195)&gt;0, "", IFERROR(AVERAGEIFS(Log!$E:$E, Log!$A:$A, $A195, Log!$B:$B, $B195, Log!$C:$C, $C195),""))</f>
        <v/>
      </c>
      <c r="I195" s="37" t="str">
        <f t="shared" ref="I195:I258" si="7">IF(AND($H195&lt;&gt;"", $G195&lt;&gt;""), $H195/$G195, "")</f>
        <v/>
      </c>
      <c r="N195" s="6" t="str">
        <f>IF(COUNTBLANK($A195:$E195)&gt;0, "", IFERROR(AVERAGEIFS(Log!#REF!, Log!$A:$A, $A195, Log!$B:$B, $B195, Log!$C:$C, $C195),""))</f>
        <v/>
      </c>
      <c r="O195" s="6" t="str">
        <f>IF(COUNTBLANK($A195:$E195)&gt;0, "", IFERROR(_xlfn.MINIFS(Log!$F:$F, Log!$A:$A, $A195, Log!$B:$B, $B195, Log!$C:$C, $C195),""))</f>
        <v/>
      </c>
      <c r="P195" s="6" t="str">
        <f>IF(COUNTBLANK($A195:$E195)&gt;0, "", IFERROR(_xlfn.MAXIFS(Log!$F:$F, Log!$A:$A, $A195, Log!$B:$B, $B195, Log!$C:$C, $C195),""))</f>
        <v/>
      </c>
      <c r="Q195" s="6" t="str">
        <f>IF(COUNTBLANK($A195:$E195)&gt;0, "", IFERROR(AVERAGEIFS(Log!#REF!, Log!$A:$A, $A195, Log!$B:$B, $B195, Log!$C:$C, $C195),""))</f>
        <v/>
      </c>
      <c r="R195" s="6" t="str">
        <f>IF(COUNTBLANK($A195:$E195)&gt;0, "", IFERROR(_xlfn.MINIFS(Log!$G:$G, Log!$A:$A, $A195, Log!$B:$B, $B195, Log!$C:$C, $C195),""))</f>
        <v/>
      </c>
      <c r="S195" s="6" t="str">
        <f>IF(COUNTBLANK($A195:$E195)&gt;0, "", IFERROR(_xlfn.MAXIFS(Log!$G:$G, Log!$A:$A, $A195, Log!$B:$B, $B195, Log!$C:$C, $C195),""))</f>
        <v/>
      </c>
      <c r="T195" s="6" t="str">
        <f>IF($N195&lt;&gt;"", 'Daily Camera Trends'!$M$5, "")</f>
        <v/>
      </c>
      <c r="U195" s="6" t="str">
        <f>IF(Q195&lt;&gt;"", 'Daily Camera Trends'!$N$5, "")</f>
        <v/>
      </c>
      <c r="CP195" s="6" t="str">
        <f>IF($N195&lt;&gt;"", 'Daily Camera Trends'!$M$5, "")</f>
        <v/>
      </c>
      <c r="CQ195" s="6" t="str">
        <f>IF($Q195&lt;&gt;"", 'Daily Camera Trends'!$N$5, "")</f>
        <v/>
      </c>
    </row>
    <row r="196" spans="1:95" ht="40.049999999999997" customHeight="1" x14ac:dyDescent="0.3">
      <c r="A196" s="103" t="str">
        <f t="shared" ref="A196:A247" si="8">IF(C196&lt;&gt;"", "Daily", "")</f>
        <v/>
      </c>
      <c r="B196" s="236" t="s">
        <v>89</v>
      </c>
      <c r="H196" s="7" t="str">
        <f>IF(COUNTBLANK($A196:$E196)&gt;0, "", IFERROR(AVERAGEIFS(Log!$E:$E, Log!$A:$A, $A196, Log!$B:$B, $B196, Log!$C:$C, $C196),""))</f>
        <v/>
      </c>
      <c r="I196" s="37" t="str">
        <f t="shared" si="7"/>
        <v/>
      </c>
      <c r="N196" s="6" t="str">
        <f>IF(COUNTBLANK($A196:$E196)&gt;0, "", IFERROR(AVERAGEIFS(Log!#REF!, Log!$A:$A, $A196, Log!$B:$B, $B196, Log!$C:$C, $C196),""))</f>
        <v/>
      </c>
      <c r="O196" s="6" t="str">
        <f>IF(COUNTBLANK($A196:$E196)&gt;0, "", IFERROR(_xlfn.MINIFS(Log!$F:$F, Log!$A:$A, $A196, Log!$B:$B, $B196, Log!$C:$C, $C196),""))</f>
        <v/>
      </c>
      <c r="P196" s="6" t="str">
        <f>IF(COUNTBLANK($A196:$E196)&gt;0, "", IFERROR(_xlfn.MAXIFS(Log!$F:$F, Log!$A:$A, $A196, Log!$B:$B, $B196, Log!$C:$C, $C196),""))</f>
        <v/>
      </c>
      <c r="Q196" s="6" t="str">
        <f>IF(COUNTBLANK($A196:$E196)&gt;0, "", IFERROR(AVERAGEIFS(Log!#REF!, Log!$A:$A, $A196, Log!$B:$B, $B196, Log!$C:$C, $C196),""))</f>
        <v/>
      </c>
      <c r="R196" s="6" t="str">
        <f>IF(COUNTBLANK($A196:$E196)&gt;0, "", IFERROR(_xlfn.MINIFS(Log!$G:$G, Log!$A:$A, $A196, Log!$B:$B, $B196, Log!$C:$C, $C196),""))</f>
        <v/>
      </c>
      <c r="S196" s="6" t="str">
        <f>IF(COUNTBLANK($A196:$E196)&gt;0, "", IFERROR(_xlfn.MAXIFS(Log!$G:$G, Log!$A:$A, $A196, Log!$B:$B, $B196, Log!$C:$C, $C196),""))</f>
        <v/>
      </c>
      <c r="T196" s="6" t="str">
        <f>IF($N196&lt;&gt;"", 'Daily Camera Trends'!$M$5, "")</f>
        <v/>
      </c>
      <c r="U196" s="6" t="str">
        <f>IF(Q196&lt;&gt;"", 'Daily Camera Trends'!$N$5, "")</f>
        <v/>
      </c>
      <c r="CP196" s="6" t="str">
        <f>IF($N196&lt;&gt;"", 'Daily Camera Trends'!$M$5, "")</f>
        <v/>
      </c>
      <c r="CQ196" s="6" t="str">
        <f>IF($Q196&lt;&gt;"", 'Daily Camera Trends'!$N$5, "")</f>
        <v/>
      </c>
    </row>
    <row r="197" spans="1:95" ht="40.049999999999997" customHeight="1" x14ac:dyDescent="0.3">
      <c r="A197" s="103" t="str">
        <f t="shared" si="8"/>
        <v/>
      </c>
      <c r="B197" s="236" t="s">
        <v>89</v>
      </c>
      <c r="H197" s="7" t="str">
        <f>IF(COUNTBLANK($A197:$E197)&gt;0, "", IFERROR(AVERAGEIFS(Log!$E:$E, Log!$A:$A, $A197, Log!$B:$B, $B197, Log!$C:$C, $C197),""))</f>
        <v/>
      </c>
      <c r="I197" s="37" t="str">
        <f t="shared" si="7"/>
        <v/>
      </c>
      <c r="N197" s="6" t="str">
        <f>IF(COUNTBLANK($A197:$E197)&gt;0, "", IFERROR(AVERAGEIFS(Log!#REF!, Log!$A:$A, $A197, Log!$B:$B, $B197, Log!$C:$C, $C197),""))</f>
        <v/>
      </c>
      <c r="O197" s="6" t="str">
        <f>IF(COUNTBLANK($A197:$E197)&gt;0, "", IFERROR(_xlfn.MINIFS(Log!$F:$F, Log!$A:$A, $A197, Log!$B:$B, $B197, Log!$C:$C, $C197),""))</f>
        <v/>
      </c>
      <c r="P197" s="6" t="str">
        <f>IF(COUNTBLANK($A197:$E197)&gt;0, "", IFERROR(_xlfn.MAXIFS(Log!$F:$F, Log!$A:$A, $A197, Log!$B:$B, $B197, Log!$C:$C, $C197),""))</f>
        <v/>
      </c>
      <c r="Q197" s="6" t="str">
        <f>IF(COUNTBLANK($A197:$E197)&gt;0, "", IFERROR(AVERAGEIFS(Log!#REF!, Log!$A:$A, $A197, Log!$B:$B, $B197, Log!$C:$C, $C197),""))</f>
        <v/>
      </c>
      <c r="R197" s="6" t="str">
        <f>IF(COUNTBLANK($A197:$E197)&gt;0, "", IFERROR(_xlfn.MINIFS(Log!$G:$G, Log!$A:$A, $A197, Log!$B:$B, $B197, Log!$C:$C, $C197),""))</f>
        <v/>
      </c>
      <c r="S197" s="6" t="str">
        <f>IF(COUNTBLANK($A197:$E197)&gt;0, "", IFERROR(_xlfn.MAXIFS(Log!$G:$G, Log!$A:$A, $A197, Log!$B:$B, $B197, Log!$C:$C, $C197),""))</f>
        <v/>
      </c>
      <c r="T197" s="6" t="str">
        <f>IF($N197&lt;&gt;"", 'Daily Camera Trends'!$M$5, "")</f>
        <v/>
      </c>
      <c r="U197" s="6" t="str">
        <f>IF(Q197&lt;&gt;"", 'Daily Camera Trends'!$N$5, "")</f>
        <v/>
      </c>
      <c r="CP197" s="6" t="str">
        <f>IF($N197&lt;&gt;"", 'Daily Camera Trends'!$M$5, "")</f>
        <v/>
      </c>
      <c r="CQ197" s="6" t="str">
        <f>IF($Q197&lt;&gt;"", 'Daily Camera Trends'!$N$5, "")</f>
        <v/>
      </c>
    </row>
    <row r="198" spans="1:95" ht="40.049999999999997" customHeight="1" x14ac:dyDescent="0.3">
      <c r="A198" s="103" t="str">
        <f t="shared" si="8"/>
        <v/>
      </c>
      <c r="B198" s="236" t="s">
        <v>89</v>
      </c>
      <c r="H198" s="7" t="str">
        <f>IF(COUNTBLANK($A198:$E198)&gt;0, "", IFERROR(AVERAGEIFS(Log!$E:$E, Log!$A:$A, $A198, Log!$B:$B, $B198, Log!$C:$C, $C198),""))</f>
        <v/>
      </c>
      <c r="I198" s="37" t="str">
        <f t="shared" si="7"/>
        <v/>
      </c>
      <c r="N198" s="6" t="str">
        <f>IF(COUNTBLANK($A198:$E198)&gt;0, "", IFERROR(AVERAGEIFS(Log!#REF!, Log!$A:$A, $A198, Log!$B:$B, $B198, Log!$C:$C, $C198),""))</f>
        <v/>
      </c>
      <c r="O198" s="6" t="str">
        <f>IF(COUNTBLANK($A198:$E198)&gt;0, "", IFERROR(_xlfn.MINIFS(Log!$F:$F, Log!$A:$A, $A198, Log!$B:$B, $B198, Log!$C:$C, $C198),""))</f>
        <v/>
      </c>
      <c r="P198" s="6" t="str">
        <f>IF(COUNTBLANK($A198:$E198)&gt;0, "", IFERROR(_xlfn.MAXIFS(Log!$F:$F, Log!$A:$A, $A198, Log!$B:$B, $B198, Log!$C:$C, $C198),""))</f>
        <v/>
      </c>
      <c r="Q198" s="6" t="str">
        <f>IF(COUNTBLANK($A198:$E198)&gt;0, "", IFERROR(AVERAGEIFS(Log!#REF!, Log!$A:$A, $A198, Log!$B:$B, $B198, Log!$C:$C, $C198),""))</f>
        <v/>
      </c>
      <c r="R198" s="6" t="str">
        <f>IF(COUNTBLANK($A198:$E198)&gt;0, "", IFERROR(_xlfn.MINIFS(Log!$G:$G, Log!$A:$A, $A198, Log!$B:$B, $B198, Log!$C:$C, $C198),""))</f>
        <v/>
      </c>
      <c r="S198" s="6" t="str">
        <f>IF(COUNTBLANK($A198:$E198)&gt;0, "", IFERROR(_xlfn.MAXIFS(Log!$G:$G, Log!$A:$A, $A198, Log!$B:$B, $B198, Log!$C:$C, $C198),""))</f>
        <v/>
      </c>
      <c r="T198" s="6" t="str">
        <f>IF($N198&lt;&gt;"", 'Daily Camera Trends'!$M$5, "")</f>
        <v/>
      </c>
      <c r="U198" s="6" t="str">
        <f>IF(Q198&lt;&gt;"", 'Daily Camera Trends'!$N$5, "")</f>
        <v/>
      </c>
      <c r="CP198" s="6" t="str">
        <f>IF($N198&lt;&gt;"", 'Daily Camera Trends'!$M$5, "")</f>
        <v/>
      </c>
      <c r="CQ198" s="6" t="str">
        <f>IF($Q198&lt;&gt;"", 'Daily Camera Trends'!$N$5, "")</f>
        <v/>
      </c>
    </row>
    <row r="199" spans="1:95" ht="40.049999999999997" customHeight="1" x14ac:dyDescent="0.3">
      <c r="A199" s="103" t="str">
        <f t="shared" si="8"/>
        <v/>
      </c>
      <c r="B199" s="236" t="s">
        <v>89</v>
      </c>
      <c r="H199" s="7" t="str">
        <f>IF(COUNTBLANK($A199:$E199)&gt;0, "", IFERROR(AVERAGEIFS(Log!$E:$E, Log!$A:$A, $A199, Log!$B:$B, $B199, Log!$C:$C, $C199),""))</f>
        <v/>
      </c>
      <c r="I199" s="37" t="str">
        <f t="shared" si="7"/>
        <v/>
      </c>
      <c r="N199" s="6" t="str">
        <f>IF(COUNTBLANK($A199:$E199)&gt;0, "", IFERROR(AVERAGEIFS(Log!#REF!, Log!$A:$A, $A199, Log!$B:$B, $B199, Log!$C:$C, $C199),""))</f>
        <v/>
      </c>
      <c r="O199" s="6" t="str">
        <f>IF(COUNTBLANK($A199:$E199)&gt;0, "", IFERROR(_xlfn.MINIFS(Log!$F:$F, Log!$A:$A, $A199, Log!$B:$B, $B199, Log!$C:$C, $C199),""))</f>
        <v/>
      </c>
      <c r="P199" s="6" t="str">
        <f>IF(COUNTBLANK($A199:$E199)&gt;0, "", IFERROR(_xlfn.MAXIFS(Log!$F:$F, Log!$A:$A, $A199, Log!$B:$B, $B199, Log!$C:$C, $C199),""))</f>
        <v/>
      </c>
      <c r="Q199" s="6" t="str">
        <f>IF(COUNTBLANK($A199:$E199)&gt;0, "", IFERROR(AVERAGEIFS(Log!#REF!, Log!$A:$A, $A199, Log!$B:$B, $B199, Log!$C:$C, $C199),""))</f>
        <v/>
      </c>
      <c r="R199" s="6" t="str">
        <f>IF(COUNTBLANK($A199:$E199)&gt;0, "", IFERROR(_xlfn.MINIFS(Log!$G:$G, Log!$A:$A, $A199, Log!$B:$B, $B199, Log!$C:$C, $C199),""))</f>
        <v/>
      </c>
      <c r="S199" s="6" t="str">
        <f>IF(COUNTBLANK($A199:$E199)&gt;0, "", IFERROR(_xlfn.MAXIFS(Log!$G:$G, Log!$A:$A, $A199, Log!$B:$B, $B199, Log!$C:$C, $C199),""))</f>
        <v/>
      </c>
      <c r="T199" s="6" t="str">
        <f>IF($N199&lt;&gt;"", 'Daily Camera Trends'!$M$5, "")</f>
        <v/>
      </c>
      <c r="U199" s="6" t="str">
        <f>IF(Q199&lt;&gt;"", 'Daily Camera Trends'!$N$5, "")</f>
        <v/>
      </c>
      <c r="CP199" s="6" t="str">
        <f>IF($N199&lt;&gt;"", 'Daily Camera Trends'!$M$5, "")</f>
        <v/>
      </c>
      <c r="CQ199" s="6" t="str">
        <f>IF($Q199&lt;&gt;"", 'Daily Camera Trends'!$N$5, "")</f>
        <v/>
      </c>
    </row>
    <row r="200" spans="1:95" ht="40.049999999999997" customHeight="1" x14ac:dyDescent="0.3">
      <c r="A200" s="103" t="str">
        <f t="shared" si="8"/>
        <v/>
      </c>
      <c r="B200" s="236" t="s">
        <v>89</v>
      </c>
      <c r="H200" s="7" t="str">
        <f>IF(COUNTBLANK($A200:$E200)&gt;0, "", IFERROR(AVERAGEIFS(Log!$E:$E, Log!$A:$A, $A200, Log!$B:$B, $B200, Log!$C:$C, $C200),""))</f>
        <v/>
      </c>
      <c r="I200" s="37" t="str">
        <f t="shared" si="7"/>
        <v/>
      </c>
      <c r="N200" s="6" t="str">
        <f>IF(COUNTBLANK($A200:$E200)&gt;0, "", IFERROR(AVERAGEIFS(Log!#REF!, Log!$A:$A, $A200, Log!$B:$B, $B200, Log!$C:$C, $C200),""))</f>
        <v/>
      </c>
      <c r="O200" s="6" t="str">
        <f>IF(COUNTBLANK($A200:$E200)&gt;0, "", IFERROR(_xlfn.MINIFS(Log!$F:$F, Log!$A:$A, $A200, Log!$B:$B, $B200, Log!$C:$C, $C200),""))</f>
        <v/>
      </c>
      <c r="P200" s="6" t="str">
        <f>IF(COUNTBLANK($A200:$E200)&gt;0, "", IFERROR(_xlfn.MAXIFS(Log!$F:$F, Log!$A:$A, $A200, Log!$B:$B, $B200, Log!$C:$C, $C200),""))</f>
        <v/>
      </c>
      <c r="Q200" s="6" t="str">
        <f>IF(COUNTBLANK($A200:$E200)&gt;0, "", IFERROR(AVERAGEIFS(Log!#REF!, Log!$A:$A, $A200, Log!$B:$B, $B200, Log!$C:$C, $C200),""))</f>
        <v/>
      </c>
      <c r="R200" s="6" t="str">
        <f>IF(COUNTBLANK($A200:$E200)&gt;0, "", IFERROR(_xlfn.MINIFS(Log!$G:$G, Log!$A:$A, $A200, Log!$B:$B, $B200, Log!$C:$C, $C200),""))</f>
        <v/>
      </c>
      <c r="S200" s="6" t="str">
        <f>IF(COUNTBLANK($A200:$E200)&gt;0, "", IFERROR(_xlfn.MAXIFS(Log!$G:$G, Log!$A:$A, $A200, Log!$B:$B, $B200, Log!$C:$C, $C200),""))</f>
        <v/>
      </c>
      <c r="T200" s="6" t="str">
        <f>IF($N200&lt;&gt;"", 'Daily Camera Trends'!$M$5, "")</f>
        <v/>
      </c>
      <c r="U200" s="6" t="str">
        <f>IF(Q200&lt;&gt;"", 'Daily Camera Trends'!$N$5, "")</f>
        <v/>
      </c>
      <c r="CP200" s="6" t="str">
        <f>IF($N200&lt;&gt;"", 'Daily Camera Trends'!$M$5, "")</f>
        <v/>
      </c>
      <c r="CQ200" s="6" t="str">
        <f>IF($Q200&lt;&gt;"", 'Daily Camera Trends'!$N$5, "")</f>
        <v/>
      </c>
    </row>
    <row r="201" spans="1:95" ht="40.049999999999997" customHeight="1" x14ac:dyDescent="0.3">
      <c r="A201" s="103" t="str">
        <f t="shared" si="8"/>
        <v/>
      </c>
      <c r="B201" s="236" t="s">
        <v>89</v>
      </c>
      <c r="H201" s="7" t="str">
        <f>IF(COUNTBLANK($A201:$E201)&gt;0, "", IFERROR(AVERAGEIFS(Log!$E:$E, Log!$A:$A, $A201, Log!$B:$B, $B201, Log!$C:$C, $C201),""))</f>
        <v/>
      </c>
      <c r="I201" s="37" t="str">
        <f t="shared" si="7"/>
        <v/>
      </c>
      <c r="N201" s="6" t="str">
        <f>IF(COUNTBLANK($A201:$E201)&gt;0, "", IFERROR(AVERAGEIFS(Log!#REF!, Log!$A:$A, $A201, Log!$B:$B, $B201, Log!$C:$C, $C201),""))</f>
        <v/>
      </c>
      <c r="O201" s="6" t="str">
        <f>IF(COUNTBLANK($A201:$E201)&gt;0, "", IFERROR(_xlfn.MINIFS(Log!$F:$F, Log!$A:$A, $A201, Log!$B:$B, $B201, Log!$C:$C, $C201),""))</f>
        <v/>
      </c>
      <c r="P201" s="6" t="str">
        <f>IF(COUNTBLANK($A201:$E201)&gt;0, "", IFERROR(_xlfn.MAXIFS(Log!$F:$F, Log!$A:$A, $A201, Log!$B:$B, $B201, Log!$C:$C, $C201),""))</f>
        <v/>
      </c>
      <c r="Q201" s="6" t="str">
        <f>IF(COUNTBLANK($A201:$E201)&gt;0, "", IFERROR(AVERAGEIFS(Log!#REF!, Log!$A:$A, $A201, Log!$B:$B, $B201, Log!$C:$C, $C201),""))</f>
        <v/>
      </c>
      <c r="R201" s="6" t="str">
        <f>IF(COUNTBLANK($A201:$E201)&gt;0, "", IFERROR(_xlfn.MINIFS(Log!$G:$G, Log!$A:$A, $A201, Log!$B:$B, $B201, Log!$C:$C, $C201),""))</f>
        <v/>
      </c>
      <c r="S201" s="6" t="str">
        <f>IF(COUNTBLANK($A201:$E201)&gt;0, "", IFERROR(_xlfn.MAXIFS(Log!$G:$G, Log!$A:$A, $A201, Log!$B:$B, $B201, Log!$C:$C, $C201),""))</f>
        <v/>
      </c>
      <c r="T201" s="6" t="str">
        <f>IF($N201&lt;&gt;"", 'Daily Camera Trends'!$M$5, "")</f>
        <v/>
      </c>
      <c r="U201" s="6" t="str">
        <f>IF(Q201&lt;&gt;"", 'Daily Camera Trends'!$N$5, "")</f>
        <v/>
      </c>
      <c r="CP201" s="6" t="str">
        <f>IF($N201&lt;&gt;"", 'Daily Camera Trends'!$M$5, "")</f>
        <v/>
      </c>
      <c r="CQ201" s="6" t="str">
        <f>IF($Q201&lt;&gt;"", 'Daily Camera Trends'!$N$5, "")</f>
        <v/>
      </c>
    </row>
    <row r="202" spans="1:95" ht="40.049999999999997" customHeight="1" x14ac:dyDescent="0.3">
      <c r="A202" s="103" t="str">
        <f t="shared" si="8"/>
        <v/>
      </c>
      <c r="B202" s="236" t="s">
        <v>89</v>
      </c>
      <c r="H202" s="7" t="str">
        <f>IF(COUNTBLANK($A202:$E202)&gt;0, "", IFERROR(AVERAGEIFS(Log!$E:$E, Log!$A:$A, $A202, Log!$B:$B, $B202, Log!$C:$C, $C202),""))</f>
        <v/>
      </c>
      <c r="I202" s="37" t="str">
        <f t="shared" si="7"/>
        <v/>
      </c>
      <c r="N202" s="6" t="str">
        <f>IF(COUNTBLANK($A202:$E202)&gt;0, "", IFERROR(AVERAGEIFS(Log!#REF!, Log!$A:$A, $A202, Log!$B:$B, $B202, Log!$C:$C, $C202),""))</f>
        <v/>
      </c>
      <c r="O202" s="6" t="str">
        <f>IF(COUNTBLANK($A202:$E202)&gt;0, "", IFERROR(_xlfn.MINIFS(Log!$F:$F, Log!$A:$A, $A202, Log!$B:$B, $B202, Log!$C:$C, $C202),""))</f>
        <v/>
      </c>
      <c r="P202" s="6" t="str">
        <f>IF(COUNTBLANK($A202:$E202)&gt;0, "", IFERROR(_xlfn.MAXIFS(Log!$F:$F, Log!$A:$A, $A202, Log!$B:$B, $B202, Log!$C:$C, $C202),""))</f>
        <v/>
      </c>
      <c r="Q202" s="6" t="str">
        <f>IF(COUNTBLANK($A202:$E202)&gt;0, "", IFERROR(AVERAGEIFS(Log!#REF!, Log!$A:$A, $A202, Log!$B:$B, $B202, Log!$C:$C, $C202),""))</f>
        <v/>
      </c>
      <c r="R202" s="6" t="str">
        <f>IF(COUNTBLANK($A202:$E202)&gt;0, "", IFERROR(_xlfn.MINIFS(Log!$G:$G, Log!$A:$A, $A202, Log!$B:$B, $B202, Log!$C:$C, $C202),""))</f>
        <v/>
      </c>
      <c r="S202" s="6" t="str">
        <f>IF(COUNTBLANK($A202:$E202)&gt;0, "", IFERROR(_xlfn.MAXIFS(Log!$G:$G, Log!$A:$A, $A202, Log!$B:$B, $B202, Log!$C:$C, $C202),""))</f>
        <v/>
      </c>
      <c r="T202" s="6" t="str">
        <f>IF($N202&lt;&gt;"", 'Daily Camera Trends'!$M$5, "")</f>
        <v/>
      </c>
      <c r="U202" s="6" t="str">
        <f>IF(Q202&lt;&gt;"", 'Daily Camera Trends'!$N$5, "")</f>
        <v/>
      </c>
      <c r="CP202" s="6" t="str">
        <f>IF($N202&lt;&gt;"", 'Daily Camera Trends'!$M$5, "")</f>
        <v/>
      </c>
      <c r="CQ202" s="6" t="str">
        <f>IF($Q202&lt;&gt;"", 'Daily Camera Trends'!$N$5, "")</f>
        <v/>
      </c>
    </row>
    <row r="203" spans="1:95" ht="40.049999999999997" customHeight="1" x14ac:dyDescent="0.3">
      <c r="A203" s="103" t="str">
        <f t="shared" si="8"/>
        <v/>
      </c>
      <c r="B203" s="236" t="s">
        <v>89</v>
      </c>
      <c r="H203" s="7" t="str">
        <f>IF(COUNTBLANK($A203:$E203)&gt;0, "", IFERROR(AVERAGEIFS(Log!$E:$E, Log!$A:$A, $A203, Log!$B:$B, $B203, Log!$C:$C, $C203),""))</f>
        <v/>
      </c>
      <c r="I203" s="37" t="str">
        <f t="shared" si="7"/>
        <v/>
      </c>
      <c r="N203" s="6" t="str">
        <f>IF(COUNTBLANK($A203:$E203)&gt;0, "", IFERROR(AVERAGEIFS(Log!#REF!, Log!$A:$A, $A203, Log!$B:$B, $B203, Log!$C:$C, $C203),""))</f>
        <v/>
      </c>
      <c r="O203" s="6" t="str">
        <f>IF(COUNTBLANK($A203:$E203)&gt;0, "", IFERROR(_xlfn.MINIFS(Log!$F:$F, Log!$A:$A, $A203, Log!$B:$B, $B203, Log!$C:$C, $C203),""))</f>
        <v/>
      </c>
      <c r="P203" s="6" t="str">
        <f>IF(COUNTBLANK($A203:$E203)&gt;0, "", IFERROR(_xlfn.MAXIFS(Log!$F:$F, Log!$A:$A, $A203, Log!$B:$B, $B203, Log!$C:$C, $C203),""))</f>
        <v/>
      </c>
      <c r="Q203" s="6" t="str">
        <f>IF(COUNTBLANK($A203:$E203)&gt;0, "", IFERROR(AVERAGEIFS(Log!#REF!, Log!$A:$A, $A203, Log!$B:$B, $B203, Log!$C:$C, $C203),""))</f>
        <v/>
      </c>
      <c r="R203" s="6" t="str">
        <f>IF(COUNTBLANK($A203:$E203)&gt;0, "", IFERROR(_xlfn.MINIFS(Log!$G:$G, Log!$A:$A, $A203, Log!$B:$B, $B203, Log!$C:$C, $C203),""))</f>
        <v/>
      </c>
      <c r="S203" s="6" t="str">
        <f>IF(COUNTBLANK($A203:$E203)&gt;0, "", IFERROR(_xlfn.MAXIFS(Log!$G:$G, Log!$A:$A, $A203, Log!$B:$B, $B203, Log!$C:$C, $C203),""))</f>
        <v/>
      </c>
      <c r="T203" s="6" t="str">
        <f>IF($N203&lt;&gt;"", 'Daily Camera Trends'!$M$5, "")</f>
        <v/>
      </c>
      <c r="U203" s="6" t="str">
        <f>IF(Q203&lt;&gt;"", 'Daily Camera Trends'!$N$5, "")</f>
        <v/>
      </c>
      <c r="CP203" s="6" t="str">
        <f>IF($N203&lt;&gt;"", 'Daily Camera Trends'!$M$5, "")</f>
        <v/>
      </c>
      <c r="CQ203" s="6" t="str">
        <f>IF($Q203&lt;&gt;"", 'Daily Camera Trends'!$N$5, "")</f>
        <v/>
      </c>
    </row>
    <row r="204" spans="1:95" ht="40.049999999999997" customHeight="1" x14ac:dyDescent="0.3">
      <c r="A204" s="103" t="str">
        <f t="shared" si="8"/>
        <v/>
      </c>
      <c r="B204" s="236" t="s">
        <v>89</v>
      </c>
      <c r="H204" s="7" t="str">
        <f>IF(COUNTBLANK($A204:$E204)&gt;0, "", IFERROR(AVERAGEIFS(Log!$E:$E, Log!$A:$A, $A204, Log!$B:$B, $B204, Log!$C:$C, $C204),""))</f>
        <v/>
      </c>
      <c r="I204" s="37" t="str">
        <f t="shared" si="7"/>
        <v/>
      </c>
      <c r="N204" s="6" t="str">
        <f>IF(COUNTBLANK($A204:$E204)&gt;0, "", IFERROR(AVERAGEIFS(Log!#REF!, Log!$A:$A, $A204, Log!$B:$B, $B204, Log!$C:$C, $C204),""))</f>
        <v/>
      </c>
      <c r="O204" s="6" t="str">
        <f>IF(COUNTBLANK($A204:$E204)&gt;0, "", IFERROR(_xlfn.MINIFS(Log!$F:$F, Log!$A:$A, $A204, Log!$B:$B, $B204, Log!$C:$C, $C204),""))</f>
        <v/>
      </c>
      <c r="P204" s="6" t="str">
        <f>IF(COUNTBLANK($A204:$E204)&gt;0, "", IFERROR(_xlfn.MAXIFS(Log!$F:$F, Log!$A:$A, $A204, Log!$B:$B, $B204, Log!$C:$C, $C204),""))</f>
        <v/>
      </c>
      <c r="Q204" s="6" t="str">
        <f>IF(COUNTBLANK($A204:$E204)&gt;0, "", IFERROR(AVERAGEIFS(Log!#REF!, Log!$A:$A, $A204, Log!$B:$B, $B204, Log!$C:$C, $C204),""))</f>
        <v/>
      </c>
      <c r="R204" s="6" t="str">
        <f>IF(COUNTBLANK($A204:$E204)&gt;0, "", IFERROR(_xlfn.MINIFS(Log!$G:$G, Log!$A:$A, $A204, Log!$B:$B, $B204, Log!$C:$C, $C204),""))</f>
        <v/>
      </c>
      <c r="S204" s="6" t="str">
        <f>IF(COUNTBLANK($A204:$E204)&gt;0, "", IFERROR(_xlfn.MAXIFS(Log!$G:$G, Log!$A:$A, $A204, Log!$B:$B, $B204, Log!$C:$C, $C204),""))</f>
        <v/>
      </c>
      <c r="T204" s="6" t="str">
        <f>IF($N204&lt;&gt;"", 'Daily Camera Trends'!$M$5, "")</f>
        <v/>
      </c>
      <c r="U204" s="6" t="str">
        <f>IF(Q204&lt;&gt;"", 'Daily Camera Trends'!$N$5, "")</f>
        <v/>
      </c>
      <c r="CP204" s="6" t="str">
        <f>IF($N204&lt;&gt;"", 'Daily Camera Trends'!$M$5, "")</f>
        <v/>
      </c>
      <c r="CQ204" s="6" t="str">
        <f>IF($Q204&lt;&gt;"", 'Daily Camera Trends'!$N$5, "")</f>
        <v/>
      </c>
    </row>
    <row r="205" spans="1:95" ht="40.049999999999997" customHeight="1" x14ac:dyDescent="0.3">
      <c r="A205" s="103" t="str">
        <f t="shared" si="8"/>
        <v/>
      </c>
      <c r="B205" s="236" t="s">
        <v>89</v>
      </c>
      <c r="H205" s="7" t="str">
        <f>IF(COUNTBLANK($A205:$E205)&gt;0, "", IFERROR(AVERAGEIFS(Log!$E:$E, Log!$A:$A, $A205, Log!$B:$B, $B205, Log!$C:$C, $C205),""))</f>
        <v/>
      </c>
      <c r="I205" s="37" t="str">
        <f t="shared" si="7"/>
        <v/>
      </c>
      <c r="N205" s="6" t="str">
        <f>IF(COUNTBLANK($A205:$E205)&gt;0, "", IFERROR(AVERAGEIFS(Log!#REF!, Log!$A:$A, $A205, Log!$B:$B, $B205, Log!$C:$C, $C205),""))</f>
        <v/>
      </c>
      <c r="O205" s="6" t="str">
        <f>IF(COUNTBLANK($A205:$E205)&gt;0, "", IFERROR(_xlfn.MINIFS(Log!$F:$F, Log!$A:$A, $A205, Log!$B:$B, $B205, Log!$C:$C, $C205),""))</f>
        <v/>
      </c>
      <c r="P205" s="6" t="str">
        <f>IF(COUNTBLANK($A205:$E205)&gt;0, "", IFERROR(_xlfn.MAXIFS(Log!$F:$F, Log!$A:$A, $A205, Log!$B:$B, $B205, Log!$C:$C, $C205),""))</f>
        <v/>
      </c>
      <c r="Q205" s="6" t="str">
        <f>IF(COUNTBLANK($A205:$E205)&gt;0, "", IFERROR(AVERAGEIFS(Log!#REF!, Log!$A:$A, $A205, Log!$B:$B, $B205, Log!$C:$C, $C205),""))</f>
        <v/>
      </c>
      <c r="R205" s="6" t="str">
        <f>IF(COUNTBLANK($A205:$E205)&gt;0, "", IFERROR(_xlfn.MINIFS(Log!$G:$G, Log!$A:$A, $A205, Log!$B:$B, $B205, Log!$C:$C, $C205),""))</f>
        <v/>
      </c>
      <c r="S205" s="6" t="str">
        <f>IF(COUNTBLANK($A205:$E205)&gt;0, "", IFERROR(_xlfn.MAXIFS(Log!$G:$G, Log!$A:$A, $A205, Log!$B:$B, $B205, Log!$C:$C, $C205),""))</f>
        <v/>
      </c>
      <c r="T205" s="6" t="str">
        <f>IF($N205&lt;&gt;"", 'Daily Camera Trends'!$M$5, "")</f>
        <v/>
      </c>
      <c r="U205" s="6" t="str">
        <f>IF(Q205&lt;&gt;"", 'Daily Camera Trends'!$N$5, "")</f>
        <v/>
      </c>
      <c r="CP205" s="6" t="str">
        <f>IF($N205&lt;&gt;"", 'Daily Camera Trends'!$M$5, "")</f>
        <v/>
      </c>
      <c r="CQ205" s="6" t="str">
        <f>IF($Q205&lt;&gt;"", 'Daily Camera Trends'!$N$5, "")</f>
        <v/>
      </c>
    </row>
    <row r="206" spans="1:95" ht="40.049999999999997" customHeight="1" x14ac:dyDescent="0.3">
      <c r="A206" s="103" t="str">
        <f t="shared" si="8"/>
        <v/>
      </c>
      <c r="B206" s="236" t="s">
        <v>89</v>
      </c>
      <c r="H206" s="7" t="str">
        <f>IF(COUNTBLANK($A206:$E206)&gt;0, "", IFERROR(AVERAGEIFS(Log!$E:$E, Log!$A:$A, $A206, Log!$B:$B, $B206, Log!$C:$C, $C206),""))</f>
        <v/>
      </c>
      <c r="I206" s="37" t="str">
        <f t="shared" si="7"/>
        <v/>
      </c>
      <c r="N206" s="6" t="str">
        <f>IF(COUNTBLANK($A206:$E206)&gt;0, "", IFERROR(AVERAGEIFS(Log!#REF!, Log!$A:$A, $A206, Log!$B:$B, $B206, Log!$C:$C, $C206),""))</f>
        <v/>
      </c>
      <c r="O206" s="6" t="str">
        <f>IF(COUNTBLANK($A206:$E206)&gt;0, "", IFERROR(_xlfn.MINIFS(Log!$F:$F, Log!$A:$A, $A206, Log!$B:$B, $B206, Log!$C:$C, $C206),""))</f>
        <v/>
      </c>
      <c r="P206" s="6" t="str">
        <f>IF(COUNTBLANK($A206:$E206)&gt;0, "", IFERROR(_xlfn.MAXIFS(Log!$F:$F, Log!$A:$A, $A206, Log!$B:$B, $B206, Log!$C:$C, $C206),""))</f>
        <v/>
      </c>
      <c r="Q206" s="6" t="str">
        <f>IF(COUNTBLANK($A206:$E206)&gt;0, "", IFERROR(AVERAGEIFS(Log!#REF!, Log!$A:$A, $A206, Log!$B:$B, $B206, Log!$C:$C, $C206),""))</f>
        <v/>
      </c>
      <c r="R206" s="6" t="str">
        <f>IF(COUNTBLANK($A206:$E206)&gt;0, "", IFERROR(_xlfn.MINIFS(Log!$G:$G, Log!$A:$A, $A206, Log!$B:$B, $B206, Log!$C:$C, $C206),""))</f>
        <v/>
      </c>
      <c r="S206" s="6" t="str">
        <f>IF(COUNTBLANK($A206:$E206)&gt;0, "", IFERROR(_xlfn.MAXIFS(Log!$G:$G, Log!$A:$A, $A206, Log!$B:$B, $B206, Log!$C:$C, $C206),""))</f>
        <v/>
      </c>
      <c r="T206" s="6" t="str">
        <f>IF($N206&lt;&gt;"", 'Daily Camera Trends'!$M$5, "")</f>
        <v/>
      </c>
      <c r="U206" s="6" t="str">
        <f>IF(Q206&lt;&gt;"", 'Daily Camera Trends'!$N$5, "")</f>
        <v/>
      </c>
      <c r="CP206" s="6" t="str">
        <f>IF($N206&lt;&gt;"", 'Daily Camera Trends'!$M$5, "")</f>
        <v/>
      </c>
      <c r="CQ206" s="6" t="str">
        <f>IF($Q206&lt;&gt;"", 'Daily Camera Trends'!$N$5, "")</f>
        <v/>
      </c>
    </row>
    <row r="207" spans="1:95" ht="40.049999999999997" customHeight="1" x14ac:dyDescent="0.3">
      <c r="A207" s="103" t="str">
        <f t="shared" si="8"/>
        <v/>
      </c>
      <c r="B207" s="236" t="s">
        <v>89</v>
      </c>
      <c r="H207" s="7" t="str">
        <f>IF(COUNTBLANK($A207:$E207)&gt;0, "", IFERROR(AVERAGEIFS(Log!$E:$E, Log!$A:$A, $A207, Log!$B:$B, $B207, Log!$C:$C, $C207),""))</f>
        <v/>
      </c>
      <c r="I207" s="37" t="str">
        <f t="shared" si="7"/>
        <v/>
      </c>
      <c r="N207" s="6" t="str">
        <f>IF(COUNTBLANK($A207:$E207)&gt;0, "", IFERROR(AVERAGEIFS(Log!#REF!, Log!$A:$A, $A207, Log!$B:$B, $B207, Log!$C:$C, $C207),""))</f>
        <v/>
      </c>
      <c r="O207" s="6" t="str">
        <f>IF(COUNTBLANK($A207:$E207)&gt;0, "", IFERROR(_xlfn.MINIFS(Log!$F:$F, Log!$A:$A, $A207, Log!$B:$B, $B207, Log!$C:$C, $C207),""))</f>
        <v/>
      </c>
      <c r="P207" s="6" t="str">
        <f>IF(COUNTBLANK($A207:$E207)&gt;0, "", IFERROR(_xlfn.MAXIFS(Log!$F:$F, Log!$A:$A, $A207, Log!$B:$B, $B207, Log!$C:$C, $C207),""))</f>
        <v/>
      </c>
      <c r="Q207" s="6" t="str">
        <f>IF(COUNTBLANK($A207:$E207)&gt;0, "", IFERROR(AVERAGEIFS(Log!#REF!, Log!$A:$A, $A207, Log!$B:$B, $B207, Log!$C:$C, $C207),""))</f>
        <v/>
      </c>
      <c r="R207" s="6" t="str">
        <f>IF(COUNTBLANK($A207:$E207)&gt;0, "", IFERROR(_xlfn.MINIFS(Log!$G:$G, Log!$A:$A, $A207, Log!$B:$B, $B207, Log!$C:$C, $C207),""))</f>
        <v/>
      </c>
      <c r="S207" s="6" t="str">
        <f>IF(COUNTBLANK($A207:$E207)&gt;0, "", IFERROR(_xlfn.MAXIFS(Log!$G:$G, Log!$A:$A, $A207, Log!$B:$B, $B207, Log!$C:$C, $C207),""))</f>
        <v/>
      </c>
      <c r="T207" s="6" t="str">
        <f>IF($N207&lt;&gt;"", 'Daily Camera Trends'!$M$5, "")</f>
        <v/>
      </c>
      <c r="U207" s="6" t="str">
        <f>IF(Q207&lt;&gt;"", 'Daily Camera Trends'!$N$5, "")</f>
        <v/>
      </c>
      <c r="CP207" s="6" t="str">
        <f>IF($N207&lt;&gt;"", 'Daily Camera Trends'!$M$5, "")</f>
        <v/>
      </c>
      <c r="CQ207" s="6" t="str">
        <f>IF($Q207&lt;&gt;"", 'Daily Camera Trends'!$N$5, "")</f>
        <v/>
      </c>
    </row>
    <row r="208" spans="1:95" ht="40.049999999999997" customHeight="1" x14ac:dyDescent="0.3">
      <c r="A208" s="103" t="str">
        <f t="shared" si="8"/>
        <v/>
      </c>
      <c r="B208" s="236" t="s">
        <v>89</v>
      </c>
      <c r="H208" s="7" t="str">
        <f>IF(COUNTBLANK($A208:$E208)&gt;0, "", IFERROR(AVERAGEIFS(Log!$E:$E, Log!$A:$A, $A208, Log!$B:$B, $B208, Log!$C:$C, $C208),""))</f>
        <v/>
      </c>
      <c r="I208" s="37" t="str">
        <f t="shared" si="7"/>
        <v/>
      </c>
      <c r="N208" s="6" t="str">
        <f>IF(COUNTBLANK($A208:$E208)&gt;0, "", IFERROR(AVERAGEIFS(Log!#REF!, Log!$A:$A, $A208, Log!$B:$B, $B208, Log!$C:$C, $C208),""))</f>
        <v/>
      </c>
      <c r="O208" s="6" t="str">
        <f>IF(COUNTBLANK($A208:$E208)&gt;0, "", IFERROR(_xlfn.MINIFS(Log!$F:$F, Log!$A:$A, $A208, Log!$B:$B, $B208, Log!$C:$C, $C208),""))</f>
        <v/>
      </c>
      <c r="P208" s="6" t="str">
        <f>IF(COUNTBLANK($A208:$E208)&gt;0, "", IFERROR(_xlfn.MAXIFS(Log!$F:$F, Log!$A:$A, $A208, Log!$B:$B, $B208, Log!$C:$C, $C208),""))</f>
        <v/>
      </c>
      <c r="Q208" s="6" t="str">
        <f>IF(COUNTBLANK($A208:$E208)&gt;0, "", IFERROR(AVERAGEIFS(Log!#REF!, Log!$A:$A, $A208, Log!$B:$B, $B208, Log!$C:$C, $C208),""))</f>
        <v/>
      </c>
      <c r="R208" s="6" t="str">
        <f>IF(COUNTBLANK($A208:$E208)&gt;0, "", IFERROR(_xlfn.MINIFS(Log!$G:$G, Log!$A:$A, $A208, Log!$B:$B, $B208, Log!$C:$C, $C208),""))</f>
        <v/>
      </c>
      <c r="S208" s="6" t="str">
        <f>IF(COUNTBLANK($A208:$E208)&gt;0, "", IFERROR(_xlfn.MAXIFS(Log!$G:$G, Log!$A:$A, $A208, Log!$B:$B, $B208, Log!$C:$C, $C208),""))</f>
        <v/>
      </c>
      <c r="T208" s="6" t="str">
        <f>IF($N208&lt;&gt;"", 'Daily Camera Trends'!$M$5, "")</f>
        <v/>
      </c>
      <c r="U208" s="6" t="str">
        <f>IF(Q208&lt;&gt;"", 'Daily Camera Trends'!$N$5, "")</f>
        <v/>
      </c>
      <c r="CP208" s="6" t="str">
        <f>IF($N208&lt;&gt;"", 'Daily Camera Trends'!$M$5, "")</f>
        <v/>
      </c>
      <c r="CQ208" s="6" t="str">
        <f>IF($Q208&lt;&gt;"", 'Daily Camera Trends'!$N$5, "")</f>
        <v/>
      </c>
    </row>
    <row r="209" spans="1:95" ht="40.049999999999997" customHeight="1" x14ac:dyDescent="0.3">
      <c r="A209" s="103" t="str">
        <f t="shared" si="8"/>
        <v/>
      </c>
      <c r="B209" s="236" t="s">
        <v>89</v>
      </c>
      <c r="H209" s="7" t="str">
        <f>IF(COUNTBLANK($A209:$E209)&gt;0, "", IFERROR(AVERAGEIFS(Log!$E:$E, Log!$A:$A, $A209, Log!$B:$B, $B209, Log!$C:$C, $C209),""))</f>
        <v/>
      </c>
      <c r="I209" s="37" t="str">
        <f t="shared" si="7"/>
        <v/>
      </c>
      <c r="N209" s="6" t="str">
        <f>IF(COUNTBLANK($A209:$E209)&gt;0, "", IFERROR(AVERAGEIFS(Log!#REF!, Log!$A:$A, $A209, Log!$B:$B, $B209, Log!$C:$C, $C209),""))</f>
        <v/>
      </c>
      <c r="O209" s="6" t="str">
        <f>IF(COUNTBLANK($A209:$E209)&gt;0, "", IFERROR(_xlfn.MINIFS(Log!$F:$F, Log!$A:$A, $A209, Log!$B:$B, $B209, Log!$C:$C, $C209),""))</f>
        <v/>
      </c>
      <c r="P209" s="6" t="str">
        <f>IF(COUNTBLANK($A209:$E209)&gt;0, "", IFERROR(_xlfn.MAXIFS(Log!$F:$F, Log!$A:$A, $A209, Log!$B:$B, $B209, Log!$C:$C, $C209),""))</f>
        <v/>
      </c>
      <c r="Q209" s="6" t="str">
        <f>IF(COUNTBLANK($A209:$E209)&gt;0, "", IFERROR(AVERAGEIFS(Log!#REF!, Log!$A:$A, $A209, Log!$B:$B, $B209, Log!$C:$C, $C209),""))</f>
        <v/>
      </c>
      <c r="R209" s="6" t="str">
        <f>IF(COUNTBLANK($A209:$E209)&gt;0, "", IFERROR(_xlfn.MINIFS(Log!$G:$G, Log!$A:$A, $A209, Log!$B:$B, $B209, Log!$C:$C, $C209),""))</f>
        <v/>
      </c>
      <c r="S209" s="6" t="str">
        <f>IF(COUNTBLANK($A209:$E209)&gt;0, "", IFERROR(_xlfn.MAXIFS(Log!$G:$G, Log!$A:$A, $A209, Log!$B:$B, $B209, Log!$C:$C, $C209),""))</f>
        <v/>
      </c>
      <c r="T209" s="6" t="str">
        <f>IF($N209&lt;&gt;"", 'Daily Camera Trends'!$M$5, "")</f>
        <v/>
      </c>
      <c r="U209" s="6" t="str">
        <f>IF(Q209&lt;&gt;"", 'Daily Camera Trends'!$N$5, "")</f>
        <v/>
      </c>
      <c r="CP209" s="6" t="str">
        <f>IF($N209&lt;&gt;"", 'Daily Camera Trends'!$M$5, "")</f>
        <v/>
      </c>
      <c r="CQ209" s="6" t="str">
        <f>IF($Q209&lt;&gt;"", 'Daily Camera Trends'!$N$5, "")</f>
        <v/>
      </c>
    </row>
    <row r="210" spans="1:95" ht="40.049999999999997" customHeight="1" x14ac:dyDescent="0.3">
      <c r="A210" s="103" t="str">
        <f t="shared" si="8"/>
        <v/>
      </c>
      <c r="B210" s="236" t="s">
        <v>89</v>
      </c>
      <c r="H210" s="7" t="str">
        <f>IF(COUNTBLANK($A210:$E210)&gt;0, "", IFERROR(AVERAGEIFS(Log!$E:$E, Log!$A:$A, $A210, Log!$B:$B, $B210, Log!$C:$C, $C210),""))</f>
        <v/>
      </c>
      <c r="I210" s="37" t="str">
        <f t="shared" si="7"/>
        <v/>
      </c>
      <c r="N210" s="6" t="str">
        <f>IF(COUNTBLANK($A210:$E210)&gt;0, "", IFERROR(AVERAGEIFS(Log!#REF!, Log!$A:$A, $A210, Log!$B:$B, $B210, Log!$C:$C, $C210),""))</f>
        <v/>
      </c>
      <c r="O210" s="6" t="str">
        <f>IF(COUNTBLANK($A210:$E210)&gt;0, "", IFERROR(_xlfn.MINIFS(Log!$F:$F, Log!$A:$A, $A210, Log!$B:$B, $B210, Log!$C:$C, $C210),""))</f>
        <v/>
      </c>
      <c r="P210" s="6" t="str">
        <f>IF(COUNTBLANK($A210:$E210)&gt;0, "", IFERROR(_xlfn.MAXIFS(Log!$F:$F, Log!$A:$A, $A210, Log!$B:$B, $B210, Log!$C:$C, $C210),""))</f>
        <v/>
      </c>
      <c r="Q210" s="6" t="str">
        <f>IF(COUNTBLANK($A210:$E210)&gt;0, "", IFERROR(AVERAGEIFS(Log!#REF!, Log!$A:$A, $A210, Log!$B:$B, $B210, Log!$C:$C, $C210),""))</f>
        <v/>
      </c>
      <c r="R210" s="6" t="str">
        <f>IF(COUNTBLANK($A210:$E210)&gt;0, "", IFERROR(_xlfn.MINIFS(Log!$G:$G, Log!$A:$A, $A210, Log!$B:$B, $B210, Log!$C:$C, $C210),""))</f>
        <v/>
      </c>
      <c r="S210" s="6" t="str">
        <f>IF(COUNTBLANK($A210:$E210)&gt;0, "", IFERROR(_xlfn.MAXIFS(Log!$G:$G, Log!$A:$A, $A210, Log!$B:$B, $B210, Log!$C:$C, $C210),""))</f>
        <v/>
      </c>
      <c r="T210" s="6" t="str">
        <f>IF($N210&lt;&gt;"", 'Daily Camera Trends'!$M$5, "")</f>
        <v/>
      </c>
      <c r="U210" s="6" t="str">
        <f>IF(Q210&lt;&gt;"", 'Daily Camera Trends'!$N$5, "")</f>
        <v/>
      </c>
      <c r="CP210" s="6" t="str">
        <f>IF($N210&lt;&gt;"", 'Daily Camera Trends'!$M$5, "")</f>
        <v/>
      </c>
      <c r="CQ210" s="6" t="str">
        <f>IF($Q210&lt;&gt;"", 'Daily Camera Trends'!$N$5, "")</f>
        <v/>
      </c>
    </row>
    <row r="211" spans="1:95" ht="40.049999999999997" customHeight="1" x14ac:dyDescent="0.3">
      <c r="A211" s="103" t="str">
        <f t="shared" si="8"/>
        <v/>
      </c>
      <c r="B211" s="236" t="s">
        <v>89</v>
      </c>
      <c r="H211" s="7" t="str">
        <f>IF(COUNTBLANK($A211:$E211)&gt;0, "", IFERROR(AVERAGEIFS(Log!$E:$E, Log!$A:$A, $A211, Log!$B:$B, $B211, Log!$C:$C, $C211),""))</f>
        <v/>
      </c>
      <c r="I211" s="37" t="str">
        <f t="shared" si="7"/>
        <v/>
      </c>
      <c r="N211" s="6" t="str">
        <f>IF(COUNTBLANK($A211:$E211)&gt;0, "", IFERROR(AVERAGEIFS(Log!#REF!, Log!$A:$A, $A211, Log!$B:$B, $B211, Log!$C:$C, $C211),""))</f>
        <v/>
      </c>
      <c r="O211" s="6" t="str">
        <f>IF(COUNTBLANK($A211:$E211)&gt;0, "", IFERROR(_xlfn.MINIFS(Log!$F:$F, Log!$A:$A, $A211, Log!$B:$B, $B211, Log!$C:$C, $C211),""))</f>
        <v/>
      </c>
      <c r="P211" s="6" t="str">
        <f>IF(COUNTBLANK($A211:$E211)&gt;0, "", IFERROR(_xlfn.MAXIFS(Log!$F:$F, Log!$A:$A, $A211, Log!$B:$B, $B211, Log!$C:$C, $C211),""))</f>
        <v/>
      </c>
      <c r="Q211" s="6" t="str">
        <f>IF(COUNTBLANK($A211:$E211)&gt;0, "", IFERROR(AVERAGEIFS(Log!#REF!, Log!$A:$A, $A211, Log!$B:$B, $B211, Log!$C:$C, $C211),""))</f>
        <v/>
      </c>
      <c r="R211" s="6" t="str">
        <f>IF(COUNTBLANK($A211:$E211)&gt;0, "", IFERROR(_xlfn.MINIFS(Log!$G:$G, Log!$A:$A, $A211, Log!$B:$B, $B211, Log!$C:$C, $C211),""))</f>
        <v/>
      </c>
      <c r="S211" s="6" t="str">
        <f>IF(COUNTBLANK($A211:$E211)&gt;0, "", IFERROR(_xlfn.MAXIFS(Log!$G:$G, Log!$A:$A, $A211, Log!$B:$B, $B211, Log!$C:$C, $C211),""))</f>
        <v/>
      </c>
      <c r="T211" s="6" t="str">
        <f>IF($N211&lt;&gt;"", 'Daily Camera Trends'!$M$5, "")</f>
        <v/>
      </c>
      <c r="U211" s="6" t="str">
        <f>IF(Q211&lt;&gt;"", 'Daily Camera Trends'!$N$5, "")</f>
        <v/>
      </c>
      <c r="CP211" s="6" t="str">
        <f>IF($N211&lt;&gt;"", 'Daily Camera Trends'!$M$5, "")</f>
        <v/>
      </c>
      <c r="CQ211" s="6" t="str">
        <f>IF($Q211&lt;&gt;"", 'Daily Camera Trends'!$N$5, "")</f>
        <v/>
      </c>
    </row>
    <row r="212" spans="1:95" ht="40.049999999999997" customHeight="1" x14ac:dyDescent="0.3">
      <c r="A212" s="103" t="str">
        <f t="shared" si="8"/>
        <v/>
      </c>
      <c r="B212" s="236" t="s">
        <v>89</v>
      </c>
      <c r="H212" s="7" t="str">
        <f>IF(COUNTBLANK($A212:$E212)&gt;0, "", IFERROR(AVERAGEIFS(Log!$E:$E, Log!$A:$A, $A212, Log!$B:$B, $B212, Log!$C:$C, $C212),""))</f>
        <v/>
      </c>
      <c r="I212" s="37" t="str">
        <f t="shared" si="7"/>
        <v/>
      </c>
      <c r="N212" s="6" t="str">
        <f>IF(COUNTBLANK($A212:$E212)&gt;0, "", IFERROR(AVERAGEIFS(Log!#REF!, Log!$A:$A, $A212, Log!$B:$B, $B212, Log!$C:$C, $C212),""))</f>
        <v/>
      </c>
      <c r="O212" s="6" t="str">
        <f>IF(COUNTBLANK($A212:$E212)&gt;0, "", IFERROR(_xlfn.MINIFS(Log!$F:$F, Log!$A:$A, $A212, Log!$B:$B, $B212, Log!$C:$C, $C212),""))</f>
        <v/>
      </c>
      <c r="P212" s="6" t="str">
        <f>IF(COUNTBLANK($A212:$E212)&gt;0, "", IFERROR(_xlfn.MAXIFS(Log!$F:$F, Log!$A:$A, $A212, Log!$B:$B, $B212, Log!$C:$C, $C212),""))</f>
        <v/>
      </c>
      <c r="Q212" s="6" t="str">
        <f>IF(COUNTBLANK($A212:$E212)&gt;0, "", IFERROR(AVERAGEIFS(Log!#REF!, Log!$A:$A, $A212, Log!$B:$B, $B212, Log!$C:$C, $C212),""))</f>
        <v/>
      </c>
      <c r="R212" s="6" t="str">
        <f>IF(COUNTBLANK($A212:$E212)&gt;0, "", IFERROR(_xlfn.MINIFS(Log!$G:$G, Log!$A:$A, $A212, Log!$B:$B, $B212, Log!$C:$C, $C212),""))</f>
        <v/>
      </c>
      <c r="S212" s="6" t="str">
        <f>IF(COUNTBLANK($A212:$E212)&gt;0, "", IFERROR(_xlfn.MAXIFS(Log!$G:$G, Log!$A:$A, $A212, Log!$B:$B, $B212, Log!$C:$C, $C212),""))</f>
        <v/>
      </c>
      <c r="T212" s="6" t="str">
        <f>IF($N212&lt;&gt;"", 'Daily Camera Trends'!$M$5, "")</f>
        <v/>
      </c>
      <c r="U212" s="6" t="str">
        <f>IF(Q212&lt;&gt;"", 'Daily Camera Trends'!$N$5, "")</f>
        <v/>
      </c>
      <c r="CP212" s="6" t="str">
        <f>IF($N212&lt;&gt;"", 'Daily Camera Trends'!$M$5, "")</f>
        <v/>
      </c>
      <c r="CQ212" s="6" t="str">
        <f>IF($Q212&lt;&gt;"", 'Daily Camera Trends'!$N$5, "")</f>
        <v/>
      </c>
    </row>
    <row r="213" spans="1:95" ht="40.049999999999997" customHeight="1" x14ac:dyDescent="0.3">
      <c r="A213" s="103" t="str">
        <f t="shared" si="8"/>
        <v/>
      </c>
      <c r="B213" s="236" t="s">
        <v>89</v>
      </c>
      <c r="H213" s="7" t="str">
        <f>IF(COUNTBLANK($A213:$E213)&gt;0, "", IFERROR(AVERAGEIFS(Log!$E:$E, Log!$A:$A, $A213, Log!$B:$B, $B213, Log!$C:$C, $C213),""))</f>
        <v/>
      </c>
      <c r="I213" s="37" t="str">
        <f t="shared" si="7"/>
        <v/>
      </c>
      <c r="N213" s="6" t="str">
        <f>IF(COUNTBLANK($A213:$E213)&gt;0, "", IFERROR(AVERAGEIFS(Log!#REF!, Log!$A:$A, $A213, Log!$B:$B, $B213, Log!$C:$C, $C213),""))</f>
        <v/>
      </c>
      <c r="O213" s="6" t="str">
        <f>IF(COUNTBLANK($A213:$E213)&gt;0, "", IFERROR(_xlfn.MINIFS(Log!$F:$F, Log!$A:$A, $A213, Log!$B:$B, $B213, Log!$C:$C, $C213),""))</f>
        <v/>
      </c>
      <c r="P213" s="6" t="str">
        <f>IF(COUNTBLANK($A213:$E213)&gt;0, "", IFERROR(_xlfn.MAXIFS(Log!$F:$F, Log!$A:$A, $A213, Log!$B:$B, $B213, Log!$C:$C, $C213),""))</f>
        <v/>
      </c>
      <c r="Q213" s="6" t="str">
        <f>IF(COUNTBLANK($A213:$E213)&gt;0, "", IFERROR(AVERAGEIFS(Log!#REF!, Log!$A:$A, $A213, Log!$B:$B, $B213, Log!$C:$C, $C213),""))</f>
        <v/>
      </c>
      <c r="R213" s="6" t="str">
        <f>IF(COUNTBLANK($A213:$E213)&gt;0, "", IFERROR(_xlfn.MINIFS(Log!$G:$G, Log!$A:$A, $A213, Log!$B:$B, $B213, Log!$C:$C, $C213),""))</f>
        <v/>
      </c>
      <c r="S213" s="6" t="str">
        <f>IF(COUNTBLANK($A213:$E213)&gt;0, "", IFERROR(_xlfn.MAXIFS(Log!$G:$G, Log!$A:$A, $A213, Log!$B:$B, $B213, Log!$C:$C, $C213),""))</f>
        <v/>
      </c>
      <c r="T213" s="6" t="str">
        <f>IF($N213&lt;&gt;"", 'Daily Camera Trends'!$M$5, "")</f>
        <v/>
      </c>
      <c r="U213" s="6" t="str">
        <f>IF(Q213&lt;&gt;"", 'Daily Camera Trends'!$N$5, "")</f>
        <v/>
      </c>
      <c r="CP213" s="6" t="str">
        <f>IF($N213&lt;&gt;"", 'Daily Camera Trends'!$M$5, "")</f>
        <v/>
      </c>
      <c r="CQ213" s="6" t="str">
        <f>IF($Q213&lt;&gt;"", 'Daily Camera Trends'!$N$5, "")</f>
        <v/>
      </c>
    </row>
    <row r="214" spans="1:95" ht="40.049999999999997" customHeight="1" x14ac:dyDescent="0.3">
      <c r="A214" s="103" t="str">
        <f t="shared" si="8"/>
        <v/>
      </c>
      <c r="B214" s="236" t="s">
        <v>89</v>
      </c>
      <c r="H214" s="7" t="str">
        <f>IF(COUNTBLANK($A214:$E214)&gt;0, "", IFERROR(AVERAGEIFS(Log!$E:$E, Log!$A:$A, $A214, Log!$B:$B, $B214, Log!$C:$C, $C214),""))</f>
        <v/>
      </c>
      <c r="I214" s="37" t="str">
        <f t="shared" si="7"/>
        <v/>
      </c>
      <c r="N214" s="6" t="str">
        <f>IF(COUNTBLANK($A214:$E214)&gt;0, "", IFERROR(AVERAGEIFS(Log!#REF!, Log!$A:$A, $A214, Log!$B:$B, $B214, Log!$C:$C, $C214),""))</f>
        <v/>
      </c>
      <c r="O214" s="6" t="str">
        <f>IF(COUNTBLANK($A214:$E214)&gt;0, "", IFERROR(_xlfn.MINIFS(Log!$F:$F, Log!$A:$A, $A214, Log!$B:$B, $B214, Log!$C:$C, $C214),""))</f>
        <v/>
      </c>
      <c r="P214" s="6" t="str">
        <f>IF(COUNTBLANK($A214:$E214)&gt;0, "", IFERROR(_xlfn.MAXIFS(Log!$F:$F, Log!$A:$A, $A214, Log!$B:$B, $B214, Log!$C:$C, $C214),""))</f>
        <v/>
      </c>
      <c r="Q214" s="6" t="str">
        <f>IF(COUNTBLANK($A214:$E214)&gt;0, "", IFERROR(AVERAGEIFS(Log!#REF!, Log!$A:$A, $A214, Log!$B:$B, $B214, Log!$C:$C, $C214),""))</f>
        <v/>
      </c>
      <c r="R214" s="6" t="str">
        <f>IF(COUNTBLANK($A214:$E214)&gt;0, "", IFERROR(_xlfn.MINIFS(Log!$G:$G, Log!$A:$A, $A214, Log!$B:$B, $B214, Log!$C:$C, $C214),""))</f>
        <v/>
      </c>
      <c r="S214" s="6" t="str">
        <f>IF(COUNTBLANK($A214:$E214)&gt;0, "", IFERROR(_xlfn.MAXIFS(Log!$G:$G, Log!$A:$A, $A214, Log!$B:$B, $B214, Log!$C:$C, $C214),""))</f>
        <v/>
      </c>
      <c r="T214" s="6" t="str">
        <f>IF($N214&lt;&gt;"", 'Daily Camera Trends'!$M$5, "")</f>
        <v/>
      </c>
      <c r="U214" s="6" t="str">
        <f>IF(Q214&lt;&gt;"", 'Daily Camera Trends'!$N$5, "")</f>
        <v/>
      </c>
      <c r="CP214" s="6" t="str">
        <f>IF($N214&lt;&gt;"", 'Daily Camera Trends'!$M$5, "")</f>
        <v/>
      </c>
      <c r="CQ214" s="6" t="str">
        <f>IF($Q214&lt;&gt;"", 'Daily Camera Trends'!$N$5, "")</f>
        <v/>
      </c>
    </row>
    <row r="215" spans="1:95" ht="40.049999999999997" customHeight="1" x14ac:dyDescent="0.3">
      <c r="A215" s="103" t="str">
        <f t="shared" si="8"/>
        <v/>
      </c>
      <c r="B215" s="236" t="s">
        <v>89</v>
      </c>
      <c r="H215" s="7" t="str">
        <f>IF(COUNTBLANK($A215:$E215)&gt;0, "", IFERROR(AVERAGEIFS(Log!$E:$E, Log!$A:$A, $A215, Log!$B:$B, $B215, Log!$C:$C, $C215),""))</f>
        <v/>
      </c>
      <c r="I215" s="37" t="str">
        <f t="shared" si="7"/>
        <v/>
      </c>
      <c r="N215" s="6" t="str">
        <f>IF(COUNTBLANK($A215:$E215)&gt;0, "", IFERROR(AVERAGEIFS(Log!#REF!, Log!$A:$A, $A215, Log!$B:$B, $B215, Log!$C:$C, $C215),""))</f>
        <v/>
      </c>
      <c r="O215" s="6" t="str">
        <f>IF(COUNTBLANK($A215:$E215)&gt;0, "", IFERROR(_xlfn.MINIFS(Log!$F:$F, Log!$A:$A, $A215, Log!$B:$B, $B215, Log!$C:$C, $C215),""))</f>
        <v/>
      </c>
      <c r="P215" s="6" t="str">
        <f>IF(COUNTBLANK($A215:$E215)&gt;0, "", IFERROR(_xlfn.MAXIFS(Log!$F:$F, Log!$A:$A, $A215, Log!$B:$B, $B215, Log!$C:$C, $C215),""))</f>
        <v/>
      </c>
      <c r="Q215" s="6" t="str">
        <f>IF(COUNTBLANK($A215:$E215)&gt;0, "", IFERROR(AVERAGEIFS(Log!#REF!, Log!$A:$A, $A215, Log!$B:$B, $B215, Log!$C:$C, $C215),""))</f>
        <v/>
      </c>
      <c r="R215" s="6" t="str">
        <f>IF(COUNTBLANK($A215:$E215)&gt;0, "", IFERROR(_xlfn.MINIFS(Log!$G:$G, Log!$A:$A, $A215, Log!$B:$B, $B215, Log!$C:$C, $C215),""))</f>
        <v/>
      </c>
      <c r="S215" s="6" t="str">
        <f>IF(COUNTBLANK($A215:$E215)&gt;0, "", IFERROR(_xlfn.MAXIFS(Log!$G:$G, Log!$A:$A, $A215, Log!$B:$B, $B215, Log!$C:$C, $C215),""))</f>
        <v/>
      </c>
      <c r="T215" s="6" t="str">
        <f>IF($N215&lt;&gt;"", 'Daily Camera Trends'!$M$5, "")</f>
        <v/>
      </c>
      <c r="U215" s="6" t="str">
        <f>IF(Q215&lt;&gt;"", 'Daily Camera Trends'!$N$5, "")</f>
        <v/>
      </c>
      <c r="CP215" s="6" t="str">
        <f>IF($N215&lt;&gt;"", 'Daily Camera Trends'!$M$5, "")</f>
        <v/>
      </c>
      <c r="CQ215" s="6" t="str">
        <f>IF($Q215&lt;&gt;"", 'Daily Camera Trends'!$N$5, "")</f>
        <v/>
      </c>
    </row>
    <row r="216" spans="1:95" ht="40.049999999999997" customHeight="1" x14ac:dyDescent="0.3">
      <c r="A216" s="103" t="str">
        <f t="shared" si="8"/>
        <v/>
      </c>
      <c r="B216" s="236" t="s">
        <v>89</v>
      </c>
      <c r="H216" s="7" t="str">
        <f>IF(COUNTBLANK($A216:$E216)&gt;0, "", IFERROR(AVERAGEIFS(Log!$E:$E, Log!$A:$A, $A216, Log!$B:$B, $B216, Log!$C:$C, $C216),""))</f>
        <v/>
      </c>
      <c r="I216" s="37" t="str">
        <f t="shared" si="7"/>
        <v/>
      </c>
      <c r="N216" s="6" t="str">
        <f>IF(COUNTBLANK($A216:$E216)&gt;0, "", IFERROR(AVERAGEIFS(Log!#REF!, Log!$A:$A, $A216, Log!$B:$B, $B216, Log!$C:$C, $C216),""))</f>
        <v/>
      </c>
      <c r="O216" s="6" t="str">
        <f>IF(COUNTBLANK($A216:$E216)&gt;0, "", IFERROR(_xlfn.MINIFS(Log!$F:$F, Log!$A:$A, $A216, Log!$B:$B, $B216, Log!$C:$C, $C216),""))</f>
        <v/>
      </c>
      <c r="P216" s="6" t="str">
        <f>IF(COUNTBLANK($A216:$E216)&gt;0, "", IFERROR(_xlfn.MAXIFS(Log!$F:$F, Log!$A:$A, $A216, Log!$B:$B, $B216, Log!$C:$C, $C216),""))</f>
        <v/>
      </c>
      <c r="Q216" s="6" t="str">
        <f>IF(COUNTBLANK($A216:$E216)&gt;0, "", IFERROR(AVERAGEIFS(Log!#REF!, Log!$A:$A, $A216, Log!$B:$B, $B216, Log!$C:$C, $C216),""))</f>
        <v/>
      </c>
      <c r="R216" s="6" t="str">
        <f>IF(COUNTBLANK($A216:$E216)&gt;0, "", IFERROR(_xlfn.MINIFS(Log!$G:$G, Log!$A:$A, $A216, Log!$B:$B, $B216, Log!$C:$C, $C216),""))</f>
        <v/>
      </c>
      <c r="S216" s="6" t="str">
        <f>IF(COUNTBLANK($A216:$E216)&gt;0, "", IFERROR(_xlfn.MAXIFS(Log!$G:$G, Log!$A:$A, $A216, Log!$B:$B, $B216, Log!$C:$C, $C216),""))</f>
        <v/>
      </c>
      <c r="T216" s="6" t="str">
        <f>IF($N216&lt;&gt;"", 'Daily Camera Trends'!$M$5, "")</f>
        <v/>
      </c>
      <c r="U216" s="6" t="str">
        <f>IF(Q216&lt;&gt;"", 'Daily Camera Trends'!$N$5, "")</f>
        <v/>
      </c>
      <c r="CP216" s="6" t="str">
        <f>IF($N216&lt;&gt;"", 'Daily Camera Trends'!$M$5, "")</f>
        <v/>
      </c>
      <c r="CQ216" s="6" t="str">
        <f>IF($Q216&lt;&gt;"", 'Daily Camera Trends'!$N$5, "")</f>
        <v/>
      </c>
    </row>
    <row r="217" spans="1:95" ht="40.049999999999997" customHeight="1" x14ac:dyDescent="0.3">
      <c r="A217" s="103" t="str">
        <f t="shared" si="8"/>
        <v/>
      </c>
      <c r="B217" s="236" t="s">
        <v>89</v>
      </c>
      <c r="H217" s="7" t="str">
        <f>IF(COUNTBLANK($A217:$E217)&gt;0, "", IFERROR(AVERAGEIFS(Log!$E:$E, Log!$A:$A, $A217, Log!$B:$B, $B217, Log!$C:$C, $C217),""))</f>
        <v/>
      </c>
      <c r="I217" s="37" t="str">
        <f t="shared" si="7"/>
        <v/>
      </c>
      <c r="N217" s="6" t="str">
        <f>IF(COUNTBLANK($A217:$E217)&gt;0, "", IFERROR(AVERAGEIFS(Log!#REF!, Log!$A:$A, $A217, Log!$B:$B, $B217, Log!$C:$C, $C217),""))</f>
        <v/>
      </c>
      <c r="O217" s="6" t="str">
        <f>IF(COUNTBLANK($A217:$E217)&gt;0, "", IFERROR(_xlfn.MINIFS(Log!$F:$F, Log!$A:$A, $A217, Log!$B:$B, $B217, Log!$C:$C, $C217),""))</f>
        <v/>
      </c>
      <c r="P217" s="6" t="str">
        <f>IF(COUNTBLANK($A217:$E217)&gt;0, "", IFERROR(_xlfn.MAXIFS(Log!$F:$F, Log!$A:$A, $A217, Log!$B:$B, $B217, Log!$C:$C, $C217),""))</f>
        <v/>
      </c>
      <c r="Q217" s="6" t="str">
        <f>IF(COUNTBLANK($A217:$E217)&gt;0, "", IFERROR(AVERAGEIFS(Log!#REF!, Log!$A:$A, $A217, Log!$B:$B, $B217, Log!$C:$C, $C217),""))</f>
        <v/>
      </c>
      <c r="R217" s="6" t="str">
        <f>IF(COUNTBLANK($A217:$E217)&gt;0, "", IFERROR(_xlfn.MINIFS(Log!$G:$G, Log!$A:$A, $A217, Log!$B:$B, $B217, Log!$C:$C, $C217),""))</f>
        <v/>
      </c>
      <c r="S217" s="6" t="str">
        <f>IF(COUNTBLANK($A217:$E217)&gt;0, "", IFERROR(_xlfn.MAXIFS(Log!$G:$G, Log!$A:$A, $A217, Log!$B:$B, $B217, Log!$C:$C, $C217),""))</f>
        <v/>
      </c>
      <c r="T217" s="6" t="str">
        <f>IF($N217&lt;&gt;"", 'Daily Camera Trends'!$M$5, "")</f>
        <v/>
      </c>
      <c r="U217" s="6" t="str">
        <f>IF(Q217&lt;&gt;"", 'Daily Camera Trends'!$N$5, "")</f>
        <v/>
      </c>
      <c r="CP217" s="6" t="str">
        <f>IF($N217&lt;&gt;"", 'Daily Camera Trends'!$M$5, "")</f>
        <v/>
      </c>
      <c r="CQ217" s="6" t="str">
        <f>IF($Q217&lt;&gt;"", 'Daily Camera Trends'!$N$5, "")</f>
        <v/>
      </c>
    </row>
    <row r="218" spans="1:95" ht="40.049999999999997" customHeight="1" x14ac:dyDescent="0.3">
      <c r="A218" s="103" t="str">
        <f t="shared" si="8"/>
        <v/>
      </c>
      <c r="B218" s="236" t="s">
        <v>89</v>
      </c>
      <c r="H218" s="7" t="str">
        <f>IF(COUNTBLANK($A218:$E218)&gt;0, "", IFERROR(AVERAGEIFS(Log!$E:$E, Log!$A:$A, $A218, Log!$B:$B, $B218, Log!$C:$C, $C218),""))</f>
        <v/>
      </c>
      <c r="I218" s="37" t="str">
        <f t="shared" si="7"/>
        <v/>
      </c>
      <c r="N218" s="6" t="str">
        <f>IF(COUNTBLANK($A218:$E218)&gt;0, "", IFERROR(AVERAGEIFS(Log!#REF!, Log!$A:$A, $A218, Log!$B:$B, $B218, Log!$C:$C, $C218),""))</f>
        <v/>
      </c>
      <c r="O218" s="6" t="str">
        <f>IF(COUNTBLANK($A218:$E218)&gt;0, "", IFERROR(_xlfn.MINIFS(Log!$F:$F, Log!$A:$A, $A218, Log!$B:$B, $B218, Log!$C:$C, $C218),""))</f>
        <v/>
      </c>
      <c r="P218" s="6" t="str">
        <f>IF(COUNTBLANK($A218:$E218)&gt;0, "", IFERROR(_xlfn.MAXIFS(Log!$F:$F, Log!$A:$A, $A218, Log!$B:$B, $B218, Log!$C:$C, $C218),""))</f>
        <v/>
      </c>
      <c r="Q218" s="6" t="str">
        <f>IF(COUNTBLANK($A218:$E218)&gt;0, "", IFERROR(AVERAGEIFS(Log!#REF!, Log!$A:$A, $A218, Log!$B:$B, $B218, Log!$C:$C, $C218),""))</f>
        <v/>
      </c>
      <c r="R218" s="6" t="str">
        <f>IF(COUNTBLANK($A218:$E218)&gt;0, "", IFERROR(_xlfn.MINIFS(Log!$G:$G, Log!$A:$A, $A218, Log!$B:$B, $B218, Log!$C:$C, $C218),""))</f>
        <v/>
      </c>
      <c r="S218" s="6" t="str">
        <f>IF(COUNTBLANK($A218:$E218)&gt;0, "", IFERROR(_xlfn.MAXIFS(Log!$G:$G, Log!$A:$A, $A218, Log!$B:$B, $B218, Log!$C:$C, $C218),""))</f>
        <v/>
      </c>
      <c r="T218" s="6" t="str">
        <f>IF($N218&lt;&gt;"", 'Daily Camera Trends'!$M$5, "")</f>
        <v/>
      </c>
      <c r="U218" s="6" t="str">
        <f>IF(Q218&lt;&gt;"", 'Daily Camera Trends'!$N$5, "")</f>
        <v/>
      </c>
      <c r="CP218" s="6" t="str">
        <f>IF($N218&lt;&gt;"", 'Daily Camera Trends'!$M$5, "")</f>
        <v/>
      </c>
      <c r="CQ218" s="6" t="str">
        <f>IF($Q218&lt;&gt;"", 'Daily Camera Trends'!$N$5, "")</f>
        <v/>
      </c>
    </row>
    <row r="219" spans="1:95" ht="40.049999999999997" customHeight="1" x14ac:dyDescent="0.3">
      <c r="A219" s="103" t="str">
        <f t="shared" si="8"/>
        <v/>
      </c>
      <c r="B219" s="236" t="s">
        <v>89</v>
      </c>
      <c r="H219" s="7" t="str">
        <f>IF(COUNTBLANK($A219:$E219)&gt;0, "", IFERROR(AVERAGEIFS(Log!$E:$E, Log!$A:$A, $A219, Log!$B:$B, $B219, Log!$C:$C, $C219),""))</f>
        <v/>
      </c>
      <c r="I219" s="37" t="str">
        <f t="shared" si="7"/>
        <v/>
      </c>
      <c r="N219" s="6" t="str">
        <f>IF(COUNTBLANK($A219:$E219)&gt;0, "", IFERROR(AVERAGEIFS(Log!#REF!, Log!$A:$A, $A219, Log!$B:$B, $B219, Log!$C:$C, $C219),""))</f>
        <v/>
      </c>
      <c r="O219" s="6" t="str">
        <f>IF(COUNTBLANK($A219:$E219)&gt;0, "", IFERROR(_xlfn.MINIFS(Log!$F:$F, Log!$A:$A, $A219, Log!$B:$B, $B219, Log!$C:$C, $C219),""))</f>
        <v/>
      </c>
      <c r="P219" s="6" t="str">
        <f>IF(COUNTBLANK($A219:$E219)&gt;0, "", IFERROR(_xlfn.MAXIFS(Log!$F:$F, Log!$A:$A, $A219, Log!$B:$B, $B219, Log!$C:$C, $C219),""))</f>
        <v/>
      </c>
      <c r="Q219" s="6" t="str">
        <f>IF(COUNTBLANK($A219:$E219)&gt;0, "", IFERROR(AVERAGEIFS(Log!#REF!, Log!$A:$A, $A219, Log!$B:$B, $B219, Log!$C:$C, $C219),""))</f>
        <v/>
      </c>
      <c r="R219" s="6" t="str">
        <f>IF(COUNTBLANK($A219:$E219)&gt;0, "", IFERROR(_xlfn.MINIFS(Log!$G:$G, Log!$A:$A, $A219, Log!$B:$B, $B219, Log!$C:$C, $C219),""))</f>
        <v/>
      </c>
      <c r="S219" s="6" t="str">
        <f>IF(COUNTBLANK($A219:$E219)&gt;0, "", IFERROR(_xlfn.MAXIFS(Log!$G:$G, Log!$A:$A, $A219, Log!$B:$B, $B219, Log!$C:$C, $C219),""))</f>
        <v/>
      </c>
      <c r="T219" s="6" t="str">
        <f>IF($N219&lt;&gt;"", 'Daily Camera Trends'!$M$5, "")</f>
        <v/>
      </c>
      <c r="U219" s="6" t="str">
        <f>IF(Q219&lt;&gt;"", 'Daily Camera Trends'!$N$5, "")</f>
        <v/>
      </c>
      <c r="CP219" s="6" t="str">
        <f>IF($N219&lt;&gt;"", 'Daily Camera Trends'!$M$5, "")</f>
        <v/>
      </c>
      <c r="CQ219" s="6" t="str">
        <f>IF($Q219&lt;&gt;"", 'Daily Camera Trends'!$N$5, "")</f>
        <v/>
      </c>
    </row>
    <row r="220" spans="1:95" ht="40.049999999999997" customHeight="1" x14ac:dyDescent="0.3">
      <c r="A220" s="103" t="str">
        <f t="shared" si="8"/>
        <v/>
      </c>
      <c r="B220" s="236" t="s">
        <v>89</v>
      </c>
      <c r="H220" s="7" t="str">
        <f>IF(COUNTBLANK($A220:$E220)&gt;0, "", IFERROR(AVERAGEIFS(Log!$E:$E, Log!$A:$A, $A220, Log!$B:$B, $B220, Log!$C:$C, $C220),""))</f>
        <v/>
      </c>
      <c r="I220" s="37" t="str">
        <f t="shared" si="7"/>
        <v/>
      </c>
      <c r="N220" s="6" t="str">
        <f>IF(COUNTBLANK($A220:$E220)&gt;0, "", IFERROR(AVERAGEIFS(Log!#REF!, Log!$A:$A, $A220, Log!$B:$B, $B220, Log!$C:$C, $C220),""))</f>
        <v/>
      </c>
      <c r="O220" s="6" t="str">
        <f>IF(COUNTBLANK($A220:$E220)&gt;0, "", IFERROR(_xlfn.MINIFS(Log!$F:$F, Log!$A:$A, $A220, Log!$B:$B, $B220, Log!$C:$C, $C220),""))</f>
        <v/>
      </c>
      <c r="P220" s="6" t="str">
        <f>IF(COUNTBLANK($A220:$E220)&gt;0, "", IFERROR(_xlfn.MAXIFS(Log!$F:$F, Log!$A:$A, $A220, Log!$B:$B, $B220, Log!$C:$C, $C220),""))</f>
        <v/>
      </c>
      <c r="Q220" s="6" t="str">
        <f>IF(COUNTBLANK($A220:$E220)&gt;0, "", IFERROR(AVERAGEIFS(Log!#REF!, Log!$A:$A, $A220, Log!$B:$B, $B220, Log!$C:$C, $C220),""))</f>
        <v/>
      </c>
      <c r="R220" s="6" t="str">
        <f>IF(COUNTBLANK($A220:$E220)&gt;0, "", IFERROR(_xlfn.MINIFS(Log!$G:$G, Log!$A:$A, $A220, Log!$B:$B, $B220, Log!$C:$C, $C220),""))</f>
        <v/>
      </c>
      <c r="S220" s="6" t="str">
        <f>IF(COUNTBLANK($A220:$E220)&gt;0, "", IFERROR(_xlfn.MAXIFS(Log!$G:$G, Log!$A:$A, $A220, Log!$B:$B, $B220, Log!$C:$C, $C220),""))</f>
        <v/>
      </c>
      <c r="T220" s="6" t="str">
        <f>IF($N220&lt;&gt;"", 'Daily Camera Trends'!$M$5, "")</f>
        <v/>
      </c>
      <c r="U220" s="6" t="str">
        <f>IF(Q220&lt;&gt;"", 'Daily Camera Trends'!$N$5, "")</f>
        <v/>
      </c>
      <c r="CP220" s="6" t="str">
        <f>IF($N220&lt;&gt;"", 'Daily Camera Trends'!$M$5, "")</f>
        <v/>
      </c>
      <c r="CQ220" s="6" t="str">
        <f>IF($Q220&lt;&gt;"", 'Daily Camera Trends'!$N$5, "")</f>
        <v/>
      </c>
    </row>
    <row r="221" spans="1:95" ht="40.049999999999997" customHeight="1" x14ac:dyDescent="0.3">
      <c r="A221" s="103" t="str">
        <f t="shared" si="8"/>
        <v/>
      </c>
      <c r="B221" s="236" t="s">
        <v>89</v>
      </c>
      <c r="H221" s="7" t="str">
        <f>IF(COUNTBLANK($A221:$E221)&gt;0, "", IFERROR(AVERAGEIFS(Log!$E:$E, Log!$A:$A, $A221, Log!$B:$B, $B221, Log!$C:$C, $C221),""))</f>
        <v/>
      </c>
      <c r="I221" s="37" t="str">
        <f t="shared" si="7"/>
        <v/>
      </c>
      <c r="N221" s="6" t="str">
        <f>IF(COUNTBLANK($A221:$E221)&gt;0, "", IFERROR(AVERAGEIFS(Log!#REF!, Log!$A:$A, $A221, Log!$B:$B, $B221, Log!$C:$C, $C221),""))</f>
        <v/>
      </c>
      <c r="O221" s="6" t="str">
        <f>IF(COUNTBLANK($A221:$E221)&gt;0, "", IFERROR(_xlfn.MINIFS(Log!$F:$F, Log!$A:$A, $A221, Log!$B:$B, $B221, Log!$C:$C, $C221),""))</f>
        <v/>
      </c>
      <c r="P221" s="6" t="str">
        <f>IF(COUNTBLANK($A221:$E221)&gt;0, "", IFERROR(_xlfn.MAXIFS(Log!$F:$F, Log!$A:$A, $A221, Log!$B:$B, $B221, Log!$C:$C, $C221),""))</f>
        <v/>
      </c>
      <c r="Q221" s="6" t="str">
        <f>IF(COUNTBLANK($A221:$E221)&gt;0, "", IFERROR(AVERAGEIFS(Log!#REF!, Log!$A:$A, $A221, Log!$B:$B, $B221, Log!$C:$C, $C221),""))</f>
        <v/>
      </c>
      <c r="R221" s="6" t="str">
        <f>IF(COUNTBLANK($A221:$E221)&gt;0, "", IFERROR(_xlfn.MINIFS(Log!$G:$G, Log!$A:$A, $A221, Log!$B:$B, $B221, Log!$C:$C, $C221),""))</f>
        <v/>
      </c>
      <c r="S221" s="6" t="str">
        <f>IF(COUNTBLANK($A221:$E221)&gt;0, "", IFERROR(_xlfn.MAXIFS(Log!$G:$G, Log!$A:$A, $A221, Log!$B:$B, $B221, Log!$C:$C, $C221),""))</f>
        <v/>
      </c>
      <c r="T221" s="6" t="str">
        <f>IF($N221&lt;&gt;"", 'Daily Camera Trends'!$M$5, "")</f>
        <v/>
      </c>
      <c r="U221" s="6" t="str">
        <f>IF(Q221&lt;&gt;"", 'Daily Camera Trends'!$N$5, "")</f>
        <v/>
      </c>
      <c r="CP221" s="6" t="str">
        <f>IF($N221&lt;&gt;"", 'Daily Camera Trends'!$M$5, "")</f>
        <v/>
      </c>
      <c r="CQ221" s="6" t="str">
        <f>IF($Q221&lt;&gt;"", 'Daily Camera Trends'!$N$5, "")</f>
        <v/>
      </c>
    </row>
    <row r="222" spans="1:95" ht="40.049999999999997" customHeight="1" x14ac:dyDescent="0.3">
      <c r="A222" s="103" t="str">
        <f t="shared" si="8"/>
        <v/>
      </c>
      <c r="B222" s="236" t="s">
        <v>89</v>
      </c>
      <c r="H222" s="7" t="str">
        <f>IF(COUNTBLANK($A222:$E222)&gt;0, "", IFERROR(AVERAGEIFS(Log!$E:$E, Log!$A:$A, $A222, Log!$B:$B, $B222, Log!$C:$C, $C222),""))</f>
        <v/>
      </c>
      <c r="I222" s="37" t="str">
        <f t="shared" si="7"/>
        <v/>
      </c>
      <c r="N222" s="6" t="str">
        <f>IF(COUNTBLANK($A222:$E222)&gt;0, "", IFERROR(AVERAGEIFS(Log!#REF!, Log!$A:$A, $A222, Log!$B:$B, $B222, Log!$C:$C, $C222),""))</f>
        <v/>
      </c>
      <c r="O222" s="6" t="str">
        <f>IF(COUNTBLANK($A222:$E222)&gt;0, "", IFERROR(_xlfn.MINIFS(Log!$F:$F, Log!$A:$A, $A222, Log!$B:$B, $B222, Log!$C:$C, $C222),""))</f>
        <v/>
      </c>
      <c r="P222" s="6" t="str">
        <f>IF(COUNTBLANK($A222:$E222)&gt;0, "", IFERROR(_xlfn.MAXIFS(Log!$F:$F, Log!$A:$A, $A222, Log!$B:$B, $B222, Log!$C:$C, $C222),""))</f>
        <v/>
      </c>
      <c r="Q222" s="6" t="str">
        <f>IF(COUNTBLANK($A222:$E222)&gt;0, "", IFERROR(AVERAGEIFS(Log!#REF!, Log!$A:$A, $A222, Log!$B:$B, $B222, Log!$C:$C, $C222),""))</f>
        <v/>
      </c>
      <c r="R222" s="6" t="str">
        <f>IF(COUNTBLANK($A222:$E222)&gt;0, "", IFERROR(_xlfn.MINIFS(Log!$G:$G, Log!$A:$A, $A222, Log!$B:$B, $B222, Log!$C:$C, $C222),""))</f>
        <v/>
      </c>
      <c r="S222" s="6" t="str">
        <f>IF(COUNTBLANK($A222:$E222)&gt;0, "", IFERROR(_xlfn.MAXIFS(Log!$G:$G, Log!$A:$A, $A222, Log!$B:$B, $B222, Log!$C:$C, $C222),""))</f>
        <v/>
      </c>
      <c r="T222" s="6" t="str">
        <f>IF($N222&lt;&gt;"", 'Daily Camera Trends'!$M$5, "")</f>
        <v/>
      </c>
      <c r="U222" s="6" t="str">
        <f>IF(Q222&lt;&gt;"", 'Daily Camera Trends'!$N$5, "")</f>
        <v/>
      </c>
      <c r="CP222" s="6" t="str">
        <f>IF($N222&lt;&gt;"", 'Daily Camera Trends'!$M$5, "")</f>
        <v/>
      </c>
      <c r="CQ222" s="6" t="str">
        <f>IF($Q222&lt;&gt;"", 'Daily Camera Trends'!$N$5, "")</f>
        <v/>
      </c>
    </row>
    <row r="223" spans="1:95" ht="40.049999999999997" customHeight="1" x14ac:dyDescent="0.3">
      <c r="A223" s="103" t="str">
        <f t="shared" si="8"/>
        <v/>
      </c>
      <c r="B223" s="236" t="s">
        <v>89</v>
      </c>
      <c r="H223" s="7" t="str">
        <f>IF(COUNTBLANK($A223:$E223)&gt;0, "", IFERROR(AVERAGEIFS(Log!$E:$E, Log!$A:$A, $A223, Log!$B:$B, $B223, Log!$C:$C, $C223),""))</f>
        <v/>
      </c>
      <c r="I223" s="37" t="str">
        <f t="shared" si="7"/>
        <v/>
      </c>
      <c r="N223" s="6" t="str">
        <f>IF(COUNTBLANK($A223:$E223)&gt;0, "", IFERROR(AVERAGEIFS(Log!#REF!, Log!$A:$A, $A223, Log!$B:$B, $B223, Log!$C:$C, $C223),""))</f>
        <v/>
      </c>
      <c r="O223" s="6" t="str">
        <f>IF(COUNTBLANK($A223:$E223)&gt;0, "", IFERROR(_xlfn.MINIFS(Log!$F:$F, Log!$A:$A, $A223, Log!$B:$B, $B223, Log!$C:$C, $C223),""))</f>
        <v/>
      </c>
      <c r="P223" s="6" t="str">
        <f>IF(COUNTBLANK($A223:$E223)&gt;0, "", IFERROR(_xlfn.MAXIFS(Log!$F:$F, Log!$A:$A, $A223, Log!$B:$B, $B223, Log!$C:$C, $C223),""))</f>
        <v/>
      </c>
      <c r="Q223" s="6" t="str">
        <f>IF(COUNTBLANK($A223:$E223)&gt;0, "", IFERROR(AVERAGEIFS(Log!#REF!, Log!$A:$A, $A223, Log!$B:$B, $B223, Log!$C:$C, $C223),""))</f>
        <v/>
      </c>
      <c r="R223" s="6" t="str">
        <f>IF(COUNTBLANK($A223:$E223)&gt;0, "", IFERROR(_xlfn.MINIFS(Log!$G:$G, Log!$A:$A, $A223, Log!$B:$B, $B223, Log!$C:$C, $C223),""))</f>
        <v/>
      </c>
      <c r="S223" s="6" t="str">
        <f>IF(COUNTBLANK($A223:$E223)&gt;0, "", IFERROR(_xlfn.MAXIFS(Log!$G:$G, Log!$A:$A, $A223, Log!$B:$B, $B223, Log!$C:$C, $C223),""))</f>
        <v/>
      </c>
      <c r="T223" s="6" t="str">
        <f>IF($N223&lt;&gt;"", 'Daily Camera Trends'!$M$5, "")</f>
        <v/>
      </c>
      <c r="U223" s="6" t="str">
        <f>IF(Q223&lt;&gt;"", 'Daily Camera Trends'!$N$5, "")</f>
        <v/>
      </c>
      <c r="CP223" s="6" t="str">
        <f>IF($N223&lt;&gt;"", 'Daily Camera Trends'!$M$5, "")</f>
        <v/>
      </c>
      <c r="CQ223" s="6" t="str">
        <f>IF($Q223&lt;&gt;"", 'Daily Camera Trends'!$N$5, "")</f>
        <v/>
      </c>
    </row>
    <row r="224" spans="1:95" ht="40.049999999999997" customHeight="1" x14ac:dyDescent="0.3">
      <c r="A224" s="103" t="str">
        <f t="shared" si="8"/>
        <v/>
      </c>
      <c r="B224" s="236" t="s">
        <v>89</v>
      </c>
      <c r="H224" s="7" t="str">
        <f>IF(COUNTBLANK($A224:$E224)&gt;0, "", IFERROR(AVERAGEIFS(Log!$E:$E, Log!$A:$A, $A224, Log!$B:$B, $B224, Log!$C:$C, $C224),""))</f>
        <v/>
      </c>
      <c r="I224" s="37" t="str">
        <f t="shared" si="7"/>
        <v/>
      </c>
      <c r="N224" s="6" t="str">
        <f>IF(COUNTBLANK($A224:$E224)&gt;0, "", IFERROR(AVERAGEIFS(Log!#REF!, Log!$A:$A, $A224, Log!$B:$B, $B224, Log!$C:$C, $C224),""))</f>
        <v/>
      </c>
      <c r="O224" s="6" t="str">
        <f>IF(COUNTBLANK($A224:$E224)&gt;0, "", IFERROR(_xlfn.MINIFS(Log!$F:$F, Log!$A:$A, $A224, Log!$B:$B, $B224, Log!$C:$C, $C224),""))</f>
        <v/>
      </c>
      <c r="P224" s="6" t="str">
        <f>IF(COUNTBLANK($A224:$E224)&gt;0, "", IFERROR(_xlfn.MAXIFS(Log!$F:$F, Log!$A:$A, $A224, Log!$B:$B, $B224, Log!$C:$C, $C224),""))</f>
        <v/>
      </c>
      <c r="Q224" s="6" t="str">
        <f>IF(COUNTBLANK($A224:$E224)&gt;0, "", IFERROR(AVERAGEIFS(Log!#REF!, Log!$A:$A, $A224, Log!$B:$B, $B224, Log!$C:$C, $C224),""))</f>
        <v/>
      </c>
      <c r="R224" s="6" t="str">
        <f>IF(COUNTBLANK($A224:$E224)&gt;0, "", IFERROR(_xlfn.MINIFS(Log!$G:$G, Log!$A:$A, $A224, Log!$B:$B, $B224, Log!$C:$C, $C224),""))</f>
        <v/>
      </c>
      <c r="S224" s="6" t="str">
        <f>IF(COUNTBLANK($A224:$E224)&gt;0, "", IFERROR(_xlfn.MAXIFS(Log!$G:$G, Log!$A:$A, $A224, Log!$B:$B, $B224, Log!$C:$C, $C224),""))</f>
        <v/>
      </c>
      <c r="T224" s="6" t="str">
        <f>IF($N224&lt;&gt;"", 'Daily Camera Trends'!$M$5, "")</f>
        <v/>
      </c>
      <c r="U224" s="6" t="str">
        <f>IF(Q224&lt;&gt;"", 'Daily Camera Trends'!$N$5, "")</f>
        <v/>
      </c>
      <c r="CP224" s="6" t="str">
        <f>IF($N224&lt;&gt;"", 'Daily Camera Trends'!$M$5, "")</f>
        <v/>
      </c>
      <c r="CQ224" s="6" t="str">
        <f>IF($Q224&lt;&gt;"", 'Daily Camera Trends'!$N$5, "")</f>
        <v/>
      </c>
    </row>
    <row r="225" spans="1:95" ht="40.049999999999997" customHeight="1" x14ac:dyDescent="0.3">
      <c r="A225" s="103" t="str">
        <f t="shared" si="8"/>
        <v/>
      </c>
      <c r="B225" s="236" t="s">
        <v>89</v>
      </c>
      <c r="H225" s="7" t="str">
        <f>IF(COUNTBLANK($A225:$E225)&gt;0, "", IFERROR(AVERAGEIFS(Log!$E:$E, Log!$A:$A, $A225, Log!$B:$B, $B225, Log!$C:$C, $C225),""))</f>
        <v/>
      </c>
      <c r="I225" s="37" t="str">
        <f t="shared" si="7"/>
        <v/>
      </c>
      <c r="N225" s="6" t="str">
        <f>IF(COUNTBLANK($A225:$E225)&gt;0, "", IFERROR(AVERAGEIFS(Log!#REF!, Log!$A:$A, $A225, Log!$B:$B, $B225, Log!$C:$C, $C225),""))</f>
        <v/>
      </c>
      <c r="O225" s="6" t="str">
        <f>IF(COUNTBLANK($A225:$E225)&gt;0, "", IFERROR(_xlfn.MINIFS(Log!$F:$F, Log!$A:$A, $A225, Log!$B:$B, $B225, Log!$C:$C, $C225),""))</f>
        <v/>
      </c>
      <c r="P225" s="6" t="str">
        <f>IF(COUNTBLANK($A225:$E225)&gt;0, "", IFERROR(_xlfn.MAXIFS(Log!$F:$F, Log!$A:$A, $A225, Log!$B:$B, $B225, Log!$C:$C, $C225),""))</f>
        <v/>
      </c>
      <c r="Q225" s="6" t="str">
        <f>IF(COUNTBLANK($A225:$E225)&gt;0, "", IFERROR(AVERAGEIFS(Log!#REF!, Log!$A:$A, $A225, Log!$B:$B, $B225, Log!$C:$C, $C225),""))</f>
        <v/>
      </c>
      <c r="R225" s="6" t="str">
        <f>IF(COUNTBLANK($A225:$E225)&gt;0, "", IFERROR(_xlfn.MINIFS(Log!$G:$G, Log!$A:$A, $A225, Log!$B:$B, $B225, Log!$C:$C, $C225),""))</f>
        <v/>
      </c>
      <c r="S225" s="6" t="str">
        <f>IF(COUNTBLANK($A225:$E225)&gt;0, "", IFERROR(_xlfn.MAXIFS(Log!$G:$G, Log!$A:$A, $A225, Log!$B:$B, $B225, Log!$C:$C, $C225),""))</f>
        <v/>
      </c>
      <c r="T225" s="6" t="str">
        <f>IF($N225&lt;&gt;"", 'Daily Camera Trends'!$M$5, "")</f>
        <v/>
      </c>
      <c r="U225" s="6" t="str">
        <f>IF(Q225&lt;&gt;"", 'Daily Camera Trends'!$N$5, "")</f>
        <v/>
      </c>
      <c r="CP225" s="6" t="str">
        <f>IF($N225&lt;&gt;"", 'Daily Camera Trends'!$M$5, "")</f>
        <v/>
      </c>
      <c r="CQ225" s="6" t="str">
        <f>IF($Q225&lt;&gt;"", 'Daily Camera Trends'!$N$5, "")</f>
        <v/>
      </c>
    </row>
    <row r="226" spans="1:95" ht="40.049999999999997" customHeight="1" x14ac:dyDescent="0.3">
      <c r="A226" s="103" t="str">
        <f t="shared" si="8"/>
        <v/>
      </c>
      <c r="B226" s="236" t="s">
        <v>89</v>
      </c>
      <c r="H226" s="7" t="str">
        <f>IF(COUNTBLANK($A226:$E226)&gt;0, "", IFERROR(AVERAGEIFS(Log!$E:$E, Log!$A:$A, $A226, Log!$B:$B, $B226, Log!$C:$C, $C226),""))</f>
        <v/>
      </c>
      <c r="I226" s="37" t="str">
        <f t="shared" si="7"/>
        <v/>
      </c>
      <c r="N226" s="6" t="str">
        <f>IF(COUNTBLANK($A226:$E226)&gt;0, "", IFERROR(AVERAGEIFS(Log!#REF!, Log!$A:$A, $A226, Log!$B:$B, $B226, Log!$C:$C, $C226),""))</f>
        <v/>
      </c>
      <c r="O226" s="6" t="str">
        <f>IF(COUNTBLANK($A226:$E226)&gt;0, "", IFERROR(_xlfn.MINIFS(Log!$F:$F, Log!$A:$A, $A226, Log!$B:$B, $B226, Log!$C:$C, $C226),""))</f>
        <v/>
      </c>
      <c r="P226" s="6" t="str">
        <f>IF(COUNTBLANK($A226:$E226)&gt;0, "", IFERROR(_xlfn.MAXIFS(Log!$F:$F, Log!$A:$A, $A226, Log!$B:$B, $B226, Log!$C:$C, $C226),""))</f>
        <v/>
      </c>
      <c r="Q226" s="6" t="str">
        <f>IF(COUNTBLANK($A226:$E226)&gt;0, "", IFERROR(AVERAGEIFS(Log!#REF!, Log!$A:$A, $A226, Log!$B:$B, $B226, Log!$C:$C, $C226),""))</f>
        <v/>
      </c>
      <c r="R226" s="6" t="str">
        <f>IF(COUNTBLANK($A226:$E226)&gt;0, "", IFERROR(_xlfn.MINIFS(Log!$G:$G, Log!$A:$A, $A226, Log!$B:$B, $B226, Log!$C:$C, $C226),""))</f>
        <v/>
      </c>
      <c r="S226" s="6" t="str">
        <f>IF(COUNTBLANK($A226:$E226)&gt;0, "", IFERROR(_xlfn.MAXIFS(Log!$G:$G, Log!$A:$A, $A226, Log!$B:$B, $B226, Log!$C:$C, $C226),""))</f>
        <v/>
      </c>
      <c r="T226" s="6" t="str">
        <f>IF($N226&lt;&gt;"", 'Daily Camera Trends'!$M$5, "")</f>
        <v/>
      </c>
      <c r="U226" s="6" t="str">
        <f>IF(Q226&lt;&gt;"", 'Daily Camera Trends'!$N$5, "")</f>
        <v/>
      </c>
      <c r="CP226" s="6" t="str">
        <f>IF($N226&lt;&gt;"", 'Daily Camera Trends'!$M$5, "")</f>
        <v/>
      </c>
      <c r="CQ226" s="6" t="str">
        <f>IF($Q226&lt;&gt;"", 'Daily Camera Trends'!$N$5, "")</f>
        <v/>
      </c>
    </row>
    <row r="227" spans="1:95" ht="40.049999999999997" customHeight="1" x14ac:dyDescent="0.3">
      <c r="A227" s="103" t="str">
        <f t="shared" si="8"/>
        <v/>
      </c>
      <c r="B227" s="236" t="s">
        <v>89</v>
      </c>
      <c r="H227" s="7" t="str">
        <f>IF(COUNTBLANK($A227:$E227)&gt;0, "", IFERROR(AVERAGEIFS(Log!$E:$E, Log!$A:$A, $A227, Log!$B:$B, $B227, Log!$C:$C, $C227),""))</f>
        <v/>
      </c>
      <c r="I227" s="37" t="str">
        <f t="shared" si="7"/>
        <v/>
      </c>
      <c r="N227" s="6" t="str">
        <f>IF(COUNTBLANK($A227:$E227)&gt;0, "", IFERROR(AVERAGEIFS(Log!#REF!, Log!$A:$A, $A227, Log!$B:$B, $B227, Log!$C:$C, $C227),""))</f>
        <v/>
      </c>
      <c r="O227" s="6" t="str">
        <f>IF(COUNTBLANK($A227:$E227)&gt;0, "", IFERROR(_xlfn.MINIFS(Log!$F:$F, Log!$A:$A, $A227, Log!$B:$B, $B227, Log!$C:$C, $C227),""))</f>
        <v/>
      </c>
      <c r="P227" s="6" t="str">
        <f>IF(COUNTBLANK($A227:$E227)&gt;0, "", IFERROR(_xlfn.MAXIFS(Log!$F:$F, Log!$A:$A, $A227, Log!$B:$B, $B227, Log!$C:$C, $C227),""))</f>
        <v/>
      </c>
      <c r="Q227" s="6" t="str">
        <f>IF(COUNTBLANK($A227:$E227)&gt;0, "", IFERROR(AVERAGEIFS(Log!#REF!, Log!$A:$A, $A227, Log!$B:$B, $B227, Log!$C:$C, $C227),""))</f>
        <v/>
      </c>
      <c r="R227" s="6" t="str">
        <f>IF(COUNTBLANK($A227:$E227)&gt;0, "", IFERROR(_xlfn.MINIFS(Log!$G:$G, Log!$A:$A, $A227, Log!$B:$B, $B227, Log!$C:$C, $C227),""))</f>
        <v/>
      </c>
      <c r="S227" s="6" t="str">
        <f>IF(COUNTBLANK($A227:$E227)&gt;0, "", IFERROR(_xlfn.MAXIFS(Log!$G:$G, Log!$A:$A, $A227, Log!$B:$B, $B227, Log!$C:$C, $C227),""))</f>
        <v/>
      </c>
      <c r="T227" s="6" t="str">
        <f>IF($N227&lt;&gt;"", 'Daily Camera Trends'!$M$5, "")</f>
        <v/>
      </c>
      <c r="U227" s="6" t="str">
        <f>IF(Q227&lt;&gt;"", 'Daily Camera Trends'!$N$5, "")</f>
        <v/>
      </c>
      <c r="CP227" s="6" t="str">
        <f>IF($N227&lt;&gt;"", 'Daily Camera Trends'!$M$5, "")</f>
        <v/>
      </c>
      <c r="CQ227" s="6" t="str">
        <f>IF($Q227&lt;&gt;"", 'Daily Camera Trends'!$N$5, "")</f>
        <v/>
      </c>
    </row>
    <row r="228" spans="1:95" ht="40.049999999999997" customHeight="1" x14ac:dyDescent="0.3">
      <c r="A228" s="103" t="str">
        <f t="shared" si="8"/>
        <v/>
      </c>
      <c r="B228" s="236" t="s">
        <v>89</v>
      </c>
      <c r="H228" s="7" t="str">
        <f>IF(COUNTBLANK($A228:$E228)&gt;0, "", IFERROR(AVERAGEIFS(Log!$E:$E, Log!$A:$A, $A228, Log!$B:$B, $B228, Log!$C:$C, $C228),""))</f>
        <v/>
      </c>
      <c r="I228" s="37" t="str">
        <f t="shared" si="7"/>
        <v/>
      </c>
      <c r="N228" s="6" t="str">
        <f>IF(COUNTBLANK($A228:$E228)&gt;0, "", IFERROR(AVERAGEIFS(Log!#REF!, Log!$A:$A, $A228, Log!$B:$B, $B228, Log!$C:$C, $C228),""))</f>
        <v/>
      </c>
      <c r="O228" s="6" t="str">
        <f>IF(COUNTBLANK($A228:$E228)&gt;0, "", IFERROR(_xlfn.MINIFS(Log!$F:$F, Log!$A:$A, $A228, Log!$B:$B, $B228, Log!$C:$C, $C228),""))</f>
        <v/>
      </c>
      <c r="P228" s="6" t="str">
        <f>IF(COUNTBLANK($A228:$E228)&gt;0, "", IFERROR(_xlfn.MAXIFS(Log!$F:$F, Log!$A:$A, $A228, Log!$B:$B, $B228, Log!$C:$C, $C228),""))</f>
        <v/>
      </c>
      <c r="Q228" s="6" t="str">
        <f>IF(COUNTBLANK($A228:$E228)&gt;0, "", IFERROR(AVERAGEIFS(Log!#REF!, Log!$A:$A, $A228, Log!$B:$B, $B228, Log!$C:$C, $C228),""))</f>
        <v/>
      </c>
      <c r="R228" s="6" t="str">
        <f>IF(COUNTBLANK($A228:$E228)&gt;0, "", IFERROR(_xlfn.MINIFS(Log!$G:$G, Log!$A:$A, $A228, Log!$B:$B, $B228, Log!$C:$C, $C228),""))</f>
        <v/>
      </c>
      <c r="S228" s="6" t="str">
        <f>IF(COUNTBLANK($A228:$E228)&gt;0, "", IFERROR(_xlfn.MAXIFS(Log!$G:$G, Log!$A:$A, $A228, Log!$B:$B, $B228, Log!$C:$C, $C228),""))</f>
        <v/>
      </c>
      <c r="T228" s="6" t="str">
        <f>IF($N228&lt;&gt;"", 'Daily Camera Trends'!$M$5, "")</f>
        <v/>
      </c>
      <c r="U228" s="6" t="str">
        <f>IF(Q228&lt;&gt;"", 'Daily Camera Trends'!$N$5, "")</f>
        <v/>
      </c>
      <c r="CP228" s="6" t="str">
        <f>IF($N228&lt;&gt;"", 'Daily Camera Trends'!$M$5, "")</f>
        <v/>
      </c>
      <c r="CQ228" s="6" t="str">
        <f>IF($Q228&lt;&gt;"", 'Daily Camera Trends'!$N$5, "")</f>
        <v/>
      </c>
    </row>
    <row r="229" spans="1:95" ht="40.049999999999997" customHeight="1" x14ac:dyDescent="0.3">
      <c r="A229" s="103" t="str">
        <f t="shared" si="8"/>
        <v/>
      </c>
      <c r="B229" s="236" t="s">
        <v>89</v>
      </c>
      <c r="H229" s="7" t="str">
        <f>IF(COUNTBLANK($A229:$E229)&gt;0, "", IFERROR(AVERAGEIFS(Log!$E:$E, Log!$A:$A, $A229, Log!$B:$B, $B229, Log!$C:$C, $C229),""))</f>
        <v/>
      </c>
      <c r="I229" s="37" t="str">
        <f t="shared" si="7"/>
        <v/>
      </c>
      <c r="N229" s="6" t="str">
        <f>IF(COUNTBLANK($A229:$E229)&gt;0, "", IFERROR(AVERAGEIFS(Log!#REF!, Log!$A:$A, $A229, Log!$B:$B, $B229, Log!$C:$C, $C229),""))</f>
        <v/>
      </c>
      <c r="O229" s="6" t="str">
        <f>IF(COUNTBLANK($A229:$E229)&gt;0, "", IFERROR(_xlfn.MINIFS(Log!$F:$F, Log!$A:$A, $A229, Log!$B:$B, $B229, Log!$C:$C, $C229),""))</f>
        <v/>
      </c>
      <c r="P229" s="6" t="str">
        <f>IF(COUNTBLANK($A229:$E229)&gt;0, "", IFERROR(_xlfn.MAXIFS(Log!$F:$F, Log!$A:$A, $A229, Log!$B:$B, $B229, Log!$C:$C, $C229),""))</f>
        <v/>
      </c>
      <c r="Q229" s="6" t="str">
        <f>IF(COUNTBLANK($A229:$E229)&gt;0, "", IFERROR(AVERAGEIFS(Log!#REF!, Log!$A:$A, $A229, Log!$B:$B, $B229, Log!$C:$C, $C229),""))</f>
        <v/>
      </c>
      <c r="R229" s="6" t="str">
        <f>IF(COUNTBLANK($A229:$E229)&gt;0, "", IFERROR(_xlfn.MINIFS(Log!$G:$G, Log!$A:$A, $A229, Log!$B:$B, $B229, Log!$C:$C, $C229),""))</f>
        <v/>
      </c>
      <c r="S229" s="6" t="str">
        <f>IF(COUNTBLANK($A229:$E229)&gt;0, "", IFERROR(_xlfn.MAXIFS(Log!$G:$G, Log!$A:$A, $A229, Log!$B:$B, $B229, Log!$C:$C, $C229),""))</f>
        <v/>
      </c>
      <c r="T229" s="6" t="str">
        <f>IF($N229&lt;&gt;"", 'Daily Camera Trends'!$M$5, "")</f>
        <v/>
      </c>
      <c r="U229" s="6" t="str">
        <f>IF(Q229&lt;&gt;"", 'Daily Camera Trends'!$N$5, "")</f>
        <v/>
      </c>
      <c r="CP229" s="6" t="str">
        <f>IF($N229&lt;&gt;"", 'Daily Camera Trends'!$M$5, "")</f>
        <v/>
      </c>
      <c r="CQ229" s="6" t="str">
        <f>IF($Q229&lt;&gt;"", 'Daily Camera Trends'!$N$5, "")</f>
        <v/>
      </c>
    </row>
    <row r="230" spans="1:95" ht="40.049999999999997" customHeight="1" x14ac:dyDescent="0.3">
      <c r="A230" s="103" t="str">
        <f t="shared" si="8"/>
        <v/>
      </c>
      <c r="B230" s="236" t="s">
        <v>89</v>
      </c>
      <c r="H230" s="7" t="str">
        <f>IF(COUNTBLANK($A230:$E230)&gt;0, "", IFERROR(AVERAGEIFS(Log!$E:$E, Log!$A:$A, $A230, Log!$B:$B, $B230, Log!$C:$C, $C230),""))</f>
        <v/>
      </c>
      <c r="I230" s="37" t="str">
        <f t="shared" si="7"/>
        <v/>
      </c>
      <c r="N230" s="6" t="str">
        <f>IF(COUNTBLANK($A230:$E230)&gt;0, "", IFERROR(AVERAGEIFS(Log!#REF!, Log!$A:$A, $A230, Log!$B:$B, $B230, Log!$C:$C, $C230),""))</f>
        <v/>
      </c>
      <c r="O230" s="6" t="str">
        <f>IF(COUNTBLANK($A230:$E230)&gt;0, "", IFERROR(_xlfn.MINIFS(Log!$F:$F, Log!$A:$A, $A230, Log!$B:$B, $B230, Log!$C:$C, $C230),""))</f>
        <v/>
      </c>
      <c r="P230" s="6" t="str">
        <f>IF(COUNTBLANK($A230:$E230)&gt;0, "", IFERROR(_xlfn.MAXIFS(Log!$F:$F, Log!$A:$A, $A230, Log!$B:$B, $B230, Log!$C:$C, $C230),""))</f>
        <v/>
      </c>
      <c r="Q230" s="6" t="str">
        <f>IF(COUNTBLANK($A230:$E230)&gt;0, "", IFERROR(AVERAGEIFS(Log!#REF!, Log!$A:$A, $A230, Log!$B:$B, $B230, Log!$C:$C, $C230),""))</f>
        <v/>
      </c>
      <c r="R230" s="6" t="str">
        <f>IF(COUNTBLANK($A230:$E230)&gt;0, "", IFERROR(_xlfn.MINIFS(Log!$G:$G, Log!$A:$A, $A230, Log!$B:$B, $B230, Log!$C:$C, $C230),""))</f>
        <v/>
      </c>
      <c r="S230" s="6" t="str">
        <f>IF(COUNTBLANK($A230:$E230)&gt;0, "", IFERROR(_xlfn.MAXIFS(Log!$G:$G, Log!$A:$A, $A230, Log!$B:$B, $B230, Log!$C:$C, $C230),""))</f>
        <v/>
      </c>
      <c r="T230" s="6" t="str">
        <f>IF($N230&lt;&gt;"", 'Daily Camera Trends'!$M$5, "")</f>
        <v/>
      </c>
      <c r="U230" s="6" t="str">
        <f>IF(Q230&lt;&gt;"", 'Daily Camera Trends'!$N$5, "")</f>
        <v/>
      </c>
      <c r="CP230" s="6" t="str">
        <f>IF($N230&lt;&gt;"", 'Daily Camera Trends'!$M$5, "")</f>
        <v/>
      </c>
      <c r="CQ230" s="6" t="str">
        <f>IF($Q230&lt;&gt;"", 'Daily Camera Trends'!$N$5, "")</f>
        <v/>
      </c>
    </row>
    <row r="231" spans="1:95" ht="40.049999999999997" customHeight="1" x14ac:dyDescent="0.3">
      <c r="A231" s="103" t="str">
        <f t="shared" si="8"/>
        <v/>
      </c>
      <c r="B231" s="236" t="s">
        <v>89</v>
      </c>
      <c r="H231" s="7" t="str">
        <f>IF(COUNTBLANK($A231:$E231)&gt;0, "", IFERROR(AVERAGEIFS(Log!$E:$E, Log!$A:$A, $A231, Log!$B:$B, $B231, Log!$C:$C, $C231),""))</f>
        <v/>
      </c>
      <c r="I231" s="37" t="str">
        <f t="shared" si="7"/>
        <v/>
      </c>
      <c r="N231" s="6" t="str">
        <f>IF(COUNTBLANK($A231:$E231)&gt;0, "", IFERROR(AVERAGEIFS(Log!#REF!, Log!$A:$A, $A231, Log!$B:$B, $B231, Log!$C:$C, $C231),""))</f>
        <v/>
      </c>
      <c r="O231" s="6" t="str">
        <f>IF(COUNTBLANK($A231:$E231)&gt;0, "", IFERROR(_xlfn.MINIFS(Log!$F:$F, Log!$A:$A, $A231, Log!$B:$B, $B231, Log!$C:$C, $C231),""))</f>
        <v/>
      </c>
      <c r="P231" s="6" t="str">
        <f>IF(COUNTBLANK($A231:$E231)&gt;0, "", IFERROR(_xlfn.MAXIFS(Log!$F:$F, Log!$A:$A, $A231, Log!$B:$B, $B231, Log!$C:$C, $C231),""))</f>
        <v/>
      </c>
      <c r="Q231" s="6" t="str">
        <f>IF(COUNTBLANK($A231:$E231)&gt;0, "", IFERROR(AVERAGEIFS(Log!#REF!, Log!$A:$A, $A231, Log!$B:$B, $B231, Log!$C:$C, $C231),""))</f>
        <v/>
      </c>
      <c r="R231" s="6" t="str">
        <f>IF(COUNTBLANK($A231:$E231)&gt;0, "", IFERROR(_xlfn.MINIFS(Log!$G:$G, Log!$A:$A, $A231, Log!$B:$B, $B231, Log!$C:$C, $C231),""))</f>
        <v/>
      </c>
      <c r="S231" s="6" t="str">
        <f>IF(COUNTBLANK($A231:$E231)&gt;0, "", IFERROR(_xlfn.MAXIFS(Log!$G:$G, Log!$A:$A, $A231, Log!$B:$B, $B231, Log!$C:$C, $C231),""))</f>
        <v/>
      </c>
      <c r="T231" s="6" t="str">
        <f>IF($N231&lt;&gt;"", 'Daily Camera Trends'!$M$5, "")</f>
        <v/>
      </c>
      <c r="U231" s="6" t="str">
        <f>IF(Q231&lt;&gt;"", 'Daily Camera Trends'!$N$5, "")</f>
        <v/>
      </c>
      <c r="CP231" s="6" t="str">
        <f>IF($N231&lt;&gt;"", 'Daily Camera Trends'!$M$5, "")</f>
        <v/>
      </c>
      <c r="CQ231" s="6" t="str">
        <f>IF($Q231&lt;&gt;"", 'Daily Camera Trends'!$N$5, "")</f>
        <v/>
      </c>
    </row>
    <row r="232" spans="1:95" ht="40.049999999999997" customHeight="1" x14ac:dyDescent="0.3">
      <c r="A232" s="103" t="str">
        <f t="shared" si="8"/>
        <v/>
      </c>
      <c r="B232" s="236" t="s">
        <v>89</v>
      </c>
      <c r="H232" s="7" t="str">
        <f>IF(COUNTBLANK($A232:$E232)&gt;0, "", IFERROR(AVERAGEIFS(Log!$E:$E, Log!$A:$A, $A232, Log!$B:$B, $B232, Log!$C:$C, $C232),""))</f>
        <v/>
      </c>
      <c r="I232" s="37" t="str">
        <f t="shared" si="7"/>
        <v/>
      </c>
      <c r="N232" s="6" t="str">
        <f>IF(COUNTBLANK($A232:$E232)&gt;0, "", IFERROR(AVERAGEIFS(Log!#REF!, Log!$A:$A, $A232, Log!$B:$B, $B232, Log!$C:$C, $C232),""))</f>
        <v/>
      </c>
      <c r="O232" s="6" t="str">
        <f>IF(COUNTBLANK($A232:$E232)&gt;0, "", IFERROR(_xlfn.MINIFS(Log!$F:$F, Log!$A:$A, $A232, Log!$B:$B, $B232, Log!$C:$C, $C232),""))</f>
        <v/>
      </c>
      <c r="P232" s="6" t="str">
        <f>IF(COUNTBLANK($A232:$E232)&gt;0, "", IFERROR(_xlfn.MAXIFS(Log!$F:$F, Log!$A:$A, $A232, Log!$B:$B, $B232, Log!$C:$C, $C232),""))</f>
        <v/>
      </c>
      <c r="Q232" s="6" t="str">
        <f>IF(COUNTBLANK($A232:$E232)&gt;0, "", IFERROR(AVERAGEIFS(Log!#REF!, Log!$A:$A, $A232, Log!$B:$B, $B232, Log!$C:$C, $C232),""))</f>
        <v/>
      </c>
      <c r="R232" s="6" t="str">
        <f>IF(COUNTBLANK($A232:$E232)&gt;0, "", IFERROR(_xlfn.MINIFS(Log!$G:$G, Log!$A:$A, $A232, Log!$B:$B, $B232, Log!$C:$C, $C232),""))</f>
        <v/>
      </c>
      <c r="S232" s="6" t="str">
        <f>IF(COUNTBLANK($A232:$E232)&gt;0, "", IFERROR(_xlfn.MAXIFS(Log!$G:$G, Log!$A:$A, $A232, Log!$B:$B, $B232, Log!$C:$C, $C232),""))</f>
        <v/>
      </c>
      <c r="T232" s="6" t="str">
        <f>IF($N232&lt;&gt;"", 'Daily Camera Trends'!$M$5, "")</f>
        <v/>
      </c>
      <c r="U232" s="6" t="str">
        <f>IF(Q232&lt;&gt;"", 'Daily Camera Trends'!$N$5, "")</f>
        <v/>
      </c>
      <c r="CP232" s="6" t="str">
        <f>IF($N232&lt;&gt;"", 'Daily Camera Trends'!$M$5, "")</f>
        <v/>
      </c>
      <c r="CQ232" s="6" t="str">
        <f>IF(AJ232&lt;&gt;"", 'Daily Camera Trends'!$N$5, "")</f>
        <v/>
      </c>
    </row>
    <row r="233" spans="1:95" ht="40.049999999999997" customHeight="1" x14ac:dyDescent="0.3">
      <c r="A233" s="103" t="str">
        <f t="shared" si="8"/>
        <v/>
      </c>
      <c r="B233" s="236" t="s">
        <v>89</v>
      </c>
      <c r="H233" s="7" t="str">
        <f>IF(COUNTBLANK($A233:$E233)&gt;0, "", IFERROR(AVERAGEIFS(Log!$E:$E, Log!$A:$A, $A233, Log!$B:$B, $B233, Log!$C:$C, $C233),""))</f>
        <v/>
      </c>
      <c r="I233" s="37" t="str">
        <f t="shared" si="7"/>
        <v/>
      </c>
      <c r="N233" s="6" t="str">
        <f>IF(COUNTBLANK($A233:$E233)&gt;0, "", IFERROR(AVERAGEIFS(Log!#REF!, Log!$A:$A, $A233, Log!$B:$B, $B233, Log!$C:$C, $C233),""))</f>
        <v/>
      </c>
      <c r="O233" s="6" t="str">
        <f>IF(COUNTBLANK($A233:$E233)&gt;0, "", IFERROR(_xlfn.MINIFS(Log!$F:$F, Log!$A:$A, $A233, Log!$B:$B, $B233, Log!$C:$C, $C233),""))</f>
        <v/>
      </c>
      <c r="P233" s="6" t="str">
        <f>IF(COUNTBLANK($A233:$E233)&gt;0, "", IFERROR(_xlfn.MAXIFS(Log!$F:$F, Log!$A:$A, $A233, Log!$B:$B, $B233, Log!$C:$C, $C233),""))</f>
        <v/>
      </c>
      <c r="Q233" s="6" t="str">
        <f>IF(COUNTBLANK($A233:$E233)&gt;0, "", IFERROR(AVERAGEIFS(Log!#REF!, Log!$A:$A, $A233, Log!$B:$B, $B233, Log!$C:$C, $C233),""))</f>
        <v/>
      </c>
      <c r="R233" s="6" t="str">
        <f>IF(COUNTBLANK($A233:$E233)&gt;0, "", IFERROR(_xlfn.MINIFS(Log!$G:$G, Log!$A:$A, $A233, Log!$B:$B, $B233, Log!$C:$C, $C233),""))</f>
        <v/>
      </c>
      <c r="S233" s="6" t="str">
        <f>IF(COUNTBLANK($A233:$E233)&gt;0, "", IFERROR(_xlfn.MAXIFS(Log!$G:$G, Log!$A:$A, $A233, Log!$B:$B, $B233, Log!$C:$C, $C233),""))</f>
        <v/>
      </c>
      <c r="T233" s="6" t="str">
        <f>IF($N233&lt;&gt;"", 'Daily Camera Trends'!$M$5, "")</f>
        <v/>
      </c>
      <c r="U233" s="6" t="str">
        <f>IF(Q233&lt;&gt;"", 'Daily Camera Trends'!$N$5, "")</f>
        <v/>
      </c>
      <c r="CP233" s="6" t="str">
        <f>IF($N233&lt;&gt;"", 'Daily Camera Trends'!$M$5, "")</f>
        <v/>
      </c>
      <c r="CQ233" s="6" t="str">
        <f>IF(AJ233&lt;&gt;"", 'Daily Camera Trends'!$N$5, "")</f>
        <v/>
      </c>
    </row>
    <row r="234" spans="1:95" ht="40.049999999999997" customHeight="1" x14ac:dyDescent="0.3">
      <c r="A234" s="103" t="str">
        <f t="shared" si="8"/>
        <v/>
      </c>
      <c r="B234" s="236" t="s">
        <v>89</v>
      </c>
      <c r="H234" s="7" t="str">
        <f>IF(COUNTBLANK($A234:$E234)&gt;0, "", IFERROR(AVERAGEIFS(Log!$E:$E, Log!$A:$A, $A234, Log!$B:$B, $B234, Log!$C:$C, $C234),""))</f>
        <v/>
      </c>
      <c r="I234" s="37" t="str">
        <f t="shared" si="7"/>
        <v/>
      </c>
      <c r="N234" s="6" t="str">
        <f>IF(COUNTBLANK($A234:$E234)&gt;0, "", IFERROR(AVERAGEIFS(Log!#REF!, Log!$A:$A, $A234, Log!$B:$B, $B234, Log!$C:$C, $C234),""))</f>
        <v/>
      </c>
      <c r="O234" s="6" t="str">
        <f>IF(COUNTBLANK($A234:$E234)&gt;0, "", IFERROR(_xlfn.MINIFS(Log!$F:$F, Log!$A:$A, $A234, Log!$B:$B, $B234, Log!$C:$C, $C234),""))</f>
        <v/>
      </c>
      <c r="P234" s="6" t="str">
        <f>IF(COUNTBLANK($A234:$E234)&gt;0, "", IFERROR(_xlfn.MAXIFS(Log!$F:$F, Log!$A:$A, $A234, Log!$B:$B, $B234, Log!$C:$C, $C234),""))</f>
        <v/>
      </c>
      <c r="Q234" s="6" t="str">
        <f>IF(COUNTBLANK($A234:$E234)&gt;0, "", IFERROR(AVERAGEIFS(Log!#REF!, Log!$A:$A, $A234, Log!$B:$B, $B234, Log!$C:$C, $C234),""))</f>
        <v/>
      </c>
      <c r="R234" s="6" t="str">
        <f>IF(COUNTBLANK($A234:$E234)&gt;0, "", IFERROR(_xlfn.MINIFS(Log!$G:$G, Log!$A:$A, $A234, Log!$B:$B, $B234, Log!$C:$C, $C234),""))</f>
        <v/>
      </c>
      <c r="S234" s="6" t="str">
        <f>IF(COUNTBLANK($A234:$E234)&gt;0, "", IFERROR(_xlfn.MAXIFS(Log!$G:$G, Log!$A:$A, $A234, Log!$B:$B, $B234, Log!$C:$C, $C234),""))</f>
        <v/>
      </c>
      <c r="T234" s="6" t="str">
        <f>IF($N234&lt;&gt;"", 'Daily Camera Trends'!$M$5, "")</f>
        <v/>
      </c>
      <c r="U234" s="6" t="str">
        <f>IF(Q234&lt;&gt;"", 'Daily Camera Trends'!$N$5, "")</f>
        <v/>
      </c>
      <c r="CP234" s="6" t="str">
        <f>IF($N234&lt;&gt;"", 'Daily Camera Trends'!$M$5, "")</f>
        <v/>
      </c>
      <c r="CQ234" s="6" t="str">
        <f>IF(AJ234&lt;&gt;"", 'Daily Camera Trends'!$N$5, "")</f>
        <v/>
      </c>
    </row>
    <row r="235" spans="1:95" ht="40.049999999999997" customHeight="1" x14ac:dyDescent="0.3">
      <c r="A235" s="103" t="str">
        <f t="shared" si="8"/>
        <v/>
      </c>
      <c r="B235" s="236" t="s">
        <v>89</v>
      </c>
      <c r="H235" s="7" t="str">
        <f>IF(COUNTBLANK($A235:$E235)&gt;0, "", IFERROR(AVERAGEIFS(Log!$E:$E, Log!$A:$A, $A235, Log!$B:$B, $B235, Log!$C:$C, $C235),""))</f>
        <v/>
      </c>
      <c r="I235" s="37" t="str">
        <f t="shared" si="7"/>
        <v/>
      </c>
      <c r="N235" s="6" t="str">
        <f>IF(COUNTBLANK($A235:$E235)&gt;0, "", IFERROR(AVERAGEIFS(Log!#REF!, Log!$A:$A, $A235, Log!$B:$B, $B235, Log!$C:$C, $C235),""))</f>
        <v/>
      </c>
      <c r="O235" s="6" t="str">
        <f>IF(COUNTBLANK($A235:$E235)&gt;0, "", IFERROR(_xlfn.MINIFS(Log!$F:$F, Log!$A:$A, $A235, Log!$B:$B, $B235, Log!$C:$C, $C235),""))</f>
        <v/>
      </c>
      <c r="P235" s="6" t="str">
        <f>IF(COUNTBLANK($A235:$E235)&gt;0, "", IFERROR(_xlfn.MAXIFS(Log!$F:$F, Log!$A:$A, $A235, Log!$B:$B, $B235, Log!$C:$C, $C235),""))</f>
        <v/>
      </c>
      <c r="Q235" s="6" t="str">
        <f>IF(COUNTBLANK($A235:$E235)&gt;0, "", IFERROR(AVERAGEIFS(Log!#REF!, Log!$A:$A, $A235, Log!$B:$B, $B235, Log!$C:$C, $C235),""))</f>
        <v/>
      </c>
      <c r="R235" s="6" t="str">
        <f>IF(COUNTBLANK($A235:$E235)&gt;0, "", IFERROR(_xlfn.MINIFS(Log!$G:$G, Log!$A:$A, $A235, Log!$B:$B, $B235, Log!$C:$C, $C235),""))</f>
        <v/>
      </c>
      <c r="S235" s="6" t="str">
        <f>IF(COUNTBLANK($A235:$E235)&gt;0, "", IFERROR(_xlfn.MAXIFS(Log!$G:$G, Log!$A:$A, $A235, Log!$B:$B, $B235, Log!$C:$C, $C235),""))</f>
        <v/>
      </c>
      <c r="T235" s="6" t="str">
        <f>IF($N235&lt;&gt;"", 'Daily Camera Trends'!$M$5, "")</f>
        <v/>
      </c>
      <c r="U235" s="6" t="str">
        <f>IF(Q235&lt;&gt;"", 'Daily Camera Trends'!$N$5, "")</f>
        <v/>
      </c>
      <c r="CP235" s="6" t="str">
        <f>IF($N235&lt;&gt;"", 'Daily Camera Trends'!$M$5, "")</f>
        <v/>
      </c>
      <c r="CQ235" s="6" t="str">
        <f>IF(AJ235&lt;&gt;"", 'Daily Camera Trends'!$N$5, "")</f>
        <v/>
      </c>
    </row>
    <row r="236" spans="1:95" ht="40.049999999999997" customHeight="1" x14ac:dyDescent="0.3">
      <c r="A236" s="103" t="str">
        <f t="shared" si="8"/>
        <v/>
      </c>
      <c r="B236" s="236" t="s">
        <v>89</v>
      </c>
      <c r="H236" s="7" t="str">
        <f>IF(COUNTBLANK($A236:$E236)&gt;0, "", IFERROR(AVERAGEIFS(Log!$E:$E, Log!$A:$A, $A236, Log!$B:$B, $B236, Log!$C:$C, $C236),""))</f>
        <v/>
      </c>
      <c r="I236" s="37" t="str">
        <f t="shared" si="7"/>
        <v/>
      </c>
      <c r="N236" s="6" t="str">
        <f>IF(COUNTBLANK($A236:$E236)&gt;0, "", IFERROR(AVERAGEIFS(Log!#REF!, Log!$A:$A, $A236, Log!$B:$B, $B236, Log!$C:$C, $C236),""))</f>
        <v/>
      </c>
      <c r="O236" s="6" t="str">
        <f>IF(COUNTBLANK($A236:$E236)&gt;0, "", IFERROR(_xlfn.MINIFS(Log!$F:$F, Log!$A:$A, $A236, Log!$B:$B, $B236, Log!$C:$C, $C236),""))</f>
        <v/>
      </c>
      <c r="P236" s="6" t="str">
        <f>IF(COUNTBLANK($A236:$E236)&gt;0, "", IFERROR(_xlfn.MAXIFS(Log!$F:$F, Log!$A:$A, $A236, Log!$B:$B, $B236, Log!$C:$C, $C236),""))</f>
        <v/>
      </c>
      <c r="Q236" s="6" t="str">
        <f>IF(COUNTBLANK($A236:$E236)&gt;0, "", IFERROR(AVERAGEIFS(Log!#REF!, Log!$A:$A, $A236, Log!$B:$B, $B236, Log!$C:$C, $C236),""))</f>
        <v/>
      </c>
      <c r="R236" s="6" t="str">
        <f>IF(COUNTBLANK($A236:$E236)&gt;0, "", IFERROR(_xlfn.MINIFS(Log!$G:$G, Log!$A:$A, $A236, Log!$B:$B, $B236, Log!$C:$C, $C236),""))</f>
        <v/>
      </c>
      <c r="S236" s="6" t="str">
        <f>IF(COUNTBLANK($A236:$E236)&gt;0, "", IFERROR(_xlfn.MAXIFS(Log!$G:$G, Log!$A:$A, $A236, Log!$B:$B, $B236, Log!$C:$C, $C236),""))</f>
        <v/>
      </c>
      <c r="T236" s="6"/>
      <c r="U236" s="6"/>
      <c r="CP236" s="6"/>
      <c r="CQ236" s="6"/>
    </row>
    <row r="237" spans="1:95" ht="40.049999999999997" customHeight="1" x14ac:dyDescent="0.3">
      <c r="A237" s="103" t="str">
        <f t="shared" si="8"/>
        <v/>
      </c>
      <c r="B237" s="236" t="s">
        <v>89</v>
      </c>
      <c r="H237" s="7" t="str">
        <f>IF(COUNTBLANK($A237:$E237)&gt;0, "", IFERROR(AVERAGEIFS(Log!$E:$E, Log!$A:$A, $A237, Log!$B:$B, $B237, Log!$C:$C, $C237),""))</f>
        <v/>
      </c>
      <c r="I237" s="37" t="str">
        <f t="shared" si="7"/>
        <v/>
      </c>
      <c r="N237" s="6" t="str">
        <f>IF(COUNTBLANK($A237:$E237)&gt;0, "", IFERROR(AVERAGEIFS(Log!#REF!, Log!$A:$A, $A237, Log!$B:$B, $B237, Log!$C:$C, $C237),""))</f>
        <v/>
      </c>
      <c r="O237" s="6" t="str">
        <f>IF(COUNTBLANK($A237:$E237)&gt;0, "", IFERROR(_xlfn.MINIFS(Log!$F:$F, Log!$A:$A, $A237, Log!$B:$B, $B237, Log!$C:$C, $C237),""))</f>
        <v/>
      </c>
      <c r="P237" s="6" t="str">
        <f>IF(COUNTBLANK($A237:$E237)&gt;0, "", IFERROR(_xlfn.MAXIFS(Log!$F:$F, Log!$A:$A, $A237, Log!$B:$B, $B237, Log!$C:$C, $C237),""))</f>
        <v/>
      </c>
      <c r="Q237" s="6" t="str">
        <f>IF(COUNTBLANK($A237:$E237)&gt;0, "", IFERROR(AVERAGEIFS(Log!#REF!, Log!$A:$A, $A237, Log!$B:$B, $B237, Log!$C:$C, $C237),""))</f>
        <v/>
      </c>
      <c r="R237" s="6" t="str">
        <f>IF(COUNTBLANK($A237:$E237)&gt;0, "", IFERROR(_xlfn.MINIFS(Log!$G:$G, Log!$A:$A, $A237, Log!$B:$B, $B237, Log!$C:$C, $C237),""))</f>
        <v/>
      </c>
      <c r="S237" s="6" t="str">
        <f>IF(COUNTBLANK($A237:$E237)&gt;0, "", IFERROR(_xlfn.MAXIFS(Log!$G:$G, Log!$A:$A, $A237, Log!$B:$B, $B237, Log!$C:$C, $C237),""))</f>
        <v/>
      </c>
      <c r="T237" s="6"/>
      <c r="U237" s="6"/>
      <c r="CP237" s="6"/>
      <c r="CQ237" s="6"/>
    </row>
    <row r="238" spans="1:95" ht="40.049999999999997" customHeight="1" x14ac:dyDescent="0.3">
      <c r="A238" s="103" t="str">
        <f t="shared" si="8"/>
        <v/>
      </c>
      <c r="B238" s="236" t="s">
        <v>89</v>
      </c>
      <c r="H238" s="7" t="str">
        <f>IF(COUNTBLANK($A238:$E238)&gt;0, "", IFERROR(AVERAGEIFS(Log!$E:$E, Log!$A:$A, $A238, Log!$B:$B, $B238, Log!$C:$C, $C238),""))</f>
        <v/>
      </c>
      <c r="I238" s="37" t="str">
        <f t="shared" si="7"/>
        <v/>
      </c>
      <c r="N238" s="6" t="str">
        <f>IF(COUNTBLANK($A238:$E238)&gt;0, "", IFERROR(AVERAGEIFS(Log!#REF!, Log!$A:$A, $A238, Log!$B:$B, $B238, Log!$C:$C, $C238),""))</f>
        <v/>
      </c>
      <c r="O238" s="6" t="str">
        <f>IF(COUNTBLANK($A238:$E238)&gt;0, "", IFERROR(_xlfn.MINIFS(Log!$F:$F, Log!$A:$A, $A238, Log!$B:$B, $B238, Log!$C:$C, $C238),""))</f>
        <v/>
      </c>
      <c r="P238" s="6" t="str">
        <f>IF(COUNTBLANK($A238:$E238)&gt;0, "", IFERROR(_xlfn.MAXIFS(Log!$F:$F, Log!$A:$A, $A238, Log!$B:$B, $B238, Log!$C:$C, $C238),""))</f>
        <v/>
      </c>
      <c r="Q238" s="6" t="str">
        <f>IF(COUNTBLANK($A238:$E238)&gt;0, "", IFERROR(AVERAGEIFS(Log!#REF!, Log!$A:$A, $A238, Log!$B:$B, $B238, Log!$C:$C, $C238),""))</f>
        <v/>
      </c>
      <c r="R238" s="6" t="str">
        <f>IF(COUNTBLANK($A238:$E238)&gt;0, "", IFERROR(_xlfn.MINIFS(Log!$G:$G, Log!$A:$A, $A238, Log!$B:$B, $B238, Log!$C:$C, $C238),""))</f>
        <v/>
      </c>
      <c r="S238" s="6" t="str">
        <f>IF(COUNTBLANK($A238:$E238)&gt;0, "", IFERROR(_xlfn.MAXIFS(Log!$G:$G, Log!$A:$A, $A238, Log!$B:$B, $B238, Log!$C:$C, $C238),""))</f>
        <v/>
      </c>
      <c r="T238" s="6"/>
      <c r="U238" s="6"/>
      <c r="CP238" s="6"/>
      <c r="CQ238" s="6"/>
    </row>
    <row r="239" spans="1:95" ht="40.049999999999997" customHeight="1" x14ac:dyDescent="0.3">
      <c r="A239" s="103" t="str">
        <f t="shared" si="8"/>
        <v/>
      </c>
      <c r="B239" s="236" t="s">
        <v>89</v>
      </c>
      <c r="H239" s="7" t="str">
        <f>IF(COUNTBLANK($A239:$E239)&gt;0, "", IFERROR(AVERAGEIFS(Log!$E:$E, Log!$A:$A, $A239, Log!$B:$B, $B239, Log!$C:$C, $C239),""))</f>
        <v/>
      </c>
      <c r="I239" s="37" t="str">
        <f t="shared" si="7"/>
        <v/>
      </c>
      <c r="N239" s="6" t="str">
        <f>IF(COUNTBLANK($A239:$E239)&gt;0, "", IFERROR(AVERAGEIFS(Log!#REF!, Log!$A:$A, $A239, Log!$B:$B, $B239, Log!$C:$C, $C239),""))</f>
        <v/>
      </c>
      <c r="O239" s="6" t="str">
        <f>IF(COUNTBLANK($A239:$E239)&gt;0, "", IFERROR(_xlfn.MINIFS(Log!$F:$F, Log!$A:$A, $A239, Log!$B:$B, $B239, Log!$C:$C, $C239),""))</f>
        <v/>
      </c>
      <c r="P239" s="6" t="str">
        <f>IF(COUNTBLANK($A239:$E239)&gt;0, "", IFERROR(_xlfn.MAXIFS(Log!$F:$F, Log!$A:$A, $A239, Log!$B:$B, $B239, Log!$C:$C, $C239),""))</f>
        <v/>
      </c>
      <c r="Q239" s="6" t="str">
        <f>IF(COUNTBLANK($A239:$E239)&gt;0, "", IFERROR(AVERAGEIFS(Log!#REF!, Log!$A:$A, $A239, Log!$B:$B, $B239, Log!$C:$C, $C239),""))</f>
        <v/>
      </c>
      <c r="R239" s="6" t="str">
        <f>IF(COUNTBLANK($A239:$E239)&gt;0, "", IFERROR(_xlfn.MINIFS(Log!$G:$G, Log!$A:$A, $A239, Log!$B:$B, $B239, Log!$C:$C, $C239),""))</f>
        <v/>
      </c>
      <c r="S239" s="6" t="str">
        <f>IF(COUNTBLANK($A239:$E239)&gt;0, "", IFERROR(_xlfn.MAXIFS(Log!$G:$G, Log!$A:$A, $A239, Log!$B:$B, $B239, Log!$C:$C, $C239),""))</f>
        <v/>
      </c>
      <c r="T239" s="6"/>
      <c r="U239" s="6"/>
      <c r="CP239" s="6"/>
      <c r="CQ239" s="6"/>
    </row>
    <row r="240" spans="1:95" ht="40.049999999999997" customHeight="1" x14ac:dyDescent="0.3">
      <c r="A240" s="103" t="str">
        <f t="shared" si="8"/>
        <v/>
      </c>
      <c r="B240" s="236" t="s">
        <v>89</v>
      </c>
      <c r="H240" s="7" t="str">
        <f>IF(COUNTBLANK($A240:$E240)&gt;0, "", IFERROR(AVERAGEIFS(Log!$E:$E, Log!$A:$A, $A240, Log!$B:$B, $B240, Log!$C:$C, $C240),""))</f>
        <v/>
      </c>
      <c r="I240" s="37" t="str">
        <f t="shared" si="7"/>
        <v/>
      </c>
      <c r="N240" s="6" t="str">
        <f>IF(COUNTBLANK($A240:$E240)&gt;0, "", IFERROR(AVERAGEIFS(Log!#REF!, Log!$A:$A, $A240, Log!$B:$B, $B240, Log!$C:$C, $C240),""))</f>
        <v/>
      </c>
      <c r="O240" s="6" t="str">
        <f>IF(COUNTBLANK($A240:$E240)&gt;0, "", IFERROR(_xlfn.MINIFS(Log!$F:$F, Log!$A:$A, $A240, Log!$B:$B, $B240, Log!$C:$C, $C240),""))</f>
        <v/>
      </c>
      <c r="P240" s="6" t="str">
        <f>IF(COUNTBLANK($A240:$E240)&gt;0, "", IFERROR(_xlfn.MAXIFS(Log!$F:$F, Log!$A:$A, $A240, Log!$B:$B, $B240, Log!$C:$C, $C240),""))</f>
        <v/>
      </c>
      <c r="Q240" s="6" t="str">
        <f>IF(COUNTBLANK($A240:$E240)&gt;0, "", IFERROR(AVERAGEIFS(Log!#REF!, Log!$A:$A, $A240, Log!$B:$B, $B240, Log!$C:$C, $C240),""))</f>
        <v/>
      </c>
      <c r="R240" s="6" t="str">
        <f>IF(COUNTBLANK($A240:$E240)&gt;0, "", IFERROR(_xlfn.MINIFS(Log!$G:$G, Log!$A:$A, $A240, Log!$B:$B, $B240, Log!$C:$C, $C240),""))</f>
        <v/>
      </c>
      <c r="S240" s="6" t="str">
        <f>IF(COUNTBLANK($A240:$E240)&gt;0, "", IFERROR(_xlfn.MAXIFS(Log!$G:$G, Log!$A:$A, $A240, Log!$B:$B, $B240, Log!$C:$C, $C240),""))</f>
        <v/>
      </c>
      <c r="T240" s="6"/>
      <c r="U240" s="6"/>
      <c r="CP240" s="6"/>
      <c r="CQ240" s="6"/>
    </row>
    <row r="241" spans="1:95" ht="40.049999999999997" customHeight="1" x14ac:dyDescent="0.3">
      <c r="A241" s="103" t="str">
        <f t="shared" si="8"/>
        <v/>
      </c>
      <c r="B241" s="236" t="s">
        <v>89</v>
      </c>
      <c r="H241" s="7" t="str">
        <f>IF(COUNTBLANK($A241:$E241)&gt;0, "", IFERROR(AVERAGEIFS(Log!$E:$E, Log!$A:$A, $A241, Log!$B:$B, $B241, Log!$C:$C, $C241),""))</f>
        <v/>
      </c>
      <c r="I241" s="37" t="str">
        <f t="shared" si="7"/>
        <v/>
      </c>
      <c r="N241" s="6" t="str">
        <f>IF(COUNTBLANK($A241:$E241)&gt;0, "", IFERROR(AVERAGEIFS(Log!#REF!, Log!$A:$A, $A241, Log!$B:$B, $B241, Log!$C:$C, $C241),""))</f>
        <v/>
      </c>
      <c r="O241" s="6" t="str">
        <f>IF(COUNTBLANK($A241:$E241)&gt;0, "", IFERROR(_xlfn.MINIFS(Log!$F:$F, Log!$A:$A, $A241, Log!$B:$B, $B241, Log!$C:$C, $C241),""))</f>
        <v/>
      </c>
      <c r="P241" s="6" t="str">
        <f>IF(COUNTBLANK($A241:$E241)&gt;0, "", IFERROR(_xlfn.MAXIFS(Log!$F:$F, Log!$A:$A, $A241, Log!$B:$B, $B241, Log!$C:$C, $C241),""))</f>
        <v/>
      </c>
      <c r="Q241" s="6" t="str">
        <f>IF(COUNTBLANK($A241:$E241)&gt;0, "", IFERROR(AVERAGEIFS(Log!#REF!, Log!$A:$A, $A241, Log!$B:$B, $B241, Log!$C:$C, $C241),""))</f>
        <v/>
      </c>
      <c r="R241" s="6" t="str">
        <f>IF(COUNTBLANK($A241:$E241)&gt;0, "", IFERROR(_xlfn.MINIFS(Log!$G:$G, Log!$A:$A, $A241, Log!$B:$B, $B241, Log!$C:$C, $C241),""))</f>
        <v/>
      </c>
      <c r="S241" s="6" t="str">
        <f>IF(COUNTBLANK($A241:$E241)&gt;0, "", IFERROR(_xlfn.MAXIFS(Log!$G:$G, Log!$A:$A, $A241, Log!$B:$B, $B241, Log!$C:$C, $C241),""))</f>
        <v/>
      </c>
      <c r="T241" s="6"/>
      <c r="U241" s="6"/>
      <c r="CP241" s="6"/>
      <c r="CQ241" s="6"/>
    </row>
    <row r="242" spans="1:95" ht="40.049999999999997" customHeight="1" x14ac:dyDescent="0.3">
      <c r="A242" s="103" t="str">
        <f t="shared" si="8"/>
        <v/>
      </c>
      <c r="B242" s="236" t="s">
        <v>89</v>
      </c>
      <c r="H242" s="7" t="str">
        <f>IF(COUNTBLANK($A242:$E242)&gt;0, "", IFERROR(AVERAGEIFS(Log!$E:$E, Log!$A:$A, $A242, Log!$B:$B, $B242, Log!$C:$C, $C242),""))</f>
        <v/>
      </c>
      <c r="I242" s="37" t="str">
        <f t="shared" si="7"/>
        <v/>
      </c>
      <c r="N242" s="6" t="str">
        <f>IF(COUNTBLANK($A242:$E242)&gt;0, "", IFERROR(AVERAGEIFS(Log!#REF!, Log!$A:$A, $A242, Log!$B:$B, $B242, Log!$C:$C, $C242),""))</f>
        <v/>
      </c>
      <c r="O242" s="6" t="str">
        <f>IF(COUNTBLANK($A242:$E242)&gt;0, "", IFERROR(_xlfn.MINIFS(Log!$F:$F, Log!$A:$A, $A242, Log!$B:$B, $B242, Log!$C:$C, $C242),""))</f>
        <v/>
      </c>
      <c r="P242" s="6" t="str">
        <f>IF(COUNTBLANK($A242:$E242)&gt;0, "", IFERROR(_xlfn.MAXIFS(Log!$F:$F, Log!$A:$A, $A242, Log!$B:$B, $B242, Log!$C:$C, $C242),""))</f>
        <v/>
      </c>
      <c r="Q242" s="6" t="str">
        <f>IF(COUNTBLANK($A242:$E242)&gt;0, "", IFERROR(AVERAGEIFS(Log!#REF!, Log!$A:$A, $A242, Log!$B:$B, $B242, Log!$C:$C, $C242),""))</f>
        <v/>
      </c>
      <c r="R242" s="6" t="str">
        <f>IF(COUNTBLANK($A242:$E242)&gt;0, "", IFERROR(_xlfn.MINIFS(Log!$G:$G, Log!$A:$A, $A242, Log!$B:$B, $B242, Log!$C:$C, $C242),""))</f>
        <v/>
      </c>
      <c r="S242" s="6" t="str">
        <f>IF(COUNTBLANK($A242:$E242)&gt;0, "", IFERROR(_xlfn.MAXIFS(Log!$G:$G, Log!$A:$A, $A242, Log!$B:$B, $B242, Log!$C:$C, $C242),""))</f>
        <v/>
      </c>
      <c r="T242" s="6"/>
      <c r="U242" s="6"/>
      <c r="CP242" s="6"/>
      <c r="CQ242" s="6"/>
    </row>
    <row r="243" spans="1:95" ht="40.049999999999997" customHeight="1" x14ac:dyDescent="0.3">
      <c r="A243" s="103" t="str">
        <f t="shared" si="8"/>
        <v/>
      </c>
      <c r="B243" s="236" t="s">
        <v>89</v>
      </c>
      <c r="H243" s="7" t="str">
        <f>IF(COUNTBLANK($A243:$E243)&gt;0, "", IFERROR(AVERAGEIFS(Log!$E:$E, Log!$A:$A, $A243, Log!$B:$B, $B243, Log!$C:$C, $C243),""))</f>
        <v/>
      </c>
      <c r="I243" s="37" t="str">
        <f t="shared" si="7"/>
        <v/>
      </c>
      <c r="N243" s="6" t="str">
        <f>IF(COUNTBLANK($A243:$E243)&gt;0, "", IFERROR(AVERAGEIFS(Log!#REF!, Log!$A:$A, $A243, Log!$B:$B, $B243, Log!$C:$C, $C243),""))</f>
        <v/>
      </c>
      <c r="O243" s="6" t="str">
        <f>IF(COUNTBLANK($A243:$E243)&gt;0, "", IFERROR(_xlfn.MINIFS(Log!$F:$F, Log!$A:$A, $A243, Log!$B:$B, $B243, Log!$C:$C, $C243),""))</f>
        <v/>
      </c>
      <c r="P243" s="6" t="str">
        <f>IF(COUNTBLANK($A243:$E243)&gt;0, "", IFERROR(_xlfn.MAXIFS(Log!$F:$F, Log!$A:$A, $A243, Log!$B:$B, $B243, Log!$C:$C, $C243),""))</f>
        <v/>
      </c>
      <c r="Q243" s="6" t="str">
        <f>IF(COUNTBLANK($A243:$E243)&gt;0, "", IFERROR(AVERAGEIFS(Log!#REF!, Log!$A:$A, $A243, Log!$B:$B, $B243, Log!$C:$C, $C243),""))</f>
        <v/>
      </c>
      <c r="R243" s="6" t="str">
        <f>IF(COUNTBLANK($A243:$E243)&gt;0, "", IFERROR(_xlfn.MINIFS(Log!$G:$G, Log!$A:$A, $A243, Log!$B:$B, $B243, Log!$C:$C, $C243),""))</f>
        <v/>
      </c>
      <c r="S243" s="6" t="str">
        <f>IF(COUNTBLANK($A243:$E243)&gt;0, "", IFERROR(_xlfn.MAXIFS(Log!$G:$G, Log!$A:$A, $A243, Log!$B:$B, $B243, Log!$C:$C, $C243),""))</f>
        <v/>
      </c>
      <c r="T243" s="6"/>
      <c r="U243" s="6"/>
      <c r="CP243" s="6"/>
      <c r="CQ243" s="6"/>
    </row>
    <row r="244" spans="1:95" ht="40.049999999999997" customHeight="1" x14ac:dyDescent="0.3">
      <c r="A244" s="103" t="str">
        <f t="shared" si="8"/>
        <v/>
      </c>
      <c r="B244" s="236" t="s">
        <v>89</v>
      </c>
      <c r="H244" s="7" t="str">
        <f>IF(COUNTBLANK($A244:$E244)&gt;0, "", IFERROR(AVERAGEIFS(Log!$E:$E, Log!$A:$A, $A244, Log!$B:$B, $B244, Log!$C:$C, $C244),""))</f>
        <v/>
      </c>
      <c r="I244" s="37" t="str">
        <f t="shared" si="7"/>
        <v/>
      </c>
      <c r="N244" s="6" t="str">
        <f>IF(COUNTBLANK($A244:$E244)&gt;0, "", IFERROR(AVERAGEIFS(Log!#REF!, Log!$A:$A, $A244, Log!$B:$B, $B244, Log!$C:$C, $C244),""))</f>
        <v/>
      </c>
      <c r="O244" s="6" t="str">
        <f>IF(COUNTBLANK($A244:$E244)&gt;0, "", IFERROR(_xlfn.MINIFS(Log!$F:$F, Log!$A:$A, $A244, Log!$B:$B, $B244, Log!$C:$C, $C244),""))</f>
        <v/>
      </c>
      <c r="P244" s="6" t="str">
        <f>IF(COUNTBLANK($A244:$E244)&gt;0, "", IFERROR(_xlfn.MAXIFS(Log!$F:$F, Log!$A:$A, $A244, Log!$B:$B, $B244, Log!$C:$C, $C244),""))</f>
        <v/>
      </c>
      <c r="Q244" s="6" t="str">
        <f>IF(COUNTBLANK($A244:$E244)&gt;0, "", IFERROR(AVERAGEIFS(Log!#REF!, Log!$A:$A, $A244, Log!$B:$B, $B244, Log!$C:$C, $C244),""))</f>
        <v/>
      </c>
      <c r="R244" s="6" t="str">
        <f>IF(COUNTBLANK($A244:$E244)&gt;0, "", IFERROR(_xlfn.MINIFS(Log!$G:$G, Log!$A:$A, $A244, Log!$B:$B, $B244, Log!$C:$C, $C244),""))</f>
        <v/>
      </c>
      <c r="S244" s="6" t="str">
        <f>IF(COUNTBLANK($A244:$E244)&gt;0, "", IFERROR(_xlfn.MAXIFS(Log!$G:$G, Log!$A:$A, $A244, Log!$B:$B, $B244, Log!$C:$C, $C244),""))</f>
        <v/>
      </c>
      <c r="T244" s="6"/>
      <c r="U244" s="6"/>
      <c r="CP244" s="6"/>
      <c r="CQ244" s="6"/>
    </row>
    <row r="245" spans="1:95" ht="40.049999999999997" customHeight="1" x14ac:dyDescent="0.3">
      <c r="A245" s="103" t="str">
        <f t="shared" si="8"/>
        <v/>
      </c>
      <c r="B245" s="236" t="s">
        <v>89</v>
      </c>
      <c r="H245" s="7" t="str">
        <f>IF(COUNTBLANK($A245:$E245)&gt;0, "", IFERROR(AVERAGEIFS(Log!$E:$E, Log!$A:$A, $A245, Log!$B:$B, $B245, Log!$C:$C, $C245),""))</f>
        <v/>
      </c>
      <c r="I245" s="37" t="str">
        <f t="shared" si="7"/>
        <v/>
      </c>
      <c r="N245" s="6" t="str">
        <f>IF(COUNTBLANK($A245:$E245)&gt;0, "", IFERROR(AVERAGEIFS(Log!#REF!, Log!$A:$A, $A245, Log!$B:$B, $B245, Log!$C:$C, $C245),""))</f>
        <v/>
      </c>
      <c r="O245" s="6" t="str">
        <f>IF(COUNTBLANK($A245:$E245)&gt;0, "", IFERROR(_xlfn.MINIFS(Log!$F:$F, Log!$A:$A, $A245, Log!$B:$B, $B245, Log!$C:$C, $C245),""))</f>
        <v/>
      </c>
      <c r="P245" s="6" t="str">
        <f>IF(COUNTBLANK($A245:$E245)&gt;0, "", IFERROR(_xlfn.MAXIFS(Log!$F:$F, Log!$A:$A, $A245, Log!$B:$B, $B245, Log!$C:$C, $C245),""))</f>
        <v/>
      </c>
      <c r="Q245" s="6" t="str">
        <f>IF(COUNTBLANK($A245:$E245)&gt;0, "", IFERROR(AVERAGEIFS(Log!#REF!, Log!$A:$A, $A245, Log!$B:$B, $B245, Log!$C:$C, $C245),""))</f>
        <v/>
      </c>
      <c r="R245" s="6" t="str">
        <f>IF(COUNTBLANK($A245:$E245)&gt;0, "", IFERROR(_xlfn.MINIFS(Log!$G:$G, Log!$A:$A, $A245, Log!$B:$B, $B245, Log!$C:$C, $C245),""))</f>
        <v/>
      </c>
      <c r="S245" s="6" t="str">
        <f>IF(COUNTBLANK($A245:$E245)&gt;0, "", IFERROR(_xlfn.MAXIFS(Log!$G:$G, Log!$A:$A, $A245, Log!$B:$B, $B245, Log!$C:$C, $C245),""))</f>
        <v/>
      </c>
      <c r="T245" s="6"/>
      <c r="U245" s="6"/>
      <c r="CP245" s="6"/>
      <c r="CQ245" s="6"/>
    </row>
    <row r="246" spans="1:95" ht="40.049999999999997" customHeight="1" x14ac:dyDescent="0.3">
      <c r="A246" s="103" t="str">
        <f t="shared" si="8"/>
        <v/>
      </c>
      <c r="B246" s="236" t="s">
        <v>89</v>
      </c>
      <c r="H246" s="7" t="str">
        <f>IF(COUNTBLANK($A246:$E246)&gt;0, "", IFERROR(AVERAGEIFS(Log!$E:$E, Log!$A:$A, $A246, Log!$B:$B, $B246, Log!$C:$C, $C246),""))</f>
        <v/>
      </c>
      <c r="I246" s="37" t="str">
        <f t="shared" si="7"/>
        <v/>
      </c>
      <c r="N246" s="6" t="str">
        <f>IF(COUNTBLANK($A246:$E246)&gt;0, "", IFERROR(AVERAGEIFS(Log!#REF!, Log!$A:$A, $A246, Log!$B:$B, $B246, Log!$C:$C, $C246),""))</f>
        <v/>
      </c>
      <c r="O246" s="6" t="str">
        <f>IF(COUNTBLANK($A246:$E246)&gt;0, "", IFERROR(_xlfn.MINIFS(Log!$F:$F, Log!$A:$A, $A246, Log!$B:$B, $B246, Log!$C:$C, $C246),""))</f>
        <v/>
      </c>
      <c r="P246" s="6" t="str">
        <f>IF(COUNTBLANK($A246:$E246)&gt;0, "", IFERROR(_xlfn.MAXIFS(Log!$F:$F, Log!$A:$A, $A246, Log!$B:$B, $B246, Log!$C:$C, $C246),""))</f>
        <v/>
      </c>
      <c r="Q246" s="6" t="str">
        <f>IF(COUNTBLANK($A246:$E246)&gt;0, "", IFERROR(AVERAGEIFS(Log!#REF!, Log!$A:$A, $A246, Log!$B:$B, $B246, Log!$C:$C, $C246),""))</f>
        <v/>
      </c>
      <c r="R246" s="6" t="str">
        <f>IF(COUNTBLANK($A246:$E246)&gt;0, "", IFERROR(_xlfn.MINIFS(Log!$G:$G, Log!$A:$A, $A246, Log!$B:$B, $B246, Log!$C:$C, $C246),""))</f>
        <v/>
      </c>
      <c r="S246" s="6" t="str">
        <f>IF(COUNTBLANK($A246:$E246)&gt;0, "", IFERROR(_xlfn.MAXIFS(Log!$G:$G, Log!$A:$A, $A246, Log!$B:$B, $B246, Log!$C:$C, $C246),""))</f>
        <v/>
      </c>
      <c r="T246" s="6"/>
      <c r="U246" s="6"/>
      <c r="CP246" s="6"/>
      <c r="CQ246" s="6"/>
    </row>
    <row r="247" spans="1:95" ht="40.049999999999997" customHeight="1" x14ac:dyDescent="0.3">
      <c r="A247" s="103" t="str">
        <f t="shared" si="8"/>
        <v/>
      </c>
      <c r="B247" s="236" t="s">
        <v>89</v>
      </c>
      <c r="H247" s="7" t="str">
        <f>IF(COUNTBLANK($A247:$E247)&gt;0, "", IFERROR(AVERAGEIFS(Log!$E:$E, Log!$A:$A, $A247, Log!$B:$B, $B247, Log!$C:$C, $C247),""))</f>
        <v/>
      </c>
      <c r="I247" s="37" t="str">
        <f t="shared" si="7"/>
        <v/>
      </c>
      <c r="N247" s="6" t="str">
        <f>IF(COUNTBLANK($A247:$E247)&gt;0, "", IFERROR(AVERAGEIFS(Log!#REF!, Log!$A:$A, $A247, Log!$B:$B, $B247, Log!$C:$C, $C247),""))</f>
        <v/>
      </c>
      <c r="O247" s="6" t="str">
        <f>IF(COUNTBLANK($A247:$E247)&gt;0, "", IFERROR(_xlfn.MINIFS(Log!$F:$F, Log!$A:$A, $A247, Log!$B:$B, $B247, Log!$C:$C, $C247),""))</f>
        <v/>
      </c>
      <c r="P247" s="6" t="str">
        <f>IF(COUNTBLANK($A247:$E247)&gt;0, "", IFERROR(_xlfn.MAXIFS(Log!$F:$F, Log!$A:$A, $A247, Log!$B:$B, $B247, Log!$C:$C, $C247),""))</f>
        <v/>
      </c>
      <c r="Q247" s="6" t="str">
        <f>IF(COUNTBLANK($A247:$E247)&gt;0, "", IFERROR(AVERAGEIFS(Log!#REF!, Log!$A:$A, $A247, Log!$B:$B, $B247, Log!$C:$C, $C247),""))</f>
        <v/>
      </c>
      <c r="R247" s="6" t="str">
        <f>IF(COUNTBLANK($A247:$E247)&gt;0, "", IFERROR(_xlfn.MINIFS(Log!$G:$G, Log!$A:$A, $A247, Log!$B:$B, $B247, Log!$C:$C, $C247),""))</f>
        <v/>
      </c>
      <c r="S247" s="6" t="str">
        <f>IF(COUNTBLANK($A247:$E247)&gt;0, "", IFERROR(_xlfn.MAXIFS(Log!$G:$G, Log!$A:$A, $A247, Log!$B:$B, $B247, Log!$C:$C, $C247),""))</f>
        <v/>
      </c>
      <c r="T247" s="6"/>
      <c r="U247" s="6"/>
      <c r="CP247" s="6"/>
      <c r="CQ247" s="6"/>
    </row>
    <row r="248" spans="1:95" ht="40.049999999999997" customHeight="1" x14ac:dyDescent="0.3">
      <c r="B248" s="236" t="s">
        <v>89</v>
      </c>
      <c r="H248" s="7" t="str">
        <f>IF(COUNTBLANK($A248:$E248)&gt;0, "", IFERROR(AVERAGEIFS(Log!$E:$E, Log!$A:$A, $A248, Log!$B:$B, $B248, Log!$C:$C, $C248),""))</f>
        <v/>
      </c>
      <c r="I248" s="37" t="str">
        <f t="shared" si="7"/>
        <v/>
      </c>
      <c r="N248" s="6" t="str">
        <f>IF(COUNTBLANK($A248:$E248)&gt;0, "", IFERROR(AVERAGEIFS(Log!#REF!, Log!$A:$A, $A248, Log!$B:$B, $B248, Log!$C:$C, $C248),""))</f>
        <v/>
      </c>
      <c r="O248" s="6" t="str">
        <f>IF(COUNTBLANK($A248:$E248)&gt;0, "", IFERROR(_xlfn.MINIFS(Log!$F:$F, Log!$A:$A, $A248, Log!$B:$B, $B248, Log!$C:$C, $C248),""))</f>
        <v/>
      </c>
      <c r="P248" s="6" t="str">
        <f>IF(COUNTBLANK($A248:$E248)&gt;0, "", IFERROR(_xlfn.MAXIFS(Log!$F:$F, Log!$A:$A, $A248, Log!$B:$B, $B248, Log!$C:$C, $C248),""))</f>
        <v/>
      </c>
      <c r="Q248" s="6" t="str">
        <f>IF(COUNTBLANK($A248:$E248)&gt;0, "", IFERROR(AVERAGEIFS(Log!#REF!, Log!$A:$A, $A248, Log!$B:$B, $B248, Log!$C:$C, $C248),""))</f>
        <v/>
      </c>
      <c r="R248" s="6" t="str">
        <f>IF(COUNTBLANK($A248:$E248)&gt;0, "", IFERROR(_xlfn.MINIFS(Log!$G:$G, Log!$A:$A, $A248, Log!$B:$B, $B248, Log!$C:$C, $C248),""))</f>
        <v/>
      </c>
      <c r="S248" s="6" t="str">
        <f>IF(COUNTBLANK($A248:$E248)&gt;0, "", IFERROR(_xlfn.MAXIFS(Log!$G:$G, Log!$A:$A, $A248, Log!$B:$B, $B248, Log!$C:$C, $C248),""))</f>
        <v/>
      </c>
      <c r="T248" s="6"/>
      <c r="U248" s="6"/>
      <c r="CP248" s="6"/>
      <c r="CQ248" s="6"/>
    </row>
    <row r="249" spans="1:95" ht="40.049999999999997" customHeight="1" x14ac:dyDescent="0.3">
      <c r="B249" s="236" t="s">
        <v>89</v>
      </c>
      <c r="H249" s="7" t="str">
        <f>IF(COUNTBLANK($A249:$E249)&gt;0, "", IFERROR(AVERAGEIFS(Log!$E:$E, Log!$A:$A, $A249, Log!$B:$B, $B249, Log!$C:$C, $C249),""))</f>
        <v/>
      </c>
      <c r="I249" s="37" t="str">
        <f t="shared" si="7"/>
        <v/>
      </c>
      <c r="N249" s="6" t="str">
        <f>IF(COUNTBLANK($A249:$E249)&gt;0, "", IFERROR(AVERAGEIFS(Log!#REF!, Log!$A:$A, $A249, Log!$B:$B, $B249, Log!$C:$C, $C249),""))</f>
        <v/>
      </c>
      <c r="O249" s="6" t="str">
        <f>IF(COUNTBLANK($A249:$E249)&gt;0, "", IFERROR(_xlfn.MINIFS(Log!$F:$F, Log!$A:$A, $A249, Log!$B:$B, $B249, Log!$C:$C, $C249),""))</f>
        <v/>
      </c>
      <c r="P249" s="6" t="str">
        <f>IF(COUNTBLANK($A249:$E249)&gt;0, "", IFERROR(_xlfn.MAXIFS(Log!$F:$F, Log!$A:$A, $A249, Log!$B:$B, $B249, Log!$C:$C, $C249),""))</f>
        <v/>
      </c>
      <c r="Q249" s="6" t="str">
        <f>IF(COUNTBLANK($A249:$E249)&gt;0, "", IFERROR(AVERAGEIFS(Log!#REF!, Log!$A:$A, $A249, Log!$B:$B, $B249, Log!$C:$C, $C249),""))</f>
        <v/>
      </c>
      <c r="R249" s="6" t="str">
        <f>IF(COUNTBLANK($A249:$E249)&gt;0, "", IFERROR(_xlfn.MINIFS(Log!$G:$G, Log!$A:$A, $A249, Log!$B:$B, $B249, Log!$C:$C, $C249),""))</f>
        <v/>
      </c>
      <c r="S249" s="6" t="str">
        <f>IF(COUNTBLANK($A249:$E249)&gt;0, "", IFERROR(_xlfn.MAXIFS(Log!$G:$G, Log!$A:$A, $A249, Log!$B:$B, $B249, Log!$C:$C, $C249),""))</f>
        <v/>
      </c>
      <c r="T249" s="6"/>
      <c r="U249" s="6"/>
      <c r="CP249" s="6"/>
      <c r="CQ249" s="6"/>
    </row>
    <row r="250" spans="1:95" ht="40.049999999999997" customHeight="1" x14ac:dyDescent="0.3">
      <c r="B250" s="236" t="s">
        <v>89</v>
      </c>
      <c r="H250" s="7" t="str">
        <f>IF(COUNTBLANK($A250:$E250)&gt;0, "", IFERROR(AVERAGEIFS(Log!$E:$E, Log!$A:$A, $A250, Log!$B:$B, $B250, Log!$C:$C, $C250),""))</f>
        <v/>
      </c>
      <c r="I250" s="37" t="str">
        <f t="shared" si="7"/>
        <v/>
      </c>
      <c r="N250" s="6" t="str">
        <f>IF(COUNTBLANK($A250:$E250)&gt;0, "", IFERROR(AVERAGEIFS(Log!#REF!, Log!$A:$A, $A250, Log!$B:$B, $B250, Log!$C:$C, $C250),""))</f>
        <v/>
      </c>
      <c r="O250" s="6" t="str">
        <f>IF(COUNTBLANK($A250:$E250)&gt;0, "", IFERROR(_xlfn.MINIFS(Log!$F:$F, Log!$A:$A, $A250, Log!$B:$B, $B250, Log!$C:$C, $C250),""))</f>
        <v/>
      </c>
      <c r="P250" s="6" t="str">
        <f>IF(COUNTBLANK($A250:$E250)&gt;0, "", IFERROR(_xlfn.MAXIFS(Log!$F:$F, Log!$A:$A, $A250, Log!$B:$B, $B250, Log!$C:$C, $C250),""))</f>
        <v/>
      </c>
      <c r="Q250" s="6" t="str">
        <f>IF(COUNTBLANK($A250:$E250)&gt;0, "", IFERROR(AVERAGEIFS(Log!#REF!, Log!$A:$A, $A250, Log!$B:$B, $B250, Log!$C:$C, $C250),""))</f>
        <v/>
      </c>
      <c r="R250" s="6" t="str">
        <f>IF(COUNTBLANK($A250:$E250)&gt;0, "", IFERROR(_xlfn.MINIFS(Log!$G:$G, Log!$A:$A, $A250, Log!$B:$B, $B250, Log!$C:$C, $C250),""))</f>
        <v/>
      </c>
      <c r="S250" s="6" t="str">
        <f>IF(COUNTBLANK($A250:$E250)&gt;0, "", IFERROR(_xlfn.MAXIFS(Log!$G:$G, Log!$A:$A, $A250, Log!$B:$B, $B250, Log!$C:$C, $C250),""))</f>
        <v/>
      </c>
      <c r="T250" s="6"/>
      <c r="U250" s="6"/>
      <c r="CP250" s="6"/>
      <c r="CQ250" s="6"/>
    </row>
    <row r="251" spans="1:95" ht="40.049999999999997" customHeight="1" x14ac:dyDescent="0.3">
      <c r="B251" s="236" t="s">
        <v>89</v>
      </c>
      <c r="H251" s="7" t="str">
        <f>IF(COUNTBLANK($A251:$E251)&gt;0, "", IFERROR(AVERAGEIFS(Log!$E:$E, Log!$A:$A, $A251, Log!$B:$B, $B251, Log!$C:$C, $C251),""))</f>
        <v/>
      </c>
      <c r="I251" s="37" t="str">
        <f t="shared" si="7"/>
        <v/>
      </c>
      <c r="N251" s="6" t="str">
        <f>IF(COUNTBLANK($A251:$E251)&gt;0, "", IFERROR(AVERAGEIFS(Log!#REF!, Log!$A:$A, $A251, Log!$B:$B, $B251, Log!$C:$C, $C251),""))</f>
        <v/>
      </c>
      <c r="O251" s="6" t="str">
        <f>IF(COUNTBLANK($A251:$E251)&gt;0, "", IFERROR(_xlfn.MINIFS(Log!$F:$F, Log!$A:$A, $A251, Log!$B:$B, $B251, Log!$C:$C, $C251),""))</f>
        <v/>
      </c>
      <c r="P251" s="6" t="str">
        <f>IF(COUNTBLANK($A251:$E251)&gt;0, "", IFERROR(_xlfn.MAXIFS(Log!$F:$F, Log!$A:$A, $A251, Log!$B:$B, $B251, Log!$C:$C, $C251),""))</f>
        <v/>
      </c>
      <c r="Q251" s="6" t="str">
        <f>IF(COUNTBLANK($A251:$E251)&gt;0, "", IFERROR(AVERAGEIFS(Log!#REF!, Log!$A:$A, $A251, Log!$B:$B, $B251, Log!$C:$C, $C251),""))</f>
        <v/>
      </c>
      <c r="R251" s="6" t="str">
        <f>IF(COUNTBLANK($A251:$E251)&gt;0, "", IFERROR(_xlfn.MINIFS(Log!$G:$G, Log!$A:$A, $A251, Log!$B:$B, $B251, Log!$C:$C, $C251),""))</f>
        <v/>
      </c>
      <c r="S251" s="6" t="str">
        <f>IF(COUNTBLANK($A251:$E251)&gt;0, "", IFERROR(_xlfn.MAXIFS(Log!$G:$G, Log!$A:$A, $A251, Log!$B:$B, $B251, Log!$C:$C, $C251),""))</f>
        <v/>
      </c>
      <c r="T251" s="6"/>
      <c r="U251" s="6"/>
      <c r="CP251" s="6"/>
      <c r="CQ251" s="6"/>
    </row>
    <row r="252" spans="1:95" ht="40.049999999999997" customHeight="1" x14ac:dyDescent="0.3">
      <c r="B252" s="236" t="s">
        <v>89</v>
      </c>
      <c r="H252" s="7" t="str">
        <f>IF(COUNTBLANK($A252:$E252)&gt;0, "", IFERROR(AVERAGEIFS(Log!$E:$E, Log!$A:$A, $A252, Log!$B:$B, $B252, Log!$C:$C, $C252),""))</f>
        <v/>
      </c>
      <c r="I252" s="37" t="str">
        <f t="shared" si="7"/>
        <v/>
      </c>
      <c r="N252" s="6" t="str">
        <f>IF(COUNTBLANK($A252:$E252)&gt;0, "", IFERROR(AVERAGEIFS(Log!#REF!, Log!$A:$A, $A252, Log!$B:$B, $B252, Log!$C:$C, $C252),""))</f>
        <v/>
      </c>
      <c r="O252" s="6" t="str">
        <f>IF(COUNTBLANK($A252:$E252)&gt;0, "", IFERROR(_xlfn.MINIFS(Log!$F:$F, Log!$A:$A, $A252, Log!$B:$B, $B252, Log!$C:$C, $C252),""))</f>
        <v/>
      </c>
      <c r="P252" s="6" t="str">
        <f>IF(COUNTBLANK($A252:$E252)&gt;0, "", IFERROR(_xlfn.MAXIFS(Log!$F:$F, Log!$A:$A, $A252, Log!$B:$B, $B252, Log!$C:$C, $C252),""))</f>
        <v/>
      </c>
      <c r="Q252" s="6" t="str">
        <f>IF(COUNTBLANK($A252:$E252)&gt;0, "", IFERROR(AVERAGEIFS(Log!#REF!, Log!$A:$A, $A252, Log!$B:$B, $B252, Log!$C:$C, $C252),""))</f>
        <v/>
      </c>
      <c r="R252" s="6" t="str">
        <f>IF(COUNTBLANK($A252:$E252)&gt;0, "", IFERROR(_xlfn.MINIFS(Log!$G:$G, Log!$A:$A, $A252, Log!$B:$B, $B252, Log!$C:$C, $C252),""))</f>
        <v/>
      </c>
      <c r="S252" s="6" t="str">
        <f>IF(COUNTBLANK($A252:$E252)&gt;0, "", IFERROR(_xlfn.MAXIFS(Log!$G:$G, Log!$A:$A, $A252, Log!$B:$B, $B252, Log!$C:$C, $C252),""))</f>
        <v/>
      </c>
      <c r="T252" s="6"/>
      <c r="U252" s="6"/>
      <c r="CP252" s="6"/>
      <c r="CQ252" s="6"/>
    </row>
    <row r="253" spans="1:95" ht="40.049999999999997" customHeight="1" x14ac:dyDescent="0.3">
      <c r="B253" s="236" t="s">
        <v>89</v>
      </c>
      <c r="H253" s="7" t="str">
        <f>IF(COUNTBLANK($A253:$E253)&gt;0, "", IFERROR(AVERAGEIFS(Log!$E:$E, Log!$A:$A, $A253, Log!$B:$B, $B253, Log!$C:$C, $C253),""))</f>
        <v/>
      </c>
      <c r="I253" s="37" t="str">
        <f t="shared" si="7"/>
        <v/>
      </c>
      <c r="N253" s="6" t="str">
        <f>IF(COUNTBLANK($A253:$E253)&gt;0, "", IFERROR(AVERAGEIFS(Log!#REF!, Log!$A:$A, $A253, Log!$B:$B, $B253, Log!$C:$C, $C253),""))</f>
        <v/>
      </c>
      <c r="O253" s="6" t="str">
        <f>IF(COUNTBLANK($A253:$E253)&gt;0, "", IFERROR(_xlfn.MINIFS(Log!$F:$F, Log!$A:$A, $A253, Log!$B:$B, $B253, Log!$C:$C, $C253),""))</f>
        <v/>
      </c>
      <c r="P253" s="6" t="str">
        <f>IF(COUNTBLANK($A253:$E253)&gt;0, "", IFERROR(_xlfn.MAXIFS(Log!$F:$F, Log!$A:$A, $A253, Log!$B:$B, $B253, Log!$C:$C, $C253),""))</f>
        <v/>
      </c>
      <c r="Q253" s="6" t="str">
        <f>IF(COUNTBLANK($A253:$E253)&gt;0, "", IFERROR(AVERAGEIFS(Log!#REF!, Log!$A:$A, $A253, Log!$B:$B, $B253, Log!$C:$C, $C253),""))</f>
        <v/>
      </c>
      <c r="R253" s="6" t="str">
        <f>IF(COUNTBLANK($A253:$E253)&gt;0, "", IFERROR(_xlfn.MINIFS(Log!$G:$G, Log!$A:$A, $A253, Log!$B:$B, $B253, Log!$C:$C, $C253),""))</f>
        <v/>
      </c>
      <c r="S253" s="6" t="str">
        <f>IF(COUNTBLANK($A253:$E253)&gt;0, "", IFERROR(_xlfn.MAXIFS(Log!$G:$G, Log!$A:$A, $A253, Log!$B:$B, $B253, Log!$C:$C, $C253),""))</f>
        <v/>
      </c>
      <c r="T253" s="6"/>
      <c r="U253" s="6"/>
      <c r="CP253" s="6"/>
      <c r="CQ253" s="6"/>
    </row>
    <row r="254" spans="1:95" ht="40.049999999999997" customHeight="1" x14ac:dyDescent="0.3">
      <c r="B254" s="236" t="s">
        <v>89</v>
      </c>
      <c r="H254" s="7" t="str">
        <f>IF(COUNTBLANK($A254:$E254)&gt;0, "", IFERROR(AVERAGEIFS(Log!$E:$E, Log!$A:$A, $A254, Log!$B:$B, $B254, Log!$C:$C, $C254),""))</f>
        <v/>
      </c>
      <c r="I254" s="37" t="str">
        <f t="shared" si="7"/>
        <v/>
      </c>
      <c r="N254" s="6" t="str">
        <f>IF(COUNTBLANK($A254:$E254)&gt;0, "", IFERROR(AVERAGEIFS(Log!#REF!, Log!$A:$A, $A254, Log!$B:$B, $B254, Log!$C:$C, $C254),""))</f>
        <v/>
      </c>
      <c r="O254" s="6" t="str">
        <f>IF(COUNTBLANK($A254:$E254)&gt;0, "", IFERROR(_xlfn.MINIFS(Log!$F:$F, Log!$A:$A, $A254, Log!$B:$B, $B254, Log!$C:$C, $C254),""))</f>
        <v/>
      </c>
      <c r="P254" s="6" t="str">
        <f>IF(COUNTBLANK($A254:$E254)&gt;0, "", IFERROR(_xlfn.MAXIFS(Log!$F:$F, Log!$A:$A, $A254, Log!$B:$B, $B254, Log!$C:$C, $C254),""))</f>
        <v/>
      </c>
      <c r="Q254" s="6" t="str">
        <f>IF(COUNTBLANK($A254:$E254)&gt;0, "", IFERROR(AVERAGEIFS(Log!#REF!, Log!$A:$A, $A254, Log!$B:$B, $B254, Log!$C:$C, $C254),""))</f>
        <v/>
      </c>
      <c r="R254" s="6" t="str">
        <f>IF(COUNTBLANK($A254:$E254)&gt;0, "", IFERROR(_xlfn.MINIFS(Log!$G:$G, Log!$A:$A, $A254, Log!$B:$B, $B254, Log!$C:$C, $C254),""))</f>
        <v/>
      </c>
      <c r="S254" s="6" t="str">
        <f>IF(COUNTBLANK($A254:$E254)&gt;0, "", IFERROR(_xlfn.MAXIFS(Log!$G:$G, Log!$A:$A, $A254, Log!$B:$B, $B254, Log!$C:$C, $C254),""))</f>
        <v/>
      </c>
      <c r="T254" s="6"/>
      <c r="U254" s="6"/>
      <c r="CP254" s="6"/>
      <c r="CQ254" s="6"/>
    </row>
    <row r="255" spans="1:95" ht="40.049999999999997" customHeight="1" x14ac:dyDescent="0.3">
      <c r="B255" s="236" t="s">
        <v>89</v>
      </c>
      <c r="H255" s="7" t="str">
        <f>IF(COUNTBLANK($A255:$E255)&gt;0, "", IFERROR(AVERAGEIFS(Log!$E:$E, Log!$A:$A, $A255, Log!$B:$B, $B255, Log!$C:$C, $C255),""))</f>
        <v/>
      </c>
      <c r="I255" s="37" t="str">
        <f t="shared" si="7"/>
        <v/>
      </c>
      <c r="N255" s="6" t="str">
        <f>IF(COUNTBLANK($A255:$E255)&gt;0, "", IFERROR(AVERAGEIFS(Log!#REF!, Log!$A:$A, $A255, Log!$B:$B, $B255, Log!$C:$C, $C255),""))</f>
        <v/>
      </c>
      <c r="O255" s="6" t="str">
        <f>IF(COUNTBLANK($A255:$E255)&gt;0, "", IFERROR(_xlfn.MINIFS(Log!$F:$F, Log!$A:$A, $A255, Log!$B:$B, $B255, Log!$C:$C, $C255),""))</f>
        <v/>
      </c>
      <c r="P255" s="6" t="str">
        <f>IF(COUNTBLANK($A255:$E255)&gt;0, "", IFERROR(_xlfn.MAXIFS(Log!$F:$F, Log!$A:$A, $A255, Log!$B:$B, $B255, Log!$C:$C, $C255),""))</f>
        <v/>
      </c>
      <c r="Q255" s="6" t="str">
        <f>IF(COUNTBLANK($A255:$E255)&gt;0, "", IFERROR(AVERAGEIFS(Log!#REF!, Log!$A:$A, $A255, Log!$B:$B, $B255, Log!$C:$C, $C255),""))</f>
        <v/>
      </c>
      <c r="R255" s="6" t="str">
        <f>IF(COUNTBLANK($A255:$E255)&gt;0, "", IFERROR(_xlfn.MINIFS(Log!$G:$G, Log!$A:$A, $A255, Log!$B:$B, $B255, Log!$C:$C, $C255),""))</f>
        <v/>
      </c>
      <c r="S255" s="6" t="str">
        <f>IF(COUNTBLANK($A255:$E255)&gt;0, "", IFERROR(_xlfn.MAXIFS(Log!$G:$G, Log!$A:$A, $A255, Log!$B:$B, $B255, Log!$C:$C, $C255),""))</f>
        <v/>
      </c>
      <c r="T255" s="6"/>
      <c r="U255" s="6"/>
      <c r="CP255" s="6"/>
      <c r="CQ255" s="6"/>
    </row>
    <row r="256" spans="1:95" ht="40.049999999999997" customHeight="1" x14ac:dyDescent="0.3">
      <c r="B256" s="236" t="s">
        <v>89</v>
      </c>
      <c r="H256" s="7" t="str">
        <f>IF(COUNTBLANK($A256:$E256)&gt;0, "", IFERROR(AVERAGEIFS(Log!$E:$E, Log!$A:$A, $A256, Log!$B:$B, $B256, Log!$C:$C, $C256),""))</f>
        <v/>
      </c>
      <c r="I256" s="37" t="str">
        <f t="shared" si="7"/>
        <v/>
      </c>
      <c r="N256" s="6" t="str">
        <f>IF(COUNTBLANK($A256:$E256)&gt;0, "", IFERROR(AVERAGEIFS(Log!#REF!, Log!$A:$A, $A256, Log!$B:$B, $B256, Log!$C:$C, $C256),""))</f>
        <v/>
      </c>
      <c r="O256" s="6" t="str">
        <f>IF(COUNTBLANK($A256:$E256)&gt;0, "", IFERROR(_xlfn.MINIFS(Log!$F:$F, Log!$A:$A, $A256, Log!$B:$B, $B256, Log!$C:$C, $C256),""))</f>
        <v/>
      </c>
      <c r="P256" s="6" t="str">
        <f>IF(COUNTBLANK($A256:$E256)&gt;0, "", IFERROR(_xlfn.MAXIFS(Log!$F:$F, Log!$A:$A, $A256, Log!$B:$B, $B256, Log!$C:$C, $C256),""))</f>
        <v/>
      </c>
      <c r="Q256" s="6" t="str">
        <f>IF(COUNTBLANK($A256:$E256)&gt;0, "", IFERROR(AVERAGEIFS(Log!#REF!, Log!$A:$A, $A256, Log!$B:$B, $B256, Log!$C:$C, $C256),""))</f>
        <v/>
      </c>
      <c r="R256" s="6" t="str">
        <f>IF(COUNTBLANK($A256:$E256)&gt;0, "", IFERROR(_xlfn.MINIFS(Log!$G:$G, Log!$A:$A, $A256, Log!$B:$B, $B256, Log!$C:$C, $C256),""))</f>
        <v/>
      </c>
      <c r="S256" s="6" t="str">
        <f>IF(COUNTBLANK($A256:$E256)&gt;0, "", IFERROR(_xlfn.MAXIFS(Log!$G:$G, Log!$A:$A, $A256, Log!$B:$B, $B256, Log!$C:$C, $C256),""))</f>
        <v/>
      </c>
      <c r="T256" s="6"/>
      <c r="U256" s="6"/>
      <c r="CP256" s="6"/>
      <c r="CQ256" s="6"/>
    </row>
    <row r="257" spans="2:95" ht="40.049999999999997" customHeight="1" x14ac:dyDescent="0.3">
      <c r="B257" s="236" t="s">
        <v>89</v>
      </c>
      <c r="H257" s="7" t="str">
        <f>IF(COUNTBLANK($A257:$E257)&gt;0, "", IFERROR(AVERAGEIFS(Log!$E:$E, Log!$A:$A, $A257, Log!$B:$B, $B257, Log!$C:$C, $C257),""))</f>
        <v/>
      </c>
      <c r="I257" s="37" t="str">
        <f t="shared" si="7"/>
        <v/>
      </c>
      <c r="N257" s="6" t="str">
        <f>IF(COUNTBLANK($A257:$E257)&gt;0, "", IFERROR(AVERAGEIFS(Log!#REF!, Log!$A:$A, $A257, Log!$B:$B, $B257, Log!$C:$C, $C257),""))</f>
        <v/>
      </c>
      <c r="O257" s="6" t="str">
        <f>IF(COUNTBLANK($A257:$E257)&gt;0, "", IFERROR(_xlfn.MINIFS(Log!$F:$F, Log!$A:$A, $A257, Log!$B:$B, $B257, Log!$C:$C, $C257),""))</f>
        <v/>
      </c>
      <c r="P257" s="6" t="str">
        <f>IF(COUNTBLANK($A257:$E257)&gt;0, "", IFERROR(_xlfn.MAXIFS(Log!$F:$F, Log!$A:$A, $A257, Log!$B:$B, $B257, Log!$C:$C, $C257),""))</f>
        <v/>
      </c>
      <c r="Q257" s="6" t="str">
        <f>IF(COUNTBLANK($A257:$E257)&gt;0, "", IFERROR(AVERAGEIFS(Log!#REF!, Log!$A:$A, $A257, Log!$B:$B, $B257, Log!$C:$C, $C257),""))</f>
        <v/>
      </c>
      <c r="R257" s="6" t="str">
        <f>IF(COUNTBLANK($A257:$E257)&gt;0, "", IFERROR(_xlfn.MINIFS(Log!$G:$G, Log!$A:$A, $A257, Log!$B:$B, $B257, Log!$C:$C, $C257),""))</f>
        <v/>
      </c>
      <c r="S257" s="6" t="str">
        <f>IF(COUNTBLANK($A257:$E257)&gt;0, "", IFERROR(_xlfn.MAXIFS(Log!$G:$G, Log!$A:$A, $A257, Log!$B:$B, $B257, Log!$C:$C, $C257),""))</f>
        <v/>
      </c>
      <c r="T257" s="6"/>
      <c r="U257" s="6"/>
      <c r="CP257" s="6"/>
      <c r="CQ257" s="6"/>
    </row>
    <row r="258" spans="2:95" ht="40.049999999999997" customHeight="1" x14ac:dyDescent="0.3">
      <c r="B258" s="236" t="s">
        <v>89</v>
      </c>
      <c r="H258" s="7" t="str">
        <f>IF(COUNTBLANK($A258:$E258)&gt;0, "", IFERROR(AVERAGEIFS(Log!$E:$E, Log!$A:$A, $A258, Log!$B:$B, $B258, Log!$C:$C, $C258),""))</f>
        <v/>
      </c>
      <c r="I258" s="37" t="str">
        <f t="shared" si="7"/>
        <v/>
      </c>
      <c r="N258" s="6" t="str">
        <f>IF(COUNTBLANK($A258:$E258)&gt;0, "", IFERROR(AVERAGEIFS(Log!#REF!, Log!$A:$A, $A258, Log!$B:$B, $B258, Log!$C:$C, $C258),""))</f>
        <v/>
      </c>
      <c r="O258" s="6" t="str">
        <f>IF(COUNTBLANK($A258:$E258)&gt;0, "", IFERROR(_xlfn.MINIFS(Log!$F:$F, Log!$A:$A, $A258, Log!$B:$B, $B258, Log!$C:$C, $C258),""))</f>
        <v/>
      </c>
      <c r="P258" s="6" t="str">
        <f>IF(COUNTBLANK($A258:$E258)&gt;0, "", IFERROR(_xlfn.MAXIFS(Log!$F:$F, Log!$A:$A, $A258, Log!$B:$B, $B258, Log!$C:$C, $C258),""))</f>
        <v/>
      </c>
      <c r="Q258" s="6" t="str">
        <f>IF(COUNTBLANK($A258:$E258)&gt;0, "", IFERROR(AVERAGEIFS(Log!#REF!, Log!$A:$A, $A258, Log!$B:$B, $B258, Log!$C:$C, $C258),""))</f>
        <v/>
      </c>
      <c r="R258" s="6" t="str">
        <f>IF(COUNTBLANK($A258:$E258)&gt;0, "", IFERROR(_xlfn.MINIFS(Log!$G:$G, Log!$A:$A, $A258, Log!$B:$B, $B258, Log!$C:$C, $C258),""))</f>
        <v/>
      </c>
      <c r="S258" s="6" t="str">
        <f>IF(COUNTBLANK($A258:$E258)&gt;0, "", IFERROR(_xlfn.MAXIFS(Log!$G:$G, Log!$A:$A, $A258, Log!$B:$B, $B258, Log!$C:$C, $C258),""))</f>
        <v/>
      </c>
      <c r="T258" s="6"/>
      <c r="U258" s="6"/>
      <c r="CP258" s="6"/>
      <c r="CQ258" s="6"/>
    </row>
    <row r="259" spans="2:95" ht="40.049999999999997" customHeight="1" x14ac:dyDescent="0.3">
      <c r="B259" s="236" t="s">
        <v>89</v>
      </c>
      <c r="H259" s="7" t="str">
        <f>IF(COUNTBLANK($A259:$E259)&gt;0, "", IFERROR(AVERAGEIFS(Log!$E:$E, Log!$A:$A, $A259, Log!$B:$B, $B259, Log!$C:$C, $C259),""))</f>
        <v/>
      </c>
      <c r="I259" s="37" t="str">
        <f t="shared" ref="I259:I322" si="9">IF(AND($H259&lt;&gt;"", $G259&lt;&gt;""), $H259/$G259, "")</f>
        <v/>
      </c>
      <c r="N259" s="6" t="str">
        <f>IF(COUNTBLANK($A259:$E259)&gt;0, "", IFERROR(AVERAGEIFS(Log!#REF!, Log!$A:$A, $A259, Log!$B:$B, $B259, Log!$C:$C, $C259),""))</f>
        <v/>
      </c>
      <c r="O259" s="6" t="str">
        <f>IF(COUNTBLANK($A259:$E259)&gt;0, "", IFERROR(_xlfn.MINIFS(Log!$F:$F, Log!$A:$A, $A259, Log!$B:$B, $B259, Log!$C:$C, $C259),""))</f>
        <v/>
      </c>
      <c r="P259" s="6" t="str">
        <f>IF(COUNTBLANK($A259:$E259)&gt;0, "", IFERROR(_xlfn.MAXIFS(Log!$F:$F, Log!$A:$A, $A259, Log!$B:$B, $B259, Log!$C:$C, $C259),""))</f>
        <v/>
      </c>
      <c r="Q259" s="6" t="str">
        <f>IF(COUNTBLANK($A259:$E259)&gt;0, "", IFERROR(AVERAGEIFS(Log!#REF!, Log!$A:$A, $A259, Log!$B:$B, $B259, Log!$C:$C, $C259),""))</f>
        <v/>
      </c>
      <c r="R259" s="6" t="str">
        <f>IF(COUNTBLANK($A259:$E259)&gt;0, "", IFERROR(_xlfn.MINIFS(Log!$G:$G, Log!$A:$A, $A259, Log!$B:$B, $B259, Log!$C:$C, $C259),""))</f>
        <v/>
      </c>
      <c r="S259" s="6" t="str">
        <f>IF(COUNTBLANK($A259:$E259)&gt;0, "", IFERROR(_xlfn.MAXIFS(Log!$G:$G, Log!$A:$A, $A259, Log!$B:$B, $B259, Log!$C:$C, $C259),""))</f>
        <v/>
      </c>
      <c r="T259" s="6"/>
      <c r="U259" s="6"/>
      <c r="CP259" s="6"/>
      <c r="CQ259" s="6"/>
    </row>
    <row r="260" spans="2:95" ht="40.049999999999997" customHeight="1" x14ac:dyDescent="0.3">
      <c r="B260" s="236" t="s">
        <v>89</v>
      </c>
      <c r="H260" s="7" t="str">
        <f>IF(COUNTBLANK($A260:$E260)&gt;0, "", IFERROR(AVERAGEIFS(Log!$E:$E, Log!$A:$A, $A260, Log!$B:$B, $B260, Log!$C:$C, $C260),""))</f>
        <v/>
      </c>
      <c r="I260" s="37" t="str">
        <f t="shared" si="9"/>
        <v/>
      </c>
      <c r="N260" s="6" t="str">
        <f>IF(COUNTBLANK($A260:$E260)&gt;0, "", IFERROR(AVERAGEIFS(Log!#REF!, Log!$A:$A, $A260, Log!$B:$B, $B260, Log!$C:$C, $C260),""))</f>
        <v/>
      </c>
      <c r="O260" s="6" t="str">
        <f>IF(COUNTBLANK($A260:$E260)&gt;0, "", IFERROR(_xlfn.MINIFS(Log!$F:$F, Log!$A:$A, $A260, Log!$B:$B, $B260, Log!$C:$C, $C260),""))</f>
        <v/>
      </c>
      <c r="P260" s="6" t="str">
        <f>IF(COUNTBLANK($A260:$E260)&gt;0, "", IFERROR(_xlfn.MAXIFS(Log!$F:$F, Log!$A:$A, $A260, Log!$B:$B, $B260, Log!$C:$C, $C260),""))</f>
        <v/>
      </c>
      <c r="Q260" s="6" t="str">
        <f>IF(COUNTBLANK($A260:$E260)&gt;0, "", IFERROR(AVERAGEIFS(Log!#REF!, Log!$A:$A, $A260, Log!$B:$B, $B260, Log!$C:$C, $C260),""))</f>
        <v/>
      </c>
      <c r="R260" s="6" t="str">
        <f>IF(COUNTBLANK($A260:$E260)&gt;0, "", IFERROR(_xlfn.MINIFS(Log!$G:$G, Log!$A:$A, $A260, Log!$B:$B, $B260, Log!$C:$C, $C260),""))</f>
        <v/>
      </c>
      <c r="S260" s="6" t="str">
        <f>IF(COUNTBLANK($A260:$E260)&gt;0, "", IFERROR(_xlfn.MAXIFS(Log!$G:$G, Log!$A:$A, $A260, Log!$B:$B, $B260, Log!$C:$C, $C260),""))</f>
        <v/>
      </c>
      <c r="T260" s="6"/>
      <c r="U260" s="6"/>
      <c r="CP260" s="6"/>
      <c r="CQ260" s="6"/>
    </row>
    <row r="261" spans="2:95" ht="40.049999999999997" customHeight="1" x14ac:dyDescent="0.3">
      <c r="B261" s="236" t="s">
        <v>89</v>
      </c>
      <c r="H261" s="7" t="str">
        <f>IF(COUNTBLANK($A261:$E261)&gt;0, "", IFERROR(AVERAGEIFS(Log!$E:$E, Log!$A:$A, $A261, Log!$B:$B, $B261, Log!$C:$C, $C261),""))</f>
        <v/>
      </c>
      <c r="I261" s="37" t="str">
        <f t="shared" si="9"/>
        <v/>
      </c>
      <c r="N261" s="6" t="str">
        <f>IF(COUNTBLANK($A261:$E261)&gt;0, "", IFERROR(AVERAGEIFS(Log!#REF!, Log!$A:$A, $A261, Log!$B:$B, $B261, Log!$C:$C, $C261),""))</f>
        <v/>
      </c>
      <c r="O261" s="6" t="str">
        <f>IF(COUNTBLANK($A261:$E261)&gt;0, "", IFERROR(_xlfn.MINIFS(Log!$F:$F, Log!$A:$A, $A261, Log!$B:$B, $B261, Log!$C:$C, $C261),""))</f>
        <v/>
      </c>
      <c r="P261" s="6" t="str">
        <f>IF(COUNTBLANK($A261:$E261)&gt;0, "", IFERROR(_xlfn.MAXIFS(Log!$F:$F, Log!$A:$A, $A261, Log!$B:$B, $B261, Log!$C:$C, $C261),""))</f>
        <v/>
      </c>
      <c r="Q261" s="6" t="str">
        <f>IF(COUNTBLANK($A261:$E261)&gt;0, "", IFERROR(AVERAGEIFS(Log!#REF!, Log!$A:$A, $A261, Log!$B:$B, $B261, Log!$C:$C, $C261),""))</f>
        <v/>
      </c>
      <c r="R261" s="6" t="str">
        <f>IF(COUNTBLANK($A261:$E261)&gt;0, "", IFERROR(_xlfn.MINIFS(Log!$G:$G, Log!$A:$A, $A261, Log!$B:$B, $B261, Log!$C:$C, $C261),""))</f>
        <v/>
      </c>
      <c r="S261" s="6" t="str">
        <f>IF(COUNTBLANK($A261:$E261)&gt;0, "", IFERROR(_xlfn.MAXIFS(Log!$G:$G, Log!$A:$A, $A261, Log!$B:$B, $B261, Log!$C:$C, $C261),""))</f>
        <v/>
      </c>
      <c r="T261" s="6"/>
      <c r="U261" s="6"/>
      <c r="CP261" s="6"/>
      <c r="CQ261" s="6"/>
    </row>
    <row r="262" spans="2:95" ht="40.049999999999997" customHeight="1" x14ac:dyDescent="0.3">
      <c r="B262" s="236" t="s">
        <v>89</v>
      </c>
      <c r="H262" s="7" t="str">
        <f>IF(COUNTBLANK($A262:$E262)&gt;0, "", IFERROR(AVERAGEIFS(Log!$E:$E, Log!$A:$A, $A262, Log!$B:$B, $B262, Log!$C:$C, $C262),""))</f>
        <v/>
      </c>
      <c r="I262" s="37" t="str">
        <f t="shared" si="9"/>
        <v/>
      </c>
      <c r="N262" s="6" t="str">
        <f>IF(COUNTBLANK($A262:$E262)&gt;0, "", IFERROR(AVERAGEIFS(Log!#REF!, Log!$A:$A, $A262, Log!$B:$B, $B262, Log!$C:$C, $C262),""))</f>
        <v/>
      </c>
      <c r="O262" s="6" t="str">
        <f>IF(COUNTBLANK($A262:$E262)&gt;0, "", IFERROR(_xlfn.MINIFS(Log!$F:$F, Log!$A:$A, $A262, Log!$B:$B, $B262, Log!$C:$C, $C262),""))</f>
        <v/>
      </c>
      <c r="P262" s="6" t="str">
        <f>IF(COUNTBLANK($A262:$E262)&gt;0, "", IFERROR(_xlfn.MAXIFS(Log!$F:$F, Log!$A:$A, $A262, Log!$B:$B, $B262, Log!$C:$C, $C262),""))</f>
        <v/>
      </c>
      <c r="Q262" s="6" t="str">
        <f>IF(COUNTBLANK($A262:$E262)&gt;0, "", IFERROR(AVERAGEIFS(Log!#REF!, Log!$A:$A, $A262, Log!$B:$B, $B262, Log!$C:$C, $C262),""))</f>
        <v/>
      </c>
      <c r="R262" s="6" t="str">
        <f>IF(COUNTBLANK($A262:$E262)&gt;0, "", IFERROR(_xlfn.MINIFS(Log!$G:$G, Log!$A:$A, $A262, Log!$B:$B, $B262, Log!$C:$C, $C262),""))</f>
        <v/>
      </c>
      <c r="S262" s="6" t="str">
        <f>IF(COUNTBLANK($A262:$E262)&gt;0, "", IFERROR(_xlfn.MAXIFS(Log!$G:$G, Log!$A:$A, $A262, Log!$B:$B, $B262, Log!$C:$C, $C262),""))</f>
        <v/>
      </c>
      <c r="T262" s="6"/>
      <c r="U262" s="6"/>
      <c r="CP262" s="6"/>
      <c r="CQ262" s="6"/>
    </row>
    <row r="263" spans="2:95" ht="40.049999999999997" customHeight="1" x14ac:dyDescent="0.3">
      <c r="B263" s="236" t="s">
        <v>89</v>
      </c>
      <c r="H263" s="7" t="str">
        <f>IF(COUNTBLANK($A263:$E263)&gt;0, "", IFERROR(AVERAGEIFS(Log!$E:$E, Log!$A:$A, $A263, Log!$B:$B, $B263, Log!$C:$C, $C263),""))</f>
        <v/>
      </c>
      <c r="I263" s="37" t="str">
        <f t="shared" si="9"/>
        <v/>
      </c>
      <c r="N263" s="6" t="str">
        <f>IF(COUNTBLANK($A263:$E263)&gt;0, "", IFERROR(AVERAGEIFS(Log!#REF!, Log!$A:$A, $A263, Log!$B:$B, $B263, Log!$C:$C, $C263),""))</f>
        <v/>
      </c>
      <c r="O263" s="6" t="str">
        <f>IF(COUNTBLANK($A263:$E263)&gt;0, "", IFERROR(_xlfn.MINIFS(Log!$F:$F, Log!$A:$A, $A263, Log!$B:$B, $B263, Log!$C:$C, $C263),""))</f>
        <v/>
      </c>
      <c r="P263" s="6" t="str">
        <f>IF(COUNTBLANK($A263:$E263)&gt;0, "", IFERROR(_xlfn.MAXIFS(Log!$F:$F, Log!$A:$A, $A263, Log!$B:$B, $B263, Log!$C:$C, $C263),""))</f>
        <v/>
      </c>
      <c r="Q263" s="6" t="str">
        <f>IF(COUNTBLANK($A263:$E263)&gt;0, "", IFERROR(AVERAGEIFS(Log!#REF!, Log!$A:$A, $A263, Log!$B:$B, $B263, Log!$C:$C, $C263),""))</f>
        <v/>
      </c>
      <c r="R263" s="6" t="str">
        <f>IF(COUNTBLANK($A263:$E263)&gt;0, "", IFERROR(_xlfn.MINIFS(Log!$G:$G, Log!$A:$A, $A263, Log!$B:$B, $B263, Log!$C:$C, $C263),""))</f>
        <v/>
      </c>
      <c r="S263" s="6" t="str">
        <f>IF(COUNTBLANK($A263:$E263)&gt;0, "", IFERROR(_xlfn.MAXIFS(Log!$G:$G, Log!$A:$A, $A263, Log!$B:$B, $B263, Log!$C:$C, $C263),""))</f>
        <v/>
      </c>
      <c r="T263" s="6"/>
      <c r="U263" s="6"/>
      <c r="CP263" s="6"/>
      <c r="CQ263" s="6"/>
    </row>
    <row r="264" spans="2:95" ht="40.049999999999997" customHeight="1" x14ac:dyDescent="0.3">
      <c r="B264" s="236" t="s">
        <v>89</v>
      </c>
      <c r="H264" s="7" t="str">
        <f>IF(COUNTBLANK($A264:$E264)&gt;0, "", IFERROR(AVERAGEIFS(Log!$E:$E, Log!$A:$A, $A264, Log!$B:$B, $B264, Log!$C:$C, $C264),""))</f>
        <v/>
      </c>
      <c r="I264" s="37" t="str">
        <f t="shared" si="9"/>
        <v/>
      </c>
      <c r="N264" s="6" t="str">
        <f>IF(COUNTBLANK($A264:$E264)&gt;0, "", IFERROR(AVERAGEIFS(Log!#REF!, Log!$A:$A, $A264, Log!$B:$B, $B264, Log!$C:$C, $C264),""))</f>
        <v/>
      </c>
      <c r="O264" s="6" t="str">
        <f>IF(COUNTBLANK($A264:$E264)&gt;0, "", IFERROR(_xlfn.MINIFS(Log!$F:$F, Log!$A:$A, $A264, Log!$B:$B, $B264, Log!$C:$C, $C264),""))</f>
        <v/>
      </c>
      <c r="P264" s="6" t="str">
        <f>IF(COUNTBLANK($A264:$E264)&gt;0, "", IFERROR(_xlfn.MAXIFS(Log!$F:$F, Log!$A:$A, $A264, Log!$B:$B, $B264, Log!$C:$C, $C264),""))</f>
        <v/>
      </c>
      <c r="Q264" s="6" t="str">
        <f>IF(COUNTBLANK($A264:$E264)&gt;0, "", IFERROR(AVERAGEIFS(Log!#REF!, Log!$A:$A, $A264, Log!$B:$B, $B264, Log!$C:$C, $C264),""))</f>
        <v/>
      </c>
      <c r="R264" s="6" t="str">
        <f>IF(COUNTBLANK($A264:$E264)&gt;0, "", IFERROR(_xlfn.MINIFS(Log!$G:$G, Log!$A:$A, $A264, Log!$B:$B, $B264, Log!$C:$C, $C264),""))</f>
        <v/>
      </c>
      <c r="S264" s="6" t="str">
        <f>IF(COUNTBLANK($A264:$E264)&gt;0, "", IFERROR(_xlfn.MAXIFS(Log!$G:$G, Log!$A:$A, $A264, Log!$B:$B, $B264, Log!$C:$C, $C264),""))</f>
        <v/>
      </c>
      <c r="T264" s="6"/>
      <c r="U264" s="6"/>
      <c r="CP264" s="6"/>
      <c r="CQ264" s="6"/>
    </row>
    <row r="265" spans="2:95" ht="40.049999999999997" customHeight="1" x14ac:dyDescent="0.3">
      <c r="B265" s="236" t="s">
        <v>89</v>
      </c>
      <c r="H265" s="7" t="str">
        <f>IF(COUNTBLANK($A265:$E265)&gt;0, "", IFERROR(AVERAGEIFS(Log!$E:$E, Log!$A:$A, $A265, Log!$B:$B, $B265, Log!$C:$C, $C265),""))</f>
        <v/>
      </c>
      <c r="I265" s="37" t="str">
        <f t="shared" si="9"/>
        <v/>
      </c>
      <c r="N265" s="6" t="str">
        <f>IF(COUNTBLANK($A265:$E265)&gt;0, "", IFERROR(AVERAGEIFS(Log!#REF!, Log!$A:$A, $A265, Log!$B:$B, $B265, Log!$C:$C, $C265),""))</f>
        <v/>
      </c>
      <c r="O265" s="6" t="str">
        <f>IF(COUNTBLANK($A265:$E265)&gt;0, "", IFERROR(_xlfn.MINIFS(Log!$F:$F, Log!$A:$A, $A265, Log!$B:$B, $B265, Log!$C:$C, $C265),""))</f>
        <v/>
      </c>
      <c r="P265" s="6" t="str">
        <f>IF(COUNTBLANK($A265:$E265)&gt;0, "", IFERROR(_xlfn.MAXIFS(Log!$F:$F, Log!$A:$A, $A265, Log!$B:$B, $B265, Log!$C:$C, $C265),""))</f>
        <v/>
      </c>
      <c r="Q265" s="6" t="str">
        <f>IF(COUNTBLANK($A265:$E265)&gt;0, "", IFERROR(AVERAGEIFS(Log!#REF!, Log!$A:$A, $A265, Log!$B:$B, $B265, Log!$C:$C, $C265),""))</f>
        <v/>
      </c>
      <c r="R265" s="6" t="str">
        <f>IF(COUNTBLANK($A265:$E265)&gt;0, "", IFERROR(_xlfn.MINIFS(Log!$G:$G, Log!$A:$A, $A265, Log!$B:$B, $B265, Log!$C:$C, $C265),""))</f>
        <v/>
      </c>
      <c r="S265" s="6" t="str">
        <f>IF(COUNTBLANK($A265:$E265)&gt;0, "", IFERROR(_xlfn.MAXIFS(Log!$G:$G, Log!$A:$A, $A265, Log!$B:$B, $B265, Log!$C:$C, $C265),""))</f>
        <v/>
      </c>
      <c r="T265" s="6"/>
      <c r="U265" s="6"/>
      <c r="CP265" s="6"/>
      <c r="CQ265" s="6"/>
    </row>
    <row r="266" spans="2:95" ht="40.049999999999997" customHeight="1" x14ac:dyDescent="0.3">
      <c r="B266" s="236" t="s">
        <v>89</v>
      </c>
      <c r="H266" s="7" t="str">
        <f>IF(COUNTBLANK($A266:$E266)&gt;0, "", IFERROR(AVERAGEIFS(Log!$E:$E, Log!$A:$A, $A266, Log!$B:$B, $B266, Log!$C:$C, $C266),""))</f>
        <v/>
      </c>
      <c r="I266" s="37" t="str">
        <f t="shared" si="9"/>
        <v/>
      </c>
      <c r="N266" s="6" t="str">
        <f>IF(COUNTBLANK($A266:$E266)&gt;0, "", IFERROR(AVERAGEIFS(Log!#REF!, Log!$A:$A, $A266, Log!$B:$B, $B266, Log!$C:$C, $C266),""))</f>
        <v/>
      </c>
      <c r="O266" s="6" t="str">
        <f>IF(COUNTBLANK($A266:$E266)&gt;0, "", IFERROR(_xlfn.MINIFS(Log!$F:$F, Log!$A:$A, $A266, Log!$B:$B, $B266, Log!$C:$C, $C266),""))</f>
        <v/>
      </c>
      <c r="P266" s="6" t="str">
        <f>IF(COUNTBLANK($A266:$E266)&gt;0, "", IFERROR(_xlfn.MAXIFS(Log!$F:$F, Log!$A:$A, $A266, Log!$B:$B, $B266, Log!$C:$C, $C266),""))</f>
        <v/>
      </c>
      <c r="Q266" s="6" t="str">
        <f>IF(COUNTBLANK($A266:$E266)&gt;0, "", IFERROR(AVERAGEIFS(Log!#REF!, Log!$A:$A, $A266, Log!$B:$B, $B266, Log!$C:$C, $C266),""))</f>
        <v/>
      </c>
      <c r="R266" s="6" t="str">
        <f>IF(COUNTBLANK($A266:$E266)&gt;0, "", IFERROR(_xlfn.MINIFS(Log!$G:$G, Log!$A:$A, $A266, Log!$B:$B, $B266, Log!$C:$C, $C266),""))</f>
        <v/>
      </c>
      <c r="S266" s="6" t="str">
        <f>IF(COUNTBLANK($A266:$E266)&gt;0, "", IFERROR(_xlfn.MAXIFS(Log!$G:$G, Log!$A:$A, $A266, Log!$B:$B, $B266, Log!$C:$C, $C266),""))</f>
        <v/>
      </c>
      <c r="T266" s="6"/>
      <c r="U266" s="6"/>
      <c r="CP266" s="6"/>
      <c r="CQ266" s="6"/>
    </row>
    <row r="267" spans="2:95" ht="40.049999999999997" customHeight="1" x14ac:dyDescent="0.3">
      <c r="B267" s="236" t="s">
        <v>89</v>
      </c>
      <c r="H267" s="7" t="str">
        <f>IF(COUNTBLANK($A267:$E267)&gt;0, "", IFERROR(AVERAGEIFS(Log!$E:$E, Log!$A:$A, $A267, Log!$B:$B, $B267, Log!$C:$C, $C267),""))</f>
        <v/>
      </c>
      <c r="I267" s="37" t="str">
        <f t="shared" si="9"/>
        <v/>
      </c>
      <c r="N267" s="6" t="str">
        <f>IF(COUNTBLANK($A267:$E267)&gt;0, "", IFERROR(AVERAGEIFS(Log!#REF!, Log!$A:$A, $A267, Log!$B:$B, $B267, Log!$C:$C, $C267),""))</f>
        <v/>
      </c>
      <c r="O267" s="6" t="str">
        <f>IF(COUNTBLANK($A267:$E267)&gt;0, "", IFERROR(_xlfn.MINIFS(Log!$F:$F, Log!$A:$A, $A267, Log!$B:$B, $B267, Log!$C:$C, $C267),""))</f>
        <v/>
      </c>
      <c r="P267" s="6" t="str">
        <f>IF(COUNTBLANK($A267:$E267)&gt;0, "", IFERROR(_xlfn.MAXIFS(Log!$F:$F, Log!$A:$A, $A267, Log!$B:$B, $B267, Log!$C:$C, $C267),""))</f>
        <v/>
      </c>
      <c r="Q267" s="6" t="str">
        <f>IF(COUNTBLANK($A267:$E267)&gt;0, "", IFERROR(AVERAGEIFS(Log!#REF!, Log!$A:$A, $A267, Log!$B:$B, $B267, Log!$C:$C, $C267),""))</f>
        <v/>
      </c>
      <c r="R267" s="6" t="str">
        <f>IF(COUNTBLANK($A267:$E267)&gt;0, "", IFERROR(_xlfn.MINIFS(Log!$G:$G, Log!$A:$A, $A267, Log!$B:$B, $B267, Log!$C:$C, $C267),""))</f>
        <v/>
      </c>
      <c r="S267" s="6" t="str">
        <f>IF(COUNTBLANK($A267:$E267)&gt;0, "", IFERROR(_xlfn.MAXIFS(Log!$G:$G, Log!$A:$A, $A267, Log!$B:$B, $B267, Log!$C:$C, $C267),""))</f>
        <v/>
      </c>
      <c r="T267" s="6"/>
      <c r="U267" s="6"/>
      <c r="CP267" s="6"/>
      <c r="CQ267" s="6"/>
    </row>
    <row r="268" spans="2:95" ht="40.049999999999997" customHeight="1" x14ac:dyDescent="0.3">
      <c r="B268" s="236" t="s">
        <v>89</v>
      </c>
      <c r="H268" s="7" t="str">
        <f>IF(COUNTBLANK($A268:$E268)&gt;0, "", IFERROR(AVERAGEIFS(Log!$E:$E, Log!$A:$A, $A268, Log!$B:$B, $B268, Log!$C:$C, $C268),""))</f>
        <v/>
      </c>
      <c r="I268" s="37" t="str">
        <f t="shared" si="9"/>
        <v/>
      </c>
      <c r="N268" s="6" t="str">
        <f>IF(COUNTBLANK($A268:$E268)&gt;0, "", IFERROR(AVERAGEIFS(Log!#REF!, Log!$A:$A, $A268, Log!$B:$B, $B268, Log!$C:$C, $C268),""))</f>
        <v/>
      </c>
      <c r="O268" s="6" t="str">
        <f>IF(COUNTBLANK($A268:$E268)&gt;0, "", IFERROR(_xlfn.MINIFS(Log!$F:$F, Log!$A:$A, $A268, Log!$B:$B, $B268, Log!$C:$C, $C268),""))</f>
        <v/>
      </c>
      <c r="P268" s="6" t="str">
        <f>IF(COUNTBLANK($A268:$E268)&gt;0, "", IFERROR(_xlfn.MAXIFS(Log!$F:$F, Log!$A:$A, $A268, Log!$B:$B, $B268, Log!$C:$C, $C268),""))</f>
        <v/>
      </c>
      <c r="Q268" s="6" t="str">
        <f>IF(COUNTBLANK($A268:$E268)&gt;0, "", IFERROR(AVERAGEIFS(Log!#REF!, Log!$A:$A, $A268, Log!$B:$B, $B268, Log!$C:$C, $C268),""))</f>
        <v/>
      </c>
      <c r="R268" s="6" t="str">
        <f>IF(COUNTBLANK($A268:$E268)&gt;0, "", IFERROR(_xlfn.MINIFS(Log!$G:$G, Log!$A:$A, $A268, Log!$B:$B, $B268, Log!$C:$C, $C268),""))</f>
        <v/>
      </c>
      <c r="S268" s="6" t="str">
        <f>IF(COUNTBLANK($A268:$E268)&gt;0, "", IFERROR(_xlfn.MAXIFS(Log!$G:$G, Log!$A:$A, $A268, Log!$B:$B, $B268, Log!$C:$C, $C268),""))</f>
        <v/>
      </c>
      <c r="T268" s="6"/>
      <c r="U268" s="6"/>
      <c r="CP268" s="6"/>
      <c r="CQ268" s="6"/>
    </row>
    <row r="269" spans="2:95" ht="40.049999999999997" customHeight="1" x14ac:dyDescent="0.3">
      <c r="B269" s="236" t="s">
        <v>89</v>
      </c>
      <c r="H269" s="7" t="str">
        <f>IF(COUNTBLANK($A269:$E269)&gt;0, "", IFERROR(AVERAGEIFS(Log!$E:$E, Log!$A:$A, $A269, Log!$B:$B, $B269, Log!$C:$C, $C269),""))</f>
        <v/>
      </c>
      <c r="I269" s="37" t="str">
        <f t="shared" si="9"/>
        <v/>
      </c>
      <c r="N269" s="6" t="str">
        <f>IF(COUNTBLANK($A269:$E269)&gt;0, "", IFERROR(AVERAGEIFS(Log!#REF!, Log!$A:$A, $A269, Log!$B:$B, $B269, Log!$C:$C, $C269),""))</f>
        <v/>
      </c>
      <c r="O269" s="6" t="str">
        <f>IF(COUNTBLANK($A269:$E269)&gt;0, "", IFERROR(_xlfn.MINIFS(Log!$F:$F, Log!$A:$A, $A269, Log!$B:$B, $B269, Log!$C:$C, $C269),""))</f>
        <v/>
      </c>
      <c r="P269" s="6" t="str">
        <f>IF(COUNTBLANK($A269:$E269)&gt;0, "", IFERROR(_xlfn.MAXIFS(Log!$F:$F, Log!$A:$A, $A269, Log!$B:$B, $B269, Log!$C:$C, $C269),""))</f>
        <v/>
      </c>
      <c r="Q269" s="6" t="str">
        <f>IF(COUNTBLANK($A269:$E269)&gt;0, "", IFERROR(AVERAGEIFS(Log!#REF!, Log!$A:$A, $A269, Log!$B:$B, $B269, Log!$C:$C, $C269),""))</f>
        <v/>
      </c>
      <c r="R269" s="6" t="str">
        <f>IF(COUNTBLANK($A269:$E269)&gt;0, "", IFERROR(_xlfn.MINIFS(Log!$G:$G, Log!$A:$A, $A269, Log!$B:$B, $B269, Log!$C:$C, $C269),""))</f>
        <v/>
      </c>
      <c r="S269" s="6" t="str">
        <f>IF(COUNTBLANK($A269:$E269)&gt;0, "", IFERROR(_xlfn.MAXIFS(Log!$G:$G, Log!$A:$A, $A269, Log!$B:$B, $B269, Log!$C:$C, $C269),""))</f>
        <v/>
      </c>
      <c r="T269" s="6"/>
      <c r="U269" s="6"/>
      <c r="CP269" s="6"/>
      <c r="CQ269" s="6"/>
    </row>
    <row r="270" spans="2:95" ht="40.049999999999997" customHeight="1" x14ac:dyDescent="0.3">
      <c r="B270" s="236" t="s">
        <v>89</v>
      </c>
      <c r="H270" s="7" t="str">
        <f>IF(COUNTBLANK($A270:$E270)&gt;0, "", IFERROR(AVERAGEIFS(Log!$E:$E, Log!$A:$A, $A270, Log!$B:$B, $B270, Log!$C:$C, $C270),""))</f>
        <v/>
      </c>
      <c r="I270" s="37" t="str">
        <f t="shared" si="9"/>
        <v/>
      </c>
      <c r="N270" s="6" t="str">
        <f>IF(COUNTBLANK($A270:$E270)&gt;0, "", IFERROR(AVERAGEIFS(Log!#REF!, Log!$A:$A, $A270, Log!$B:$B, $B270, Log!$C:$C, $C270),""))</f>
        <v/>
      </c>
      <c r="O270" s="6" t="str">
        <f>IF(COUNTBLANK($A270:$E270)&gt;0, "", IFERROR(_xlfn.MINIFS(Log!$F:$F, Log!$A:$A, $A270, Log!$B:$B, $B270, Log!$C:$C, $C270),""))</f>
        <v/>
      </c>
      <c r="P270" s="6" t="str">
        <f>IF(COUNTBLANK($A270:$E270)&gt;0, "", IFERROR(_xlfn.MAXIFS(Log!$F:$F, Log!$A:$A, $A270, Log!$B:$B, $B270, Log!$C:$C, $C270),""))</f>
        <v/>
      </c>
      <c r="Q270" s="6" t="str">
        <f>IF(COUNTBLANK($A270:$E270)&gt;0, "", IFERROR(AVERAGEIFS(Log!#REF!, Log!$A:$A, $A270, Log!$B:$B, $B270, Log!$C:$C, $C270),""))</f>
        <v/>
      </c>
      <c r="R270" s="6" t="str">
        <f>IF(COUNTBLANK($A270:$E270)&gt;0, "", IFERROR(_xlfn.MINIFS(Log!$G:$G, Log!$A:$A, $A270, Log!$B:$B, $B270, Log!$C:$C, $C270),""))</f>
        <v/>
      </c>
      <c r="S270" s="6" t="str">
        <f>IF(COUNTBLANK($A270:$E270)&gt;0, "", IFERROR(_xlfn.MAXIFS(Log!$G:$G, Log!$A:$A, $A270, Log!$B:$B, $B270, Log!$C:$C, $C270),""))</f>
        <v/>
      </c>
      <c r="T270" s="6"/>
      <c r="U270" s="6"/>
      <c r="CP270" s="6"/>
      <c r="CQ270" s="6"/>
    </row>
    <row r="271" spans="2:95" ht="40.049999999999997" customHeight="1" x14ac:dyDescent="0.3">
      <c r="B271" s="236" t="s">
        <v>89</v>
      </c>
      <c r="H271" s="7" t="str">
        <f>IF(COUNTBLANK($A271:$E271)&gt;0, "", IFERROR(AVERAGEIFS(Log!$E:$E, Log!$A:$A, $A271, Log!$B:$B, $B271, Log!$C:$C, $C271),""))</f>
        <v/>
      </c>
      <c r="I271" s="37" t="str">
        <f t="shared" si="9"/>
        <v/>
      </c>
      <c r="N271" s="6" t="str">
        <f>IF(COUNTBLANK($A271:$E271)&gt;0, "", IFERROR(AVERAGEIFS(Log!#REF!, Log!$A:$A, $A271, Log!$B:$B, $B271, Log!$C:$C, $C271),""))</f>
        <v/>
      </c>
      <c r="O271" s="6" t="str">
        <f>IF(COUNTBLANK($A271:$E271)&gt;0, "", IFERROR(_xlfn.MINIFS(Log!$F:$F, Log!$A:$A, $A271, Log!$B:$B, $B271, Log!$C:$C, $C271),""))</f>
        <v/>
      </c>
      <c r="P271" s="6" t="str">
        <f>IF(COUNTBLANK($A271:$E271)&gt;0, "", IFERROR(_xlfn.MAXIFS(Log!$F:$F, Log!$A:$A, $A271, Log!$B:$B, $B271, Log!$C:$C, $C271),""))</f>
        <v/>
      </c>
      <c r="Q271" s="6" t="str">
        <f>IF(COUNTBLANK($A271:$E271)&gt;0, "", IFERROR(AVERAGEIFS(Log!#REF!, Log!$A:$A, $A271, Log!$B:$B, $B271, Log!$C:$C, $C271),""))</f>
        <v/>
      </c>
      <c r="R271" s="6" t="str">
        <f>IF(COUNTBLANK($A271:$E271)&gt;0, "", IFERROR(_xlfn.MINIFS(Log!$G:$G, Log!$A:$A, $A271, Log!$B:$B, $B271, Log!$C:$C, $C271),""))</f>
        <v/>
      </c>
      <c r="S271" s="6" t="str">
        <f>IF(COUNTBLANK($A271:$E271)&gt;0, "", IFERROR(_xlfn.MAXIFS(Log!$G:$G, Log!$A:$A, $A271, Log!$B:$B, $B271, Log!$C:$C, $C271),""))</f>
        <v/>
      </c>
      <c r="T271" s="6"/>
      <c r="U271" s="6"/>
      <c r="CP271" s="6"/>
      <c r="CQ271" s="6"/>
    </row>
    <row r="272" spans="2:95" ht="40.049999999999997" customHeight="1" x14ac:dyDescent="0.3">
      <c r="B272" s="236" t="s">
        <v>89</v>
      </c>
      <c r="H272" s="7" t="str">
        <f>IF(COUNTBLANK($A272:$E272)&gt;0, "", IFERROR(AVERAGEIFS(Log!$E:$E, Log!$A:$A, $A272, Log!$B:$B, $B272, Log!$C:$C, $C272),""))</f>
        <v/>
      </c>
      <c r="I272" s="37" t="str">
        <f t="shared" si="9"/>
        <v/>
      </c>
      <c r="N272" s="6" t="str">
        <f>IF(COUNTBLANK($A272:$E272)&gt;0, "", IFERROR(AVERAGEIFS(Log!#REF!, Log!$A:$A, $A272, Log!$B:$B, $B272, Log!$C:$C, $C272),""))</f>
        <v/>
      </c>
      <c r="O272" s="6" t="str">
        <f>IF(COUNTBLANK($A272:$E272)&gt;0, "", IFERROR(_xlfn.MINIFS(Log!$F:$F, Log!$A:$A, $A272, Log!$B:$B, $B272, Log!$C:$C, $C272),""))</f>
        <v/>
      </c>
      <c r="P272" s="6" t="str">
        <f>IF(COUNTBLANK($A272:$E272)&gt;0, "", IFERROR(_xlfn.MAXIFS(Log!$F:$F, Log!$A:$A, $A272, Log!$B:$B, $B272, Log!$C:$C, $C272),""))</f>
        <v/>
      </c>
      <c r="Q272" s="6" t="str">
        <f>IF(COUNTBLANK($A272:$E272)&gt;0, "", IFERROR(AVERAGEIFS(Log!#REF!, Log!$A:$A, $A272, Log!$B:$B, $B272, Log!$C:$C, $C272),""))</f>
        <v/>
      </c>
      <c r="R272" s="6" t="str">
        <f>IF(COUNTBLANK($A272:$E272)&gt;0, "", IFERROR(_xlfn.MINIFS(Log!$G:$G, Log!$A:$A, $A272, Log!$B:$B, $B272, Log!$C:$C, $C272),""))</f>
        <v/>
      </c>
      <c r="S272" s="6" t="str">
        <f>IF(COUNTBLANK($A272:$E272)&gt;0, "", IFERROR(_xlfn.MAXIFS(Log!$G:$G, Log!$A:$A, $A272, Log!$B:$B, $B272, Log!$C:$C, $C272),""))</f>
        <v/>
      </c>
      <c r="T272" s="6"/>
      <c r="U272" s="6"/>
      <c r="CP272" s="6"/>
      <c r="CQ272" s="6"/>
    </row>
    <row r="273" spans="2:95" ht="40.049999999999997" customHeight="1" x14ac:dyDescent="0.3">
      <c r="B273" s="236" t="s">
        <v>89</v>
      </c>
      <c r="H273" s="7" t="str">
        <f>IF(COUNTBLANK($A273:$E273)&gt;0, "", IFERROR(AVERAGEIFS(Log!$E:$E, Log!$A:$A, $A273, Log!$B:$B, $B273, Log!$C:$C, $C273),""))</f>
        <v/>
      </c>
      <c r="I273" s="37" t="str">
        <f t="shared" si="9"/>
        <v/>
      </c>
      <c r="N273" s="6" t="str">
        <f>IF(COUNTBLANK($A273:$E273)&gt;0, "", IFERROR(AVERAGEIFS(Log!#REF!, Log!$A:$A, $A273, Log!$B:$B, $B273, Log!$C:$C, $C273),""))</f>
        <v/>
      </c>
      <c r="O273" s="6" t="str">
        <f>IF(COUNTBLANK($A273:$E273)&gt;0, "", IFERROR(_xlfn.MINIFS(Log!$F:$F, Log!$A:$A, $A273, Log!$B:$B, $B273, Log!$C:$C, $C273),""))</f>
        <v/>
      </c>
      <c r="P273" s="6" t="str">
        <f>IF(COUNTBLANK($A273:$E273)&gt;0, "", IFERROR(_xlfn.MAXIFS(Log!$F:$F, Log!$A:$A, $A273, Log!$B:$B, $B273, Log!$C:$C, $C273),""))</f>
        <v/>
      </c>
      <c r="Q273" s="6" t="str">
        <f>IF(COUNTBLANK($A273:$E273)&gt;0, "", IFERROR(AVERAGEIFS(Log!#REF!, Log!$A:$A, $A273, Log!$B:$B, $B273, Log!$C:$C, $C273),""))</f>
        <v/>
      </c>
      <c r="R273" s="6" t="str">
        <f>IF(COUNTBLANK($A273:$E273)&gt;0, "", IFERROR(_xlfn.MINIFS(Log!$G:$G, Log!$A:$A, $A273, Log!$B:$B, $B273, Log!$C:$C, $C273),""))</f>
        <v/>
      </c>
      <c r="S273" s="6" t="str">
        <f>IF(COUNTBLANK($A273:$E273)&gt;0, "", IFERROR(_xlfn.MAXIFS(Log!$G:$G, Log!$A:$A, $A273, Log!$B:$B, $B273, Log!$C:$C, $C273),""))</f>
        <v/>
      </c>
      <c r="T273" s="6"/>
      <c r="U273" s="6"/>
      <c r="CP273" s="6"/>
      <c r="CQ273" s="6"/>
    </row>
    <row r="274" spans="2:95" ht="40.049999999999997" customHeight="1" x14ac:dyDescent="0.3">
      <c r="B274" s="236" t="s">
        <v>89</v>
      </c>
      <c r="H274" s="7" t="str">
        <f>IF(COUNTBLANK($A274:$E274)&gt;0, "", IFERROR(AVERAGEIFS(Log!$E:$E, Log!$A:$A, $A274, Log!$B:$B, $B274, Log!$C:$C, $C274),""))</f>
        <v/>
      </c>
      <c r="I274" s="37" t="str">
        <f t="shared" si="9"/>
        <v/>
      </c>
      <c r="N274" s="6" t="str">
        <f>IF(COUNTBLANK($A274:$E274)&gt;0, "", IFERROR(AVERAGEIFS(Log!#REF!, Log!$A:$A, $A274, Log!$B:$B, $B274, Log!$C:$C, $C274),""))</f>
        <v/>
      </c>
      <c r="O274" s="6" t="str">
        <f>IF(COUNTBLANK($A274:$E274)&gt;0, "", IFERROR(_xlfn.MINIFS(Log!$F:$F, Log!$A:$A, $A274, Log!$B:$B, $B274, Log!$C:$C, $C274),""))</f>
        <v/>
      </c>
      <c r="P274" s="6" t="str">
        <f>IF(COUNTBLANK($A274:$E274)&gt;0, "", IFERROR(_xlfn.MAXIFS(Log!$F:$F, Log!$A:$A, $A274, Log!$B:$B, $B274, Log!$C:$C, $C274),""))</f>
        <v/>
      </c>
      <c r="Q274" s="6" t="str">
        <f>IF(COUNTBLANK($A274:$E274)&gt;0, "", IFERROR(AVERAGEIFS(Log!#REF!, Log!$A:$A, $A274, Log!$B:$B, $B274, Log!$C:$C, $C274),""))</f>
        <v/>
      </c>
      <c r="R274" s="6" t="str">
        <f>IF(COUNTBLANK($A274:$E274)&gt;0, "", IFERROR(_xlfn.MINIFS(Log!$G:$G, Log!$A:$A, $A274, Log!$B:$B, $B274, Log!$C:$C, $C274),""))</f>
        <v/>
      </c>
      <c r="S274" s="6" t="str">
        <f>IF(COUNTBLANK($A274:$E274)&gt;0, "", IFERROR(_xlfn.MAXIFS(Log!$G:$G, Log!$A:$A, $A274, Log!$B:$B, $B274, Log!$C:$C, $C274),""))</f>
        <v/>
      </c>
      <c r="T274" s="6"/>
      <c r="U274" s="6"/>
      <c r="CP274" s="6"/>
      <c r="CQ274" s="6"/>
    </row>
    <row r="275" spans="2:95" ht="40.049999999999997" customHeight="1" x14ac:dyDescent="0.3">
      <c r="B275" s="236" t="s">
        <v>89</v>
      </c>
      <c r="H275" s="7" t="str">
        <f>IF(COUNTBLANK($A275:$E275)&gt;0, "", IFERROR(AVERAGEIFS(Log!$E:$E, Log!$A:$A, $A275, Log!$B:$B, $B275, Log!$C:$C, $C275),""))</f>
        <v/>
      </c>
      <c r="I275" s="37" t="str">
        <f t="shared" si="9"/>
        <v/>
      </c>
      <c r="N275" s="6" t="str">
        <f>IF(COUNTBLANK($A275:$E275)&gt;0, "", IFERROR(AVERAGEIFS(Log!#REF!, Log!$A:$A, $A275, Log!$B:$B, $B275, Log!$C:$C, $C275),""))</f>
        <v/>
      </c>
      <c r="O275" s="6" t="str">
        <f>IF(COUNTBLANK($A275:$E275)&gt;0, "", IFERROR(_xlfn.MINIFS(Log!$F:$F, Log!$A:$A, $A275, Log!$B:$B, $B275, Log!$C:$C, $C275),""))</f>
        <v/>
      </c>
      <c r="P275" s="6" t="str">
        <f>IF(COUNTBLANK($A275:$E275)&gt;0, "", IFERROR(_xlfn.MAXIFS(Log!$F:$F, Log!$A:$A, $A275, Log!$B:$B, $B275, Log!$C:$C, $C275),""))</f>
        <v/>
      </c>
      <c r="Q275" s="6" t="str">
        <f>IF(COUNTBLANK($A275:$E275)&gt;0, "", IFERROR(AVERAGEIFS(Log!#REF!, Log!$A:$A, $A275, Log!$B:$B, $B275, Log!$C:$C, $C275),""))</f>
        <v/>
      </c>
      <c r="R275" s="6" t="str">
        <f>IF(COUNTBLANK($A275:$E275)&gt;0, "", IFERROR(_xlfn.MINIFS(Log!$G:$G, Log!$A:$A, $A275, Log!$B:$B, $B275, Log!$C:$C, $C275),""))</f>
        <v/>
      </c>
      <c r="S275" s="6" t="str">
        <f>IF(COUNTBLANK($A275:$E275)&gt;0, "", IFERROR(_xlfn.MAXIFS(Log!$G:$G, Log!$A:$A, $A275, Log!$B:$B, $B275, Log!$C:$C, $C275),""))</f>
        <v/>
      </c>
      <c r="T275" s="6"/>
      <c r="U275" s="6"/>
      <c r="CP275" s="6"/>
      <c r="CQ275" s="6"/>
    </row>
    <row r="276" spans="2:95" ht="40.049999999999997" customHeight="1" x14ac:dyDescent="0.3">
      <c r="B276" s="236" t="s">
        <v>89</v>
      </c>
      <c r="H276" s="7" t="str">
        <f>IF(COUNTBLANK($A276:$E276)&gt;0, "", IFERROR(AVERAGEIFS(Log!$E:$E, Log!$A:$A, $A276, Log!$B:$B, $B276, Log!$C:$C, $C276),""))</f>
        <v/>
      </c>
      <c r="I276" s="37" t="str">
        <f t="shared" si="9"/>
        <v/>
      </c>
      <c r="N276" s="6" t="str">
        <f>IF(COUNTBLANK($A276:$E276)&gt;0, "", IFERROR(AVERAGEIFS(Log!#REF!, Log!$A:$A, $A276, Log!$B:$B, $B276, Log!$C:$C, $C276),""))</f>
        <v/>
      </c>
      <c r="O276" s="6" t="str">
        <f>IF(COUNTBLANK($A276:$E276)&gt;0, "", IFERROR(_xlfn.MINIFS(Log!$F:$F, Log!$A:$A, $A276, Log!$B:$B, $B276, Log!$C:$C, $C276),""))</f>
        <v/>
      </c>
      <c r="P276" s="6" t="str">
        <f>IF(COUNTBLANK($A276:$E276)&gt;0, "", IFERROR(_xlfn.MAXIFS(Log!$F:$F, Log!$A:$A, $A276, Log!$B:$B, $B276, Log!$C:$C, $C276),""))</f>
        <v/>
      </c>
      <c r="Q276" s="6" t="str">
        <f>IF(COUNTBLANK($A276:$E276)&gt;0, "", IFERROR(AVERAGEIFS(Log!#REF!, Log!$A:$A, $A276, Log!$B:$B, $B276, Log!$C:$C, $C276),""))</f>
        <v/>
      </c>
      <c r="R276" s="6" t="str">
        <f>IF(COUNTBLANK($A276:$E276)&gt;0, "", IFERROR(_xlfn.MINIFS(Log!$G:$G, Log!$A:$A, $A276, Log!$B:$B, $B276, Log!$C:$C, $C276),""))</f>
        <v/>
      </c>
      <c r="S276" s="6" t="str">
        <f>IF(COUNTBLANK($A276:$E276)&gt;0, "", IFERROR(_xlfn.MAXIFS(Log!$G:$G, Log!$A:$A, $A276, Log!$B:$B, $B276, Log!$C:$C, $C276),""))</f>
        <v/>
      </c>
      <c r="T276" s="6"/>
      <c r="U276" s="6"/>
      <c r="CP276" s="6"/>
      <c r="CQ276" s="6"/>
    </row>
    <row r="277" spans="2:95" ht="40.049999999999997" customHeight="1" x14ac:dyDescent="0.3">
      <c r="B277" s="236" t="s">
        <v>89</v>
      </c>
      <c r="H277" s="7" t="str">
        <f>IF(COUNTBLANK($A277:$E277)&gt;0, "", IFERROR(AVERAGEIFS(Log!$E:$E, Log!$A:$A, $A277, Log!$B:$B, $B277, Log!$C:$C, $C277),""))</f>
        <v/>
      </c>
      <c r="I277" s="37" t="str">
        <f t="shared" si="9"/>
        <v/>
      </c>
      <c r="N277" s="6" t="str">
        <f>IF(COUNTBLANK($A277:$E277)&gt;0, "", IFERROR(AVERAGEIFS(Log!#REF!, Log!$A:$A, $A277, Log!$B:$B, $B277, Log!$C:$C, $C277),""))</f>
        <v/>
      </c>
      <c r="O277" s="6" t="str">
        <f>IF(COUNTBLANK($A277:$E277)&gt;0, "", IFERROR(_xlfn.MINIFS(Log!$F:$F, Log!$A:$A, $A277, Log!$B:$B, $B277, Log!$C:$C, $C277),""))</f>
        <v/>
      </c>
      <c r="P277" s="6" t="str">
        <f>IF(COUNTBLANK($A277:$E277)&gt;0, "", IFERROR(_xlfn.MAXIFS(Log!$F:$F, Log!$A:$A, $A277, Log!$B:$B, $B277, Log!$C:$C, $C277),""))</f>
        <v/>
      </c>
      <c r="Q277" s="6" t="str">
        <f>IF(COUNTBLANK($A277:$E277)&gt;0, "", IFERROR(AVERAGEIFS(Log!#REF!, Log!$A:$A, $A277, Log!$B:$B, $B277, Log!$C:$C, $C277),""))</f>
        <v/>
      </c>
      <c r="R277" s="6" t="str">
        <f>IF(COUNTBLANK($A277:$E277)&gt;0, "", IFERROR(_xlfn.MINIFS(Log!$G:$G, Log!$A:$A, $A277, Log!$B:$B, $B277, Log!$C:$C, $C277),""))</f>
        <v/>
      </c>
      <c r="S277" s="6" t="str">
        <f>IF(COUNTBLANK($A277:$E277)&gt;0, "", IFERROR(_xlfn.MAXIFS(Log!$G:$G, Log!$A:$A, $A277, Log!$B:$B, $B277, Log!$C:$C, $C277),""))</f>
        <v/>
      </c>
      <c r="T277" s="6"/>
      <c r="U277" s="6"/>
      <c r="CP277" s="6"/>
      <c r="CQ277" s="6"/>
    </row>
    <row r="278" spans="2:95" ht="40.049999999999997" customHeight="1" x14ac:dyDescent="0.3">
      <c r="B278" s="236" t="s">
        <v>89</v>
      </c>
      <c r="H278" s="7" t="str">
        <f>IF(COUNTBLANK($A278:$E278)&gt;0, "", IFERROR(AVERAGEIFS(Log!$E:$E, Log!$A:$A, $A278, Log!$B:$B, $B278, Log!$C:$C, $C278),""))</f>
        <v/>
      </c>
      <c r="I278" s="37" t="str">
        <f t="shared" si="9"/>
        <v/>
      </c>
      <c r="N278" s="6" t="str">
        <f>IF(COUNTBLANK($A278:$E278)&gt;0, "", IFERROR(AVERAGEIFS(Log!#REF!, Log!$A:$A, $A278, Log!$B:$B, $B278, Log!$C:$C, $C278),""))</f>
        <v/>
      </c>
      <c r="O278" s="6" t="str">
        <f>IF(COUNTBLANK($A278:$E278)&gt;0, "", IFERROR(_xlfn.MINIFS(Log!$F:$F, Log!$A:$A, $A278, Log!$B:$B, $B278, Log!$C:$C, $C278),""))</f>
        <v/>
      </c>
      <c r="P278" s="6" t="str">
        <f>IF(COUNTBLANK($A278:$E278)&gt;0, "", IFERROR(_xlfn.MAXIFS(Log!$F:$F, Log!$A:$A, $A278, Log!$B:$B, $B278, Log!$C:$C, $C278),""))</f>
        <v/>
      </c>
      <c r="Q278" s="6" t="str">
        <f>IF(COUNTBLANK($A278:$E278)&gt;0, "", IFERROR(AVERAGEIFS(Log!#REF!, Log!$A:$A, $A278, Log!$B:$B, $B278, Log!$C:$C, $C278),""))</f>
        <v/>
      </c>
      <c r="R278" s="6" t="str">
        <f>IF(COUNTBLANK($A278:$E278)&gt;0, "", IFERROR(_xlfn.MINIFS(Log!$G:$G, Log!$A:$A, $A278, Log!$B:$B, $B278, Log!$C:$C, $C278),""))</f>
        <v/>
      </c>
      <c r="S278" s="6" t="str">
        <f>IF(COUNTBLANK($A278:$E278)&gt;0, "", IFERROR(_xlfn.MAXIFS(Log!$G:$G, Log!$A:$A, $A278, Log!$B:$B, $B278, Log!$C:$C, $C278),""))</f>
        <v/>
      </c>
      <c r="T278" s="6"/>
      <c r="U278" s="6"/>
      <c r="CP278" s="6"/>
      <c r="CQ278" s="6"/>
    </row>
    <row r="279" spans="2:95" ht="40.049999999999997" customHeight="1" x14ac:dyDescent="0.3">
      <c r="B279" s="236" t="s">
        <v>89</v>
      </c>
      <c r="H279" s="7" t="str">
        <f>IF(COUNTBLANK($A279:$E279)&gt;0, "", IFERROR(AVERAGEIFS(Log!$E:$E, Log!$A:$A, $A279, Log!$B:$B, $B279, Log!$C:$C, $C279),""))</f>
        <v/>
      </c>
      <c r="I279" s="37" t="str">
        <f t="shared" si="9"/>
        <v/>
      </c>
      <c r="N279" s="6" t="str">
        <f>IF(COUNTBLANK($A279:$E279)&gt;0, "", IFERROR(AVERAGEIFS(Log!#REF!, Log!$A:$A, $A279, Log!$B:$B, $B279, Log!$C:$C, $C279),""))</f>
        <v/>
      </c>
      <c r="O279" s="6" t="str">
        <f>IF(COUNTBLANK($A279:$E279)&gt;0, "", IFERROR(_xlfn.MINIFS(Log!$F:$F, Log!$A:$A, $A279, Log!$B:$B, $B279, Log!$C:$C, $C279),""))</f>
        <v/>
      </c>
      <c r="P279" s="6" t="str">
        <f>IF(COUNTBLANK($A279:$E279)&gt;0, "", IFERROR(_xlfn.MAXIFS(Log!$F:$F, Log!$A:$A, $A279, Log!$B:$B, $B279, Log!$C:$C, $C279),""))</f>
        <v/>
      </c>
      <c r="Q279" s="6" t="str">
        <f>IF(COUNTBLANK($A279:$E279)&gt;0, "", IFERROR(AVERAGEIFS(Log!#REF!, Log!$A:$A, $A279, Log!$B:$B, $B279, Log!$C:$C, $C279),""))</f>
        <v/>
      </c>
      <c r="R279" s="6" t="str">
        <f>IF(COUNTBLANK($A279:$E279)&gt;0, "", IFERROR(_xlfn.MINIFS(Log!$G:$G, Log!$A:$A, $A279, Log!$B:$B, $B279, Log!$C:$C, $C279),""))</f>
        <v/>
      </c>
      <c r="S279" s="6" t="str">
        <f>IF(COUNTBLANK($A279:$E279)&gt;0, "", IFERROR(_xlfn.MAXIFS(Log!$G:$G, Log!$A:$A, $A279, Log!$B:$B, $B279, Log!$C:$C, $C279),""))</f>
        <v/>
      </c>
      <c r="T279" s="6"/>
      <c r="U279" s="6"/>
      <c r="CP279" s="6"/>
      <c r="CQ279" s="6"/>
    </row>
    <row r="280" spans="2:95" ht="40.049999999999997" customHeight="1" x14ac:dyDescent="0.3">
      <c r="B280" s="236" t="s">
        <v>89</v>
      </c>
      <c r="H280" s="7" t="str">
        <f>IF(COUNTBLANK($A280:$E280)&gt;0, "", IFERROR(AVERAGEIFS(Log!$E:$E, Log!$A:$A, $A280, Log!$B:$B, $B280, Log!$C:$C, $C280),""))</f>
        <v/>
      </c>
      <c r="I280" s="37" t="str">
        <f t="shared" si="9"/>
        <v/>
      </c>
      <c r="N280" s="6" t="str">
        <f>IF(COUNTBLANK($A280:$E280)&gt;0, "", IFERROR(AVERAGEIFS(Log!#REF!, Log!$A:$A, $A280, Log!$B:$B, $B280, Log!$C:$C, $C280),""))</f>
        <v/>
      </c>
      <c r="O280" s="6" t="str">
        <f>IF(COUNTBLANK($A280:$E280)&gt;0, "", IFERROR(_xlfn.MINIFS(Log!$F:$F, Log!$A:$A, $A280, Log!$B:$B, $B280, Log!$C:$C, $C280),""))</f>
        <v/>
      </c>
      <c r="P280" s="6" t="str">
        <f>IF(COUNTBLANK($A280:$E280)&gt;0, "", IFERROR(_xlfn.MAXIFS(Log!$F:$F, Log!$A:$A, $A280, Log!$B:$B, $B280, Log!$C:$C, $C280),""))</f>
        <v/>
      </c>
      <c r="Q280" s="6" t="str">
        <f>IF(COUNTBLANK($A280:$E280)&gt;0, "", IFERROR(AVERAGEIFS(Log!#REF!, Log!$A:$A, $A280, Log!$B:$B, $B280, Log!$C:$C, $C280),""))</f>
        <v/>
      </c>
      <c r="R280" s="6" t="str">
        <f>IF(COUNTBLANK($A280:$E280)&gt;0, "", IFERROR(_xlfn.MINIFS(Log!$G:$G, Log!$A:$A, $A280, Log!$B:$B, $B280, Log!$C:$C, $C280),""))</f>
        <v/>
      </c>
      <c r="S280" s="6" t="str">
        <f>IF(COUNTBLANK($A280:$E280)&gt;0, "", IFERROR(_xlfn.MAXIFS(Log!$G:$G, Log!$A:$A, $A280, Log!$B:$B, $B280, Log!$C:$C, $C280),""))</f>
        <v/>
      </c>
      <c r="T280" s="6"/>
      <c r="U280" s="6"/>
      <c r="CP280" s="6"/>
      <c r="CQ280" s="6"/>
    </row>
    <row r="281" spans="2:95" ht="40.049999999999997" customHeight="1" x14ac:dyDescent="0.3">
      <c r="B281" s="236" t="s">
        <v>89</v>
      </c>
      <c r="H281" s="7" t="str">
        <f>IF(COUNTBLANK($A281:$E281)&gt;0, "", IFERROR(AVERAGEIFS(Log!$E:$E, Log!$A:$A, $A281, Log!$B:$B, $B281, Log!$C:$C, $C281),""))</f>
        <v/>
      </c>
      <c r="I281" s="37" t="str">
        <f t="shared" si="9"/>
        <v/>
      </c>
      <c r="N281" s="6" t="str">
        <f>IF(COUNTBLANK($A281:$E281)&gt;0, "", IFERROR(AVERAGEIFS(Log!#REF!, Log!$A:$A, $A281, Log!$B:$B, $B281, Log!$C:$C, $C281),""))</f>
        <v/>
      </c>
      <c r="O281" s="6" t="str">
        <f>IF(COUNTBLANK($A281:$E281)&gt;0, "", IFERROR(_xlfn.MINIFS(Log!$F:$F, Log!$A:$A, $A281, Log!$B:$B, $B281, Log!$C:$C, $C281),""))</f>
        <v/>
      </c>
      <c r="P281" s="6" t="str">
        <f>IF(COUNTBLANK($A281:$E281)&gt;0, "", IFERROR(_xlfn.MAXIFS(Log!$F:$F, Log!$A:$A, $A281, Log!$B:$B, $B281, Log!$C:$C, $C281),""))</f>
        <v/>
      </c>
      <c r="Q281" s="6" t="str">
        <f>IF(COUNTBLANK($A281:$E281)&gt;0, "", IFERROR(AVERAGEIFS(Log!#REF!, Log!$A:$A, $A281, Log!$B:$B, $B281, Log!$C:$C, $C281),""))</f>
        <v/>
      </c>
      <c r="R281" s="6" t="str">
        <f>IF(COUNTBLANK($A281:$E281)&gt;0, "", IFERROR(_xlfn.MINIFS(Log!$G:$G, Log!$A:$A, $A281, Log!$B:$B, $B281, Log!$C:$C, $C281),""))</f>
        <v/>
      </c>
      <c r="S281" s="6" t="str">
        <f>IF(COUNTBLANK($A281:$E281)&gt;0, "", IFERROR(_xlfn.MAXIFS(Log!$G:$G, Log!$A:$A, $A281, Log!$B:$B, $B281, Log!$C:$C, $C281),""))</f>
        <v/>
      </c>
      <c r="T281" s="6"/>
      <c r="U281" s="6"/>
      <c r="CP281" s="6"/>
      <c r="CQ281" s="6"/>
    </row>
    <row r="282" spans="2:95" ht="40.049999999999997" customHeight="1" x14ac:dyDescent="0.3">
      <c r="B282" s="236" t="s">
        <v>89</v>
      </c>
      <c r="H282" s="7" t="str">
        <f>IF(COUNTBLANK($A282:$E282)&gt;0, "", IFERROR(AVERAGEIFS(Log!$E:$E, Log!$A:$A, $A282, Log!$B:$B, $B282, Log!$C:$C, $C282),""))</f>
        <v/>
      </c>
      <c r="I282" s="37" t="str">
        <f t="shared" si="9"/>
        <v/>
      </c>
      <c r="N282" s="6" t="str">
        <f>IF(COUNTBLANK($A282:$E282)&gt;0, "", IFERROR(AVERAGEIFS(Log!#REF!, Log!$A:$A, $A282, Log!$B:$B, $B282, Log!$C:$C, $C282),""))</f>
        <v/>
      </c>
      <c r="O282" s="6" t="str">
        <f>IF(COUNTBLANK($A282:$E282)&gt;0, "", IFERROR(_xlfn.MINIFS(Log!$F:$F, Log!$A:$A, $A282, Log!$B:$B, $B282, Log!$C:$C, $C282),""))</f>
        <v/>
      </c>
      <c r="P282" s="6" t="str">
        <f>IF(COUNTBLANK($A282:$E282)&gt;0, "", IFERROR(_xlfn.MAXIFS(Log!$F:$F, Log!$A:$A, $A282, Log!$B:$B, $B282, Log!$C:$C, $C282),""))</f>
        <v/>
      </c>
      <c r="Q282" s="6" t="str">
        <f>IF(COUNTBLANK($A282:$E282)&gt;0, "", IFERROR(AVERAGEIFS(Log!#REF!, Log!$A:$A, $A282, Log!$B:$B, $B282, Log!$C:$C, $C282),""))</f>
        <v/>
      </c>
      <c r="R282" s="6" t="str">
        <f>IF(COUNTBLANK($A282:$E282)&gt;0, "", IFERROR(_xlfn.MINIFS(Log!$G:$G, Log!$A:$A, $A282, Log!$B:$B, $B282, Log!$C:$C, $C282),""))</f>
        <v/>
      </c>
      <c r="S282" s="6" t="str">
        <f>IF(COUNTBLANK($A282:$E282)&gt;0, "", IFERROR(_xlfn.MAXIFS(Log!$G:$G, Log!$A:$A, $A282, Log!$B:$B, $B282, Log!$C:$C, $C282),""))</f>
        <v/>
      </c>
      <c r="T282" s="6"/>
      <c r="U282" s="6"/>
      <c r="CP282" s="6"/>
      <c r="CQ282" s="6"/>
    </row>
    <row r="283" spans="2:95" ht="40.049999999999997" customHeight="1" x14ac:dyDescent="0.3">
      <c r="B283" s="236" t="s">
        <v>89</v>
      </c>
      <c r="H283" s="7" t="str">
        <f>IF(COUNTBLANK($A283:$E283)&gt;0, "", IFERROR(AVERAGEIFS(Log!$E:$E, Log!$A:$A, $A283, Log!$B:$B, $B283, Log!$C:$C, $C283),""))</f>
        <v/>
      </c>
      <c r="I283" s="37" t="str">
        <f t="shared" si="9"/>
        <v/>
      </c>
      <c r="N283" s="6" t="str">
        <f>IF(COUNTBLANK($A283:$E283)&gt;0, "", IFERROR(AVERAGEIFS(Log!#REF!, Log!$A:$A, $A283, Log!$B:$B, $B283, Log!$C:$C, $C283),""))</f>
        <v/>
      </c>
      <c r="O283" s="6" t="str">
        <f>IF(COUNTBLANK($A283:$E283)&gt;0, "", IFERROR(_xlfn.MINIFS(Log!$F:$F, Log!$A:$A, $A283, Log!$B:$B, $B283, Log!$C:$C, $C283),""))</f>
        <v/>
      </c>
      <c r="P283" s="6" t="str">
        <f>IF(COUNTBLANK($A283:$E283)&gt;0, "", IFERROR(_xlfn.MAXIFS(Log!$F:$F, Log!$A:$A, $A283, Log!$B:$B, $B283, Log!$C:$C, $C283),""))</f>
        <v/>
      </c>
      <c r="Q283" s="6" t="str">
        <f>IF(COUNTBLANK($A283:$E283)&gt;0, "", IFERROR(AVERAGEIFS(Log!#REF!, Log!$A:$A, $A283, Log!$B:$B, $B283, Log!$C:$C, $C283),""))</f>
        <v/>
      </c>
      <c r="R283" s="6" t="str">
        <f>IF(COUNTBLANK($A283:$E283)&gt;0, "", IFERROR(_xlfn.MINIFS(Log!$G:$G, Log!$A:$A, $A283, Log!$B:$B, $B283, Log!$C:$C, $C283),""))</f>
        <v/>
      </c>
      <c r="S283" s="6" t="str">
        <f>IF(COUNTBLANK($A283:$E283)&gt;0, "", IFERROR(_xlfn.MAXIFS(Log!$G:$G, Log!$A:$A, $A283, Log!$B:$B, $B283, Log!$C:$C, $C283),""))</f>
        <v/>
      </c>
      <c r="T283" s="6"/>
      <c r="U283" s="6"/>
      <c r="CP283" s="6"/>
      <c r="CQ283" s="6"/>
    </row>
    <row r="284" spans="2:95" ht="40.049999999999997" customHeight="1" x14ac:dyDescent="0.3">
      <c r="B284" s="236" t="s">
        <v>89</v>
      </c>
      <c r="H284" s="7" t="str">
        <f>IF(COUNTBLANK($A284:$E284)&gt;0, "", IFERROR(AVERAGEIFS(Log!$E:$E, Log!$A:$A, $A284, Log!$B:$B, $B284, Log!$C:$C, $C284),""))</f>
        <v/>
      </c>
      <c r="I284" s="37" t="str">
        <f t="shared" si="9"/>
        <v/>
      </c>
      <c r="N284" s="6" t="str">
        <f>IF(COUNTBLANK($A284:$E284)&gt;0, "", IFERROR(AVERAGEIFS(Log!#REF!, Log!$A:$A, $A284, Log!$B:$B, $B284, Log!$C:$C, $C284),""))</f>
        <v/>
      </c>
      <c r="O284" s="6" t="str">
        <f>IF(COUNTBLANK($A284:$E284)&gt;0, "", IFERROR(_xlfn.MINIFS(Log!$F:$F, Log!$A:$A, $A284, Log!$B:$B, $B284, Log!$C:$C, $C284),""))</f>
        <v/>
      </c>
      <c r="P284" s="6" t="str">
        <f>IF(COUNTBLANK($A284:$E284)&gt;0, "", IFERROR(_xlfn.MAXIFS(Log!$F:$F, Log!$A:$A, $A284, Log!$B:$B, $B284, Log!$C:$C, $C284),""))</f>
        <v/>
      </c>
      <c r="Q284" s="6" t="str">
        <f>IF(COUNTBLANK($A284:$E284)&gt;0, "", IFERROR(AVERAGEIFS(Log!#REF!, Log!$A:$A, $A284, Log!$B:$B, $B284, Log!$C:$C, $C284),""))</f>
        <v/>
      </c>
      <c r="R284" s="6" t="str">
        <f>IF(COUNTBLANK($A284:$E284)&gt;0, "", IFERROR(_xlfn.MINIFS(Log!$G:$G, Log!$A:$A, $A284, Log!$B:$B, $B284, Log!$C:$C, $C284),""))</f>
        <v/>
      </c>
      <c r="S284" s="6" t="str">
        <f>IF(COUNTBLANK($A284:$E284)&gt;0, "", IFERROR(_xlfn.MAXIFS(Log!$G:$G, Log!$A:$A, $A284, Log!$B:$B, $B284, Log!$C:$C, $C284),""))</f>
        <v/>
      </c>
      <c r="T284" s="6"/>
      <c r="U284" s="6"/>
      <c r="CP284" s="6"/>
      <c r="CQ284" s="6"/>
    </row>
    <row r="285" spans="2:95" ht="40.049999999999997" customHeight="1" x14ac:dyDescent="0.3">
      <c r="B285" s="236" t="s">
        <v>89</v>
      </c>
      <c r="H285" s="7" t="str">
        <f>IF(COUNTBLANK($A285:$E285)&gt;0, "", IFERROR(AVERAGEIFS(Log!$E:$E, Log!$A:$A, $A285, Log!$B:$B, $B285, Log!$C:$C, $C285),""))</f>
        <v/>
      </c>
      <c r="I285" s="37" t="str">
        <f t="shared" si="9"/>
        <v/>
      </c>
      <c r="N285" s="6" t="str">
        <f>IF(COUNTBLANK($A285:$E285)&gt;0, "", IFERROR(AVERAGEIFS(Log!#REF!, Log!$A:$A, $A285, Log!$B:$B, $B285, Log!$C:$C, $C285),""))</f>
        <v/>
      </c>
      <c r="O285" s="6" t="str">
        <f>IF(COUNTBLANK($A285:$E285)&gt;0, "", IFERROR(_xlfn.MINIFS(Log!$F:$F, Log!$A:$A, $A285, Log!$B:$B, $B285, Log!$C:$C, $C285),""))</f>
        <v/>
      </c>
      <c r="P285" s="6" t="str">
        <f>IF(COUNTBLANK($A285:$E285)&gt;0, "", IFERROR(_xlfn.MAXIFS(Log!$F:$F, Log!$A:$A, $A285, Log!$B:$B, $B285, Log!$C:$C, $C285),""))</f>
        <v/>
      </c>
      <c r="Q285" s="6" t="str">
        <f>IF(COUNTBLANK($A285:$E285)&gt;0, "", IFERROR(AVERAGEIFS(Log!#REF!, Log!$A:$A, $A285, Log!$B:$B, $B285, Log!$C:$C, $C285),""))</f>
        <v/>
      </c>
      <c r="R285" s="6" t="str">
        <f>IF(COUNTBLANK($A285:$E285)&gt;0, "", IFERROR(_xlfn.MINIFS(Log!$G:$G, Log!$A:$A, $A285, Log!$B:$B, $B285, Log!$C:$C, $C285),""))</f>
        <v/>
      </c>
      <c r="S285" s="6" t="str">
        <f>IF(COUNTBLANK($A285:$E285)&gt;0, "", IFERROR(_xlfn.MAXIFS(Log!$G:$G, Log!$A:$A, $A285, Log!$B:$B, $B285, Log!$C:$C, $C285),""))</f>
        <v/>
      </c>
      <c r="T285" s="6"/>
      <c r="U285" s="6"/>
      <c r="CP285" s="6"/>
      <c r="CQ285" s="6"/>
    </row>
    <row r="286" spans="2:95" ht="40.049999999999997" customHeight="1" x14ac:dyDescent="0.3">
      <c r="B286" s="236" t="s">
        <v>89</v>
      </c>
      <c r="H286" s="7" t="str">
        <f>IF(COUNTBLANK($A286:$E286)&gt;0, "", IFERROR(AVERAGEIFS(Log!$E:$E, Log!$A:$A, $A286, Log!$B:$B, $B286, Log!$C:$C, $C286),""))</f>
        <v/>
      </c>
      <c r="I286" s="37" t="str">
        <f t="shared" si="9"/>
        <v/>
      </c>
      <c r="N286" s="6" t="str">
        <f>IF(COUNTBLANK($A286:$E286)&gt;0, "", IFERROR(AVERAGEIFS(Log!#REF!, Log!$A:$A, $A286, Log!$B:$B, $B286, Log!$C:$C, $C286),""))</f>
        <v/>
      </c>
      <c r="O286" s="6" t="str">
        <f>IF(COUNTBLANK($A286:$E286)&gt;0, "", IFERROR(_xlfn.MINIFS(Log!$F:$F, Log!$A:$A, $A286, Log!$B:$B, $B286, Log!$C:$C, $C286),""))</f>
        <v/>
      </c>
      <c r="P286" s="6" t="str">
        <f>IF(COUNTBLANK($A286:$E286)&gt;0, "", IFERROR(_xlfn.MAXIFS(Log!$F:$F, Log!$A:$A, $A286, Log!$B:$B, $B286, Log!$C:$C, $C286),""))</f>
        <v/>
      </c>
      <c r="Q286" s="6" t="str">
        <f>IF(COUNTBLANK($A286:$E286)&gt;0, "", IFERROR(AVERAGEIFS(Log!#REF!, Log!$A:$A, $A286, Log!$B:$B, $B286, Log!$C:$C, $C286),""))</f>
        <v/>
      </c>
      <c r="R286" s="6" t="str">
        <f>IF(COUNTBLANK($A286:$E286)&gt;0, "", IFERROR(_xlfn.MINIFS(Log!$G:$G, Log!$A:$A, $A286, Log!$B:$B, $B286, Log!$C:$C, $C286),""))</f>
        <v/>
      </c>
      <c r="S286" s="6" t="str">
        <f>IF(COUNTBLANK($A286:$E286)&gt;0, "", IFERROR(_xlfn.MAXIFS(Log!$G:$G, Log!$A:$A, $A286, Log!$B:$B, $B286, Log!$C:$C, $C286),""))</f>
        <v/>
      </c>
      <c r="T286" s="6"/>
      <c r="U286" s="6"/>
      <c r="CP286" s="6"/>
      <c r="CQ286" s="6"/>
    </row>
    <row r="287" spans="2:95" ht="40.049999999999997" customHeight="1" x14ac:dyDescent="0.3">
      <c r="B287" s="236" t="s">
        <v>89</v>
      </c>
      <c r="H287" s="7" t="str">
        <f>IF(COUNTBLANK($A287:$E287)&gt;0, "", IFERROR(AVERAGEIFS(Log!$E:$E, Log!$A:$A, $A287, Log!$B:$B, $B287, Log!$C:$C, $C287),""))</f>
        <v/>
      </c>
      <c r="I287" s="37" t="str">
        <f t="shared" si="9"/>
        <v/>
      </c>
      <c r="N287" s="6" t="str">
        <f>IF(COUNTBLANK($A287:$E287)&gt;0, "", IFERROR(AVERAGEIFS(Log!#REF!, Log!$A:$A, $A287, Log!$B:$B, $B287, Log!$C:$C, $C287),""))</f>
        <v/>
      </c>
      <c r="O287" s="6" t="str">
        <f>IF(COUNTBLANK($A287:$E287)&gt;0, "", IFERROR(_xlfn.MINIFS(Log!$F:$F, Log!$A:$A, $A287, Log!$B:$B, $B287, Log!$C:$C, $C287),""))</f>
        <v/>
      </c>
      <c r="P287" s="6" t="str">
        <f>IF(COUNTBLANK($A287:$E287)&gt;0, "", IFERROR(_xlfn.MAXIFS(Log!$F:$F, Log!$A:$A, $A287, Log!$B:$B, $B287, Log!$C:$C, $C287),""))</f>
        <v/>
      </c>
      <c r="Q287" s="6" t="str">
        <f>IF(COUNTBLANK($A287:$E287)&gt;0, "", IFERROR(AVERAGEIFS(Log!#REF!, Log!$A:$A, $A287, Log!$B:$B, $B287, Log!$C:$C, $C287),""))</f>
        <v/>
      </c>
      <c r="R287" s="6" t="str">
        <f>IF(COUNTBLANK($A287:$E287)&gt;0, "", IFERROR(_xlfn.MINIFS(Log!$G:$G, Log!$A:$A, $A287, Log!$B:$B, $B287, Log!$C:$C, $C287),""))</f>
        <v/>
      </c>
      <c r="S287" s="6" t="str">
        <f>IF(COUNTBLANK($A287:$E287)&gt;0, "", IFERROR(_xlfn.MAXIFS(Log!$G:$G, Log!$A:$A, $A287, Log!$B:$B, $B287, Log!$C:$C, $C287),""))</f>
        <v/>
      </c>
      <c r="T287" s="6"/>
      <c r="U287" s="6"/>
      <c r="CP287" s="6"/>
      <c r="CQ287" s="6"/>
    </row>
    <row r="288" spans="2:95" ht="40.049999999999997" customHeight="1" x14ac:dyDescent="0.3">
      <c r="B288" s="236" t="s">
        <v>89</v>
      </c>
      <c r="H288" s="7" t="str">
        <f>IF(COUNTBLANK($A288:$E288)&gt;0, "", IFERROR(AVERAGEIFS(Log!$E:$E, Log!$A:$A, $A288, Log!$B:$B, $B288, Log!$C:$C, $C288),""))</f>
        <v/>
      </c>
      <c r="I288" s="37" t="str">
        <f t="shared" si="9"/>
        <v/>
      </c>
      <c r="N288" s="6" t="str">
        <f>IF(COUNTBLANK($A288:$E288)&gt;0, "", IFERROR(AVERAGEIFS(Log!#REF!, Log!$A:$A, $A288, Log!$B:$B, $B288, Log!$C:$C, $C288),""))</f>
        <v/>
      </c>
      <c r="O288" s="6" t="str">
        <f>IF(COUNTBLANK($A288:$E288)&gt;0, "", IFERROR(_xlfn.MINIFS(Log!$F:$F, Log!$A:$A, $A288, Log!$B:$B, $B288, Log!$C:$C, $C288),""))</f>
        <v/>
      </c>
      <c r="P288" s="6" t="str">
        <f>IF(COUNTBLANK($A288:$E288)&gt;0, "", IFERROR(_xlfn.MAXIFS(Log!$F:$F, Log!$A:$A, $A288, Log!$B:$B, $B288, Log!$C:$C, $C288),""))</f>
        <v/>
      </c>
      <c r="Q288" s="6" t="str">
        <f>IF(COUNTBLANK($A288:$E288)&gt;0, "", IFERROR(AVERAGEIFS(Log!#REF!, Log!$A:$A, $A288, Log!$B:$B, $B288, Log!$C:$C, $C288),""))</f>
        <v/>
      </c>
      <c r="R288" s="6" t="str">
        <f>IF(COUNTBLANK($A288:$E288)&gt;0, "", IFERROR(_xlfn.MINIFS(Log!$G:$G, Log!$A:$A, $A288, Log!$B:$B, $B288, Log!$C:$C, $C288),""))</f>
        <v/>
      </c>
      <c r="S288" s="6" t="str">
        <f>IF(COUNTBLANK($A288:$E288)&gt;0, "", IFERROR(_xlfn.MAXIFS(Log!$G:$G, Log!$A:$A, $A288, Log!$B:$B, $B288, Log!$C:$C, $C288),""))</f>
        <v/>
      </c>
      <c r="T288" s="6"/>
      <c r="U288" s="6"/>
      <c r="CP288" s="6"/>
      <c r="CQ288" s="6"/>
    </row>
    <row r="289" spans="2:95" ht="40.049999999999997" customHeight="1" x14ac:dyDescent="0.3">
      <c r="B289" s="236" t="s">
        <v>89</v>
      </c>
      <c r="H289" s="7" t="str">
        <f>IF(COUNTBLANK($A289:$E289)&gt;0, "", IFERROR(AVERAGEIFS(Log!$E:$E, Log!$A:$A, $A289, Log!$B:$B, $B289, Log!$C:$C, $C289),""))</f>
        <v/>
      </c>
      <c r="I289" s="37" t="str">
        <f t="shared" si="9"/>
        <v/>
      </c>
      <c r="N289" s="6" t="str">
        <f>IF(COUNTBLANK($A289:$E289)&gt;0, "", IFERROR(AVERAGEIFS(Log!#REF!, Log!$A:$A, $A289, Log!$B:$B, $B289, Log!$C:$C, $C289),""))</f>
        <v/>
      </c>
      <c r="O289" s="6" t="str">
        <f>IF(COUNTBLANK($A289:$E289)&gt;0, "", IFERROR(_xlfn.MINIFS(Log!$F:$F, Log!$A:$A, $A289, Log!$B:$B, $B289, Log!$C:$C, $C289),""))</f>
        <v/>
      </c>
      <c r="P289" s="6" t="str">
        <f>IF(COUNTBLANK($A289:$E289)&gt;0, "", IFERROR(_xlfn.MAXIFS(Log!$F:$F, Log!$A:$A, $A289, Log!$B:$B, $B289, Log!$C:$C, $C289),""))</f>
        <v/>
      </c>
      <c r="Q289" s="6" t="str">
        <f>IF(COUNTBLANK($A289:$E289)&gt;0, "", IFERROR(AVERAGEIFS(Log!#REF!, Log!$A:$A, $A289, Log!$B:$B, $B289, Log!$C:$C, $C289),""))</f>
        <v/>
      </c>
      <c r="R289" s="6" t="str">
        <f>IF(COUNTBLANK($A289:$E289)&gt;0, "", IFERROR(_xlfn.MINIFS(Log!$G:$G, Log!$A:$A, $A289, Log!$B:$B, $B289, Log!$C:$C, $C289),""))</f>
        <v/>
      </c>
      <c r="S289" s="6" t="str">
        <f>IF(COUNTBLANK($A289:$E289)&gt;0, "", IFERROR(_xlfn.MAXIFS(Log!$G:$G, Log!$A:$A, $A289, Log!$B:$B, $B289, Log!$C:$C, $C289),""))</f>
        <v/>
      </c>
      <c r="T289" s="6"/>
      <c r="U289" s="6"/>
      <c r="CP289" s="6"/>
      <c r="CQ289" s="6"/>
    </row>
    <row r="290" spans="2:95" ht="40.049999999999997" customHeight="1" x14ac:dyDescent="0.3">
      <c r="B290" s="236" t="s">
        <v>89</v>
      </c>
      <c r="H290" s="7" t="str">
        <f>IF(COUNTBLANK($A290:$E290)&gt;0, "", IFERROR(AVERAGEIFS(Log!$E:$E, Log!$A:$A, $A290, Log!$B:$B, $B290, Log!$C:$C, $C290),""))</f>
        <v/>
      </c>
      <c r="I290" s="37" t="str">
        <f t="shared" si="9"/>
        <v/>
      </c>
      <c r="N290" s="6" t="str">
        <f>IF(COUNTBLANK($A290:$E290)&gt;0, "", IFERROR(AVERAGEIFS(Log!#REF!, Log!$A:$A, $A290, Log!$B:$B, $B290, Log!$C:$C, $C290),""))</f>
        <v/>
      </c>
      <c r="O290" s="6" t="str">
        <f>IF(COUNTBLANK($A290:$E290)&gt;0, "", IFERROR(_xlfn.MINIFS(Log!$F:$F, Log!$A:$A, $A290, Log!$B:$B, $B290, Log!$C:$C, $C290),""))</f>
        <v/>
      </c>
      <c r="P290" s="6" t="str">
        <f>IF(COUNTBLANK($A290:$E290)&gt;0, "", IFERROR(_xlfn.MAXIFS(Log!$F:$F, Log!$A:$A, $A290, Log!$B:$B, $B290, Log!$C:$C, $C290),""))</f>
        <v/>
      </c>
      <c r="Q290" s="6" t="str">
        <f>IF(COUNTBLANK($A290:$E290)&gt;0, "", IFERROR(AVERAGEIFS(Log!#REF!, Log!$A:$A, $A290, Log!$B:$B, $B290, Log!$C:$C, $C290),""))</f>
        <v/>
      </c>
      <c r="R290" s="6" t="str">
        <f>IF(COUNTBLANK($A290:$E290)&gt;0, "", IFERROR(_xlfn.MINIFS(Log!$G:$G, Log!$A:$A, $A290, Log!$B:$B, $B290, Log!$C:$C, $C290),""))</f>
        <v/>
      </c>
      <c r="S290" s="6" t="str">
        <f>IF(COUNTBLANK($A290:$E290)&gt;0, "", IFERROR(_xlfn.MAXIFS(Log!$G:$G, Log!$A:$A, $A290, Log!$B:$B, $B290, Log!$C:$C, $C290),""))</f>
        <v/>
      </c>
      <c r="T290" s="6"/>
      <c r="U290" s="6"/>
      <c r="CP290" s="6"/>
      <c r="CQ290" s="6"/>
    </row>
    <row r="291" spans="2:95" ht="40.049999999999997" customHeight="1" x14ac:dyDescent="0.3">
      <c r="B291" s="236" t="s">
        <v>89</v>
      </c>
      <c r="H291" s="7" t="str">
        <f>IF(COUNTBLANK($A291:$E291)&gt;0, "", IFERROR(AVERAGEIFS(Log!$E:$E, Log!$A:$A, $A291, Log!$B:$B, $B291, Log!$C:$C, $C291),""))</f>
        <v/>
      </c>
      <c r="I291" s="37" t="str">
        <f t="shared" si="9"/>
        <v/>
      </c>
      <c r="N291" s="6" t="str">
        <f>IF(COUNTBLANK($A291:$E291)&gt;0, "", IFERROR(AVERAGEIFS(Log!#REF!, Log!$A:$A, $A291, Log!$B:$B, $B291, Log!$C:$C, $C291),""))</f>
        <v/>
      </c>
      <c r="O291" s="6" t="str">
        <f>IF(COUNTBLANK($A291:$E291)&gt;0, "", IFERROR(_xlfn.MINIFS(Log!$F:$F, Log!$A:$A, $A291, Log!$B:$B, $B291, Log!$C:$C, $C291),""))</f>
        <v/>
      </c>
      <c r="P291" s="6" t="str">
        <f>IF(COUNTBLANK($A291:$E291)&gt;0, "", IFERROR(_xlfn.MAXIFS(Log!$F:$F, Log!$A:$A, $A291, Log!$B:$B, $B291, Log!$C:$C, $C291),""))</f>
        <v/>
      </c>
      <c r="Q291" s="6" t="str">
        <f>IF(COUNTBLANK($A291:$E291)&gt;0, "", IFERROR(AVERAGEIFS(Log!#REF!, Log!$A:$A, $A291, Log!$B:$B, $B291, Log!$C:$C, $C291),""))</f>
        <v/>
      </c>
      <c r="R291" s="6" t="str">
        <f>IF(COUNTBLANK($A291:$E291)&gt;0, "", IFERROR(_xlfn.MINIFS(Log!$G:$G, Log!$A:$A, $A291, Log!$B:$B, $B291, Log!$C:$C, $C291),""))</f>
        <v/>
      </c>
      <c r="S291" s="6" t="str">
        <f>IF(COUNTBLANK($A291:$E291)&gt;0, "", IFERROR(_xlfn.MAXIFS(Log!$G:$G, Log!$A:$A, $A291, Log!$B:$B, $B291, Log!$C:$C, $C291),""))</f>
        <v/>
      </c>
      <c r="T291" s="6"/>
      <c r="U291" s="6"/>
      <c r="CP291" s="6"/>
      <c r="CQ291" s="6"/>
    </row>
    <row r="292" spans="2:95" ht="40.049999999999997" customHeight="1" x14ac:dyDescent="0.3">
      <c r="B292" s="236" t="s">
        <v>89</v>
      </c>
      <c r="H292" s="7" t="str">
        <f>IF(COUNTBLANK($A292:$E292)&gt;0, "", IFERROR(AVERAGEIFS(Log!$E:$E, Log!$A:$A, $A292, Log!$B:$B, $B292, Log!$C:$C, $C292),""))</f>
        <v/>
      </c>
      <c r="I292" s="37" t="str">
        <f t="shared" si="9"/>
        <v/>
      </c>
      <c r="N292" s="6" t="str">
        <f>IF(COUNTBLANK($A292:$E292)&gt;0, "", IFERROR(AVERAGEIFS(Log!#REF!, Log!$A:$A, $A292, Log!$B:$B, $B292, Log!$C:$C, $C292),""))</f>
        <v/>
      </c>
      <c r="O292" s="6" t="str">
        <f>IF(COUNTBLANK($A292:$E292)&gt;0, "", IFERROR(_xlfn.MINIFS(Log!$F:$F, Log!$A:$A, $A292, Log!$B:$B, $B292, Log!$C:$C, $C292),""))</f>
        <v/>
      </c>
      <c r="P292" s="6" t="str">
        <f>IF(COUNTBLANK($A292:$E292)&gt;0, "", IFERROR(_xlfn.MAXIFS(Log!$F:$F, Log!$A:$A, $A292, Log!$B:$B, $B292, Log!$C:$C, $C292),""))</f>
        <v/>
      </c>
      <c r="Q292" s="6" t="str">
        <f>IF(COUNTBLANK($A292:$E292)&gt;0, "", IFERROR(AVERAGEIFS(Log!#REF!, Log!$A:$A, $A292, Log!$B:$B, $B292, Log!$C:$C, $C292),""))</f>
        <v/>
      </c>
      <c r="R292" s="6" t="str">
        <f>IF(COUNTBLANK($A292:$E292)&gt;0, "", IFERROR(_xlfn.MINIFS(Log!$G:$G, Log!$A:$A, $A292, Log!$B:$B, $B292, Log!$C:$C, $C292),""))</f>
        <v/>
      </c>
      <c r="S292" s="6" t="str">
        <f>IF(COUNTBLANK($A292:$E292)&gt;0, "", IFERROR(_xlfn.MAXIFS(Log!$G:$G, Log!$A:$A, $A292, Log!$B:$B, $B292, Log!$C:$C, $C292),""))</f>
        <v/>
      </c>
      <c r="T292" s="6"/>
      <c r="U292" s="6"/>
      <c r="CP292" s="6"/>
      <c r="CQ292" s="6"/>
    </row>
    <row r="293" spans="2:95" ht="40.049999999999997" customHeight="1" x14ac:dyDescent="0.3">
      <c r="B293" s="236" t="s">
        <v>89</v>
      </c>
      <c r="H293" s="7" t="str">
        <f>IF(COUNTBLANK($A293:$E293)&gt;0, "", IFERROR(AVERAGEIFS(Log!$E:$E, Log!$A:$A, $A293, Log!$B:$B, $B293, Log!$C:$C, $C293),""))</f>
        <v/>
      </c>
      <c r="I293" s="37" t="str">
        <f t="shared" si="9"/>
        <v/>
      </c>
      <c r="N293" s="6" t="str">
        <f>IF(COUNTBLANK($A293:$E293)&gt;0, "", IFERROR(AVERAGEIFS(Log!#REF!, Log!$A:$A, $A293, Log!$B:$B, $B293, Log!$C:$C, $C293),""))</f>
        <v/>
      </c>
      <c r="O293" s="6" t="str">
        <f>IF(COUNTBLANK($A293:$E293)&gt;0, "", IFERROR(_xlfn.MINIFS(Log!$F:$F, Log!$A:$A, $A293, Log!$B:$B, $B293, Log!$C:$C, $C293),""))</f>
        <v/>
      </c>
      <c r="P293" s="6" t="str">
        <f>IF(COUNTBLANK($A293:$E293)&gt;0, "", IFERROR(_xlfn.MAXIFS(Log!$F:$F, Log!$A:$A, $A293, Log!$B:$B, $B293, Log!$C:$C, $C293),""))</f>
        <v/>
      </c>
      <c r="Q293" s="6" t="str">
        <f>IF(COUNTBLANK($A293:$E293)&gt;0, "", IFERROR(AVERAGEIFS(Log!#REF!, Log!$A:$A, $A293, Log!$B:$B, $B293, Log!$C:$C, $C293),""))</f>
        <v/>
      </c>
      <c r="R293" s="6" t="str">
        <f>IF(COUNTBLANK($A293:$E293)&gt;0, "", IFERROR(_xlfn.MINIFS(Log!$G:$G, Log!$A:$A, $A293, Log!$B:$B, $B293, Log!$C:$C, $C293),""))</f>
        <v/>
      </c>
      <c r="S293" s="6" t="str">
        <f>IF(COUNTBLANK($A293:$E293)&gt;0, "", IFERROR(_xlfn.MAXIFS(Log!$G:$G, Log!$A:$A, $A293, Log!$B:$B, $B293, Log!$C:$C, $C293),""))</f>
        <v/>
      </c>
      <c r="T293" s="6"/>
      <c r="U293" s="6"/>
      <c r="CP293" s="6"/>
      <c r="CQ293" s="6"/>
    </row>
    <row r="294" spans="2:95" ht="40.049999999999997" customHeight="1" x14ac:dyDescent="0.3">
      <c r="B294" s="236" t="s">
        <v>89</v>
      </c>
      <c r="H294" s="7" t="str">
        <f>IF(COUNTBLANK($A294:$E294)&gt;0, "", IFERROR(AVERAGEIFS(Log!$E:$E, Log!$A:$A, $A294, Log!$B:$B, $B294, Log!$C:$C, $C294),""))</f>
        <v/>
      </c>
      <c r="I294" s="37" t="str">
        <f t="shared" si="9"/>
        <v/>
      </c>
      <c r="N294" s="6" t="str">
        <f>IF(COUNTBLANK($A294:$E294)&gt;0, "", IFERROR(AVERAGEIFS(Log!#REF!, Log!$A:$A, $A294, Log!$B:$B, $B294, Log!$C:$C, $C294),""))</f>
        <v/>
      </c>
      <c r="O294" s="6" t="str">
        <f>IF(COUNTBLANK($A294:$E294)&gt;0, "", IFERROR(_xlfn.MINIFS(Log!$F:$F, Log!$A:$A, $A294, Log!$B:$B, $B294, Log!$C:$C, $C294),""))</f>
        <v/>
      </c>
      <c r="P294" s="6" t="str">
        <f>IF(COUNTBLANK($A294:$E294)&gt;0, "", IFERROR(_xlfn.MAXIFS(Log!$F:$F, Log!$A:$A, $A294, Log!$B:$B, $B294, Log!$C:$C, $C294),""))</f>
        <v/>
      </c>
      <c r="Q294" s="6" t="str">
        <f>IF(COUNTBLANK($A294:$E294)&gt;0, "", IFERROR(AVERAGEIFS(Log!#REF!, Log!$A:$A, $A294, Log!$B:$B, $B294, Log!$C:$C, $C294),""))</f>
        <v/>
      </c>
      <c r="R294" s="6" t="str">
        <f>IF(COUNTBLANK($A294:$E294)&gt;0, "", IFERROR(_xlfn.MINIFS(Log!$G:$G, Log!$A:$A, $A294, Log!$B:$B, $B294, Log!$C:$C, $C294),""))</f>
        <v/>
      </c>
      <c r="S294" s="6" t="str">
        <f>IF(COUNTBLANK($A294:$E294)&gt;0, "", IFERROR(_xlfn.MAXIFS(Log!$G:$G, Log!$A:$A, $A294, Log!$B:$B, $B294, Log!$C:$C, $C294),""))</f>
        <v/>
      </c>
      <c r="T294" s="6"/>
      <c r="U294" s="6"/>
      <c r="CP294" s="6"/>
      <c r="CQ294" s="6"/>
    </row>
    <row r="295" spans="2:95" ht="40.049999999999997" customHeight="1" x14ac:dyDescent="0.3">
      <c r="B295" s="236" t="s">
        <v>89</v>
      </c>
      <c r="H295" s="7" t="str">
        <f>IF(COUNTBLANK($A295:$E295)&gt;0, "", IFERROR(AVERAGEIFS(Log!$E:$E, Log!$A:$A, $A295, Log!$B:$B, $B295, Log!$C:$C, $C295),""))</f>
        <v/>
      </c>
      <c r="I295" s="37" t="str">
        <f t="shared" si="9"/>
        <v/>
      </c>
      <c r="N295" s="6" t="str">
        <f>IF(COUNTBLANK($A295:$E295)&gt;0, "", IFERROR(AVERAGEIFS(Log!#REF!, Log!$A:$A, $A295, Log!$B:$B, $B295, Log!$C:$C, $C295),""))</f>
        <v/>
      </c>
      <c r="O295" s="6" t="str">
        <f>IF(COUNTBLANK($A295:$E295)&gt;0, "", IFERROR(_xlfn.MINIFS(Log!$F:$F, Log!$A:$A, $A295, Log!$B:$B, $B295, Log!$C:$C, $C295),""))</f>
        <v/>
      </c>
      <c r="P295" s="6" t="str">
        <f>IF(COUNTBLANK($A295:$E295)&gt;0, "", IFERROR(_xlfn.MAXIFS(Log!$F:$F, Log!$A:$A, $A295, Log!$B:$B, $B295, Log!$C:$C, $C295),""))</f>
        <v/>
      </c>
      <c r="Q295" s="6" t="str">
        <f>IF(COUNTBLANK($A295:$E295)&gt;0, "", IFERROR(AVERAGEIFS(Log!#REF!, Log!$A:$A, $A295, Log!$B:$B, $B295, Log!$C:$C, $C295),""))</f>
        <v/>
      </c>
      <c r="R295" s="6" t="str">
        <f>IF(COUNTBLANK($A295:$E295)&gt;0, "", IFERROR(_xlfn.MINIFS(Log!$G:$G, Log!$A:$A, $A295, Log!$B:$B, $B295, Log!$C:$C, $C295),""))</f>
        <v/>
      </c>
      <c r="S295" s="6" t="str">
        <f>IF(COUNTBLANK($A295:$E295)&gt;0, "", IFERROR(_xlfn.MAXIFS(Log!$G:$G, Log!$A:$A, $A295, Log!$B:$B, $B295, Log!$C:$C, $C295),""))</f>
        <v/>
      </c>
      <c r="T295" s="6"/>
      <c r="U295" s="6"/>
      <c r="CP295" s="6"/>
      <c r="CQ295" s="6"/>
    </row>
    <row r="296" spans="2:95" ht="40.049999999999997" customHeight="1" x14ac:dyDescent="0.3">
      <c r="B296" s="236" t="s">
        <v>89</v>
      </c>
      <c r="H296" s="7" t="str">
        <f>IF(COUNTBLANK($A296:$E296)&gt;0, "", IFERROR(AVERAGEIFS(Log!$E:$E, Log!$A:$A, $A296, Log!$B:$B, $B296, Log!$C:$C, $C296),""))</f>
        <v/>
      </c>
      <c r="I296" s="37" t="str">
        <f t="shared" si="9"/>
        <v/>
      </c>
      <c r="N296" s="6" t="str">
        <f>IF(COUNTBLANK($A296:$E296)&gt;0, "", IFERROR(AVERAGEIFS(Log!#REF!, Log!$A:$A, $A296, Log!$B:$B, $B296, Log!$C:$C, $C296),""))</f>
        <v/>
      </c>
      <c r="O296" s="6" t="str">
        <f>IF(COUNTBLANK($A296:$E296)&gt;0, "", IFERROR(_xlfn.MINIFS(Log!$F:$F, Log!$A:$A, $A296, Log!$B:$B, $B296, Log!$C:$C, $C296),""))</f>
        <v/>
      </c>
      <c r="P296" s="6" t="str">
        <f>IF(COUNTBLANK($A296:$E296)&gt;0, "", IFERROR(_xlfn.MAXIFS(Log!$F:$F, Log!$A:$A, $A296, Log!$B:$B, $B296, Log!$C:$C, $C296),""))</f>
        <v/>
      </c>
      <c r="Q296" s="6" t="str">
        <f>IF(COUNTBLANK($A296:$E296)&gt;0, "", IFERROR(AVERAGEIFS(Log!#REF!, Log!$A:$A, $A296, Log!$B:$B, $B296, Log!$C:$C, $C296),""))</f>
        <v/>
      </c>
      <c r="R296" s="6" t="str">
        <f>IF(COUNTBLANK($A296:$E296)&gt;0, "", IFERROR(_xlfn.MINIFS(Log!$G:$G, Log!$A:$A, $A296, Log!$B:$B, $B296, Log!$C:$C, $C296),""))</f>
        <v/>
      </c>
      <c r="S296" s="6" t="str">
        <f>IF(COUNTBLANK($A296:$E296)&gt;0, "", IFERROR(_xlfn.MAXIFS(Log!$G:$G, Log!$A:$A, $A296, Log!$B:$B, $B296, Log!$C:$C, $C296),""))</f>
        <v/>
      </c>
      <c r="T296" s="6"/>
      <c r="U296" s="6"/>
      <c r="CP296" s="6"/>
      <c r="CQ296" s="6"/>
    </row>
    <row r="297" spans="2:95" ht="40.049999999999997" customHeight="1" x14ac:dyDescent="0.3">
      <c r="B297" s="236" t="s">
        <v>89</v>
      </c>
      <c r="H297" s="7" t="str">
        <f>IF(COUNTBLANK($A297:$E297)&gt;0, "", IFERROR(AVERAGEIFS(Log!$E:$E, Log!$A:$A, $A297, Log!$B:$B, $B297, Log!$C:$C, $C297),""))</f>
        <v/>
      </c>
      <c r="I297" s="37" t="str">
        <f t="shared" si="9"/>
        <v/>
      </c>
      <c r="N297" s="6" t="str">
        <f>IF(COUNTBLANK($A297:$E297)&gt;0, "", IFERROR(AVERAGEIFS(Log!#REF!, Log!$A:$A, $A297, Log!$B:$B, $B297, Log!$C:$C, $C297),""))</f>
        <v/>
      </c>
      <c r="O297" s="6" t="str">
        <f>IF(COUNTBLANK($A297:$E297)&gt;0, "", IFERROR(_xlfn.MINIFS(Log!$F:$F, Log!$A:$A, $A297, Log!$B:$B, $B297, Log!$C:$C, $C297),""))</f>
        <v/>
      </c>
      <c r="P297" s="6" t="str">
        <f>IF(COUNTBLANK($A297:$E297)&gt;0, "", IFERROR(_xlfn.MAXIFS(Log!$F:$F, Log!$A:$A, $A297, Log!$B:$B, $B297, Log!$C:$C, $C297),""))</f>
        <v/>
      </c>
      <c r="Q297" s="6" t="str">
        <f>IF(COUNTBLANK($A297:$E297)&gt;0, "", IFERROR(AVERAGEIFS(Log!#REF!, Log!$A:$A, $A297, Log!$B:$B, $B297, Log!$C:$C, $C297),""))</f>
        <v/>
      </c>
      <c r="R297" s="6" t="str">
        <f>IF(COUNTBLANK($A297:$E297)&gt;0, "", IFERROR(_xlfn.MINIFS(Log!$G:$G, Log!$A:$A, $A297, Log!$B:$B, $B297, Log!$C:$C, $C297),""))</f>
        <v/>
      </c>
      <c r="S297" s="6" t="str">
        <f>IF(COUNTBLANK($A297:$E297)&gt;0, "", IFERROR(_xlfn.MAXIFS(Log!$G:$G, Log!$A:$A, $A297, Log!$B:$B, $B297, Log!$C:$C, $C297),""))</f>
        <v/>
      </c>
      <c r="T297" s="6"/>
      <c r="U297" s="6"/>
      <c r="CP297" s="6"/>
      <c r="CQ297" s="6"/>
    </row>
    <row r="298" spans="2:95" ht="40.049999999999997" customHeight="1" x14ac:dyDescent="0.3">
      <c r="B298" s="236" t="s">
        <v>89</v>
      </c>
      <c r="H298" s="7" t="str">
        <f>IF(COUNTBLANK($A298:$E298)&gt;0, "", IFERROR(AVERAGEIFS(Log!$E:$E, Log!$A:$A, $A298, Log!$B:$B, $B298, Log!$C:$C, $C298),""))</f>
        <v/>
      </c>
      <c r="I298" s="37" t="str">
        <f t="shared" si="9"/>
        <v/>
      </c>
      <c r="N298" s="6" t="str">
        <f>IF(COUNTBLANK($A298:$E298)&gt;0, "", IFERROR(AVERAGEIFS(Log!#REF!, Log!$A:$A, $A298, Log!$B:$B, $B298, Log!$C:$C, $C298),""))</f>
        <v/>
      </c>
      <c r="O298" s="6" t="str">
        <f>IF(COUNTBLANK($A298:$E298)&gt;0, "", IFERROR(_xlfn.MINIFS(Log!$F:$F, Log!$A:$A, $A298, Log!$B:$B, $B298, Log!$C:$C, $C298),""))</f>
        <v/>
      </c>
      <c r="P298" s="6" t="str">
        <f>IF(COUNTBLANK($A298:$E298)&gt;0, "", IFERROR(_xlfn.MAXIFS(Log!$F:$F, Log!$A:$A, $A298, Log!$B:$B, $B298, Log!$C:$C, $C298),""))</f>
        <v/>
      </c>
      <c r="Q298" s="6" t="str">
        <f>IF(COUNTBLANK($A298:$E298)&gt;0, "", IFERROR(AVERAGEIFS(Log!#REF!, Log!$A:$A, $A298, Log!$B:$B, $B298, Log!$C:$C, $C298),""))</f>
        <v/>
      </c>
      <c r="R298" s="6" t="str">
        <f>IF(COUNTBLANK($A298:$E298)&gt;0, "", IFERROR(_xlfn.MINIFS(Log!$G:$G, Log!$A:$A, $A298, Log!$B:$B, $B298, Log!$C:$C, $C298),""))</f>
        <v/>
      </c>
      <c r="S298" s="6" t="str">
        <f>IF(COUNTBLANK($A298:$E298)&gt;0, "", IFERROR(_xlfn.MAXIFS(Log!$G:$G, Log!$A:$A, $A298, Log!$B:$B, $B298, Log!$C:$C, $C298),""))</f>
        <v/>
      </c>
      <c r="T298" s="6"/>
      <c r="U298" s="6"/>
      <c r="CP298" s="6"/>
      <c r="CQ298" s="6"/>
    </row>
    <row r="299" spans="2:95" ht="40.049999999999997" customHeight="1" x14ac:dyDescent="0.3">
      <c r="B299" s="236" t="s">
        <v>89</v>
      </c>
      <c r="H299" s="7" t="str">
        <f>IF(COUNTBLANK($A299:$E299)&gt;0, "", IFERROR(AVERAGEIFS(Log!$E:$E, Log!$A:$A, $A299, Log!$B:$B, $B299, Log!$C:$C, $C299),""))</f>
        <v/>
      </c>
      <c r="I299" s="37" t="str">
        <f t="shared" si="9"/>
        <v/>
      </c>
      <c r="N299" s="6" t="str">
        <f>IF(COUNTBLANK($A299:$E299)&gt;0, "", IFERROR(AVERAGEIFS(Log!#REF!, Log!$A:$A, $A299, Log!$B:$B, $B299, Log!$C:$C, $C299),""))</f>
        <v/>
      </c>
      <c r="O299" s="6" t="str">
        <f>IF(COUNTBLANK($A299:$E299)&gt;0, "", IFERROR(_xlfn.MINIFS(Log!$F:$F, Log!$A:$A, $A299, Log!$B:$B, $B299, Log!$C:$C, $C299),""))</f>
        <v/>
      </c>
      <c r="P299" s="6" t="str">
        <f>IF(COUNTBLANK($A299:$E299)&gt;0, "", IFERROR(_xlfn.MAXIFS(Log!$F:$F, Log!$A:$A, $A299, Log!$B:$B, $B299, Log!$C:$C, $C299),""))</f>
        <v/>
      </c>
      <c r="Q299" s="6" t="str">
        <f>IF(COUNTBLANK($A299:$E299)&gt;0, "", IFERROR(AVERAGEIFS(Log!#REF!, Log!$A:$A, $A299, Log!$B:$B, $B299, Log!$C:$C, $C299),""))</f>
        <v/>
      </c>
      <c r="R299" s="6" t="str">
        <f>IF(COUNTBLANK($A299:$E299)&gt;0, "", IFERROR(_xlfn.MINIFS(Log!$G:$G, Log!$A:$A, $A299, Log!$B:$B, $B299, Log!$C:$C, $C299),""))</f>
        <v/>
      </c>
      <c r="S299" s="6" t="str">
        <f>IF(COUNTBLANK($A299:$E299)&gt;0, "", IFERROR(_xlfn.MAXIFS(Log!$G:$G, Log!$A:$A, $A299, Log!$B:$B, $B299, Log!$C:$C, $C299),""))</f>
        <v/>
      </c>
      <c r="T299" s="6"/>
      <c r="U299" s="6"/>
      <c r="CP299" s="6"/>
      <c r="CQ299" s="6"/>
    </row>
    <row r="300" spans="2:95" ht="40.049999999999997" customHeight="1" x14ac:dyDescent="0.3">
      <c r="B300" s="236" t="s">
        <v>89</v>
      </c>
      <c r="H300" s="7" t="str">
        <f>IF(COUNTBLANK($A300:$E300)&gt;0, "", IFERROR(AVERAGEIFS(Log!$E:$E, Log!$A:$A, $A300, Log!$B:$B, $B300, Log!$C:$C, $C300),""))</f>
        <v/>
      </c>
      <c r="I300" s="37" t="str">
        <f t="shared" si="9"/>
        <v/>
      </c>
      <c r="N300" s="6" t="str">
        <f>IF(COUNTBLANK($A300:$E300)&gt;0, "", IFERROR(AVERAGEIFS(Log!#REF!, Log!$A:$A, $A300, Log!$B:$B, $B300, Log!$C:$C, $C300),""))</f>
        <v/>
      </c>
      <c r="O300" s="6" t="str">
        <f>IF(COUNTBLANK($A300:$E300)&gt;0, "", IFERROR(_xlfn.MINIFS(Log!$F:$F, Log!$A:$A, $A300, Log!$B:$B, $B300, Log!$C:$C, $C300),""))</f>
        <v/>
      </c>
      <c r="P300" s="6" t="str">
        <f>IF(COUNTBLANK($A300:$E300)&gt;0, "", IFERROR(_xlfn.MAXIFS(Log!$F:$F, Log!$A:$A, $A300, Log!$B:$B, $B300, Log!$C:$C, $C300),""))</f>
        <v/>
      </c>
      <c r="Q300" s="6" t="str">
        <f>IF(COUNTBLANK($A300:$E300)&gt;0, "", IFERROR(AVERAGEIFS(Log!#REF!, Log!$A:$A, $A300, Log!$B:$B, $B300, Log!$C:$C, $C300),""))</f>
        <v/>
      </c>
      <c r="R300" s="6" t="str">
        <f>IF(COUNTBLANK($A300:$E300)&gt;0, "", IFERROR(_xlfn.MINIFS(Log!$G:$G, Log!$A:$A, $A300, Log!$B:$B, $B300, Log!$C:$C, $C300),""))</f>
        <v/>
      </c>
      <c r="S300" s="6" t="str">
        <f>IF(COUNTBLANK($A300:$E300)&gt;0, "", IFERROR(_xlfn.MAXIFS(Log!$G:$G, Log!$A:$A, $A300, Log!$B:$B, $B300, Log!$C:$C, $C300),""))</f>
        <v/>
      </c>
      <c r="T300" s="6"/>
      <c r="U300" s="6"/>
      <c r="CP300" s="6"/>
      <c r="CQ300" s="6"/>
    </row>
    <row r="301" spans="2:95" ht="40.049999999999997" customHeight="1" x14ac:dyDescent="0.3">
      <c r="B301" s="236" t="s">
        <v>89</v>
      </c>
      <c r="H301" s="7" t="str">
        <f>IF(COUNTBLANK($A301:$E301)&gt;0, "", IFERROR(AVERAGEIFS(Log!$E:$E, Log!$A:$A, $A301, Log!$B:$B, $B301, Log!$C:$C, $C301),""))</f>
        <v/>
      </c>
      <c r="I301" s="37" t="str">
        <f t="shared" si="9"/>
        <v/>
      </c>
      <c r="N301" s="6" t="str">
        <f>IF(COUNTBLANK($A301:$E301)&gt;0, "", IFERROR(AVERAGEIFS(Log!#REF!, Log!$A:$A, $A301, Log!$B:$B, $B301, Log!$C:$C, $C301),""))</f>
        <v/>
      </c>
      <c r="O301" s="6" t="str">
        <f>IF(COUNTBLANK($A301:$E301)&gt;0, "", IFERROR(_xlfn.MINIFS(Log!$F:$F, Log!$A:$A, $A301, Log!$B:$B, $B301, Log!$C:$C, $C301),""))</f>
        <v/>
      </c>
      <c r="P301" s="6" t="str">
        <f>IF(COUNTBLANK($A301:$E301)&gt;0, "", IFERROR(_xlfn.MAXIFS(Log!$F:$F, Log!$A:$A, $A301, Log!$B:$B, $B301, Log!$C:$C, $C301),""))</f>
        <v/>
      </c>
      <c r="Q301" s="6" t="str">
        <f>IF(COUNTBLANK($A301:$E301)&gt;0, "", IFERROR(AVERAGEIFS(Log!#REF!, Log!$A:$A, $A301, Log!$B:$B, $B301, Log!$C:$C, $C301),""))</f>
        <v/>
      </c>
      <c r="R301" s="6" t="str">
        <f>IF(COUNTBLANK($A301:$E301)&gt;0, "", IFERROR(_xlfn.MINIFS(Log!$G:$G, Log!$A:$A, $A301, Log!$B:$B, $B301, Log!$C:$C, $C301),""))</f>
        <v/>
      </c>
      <c r="S301" s="6" t="str">
        <f>IF(COUNTBLANK($A301:$E301)&gt;0, "", IFERROR(_xlfn.MAXIFS(Log!$G:$G, Log!$A:$A, $A301, Log!$B:$B, $B301, Log!$C:$C, $C301),""))</f>
        <v/>
      </c>
      <c r="T301" s="6"/>
      <c r="U301" s="6"/>
      <c r="CP301" s="6"/>
      <c r="CQ301" s="6"/>
    </row>
    <row r="302" spans="2:95" ht="40.049999999999997" customHeight="1" x14ac:dyDescent="0.3">
      <c r="B302" s="236" t="s">
        <v>89</v>
      </c>
      <c r="H302" s="7" t="str">
        <f>IF(COUNTBLANK($A302:$E302)&gt;0, "", IFERROR(AVERAGEIFS(Log!$E:$E, Log!$A:$A, $A302, Log!$B:$B, $B302, Log!$C:$C, $C302),""))</f>
        <v/>
      </c>
      <c r="I302" s="37" t="str">
        <f t="shared" si="9"/>
        <v/>
      </c>
      <c r="N302" s="6" t="str">
        <f>IF(COUNTBLANK($A302:$E302)&gt;0, "", IFERROR(AVERAGEIFS(Log!#REF!, Log!$A:$A, $A302, Log!$B:$B, $B302, Log!$C:$C, $C302),""))</f>
        <v/>
      </c>
      <c r="O302" s="6" t="str">
        <f>IF(COUNTBLANK($A302:$E302)&gt;0, "", IFERROR(_xlfn.MINIFS(Log!$F:$F, Log!$A:$A, $A302, Log!$B:$B, $B302, Log!$C:$C, $C302),""))</f>
        <v/>
      </c>
      <c r="P302" s="6" t="str">
        <f>IF(COUNTBLANK($A302:$E302)&gt;0, "", IFERROR(_xlfn.MAXIFS(Log!$F:$F, Log!$A:$A, $A302, Log!$B:$B, $B302, Log!$C:$C, $C302),""))</f>
        <v/>
      </c>
      <c r="Q302" s="6" t="str">
        <f>IF(COUNTBLANK($A302:$E302)&gt;0, "", IFERROR(AVERAGEIFS(Log!#REF!, Log!$A:$A, $A302, Log!$B:$B, $B302, Log!$C:$C, $C302),""))</f>
        <v/>
      </c>
      <c r="R302" s="6" t="str">
        <f>IF(COUNTBLANK($A302:$E302)&gt;0, "", IFERROR(_xlfn.MINIFS(Log!$G:$G, Log!$A:$A, $A302, Log!$B:$B, $B302, Log!$C:$C, $C302),""))</f>
        <v/>
      </c>
      <c r="S302" s="6" t="str">
        <f>IF(COUNTBLANK($A302:$E302)&gt;0, "", IFERROR(_xlfn.MAXIFS(Log!$G:$G, Log!$A:$A, $A302, Log!$B:$B, $B302, Log!$C:$C, $C302),""))</f>
        <v/>
      </c>
      <c r="T302" s="6"/>
      <c r="U302" s="6"/>
      <c r="CP302" s="6"/>
      <c r="CQ302" s="6"/>
    </row>
    <row r="303" spans="2:95" ht="40.049999999999997" customHeight="1" x14ac:dyDescent="0.3">
      <c r="B303" s="236" t="s">
        <v>89</v>
      </c>
      <c r="H303" s="7" t="str">
        <f>IF(COUNTBLANK($A303:$E303)&gt;0, "", IFERROR(AVERAGEIFS(Log!$E:$E, Log!$A:$A, $A303, Log!$B:$B, $B303, Log!$C:$C, $C303),""))</f>
        <v/>
      </c>
      <c r="I303" s="37" t="str">
        <f t="shared" si="9"/>
        <v/>
      </c>
      <c r="N303" s="6" t="str">
        <f>IF(COUNTBLANK($A303:$E303)&gt;0, "", IFERROR(AVERAGEIFS(Log!#REF!, Log!$A:$A, $A303, Log!$B:$B, $B303, Log!$C:$C, $C303),""))</f>
        <v/>
      </c>
      <c r="O303" s="6" t="str">
        <f>IF(COUNTBLANK($A303:$E303)&gt;0, "", IFERROR(_xlfn.MINIFS(Log!$F:$F, Log!$A:$A, $A303, Log!$B:$B, $B303, Log!$C:$C, $C303),""))</f>
        <v/>
      </c>
      <c r="P303" s="6" t="str">
        <f>IF(COUNTBLANK($A303:$E303)&gt;0, "", IFERROR(_xlfn.MAXIFS(Log!$F:$F, Log!$A:$A, $A303, Log!$B:$B, $B303, Log!$C:$C, $C303),""))</f>
        <v/>
      </c>
      <c r="Q303" s="6" t="str">
        <f>IF(COUNTBLANK($A303:$E303)&gt;0, "", IFERROR(AVERAGEIFS(Log!#REF!, Log!$A:$A, $A303, Log!$B:$B, $B303, Log!$C:$C, $C303),""))</f>
        <v/>
      </c>
      <c r="R303" s="6" t="str">
        <f>IF(COUNTBLANK($A303:$E303)&gt;0, "", IFERROR(_xlfn.MINIFS(Log!$G:$G, Log!$A:$A, $A303, Log!$B:$B, $B303, Log!$C:$C, $C303),""))</f>
        <v/>
      </c>
      <c r="S303" s="6" t="str">
        <f>IF(COUNTBLANK($A303:$E303)&gt;0, "", IFERROR(_xlfn.MAXIFS(Log!$G:$G, Log!$A:$A, $A303, Log!$B:$B, $B303, Log!$C:$C, $C303),""))</f>
        <v/>
      </c>
      <c r="T303" s="6"/>
      <c r="U303" s="6"/>
      <c r="CP303" s="6"/>
      <c r="CQ303" s="6"/>
    </row>
    <row r="304" spans="2:95" ht="40.049999999999997" customHeight="1" x14ac:dyDescent="0.3">
      <c r="B304" s="236" t="s">
        <v>89</v>
      </c>
      <c r="H304" s="7" t="str">
        <f>IF(COUNTBLANK($A304:$E304)&gt;0, "", IFERROR(AVERAGEIFS(Log!$E:$E, Log!$A:$A, $A304, Log!$B:$B, $B304, Log!$C:$C, $C304),""))</f>
        <v/>
      </c>
      <c r="I304" s="37" t="str">
        <f t="shared" si="9"/>
        <v/>
      </c>
      <c r="N304" s="6" t="str">
        <f>IF(COUNTBLANK($A304:$E304)&gt;0, "", IFERROR(AVERAGEIFS(Log!#REF!, Log!$A:$A, $A304, Log!$B:$B, $B304, Log!$C:$C, $C304),""))</f>
        <v/>
      </c>
      <c r="O304" s="6" t="str">
        <f>IF(COUNTBLANK($A304:$E304)&gt;0, "", IFERROR(_xlfn.MINIFS(Log!$F:$F, Log!$A:$A, $A304, Log!$B:$B, $B304, Log!$C:$C, $C304),""))</f>
        <v/>
      </c>
      <c r="P304" s="6" t="str">
        <f>IF(COUNTBLANK($A304:$E304)&gt;0, "", IFERROR(_xlfn.MAXIFS(Log!$F:$F, Log!$A:$A, $A304, Log!$B:$B, $B304, Log!$C:$C, $C304),""))</f>
        <v/>
      </c>
      <c r="Q304" s="6" t="str">
        <f>IF(COUNTBLANK($A304:$E304)&gt;0, "", IFERROR(AVERAGEIFS(Log!#REF!, Log!$A:$A, $A304, Log!$B:$B, $B304, Log!$C:$C, $C304),""))</f>
        <v/>
      </c>
      <c r="R304" s="6" t="str">
        <f>IF(COUNTBLANK($A304:$E304)&gt;0, "", IFERROR(_xlfn.MINIFS(Log!$G:$G, Log!$A:$A, $A304, Log!$B:$B, $B304, Log!$C:$C, $C304),""))</f>
        <v/>
      </c>
      <c r="S304" s="6" t="str">
        <f>IF(COUNTBLANK($A304:$E304)&gt;0, "", IFERROR(_xlfn.MAXIFS(Log!$G:$G, Log!$A:$A, $A304, Log!$B:$B, $B304, Log!$C:$C, $C304),""))</f>
        <v/>
      </c>
      <c r="T304" s="6"/>
      <c r="U304" s="6"/>
      <c r="CP304" s="6"/>
      <c r="CQ304" s="6"/>
    </row>
    <row r="305" spans="2:95" ht="40.049999999999997" customHeight="1" x14ac:dyDescent="0.3">
      <c r="B305" s="236" t="s">
        <v>89</v>
      </c>
      <c r="H305" s="7" t="str">
        <f>IF(COUNTBLANK($A305:$E305)&gt;0, "", IFERROR(AVERAGEIFS(Log!$E:$E, Log!$A:$A, $A305, Log!$B:$B, $B305, Log!$C:$C, $C305),""))</f>
        <v/>
      </c>
      <c r="I305" s="37" t="str">
        <f t="shared" si="9"/>
        <v/>
      </c>
      <c r="N305" s="6" t="str">
        <f>IF(COUNTBLANK($A305:$E305)&gt;0, "", IFERROR(AVERAGEIFS(Log!#REF!, Log!$A:$A, $A305, Log!$B:$B, $B305, Log!$C:$C, $C305),""))</f>
        <v/>
      </c>
      <c r="O305" s="6" t="str">
        <f>IF(COUNTBLANK($A305:$E305)&gt;0, "", IFERROR(_xlfn.MINIFS(Log!$F:$F, Log!$A:$A, $A305, Log!$B:$B, $B305, Log!$C:$C, $C305),""))</f>
        <v/>
      </c>
      <c r="P305" s="6" t="str">
        <f>IF(COUNTBLANK($A305:$E305)&gt;0, "", IFERROR(_xlfn.MAXIFS(Log!$F:$F, Log!$A:$A, $A305, Log!$B:$B, $B305, Log!$C:$C, $C305),""))</f>
        <v/>
      </c>
      <c r="Q305" s="6" t="str">
        <f>IF(COUNTBLANK($A305:$E305)&gt;0, "", IFERROR(AVERAGEIFS(Log!#REF!, Log!$A:$A, $A305, Log!$B:$B, $B305, Log!$C:$C, $C305),""))</f>
        <v/>
      </c>
      <c r="R305" s="6" t="str">
        <f>IF(COUNTBLANK($A305:$E305)&gt;0, "", IFERROR(_xlfn.MINIFS(Log!$G:$G, Log!$A:$A, $A305, Log!$B:$B, $B305, Log!$C:$C, $C305),""))</f>
        <v/>
      </c>
      <c r="S305" s="6" t="str">
        <f>IF(COUNTBLANK($A305:$E305)&gt;0, "", IFERROR(_xlfn.MAXIFS(Log!$G:$G, Log!$A:$A, $A305, Log!$B:$B, $B305, Log!$C:$C, $C305),""))</f>
        <v/>
      </c>
      <c r="T305" s="6"/>
      <c r="U305" s="6"/>
      <c r="CP305" s="6"/>
      <c r="CQ305" s="6"/>
    </row>
    <row r="306" spans="2:95" ht="40.049999999999997" customHeight="1" x14ac:dyDescent="0.3">
      <c r="B306" s="236" t="s">
        <v>89</v>
      </c>
      <c r="H306" s="7" t="str">
        <f>IF(COUNTBLANK($A306:$E306)&gt;0, "", IFERROR(AVERAGEIFS(Log!$E:$E, Log!$A:$A, $A306, Log!$B:$B, $B306, Log!$C:$C, $C306),""))</f>
        <v/>
      </c>
      <c r="I306" s="37" t="str">
        <f t="shared" si="9"/>
        <v/>
      </c>
      <c r="N306" s="6" t="str">
        <f>IF(COUNTBLANK($A306:$E306)&gt;0, "", IFERROR(AVERAGEIFS(Log!#REF!, Log!$A:$A, $A306, Log!$B:$B, $B306, Log!$C:$C, $C306),""))</f>
        <v/>
      </c>
      <c r="O306" s="6" t="str">
        <f>IF(COUNTBLANK($A306:$E306)&gt;0, "", IFERROR(_xlfn.MINIFS(Log!$F:$F, Log!$A:$A, $A306, Log!$B:$B, $B306, Log!$C:$C, $C306),""))</f>
        <v/>
      </c>
      <c r="P306" s="6" t="str">
        <f>IF(COUNTBLANK($A306:$E306)&gt;0, "", IFERROR(_xlfn.MAXIFS(Log!$F:$F, Log!$A:$A, $A306, Log!$B:$B, $B306, Log!$C:$C, $C306),""))</f>
        <v/>
      </c>
      <c r="Q306" s="6" t="str">
        <f>IF(COUNTBLANK($A306:$E306)&gt;0, "", IFERROR(AVERAGEIFS(Log!#REF!, Log!$A:$A, $A306, Log!$B:$B, $B306, Log!$C:$C, $C306),""))</f>
        <v/>
      </c>
      <c r="R306" s="6" t="str">
        <f>IF(COUNTBLANK($A306:$E306)&gt;0, "", IFERROR(_xlfn.MINIFS(Log!$G:$G, Log!$A:$A, $A306, Log!$B:$B, $B306, Log!$C:$C, $C306),""))</f>
        <v/>
      </c>
      <c r="S306" s="6" t="str">
        <f>IF(COUNTBLANK($A306:$E306)&gt;0, "", IFERROR(_xlfn.MAXIFS(Log!$G:$G, Log!$A:$A, $A306, Log!$B:$B, $B306, Log!$C:$C, $C306),""))</f>
        <v/>
      </c>
      <c r="T306" s="6"/>
      <c r="U306" s="6"/>
      <c r="CP306" s="6"/>
      <c r="CQ306" s="6"/>
    </row>
    <row r="307" spans="2:95" ht="40.049999999999997" customHeight="1" x14ac:dyDescent="0.3">
      <c r="B307" s="236" t="s">
        <v>89</v>
      </c>
      <c r="H307" s="7" t="str">
        <f>IF(COUNTBLANK($A307:$E307)&gt;0, "", IFERROR(AVERAGEIFS(Log!$E:$E, Log!$A:$A, $A307, Log!$B:$B, $B307, Log!$C:$C, $C307),""))</f>
        <v/>
      </c>
      <c r="I307" s="37" t="str">
        <f t="shared" si="9"/>
        <v/>
      </c>
      <c r="N307" s="6" t="str">
        <f>IF(COUNTBLANK($A307:$E307)&gt;0, "", IFERROR(AVERAGEIFS(Log!#REF!, Log!$A:$A, $A307, Log!$B:$B, $B307, Log!$C:$C, $C307),""))</f>
        <v/>
      </c>
      <c r="O307" s="6" t="str">
        <f>IF(COUNTBLANK($A307:$E307)&gt;0, "", IFERROR(_xlfn.MINIFS(Log!$F:$F, Log!$A:$A, $A307, Log!$B:$B, $B307, Log!$C:$C, $C307),""))</f>
        <v/>
      </c>
      <c r="P307" s="6" t="str">
        <f>IF(COUNTBLANK($A307:$E307)&gt;0, "", IFERROR(_xlfn.MAXIFS(Log!$F:$F, Log!$A:$A, $A307, Log!$B:$B, $B307, Log!$C:$C, $C307),""))</f>
        <v/>
      </c>
      <c r="Q307" s="6" t="str">
        <f>IF(COUNTBLANK($A307:$E307)&gt;0, "", IFERROR(AVERAGEIFS(Log!#REF!, Log!$A:$A, $A307, Log!$B:$B, $B307, Log!$C:$C, $C307),""))</f>
        <v/>
      </c>
      <c r="R307" s="6" t="str">
        <f>IF(COUNTBLANK($A307:$E307)&gt;0, "", IFERROR(_xlfn.MINIFS(Log!$G:$G, Log!$A:$A, $A307, Log!$B:$B, $B307, Log!$C:$C, $C307),""))</f>
        <v/>
      </c>
      <c r="S307" s="6" t="str">
        <f>IF(COUNTBLANK($A307:$E307)&gt;0, "", IFERROR(_xlfn.MAXIFS(Log!$G:$G, Log!$A:$A, $A307, Log!$B:$B, $B307, Log!$C:$C, $C307),""))</f>
        <v/>
      </c>
      <c r="T307" s="6"/>
      <c r="U307" s="6"/>
      <c r="CP307" s="6"/>
      <c r="CQ307" s="6"/>
    </row>
    <row r="308" spans="2:95" ht="40.049999999999997" customHeight="1" x14ac:dyDescent="0.3">
      <c r="B308" s="236" t="s">
        <v>89</v>
      </c>
      <c r="H308" s="7" t="str">
        <f>IF(COUNTBLANK($A308:$E308)&gt;0, "", IFERROR(AVERAGEIFS(Log!$E:$E, Log!$A:$A, $A308, Log!$B:$B, $B308, Log!$C:$C, $C308),""))</f>
        <v/>
      </c>
      <c r="I308" s="37" t="str">
        <f t="shared" si="9"/>
        <v/>
      </c>
      <c r="N308" s="6" t="str">
        <f>IF(COUNTBLANK($A308:$E308)&gt;0, "", IFERROR(AVERAGEIFS(Log!#REF!, Log!$A:$A, $A308, Log!$B:$B, $B308, Log!$C:$C, $C308),""))</f>
        <v/>
      </c>
      <c r="O308" s="6" t="str">
        <f>IF(COUNTBLANK($A308:$E308)&gt;0, "", IFERROR(_xlfn.MINIFS(Log!$F:$F, Log!$A:$A, $A308, Log!$B:$B, $B308, Log!$C:$C, $C308),""))</f>
        <v/>
      </c>
      <c r="P308" s="6" t="str">
        <f>IF(COUNTBLANK($A308:$E308)&gt;0, "", IFERROR(_xlfn.MAXIFS(Log!$F:$F, Log!$A:$A, $A308, Log!$B:$B, $B308, Log!$C:$C, $C308),""))</f>
        <v/>
      </c>
      <c r="Q308" s="6" t="str">
        <f>IF(COUNTBLANK($A308:$E308)&gt;0, "", IFERROR(AVERAGEIFS(Log!#REF!, Log!$A:$A, $A308, Log!$B:$B, $B308, Log!$C:$C, $C308),""))</f>
        <v/>
      </c>
      <c r="R308" s="6" t="str">
        <f>IF(COUNTBLANK($A308:$E308)&gt;0, "", IFERROR(_xlfn.MINIFS(Log!$G:$G, Log!$A:$A, $A308, Log!$B:$B, $B308, Log!$C:$C, $C308),""))</f>
        <v/>
      </c>
      <c r="S308" s="6" t="str">
        <f>IF(COUNTBLANK($A308:$E308)&gt;0, "", IFERROR(_xlfn.MAXIFS(Log!$G:$G, Log!$A:$A, $A308, Log!$B:$B, $B308, Log!$C:$C, $C308),""))</f>
        <v/>
      </c>
      <c r="T308" s="6"/>
      <c r="U308" s="6"/>
      <c r="CP308" s="6"/>
      <c r="CQ308" s="6"/>
    </row>
    <row r="309" spans="2:95" ht="40.049999999999997" customHeight="1" x14ac:dyDescent="0.3">
      <c r="B309" s="236" t="s">
        <v>89</v>
      </c>
      <c r="H309" s="7" t="str">
        <f>IF(COUNTBLANK($A309:$E309)&gt;0, "", IFERROR(AVERAGEIFS(Log!$E:$E, Log!$A:$A, $A309, Log!$B:$B, $B309, Log!$C:$C, $C309),""))</f>
        <v/>
      </c>
      <c r="I309" s="37" t="str">
        <f t="shared" si="9"/>
        <v/>
      </c>
      <c r="N309" s="6" t="str">
        <f>IF(COUNTBLANK($A309:$E309)&gt;0, "", IFERROR(AVERAGEIFS(Log!#REF!, Log!$A:$A, $A309, Log!$B:$B, $B309, Log!$C:$C, $C309),""))</f>
        <v/>
      </c>
      <c r="O309" s="6" t="str">
        <f>IF(COUNTBLANK($A309:$E309)&gt;0, "", IFERROR(_xlfn.MINIFS(Log!$F:$F, Log!$A:$A, $A309, Log!$B:$B, $B309, Log!$C:$C, $C309),""))</f>
        <v/>
      </c>
      <c r="P309" s="6" t="str">
        <f>IF(COUNTBLANK($A309:$E309)&gt;0, "", IFERROR(_xlfn.MAXIFS(Log!$F:$F, Log!$A:$A, $A309, Log!$B:$B, $B309, Log!$C:$C, $C309),""))</f>
        <v/>
      </c>
      <c r="Q309" s="6" t="str">
        <f>IF(COUNTBLANK($A309:$E309)&gt;0, "", IFERROR(AVERAGEIFS(Log!#REF!, Log!$A:$A, $A309, Log!$B:$B, $B309, Log!$C:$C, $C309),""))</f>
        <v/>
      </c>
      <c r="R309" s="6" t="str">
        <f>IF(COUNTBLANK($A309:$E309)&gt;0, "", IFERROR(_xlfn.MINIFS(Log!$G:$G, Log!$A:$A, $A309, Log!$B:$B, $B309, Log!$C:$C, $C309),""))</f>
        <v/>
      </c>
      <c r="S309" s="6" t="str">
        <f>IF(COUNTBLANK($A309:$E309)&gt;0, "", IFERROR(_xlfn.MAXIFS(Log!$G:$G, Log!$A:$A, $A309, Log!$B:$B, $B309, Log!$C:$C, $C309),""))</f>
        <v/>
      </c>
      <c r="T309" s="6"/>
      <c r="U309" s="6"/>
      <c r="CP309" s="6"/>
      <c r="CQ309" s="6"/>
    </row>
    <row r="310" spans="2:95" ht="40.049999999999997" customHeight="1" x14ac:dyDescent="0.3">
      <c r="B310" s="236" t="s">
        <v>89</v>
      </c>
      <c r="H310" s="7" t="str">
        <f>IF(COUNTBLANK($A310:$E310)&gt;0, "", IFERROR(AVERAGEIFS(Log!$E:$E, Log!$A:$A, $A310, Log!$B:$B, $B310, Log!$C:$C, $C310),""))</f>
        <v/>
      </c>
      <c r="I310" s="37" t="str">
        <f t="shared" si="9"/>
        <v/>
      </c>
      <c r="N310" s="6" t="str">
        <f>IF(COUNTBLANK($A310:$E310)&gt;0, "", IFERROR(AVERAGEIFS(Log!#REF!, Log!$A:$A, $A310, Log!$B:$B, $B310, Log!$C:$C, $C310),""))</f>
        <v/>
      </c>
      <c r="O310" s="6" t="str">
        <f>IF(COUNTBLANK($A310:$E310)&gt;0, "", IFERROR(_xlfn.MINIFS(Log!$F:$F, Log!$A:$A, $A310, Log!$B:$B, $B310, Log!$C:$C, $C310),""))</f>
        <v/>
      </c>
      <c r="P310" s="6" t="str">
        <f>IF(COUNTBLANK($A310:$E310)&gt;0, "", IFERROR(_xlfn.MAXIFS(Log!$F:$F, Log!$A:$A, $A310, Log!$B:$B, $B310, Log!$C:$C, $C310),""))</f>
        <v/>
      </c>
      <c r="Q310" s="6" t="str">
        <f>IF(COUNTBLANK($A310:$E310)&gt;0, "", IFERROR(AVERAGEIFS(Log!#REF!, Log!$A:$A, $A310, Log!$B:$B, $B310, Log!$C:$C, $C310),""))</f>
        <v/>
      </c>
      <c r="R310" s="6" t="str">
        <f>IF(COUNTBLANK($A310:$E310)&gt;0, "", IFERROR(_xlfn.MINIFS(Log!$G:$G, Log!$A:$A, $A310, Log!$B:$B, $B310, Log!$C:$C, $C310),""))</f>
        <v/>
      </c>
      <c r="S310" s="6" t="str">
        <f>IF(COUNTBLANK($A310:$E310)&gt;0, "", IFERROR(_xlfn.MAXIFS(Log!$G:$G, Log!$A:$A, $A310, Log!$B:$B, $B310, Log!$C:$C, $C310),""))</f>
        <v/>
      </c>
      <c r="T310" s="6"/>
      <c r="U310" s="6"/>
      <c r="CP310" s="6"/>
      <c r="CQ310" s="6"/>
    </row>
    <row r="311" spans="2:95" ht="40.049999999999997" customHeight="1" x14ac:dyDescent="0.3">
      <c r="B311" s="236" t="s">
        <v>89</v>
      </c>
      <c r="H311" s="7" t="str">
        <f>IF(COUNTBLANK($A311:$E311)&gt;0, "", IFERROR(AVERAGEIFS(Log!$E:$E, Log!$A:$A, $A311, Log!$B:$B, $B311, Log!$C:$C, $C311),""))</f>
        <v/>
      </c>
      <c r="I311" s="37" t="str">
        <f t="shared" si="9"/>
        <v/>
      </c>
      <c r="N311" s="6" t="str">
        <f>IF(COUNTBLANK($A311:$E311)&gt;0, "", IFERROR(AVERAGEIFS(Log!#REF!, Log!$A:$A, $A311, Log!$B:$B, $B311, Log!$C:$C, $C311),""))</f>
        <v/>
      </c>
      <c r="O311" s="6" t="str">
        <f>IF(COUNTBLANK($A311:$E311)&gt;0, "", IFERROR(_xlfn.MINIFS(Log!$F:$F, Log!$A:$A, $A311, Log!$B:$B, $B311, Log!$C:$C, $C311),""))</f>
        <v/>
      </c>
      <c r="P311" s="6" t="str">
        <f>IF(COUNTBLANK($A311:$E311)&gt;0, "", IFERROR(_xlfn.MAXIFS(Log!$F:$F, Log!$A:$A, $A311, Log!$B:$B, $B311, Log!$C:$C, $C311),""))</f>
        <v/>
      </c>
      <c r="Q311" s="6" t="str">
        <f>IF(COUNTBLANK($A311:$E311)&gt;0, "", IFERROR(AVERAGEIFS(Log!#REF!, Log!$A:$A, $A311, Log!$B:$B, $B311, Log!$C:$C, $C311),""))</f>
        <v/>
      </c>
      <c r="R311" s="6" t="str">
        <f>IF(COUNTBLANK($A311:$E311)&gt;0, "", IFERROR(_xlfn.MINIFS(Log!$G:$G, Log!$A:$A, $A311, Log!$B:$B, $B311, Log!$C:$C, $C311),""))</f>
        <v/>
      </c>
      <c r="S311" s="6" t="str">
        <f>IF(COUNTBLANK($A311:$E311)&gt;0, "", IFERROR(_xlfn.MAXIFS(Log!$G:$G, Log!$A:$A, $A311, Log!$B:$B, $B311, Log!$C:$C, $C311),""))</f>
        <v/>
      </c>
      <c r="T311" s="6"/>
      <c r="U311" s="6"/>
      <c r="CP311" s="6"/>
      <c r="CQ311" s="6"/>
    </row>
    <row r="312" spans="2:95" ht="40.049999999999997" customHeight="1" x14ac:dyDescent="0.3">
      <c r="B312" s="236" t="s">
        <v>89</v>
      </c>
      <c r="H312" s="7" t="str">
        <f>IF(COUNTBLANK($A312:$E312)&gt;0, "", IFERROR(AVERAGEIFS(Log!$E:$E, Log!$A:$A, $A312, Log!$B:$B, $B312, Log!$C:$C, $C312),""))</f>
        <v/>
      </c>
      <c r="I312" s="37" t="str">
        <f t="shared" si="9"/>
        <v/>
      </c>
      <c r="N312" s="6" t="str">
        <f>IF(COUNTBLANK($A312:$E312)&gt;0, "", IFERROR(AVERAGEIFS(Log!#REF!, Log!$A:$A, $A312, Log!$B:$B, $B312, Log!$C:$C, $C312),""))</f>
        <v/>
      </c>
      <c r="O312" s="6" t="str">
        <f>IF(COUNTBLANK($A312:$E312)&gt;0, "", IFERROR(_xlfn.MINIFS(Log!$F:$F, Log!$A:$A, $A312, Log!$B:$B, $B312, Log!$C:$C, $C312),""))</f>
        <v/>
      </c>
      <c r="P312" s="6" t="str">
        <f>IF(COUNTBLANK($A312:$E312)&gt;0, "", IFERROR(_xlfn.MAXIFS(Log!$F:$F, Log!$A:$A, $A312, Log!$B:$B, $B312, Log!$C:$C, $C312),""))</f>
        <v/>
      </c>
      <c r="Q312" s="6" t="str">
        <f>IF(COUNTBLANK($A312:$E312)&gt;0, "", IFERROR(AVERAGEIFS(Log!#REF!, Log!$A:$A, $A312, Log!$B:$B, $B312, Log!$C:$C, $C312),""))</f>
        <v/>
      </c>
      <c r="R312" s="6" t="str">
        <f>IF(COUNTBLANK($A312:$E312)&gt;0, "", IFERROR(_xlfn.MINIFS(Log!$G:$G, Log!$A:$A, $A312, Log!$B:$B, $B312, Log!$C:$C, $C312),""))</f>
        <v/>
      </c>
      <c r="S312" s="6" t="str">
        <f>IF(COUNTBLANK($A312:$E312)&gt;0, "", IFERROR(_xlfn.MAXIFS(Log!$G:$G, Log!$A:$A, $A312, Log!$B:$B, $B312, Log!$C:$C, $C312),""))</f>
        <v/>
      </c>
      <c r="T312" s="6"/>
      <c r="U312" s="6"/>
      <c r="CP312" s="6"/>
      <c r="CQ312" s="6"/>
    </row>
    <row r="313" spans="2:95" ht="40.049999999999997" customHeight="1" x14ac:dyDescent="0.3">
      <c r="B313" s="236" t="s">
        <v>89</v>
      </c>
      <c r="H313" s="7" t="str">
        <f>IF(COUNTBLANK($A313:$E313)&gt;0, "", IFERROR(AVERAGEIFS(Log!$E:$E, Log!$A:$A, $A313, Log!$B:$B, $B313, Log!$C:$C, $C313),""))</f>
        <v/>
      </c>
      <c r="I313" s="37" t="str">
        <f t="shared" si="9"/>
        <v/>
      </c>
      <c r="N313" s="6" t="str">
        <f>IF(COUNTBLANK($A313:$E313)&gt;0, "", IFERROR(AVERAGEIFS(Log!#REF!, Log!$A:$A, $A313, Log!$B:$B, $B313, Log!$C:$C, $C313),""))</f>
        <v/>
      </c>
      <c r="O313" s="6" t="str">
        <f>IF(COUNTBLANK($A313:$E313)&gt;0, "", IFERROR(_xlfn.MINIFS(Log!$F:$F, Log!$A:$A, $A313, Log!$B:$B, $B313, Log!$C:$C, $C313),""))</f>
        <v/>
      </c>
      <c r="P313" s="6" t="str">
        <f>IF(COUNTBLANK($A313:$E313)&gt;0, "", IFERROR(_xlfn.MAXIFS(Log!$F:$F, Log!$A:$A, $A313, Log!$B:$B, $B313, Log!$C:$C, $C313),""))</f>
        <v/>
      </c>
      <c r="Q313" s="6" t="str">
        <f>IF(COUNTBLANK($A313:$E313)&gt;0, "", IFERROR(AVERAGEIFS(Log!#REF!, Log!$A:$A, $A313, Log!$B:$B, $B313, Log!$C:$C, $C313),""))</f>
        <v/>
      </c>
      <c r="R313" s="6" t="str">
        <f>IF(COUNTBLANK($A313:$E313)&gt;0, "", IFERROR(_xlfn.MINIFS(Log!$G:$G, Log!$A:$A, $A313, Log!$B:$B, $B313, Log!$C:$C, $C313),""))</f>
        <v/>
      </c>
      <c r="S313" s="6" t="str">
        <f>IF(COUNTBLANK($A313:$E313)&gt;0, "", IFERROR(_xlfn.MAXIFS(Log!$G:$G, Log!$A:$A, $A313, Log!$B:$B, $B313, Log!$C:$C, $C313),""))</f>
        <v/>
      </c>
      <c r="T313" s="6"/>
      <c r="U313" s="6"/>
      <c r="CP313" s="6"/>
      <c r="CQ313" s="6"/>
    </row>
    <row r="314" spans="2:95" ht="40.049999999999997" customHeight="1" x14ac:dyDescent="0.3">
      <c r="B314" s="236" t="s">
        <v>89</v>
      </c>
      <c r="H314" s="7" t="str">
        <f>IF(COUNTBLANK($A314:$E314)&gt;0, "", IFERROR(AVERAGEIFS(Log!$E:$E, Log!$A:$A, $A314, Log!$B:$B, $B314, Log!$C:$C, $C314),""))</f>
        <v/>
      </c>
      <c r="I314" s="37" t="str">
        <f t="shared" si="9"/>
        <v/>
      </c>
      <c r="N314" s="6" t="str">
        <f>IF(COUNTBLANK($A314:$E314)&gt;0, "", IFERROR(AVERAGEIFS(Log!#REF!, Log!$A:$A, $A314, Log!$B:$B, $B314, Log!$C:$C, $C314),""))</f>
        <v/>
      </c>
      <c r="O314" s="6" t="str">
        <f>IF(COUNTBLANK($A314:$E314)&gt;0, "", IFERROR(_xlfn.MINIFS(Log!$F:$F, Log!$A:$A, $A314, Log!$B:$B, $B314, Log!$C:$C, $C314),""))</f>
        <v/>
      </c>
      <c r="P314" s="6" t="str">
        <f>IF(COUNTBLANK($A314:$E314)&gt;0, "", IFERROR(_xlfn.MAXIFS(Log!$F:$F, Log!$A:$A, $A314, Log!$B:$B, $B314, Log!$C:$C, $C314),""))</f>
        <v/>
      </c>
      <c r="Q314" s="6" t="str">
        <f>IF(COUNTBLANK($A314:$E314)&gt;0, "", IFERROR(AVERAGEIFS(Log!#REF!, Log!$A:$A, $A314, Log!$B:$B, $B314, Log!$C:$C, $C314),""))</f>
        <v/>
      </c>
      <c r="R314" s="6" t="str">
        <f>IF(COUNTBLANK($A314:$E314)&gt;0, "", IFERROR(_xlfn.MINIFS(Log!$G:$G, Log!$A:$A, $A314, Log!$B:$B, $B314, Log!$C:$C, $C314),""))</f>
        <v/>
      </c>
      <c r="S314" s="6" t="str">
        <f>IF(COUNTBLANK($A314:$E314)&gt;0, "", IFERROR(_xlfn.MAXIFS(Log!$G:$G, Log!$A:$A, $A314, Log!$B:$B, $B314, Log!$C:$C, $C314),""))</f>
        <v/>
      </c>
      <c r="T314" s="6"/>
      <c r="U314" s="6"/>
      <c r="CP314" s="6"/>
      <c r="CQ314" s="6"/>
    </row>
    <row r="315" spans="2:95" ht="40.049999999999997" customHeight="1" x14ac:dyDescent="0.3">
      <c r="B315" s="236" t="s">
        <v>89</v>
      </c>
      <c r="H315" s="7" t="str">
        <f>IF(COUNTBLANK($A315:$E315)&gt;0, "", IFERROR(AVERAGEIFS(Log!$E:$E, Log!$A:$A, $A315, Log!$B:$B, $B315, Log!$C:$C, $C315),""))</f>
        <v/>
      </c>
      <c r="I315" s="37" t="str">
        <f t="shared" si="9"/>
        <v/>
      </c>
      <c r="N315" s="6" t="str">
        <f>IF(COUNTBLANK($A315:$E315)&gt;0, "", IFERROR(AVERAGEIFS(Log!#REF!, Log!$A:$A, $A315, Log!$B:$B, $B315, Log!$C:$C, $C315),""))</f>
        <v/>
      </c>
      <c r="O315" s="6" t="str">
        <f>IF(COUNTBLANK($A315:$E315)&gt;0, "", IFERROR(_xlfn.MINIFS(Log!$F:$F, Log!$A:$A, $A315, Log!$B:$B, $B315, Log!$C:$C, $C315),""))</f>
        <v/>
      </c>
      <c r="P315" s="6" t="str">
        <f>IF(COUNTBLANK($A315:$E315)&gt;0, "", IFERROR(_xlfn.MAXIFS(Log!$F:$F, Log!$A:$A, $A315, Log!$B:$B, $B315, Log!$C:$C, $C315),""))</f>
        <v/>
      </c>
      <c r="Q315" s="6" t="str">
        <f>IF(COUNTBLANK($A315:$E315)&gt;0, "", IFERROR(AVERAGEIFS(Log!#REF!, Log!$A:$A, $A315, Log!$B:$B, $B315, Log!$C:$C, $C315),""))</f>
        <v/>
      </c>
      <c r="R315" s="6" t="str">
        <f>IF(COUNTBLANK($A315:$E315)&gt;0, "", IFERROR(_xlfn.MINIFS(Log!$G:$G, Log!$A:$A, $A315, Log!$B:$B, $B315, Log!$C:$C, $C315),""))</f>
        <v/>
      </c>
      <c r="S315" s="6" t="str">
        <f>IF(COUNTBLANK($A315:$E315)&gt;0, "", IFERROR(_xlfn.MAXIFS(Log!$G:$G, Log!$A:$A, $A315, Log!$B:$B, $B315, Log!$C:$C, $C315),""))</f>
        <v/>
      </c>
      <c r="T315" s="6"/>
      <c r="U315" s="6"/>
      <c r="CP315" s="6"/>
      <c r="CQ315" s="6"/>
    </row>
    <row r="316" spans="2:95" ht="40.049999999999997" customHeight="1" x14ac:dyDescent="0.3">
      <c r="B316" s="236" t="s">
        <v>89</v>
      </c>
      <c r="H316" s="7" t="str">
        <f>IF(COUNTBLANK($A316:$E316)&gt;0, "", IFERROR(AVERAGEIFS(Log!$E:$E, Log!$A:$A, $A316, Log!$B:$B, $B316, Log!$C:$C, $C316),""))</f>
        <v/>
      </c>
      <c r="I316" s="37" t="str">
        <f t="shared" si="9"/>
        <v/>
      </c>
      <c r="N316" s="6" t="str">
        <f>IF(COUNTBLANK($A316:$E316)&gt;0, "", IFERROR(AVERAGEIFS(Log!#REF!, Log!$A:$A, $A316, Log!$B:$B, $B316, Log!$C:$C, $C316),""))</f>
        <v/>
      </c>
      <c r="O316" s="6" t="str">
        <f>IF(COUNTBLANK($A316:$E316)&gt;0, "", IFERROR(_xlfn.MINIFS(Log!$F:$F, Log!$A:$A, $A316, Log!$B:$B, $B316, Log!$C:$C, $C316),""))</f>
        <v/>
      </c>
      <c r="P316" s="6" t="str">
        <f>IF(COUNTBLANK($A316:$E316)&gt;0, "", IFERROR(_xlfn.MAXIFS(Log!$F:$F, Log!$A:$A, $A316, Log!$B:$B, $B316, Log!$C:$C, $C316),""))</f>
        <v/>
      </c>
      <c r="Q316" s="6" t="str">
        <f>IF(COUNTBLANK($A316:$E316)&gt;0, "", IFERROR(AVERAGEIFS(Log!#REF!, Log!$A:$A, $A316, Log!$B:$B, $B316, Log!$C:$C, $C316),""))</f>
        <v/>
      </c>
      <c r="R316" s="6" t="str">
        <f>IF(COUNTBLANK($A316:$E316)&gt;0, "", IFERROR(_xlfn.MINIFS(Log!$G:$G, Log!$A:$A, $A316, Log!$B:$B, $B316, Log!$C:$C, $C316),""))</f>
        <v/>
      </c>
      <c r="S316" s="6" t="str">
        <f>IF(COUNTBLANK($A316:$E316)&gt;0, "", IFERROR(_xlfn.MAXIFS(Log!$G:$G, Log!$A:$A, $A316, Log!$B:$B, $B316, Log!$C:$C, $C316),""))</f>
        <v/>
      </c>
      <c r="T316" s="6"/>
      <c r="U316" s="6"/>
      <c r="CP316" s="6"/>
      <c r="CQ316" s="6"/>
    </row>
    <row r="317" spans="2:95" ht="40.049999999999997" customHeight="1" x14ac:dyDescent="0.3">
      <c r="B317" s="236" t="s">
        <v>89</v>
      </c>
      <c r="H317" s="7" t="str">
        <f>IF(COUNTBLANK($A317:$E317)&gt;0, "", IFERROR(AVERAGEIFS(Log!$E:$E, Log!$A:$A, $A317, Log!$B:$B, $B317, Log!$C:$C, $C317),""))</f>
        <v/>
      </c>
      <c r="I317" s="37" t="str">
        <f t="shared" si="9"/>
        <v/>
      </c>
      <c r="N317" s="6" t="str">
        <f>IF(COUNTBLANK($A317:$E317)&gt;0, "", IFERROR(AVERAGEIFS(Log!#REF!, Log!$A:$A, $A317, Log!$B:$B, $B317, Log!$C:$C, $C317),""))</f>
        <v/>
      </c>
      <c r="O317" s="6" t="str">
        <f>IF(COUNTBLANK($A317:$E317)&gt;0, "", IFERROR(_xlfn.MINIFS(Log!$F:$F, Log!$A:$A, $A317, Log!$B:$B, $B317, Log!$C:$C, $C317),""))</f>
        <v/>
      </c>
      <c r="P317" s="6" t="str">
        <f>IF(COUNTBLANK($A317:$E317)&gt;0, "", IFERROR(_xlfn.MAXIFS(Log!$F:$F, Log!$A:$A, $A317, Log!$B:$B, $B317, Log!$C:$C, $C317),""))</f>
        <v/>
      </c>
      <c r="Q317" s="6" t="str">
        <f>IF(COUNTBLANK($A317:$E317)&gt;0, "", IFERROR(AVERAGEIFS(Log!#REF!, Log!$A:$A, $A317, Log!$B:$B, $B317, Log!$C:$C, $C317),""))</f>
        <v/>
      </c>
      <c r="R317" s="6" t="str">
        <f>IF(COUNTBLANK($A317:$E317)&gt;0, "", IFERROR(_xlfn.MINIFS(Log!$G:$G, Log!$A:$A, $A317, Log!$B:$B, $B317, Log!$C:$C, $C317),""))</f>
        <v/>
      </c>
      <c r="S317" s="6" t="str">
        <f>IF(COUNTBLANK($A317:$E317)&gt;0, "", IFERROR(_xlfn.MAXIFS(Log!$G:$G, Log!$A:$A, $A317, Log!$B:$B, $B317, Log!$C:$C, $C317),""))</f>
        <v/>
      </c>
      <c r="T317" s="6"/>
      <c r="U317" s="6"/>
      <c r="CP317" s="6"/>
      <c r="CQ317" s="6"/>
    </row>
    <row r="318" spans="2:95" ht="40.049999999999997" customHeight="1" x14ac:dyDescent="0.3">
      <c r="B318" s="236" t="s">
        <v>89</v>
      </c>
      <c r="H318" s="7" t="str">
        <f>IF(COUNTBLANK($A318:$E318)&gt;0, "", IFERROR(AVERAGEIFS(Log!$E:$E, Log!$A:$A, $A318, Log!$B:$B, $B318, Log!$C:$C, $C318),""))</f>
        <v/>
      </c>
      <c r="I318" s="37" t="str">
        <f t="shared" si="9"/>
        <v/>
      </c>
      <c r="N318" s="6" t="str">
        <f>IF(COUNTBLANK($A318:$E318)&gt;0, "", IFERROR(AVERAGEIFS(Log!#REF!, Log!$A:$A, $A318, Log!$B:$B, $B318, Log!$C:$C, $C318),""))</f>
        <v/>
      </c>
      <c r="O318" s="6" t="str">
        <f>IF(COUNTBLANK($A318:$E318)&gt;0, "", IFERROR(_xlfn.MINIFS(Log!$F:$F, Log!$A:$A, $A318, Log!$B:$B, $B318, Log!$C:$C, $C318),""))</f>
        <v/>
      </c>
      <c r="P318" s="6" t="str">
        <f>IF(COUNTBLANK($A318:$E318)&gt;0, "", IFERROR(_xlfn.MAXIFS(Log!$F:$F, Log!$A:$A, $A318, Log!$B:$B, $B318, Log!$C:$C, $C318),""))</f>
        <v/>
      </c>
      <c r="Q318" s="6" t="str">
        <f>IF(COUNTBLANK($A318:$E318)&gt;0, "", IFERROR(AVERAGEIFS(Log!#REF!, Log!$A:$A, $A318, Log!$B:$B, $B318, Log!$C:$C, $C318),""))</f>
        <v/>
      </c>
      <c r="R318" s="6" t="str">
        <f>IF(COUNTBLANK($A318:$E318)&gt;0, "", IFERROR(_xlfn.MINIFS(Log!$G:$G, Log!$A:$A, $A318, Log!$B:$B, $B318, Log!$C:$C, $C318),""))</f>
        <v/>
      </c>
      <c r="S318" s="6" t="str">
        <f>IF(COUNTBLANK($A318:$E318)&gt;0, "", IFERROR(_xlfn.MAXIFS(Log!$G:$G, Log!$A:$A, $A318, Log!$B:$B, $B318, Log!$C:$C, $C318),""))</f>
        <v/>
      </c>
      <c r="T318" s="6"/>
      <c r="U318" s="6"/>
      <c r="CP318" s="6"/>
      <c r="CQ318" s="6"/>
    </row>
    <row r="319" spans="2:95" ht="40.049999999999997" customHeight="1" x14ac:dyDescent="0.3">
      <c r="B319" s="236" t="s">
        <v>89</v>
      </c>
      <c r="H319" s="7" t="str">
        <f>IF(COUNTBLANK($A319:$E319)&gt;0, "", IFERROR(AVERAGEIFS(Log!$E:$E, Log!$A:$A, $A319, Log!$B:$B, $B319, Log!$C:$C, $C319),""))</f>
        <v/>
      </c>
      <c r="I319" s="37" t="str">
        <f t="shared" si="9"/>
        <v/>
      </c>
      <c r="N319" s="6" t="str">
        <f>IF(COUNTBLANK($A319:$E319)&gt;0, "", IFERROR(AVERAGEIFS(Log!#REF!, Log!$A:$A, $A319, Log!$B:$B, $B319, Log!$C:$C, $C319),""))</f>
        <v/>
      </c>
      <c r="O319" s="6" t="str">
        <f>IF(COUNTBLANK($A319:$E319)&gt;0, "", IFERROR(_xlfn.MINIFS(Log!$F:$F, Log!$A:$A, $A319, Log!$B:$B, $B319, Log!$C:$C, $C319),""))</f>
        <v/>
      </c>
      <c r="P319" s="6" t="str">
        <f>IF(COUNTBLANK($A319:$E319)&gt;0, "", IFERROR(_xlfn.MAXIFS(Log!$F:$F, Log!$A:$A, $A319, Log!$B:$B, $B319, Log!$C:$C, $C319),""))</f>
        <v/>
      </c>
      <c r="Q319" s="6" t="str">
        <f>IF(COUNTBLANK($A319:$E319)&gt;0, "", IFERROR(AVERAGEIFS(Log!#REF!, Log!$A:$A, $A319, Log!$B:$B, $B319, Log!$C:$C, $C319),""))</f>
        <v/>
      </c>
      <c r="R319" s="6" t="str">
        <f>IF(COUNTBLANK($A319:$E319)&gt;0, "", IFERROR(_xlfn.MINIFS(Log!$G:$G, Log!$A:$A, $A319, Log!$B:$B, $B319, Log!$C:$C, $C319),""))</f>
        <v/>
      </c>
      <c r="S319" s="6" t="str">
        <f>IF(COUNTBLANK($A319:$E319)&gt;0, "", IFERROR(_xlfn.MAXIFS(Log!$G:$G, Log!$A:$A, $A319, Log!$B:$B, $B319, Log!$C:$C, $C319),""))</f>
        <v/>
      </c>
      <c r="T319" s="6"/>
      <c r="U319" s="6"/>
      <c r="CP319" s="6"/>
      <c r="CQ319" s="6"/>
    </row>
    <row r="320" spans="2:95" ht="40.049999999999997" customHeight="1" x14ac:dyDescent="0.3">
      <c r="B320" s="236" t="s">
        <v>89</v>
      </c>
      <c r="H320" s="7" t="str">
        <f>IF(COUNTBLANK($A320:$E320)&gt;0, "", IFERROR(AVERAGEIFS(Log!$E:$E, Log!$A:$A, $A320, Log!$B:$B, $B320, Log!$C:$C, $C320),""))</f>
        <v/>
      </c>
      <c r="I320" s="37" t="str">
        <f t="shared" si="9"/>
        <v/>
      </c>
      <c r="N320" s="6" t="str">
        <f>IF(COUNTBLANK($A320:$E320)&gt;0, "", IFERROR(AVERAGEIFS(Log!#REF!, Log!$A:$A, $A320, Log!$B:$B, $B320, Log!$C:$C, $C320),""))</f>
        <v/>
      </c>
      <c r="O320" s="6" t="str">
        <f>IF(COUNTBLANK($A320:$E320)&gt;0, "", IFERROR(_xlfn.MINIFS(Log!$F:$F, Log!$A:$A, $A320, Log!$B:$B, $B320, Log!$C:$C, $C320),""))</f>
        <v/>
      </c>
      <c r="P320" s="6" t="str">
        <f>IF(COUNTBLANK($A320:$E320)&gt;0, "", IFERROR(_xlfn.MAXIFS(Log!$F:$F, Log!$A:$A, $A320, Log!$B:$B, $B320, Log!$C:$C, $C320),""))</f>
        <v/>
      </c>
      <c r="Q320" s="6" t="str">
        <f>IF(COUNTBLANK($A320:$E320)&gt;0, "", IFERROR(AVERAGEIFS(Log!#REF!, Log!$A:$A, $A320, Log!$B:$B, $B320, Log!$C:$C, $C320),""))</f>
        <v/>
      </c>
      <c r="R320" s="6" t="str">
        <f>IF(COUNTBLANK($A320:$E320)&gt;0, "", IFERROR(_xlfn.MINIFS(Log!$G:$G, Log!$A:$A, $A320, Log!$B:$B, $B320, Log!$C:$C, $C320),""))</f>
        <v/>
      </c>
      <c r="S320" s="6" t="str">
        <f>IF(COUNTBLANK($A320:$E320)&gt;0, "", IFERROR(_xlfn.MAXIFS(Log!$G:$G, Log!$A:$A, $A320, Log!$B:$B, $B320, Log!$C:$C, $C320),""))</f>
        <v/>
      </c>
      <c r="T320" s="6"/>
      <c r="U320" s="6"/>
      <c r="CP320" s="6"/>
      <c r="CQ320" s="6"/>
    </row>
    <row r="321" spans="2:95" ht="40.049999999999997" customHeight="1" x14ac:dyDescent="0.3">
      <c r="B321" s="236" t="s">
        <v>89</v>
      </c>
      <c r="H321" s="7" t="str">
        <f>IF(COUNTBLANK($A321:$E321)&gt;0, "", IFERROR(AVERAGEIFS(Log!$E:$E, Log!$A:$A, $A321, Log!$B:$B, $B321, Log!$C:$C, $C321),""))</f>
        <v/>
      </c>
      <c r="I321" s="37" t="str">
        <f t="shared" si="9"/>
        <v/>
      </c>
      <c r="N321" s="6" t="str">
        <f>IF(COUNTBLANK($A321:$E321)&gt;0, "", IFERROR(AVERAGEIFS(Log!#REF!, Log!$A:$A, $A321, Log!$B:$B, $B321, Log!$C:$C, $C321),""))</f>
        <v/>
      </c>
      <c r="O321" s="6" t="str">
        <f>IF(COUNTBLANK($A321:$E321)&gt;0, "", IFERROR(_xlfn.MINIFS(Log!$F:$F, Log!$A:$A, $A321, Log!$B:$B, $B321, Log!$C:$C, $C321),""))</f>
        <v/>
      </c>
      <c r="P321" s="6" t="str">
        <f>IF(COUNTBLANK($A321:$E321)&gt;0, "", IFERROR(_xlfn.MAXIFS(Log!$F:$F, Log!$A:$A, $A321, Log!$B:$B, $B321, Log!$C:$C, $C321),""))</f>
        <v/>
      </c>
      <c r="Q321" s="6" t="str">
        <f>IF(COUNTBLANK($A321:$E321)&gt;0, "", IFERROR(AVERAGEIFS(Log!#REF!, Log!$A:$A, $A321, Log!$B:$B, $B321, Log!$C:$C, $C321),""))</f>
        <v/>
      </c>
      <c r="R321" s="6" t="str">
        <f>IF(COUNTBLANK($A321:$E321)&gt;0, "", IFERROR(_xlfn.MINIFS(Log!$G:$G, Log!$A:$A, $A321, Log!$B:$B, $B321, Log!$C:$C, $C321),""))</f>
        <v/>
      </c>
      <c r="S321" s="6" t="str">
        <f>IF(COUNTBLANK($A321:$E321)&gt;0, "", IFERROR(_xlfn.MAXIFS(Log!$G:$G, Log!$A:$A, $A321, Log!$B:$B, $B321, Log!$C:$C, $C321),""))</f>
        <v/>
      </c>
      <c r="T321" s="6"/>
      <c r="U321" s="6"/>
      <c r="CP321" s="6"/>
      <c r="CQ321" s="6"/>
    </row>
    <row r="322" spans="2:95" ht="40.049999999999997" customHeight="1" x14ac:dyDescent="0.3">
      <c r="B322" s="236" t="s">
        <v>89</v>
      </c>
      <c r="H322" s="7" t="str">
        <f>IF(COUNTBLANK($A322:$E322)&gt;0, "", IFERROR(AVERAGEIFS(Log!$E:$E, Log!$A:$A, $A322, Log!$B:$B, $B322, Log!$C:$C, $C322),""))</f>
        <v/>
      </c>
      <c r="I322" s="37" t="str">
        <f t="shared" si="9"/>
        <v/>
      </c>
      <c r="N322" s="6" t="str">
        <f>IF(COUNTBLANK($A322:$E322)&gt;0, "", IFERROR(AVERAGEIFS(Log!#REF!, Log!$A:$A, $A322, Log!$B:$B, $B322, Log!$C:$C, $C322),""))</f>
        <v/>
      </c>
      <c r="O322" s="6" t="str">
        <f>IF(COUNTBLANK($A322:$E322)&gt;0, "", IFERROR(_xlfn.MINIFS(Log!$F:$F, Log!$A:$A, $A322, Log!$B:$B, $B322, Log!$C:$C, $C322),""))</f>
        <v/>
      </c>
      <c r="P322" s="6" t="str">
        <f>IF(COUNTBLANK($A322:$E322)&gt;0, "", IFERROR(_xlfn.MAXIFS(Log!$F:$F, Log!$A:$A, $A322, Log!$B:$B, $B322, Log!$C:$C, $C322),""))</f>
        <v/>
      </c>
      <c r="Q322" s="6" t="str">
        <f>IF(COUNTBLANK($A322:$E322)&gt;0, "", IFERROR(AVERAGEIFS(Log!#REF!, Log!$A:$A, $A322, Log!$B:$B, $B322, Log!$C:$C, $C322),""))</f>
        <v/>
      </c>
      <c r="R322" s="6" t="str">
        <f>IF(COUNTBLANK($A322:$E322)&gt;0, "", IFERROR(_xlfn.MINIFS(Log!$G:$G, Log!$A:$A, $A322, Log!$B:$B, $B322, Log!$C:$C, $C322),""))</f>
        <v/>
      </c>
      <c r="S322" s="6" t="str">
        <f>IF(COUNTBLANK($A322:$E322)&gt;0, "", IFERROR(_xlfn.MAXIFS(Log!$G:$G, Log!$A:$A, $A322, Log!$B:$B, $B322, Log!$C:$C, $C322),""))</f>
        <v/>
      </c>
      <c r="T322" s="6"/>
      <c r="U322" s="6"/>
      <c r="CP322" s="6"/>
      <c r="CQ322" s="6"/>
    </row>
    <row r="323" spans="2:95" ht="40.049999999999997" customHeight="1" x14ac:dyDescent="0.3">
      <c r="B323" s="236" t="s">
        <v>89</v>
      </c>
      <c r="H323" s="7" t="str">
        <f>IF(COUNTBLANK($A323:$E323)&gt;0, "", IFERROR(AVERAGEIFS(Log!$E:$E, Log!$A:$A, $A323, Log!$B:$B, $B323, Log!$C:$C, $C323),""))</f>
        <v/>
      </c>
      <c r="I323" s="37" t="str">
        <f t="shared" ref="I323:I386" si="10">IF(AND($H323&lt;&gt;"", $G323&lt;&gt;""), $H323/$G323, "")</f>
        <v/>
      </c>
      <c r="N323" s="6" t="str">
        <f>IF(COUNTBLANK($A323:$E323)&gt;0, "", IFERROR(AVERAGEIFS(Log!#REF!, Log!$A:$A, $A323, Log!$B:$B, $B323, Log!$C:$C, $C323),""))</f>
        <v/>
      </c>
      <c r="O323" s="6" t="str">
        <f>IF(COUNTBLANK($A323:$E323)&gt;0, "", IFERROR(_xlfn.MINIFS(Log!$F:$F, Log!$A:$A, $A323, Log!$B:$B, $B323, Log!$C:$C, $C323),""))</f>
        <v/>
      </c>
      <c r="P323" s="6" t="str">
        <f>IF(COUNTBLANK($A323:$E323)&gt;0, "", IFERROR(_xlfn.MAXIFS(Log!$F:$F, Log!$A:$A, $A323, Log!$B:$B, $B323, Log!$C:$C, $C323),""))</f>
        <v/>
      </c>
      <c r="Q323" s="6" t="str">
        <f>IF(COUNTBLANK($A323:$E323)&gt;0, "", IFERROR(AVERAGEIFS(Log!#REF!, Log!$A:$A, $A323, Log!$B:$B, $B323, Log!$C:$C, $C323),""))</f>
        <v/>
      </c>
      <c r="R323" s="6" t="str">
        <f>IF(COUNTBLANK($A323:$E323)&gt;0, "", IFERROR(_xlfn.MINIFS(Log!$G:$G, Log!$A:$A, $A323, Log!$B:$B, $B323, Log!$C:$C, $C323),""))</f>
        <v/>
      </c>
      <c r="S323" s="6" t="str">
        <f>IF(COUNTBLANK($A323:$E323)&gt;0, "", IFERROR(_xlfn.MAXIFS(Log!$G:$G, Log!$A:$A, $A323, Log!$B:$B, $B323, Log!$C:$C, $C323),""))</f>
        <v/>
      </c>
      <c r="T323" s="6"/>
      <c r="U323" s="6"/>
      <c r="CP323" s="6"/>
      <c r="CQ323" s="6"/>
    </row>
    <row r="324" spans="2:95" ht="40.049999999999997" customHeight="1" x14ac:dyDescent="0.3">
      <c r="B324" s="236" t="s">
        <v>89</v>
      </c>
      <c r="H324" s="7" t="str">
        <f>IF(COUNTBLANK($A324:$E324)&gt;0, "", IFERROR(AVERAGEIFS(Log!$E:$E, Log!$A:$A, $A324, Log!$B:$B, $B324, Log!$C:$C, $C324),""))</f>
        <v/>
      </c>
      <c r="I324" s="37" t="str">
        <f t="shared" si="10"/>
        <v/>
      </c>
      <c r="N324" s="6" t="str">
        <f>IF(COUNTBLANK($A324:$E324)&gt;0, "", IFERROR(AVERAGEIFS(Log!#REF!, Log!$A:$A, $A324, Log!$B:$B, $B324, Log!$C:$C, $C324),""))</f>
        <v/>
      </c>
      <c r="O324" s="6" t="str">
        <f>IF(COUNTBLANK($A324:$E324)&gt;0, "", IFERROR(_xlfn.MINIFS(Log!$F:$F, Log!$A:$A, $A324, Log!$B:$B, $B324, Log!$C:$C, $C324),""))</f>
        <v/>
      </c>
      <c r="P324" s="6" t="str">
        <f>IF(COUNTBLANK($A324:$E324)&gt;0, "", IFERROR(_xlfn.MAXIFS(Log!$F:$F, Log!$A:$A, $A324, Log!$B:$B, $B324, Log!$C:$C, $C324),""))</f>
        <v/>
      </c>
      <c r="Q324" s="6" t="str">
        <f>IF(COUNTBLANK($A324:$E324)&gt;0, "", IFERROR(AVERAGEIFS(Log!#REF!, Log!$A:$A, $A324, Log!$B:$B, $B324, Log!$C:$C, $C324),""))</f>
        <v/>
      </c>
      <c r="R324" s="6" t="str">
        <f>IF(COUNTBLANK($A324:$E324)&gt;0, "", IFERROR(_xlfn.MINIFS(Log!$G:$G, Log!$A:$A, $A324, Log!$B:$B, $B324, Log!$C:$C, $C324),""))</f>
        <v/>
      </c>
      <c r="S324" s="6" t="str">
        <f>IF(COUNTBLANK($A324:$E324)&gt;0, "", IFERROR(_xlfn.MAXIFS(Log!$G:$G, Log!$A:$A, $A324, Log!$B:$B, $B324, Log!$C:$C, $C324),""))</f>
        <v/>
      </c>
      <c r="T324" s="6"/>
      <c r="U324" s="6"/>
      <c r="CP324" s="6"/>
      <c r="CQ324" s="6"/>
    </row>
    <row r="325" spans="2:95" ht="40.049999999999997" customHeight="1" x14ac:dyDescent="0.3">
      <c r="B325" s="236" t="s">
        <v>89</v>
      </c>
      <c r="H325" s="7" t="str">
        <f>IF(COUNTBLANK($A325:$E325)&gt;0, "", IFERROR(AVERAGEIFS(Log!$E:$E, Log!$A:$A, $A325, Log!$B:$B, $B325, Log!$C:$C, $C325),""))</f>
        <v/>
      </c>
      <c r="I325" s="37" t="str">
        <f t="shared" si="10"/>
        <v/>
      </c>
      <c r="N325" s="6" t="str">
        <f>IF(COUNTBLANK($A325:$E325)&gt;0, "", IFERROR(AVERAGEIFS(Log!#REF!, Log!$A:$A, $A325, Log!$B:$B, $B325, Log!$C:$C, $C325),""))</f>
        <v/>
      </c>
      <c r="O325" s="6" t="str">
        <f>IF(COUNTBLANK($A325:$E325)&gt;0, "", IFERROR(_xlfn.MINIFS(Log!$F:$F, Log!$A:$A, $A325, Log!$B:$B, $B325, Log!$C:$C, $C325),""))</f>
        <v/>
      </c>
      <c r="P325" s="6" t="str">
        <f>IF(COUNTBLANK($A325:$E325)&gt;0, "", IFERROR(_xlfn.MAXIFS(Log!$F:$F, Log!$A:$A, $A325, Log!$B:$B, $B325, Log!$C:$C, $C325),""))</f>
        <v/>
      </c>
      <c r="Q325" s="6" t="str">
        <f>IF(COUNTBLANK($A325:$E325)&gt;0, "", IFERROR(AVERAGEIFS(Log!#REF!, Log!$A:$A, $A325, Log!$B:$B, $B325, Log!$C:$C, $C325),""))</f>
        <v/>
      </c>
      <c r="R325" s="6" t="str">
        <f>IF(COUNTBLANK($A325:$E325)&gt;0, "", IFERROR(_xlfn.MINIFS(Log!$G:$G, Log!$A:$A, $A325, Log!$B:$B, $B325, Log!$C:$C, $C325),""))</f>
        <v/>
      </c>
      <c r="S325" s="6" t="str">
        <f>IF(COUNTBLANK($A325:$E325)&gt;0, "", IFERROR(_xlfn.MAXIFS(Log!$G:$G, Log!$A:$A, $A325, Log!$B:$B, $B325, Log!$C:$C, $C325),""))</f>
        <v/>
      </c>
      <c r="T325" s="6"/>
      <c r="U325" s="6"/>
      <c r="CP325" s="6"/>
      <c r="CQ325" s="6"/>
    </row>
    <row r="326" spans="2:95" ht="40.049999999999997" customHeight="1" x14ac:dyDescent="0.3">
      <c r="B326" s="236" t="s">
        <v>89</v>
      </c>
      <c r="H326" s="7" t="str">
        <f>IF(COUNTBLANK($A326:$E326)&gt;0, "", IFERROR(AVERAGEIFS(Log!$E:$E, Log!$A:$A, $A326, Log!$B:$B, $B326, Log!$C:$C, $C326),""))</f>
        <v/>
      </c>
      <c r="I326" s="37" t="str">
        <f t="shared" si="10"/>
        <v/>
      </c>
      <c r="N326" s="6" t="str">
        <f>IF(COUNTBLANK($A326:$E326)&gt;0, "", IFERROR(AVERAGEIFS(Log!#REF!, Log!$A:$A, $A326, Log!$B:$B, $B326, Log!$C:$C, $C326),""))</f>
        <v/>
      </c>
      <c r="O326" s="6" t="str">
        <f>IF(COUNTBLANK($A326:$E326)&gt;0, "", IFERROR(_xlfn.MINIFS(Log!$F:$F, Log!$A:$A, $A326, Log!$B:$B, $B326, Log!$C:$C, $C326),""))</f>
        <v/>
      </c>
      <c r="P326" s="6" t="str">
        <f>IF(COUNTBLANK($A326:$E326)&gt;0, "", IFERROR(_xlfn.MAXIFS(Log!$F:$F, Log!$A:$A, $A326, Log!$B:$B, $B326, Log!$C:$C, $C326),""))</f>
        <v/>
      </c>
      <c r="Q326" s="6" t="str">
        <f>IF(COUNTBLANK($A326:$E326)&gt;0, "", IFERROR(AVERAGEIFS(Log!#REF!, Log!$A:$A, $A326, Log!$B:$B, $B326, Log!$C:$C, $C326),""))</f>
        <v/>
      </c>
      <c r="R326" s="6" t="str">
        <f>IF(COUNTBLANK($A326:$E326)&gt;0, "", IFERROR(_xlfn.MINIFS(Log!$G:$G, Log!$A:$A, $A326, Log!$B:$B, $B326, Log!$C:$C, $C326),""))</f>
        <v/>
      </c>
      <c r="S326" s="6" t="str">
        <f>IF(COUNTBLANK($A326:$E326)&gt;0, "", IFERROR(_xlfn.MAXIFS(Log!$G:$G, Log!$A:$A, $A326, Log!$B:$B, $B326, Log!$C:$C, $C326),""))</f>
        <v/>
      </c>
      <c r="T326" s="6"/>
      <c r="U326" s="6"/>
      <c r="CP326" s="6"/>
      <c r="CQ326" s="6"/>
    </row>
    <row r="327" spans="2:95" ht="40.049999999999997" customHeight="1" x14ac:dyDescent="0.3">
      <c r="B327" s="236" t="s">
        <v>89</v>
      </c>
      <c r="H327" s="7" t="str">
        <f>IF(COUNTBLANK($A327:$E327)&gt;0, "", IFERROR(AVERAGEIFS(Log!$E:$E, Log!$A:$A, $A327, Log!$B:$B, $B327, Log!$C:$C, $C327),""))</f>
        <v/>
      </c>
      <c r="I327" s="37" t="str">
        <f t="shared" si="10"/>
        <v/>
      </c>
      <c r="N327" s="6" t="str">
        <f>IF(COUNTBLANK($A327:$E327)&gt;0, "", IFERROR(AVERAGEIFS(Log!#REF!, Log!$A:$A, $A327, Log!$B:$B, $B327, Log!$C:$C, $C327),""))</f>
        <v/>
      </c>
      <c r="O327" s="6" t="str">
        <f>IF(COUNTBLANK($A327:$E327)&gt;0, "", IFERROR(_xlfn.MINIFS(Log!$F:$F, Log!$A:$A, $A327, Log!$B:$B, $B327, Log!$C:$C, $C327),""))</f>
        <v/>
      </c>
      <c r="P327" s="6" t="str">
        <f>IF(COUNTBLANK($A327:$E327)&gt;0, "", IFERROR(_xlfn.MAXIFS(Log!$F:$F, Log!$A:$A, $A327, Log!$B:$B, $B327, Log!$C:$C, $C327),""))</f>
        <v/>
      </c>
      <c r="Q327" s="6" t="str">
        <f>IF(COUNTBLANK($A327:$E327)&gt;0, "", IFERROR(AVERAGEIFS(Log!#REF!, Log!$A:$A, $A327, Log!$B:$B, $B327, Log!$C:$C, $C327),""))</f>
        <v/>
      </c>
      <c r="R327" s="6" t="str">
        <f>IF(COUNTBLANK($A327:$E327)&gt;0, "", IFERROR(_xlfn.MINIFS(Log!$G:$G, Log!$A:$A, $A327, Log!$B:$B, $B327, Log!$C:$C, $C327),""))</f>
        <v/>
      </c>
      <c r="S327" s="6" t="str">
        <f>IF(COUNTBLANK($A327:$E327)&gt;0, "", IFERROR(_xlfn.MAXIFS(Log!$G:$G, Log!$A:$A, $A327, Log!$B:$B, $B327, Log!$C:$C, $C327),""))</f>
        <v/>
      </c>
      <c r="T327" s="6"/>
      <c r="U327" s="6"/>
      <c r="CP327" s="6"/>
      <c r="CQ327" s="6"/>
    </row>
    <row r="328" spans="2:95" ht="40.049999999999997" customHeight="1" x14ac:dyDescent="0.3">
      <c r="B328" s="236" t="s">
        <v>89</v>
      </c>
      <c r="H328" s="7" t="str">
        <f>IF(COUNTBLANK($A328:$E328)&gt;0, "", IFERROR(AVERAGEIFS(Log!$E:$E, Log!$A:$A, $A328, Log!$B:$B, $B328, Log!$C:$C, $C328),""))</f>
        <v/>
      </c>
      <c r="I328" s="37" t="str">
        <f t="shared" si="10"/>
        <v/>
      </c>
      <c r="N328" s="6" t="str">
        <f>IF(COUNTBLANK($A328:$E328)&gt;0, "", IFERROR(AVERAGEIFS(Log!#REF!, Log!$A:$A, $A328, Log!$B:$B, $B328, Log!$C:$C, $C328),""))</f>
        <v/>
      </c>
      <c r="O328" s="6" t="str">
        <f>IF(COUNTBLANK($A328:$E328)&gt;0, "", IFERROR(_xlfn.MINIFS(Log!$F:$F, Log!$A:$A, $A328, Log!$B:$B, $B328, Log!$C:$C, $C328),""))</f>
        <v/>
      </c>
      <c r="P328" s="6" t="str">
        <f>IF(COUNTBLANK($A328:$E328)&gt;0, "", IFERROR(_xlfn.MAXIFS(Log!$F:$F, Log!$A:$A, $A328, Log!$B:$B, $B328, Log!$C:$C, $C328),""))</f>
        <v/>
      </c>
      <c r="Q328" s="6" t="str">
        <f>IF(COUNTBLANK($A328:$E328)&gt;0, "", IFERROR(AVERAGEIFS(Log!#REF!, Log!$A:$A, $A328, Log!$B:$B, $B328, Log!$C:$C, $C328),""))</f>
        <v/>
      </c>
      <c r="R328" s="6" t="str">
        <f>IF(COUNTBLANK($A328:$E328)&gt;0, "", IFERROR(_xlfn.MINIFS(Log!$G:$G, Log!$A:$A, $A328, Log!$B:$B, $B328, Log!$C:$C, $C328),""))</f>
        <v/>
      </c>
      <c r="S328" s="6" t="str">
        <f>IF(COUNTBLANK($A328:$E328)&gt;0, "", IFERROR(_xlfn.MAXIFS(Log!$G:$G, Log!$A:$A, $A328, Log!$B:$B, $B328, Log!$C:$C, $C328),""))</f>
        <v/>
      </c>
      <c r="T328" s="6"/>
      <c r="U328" s="6"/>
      <c r="CP328" s="6"/>
      <c r="CQ328" s="6"/>
    </row>
    <row r="329" spans="2:95" ht="40.049999999999997" customHeight="1" x14ac:dyDescent="0.3">
      <c r="B329" s="236" t="s">
        <v>89</v>
      </c>
      <c r="H329" s="7" t="str">
        <f>IF(COUNTBLANK($A329:$E329)&gt;0, "", IFERROR(AVERAGEIFS(Log!$E:$E, Log!$A:$A, $A329, Log!$B:$B, $B329, Log!$C:$C, $C329),""))</f>
        <v/>
      </c>
      <c r="I329" s="37" t="str">
        <f t="shared" si="10"/>
        <v/>
      </c>
      <c r="N329" s="6" t="str">
        <f>IF(COUNTBLANK($A329:$E329)&gt;0, "", IFERROR(AVERAGEIFS(Log!#REF!, Log!$A:$A, $A329, Log!$B:$B, $B329, Log!$C:$C, $C329),""))</f>
        <v/>
      </c>
      <c r="O329" s="6" t="str">
        <f>IF(COUNTBLANK($A329:$E329)&gt;0, "", IFERROR(_xlfn.MINIFS(Log!$F:$F, Log!$A:$A, $A329, Log!$B:$B, $B329, Log!$C:$C, $C329),""))</f>
        <v/>
      </c>
      <c r="P329" s="6" t="str">
        <f>IF(COUNTBLANK($A329:$E329)&gt;0, "", IFERROR(_xlfn.MAXIFS(Log!$F:$F, Log!$A:$A, $A329, Log!$B:$B, $B329, Log!$C:$C, $C329),""))</f>
        <v/>
      </c>
      <c r="Q329" s="6" t="str">
        <f>IF(COUNTBLANK($A329:$E329)&gt;0, "", IFERROR(AVERAGEIFS(Log!#REF!, Log!$A:$A, $A329, Log!$B:$B, $B329, Log!$C:$C, $C329),""))</f>
        <v/>
      </c>
      <c r="R329" s="6" t="str">
        <f>IF(COUNTBLANK($A329:$E329)&gt;0, "", IFERROR(_xlfn.MINIFS(Log!$G:$G, Log!$A:$A, $A329, Log!$B:$B, $B329, Log!$C:$C, $C329),""))</f>
        <v/>
      </c>
      <c r="S329" s="6" t="str">
        <f>IF(COUNTBLANK($A329:$E329)&gt;0, "", IFERROR(_xlfn.MAXIFS(Log!$G:$G, Log!$A:$A, $A329, Log!$B:$B, $B329, Log!$C:$C, $C329),""))</f>
        <v/>
      </c>
      <c r="T329" s="6"/>
      <c r="U329" s="6"/>
      <c r="CP329" s="6"/>
      <c r="CQ329" s="6"/>
    </row>
    <row r="330" spans="2:95" ht="40.049999999999997" customHeight="1" x14ac:dyDescent="0.3">
      <c r="B330" s="236" t="s">
        <v>89</v>
      </c>
      <c r="H330" s="7" t="str">
        <f>IF(COUNTBLANK($A330:$E330)&gt;0, "", IFERROR(AVERAGEIFS(Log!$E:$E, Log!$A:$A, $A330, Log!$B:$B, $B330, Log!$C:$C, $C330),""))</f>
        <v/>
      </c>
      <c r="I330" s="37" t="str">
        <f t="shared" si="10"/>
        <v/>
      </c>
      <c r="N330" s="6" t="str">
        <f>IF(COUNTBLANK($A330:$E330)&gt;0, "", IFERROR(AVERAGEIFS(Log!#REF!, Log!$A:$A, $A330, Log!$B:$B, $B330, Log!$C:$C, $C330),""))</f>
        <v/>
      </c>
      <c r="O330" s="6" t="str">
        <f>IF(COUNTBLANK($A330:$E330)&gt;0, "", IFERROR(_xlfn.MINIFS(Log!$F:$F, Log!$A:$A, $A330, Log!$B:$B, $B330, Log!$C:$C, $C330),""))</f>
        <v/>
      </c>
      <c r="P330" s="6" t="str">
        <f>IF(COUNTBLANK($A330:$E330)&gt;0, "", IFERROR(_xlfn.MAXIFS(Log!$F:$F, Log!$A:$A, $A330, Log!$B:$B, $B330, Log!$C:$C, $C330),""))</f>
        <v/>
      </c>
      <c r="Q330" s="6" t="str">
        <f>IF(COUNTBLANK($A330:$E330)&gt;0, "", IFERROR(AVERAGEIFS(Log!#REF!, Log!$A:$A, $A330, Log!$B:$B, $B330, Log!$C:$C, $C330),""))</f>
        <v/>
      </c>
      <c r="R330" s="6" t="str">
        <f>IF(COUNTBLANK($A330:$E330)&gt;0, "", IFERROR(_xlfn.MINIFS(Log!$G:$G, Log!$A:$A, $A330, Log!$B:$B, $B330, Log!$C:$C, $C330),""))</f>
        <v/>
      </c>
      <c r="S330" s="6" t="str">
        <f>IF(COUNTBLANK($A330:$E330)&gt;0, "", IFERROR(_xlfn.MAXIFS(Log!$G:$G, Log!$A:$A, $A330, Log!$B:$B, $B330, Log!$C:$C, $C330),""))</f>
        <v/>
      </c>
      <c r="T330" s="6"/>
      <c r="U330" s="6"/>
      <c r="CP330" s="6"/>
      <c r="CQ330" s="6"/>
    </row>
    <row r="331" spans="2:95" ht="40.049999999999997" customHeight="1" x14ac:dyDescent="0.3">
      <c r="B331" s="236" t="s">
        <v>89</v>
      </c>
      <c r="H331" s="7" t="str">
        <f>IF(COUNTBLANK($A331:$E331)&gt;0, "", IFERROR(AVERAGEIFS(Log!$E:$E, Log!$A:$A, $A331, Log!$B:$B, $B331, Log!$C:$C, $C331),""))</f>
        <v/>
      </c>
      <c r="I331" s="37" t="str">
        <f t="shared" si="10"/>
        <v/>
      </c>
      <c r="N331" s="6" t="str">
        <f>IF(COUNTBLANK($A331:$E331)&gt;0, "", IFERROR(AVERAGEIFS(Log!#REF!, Log!$A:$A, $A331, Log!$B:$B, $B331, Log!$C:$C, $C331),""))</f>
        <v/>
      </c>
      <c r="O331" s="6" t="str">
        <f>IF(COUNTBLANK($A331:$E331)&gt;0, "", IFERROR(_xlfn.MINIFS(Log!$F:$F, Log!$A:$A, $A331, Log!$B:$B, $B331, Log!$C:$C, $C331),""))</f>
        <v/>
      </c>
      <c r="P331" s="6" t="str">
        <f>IF(COUNTBLANK($A331:$E331)&gt;0, "", IFERROR(_xlfn.MAXIFS(Log!$F:$F, Log!$A:$A, $A331, Log!$B:$B, $B331, Log!$C:$C, $C331),""))</f>
        <v/>
      </c>
      <c r="Q331" s="6" t="str">
        <f>IF(COUNTBLANK($A331:$E331)&gt;0, "", IFERROR(AVERAGEIFS(Log!#REF!, Log!$A:$A, $A331, Log!$B:$B, $B331, Log!$C:$C, $C331),""))</f>
        <v/>
      </c>
      <c r="R331" s="6" t="str">
        <f>IF(COUNTBLANK($A331:$E331)&gt;0, "", IFERROR(_xlfn.MINIFS(Log!$G:$G, Log!$A:$A, $A331, Log!$B:$B, $B331, Log!$C:$C, $C331),""))</f>
        <v/>
      </c>
      <c r="S331" s="6" t="str">
        <f>IF(COUNTBLANK($A331:$E331)&gt;0, "", IFERROR(_xlfn.MAXIFS(Log!$G:$G, Log!$A:$A, $A331, Log!$B:$B, $B331, Log!$C:$C, $C331),""))</f>
        <v/>
      </c>
      <c r="T331" s="6"/>
      <c r="U331" s="6"/>
      <c r="CP331" s="6"/>
      <c r="CQ331" s="6"/>
    </row>
    <row r="332" spans="2:95" ht="40.049999999999997" customHeight="1" x14ac:dyDescent="0.3">
      <c r="B332" s="236" t="s">
        <v>89</v>
      </c>
      <c r="H332" s="7" t="str">
        <f>IF(COUNTBLANK($A332:$E332)&gt;0, "", IFERROR(AVERAGEIFS(Log!$E:$E, Log!$A:$A, $A332, Log!$B:$B, $B332, Log!$C:$C, $C332),""))</f>
        <v/>
      </c>
      <c r="I332" s="37" t="str">
        <f t="shared" si="10"/>
        <v/>
      </c>
      <c r="N332" s="6" t="str">
        <f>IF(COUNTBLANK($A332:$E332)&gt;0, "", IFERROR(AVERAGEIFS(Log!#REF!, Log!$A:$A, $A332, Log!$B:$B, $B332, Log!$C:$C, $C332),""))</f>
        <v/>
      </c>
      <c r="O332" s="6" t="str">
        <f>IF(COUNTBLANK($A332:$E332)&gt;0, "", IFERROR(_xlfn.MINIFS(Log!$F:$F, Log!$A:$A, $A332, Log!$B:$B, $B332, Log!$C:$C, $C332),""))</f>
        <v/>
      </c>
      <c r="P332" s="6" t="str">
        <f>IF(COUNTBLANK($A332:$E332)&gt;0, "", IFERROR(_xlfn.MAXIFS(Log!$F:$F, Log!$A:$A, $A332, Log!$B:$B, $B332, Log!$C:$C, $C332),""))</f>
        <v/>
      </c>
      <c r="Q332" s="6" t="str">
        <f>IF(COUNTBLANK($A332:$E332)&gt;0, "", IFERROR(AVERAGEIFS(Log!#REF!, Log!$A:$A, $A332, Log!$B:$B, $B332, Log!$C:$C, $C332),""))</f>
        <v/>
      </c>
      <c r="R332" s="6" t="str">
        <f>IF(COUNTBLANK($A332:$E332)&gt;0, "", IFERROR(_xlfn.MINIFS(Log!$G:$G, Log!$A:$A, $A332, Log!$B:$B, $B332, Log!$C:$C, $C332),""))</f>
        <v/>
      </c>
      <c r="S332" s="6" t="str">
        <f>IF(COUNTBLANK($A332:$E332)&gt;0, "", IFERROR(_xlfn.MAXIFS(Log!$G:$G, Log!$A:$A, $A332, Log!$B:$B, $B332, Log!$C:$C, $C332),""))</f>
        <v/>
      </c>
      <c r="T332" s="6"/>
      <c r="U332" s="6"/>
      <c r="CP332" s="6"/>
      <c r="CQ332" s="6"/>
    </row>
    <row r="333" spans="2:95" ht="40.049999999999997" customHeight="1" x14ac:dyDescent="0.3">
      <c r="B333" s="236" t="s">
        <v>89</v>
      </c>
      <c r="H333" s="7" t="str">
        <f>IF(COUNTBLANK($A333:$E333)&gt;0, "", IFERROR(AVERAGEIFS(Log!$E:$E, Log!$A:$A, $A333, Log!$B:$B, $B333, Log!$C:$C, $C333),""))</f>
        <v/>
      </c>
      <c r="I333" s="37" t="str">
        <f t="shared" si="10"/>
        <v/>
      </c>
      <c r="N333" s="6" t="str">
        <f>IF(COUNTBLANK($A333:$E333)&gt;0, "", IFERROR(AVERAGEIFS(Log!#REF!, Log!$A:$A, $A333, Log!$B:$B, $B333, Log!$C:$C, $C333),""))</f>
        <v/>
      </c>
      <c r="O333" s="6" t="str">
        <f>IF(COUNTBLANK($A333:$E333)&gt;0, "", IFERROR(_xlfn.MINIFS(Log!$F:$F, Log!$A:$A, $A333, Log!$B:$B, $B333, Log!$C:$C, $C333),""))</f>
        <v/>
      </c>
      <c r="P333" s="6" t="str">
        <f>IF(COUNTBLANK($A333:$E333)&gt;0, "", IFERROR(_xlfn.MAXIFS(Log!$F:$F, Log!$A:$A, $A333, Log!$B:$B, $B333, Log!$C:$C, $C333),""))</f>
        <v/>
      </c>
      <c r="Q333" s="6" t="str">
        <f>IF(COUNTBLANK($A333:$E333)&gt;0, "", IFERROR(AVERAGEIFS(Log!#REF!, Log!$A:$A, $A333, Log!$B:$B, $B333, Log!$C:$C, $C333),""))</f>
        <v/>
      </c>
      <c r="R333" s="6" t="str">
        <f>IF(COUNTBLANK($A333:$E333)&gt;0, "", IFERROR(_xlfn.MINIFS(Log!$G:$G, Log!$A:$A, $A333, Log!$B:$B, $B333, Log!$C:$C, $C333),""))</f>
        <v/>
      </c>
      <c r="S333" s="6" t="str">
        <f>IF(COUNTBLANK($A333:$E333)&gt;0, "", IFERROR(_xlfn.MAXIFS(Log!$G:$G, Log!$A:$A, $A333, Log!$B:$B, $B333, Log!$C:$C, $C333),""))</f>
        <v/>
      </c>
      <c r="T333" s="6"/>
      <c r="U333" s="6"/>
      <c r="CP333" s="6"/>
      <c r="CQ333" s="6"/>
    </row>
    <row r="334" spans="2:95" ht="40.049999999999997" customHeight="1" x14ac:dyDescent="0.3">
      <c r="B334" s="236" t="s">
        <v>89</v>
      </c>
      <c r="H334" s="7" t="str">
        <f>IF(COUNTBLANK($A334:$E334)&gt;0, "", IFERROR(AVERAGEIFS(Log!$E:$E, Log!$A:$A, $A334, Log!$B:$B, $B334, Log!$C:$C, $C334),""))</f>
        <v/>
      </c>
      <c r="I334" s="37" t="str">
        <f t="shared" si="10"/>
        <v/>
      </c>
      <c r="N334" s="6" t="str">
        <f>IF(COUNTBLANK($A334:$E334)&gt;0, "", IFERROR(AVERAGEIFS(Log!#REF!, Log!$A:$A, $A334, Log!$B:$B, $B334, Log!$C:$C, $C334),""))</f>
        <v/>
      </c>
      <c r="O334" s="6" t="str">
        <f>IF(COUNTBLANK($A334:$E334)&gt;0, "", IFERROR(_xlfn.MINIFS(Log!$F:$F, Log!$A:$A, $A334, Log!$B:$B, $B334, Log!$C:$C, $C334),""))</f>
        <v/>
      </c>
      <c r="P334" s="6" t="str">
        <f>IF(COUNTBLANK($A334:$E334)&gt;0, "", IFERROR(_xlfn.MAXIFS(Log!$F:$F, Log!$A:$A, $A334, Log!$B:$B, $B334, Log!$C:$C, $C334),""))</f>
        <v/>
      </c>
      <c r="Q334" s="6" t="str">
        <f>IF(COUNTBLANK($A334:$E334)&gt;0, "", IFERROR(AVERAGEIFS(Log!#REF!, Log!$A:$A, $A334, Log!$B:$B, $B334, Log!$C:$C, $C334),""))</f>
        <v/>
      </c>
      <c r="R334" s="6" t="str">
        <f>IF(COUNTBLANK($A334:$E334)&gt;0, "", IFERROR(_xlfn.MINIFS(Log!$G:$G, Log!$A:$A, $A334, Log!$B:$B, $B334, Log!$C:$C, $C334),""))</f>
        <v/>
      </c>
      <c r="S334" s="6" t="str">
        <f>IF(COUNTBLANK($A334:$E334)&gt;0, "", IFERROR(_xlfn.MAXIFS(Log!$G:$G, Log!$A:$A, $A334, Log!$B:$B, $B334, Log!$C:$C, $C334),""))</f>
        <v/>
      </c>
      <c r="T334" s="6"/>
      <c r="U334" s="6"/>
      <c r="CP334" s="6"/>
      <c r="CQ334" s="6"/>
    </row>
    <row r="335" spans="2:95" ht="40.049999999999997" customHeight="1" x14ac:dyDescent="0.3">
      <c r="B335" s="236" t="s">
        <v>89</v>
      </c>
      <c r="H335" s="7" t="str">
        <f>IF(COUNTBLANK($A335:$E335)&gt;0, "", IFERROR(AVERAGEIFS(Log!$E:$E, Log!$A:$A, $A335, Log!$B:$B, $B335, Log!$C:$C, $C335),""))</f>
        <v/>
      </c>
      <c r="I335" s="37" t="str">
        <f t="shared" si="10"/>
        <v/>
      </c>
      <c r="N335" s="6" t="str">
        <f>IF(COUNTBLANK($A335:$E335)&gt;0, "", IFERROR(AVERAGEIFS(Log!#REF!, Log!$A:$A, $A335, Log!$B:$B, $B335, Log!$C:$C, $C335),""))</f>
        <v/>
      </c>
      <c r="O335" s="6" t="str">
        <f>IF(COUNTBLANK($A335:$E335)&gt;0, "", IFERROR(_xlfn.MINIFS(Log!$F:$F, Log!$A:$A, $A335, Log!$B:$B, $B335, Log!$C:$C, $C335),""))</f>
        <v/>
      </c>
      <c r="P335" s="6" t="str">
        <f>IF(COUNTBLANK($A335:$E335)&gt;0, "", IFERROR(_xlfn.MAXIFS(Log!$F:$F, Log!$A:$A, $A335, Log!$B:$B, $B335, Log!$C:$C, $C335),""))</f>
        <v/>
      </c>
      <c r="Q335" s="6" t="str">
        <f>IF(COUNTBLANK($A335:$E335)&gt;0, "", IFERROR(AVERAGEIFS(Log!#REF!, Log!$A:$A, $A335, Log!$B:$B, $B335, Log!$C:$C, $C335),""))</f>
        <v/>
      </c>
      <c r="R335" s="6" t="str">
        <f>IF(COUNTBLANK($A335:$E335)&gt;0, "", IFERROR(_xlfn.MINIFS(Log!$G:$G, Log!$A:$A, $A335, Log!$B:$B, $B335, Log!$C:$C, $C335),""))</f>
        <v/>
      </c>
      <c r="S335" s="6" t="str">
        <f>IF(COUNTBLANK($A335:$E335)&gt;0, "", IFERROR(_xlfn.MAXIFS(Log!$G:$G, Log!$A:$A, $A335, Log!$B:$B, $B335, Log!$C:$C, $C335),""))</f>
        <v/>
      </c>
      <c r="T335" s="6"/>
      <c r="U335" s="6"/>
      <c r="CP335" s="6"/>
      <c r="CQ335" s="6"/>
    </row>
    <row r="336" spans="2:95" ht="40.049999999999997" customHeight="1" x14ac:dyDescent="0.3">
      <c r="B336" s="236" t="s">
        <v>89</v>
      </c>
      <c r="H336" s="7" t="str">
        <f>IF(COUNTBLANK($A336:$E336)&gt;0, "", IFERROR(AVERAGEIFS(Log!$E:$E, Log!$A:$A, $A336, Log!$B:$B, $B336, Log!$C:$C, $C336),""))</f>
        <v/>
      </c>
      <c r="I336" s="37" t="str">
        <f t="shared" si="10"/>
        <v/>
      </c>
      <c r="N336" s="6" t="str">
        <f>IF(COUNTBLANK($A336:$E336)&gt;0, "", IFERROR(AVERAGEIFS(Log!#REF!, Log!$A:$A, $A336, Log!$B:$B, $B336, Log!$C:$C, $C336),""))</f>
        <v/>
      </c>
      <c r="O336" s="6" t="str">
        <f>IF(COUNTBLANK($A336:$E336)&gt;0, "", IFERROR(_xlfn.MINIFS(Log!$F:$F, Log!$A:$A, $A336, Log!$B:$B, $B336, Log!$C:$C, $C336),""))</f>
        <v/>
      </c>
      <c r="P336" s="6" t="str">
        <f>IF(COUNTBLANK($A336:$E336)&gt;0, "", IFERROR(_xlfn.MAXIFS(Log!$F:$F, Log!$A:$A, $A336, Log!$B:$B, $B336, Log!$C:$C, $C336),""))</f>
        <v/>
      </c>
      <c r="Q336" s="6" t="str">
        <f>IF(COUNTBLANK($A336:$E336)&gt;0, "", IFERROR(AVERAGEIFS(Log!#REF!, Log!$A:$A, $A336, Log!$B:$B, $B336, Log!$C:$C, $C336),""))</f>
        <v/>
      </c>
      <c r="R336" s="6" t="str">
        <f>IF(COUNTBLANK($A336:$E336)&gt;0, "", IFERROR(_xlfn.MINIFS(Log!$G:$G, Log!$A:$A, $A336, Log!$B:$B, $B336, Log!$C:$C, $C336),""))</f>
        <v/>
      </c>
      <c r="S336" s="6" t="str">
        <f>IF(COUNTBLANK($A336:$E336)&gt;0, "", IFERROR(_xlfn.MAXIFS(Log!$G:$G, Log!$A:$A, $A336, Log!$B:$B, $B336, Log!$C:$C, $C336),""))</f>
        <v/>
      </c>
      <c r="T336" s="6"/>
      <c r="U336" s="6"/>
      <c r="CP336" s="6"/>
      <c r="CQ336" s="6"/>
    </row>
    <row r="337" spans="2:95" ht="40.049999999999997" customHeight="1" x14ac:dyDescent="0.3">
      <c r="B337" s="236" t="s">
        <v>89</v>
      </c>
      <c r="H337" s="7" t="str">
        <f>IF(COUNTBLANK($A337:$E337)&gt;0, "", IFERROR(AVERAGEIFS(Log!$E:$E, Log!$A:$A, $A337, Log!$B:$B, $B337, Log!$C:$C, $C337),""))</f>
        <v/>
      </c>
      <c r="I337" s="37" t="str">
        <f t="shared" si="10"/>
        <v/>
      </c>
      <c r="N337" s="6" t="str">
        <f>IF(COUNTBLANK($A337:$E337)&gt;0, "", IFERROR(AVERAGEIFS(Log!#REF!, Log!$A:$A, $A337, Log!$B:$B, $B337, Log!$C:$C, $C337),""))</f>
        <v/>
      </c>
      <c r="O337" s="6" t="str">
        <f>IF(COUNTBLANK($A337:$E337)&gt;0, "", IFERROR(_xlfn.MINIFS(Log!$F:$F, Log!$A:$A, $A337, Log!$B:$B, $B337, Log!$C:$C, $C337),""))</f>
        <v/>
      </c>
      <c r="P337" s="6" t="str">
        <f>IF(COUNTBLANK($A337:$E337)&gt;0, "", IFERROR(_xlfn.MAXIFS(Log!$F:$F, Log!$A:$A, $A337, Log!$B:$B, $B337, Log!$C:$C, $C337),""))</f>
        <v/>
      </c>
      <c r="Q337" s="6" t="str">
        <f>IF(COUNTBLANK($A337:$E337)&gt;0, "", IFERROR(AVERAGEIFS(Log!#REF!, Log!$A:$A, $A337, Log!$B:$B, $B337, Log!$C:$C, $C337),""))</f>
        <v/>
      </c>
      <c r="R337" s="6" t="str">
        <f>IF(COUNTBLANK($A337:$E337)&gt;0, "", IFERROR(_xlfn.MINIFS(Log!$G:$G, Log!$A:$A, $A337, Log!$B:$B, $B337, Log!$C:$C, $C337),""))</f>
        <v/>
      </c>
      <c r="S337" s="6" t="str">
        <f>IF(COUNTBLANK($A337:$E337)&gt;0, "", IFERROR(_xlfn.MAXIFS(Log!$G:$G, Log!$A:$A, $A337, Log!$B:$B, $B337, Log!$C:$C, $C337),""))</f>
        <v/>
      </c>
      <c r="T337" s="6"/>
      <c r="U337" s="6"/>
      <c r="CP337" s="6"/>
      <c r="CQ337" s="6"/>
    </row>
    <row r="338" spans="2:95" ht="40.049999999999997" customHeight="1" x14ac:dyDescent="0.3">
      <c r="B338" s="236" t="s">
        <v>89</v>
      </c>
      <c r="H338" s="7" t="str">
        <f>IF(COUNTBLANK($A338:$E338)&gt;0, "", IFERROR(AVERAGEIFS(Log!$E:$E, Log!$A:$A, $A338, Log!$B:$B, $B338, Log!$C:$C, $C338),""))</f>
        <v/>
      </c>
      <c r="I338" s="37" t="str">
        <f t="shared" si="10"/>
        <v/>
      </c>
      <c r="N338" s="6" t="str">
        <f>IF(COUNTBLANK($A338:$E338)&gt;0, "", IFERROR(AVERAGEIFS(Log!#REF!, Log!$A:$A, $A338, Log!$B:$B, $B338, Log!$C:$C, $C338),""))</f>
        <v/>
      </c>
      <c r="O338" s="6" t="str">
        <f>IF(COUNTBLANK($A338:$E338)&gt;0, "", IFERROR(_xlfn.MINIFS(Log!$F:$F, Log!$A:$A, $A338, Log!$B:$B, $B338, Log!$C:$C, $C338),""))</f>
        <v/>
      </c>
      <c r="P338" s="6" t="str">
        <f>IF(COUNTBLANK($A338:$E338)&gt;0, "", IFERROR(_xlfn.MAXIFS(Log!$F:$F, Log!$A:$A, $A338, Log!$B:$B, $B338, Log!$C:$C, $C338),""))</f>
        <v/>
      </c>
      <c r="Q338" s="6" t="str">
        <f>IF(COUNTBLANK($A338:$E338)&gt;0, "", IFERROR(AVERAGEIFS(Log!#REF!, Log!$A:$A, $A338, Log!$B:$B, $B338, Log!$C:$C, $C338),""))</f>
        <v/>
      </c>
      <c r="R338" s="6" t="str">
        <f>IF(COUNTBLANK($A338:$E338)&gt;0, "", IFERROR(_xlfn.MINIFS(Log!$G:$G, Log!$A:$A, $A338, Log!$B:$B, $B338, Log!$C:$C, $C338),""))</f>
        <v/>
      </c>
      <c r="S338" s="6" t="str">
        <f>IF(COUNTBLANK($A338:$E338)&gt;0, "", IFERROR(_xlfn.MAXIFS(Log!$G:$G, Log!$A:$A, $A338, Log!$B:$B, $B338, Log!$C:$C, $C338),""))</f>
        <v/>
      </c>
      <c r="T338" s="6"/>
      <c r="U338" s="6"/>
      <c r="CP338" s="6"/>
      <c r="CQ338" s="6"/>
    </row>
    <row r="339" spans="2:95" ht="40.049999999999997" customHeight="1" x14ac:dyDescent="0.3">
      <c r="B339" s="236" t="s">
        <v>89</v>
      </c>
      <c r="H339" s="7" t="str">
        <f>IF(COUNTBLANK($A339:$E339)&gt;0, "", IFERROR(AVERAGEIFS(Log!$E:$E, Log!$A:$A, $A339, Log!$B:$B, $B339, Log!$C:$C, $C339),""))</f>
        <v/>
      </c>
      <c r="I339" s="37" t="str">
        <f t="shared" si="10"/>
        <v/>
      </c>
      <c r="N339" s="6" t="str">
        <f>IF(COUNTBLANK($A339:$E339)&gt;0, "", IFERROR(AVERAGEIFS(Log!#REF!, Log!$A:$A, $A339, Log!$B:$B, $B339, Log!$C:$C, $C339),""))</f>
        <v/>
      </c>
      <c r="O339" s="6" t="str">
        <f>IF(COUNTBLANK($A339:$E339)&gt;0, "", IFERROR(_xlfn.MINIFS(Log!$F:$F, Log!$A:$A, $A339, Log!$B:$B, $B339, Log!$C:$C, $C339),""))</f>
        <v/>
      </c>
      <c r="P339" s="6" t="str">
        <f>IF(COUNTBLANK($A339:$E339)&gt;0, "", IFERROR(_xlfn.MAXIFS(Log!$F:$F, Log!$A:$A, $A339, Log!$B:$B, $B339, Log!$C:$C, $C339),""))</f>
        <v/>
      </c>
      <c r="Q339" s="6" t="str">
        <f>IF(COUNTBLANK($A339:$E339)&gt;0, "", IFERROR(AVERAGEIFS(Log!#REF!, Log!$A:$A, $A339, Log!$B:$B, $B339, Log!$C:$C, $C339),""))</f>
        <v/>
      </c>
      <c r="R339" s="6" t="str">
        <f>IF(COUNTBLANK($A339:$E339)&gt;0, "", IFERROR(_xlfn.MINIFS(Log!$G:$G, Log!$A:$A, $A339, Log!$B:$B, $B339, Log!$C:$C, $C339),""))</f>
        <v/>
      </c>
      <c r="S339" s="6" t="str">
        <f>IF(COUNTBLANK($A339:$E339)&gt;0, "", IFERROR(_xlfn.MAXIFS(Log!$G:$G, Log!$A:$A, $A339, Log!$B:$B, $B339, Log!$C:$C, $C339),""))</f>
        <v/>
      </c>
      <c r="T339" s="6"/>
      <c r="U339" s="6"/>
      <c r="CP339" s="6"/>
      <c r="CQ339" s="6"/>
    </row>
    <row r="340" spans="2:95" ht="40.049999999999997" customHeight="1" x14ac:dyDescent="0.3">
      <c r="B340" s="236" t="s">
        <v>89</v>
      </c>
      <c r="H340" s="7" t="str">
        <f>IF(COUNTBLANK($A340:$E340)&gt;0, "", IFERROR(AVERAGEIFS(Log!$E:$E, Log!$A:$A, $A340, Log!$B:$B, $B340, Log!$C:$C, $C340),""))</f>
        <v/>
      </c>
      <c r="I340" s="37" t="str">
        <f t="shared" si="10"/>
        <v/>
      </c>
      <c r="N340" s="6" t="str">
        <f>IF(COUNTBLANK($A340:$E340)&gt;0, "", IFERROR(AVERAGEIFS(Log!#REF!, Log!$A:$A, $A340, Log!$B:$B, $B340, Log!$C:$C, $C340),""))</f>
        <v/>
      </c>
      <c r="O340" s="6" t="str">
        <f>IF(COUNTBLANK($A340:$E340)&gt;0, "", IFERROR(_xlfn.MINIFS(Log!$F:$F, Log!$A:$A, $A340, Log!$B:$B, $B340, Log!$C:$C, $C340),""))</f>
        <v/>
      </c>
      <c r="P340" s="6" t="str">
        <f>IF(COUNTBLANK($A340:$E340)&gt;0, "", IFERROR(_xlfn.MAXIFS(Log!$F:$F, Log!$A:$A, $A340, Log!$B:$B, $B340, Log!$C:$C, $C340),""))</f>
        <v/>
      </c>
      <c r="Q340" s="6" t="str">
        <f>IF(COUNTBLANK($A340:$E340)&gt;0, "", IFERROR(AVERAGEIFS(Log!#REF!, Log!$A:$A, $A340, Log!$B:$B, $B340, Log!$C:$C, $C340),""))</f>
        <v/>
      </c>
      <c r="R340" s="6" t="str">
        <f>IF(COUNTBLANK($A340:$E340)&gt;0, "", IFERROR(_xlfn.MINIFS(Log!$G:$G, Log!$A:$A, $A340, Log!$B:$B, $B340, Log!$C:$C, $C340),""))</f>
        <v/>
      </c>
      <c r="S340" s="6" t="str">
        <f>IF(COUNTBLANK($A340:$E340)&gt;0, "", IFERROR(_xlfn.MAXIFS(Log!$G:$G, Log!$A:$A, $A340, Log!$B:$B, $B340, Log!$C:$C, $C340),""))</f>
        <v/>
      </c>
      <c r="T340" s="6"/>
      <c r="U340" s="6"/>
      <c r="CP340" s="6"/>
      <c r="CQ340" s="6"/>
    </row>
    <row r="341" spans="2:95" ht="40.049999999999997" customHeight="1" x14ac:dyDescent="0.3">
      <c r="B341" s="236" t="s">
        <v>89</v>
      </c>
      <c r="H341" s="7" t="str">
        <f>IF(COUNTBLANK($A341:$E341)&gt;0, "", IFERROR(AVERAGEIFS(Log!$E:$E, Log!$A:$A, $A341, Log!$B:$B, $B341, Log!$C:$C, $C341),""))</f>
        <v/>
      </c>
      <c r="I341" s="37" t="str">
        <f t="shared" si="10"/>
        <v/>
      </c>
      <c r="N341" s="6" t="str">
        <f>IF(COUNTBLANK($A341:$E341)&gt;0, "", IFERROR(AVERAGEIFS(Log!#REF!, Log!$A:$A, $A341, Log!$B:$B, $B341, Log!$C:$C, $C341),""))</f>
        <v/>
      </c>
      <c r="O341" s="6" t="str">
        <f>IF(COUNTBLANK($A341:$E341)&gt;0, "", IFERROR(_xlfn.MINIFS(Log!$F:$F, Log!$A:$A, $A341, Log!$B:$B, $B341, Log!$C:$C, $C341),""))</f>
        <v/>
      </c>
      <c r="P341" s="6" t="str">
        <f>IF(COUNTBLANK($A341:$E341)&gt;0, "", IFERROR(_xlfn.MAXIFS(Log!$F:$F, Log!$A:$A, $A341, Log!$B:$B, $B341, Log!$C:$C, $C341),""))</f>
        <v/>
      </c>
      <c r="Q341" s="6" t="str">
        <f>IF(COUNTBLANK($A341:$E341)&gt;0, "", IFERROR(AVERAGEIFS(Log!#REF!, Log!$A:$A, $A341, Log!$B:$B, $B341, Log!$C:$C, $C341),""))</f>
        <v/>
      </c>
      <c r="R341" s="6" t="str">
        <f>IF(COUNTBLANK($A341:$E341)&gt;0, "", IFERROR(_xlfn.MINIFS(Log!$G:$G, Log!$A:$A, $A341, Log!$B:$B, $B341, Log!$C:$C, $C341),""))</f>
        <v/>
      </c>
      <c r="S341" s="6" t="str">
        <f>IF(COUNTBLANK($A341:$E341)&gt;0, "", IFERROR(_xlfn.MAXIFS(Log!$G:$G, Log!$A:$A, $A341, Log!$B:$B, $B341, Log!$C:$C, $C341),""))</f>
        <v/>
      </c>
      <c r="T341" s="6"/>
      <c r="U341" s="6"/>
      <c r="CP341" s="6"/>
      <c r="CQ341" s="6"/>
    </row>
    <row r="342" spans="2:95" ht="40.049999999999997" customHeight="1" x14ac:dyDescent="0.3">
      <c r="B342" s="236" t="s">
        <v>89</v>
      </c>
      <c r="H342" s="7" t="str">
        <f>IF(COUNTBLANK($A342:$E342)&gt;0, "", IFERROR(AVERAGEIFS(Log!$E:$E, Log!$A:$A, $A342, Log!$B:$B, $B342, Log!$C:$C, $C342),""))</f>
        <v/>
      </c>
      <c r="I342" s="37" t="str">
        <f t="shared" si="10"/>
        <v/>
      </c>
      <c r="N342" s="6" t="str">
        <f>IF(COUNTBLANK($A342:$E342)&gt;0, "", IFERROR(AVERAGEIFS(Log!#REF!, Log!$A:$A, $A342, Log!$B:$B, $B342, Log!$C:$C, $C342),""))</f>
        <v/>
      </c>
      <c r="O342" s="6" t="str">
        <f>IF(COUNTBLANK($A342:$E342)&gt;0, "", IFERROR(_xlfn.MINIFS(Log!$F:$F, Log!$A:$A, $A342, Log!$B:$B, $B342, Log!$C:$C, $C342),""))</f>
        <v/>
      </c>
      <c r="P342" s="6" t="str">
        <f>IF(COUNTBLANK($A342:$E342)&gt;0, "", IFERROR(_xlfn.MAXIFS(Log!$F:$F, Log!$A:$A, $A342, Log!$B:$B, $B342, Log!$C:$C, $C342),""))</f>
        <v/>
      </c>
      <c r="Q342" s="6" t="str">
        <f>IF(COUNTBLANK($A342:$E342)&gt;0, "", IFERROR(AVERAGEIFS(Log!#REF!, Log!$A:$A, $A342, Log!$B:$B, $B342, Log!$C:$C, $C342),""))</f>
        <v/>
      </c>
      <c r="R342" s="6" t="str">
        <f>IF(COUNTBLANK($A342:$E342)&gt;0, "", IFERROR(_xlfn.MINIFS(Log!$G:$G, Log!$A:$A, $A342, Log!$B:$B, $B342, Log!$C:$C, $C342),""))</f>
        <v/>
      </c>
      <c r="S342" s="6" t="str">
        <f>IF(COUNTBLANK($A342:$E342)&gt;0, "", IFERROR(_xlfn.MAXIFS(Log!$G:$G, Log!$A:$A, $A342, Log!$B:$B, $B342, Log!$C:$C, $C342),""))</f>
        <v/>
      </c>
      <c r="T342" s="6"/>
      <c r="U342" s="6"/>
      <c r="CP342" s="6"/>
      <c r="CQ342" s="6"/>
    </row>
    <row r="343" spans="2:95" ht="40.049999999999997" customHeight="1" x14ac:dyDescent="0.3">
      <c r="B343" s="236" t="s">
        <v>89</v>
      </c>
      <c r="H343" s="7" t="str">
        <f>IF(COUNTBLANK($A343:$E343)&gt;0, "", IFERROR(AVERAGEIFS(Log!$E:$E, Log!$A:$A, $A343, Log!$B:$B, $B343, Log!$C:$C, $C343),""))</f>
        <v/>
      </c>
      <c r="I343" s="37" t="str">
        <f t="shared" si="10"/>
        <v/>
      </c>
      <c r="N343" s="6" t="str">
        <f>IF(COUNTBLANK($A343:$E343)&gt;0, "", IFERROR(AVERAGEIFS(Log!#REF!, Log!$A:$A, $A343, Log!$B:$B, $B343, Log!$C:$C, $C343),""))</f>
        <v/>
      </c>
      <c r="O343" s="6" t="str">
        <f>IF(COUNTBLANK($A343:$E343)&gt;0, "", IFERROR(_xlfn.MINIFS(Log!$F:$F, Log!$A:$A, $A343, Log!$B:$B, $B343, Log!$C:$C, $C343),""))</f>
        <v/>
      </c>
      <c r="P343" s="6" t="str">
        <f>IF(COUNTBLANK($A343:$E343)&gt;0, "", IFERROR(_xlfn.MAXIFS(Log!$F:$F, Log!$A:$A, $A343, Log!$B:$B, $B343, Log!$C:$C, $C343),""))</f>
        <v/>
      </c>
      <c r="Q343" s="6" t="str">
        <f>IF(COUNTBLANK($A343:$E343)&gt;0, "", IFERROR(AVERAGEIFS(Log!#REF!, Log!$A:$A, $A343, Log!$B:$B, $B343, Log!$C:$C, $C343),""))</f>
        <v/>
      </c>
      <c r="R343" s="6" t="str">
        <f>IF(COUNTBLANK($A343:$E343)&gt;0, "", IFERROR(_xlfn.MINIFS(Log!$G:$G, Log!$A:$A, $A343, Log!$B:$B, $B343, Log!$C:$C, $C343),""))</f>
        <v/>
      </c>
      <c r="S343" s="6" t="str">
        <f>IF(COUNTBLANK($A343:$E343)&gt;0, "", IFERROR(_xlfn.MAXIFS(Log!$G:$G, Log!$A:$A, $A343, Log!$B:$B, $B343, Log!$C:$C, $C343),""))</f>
        <v/>
      </c>
      <c r="T343" s="6"/>
      <c r="U343" s="6"/>
      <c r="CP343" s="6"/>
      <c r="CQ343" s="6"/>
    </row>
    <row r="344" spans="2:95" ht="40.049999999999997" customHeight="1" x14ac:dyDescent="0.3">
      <c r="B344" s="236" t="s">
        <v>89</v>
      </c>
      <c r="H344" s="7" t="str">
        <f>IF(COUNTBLANK($A344:$E344)&gt;0, "", IFERROR(AVERAGEIFS(Log!$E:$E, Log!$A:$A, $A344, Log!$B:$B, $B344, Log!$C:$C, $C344),""))</f>
        <v/>
      </c>
      <c r="I344" s="37" t="str">
        <f t="shared" si="10"/>
        <v/>
      </c>
      <c r="N344" s="6" t="str">
        <f>IF(COUNTBLANK($A344:$E344)&gt;0, "", IFERROR(AVERAGEIFS(Log!#REF!, Log!$A:$A, $A344, Log!$B:$B, $B344, Log!$C:$C, $C344),""))</f>
        <v/>
      </c>
      <c r="O344" s="6" t="str">
        <f>IF(COUNTBLANK($A344:$E344)&gt;0, "", IFERROR(_xlfn.MINIFS(Log!$F:$F, Log!$A:$A, $A344, Log!$B:$B, $B344, Log!$C:$C, $C344),""))</f>
        <v/>
      </c>
      <c r="P344" s="6" t="str">
        <f>IF(COUNTBLANK($A344:$E344)&gt;0, "", IFERROR(_xlfn.MAXIFS(Log!$F:$F, Log!$A:$A, $A344, Log!$B:$B, $B344, Log!$C:$C, $C344),""))</f>
        <v/>
      </c>
      <c r="Q344" s="6" t="str">
        <f>IF(COUNTBLANK($A344:$E344)&gt;0, "", IFERROR(AVERAGEIFS(Log!#REF!, Log!$A:$A, $A344, Log!$B:$B, $B344, Log!$C:$C, $C344),""))</f>
        <v/>
      </c>
      <c r="R344" s="6" t="str">
        <f>IF(COUNTBLANK($A344:$E344)&gt;0, "", IFERROR(_xlfn.MINIFS(Log!$G:$G, Log!$A:$A, $A344, Log!$B:$B, $B344, Log!$C:$C, $C344),""))</f>
        <v/>
      </c>
      <c r="S344" s="6" t="str">
        <f>IF(COUNTBLANK($A344:$E344)&gt;0, "", IFERROR(_xlfn.MAXIFS(Log!$G:$G, Log!$A:$A, $A344, Log!$B:$B, $B344, Log!$C:$C, $C344),""))</f>
        <v/>
      </c>
      <c r="T344" s="6"/>
      <c r="U344" s="6"/>
      <c r="CP344" s="6"/>
      <c r="CQ344" s="6"/>
    </row>
    <row r="345" spans="2:95" ht="40.049999999999997" customHeight="1" x14ac:dyDescent="0.3">
      <c r="B345" s="236" t="s">
        <v>89</v>
      </c>
      <c r="H345" s="7" t="str">
        <f>IF(COUNTBLANK($A345:$E345)&gt;0, "", IFERROR(AVERAGEIFS(Log!$E:$E, Log!$A:$A, $A345, Log!$B:$B, $B345, Log!$C:$C, $C345),""))</f>
        <v/>
      </c>
      <c r="I345" s="37" t="str">
        <f t="shared" si="10"/>
        <v/>
      </c>
      <c r="N345" s="6" t="str">
        <f>IF(COUNTBLANK($A345:$E345)&gt;0, "", IFERROR(AVERAGEIFS(Log!#REF!, Log!$A:$A, $A345, Log!$B:$B, $B345, Log!$C:$C, $C345),""))</f>
        <v/>
      </c>
      <c r="O345" s="6" t="str">
        <f>IF(COUNTBLANK($A345:$E345)&gt;0, "", IFERROR(_xlfn.MINIFS(Log!$F:$F, Log!$A:$A, $A345, Log!$B:$B, $B345, Log!$C:$C, $C345),""))</f>
        <v/>
      </c>
      <c r="P345" s="6" t="str">
        <f>IF(COUNTBLANK($A345:$E345)&gt;0, "", IFERROR(_xlfn.MAXIFS(Log!$F:$F, Log!$A:$A, $A345, Log!$B:$B, $B345, Log!$C:$C, $C345),""))</f>
        <v/>
      </c>
      <c r="Q345" s="6" t="str">
        <f>IF(COUNTBLANK($A345:$E345)&gt;0, "", IFERROR(AVERAGEIFS(Log!#REF!, Log!$A:$A, $A345, Log!$B:$B, $B345, Log!$C:$C, $C345),""))</f>
        <v/>
      </c>
      <c r="R345" s="6" t="str">
        <f>IF(COUNTBLANK($A345:$E345)&gt;0, "", IFERROR(_xlfn.MINIFS(Log!$G:$G, Log!$A:$A, $A345, Log!$B:$B, $B345, Log!$C:$C, $C345),""))</f>
        <v/>
      </c>
      <c r="S345" s="6" t="str">
        <f>IF(COUNTBLANK($A345:$E345)&gt;0, "", IFERROR(_xlfn.MAXIFS(Log!$G:$G, Log!$A:$A, $A345, Log!$B:$B, $B345, Log!$C:$C, $C345),""))</f>
        <v/>
      </c>
      <c r="T345" s="6"/>
      <c r="U345" s="6"/>
      <c r="CP345" s="6"/>
      <c r="CQ345" s="6"/>
    </row>
    <row r="346" spans="2:95" ht="40.049999999999997" customHeight="1" x14ac:dyDescent="0.3">
      <c r="B346" s="236" t="s">
        <v>89</v>
      </c>
      <c r="H346" s="7" t="str">
        <f>IF(COUNTBLANK($A346:$E346)&gt;0, "", IFERROR(AVERAGEIFS(Log!$E:$E, Log!$A:$A, $A346, Log!$B:$B, $B346, Log!$C:$C, $C346),""))</f>
        <v/>
      </c>
      <c r="I346" s="37" t="str">
        <f t="shared" si="10"/>
        <v/>
      </c>
      <c r="N346" s="6" t="str">
        <f>IF(COUNTBLANK($A346:$E346)&gt;0, "", IFERROR(AVERAGEIFS(Log!#REF!, Log!$A:$A, $A346, Log!$B:$B, $B346, Log!$C:$C, $C346),""))</f>
        <v/>
      </c>
      <c r="O346" s="6" t="str">
        <f>IF(COUNTBLANK($A346:$E346)&gt;0, "", IFERROR(_xlfn.MINIFS(Log!$F:$F, Log!$A:$A, $A346, Log!$B:$B, $B346, Log!$C:$C, $C346),""))</f>
        <v/>
      </c>
      <c r="P346" s="6" t="str">
        <f>IF(COUNTBLANK($A346:$E346)&gt;0, "", IFERROR(_xlfn.MAXIFS(Log!$F:$F, Log!$A:$A, $A346, Log!$B:$B, $B346, Log!$C:$C, $C346),""))</f>
        <v/>
      </c>
      <c r="Q346" s="6" t="str">
        <f>IF(COUNTBLANK($A346:$E346)&gt;0, "", IFERROR(AVERAGEIFS(Log!#REF!, Log!$A:$A, $A346, Log!$B:$B, $B346, Log!$C:$C, $C346),""))</f>
        <v/>
      </c>
      <c r="R346" s="6" t="str">
        <f>IF(COUNTBLANK($A346:$E346)&gt;0, "", IFERROR(_xlfn.MINIFS(Log!$G:$G, Log!$A:$A, $A346, Log!$B:$B, $B346, Log!$C:$C, $C346),""))</f>
        <v/>
      </c>
      <c r="S346" s="6" t="str">
        <f>IF(COUNTBLANK($A346:$E346)&gt;0, "", IFERROR(_xlfn.MAXIFS(Log!$G:$G, Log!$A:$A, $A346, Log!$B:$B, $B346, Log!$C:$C, $C346),""))</f>
        <v/>
      </c>
      <c r="T346" s="6"/>
      <c r="U346" s="6"/>
      <c r="CP346" s="6"/>
      <c r="CQ346" s="6"/>
    </row>
    <row r="347" spans="2:95" ht="40.049999999999997" customHeight="1" x14ac:dyDescent="0.3">
      <c r="B347" s="236" t="s">
        <v>89</v>
      </c>
      <c r="H347" s="7" t="str">
        <f>IF(COUNTBLANK($A347:$E347)&gt;0, "", IFERROR(AVERAGEIFS(Log!$E:$E, Log!$A:$A, $A347, Log!$B:$B, $B347, Log!$C:$C, $C347),""))</f>
        <v/>
      </c>
      <c r="I347" s="37" t="str">
        <f t="shared" si="10"/>
        <v/>
      </c>
      <c r="N347" s="6" t="str">
        <f>IF(COUNTBLANK($A347:$E347)&gt;0, "", IFERROR(AVERAGEIFS(Log!#REF!, Log!$A:$A, $A347, Log!$B:$B, $B347, Log!$C:$C, $C347),""))</f>
        <v/>
      </c>
      <c r="O347" s="6" t="str">
        <f>IF(COUNTBLANK($A347:$E347)&gt;0, "", IFERROR(_xlfn.MINIFS(Log!$F:$F, Log!$A:$A, $A347, Log!$B:$B, $B347, Log!$C:$C, $C347),""))</f>
        <v/>
      </c>
      <c r="P347" s="6" t="str">
        <f>IF(COUNTBLANK($A347:$E347)&gt;0, "", IFERROR(_xlfn.MAXIFS(Log!$F:$F, Log!$A:$A, $A347, Log!$B:$B, $B347, Log!$C:$C, $C347),""))</f>
        <v/>
      </c>
      <c r="Q347" s="6" t="str">
        <f>IF(COUNTBLANK($A347:$E347)&gt;0, "", IFERROR(AVERAGEIFS(Log!#REF!, Log!$A:$A, $A347, Log!$B:$B, $B347, Log!$C:$C, $C347),""))</f>
        <v/>
      </c>
      <c r="R347" s="6" t="str">
        <f>IF(COUNTBLANK($A347:$E347)&gt;0, "", IFERROR(_xlfn.MINIFS(Log!$G:$G, Log!$A:$A, $A347, Log!$B:$B, $B347, Log!$C:$C, $C347),""))</f>
        <v/>
      </c>
      <c r="S347" s="6" t="str">
        <f>IF(COUNTBLANK($A347:$E347)&gt;0, "", IFERROR(_xlfn.MAXIFS(Log!$G:$G, Log!$A:$A, $A347, Log!$B:$B, $B347, Log!$C:$C, $C347),""))</f>
        <v/>
      </c>
      <c r="T347" s="6"/>
      <c r="U347" s="6"/>
      <c r="CP347" s="6"/>
      <c r="CQ347" s="6"/>
    </row>
    <row r="348" spans="2:95" ht="40.049999999999997" customHeight="1" x14ac:dyDescent="0.3">
      <c r="B348" s="236" t="s">
        <v>89</v>
      </c>
      <c r="H348" s="7" t="str">
        <f>IF(COUNTBLANK($A348:$E348)&gt;0, "", IFERROR(AVERAGEIFS(Log!$E:$E, Log!$A:$A, $A348, Log!$B:$B, $B348, Log!$C:$C, $C348),""))</f>
        <v/>
      </c>
      <c r="I348" s="37" t="str">
        <f t="shared" si="10"/>
        <v/>
      </c>
      <c r="N348" s="6" t="str">
        <f>IF(COUNTBLANK($A348:$E348)&gt;0, "", IFERROR(AVERAGEIFS(Log!#REF!, Log!$A:$A, $A348, Log!$B:$B, $B348, Log!$C:$C, $C348),""))</f>
        <v/>
      </c>
      <c r="O348" s="6" t="str">
        <f>IF(COUNTBLANK($A348:$E348)&gt;0, "", IFERROR(_xlfn.MINIFS(Log!$F:$F, Log!$A:$A, $A348, Log!$B:$B, $B348, Log!$C:$C, $C348),""))</f>
        <v/>
      </c>
      <c r="P348" s="6" t="str">
        <f>IF(COUNTBLANK($A348:$E348)&gt;0, "", IFERROR(_xlfn.MAXIFS(Log!$F:$F, Log!$A:$A, $A348, Log!$B:$B, $B348, Log!$C:$C, $C348),""))</f>
        <v/>
      </c>
      <c r="Q348" s="6" t="str">
        <f>IF(COUNTBLANK($A348:$E348)&gt;0, "", IFERROR(AVERAGEIFS(Log!#REF!, Log!$A:$A, $A348, Log!$B:$B, $B348, Log!$C:$C, $C348),""))</f>
        <v/>
      </c>
      <c r="R348" s="6" t="str">
        <f>IF(COUNTBLANK($A348:$E348)&gt;0, "", IFERROR(_xlfn.MINIFS(Log!$G:$G, Log!$A:$A, $A348, Log!$B:$B, $B348, Log!$C:$C, $C348),""))</f>
        <v/>
      </c>
      <c r="S348" s="6" t="str">
        <f>IF(COUNTBLANK($A348:$E348)&gt;0, "", IFERROR(_xlfn.MAXIFS(Log!$G:$G, Log!$A:$A, $A348, Log!$B:$B, $B348, Log!$C:$C, $C348),""))</f>
        <v/>
      </c>
      <c r="T348" s="6"/>
      <c r="U348" s="6"/>
      <c r="CP348" s="6"/>
      <c r="CQ348" s="6"/>
    </row>
    <row r="349" spans="2:95" ht="40.049999999999997" customHeight="1" x14ac:dyDescent="0.3">
      <c r="B349" s="236" t="s">
        <v>89</v>
      </c>
      <c r="H349" s="7" t="str">
        <f>IF(COUNTBLANK($A349:$E349)&gt;0, "", IFERROR(AVERAGEIFS(Log!$E:$E, Log!$A:$A, $A349, Log!$B:$B, $B349, Log!$C:$C, $C349),""))</f>
        <v/>
      </c>
      <c r="I349" s="37" t="str">
        <f t="shared" si="10"/>
        <v/>
      </c>
      <c r="N349" s="6" t="str">
        <f>IF(COUNTBLANK($A349:$E349)&gt;0, "", IFERROR(AVERAGEIFS(Log!#REF!, Log!$A:$A, $A349, Log!$B:$B, $B349, Log!$C:$C, $C349),""))</f>
        <v/>
      </c>
      <c r="O349" s="6" t="str">
        <f>IF(COUNTBLANK($A349:$E349)&gt;0, "", IFERROR(_xlfn.MINIFS(Log!$F:$F, Log!$A:$A, $A349, Log!$B:$B, $B349, Log!$C:$C, $C349),""))</f>
        <v/>
      </c>
      <c r="P349" s="6" t="str">
        <f>IF(COUNTBLANK($A349:$E349)&gt;0, "", IFERROR(_xlfn.MAXIFS(Log!$F:$F, Log!$A:$A, $A349, Log!$B:$B, $B349, Log!$C:$C, $C349),""))</f>
        <v/>
      </c>
      <c r="Q349" s="6" t="str">
        <f>IF(COUNTBLANK($A349:$E349)&gt;0, "", IFERROR(AVERAGEIFS(Log!#REF!, Log!$A:$A, $A349, Log!$B:$B, $B349, Log!$C:$C, $C349),""))</f>
        <v/>
      </c>
      <c r="R349" s="6" t="str">
        <f>IF(COUNTBLANK($A349:$E349)&gt;0, "", IFERROR(_xlfn.MINIFS(Log!$G:$G, Log!$A:$A, $A349, Log!$B:$B, $B349, Log!$C:$C, $C349),""))</f>
        <v/>
      </c>
      <c r="S349" s="6" t="str">
        <f>IF(COUNTBLANK($A349:$E349)&gt;0, "", IFERROR(_xlfn.MAXIFS(Log!$G:$G, Log!$A:$A, $A349, Log!$B:$B, $B349, Log!$C:$C, $C349),""))</f>
        <v/>
      </c>
      <c r="T349" s="6"/>
      <c r="U349" s="6"/>
      <c r="CP349" s="6"/>
      <c r="CQ349" s="6"/>
    </row>
    <row r="350" spans="2:95" ht="40.049999999999997" customHeight="1" x14ac:dyDescent="0.3">
      <c r="B350" s="236" t="s">
        <v>89</v>
      </c>
      <c r="H350" s="7" t="str">
        <f>IF(COUNTBLANK($A350:$E350)&gt;0, "", IFERROR(AVERAGEIFS(Log!$E:$E, Log!$A:$A, $A350, Log!$B:$B, $B350, Log!$C:$C, $C350),""))</f>
        <v/>
      </c>
      <c r="I350" s="37" t="str">
        <f t="shared" si="10"/>
        <v/>
      </c>
      <c r="N350" s="6" t="str">
        <f>IF(COUNTBLANK($A350:$E350)&gt;0, "", IFERROR(AVERAGEIFS(Log!#REF!, Log!$A:$A, $A350, Log!$B:$B, $B350, Log!$C:$C, $C350),""))</f>
        <v/>
      </c>
      <c r="O350" s="6" t="str">
        <f>IF(COUNTBLANK($A350:$E350)&gt;0, "", IFERROR(_xlfn.MINIFS(Log!$F:$F, Log!$A:$A, $A350, Log!$B:$B, $B350, Log!$C:$C, $C350),""))</f>
        <v/>
      </c>
      <c r="P350" s="6" t="str">
        <f>IF(COUNTBLANK($A350:$E350)&gt;0, "", IFERROR(_xlfn.MAXIFS(Log!$F:$F, Log!$A:$A, $A350, Log!$B:$B, $B350, Log!$C:$C, $C350),""))</f>
        <v/>
      </c>
      <c r="Q350" s="6" t="str">
        <f>IF(COUNTBLANK($A350:$E350)&gt;0, "", IFERROR(AVERAGEIFS(Log!#REF!, Log!$A:$A, $A350, Log!$B:$B, $B350, Log!$C:$C, $C350),""))</f>
        <v/>
      </c>
      <c r="R350" s="6" t="str">
        <f>IF(COUNTBLANK($A350:$E350)&gt;0, "", IFERROR(_xlfn.MINIFS(Log!$G:$G, Log!$A:$A, $A350, Log!$B:$B, $B350, Log!$C:$C, $C350),""))</f>
        <v/>
      </c>
      <c r="S350" s="6" t="str">
        <f>IF(COUNTBLANK($A350:$E350)&gt;0, "", IFERROR(_xlfn.MAXIFS(Log!$G:$G, Log!$A:$A, $A350, Log!$B:$B, $B350, Log!$C:$C, $C350),""))</f>
        <v/>
      </c>
      <c r="T350" s="6"/>
      <c r="U350" s="6"/>
      <c r="CP350" s="6"/>
      <c r="CQ350" s="6"/>
    </row>
    <row r="351" spans="2:95" ht="40.049999999999997" customHeight="1" x14ac:dyDescent="0.3">
      <c r="B351" s="236" t="s">
        <v>89</v>
      </c>
      <c r="H351" s="7" t="str">
        <f>IF(COUNTBLANK($A351:$E351)&gt;0, "", IFERROR(AVERAGEIFS(Log!$E:$E, Log!$A:$A, $A351, Log!$B:$B, $B351, Log!$C:$C, $C351),""))</f>
        <v/>
      </c>
      <c r="I351" s="37" t="str">
        <f t="shared" si="10"/>
        <v/>
      </c>
      <c r="N351" s="6" t="str">
        <f>IF(COUNTBLANK($A351:$E351)&gt;0, "", IFERROR(AVERAGEIFS(Log!#REF!, Log!$A:$A, $A351, Log!$B:$B, $B351, Log!$C:$C, $C351),""))</f>
        <v/>
      </c>
      <c r="O351" s="6" t="str">
        <f>IF(COUNTBLANK($A351:$E351)&gt;0, "", IFERROR(_xlfn.MINIFS(Log!$F:$F, Log!$A:$A, $A351, Log!$B:$B, $B351, Log!$C:$C, $C351),""))</f>
        <v/>
      </c>
      <c r="P351" s="6" t="str">
        <f>IF(COUNTBLANK($A351:$E351)&gt;0, "", IFERROR(_xlfn.MAXIFS(Log!$F:$F, Log!$A:$A, $A351, Log!$B:$B, $B351, Log!$C:$C, $C351),""))</f>
        <v/>
      </c>
      <c r="Q351" s="6" t="str">
        <f>IF(COUNTBLANK($A351:$E351)&gt;0, "", IFERROR(AVERAGEIFS(Log!#REF!, Log!$A:$A, $A351, Log!$B:$B, $B351, Log!$C:$C, $C351),""))</f>
        <v/>
      </c>
      <c r="R351" s="6" t="str">
        <f>IF(COUNTBLANK($A351:$E351)&gt;0, "", IFERROR(_xlfn.MINIFS(Log!$G:$G, Log!$A:$A, $A351, Log!$B:$B, $B351, Log!$C:$C, $C351),""))</f>
        <v/>
      </c>
      <c r="S351" s="6" t="str">
        <f>IF(COUNTBLANK($A351:$E351)&gt;0, "", IFERROR(_xlfn.MAXIFS(Log!$G:$G, Log!$A:$A, $A351, Log!$B:$B, $B351, Log!$C:$C, $C351),""))</f>
        <v/>
      </c>
      <c r="T351" s="6"/>
      <c r="U351" s="6"/>
      <c r="CP351" s="6"/>
      <c r="CQ351" s="6"/>
    </row>
    <row r="352" spans="2:95" ht="40.049999999999997" customHeight="1" x14ac:dyDescent="0.3">
      <c r="B352" s="236" t="s">
        <v>89</v>
      </c>
      <c r="H352" s="7" t="str">
        <f>IF(COUNTBLANK($A352:$E352)&gt;0, "", IFERROR(AVERAGEIFS(Log!$E:$E, Log!$A:$A, $A352, Log!$B:$B, $B352, Log!$C:$C, $C352),""))</f>
        <v/>
      </c>
      <c r="I352" s="37" t="str">
        <f t="shared" si="10"/>
        <v/>
      </c>
      <c r="N352" s="6" t="str">
        <f>IF(COUNTBLANK($A352:$E352)&gt;0, "", IFERROR(AVERAGEIFS(Log!#REF!, Log!$A:$A, $A352, Log!$B:$B, $B352, Log!$C:$C, $C352),""))</f>
        <v/>
      </c>
      <c r="O352" s="6" t="str">
        <f>IF(COUNTBLANK($A352:$E352)&gt;0, "", IFERROR(_xlfn.MINIFS(Log!$F:$F, Log!$A:$A, $A352, Log!$B:$B, $B352, Log!$C:$C, $C352),""))</f>
        <v/>
      </c>
      <c r="P352" s="6" t="str">
        <f>IF(COUNTBLANK($A352:$E352)&gt;0, "", IFERROR(_xlfn.MAXIFS(Log!$F:$F, Log!$A:$A, $A352, Log!$B:$B, $B352, Log!$C:$C, $C352),""))</f>
        <v/>
      </c>
      <c r="Q352" s="6" t="str">
        <f>IF(COUNTBLANK($A352:$E352)&gt;0, "", IFERROR(AVERAGEIFS(Log!#REF!, Log!$A:$A, $A352, Log!$B:$B, $B352, Log!$C:$C, $C352),""))</f>
        <v/>
      </c>
      <c r="R352" s="6" t="str">
        <f>IF(COUNTBLANK($A352:$E352)&gt;0, "", IFERROR(_xlfn.MINIFS(Log!$G:$G, Log!$A:$A, $A352, Log!$B:$B, $B352, Log!$C:$C, $C352),""))</f>
        <v/>
      </c>
      <c r="S352" s="6" t="str">
        <f>IF(COUNTBLANK($A352:$E352)&gt;0, "", IFERROR(_xlfn.MAXIFS(Log!$G:$G, Log!$A:$A, $A352, Log!$B:$B, $B352, Log!$C:$C, $C352),""))</f>
        <v/>
      </c>
      <c r="T352" s="6"/>
      <c r="U352" s="6"/>
      <c r="CP352" s="6"/>
      <c r="CQ352" s="6"/>
    </row>
    <row r="353" spans="2:95" ht="40.049999999999997" customHeight="1" x14ac:dyDescent="0.3">
      <c r="B353" s="236" t="s">
        <v>89</v>
      </c>
      <c r="H353" s="7" t="str">
        <f>IF(COUNTBLANK($A353:$E353)&gt;0, "", IFERROR(AVERAGEIFS(Log!$E:$E, Log!$A:$A, $A353, Log!$B:$B, $B353, Log!$C:$C, $C353),""))</f>
        <v/>
      </c>
      <c r="I353" s="37" t="str">
        <f t="shared" si="10"/>
        <v/>
      </c>
      <c r="N353" s="6" t="str">
        <f>IF(COUNTBLANK($A353:$E353)&gt;0, "", IFERROR(AVERAGEIFS(Log!#REF!, Log!$A:$A, $A353, Log!$B:$B, $B353, Log!$C:$C, $C353),""))</f>
        <v/>
      </c>
      <c r="O353" s="6" t="str">
        <f>IF(COUNTBLANK($A353:$E353)&gt;0, "", IFERROR(_xlfn.MINIFS(Log!$F:$F, Log!$A:$A, $A353, Log!$B:$B, $B353, Log!$C:$C, $C353),""))</f>
        <v/>
      </c>
      <c r="P353" s="6" t="str">
        <f>IF(COUNTBLANK($A353:$E353)&gt;0, "", IFERROR(_xlfn.MAXIFS(Log!$F:$F, Log!$A:$A, $A353, Log!$B:$B, $B353, Log!$C:$C, $C353),""))</f>
        <v/>
      </c>
      <c r="Q353" s="6" t="str">
        <f>IF(COUNTBLANK($A353:$E353)&gt;0, "", IFERROR(AVERAGEIFS(Log!#REF!, Log!$A:$A, $A353, Log!$B:$B, $B353, Log!$C:$C, $C353),""))</f>
        <v/>
      </c>
      <c r="R353" s="6" t="str">
        <f>IF(COUNTBLANK($A353:$E353)&gt;0, "", IFERROR(_xlfn.MINIFS(Log!$G:$G, Log!$A:$A, $A353, Log!$B:$B, $B353, Log!$C:$C, $C353),""))</f>
        <v/>
      </c>
      <c r="S353" s="6" t="str">
        <f>IF(COUNTBLANK($A353:$E353)&gt;0, "", IFERROR(_xlfn.MAXIFS(Log!$G:$G, Log!$A:$A, $A353, Log!$B:$B, $B353, Log!$C:$C, $C353),""))</f>
        <v/>
      </c>
      <c r="T353" s="6"/>
      <c r="U353" s="6"/>
      <c r="CP353" s="6"/>
      <c r="CQ353" s="6"/>
    </row>
    <row r="354" spans="2:95" ht="40.049999999999997" customHeight="1" x14ac:dyDescent="0.3">
      <c r="B354" s="236" t="s">
        <v>89</v>
      </c>
      <c r="H354" s="7" t="str">
        <f>IF(COUNTBLANK($A354:$E354)&gt;0, "", IFERROR(AVERAGEIFS(Log!$E:$E, Log!$A:$A, $A354, Log!$B:$B, $B354, Log!$C:$C, $C354),""))</f>
        <v/>
      </c>
      <c r="I354" s="37" t="str">
        <f t="shared" si="10"/>
        <v/>
      </c>
      <c r="N354" s="6" t="str">
        <f>IF(COUNTBLANK($A354:$E354)&gt;0, "", IFERROR(AVERAGEIFS(Log!#REF!, Log!$A:$A, $A354, Log!$B:$B, $B354, Log!$C:$C, $C354),""))</f>
        <v/>
      </c>
      <c r="O354" s="6" t="str">
        <f>IF(COUNTBLANK($A354:$E354)&gt;0, "", IFERROR(_xlfn.MINIFS(Log!$F:$F, Log!$A:$A, $A354, Log!$B:$B, $B354, Log!$C:$C, $C354),""))</f>
        <v/>
      </c>
      <c r="P354" s="6" t="str">
        <f>IF(COUNTBLANK($A354:$E354)&gt;0, "", IFERROR(_xlfn.MAXIFS(Log!$F:$F, Log!$A:$A, $A354, Log!$B:$B, $B354, Log!$C:$C, $C354),""))</f>
        <v/>
      </c>
      <c r="Q354" s="6" t="str">
        <f>IF(COUNTBLANK($A354:$E354)&gt;0, "", IFERROR(AVERAGEIFS(Log!#REF!, Log!$A:$A, $A354, Log!$B:$B, $B354, Log!$C:$C, $C354),""))</f>
        <v/>
      </c>
      <c r="R354" s="6" t="str">
        <f>IF(COUNTBLANK($A354:$E354)&gt;0, "", IFERROR(_xlfn.MINIFS(Log!$G:$G, Log!$A:$A, $A354, Log!$B:$B, $B354, Log!$C:$C, $C354),""))</f>
        <v/>
      </c>
      <c r="S354" s="6" t="str">
        <f>IF(COUNTBLANK($A354:$E354)&gt;0, "", IFERROR(_xlfn.MAXIFS(Log!$G:$G, Log!$A:$A, $A354, Log!$B:$B, $B354, Log!$C:$C, $C354),""))</f>
        <v/>
      </c>
      <c r="T354" s="6"/>
      <c r="U354" s="6"/>
      <c r="CP354" s="6"/>
      <c r="CQ354" s="6"/>
    </row>
    <row r="355" spans="2:95" ht="40.049999999999997" customHeight="1" x14ac:dyDescent="0.3">
      <c r="B355" s="236" t="s">
        <v>89</v>
      </c>
      <c r="H355" s="7" t="str">
        <f>IF(COUNTBLANK($A355:$E355)&gt;0, "", IFERROR(AVERAGEIFS(Log!$E:$E, Log!$A:$A, $A355, Log!$B:$B, $B355, Log!$C:$C, $C355),""))</f>
        <v/>
      </c>
      <c r="I355" s="37" t="str">
        <f t="shared" si="10"/>
        <v/>
      </c>
      <c r="N355" s="6" t="str">
        <f>IF(COUNTBLANK($A355:$E355)&gt;0, "", IFERROR(AVERAGEIFS(Log!#REF!, Log!$A:$A, $A355, Log!$B:$B, $B355, Log!$C:$C, $C355),""))</f>
        <v/>
      </c>
      <c r="O355" s="6" t="str">
        <f>IF(COUNTBLANK($A355:$E355)&gt;0, "", IFERROR(_xlfn.MINIFS(Log!$F:$F, Log!$A:$A, $A355, Log!$B:$B, $B355, Log!$C:$C, $C355),""))</f>
        <v/>
      </c>
      <c r="P355" s="6" t="str">
        <f>IF(COUNTBLANK($A355:$E355)&gt;0, "", IFERROR(_xlfn.MAXIFS(Log!$F:$F, Log!$A:$A, $A355, Log!$B:$B, $B355, Log!$C:$C, $C355),""))</f>
        <v/>
      </c>
      <c r="Q355" s="6" t="str">
        <f>IF(COUNTBLANK($A355:$E355)&gt;0, "", IFERROR(AVERAGEIFS(Log!#REF!, Log!$A:$A, $A355, Log!$B:$B, $B355, Log!$C:$C, $C355),""))</f>
        <v/>
      </c>
      <c r="R355" s="6" t="str">
        <f>IF(COUNTBLANK($A355:$E355)&gt;0, "", IFERROR(_xlfn.MINIFS(Log!$G:$G, Log!$A:$A, $A355, Log!$B:$B, $B355, Log!$C:$C, $C355),""))</f>
        <v/>
      </c>
      <c r="S355" s="6" t="str">
        <f>IF(COUNTBLANK($A355:$E355)&gt;0, "", IFERROR(_xlfn.MAXIFS(Log!$G:$G, Log!$A:$A, $A355, Log!$B:$B, $B355, Log!$C:$C, $C355),""))</f>
        <v/>
      </c>
      <c r="T355" s="6"/>
      <c r="U355" s="6"/>
      <c r="CP355" s="6"/>
      <c r="CQ355" s="6"/>
    </row>
    <row r="356" spans="2:95" ht="40.049999999999997" customHeight="1" x14ac:dyDescent="0.3">
      <c r="B356" s="236" t="s">
        <v>89</v>
      </c>
      <c r="H356" s="7" t="str">
        <f>IF(COUNTBLANK($A356:$E356)&gt;0, "", IFERROR(AVERAGEIFS(Log!$E:$E, Log!$A:$A, $A356, Log!$B:$B, $B356, Log!$C:$C, $C356),""))</f>
        <v/>
      </c>
      <c r="I356" s="37" t="str">
        <f t="shared" si="10"/>
        <v/>
      </c>
      <c r="N356" s="6" t="str">
        <f>IF(COUNTBLANK($A356:$E356)&gt;0, "", IFERROR(AVERAGEIFS(Log!#REF!, Log!$A:$A, $A356, Log!$B:$B, $B356, Log!$C:$C, $C356),""))</f>
        <v/>
      </c>
      <c r="O356" s="6" t="str">
        <f>IF(COUNTBLANK($A356:$E356)&gt;0, "", IFERROR(_xlfn.MINIFS(Log!$F:$F, Log!$A:$A, $A356, Log!$B:$B, $B356, Log!$C:$C, $C356),""))</f>
        <v/>
      </c>
      <c r="P356" s="6" t="str">
        <f>IF(COUNTBLANK($A356:$E356)&gt;0, "", IFERROR(_xlfn.MAXIFS(Log!$F:$F, Log!$A:$A, $A356, Log!$B:$B, $B356, Log!$C:$C, $C356),""))</f>
        <v/>
      </c>
      <c r="Q356" s="6" t="str">
        <f>IF(COUNTBLANK($A356:$E356)&gt;0, "", IFERROR(AVERAGEIFS(Log!#REF!, Log!$A:$A, $A356, Log!$B:$B, $B356, Log!$C:$C, $C356),""))</f>
        <v/>
      </c>
      <c r="R356" s="6" t="str">
        <f>IF(COUNTBLANK($A356:$E356)&gt;0, "", IFERROR(_xlfn.MINIFS(Log!$G:$G, Log!$A:$A, $A356, Log!$B:$B, $B356, Log!$C:$C, $C356),""))</f>
        <v/>
      </c>
      <c r="S356" s="6" t="str">
        <f>IF(COUNTBLANK($A356:$E356)&gt;0, "", IFERROR(_xlfn.MAXIFS(Log!$G:$G, Log!$A:$A, $A356, Log!$B:$B, $B356, Log!$C:$C, $C356),""))</f>
        <v/>
      </c>
      <c r="T356" s="6"/>
      <c r="U356" s="6"/>
      <c r="CP356" s="6"/>
      <c r="CQ356" s="6"/>
    </row>
    <row r="357" spans="2:95" ht="40.049999999999997" customHeight="1" x14ac:dyDescent="0.3">
      <c r="B357" s="236" t="s">
        <v>89</v>
      </c>
      <c r="H357" s="7" t="str">
        <f>IF(COUNTBLANK($A357:$E357)&gt;0, "", IFERROR(AVERAGEIFS(Log!$E:$E, Log!$A:$A, $A357, Log!$B:$B, $B357, Log!$C:$C, $C357),""))</f>
        <v/>
      </c>
      <c r="I357" s="37" t="str">
        <f t="shared" si="10"/>
        <v/>
      </c>
      <c r="N357" s="6" t="str">
        <f>IF(COUNTBLANK($A357:$E357)&gt;0, "", IFERROR(AVERAGEIFS(Log!#REF!, Log!$A:$A, $A357, Log!$B:$B, $B357, Log!$C:$C, $C357),""))</f>
        <v/>
      </c>
      <c r="O357" s="6" t="str">
        <f>IF(COUNTBLANK($A357:$E357)&gt;0, "", IFERROR(_xlfn.MINIFS(Log!$F:$F, Log!$A:$A, $A357, Log!$B:$B, $B357, Log!$C:$C, $C357),""))</f>
        <v/>
      </c>
      <c r="P357" s="6" t="str">
        <f>IF(COUNTBLANK($A357:$E357)&gt;0, "", IFERROR(_xlfn.MAXIFS(Log!$F:$F, Log!$A:$A, $A357, Log!$B:$B, $B357, Log!$C:$C, $C357),""))</f>
        <v/>
      </c>
      <c r="Q357" s="6" t="str">
        <f>IF(COUNTBLANK($A357:$E357)&gt;0, "", IFERROR(AVERAGEIFS(Log!#REF!, Log!$A:$A, $A357, Log!$B:$B, $B357, Log!$C:$C, $C357),""))</f>
        <v/>
      </c>
      <c r="R357" s="6" t="str">
        <f>IF(COUNTBLANK($A357:$E357)&gt;0, "", IFERROR(_xlfn.MINIFS(Log!$G:$G, Log!$A:$A, $A357, Log!$B:$B, $B357, Log!$C:$C, $C357),""))</f>
        <v/>
      </c>
      <c r="S357" s="6" t="str">
        <f>IF(COUNTBLANK($A357:$E357)&gt;0, "", IFERROR(_xlfn.MAXIFS(Log!$G:$G, Log!$A:$A, $A357, Log!$B:$B, $B357, Log!$C:$C, $C357),""))</f>
        <v/>
      </c>
      <c r="T357" s="6"/>
      <c r="U357" s="6"/>
      <c r="CP357" s="6"/>
      <c r="CQ357" s="6"/>
    </row>
    <row r="358" spans="2:95" ht="40.049999999999997" customHeight="1" x14ac:dyDescent="0.3">
      <c r="B358" s="236" t="s">
        <v>89</v>
      </c>
      <c r="H358" s="7" t="str">
        <f>IF(COUNTBLANK($A358:$E358)&gt;0, "", IFERROR(AVERAGEIFS(Log!$E:$E, Log!$A:$A, $A358, Log!$B:$B, $B358, Log!$C:$C, $C358),""))</f>
        <v/>
      </c>
      <c r="I358" s="37" t="str">
        <f t="shared" si="10"/>
        <v/>
      </c>
      <c r="N358" s="6" t="str">
        <f>IF(COUNTBLANK($A358:$E358)&gt;0, "", IFERROR(AVERAGEIFS(Log!#REF!, Log!$A:$A, $A358, Log!$B:$B, $B358, Log!$C:$C, $C358),""))</f>
        <v/>
      </c>
      <c r="O358" s="6" t="str">
        <f>IF(COUNTBLANK($A358:$E358)&gt;0, "", IFERROR(_xlfn.MINIFS(Log!$F:$F, Log!$A:$A, $A358, Log!$B:$B, $B358, Log!$C:$C, $C358),""))</f>
        <v/>
      </c>
      <c r="P358" s="6" t="str">
        <f>IF(COUNTBLANK($A358:$E358)&gt;0, "", IFERROR(_xlfn.MAXIFS(Log!$F:$F, Log!$A:$A, $A358, Log!$B:$B, $B358, Log!$C:$C, $C358),""))</f>
        <v/>
      </c>
      <c r="Q358" s="6" t="str">
        <f>IF(COUNTBLANK($A358:$E358)&gt;0, "", IFERROR(AVERAGEIFS(Log!#REF!, Log!$A:$A, $A358, Log!$B:$B, $B358, Log!$C:$C, $C358),""))</f>
        <v/>
      </c>
      <c r="R358" s="6" t="str">
        <f>IF(COUNTBLANK($A358:$E358)&gt;0, "", IFERROR(_xlfn.MINIFS(Log!$G:$G, Log!$A:$A, $A358, Log!$B:$B, $B358, Log!$C:$C, $C358),""))</f>
        <v/>
      </c>
      <c r="S358" s="6" t="str">
        <f>IF(COUNTBLANK($A358:$E358)&gt;0, "", IFERROR(_xlfn.MAXIFS(Log!$G:$G, Log!$A:$A, $A358, Log!$B:$B, $B358, Log!$C:$C, $C358),""))</f>
        <v/>
      </c>
      <c r="T358" s="6"/>
      <c r="U358" s="6"/>
      <c r="CP358" s="6"/>
      <c r="CQ358" s="6"/>
    </row>
    <row r="359" spans="2:95" ht="40.049999999999997" customHeight="1" x14ac:dyDescent="0.3">
      <c r="B359" s="236" t="s">
        <v>89</v>
      </c>
      <c r="H359" s="7" t="str">
        <f>IF(COUNTBLANK($A359:$E359)&gt;0, "", IFERROR(AVERAGEIFS(Log!$E:$E, Log!$A:$A, $A359, Log!$B:$B, $B359, Log!$C:$C, $C359),""))</f>
        <v/>
      </c>
      <c r="I359" s="37" t="str">
        <f t="shared" si="10"/>
        <v/>
      </c>
      <c r="N359" s="6" t="str">
        <f>IF(COUNTBLANK($A359:$E359)&gt;0, "", IFERROR(AVERAGEIFS(Log!#REF!, Log!$A:$A, $A359, Log!$B:$B, $B359, Log!$C:$C, $C359),""))</f>
        <v/>
      </c>
      <c r="O359" s="6" t="str">
        <f>IF(COUNTBLANK($A359:$E359)&gt;0, "", IFERROR(_xlfn.MINIFS(Log!$F:$F, Log!$A:$A, $A359, Log!$B:$B, $B359, Log!$C:$C, $C359),""))</f>
        <v/>
      </c>
      <c r="P359" s="6" t="str">
        <f>IF(COUNTBLANK($A359:$E359)&gt;0, "", IFERROR(_xlfn.MAXIFS(Log!$F:$F, Log!$A:$A, $A359, Log!$B:$B, $B359, Log!$C:$C, $C359),""))</f>
        <v/>
      </c>
      <c r="Q359" s="6" t="str">
        <f>IF(COUNTBLANK($A359:$E359)&gt;0, "", IFERROR(AVERAGEIFS(Log!#REF!, Log!$A:$A, $A359, Log!$B:$B, $B359, Log!$C:$C, $C359),""))</f>
        <v/>
      </c>
      <c r="R359" s="6" t="str">
        <f>IF(COUNTBLANK($A359:$E359)&gt;0, "", IFERROR(_xlfn.MINIFS(Log!$G:$G, Log!$A:$A, $A359, Log!$B:$B, $B359, Log!$C:$C, $C359),""))</f>
        <v/>
      </c>
      <c r="S359" s="6" t="str">
        <f>IF(COUNTBLANK($A359:$E359)&gt;0, "", IFERROR(_xlfn.MAXIFS(Log!$G:$G, Log!$A:$A, $A359, Log!$B:$B, $B359, Log!$C:$C, $C359),""))</f>
        <v/>
      </c>
      <c r="T359" s="6"/>
      <c r="U359" s="6"/>
      <c r="CP359" s="6"/>
      <c r="CQ359" s="6"/>
    </row>
    <row r="360" spans="2:95" ht="40.049999999999997" customHeight="1" x14ac:dyDescent="0.3">
      <c r="B360" s="236" t="s">
        <v>89</v>
      </c>
      <c r="H360" s="7" t="str">
        <f>IF(COUNTBLANK($A360:$E360)&gt;0, "", IFERROR(AVERAGEIFS(Log!$E:$E, Log!$A:$A, $A360, Log!$B:$B, $B360, Log!$C:$C, $C360),""))</f>
        <v/>
      </c>
      <c r="I360" s="37" t="str">
        <f t="shared" si="10"/>
        <v/>
      </c>
      <c r="N360" s="6" t="str">
        <f>IF(COUNTBLANK($A360:$E360)&gt;0, "", IFERROR(AVERAGEIFS(Log!#REF!, Log!$A:$A, $A360, Log!$B:$B, $B360, Log!$C:$C, $C360),""))</f>
        <v/>
      </c>
      <c r="O360" s="6" t="str">
        <f>IF(COUNTBLANK($A360:$E360)&gt;0, "", IFERROR(_xlfn.MINIFS(Log!$F:$F, Log!$A:$A, $A360, Log!$B:$B, $B360, Log!$C:$C, $C360),""))</f>
        <v/>
      </c>
      <c r="P360" s="6" t="str">
        <f>IF(COUNTBLANK($A360:$E360)&gt;0, "", IFERROR(_xlfn.MAXIFS(Log!$F:$F, Log!$A:$A, $A360, Log!$B:$B, $B360, Log!$C:$C, $C360),""))</f>
        <v/>
      </c>
      <c r="Q360" s="6" t="str">
        <f>IF(COUNTBLANK($A360:$E360)&gt;0, "", IFERROR(AVERAGEIFS(Log!#REF!, Log!$A:$A, $A360, Log!$B:$B, $B360, Log!$C:$C, $C360),""))</f>
        <v/>
      </c>
      <c r="R360" s="6" t="str">
        <f>IF(COUNTBLANK($A360:$E360)&gt;0, "", IFERROR(_xlfn.MINIFS(Log!$G:$G, Log!$A:$A, $A360, Log!$B:$B, $B360, Log!$C:$C, $C360),""))</f>
        <v/>
      </c>
      <c r="S360" s="6" t="str">
        <f>IF(COUNTBLANK($A360:$E360)&gt;0, "", IFERROR(_xlfn.MAXIFS(Log!$G:$G, Log!$A:$A, $A360, Log!$B:$B, $B360, Log!$C:$C, $C360),""))</f>
        <v/>
      </c>
      <c r="T360" s="6"/>
      <c r="U360" s="6"/>
      <c r="CP360" s="6"/>
      <c r="CQ360" s="6"/>
    </row>
    <row r="361" spans="2:95" ht="40.049999999999997" customHeight="1" x14ac:dyDescent="0.3">
      <c r="B361" s="236" t="s">
        <v>89</v>
      </c>
      <c r="H361" s="7" t="str">
        <f>IF(COUNTBLANK($A361:$E361)&gt;0, "", IFERROR(AVERAGEIFS(Log!$E:$E, Log!$A:$A, $A361, Log!$B:$B, $B361, Log!$C:$C, $C361),""))</f>
        <v/>
      </c>
      <c r="I361" s="37" t="str">
        <f t="shared" si="10"/>
        <v/>
      </c>
      <c r="N361" s="6" t="str">
        <f>IF(COUNTBLANK($A361:$E361)&gt;0, "", IFERROR(AVERAGEIFS(Log!#REF!, Log!$A:$A, $A361, Log!$B:$B, $B361, Log!$C:$C, $C361),""))</f>
        <v/>
      </c>
      <c r="O361" s="6" t="str">
        <f>IF(COUNTBLANK($A361:$E361)&gt;0, "", IFERROR(_xlfn.MINIFS(Log!$F:$F, Log!$A:$A, $A361, Log!$B:$B, $B361, Log!$C:$C, $C361),""))</f>
        <v/>
      </c>
      <c r="P361" s="6" t="str">
        <f>IF(COUNTBLANK($A361:$E361)&gt;0, "", IFERROR(_xlfn.MAXIFS(Log!$F:$F, Log!$A:$A, $A361, Log!$B:$B, $B361, Log!$C:$C, $C361),""))</f>
        <v/>
      </c>
      <c r="Q361" s="6" t="str">
        <f>IF(COUNTBLANK($A361:$E361)&gt;0, "", IFERROR(AVERAGEIFS(Log!#REF!, Log!$A:$A, $A361, Log!$B:$B, $B361, Log!$C:$C, $C361),""))</f>
        <v/>
      </c>
      <c r="R361" s="6" t="str">
        <f>IF(COUNTBLANK($A361:$E361)&gt;0, "", IFERROR(_xlfn.MINIFS(Log!$G:$G, Log!$A:$A, $A361, Log!$B:$B, $B361, Log!$C:$C, $C361),""))</f>
        <v/>
      </c>
      <c r="S361" s="6" t="str">
        <f>IF(COUNTBLANK($A361:$E361)&gt;0, "", IFERROR(_xlfn.MAXIFS(Log!$G:$G, Log!$A:$A, $A361, Log!$B:$B, $B361, Log!$C:$C, $C361),""))</f>
        <v/>
      </c>
      <c r="T361" s="6"/>
      <c r="U361" s="6"/>
      <c r="CP361" s="6"/>
      <c r="CQ361" s="6"/>
    </row>
    <row r="362" spans="2:95" ht="40.049999999999997" customHeight="1" x14ac:dyDescent="0.3">
      <c r="B362" s="236" t="s">
        <v>89</v>
      </c>
      <c r="H362" s="7" t="str">
        <f>IF(COUNTBLANK($A362:$E362)&gt;0, "", IFERROR(AVERAGEIFS(Log!$E:$E, Log!$A:$A, $A362, Log!$B:$B, $B362, Log!$C:$C, $C362),""))</f>
        <v/>
      </c>
      <c r="I362" s="37" t="str">
        <f t="shared" si="10"/>
        <v/>
      </c>
      <c r="N362" s="6" t="str">
        <f>IF(COUNTBLANK($A362:$E362)&gt;0, "", IFERROR(AVERAGEIFS(Log!#REF!, Log!$A:$A, $A362, Log!$B:$B, $B362, Log!$C:$C, $C362),""))</f>
        <v/>
      </c>
      <c r="O362" s="6" t="str">
        <f>IF(COUNTBLANK($A362:$E362)&gt;0, "", IFERROR(_xlfn.MINIFS(Log!$F:$F, Log!$A:$A, $A362, Log!$B:$B, $B362, Log!$C:$C, $C362),""))</f>
        <v/>
      </c>
      <c r="P362" s="6" t="str">
        <f>IF(COUNTBLANK($A362:$E362)&gt;0, "", IFERROR(_xlfn.MAXIFS(Log!$F:$F, Log!$A:$A, $A362, Log!$B:$B, $B362, Log!$C:$C, $C362),""))</f>
        <v/>
      </c>
      <c r="Q362" s="6" t="str">
        <f>IF(COUNTBLANK($A362:$E362)&gt;0, "", IFERROR(AVERAGEIFS(Log!#REF!, Log!$A:$A, $A362, Log!$B:$B, $B362, Log!$C:$C, $C362),""))</f>
        <v/>
      </c>
      <c r="R362" s="6" t="str">
        <f>IF(COUNTBLANK($A362:$E362)&gt;0, "", IFERROR(_xlfn.MINIFS(Log!$G:$G, Log!$A:$A, $A362, Log!$B:$B, $B362, Log!$C:$C, $C362),""))</f>
        <v/>
      </c>
      <c r="S362" s="6" t="str">
        <f>IF(COUNTBLANK($A362:$E362)&gt;0, "", IFERROR(_xlfn.MAXIFS(Log!$G:$G, Log!$A:$A, $A362, Log!$B:$B, $B362, Log!$C:$C, $C362),""))</f>
        <v/>
      </c>
      <c r="T362" s="6"/>
      <c r="U362" s="6"/>
      <c r="CP362" s="6"/>
      <c r="CQ362" s="6"/>
    </row>
    <row r="363" spans="2:95" ht="40.049999999999997" customHeight="1" x14ac:dyDescent="0.3">
      <c r="B363" s="236" t="s">
        <v>89</v>
      </c>
      <c r="H363" s="7" t="str">
        <f>IF(COUNTBLANK($A363:$E363)&gt;0, "", IFERROR(AVERAGEIFS(Log!$E:$E, Log!$A:$A, $A363, Log!$B:$B, $B363, Log!$C:$C, $C363),""))</f>
        <v/>
      </c>
      <c r="I363" s="37" t="str">
        <f t="shared" si="10"/>
        <v/>
      </c>
      <c r="N363" s="6" t="str">
        <f>IF(COUNTBLANK($A363:$E363)&gt;0, "", IFERROR(AVERAGEIFS(Log!#REF!, Log!$A:$A, $A363, Log!$B:$B, $B363, Log!$C:$C, $C363),""))</f>
        <v/>
      </c>
      <c r="O363" s="6" t="str">
        <f>IF(COUNTBLANK($A363:$E363)&gt;0, "", IFERROR(_xlfn.MINIFS(Log!$F:$F, Log!$A:$A, $A363, Log!$B:$B, $B363, Log!$C:$C, $C363),""))</f>
        <v/>
      </c>
      <c r="P363" s="6" t="str">
        <f>IF(COUNTBLANK($A363:$E363)&gt;0, "", IFERROR(_xlfn.MAXIFS(Log!$F:$F, Log!$A:$A, $A363, Log!$B:$B, $B363, Log!$C:$C, $C363),""))</f>
        <v/>
      </c>
      <c r="Q363" s="6" t="str">
        <f>IF(COUNTBLANK($A363:$E363)&gt;0, "", IFERROR(AVERAGEIFS(Log!#REF!, Log!$A:$A, $A363, Log!$B:$B, $B363, Log!$C:$C, $C363),""))</f>
        <v/>
      </c>
      <c r="R363" s="6" t="str">
        <f>IF(COUNTBLANK($A363:$E363)&gt;0, "", IFERROR(_xlfn.MINIFS(Log!$G:$G, Log!$A:$A, $A363, Log!$B:$B, $B363, Log!$C:$C, $C363),""))</f>
        <v/>
      </c>
      <c r="S363" s="6" t="str">
        <f>IF(COUNTBLANK($A363:$E363)&gt;0, "", IFERROR(_xlfn.MAXIFS(Log!$G:$G, Log!$A:$A, $A363, Log!$B:$B, $B363, Log!$C:$C, $C363),""))</f>
        <v/>
      </c>
      <c r="T363" s="6"/>
      <c r="U363" s="6"/>
      <c r="CP363" s="6"/>
      <c r="CQ363" s="6"/>
    </row>
    <row r="364" spans="2:95" ht="40.049999999999997" customHeight="1" x14ac:dyDescent="0.3">
      <c r="B364" s="236" t="s">
        <v>89</v>
      </c>
      <c r="H364" s="7" t="str">
        <f>IF(COUNTBLANK($A364:$E364)&gt;0, "", IFERROR(AVERAGEIFS(Log!$E:$E, Log!$A:$A, $A364, Log!$B:$B, $B364, Log!$C:$C, $C364),""))</f>
        <v/>
      </c>
      <c r="I364" s="37" t="str">
        <f t="shared" si="10"/>
        <v/>
      </c>
      <c r="N364" s="6" t="str">
        <f>IF(COUNTBLANK($A364:$E364)&gt;0, "", IFERROR(AVERAGEIFS(Log!#REF!, Log!$A:$A, $A364, Log!$B:$B, $B364, Log!$C:$C, $C364),""))</f>
        <v/>
      </c>
      <c r="O364" s="6" t="str">
        <f>IF(COUNTBLANK($A364:$E364)&gt;0, "", IFERROR(_xlfn.MINIFS(Log!$F:$F, Log!$A:$A, $A364, Log!$B:$B, $B364, Log!$C:$C, $C364),""))</f>
        <v/>
      </c>
      <c r="P364" s="6" t="str">
        <f>IF(COUNTBLANK($A364:$E364)&gt;0, "", IFERROR(_xlfn.MAXIFS(Log!$F:$F, Log!$A:$A, $A364, Log!$B:$B, $B364, Log!$C:$C, $C364),""))</f>
        <v/>
      </c>
      <c r="Q364" s="6" t="str">
        <f>IF(COUNTBLANK($A364:$E364)&gt;0, "", IFERROR(AVERAGEIFS(Log!#REF!, Log!$A:$A, $A364, Log!$B:$B, $B364, Log!$C:$C, $C364),""))</f>
        <v/>
      </c>
      <c r="R364" s="6" t="str">
        <f>IF(COUNTBLANK($A364:$E364)&gt;0, "", IFERROR(_xlfn.MINIFS(Log!$G:$G, Log!$A:$A, $A364, Log!$B:$B, $B364, Log!$C:$C, $C364),""))</f>
        <v/>
      </c>
      <c r="S364" s="6" t="str">
        <f>IF(COUNTBLANK($A364:$E364)&gt;0, "", IFERROR(_xlfn.MAXIFS(Log!$G:$G, Log!$A:$A, $A364, Log!$B:$B, $B364, Log!$C:$C, $C364),""))</f>
        <v/>
      </c>
      <c r="T364" s="6"/>
      <c r="U364" s="6"/>
      <c r="CP364" s="6"/>
      <c r="CQ364" s="6"/>
    </row>
    <row r="365" spans="2:95" ht="40.049999999999997" customHeight="1" x14ac:dyDescent="0.3">
      <c r="B365" s="236" t="s">
        <v>89</v>
      </c>
      <c r="H365" s="7" t="str">
        <f>IF(COUNTBLANK($A365:$E365)&gt;0, "", IFERROR(AVERAGEIFS(Log!$E:$E, Log!$A:$A, $A365, Log!$B:$B, $B365, Log!$C:$C, $C365),""))</f>
        <v/>
      </c>
      <c r="I365" s="37" t="str">
        <f t="shared" si="10"/>
        <v/>
      </c>
      <c r="N365" s="6" t="str">
        <f>IF(COUNTBLANK($A365:$E365)&gt;0, "", IFERROR(AVERAGEIFS(Log!#REF!, Log!$A:$A, $A365, Log!$B:$B, $B365, Log!$C:$C, $C365),""))</f>
        <v/>
      </c>
      <c r="O365" s="6" t="str">
        <f>IF(COUNTBLANK($A365:$E365)&gt;0, "", IFERROR(_xlfn.MINIFS(Log!$F:$F, Log!$A:$A, $A365, Log!$B:$B, $B365, Log!$C:$C, $C365),""))</f>
        <v/>
      </c>
      <c r="P365" s="6" t="str">
        <f>IF(COUNTBLANK($A365:$E365)&gt;0, "", IFERROR(_xlfn.MAXIFS(Log!$F:$F, Log!$A:$A, $A365, Log!$B:$B, $B365, Log!$C:$C, $C365),""))</f>
        <v/>
      </c>
      <c r="Q365" s="6" t="str">
        <f>IF(COUNTBLANK($A365:$E365)&gt;0, "", IFERROR(AVERAGEIFS(Log!#REF!, Log!$A:$A, $A365, Log!$B:$B, $B365, Log!$C:$C, $C365),""))</f>
        <v/>
      </c>
      <c r="R365" s="6" t="str">
        <f>IF(COUNTBLANK($A365:$E365)&gt;0, "", IFERROR(_xlfn.MINIFS(Log!$G:$G, Log!$A:$A, $A365, Log!$B:$B, $B365, Log!$C:$C, $C365),""))</f>
        <v/>
      </c>
      <c r="S365" s="6" t="str">
        <f>IF(COUNTBLANK($A365:$E365)&gt;0, "", IFERROR(_xlfn.MAXIFS(Log!$G:$G, Log!$A:$A, $A365, Log!$B:$B, $B365, Log!$C:$C, $C365),""))</f>
        <v/>
      </c>
      <c r="T365" s="6"/>
      <c r="U365" s="6"/>
      <c r="CP365" s="6"/>
      <c r="CQ365" s="6"/>
    </row>
    <row r="366" spans="2:95" ht="40.049999999999997" customHeight="1" x14ac:dyDescent="0.3">
      <c r="B366" s="236" t="s">
        <v>89</v>
      </c>
      <c r="H366" s="7" t="str">
        <f>IF(COUNTBLANK($A366:$E366)&gt;0, "", IFERROR(AVERAGEIFS(Log!$E:$E, Log!$A:$A, $A366, Log!$B:$B, $B366, Log!$C:$C, $C366),""))</f>
        <v/>
      </c>
      <c r="I366" s="37" t="str">
        <f t="shared" si="10"/>
        <v/>
      </c>
      <c r="N366" s="6" t="str">
        <f>IF(COUNTBLANK($A366:$E366)&gt;0, "", IFERROR(AVERAGEIFS(Log!#REF!, Log!$A:$A, $A366, Log!$B:$B, $B366, Log!$C:$C, $C366),""))</f>
        <v/>
      </c>
      <c r="O366" s="6" t="str">
        <f>IF(COUNTBLANK($A366:$E366)&gt;0, "", IFERROR(_xlfn.MINIFS(Log!$F:$F, Log!$A:$A, $A366, Log!$B:$B, $B366, Log!$C:$C, $C366),""))</f>
        <v/>
      </c>
      <c r="P366" s="6" t="str">
        <f>IF(COUNTBLANK($A366:$E366)&gt;0, "", IFERROR(_xlfn.MAXIFS(Log!$F:$F, Log!$A:$A, $A366, Log!$B:$B, $B366, Log!$C:$C, $C366),""))</f>
        <v/>
      </c>
      <c r="Q366" s="6" t="str">
        <f>IF(COUNTBLANK($A366:$E366)&gt;0, "", IFERROR(AVERAGEIFS(Log!#REF!, Log!$A:$A, $A366, Log!$B:$B, $B366, Log!$C:$C, $C366),""))</f>
        <v/>
      </c>
      <c r="R366" s="6" t="str">
        <f>IF(COUNTBLANK($A366:$E366)&gt;0, "", IFERROR(_xlfn.MINIFS(Log!$G:$G, Log!$A:$A, $A366, Log!$B:$B, $B366, Log!$C:$C, $C366),""))</f>
        <v/>
      </c>
      <c r="S366" s="6" t="str">
        <f>IF(COUNTBLANK($A366:$E366)&gt;0, "", IFERROR(_xlfn.MAXIFS(Log!$G:$G, Log!$A:$A, $A366, Log!$B:$B, $B366, Log!$C:$C, $C366),""))</f>
        <v/>
      </c>
      <c r="T366" s="6"/>
      <c r="U366" s="6"/>
      <c r="CP366" s="6"/>
      <c r="CQ366" s="6"/>
    </row>
    <row r="367" spans="2:95" ht="40.049999999999997" customHeight="1" x14ac:dyDescent="0.3">
      <c r="B367" s="236" t="s">
        <v>89</v>
      </c>
      <c r="H367" s="7" t="str">
        <f>IF(COUNTBLANK($A367:$E367)&gt;0, "", IFERROR(AVERAGEIFS(Log!$E:$E, Log!$A:$A, $A367, Log!$B:$B, $B367, Log!$C:$C, $C367),""))</f>
        <v/>
      </c>
      <c r="I367" s="37" t="str">
        <f t="shared" si="10"/>
        <v/>
      </c>
      <c r="N367" s="6" t="str">
        <f>IF(COUNTBLANK($A367:$E367)&gt;0, "", IFERROR(AVERAGEIFS(Log!#REF!, Log!$A:$A, $A367, Log!$B:$B, $B367, Log!$C:$C, $C367),""))</f>
        <v/>
      </c>
      <c r="O367" s="6" t="str">
        <f>IF(COUNTBLANK($A367:$E367)&gt;0, "", IFERROR(_xlfn.MINIFS(Log!$F:$F, Log!$A:$A, $A367, Log!$B:$B, $B367, Log!$C:$C, $C367),""))</f>
        <v/>
      </c>
      <c r="P367" s="6" t="str">
        <f>IF(COUNTBLANK($A367:$E367)&gt;0, "", IFERROR(_xlfn.MAXIFS(Log!$F:$F, Log!$A:$A, $A367, Log!$B:$B, $B367, Log!$C:$C, $C367),""))</f>
        <v/>
      </c>
      <c r="Q367" s="6" t="str">
        <f>IF(COUNTBLANK($A367:$E367)&gt;0, "", IFERROR(AVERAGEIFS(Log!#REF!, Log!$A:$A, $A367, Log!$B:$B, $B367, Log!$C:$C, $C367),""))</f>
        <v/>
      </c>
      <c r="R367" s="6" t="str">
        <f>IF(COUNTBLANK($A367:$E367)&gt;0, "", IFERROR(_xlfn.MINIFS(Log!$G:$G, Log!$A:$A, $A367, Log!$B:$B, $B367, Log!$C:$C, $C367),""))</f>
        <v/>
      </c>
      <c r="S367" s="6" t="str">
        <f>IF(COUNTBLANK($A367:$E367)&gt;0, "", IFERROR(_xlfn.MAXIFS(Log!$G:$G, Log!$A:$A, $A367, Log!$B:$B, $B367, Log!$C:$C, $C367),""))</f>
        <v/>
      </c>
      <c r="T367" s="6"/>
      <c r="U367" s="6"/>
      <c r="CP367" s="6"/>
      <c r="CQ367" s="6"/>
    </row>
    <row r="368" spans="2:95" ht="40.049999999999997" customHeight="1" x14ac:dyDescent="0.3">
      <c r="B368" s="236" t="s">
        <v>89</v>
      </c>
      <c r="H368" s="7" t="str">
        <f>IF(COUNTBLANK($A368:$E368)&gt;0, "", IFERROR(AVERAGEIFS(Log!$E:$E, Log!$A:$A, $A368, Log!$B:$B, $B368, Log!$C:$C, $C368),""))</f>
        <v/>
      </c>
      <c r="I368" s="37" t="str">
        <f t="shared" si="10"/>
        <v/>
      </c>
      <c r="N368" s="6" t="str">
        <f>IF(COUNTBLANK($A368:$E368)&gt;0, "", IFERROR(AVERAGEIFS(Log!#REF!, Log!$A:$A, $A368, Log!$B:$B, $B368, Log!$C:$C, $C368),""))</f>
        <v/>
      </c>
      <c r="O368" s="6" t="str">
        <f>IF(COUNTBLANK($A368:$E368)&gt;0, "", IFERROR(_xlfn.MINIFS(Log!$F:$F, Log!$A:$A, $A368, Log!$B:$B, $B368, Log!$C:$C, $C368),""))</f>
        <v/>
      </c>
      <c r="P368" s="6" t="str">
        <f>IF(COUNTBLANK($A368:$E368)&gt;0, "", IFERROR(_xlfn.MAXIFS(Log!$F:$F, Log!$A:$A, $A368, Log!$B:$B, $B368, Log!$C:$C, $C368),""))</f>
        <v/>
      </c>
      <c r="Q368" s="6" t="str">
        <f>IF(COUNTBLANK($A368:$E368)&gt;0, "", IFERROR(AVERAGEIFS(Log!#REF!, Log!$A:$A, $A368, Log!$B:$B, $B368, Log!$C:$C, $C368),""))</f>
        <v/>
      </c>
      <c r="R368" s="6" t="str">
        <f>IF(COUNTBLANK($A368:$E368)&gt;0, "", IFERROR(_xlfn.MINIFS(Log!$G:$G, Log!$A:$A, $A368, Log!$B:$B, $B368, Log!$C:$C, $C368),""))</f>
        <v/>
      </c>
      <c r="S368" s="6" t="str">
        <f>IF(COUNTBLANK($A368:$E368)&gt;0, "", IFERROR(_xlfn.MAXIFS(Log!$G:$G, Log!$A:$A, $A368, Log!$B:$B, $B368, Log!$C:$C, $C368),""))</f>
        <v/>
      </c>
      <c r="T368" s="6"/>
      <c r="U368" s="6"/>
      <c r="CP368" s="6"/>
      <c r="CQ368" s="6"/>
    </row>
    <row r="369" spans="2:95" ht="40.049999999999997" customHeight="1" x14ac:dyDescent="0.3">
      <c r="B369" s="236" t="s">
        <v>89</v>
      </c>
      <c r="H369" s="7" t="str">
        <f>IF(COUNTBLANK($A369:$E369)&gt;0, "", IFERROR(AVERAGEIFS(Log!$E:$E, Log!$A:$A, $A369, Log!$B:$B, $B369, Log!$C:$C, $C369),""))</f>
        <v/>
      </c>
      <c r="I369" s="37" t="str">
        <f t="shared" si="10"/>
        <v/>
      </c>
      <c r="N369" s="6" t="str">
        <f>IF(COUNTBLANK($A369:$E369)&gt;0, "", IFERROR(AVERAGEIFS(Log!#REF!, Log!$A:$A, $A369, Log!$B:$B, $B369, Log!$C:$C, $C369),""))</f>
        <v/>
      </c>
      <c r="O369" s="6" t="str">
        <f>IF(COUNTBLANK($A369:$E369)&gt;0, "", IFERROR(_xlfn.MINIFS(Log!$F:$F, Log!$A:$A, $A369, Log!$B:$B, $B369, Log!$C:$C, $C369),""))</f>
        <v/>
      </c>
      <c r="P369" s="6" t="str">
        <f>IF(COUNTBLANK($A369:$E369)&gt;0, "", IFERROR(_xlfn.MAXIFS(Log!$F:$F, Log!$A:$A, $A369, Log!$B:$B, $B369, Log!$C:$C, $C369),""))</f>
        <v/>
      </c>
      <c r="Q369" s="6" t="str">
        <f>IF(COUNTBLANK($A369:$E369)&gt;0, "", IFERROR(AVERAGEIFS(Log!#REF!, Log!$A:$A, $A369, Log!$B:$B, $B369, Log!$C:$C, $C369),""))</f>
        <v/>
      </c>
      <c r="R369" s="6" t="str">
        <f>IF(COUNTBLANK($A369:$E369)&gt;0, "", IFERROR(_xlfn.MINIFS(Log!$G:$G, Log!$A:$A, $A369, Log!$B:$B, $B369, Log!$C:$C, $C369),""))</f>
        <v/>
      </c>
      <c r="S369" s="6" t="str">
        <f>IF(COUNTBLANK($A369:$E369)&gt;0, "", IFERROR(_xlfn.MAXIFS(Log!$G:$G, Log!$A:$A, $A369, Log!$B:$B, $B369, Log!$C:$C, $C369),""))</f>
        <v/>
      </c>
      <c r="T369" s="6"/>
      <c r="U369" s="6"/>
      <c r="CP369" s="6"/>
      <c r="CQ369" s="6"/>
    </row>
    <row r="370" spans="2:95" ht="40.049999999999997" customHeight="1" x14ac:dyDescent="0.3">
      <c r="B370" s="236" t="s">
        <v>89</v>
      </c>
      <c r="H370" s="7" t="str">
        <f>IF(COUNTBLANK($A370:$E370)&gt;0, "", IFERROR(AVERAGEIFS(Log!$E:$E, Log!$A:$A, $A370, Log!$B:$B, $B370, Log!$C:$C, $C370),""))</f>
        <v/>
      </c>
      <c r="I370" s="37" t="str">
        <f t="shared" si="10"/>
        <v/>
      </c>
      <c r="N370" s="6" t="str">
        <f>IF(COUNTBLANK($A370:$E370)&gt;0, "", IFERROR(AVERAGEIFS(Log!#REF!, Log!$A:$A, $A370, Log!$B:$B, $B370, Log!$C:$C, $C370),""))</f>
        <v/>
      </c>
      <c r="O370" s="6" t="str">
        <f>IF(COUNTBLANK($A370:$E370)&gt;0, "", IFERROR(_xlfn.MINIFS(Log!$F:$F, Log!$A:$A, $A370, Log!$B:$B, $B370, Log!$C:$C, $C370),""))</f>
        <v/>
      </c>
      <c r="P370" s="6" t="str">
        <f>IF(COUNTBLANK($A370:$E370)&gt;0, "", IFERROR(_xlfn.MAXIFS(Log!$F:$F, Log!$A:$A, $A370, Log!$B:$B, $B370, Log!$C:$C, $C370),""))</f>
        <v/>
      </c>
      <c r="Q370" s="6" t="str">
        <f>IF(COUNTBLANK($A370:$E370)&gt;0, "", IFERROR(AVERAGEIFS(Log!#REF!, Log!$A:$A, $A370, Log!$B:$B, $B370, Log!$C:$C, $C370),""))</f>
        <v/>
      </c>
      <c r="R370" s="6" t="str">
        <f>IF(COUNTBLANK($A370:$E370)&gt;0, "", IFERROR(_xlfn.MINIFS(Log!$G:$G, Log!$A:$A, $A370, Log!$B:$B, $B370, Log!$C:$C, $C370),""))</f>
        <v/>
      </c>
      <c r="S370" s="6" t="str">
        <f>IF(COUNTBLANK($A370:$E370)&gt;0, "", IFERROR(_xlfn.MAXIFS(Log!$G:$G, Log!$A:$A, $A370, Log!$B:$B, $B370, Log!$C:$C, $C370),""))</f>
        <v/>
      </c>
      <c r="T370" s="6"/>
      <c r="U370" s="6"/>
      <c r="CP370" s="6"/>
      <c r="CQ370" s="6"/>
    </row>
    <row r="371" spans="2:95" ht="40.049999999999997" customHeight="1" x14ac:dyDescent="0.3">
      <c r="B371" s="236" t="s">
        <v>89</v>
      </c>
      <c r="H371" s="7" t="str">
        <f>IF(COUNTBLANK($A371:$E371)&gt;0, "", IFERROR(AVERAGEIFS(Log!$E:$E, Log!$A:$A, $A371, Log!$B:$B, $B371, Log!$C:$C, $C371),""))</f>
        <v/>
      </c>
      <c r="I371" s="37" t="str">
        <f t="shared" si="10"/>
        <v/>
      </c>
      <c r="N371" s="6" t="str">
        <f>IF(COUNTBLANK($A371:$E371)&gt;0, "", IFERROR(AVERAGEIFS(Log!#REF!, Log!$A:$A, $A371, Log!$B:$B, $B371, Log!$C:$C, $C371),""))</f>
        <v/>
      </c>
      <c r="O371" s="6" t="str">
        <f>IF(COUNTBLANK($A371:$E371)&gt;0, "", IFERROR(_xlfn.MINIFS(Log!$F:$F, Log!$A:$A, $A371, Log!$B:$B, $B371, Log!$C:$C, $C371),""))</f>
        <v/>
      </c>
      <c r="P371" s="6" t="str">
        <f>IF(COUNTBLANK($A371:$E371)&gt;0, "", IFERROR(_xlfn.MAXIFS(Log!$F:$F, Log!$A:$A, $A371, Log!$B:$B, $B371, Log!$C:$C, $C371),""))</f>
        <v/>
      </c>
      <c r="Q371" s="6" t="str">
        <f>IF(COUNTBLANK($A371:$E371)&gt;0, "", IFERROR(AVERAGEIFS(Log!#REF!, Log!$A:$A, $A371, Log!$B:$B, $B371, Log!$C:$C, $C371),""))</f>
        <v/>
      </c>
      <c r="R371" s="6" t="str">
        <f>IF(COUNTBLANK($A371:$E371)&gt;0, "", IFERROR(_xlfn.MINIFS(Log!$G:$G, Log!$A:$A, $A371, Log!$B:$B, $B371, Log!$C:$C, $C371),""))</f>
        <v/>
      </c>
      <c r="S371" s="6" t="str">
        <f>IF(COUNTBLANK($A371:$E371)&gt;0, "", IFERROR(_xlfn.MAXIFS(Log!$G:$G, Log!$A:$A, $A371, Log!$B:$B, $B371, Log!$C:$C, $C371),""))</f>
        <v/>
      </c>
      <c r="T371" s="6"/>
      <c r="U371" s="6"/>
      <c r="CP371" s="6"/>
      <c r="CQ371" s="6"/>
    </row>
    <row r="372" spans="2:95" ht="40.049999999999997" customHeight="1" x14ac:dyDescent="0.3">
      <c r="B372" s="236" t="s">
        <v>89</v>
      </c>
      <c r="H372" s="7" t="str">
        <f>IF(COUNTBLANK($A372:$E372)&gt;0, "", IFERROR(AVERAGEIFS(Log!$E:$E, Log!$A:$A, $A372, Log!$B:$B, $B372, Log!$C:$C, $C372),""))</f>
        <v/>
      </c>
      <c r="I372" s="37" t="str">
        <f t="shared" si="10"/>
        <v/>
      </c>
      <c r="N372" s="6" t="str">
        <f>IF(COUNTBLANK($A372:$E372)&gt;0, "", IFERROR(AVERAGEIFS(Log!#REF!, Log!$A:$A, $A372, Log!$B:$B, $B372, Log!$C:$C, $C372),""))</f>
        <v/>
      </c>
      <c r="O372" s="6" t="str">
        <f>IF(COUNTBLANK($A372:$E372)&gt;0, "", IFERROR(_xlfn.MINIFS(Log!$F:$F, Log!$A:$A, $A372, Log!$B:$B, $B372, Log!$C:$C, $C372),""))</f>
        <v/>
      </c>
      <c r="P372" s="6" t="str">
        <f>IF(COUNTBLANK($A372:$E372)&gt;0, "", IFERROR(_xlfn.MAXIFS(Log!$F:$F, Log!$A:$A, $A372, Log!$B:$B, $B372, Log!$C:$C, $C372),""))</f>
        <v/>
      </c>
      <c r="Q372" s="6" t="str">
        <f>IF(COUNTBLANK($A372:$E372)&gt;0, "", IFERROR(AVERAGEIFS(Log!#REF!, Log!$A:$A, $A372, Log!$B:$B, $B372, Log!$C:$C, $C372),""))</f>
        <v/>
      </c>
      <c r="R372" s="6" t="str">
        <f>IF(COUNTBLANK($A372:$E372)&gt;0, "", IFERROR(_xlfn.MINIFS(Log!$G:$G, Log!$A:$A, $A372, Log!$B:$B, $B372, Log!$C:$C, $C372),""))</f>
        <v/>
      </c>
      <c r="S372" s="6" t="str">
        <f>IF(COUNTBLANK($A372:$E372)&gt;0, "", IFERROR(_xlfn.MAXIFS(Log!$G:$G, Log!$A:$A, $A372, Log!$B:$B, $B372, Log!$C:$C, $C372),""))</f>
        <v/>
      </c>
      <c r="T372" s="6"/>
      <c r="U372" s="6"/>
      <c r="CP372" s="6"/>
      <c r="CQ372" s="6"/>
    </row>
    <row r="373" spans="2:95" ht="40.049999999999997" customHeight="1" x14ac:dyDescent="0.3">
      <c r="B373" s="236" t="s">
        <v>89</v>
      </c>
      <c r="H373" s="7" t="str">
        <f>IF(COUNTBLANK($A373:$E373)&gt;0, "", IFERROR(AVERAGEIFS(Log!$E:$E, Log!$A:$A, $A373, Log!$B:$B, $B373, Log!$C:$C, $C373),""))</f>
        <v/>
      </c>
      <c r="I373" s="37" t="str">
        <f t="shared" si="10"/>
        <v/>
      </c>
      <c r="N373" s="6" t="str">
        <f>IF(COUNTBLANK($A373:$E373)&gt;0, "", IFERROR(AVERAGEIFS(Log!#REF!, Log!$A:$A, $A373, Log!$B:$B, $B373, Log!$C:$C, $C373),""))</f>
        <v/>
      </c>
      <c r="O373" s="6" t="str">
        <f>IF(COUNTBLANK($A373:$E373)&gt;0, "", IFERROR(_xlfn.MINIFS(Log!$F:$F, Log!$A:$A, $A373, Log!$B:$B, $B373, Log!$C:$C, $C373),""))</f>
        <v/>
      </c>
      <c r="P373" s="6" t="str">
        <f>IF(COUNTBLANK($A373:$E373)&gt;0, "", IFERROR(_xlfn.MAXIFS(Log!$F:$F, Log!$A:$A, $A373, Log!$B:$B, $B373, Log!$C:$C, $C373),""))</f>
        <v/>
      </c>
      <c r="Q373" s="6" t="str">
        <f>IF(COUNTBLANK($A373:$E373)&gt;0, "", IFERROR(AVERAGEIFS(Log!#REF!, Log!$A:$A, $A373, Log!$B:$B, $B373, Log!$C:$C, $C373),""))</f>
        <v/>
      </c>
      <c r="R373" s="6" t="str">
        <f>IF(COUNTBLANK($A373:$E373)&gt;0, "", IFERROR(_xlfn.MINIFS(Log!$G:$G, Log!$A:$A, $A373, Log!$B:$B, $B373, Log!$C:$C, $C373),""))</f>
        <v/>
      </c>
      <c r="S373" s="6" t="str">
        <f>IF(COUNTBLANK($A373:$E373)&gt;0, "", IFERROR(_xlfn.MAXIFS(Log!$G:$G, Log!$A:$A, $A373, Log!$B:$B, $B373, Log!$C:$C, $C373),""))</f>
        <v/>
      </c>
      <c r="T373" s="6"/>
      <c r="U373" s="6"/>
      <c r="CP373" s="6"/>
      <c r="CQ373" s="6"/>
    </row>
    <row r="374" spans="2:95" ht="40.049999999999997" customHeight="1" x14ac:dyDescent="0.3">
      <c r="B374" s="236" t="s">
        <v>89</v>
      </c>
      <c r="H374" s="7" t="str">
        <f>IF(COUNTBLANK($A374:$E374)&gt;0, "", IFERROR(AVERAGEIFS(Log!$E:$E, Log!$A:$A, $A374, Log!$B:$B, $B374, Log!$C:$C, $C374),""))</f>
        <v/>
      </c>
      <c r="I374" s="37" t="str">
        <f t="shared" si="10"/>
        <v/>
      </c>
      <c r="N374" s="6" t="str">
        <f>IF(COUNTBLANK($A374:$E374)&gt;0, "", IFERROR(AVERAGEIFS(Log!#REF!, Log!$A:$A, $A374, Log!$B:$B, $B374, Log!$C:$C, $C374),""))</f>
        <v/>
      </c>
      <c r="O374" s="6" t="str">
        <f>IF(COUNTBLANK($A374:$E374)&gt;0, "", IFERROR(_xlfn.MINIFS(Log!$F:$F, Log!$A:$A, $A374, Log!$B:$B, $B374, Log!$C:$C, $C374),""))</f>
        <v/>
      </c>
      <c r="P374" s="6" t="str">
        <f>IF(COUNTBLANK($A374:$E374)&gt;0, "", IFERROR(_xlfn.MAXIFS(Log!$F:$F, Log!$A:$A, $A374, Log!$B:$B, $B374, Log!$C:$C, $C374),""))</f>
        <v/>
      </c>
      <c r="Q374" s="6" t="str">
        <f>IF(COUNTBLANK($A374:$E374)&gt;0, "", IFERROR(AVERAGEIFS(Log!#REF!, Log!$A:$A, $A374, Log!$B:$B, $B374, Log!$C:$C, $C374),""))</f>
        <v/>
      </c>
      <c r="R374" s="6" t="str">
        <f>IF(COUNTBLANK($A374:$E374)&gt;0, "", IFERROR(_xlfn.MINIFS(Log!$G:$G, Log!$A:$A, $A374, Log!$B:$B, $B374, Log!$C:$C, $C374),""))</f>
        <v/>
      </c>
      <c r="S374" s="6" t="str">
        <f>IF(COUNTBLANK($A374:$E374)&gt;0, "", IFERROR(_xlfn.MAXIFS(Log!$G:$G, Log!$A:$A, $A374, Log!$B:$B, $B374, Log!$C:$C, $C374),""))</f>
        <v/>
      </c>
      <c r="T374" s="6"/>
      <c r="U374" s="6"/>
      <c r="CP374" s="6"/>
      <c r="CQ374" s="6"/>
    </row>
    <row r="375" spans="2:95" ht="40.049999999999997" customHeight="1" x14ac:dyDescent="0.3">
      <c r="B375" s="236" t="s">
        <v>89</v>
      </c>
      <c r="H375" s="7" t="str">
        <f>IF(COUNTBLANK($A375:$E375)&gt;0, "", IFERROR(AVERAGEIFS(Log!$E:$E, Log!$A:$A, $A375, Log!$B:$B, $B375, Log!$C:$C, $C375),""))</f>
        <v/>
      </c>
      <c r="I375" s="37" t="str">
        <f t="shared" si="10"/>
        <v/>
      </c>
      <c r="N375" s="6" t="str">
        <f>IF(COUNTBLANK($A375:$E375)&gt;0, "", IFERROR(AVERAGEIFS(Log!#REF!, Log!$A:$A, $A375, Log!$B:$B, $B375, Log!$C:$C, $C375),""))</f>
        <v/>
      </c>
      <c r="O375" s="6" t="str">
        <f>IF(COUNTBLANK($A375:$E375)&gt;0, "", IFERROR(_xlfn.MINIFS(Log!$F:$F, Log!$A:$A, $A375, Log!$B:$B, $B375, Log!$C:$C, $C375),""))</f>
        <v/>
      </c>
      <c r="P375" s="6" t="str">
        <f>IF(COUNTBLANK($A375:$E375)&gt;0, "", IFERROR(_xlfn.MAXIFS(Log!$F:$F, Log!$A:$A, $A375, Log!$B:$B, $B375, Log!$C:$C, $C375),""))</f>
        <v/>
      </c>
      <c r="Q375" s="6" t="str">
        <f>IF(COUNTBLANK($A375:$E375)&gt;0, "", IFERROR(AVERAGEIFS(Log!#REF!, Log!$A:$A, $A375, Log!$B:$B, $B375, Log!$C:$C, $C375),""))</f>
        <v/>
      </c>
      <c r="R375" s="6" t="str">
        <f>IF(COUNTBLANK($A375:$E375)&gt;0, "", IFERROR(_xlfn.MINIFS(Log!$G:$G, Log!$A:$A, $A375, Log!$B:$B, $B375, Log!$C:$C, $C375),""))</f>
        <v/>
      </c>
      <c r="S375" s="6" t="str">
        <f>IF(COUNTBLANK($A375:$E375)&gt;0, "", IFERROR(_xlfn.MAXIFS(Log!$G:$G, Log!$A:$A, $A375, Log!$B:$B, $B375, Log!$C:$C, $C375),""))</f>
        <v/>
      </c>
      <c r="T375" s="6"/>
      <c r="U375" s="6"/>
      <c r="CP375" s="6"/>
      <c r="CQ375" s="6"/>
    </row>
    <row r="376" spans="2:95" ht="40.049999999999997" customHeight="1" x14ac:dyDescent="0.3">
      <c r="B376" s="236" t="s">
        <v>89</v>
      </c>
      <c r="H376" s="7" t="str">
        <f>IF(COUNTBLANK($A376:$E376)&gt;0, "", IFERROR(AVERAGEIFS(Log!$E:$E, Log!$A:$A, $A376, Log!$B:$B, $B376, Log!$C:$C, $C376),""))</f>
        <v/>
      </c>
      <c r="I376" s="37" t="str">
        <f t="shared" si="10"/>
        <v/>
      </c>
      <c r="N376" s="6" t="str">
        <f>IF(COUNTBLANK($A376:$E376)&gt;0, "", IFERROR(AVERAGEIFS(Log!#REF!, Log!$A:$A, $A376, Log!$B:$B, $B376, Log!$C:$C, $C376),""))</f>
        <v/>
      </c>
      <c r="O376" s="6" t="str">
        <f>IF(COUNTBLANK($A376:$E376)&gt;0, "", IFERROR(_xlfn.MINIFS(Log!$F:$F, Log!$A:$A, $A376, Log!$B:$B, $B376, Log!$C:$C, $C376),""))</f>
        <v/>
      </c>
      <c r="P376" s="6" t="str">
        <f>IF(COUNTBLANK($A376:$E376)&gt;0, "", IFERROR(_xlfn.MAXIFS(Log!$F:$F, Log!$A:$A, $A376, Log!$B:$B, $B376, Log!$C:$C, $C376),""))</f>
        <v/>
      </c>
      <c r="Q376" s="6" t="str">
        <f>IF(COUNTBLANK($A376:$E376)&gt;0, "", IFERROR(AVERAGEIFS(Log!#REF!, Log!$A:$A, $A376, Log!$B:$B, $B376, Log!$C:$C, $C376),""))</f>
        <v/>
      </c>
      <c r="R376" s="6" t="str">
        <f>IF(COUNTBLANK($A376:$E376)&gt;0, "", IFERROR(_xlfn.MINIFS(Log!$G:$G, Log!$A:$A, $A376, Log!$B:$B, $B376, Log!$C:$C, $C376),""))</f>
        <v/>
      </c>
      <c r="S376" s="6" t="str">
        <f>IF(COUNTBLANK($A376:$E376)&gt;0, "", IFERROR(_xlfn.MAXIFS(Log!$G:$G, Log!$A:$A, $A376, Log!$B:$B, $B376, Log!$C:$C, $C376),""))</f>
        <v/>
      </c>
      <c r="T376" s="6"/>
      <c r="U376" s="6"/>
      <c r="CP376" s="6"/>
      <c r="CQ376" s="6"/>
    </row>
    <row r="377" spans="2:95" ht="40.049999999999997" customHeight="1" x14ac:dyDescent="0.3">
      <c r="B377" s="236" t="s">
        <v>89</v>
      </c>
      <c r="H377" s="7" t="str">
        <f>IF(COUNTBLANK($A377:$E377)&gt;0, "", IFERROR(AVERAGEIFS(Log!$E:$E, Log!$A:$A, $A377, Log!$B:$B, $B377, Log!$C:$C, $C377),""))</f>
        <v/>
      </c>
      <c r="I377" s="37" t="str">
        <f t="shared" si="10"/>
        <v/>
      </c>
      <c r="N377" s="6" t="str">
        <f>IF(COUNTBLANK($A377:$E377)&gt;0, "", IFERROR(AVERAGEIFS(Log!#REF!, Log!$A:$A, $A377, Log!$B:$B, $B377, Log!$C:$C, $C377),""))</f>
        <v/>
      </c>
      <c r="O377" s="6" t="str">
        <f>IF(COUNTBLANK($A377:$E377)&gt;0, "", IFERROR(_xlfn.MINIFS(Log!$F:$F, Log!$A:$A, $A377, Log!$B:$B, $B377, Log!$C:$C, $C377),""))</f>
        <v/>
      </c>
      <c r="P377" s="6" t="str">
        <f>IF(COUNTBLANK($A377:$E377)&gt;0, "", IFERROR(_xlfn.MAXIFS(Log!$F:$F, Log!$A:$A, $A377, Log!$B:$B, $B377, Log!$C:$C, $C377),""))</f>
        <v/>
      </c>
      <c r="Q377" s="6" t="str">
        <f>IF(COUNTBLANK($A377:$E377)&gt;0, "", IFERROR(AVERAGEIFS(Log!#REF!, Log!$A:$A, $A377, Log!$B:$B, $B377, Log!$C:$C, $C377),""))</f>
        <v/>
      </c>
      <c r="R377" s="6" t="str">
        <f>IF(COUNTBLANK($A377:$E377)&gt;0, "", IFERROR(_xlfn.MINIFS(Log!$G:$G, Log!$A:$A, $A377, Log!$B:$B, $B377, Log!$C:$C, $C377),""))</f>
        <v/>
      </c>
      <c r="S377" s="6" t="str">
        <f>IF(COUNTBLANK($A377:$E377)&gt;0, "", IFERROR(_xlfn.MAXIFS(Log!$G:$G, Log!$A:$A, $A377, Log!$B:$B, $B377, Log!$C:$C, $C377),""))</f>
        <v/>
      </c>
      <c r="T377" s="6"/>
      <c r="U377" s="6"/>
      <c r="CP377" s="6"/>
      <c r="CQ377" s="6"/>
    </row>
    <row r="378" spans="2:95" ht="40.049999999999997" customHeight="1" x14ac:dyDescent="0.3">
      <c r="B378" s="236" t="s">
        <v>89</v>
      </c>
      <c r="H378" s="7" t="str">
        <f>IF(COUNTBLANK($A378:$E378)&gt;0, "", IFERROR(AVERAGEIFS(Log!$E:$E, Log!$A:$A, $A378, Log!$B:$B, $B378, Log!$C:$C, $C378),""))</f>
        <v/>
      </c>
      <c r="I378" s="37" t="str">
        <f t="shared" si="10"/>
        <v/>
      </c>
      <c r="N378" s="6" t="str">
        <f>IF(COUNTBLANK($A378:$E378)&gt;0, "", IFERROR(AVERAGEIFS(Log!#REF!, Log!$A:$A, $A378, Log!$B:$B, $B378, Log!$C:$C, $C378),""))</f>
        <v/>
      </c>
      <c r="O378" s="6" t="str">
        <f>IF(COUNTBLANK($A378:$E378)&gt;0, "", IFERROR(_xlfn.MINIFS(Log!$F:$F, Log!$A:$A, $A378, Log!$B:$B, $B378, Log!$C:$C, $C378),""))</f>
        <v/>
      </c>
      <c r="P378" s="6" t="str">
        <f>IF(COUNTBLANK($A378:$E378)&gt;0, "", IFERROR(_xlfn.MAXIFS(Log!$F:$F, Log!$A:$A, $A378, Log!$B:$B, $B378, Log!$C:$C, $C378),""))</f>
        <v/>
      </c>
      <c r="Q378" s="6" t="str">
        <f>IF(COUNTBLANK($A378:$E378)&gt;0, "", IFERROR(AVERAGEIFS(Log!#REF!, Log!$A:$A, $A378, Log!$B:$B, $B378, Log!$C:$C, $C378),""))</f>
        <v/>
      </c>
      <c r="R378" s="6" t="str">
        <f>IF(COUNTBLANK($A378:$E378)&gt;0, "", IFERROR(_xlfn.MINIFS(Log!$G:$G, Log!$A:$A, $A378, Log!$B:$B, $B378, Log!$C:$C, $C378),""))</f>
        <v/>
      </c>
      <c r="S378" s="6" t="str">
        <f>IF(COUNTBLANK($A378:$E378)&gt;0, "", IFERROR(_xlfn.MAXIFS(Log!$G:$G, Log!$A:$A, $A378, Log!$B:$B, $B378, Log!$C:$C, $C378),""))</f>
        <v/>
      </c>
      <c r="T378" s="6"/>
      <c r="U378" s="6"/>
      <c r="CP378" s="6"/>
      <c r="CQ378" s="6"/>
    </row>
    <row r="379" spans="2:95" ht="40.049999999999997" customHeight="1" x14ac:dyDescent="0.3">
      <c r="B379" s="236" t="s">
        <v>89</v>
      </c>
      <c r="H379" s="7" t="str">
        <f>IF(COUNTBLANK($A379:$E379)&gt;0, "", IFERROR(AVERAGEIFS(Log!$E:$E, Log!$A:$A, $A379, Log!$B:$B, $B379, Log!$C:$C, $C379),""))</f>
        <v/>
      </c>
      <c r="I379" s="37" t="str">
        <f t="shared" si="10"/>
        <v/>
      </c>
      <c r="N379" s="6" t="str">
        <f>IF(COUNTBLANK($A379:$E379)&gt;0, "", IFERROR(AVERAGEIFS(Log!#REF!, Log!$A:$A, $A379, Log!$B:$B, $B379, Log!$C:$C, $C379),""))</f>
        <v/>
      </c>
      <c r="O379" s="6" t="str">
        <f>IF(COUNTBLANK($A379:$E379)&gt;0, "", IFERROR(_xlfn.MINIFS(Log!$F:$F, Log!$A:$A, $A379, Log!$B:$B, $B379, Log!$C:$C, $C379),""))</f>
        <v/>
      </c>
      <c r="P379" s="6" t="str">
        <f>IF(COUNTBLANK($A379:$E379)&gt;0, "", IFERROR(_xlfn.MAXIFS(Log!$F:$F, Log!$A:$A, $A379, Log!$B:$B, $B379, Log!$C:$C, $C379),""))</f>
        <v/>
      </c>
      <c r="Q379" s="6" t="str">
        <f>IF(COUNTBLANK($A379:$E379)&gt;0, "", IFERROR(AVERAGEIFS(Log!#REF!, Log!$A:$A, $A379, Log!$B:$B, $B379, Log!$C:$C, $C379),""))</f>
        <v/>
      </c>
      <c r="R379" s="6" t="str">
        <f>IF(COUNTBLANK($A379:$E379)&gt;0, "", IFERROR(_xlfn.MINIFS(Log!$G:$G, Log!$A:$A, $A379, Log!$B:$B, $B379, Log!$C:$C, $C379),""))</f>
        <v/>
      </c>
      <c r="S379" s="6" t="str">
        <f>IF(COUNTBLANK($A379:$E379)&gt;0, "", IFERROR(_xlfn.MAXIFS(Log!$G:$G, Log!$A:$A, $A379, Log!$B:$B, $B379, Log!$C:$C, $C379),""))</f>
        <v/>
      </c>
      <c r="T379" s="6"/>
      <c r="U379" s="6"/>
      <c r="CP379" s="6"/>
      <c r="CQ379" s="6"/>
    </row>
    <row r="380" spans="2:95" ht="40.049999999999997" customHeight="1" x14ac:dyDescent="0.3">
      <c r="B380" s="236" t="s">
        <v>89</v>
      </c>
      <c r="H380" s="7" t="str">
        <f>IF(COUNTBLANK($A380:$E380)&gt;0, "", IFERROR(AVERAGEIFS(Log!$E:$E, Log!$A:$A, $A380, Log!$B:$B, $B380, Log!$C:$C, $C380),""))</f>
        <v/>
      </c>
      <c r="I380" s="37" t="str">
        <f t="shared" si="10"/>
        <v/>
      </c>
      <c r="N380" s="6" t="str">
        <f>IF(COUNTBLANK($A380:$E380)&gt;0, "", IFERROR(AVERAGEIFS(Log!#REF!, Log!$A:$A, $A380, Log!$B:$B, $B380, Log!$C:$C, $C380),""))</f>
        <v/>
      </c>
      <c r="O380" s="6" t="str">
        <f>IF(COUNTBLANK($A380:$E380)&gt;0, "", IFERROR(_xlfn.MINIFS(Log!$F:$F, Log!$A:$A, $A380, Log!$B:$B, $B380, Log!$C:$C, $C380),""))</f>
        <v/>
      </c>
      <c r="P380" s="6" t="str">
        <f>IF(COUNTBLANK($A380:$E380)&gt;0, "", IFERROR(_xlfn.MAXIFS(Log!$F:$F, Log!$A:$A, $A380, Log!$B:$B, $B380, Log!$C:$C, $C380),""))</f>
        <v/>
      </c>
      <c r="Q380" s="6" t="str">
        <f>IF(COUNTBLANK($A380:$E380)&gt;0, "", IFERROR(AVERAGEIFS(Log!#REF!, Log!$A:$A, $A380, Log!$B:$B, $B380, Log!$C:$C, $C380),""))</f>
        <v/>
      </c>
      <c r="R380" s="6" t="str">
        <f>IF(COUNTBLANK($A380:$E380)&gt;0, "", IFERROR(_xlfn.MINIFS(Log!$G:$G, Log!$A:$A, $A380, Log!$B:$B, $B380, Log!$C:$C, $C380),""))</f>
        <v/>
      </c>
      <c r="S380" s="6" t="str">
        <f>IF(COUNTBLANK($A380:$E380)&gt;0, "", IFERROR(_xlfn.MAXIFS(Log!$G:$G, Log!$A:$A, $A380, Log!$B:$B, $B380, Log!$C:$C, $C380),""))</f>
        <v/>
      </c>
      <c r="T380" s="6"/>
      <c r="U380" s="6"/>
      <c r="CP380" s="6"/>
      <c r="CQ380" s="6"/>
    </row>
    <row r="381" spans="2:95" ht="40.049999999999997" customHeight="1" x14ac:dyDescent="0.3">
      <c r="B381" s="236" t="s">
        <v>89</v>
      </c>
      <c r="H381" s="7" t="str">
        <f>IF(COUNTBLANK($A381:$E381)&gt;0, "", IFERROR(AVERAGEIFS(Log!$E:$E, Log!$A:$A, $A381, Log!$B:$B, $B381, Log!$C:$C, $C381),""))</f>
        <v/>
      </c>
      <c r="I381" s="37" t="str">
        <f t="shared" si="10"/>
        <v/>
      </c>
      <c r="N381" s="6" t="str">
        <f>IF(COUNTBLANK($A381:$E381)&gt;0, "", IFERROR(AVERAGEIFS(Log!#REF!, Log!$A:$A, $A381, Log!$B:$B, $B381, Log!$C:$C, $C381),""))</f>
        <v/>
      </c>
      <c r="O381" s="6" t="str">
        <f>IF(COUNTBLANK($A381:$E381)&gt;0, "", IFERROR(_xlfn.MINIFS(Log!$F:$F, Log!$A:$A, $A381, Log!$B:$B, $B381, Log!$C:$C, $C381),""))</f>
        <v/>
      </c>
      <c r="P381" s="6" t="str">
        <f>IF(COUNTBLANK($A381:$E381)&gt;0, "", IFERROR(_xlfn.MAXIFS(Log!$F:$F, Log!$A:$A, $A381, Log!$B:$B, $B381, Log!$C:$C, $C381),""))</f>
        <v/>
      </c>
      <c r="Q381" s="6" t="str">
        <f>IF(COUNTBLANK($A381:$E381)&gt;0, "", IFERROR(AVERAGEIFS(Log!#REF!, Log!$A:$A, $A381, Log!$B:$B, $B381, Log!$C:$C, $C381),""))</f>
        <v/>
      </c>
      <c r="R381" s="6" t="str">
        <f>IF(COUNTBLANK($A381:$E381)&gt;0, "", IFERROR(_xlfn.MINIFS(Log!$G:$G, Log!$A:$A, $A381, Log!$B:$B, $B381, Log!$C:$C, $C381),""))</f>
        <v/>
      </c>
      <c r="S381" s="6" t="str">
        <f>IF(COUNTBLANK($A381:$E381)&gt;0, "", IFERROR(_xlfn.MAXIFS(Log!$G:$G, Log!$A:$A, $A381, Log!$B:$B, $B381, Log!$C:$C, $C381),""))</f>
        <v/>
      </c>
      <c r="T381" s="6"/>
      <c r="U381" s="6"/>
      <c r="CP381" s="6"/>
      <c r="CQ381" s="6"/>
    </row>
    <row r="382" spans="2:95" ht="40.049999999999997" customHeight="1" x14ac:dyDescent="0.3">
      <c r="B382" s="236" t="s">
        <v>89</v>
      </c>
      <c r="H382" s="7" t="str">
        <f>IF(COUNTBLANK($A382:$E382)&gt;0, "", IFERROR(AVERAGEIFS(Log!$E:$E, Log!$A:$A, $A382, Log!$B:$B, $B382, Log!$C:$C, $C382),""))</f>
        <v/>
      </c>
      <c r="I382" s="37" t="str">
        <f t="shared" si="10"/>
        <v/>
      </c>
      <c r="N382" s="6" t="str">
        <f>IF(COUNTBLANK($A382:$E382)&gt;0, "", IFERROR(AVERAGEIFS(Log!#REF!, Log!$A:$A, $A382, Log!$B:$B, $B382, Log!$C:$C, $C382),""))</f>
        <v/>
      </c>
      <c r="O382" s="6" t="str">
        <f>IF(COUNTBLANK($A382:$E382)&gt;0, "", IFERROR(_xlfn.MINIFS(Log!$F:$F, Log!$A:$A, $A382, Log!$B:$B, $B382, Log!$C:$C, $C382),""))</f>
        <v/>
      </c>
      <c r="P382" s="6" t="str">
        <f>IF(COUNTBLANK($A382:$E382)&gt;0, "", IFERROR(_xlfn.MAXIFS(Log!$F:$F, Log!$A:$A, $A382, Log!$B:$B, $B382, Log!$C:$C, $C382),""))</f>
        <v/>
      </c>
      <c r="Q382" s="6" t="str">
        <f>IF(COUNTBLANK($A382:$E382)&gt;0, "", IFERROR(AVERAGEIFS(Log!#REF!, Log!$A:$A, $A382, Log!$B:$B, $B382, Log!$C:$C, $C382),""))</f>
        <v/>
      </c>
      <c r="R382" s="6" t="str">
        <f>IF(COUNTBLANK($A382:$E382)&gt;0, "", IFERROR(_xlfn.MINIFS(Log!$G:$G, Log!$A:$A, $A382, Log!$B:$B, $B382, Log!$C:$C, $C382),""))</f>
        <v/>
      </c>
      <c r="S382" s="6" t="str">
        <f>IF(COUNTBLANK($A382:$E382)&gt;0, "", IFERROR(_xlfn.MAXIFS(Log!$G:$G, Log!$A:$A, $A382, Log!$B:$B, $B382, Log!$C:$C, $C382),""))</f>
        <v/>
      </c>
      <c r="T382" s="6"/>
      <c r="U382" s="6"/>
      <c r="CP382" s="6"/>
      <c r="CQ382" s="6"/>
    </row>
    <row r="383" spans="2:95" ht="40.049999999999997" customHeight="1" x14ac:dyDescent="0.3">
      <c r="B383" s="236" t="s">
        <v>89</v>
      </c>
      <c r="H383" s="7" t="str">
        <f>IF(COUNTBLANK($A383:$E383)&gt;0, "", IFERROR(AVERAGEIFS(Log!$E:$E, Log!$A:$A, $A383, Log!$B:$B, $B383, Log!$C:$C, $C383),""))</f>
        <v/>
      </c>
      <c r="I383" s="37" t="str">
        <f t="shared" si="10"/>
        <v/>
      </c>
      <c r="N383" s="6" t="str">
        <f>IF(COUNTBLANK($A383:$E383)&gt;0, "", IFERROR(AVERAGEIFS(Log!#REF!, Log!$A:$A, $A383, Log!$B:$B, $B383, Log!$C:$C, $C383),""))</f>
        <v/>
      </c>
      <c r="O383" s="6" t="str">
        <f>IF(COUNTBLANK($A383:$E383)&gt;0, "", IFERROR(_xlfn.MINIFS(Log!$F:$F, Log!$A:$A, $A383, Log!$B:$B, $B383, Log!$C:$C, $C383),""))</f>
        <v/>
      </c>
      <c r="P383" s="6" t="str">
        <f>IF(COUNTBLANK($A383:$E383)&gt;0, "", IFERROR(_xlfn.MAXIFS(Log!$F:$F, Log!$A:$A, $A383, Log!$B:$B, $B383, Log!$C:$C, $C383),""))</f>
        <v/>
      </c>
      <c r="Q383" s="6" t="str">
        <f>IF(COUNTBLANK($A383:$E383)&gt;0, "", IFERROR(AVERAGEIFS(Log!#REF!, Log!$A:$A, $A383, Log!$B:$B, $B383, Log!$C:$C, $C383),""))</f>
        <v/>
      </c>
      <c r="R383" s="6" t="str">
        <f>IF(COUNTBLANK($A383:$E383)&gt;0, "", IFERROR(_xlfn.MINIFS(Log!$G:$G, Log!$A:$A, $A383, Log!$B:$B, $B383, Log!$C:$C, $C383),""))</f>
        <v/>
      </c>
      <c r="S383" s="6" t="str">
        <f>IF(COUNTBLANK($A383:$E383)&gt;0, "", IFERROR(_xlfn.MAXIFS(Log!$G:$G, Log!$A:$A, $A383, Log!$B:$B, $B383, Log!$C:$C, $C383),""))</f>
        <v/>
      </c>
      <c r="T383" s="6"/>
      <c r="U383" s="6"/>
      <c r="CP383" s="6"/>
      <c r="CQ383" s="6"/>
    </row>
    <row r="384" spans="2:95" ht="40.049999999999997" customHeight="1" x14ac:dyDescent="0.3">
      <c r="B384" s="236" t="s">
        <v>89</v>
      </c>
      <c r="H384" s="7" t="str">
        <f>IF(COUNTBLANK($A384:$E384)&gt;0, "", IFERROR(AVERAGEIFS(Log!$E:$E, Log!$A:$A, $A384, Log!$B:$B, $B384, Log!$C:$C, $C384),""))</f>
        <v/>
      </c>
      <c r="I384" s="37" t="str">
        <f t="shared" si="10"/>
        <v/>
      </c>
      <c r="N384" s="6" t="str">
        <f>IF(COUNTBLANK($A384:$E384)&gt;0, "", IFERROR(AVERAGEIFS(Log!#REF!, Log!$A:$A, $A384, Log!$B:$B, $B384, Log!$C:$C, $C384),""))</f>
        <v/>
      </c>
      <c r="O384" s="6" t="str">
        <f>IF(COUNTBLANK($A384:$E384)&gt;0, "", IFERROR(_xlfn.MINIFS(Log!$F:$F, Log!$A:$A, $A384, Log!$B:$B, $B384, Log!$C:$C, $C384),""))</f>
        <v/>
      </c>
      <c r="P384" s="6" t="str">
        <f>IF(COUNTBLANK($A384:$E384)&gt;0, "", IFERROR(_xlfn.MAXIFS(Log!$F:$F, Log!$A:$A, $A384, Log!$B:$B, $B384, Log!$C:$C, $C384),""))</f>
        <v/>
      </c>
      <c r="Q384" s="6" t="str">
        <f>IF(COUNTBLANK($A384:$E384)&gt;0, "", IFERROR(AVERAGEIFS(Log!#REF!, Log!$A:$A, $A384, Log!$B:$B, $B384, Log!$C:$C, $C384),""))</f>
        <v/>
      </c>
      <c r="R384" s="6" t="str">
        <f>IF(COUNTBLANK($A384:$E384)&gt;0, "", IFERROR(_xlfn.MINIFS(Log!$G:$G, Log!$A:$A, $A384, Log!$B:$B, $B384, Log!$C:$C, $C384),""))</f>
        <v/>
      </c>
      <c r="S384" s="6" t="str">
        <f>IF(COUNTBLANK($A384:$E384)&gt;0, "", IFERROR(_xlfn.MAXIFS(Log!$G:$G, Log!$A:$A, $A384, Log!$B:$B, $B384, Log!$C:$C, $C384),""))</f>
        <v/>
      </c>
      <c r="T384" s="6"/>
      <c r="U384" s="6"/>
      <c r="CP384" s="6"/>
      <c r="CQ384" s="6"/>
    </row>
    <row r="385" spans="2:95" ht="40.049999999999997" customHeight="1" x14ac:dyDescent="0.3">
      <c r="B385" s="236" t="s">
        <v>89</v>
      </c>
      <c r="H385" s="7" t="str">
        <f>IF(COUNTBLANK($A385:$E385)&gt;0, "", IFERROR(AVERAGEIFS(Log!$E:$E, Log!$A:$A, $A385, Log!$B:$B, $B385, Log!$C:$C, $C385),""))</f>
        <v/>
      </c>
      <c r="I385" s="37" t="str">
        <f t="shared" si="10"/>
        <v/>
      </c>
      <c r="N385" s="6" t="str">
        <f>IF(COUNTBLANK($A385:$E385)&gt;0, "", IFERROR(AVERAGEIFS(Log!#REF!, Log!$A:$A, $A385, Log!$B:$B, $B385, Log!$C:$C, $C385),""))</f>
        <v/>
      </c>
      <c r="O385" s="6" t="str">
        <f>IF(COUNTBLANK($A385:$E385)&gt;0, "", IFERROR(_xlfn.MINIFS(Log!$F:$F, Log!$A:$A, $A385, Log!$B:$B, $B385, Log!$C:$C, $C385),""))</f>
        <v/>
      </c>
      <c r="P385" s="6" t="str">
        <f>IF(COUNTBLANK($A385:$E385)&gt;0, "", IFERROR(_xlfn.MAXIFS(Log!$F:$F, Log!$A:$A, $A385, Log!$B:$B, $B385, Log!$C:$C, $C385),""))</f>
        <v/>
      </c>
      <c r="Q385" s="6" t="str">
        <f>IF(COUNTBLANK($A385:$E385)&gt;0, "", IFERROR(AVERAGEIFS(Log!#REF!, Log!$A:$A, $A385, Log!$B:$B, $B385, Log!$C:$C, $C385),""))</f>
        <v/>
      </c>
      <c r="R385" s="6" t="str">
        <f>IF(COUNTBLANK($A385:$E385)&gt;0, "", IFERROR(_xlfn.MINIFS(Log!$G:$G, Log!$A:$A, $A385, Log!$B:$B, $B385, Log!$C:$C, $C385),""))</f>
        <v/>
      </c>
      <c r="S385" s="6" t="str">
        <f>IF(COUNTBLANK($A385:$E385)&gt;0, "", IFERROR(_xlfn.MAXIFS(Log!$G:$G, Log!$A:$A, $A385, Log!$B:$B, $B385, Log!$C:$C, $C385),""))</f>
        <v/>
      </c>
      <c r="T385" s="6"/>
      <c r="U385" s="6"/>
      <c r="CP385" s="6"/>
      <c r="CQ385" s="6"/>
    </row>
    <row r="386" spans="2:95" ht="40.049999999999997" customHeight="1" x14ac:dyDescent="0.3">
      <c r="B386" s="236" t="s">
        <v>89</v>
      </c>
      <c r="H386" s="7" t="str">
        <f>IF(COUNTBLANK($A386:$E386)&gt;0, "", IFERROR(AVERAGEIFS(Log!$E:$E, Log!$A:$A, $A386, Log!$B:$B, $B386, Log!$C:$C, $C386),""))</f>
        <v/>
      </c>
      <c r="I386" s="37" t="str">
        <f t="shared" si="10"/>
        <v/>
      </c>
      <c r="N386" s="6" t="str">
        <f>IF(COUNTBLANK($A386:$E386)&gt;0, "", IFERROR(AVERAGEIFS(Log!#REF!, Log!$A:$A, $A386, Log!$B:$B, $B386, Log!$C:$C, $C386),""))</f>
        <v/>
      </c>
      <c r="O386" s="6" t="str">
        <f>IF(COUNTBLANK($A386:$E386)&gt;0, "", IFERROR(_xlfn.MINIFS(Log!$F:$F, Log!$A:$A, $A386, Log!$B:$B, $B386, Log!$C:$C, $C386),""))</f>
        <v/>
      </c>
      <c r="P386" s="6" t="str">
        <f>IF(COUNTBLANK($A386:$E386)&gt;0, "", IFERROR(_xlfn.MAXIFS(Log!$F:$F, Log!$A:$A, $A386, Log!$B:$B, $B386, Log!$C:$C, $C386),""))</f>
        <v/>
      </c>
      <c r="Q386" s="6" t="str">
        <f>IF(COUNTBLANK($A386:$E386)&gt;0, "", IFERROR(AVERAGEIFS(Log!#REF!, Log!$A:$A, $A386, Log!$B:$B, $B386, Log!$C:$C, $C386),""))</f>
        <v/>
      </c>
      <c r="R386" s="6" t="str">
        <f>IF(COUNTBLANK($A386:$E386)&gt;0, "", IFERROR(_xlfn.MINIFS(Log!$G:$G, Log!$A:$A, $A386, Log!$B:$B, $B386, Log!$C:$C, $C386),""))</f>
        <v/>
      </c>
      <c r="S386" s="6" t="str">
        <f>IF(COUNTBLANK($A386:$E386)&gt;0, "", IFERROR(_xlfn.MAXIFS(Log!$G:$G, Log!$A:$A, $A386, Log!$B:$B, $B386, Log!$C:$C, $C386),""))</f>
        <v/>
      </c>
      <c r="T386" s="6"/>
      <c r="U386" s="6"/>
      <c r="CP386" s="6"/>
      <c r="CQ386" s="6"/>
    </row>
    <row r="387" spans="2:95" ht="40.049999999999997" customHeight="1" x14ac:dyDescent="0.3">
      <c r="B387" s="236" t="s">
        <v>89</v>
      </c>
      <c r="H387" s="7" t="str">
        <f>IF(COUNTBLANK($A387:$E387)&gt;0, "", IFERROR(AVERAGEIFS(Log!$E:$E, Log!$A:$A, $A387, Log!$B:$B, $B387, Log!$C:$C, $C387),""))</f>
        <v/>
      </c>
      <c r="I387" s="37" t="str">
        <f t="shared" ref="I387:I405" si="11">IF(AND($H387&lt;&gt;"", $G387&lt;&gt;""), $H387/$G387, "")</f>
        <v/>
      </c>
      <c r="N387" s="6" t="str">
        <f>IF(COUNTBLANK($A387:$E387)&gt;0, "", IFERROR(AVERAGEIFS(Log!#REF!, Log!$A:$A, $A387, Log!$B:$B, $B387, Log!$C:$C, $C387),""))</f>
        <v/>
      </c>
      <c r="O387" s="6" t="str">
        <f>IF(COUNTBLANK($A387:$E387)&gt;0, "", IFERROR(_xlfn.MINIFS(Log!$F:$F, Log!$A:$A, $A387, Log!$B:$B, $B387, Log!$C:$C, $C387),""))</f>
        <v/>
      </c>
      <c r="P387" s="6" t="str">
        <f>IF(COUNTBLANK($A387:$E387)&gt;0, "", IFERROR(_xlfn.MAXIFS(Log!$F:$F, Log!$A:$A, $A387, Log!$B:$B, $B387, Log!$C:$C, $C387),""))</f>
        <v/>
      </c>
      <c r="Q387" s="6" t="str">
        <f>IF(COUNTBLANK($A387:$E387)&gt;0, "", IFERROR(AVERAGEIFS(Log!#REF!, Log!$A:$A, $A387, Log!$B:$B, $B387, Log!$C:$C, $C387),""))</f>
        <v/>
      </c>
      <c r="R387" s="6" t="str">
        <f>IF(COUNTBLANK($A387:$E387)&gt;0, "", IFERROR(_xlfn.MINIFS(Log!$G:$G, Log!$A:$A, $A387, Log!$B:$B, $B387, Log!$C:$C, $C387),""))</f>
        <v/>
      </c>
      <c r="S387" s="6" t="str">
        <f>IF(COUNTBLANK($A387:$E387)&gt;0, "", IFERROR(_xlfn.MAXIFS(Log!$G:$G, Log!$A:$A, $A387, Log!$B:$B, $B387, Log!$C:$C, $C387),""))</f>
        <v/>
      </c>
      <c r="T387" s="6"/>
      <c r="U387" s="6"/>
      <c r="CP387" s="6"/>
      <c r="CQ387" s="6"/>
    </row>
    <row r="388" spans="2:95" ht="40.049999999999997" customHeight="1" x14ac:dyDescent="0.3">
      <c r="B388" s="236" t="s">
        <v>89</v>
      </c>
      <c r="H388" s="7" t="str">
        <f>IF(COUNTBLANK($A388:$E388)&gt;0, "", IFERROR(AVERAGEIFS(Log!$E:$E, Log!$A:$A, $A388, Log!$B:$B, $B388, Log!$C:$C, $C388),""))</f>
        <v/>
      </c>
      <c r="I388" s="37" t="str">
        <f t="shared" si="11"/>
        <v/>
      </c>
      <c r="N388" s="6" t="str">
        <f>IF(COUNTBLANK($A388:$E388)&gt;0, "", IFERROR(AVERAGEIFS(Log!#REF!, Log!$A:$A, $A388, Log!$B:$B, $B388, Log!$C:$C, $C388),""))</f>
        <v/>
      </c>
      <c r="O388" s="6" t="str">
        <f>IF(COUNTBLANK($A388:$E388)&gt;0, "", IFERROR(_xlfn.MINIFS(Log!$F:$F, Log!$A:$A, $A388, Log!$B:$B, $B388, Log!$C:$C, $C388),""))</f>
        <v/>
      </c>
      <c r="P388" s="6" t="str">
        <f>IF(COUNTBLANK($A388:$E388)&gt;0, "", IFERROR(_xlfn.MAXIFS(Log!$F:$F, Log!$A:$A, $A388, Log!$B:$B, $B388, Log!$C:$C, $C388),""))</f>
        <v/>
      </c>
      <c r="Q388" s="6" t="str">
        <f>IF(COUNTBLANK($A388:$E388)&gt;0, "", IFERROR(AVERAGEIFS(Log!#REF!, Log!$A:$A, $A388, Log!$B:$B, $B388, Log!$C:$C, $C388),""))</f>
        <v/>
      </c>
      <c r="R388" s="6" t="str">
        <f>IF(COUNTBLANK($A388:$E388)&gt;0, "", IFERROR(_xlfn.MINIFS(Log!$G:$G, Log!$A:$A, $A388, Log!$B:$B, $B388, Log!$C:$C, $C388),""))</f>
        <v/>
      </c>
      <c r="S388" s="6" t="str">
        <f>IF(COUNTBLANK($A388:$E388)&gt;0, "", IFERROR(_xlfn.MAXIFS(Log!$G:$G, Log!$A:$A, $A388, Log!$B:$B, $B388, Log!$C:$C, $C388),""))</f>
        <v/>
      </c>
      <c r="T388" s="6"/>
      <c r="U388" s="6"/>
      <c r="CP388" s="6"/>
      <c r="CQ388" s="6"/>
    </row>
    <row r="389" spans="2:95" ht="40.049999999999997" customHeight="1" x14ac:dyDescent="0.3">
      <c r="B389" s="236" t="s">
        <v>89</v>
      </c>
      <c r="H389" s="7" t="str">
        <f>IF(COUNTBLANK($A389:$E389)&gt;0, "", IFERROR(AVERAGEIFS(Log!$E:$E, Log!$A:$A, $A389, Log!$B:$B, $B389, Log!$C:$C, $C389),""))</f>
        <v/>
      </c>
      <c r="I389" s="37" t="str">
        <f t="shared" si="11"/>
        <v/>
      </c>
      <c r="N389" s="6" t="str">
        <f>IF(COUNTBLANK($A389:$E389)&gt;0, "", IFERROR(AVERAGEIFS(Log!#REF!, Log!$A:$A, $A389, Log!$B:$B, $B389, Log!$C:$C, $C389),""))</f>
        <v/>
      </c>
      <c r="O389" s="6" t="str">
        <f>IF(COUNTBLANK($A389:$E389)&gt;0, "", IFERROR(_xlfn.MINIFS(Log!$F:$F, Log!$A:$A, $A389, Log!$B:$B, $B389, Log!$C:$C, $C389),""))</f>
        <v/>
      </c>
      <c r="P389" s="6" t="str">
        <f>IF(COUNTBLANK($A389:$E389)&gt;0, "", IFERROR(_xlfn.MAXIFS(Log!$F:$F, Log!$A:$A, $A389, Log!$B:$B, $B389, Log!$C:$C, $C389),""))</f>
        <v/>
      </c>
      <c r="Q389" s="6" t="str">
        <f>IF(COUNTBLANK($A389:$E389)&gt;0, "", IFERROR(AVERAGEIFS(Log!#REF!, Log!$A:$A, $A389, Log!$B:$B, $B389, Log!$C:$C, $C389),""))</f>
        <v/>
      </c>
      <c r="R389" s="6" t="str">
        <f>IF(COUNTBLANK($A389:$E389)&gt;0, "", IFERROR(_xlfn.MINIFS(Log!$G:$G, Log!$A:$A, $A389, Log!$B:$B, $B389, Log!$C:$C, $C389),""))</f>
        <v/>
      </c>
      <c r="S389" s="6" t="str">
        <f>IF(COUNTBLANK($A389:$E389)&gt;0, "", IFERROR(_xlfn.MAXIFS(Log!$G:$G, Log!$A:$A, $A389, Log!$B:$B, $B389, Log!$C:$C, $C389),""))</f>
        <v/>
      </c>
      <c r="T389" s="6"/>
      <c r="U389" s="6"/>
      <c r="CP389" s="6"/>
      <c r="CQ389" s="6"/>
    </row>
    <row r="390" spans="2:95" ht="40.049999999999997" customHeight="1" x14ac:dyDescent="0.3">
      <c r="B390" s="236" t="s">
        <v>89</v>
      </c>
      <c r="H390" s="7" t="str">
        <f>IF(COUNTBLANK($A390:$E390)&gt;0, "", IFERROR(AVERAGEIFS(Log!$E:$E, Log!$A:$A, $A390, Log!$B:$B, $B390, Log!$C:$C, $C390),""))</f>
        <v/>
      </c>
      <c r="I390" s="37" t="str">
        <f t="shared" si="11"/>
        <v/>
      </c>
      <c r="N390" s="6" t="str">
        <f>IF(COUNTBLANK($A390:$E390)&gt;0, "", IFERROR(AVERAGEIFS(Log!#REF!, Log!$A:$A, $A390, Log!$B:$B, $B390, Log!$C:$C, $C390),""))</f>
        <v/>
      </c>
      <c r="O390" s="6" t="str">
        <f>IF(COUNTBLANK($A390:$E390)&gt;0, "", IFERROR(_xlfn.MINIFS(Log!$F:$F, Log!$A:$A, $A390, Log!$B:$B, $B390, Log!$C:$C, $C390),""))</f>
        <v/>
      </c>
      <c r="P390" s="6" t="str">
        <f>IF(COUNTBLANK($A390:$E390)&gt;0, "", IFERROR(_xlfn.MAXIFS(Log!$F:$F, Log!$A:$A, $A390, Log!$B:$B, $B390, Log!$C:$C, $C390),""))</f>
        <v/>
      </c>
      <c r="Q390" s="6" t="str">
        <f>IF(COUNTBLANK($A390:$E390)&gt;0, "", IFERROR(AVERAGEIFS(Log!#REF!, Log!$A:$A, $A390, Log!$B:$B, $B390, Log!$C:$C, $C390),""))</f>
        <v/>
      </c>
      <c r="R390" s="6" t="str">
        <f>IF(COUNTBLANK($A390:$E390)&gt;0, "", IFERROR(_xlfn.MINIFS(Log!$G:$G, Log!$A:$A, $A390, Log!$B:$B, $B390, Log!$C:$C, $C390),""))</f>
        <v/>
      </c>
      <c r="S390" s="6" t="str">
        <f>IF(COUNTBLANK($A390:$E390)&gt;0, "", IFERROR(_xlfn.MAXIFS(Log!$G:$G, Log!$A:$A, $A390, Log!$B:$B, $B390, Log!$C:$C, $C390),""))</f>
        <v/>
      </c>
      <c r="T390" s="6"/>
      <c r="U390" s="6"/>
      <c r="CP390" s="6"/>
      <c r="CQ390" s="6"/>
    </row>
    <row r="391" spans="2:95" ht="40.049999999999997" customHeight="1" x14ac:dyDescent="0.3">
      <c r="B391" s="236" t="s">
        <v>89</v>
      </c>
      <c r="H391" s="7" t="str">
        <f>IF(COUNTBLANK($A391:$E391)&gt;0, "", IFERROR(AVERAGEIFS(Log!$E:$E, Log!$A:$A, $A391, Log!$B:$B, $B391, Log!$C:$C, $C391),""))</f>
        <v/>
      </c>
      <c r="I391" s="37" t="str">
        <f t="shared" si="11"/>
        <v/>
      </c>
      <c r="N391" s="6" t="str">
        <f>IF(COUNTBLANK($A391:$E391)&gt;0, "", IFERROR(AVERAGEIFS(Log!#REF!, Log!$A:$A, $A391, Log!$B:$B, $B391, Log!$C:$C, $C391),""))</f>
        <v/>
      </c>
      <c r="O391" s="6" t="str">
        <f>IF(COUNTBLANK($A391:$E391)&gt;0, "", IFERROR(_xlfn.MINIFS(Log!$F:$F, Log!$A:$A, $A391, Log!$B:$B, $B391, Log!$C:$C, $C391),""))</f>
        <v/>
      </c>
      <c r="P391" s="6" t="str">
        <f>IF(COUNTBLANK($A391:$E391)&gt;0, "", IFERROR(_xlfn.MAXIFS(Log!$F:$F, Log!$A:$A, $A391, Log!$B:$B, $B391, Log!$C:$C, $C391),""))</f>
        <v/>
      </c>
      <c r="Q391" s="6" t="str">
        <f>IF(COUNTBLANK($A391:$E391)&gt;0, "", IFERROR(AVERAGEIFS(Log!#REF!, Log!$A:$A, $A391, Log!$B:$B, $B391, Log!$C:$C, $C391),""))</f>
        <v/>
      </c>
      <c r="R391" s="6" t="str">
        <f>IF(COUNTBLANK($A391:$E391)&gt;0, "", IFERROR(_xlfn.MINIFS(Log!$G:$G, Log!$A:$A, $A391, Log!$B:$B, $B391, Log!$C:$C, $C391),""))</f>
        <v/>
      </c>
      <c r="S391" s="6" t="str">
        <f>IF(COUNTBLANK($A391:$E391)&gt;0, "", IFERROR(_xlfn.MAXIFS(Log!$G:$G, Log!$A:$A, $A391, Log!$B:$B, $B391, Log!$C:$C, $C391),""))</f>
        <v/>
      </c>
      <c r="T391" s="6"/>
      <c r="U391" s="6"/>
      <c r="CP391" s="6"/>
      <c r="CQ391" s="6"/>
    </row>
    <row r="392" spans="2:95" ht="40.049999999999997" customHeight="1" x14ac:dyDescent="0.3">
      <c r="B392" s="236" t="s">
        <v>89</v>
      </c>
      <c r="H392" s="7" t="str">
        <f>IF(COUNTBLANK($A392:$E392)&gt;0, "", IFERROR(AVERAGEIFS(Log!$E:$E, Log!$A:$A, $A392, Log!$B:$B, $B392, Log!$C:$C, $C392),""))</f>
        <v/>
      </c>
      <c r="I392" s="37" t="str">
        <f t="shared" si="11"/>
        <v/>
      </c>
      <c r="N392" s="6" t="str">
        <f>IF(COUNTBLANK($A392:$E392)&gt;0, "", IFERROR(AVERAGEIFS(Log!#REF!, Log!$A:$A, $A392, Log!$B:$B, $B392, Log!$C:$C, $C392),""))</f>
        <v/>
      </c>
      <c r="O392" s="6" t="str">
        <f>IF(COUNTBLANK($A392:$E392)&gt;0, "", IFERROR(_xlfn.MINIFS(Log!$F:$F, Log!$A:$A, $A392, Log!$B:$B, $B392, Log!$C:$C, $C392),""))</f>
        <v/>
      </c>
      <c r="P392" s="6" t="str">
        <f>IF(COUNTBLANK($A392:$E392)&gt;0, "", IFERROR(_xlfn.MAXIFS(Log!$F:$F, Log!$A:$A, $A392, Log!$B:$B, $B392, Log!$C:$C, $C392),""))</f>
        <v/>
      </c>
      <c r="Q392" s="6" t="str">
        <f>IF(COUNTBLANK($A392:$E392)&gt;0, "", IFERROR(AVERAGEIFS(Log!#REF!, Log!$A:$A, $A392, Log!$B:$B, $B392, Log!$C:$C, $C392),""))</f>
        <v/>
      </c>
      <c r="R392" s="6" t="str">
        <f>IF(COUNTBLANK($A392:$E392)&gt;0, "", IFERROR(_xlfn.MINIFS(Log!$G:$G, Log!$A:$A, $A392, Log!$B:$B, $B392, Log!$C:$C, $C392),""))</f>
        <v/>
      </c>
      <c r="S392" s="6" t="str">
        <f>IF(COUNTBLANK($A392:$E392)&gt;0, "", IFERROR(_xlfn.MAXIFS(Log!$G:$G, Log!$A:$A, $A392, Log!$B:$B, $B392, Log!$C:$C, $C392),""))</f>
        <v/>
      </c>
      <c r="T392" s="6"/>
      <c r="U392" s="6"/>
      <c r="CP392" s="6"/>
      <c r="CQ392" s="6"/>
    </row>
    <row r="393" spans="2:95" ht="40.049999999999997" customHeight="1" x14ac:dyDescent="0.3">
      <c r="B393" s="236" t="s">
        <v>89</v>
      </c>
      <c r="H393" s="7" t="str">
        <f>IF(COUNTBLANK($A393:$E393)&gt;0, "", IFERROR(AVERAGEIFS(Log!$E:$E, Log!$A:$A, $A393, Log!$B:$B, $B393, Log!$C:$C, $C393),""))</f>
        <v/>
      </c>
      <c r="I393" s="37" t="str">
        <f t="shared" si="11"/>
        <v/>
      </c>
      <c r="N393" s="6" t="str">
        <f>IF(COUNTBLANK($A393:$E393)&gt;0, "", IFERROR(AVERAGEIFS(Log!#REF!, Log!$A:$A, $A393, Log!$B:$B, $B393, Log!$C:$C, $C393),""))</f>
        <v/>
      </c>
      <c r="O393" s="6" t="str">
        <f>IF(COUNTBLANK($A393:$E393)&gt;0, "", IFERROR(_xlfn.MINIFS(Log!$F:$F, Log!$A:$A, $A393, Log!$B:$B, $B393, Log!$C:$C, $C393),""))</f>
        <v/>
      </c>
      <c r="P393" s="6" t="str">
        <f>IF(COUNTBLANK($A393:$E393)&gt;0, "", IFERROR(_xlfn.MAXIFS(Log!$F:$F, Log!$A:$A, $A393, Log!$B:$B, $B393, Log!$C:$C, $C393),""))</f>
        <v/>
      </c>
      <c r="Q393" s="6" t="str">
        <f>IF(COUNTBLANK($A393:$E393)&gt;0, "", IFERROR(AVERAGEIFS(Log!#REF!, Log!$A:$A, $A393, Log!$B:$B, $B393, Log!$C:$C, $C393),""))</f>
        <v/>
      </c>
      <c r="R393" s="6" t="str">
        <f>IF(COUNTBLANK($A393:$E393)&gt;0, "", IFERROR(_xlfn.MINIFS(Log!$G:$G, Log!$A:$A, $A393, Log!$B:$B, $B393, Log!$C:$C, $C393),""))</f>
        <v/>
      </c>
      <c r="S393" s="6" t="str">
        <f>IF(COUNTBLANK($A393:$E393)&gt;0, "", IFERROR(_xlfn.MAXIFS(Log!$G:$G, Log!$A:$A, $A393, Log!$B:$B, $B393, Log!$C:$C, $C393),""))</f>
        <v/>
      </c>
      <c r="T393" s="6"/>
      <c r="U393" s="6"/>
      <c r="CP393" s="6"/>
      <c r="CQ393" s="6"/>
    </row>
    <row r="394" spans="2:95" ht="40.049999999999997" customHeight="1" x14ac:dyDescent="0.3">
      <c r="B394" s="236" t="s">
        <v>89</v>
      </c>
      <c r="H394" s="7" t="str">
        <f>IF(COUNTBLANK($A394:$E394)&gt;0, "", IFERROR(AVERAGEIFS(Log!$E:$E, Log!$A:$A, $A394, Log!$B:$B, $B394, Log!$C:$C, $C394),""))</f>
        <v/>
      </c>
      <c r="I394" s="37" t="str">
        <f t="shared" si="11"/>
        <v/>
      </c>
      <c r="N394" s="6" t="str">
        <f>IF(COUNTBLANK($A394:$E394)&gt;0, "", IFERROR(AVERAGEIFS(Log!#REF!, Log!$A:$A, $A394, Log!$B:$B, $B394, Log!$C:$C, $C394),""))</f>
        <v/>
      </c>
      <c r="O394" s="6" t="str">
        <f>IF(COUNTBLANK($A394:$E394)&gt;0, "", IFERROR(_xlfn.MINIFS(Log!$F:$F, Log!$A:$A, $A394, Log!$B:$B, $B394, Log!$C:$C, $C394),""))</f>
        <v/>
      </c>
      <c r="P394" s="6" t="str">
        <f>IF(COUNTBLANK($A394:$E394)&gt;0, "", IFERROR(_xlfn.MAXIFS(Log!$F:$F, Log!$A:$A, $A394, Log!$B:$B, $B394, Log!$C:$C, $C394),""))</f>
        <v/>
      </c>
      <c r="Q394" s="6" t="str">
        <f>IF(COUNTBLANK($A394:$E394)&gt;0, "", IFERROR(AVERAGEIFS(Log!#REF!, Log!$A:$A, $A394, Log!$B:$B, $B394, Log!$C:$C, $C394),""))</f>
        <v/>
      </c>
      <c r="R394" s="6" t="str">
        <f>IF(COUNTBLANK($A394:$E394)&gt;0, "", IFERROR(_xlfn.MINIFS(Log!$G:$G, Log!$A:$A, $A394, Log!$B:$B, $B394, Log!$C:$C, $C394),""))</f>
        <v/>
      </c>
      <c r="S394" s="6" t="str">
        <f>IF(COUNTBLANK($A394:$E394)&gt;0, "", IFERROR(_xlfn.MAXIFS(Log!$G:$G, Log!$A:$A, $A394, Log!$B:$B, $B394, Log!$C:$C, $C394),""))</f>
        <v/>
      </c>
      <c r="T394" s="6"/>
      <c r="U394" s="6"/>
      <c r="CP394" s="6"/>
      <c r="CQ394" s="6"/>
    </row>
    <row r="395" spans="2:95" ht="40.049999999999997" customHeight="1" x14ac:dyDescent="0.3">
      <c r="B395" s="236" t="s">
        <v>89</v>
      </c>
      <c r="H395" s="7" t="str">
        <f>IF(COUNTBLANK($A395:$E395)&gt;0, "", IFERROR(AVERAGEIFS(Log!$E:$E, Log!$A:$A, $A395, Log!$B:$B, $B395, Log!$C:$C, $C395),""))</f>
        <v/>
      </c>
      <c r="I395" s="37" t="str">
        <f t="shared" si="11"/>
        <v/>
      </c>
      <c r="N395" s="6" t="str">
        <f>IF(COUNTBLANK($A395:$E395)&gt;0, "", IFERROR(AVERAGEIFS(Log!#REF!, Log!$A:$A, $A395, Log!$B:$B, $B395, Log!$C:$C, $C395),""))</f>
        <v/>
      </c>
      <c r="O395" s="6" t="str">
        <f>IF(COUNTBLANK($A395:$E395)&gt;0, "", IFERROR(_xlfn.MINIFS(Log!$F:$F, Log!$A:$A, $A395, Log!$B:$B, $B395, Log!$C:$C, $C395),""))</f>
        <v/>
      </c>
      <c r="P395" s="6" t="str">
        <f>IF(COUNTBLANK($A395:$E395)&gt;0, "", IFERROR(_xlfn.MAXIFS(Log!$F:$F, Log!$A:$A, $A395, Log!$B:$B, $B395, Log!$C:$C, $C395),""))</f>
        <v/>
      </c>
      <c r="Q395" s="6" t="str">
        <f>IF(COUNTBLANK($A395:$E395)&gt;0, "", IFERROR(AVERAGEIFS(Log!#REF!, Log!$A:$A, $A395, Log!$B:$B, $B395, Log!$C:$C, $C395),""))</f>
        <v/>
      </c>
      <c r="R395" s="6" t="str">
        <f>IF(COUNTBLANK($A395:$E395)&gt;0, "", IFERROR(_xlfn.MINIFS(Log!$G:$G, Log!$A:$A, $A395, Log!$B:$B, $B395, Log!$C:$C, $C395),""))</f>
        <v/>
      </c>
      <c r="S395" s="6" t="str">
        <f>IF(COUNTBLANK($A395:$E395)&gt;0, "", IFERROR(_xlfn.MAXIFS(Log!$G:$G, Log!$A:$A, $A395, Log!$B:$B, $B395, Log!$C:$C, $C395),""))</f>
        <v/>
      </c>
      <c r="T395" s="6"/>
      <c r="U395" s="6"/>
      <c r="CP395" s="6"/>
      <c r="CQ395" s="6"/>
    </row>
    <row r="396" spans="2:95" ht="40.049999999999997" customHeight="1" x14ac:dyDescent="0.3">
      <c r="B396" s="236" t="s">
        <v>89</v>
      </c>
      <c r="H396" s="7" t="str">
        <f>IF(COUNTBLANK($A396:$E396)&gt;0, "", IFERROR(AVERAGEIFS(Log!$E:$E, Log!$A:$A, $A396, Log!$B:$B, $B396, Log!$C:$C, $C396),""))</f>
        <v/>
      </c>
      <c r="I396" s="37" t="str">
        <f t="shared" si="11"/>
        <v/>
      </c>
      <c r="N396" s="6" t="str">
        <f>IF(COUNTBLANK($A396:$E396)&gt;0, "", IFERROR(AVERAGEIFS(Log!#REF!, Log!$A:$A, $A396, Log!$B:$B, $B396, Log!$C:$C, $C396),""))</f>
        <v/>
      </c>
      <c r="O396" s="6" t="str">
        <f>IF(COUNTBLANK($A396:$E396)&gt;0, "", IFERROR(_xlfn.MINIFS(Log!$F:$F, Log!$A:$A, $A396, Log!$B:$B, $B396, Log!$C:$C, $C396),""))</f>
        <v/>
      </c>
      <c r="P396" s="6" t="str">
        <f>IF(COUNTBLANK($A396:$E396)&gt;0, "", IFERROR(_xlfn.MAXIFS(Log!$F:$F, Log!$A:$A, $A396, Log!$B:$B, $B396, Log!$C:$C, $C396),""))</f>
        <v/>
      </c>
      <c r="Q396" s="6" t="str">
        <f>IF(COUNTBLANK($A396:$E396)&gt;0, "", IFERROR(AVERAGEIFS(Log!#REF!, Log!$A:$A, $A396, Log!$B:$B, $B396, Log!$C:$C, $C396),""))</f>
        <v/>
      </c>
      <c r="R396" s="6" t="str">
        <f>IF(COUNTBLANK($A396:$E396)&gt;0, "", IFERROR(_xlfn.MINIFS(Log!$G:$G, Log!$A:$A, $A396, Log!$B:$B, $B396, Log!$C:$C, $C396),""))</f>
        <v/>
      </c>
      <c r="S396" s="6" t="str">
        <f>IF(COUNTBLANK($A396:$E396)&gt;0, "", IFERROR(_xlfn.MAXIFS(Log!$G:$G, Log!$A:$A, $A396, Log!$B:$B, $B396, Log!$C:$C, $C396),""))</f>
        <v/>
      </c>
      <c r="T396" s="6"/>
      <c r="U396" s="6"/>
      <c r="CP396" s="6"/>
      <c r="CQ396" s="6"/>
    </row>
    <row r="397" spans="2:95" ht="40.049999999999997" customHeight="1" x14ac:dyDescent="0.3">
      <c r="B397" s="236" t="s">
        <v>89</v>
      </c>
      <c r="H397" s="7" t="str">
        <f>IF(COUNTBLANK($A397:$E397)&gt;0, "", IFERROR(AVERAGEIFS(Log!$E:$E, Log!$A:$A, $A397, Log!$B:$B, $B397, Log!$C:$C, $C397),""))</f>
        <v/>
      </c>
      <c r="I397" s="37" t="str">
        <f t="shared" si="11"/>
        <v/>
      </c>
      <c r="N397" s="6" t="str">
        <f>IF(COUNTBLANK($A397:$E397)&gt;0, "", IFERROR(AVERAGEIFS(Log!#REF!, Log!$A:$A, $A397, Log!$B:$B, $B397, Log!$C:$C, $C397),""))</f>
        <v/>
      </c>
      <c r="O397" s="6" t="str">
        <f>IF(COUNTBLANK($A397:$E397)&gt;0, "", IFERROR(_xlfn.MINIFS(Log!$F:$F, Log!$A:$A, $A397, Log!$B:$B, $B397, Log!$C:$C, $C397),""))</f>
        <v/>
      </c>
      <c r="P397" s="6" t="str">
        <f>IF(COUNTBLANK($A397:$E397)&gt;0, "", IFERROR(_xlfn.MAXIFS(Log!$F:$F, Log!$A:$A, $A397, Log!$B:$B, $B397, Log!$C:$C, $C397),""))</f>
        <v/>
      </c>
      <c r="Q397" s="6" t="str">
        <f>IF(COUNTBLANK($A397:$E397)&gt;0, "", IFERROR(AVERAGEIFS(Log!#REF!, Log!$A:$A, $A397, Log!$B:$B, $B397, Log!$C:$C, $C397),""))</f>
        <v/>
      </c>
      <c r="R397" s="6" t="str">
        <f>IF(COUNTBLANK($A397:$E397)&gt;0, "", IFERROR(_xlfn.MINIFS(Log!$G:$G, Log!$A:$A, $A397, Log!$B:$B, $B397, Log!$C:$C, $C397),""))</f>
        <v/>
      </c>
      <c r="S397" s="6" t="str">
        <f>IF(COUNTBLANK($A397:$E397)&gt;0, "", IFERROR(_xlfn.MAXIFS(Log!$G:$G, Log!$A:$A, $A397, Log!$B:$B, $B397, Log!$C:$C, $C397),""))</f>
        <v/>
      </c>
      <c r="T397" s="6"/>
      <c r="U397" s="6"/>
      <c r="CP397" s="6"/>
      <c r="CQ397" s="6"/>
    </row>
    <row r="398" spans="2:95" ht="40.049999999999997" customHeight="1" x14ac:dyDescent="0.3">
      <c r="B398" s="236" t="s">
        <v>89</v>
      </c>
      <c r="H398" s="7" t="str">
        <f>IF(COUNTBLANK($A398:$E398)&gt;0, "", IFERROR(AVERAGEIFS(Log!$E:$E, Log!$A:$A, $A398, Log!$B:$B, $B398, Log!$C:$C, $C398),""))</f>
        <v/>
      </c>
      <c r="I398" s="37" t="str">
        <f t="shared" si="11"/>
        <v/>
      </c>
      <c r="N398" s="6" t="str">
        <f>IF(COUNTBLANK($A398:$E398)&gt;0, "", IFERROR(AVERAGEIFS(Log!#REF!, Log!$A:$A, $A398, Log!$B:$B, $B398, Log!$C:$C, $C398),""))</f>
        <v/>
      </c>
      <c r="O398" s="6" t="str">
        <f>IF(COUNTBLANK($A398:$E398)&gt;0, "", IFERROR(_xlfn.MINIFS(Log!$F:$F, Log!$A:$A, $A398, Log!$B:$B, $B398, Log!$C:$C, $C398),""))</f>
        <v/>
      </c>
      <c r="P398" s="6" t="str">
        <f>IF(COUNTBLANK($A398:$E398)&gt;0, "", IFERROR(_xlfn.MAXIFS(Log!$F:$F, Log!$A:$A, $A398, Log!$B:$B, $B398, Log!$C:$C, $C398),""))</f>
        <v/>
      </c>
      <c r="Q398" s="6" t="str">
        <f>IF(COUNTBLANK($A398:$E398)&gt;0, "", IFERROR(AVERAGEIFS(Log!#REF!, Log!$A:$A, $A398, Log!$B:$B, $B398, Log!$C:$C, $C398),""))</f>
        <v/>
      </c>
      <c r="R398" s="6" t="str">
        <f>IF(COUNTBLANK($A398:$E398)&gt;0, "", IFERROR(_xlfn.MINIFS(Log!$G:$G, Log!$A:$A, $A398, Log!$B:$B, $B398, Log!$C:$C, $C398),""))</f>
        <v/>
      </c>
      <c r="S398" s="6" t="str">
        <f>IF(COUNTBLANK($A398:$E398)&gt;0, "", IFERROR(_xlfn.MAXIFS(Log!$G:$G, Log!$A:$A, $A398, Log!$B:$B, $B398, Log!$C:$C, $C398),""))</f>
        <v/>
      </c>
      <c r="T398" s="6"/>
      <c r="U398" s="6"/>
      <c r="CP398" s="6"/>
      <c r="CQ398" s="6"/>
    </row>
    <row r="399" spans="2:95" ht="40.049999999999997" customHeight="1" x14ac:dyDescent="0.3">
      <c r="B399" s="236" t="s">
        <v>89</v>
      </c>
      <c r="H399" s="7" t="str">
        <f>IF(COUNTBLANK($A399:$E399)&gt;0, "", IFERROR(AVERAGEIFS(Log!$E:$E, Log!$A:$A, $A399, Log!$B:$B, $B399, Log!$C:$C, $C399),""))</f>
        <v/>
      </c>
      <c r="I399" s="37" t="str">
        <f t="shared" si="11"/>
        <v/>
      </c>
      <c r="N399" s="6" t="str">
        <f>IF(COUNTBLANK($A399:$E399)&gt;0, "", IFERROR(AVERAGEIFS(Log!#REF!, Log!$A:$A, $A399, Log!$B:$B, $B399, Log!$C:$C, $C399),""))</f>
        <v/>
      </c>
      <c r="O399" s="6" t="str">
        <f>IF(COUNTBLANK($A399:$E399)&gt;0, "", IFERROR(_xlfn.MINIFS(Log!$F:$F, Log!$A:$A, $A399, Log!$B:$B, $B399, Log!$C:$C, $C399),""))</f>
        <v/>
      </c>
      <c r="P399" s="6" t="str">
        <f>IF(COUNTBLANK($A399:$E399)&gt;0, "", IFERROR(_xlfn.MAXIFS(Log!$F:$F, Log!$A:$A, $A399, Log!$B:$B, $B399, Log!$C:$C, $C399),""))</f>
        <v/>
      </c>
      <c r="Q399" s="6" t="str">
        <f>IF(COUNTBLANK($A399:$E399)&gt;0, "", IFERROR(AVERAGEIFS(Log!#REF!, Log!$A:$A, $A399, Log!$B:$B, $B399, Log!$C:$C, $C399),""))</f>
        <v/>
      </c>
      <c r="R399" s="6" t="str">
        <f>IF(COUNTBLANK($A399:$E399)&gt;0, "", IFERROR(_xlfn.MINIFS(Log!$G:$G, Log!$A:$A, $A399, Log!$B:$B, $B399, Log!$C:$C, $C399),""))</f>
        <v/>
      </c>
      <c r="S399" s="6" t="str">
        <f>IF(COUNTBLANK($A399:$E399)&gt;0, "", IFERROR(_xlfn.MAXIFS(Log!$G:$G, Log!$A:$A, $A399, Log!$B:$B, $B399, Log!$C:$C, $C399),""))</f>
        <v/>
      </c>
      <c r="T399" s="6"/>
      <c r="U399" s="6"/>
      <c r="CP399" s="6"/>
      <c r="CQ399" s="6"/>
    </row>
    <row r="400" spans="2:95" ht="40.049999999999997" customHeight="1" x14ac:dyDescent="0.3">
      <c r="B400" s="236" t="s">
        <v>89</v>
      </c>
      <c r="H400" s="7" t="str">
        <f>IF(COUNTBLANK($A400:$E400)&gt;0, "", IFERROR(AVERAGEIFS(Log!$E:$E, Log!$A:$A, $A400, Log!$B:$B, $B400, Log!$C:$C, $C400),""))</f>
        <v/>
      </c>
      <c r="I400" s="37" t="str">
        <f t="shared" si="11"/>
        <v/>
      </c>
      <c r="N400" s="6" t="str">
        <f>IF(COUNTBLANK($A400:$E400)&gt;0, "", IFERROR(AVERAGEIFS(Log!#REF!, Log!$A:$A, $A400, Log!$B:$B, $B400, Log!$C:$C, $C400),""))</f>
        <v/>
      </c>
      <c r="O400" s="6" t="str">
        <f>IF(COUNTBLANK($A400:$E400)&gt;0, "", IFERROR(_xlfn.MINIFS(Log!$F:$F, Log!$A:$A, $A400, Log!$B:$B, $B400, Log!$C:$C, $C400),""))</f>
        <v/>
      </c>
      <c r="P400" s="6" t="str">
        <f>IF(COUNTBLANK($A400:$E400)&gt;0, "", IFERROR(_xlfn.MAXIFS(Log!$F:$F, Log!$A:$A, $A400, Log!$B:$B, $B400, Log!$C:$C, $C400),""))</f>
        <v/>
      </c>
      <c r="Q400" s="6" t="str">
        <f>IF(COUNTBLANK($A400:$E400)&gt;0, "", IFERROR(AVERAGEIFS(Log!#REF!, Log!$A:$A, $A400, Log!$B:$B, $B400, Log!$C:$C, $C400),""))</f>
        <v/>
      </c>
      <c r="R400" s="6" t="str">
        <f>IF(COUNTBLANK($A400:$E400)&gt;0, "", IFERROR(_xlfn.MINIFS(Log!$G:$G, Log!$A:$A, $A400, Log!$B:$B, $B400, Log!$C:$C, $C400),""))</f>
        <v/>
      </c>
      <c r="S400" s="6" t="str">
        <f>IF(COUNTBLANK($A400:$E400)&gt;0, "", IFERROR(_xlfn.MAXIFS(Log!$G:$G, Log!$A:$A, $A400, Log!$B:$B, $B400, Log!$C:$C, $C400),""))</f>
        <v/>
      </c>
      <c r="T400" s="6"/>
      <c r="U400" s="6"/>
      <c r="CP400" s="6"/>
      <c r="CQ400" s="6"/>
    </row>
    <row r="401" spans="2:95" ht="40.049999999999997" customHeight="1" x14ac:dyDescent="0.3">
      <c r="B401" s="236" t="s">
        <v>89</v>
      </c>
      <c r="H401" s="7" t="str">
        <f>IF(COUNTBLANK($A401:$E401)&gt;0, "", IFERROR(AVERAGEIFS(Log!$E:$E, Log!$A:$A, $A401, Log!$B:$B, $B401, Log!$C:$C, $C401),""))</f>
        <v/>
      </c>
      <c r="I401" s="37" t="str">
        <f t="shared" si="11"/>
        <v/>
      </c>
      <c r="N401" s="6" t="str">
        <f>IF(COUNTBLANK($A401:$E401)&gt;0, "", IFERROR(AVERAGEIFS(Log!#REF!, Log!$A:$A, $A401, Log!$B:$B, $B401, Log!$C:$C, $C401),""))</f>
        <v/>
      </c>
      <c r="O401" s="6" t="str">
        <f>IF(COUNTBLANK($A401:$E401)&gt;0, "", IFERROR(_xlfn.MINIFS(Log!$F:$F, Log!$A:$A, $A401, Log!$B:$B, $B401, Log!$C:$C, $C401),""))</f>
        <v/>
      </c>
      <c r="P401" s="6" t="str">
        <f>IF(COUNTBLANK($A401:$E401)&gt;0, "", IFERROR(_xlfn.MAXIFS(Log!$F:$F, Log!$A:$A, $A401, Log!$B:$B, $B401, Log!$C:$C, $C401),""))</f>
        <v/>
      </c>
      <c r="Q401" s="6" t="str">
        <f>IF(COUNTBLANK($A401:$E401)&gt;0, "", IFERROR(AVERAGEIFS(Log!#REF!, Log!$A:$A, $A401, Log!$B:$B, $B401, Log!$C:$C, $C401),""))</f>
        <v/>
      </c>
      <c r="R401" s="6" t="str">
        <f>IF(COUNTBLANK($A401:$E401)&gt;0, "", IFERROR(_xlfn.MINIFS(Log!$G:$G, Log!$A:$A, $A401, Log!$B:$B, $B401, Log!$C:$C, $C401),""))</f>
        <v/>
      </c>
      <c r="S401" s="6" t="str">
        <f>IF(COUNTBLANK($A401:$E401)&gt;0, "", IFERROR(_xlfn.MAXIFS(Log!$G:$G, Log!$A:$A, $A401, Log!$B:$B, $B401, Log!$C:$C, $C401),""))</f>
        <v/>
      </c>
      <c r="T401" s="6"/>
      <c r="U401" s="6"/>
      <c r="CP401" s="6"/>
      <c r="CQ401" s="6"/>
    </row>
    <row r="402" spans="2:95" ht="40.049999999999997" customHeight="1" x14ac:dyDescent="0.3">
      <c r="B402" s="236" t="s">
        <v>89</v>
      </c>
      <c r="H402" s="7" t="str">
        <f>IF(COUNTBLANK($A402:$E402)&gt;0, "", IFERROR(AVERAGEIFS(Log!$E:$E, Log!$A:$A, $A402, Log!$B:$B, $B402, Log!$C:$C, $C402),""))</f>
        <v/>
      </c>
      <c r="I402" s="37" t="str">
        <f t="shared" si="11"/>
        <v/>
      </c>
      <c r="N402" s="6" t="str">
        <f>IF(COUNTBLANK($A402:$E402)&gt;0, "", IFERROR(AVERAGEIFS(Log!#REF!, Log!$A:$A, $A402, Log!$B:$B, $B402, Log!$C:$C, $C402),""))</f>
        <v/>
      </c>
      <c r="O402" s="6" t="str">
        <f>IF(COUNTBLANK($A402:$E402)&gt;0, "", IFERROR(_xlfn.MINIFS(Log!$F:$F, Log!$A:$A, $A402, Log!$B:$B, $B402, Log!$C:$C, $C402),""))</f>
        <v/>
      </c>
      <c r="P402" s="6" t="str">
        <f>IF(COUNTBLANK($A402:$E402)&gt;0, "", IFERROR(_xlfn.MAXIFS(Log!$F:$F, Log!$A:$A, $A402, Log!$B:$B, $B402, Log!$C:$C, $C402),""))</f>
        <v/>
      </c>
      <c r="Q402" s="6" t="str">
        <f>IF(COUNTBLANK($A402:$E402)&gt;0, "", IFERROR(AVERAGEIFS(Log!#REF!, Log!$A:$A, $A402, Log!$B:$B, $B402, Log!$C:$C, $C402),""))</f>
        <v/>
      </c>
      <c r="R402" s="6" t="str">
        <f>IF(COUNTBLANK($A402:$E402)&gt;0, "", IFERROR(_xlfn.MINIFS(Log!$G:$G, Log!$A:$A, $A402, Log!$B:$B, $B402, Log!$C:$C, $C402),""))</f>
        <v/>
      </c>
      <c r="S402" s="6" t="str">
        <f>IF(COUNTBLANK($A402:$E402)&gt;0, "", IFERROR(_xlfn.MAXIFS(Log!$G:$G, Log!$A:$A, $A402, Log!$B:$B, $B402, Log!$C:$C, $C402),""))</f>
        <v/>
      </c>
      <c r="T402" s="6"/>
      <c r="U402" s="6"/>
      <c r="CP402" s="6"/>
      <c r="CQ402" s="6"/>
    </row>
    <row r="403" spans="2:95" ht="40.049999999999997" customHeight="1" x14ac:dyDescent="0.3">
      <c r="B403" s="236" t="s">
        <v>89</v>
      </c>
      <c r="H403" s="7" t="str">
        <f>IF(COUNTBLANK($A403:$E403)&gt;0, "", IFERROR(AVERAGEIFS(Log!$E:$E, Log!$A:$A, $A403, Log!$B:$B, $B403, Log!$C:$C, $C403),""))</f>
        <v/>
      </c>
      <c r="I403" s="37" t="str">
        <f t="shared" si="11"/>
        <v/>
      </c>
      <c r="N403" s="6" t="str">
        <f>IF(COUNTBLANK($A403:$E403)&gt;0, "", IFERROR(AVERAGEIFS(Log!#REF!, Log!$A:$A, $A403, Log!$B:$B, $B403, Log!$C:$C, $C403),""))</f>
        <v/>
      </c>
      <c r="O403" s="6" t="str">
        <f>IF(COUNTBLANK($A403:$E403)&gt;0, "", IFERROR(_xlfn.MINIFS(Log!$F:$F, Log!$A:$A, $A403, Log!$B:$B, $B403, Log!$C:$C, $C403),""))</f>
        <v/>
      </c>
      <c r="P403" s="6" t="str">
        <f>IF(COUNTBLANK($A403:$E403)&gt;0, "", IFERROR(_xlfn.MAXIFS(Log!$F:$F, Log!$A:$A, $A403, Log!$B:$B, $B403, Log!$C:$C, $C403),""))</f>
        <v/>
      </c>
      <c r="Q403" s="6" t="str">
        <f>IF(COUNTBLANK($A403:$E403)&gt;0, "", IFERROR(AVERAGEIFS(Log!#REF!, Log!$A:$A, $A403, Log!$B:$B, $B403, Log!$C:$C, $C403),""))</f>
        <v/>
      </c>
      <c r="R403" s="6" t="str">
        <f>IF(COUNTBLANK($A403:$E403)&gt;0, "", IFERROR(_xlfn.MINIFS(Log!$G:$G, Log!$A:$A, $A403, Log!$B:$B, $B403, Log!$C:$C, $C403),""))</f>
        <v/>
      </c>
      <c r="S403" s="6" t="str">
        <f>IF(COUNTBLANK($A403:$E403)&gt;0, "", IFERROR(_xlfn.MAXIFS(Log!$G:$G, Log!$A:$A, $A403, Log!$B:$B, $B403, Log!$C:$C, $C403),""))</f>
        <v/>
      </c>
      <c r="T403" s="6"/>
      <c r="U403" s="6"/>
      <c r="CP403" s="6"/>
      <c r="CQ403" s="6"/>
    </row>
    <row r="404" spans="2:95" ht="40.049999999999997" customHeight="1" x14ac:dyDescent="0.3">
      <c r="B404" s="236" t="s">
        <v>89</v>
      </c>
      <c r="H404" s="7" t="str">
        <f>IF(COUNTBLANK($A404:$E404)&gt;0, "", IFERROR(AVERAGEIFS(Log!$E:$E, Log!$A:$A, $A404, Log!$B:$B, $B404, Log!$C:$C, $C404),""))</f>
        <v/>
      </c>
      <c r="I404" s="37" t="str">
        <f t="shared" si="11"/>
        <v/>
      </c>
      <c r="N404" s="6" t="str">
        <f>IF(COUNTBLANK($A404:$E404)&gt;0, "", IFERROR(AVERAGEIFS(Log!#REF!, Log!$A:$A, $A404, Log!$B:$B, $B404, Log!$C:$C, $C404),""))</f>
        <v/>
      </c>
      <c r="O404" s="6" t="str">
        <f>IF(COUNTBLANK($A404:$E404)&gt;0, "", IFERROR(_xlfn.MINIFS(Log!$F:$F, Log!$A:$A, $A404, Log!$B:$B, $B404, Log!$C:$C, $C404),""))</f>
        <v/>
      </c>
      <c r="P404" s="6" t="str">
        <f>IF(COUNTBLANK($A404:$E404)&gt;0, "", IFERROR(_xlfn.MAXIFS(Log!$F:$F, Log!$A:$A, $A404, Log!$B:$B, $B404, Log!$C:$C, $C404),""))</f>
        <v/>
      </c>
      <c r="Q404" s="6" t="str">
        <f>IF(COUNTBLANK($A404:$E404)&gt;0, "", IFERROR(AVERAGEIFS(Log!#REF!, Log!$A:$A, $A404, Log!$B:$B, $B404, Log!$C:$C, $C404),""))</f>
        <v/>
      </c>
      <c r="R404" s="6" t="str">
        <f>IF(COUNTBLANK($A404:$E404)&gt;0, "", IFERROR(_xlfn.MINIFS(Log!$G:$G, Log!$A:$A, $A404, Log!$B:$B, $B404, Log!$C:$C, $C404),""))</f>
        <v/>
      </c>
      <c r="S404" s="6" t="str">
        <f>IF(COUNTBLANK($A404:$E404)&gt;0, "", IFERROR(_xlfn.MAXIFS(Log!$G:$G, Log!$A:$A, $A404, Log!$B:$B, $B404, Log!$C:$C, $C404),""))</f>
        <v/>
      </c>
      <c r="T404" s="6"/>
      <c r="U404" s="6"/>
      <c r="CP404" s="6"/>
      <c r="CQ404" s="6"/>
    </row>
    <row r="405" spans="2:95" ht="40.049999999999997" customHeight="1" x14ac:dyDescent="0.3">
      <c r="B405" s="236" t="s">
        <v>89</v>
      </c>
      <c r="H405" s="7" t="str">
        <f>IF(COUNTBLANK($A405:$E405)&gt;0, "", IFERROR(AVERAGEIFS(Log!$E:$E, Log!$A:$A, $A405, Log!$B:$B, $B405, Log!$C:$C, $C405),""))</f>
        <v/>
      </c>
      <c r="I405" s="37" t="str">
        <f t="shared" si="11"/>
        <v/>
      </c>
      <c r="N405" s="6" t="str">
        <f>IF(COUNTBLANK($A405:$E405)&gt;0, "", IFERROR(AVERAGEIFS(Log!#REF!, Log!$A:$A, $A405, Log!$B:$B, $B405, Log!$C:$C, $C405),""))</f>
        <v/>
      </c>
      <c r="O405" s="6" t="str">
        <f>IF(COUNTBLANK($A405:$E405)&gt;0, "", IFERROR(_xlfn.MINIFS(Log!$F:$F, Log!$A:$A, $A405, Log!$B:$B, $B405, Log!$C:$C, $C405),""))</f>
        <v/>
      </c>
      <c r="P405" s="6" t="str">
        <f>IF(COUNTBLANK($A405:$E405)&gt;0, "", IFERROR(_xlfn.MAXIFS(Log!$F:$F, Log!$A:$A, $A405, Log!$B:$B, $B405, Log!$C:$C, $C405),""))</f>
        <v/>
      </c>
      <c r="Q405" s="6" t="str">
        <f>IF(COUNTBLANK($A405:$E405)&gt;0, "", IFERROR(AVERAGEIFS(Log!#REF!, Log!$A:$A, $A405, Log!$B:$B, $B405, Log!$C:$C, $C405),""))</f>
        <v/>
      </c>
      <c r="R405" s="6" t="str">
        <f>IF(COUNTBLANK($A405:$E405)&gt;0, "", IFERROR(_xlfn.MINIFS(Log!$G:$G, Log!$A:$A, $A405, Log!$B:$B, $B405, Log!$C:$C, $C405),""))</f>
        <v/>
      </c>
      <c r="S405" s="6" t="str">
        <f>IF(COUNTBLANK($A405:$E405)&gt;0, "", IFERROR(_xlfn.MAXIFS(Log!$G:$G, Log!$A:$A, $A405, Log!$B:$B, $B405, Log!$C:$C, $C405),""))</f>
        <v/>
      </c>
      <c r="T405" s="6"/>
      <c r="U405" s="6"/>
      <c r="CP405" s="6"/>
      <c r="CQ405" s="6"/>
    </row>
    <row r="406" spans="2:95" ht="40.049999999999997" customHeight="1" x14ac:dyDescent="0.3">
      <c r="B406" s="236" t="s">
        <v>89</v>
      </c>
    </row>
    <row r="407" spans="2:95" ht="40.049999999999997" customHeight="1" x14ac:dyDescent="0.3">
      <c r="B407" s="236" t="s">
        <v>89</v>
      </c>
    </row>
    <row r="408" spans="2:95" ht="40.049999999999997" customHeight="1" x14ac:dyDescent="0.3">
      <c r="B408" s="236" t="s">
        <v>89</v>
      </c>
    </row>
    <row r="409" spans="2:95" ht="40.049999999999997" customHeight="1" x14ac:dyDescent="0.3">
      <c r="B409" s="236" t="s">
        <v>89</v>
      </c>
    </row>
    <row r="410" spans="2:95" ht="40.049999999999997" customHeight="1" x14ac:dyDescent="0.3">
      <c r="B410" s="236" t="s">
        <v>89</v>
      </c>
    </row>
    <row r="411" spans="2:95" ht="40.049999999999997" customHeight="1" x14ac:dyDescent="0.3">
      <c r="B411" s="236" t="s">
        <v>89</v>
      </c>
    </row>
    <row r="412" spans="2:95" ht="40.049999999999997" customHeight="1" x14ac:dyDescent="0.3">
      <c r="B412" s="236" t="s">
        <v>89</v>
      </c>
    </row>
    <row r="413" spans="2:95" ht="40.049999999999997" customHeight="1" x14ac:dyDescent="0.3">
      <c r="B413" s="236" t="s">
        <v>89</v>
      </c>
    </row>
    <row r="414" spans="2:95" ht="40.049999999999997" customHeight="1" x14ac:dyDescent="0.3">
      <c r="B414" s="236" t="s">
        <v>89</v>
      </c>
    </row>
    <row r="415" spans="2:95" ht="40.049999999999997" customHeight="1" x14ac:dyDescent="0.3">
      <c r="B415" s="236" t="s">
        <v>89</v>
      </c>
    </row>
    <row r="416" spans="2:95" ht="40.049999999999997" customHeight="1" x14ac:dyDescent="0.3">
      <c r="B416" s="236" t="s">
        <v>89</v>
      </c>
    </row>
    <row r="417" spans="2:2" ht="40.049999999999997" customHeight="1" x14ac:dyDescent="0.3">
      <c r="B417" s="236" t="s">
        <v>89</v>
      </c>
    </row>
    <row r="418" spans="2:2" ht="40.049999999999997" customHeight="1" x14ac:dyDescent="0.3">
      <c r="B418" s="236" t="s">
        <v>89</v>
      </c>
    </row>
    <row r="419" spans="2:2" ht="40.049999999999997" customHeight="1" x14ac:dyDescent="0.3">
      <c r="B419" s="236" t="s">
        <v>89</v>
      </c>
    </row>
    <row r="420" spans="2:2" ht="40.049999999999997" customHeight="1" x14ac:dyDescent="0.3">
      <c r="B420" s="236" t="s">
        <v>89</v>
      </c>
    </row>
    <row r="421" spans="2:2" ht="40.049999999999997" customHeight="1" x14ac:dyDescent="0.3">
      <c r="B421" s="236" t="s">
        <v>89</v>
      </c>
    </row>
    <row r="422" spans="2:2" ht="40.049999999999997" customHeight="1" x14ac:dyDescent="0.3">
      <c r="B422" s="236" t="s">
        <v>89</v>
      </c>
    </row>
    <row r="423" spans="2:2" ht="40.049999999999997" customHeight="1" x14ac:dyDescent="0.3">
      <c r="B423" s="236" t="s">
        <v>89</v>
      </c>
    </row>
    <row r="424" spans="2:2" ht="40.049999999999997" customHeight="1" x14ac:dyDescent="0.3">
      <c r="B424" s="236" t="s">
        <v>89</v>
      </c>
    </row>
    <row r="425" spans="2:2" ht="40.049999999999997" customHeight="1" x14ac:dyDescent="0.3">
      <c r="B425" s="236" t="s">
        <v>89</v>
      </c>
    </row>
    <row r="426" spans="2:2" ht="40.049999999999997" customHeight="1" x14ac:dyDescent="0.3">
      <c r="B426" s="236" t="s">
        <v>89</v>
      </c>
    </row>
    <row r="427" spans="2:2" ht="40.049999999999997" customHeight="1" x14ac:dyDescent="0.3">
      <c r="B427" s="236" t="s">
        <v>89</v>
      </c>
    </row>
    <row r="428" spans="2:2" ht="40.049999999999997" customHeight="1" x14ac:dyDescent="0.3">
      <c r="B428" s="236" t="s">
        <v>89</v>
      </c>
    </row>
    <row r="429" spans="2:2" ht="40.049999999999997" customHeight="1" x14ac:dyDescent="0.3">
      <c r="B429" s="236" t="s">
        <v>89</v>
      </c>
    </row>
    <row r="430" spans="2:2" ht="40.049999999999997" customHeight="1" x14ac:dyDescent="0.3">
      <c r="B430" s="236" t="s">
        <v>89</v>
      </c>
    </row>
    <row r="431" spans="2:2" ht="40.049999999999997" customHeight="1" x14ac:dyDescent="0.3">
      <c r="B431" s="236" t="s">
        <v>89</v>
      </c>
    </row>
    <row r="432" spans="2:2" ht="40.049999999999997" customHeight="1" x14ac:dyDescent="0.3">
      <c r="B432" s="236" t="s">
        <v>89</v>
      </c>
    </row>
    <row r="433" spans="2:2" ht="40.049999999999997" customHeight="1" x14ac:dyDescent="0.3">
      <c r="B433" s="236" t="s">
        <v>89</v>
      </c>
    </row>
    <row r="434" spans="2:2" ht="40.049999999999997" customHeight="1" x14ac:dyDescent="0.3">
      <c r="B434" s="236" t="s">
        <v>89</v>
      </c>
    </row>
    <row r="435" spans="2:2" ht="40.049999999999997" customHeight="1" x14ac:dyDescent="0.3">
      <c r="B435" s="236" t="s">
        <v>89</v>
      </c>
    </row>
    <row r="436" spans="2:2" ht="40.049999999999997" customHeight="1" x14ac:dyDescent="0.3">
      <c r="B436" s="236" t="s">
        <v>89</v>
      </c>
    </row>
    <row r="437" spans="2:2" ht="40.049999999999997" customHeight="1" x14ac:dyDescent="0.3">
      <c r="B437" s="236" t="s">
        <v>89</v>
      </c>
    </row>
    <row r="438" spans="2:2" ht="40.049999999999997" customHeight="1" x14ac:dyDescent="0.3">
      <c r="B438" s="236" t="s">
        <v>89</v>
      </c>
    </row>
    <row r="439" spans="2:2" ht="40.049999999999997" customHeight="1" x14ac:dyDescent="0.3">
      <c r="B439" s="236" t="s">
        <v>89</v>
      </c>
    </row>
    <row r="440" spans="2:2" ht="40.049999999999997" customHeight="1" x14ac:dyDescent="0.3">
      <c r="B440" s="236" t="s">
        <v>89</v>
      </c>
    </row>
    <row r="441" spans="2:2" ht="40.049999999999997" customHeight="1" x14ac:dyDescent="0.3">
      <c r="B441" s="236" t="s">
        <v>89</v>
      </c>
    </row>
    <row r="442" spans="2:2" ht="40.049999999999997" customHeight="1" x14ac:dyDescent="0.3">
      <c r="B442" s="236" t="s">
        <v>89</v>
      </c>
    </row>
    <row r="443" spans="2:2" ht="40.049999999999997" customHeight="1" x14ac:dyDescent="0.3">
      <c r="B443" s="236" t="s">
        <v>89</v>
      </c>
    </row>
    <row r="444" spans="2:2" ht="40.049999999999997" customHeight="1" x14ac:dyDescent="0.3">
      <c r="B444" s="236" t="s">
        <v>89</v>
      </c>
    </row>
    <row r="445" spans="2:2" ht="40.049999999999997" customHeight="1" x14ac:dyDescent="0.3">
      <c r="B445" s="236" t="s">
        <v>89</v>
      </c>
    </row>
    <row r="446" spans="2:2" ht="40.049999999999997" customHeight="1" x14ac:dyDescent="0.3">
      <c r="B446" s="236" t="s">
        <v>89</v>
      </c>
    </row>
    <row r="447" spans="2:2" ht="40.049999999999997" customHeight="1" x14ac:dyDescent="0.3">
      <c r="B447" s="236" t="s">
        <v>89</v>
      </c>
    </row>
    <row r="448" spans="2:2" ht="40.049999999999997" customHeight="1" x14ac:dyDescent="0.3">
      <c r="B448" s="236" t="s">
        <v>89</v>
      </c>
    </row>
    <row r="449" spans="2:2" ht="40.049999999999997" customHeight="1" x14ac:dyDescent="0.3">
      <c r="B449" s="236" t="s">
        <v>89</v>
      </c>
    </row>
    <row r="450" spans="2:2" ht="40.049999999999997" customHeight="1" x14ac:dyDescent="0.3">
      <c r="B450" s="236" t="s">
        <v>89</v>
      </c>
    </row>
    <row r="451" spans="2:2" ht="40.049999999999997" customHeight="1" x14ac:dyDescent="0.3">
      <c r="B451" s="236" t="s">
        <v>89</v>
      </c>
    </row>
    <row r="452" spans="2:2" ht="40.049999999999997" customHeight="1" x14ac:dyDescent="0.3">
      <c r="B452" s="236" t="s">
        <v>89</v>
      </c>
    </row>
    <row r="453" spans="2:2" ht="40.049999999999997" customHeight="1" x14ac:dyDescent="0.3">
      <c r="B453" s="236" t="s">
        <v>89</v>
      </c>
    </row>
    <row r="454" spans="2:2" ht="40.049999999999997" customHeight="1" x14ac:dyDescent="0.3">
      <c r="B454" s="236" t="s">
        <v>89</v>
      </c>
    </row>
    <row r="455" spans="2:2" ht="40.049999999999997" customHeight="1" x14ac:dyDescent="0.3">
      <c r="B455" s="236" t="s">
        <v>89</v>
      </c>
    </row>
    <row r="456" spans="2:2" ht="40.049999999999997" customHeight="1" x14ac:dyDescent="0.3">
      <c r="B456" s="236" t="s">
        <v>89</v>
      </c>
    </row>
    <row r="457" spans="2:2" ht="40.049999999999997" customHeight="1" x14ac:dyDescent="0.3">
      <c r="B457" s="236" t="s">
        <v>89</v>
      </c>
    </row>
    <row r="458" spans="2:2" ht="40.049999999999997" customHeight="1" x14ac:dyDescent="0.3">
      <c r="B458" s="236" t="s">
        <v>89</v>
      </c>
    </row>
    <row r="459" spans="2:2" ht="40.049999999999997" customHeight="1" x14ac:dyDescent="0.3">
      <c r="B459" s="236" t="s">
        <v>89</v>
      </c>
    </row>
    <row r="460" spans="2:2" ht="40.049999999999997" customHeight="1" x14ac:dyDescent="0.3">
      <c r="B460" s="236" t="s">
        <v>89</v>
      </c>
    </row>
    <row r="461" spans="2:2" ht="40.049999999999997" customHeight="1" x14ac:dyDescent="0.3">
      <c r="B461" s="236" t="s">
        <v>89</v>
      </c>
    </row>
    <row r="462" spans="2:2" ht="40.049999999999997" customHeight="1" x14ac:dyDescent="0.3">
      <c r="B462" s="236" t="s">
        <v>89</v>
      </c>
    </row>
    <row r="463" spans="2:2" ht="40.049999999999997" customHeight="1" x14ac:dyDescent="0.3">
      <c r="B463" s="236" t="s">
        <v>89</v>
      </c>
    </row>
    <row r="464" spans="2:2" ht="40.049999999999997" customHeight="1" x14ac:dyDescent="0.3">
      <c r="B464" s="236" t="s">
        <v>89</v>
      </c>
    </row>
    <row r="465" spans="2:2" ht="40.049999999999997" customHeight="1" x14ac:dyDescent="0.3">
      <c r="B465" s="236" t="s">
        <v>89</v>
      </c>
    </row>
    <row r="466" spans="2:2" ht="40.049999999999997" customHeight="1" x14ac:dyDescent="0.3">
      <c r="B466" s="236" t="s">
        <v>89</v>
      </c>
    </row>
    <row r="467" spans="2:2" ht="40.049999999999997" customHeight="1" x14ac:dyDescent="0.3">
      <c r="B467" s="236" t="s">
        <v>89</v>
      </c>
    </row>
    <row r="468" spans="2:2" ht="40.049999999999997" customHeight="1" x14ac:dyDescent="0.3">
      <c r="B468" s="236" t="s">
        <v>89</v>
      </c>
    </row>
    <row r="469" spans="2:2" ht="40.049999999999997" customHeight="1" x14ac:dyDescent="0.3">
      <c r="B469" s="236" t="s">
        <v>89</v>
      </c>
    </row>
    <row r="470" spans="2:2" ht="40.049999999999997" customHeight="1" x14ac:dyDescent="0.3">
      <c r="B470" s="236" t="s">
        <v>89</v>
      </c>
    </row>
    <row r="471" spans="2:2" ht="40.049999999999997" customHeight="1" x14ac:dyDescent="0.3">
      <c r="B471" s="236" t="s">
        <v>89</v>
      </c>
    </row>
    <row r="472" spans="2:2" ht="40.049999999999997" customHeight="1" x14ac:dyDescent="0.3">
      <c r="B472" s="236" t="s">
        <v>89</v>
      </c>
    </row>
    <row r="473" spans="2:2" ht="40.049999999999997" customHeight="1" x14ac:dyDescent="0.3">
      <c r="B473" s="236" t="s">
        <v>89</v>
      </c>
    </row>
    <row r="474" spans="2:2" ht="40.049999999999997" customHeight="1" x14ac:dyDescent="0.3">
      <c r="B474" s="236" t="s">
        <v>89</v>
      </c>
    </row>
    <row r="475" spans="2:2" ht="40.049999999999997" customHeight="1" x14ac:dyDescent="0.3">
      <c r="B475" s="236" t="s">
        <v>89</v>
      </c>
    </row>
    <row r="476" spans="2:2" ht="40.049999999999997" customHeight="1" x14ac:dyDescent="0.3">
      <c r="B476" s="236" t="s">
        <v>89</v>
      </c>
    </row>
    <row r="477" spans="2:2" ht="40.049999999999997" customHeight="1" x14ac:dyDescent="0.3">
      <c r="B477" s="236" t="s">
        <v>89</v>
      </c>
    </row>
    <row r="478" spans="2:2" ht="40.049999999999997" customHeight="1" x14ac:dyDescent="0.3">
      <c r="B478" s="236" t="s">
        <v>89</v>
      </c>
    </row>
    <row r="479" spans="2:2" ht="40.049999999999997" customHeight="1" x14ac:dyDescent="0.3">
      <c r="B479" s="236" t="s">
        <v>89</v>
      </c>
    </row>
    <row r="480" spans="2:2" ht="40.049999999999997" customHeight="1" x14ac:dyDescent="0.3">
      <c r="B480" s="236" t="s">
        <v>89</v>
      </c>
    </row>
    <row r="481" spans="2:2" ht="40.049999999999997" customHeight="1" x14ac:dyDescent="0.3">
      <c r="B481" s="236" t="s">
        <v>89</v>
      </c>
    </row>
    <row r="482" spans="2:2" ht="40.049999999999997" customHeight="1" x14ac:dyDescent="0.3">
      <c r="B482" s="236" t="s">
        <v>89</v>
      </c>
    </row>
    <row r="483" spans="2:2" ht="40.049999999999997" customHeight="1" x14ac:dyDescent="0.3">
      <c r="B483" s="236" t="s">
        <v>89</v>
      </c>
    </row>
    <row r="484" spans="2:2" ht="40.049999999999997" customHeight="1" x14ac:dyDescent="0.3">
      <c r="B484" s="236" t="s">
        <v>89</v>
      </c>
    </row>
    <row r="485" spans="2:2" ht="40.049999999999997" customHeight="1" x14ac:dyDescent="0.3">
      <c r="B485" s="236" t="s">
        <v>89</v>
      </c>
    </row>
    <row r="486" spans="2:2" ht="40.049999999999997" customHeight="1" x14ac:dyDescent="0.3">
      <c r="B486" s="236" t="s">
        <v>89</v>
      </c>
    </row>
    <row r="487" spans="2:2" ht="40.049999999999997" customHeight="1" x14ac:dyDescent="0.3">
      <c r="B487" s="236" t="s">
        <v>89</v>
      </c>
    </row>
    <row r="488" spans="2:2" ht="40.049999999999997" customHeight="1" x14ac:dyDescent="0.3">
      <c r="B488" s="236" t="s">
        <v>89</v>
      </c>
    </row>
    <row r="489" spans="2:2" ht="40.049999999999997" customHeight="1" x14ac:dyDescent="0.3">
      <c r="B489" s="236" t="s">
        <v>89</v>
      </c>
    </row>
    <row r="490" spans="2:2" ht="40.049999999999997" customHeight="1" x14ac:dyDescent="0.3">
      <c r="B490" s="236" t="s">
        <v>89</v>
      </c>
    </row>
    <row r="491" spans="2:2" ht="40.049999999999997" customHeight="1" x14ac:dyDescent="0.3">
      <c r="B491" s="236" t="s">
        <v>89</v>
      </c>
    </row>
    <row r="492" spans="2:2" ht="40.049999999999997" customHeight="1" x14ac:dyDescent="0.3">
      <c r="B492" s="236" t="s">
        <v>89</v>
      </c>
    </row>
    <row r="493" spans="2:2" ht="40.049999999999997" customHeight="1" x14ac:dyDescent="0.3">
      <c r="B493" s="236" t="s">
        <v>89</v>
      </c>
    </row>
    <row r="494" spans="2:2" ht="40.049999999999997" customHeight="1" x14ac:dyDescent="0.3">
      <c r="B494" s="236" t="s">
        <v>89</v>
      </c>
    </row>
    <row r="495" spans="2:2" ht="40.049999999999997" customHeight="1" x14ac:dyDescent="0.3">
      <c r="B495" s="236" t="s">
        <v>89</v>
      </c>
    </row>
    <row r="496" spans="2:2" ht="40.049999999999997" customHeight="1" x14ac:dyDescent="0.3">
      <c r="B496" s="236" t="s">
        <v>89</v>
      </c>
    </row>
    <row r="497" spans="2:2" ht="40.049999999999997" customHeight="1" x14ac:dyDescent="0.3">
      <c r="B497" s="236" t="s">
        <v>89</v>
      </c>
    </row>
    <row r="498" spans="2:2" ht="40.049999999999997" customHeight="1" x14ac:dyDescent="0.3">
      <c r="B498" s="236" t="s">
        <v>89</v>
      </c>
    </row>
    <row r="499" spans="2:2" ht="40.049999999999997" customHeight="1" x14ac:dyDescent="0.3">
      <c r="B499" s="236" t="s">
        <v>89</v>
      </c>
    </row>
    <row r="500" spans="2:2" ht="40.049999999999997" customHeight="1" x14ac:dyDescent="0.3">
      <c r="B500" s="236" t="s">
        <v>89</v>
      </c>
    </row>
    <row r="501" spans="2:2" ht="40.049999999999997" customHeight="1" x14ac:dyDescent="0.3">
      <c r="B501" s="236" t="s">
        <v>89</v>
      </c>
    </row>
    <row r="502" spans="2:2" ht="40.049999999999997" customHeight="1" x14ac:dyDescent="0.3">
      <c r="B502" s="236" t="s">
        <v>89</v>
      </c>
    </row>
    <row r="503" spans="2:2" ht="40.049999999999997" customHeight="1" x14ac:dyDescent="0.3">
      <c r="B503" s="236" t="s">
        <v>89</v>
      </c>
    </row>
    <row r="504" spans="2:2" ht="40.049999999999997" customHeight="1" x14ac:dyDescent="0.3">
      <c r="B504" s="236" t="s">
        <v>89</v>
      </c>
    </row>
    <row r="505" spans="2:2" ht="40.049999999999997" customHeight="1" x14ac:dyDescent="0.3">
      <c r="B505" s="236" t="s">
        <v>89</v>
      </c>
    </row>
    <row r="506" spans="2:2" ht="40.049999999999997" customHeight="1" x14ac:dyDescent="0.3">
      <c r="B506" s="236" t="s">
        <v>89</v>
      </c>
    </row>
    <row r="507" spans="2:2" ht="40.049999999999997" customHeight="1" x14ac:dyDescent="0.3">
      <c r="B507" s="236" t="s">
        <v>89</v>
      </c>
    </row>
    <row r="508" spans="2:2" ht="40.049999999999997" customHeight="1" x14ac:dyDescent="0.3">
      <c r="B508" s="236" t="s">
        <v>89</v>
      </c>
    </row>
    <row r="509" spans="2:2" ht="40.049999999999997" customHeight="1" x14ac:dyDescent="0.3">
      <c r="B509" s="236" t="s">
        <v>89</v>
      </c>
    </row>
    <row r="510" spans="2:2" ht="40.049999999999997" customHeight="1" x14ac:dyDescent="0.3">
      <c r="B510" s="236" t="s">
        <v>89</v>
      </c>
    </row>
    <row r="511" spans="2:2" ht="40.049999999999997" customHeight="1" x14ac:dyDescent="0.3">
      <c r="B511" s="236" t="s">
        <v>89</v>
      </c>
    </row>
    <row r="512" spans="2:2" ht="40.049999999999997" customHeight="1" x14ac:dyDescent="0.3">
      <c r="B512" s="236" t="s">
        <v>89</v>
      </c>
    </row>
    <row r="513" spans="2:2" ht="40.049999999999997" customHeight="1" x14ac:dyDescent="0.3">
      <c r="B513" s="236" t="s">
        <v>89</v>
      </c>
    </row>
    <row r="514" spans="2:2" ht="40.049999999999997" customHeight="1" x14ac:dyDescent="0.3">
      <c r="B514" s="236" t="s">
        <v>89</v>
      </c>
    </row>
    <row r="515" spans="2:2" ht="40.049999999999997" customHeight="1" x14ac:dyDescent="0.3">
      <c r="B515" s="236" t="s">
        <v>89</v>
      </c>
    </row>
    <row r="516" spans="2:2" ht="40.049999999999997" customHeight="1" x14ac:dyDescent="0.3">
      <c r="B516" s="236" t="s">
        <v>89</v>
      </c>
    </row>
    <row r="517" spans="2:2" ht="40.049999999999997" customHeight="1" x14ac:dyDescent="0.3">
      <c r="B517" s="236" t="s">
        <v>89</v>
      </c>
    </row>
    <row r="518" spans="2:2" ht="40.049999999999997" customHeight="1" x14ac:dyDescent="0.3">
      <c r="B518" s="236" t="s">
        <v>89</v>
      </c>
    </row>
    <row r="519" spans="2:2" ht="40.049999999999997" customHeight="1" x14ac:dyDescent="0.3">
      <c r="B519" s="236" t="s">
        <v>89</v>
      </c>
    </row>
    <row r="520" spans="2:2" ht="40.049999999999997" customHeight="1" x14ac:dyDescent="0.3">
      <c r="B520" s="236" t="s">
        <v>89</v>
      </c>
    </row>
    <row r="521" spans="2:2" ht="40.049999999999997" customHeight="1" x14ac:dyDescent="0.3">
      <c r="B521" s="236" t="s">
        <v>89</v>
      </c>
    </row>
    <row r="522" spans="2:2" ht="40.049999999999997" customHeight="1" x14ac:dyDescent="0.3">
      <c r="B522" s="236" t="s">
        <v>89</v>
      </c>
    </row>
    <row r="523" spans="2:2" ht="40.049999999999997" customHeight="1" x14ac:dyDescent="0.3">
      <c r="B523" s="236" t="s">
        <v>89</v>
      </c>
    </row>
    <row r="524" spans="2:2" ht="40.049999999999997" customHeight="1" x14ac:dyDescent="0.3">
      <c r="B524" s="236" t="s">
        <v>89</v>
      </c>
    </row>
    <row r="525" spans="2:2" ht="40.049999999999997" customHeight="1" x14ac:dyDescent="0.3">
      <c r="B525" s="236" t="s">
        <v>89</v>
      </c>
    </row>
    <row r="526" spans="2:2" ht="40.049999999999997" customHeight="1" x14ac:dyDescent="0.3">
      <c r="B526" s="236" t="s">
        <v>89</v>
      </c>
    </row>
    <row r="527" spans="2:2" ht="40.049999999999997" customHeight="1" x14ac:dyDescent="0.3">
      <c r="B527" s="236" t="s">
        <v>89</v>
      </c>
    </row>
    <row r="528" spans="2:2" ht="40.049999999999997" customHeight="1" x14ac:dyDescent="0.3">
      <c r="B528" s="236" t="s">
        <v>89</v>
      </c>
    </row>
    <row r="529" spans="2:2" ht="40.049999999999997" customHeight="1" x14ac:dyDescent="0.3">
      <c r="B529" s="236" t="s">
        <v>89</v>
      </c>
    </row>
    <row r="530" spans="2:2" ht="40.049999999999997" customHeight="1" x14ac:dyDescent="0.3">
      <c r="B530" s="236" t="s">
        <v>89</v>
      </c>
    </row>
    <row r="531" spans="2:2" ht="40.049999999999997" customHeight="1" x14ac:dyDescent="0.3">
      <c r="B531" s="236" t="s">
        <v>89</v>
      </c>
    </row>
    <row r="532" spans="2:2" ht="40.049999999999997" customHeight="1" x14ac:dyDescent="0.3">
      <c r="B532" s="236" t="s">
        <v>89</v>
      </c>
    </row>
    <row r="533" spans="2:2" ht="40.049999999999997" customHeight="1" x14ac:dyDescent="0.3">
      <c r="B533" s="236" t="s">
        <v>89</v>
      </c>
    </row>
    <row r="534" spans="2:2" ht="40.049999999999997" customHeight="1" x14ac:dyDescent="0.3">
      <c r="B534" s="236" t="s">
        <v>89</v>
      </c>
    </row>
    <row r="535" spans="2:2" ht="40.049999999999997" customHeight="1" x14ac:dyDescent="0.3">
      <c r="B535" s="236" t="s">
        <v>89</v>
      </c>
    </row>
    <row r="536" spans="2:2" ht="40.049999999999997" customHeight="1" x14ac:dyDescent="0.3">
      <c r="B536" s="236" t="s">
        <v>89</v>
      </c>
    </row>
    <row r="537" spans="2:2" ht="40.049999999999997" customHeight="1" x14ac:dyDescent="0.3">
      <c r="B537" s="236" t="s">
        <v>89</v>
      </c>
    </row>
    <row r="538" spans="2:2" ht="40.049999999999997" customHeight="1" x14ac:dyDescent="0.3">
      <c r="B538" s="236" t="s">
        <v>89</v>
      </c>
    </row>
    <row r="539" spans="2:2" ht="40.049999999999997" customHeight="1" x14ac:dyDescent="0.3">
      <c r="B539" s="236" t="s">
        <v>89</v>
      </c>
    </row>
    <row r="540" spans="2:2" ht="40.049999999999997" customHeight="1" x14ac:dyDescent="0.3">
      <c r="B540" s="236" t="s">
        <v>89</v>
      </c>
    </row>
    <row r="541" spans="2:2" ht="40.049999999999997" customHeight="1" x14ac:dyDescent="0.3">
      <c r="B541" s="236" t="s">
        <v>89</v>
      </c>
    </row>
    <row r="542" spans="2:2" ht="40.049999999999997" customHeight="1" x14ac:dyDescent="0.3">
      <c r="B542" s="236" t="s">
        <v>89</v>
      </c>
    </row>
    <row r="543" spans="2:2" ht="40.049999999999997" customHeight="1" x14ac:dyDescent="0.3">
      <c r="B543" s="236" t="s">
        <v>89</v>
      </c>
    </row>
    <row r="544" spans="2:2" ht="40.049999999999997" customHeight="1" x14ac:dyDescent="0.3">
      <c r="B544" s="236" t="s">
        <v>89</v>
      </c>
    </row>
    <row r="545" spans="2:2" ht="40.049999999999997" customHeight="1" x14ac:dyDescent="0.3">
      <c r="B545" s="236" t="s">
        <v>89</v>
      </c>
    </row>
    <row r="546" spans="2:2" ht="40.049999999999997" customHeight="1" x14ac:dyDescent="0.3">
      <c r="B546" s="236" t="s">
        <v>89</v>
      </c>
    </row>
    <row r="547" spans="2:2" ht="40.049999999999997" customHeight="1" x14ac:dyDescent="0.3">
      <c r="B547" s="236" t="s">
        <v>89</v>
      </c>
    </row>
    <row r="548" spans="2:2" ht="40.049999999999997" customHeight="1" x14ac:dyDescent="0.3">
      <c r="B548" s="236" t="s">
        <v>89</v>
      </c>
    </row>
    <row r="549" spans="2:2" ht="40.049999999999997" customHeight="1" x14ac:dyDescent="0.3">
      <c r="B549" s="236" t="s">
        <v>89</v>
      </c>
    </row>
    <row r="550" spans="2:2" ht="40.049999999999997" customHeight="1" x14ac:dyDescent="0.3">
      <c r="B550" s="236" t="s">
        <v>89</v>
      </c>
    </row>
    <row r="551" spans="2:2" ht="40.049999999999997" customHeight="1" x14ac:dyDescent="0.3">
      <c r="B551" s="236" t="s">
        <v>89</v>
      </c>
    </row>
    <row r="552" spans="2:2" ht="40.049999999999997" customHeight="1" x14ac:dyDescent="0.3">
      <c r="B552" s="236" t="s">
        <v>89</v>
      </c>
    </row>
    <row r="553" spans="2:2" ht="40.049999999999997" customHeight="1" x14ac:dyDescent="0.3">
      <c r="B553" s="236" t="s">
        <v>89</v>
      </c>
    </row>
    <row r="554" spans="2:2" ht="40.049999999999997" customHeight="1" x14ac:dyDescent="0.3">
      <c r="B554" s="236" t="s">
        <v>89</v>
      </c>
    </row>
    <row r="555" spans="2:2" ht="40.049999999999997" customHeight="1" x14ac:dyDescent="0.3">
      <c r="B555" s="236" t="s">
        <v>89</v>
      </c>
    </row>
    <row r="556" spans="2:2" ht="40.049999999999997" customHeight="1" x14ac:dyDescent="0.3">
      <c r="B556" s="236" t="s">
        <v>89</v>
      </c>
    </row>
    <row r="557" spans="2:2" ht="40.049999999999997" customHeight="1" x14ac:dyDescent="0.3">
      <c r="B557" s="236" t="s">
        <v>89</v>
      </c>
    </row>
    <row r="558" spans="2:2" ht="40.049999999999997" customHeight="1" x14ac:dyDescent="0.3">
      <c r="B558" s="236" t="s">
        <v>89</v>
      </c>
    </row>
    <row r="559" spans="2:2" ht="40.049999999999997" customHeight="1" x14ac:dyDescent="0.3">
      <c r="B559" s="236" t="s">
        <v>89</v>
      </c>
    </row>
    <row r="560" spans="2:2" ht="40.049999999999997" customHeight="1" x14ac:dyDescent="0.3">
      <c r="B560" s="236" t="s">
        <v>89</v>
      </c>
    </row>
    <row r="561" spans="2:2" ht="40.049999999999997" customHeight="1" x14ac:dyDescent="0.3">
      <c r="B561" s="236" t="s">
        <v>89</v>
      </c>
    </row>
    <row r="562" spans="2:2" ht="40.049999999999997" customHeight="1" x14ac:dyDescent="0.3">
      <c r="B562" s="236" t="s">
        <v>89</v>
      </c>
    </row>
    <row r="563" spans="2:2" ht="40.049999999999997" customHeight="1" x14ac:dyDescent="0.3">
      <c r="B563" s="236" t="s">
        <v>89</v>
      </c>
    </row>
    <row r="564" spans="2:2" ht="40.049999999999997" customHeight="1" x14ac:dyDescent="0.3">
      <c r="B564" s="236" t="s">
        <v>89</v>
      </c>
    </row>
    <row r="565" spans="2:2" ht="40.049999999999997" customHeight="1" x14ac:dyDescent="0.3">
      <c r="B565" s="236" t="s">
        <v>89</v>
      </c>
    </row>
    <row r="566" spans="2:2" ht="40.049999999999997" customHeight="1" x14ac:dyDescent="0.3">
      <c r="B566" s="236" t="s">
        <v>89</v>
      </c>
    </row>
    <row r="567" spans="2:2" ht="40.049999999999997" customHeight="1" x14ac:dyDescent="0.3">
      <c r="B567" s="236" t="s">
        <v>89</v>
      </c>
    </row>
    <row r="568" spans="2:2" ht="40.049999999999997" customHeight="1" x14ac:dyDescent="0.3">
      <c r="B568" s="236" t="s">
        <v>89</v>
      </c>
    </row>
    <row r="569" spans="2:2" ht="40.049999999999997" customHeight="1" x14ac:dyDescent="0.3">
      <c r="B569" s="236" t="s">
        <v>89</v>
      </c>
    </row>
    <row r="570" spans="2:2" ht="40.049999999999997" customHeight="1" x14ac:dyDescent="0.3">
      <c r="B570" s="236" t="s">
        <v>89</v>
      </c>
    </row>
    <row r="571" spans="2:2" ht="40.049999999999997" customHeight="1" x14ac:dyDescent="0.3">
      <c r="B571" s="236" t="s">
        <v>89</v>
      </c>
    </row>
    <row r="572" spans="2:2" ht="40.049999999999997" customHeight="1" x14ac:dyDescent="0.3">
      <c r="B572" s="236" t="s">
        <v>89</v>
      </c>
    </row>
    <row r="573" spans="2:2" ht="40.049999999999997" customHeight="1" x14ac:dyDescent="0.3">
      <c r="B573" s="236" t="s">
        <v>89</v>
      </c>
    </row>
    <row r="574" spans="2:2" ht="40.049999999999997" customHeight="1" x14ac:dyDescent="0.3">
      <c r="B574" s="236" t="s">
        <v>89</v>
      </c>
    </row>
    <row r="575" spans="2:2" ht="40.049999999999997" customHeight="1" x14ac:dyDescent="0.3">
      <c r="B575" s="236" t="s">
        <v>89</v>
      </c>
    </row>
    <row r="576" spans="2:2" ht="40.049999999999997" customHeight="1" x14ac:dyDescent="0.3">
      <c r="B576" s="236" t="s">
        <v>89</v>
      </c>
    </row>
    <row r="577" spans="2:2" ht="40.049999999999997" customHeight="1" x14ac:dyDescent="0.3">
      <c r="B577" s="236" t="s">
        <v>89</v>
      </c>
    </row>
    <row r="578" spans="2:2" ht="40.049999999999997" customHeight="1" x14ac:dyDescent="0.3">
      <c r="B578" s="236" t="s">
        <v>89</v>
      </c>
    </row>
    <row r="579" spans="2:2" ht="40.049999999999997" customHeight="1" x14ac:dyDescent="0.3">
      <c r="B579" s="236" t="s">
        <v>89</v>
      </c>
    </row>
    <row r="580" spans="2:2" ht="40.049999999999997" customHeight="1" x14ac:dyDescent="0.3">
      <c r="B580" s="236" t="s">
        <v>89</v>
      </c>
    </row>
    <row r="581" spans="2:2" ht="40.049999999999997" customHeight="1" x14ac:dyDescent="0.3">
      <c r="B581" s="236" t="s">
        <v>89</v>
      </c>
    </row>
    <row r="582" spans="2:2" ht="40.049999999999997" customHeight="1" x14ac:dyDescent="0.3">
      <c r="B582" s="236" t="s">
        <v>89</v>
      </c>
    </row>
    <row r="583" spans="2:2" ht="40.049999999999997" customHeight="1" x14ac:dyDescent="0.3">
      <c r="B583" s="236" t="s">
        <v>89</v>
      </c>
    </row>
    <row r="584" spans="2:2" ht="40.049999999999997" customHeight="1" x14ac:dyDescent="0.3">
      <c r="B584" s="236" t="s">
        <v>89</v>
      </c>
    </row>
    <row r="585" spans="2:2" ht="40.049999999999997" customHeight="1" x14ac:dyDescent="0.3">
      <c r="B585" s="236" t="s">
        <v>89</v>
      </c>
    </row>
    <row r="586" spans="2:2" ht="40.049999999999997" customHeight="1" x14ac:dyDescent="0.3">
      <c r="B586" s="236" t="s">
        <v>89</v>
      </c>
    </row>
    <row r="587" spans="2:2" ht="40.049999999999997" customHeight="1" x14ac:dyDescent="0.3">
      <c r="B587" s="236" t="s">
        <v>89</v>
      </c>
    </row>
    <row r="588" spans="2:2" ht="40.049999999999997" customHeight="1" x14ac:dyDescent="0.3">
      <c r="B588" s="236" t="s">
        <v>89</v>
      </c>
    </row>
    <row r="589" spans="2:2" ht="40.049999999999997" customHeight="1" x14ac:dyDescent="0.3">
      <c r="B589" s="236" t="s">
        <v>89</v>
      </c>
    </row>
    <row r="590" spans="2:2" ht="40.049999999999997" customHeight="1" x14ac:dyDescent="0.3">
      <c r="B590" s="236" t="s">
        <v>89</v>
      </c>
    </row>
    <row r="591" spans="2:2" ht="40.049999999999997" customHeight="1" x14ac:dyDescent="0.3">
      <c r="B591" s="236" t="s">
        <v>89</v>
      </c>
    </row>
    <row r="592" spans="2:2" ht="40.049999999999997" customHeight="1" x14ac:dyDescent="0.3">
      <c r="B592" s="236" t="s">
        <v>89</v>
      </c>
    </row>
    <row r="593" spans="2:2" ht="40.049999999999997" customHeight="1" x14ac:dyDescent="0.3">
      <c r="B593" s="236" t="s">
        <v>89</v>
      </c>
    </row>
    <row r="594" spans="2:2" ht="40.049999999999997" customHeight="1" x14ac:dyDescent="0.3">
      <c r="B594" s="236" t="s">
        <v>89</v>
      </c>
    </row>
    <row r="595" spans="2:2" ht="40.049999999999997" customHeight="1" x14ac:dyDescent="0.3">
      <c r="B595" s="236" t="s">
        <v>89</v>
      </c>
    </row>
    <row r="596" spans="2:2" ht="40.049999999999997" customHeight="1" x14ac:dyDescent="0.3">
      <c r="B596" s="236" t="s">
        <v>89</v>
      </c>
    </row>
    <row r="597" spans="2:2" ht="40.049999999999997" customHeight="1" x14ac:dyDescent="0.3">
      <c r="B597" s="236" t="s">
        <v>89</v>
      </c>
    </row>
    <row r="598" spans="2:2" ht="40.049999999999997" customHeight="1" x14ac:dyDescent="0.3">
      <c r="B598" s="236" t="s">
        <v>89</v>
      </c>
    </row>
    <row r="599" spans="2:2" ht="40.049999999999997" customHeight="1" x14ac:dyDescent="0.3">
      <c r="B599" s="236" t="s">
        <v>89</v>
      </c>
    </row>
    <row r="600" spans="2:2" ht="40.049999999999997" customHeight="1" x14ac:dyDescent="0.3">
      <c r="B600" s="236" t="s">
        <v>89</v>
      </c>
    </row>
    <row r="601" spans="2:2" ht="40.049999999999997" customHeight="1" x14ac:dyDescent="0.3">
      <c r="B601" s="236" t="s">
        <v>89</v>
      </c>
    </row>
    <row r="602" spans="2:2" ht="40.049999999999997" customHeight="1" x14ac:dyDescent="0.3">
      <c r="B602" s="236" t="s">
        <v>89</v>
      </c>
    </row>
    <row r="603" spans="2:2" ht="40.049999999999997" customHeight="1" x14ac:dyDescent="0.3">
      <c r="B603" s="236" t="s">
        <v>89</v>
      </c>
    </row>
    <row r="604" spans="2:2" ht="40.049999999999997" customHeight="1" x14ac:dyDescent="0.3">
      <c r="B604" s="236" t="s">
        <v>89</v>
      </c>
    </row>
    <row r="605" spans="2:2" ht="40.049999999999997" customHeight="1" x14ac:dyDescent="0.3">
      <c r="B605" s="236" t="s">
        <v>89</v>
      </c>
    </row>
    <row r="606" spans="2:2" ht="40.049999999999997" customHeight="1" x14ac:dyDescent="0.3">
      <c r="B606" s="236" t="s">
        <v>89</v>
      </c>
    </row>
    <row r="607" spans="2:2" ht="40.049999999999997" customHeight="1" x14ac:dyDescent="0.3">
      <c r="B607" s="236" t="s">
        <v>89</v>
      </c>
    </row>
    <row r="608" spans="2:2" ht="40.049999999999997" customHeight="1" x14ac:dyDescent="0.3">
      <c r="B608" s="236" t="s">
        <v>89</v>
      </c>
    </row>
    <row r="609" spans="2:2" ht="40.049999999999997" customHeight="1" x14ac:dyDescent="0.3">
      <c r="B609" s="236" t="s">
        <v>89</v>
      </c>
    </row>
    <row r="610" spans="2:2" ht="40.049999999999997" customHeight="1" x14ac:dyDescent="0.3">
      <c r="B610" s="236" t="s">
        <v>89</v>
      </c>
    </row>
    <row r="611" spans="2:2" ht="40.049999999999997" customHeight="1" x14ac:dyDescent="0.3">
      <c r="B611" s="236" t="s">
        <v>89</v>
      </c>
    </row>
    <row r="612" spans="2:2" ht="40.049999999999997" customHeight="1" x14ac:dyDescent="0.3">
      <c r="B612" s="236" t="s">
        <v>89</v>
      </c>
    </row>
    <row r="613" spans="2:2" ht="40.049999999999997" customHeight="1" x14ac:dyDescent="0.3">
      <c r="B613" s="236" t="s">
        <v>89</v>
      </c>
    </row>
    <row r="614" spans="2:2" ht="40.049999999999997" customHeight="1" x14ac:dyDescent="0.3">
      <c r="B614" s="236" t="s">
        <v>89</v>
      </c>
    </row>
    <row r="615" spans="2:2" ht="40.049999999999997" customHeight="1" x14ac:dyDescent="0.3">
      <c r="B615" s="236" t="s">
        <v>89</v>
      </c>
    </row>
    <row r="616" spans="2:2" ht="40.049999999999997" customHeight="1" x14ac:dyDescent="0.3">
      <c r="B616" s="236" t="s">
        <v>89</v>
      </c>
    </row>
    <row r="617" spans="2:2" ht="40.049999999999997" customHeight="1" x14ac:dyDescent="0.3">
      <c r="B617" s="236" t="s">
        <v>89</v>
      </c>
    </row>
    <row r="618" spans="2:2" ht="40.049999999999997" customHeight="1" x14ac:dyDescent="0.3">
      <c r="B618" s="236" t="s">
        <v>89</v>
      </c>
    </row>
    <row r="619" spans="2:2" ht="40.049999999999997" customHeight="1" x14ac:dyDescent="0.3">
      <c r="B619" s="236" t="s">
        <v>89</v>
      </c>
    </row>
    <row r="620" spans="2:2" ht="40.049999999999997" customHeight="1" x14ac:dyDescent="0.3">
      <c r="B620" s="236" t="s">
        <v>89</v>
      </c>
    </row>
    <row r="621" spans="2:2" ht="40.049999999999997" customHeight="1" x14ac:dyDescent="0.3">
      <c r="B621" s="236" t="s">
        <v>89</v>
      </c>
    </row>
    <row r="622" spans="2:2" ht="40.049999999999997" customHeight="1" x14ac:dyDescent="0.3">
      <c r="B622" s="236" t="s">
        <v>89</v>
      </c>
    </row>
    <row r="623" spans="2:2" ht="40.049999999999997" customHeight="1" x14ac:dyDescent="0.3">
      <c r="B623" s="236" t="s">
        <v>89</v>
      </c>
    </row>
    <row r="624" spans="2:2" ht="40.049999999999997" customHeight="1" x14ac:dyDescent="0.3">
      <c r="B624" s="236" t="s">
        <v>89</v>
      </c>
    </row>
    <row r="625" spans="2:2" ht="40.049999999999997" customHeight="1" x14ac:dyDescent="0.3">
      <c r="B625" s="236" t="s">
        <v>89</v>
      </c>
    </row>
    <row r="626" spans="2:2" ht="40.049999999999997" customHeight="1" x14ac:dyDescent="0.3">
      <c r="B626" s="236" t="s">
        <v>89</v>
      </c>
    </row>
    <row r="627" spans="2:2" ht="40.049999999999997" customHeight="1" x14ac:dyDescent="0.3">
      <c r="B627" s="236" t="s">
        <v>89</v>
      </c>
    </row>
    <row r="628" spans="2:2" ht="40.049999999999997" customHeight="1" x14ac:dyDescent="0.3">
      <c r="B628" s="236" t="s">
        <v>89</v>
      </c>
    </row>
    <row r="629" spans="2:2" ht="40.049999999999997" customHeight="1" x14ac:dyDescent="0.3">
      <c r="B629" s="236" t="s">
        <v>89</v>
      </c>
    </row>
    <row r="630" spans="2:2" ht="40.049999999999997" customHeight="1" x14ac:dyDescent="0.3">
      <c r="B630" s="236" t="s">
        <v>89</v>
      </c>
    </row>
    <row r="631" spans="2:2" ht="40.049999999999997" customHeight="1" x14ac:dyDescent="0.3">
      <c r="B631" s="236" t="s">
        <v>89</v>
      </c>
    </row>
    <row r="632" spans="2:2" ht="40.049999999999997" customHeight="1" x14ac:dyDescent="0.3">
      <c r="B632" s="236" t="s">
        <v>89</v>
      </c>
    </row>
    <row r="633" spans="2:2" ht="40.049999999999997" customHeight="1" x14ac:dyDescent="0.3">
      <c r="B633" s="236" t="s">
        <v>89</v>
      </c>
    </row>
    <row r="634" spans="2:2" ht="40.049999999999997" customHeight="1" x14ac:dyDescent="0.3">
      <c r="B634" s="236" t="s">
        <v>89</v>
      </c>
    </row>
    <row r="635" spans="2:2" ht="40.049999999999997" customHeight="1" x14ac:dyDescent="0.3">
      <c r="B635" s="236" t="s">
        <v>89</v>
      </c>
    </row>
    <row r="636" spans="2:2" ht="40.049999999999997" customHeight="1" x14ac:dyDescent="0.3">
      <c r="B636" s="236" t="s">
        <v>89</v>
      </c>
    </row>
    <row r="637" spans="2:2" ht="40.049999999999997" customHeight="1" x14ac:dyDescent="0.3">
      <c r="B637" s="236" t="s">
        <v>89</v>
      </c>
    </row>
    <row r="638" spans="2:2" ht="40.049999999999997" customHeight="1" x14ac:dyDescent="0.3">
      <c r="B638" s="236" t="s">
        <v>89</v>
      </c>
    </row>
    <row r="639" spans="2:2" ht="40.049999999999997" customHeight="1" x14ac:dyDescent="0.3">
      <c r="B639" s="236" t="s">
        <v>89</v>
      </c>
    </row>
    <row r="640" spans="2:2" ht="40.049999999999997" customHeight="1" x14ac:dyDescent="0.3">
      <c r="B640" s="236" t="s">
        <v>89</v>
      </c>
    </row>
    <row r="641" spans="2:2" ht="40.049999999999997" customHeight="1" x14ac:dyDescent="0.3">
      <c r="B641" s="236" t="s">
        <v>89</v>
      </c>
    </row>
    <row r="642" spans="2:2" ht="40.049999999999997" customHeight="1" x14ac:dyDescent="0.3">
      <c r="B642" s="236" t="s">
        <v>89</v>
      </c>
    </row>
    <row r="643" spans="2:2" ht="40.049999999999997" customHeight="1" x14ac:dyDescent="0.3">
      <c r="B643" s="236" t="s">
        <v>89</v>
      </c>
    </row>
    <row r="644" spans="2:2" ht="40.049999999999997" customHeight="1" x14ac:dyDescent="0.3">
      <c r="B644" s="236" t="s">
        <v>89</v>
      </c>
    </row>
    <row r="645" spans="2:2" ht="40.049999999999997" customHeight="1" x14ac:dyDescent="0.3">
      <c r="B645" s="236" t="s">
        <v>89</v>
      </c>
    </row>
    <row r="646" spans="2:2" ht="40.049999999999997" customHeight="1" x14ac:dyDescent="0.3">
      <c r="B646" s="236" t="s">
        <v>89</v>
      </c>
    </row>
    <row r="647" spans="2:2" ht="40.049999999999997" customHeight="1" x14ac:dyDescent="0.3">
      <c r="B647" s="236" t="s">
        <v>89</v>
      </c>
    </row>
    <row r="648" spans="2:2" ht="40.049999999999997" customHeight="1" x14ac:dyDescent="0.3">
      <c r="B648" s="236" t="s">
        <v>89</v>
      </c>
    </row>
    <row r="649" spans="2:2" ht="40.049999999999997" customHeight="1" x14ac:dyDescent="0.3">
      <c r="B649" s="236" t="s">
        <v>89</v>
      </c>
    </row>
    <row r="650" spans="2:2" ht="40.049999999999997" customHeight="1" x14ac:dyDescent="0.3">
      <c r="B650" s="236" t="s">
        <v>89</v>
      </c>
    </row>
    <row r="651" spans="2:2" ht="40.049999999999997" customHeight="1" x14ac:dyDescent="0.3">
      <c r="B651" s="236" t="s">
        <v>89</v>
      </c>
    </row>
  </sheetData>
  <sheetProtection sheet="1" objects="1" scenarios="1" selectLockedCells="1" selectUnlockedCells="1"/>
  <autoFilter ref="H2:S653" xr:uid="{00000000-0001-0000-0300-000000000000}"/>
  <mergeCells count="6">
    <mergeCell ref="A1:XFD1"/>
    <mergeCell ref="X2:AL2"/>
    <mergeCell ref="CP2:CQ2"/>
    <mergeCell ref="T2:U2"/>
    <mergeCell ref="W20:W22"/>
    <mergeCell ref="V2:W2"/>
  </mergeCells>
  <conditionalFormatting sqref="A3:C9997">
    <cfRule type="expression" dxfId="44" priority="19">
      <formula>EXACT($A3, "Daily")</formula>
    </cfRule>
    <cfRule type="expression" dxfId="43" priority="20">
      <formula>EXACT($A3, "Error")</formula>
    </cfRule>
    <cfRule type="expression" dxfId="42" priority="21">
      <formula>EXACT($A3, "Trial")</formula>
    </cfRule>
  </conditionalFormatting>
  <conditionalFormatting sqref="H3:H158">
    <cfRule type="colorScale" priority="37">
      <colorScale>
        <cfvo type="min"/>
        <cfvo type="percentile" val="50"/>
        <cfvo type="max"/>
        <color rgb="FFF8696B"/>
        <color rgb="FFFFEB84"/>
        <color rgb="FF63BE7B"/>
      </colorScale>
    </cfRule>
  </conditionalFormatting>
  <conditionalFormatting sqref="I3:I158">
    <cfRule type="colorScale" priority="29">
      <colorScale>
        <cfvo type="min"/>
        <cfvo type="max"/>
        <color rgb="FFFF7128"/>
        <color rgb="FFFFEF9C"/>
      </colorScale>
    </cfRule>
  </conditionalFormatting>
  <conditionalFormatting sqref="J4:J42">
    <cfRule type="colorScale" priority="2">
      <colorScale>
        <cfvo type="min"/>
        <cfvo type="percentile" val="50"/>
        <cfvo type="max"/>
        <color rgb="FFF8696B"/>
        <color rgb="FFFFEB84"/>
        <color rgb="FF63BE7B"/>
      </colorScale>
    </cfRule>
  </conditionalFormatting>
  <conditionalFormatting sqref="J44:J50">
    <cfRule type="colorScale" priority="1">
      <colorScale>
        <cfvo type="min"/>
        <cfvo type="percentile" val="50"/>
        <cfvo type="max"/>
        <color rgb="FFF8696B"/>
        <color rgb="FFFFEB84"/>
        <color rgb="FF63BE7B"/>
      </colorScale>
    </cfRule>
  </conditionalFormatting>
  <conditionalFormatting sqref="K4:K42">
    <cfRule type="colorScale" priority="3">
      <colorScale>
        <cfvo type="min"/>
        <cfvo type="percentile" val="50"/>
        <cfvo type="max"/>
        <color rgb="FFF8696B"/>
        <color rgb="FFFFEB84"/>
        <color rgb="FF63BE7B"/>
      </colorScale>
    </cfRule>
  </conditionalFormatting>
  <conditionalFormatting sqref="K44:K50">
    <cfRule type="colorScale" priority="4">
      <colorScale>
        <cfvo type="min"/>
        <cfvo type="percentile" val="50"/>
        <cfvo type="max"/>
        <color rgb="FFF8696B"/>
        <color rgb="FFFFEB84"/>
        <color rgb="FF63BE7B"/>
      </colorScale>
    </cfRule>
  </conditionalFormatting>
  <conditionalFormatting sqref="N3:N158">
    <cfRule type="colorScale" priority="32">
      <colorScale>
        <cfvo type="min"/>
        <cfvo type="percentile" val="50"/>
        <cfvo type="max"/>
        <color rgb="FF63BE7B"/>
        <color rgb="FFFFEB84"/>
        <color rgb="FFF8696B"/>
      </colorScale>
    </cfRule>
  </conditionalFormatting>
  <conditionalFormatting sqref="O3:O158">
    <cfRule type="colorScale" priority="28">
      <colorScale>
        <cfvo type="min"/>
        <cfvo type="max"/>
        <color rgb="FFFFEF9C"/>
        <color rgb="FFFF7128"/>
      </colorScale>
    </cfRule>
  </conditionalFormatting>
  <conditionalFormatting sqref="P3:P158">
    <cfRule type="colorScale" priority="27">
      <colorScale>
        <cfvo type="min"/>
        <cfvo type="max"/>
        <color rgb="FFFFEF9C"/>
        <color rgb="FFFF7128"/>
      </colorScale>
    </cfRule>
  </conditionalFormatting>
  <conditionalFormatting sqref="Q3:Q158">
    <cfRule type="colorScale" priority="36">
      <colorScale>
        <cfvo type="min"/>
        <cfvo type="percentile" val="50"/>
        <cfvo type="max"/>
        <color rgb="FF63BE7B"/>
        <color rgb="FFFFEB84"/>
        <color rgb="FFF8696B"/>
      </colorScale>
    </cfRule>
  </conditionalFormatting>
  <conditionalFormatting sqref="R3:R158">
    <cfRule type="colorScale" priority="26">
      <colorScale>
        <cfvo type="min"/>
        <cfvo type="max"/>
        <color rgb="FFFFEF9C"/>
        <color rgb="FFFF7128"/>
      </colorScale>
    </cfRule>
  </conditionalFormatting>
  <conditionalFormatting sqref="S3:S158">
    <cfRule type="colorScale" priority="25">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1516B4D-791E-4827-856C-FBC85B89B1BE}">
          <x14:formula1>
            <xm:f>'Data-Lists'!$C$4:$C$6</xm:f>
          </x14:formula1>
          <xm:sqref>A3:A247</xm:sqref>
        </x14:dataValidation>
        <x14:dataValidation type="list" allowBlank="1" showInputMessage="1" showErrorMessage="1" xr:uid="{F4BC56F2-84D9-4B3C-BB71-3376C10200A7}">
          <x14:formula1>
            <xm:f>'Data-Lists'!$F$4:$F$101</xm:f>
          </x14:formula1>
          <xm:sqref>F1:F1048576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4649-EFDA-431E-9141-7935EEC262D6}">
  <sheetPr>
    <tabColor rgb="FFFFCCCC"/>
  </sheetPr>
  <dimension ref="A1:AH651"/>
  <sheetViews>
    <sheetView showZeros="0" zoomScale="60" zoomScaleNormal="60" workbookViewId="0">
      <pane ySplit="2" topLeftCell="A3" activePane="bottomLeft" state="frozen"/>
      <selection activeCell="R17" sqref="R17"/>
      <selection pane="bottomLeft" sqref="A1:XFD1"/>
    </sheetView>
  </sheetViews>
  <sheetFormatPr defaultColWidth="8.6640625" defaultRowHeight="49.95" customHeight="1" x14ac:dyDescent="0.3"/>
  <cols>
    <col min="1" max="1" width="10.77734375" style="40" customWidth="1"/>
    <col min="2" max="2" width="15.77734375" style="106" customWidth="1"/>
    <col min="3" max="3" width="15.77734375" style="40" customWidth="1"/>
    <col min="4" max="4" width="15.77734375" style="41" customWidth="1"/>
    <col min="5" max="5" width="12.77734375" style="44" customWidth="1"/>
    <col min="6" max="6" width="12.77734375" style="40" customWidth="1"/>
    <col min="7" max="7" width="15.77734375" style="45" customWidth="1"/>
    <col min="8" max="8" width="15" style="40" customWidth="1"/>
    <col min="9" max="9" width="18.77734375" style="46" customWidth="1"/>
    <col min="10" max="15" width="15" style="40" customWidth="1"/>
    <col min="16" max="17" width="60.77734375" style="143" customWidth="1"/>
    <col min="18" max="19" width="8.6640625" style="40"/>
    <col min="20" max="20" width="8.6640625" style="43" customWidth="1"/>
    <col min="21" max="16384" width="8.6640625" style="40"/>
  </cols>
  <sheetData>
    <row r="1" spans="1:34" s="359" customFormat="1" ht="24.6" thickTop="1" thickBot="1" x14ac:dyDescent="0.5">
      <c r="A1" s="358" t="s">
        <v>311</v>
      </c>
    </row>
    <row r="2" spans="1:34" ht="49.95" customHeight="1" thickTop="1" thickBot="1" x14ac:dyDescent="0.35">
      <c r="A2" s="149" t="s">
        <v>85</v>
      </c>
      <c r="B2" s="151" t="s">
        <v>87</v>
      </c>
      <c r="C2" s="152" t="s">
        <v>31</v>
      </c>
      <c r="D2" s="153" t="s">
        <v>42</v>
      </c>
      <c r="E2" s="153" t="s">
        <v>43</v>
      </c>
      <c r="F2" s="156" t="s">
        <v>75</v>
      </c>
      <c r="G2" s="178" t="s">
        <v>225</v>
      </c>
      <c r="H2" s="175" t="s">
        <v>227</v>
      </c>
      <c r="I2" s="179" t="s">
        <v>228</v>
      </c>
      <c r="J2" s="175" t="s">
        <v>164</v>
      </c>
      <c r="K2" s="175" t="s">
        <v>165</v>
      </c>
      <c r="L2" s="175" t="s">
        <v>166</v>
      </c>
      <c r="M2" s="175" t="s">
        <v>167</v>
      </c>
      <c r="N2" s="175" t="s">
        <v>168</v>
      </c>
      <c r="O2" s="175" t="s">
        <v>169</v>
      </c>
      <c r="P2" s="161" t="s">
        <v>107</v>
      </c>
      <c r="Q2" s="162" t="s">
        <v>198</v>
      </c>
      <c r="S2" s="296" t="s">
        <v>171</v>
      </c>
      <c r="T2" s="297"/>
      <c r="U2" s="297"/>
      <c r="V2" s="297"/>
      <c r="W2" s="297"/>
      <c r="X2" s="297"/>
      <c r="Y2" s="297"/>
      <c r="Z2" s="297"/>
      <c r="AA2" s="297"/>
      <c r="AB2" s="297"/>
      <c r="AC2" s="297"/>
      <c r="AD2" s="297"/>
      <c r="AE2" s="297"/>
      <c r="AF2" s="297"/>
      <c r="AG2" s="297"/>
      <c r="AH2" s="297"/>
    </row>
    <row r="3" spans="1:34" ht="49.95" customHeight="1" x14ac:dyDescent="0.3">
      <c r="A3" s="103" t="str">
        <f>IF(C3&lt;&gt;"", "Error", "")</f>
        <v>Error</v>
      </c>
      <c r="B3" s="105" t="s">
        <v>122</v>
      </c>
      <c r="C3" s="5">
        <v>46234</v>
      </c>
      <c r="D3" s="31">
        <v>23.5</v>
      </c>
      <c r="E3" s="32">
        <v>0.85833333333333328</v>
      </c>
      <c r="F3" s="75" t="s">
        <v>76</v>
      </c>
      <c r="G3" s="36">
        <v>1000</v>
      </c>
      <c r="H3" s="7">
        <f>IF(COUNTBLANK($A3:$E3)&gt;0, "", IFERROR(AVERAGEIFS(Log!$E:$E, Log!$A:$A, $A3, Log!$B:$B, $B3, Log!$C:$C, $C3),""))</f>
        <v>1595.7222222222222</v>
      </c>
      <c r="I3" s="37">
        <f>IF(AND($H3&lt;&gt;"", $G3&lt;&gt;""), $H3/$G3, "")</f>
        <v>1.5957222222222223</v>
      </c>
      <c r="J3" s="6">
        <f>IF(COUNTBLANK($A3:$E3)&gt;0, "", IFERROR(AVERAGEIFS(Log!$F:$F, Log!$A:$A, $A3, Log!$B:$B, $B3, Log!$C:$C, $C3),""))</f>
        <v>0.33997577777777777</v>
      </c>
      <c r="K3" s="6">
        <f>IF(COUNTBLANK($A3:$E3)&gt;0, "", IFERROR(_xlfn.MINIFS(Log!$F:$F, Log!$A:$A, $A3, Log!$B:$B, $B3, Log!$C:$C, $C3),""))</f>
        <v>0.179396</v>
      </c>
      <c r="L3" s="6">
        <f>IF(COUNTBLANK($A3:$E3)&gt;0, "", IFERROR(_xlfn.MAXIFS(Log!$F:$F, Log!$A:$A, $A3, Log!$B:$B, $B3, Log!$C:$C, $C3),""))</f>
        <v>0.46051599999999998</v>
      </c>
      <c r="M3" s="6">
        <f>IF(COUNTBLANK($A3:$E3)&gt;0, "", IFERROR(AVERAGEIFS(Log!$G:$G, Log!$A:$A, $A3, Log!$B:$B, $B3, Log!$C:$C, $C3),""))</f>
        <v>8.2925216666666662E-2</v>
      </c>
      <c r="N3" s="6">
        <f>IF(COUNTBLANK($A3:$E3)&gt;0, "", IFERROR(_xlfn.MINIFS(Log!$G:$G, Log!$A:$A, $A3, Log!$B:$B, $B3, Log!$C:$C, $C3),""))</f>
        <v>4.7875099999999997E-2</v>
      </c>
      <c r="O3" s="6">
        <f>IF(COUNTBLANK($A3:$E3)&gt;0, "", IFERROR(_xlfn.MAXIFS(Log!$G:$G, Log!$A:$A, $A3, Log!$B:$B, $B3, Log!$C:$C, $C3),""))</f>
        <v>0.15438299999999999</v>
      </c>
      <c r="P3" s="143" t="s">
        <v>50</v>
      </c>
      <c r="Q3" s="143" t="s">
        <v>200</v>
      </c>
    </row>
    <row r="4" spans="1:34" ht="49.95" customHeight="1" x14ac:dyDescent="0.3">
      <c r="A4" s="103" t="str">
        <f t="shared" ref="A4:A67" si="0">IF(C4&lt;&gt;"", "Error", "")</f>
        <v>Error</v>
      </c>
      <c r="B4" s="105" t="s">
        <v>123</v>
      </c>
      <c r="C4" s="5">
        <v>46234</v>
      </c>
      <c r="D4" s="31">
        <v>23.5</v>
      </c>
      <c r="E4" s="32">
        <v>0.60138888888888886</v>
      </c>
      <c r="F4" s="75" t="s">
        <v>76</v>
      </c>
      <c r="G4" s="36">
        <v>1000</v>
      </c>
      <c r="H4" s="7">
        <f>IF(COUNTBLANK($A4:$E4)&gt;0, "", IFERROR(AVERAGEIFS(Log!$E:$E, Log!$A:$A, $A4, Log!$B:$B, $B4, Log!$C:$C, $C4),""))</f>
        <v>2021.0555555555557</v>
      </c>
      <c r="I4" s="37">
        <f t="shared" ref="I4:I67" si="1">IF(AND($H4&lt;&gt;"", $G4&lt;&gt;""), $H4/$G4, "")</f>
        <v>2.0210555555555558</v>
      </c>
      <c r="J4" s="6">
        <f>IF(COUNTBLANK($A4:$E4)&gt;0, "", IFERROR(AVERAGEIFS(Log!$F:$F, Log!$A:$A, $A4, Log!$B:$B, $B4, Log!$C:$C, $C4),""))</f>
        <v>0.35394088888888903</v>
      </c>
      <c r="K4" s="6">
        <f>IF(COUNTBLANK($A4:$E4)&gt;0, "", IFERROR(_xlfn.MINIFS(Log!$F:$F, Log!$A:$A, $A4, Log!$B:$B, $B4, Log!$C:$C, $C4),""))</f>
        <v>0.180475</v>
      </c>
      <c r="L4" s="6">
        <f>IF(COUNTBLANK($A4:$E4)&gt;0, "", IFERROR(_xlfn.MAXIFS(Log!$F:$F, Log!$A:$A, $A4, Log!$B:$B, $B4, Log!$C:$C, $C4),""))</f>
        <v>0.495338</v>
      </c>
      <c r="M4" s="6">
        <f>IF(COUNTBLANK($A4:$E4)&gt;0, "", IFERROR(AVERAGEIFS(Log!$G:$G, Log!$A:$A, $A4, Log!$B:$B, $B4, Log!$C:$C, $C4),""))</f>
        <v>8.5412650000000007E-2</v>
      </c>
      <c r="N4" s="6">
        <f>IF(COUNTBLANK($A4:$E4)&gt;0, "", IFERROR(_xlfn.MINIFS(Log!$G:$G, Log!$A:$A, $A4, Log!$B:$B, $B4, Log!$C:$C, $C4),""))</f>
        <v>5.1520099999999999E-2</v>
      </c>
      <c r="O4" s="6">
        <f>IF(COUNTBLANK($A4:$E4)&gt;0, "", IFERROR(_xlfn.MAXIFS(Log!$G:$G, Log!$A:$A, $A4, Log!$B:$B, $B4, Log!$C:$C, $C4),""))</f>
        <v>0.107513</v>
      </c>
      <c r="P4" s="144" t="s">
        <v>118</v>
      </c>
      <c r="S4" s="263" t="s">
        <v>93</v>
      </c>
      <c r="T4" s="263"/>
      <c r="U4"/>
      <c r="V4"/>
      <c r="W4"/>
      <c r="X4"/>
    </row>
    <row r="5" spans="1:34" ht="49.95" customHeight="1" x14ac:dyDescent="0.3">
      <c r="A5" s="103" t="str">
        <f t="shared" si="0"/>
        <v>Error</v>
      </c>
      <c r="B5" s="105" t="s">
        <v>124</v>
      </c>
      <c r="C5" s="5">
        <v>46237</v>
      </c>
      <c r="D5" s="31">
        <v>24.5</v>
      </c>
      <c r="E5" s="32">
        <v>0.50694444444444442</v>
      </c>
      <c r="F5" s="75" t="s">
        <v>76</v>
      </c>
      <c r="G5" s="36">
        <v>1000</v>
      </c>
      <c r="H5" s="7">
        <f>IF(COUNTBLANK($A5:$E5)&gt;0, "", IFERROR(AVERAGEIFS(Log!$E:$E, Log!$A:$A, $A5, Log!$B:$B, $B5, Log!$C:$C, $C5),""))</f>
        <v>2223.3888888888887</v>
      </c>
      <c r="I5" s="37">
        <f t="shared" si="1"/>
        <v>2.2233888888888886</v>
      </c>
      <c r="J5" s="6">
        <f>IF(COUNTBLANK($A5:$E5)&gt;0, "", IFERROR(AVERAGEIFS(Log!$F:$F, Log!$A:$A, $A5, Log!$B:$B, $B5, Log!$C:$C, $C5),""))</f>
        <v>0.31301488888888884</v>
      </c>
      <c r="K5" s="6">
        <f>IF(COUNTBLANK($A5:$E5)&gt;0, "", IFERROR(_xlfn.MINIFS(Log!$F:$F, Log!$A:$A, $A5, Log!$B:$B, $B5, Log!$C:$C, $C5),""))</f>
        <v>0.167988</v>
      </c>
      <c r="L5" s="6">
        <f>IF(COUNTBLANK($A5:$E5)&gt;0, "", IFERROR(_xlfn.MAXIFS(Log!$F:$F, Log!$A:$A, $A5, Log!$B:$B, $B5, Log!$C:$C, $C5),""))</f>
        <v>0.47886200000000001</v>
      </c>
      <c r="M5" s="6">
        <f>IF(COUNTBLANK($A5:$E5)&gt;0, "", IFERROR(AVERAGEIFS(Log!$G:$G, Log!$A:$A, $A5, Log!$B:$B, $B5, Log!$C:$C, $C5),""))</f>
        <v>7.651850555555556E-2</v>
      </c>
      <c r="N5" s="6">
        <f>IF(COUNTBLANK($A5:$E5)&gt;0, "", IFERROR(_xlfn.MINIFS(Log!$G:$G, Log!$A:$A, $A5, Log!$B:$B, $B5, Log!$C:$C, $C5),""))</f>
        <v>4.9786400000000001E-2</v>
      </c>
      <c r="O5" s="6">
        <f>IF(COUNTBLANK($A5:$E5)&gt;0, "", IFERROR(_xlfn.MAXIFS(Log!$G:$G, Log!$A:$A, $A5, Log!$B:$B, $B5, Log!$C:$C, $C5),""))</f>
        <v>0.12086</v>
      </c>
      <c r="P5" s="143" t="s">
        <v>56</v>
      </c>
      <c r="Q5" s="143" t="s">
        <v>53</v>
      </c>
      <c r="S5" s="306"/>
      <c r="T5" s="306"/>
      <c r="U5" s="307" t="s">
        <v>127</v>
      </c>
      <c r="V5" s="307"/>
      <c r="W5" s="307"/>
      <c r="X5" s="307"/>
      <c r="Y5" s="307"/>
    </row>
    <row r="6" spans="1:34" ht="49.95" customHeight="1" x14ac:dyDescent="0.3">
      <c r="A6" s="103" t="str">
        <f t="shared" si="0"/>
        <v>Error</v>
      </c>
      <c r="B6" s="105" t="s">
        <v>125</v>
      </c>
      <c r="C6" s="5">
        <v>46237</v>
      </c>
      <c r="D6" s="31">
        <v>25.5</v>
      </c>
      <c r="E6" s="32">
        <v>0.82291666666666663</v>
      </c>
      <c r="F6" s="75" t="s">
        <v>76</v>
      </c>
      <c r="G6" s="36">
        <v>1000</v>
      </c>
      <c r="H6" s="7">
        <f>IF(COUNTBLANK($A6:$E6)&gt;0, "", IFERROR(AVERAGEIFS(Log!$E:$E, Log!$A:$A, $A6, Log!$B:$B, $B6, Log!$C:$C, $C6),""))</f>
        <v>2320.8888888888887</v>
      </c>
      <c r="I6" s="37">
        <f t="shared" si="1"/>
        <v>2.3208888888888888</v>
      </c>
      <c r="J6" s="6">
        <f>IF(COUNTBLANK($A6:$E6)&gt;0, "", IFERROR(AVERAGEIFS(Log!$F:$F, Log!$A:$A, $A6, Log!$B:$B, $B6, Log!$C:$C, $C6),""))</f>
        <v>0.32503816666666663</v>
      </c>
      <c r="K6" s="6">
        <f>IF(COUNTBLANK($A6:$E6)&gt;0, "", IFERROR(_xlfn.MINIFS(Log!$F:$F, Log!$A:$A, $A6, Log!$B:$B, $B6, Log!$C:$C, $C6),""))</f>
        <v>0.18529899999999999</v>
      </c>
      <c r="L6" s="6">
        <f>IF(COUNTBLANK($A6:$E6)&gt;0, "", IFERROR(_xlfn.MAXIFS(Log!$F:$F, Log!$A:$A, $A6, Log!$B:$B, $B6, Log!$C:$C, $C6),""))</f>
        <v>0.44907000000000002</v>
      </c>
      <c r="M6" s="6">
        <f>IF(COUNTBLANK($A6:$E6)&gt;0, "", IFERROR(AVERAGEIFS(Log!$G:$G, Log!$A:$A, $A6, Log!$B:$B, $B6, Log!$C:$C, $C6),""))</f>
        <v>7.8212433333333331E-2</v>
      </c>
      <c r="N6" s="6">
        <f>IF(COUNTBLANK($A6:$E6)&gt;0, "", IFERROR(_xlfn.MINIFS(Log!$G:$G, Log!$A:$A, $A6, Log!$B:$B, $B6, Log!$C:$C, $C6),""))</f>
        <v>5.3656599999999999E-2</v>
      </c>
      <c r="O6" s="6">
        <f>IF(COUNTBLANK($A6:$E6)&gt;0, "", IFERROR(_xlfn.MAXIFS(Log!$G:$G, Log!$A:$A, $A6, Log!$B:$B, $B6, Log!$C:$C, $C6),""))</f>
        <v>0.111335</v>
      </c>
      <c r="P6" s="143" t="s">
        <v>55</v>
      </c>
      <c r="Q6" s="143" t="s">
        <v>54</v>
      </c>
      <c r="S6" s="308"/>
      <c r="T6" s="308"/>
      <c r="U6" s="307" t="s">
        <v>126</v>
      </c>
      <c r="V6" s="307"/>
      <c r="W6" s="307"/>
      <c r="X6" s="307"/>
      <c r="Y6" s="307"/>
    </row>
    <row r="7" spans="1:34" ht="49.95" customHeight="1" x14ac:dyDescent="0.3">
      <c r="A7" s="103" t="str">
        <f t="shared" si="0"/>
        <v>Error</v>
      </c>
      <c r="B7" s="105" t="s">
        <v>196</v>
      </c>
      <c r="C7" s="5">
        <v>46246</v>
      </c>
      <c r="D7" s="31">
        <v>24.5</v>
      </c>
      <c r="E7" s="32">
        <v>0.45277777777777778</v>
      </c>
      <c r="F7" s="75" t="s">
        <v>160</v>
      </c>
      <c r="G7" s="36">
        <v>1000</v>
      </c>
      <c r="H7" s="7">
        <f>IF(COUNTBLANK($A7:$E7)&gt;0, "", IFERROR(AVERAGEIFS(Log!$E:$E, Log!$A:$A, $A7, Log!$B:$B, $B7, Log!$C:$C, $C7),""))</f>
        <v>1584.0555555555557</v>
      </c>
      <c r="I7" s="37">
        <f t="shared" si="1"/>
        <v>1.5840555555555556</v>
      </c>
      <c r="J7" s="6">
        <f>IF(COUNTBLANK($A7:$E7)&gt;0, "", IFERROR(AVERAGEIFS(Log!$F:$F, Log!$A:$A, $A7, Log!$B:$B, $B7, Log!$C:$C, $C7),""))</f>
        <v>1.1960731666666669</v>
      </c>
      <c r="K7" s="6">
        <f>IF(COUNTBLANK($A7:$E7)&gt;0, "", IFERROR(_xlfn.MINIFS(Log!$F:$F, Log!$A:$A, $A7, Log!$B:$B, $B7, Log!$C:$C, $C7),""))</f>
        <v>0.18232300000000001</v>
      </c>
      <c r="L7" s="6">
        <f>IF(COUNTBLANK($A7:$E7)&gt;0, "", IFERROR(_xlfn.MAXIFS(Log!$F:$F, Log!$A:$A, $A7, Log!$B:$B, $B7, Log!$C:$C, $C7),""))</f>
        <v>3.2829299999999999</v>
      </c>
      <c r="M7" s="6">
        <f>IF(COUNTBLANK($A7:$E7)&gt;0, "", IFERROR(AVERAGEIFS(Log!$G:$G, Log!$A:$A, $A7, Log!$B:$B, $B7, Log!$C:$C, $C7),""))</f>
        <v>0.28135629444444438</v>
      </c>
      <c r="N7" s="6">
        <f>IF(COUNTBLANK($A7:$E7)&gt;0, "", IFERROR(_xlfn.MINIFS(Log!$G:$G, Log!$A:$A, $A7, Log!$B:$B, $B7, Log!$C:$C, $C7),""))</f>
        <v>5.8665799999999997E-2</v>
      </c>
      <c r="O7" s="6">
        <f>IF(COUNTBLANK($A7:$E7)&gt;0, "", IFERROR(_xlfn.MAXIFS(Log!$G:$G, Log!$A:$A, $A7, Log!$B:$B, $B7, Log!$C:$C, $C7),""))</f>
        <v>0.68048699999999995</v>
      </c>
      <c r="P7" s="143" t="s">
        <v>199</v>
      </c>
      <c r="Q7" s="163"/>
      <c r="S7" s="298"/>
      <c r="T7" s="299"/>
      <c r="U7" s="102" t="s">
        <v>92</v>
      </c>
      <c r="V7" s="102"/>
      <c r="W7" s="102"/>
      <c r="X7" s="102"/>
      <c r="Y7" s="102"/>
    </row>
    <row r="8" spans="1:34" ht="49.95" customHeight="1" x14ac:dyDescent="0.3">
      <c r="A8" s="103" t="str">
        <f t="shared" si="0"/>
        <v>Error</v>
      </c>
      <c r="B8" s="105" t="s">
        <v>249</v>
      </c>
      <c r="C8" s="5">
        <v>46248</v>
      </c>
      <c r="D8" s="31">
        <v>25.5</v>
      </c>
      <c r="E8" s="32">
        <v>0.48055555555555557</v>
      </c>
      <c r="F8" s="75" t="s">
        <v>245</v>
      </c>
      <c r="G8" s="36">
        <v>1000</v>
      </c>
      <c r="H8" s="7">
        <f>IF(COUNTBLANK($A8:$E8)&gt;0, "", IFERROR(AVERAGEIFS(Log!$E:$E, Log!$A:$A, $A8, Log!$B:$B, $B8, Log!$C:$C, $C8),""))</f>
        <v>1442.5555555555557</v>
      </c>
      <c r="I8" s="37">
        <f t="shared" si="1"/>
        <v>1.4425555555555556</v>
      </c>
      <c r="J8" s="6">
        <f>IF(COUNTBLANK($A8:$E8)&gt;0, "", IFERROR(AVERAGEIFS(Log!$F:$F, Log!$A:$A, $A8, Log!$B:$B, $B8, Log!$C:$C, $C8),""))</f>
        <v>0.42893455555555554</v>
      </c>
      <c r="K8" s="6">
        <f>IF(COUNTBLANK($A8:$E8)&gt;0, "", IFERROR(_xlfn.MINIFS(Log!$F:$F, Log!$A:$A, $A8, Log!$B:$B, $B8, Log!$C:$C, $C8),""))</f>
        <v>0.21645600000000001</v>
      </c>
      <c r="L8" s="6">
        <f>IF(COUNTBLANK($A8:$E8)&gt;0, "", IFERROR(_xlfn.MAXIFS(Log!$F:$F, Log!$A:$A, $A8, Log!$B:$B, $B8, Log!$C:$C, $C8),""))</f>
        <v>0.61155000000000004</v>
      </c>
      <c r="M8" s="6">
        <f>IF(COUNTBLANK($A8:$E8)&gt;0, "", IFERROR(AVERAGEIFS(Log!$G:$G, Log!$A:$A, $A8, Log!$B:$B, $B8, Log!$C:$C, $C8),""))</f>
        <v>0.10444114444444445</v>
      </c>
      <c r="N8" s="6">
        <f>IF(COUNTBLANK($A8:$E8)&gt;0, "", IFERROR(_xlfn.MINIFS(Log!$G:$G, Log!$A:$A, $A8, Log!$B:$B, $B8, Log!$C:$C, $C8),""))</f>
        <v>6.0905500000000001E-2</v>
      </c>
      <c r="O8" s="6">
        <f>IF(COUNTBLANK($A8:$E8)&gt;0, "", IFERROR(_xlfn.MAXIFS(Log!$G:$G, Log!$A:$A, $A8, Log!$B:$B, $B8, Log!$C:$C, $C8),""))</f>
        <v>0.14886199999999999</v>
      </c>
      <c r="P8" s="244" t="s">
        <v>248</v>
      </c>
      <c r="Q8" s="146" t="s">
        <v>246</v>
      </c>
      <c r="R8" s="6">
        <f>IF(COUNTBLANK($A8:$E8)&gt;0, "", IFERROR(_xlfn.MINIFS(Log!$G:$G, Log!$A:$A, $A8, Log!$B:$B, $B8, Log!$C:$C, $C8),""))</f>
        <v>6.0905500000000001E-2</v>
      </c>
      <c r="S8" s="6"/>
      <c r="T8" s="6">
        <f>IF($N8&lt;&gt;"", 'Daily Camera Trends'!$M$5, "")</f>
        <v>0.4150363317865432</v>
      </c>
      <c r="U8" s="6" t="e">
        <f>IF(#REF!&lt;&gt;"", 'Daily Camera Trends'!$N$5, "")</f>
        <v>#REF!</v>
      </c>
    </row>
    <row r="9" spans="1:34" ht="49.95" customHeight="1" x14ac:dyDescent="0.3">
      <c r="A9" s="103" t="str">
        <f t="shared" si="0"/>
        <v>Error</v>
      </c>
      <c r="B9" s="105" t="s">
        <v>286</v>
      </c>
      <c r="C9" s="5">
        <v>46254</v>
      </c>
      <c r="D9" s="31">
        <v>24.5</v>
      </c>
      <c r="E9" s="32">
        <v>0.77361111111111114</v>
      </c>
      <c r="F9" s="75" t="s">
        <v>158</v>
      </c>
      <c r="G9" s="36">
        <v>1000</v>
      </c>
      <c r="H9" s="7">
        <f>IF(COUNTBLANK($A9:$E9)&gt;0, "", IFERROR(AVERAGEIFS(Log!$E:$E, Log!$A:$A, $A9, Log!$B:$B, $B9, Log!$C:$C, $C9),""))</f>
        <v>1330.1666666666667</v>
      </c>
      <c r="I9" s="37">
        <f t="shared" si="1"/>
        <v>1.3301666666666667</v>
      </c>
      <c r="J9" s="6">
        <f>IF(COUNTBLANK($A9:$E9)&gt;0, "", IFERROR(AVERAGEIFS(Log!$F:$F, Log!$A:$A, $A9, Log!$B:$B, $B9, Log!$C:$C, $C9),""))</f>
        <v>0.53175849999999991</v>
      </c>
      <c r="K9" s="6">
        <f>IF(COUNTBLANK($A9:$E9)&gt;0, "", IFERROR(_xlfn.MINIFS(Log!$F:$F, Log!$A:$A, $A9, Log!$B:$B, $B9, Log!$C:$C, $C9),""))</f>
        <v>0.17479500000000001</v>
      </c>
      <c r="L9" s="6">
        <f>IF(COUNTBLANK($A9:$E9)&gt;0, "", IFERROR(_xlfn.MAXIFS(Log!$F:$F, Log!$A:$A, $A9, Log!$B:$B, $B9, Log!$C:$C, $C9),""))</f>
        <v>1.07755</v>
      </c>
      <c r="M9" s="6">
        <f>IF(COUNTBLANK($A9:$E9)&gt;0, "", IFERROR(AVERAGEIFS(Log!$G:$G, Log!$A:$A, $A9, Log!$B:$B, $B9, Log!$C:$C, $C9),""))</f>
        <v>0.13634817857142859</v>
      </c>
      <c r="N9" s="6">
        <f>IF(COUNTBLANK($A9:$E9)&gt;0, "", IFERROR(_xlfn.MINIFS(Log!$G:$G, Log!$A:$A, $A9, Log!$B:$B, $B9, Log!$C:$C, $C9),""))</f>
        <v>5.0874000000000003E-2</v>
      </c>
      <c r="O9" s="6">
        <f>IF(COUNTBLANK($A9:$E9)&gt;0, "", IFERROR(_xlfn.MAXIFS(Log!$G:$G, Log!$A:$A, $A9, Log!$B:$B, $B9, Log!$C:$C, $C9),""))</f>
        <v>0.225942</v>
      </c>
      <c r="P9" s="143" t="s">
        <v>290</v>
      </c>
      <c r="Q9" s="143" t="s">
        <v>285</v>
      </c>
      <c r="S9" s="303" t="s">
        <v>72</v>
      </c>
      <c r="T9" s="304"/>
      <c r="U9" s="304"/>
      <c r="V9" s="304"/>
      <c r="W9" s="304"/>
      <c r="X9" s="304"/>
      <c r="Y9" s="305"/>
      <c r="Z9" s="116"/>
    </row>
    <row r="10" spans="1:34" ht="49.95" customHeight="1" x14ac:dyDescent="0.3">
      <c r="A10" s="103" t="str">
        <f t="shared" si="0"/>
        <v>Error</v>
      </c>
      <c r="B10" s="105" t="s">
        <v>303</v>
      </c>
      <c r="C10" s="5">
        <v>46255</v>
      </c>
      <c r="D10" s="246">
        <v>0</v>
      </c>
      <c r="E10" s="32">
        <v>0.82291666666666663</v>
      </c>
      <c r="F10" s="75" t="s">
        <v>245</v>
      </c>
      <c r="G10" s="36">
        <v>1000</v>
      </c>
      <c r="H10" s="7">
        <f>IF(COUNTBLANK($A10:$E10)&gt;0, "", IFERROR(AVERAGEIFS(Log!$E:$E, Log!$A:$A, $A10, Log!$B:$B, $B10, Log!$C:$C, $C10),""))</f>
        <v>1586.2222222222222</v>
      </c>
      <c r="I10" s="37">
        <f t="shared" si="1"/>
        <v>1.5862222222222222</v>
      </c>
      <c r="J10" s="6">
        <f>IF(COUNTBLANK($A10:$E10)&gt;0, "", IFERROR(AVERAGEIFS(Log!$F:$F, Log!$A:$A, $A10, Log!$B:$B, $B10, Log!$C:$C, $C10),""))</f>
        <v>1.9933164999999999</v>
      </c>
      <c r="K10" s="6">
        <f>IF(COUNTBLANK($A10:$E10)&gt;0, "", IFERROR(_xlfn.MINIFS(Log!$F:$F, Log!$A:$A, $A10, Log!$B:$B, $B10, Log!$C:$C, $C10),""))</f>
        <v>0.362595</v>
      </c>
      <c r="L10" s="6">
        <f>IF(COUNTBLANK($A10:$E10)&gt;0, "", IFERROR(_xlfn.MAXIFS(Log!$F:$F, Log!$A:$A, $A10, Log!$B:$B, $B10, Log!$C:$C, $C10),""))</f>
        <v>8.08371</v>
      </c>
      <c r="M10" s="6">
        <f>IF(COUNTBLANK($A10:$E10)&gt;0, "", IFERROR(AVERAGEIFS(Log!$G:$G, Log!$A:$A, $A10, Log!$B:$B, $B10, Log!$C:$C, $C10),""))</f>
        <v>0.46639344444444436</v>
      </c>
      <c r="N10" s="6">
        <f>IF(COUNTBLANK($A10:$E10)&gt;0, "", IFERROR(_xlfn.MINIFS(Log!$G:$G, Log!$A:$A, $A10, Log!$B:$B, $B10, Log!$C:$C, $C10),""))</f>
        <v>0.1172</v>
      </c>
      <c r="O10" s="6">
        <f>IF(COUNTBLANK($A10:$E10)&gt;0, "", IFERROR(_xlfn.MAXIFS(Log!$G:$G, Log!$A:$A, $A10, Log!$B:$B, $B10, Log!$C:$C, $C10),""))</f>
        <v>1.8996200000000001</v>
      </c>
      <c r="P10" s="143" t="s">
        <v>304</v>
      </c>
      <c r="Q10" s="143" t="s">
        <v>291</v>
      </c>
      <c r="S10" s="300" t="s">
        <v>111</v>
      </c>
      <c r="T10" s="301"/>
      <c r="U10" s="301"/>
      <c r="V10" s="301"/>
      <c r="W10" s="301"/>
      <c r="X10" s="301"/>
      <c r="Y10" s="301"/>
      <c r="Z10" s="302"/>
    </row>
    <row r="11" spans="1:34" ht="49.95" customHeight="1" x14ac:dyDescent="0.3">
      <c r="A11" s="103" t="str">
        <f t="shared" si="0"/>
        <v/>
      </c>
      <c r="B11" s="105"/>
      <c r="C11" s="5"/>
      <c r="D11" s="31"/>
      <c r="E11" s="32"/>
      <c r="G11" s="36"/>
      <c r="H11" s="7" t="str">
        <f>IF(COUNTBLANK($A11:$E11)&gt;0, "", IFERROR(AVERAGEIFS(Log!$E:$E, Log!$A:$A, $A11, Log!$B:$B, $B11, Log!$C:$C, $C11),""))</f>
        <v/>
      </c>
      <c r="I11" s="37" t="str">
        <f t="shared" si="1"/>
        <v/>
      </c>
      <c r="J11" s="6" t="str">
        <f>IF(COUNTBLANK($A11:$E11)&gt;0, "", IFERROR(AVERAGEIFS(Log!#REF!, Log!$A:$A, $A11, Log!$B:$B, $B11, Log!$C:$C, $C11),""))</f>
        <v/>
      </c>
      <c r="K11" s="6" t="str">
        <f>IF(COUNTBLANK($A11:$E11)&gt;0, "", IFERROR(_xlfn.MINIFS(Log!$F:$F, Log!$A:$A, $A11, Log!$B:$B, $B11, Log!$C:$C, $C11),""))</f>
        <v/>
      </c>
      <c r="L11" s="6" t="str">
        <f>IF(COUNTBLANK($A11:$E11)&gt;0, "", IFERROR(_xlfn.MAXIFS(Log!$F:$F, Log!$A:$A, $A11, Log!$B:$B, $B11, Log!$C:$C, $C11),""))</f>
        <v/>
      </c>
      <c r="M11" s="6" t="str">
        <f>IF(COUNTBLANK($A11:$E11)&gt;0, "", IFERROR(AVERAGEIFS(Log!#REF!, Log!$A:$A, $A11, Log!$B:$B, $B11, Log!$C:$C, $C11),""))</f>
        <v/>
      </c>
      <c r="N11" s="6" t="str">
        <f>IF(COUNTBLANK($A11:$E11)&gt;0, "", IFERROR(_xlfn.MINIFS(Log!$G:$G, Log!$A:$A, $A11, Log!$B:$B, $B11, Log!$C:$C, $C11),""))</f>
        <v/>
      </c>
      <c r="O11" s="6" t="str">
        <f>IF(COUNTBLANK($A11:$E11)&gt;0, "", IFERROR(_xlfn.MAXIFS(Log!$G:$G, Log!$A:$A, $A11, Log!$B:$B, $B11, Log!$C:$C, $C11),""))</f>
        <v/>
      </c>
    </row>
    <row r="12" spans="1:34" ht="49.95" customHeight="1" x14ac:dyDescent="0.3">
      <c r="A12" s="103" t="str">
        <f t="shared" si="0"/>
        <v/>
      </c>
      <c r="B12" s="105"/>
      <c r="C12" s="5"/>
      <c r="D12" s="31"/>
      <c r="E12" s="32"/>
      <c r="G12" s="36"/>
      <c r="H12" s="7" t="str">
        <f>IF(COUNTBLANK($A12:$E12)&gt;0, "", IFERROR(AVERAGEIFS(Log!$E:$E, Log!$A:$A, $A12, Log!$B:$B, $B12, Log!$C:$C, $C12),""))</f>
        <v/>
      </c>
      <c r="I12" s="37" t="str">
        <f t="shared" si="1"/>
        <v/>
      </c>
      <c r="J12" s="6" t="str">
        <f>IF(COUNTBLANK($A12:$E12)&gt;0, "", IFERROR(AVERAGEIFS(Log!#REF!, Log!$A:$A, $A12, Log!$B:$B, $B12, Log!$C:$C, $C12),""))</f>
        <v/>
      </c>
      <c r="K12" s="6" t="str">
        <f>IF(COUNTBLANK($A12:$E12)&gt;0, "", IFERROR(_xlfn.MINIFS(Log!$F:$F, Log!$A:$A, $A12, Log!$B:$B, $B12, Log!$C:$C, $C12),""))</f>
        <v/>
      </c>
      <c r="L12" s="6" t="str">
        <f>IF(COUNTBLANK($A12:$E12)&gt;0, "", IFERROR(_xlfn.MAXIFS(Log!$F:$F, Log!$A:$A, $A12, Log!$B:$B, $B12, Log!$C:$C, $C12),""))</f>
        <v/>
      </c>
      <c r="M12" s="6" t="str">
        <f>IF(COUNTBLANK($A12:$E12)&gt;0, "", IFERROR(AVERAGEIFS(Log!#REF!, Log!$A:$A, $A12, Log!$B:$B, $B12, Log!$C:$C, $C12),""))</f>
        <v/>
      </c>
      <c r="N12" s="6" t="str">
        <f>IF(COUNTBLANK($A12:$E12)&gt;0, "", IFERROR(_xlfn.MINIFS(Log!$G:$G, Log!$A:$A, $A12, Log!$B:$B, $B12, Log!$C:$C, $C12),""))</f>
        <v/>
      </c>
      <c r="O12" s="6" t="str">
        <f>IF(COUNTBLANK($A12:$E12)&gt;0, "", IFERROR(_xlfn.MAXIFS(Log!$G:$G, Log!$A:$A, $A12, Log!$B:$B, $B12, Log!$C:$C, $C12),""))</f>
        <v/>
      </c>
      <c r="T12" s="40"/>
    </row>
    <row r="13" spans="1:34" ht="49.95" customHeight="1" x14ac:dyDescent="0.3">
      <c r="A13" s="103" t="str">
        <f t="shared" si="0"/>
        <v/>
      </c>
      <c r="B13" s="105"/>
      <c r="C13" s="5"/>
      <c r="D13" s="31"/>
      <c r="E13" s="32"/>
      <c r="G13" s="36"/>
      <c r="H13" s="7" t="str">
        <f>IF(COUNTBLANK($A13:$E13)&gt;0, "", IFERROR(AVERAGEIFS(Log!$E:$E, Log!$A:$A, $A13, Log!$B:$B, $B13, Log!$C:$C, $C13),""))</f>
        <v/>
      </c>
      <c r="I13" s="37" t="str">
        <f t="shared" si="1"/>
        <v/>
      </c>
      <c r="J13" s="6" t="str">
        <f>IF(COUNTBLANK($A13:$E13)&gt;0, "", IFERROR(AVERAGEIFS(Log!#REF!, Log!$A:$A, $A13, Log!$B:$B, $B13, Log!$C:$C, $C13),""))</f>
        <v/>
      </c>
      <c r="K13" s="6" t="str">
        <f>IF(COUNTBLANK($A13:$E13)&gt;0, "", IFERROR(_xlfn.MINIFS(Log!$F:$F, Log!$A:$A, $A13, Log!$B:$B, $B13, Log!$C:$C, $C13),""))</f>
        <v/>
      </c>
      <c r="L13" s="6" t="str">
        <f>IF(COUNTBLANK($A13:$E13)&gt;0, "", IFERROR(_xlfn.MAXIFS(Log!$F:$F, Log!$A:$A, $A13, Log!$B:$B, $B13, Log!$C:$C, $C13),""))</f>
        <v/>
      </c>
      <c r="M13" s="6" t="str">
        <f>IF(COUNTBLANK($A13:$E13)&gt;0, "", IFERROR(AVERAGEIFS(Log!#REF!, Log!$A:$A, $A13, Log!$B:$B, $B13, Log!$C:$C, $C13),""))</f>
        <v/>
      </c>
      <c r="N13" s="6" t="str">
        <f>IF(COUNTBLANK($A13:$E13)&gt;0, "", IFERROR(_xlfn.MINIFS(Log!$G:$G, Log!$A:$A, $A13, Log!$B:$B, $B13, Log!$C:$C, $C13),""))</f>
        <v/>
      </c>
      <c r="O13" s="6" t="str">
        <f>IF(COUNTBLANK($A13:$E13)&gt;0, "", IFERROR(_xlfn.MAXIFS(Log!$G:$G, Log!$A:$A, $A13, Log!$B:$B, $B13, Log!$C:$C, $C13),""))</f>
        <v/>
      </c>
    </row>
    <row r="14" spans="1:34" ht="49.95" customHeight="1" x14ac:dyDescent="0.3">
      <c r="A14" s="103" t="str">
        <f t="shared" si="0"/>
        <v/>
      </c>
      <c r="B14" s="105"/>
      <c r="C14" s="5"/>
      <c r="D14" s="31"/>
      <c r="E14" s="32"/>
      <c r="G14" s="36"/>
      <c r="H14" s="7" t="str">
        <f>IF(COUNTBLANK($A14:$E14)&gt;0, "", IFERROR(AVERAGEIFS(Log!$E:$E, Log!$A:$A, $A14, Log!$B:$B, $B14, Log!$C:$C, $C14),""))</f>
        <v/>
      </c>
      <c r="I14" s="37" t="str">
        <f t="shared" si="1"/>
        <v/>
      </c>
      <c r="J14" s="6" t="str">
        <f>IF(COUNTBLANK($A14:$E14)&gt;0, "", IFERROR(AVERAGEIFS(Log!#REF!, Log!$A:$A, $A14, Log!$B:$B, $B14, Log!$C:$C, $C14),""))</f>
        <v/>
      </c>
      <c r="K14" s="6" t="str">
        <f>IF(COUNTBLANK($A14:$E14)&gt;0, "", IFERROR(_xlfn.MINIFS(Log!$F:$F, Log!$A:$A, $A14, Log!$B:$B, $B14, Log!$C:$C, $C14),""))</f>
        <v/>
      </c>
      <c r="L14" s="6" t="str">
        <f>IF(COUNTBLANK($A14:$E14)&gt;0, "", IFERROR(_xlfn.MAXIFS(Log!$F:$F, Log!$A:$A, $A14, Log!$B:$B, $B14, Log!$C:$C, $C14),""))</f>
        <v/>
      </c>
      <c r="M14" s="6" t="str">
        <f>IF(COUNTBLANK($A14:$E14)&gt;0, "", IFERROR(AVERAGEIFS(Log!#REF!, Log!$A:$A, $A14, Log!$B:$B, $B14, Log!$C:$C, $C14),""))</f>
        <v/>
      </c>
      <c r="N14" s="6" t="str">
        <f>IF(COUNTBLANK($A14:$E14)&gt;0, "", IFERROR(_xlfn.MINIFS(Log!$G:$G, Log!$A:$A, $A14, Log!$B:$B, $B14, Log!$C:$C, $C14),""))</f>
        <v/>
      </c>
      <c r="O14" s="6" t="str">
        <f>IF(COUNTBLANK($A14:$E14)&gt;0, "", IFERROR(_xlfn.MAXIFS(Log!$G:$G, Log!$A:$A, $A14, Log!$B:$B, $B14, Log!$C:$C, $C14),""))</f>
        <v/>
      </c>
    </row>
    <row r="15" spans="1:34" ht="49.95" customHeight="1" x14ac:dyDescent="0.3">
      <c r="A15" s="103" t="str">
        <f t="shared" si="0"/>
        <v/>
      </c>
      <c r="B15" s="105"/>
      <c r="C15" s="5"/>
      <c r="D15" s="31"/>
      <c r="E15" s="32"/>
      <c r="G15" s="36"/>
      <c r="H15" s="7" t="str">
        <f>IF(COUNTBLANK($A15:$E15)&gt;0, "", IFERROR(AVERAGEIFS(Log!$E:$E, Log!$A:$A, $A15, Log!$B:$B, $B15, Log!$C:$C, $C15),""))</f>
        <v/>
      </c>
      <c r="I15" s="37" t="str">
        <f t="shared" si="1"/>
        <v/>
      </c>
      <c r="J15" s="6" t="str">
        <f>IF(COUNTBLANK($A15:$E15)&gt;0, "", IFERROR(AVERAGEIFS(Log!#REF!, Log!$A:$A, $A15, Log!$B:$B, $B15, Log!$C:$C, $C15),""))</f>
        <v/>
      </c>
      <c r="K15" s="6" t="str">
        <f>IF(COUNTBLANK($A15:$E15)&gt;0, "", IFERROR(_xlfn.MINIFS(Log!$F:$F, Log!$A:$A, $A15, Log!$B:$B, $B15, Log!$C:$C, $C15),""))</f>
        <v/>
      </c>
      <c r="L15" s="6" t="str">
        <f>IF(COUNTBLANK($A15:$E15)&gt;0, "", IFERROR(_xlfn.MAXIFS(Log!$F:$F, Log!$A:$A, $A15, Log!$B:$B, $B15, Log!$C:$C, $C15),""))</f>
        <v/>
      </c>
      <c r="M15" s="6" t="str">
        <f>IF(COUNTBLANK($A15:$E15)&gt;0, "", IFERROR(AVERAGEIFS(Log!#REF!, Log!$A:$A, $A15, Log!$B:$B, $B15, Log!$C:$C, $C15),""))</f>
        <v/>
      </c>
      <c r="N15" s="6" t="str">
        <f>IF(COUNTBLANK($A15:$E15)&gt;0, "", IFERROR(_xlfn.MINIFS(Log!$G:$G, Log!$A:$A, $A15, Log!$B:$B, $B15, Log!$C:$C, $C15),""))</f>
        <v/>
      </c>
      <c r="O15" s="6" t="str">
        <f>IF(COUNTBLANK($A15:$E15)&gt;0, "", IFERROR(_xlfn.MAXIFS(Log!$G:$G, Log!$A:$A, $A15, Log!$B:$B, $B15, Log!$C:$C, $C15),""))</f>
        <v/>
      </c>
    </row>
    <row r="16" spans="1:34" ht="49.95" customHeight="1" x14ac:dyDescent="0.3">
      <c r="A16" s="103" t="str">
        <f t="shared" si="0"/>
        <v/>
      </c>
      <c r="B16" s="105"/>
      <c r="C16" s="5"/>
      <c r="D16" s="31"/>
      <c r="E16" s="32"/>
      <c r="G16" s="36"/>
      <c r="H16" s="7" t="str">
        <f>IF(COUNTBLANK($A16:$E16)&gt;0, "", IFERROR(AVERAGEIFS(Log!$E:$E, Log!$A:$A, $A16, Log!$B:$B, $B16, Log!$C:$C, $C16),""))</f>
        <v/>
      </c>
      <c r="I16" s="37" t="str">
        <f t="shared" si="1"/>
        <v/>
      </c>
      <c r="J16" s="6" t="str">
        <f>IF(COUNTBLANK($A16:$E16)&gt;0, "", IFERROR(AVERAGEIFS(Log!#REF!, Log!$A:$A, $A16, Log!$B:$B, $B16, Log!$C:$C, $C16),""))</f>
        <v/>
      </c>
      <c r="K16" s="6" t="str">
        <f>IF(COUNTBLANK($A16:$E16)&gt;0, "", IFERROR(_xlfn.MINIFS(Log!$F:$F, Log!$A:$A, $A16, Log!$B:$B, $B16, Log!$C:$C, $C16),""))</f>
        <v/>
      </c>
      <c r="L16" s="6" t="str">
        <f>IF(COUNTBLANK($A16:$E16)&gt;0, "", IFERROR(_xlfn.MAXIFS(Log!$F:$F, Log!$A:$A, $A16, Log!$B:$B, $B16, Log!$C:$C, $C16),""))</f>
        <v/>
      </c>
      <c r="M16" s="6" t="str">
        <f>IF(COUNTBLANK($A16:$E16)&gt;0, "", IFERROR(AVERAGEIFS(Log!#REF!, Log!$A:$A, $A16, Log!$B:$B, $B16, Log!$C:$C, $C16),""))</f>
        <v/>
      </c>
      <c r="N16" s="6" t="str">
        <f>IF(COUNTBLANK($A16:$E16)&gt;0, "", IFERROR(_xlfn.MINIFS(Log!$G:$G, Log!$A:$A, $A16, Log!$B:$B, $B16, Log!$C:$C, $C16),""))</f>
        <v/>
      </c>
      <c r="O16" s="6" t="str">
        <f>IF(COUNTBLANK($A16:$E16)&gt;0, "", IFERROR(_xlfn.MAXIFS(Log!$G:$G, Log!$A:$A, $A16, Log!$B:$B, $B16, Log!$C:$C, $C16),""))</f>
        <v/>
      </c>
      <c r="T16" s="40"/>
    </row>
    <row r="17" spans="1:20" ht="49.95" customHeight="1" x14ac:dyDescent="0.3">
      <c r="A17" s="103" t="str">
        <f t="shared" si="0"/>
        <v/>
      </c>
      <c r="B17" s="105"/>
      <c r="C17" s="5"/>
      <c r="D17" s="31"/>
      <c r="E17" s="32"/>
      <c r="G17" s="36"/>
      <c r="H17" s="7" t="str">
        <f>IF(COUNTBLANK($A17:$E17)&gt;0, "", IFERROR(AVERAGEIFS(Log!$E:$E, Log!$A:$A, $A17, Log!$B:$B, $B17, Log!$C:$C, $C17),""))</f>
        <v/>
      </c>
      <c r="I17" s="37" t="str">
        <f t="shared" si="1"/>
        <v/>
      </c>
      <c r="J17" s="6" t="str">
        <f>IF(COUNTBLANK($A17:$E17)&gt;0, "", IFERROR(AVERAGEIFS(Log!#REF!, Log!$A:$A, $A17, Log!$B:$B, $B17, Log!$C:$C, $C17),""))</f>
        <v/>
      </c>
      <c r="K17" s="6" t="str">
        <f>IF(COUNTBLANK($A17:$E17)&gt;0, "", IFERROR(_xlfn.MINIFS(Log!$F:$F, Log!$A:$A, $A17, Log!$B:$B, $B17, Log!$C:$C, $C17),""))</f>
        <v/>
      </c>
      <c r="L17" s="6" t="str">
        <f>IF(COUNTBLANK($A17:$E17)&gt;0, "", IFERROR(_xlfn.MAXIFS(Log!$F:$F, Log!$A:$A, $A17, Log!$B:$B, $B17, Log!$C:$C, $C17),""))</f>
        <v/>
      </c>
      <c r="M17" s="6" t="str">
        <f>IF(COUNTBLANK($A17:$E17)&gt;0, "", IFERROR(AVERAGEIFS(Log!#REF!, Log!$A:$A, $A17, Log!$B:$B, $B17, Log!$C:$C, $C17),""))</f>
        <v/>
      </c>
      <c r="N17" s="6" t="str">
        <f>IF(COUNTBLANK($A17:$E17)&gt;0, "", IFERROR(_xlfn.MINIFS(Log!$G:$G, Log!$A:$A, $A17, Log!$B:$B, $B17, Log!$C:$C, $C17),""))</f>
        <v/>
      </c>
      <c r="O17" s="6" t="str">
        <f>IF(COUNTBLANK($A17:$E17)&gt;0, "", IFERROR(_xlfn.MAXIFS(Log!$G:$G, Log!$A:$A, $A17, Log!$B:$B, $B17, Log!$C:$C, $C17),""))</f>
        <v/>
      </c>
      <c r="T17" s="40"/>
    </row>
    <row r="18" spans="1:20" ht="49.95" customHeight="1" x14ac:dyDescent="0.3">
      <c r="A18" s="103" t="str">
        <f t="shared" si="0"/>
        <v/>
      </c>
      <c r="B18" s="105"/>
      <c r="C18" s="5"/>
      <c r="D18" s="31"/>
      <c r="E18" s="32"/>
      <c r="G18" s="36"/>
      <c r="H18" s="7" t="str">
        <f>IF(COUNTBLANK($A18:$E18)&gt;0, "", IFERROR(AVERAGEIFS(Log!$E:$E, Log!$A:$A, $A18, Log!$B:$B, $B18, Log!$C:$C, $C18),""))</f>
        <v/>
      </c>
      <c r="I18" s="37" t="str">
        <f t="shared" si="1"/>
        <v/>
      </c>
      <c r="J18" s="6" t="str">
        <f>IF(COUNTBLANK($A18:$E18)&gt;0, "", IFERROR(AVERAGEIFS(Log!#REF!, Log!$A:$A, $A18, Log!$B:$B, $B18, Log!$C:$C, $C18),""))</f>
        <v/>
      </c>
      <c r="K18" s="6" t="str">
        <f>IF(COUNTBLANK($A18:$E18)&gt;0, "", IFERROR(_xlfn.MINIFS(Log!$F:$F, Log!$A:$A, $A18, Log!$B:$B, $B18, Log!$C:$C, $C18),""))</f>
        <v/>
      </c>
      <c r="L18" s="6" t="str">
        <f>IF(COUNTBLANK($A18:$E18)&gt;0, "", IFERROR(_xlfn.MAXIFS(Log!$F:$F, Log!$A:$A, $A18, Log!$B:$B, $B18, Log!$C:$C, $C18),""))</f>
        <v/>
      </c>
      <c r="M18" s="6" t="str">
        <f>IF(COUNTBLANK($A18:$E18)&gt;0, "", IFERROR(AVERAGEIFS(Log!#REF!, Log!$A:$A, $A18, Log!$B:$B, $B18, Log!$C:$C, $C18),""))</f>
        <v/>
      </c>
      <c r="N18" s="6" t="str">
        <f>IF(COUNTBLANK($A18:$E18)&gt;0, "", IFERROR(_xlfn.MINIFS(Log!$G:$G, Log!$A:$A, $A18, Log!$B:$B, $B18, Log!$C:$C, $C18),""))</f>
        <v/>
      </c>
      <c r="O18" s="6" t="str">
        <f>IF(COUNTBLANK($A18:$E18)&gt;0, "", IFERROR(_xlfn.MAXIFS(Log!$G:$G, Log!$A:$A, $A18, Log!$B:$B, $B18, Log!$C:$C, $C18),""))</f>
        <v/>
      </c>
    </row>
    <row r="19" spans="1:20" ht="49.95" customHeight="1" x14ac:dyDescent="0.3">
      <c r="A19" s="103" t="str">
        <f t="shared" si="0"/>
        <v/>
      </c>
      <c r="B19" s="105"/>
      <c r="C19" s="5"/>
      <c r="D19" s="31"/>
      <c r="E19" s="32"/>
      <c r="G19" s="36"/>
      <c r="H19" s="7" t="str">
        <f>IF(COUNTBLANK($A19:$E19)&gt;0, "", IFERROR(AVERAGEIFS(Log!$E:$E, Log!$A:$A, $A19, Log!$B:$B, $B19, Log!$C:$C, $C19),""))</f>
        <v/>
      </c>
      <c r="I19" s="37" t="str">
        <f t="shared" si="1"/>
        <v/>
      </c>
      <c r="J19" s="6" t="str">
        <f>IF(COUNTBLANK($A19:$E19)&gt;0, "", IFERROR(AVERAGEIFS(Log!#REF!, Log!$A:$A, $A19, Log!$B:$B, $B19, Log!$C:$C, $C19),""))</f>
        <v/>
      </c>
      <c r="K19" s="6" t="str">
        <f>IF(COUNTBLANK($A19:$E19)&gt;0, "", IFERROR(_xlfn.MINIFS(Log!$F:$F, Log!$A:$A, $A19, Log!$B:$B, $B19, Log!$C:$C, $C19),""))</f>
        <v/>
      </c>
      <c r="L19" s="6" t="str">
        <f>IF(COUNTBLANK($A19:$E19)&gt;0, "", IFERROR(_xlfn.MAXIFS(Log!$F:$F, Log!$A:$A, $A19, Log!$B:$B, $B19, Log!$C:$C, $C19),""))</f>
        <v/>
      </c>
      <c r="M19" s="6" t="str">
        <f>IF(COUNTBLANK($A19:$E19)&gt;0, "", IFERROR(AVERAGEIFS(Log!#REF!, Log!$A:$A, $A19, Log!$B:$B, $B19, Log!$C:$C, $C19),""))</f>
        <v/>
      </c>
      <c r="N19" s="6" t="str">
        <f>IF(COUNTBLANK($A19:$E19)&gt;0, "", IFERROR(_xlfn.MINIFS(Log!$G:$G, Log!$A:$A, $A19, Log!$B:$B, $B19, Log!$C:$C, $C19),""))</f>
        <v/>
      </c>
      <c r="O19" s="6" t="str">
        <f>IF(COUNTBLANK($A19:$E19)&gt;0, "", IFERROR(_xlfn.MAXIFS(Log!$G:$G, Log!$A:$A, $A19, Log!$B:$B, $B19, Log!$C:$C, $C19),""))</f>
        <v/>
      </c>
      <c r="T19" s="40"/>
    </row>
    <row r="20" spans="1:20" ht="49.95" customHeight="1" x14ac:dyDescent="0.3">
      <c r="A20" s="103" t="str">
        <f t="shared" si="0"/>
        <v/>
      </c>
      <c r="B20" s="105"/>
      <c r="C20" s="5"/>
      <c r="D20" s="31"/>
      <c r="E20" s="32"/>
      <c r="G20" s="36"/>
      <c r="H20" s="7" t="str">
        <f>IF(COUNTBLANK($A20:$E20)&gt;0, "", IFERROR(AVERAGEIFS(Log!$E:$E, Log!$A:$A, $A20, Log!$B:$B, $B20, Log!$C:$C, $C20),""))</f>
        <v/>
      </c>
      <c r="I20" s="37" t="str">
        <f t="shared" si="1"/>
        <v/>
      </c>
      <c r="J20" s="6" t="str">
        <f>IF(COUNTBLANK($A20:$E20)&gt;0, "", IFERROR(AVERAGEIFS(Log!#REF!, Log!$A:$A, $A20, Log!$B:$B, $B20, Log!$C:$C, $C20),""))</f>
        <v/>
      </c>
      <c r="K20" s="6" t="str">
        <f>IF(COUNTBLANK($A20:$E20)&gt;0, "", IFERROR(_xlfn.MINIFS(Log!$F:$F, Log!$A:$A, $A20, Log!$B:$B, $B20, Log!$C:$C, $C20),""))</f>
        <v/>
      </c>
      <c r="L20" s="6" t="str">
        <f>IF(COUNTBLANK($A20:$E20)&gt;0, "", IFERROR(_xlfn.MAXIFS(Log!$F:$F, Log!$A:$A, $A20, Log!$B:$B, $B20, Log!$C:$C, $C20),""))</f>
        <v/>
      </c>
      <c r="M20" s="6" t="str">
        <f>IF(COUNTBLANK($A20:$E20)&gt;0, "", IFERROR(AVERAGEIFS(Log!#REF!, Log!$A:$A, $A20, Log!$B:$B, $B20, Log!$C:$C, $C20),""))</f>
        <v/>
      </c>
      <c r="N20" s="6" t="str">
        <f>IF(COUNTBLANK($A20:$E20)&gt;0, "", IFERROR(_xlfn.MINIFS(Log!$G:$G, Log!$A:$A, $A20, Log!$B:$B, $B20, Log!$C:$C, $C20),""))</f>
        <v/>
      </c>
      <c r="O20" s="6" t="str">
        <f>IF(COUNTBLANK($A20:$E20)&gt;0, "", IFERROR(_xlfn.MAXIFS(Log!$G:$G, Log!$A:$A, $A20, Log!$B:$B, $B20, Log!$C:$C, $C20),""))</f>
        <v/>
      </c>
    </row>
    <row r="21" spans="1:20" ht="49.95" customHeight="1" x14ac:dyDescent="0.3">
      <c r="A21" s="103" t="str">
        <f t="shared" si="0"/>
        <v/>
      </c>
      <c r="B21" s="105"/>
      <c r="C21" s="5"/>
      <c r="D21" s="31"/>
      <c r="E21" s="32"/>
      <c r="G21" s="36"/>
      <c r="H21" s="7" t="str">
        <f>IF(COUNTBLANK($A21:$E21)&gt;0, "", IFERROR(AVERAGEIFS(Log!$E:$E, Log!$A:$A, $A21, Log!$B:$B, $B21, Log!$C:$C, $C21),""))</f>
        <v/>
      </c>
      <c r="I21" s="37" t="str">
        <f t="shared" si="1"/>
        <v/>
      </c>
      <c r="J21" s="6" t="str">
        <f>IF(COUNTBLANK($A21:$E21)&gt;0, "", IFERROR(AVERAGEIFS(Log!#REF!, Log!$A:$A, $A21, Log!$B:$B, $B21, Log!$C:$C, $C21),""))</f>
        <v/>
      </c>
      <c r="K21" s="6" t="str">
        <f>IF(COUNTBLANK($A21:$E21)&gt;0, "", IFERROR(_xlfn.MINIFS(Log!$F:$F, Log!$A:$A, $A21, Log!$B:$B, $B21, Log!$C:$C, $C21),""))</f>
        <v/>
      </c>
      <c r="L21" s="6" t="str">
        <f>IF(COUNTBLANK($A21:$E21)&gt;0, "", IFERROR(_xlfn.MAXIFS(Log!$F:$F, Log!$A:$A, $A21, Log!$B:$B, $B21, Log!$C:$C, $C21),""))</f>
        <v/>
      </c>
      <c r="M21" s="6" t="str">
        <f>IF(COUNTBLANK($A21:$E21)&gt;0, "", IFERROR(AVERAGEIFS(Log!#REF!, Log!$A:$A, $A21, Log!$B:$B, $B21, Log!$C:$C, $C21),""))</f>
        <v/>
      </c>
      <c r="N21" s="6" t="str">
        <f>IF(COUNTBLANK($A21:$E21)&gt;0, "", IFERROR(_xlfn.MINIFS(Log!$G:$G, Log!$A:$A, $A21, Log!$B:$B, $B21, Log!$C:$C, $C21),""))</f>
        <v/>
      </c>
      <c r="O21" s="6" t="str">
        <f>IF(COUNTBLANK($A21:$E21)&gt;0, "", IFERROR(_xlfn.MAXIFS(Log!$G:$G, Log!$A:$A, $A21, Log!$B:$B, $B21, Log!$C:$C, $C21),""))</f>
        <v/>
      </c>
    </row>
    <row r="22" spans="1:20" ht="49.95" customHeight="1" x14ac:dyDescent="0.3">
      <c r="A22" s="103" t="str">
        <f t="shared" si="0"/>
        <v/>
      </c>
      <c r="B22" s="105"/>
      <c r="C22" s="5"/>
      <c r="D22" s="31"/>
      <c r="E22" s="32"/>
      <c r="G22" s="36"/>
      <c r="H22" s="7" t="str">
        <f>IF(COUNTBLANK($A22:$E22)&gt;0, "", IFERROR(AVERAGEIFS(Log!$E:$E, Log!$A:$A, $A22, Log!$B:$B, $B22, Log!$C:$C, $C22),""))</f>
        <v/>
      </c>
      <c r="I22" s="37" t="str">
        <f t="shared" si="1"/>
        <v/>
      </c>
      <c r="J22" s="6" t="str">
        <f>IF(COUNTBLANK($A22:$E22)&gt;0, "", IFERROR(AVERAGEIFS(Log!#REF!, Log!$A:$A, $A22, Log!$B:$B, $B22, Log!$C:$C, $C22),""))</f>
        <v/>
      </c>
      <c r="K22" s="6" t="str">
        <f>IF(COUNTBLANK($A22:$E22)&gt;0, "", IFERROR(_xlfn.MINIFS(Log!$F:$F, Log!$A:$A, $A22, Log!$B:$B, $B22, Log!$C:$C, $C22),""))</f>
        <v/>
      </c>
      <c r="L22" s="6" t="str">
        <f>IF(COUNTBLANK($A22:$E22)&gt;0, "", IFERROR(_xlfn.MAXIFS(Log!$F:$F, Log!$A:$A, $A22, Log!$B:$B, $B22, Log!$C:$C, $C22),""))</f>
        <v/>
      </c>
      <c r="M22" s="6" t="str">
        <f>IF(COUNTBLANK($A22:$E22)&gt;0, "", IFERROR(AVERAGEIFS(Log!#REF!, Log!$A:$A, $A22, Log!$B:$B, $B22, Log!$C:$C, $C22),""))</f>
        <v/>
      </c>
      <c r="N22" s="6" t="str">
        <f>IF(COUNTBLANK($A22:$E22)&gt;0, "", IFERROR(_xlfn.MINIFS(Log!$G:$G, Log!$A:$A, $A22, Log!$B:$B, $B22, Log!$C:$C, $C22),""))</f>
        <v/>
      </c>
      <c r="O22" s="6" t="str">
        <f>IF(COUNTBLANK($A22:$E22)&gt;0, "", IFERROR(_xlfn.MAXIFS(Log!$G:$G, Log!$A:$A, $A22, Log!$B:$B, $B22, Log!$C:$C, $C22),""))</f>
        <v/>
      </c>
    </row>
    <row r="23" spans="1:20" ht="49.95" customHeight="1" x14ac:dyDescent="0.3">
      <c r="A23" s="103" t="str">
        <f t="shared" si="0"/>
        <v/>
      </c>
      <c r="B23" s="105"/>
      <c r="C23" s="5"/>
      <c r="D23" s="31"/>
      <c r="E23" s="32"/>
      <c r="G23" s="36"/>
      <c r="H23" s="7" t="str">
        <f>IF(COUNTBLANK($A23:$E23)&gt;0, "", IFERROR(AVERAGEIFS(Log!$E:$E, Log!$A:$A, $A23, Log!$B:$B, $B23, Log!$C:$C, $C23),""))</f>
        <v/>
      </c>
      <c r="I23" s="37" t="str">
        <f t="shared" si="1"/>
        <v/>
      </c>
      <c r="J23" s="6" t="str">
        <f>IF(COUNTBLANK($A23:$E23)&gt;0, "", IFERROR(AVERAGEIFS(Log!#REF!, Log!$A:$A, $A23, Log!$B:$B, $B23, Log!$C:$C, $C23),""))</f>
        <v/>
      </c>
      <c r="K23" s="6" t="str">
        <f>IF(COUNTBLANK($A23:$E23)&gt;0, "", IFERROR(_xlfn.MINIFS(Log!$F:$F, Log!$A:$A, $A23, Log!$B:$B, $B23, Log!$C:$C, $C23),""))</f>
        <v/>
      </c>
      <c r="L23" s="6" t="str">
        <f>IF(COUNTBLANK($A23:$E23)&gt;0, "", IFERROR(_xlfn.MAXIFS(Log!$F:$F, Log!$A:$A, $A23, Log!$B:$B, $B23, Log!$C:$C, $C23),""))</f>
        <v/>
      </c>
      <c r="M23" s="6" t="str">
        <f>IF(COUNTBLANK($A23:$E23)&gt;0, "", IFERROR(AVERAGEIFS(Log!#REF!, Log!$A:$A, $A23, Log!$B:$B, $B23, Log!$C:$C, $C23),""))</f>
        <v/>
      </c>
      <c r="N23" s="6" t="str">
        <f>IF(COUNTBLANK($A23:$E23)&gt;0, "", IFERROR(_xlfn.MINIFS(Log!$G:$G, Log!$A:$A, $A23, Log!$B:$B, $B23, Log!$C:$C, $C23),""))</f>
        <v/>
      </c>
      <c r="O23" s="6" t="str">
        <f>IF(COUNTBLANK($A23:$E23)&gt;0, "", IFERROR(_xlfn.MAXIFS(Log!$G:$G, Log!$A:$A, $A23, Log!$B:$B, $B23, Log!$C:$C, $C23),""))</f>
        <v/>
      </c>
    </row>
    <row r="24" spans="1:20" ht="49.95" customHeight="1" x14ac:dyDescent="0.3">
      <c r="A24" s="103" t="str">
        <f t="shared" si="0"/>
        <v/>
      </c>
      <c r="B24" s="105"/>
      <c r="C24" s="5"/>
      <c r="D24" s="31"/>
      <c r="E24" s="32"/>
      <c r="G24" s="36"/>
      <c r="H24" s="7" t="str">
        <f>IF(COUNTBLANK($A24:$E24)&gt;0, "", IFERROR(AVERAGEIFS(Log!$E:$E, Log!$A:$A, $A24, Log!$B:$B, $B24, Log!$C:$C, $C24),""))</f>
        <v/>
      </c>
      <c r="I24" s="37" t="str">
        <f t="shared" si="1"/>
        <v/>
      </c>
      <c r="J24" s="6" t="str">
        <f>IF(COUNTBLANK($A24:$E24)&gt;0, "", IFERROR(AVERAGEIFS(Log!#REF!, Log!$A:$A, $A24, Log!$B:$B, $B24, Log!$C:$C, $C24),""))</f>
        <v/>
      </c>
      <c r="K24" s="6" t="str">
        <f>IF(COUNTBLANK($A24:$E24)&gt;0, "", IFERROR(_xlfn.MINIFS(Log!$F:$F, Log!$A:$A, $A24, Log!$B:$B, $B24, Log!$C:$C, $C24),""))</f>
        <v/>
      </c>
      <c r="L24" s="6" t="str">
        <f>IF(COUNTBLANK($A24:$E24)&gt;0, "", IFERROR(_xlfn.MAXIFS(Log!$F:$F, Log!$A:$A, $A24, Log!$B:$B, $B24, Log!$C:$C, $C24),""))</f>
        <v/>
      </c>
      <c r="M24" s="6" t="str">
        <f>IF(COUNTBLANK($A24:$E24)&gt;0, "", IFERROR(AVERAGEIFS(Log!#REF!, Log!$A:$A, $A24, Log!$B:$B, $B24, Log!$C:$C, $C24),""))</f>
        <v/>
      </c>
      <c r="N24" s="6" t="str">
        <f>IF(COUNTBLANK($A24:$E24)&gt;0, "", IFERROR(_xlfn.MINIFS(Log!$G:$G, Log!$A:$A, $A24, Log!$B:$B, $B24, Log!$C:$C, $C24),""))</f>
        <v/>
      </c>
      <c r="O24" s="6" t="str">
        <f>IF(COUNTBLANK($A24:$E24)&gt;0, "", IFERROR(_xlfn.MAXIFS(Log!$G:$G, Log!$A:$A, $A24, Log!$B:$B, $B24, Log!$C:$C, $C24),""))</f>
        <v/>
      </c>
    </row>
    <row r="25" spans="1:20" ht="49.95" customHeight="1" x14ac:dyDescent="0.3">
      <c r="A25" s="103" t="str">
        <f t="shared" si="0"/>
        <v/>
      </c>
      <c r="B25" s="105"/>
      <c r="C25" s="5"/>
      <c r="D25" s="31"/>
      <c r="E25" s="32"/>
      <c r="G25" s="36"/>
      <c r="H25" s="7" t="str">
        <f>IF(COUNTBLANK($A25:$E25)&gt;0, "", IFERROR(AVERAGEIFS(Log!$E:$E, Log!$A:$A, $A25, Log!$B:$B, $B25, Log!$C:$C, $C25),""))</f>
        <v/>
      </c>
      <c r="I25" s="37" t="str">
        <f t="shared" si="1"/>
        <v/>
      </c>
      <c r="J25" s="6" t="str">
        <f>IF(COUNTBLANK($A25:$E25)&gt;0, "", IFERROR(AVERAGEIFS(Log!#REF!, Log!$A:$A, $A25, Log!$B:$B, $B25, Log!$C:$C, $C25),""))</f>
        <v/>
      </c>
      <c r="K25" s="6" t="str">
        <f>IF(COUNTBLANK($A25:$E25)&gt;0, "", IFERROR(_xlfn.MINIFS(Log!$F:$F, Log!$A:$A, $A25, Log!$B:$B, $B25, Log!$C:$C, $C25),""))</f>
        <v/>
      </c>
      <c r="L25" s="6" t="str">
        <f>IF(COUNTBLANK($A25:$E25)&gt;0, "", IFERROR(_xlfn.MAXIFS(Log!$F:$F, Log!$A:$A, $A25, Log!$B:$B, $B25, Log!$C:$C, $C25),""))</f>
        <v/>
      </c>
      <c r="M25" s="6" t="str">
        <f>IF(COUNTBLANK($A25:$E25)&gt;0, "", IFERROR(AVERAGEIFS(Log!#REF!, Log!$A:$A, $A25, Log!$B:$B, $B25, Log!$C:$C, $C25),""))</f>
        <v/>
      </c>
      <c r="N25" s="6" t="str">
        <f>IF(COUNTBLANK($A25:$E25)&gt;0, "", IFERROR(_xlfn.MINIFS(Log!$G:$G, Log!$A:$A, $A25, Log!$B:$B, $B25, Log!$C:$C, $C25),""))</f>
        <v/>
      </c>
      <c r="O25" s="6" t="str">
        <f>IF(COUNTBLANK($A25:$E25)&gt;0, "", IFERROR(_xlfn.MAXIFS(Log!$G:$G, Log!$A:$A, $A25, Log!$B:$B, $B25, Log!$C:$C, $C25),""))</f>
        <v/>
      </c>
    </row>
    <row r="26" spans="1:20" ht="49.95" customHeight="1" x14ac:dyDescent="0.3">
      <c r="A26" s="103" t="str">
        <f t="shared" si="0"/>
        <v/>
      </c>
      <c r="B26" s="105"/>
      <c r="C26" s="5"/>
      <c r="D26" s="31"/>
      <c r="E26" s="32"/>
      <c r="G26" s="36"/>
      <c r="H26" s="7" t="str">
        <f>IF(COUNTBLANK($A26:$E26)&gt;0, "", IFERROR(AVERAGEIFS(Log!$E:$E, Log!$A:$A, $A26, Log!$B:$B, $B26, Log!$C:$C, $C26),""))</f>
        <v/>
      </c>
      <c r="I26" s="37" t="str">
        <f t="shared" si="1"/>
        <v/>
      </c>
      <c r="J26" s="6" t="str">
        <f>IF(COUNTBLANK($A26:$E26)&gt;0, "", IFERROR(AVERAGEIFS(Log!#REF!, Log!$A:$A, $A26, Log!$B:$B, $B26, Log!$C:$C, $C26),""))</f>
        <v/>
      </c>
      <c r="K26" s="6" t="str">
        <f>IF(COUNTBLANK($A26:$E26)&gt;0, "", IFERROR(_xlfn.MINIFS(Log!$F:$F, Log!$A:$A, $A26, Log!$B:$B, $B26, Log!$C:$C, $C26),""))</f>
        <v/>
      </c>
      <c r="L26" s="6" t="str">
        <f>IF(COUNTBLANK($A26:$E26)&gt;0, "", IFERROR(_xlfn.MAXIFS(Log!$F:$F, Log!$A:$A, $A26, Log!$B:$B, $B26, Log!$C:$C, $C26),""))</f>
        <v/>
      </c>
      <c r="M26" s="6" t="str">
        <f>IF(COUNTBLANK($A26:$E26)&gt;0, "", IFERROR(AVERAGEIFS(Log!#REF!, Log!$A:$A, $A26, Log!$B:$B, $B26, Log!$C:$C, $C26),""))</f>
        <v/>
      </c>
      <c r="N26" s="6" t="str">
        <f>IF(COUNTBLANK($A26:$E26)&gt;0, "", IFERROR(_xlfn.MINIFS(Log!$G:$G, Log!$A:$A, $A26, Log!$B:$B, $B26, Log!$C:$C, $C26),""))</f>
        <v/>
      </c>
      <c r="O26" s="6" t="str">
        <f>IF(COUNTBLANK($A26:$E26)&gt;0, "", IFERROR(_xlfn.MAXIFS(Log!$G:$G, Log!$A:$A, $A26, Log!$B:$B, $B26, Log!$C:$C, $C26),""))</f>
        <v/>
      </c>
    </row>
    <row r="27" spans="1:20" ht="49.95" customHeight="1" x14ac:dyDescent="0.3">
      <c r="A27" s="103" t="str">
        <f t="shared" si="0"/>
        <v/>
      </c>
      <c r="B27" s="105"/>
      <c r="C27" s="5"/>
      <c r="D27" s="31"/>
      <c r="E27" s="32"/>
      <c r="G27" s="36"/>
      <c r="H27" s="7" t="str">
        <f>IF(COUNTBLANK($A27:$E27)&gt;0, "", IFERROR(AVERAGEIFS(Log!$E:$E, Log!$A:$A, $A27, Log!$B:$B, $B27, Log!$C:$C, $C27),""))</f>
        <v/>
      </c>
      <c r="I27" s="37" t="str">
        <f t="shared" si="1"/>
        <v/>
      </c>
      <c r="J27" s="6" t="str">
        <f>IF(COUNTBLANK($A27:$E27)&gt;0, "", IFERROR(AVERAGEIFS(Log!#REF!, Log!$A:$A, $A27, Log!$B:$B, $B27, Log!$C:$C, $C27),""))</f>
        <v/>
      </c>
      <c r="K27" s="6" t="str">
        <f>IF(COUNTBLANK($A27:$E27)&gt;0, "", IFERROR(_xlfn.MINIFS(Log!$F:$F, Log!$A:$A, $A27, Log!$B:$B, $B27, Log!$C:$C, $C27),""))</f>
        <v/>
      </c>
      <c r="L27" s="6" t="str">
        <f>IF(COUNTBLANK($A27:$E27)&gt;0, "", IFERROR(_xlfn.MAXIFS(Log!$F:$F, Log!$A:$A, $A27, Log!$B:$B, $B27, Log!$C:$C, $C27),""))</f>
        <v/>
      </c>
      <c r="M27" s="6" t="str">
        <f>IF(COUNTBLANK($A27:$E27)&gt;0, "", IFERROR(AVERAGEIFS(Log!#REF!, Log!$A:$A, $A27, Log!$B:$B, $B27, Log!$C:$C, $C27),""))</f>
        <v/>
      </c>
      <c r="N27" s="6" t="str">
        <f>IF(COUNTBLANK($A27:$E27)&gt;0, "", IFERROR(_xlfn.MINIFS(Log!$G:$G, Log!$A:$A, $A27, Log!$B:$B, $B27, Log!$C:$C, $C27),""))</f>
        <v/>
      </c>
      <c r="O27" s="6" t="str">
        <f>IF(COUNTBLANK($A27:$E27)&gt;0, "", IFERROR(_xlfn.MAXIFS(Log!$G:$G, Log!$A:$A, $A27, Log!$B:$B, $B27, Log!$C:$C, $C27),""))</f>
        <v/>
      </c>
    </row>
    <row r="28" spans="1:20" ht="49.95" customHeight="1" x14ac:dyDescent="0.3">
      <c r="A28" s="103" t="str">
        <f t="shared" si="0"/>
        <v/>
      </c>
      <c r="B28" s="105"/>
      <c r="C28" s="5"/>
      <c r="D28" s="31"/>
      <c r="E28" s="32"/>
      <c r="G28" s="36"/>
      <c r="H28" s="7" t="str">
        <f>IF(COUNTBLANK($A28:$E28)&gt;0, "", IFERROR(AVERAGEIFS(Log!$E:$E, Log!$A:$A, $A28, Log!$B:$B, $B28, Log!$C:$C, $C28),""))</f>
        <v/>
      </c>
      <c r="I28" s="37" t="str">
        <f t="shared" si="1"/>
        <v/>
      </c>
      <c r="J28" s="6" t="str">
        <f>IF(COUNTBLANK($A28:$E28)&gt;0, "", IFERROR(AVERAGEIFS(Log!#REF!, Log!$A:$A, $A28, Log!$B:$B, $B28, Log!$C:$C, $C28),""))</f>
        <v/>
      </c>
      <c r="K28" s="6" t="str">
        <f>IF(COUNTBLANK($A28:$E28)&gt;0, "", IFERROR(_xlfn.MINIFS(Log!$F:$F, Log!$A:$A, $A28, Log!$B:$B, $B28, Log!$C:$C, $C28),""))</f>
        <v/>
      </c>
      <c r="L28" s="6" t="str">
        <f>IF(COUNTBLANK($A28:$E28)&gt;0, "", IFERROR(_xlfn.MAXIFS(Log!$F:$F, Log!$A:$A, $A28, Log!$B:$B, $B28, Log!$C:$C, $C28),""))</f>
        <v/>
      </c>
      <c r="M28" s="6" t="str">
        <f>IF(COUNTBLANK($A28:$E28)&gt;0, "", IFERROR(AVERAGEIFS(Log!#REF!, Log!$A:$A, $A28, Log!$B:$B, $B28, Log!$C:$C, $C28),""))</f>
        <v/>
      </c>
      <c r="N28" s="6" t="str">
        <f>IF(COUNTBLANK($A28:$E28)&gt;0, "", IFERROR(_xlfn.MINIFS(Log!$G:$G, Log!$A:$A, $A28, Log!$B:$B, $B28, Log!$C:$C, $C28),""))</f>
        <v/>
      </c>
      <c r="O28" s="6" t="str">
        <f>IF(COUNTBLANK($A28:$E28)&gt;0, "", IFERROR(_xlfn.MAXIFS(Log!$G:$G, Log!$A:$A, $A28, Log!$B:$B, $B28, Log!$C:$C, $C28),""))</f>
        <v/>
      </c>
    </row>
    <row r="29" spans="1:20" ht="49.95" customHeight="1" x14ac:dyDescent="0.3">
      <c r="A29" s="103" t="str">
        <f t="shared" si="0"/>
        <v/>
      </c>
      <c r="B29" s="105"/>
      <c r="C29" s="5"/>
      <c r="D29" s="31"/>
      <c r="E29" s="32"/>
      <c r="G29" s="36"/>
      <c r="H29" s="7" t="str">
        <f>IF(COUNTBLANK($A29:$E29)&gt;0, "", IFERROR(AVERAGEIFS(Log!$E:$E, Log!$A:$A, $A29, Log!$B:$B, $B29, Log!$C:$C, $C29),""))</f>
        <v/>
      </c>
      <c r="I29" s="37" t="str">
        <f t="shared" si="1"/>
        <v/>
      </c>
      <c r="J29" s="6" t="str">
        <f>IF(COUNTBLANK($A29:$E29)&gt;0, "", IFERROR(AVERAGEIFS(Log!#REF!, Log!$A:$A, $A29, Log!$B:$B, $B29, Log!$C:$C, $C29),""))</f>
        <v/>
      </c>
      <c r="K29" s="6" t="str">
        <f>IF(COUNTBLANK($A29:$E29)&gt;0, "", IFERROR(_xlfn.MINIFS(Log!$F:$F, Log!$A:$A, $A29, Log!$B:$B, $B29, Log!$C:$C, $C29),""))</f>
        <v/>
      </c>
      <c r="L29" s="6" t="str">
        <f>IF(COUNTBLANK($A29:$E29)&gt;0, "", IFERROR(_xlfn.MAXIFS(Log!$F:$F, Log!$A:$A, $A29, Log!$B:$B, $B29, Log!$C:$C, $C29),""))</f>
        <v/>
      </c>
      <c r="M29" s="6" t="str">
        <f>IF(COUNTBLANK($A29:$E29)&gt;0, "", IFERROR(AVERAGEIFS(Log!#REF!, Log!$A:$A, $A29, Log!$B:$B, $B29, Log!$C:$C, $C29),""))</f>
        <v/>
      </c>
      <c r="N29" s="6" t="str">
        <f>IF(COUNTBLANK($A29:$E29)&gt;0, "", IFERROR(_xlfn.MINIFS(Log!$G:$G, Log!$A:$A, $A29, Log!$B:$B, $B29, Log!$C:$C, $C29),""))</f>
        <v/>
      </c>
      <c r="O29" s="6" t="str">
        <f>IF(COUNTBLANK($A29:$E29)&gt;0, "", IFERROR(_xlfn.MAXIFS(Log!$G:$G, Log!$A:$A, $A29, Log!$B:$B, $B29, Log!$C:$C, $C29),""))</f>
        <v/>
      </c>
    </row>
    <row r="30" spans="1:20" ht="49.95" customHeight="1" x14ac:dyDescent="0.3">
      <c r="A30" s="103" t="str">
        <f t="shared" si="0"/>
        <v/>
      </c>
      <c r="B30" s="105"/>
      <c r="C30" s="5"/>
      <c r="D30" s="31"/>
      <c r="E30" s="32"/>
      <c r="G30" s="36"/>
      <c r="H30" s="7" t="str">
        <f>IF(COUNTBLANK($A30:$E30)&gt;0, "", IFERROR(AVERAGEIFS(Log!$E:$E, Log!$A:$A, $A30, Log!$B:$B, $B30, Log!$C:$C, $C30),""))</f>
        <v/>
      </c>
      <c r="I30" s="37" t="str">
        <f t="shared" si="1"/>
        <v/>
      </c>
      <c r="J30" s="6" t="str">
        <f>IF(COUNTBLANK($A30:$E30)&gt;0, "", IFERROR(AVERAGEIFS(Log!#REF!, Log!$A:$A, $A30, Log!$B:$B, $B30, Log!$C:$C, $C30),""))</f>
        <v/>
      </c>
      <c r="K30" s="6" t="str">
        <f>IF(COUNTBLANK($A30:$E30)&gt;0, "", IFERROR(_xlfn.MINIFS(Log!$F:$F, Log!$A:$A, $A30, Log!$B:$B, $B30, Log!$C:$C, $C30),""))</f>
        <v/>
      </c>
      <c r="L30" s="6" t="str">
        <f>IF(COUNTBLANK($A30:$E30)&gt;0, "", IFERROR(_xlfn.MAXIFS(Log!$F:$F, Log!$A:$A, $A30, Log!$B:$B, $B30, Log!$C:$C, $C30),""))</f>
        <v/>
      </c>
      <c r="M30" s="6" t="str">
        <f>IF(COUNTBLANK($A30:$E30)&gt;0, "", IFERROR(AVERAGEIFS(Log!#REF!, Log!$A:$A, $A30, Log!$B:$B, $B30, Log!$C:$C, $C30),""))</f>
        <v/>
      </c>
      <c r="N30" s="6" t="str">
        <f>IF(COUNTBLANK($A30:$E30)&gt;0, "", IFERROR(_xlfn.MINIFS(Log!$G:$G, Log!$A:$A, $A30, Log!$B:$B, $B30, Log!$C:$C, $C30),""))</f>
        <v/>
      </c>
      <c r="O30" s="6" t="str">
        <f>IF(COUNTBLANK($A30:$E30)&gt;0, "", IFERROR(_xlfn.MAXIFS(Log!$G:$G, Log!$A:$A, $A30, Log!$B:$B, $B30, Log!$C:$C, $C30),""))</f>
        <v/>
      </c>
    </row>
    <row r="31" spans="1:20" ht="49.95" customHeight="1" x14ac:dyDescent="0.3">
      <c r="A31" s="103" t="str">
        <f t="shared" si="0"/>
        <v/>
      </c>
      <c r="B31" s="105"/>
      <c r="C31" s="5"/>
      <c r="D31" s="31"/>
      <c r="E31" s="32"/>
      <c r="G31" s="36"/>
      <c r="H31" s="7" t="str">
        <f>IF(COUNTBLANK($A31:$E31)&gt;0, "", IFERROR(AVERAGEIFS(Log!$E:$E, Log!$A:$A, $A31, Log!$B:$B, $B31, Log!$C:$C, $C31),""))</f>
        <v/>
      </c>
      <c r="I31" s="37" t="str">
        <f t="shared" si="1"/>
        <v/>
      </c>
      <c r="J31" s="6" t="str">
        <f>IF(COUNTBLANK($A31:$E31)&gt;0, "", IFERROR(AVERAGEIFS(Log!#REF!, Log!$A:$A, $A31, Log!$B:$B, $B31, Log!$C:$C, $C31),""))</f>
        <v/>
      </c>
      <c r="K31" s="6" t="str">
        <f>IF(COUNTBLANK($A31:$E31)&gt;0, "", IFERROR(_xlfn.MINIFS(Log!$F:$F, Log!$A:$A, $A31, Log!$B:$B, $B31, Log!$C:$C, $C31),""))</f>
        <v/>
      </c>
      <c r="L31" s="6" t="str">
        <f>IF(COUNTBLANK($A31:$E31)&gt;0, "", IFERROR(_xlfn.MAXIFS(Log!$F:$F, Log!$A:$A, $A31, Log!$B:$B, $B31, Log!$C:$C, $C31),""))</f>
        <v/>
      </c>
      <c r="M31" s="6" t="str">
        <f>IF(COUNTBLANK($A31:$E31)&gt;0, "", IFERROR(AVERAGEIFS(Log!#REF!, Log!$A:$A, $A31, Log!$B:$B, $B31, Log!$C:$C, $C31),""))</f>
        <v/>
      </c>
      <c r="N31" s="6" t="str">
        <f>IF(COUNTBLANK($A31:$E31)&gt;0, "", IFERROR(_xlfn.MINIFS(Log!$G:$G, Log!$A:$A, $A31, Log!$B:$B, $B31, Log!$C:$C, $C31),""))</f>
        <v/>
      </c>
      <c r="O31" s="6" t="str">
        <f>IF(COUNTBLANK($A31:$E31)&gt;0, "", IFERROR(_xlfn.MAXIFS(Log!$G:$G, Log!$A:$A, $A31, Log!$B:$B, $B31, Log!$C:$C, $C31),""))</f>
        <v/>
      </c>
    </row>
    <row r="32" spans="1:20" ht="49.95" customHeight="1" x14ac:dyDescent="0.3">
      <c r="A32" s="103" t="str">
        <f t="shared" si="0"/>
        <v/>
      </c>
      <c r="B32" s="105"/>
      <c r="C32" s="5"/>
      <c r="D32" s="31"/>
      <c r="E32" s="32"/>
      <c r="G32" s="36"/>
      <c r="H32" s="7" t="str">
        <f>IF(COUNTBLANK($A32:$E32)&gt;0, "", IFERROR(AVERAGEIFS(Log!$E:$E, Log!$A:$A, $A32, Log!$B:$B, $B32, Log!$C:$C, $C32),""))</f>
        <v/>
      </c>
      <c r="I32" s="37" t="str">
        <f t="shared" si="1"/>
        <v/>
      </c>
      <c r="J32" s="6" t="str">
        <f>IF(COUNTBLANK($A32:$E32)&gt;0, "", IFERROR(AVERAGEIFS(Log!#REF!, Log!$A:$A, $A32, Log!$B:$B, $B32, Log!$C:$C, $C32),""))</f>
        <v/>
      </c>
      <c r="K32" s="6" t="str">
        <f>IF(COUNTBLANK($A32:$E32)&gt;0, "", IFERROR(_xlfn.MINIFS(Log!$F:$F, Log!$A:$A, $A32, Log!$B:$B, $B32, Log!$C:$C, $C32),""))</f>
        <v/>
      </c>
      <c r="L32" s="6" t="str">
        <f>IF(COUNTBLANK($A32:$E32)&gt;0, "", IFERROR(_xlfn.MAXIFS(Log!$F:$F, Log!$A:$A, $A32, Log!$B:$B, $B32, Log!$C:$C, $C32),""))</f>
        <v/>
      </c>
      <c r="M32" s="6" t="str">
        <f>IF(COUNTBLANK($A32:$E32)&gt;0, "", IFERROR(AVERAGEIFS(Log!#REF!, Log!$A:$A, $A32, Log!$B:$B, $B32, Log!$C:$C, $C32),""))</f>
        <v/>
      </c>
      <c r="N32" s="6" t="str">
        <f>IF(COUNTBLANK($A32:$E32)&gt;0, "", IFERROR(_xlfn.MINIFS(Log!$G:$G, Log!$A:$A, $A32, Log!$B:$B, $B32, Log!$C:$C, $C32),""))</f>
        <v/>
      </c>
      <c r="O32" s="6" t="str">
        <f>IF(COUNTBLANK($A32:$E32)&gt;0, "", IFERROR(_xlfn.MAXIFS(Log!$G:$G, Log!$A:$A, $A32, Log!$B:$B, $B32, Log!$C:$C, $C32),""))</f>
        <v/>
      </c>
    </row>
    <row r="33" spans="1:15" ht="49.95" customHeight="1" x14ac:dyDescent="0.3">
      <c r="A33" s="103" t="str">
        <f t="shared" si="0"/>
        <v/>
      </c>
      <c r="B33" s="105"/>
      <c r="C33" s="5"/>
      <c r="D33" s="31"/>
      <c r="E33" s="32"/>
      <c r="G33" s="36"/>
      <c r="H33" s="7" t="str">
        <f>IF(COUNTBLANK($A33:$E33)&gt;0, "", IFERROR(AVERAGEIFS(Log!$E:$E, Log!$A:$A, $A33, Log!$B:$B, $B33, Log!$C:$C, $C33),""))</f>
        <v/>
      </c>
      <c r="I33" s="37" t="str">
        <f t="shared" si="1"/>
        <v/>
      </c>
      <c r="J33" s="6" t="str">
        <f>IF(COUNTBLANK($A33:$E33)&gt;0, "", IFERROR(AVERAGEIFS(Log!#REF!, Log!$A:$A, $A33, Log!$B:$B, $B33, Log!$C:$C, $C33),""))</f>
        <v/>
      </c>
      <c r="K33" s="6" t="str">
        <f>IF(COUNTBLANK($A33:$E33)&gt;0, "", IFERROR(_xlfn.MINIFS(Log!$F:$F, Log!$A:$A, $A33, Log!$B:$B, $B33, Log!$C:$C, $C33),""))</f>
        <v/>
      </c>
      <c r="L33" s="6" t="str">
        <f>IF(COUNTBLANK($A33:$E33)&gt;0, "", IFERROR(_xlfn.MAXIFS(Log!$F:$F, Log!$A:$A, $A33, Log!$B:$B, $B33, Log!$C:$C, $C33),""))</f>
        <v/>
      </c>
      <c r="M33" s="6" t="str">
        <f>IF(COUNTBLANK($A33:$E33)&gt;0, "", IFERROR(AVERAGEIFS(Log!#REF!, Log!$A:$A, $A33, Log!$B:$B, $B33, Log!$C:$C, $C33),""))</f>
        <v/>
      </c>
      <c r="N33" s="6" t="str">
        <f>IF(COUNTBLANK($A33:$E33)&gt;0, "", IFERROR(_xlfn.MINIFS(Log!$G:$G, Log!$A:$A, $A33, Log!$B:$B, $B33, Log!$C:$C, $C33),""))</f>
        <v/>
      </c>
      <c r="O33" s="6" t="str">
        <f>IF(COUNTBLANK($A33:$E33)&gt;0, "", IFERROR(_xlfn.MAXIFS(Log!$G:$G, Log!$A:$A, $A33, Log!$B:$B, $B33, Log!$C:$C, $C33),""))</f>
        <v/>
      </c>
    </row>
    <row r="34" spans="1:15" ht="49.95" customHeight="1" x14ac:dyDescent="0.3">
      <c r="A34" s="103" t="str">
        <f t="shared" si="0"/>
        <v/>
      </c>
      <c r="B34" s="105"/>
      <c r="C34" s="5"/>
      <c r="D34" s="31"/>
      <c r="E34" s="32"/>
      <c r="G34" s="36"/>
      <c r="H34" s="7" t="str">
        <f>IF(COUNTBLANK($A34:$E34)&gt;0, "", IFERROR(AVERAGEIFS(Log!$E:$E, Log!$A:$A, $A34, Log!$B:$B, $B34, Log!$C:$C, $C34),""))</f>
        <v/>
      </c>
      <c r="I34" s="37" t="str">
        <f t="shared" si="1"/>
        <v/>
      </c>
      <c r="J34" s="6" t="str">
        <f>IF(COUNTBLANK($A34:$E34)&gt;0, "", IFERROR(AVERAGEIFS(Log!#REF!, Log!$A:$A, $A34, Log!$B:$B, $B34, Log!$C:$C, $C34),""))</f>
        <v/>
      </c>
      <c r="K34" s="6" t="str">
        <f>IF(COUNTBLANK($A34:$E34)&gt;0, "", IFERROR(_xlfn.MINIFS(Log!$F:$F, Log!$A:$A, $A34, Log!$B:$B, $B34, Log!$C:$C, $C34),""))</f>
        <v/>
      </c>
      <c r="L34" s="6" t="str">
        <f>IF(COUNTBLANK($A34:$E34)&gt;0, "", IFERROR(_xlfn.MAXIFS(Log!$F:$F, Log!$A:$A, $A34, Log!$B:$B, $B34, Log!$C:$C, $C34),""))</f>
        <v/>
      </c>
      <c r="M34" s="6" t="str">
        <f>IF(COUNTBLANK($A34:$E34)&gt;0, "", IFERROR(AVERAGEIFS(Log!#REF!, Log!$A:$A, $A34, Log!$B:$B, $B34, Log!$C:$C, $C34),""))</f>
        <v/>
      </c>
      <c r="N34" s="6" t="str">
        <f>IF(COUNTBLANK($A34:$E34)&gt;0, "", IFERROR(_xlfn.MINIFS(Log!$G:$G, Log!$A:$A, $A34, Log!$B:$B, $B34, Log!$C:$C, $C34),""))</f>
        <v/>
      </c>
      <c r="O34" s="6" t="str">
        <f>IF(COUNTBLANK($A34:$E34)&gt;0, "", IFERROR(_xlfn.MAXIFS(Log!$G:$G, Log!$A:$A, $A34, Log!$B:$B, $B34, Log!$C:$C, $C34),""))</f>
        <v/>
      </c>
    </row>
    <row r="35" spans="1:15" ht="49.95" customHeight="1" x14ac:dyDescent="0.3">
      <c r="A35" s="103" t="str">
        <f t="shared" si="0"/>
        <v/>
      </c>
      <c r="B35" s="105"/>
      <c r="C35" s="5"/>
      <c r="D35" s="31"/>
      <c r="E35" s="32"/>
      <c r="G35" s="36"/>
      <c r="H35" s="7" t="str">
        <f>IF(COUNTBLANK($A35:$E35)&gt;0, "", IFERROR(AVERAGEIFS(Log!$E:$E, Log!$A:$A, $A35, Log!$B:$B, $B35, Log!$C:$C, $C35),""))</f>
        <v/>
      </c>
      <c r="I35" s="37" t="str">
        <f t="shared" si="1"/>
        <v/>
      </c>
      <c r="J35" s="6" t="str">
        <f>IF(COUNTBLANK($A35:$E35)&gt;0, "", IFERROR(AVERAGEIFS(Log!#REF!, Log!$A:$A, $A35, Log!$B:$B, $B35, Log!$C:$C, $C35),""))</f>
        <v/>
      </c>
      <c r="K35" s="6" t="str">
        <f>IF(COUNTBLANK($A35:$E35)&gt;0, "", IFERROR(_xlfn.MINIFS(Log!$F:$F, Log!$A:$A, $A35, Log!$B:$B, $B35, Log!$C:$C, $C35),""))</f>
        <v/>
      </c>
      <c r="L35" s="6" t="str">
        <f>IF(COUNTBLANK($A35:$E35)&gt;0, "", IFERROR(_xlfn.MAXIFS(Log!$F:$F, Log!$A:$A, $A35, Log!$B:$B, $B35, Log!$C:$C, $C35),""))</f>
        <v/>
      </c>
      <c r="M35" s="6" t="str">
        <f>IF(COUNTBLANK($A35:$E35)&gt;0, "", IFERROR(AVERAGEIFS(Log!#REF!, Log!$A:$A, $A35, Log!$B:$B, $B35, Log!$C:$C, $C35),""))</f>
        <v/>
      </c>
      <c r="N35" s="6" t="str">
        <f>IF(COUNTBLANK($A35:$E35)&gt;0, "", IFERROR(_xlfn.MINIFS(Log!$G:$G, Log!$A:$A, $A35, Log!$B:$B, $B35, Log!$C:$C, $C35),""))</f>
        <v/>
      </c>
      <c r="O35" s="6" t="str">
        <f>IF(COUNTBLANK($A35:$E35)&gt;0, "", IFERROR(_xlfn.MAXIFS(Log!$G:$G, Log!$A:$A, $A35, Log!$B:$B, $B35, Log!$C:$C, $C35),""))</f>
        <v/>
      </c>
    </row>
    <row r="36" spans="1:15" ht="49.95" customHeight="1" x14ac:dyDescent="0.3">
      <c r="A36" s="103" t="str">
        <f t="shared" si="0"/>
        <v/>
      </c>
      <c r="B36" s="105"/>
      <c r="C36" s="5"/>
      <c r="D36" s="31"/>
      <c r="E36" s="32"/>
      <c r="G36" s="36"/>
      <c r="H36" s="7" t="str">
        <f>IF(COUNTBLANK($A36:$E36)&gt;0, "", IFERROR(AVERAGEIFS(Log!$E:$E, Log!$A:$A, $A36, Log!$B:$B, $B36, Log!$C:$C, $C36),""))</f>
        <v/>
      </c>
      <c r="I36" s="37" t="str">
        <f t="shared" si="1"/>
        <v/>
      </c>
      <c r="J36" s="6" t="str">
        <f>IF(COUNTBLANK($A36:$E36)&gt;0, "", IFERROR(AVERAGEIFS(Log!#REF!, Log!$A:$A, $A36, Log!$B:$B, $B36, Log!$C:$C, $C36),""))</f>
        <v/>
      </c>
      <c r="K36" s="6" t="str">
        <f>IF(COUNTBLANK($A36:$E36)&gt;0, "", IFERROR(_xlfn.MINIFS(Log!$F:$F, Log!$A:$A, $A36, Log!$B:$B, $B36, Log!$C:$C, $C36),""))</f>
        <v/>
      </c>
      <c r="L36" s="6" t="str">
        <f>IF(COUNTBLANK($A36:$E36)&gt;0, "", IFERROR(_xlfn.MAXIFS(Log!$F:$F, Log!$A:$A, $A36, Log!$B:$B, $B36, Log!$C:$C, $C36),""))</f>
        <v/>
      </c>
      <c r="M36" s="6" t="str">
        <f>IF(COUNTBLANK($A36:$E36)&gt;0, "", IFERROR(AVERAGEIFS(Log!#REF!, Log!$A:$A, $A36, Log!$B:$B, $B36, Log!$C:$C, $C36),""))</f>
        <v/>
      </c>
      <c r="N36" s="6" t="str">
        <f>IF(COUNTBLANK($A36:$E36)&gt;0, "", IFERROR(_xlfn.MINIFS(Log!$G:$G, Log!$A:$A, $A36, Log!$B:$B, $B36, Log!$C:$C, $C36),""))</f>
        <v/>
      </c>
      <c r="O36" s="6" t="str">
        <f>IF(COUNTBLANK($A36:$E36)&gt;0, "", IFERROR(_xlfn.MAXIFS(Log!$G:$G, Log!$A:$A, $A36, Log!$B:$B, $B36, Log!$C:$C, $C36),""))</f>
        <v/>
      </c>
    </row>
    <row r="37" spans="1:15" ht="49.95" customHeight="1" x14ac:dyDescent="0.3">
      <c r="A37" s="103" t="str">
        <f t="shared" si="0"/>
        <v/>
      </c>
      <c r="B37" s="105"/>
      <c r="C37" s="5"/>
      <c r="D37" s="31"/>
      <c r="E37" s="32"/>
      <c r="G37" s="36"/>
      <c r="H37" s="7" t="str">
        <f>IF(COUNTBLANK($A37:$E37)&gt;0, "", IFERROR(AVERAGEIFS(Log!$E:$E, Log!$A:$A, $A37, Log!$B:$B, $B37, Log!$C:$C, $C37),""))</f>
        <v/>
      </c>
      <c r="I37" s="37" t="str">
        <f t="shared" si="1"/>
        <v/>
      </c>
      <c r="J37" s="6" t="str">
        <f>IF(COUNTBLANK($A37:$E37)&gt;0, "", IFERROR(AVERAGEIFS(Log!#REF!, Log!$A:$A, $A37, Log!$B:$B, $B37, Log!$C:$C, $C37),""))</f>
        <v/>
      </c>
      <c r="K37" s="6" t="str">
        <f>IF(COUNTBLANK($A37:$E37)&gt;0, "", IFERROR(_xlfn.MINIFS(Log!$F:$F, Log!$A:$A, $A37, Log!$B:$B, $B37, Log!$C:$C, $C37),""))</f>
        <v/>
      </c>
      <c r="L37" s="6" t="str">
        <f>IF(COUNTBLANK($A37:$E37)&gt;0, "", IFERROR(_xlfn.MAXIFS(Log!$F:$F, Log!$A:$A, $A37, Log!$B:$B, $B37, Log!$C:$C, $C37),""))</f>
        <v/>
      </c>
      <c r="M37" s="6" t="str">
        <f>IF(COUNTBLANK($A37:$E37)&gt;0, "", IFERROR(AVERAGEIFS(Log!#REF!, Log!$A:$A, $A37, Log!$B:$B, $B37, Log!$C:$C, $C37),""))</f>
        <v/>
      </c>
      <c r="N37" s="6" t="str">
        <f>IF(COUNTBLANK($A37:$E37)&gt;0, "", IFERROR(_xlfn.MINIFS(Log!$G:$G, Log!$A:$A, $A37, Log!$B:$B, $B37, Log!$C:$C, $C37),""))</f>
        <v/>
      </c>
      <c r="O37" s="6" t="str">
        <f>IF(COUNTBLANK($A37:$E37)&gt;0, "", IFERROR(_xlfn.MAXIFS(Log!$G:$G, Log!$A:$A, $A37, Log!$B:$B, $B37, Log!$C:$C, $C37),""))</f>
        <v/>
      </c>
    </row>
    <row r="38" spans="1:15" ht="49.95" customHeight="1" x14ac:dyDescent="0.3">
      <c r="A38" s="103" t="str">
        <f t="shared" si="0"/>
        <v/>
      </c>
      <c r="B38" s="105"/>
      <c r="C38" s="5"/>
      <c r="D38" s="31"/>
      <c r="E38" s="32"/>
      <c r="G38" s="36"/>
      <c r="H38" s="7" t="str">
        <f>IF(COUNTBLANK($A38:$E38)&gt;0, "", IFERROR(AVERAGEIFS(Log!$E:$E, Log!$A:$A, $A38, Log!$B:$B, $B38, Log!$C:$C, $C38),""))</f>
        <v/>
      </c>
      <c r="I38" s="37" t="str">
        <f t="shared" si="1"/>
        <v/>
      </c>
      <c r="J38" s="6" t="str">
        <f>IF(COUNTBLANK($A38:$E38)&gt;0, "", IFERROR(AVERAGEIFS(Log!#REF!, Log!$A:$A, $A38, Log!$B:$B, $B38, Log!$C:$C, $C38),""))</f>
        <v/>
      </c>
      <c r="K38" s="6" t="str">
        <f>IF(COUNTBLANK($A38:$E38)&gt;0, "", IFERROR(_xlfn.MINIFS(Log!$F:$F, Log!$A:$A, $A38, Log!$B:$B, $B38, Log!$C:$C, $C38),""))</f>
        <v/>
      </c>
      <c r="L38" s="6" t="str">
        <f>IF(COUNTBLANK($A38:$E38)&gt;0, "", IFERROR(_xlfn.MAXIFS(Log!$F:$F, Log!$A:$A, $A38, Log!$B:$B, $B38, Log!$C:$C, $C38),""))</f>
        <v/>
      </c>
      <c r="M38" s="6" t="str">
        <f>IF(COUNTBLANK($A38:$E38)&gt;0, "", IFERROR(AVERAGEIFS(Log!#REF!, Log!$A:$A, $A38, Log!$B:$B, $B38, Log!$C:$C, $C38),""))</f>
        <v/>
      </c>
      <c r="N38" s="6" t="str">
        <f>IF(COUNTBLANK($A38:$E38)&gt;0, "", IFERROR(_xlfn.MINIFS(Log!$G:$G, Log!$A:$A, $A38, Log!$B:$B, $B38, Log!$C:$C, $C38),""))</f>
        <v/>
      </c>
      <c r="O38" s="6" t="str">
        <f>IF(COUNTBLANK($A38:$E38)&gt;0, "", IFERROR(_xlfn.MAXIFS(Log!$G:$G, Log!$A:$A, $A38, Log!$B:$B, $B38, Log!$C:$C, $C38),""))</f>
        <v/>
      </c>
    </row>
    <row r="39" spans="1:15" ht="49.95" customHeight="1" x14ac:dyDescent="0.3">
      <c r="A39" s="103" t="str">
        <f t="shared" si="0"/>
        <v/>
      </c>
      <c r="B39" s="105"/>
      <c r="C39" s="5"/>
      <c r="D39" s="31"/>
      <c r="E39" s="32"/>
      <c r="G39" s="36"/>
      <c r="H39" s="7" t="str">
        <f>IF(COUNTBLANK($A39:$E39)&gt;0, "", IFERROR(AVERAGEIFS(Log!$E:$E, Log!$A:$A, $A39, Log!$B:$B, $B39, Log!$C:$C, $C39),""))</f>
        <v/>
      </c>
      <c r="I39" s="37" t="str">
        <f t="shared" si="1"/>
        <v/>
      </c>
      <c r="J39" s="6" t="str">
        <f>IF(COUNTBLANK($A39:$E39)&gt;0, "", IFERROR(AVERAGEIFS(Log!#REF!, Log!$A:$A, $A39, Log!$B:$B, $B39, Log!$C:$C, $C39),""))</f>
        <v/>
      </c>
      <c r="K39" s="6" t="str">
        <f>IF(COUNTBLANK($A39:$E39)&gt;0, "", IFERROR(_xlfn.MINIFS(Log!$F:$F, Log!$A:$A, $A39, Log!$B:$B, $B39, Log!$C:$C, $C39),""))</f>
        <v/>
      </c>
      <c r="L39" s="6" t="str">
        <f>IF(COUNTBLANK($A39:$E39)&gt;0, "", IFERROR(_xlfn.MAXIFS(Log!$F:$F, Log!$A:$A, $A39, Log!$B:$B, $B39, Log!$C:$C, $C39),""))</f>
        <v/>
      </c>
      <c r="M39" s="6" t="str">
        <f>IF(COUNTBLANK($A39:$E39)&gt;0, "", IFERROR(AVERAGEIFS(Log!#REF!, Log!$A:$A, $A39, Log!$B:$B, $B39, Log!$C:$C, $C39),""))</f>
        <v/>
      </c>
      <c r="N39" s="6" t="str">
        <f>IF(COUNTBLANK($A39:$E39)&gt;0, "", IFERROR(_xlfn.MINIFS(Log!$G:$G, Log!$A:$A, $A39, Log!$B:$B, $B39, Log!$C:$C, $C39),""))</f>
        <v/>
      </c>
      <c r="O39" s="6" t="str">
        <f>IF(COUNTBLANK($A39:$E39)&gt;0, "", IFERROR(_xlfn.MAXIFS(Log!$G:$G, Log!$A:$A, $A39, Log!$B:$B, $B39, Log!$C:$C, $C39),""))</f>
        <v/>
      </c>
    </row>
    <row r="40" spans="1:15" ht="49.95" customHeight="1" x14ac:dyDescent="0.3">
      <c r="A40" s="103" t="str">
        <f t="shared" si="0"/>
        <v/>
      </c>
      <c r="B40" s="105"/>
      <c r="C40" s="5"/>
      <c r="D40" s="31"/>
      <c r="E40" s="32"/>
      <c r="G40" s="36"/>
      <c r="H40" s="7" t="str">
        <f>IF(COUNTBLANK($A40:$E40)&gt;0, "", IFERROR(AVERAGEIFS(Log!$E:$E, Log!$A:$A, $A40, Log!$B:$B, $B40, Log!$C:$C, $C40),""))</f>
        <v/>
      </c>
      <c r="I40" s="37" t="str">
        <f t="shared" si="1"/>
        <v/>
      </c>
      <c r="J40" s="6" t="str">
        <f>IF(COUNTBLANK($A40:$E40)&gt;0, "", IFERROR(AVERAGEIFS(Log!#REF!, Log!$A:$A, $A40, Log!$B:$B, $B40, Log!$C:$C, $C40),""))</f>
        <v/>
      </c>
      <c r="K40" s="6" t="str">
        <f>IF(COUNTBLANK($A40:$E40)&gt;0, "", IFERROR(_xlfn.MINIFS(Log!$F:$F, Log!$A:$A, $A40, Log!$B:$B, $B40, Log!$C:$C, $C40),""))</f>
        <v/>
      </c>
      <c r="L40" s="6" t="str">
        <f>IF(COUNTBLANK($A40:$E40)&gt;0, "", IFERROR(_xlfn.MAXIFS(Log!$F:$F, Log!$A:$A, $A40, Log!$B:$B, $B40, Log!$C:$C, $C40),""))</f>
        <v/>
      </c>
      <c r="M40" s="6" t="str">
        <f>IF(COUNTBLANK($A40:$E40)&gt;0, "", IFERROR(AVERAGEIFS(Log!#REF!, Log!$A:$A, $A40, Log!$B:$B, $B40, Log!$C:$C, $C40),""))</f>
        <v/>
      </c>
      <c r="N40" s="6" t="str">
        <f>IF(COUNTBLANK($A40:$E40)&gt;0, "", IFERROR(_xlfn.MINIFS(Log!$G:$G, Log!$A:$A, $A40, Log!$B:$B, $B40, Log!$C:$C, $C40),""))</f>
        <v/>
      </c>
      <c r="O40" s="6" t="str">
        <f>IF(COUNTBLANK($A40:$E40)&gt;0, "", IFERROR(_xlfn.MAXIFS(Log!$G:$G, Log!$A:$A, $A40, Log!$B:$B, $B40, Log!$C:$C, $C40),""))</f>
        <v/>
      </c>
    </row>
    <row r="41" spans="1:15" ht="49.95" customHeight="1" x14ac:dyDescent="0.3">
      <c r="A41" s="103" t="str">
        <f t="shared" si="0"/>
        <v/>
      </c>
      <c r="B41" s="105"/>
      <c r="C41" s="5"/>
      <c r="D41" s="31"/>
      <c r="E41" s="32"/>
      <c r="G41" s="36"/>
      <c r="H41" s="7" t="str">
        <f>IF(COUNTBLANK($A41:$E41)&gt;0, "", IFERROR(AVERAGEIFS(Log!$E:$E, Log!$A:$A, $A41, Log!$B:$B, $B41, Log!$C:$C, $C41),""))</f>
        <v/>
      </c>
      <c r="I41" s="37" t="str">
        <f t="shared" si="1"/>
        <v/>
      </c>
      <c r="J41" s="6" t="str">
        <f>IF(COUNTBLANK($A41:$E41)&gt;0, "", IFERROR(AVERAGEIFS(Log!#REF!, Log!$A:$A, $A41, Log!$B:$B, $B41, Log!$C:$C, $C41),""))</f>
        <v/>
      </c>
      <c r="K41" s="6" t="str">
        <f>IF(COUNTBLANK($A41:$E41)&gt;0, "", IFERROR(_xlfn.MINIFS(Log!$F:$F, Log!$A:$A, $A41, Log!$B:$B, $B41, Log!$C:$C, $C41),""))</f>
        <v/>
      </c>
      <c r="L41" s="6" t="str">
        <f>IF(COUNTBLANK($A41:$E41)&gt;0, "", IFERROR(_xlfn.MAXIFS(Log!$F:$F, Log!$A:$A, $A41, Log!$B:$B, $B41, Log!$C:$C, $C41),""))</f>
        <v/>
      </c>
      <c r="M41" s="6" t="str">
        <f>IF(COUNTBLANK($A41:$E41)&gt;0, "", IFERROR(AVERAGEIFS(Log!#REF!, Log!$A:$A, $A41, Log!$B:$B, $B41, Log!$C:$C, $C41),""))</f>
        <v/>
      </c>
      <c r="N41" s="6" t="str">
        <f>IF(COUNTBLANK($A41:$E41)&gt;0, "", IFERROR(_xlfn.MINIFS(Log!$G:$G, Log!$A:$A, $A41, Log!$B:$B, $B41, Log!$C:$C, $C41),""))</f>
        <v/>
      </c>
      <c r="O41" s="6" t="str">
        <f>IF(COUNTBLANK($A41:$E41)&gt;0, "", IFERROR(_xlfn.MAXIFS(Log!$G:$G, Log!$A:$A, $A41, Log!$B:$B, $B41, Log!$C:$C, $C41),""))</f>
        <v/>
      </c>
    </row>
    <row r="42" spans="1:15" ht="49.95" customHeight="1" x14ac:dyDescent="0.3">
      <c r="A42" s="103" t="str">
        <f t="shared" si="0"/>
        <v/>
      </c>
      <c r="B42" s="105"/>
      <c r="C42" s="5"/>
      <c r="D42" s="31"/>
      <c r="E42" s="32"/>
      <c r="G42" s="36"/>
      <c r="H42" s="7" t="str">
        <f>IF(COUNTBLANK($A42:$E42)&gt;0, "", IFERROR(AVERAGEIFS(Log!$E:$E, Log!$A:$A, $A42, Log!$B:$B, $B42, Log!$C:$C, $C42),""))</f>
        <v/>
      </c>
      <c r="I42" s="37" t="str">
        <f t="shared" si="1"/>
        <v/>
      </c>
      <c r="J42" s="6" t="str">
        <f>IF(COUNTBLANK($A42:$E42)&gt;0, "", IFERROR(AVERAGEIFS(Log!#REF!, Log!$A:$A, $A42, Log!$B:$B, $B42, Log!$C:$C, $C42),""))</f>
        <v/>
      </c>
      <c r="K42" s="6" t="str">
        <f>IF(COUNTBLANK($A42:$E42)&gt;0, "", IFERROR(_xlfn.MINIFS(Log!$F:$F, Log!$A:$A, $A42, Log!$B:$B, $B42, Log!$C:$C, $C42),""))</f>
        <v/>
      </c>
      <c r="L42" s="6" t="str">
        <f>IF(COUNTBLANK($A42:$E42)&gt;0, "", IFERROR(_xlfn.MAXIFS(Log!$F:$F, Log!$A:$A, $A42, Log!$B:$B, $B42, Log!$C:$C, $C42),""))</f>
        <v/>
      </c>
      <c r="M42" s="6" t="str">
        <f>IF(COUNTBLANK($A42:$E42)&gt;0, "", IFERROR(AVERAGEIFS(Log!#REF!, Log!$A:$A, $A42, Log!$B:$B, $B42, Log!$C:$C, $C42),""))</f>
        <v/>
      </c>
      <c r="N42" s="6" t="str">
        <f>IF(COUNTBLANK($A42:$E42)&gt;0, "", IFERROR(_xlfn.MINIFS(Log!$G:$G, Log!$A:$A, $A42, Log!$B:$B, $B42, Log!$C:$C, $C42),""))</f>
        <v/>
      </c>
      <c r="O42" s="6" t="str">
        <f>IF(COUNTBLANK($A42:$E42)&gt;0, "", IFERROR(_xlfn.MAXIFS(Log!$G:$G, Log!$A:$A, $A42, Log!$B:$B, $B42, Log!$C:$C, $C42),""))</f>
        <v/>
      </c>
    </row>
    <row r="43" spans="1:15" ht="49.95" customHeight="1" x14ac:dyDescent="0.3">
      <c r="A43" s="103" t="str">
        <f t="shared" si="0"/>
        <v/>
      </c>
      <c r="B43" s="105"/>
      <c r="C43" s="5"/>
      <c r="D43" s="31"/>
      <c r="E43" s="32"/>
      <c r="G43" s="36"/>
      <c r="H43" s="7" t="str">
        <f>IF(COUNTBLANK($A43:$E43)&gt;0, "", IFERROR(AVERAGEIFS(Log!$E:$E, Log!$A:$A, $A43, Log!$B:$B, $B43, Log!$C:$C, $C43),""))</f>
        <v/>
      </c>
      <c r="I43" s="37" t="str">
        <f t="shared" si="1"/>
        <v/>
      </c>
      <c r="J43" s="6" t="str">
        <f>IF(COUNTBLANK($A43:$E43)&gt;0, "", IFERROR(AVERAGEIFS(Log!#REF!, Log!$A:$A, $A43, Log!$B:$B, $B43, Log!$C:$C, $C43),""))</f>
        <v/>
      </c>
      <c r="K43" s="6" t="str">
        <f>IF(COUNTBLANK($A43:$E43)&gt;0, "", IFERROR(_xlfn.MINIFS(Log!$F:$F, Log!$A:$A, $A43, Log!$B:$B, $B43, Log!$C:$C, $C43),""))</f>
        <v/>
      </c>
      <c r="L43" s="6" t="str">
        <f>IF(COUNTBLANK($A43:$E43)&gt;0, "", IFERROR(_xlfn.MAXIFS(Log!$F:$F, Log!$A:$A, $A43, Log!$B:$B, $B43, Log!$C:$C, $C43),""))</f>
        <v/>
      </c>
      <c r="M43" s="6" t="str">
        <f>IF(COUNTBLANK($A43:$E43)&gt;0, "", IFERROR(AVERAGEIFS(Log!#REF!, Log!$A:$A, $A43, Log!$B:$B, $B43, Log!$C:$C, $C43),""))</f>
        <v/>
      </c>
      <c r="N43" s="6" t="str">
        <f>IF(COUNTBLANK($A43:$E43)&gt;0, "", IFERROR(_xlfn.MINIFS(Log!$G:$G, Log!$A:$A, $A43, Log!$B:$B, $B43, Log!$C:$C, $C43),""))</f>
        <v/>
      </c>
      <c r="O43" s="6" t="str">
        <f>IF(COUNTBLANK($A43:$E43)&gt;0, "", IFERROR(_xlfn.MAXIFS(Log!$G:$G, Log!$A:$A, $A43, Log!$B:$B, $B43, Log!$C:$C, $C43),""))</f>
        <v/>
      </c>
    </row>
    <row r="44" spans="1:15" ht="49.95" customHeight="1" x14ac:dyDescent="0.3">
      <c r="A44" s="103" t="str">
        <f t="shared" si="0"/>
        <v/>
      </c>
      <c r="B44" s="105"/>
      <c r="C44" s="5"/>
      <c r="D44" s="31"/>
      <c r="E44" s="32"/>
      <c r="G44" s="36"/>
      <c r="H44" s="7" t="str">
        <f>IF(COUNTBLANK($A44:$E44)&gt;0, "", IFERROR(AVERAGEIFS(Log!$E:$E, Log!$A:$A, $A44, Log!$B:$B, $B44, Log!$C:$C, $C44),""))</f>
        <v/>
      </c>
      <c r="I44" s="37" t="str">
        <f t="shared" si="1"/>
        <v/>
      </c>
      <c r="J44" s="6" t="str">
        <f>IF(COUNTBLANK($A44:$E44)&gt;0, "", IFERROR(AVERAGEIFS(Log!#REF!, Log!$A:$A, $A44, Log!$B:$B, $B44, Log!$C:$C, $C44),""))</f>
        <v/>
      </c>
      <c r="K44" s="6" t="str">
        <f>IF(COUNTBLANK($A44:$E44)&gt;0, "", IFERROR(_xlfn.MINIFS(Log!$F:$F, Log!$A:$A, $A44, Log!$B:$B, $B44, Log!$C:$C, $C44),""))</f>
        <v/>
      </c>
      <c r="L44" s="6" t="str">
        <f>IF(COUNTBLANK($A44:$E44)&gt;0, "", IFERROR(_xlfn.MAXIFS(Log!$F:$F, Log!$A:$A, $A44, Log!$B:$B, $B44, Log!$C:$C, $C44),""))</f>
        <v/>
      </c>
      <c r="M44" s="6" t="str">
        <f>IF(COUNTBLANK($A44:$E44)&gt;0, "", IFERROR(AVERAGEIFS(Log!#REF!, Log!$A:$A, $A44, Log!$B:$B, $B44, Log!$C:$C, $C44),""))</f>
        <v/>
      </c>
      <c r="N44" s="6" t="str">
        <f>IF(COUNTBLANK($A44:$E44)&gt;0, "", IFERROR(_xlfn.MINIFS(Log!$G:$G, Log!$A:$A, $A44, Log!$B:$B, $B44, Log!$C:$C, $C44),""))</f>
        <v/>
      </c>
      <c r="O44" s="6" t="str">
        <f>IF(COUNTBLANK($A44:$E44)&gt;0, "", IFERROR(_xlfn.MAXIFS(Log!$G:$G, Log!$A:$A, $A44, Log!$B:$B, $B44, Log!$C:$C, $C44),""))</f>
        <v/>
      </c>
    </row>
    <row r="45" spans="1:15" ht="49.95" customHeight="1" x14ac:dyDescent="0.3">
      <c r="A45" s="103" t="str">
        <f t="shared" si="0"/>
        <v/>
      </c>
      <c r="B45" s="105"/>
      <c r="C45" s="5"/>
      <c r="D45" s="31"/>
      <c r="E45" s="32"/>
      <c r="G45" s="36"/>
      <c r="H45" s="7" t="str">
        <f>IF(COUNTBLANK($A45:$E45)&gt;0, "", IFERROR(AVERAGEIFS(Log!$E:$E, Log!$A:$A, $A45, Log!$B:$B, $B45, Log!$C:$C, $C45),""))</f>
        <v/>
      </c>
      <c r="I45" s="37" t="str">
        <f t="shared" si="1"/>
        <v/>
      </c>
      <c r="J45" s="6" t="str">
        <f>IF(COUNTBLANK($A45:$E45)&gt;0, "", IFERROR(AVERAGEIFS(Log!#REF!, Log!$A:$A, $A45, Log!$B:$B, $B45, Log!$C:$C, $C45),""))</f>
        <v/>
      </c>
      <c r="K45" s="6" t="str">
        <f>IF(COUNTBLANK($A45:$E45)&gt;0, "", IFERROR(_xlfn.MINIFS(Log!$F:$F, Log!$A:$A, $A45, Log!$B:$B, $B45, Log!$C:$C, $C45),""))</f>
        <v/>
      </c>
      <c r="L45" s="6" t="str">
        <f>IF(COUNTBLANK($A45:$E45)&gt;0, "", IFERROR(_xlfn.MAXIFS(Log!$F:$F, Log!$A:$A, $A45, Log!$B:$B, $B45, Log!$C:$C, $C45),""))</f>
        <v/>
      </c>
      <c r="M45" s="6" t="str">
        <f>IF(COUNTBLANK($A45:$E45)&gt;0, "", IFERROR(AVERAGEIFS(Log!#REF!, Log!$A:$A, $A45, Log!$B:$B, $B45, Log!$C:$C, $C45),""))</f>
        <v/>
      </c>
      <c r="N45" s="6" t="str">
        <f>IF(COUNTBLANK($A45:$E45)&gt;0, "", IFERROR(_xlfn.MINIFS(Log!$G:$G, Log!$A:$A, $A45, Log!$B:$B, $B45, Log!$C:$C, $C45),""))</f>
        <v/>
      </c>
      <c r="O45" s="6" t="str">
        <f>IF(COUNTBLANK($A45:$E45)&gt;0, "", IFERROR(_xlfn.MAXIFS(Log!$G:$G, Log!$A:$A, $A45, Log!$B:$B, $B45, Log!$C:$C, $C45),""))</f>
        <v/>
      </c>
    </row>
    <row r="46" spans="1:15" ht="49.95" customHeight="1" x14ac:dyDescent="0.3">
      <c r="A46" s="103" t="str">
        <f t="shared" si="0"/>
        <v/>
      </c>
      <c r="B46" s="105"/>
      <c r="C46" s="5"/>
      <c r="D46" s="31"/>
      <c r="E46" s="32"/>
      <c r="G46" s="36"/>
      <c r="H46" s="7" t="str">
        <f>IF(COUNTBLANK($A46:$E46)&gt;0, "", IFERROR(AVERAGEIFS(Log!$E:$E, Log!$A:$A, $A46, Log!$B:$B, $B46, Log!$C:$C, $C46),""))</f>
        <v/>
      </c>
      <c r="I46" s="37" t="str">
        <f t="shared" si="1"/>
        <v/>
      </c>
      <c r="J46" s="6" t="str">
        <f>IF(COUNTBLANK($A46:$E46)&gt;0, "", IFERROR(AVERAGEIFS(Log!#REF!, Log!$A:$A, $A46, Log!$B:$B, $B46, Log!$C:$C, $C46),""))</f>
        <v/>
      </c>
      <c r="K46" s="6" t="str">
        <f>IF(COUNTBLANK($A46:$E46)&gt;0, "", IFERROR(_xlfn.MINIFS(Log!$F:$F, Log!$A:$A, $A46, Log!$B:$B, $B46, Log!$C:$C, $C46),""))</f>
        <v/>
      </c>
      <c r="L46" s="6" t="str">
        <f>IF(COUNTBLANK($A46:$E46)&gt;0, "", IFERROR(_xlfn.MAXIFS(Log!$F:$F, Log!$A:$A, $A46, Log!$B:$B, $B46, Log!$C:$C, $C46),""))</f>
        <v/>
      </c>
      <c r="M46" s="6" t="str">
        <f>IF(COUNTBLANK($A46:$E46)&gt;0, "", IFERROR(AVERAGEIFS(Log!#REF!, Log!$A:$A, $A46, Log!$B:$B, $B46, Log!$C:$C, $C46),""))</f>
        <v/>
      </c>
      <c r="N46" s="6" t="str">
        <f>IF(COUNTBLANK($A46:$E46)&gt;0, "", IFERROR(_xlfn.MINIFS(Log!$G:$G, Log!$A:$A, $A46, Log!$B:$B, $B46, Log!$C:$C, $C46),""))</f>
        <v/>
      </c>
      <c r="O46" s="6" t="str">
        <f>IF(COUNTBLANK($A46:$E46)&gt;0, "", IFERROR(_xlfn.MAXIFS(Log!$G:$G, Log!$A:$A, $A46, Log!$B:$B, $B46, Log!$C:$C, $C46),""))</f>
        <v/>
      </c>
    </row>
    <row r="47" spans="1:15" ht="49.95" customHeight="1" x14ac:dyDescent="0.3">
      <c r="A47" s="103" t="str">
        <f t="shared" si="0"/>
        <v/>
      </c>
      <c r="B47" s="105"/>
      <c r="C47" s="5"/>
      <c r="D47" s="31"/>
      <c r="E47" s="32"/>
      <c r="G47" s="36"/>
      <c r="H47" s="7" t="str">
        <f>IF(COUNTBLANK($A47:$E47)&gt;0, "", IFERROR(AVERAGEIFS(Log!$E:$E, Log!$A:$A, $A47, Log!$B:$B, $B47, Log!$C:$C, $C47),""))</f>
        <v/>
      </c>
      <c r="I47" s="37" t="str">
        <f t="shared" si="1"/>
        <v/>
      </c>
      <c r="J47" s="6" t="str">
        <f>IF(COUNTBLANK($A47:$E47)&gt;0, "", IFERROR(AVERAGEIFS(Log!#REF!, Log!$A:$A, $A47, Log!$B:$B, $B47, Log!$C:$C, $C47),""))</f>
        <v/>
      </c>
      <c r="K47" s="6" t="str">
        <f>IF(COUNTBLANK($A47:$E47)&gt;0, "", IFERROR(_xlfn.MINIFS(Log!$F:$F, Log!$A:$A, $A47, Log!$B:$B, $B47, Log!$C:$C, $C47),""))</f>
        <v/>
      </c>
      <c r="L47" s="6" t="str">
        <f>IF(COUNTBLANK($A47:$E47)&gt;0, "", IFERROR(_xlfn.MAXIFS(Log!$F:$F, Log!$A:$A, $A47, Log!$B:$B, $B47, Log!$C:$C, $C47),""))</f>
        <v/>
      </c>
      <c r="M47" s="6" t="str">
        <f>IF(COUNTBLANK($A47:$E47)&gt;0, "", IFERROR(AVERAGEIFS(Log!#REF!, Log!$A:$A, $A47, Log!$B:$B, $B47, Log!$C:$C, $C47),""))</f>
        <v/>
      </c>
      <c r="N47" s="6" t="str">
        <f>IF(COUNTBLANK($A47:$E47)&gt;0, "", IFERROR(_xlfn.MINIFS(Log!$G:$G, Log!$A:$A, $A47, Log!$B:$B, $B47, Log!$C:$C, $C47),""))</f>
        <v/>
      </c>
      <c r="O47" s="6" t="str">
        <f>IF(COUNTBLANK($A47:$E47)&gt;0, "", IFERROR(_xlfn.MAXIFS(Log!$G:$G, Log!$A:$A, $A47, Log!$B:$B, $B47, Log!$C:$C, $C47),""))</f>
        <v/>
      </c>
    </row>
    <row r="48" spans="1:15" ht="49.95" customHeight="1" x14ac:dyDescent="0.3">
      <c r="A48" s="103" t="str">
        <f t="shared" si="0"/>
        <v/>
      </c>
      <c r="B48" s="105"/>
      <c r="C48" s="5"/>
      <c r="D48" s="31"/>
      <c r="E48" s="32"/>
      <c r="G48" s="36"/>
      <c r="H48" s="7" t="str">
        <f>IF(COUNTBLANK($A48:$E48)&gt;0, "", IFERROR(AVERAGEIFS(Log!$E:$E, Log!$A:$A, $A48, Log!$B:$B, $B48, Log!$C:$C, $C48),""))</f>
        <v/>
      </c>
      <c r="I48" s="37" t="str">
        <f t="shared" si="1"/>
        <v/>
      </c>
      <c r="J48" s="6" t="str">
        <f>IF(COUNTBLANK($A48:$E48)&gt;0, "", IFERROR(AVERAGEIFS(Log!#REF!, Log!$A:$A, $A48, Log!$B:$B, $B48, Log!$C:$C, $C48),""))</f>
        <v/>
      </c>
      <c r="K48" s="6" t="str">
        <f>IF(COUNTBLANK($A48:$E48)&gt;0, "", IFERROR(_xlfn.MINIFS(Log!$F:$F, Log!$A:$A, $A48, Log!$B:$B, $B48, Log!$C:$C, $C48),""))</f>
        <v/>
      </c>
      <c r="L48" s="6" t="str">
        <f>IF(COUNTBLANK($A48:$E48)&gt;0, "", IFERROR(_xlfn.MAXIFS(Log!$F:$F, Log!$A:$A, $A48, Log!$B:$B, $B48, Log!$C:$C, $C48),""))</f>
        <v/>
      </c>
      <c r="M48" s="6" t="str">
        <f>IF(COUNTBLANK($A48:$E48)&gt;0, "", IFERROR(AVERAGEIFS(Log!#REF!, Log!$A:$A, $A48, Log!$B:$B, $B48, Log!$C:$C, $C48),""))</f>
        <v/>
      </c>
      <c r="N48" s="6" t="str">
        <f>IF(COUNTBLANK($A48:$E48)&gt;0, "", IFERROR(_xlfn.MINIFS(Log!$G:$G, Log!$A:$A, $A48, Log!$B:$B, $B48, Log!$C:$C, $C48),""))</f>
        <v/>
      </c>
      <c r="O48" s="6" t="str">
        <f>IF(COUNTBLANK($A48:$E48)&gt;0, "", IFERROR(_xlfn.MAXIFS(Log!$G:$G, Log!$A:$A, $A48, Log!$B:$B, $B48, Log!$C:$C, $C48),""))</f>
        <v/>
      </c>
    </row>
    <row r="49" spans="1:15" ht="49.95" customHeight="1" x14ac:dyDescent="0.3">
      <c r="A49" s="103" t="str">
        <f t="shared" si="0"/>
        <v/>
      </c>
      <c r="B49" s="105"/>
      <c r="C49" s="5"/>
      <c r="D49" s="31"/>
      <c r="E49" s="32"/>
      <c r="G49" s="36"/>
      <c r="H49" s="7" t="str">
        <f>IF(COUNTBLANK($A49:$E49)&gt;0, "", IFERROR(AVERAGEIFS(Log!$E:$E, Log!$A:$A, $A49, Log!$B:$B, $B49, Log!$C:$C, $C49),""))</f>
        <v/>
      </c>
      <c r="I49" s="37" t="str">
        <f t="shared" si="1"/>
        <v/>
      </c>
      <c r="J49" s="6" t="str">
        <f>IF(COUNTBLANK($A49:$E49)&gt;0, "", IFERROR(AVERAGEIFS(Log!#REF!, Log!$A:$A, $A49, Log!$B:$B, $B49, Log!$C:$C, $C49),""))</f>
        <v/>
      </c>
      <c r="K49" s="6" t="str">
        <f>IF(COUNTBLANK($A49:$E49)&gt;0, "", IFERROR(_xlfn.MINIFS(Log!$F:$F, Log!$A:$A, $A49, Log!$B:$B, $B49, Log!$C:$C, $C49),""))</f>
        <v/>
      </c>
      <c r="L49" s="6" t="str">
        <f>IF(COUNTBLANK($A49:$E49)&gt;0, "", IFERROR(_xlfn.MAXIFS(Log!$F:$F, Log!$A:$A, $A49, Log!$B:$B, $B49, Log!$C:$C, $C49),""))</f>
        <v/>
      </c>
      <c r="M49" s="6" t="str">
        <f>IF(COUNTBLANK($A49:$E49)&gt;0, "", IFERROR(AVERAGEIFS(Log!#REF!, Log!$A:$A, $A49, Log!$B:$B, $B49, Log!$C:$C, $C49),""))</f>
        <v/>
      </c>
      <c r="N49" s="6" t="str">
        <f>IF(COUNTBLANK($A49:$E49)&gt;0, "", IFERROR(_xlfn.MINIFS(Log!$G:$G, Log!$A:$A, $A49, Log!$B:$B, $B49, Log!$C:$C, $C49),""))</f>
        <v/>
      </c>
      <c r="O49" s="6" t="str">
        <f>IF(COUNTBLANK($A49:$E49)&gt;0, "", IFERROR(_xlfn.MAXIFS(Log!$G:$G, Log!$A:$A, $A49, Log!$B:$B, $B49, Log!$C:$C, $C49),""))</f>
        <v/>
      </c>
    </row>
    <row r="50" spans="1:15" ht="49.95" customHeight="1" x14ac:dyDescent="0.3">
      <c r="A50" s="103" t="str">
        <f t="shared" si="0"/>
        <v/>
      </c>
      <c r="B50" s="105"/>
      <c r="C50" s="5"/>
      <c r="D50" s="31"/>
      <c r="E50" s="32"/>
      <c r="G50" s="36"/>
      <c r="H50" s="7" t="str">
        <f>IF(COUNTBLANK($A50:$E50)&gt;0, "", IFERROR(AVERAGEIFS(Log!$E:$E, Log!$A:$A, $A50, Log!$B:$B, $B50, Log!$C:$C, $C50),""))</f>
        <v/>
      </c>
      <c r="I50" s="37" t="str">
        <f t="shared" si="1"/>
        <v/>
      </c>
      <c r="J50" s="6" t="str">
        <f>IF(COUNTBLANK($A50:$E50)&gt;0, "", IFERROR(AVERAGEIFS(Log!#REF!, Log!$A:$A, $A50, Log!$B:$B, $B50, Log!$C:$C, $C50),""))</f>
        <v/>
      </c>
      <c r="K50" s="6" t="str">
        <f>IF(COUNTBLANK($A50:$E50)&gt;0, "", IFERROR(_xlfn.MINIFS(Log!$F:$F, Log!$A:$A, $A50, Log!$B:$B, $B50, Log!$C:$C, $C50),""))</f>
        <v/>
      </c>
      <c r="L50" s="6" t="str">
        <f>IF(COUNTBLANK($A50:$E50)&gt;0, "", IFERROR(_xlfn.MAXIFS(Log!$F:$F, Log!$A:$A, $A50, Log!$B:$B, $B50, Log!$C:$C, $C50),""))</f>
        <v/>
      </c>
      <c r="M50" s="6" t="str">
        <f>IF(COUNTBLANK($A50:$E50)&gt;0, "", IFERROR(AVERAGEIFS(Log!#REF!, Log!$A:$A, $A50, Log!$B:$B, $B50, Log!$C:$C, $C50),""))</f>
        <v/>
      </c>
      <c r="N50" s="6" t="str">
        <f>IF(COUNTBLANK($A50:$E50)&gt;0, "", IFERROR(_xlfn.MINIFS(Log!$G:$G, Log!$A:$A, $A50, Log!$B:$B, $B50, Log!$C:$C, $C50),""))</f>
        <v/>
      </c>
      <c r="O50" s="6" t="str">
        <f>IF(COUNTBLANK($A50:$E50)&gt;0, "", IFERROR(_xlfn.MAXIFS(Log!$G:$G, Log!$A:$A, $A50, Log!$B:$B, $B50, Log!$C:$C, $C50),""))</f>
        <v/>
      </c>
    </row>
    <row r="51" spans="1:15" ht="49.95" customHeight="1" x14ac:dyDescent="0.3">
      <c r="A51" s="103" t="str">
        <f t="shared" si="0"/>
        <v/>
      </c>
      <c r="B51" s="105"/>
      <c r="C51" s="5"/>
      <c r="D51" s="31"/>
      <c r="E51" s="32"/>
      <c r="G51" s="36"/>
      <c r="H51" s="7" t="str">
        <f>IF(COUNTBLANK($A51:$E51)&gt;0, "", IFERROR(AVERAGEIFS(Log!$E:$E, Log!$A:$A, $A51, Log!$B:$B, $B51, Log!$C:$C, $C51),""))</f>
        <v/>
      </c>
      <c r="I51" s="37" t="str">
        <f t="shared" si="1"/>
        <v/>
      </c>
      <c r="J51" s="6" t="str">
        <f>IF(COUNTBLANK($A51:$E51)&gt;0, "", IFERROR(AVERAGEIFS(Log!#REF!, Log!$A:$A, $A51, Log!$B:$B, $B51, Log!$C:$C, $C51),""))</f>
        <v/>
      </c>
      <c r="K51" s="6" t="str">
        <f>IF(COUNTBLANK($A51:$E51)&gt;0, "", IFERROR(_xlfn.MINIFS(Log!$F:$F, Log!$A:$A, $A51, Log!$B:$B, $B51, Log!$C:$C, $C51),""))</f>
        <v/>
      </c>
      <c r="L51" s="6" t="str">
        <f>IF(COUNTBLANK($A51:$E51)&gt;0, "", IFERROR(_xlfn.MAXIFS(Log!$F:$F, Log!$A:$A, $A51, Log!$B:$B, $B51, Log!$C:$C, $C51),""))</f>
        <v/>
      </c>
      <c r="M51" s="6" t="str">
        <f>IF(COUNTBLANK($A51:$E51)&gt;0, "", IFERROR(AVERAGEIFS(Log!#REF!, Log!$A:$A, $A51, Log!$B:$B, $B51, Log!$C:$C, $C51),""))</f>
        <v/>
      </c>
      <c r="N51" s="6" t="str">
        <f>IF(COUNTBLANK($A51:$E51)&gt;0, "", IFERROR(_xlfn.MINIFS(Log!$G:$G, Log!$A:$A, $A51, Log!$B:$B, $B51, Log!$C:$C, $C51),""))</f>
        <v/>
      </c>
      <c r="O51" s="6" t="str">
        <f>IF(COUNTBLANK($A51:$E51)&gt;0, "", IFERROR(_xlfn.MAXIFS(Log!$G:$G, Log!$A:$A, $A51, Log!$B:$B, $B51, Log!$C:$C, $C51),""))</f>
        <v/>
      </c>
    </row>
    <row r="52" spans="1:15" ht="49.95" customHeight="1" x14ac:dyDescent="0.3">
      <c r="A52" s="103" t="str">
        <f t="shared" si="0"/>
        <v/>
      </c>
      <c r="B52" s="105"/>
      <c r="C52" s="5"/>
      <c r="D52" s="31"/>
      <c r="E52" s="32"/>
      <c r="G52" s="36"/>
      <c r="H52" s="7" t="str">
        <f>IF(COUNTBLANK($A52:$E52)&gt;0, "", IFERROR(AVERAGEIFS(Log!$E:$E, Log!$A:$A, $A52, Log!$B:$B, $B52, Log!$C:$C, $C52),""))</f>
        <v/>
      </c>
      <c r="I52" s="37" t="str">
        <f t="shared" si="1"/>
        <v/>
      </c>
      <c r="J52" s="6" t="str">
        <f>IF(COUNTBLANK($A52:$E52)&gt;0, "", IFERROR(AVERAGEIFS(Log!#REF!, Log!$A:$A, $A52, Log!$B:$B, $B52, Log!$C:$C, $C52),""))</f>
        <v/>
      </c>
      <c r="K52" s="6" t="str">
        <f>IF(COUNTBLANK($A52:$E52)&gt;0, "", IFERROR(_xlfn.MINIFS(Log!$F:$F, Log!$A:$A, $A52, Log!$B:$B, $B52, Log!$C:$C, $C52),""))</f>
        <v/>
      </c>
      <c r="L52" s="6" t="str">
        <f>IF(COUNTBLANK($A52:$E52)&gt;0, "", IFERROR(_xlfn.MAXIFS(Log!$F:$F, Log!$A:$A, $A52, Log!$B:$B, $B52, Log!$C:$C, $C52),""))</f>
        <v/>
      </c>
      <c r="M52" s="6" t="str">
        <f>IF(COUNTBLANK($A52:$E52)&gt;0, "", IFERROR(AVERAGEIFS(Log!#REF!, Log!$A:$A, $A52, Log!$B:$B, $B52, Log!$C:$C, $C52),""))</f>
        <v/>
      </c>
      <c r="N52" s="6" t="str">
        <f>IF(COUNTBLANK($A52:$E52)&gt;0, "", IFERROR(_xlfn.MINIFS(Log!$G:$G, Log!$A:$A, $A52, Log!$B:$B, $B52, Log!$C:$C, $C52),""))</f>
        <v/>
      </c>
      <c r="O52" s="6" t="str">
        <f>IF(COUNTBLANK($A52:$E52)&gt;0, "", IFERROR(_xlfn.MAXIFS(Log!$G:$G, Log!$A:$A, $A52, Log!$B:$B, $B52, Log!$C:$C, $C52),""))</f>
        <v/>
      </c>
    </row>
    <row r="53" spans="1:15" ht="49.95" customHeight="1" x14ac:dyDescent="0.3">
      <c r="A53" s="103" t="str">
        <f t="shared" si="0"/>
        <v/>
      </c>
      <c r="B53" s="105"/>
      <c r="C53" s="5"/>
      <c r="D53" s="31"/>
      <c r="E53" s="32"/>
      <c r="G53" s="36"/>
      <c r="H53" s="7" t="str">
        <f>IF(COUNTBLANK($A53:$E53)&gt;0, "", IFERROR(AVERAGEIFS(Log!$E:$E, Log!$A:$A, $A53, Log!$B:$B, $B53, Log!$C:$C, $C53),""))</f>
        <v/>
      </c>
      <c r="I53" s="37" t="str">
        <f t="shared" si="1"/>
        <v/>
      </c>
      <c r="J53" s="6" t="str">
        <f>IF(COUNTBLANK($A53:$E53)&gt;0, "", IFERROR(AVERAGEIFS(Log!#REF!, Log!$A:$A, $A53, Log!$B:$B, $B53, Log!$C:$C, $C53),""))</f>
        <v/>
      </c>
      <c r="K53" s="6" t="str">
        <f>IF(COUNTBLANK($A53:$E53)&gt;0, "", IFERROR(_xlfn.MINIFS(Log!$F:$F, Log!$A:$A, $A53, Log!$B:$B, $B53, Log!$C:$C, $C53),""))</f>
        <v/>
      </c>
      <c r="L53" s="6" t="str">
        <f>IF(COUNTBLANK($A53:$E53)&gt;0, "", IFERROR(_xlfn.MAXIFS(Log!$F:$F, Log!$A:$A, $A53, Log!$B:$B, $B53, Log!$C:$C, $C53),""))</f>
        <v/>
      </c>
      <c r="M53" s="6" t="str">
        <f>IF(COUNTBLANK($A53:$E53)&gt;0, "", IFERROR(AVERAGEIFS(Log!#REF!, Log!$A:$A, $A53, Log!$B:$B, $B53, Log!$C:$C, $C53),""))</f>
        <v/>
      </c>
      <c r="N53" s="6" t="str">
        <f>IF(COUNTBLANK($A53:$E53)&gt;0, "", IFERROR(_xlfn.MINIFS(Log!$G:$G, Log!$A:$A, $A53, Log!$B:$B, $B53, Log!$C:$C, $C53),""))</f>
        <v/>
      </c>
      <c r="O53" s="6" t="str">
        <f>IF(COUNTBLANK($A53:$E53)&gt;0, "", IFERROR(_xlfn.MAXIFS(Log!$G:$G, Log!$A:$A, $A53, Log!$B:$B, $B53, Log!$C:$C, $C53),""))</f>
        <v/>
      </c>
    </row>
    <row r="54" spans="1:15" ht="49.95" customHeight="1" x14ac:dyDescent="0.3">
      <c r="A54" s="103" t="str">
        <f t="shared" si="0"/>
        <v/>
      </c>
      <c r="B54" s="105"/>
      <c r="C54" s="5"/>
      <c r="D54" s="31"/>
      <c r="E54" s="32"/>
      <c r="G54" s="36"/>
      <c r="H54" s="7" t="str">
        <f>IF(COUNTBLANK($A54:$E54)&gt;0, "", IFERROR(AVERAGEIFS(Log!$E:$E, Log!$A:$A, $A54, Log!$B:$B, $B54, Log!$C:$C, $C54),""))</f>
        <v/>
      </c>
      <c r="I54" s="37" t="str">
        <f t="shared" si="1"/>
        <v/>
      </c>
      <c r="J54" s="6" t="str">
        <f>IF(COUNTBLANK($A54:$E54)&gt;0, "", IFERROR(AVERAGEIFS(Log!#REF!, Log!$A:$A, $A54, Log!$B:$B, $B54, Log!$C:$C, $C54),""))</f>
        <v/>
      </c>
      <c r="K54" s="6" t="str">
        <f>IF(COUNTBLANK($A54:$E54)&gt;0, "", IFERROR(_xlfn.MINIFS(Log!$F:$F, Log!$A:$A, $A54, Log!$B:$B, $B54, Log!$C:$C, $C54),""))</f>
        <v/>
      </c>
      <c r="L54" s="6" t="str">
        <f>IF(COUNTBLANK($A54:$E54)&gt;0, "", IFERROR(_xlfn.MAXIFS(Log!$F:$F, Log!$A:$A, $A54, Log!$B:$B, $B54, Log!$C:$C, $C54),""))</f>
        <v/>
      </c>
      <c r="M54" s="6" t="str">
        <f>IF(COUNTBLANK($A54:$E54)&gt;0, "", IFERROR(AVERAGEIFS(Log!#REF!, Log!$A:$A, $A54, Log!$B:$B, $B54, Log!$C:$C, $C54),""))</f>
        <v/>
      </c>
      <c r="N54" s="6" t="str">
        <f>IF(COUNTBLANK($A54:$E54)&gt;0, "", IFERROR(_xlfn.MINIFS(Log!$G:$G, Log!$A:$A, $A54, Log!$B:$B, $B54, Log!$C:$C, $C54),""))</f>
        <v/>
      </c>
      <c r="O54" s="6" t="str">
        <f>IF(COUNTBLANK($A54:$E54)&gt;0, "", IFERROR(_xlfn.MAXIFS(Log!$G:$G, Log!$A:$A, $A54, Log!$B:$B, $B54, Log!$C:$C, $C54),""))</f>
        <v/>
      </c>
    </row>
    <row r="55" spans="1:15" ht="49.95" customHeight="1" x14ac:dyDescent="0.3">
      <c r="A55" s="103" t="str">
        <f t="shared" si="0"/>
        <v/>
      </c>
      <c r="B55" s="105"/>
      <c r="C55" s="5"/>
      <c r="D55" s="31"/>
      <c r="E55" s="32"/>
      <c r="G55" s="36"/>
      <c r="H55" s="7" t="str">
        <f>IF(COUNTBLANK($A55:$E55)&gt;0, "", IFERROR(AVERAGEIFS(Log!$E:$E, Log!$A:$A, $A55, Log!$B:$B, $B55, Log!$C:$C, $C55),""))</f>
        <v/>
      </c>
      <c r="I55" s="37" t="str">
        <f t="shared" si="1"/>
        <v/>
      </c>
      <c r="J55" s="6" t="str">
        <f>IF(COUNTBLANK($A55:$E55)&gt;0, "", IFERROR(AVERAGEIFS(Log!#REF!, Log!$A:$A, $A55, Log!$B:$B, $B55, Log!$C:$C, $C55),""))</f>
        <v/>
      </c>
      <c r="K55" s="6" t="str">
        <f>IF(COUNTBLANK($A55:$E55)&gt;0, "", IFERROR(_xlfn.MINIFS(Log!$F:$F, Log!$A:$A, $A55, Log!$B:$B, $B55, Log!$C:$C, $C55),""))</f>
        <v/>
      </c>
      <c r="L55" s="6" t="str">
        <f>IF(COUNTBLANK($A55:$E55)&gt;0, "", IFERROR(_xlfn.MAXIFS(Log!$F:$F, Log!$A:$A, $A55, Log!$B:$B, $B55, Log!$C:$C, $C55),""))</f>
        <v/>
      </c>
      <c r="M55" s="6" t="str">
        <f>IF(COUNTBLANK($A55:$E55)&gt;0, "", IFERROR(AVERAGEIFS(Log!#REF!, Log!$A:$A, $A55, Log!$B:$B, $B55, Log!$C:$C, $C55),""))</f>
        <v/>
      </c>
      <c r="N55" s="6" t="str">
        <f>IF(COUNTBLANK($A55:$E55)&gt;0, "", IFERROR(_xlfn.MINIFS(Log!$G:$G, Log!$A:$A, $A55, Log!$B:$B, $B55, Log!$C:$C, $C55),""))</f>
        <v/>
      </c>
      <c r="O55" s="6" t="str">
        <f>IF(COUNTBLANK($A55:$E55)&gt;0, "", IFERROR(_xlfn.MAXIFS(Log!$G:$G, Log!$A:$A, $A55, Log!$B:$B, $B55, Log!$C:$C, $C55),""))</f>
        <v/>
      </c>
    </row>
    <row r="56" spans="1:15" ht="49.95" customHeight="1" x14ac:dyDescent="0.3">
      <c r="A56" s="103" t="str">
        <f t="shared" si="0"/>
        <v/>
      </c>
      <c r="B56" s="105"/>
      <c r="C56" s="5"/>
      <c r="D56" s="31"/>
      <c r="E56" s="32"/>
      <c r="G56" s="36"/>
      <c r="H56" s="7" t="str">
        <f>IF(COUNTBLANK($A56:$E56)&gt;0, "", IFERROR(AVERAGEIFS(Log!$E:$E, Log!$A:$A, $A56, Log!$B:$B, $B56, Log!$C:$C, $C56),""))</f>
        <v/>
      </c>
      <c r="I56" s="37" t="str">
        <f t="shared" si="1"/>
        <v/>
      </c>
      <c r="J56" s="6" t="str">
        <f>IF(COUNTBLANK($A56:$E56)&gt;0, "", IFERROR(AVERAGEIFS(Log!#REF!, Log!$A:$A, $A56, Log!$B:$B, $B56, Log!$C:$C, $C56),""))</f>
        <v/>
      </c>
      <c r="K56" s="6" t="str">
        <f>IF(COUNTBLANK($A56:$E56)&gt;0, "", IFERROR(_xlfn.MINIFS(Log!$F:$F, Log!$A:$A, $A56, Log!$B:$B, $B56, Log!$C:$C, $C56),""))</f>
        <v/>
      </c>
      <c r="L56" s="6" t="str">
        <f>IF(COUNTBLANK($A56:$E56)&gt;0, "", IFERROR(_xlfn.MAXIFS(Log!$F:$F, Log!$A:$A, $A56, Log!$B:$B, $B56, Log!$C:$C, $C56),""))</f>
        <v/>
      </c>
      <c r="M56" s="6" t="str">
        <f>IF(COUNTBLANK($A56:$E56)&gt;0, "", IFERROR(AVERAGEIFS(Log!#REF!, Log!$A:$A, $A56, Log!$B:$B, $B56, Log!$C:$C, $C56),""))</f>
        <v/>
      </c>
      <c r="N56" s="6" t="str">
        <f>IF(COUNTBLANK($A56:$E56)&gt;0, "", IFERROR(_xlfn.MINIFS(Log!$G:$G, Log!$A:$A, $A56, Log!$B:$B, $B56, Log!$C:$C, $C56),""))</f>
        <v/>
      </c>
      <c r="O56" s="6" t="str">
        <f>IF(COUNTBLANK($A56:$E56)&gt;0, "", IFERROR(_xlfn.MAXIFS(Log!$G:$G, Log!$A:$A, $A56, Log!$B:$B, $B56, Log!$C:$C, $C56),""))</f>
        <v/>
      </c>
    </row>
    <row r="57" spans="1:15" ht="49.95" customHeight="1" x14ac:dyDescent="0.3">
      <c r="A57" s="103" t="str">
        <f t="shared" si="0"/>
        <v/>
      </c>
      <c r="B57" s="105"/>
      <c r="H57" s="7" t="str">
        <f>IF(COUNTBLANK($A57:$E57)&gt;0, "", IFERROR(AVERAGEIFS(Log!$E:$E, Log!$A:$A, $A57, Log!$B:$B, $B57, Log!$C:$C, $C57),""))</f>
        <v/>
      </c>
      <c r="I57" s="37" t="str">
        <f t="shared" si="1"/>
        <v/>
      </c>
      <c r="J57" s="6" t="str">
        <f>IF(COUNTBLANK($A57:$E57)&gt;0, "", IFERROR(AVERAGEIFS(Log!#REF!, Log!$A:$A, $A57, Log!$B:$B, $B57, Log!$C:$C, $C57),""))</f>
        <v/>
      </c>
      <c r="K57" s="6" t="str">
        <f>IF(COUNTBLANK($A57:$E57)&gt;0, "", IFERROR(_xlfn.MINIFS(Log!$F:$F, Log!$A:$A, $A57, Log!$B:$B, $B57, Log!$C:$C, $C57),""))</f>
        <v/>
      </c>
      <c r="L57" s="6" t="str">
        <f>IF(COUNTBLANK($A57:$E57)&gt;0, "", IFERROR(_xlfn.MAXIFS(Log!$F:$F, Log!$A:$A, $A57, Log!$B:$B, $B57, Log!$C:$C, $C57),""))</f>
        <v/>
      </c>
      <c r="M57" s="6" t="str">
        <f>IF(COUNTBLANK($A57:$E57)&gt;0, "", IFERROR(AVERAGEIFS(Log!#REF!, Log!$A:$A, $A57, Log!$B:$B, $B57, Log!$C:$C, $C57),""))</f>
        <v/>
      </c>
      <c r="N57" s="6" t="str">
        <f>IF(COUNTBLANK($A57:$E57)&gt;0, "", IFERROR(_xlfn.MINIFS(Log!$G:$G, Log!$A:$A, $A57, Log!$B:$B, $B57, Log!$C:$C, $C57),""))</f>
        <v/>
      </c>
      <c r="O57" s="6" t="str">
        <f>IF(COUNTBLANK($A57:$E57)&gt;0, "", IFERROR(_xlfn.MAXIFS(Log!$G:$G, Log!$A:$A, $A57, Log!$B:$B, $B57, Log!$C:$C, $C57),""))</f>
        <v/>
      </c>
    </row>
    <row r="58" spans="1:15" ht="49.95" customHeight="1" x14ac:dyDescent="0.3">
      <c r="A58" s="103" t="str">
        <f t="shared" si="0"/>
        <v/>
      </c>
      <c r="B58" s="105"/>
      <c r="H58" s="7" t="str">
        <f>IF(COUNTBLANK($A58:$E58)&gt;0, "", IFERROR(AVERAGEIFS(Log!$E:$E, Log!$A:$A, $A58, Log!$B:$B, $B58, Log!$C:$C, $C58),""))</f>
        <v/>
      </c>
      <c r="I58" s="37" t="str">
        <f t="shared" si="1"/>
        <v/>
      </c>
      <c r="J58" s="6" t="str">
        <f>IF(COUNTBLANK($A58:$E58)&gt;0, "", IFERROR(AVERAGEIFS(Log!#REF!, Log!$A:$A, $A58, Log!$B:$B, $B58, Log!$C:$C, $C58),""))</f>
        <v/>
      </c>
      <c r="K58" s="6" t="str">
        <f>IF(COUNTBLANK($A58:$E58)&gt;0, "", IFERROR(_xlfn.MINIFS(Log!$F:$F, Log!$A:$A, $A58, Log!$B:$B, $B58, Log!$C:$C, $C58),""))</f>
        <v/>
      </c>
      <c r="L58" s="6" t="str">
        <f>IF(COUNTBLANK($A58:$E58)&gt;0, "", IFERROR(_xlfn.MAXIFS(Log!$F:$F, Log!$A:$A, $A58, Log!$B:$B, $B58, Log!$C:$C, $C58),""))</f>
        <v/>
      </c>
      <c r="M58" s="6" t="str">
        <f>IF(COUNTBLANK($A58:$E58)&gt;0, "", IFERROR(AVERAGEIFS(Log!#REF!, Log!$A:$A, $A58, Log!$B:$B, $B58, Log!$C:$C, $C58),""))</f>
        <v/>
      </c>
      <c r="N58" s="6" t="str">
        <f>IF(COUNTBLANK($A58:$E58)&gt;0, "", IFERROR(_xlfn.MINIFS(Log!$G:$G, Log!$A:$A, $A58, Log!$B:$B, $B58, Log!$C:$C, $C58),""))</f>
        <v/>
      </c>
      <c r="O58" s="6" t="str">
        <f>IF(COUNTBLANK($A58:$E58)&gt;0, "", IFERROR(_xlfn.MAXIFS(Log!$G:$G, Log!$A:$A, $A58, Log!$B:$B, $B58, Log!$C:$C, $C58),""))</f>
        <v/>
      </c>
    </row>
    <row r="59" spans="1:15" ht="49.95" customHeight="1" x14ac:dyDescent="0.3">
      <c r="A59" s="103" t="str">
        <f t="shared" si="0"/>
        <v/>
      </c>
      <c r="B59" s="105"/>
      <c r="H59" s="7" t="str">
        <f>IF(COUNTBLANK($A59:$E59)&gt;0, "", IFERROR(AVERAGEIFS(Log!$E:$E, Log!$A:$A, $A59, Log!$B:$B, $B59, Log!$C:$C, $C59),""))</f>
        <v/>
      </c>
      <c r="I59" s="37" t="str">
        <f t="shared" si="1"/>
        <v/>
      </c>
      <c r="J59" s="6" t="str">
        <f>IF(COUNTBLANK($A59:$E59)&gt;0, "", IFERROR(AVERAGEIFS(Log!#REF!, Log!$A:$A, $A59, Log!$B:$B, $B59, Log!$C:$C, $C59),""))</f>
        <v/>
      </c>
      <c r="K59" s="6" t="str">
        <f>IF(COUNTBLANK($A59:$E59)&gt;0, "", IFERROR(_xlfn.MINIFS(Log!$F:$F, Log!$A:$A, $A59, Log!$B:$B, $B59, Log!$C:$C, $C59),""))</f>
        <v/>
      </c>
      <c r="L59" s="6" t="str">
        <f>IF(COUNTBLANK($A59:$E59)&gt;0, "", IFERROR(_xlfn.MAXIFS(Log!$F:$F, Log!$A:$A, $A59, Log!$B:$B, $B59, Log!$C:$C, $C59),""))</f>
        <v/>
      </c>
      <c r="M59" s="6" t="str">
        <f>IF(COUNTBLANK($A59:$E59)&gt;0, "", IFERROR(AVERAGEIFS(Log!#REF!, Log!$A:$A, $A59, Log!$B:$B, $B59, Log!$C:$C, $C59),""))</f>
        <v/>
      </c>
      <c r="N59" s="6" t="str">
        <f>IF(COUNTBLANK($A59:$E59)&gt;0, "", IFERROR(_xlfn.MINIFS(Log!$G:$G, Log!$A:$A, $A59, Log!$B:$B, $B59, Log!$C:$C, $C59),""))</f>
        <v/>
      </c>
      <c r="O59" s="6" t="str">
        <f>IF(COUNTBLANK($A59:$E59)&gt;0, "", IFERROR(_xlfn.MAXIFS(Log!$G:$G, Log!$A:$A, $A59, Log!$B:$B, $B59, Log!$C:$C, $C59),""))</f>
        <v/>
      </c>
    </row>
    <row r="60" spans="1:15" ht="49.95" customHeight="1" x14ac:dyDescent="0.3">
      <c r="A60" s="103" t="str">
        <f t="shared" si="0"/>
        <v/>
      </c>
      <c r="B60" s="105"/>
      <c r="H60" s="7" t="str">
        <f>IF(COUNTBLANK($A60:$E60)&gt;0, "", IFERROR(AVERAGEIFS(Log!$E:$E, Log!$A:$A, $A60, Log!$B:$B, $B60, Log!$C:$C, $C60),""))</f>
        <v/>
      </c>
      <c r="I60" s="37" t="str">
        <f t="shared" si="1"/>
        <v/>
      </c>
      <c r="J60" s="6" t="str">
        <f>IF(COUNTBLANK($A60:$E60)&gt;0, "", IFERROR(AVERAGEIFS(Log!#REF!, Log!$A:$A, $A60, Log!$B:$B, $B60, Log!$C:$C, $C60),""))</f>
        <v/>
      </c>
      <c r="K60" s="6" t="str">
        <f>IF(COUNTBLANK($A60:$E60)&gt;0, "", IFERROR(_xlfn.MINIFS(Log!$F:$F, Log!$A:$A, $A60, Log!$B:$B, $B60, Log!$C:$C, $C60),""))</f>
        <v/>
      </c>
      <c r="L60" s="6" t="str">
        <f>IF(COUNTBLANK($A60:$E60)&gt;0, "", IFERROR(_xlfn.MAXIFS(Log!$F:$F, Log!$A:$A, $A60, Log!$B:$B, $B60, Log!$C:$C, $C60),""))</f>
        <v/>
      </c>
      <c r="M60" s="6" t="str">
        <f>IF(COUNTBLANK($A60:$E60)&gt;0, "", IFERROR(AVERAGEIFS(Log!#REF!, Log!$A:$A, $A60, Log!$B:$B, $B60, Log!$C:$C, $C60),""))</f>
        <v/>
      </c>
      <c r="N60" s="6" t="str">
        <f>IF(COUNTBLANK($A60:$E60)&gt;0, "", IFERROR(_xlfn.MINIFS(Log!$G:$G, Log!$A:$A, $A60, Log!$B:$B, $B60, Log!$C:$C, $C60),""))</f>
        <v/>
      </c>
      <c r="O60" s="6" t="str">
        <f>IF(COUNTBLANK($A60:$E60)&gt;0, "", IFERROR(_xlfn.MAXIFS(Log!$G:$G, Log!$A:$A, $A60, Log!$B:$B, $B60, Log!$C:$C, $C60),""))</f>
        <v/>
      </c>
    </row>
    <row r="61" spans="1:15" ht="49.95" customHeight="1" x14ac:dyDescent="0.3">
      <c r="A61" s="103" t="str">
        <f t="shared" si="0"/>
        <v/>
      </c>
      <c r="B61" s="105"/>
      <c r="H61" s="7" t="str">
        <f>IF(COUNTBLANK($A61:$E61)&gt;0, "", IFERROR(AVERAGEIFS(Log!$E:$E, Log!$A:$A, $A61, Log!$B:$B, $B61, Log!$C:$C, $C61),""))</f>
        <v/>
      </c>
      <c r="I61" s="37" t="str">
        <f t="shared" si="1"/>
        <v/>
      </c>
      <c r="J61" s="6" t="str">
        <f>IF(COUNTBLANK($A61:$E61)&gt;0, "", IFERROR(AVERAGEIFS(Log!#REF!, Log!$A:$A, $A61, Log!$B:$B, $B61, Log!$C:$C, $C61),""))</f>
        <v/>
      </c>
      <c r="K61" s="6" t="str">
        <f>IF(COUNTBLANK($A61:$E61)&gt;0, "", IFERROR(_xlfn.MINIFS(Log!$F:$F, Log!$A:$A, $A61, Log!$B:$B, $B61, Log!$C:$C, $C61),""))</f>
        <v/>
      </c>
      <c r="L61" s="6" t="str">
        <f>IF(COUNTBLANK($A61:$E61)&gt;0, "", IFERROR(_xlfn.MAXIFS(Log!$F:$F, Log!$A:$A, $A61, Log!$B:$B, $B61, Log!$C:$C, $C61),""))</f>
        <v/>
      </c>
      <c r="M61" s="6" t="str">
        <f>IF(COUNTBLANK($A61:$E61)&gt;0, "", IFERROR(AVERAGEIFS(Log!#REF!, Log!$A:$A, $A61, Log!$B:$B, $B61, Log!$C:$C, $C61),""))</f>
        <v/>
      </c>
      <c r="N61" s="6" t="str">
        <f>IF(COUNTBLANK($A61:$E61)&gt;0, "", IFERROR(_xlfn.MINIFS(Log!$G:$G, Log!$A:$A, $A61, Log!$B:$B, $B61, Log!$C:$C, $C61),""))</f>
        <v/>
      </c>
      <c r="O61" s="6" t="str">
        <f>IF(COUNTBLANK($A61:$E61)&gt;0, "", IFERROR(_xlfn.MAXIFS(Log!$G:$G, Log!$A:$A, $A61, Log!$B:$B, $B61, Log!$C:$C, $C61),""))</f>
        <v/>
      </c>
    </row>
    <row r="62" spans="1:15" ht="49.95" customHeight="1" x14ac:dyDescent="0.3">
      <c r="A62" s="103" t="str">
        <f t="shared" si="0"/>
        <v/>
      </c>
      <c r="B62" s="105"/>
      <c r="H62" s="7" t="str">
        <f>IF(COUNTBLANK($A62:$E62)&gt;0, "", IFERROR(AVERAGEIFS(Log!$E:$E, Log!$A:$A, $A62, Log!$B:$B, $B62, Log!$C:$C, $C62),""))</f>
        <v/>
      </c>
      <c r="I62" s="37" t="str">
        <f t="shared" si="1"/>
        <v/>
      </c>
      <c r="J62" s="6" t="str">
        <f>IF(COUNTBLANK($A62:$E62)&gt;0, "", IFERROR(AVERAGEIFS(Log!#REF!, Log!$A:$A, $A62, Log!$B:$B, $B62, Log!$C:$C, $C62),""))</f>
        <v/>
      </c>
      <c r="K62" s="6" t="str">
        <f>IF(COUNTBLANK($A62:$E62)&gt;0, "", IFERROR(_xlfn.MINIFS(Log!$F:$F, Log!$A:$A, $A62, Log!$B:$B, $B62, Log!$C:$C, $C62),""))</f>
        <v/>
      </c>
      <c r="L62" s="6" t="str">
        <f>IF(COUNTBLANK($A62:$E62)&gt;0, "", IFERROR(_xlfn.MAXIFS(Log!$F:$F, Log!$A:$A, $A62, Log!$B:$B, $B62, Log!$C:$C, $C62),""))</f>
        <v/>
      </c>
      <c r="M62" s="6" t="str">
        <f>IF(COUNTBLANK($A62:$E62)&gt;0, "", IFERROR(AVERAGEIFS(Log!#REF!, Log!$A:$A, $A62, Log!$B:$B, $B62, Log!$C:$C, $C62),""))</f>
        <v/>
      </c>
      <c r="N62" s="6" t="str">
        <f>IF(COUNTBLANK($A62:$E62)&gt;0, "", IFERROR(_xlfn.MINIFS(Log!$G:$G, Log!$A:$A, $A62, Log!$B:$B, $B62, Log!$C:$C, $C62),""))</f>
        <v/>
      </c>
      <c r="O62" s="6" t="str">
        <f>IF(COUNTBLANK($A62:$E62)&gt;0, "", IFERROR(_xlfn.MAXIFS(Log!$G:$G, Log!$A:$A, $A62, Log!$B:$B, $B62, Log!$C:$C, $C62),""))</f>
        <v/>
      </c>
    </row>
    <row r="63" spans="1:15" ht="49.95" customHeight="1" x14ac:dyDescent="0.3">
      <c r="A63" s="103" t="str">
        <f t="shared" si="0"/>
        <v/>
      </c>
      <c r="B63" s="105"/>
      <c r="H63" s="7" t="str">
        <f>IF(COUNTBLANK($A63:$E63)&gt;0, "", IFERROR(AVERAGEIFS(Log!$E:$E, Log!$A:$A, $A63, Log!$B:$B, $B63, Log!$C:$C, $C63),""))</f>
        <v/>
      </c>
      <c r="I63" s="37" t="str">
        <f t="shared" si="1"/>
        <v/>
      </c>
      <c r="J63" s="6" t="str">
        <f>IF(COUNTBLANK($A63:$E63)&gt;0, "", IFERROR(AVERAGEIFS(Log!#REF!, Log!$A:$A, $A63, Log!$B:$B, $B63, Log!$C:$C, $C63),""))</f>
        <v/>
      </c>
      <c r="K63" s="6" t="str">
        <f>IF(COUNTBLANK($A63:$E63)&gt;0, "", IFERROR(_xlfn.MINIFS(Log!$F:$F, Log!$A:$A, $A63, Log!$B:$B, $B63, Log!$C:$C, $C63),""))</f>
        <v/>
      </c>
      <c r="L63" s="6" t="str">
        <f>IF(COUNTBLANK($A63:$E63)&gt;0, "", IFERROR(_xlfn.MAXIFS(Log!$F:$F, Log!$A:$A, $A63, Log!$B:$B, $B63, Log!$C:$C, $C63),""))</f>
        <v/>
      </c>
      <c r="M63" s="6" t="str">
        <f>IF(COUNTBLANK($A63:$E63)&gt;0, "", IFERROR(AVERAGEIFS(Log!#REF!, Log!$A:$A, $A63, Log!$B:$B, $B63, Log!$C:$C, $C63),""))</f>
        <v/>
      </c>
      <c r="N63" s="6" t="str">
        <f>IF(COUNTBLANK($A63:$E63)&gt;0, "", IFERROR(_xlfn.MINIFS(Log!$G:$G, Log!$A:$A, $A63, Log!$B:$B, $B63, Log!$C:$C, $C63),""))</f>
        <v/>
      </c>
      <c r="O63" s="6" t="str">
        <f>IF(COUNTBLANK($A63:$E63)&gt;0, "", IFERROR(_xlfn.MAXIFS(Log!$G:$G, Log!$A:$A, $A63, Log!$B:$B, $B63, Log!$C:$C, $C63),""))</f>
        <v/>
      </c>
    </row>
    <row r="64" spans="1:15" ht="49.95" customHeight="1" x14ac:dyDescent="0.3">
      <c r="A64" s="103" t="str">
        <f t="shared" si="0"/>
        <v/>
      </c>
      <c r="B64" s="105"/>
      <c r="H64" s="7" t="str">
        <f>IF(COUNTBLANK($A64:$E64)&gt;0, "", IFERROR(AVERAGEIFS(Log!$E:$E, Log!$A:$A, $A64, Log!$B:$B, $B64, Log!$C:$C, $C64),""))</f>
        <v/>
      </c>
      <c r="I64" s="37" t="str">
        <f t="shared" si="1"/>
        <v/>
      </c>
      <c r="J64" s="6" t="str">
        <f>IF(COUNTBLANK($A64:$E64)&gt;0, "", IFERROR(AVERAGEIFS(Log!#REF!, Log!$A:$A, $A64, Log!$B:$B, $B64, Log!$C:$C, $C64),""))</f>
        <v/>
      </c>
      <c r="K64" s="6" t="str">
        <f>IF(COUNTBLANK($A64:$E64)&gt;0, "", IFERROR(_xlfn.MINIFS(Log!$F:$F, Log!$A:$A, $A64, Log!$B:$B, $B64, Log!$C:$C, $C64),""))</f>
        <v/>
      </c>
      <c r="L64" s="6" t="str">
        <f>IF(COUNTBLANK($A64:$E64)&gt;0, "", IFERROR(_xlfn.MAXIFS(Log!$F:$F, Log!$A:$A, $A64, Log!$B:$B, $B64, Log!$C:$C, $C64),""))</f>
        <v/>
      </c>
      <c r="M64" s="6" t="str">
        <f>IF(COUNTBLANK($A64:$E64)&gt;0, "", IFERROR(AVERAGEIFS(Log!#REF!, Log!$A:$A, $A64, Log!$B:$B, $B64, Log!$C:$C, $C64),""))</f>
        <v/>
      </c>
      <c r="N64" s="6" t="str">
        <f>IF(COUNTBLANK($A64:$E64)&gt;0, "", IFERROR(_xlfn.MINIFS(Log!$G:$G, Log!$A:$A, $A64, Log!$B:$B, $B64, Log!$C:$C, $C64),""))</f>
        <v/>
      </c>
      <c r="O64" s="6" t="str">
        <f>IF(COUNTBLANK($A64:$E64)&gt;0, "", IFERROR(_xlfn.MAXIFS(Log!$G:$G, Log!$A:$A, $A64, Log!$B:$B, $B64, Log!$C:$C, $C64),""))</f>
        <v/>
      </c>
    </row>
    <row r="65" spans="1:15" ht="49.95" customHeight="1" x14ac:dyDescent="0.3">
      <c r="A65" s="103" t="str">
        <f t="shared" si="0"/>
        <v/>
      </c>
      <c r="B65" s="105"/>
      <c r="H65" s="7" t="str">
        <f>IF(COUNTBLANK($A65:$E65)&gt;0, "", IFERROR(AVERAGEIFS(Log!$E:$E, Log!$A:$A, $A65, Log!$B:$B, $B65, Log!$C:$C, $C65),""))</f>
        <v/>
      </c>
      <c r="I65" s="37" t="str">
        <f t="shared" si="1"/>
        <v/>
      </c>
      <c r="J65" s="6" t="str">
        <f>IF(COUNTBLANK($A65:$E65)&gt;0, "", IFERROR(AVERAGEIFS(Log!#REF!, Log!$A:$A, $A65, Log!$B:$B, $B65, Log!$C:$C, $C65),""))</f>
        <v/>
      </c>
      <c r="K65" s="6" t="str">
        <f>IF(COUNTBLANK($A65:$E65)&gt;0, "", IFERROR(_xlfn.MINIFS(Log!$F:$F, Log!$A:$A, $A65, Log!$B:$B, $B65, Log!$C:$C, $C65),""))</f>
        <v/>
      </c>
      <c r="L65" s="6" t="str">
        <f>IF(COUNTBLANK($A65:$E65)&gt;0, "", IFERROR(_xlfn.MAXIFS(Log!$F:$F, Log!$A:$A, $A65, Log!$B:$B, $B65, Log!$C:$C, $C65),""))</f>
        <v/>
      </c>
      <c r="M65" s="6" t="str">
        <f>IF(COUNTBLANK($A65:$E65)&gt;0, "", IFERROR(AVERAGEIFS(Log!#REF!, Log!$A:$A, $A65, Log!$B:$B, $B65, Log!$C:$C, $C65),""))</f>
        <v/>
      </c>
      <c r="N65" s="6" t="str">
        <f>IF(COUNTBLANK($A65:$E65)&gt;0, "", IFERROR(_xlfn.MINIFS(Log!$G:$G, Log!$A:$A, $A65, Log!$B:$B, $B65, Log!$C:$C, $C65),""))</f>
        <v/>
      </c>
      <c r="O65" s="6" t="str">
        <f>IF(COUNTBLANK($A65:$E65)&gt;0, "", IFERROR(_xlfn.MAXIFS(Log!$G:$G, Log!$A:$A, $A65, Log!$B:$B, $B65, Log!$C:$C, $C65),""))</f>
        <v/>
      </c>
    </row>
    <row r="66" spans="1:15" ht="49.95" customHeight="1" x14ac:dyDescent="0.3">
      <c r="A66" s="103" t="str">
        <f t="shared" si="0"/>
        <v/>
      </c>
      <c r="B66" s="105"/>
      <c r="H66" s="7" t="str">
        <f>IF(COUNTBLANK($A66:$E66)&gt;0, "", IFERROR(AVERAGEIFS(Log!$E:$E, Log!$A:$A, $A66, Log!$B:$B, $B66, Log!$C:$C, $C66),""))</f>
        <v/>
      </c>
      <c r="I66" s="37" t="str">
        <f t="shared" si="1"/>
        <v/>
      </c>
      <c r="J66" s="6" t="str">
        <f>IF(COUNTBLANK($A66:$E66)&gt;0, "", IFERROR(AVERAGEIFS(Log!#REF!, Log!$A:$A, $A66, Log!$B:$B, $B66, Log!$C:$C, $C66),""))</f>
        <v/>
      </c>
      <c r="K66" s="6" t="str">
        <f>IF(COUNTBLANK($A66:$E66)&gt;0, "", IFERROR(_xlfn.MINIFS(Log!$F:$F, Log!$A:$A, $A66, Log!$B:$B, $B66, Log!$C:$C, $C66),""))</f>
        <v/>
      </c>
      <c r="L66" s="6" t="str">
        <f>IF(COUNTBLANK($A66:$E66)&gt;0, "", IFERROR(_xlfn.MAXIFS(Log!$F:$F, Log!$A:$A, $A66, Log!$B:$B, $B66, Log!$C:$C, $C66),""))</f>
        <v/>
      </c>
      <c r="M66" s="6" t="str">
        <f>IF(COUNTBLANK($A66:$E66)&gt;0, "", IFERROR(AVERAGEIFS(Log!#REF!, Log!$A:$A, $A66, Log!$B:$B, $B66, Log!$C:$C, $C66),""))</f>
        <v/>
      </c>
      <c r="N66" s="6" t="str">
        <f>IF(COUNTBLANK($A66:$E66)&gt;0, "", IFERROR(_xlfn.MINIFS(Log!$G:$G, Log!$A:$A, $A66, Log!$B:$B, $B66, Log!$C:$C, $C66),""))</f>
        <v/>
      </c>
      <c r="O66" s="6" t="str">
        <f>IF(COUNTBLANK($A66:$E66)&gt;0, "", IFERROR(_xlfn.MAXIFS(Log!$G:$G, Log!$A:$A, $A66, Log!$B:$B, $B66, Log!$C:$C, $C66),""))</f>
        <v/>
      </c>
    </row>
    <row r="67" spans="1:15" ht="49.95" customHeight="1" x14ac:dyDescent="0.3">
      <c r="A67" s="103" t="str">
        <f t="shared" si="0"/>
        <v/>
      </c>
      <c r="B67" s="105"/>
      <c r="H67" s="7" t="str">
        <f>IF(COUNTBLANK($A67:$E67)&gt;0, "", IFERROR(AVERAGEIFS(Log!$E:$E, Log!$A:$A, $A67, Log!$B:$B, $B67, Log!$C:$C, $C67),""))</f>
        <v/>
      </c>
      <c r="I67" s="37" t="str">
        <f t="shared" si="1"/>
        <v/>
      </c>
      <c r="J67" s="6" t="str">
        <f>IF(COUNTBLANK($A67:$E67)&gt;0, "", IFERROR(AVERAGEIFS(Log!#REF!, Log!$A:$A, $A67, Log!$B:$B, $B67, Log!$C:$C, $C67),""))</f>
        <v/>
      </c>
      <c r="K67" s="6" t="str">
        <f>IF(COUNTBLANK($A67:$E67)&gt;0, "", IFERROR(_xlfn.MINIFS(Log!$F:$F, Log!$A:$A, $A67, Log!$B:$B, $B67, Log!$C:$C, $C67),""))</f>
        <v/>
      </c>
      <c r="L67" s="6" t="str">
        <f>IF(COUNTBLANK($A67:$E67)&gt;0, "", IFERROR(_xlfn.MAXIFS(Log!$F:$F, Log!$A:$A, $A67, Log!$B:$B, $B67, Log!$C:$C, $C67),""))</f>
        <v/>
      </c>
      <c r="M67" s="6" t="str">
        <f>IF(COUNTBLANK($A67:$E67)&gt;0, "", IFERROR(AVERAGEIFS(Log!#REF!, Log!$A:$A, $A67, Log!$B:$B, $B67, Log!$C:$C, $C67),""))</f>
        <v/>
      </c>
      <c r="N67" s="6" t="str">
        <f>IF(COUNTBLANK($A67:$E67)&gt;0, "", IFERROR(_xlfn.MINIFS(Log!$G:$G, Log!$A:$A, $A67, Log!$B:$B, $B67, Log!$C:$C, $C67),""))</f>
        <v/>
      </c>
      <c r="O67" s="6" t="str">
        <f>IF(COUNTBLANK($A67:$E67)&gt;0, "", IFERROR(_xlfn.MAXIFS(Log!$G:$G, Log!$A:$A, $A67, Log!$B:$B, $B67, Log!$C:$C, $C67),""))</f>
        <v/>
      </c>
    </row>
    <row r="68" spans="1:15" ht="49.95" customHeight="1" x14ac:dyDescent="0.3">
      <c r="A68" s="103" t="str">
        <f t="shared" ref="A68:A131" si="2">IF(C68&lt;&gt;"", "Error", "")</f>
        <v/>
      </c>
      <c r="B68" s="105"/>
      <c r="H68" s="7" t="str">
        <f>IF(COUNTBLANK($A68:$E68)&gt;0, "", IFERROR(AVERAGEIFS(Log!$E:$E, Log!$A:$A, $A68, Log!$B:$B, $B68, Log!$C:$C, $C68),""))</f>
        <v/>
      </c>
      <c r="I68" s="37" t="str">
        <f t="shared" ref="I68:I131" si="3">IF(AND($H68&lt;&gt;"", $G68&lt;&gt;""), $H68/$G68, "")</f>
        <v/>
      </c>
      <c r="J68" s="6" t="str">
        <f>IF(COUNTBLANK($A68:$E68)&gt;0, "", IFERROR(AVERAGEIFS(Log!#REF!, Log!$A:$A, $A68, Log!$B:$B, $B68, Log!$C:$C, $C68),""))</f>
        <v/>
      </c>
      <c r="K68" s="6" t="str">
        <f>IF(COUNTBLANK($A68:$E68)&gt;0, "", IFERROR(_xlfn.MINIFS(Log!$F:$F, Log!$A:$A, $A68, Log!$B:$B, $B68, Log!$C:$C, $C68),""))</f>
        <v/>
      </c>
      <c r="L68" s="6" t="str">
        <f>IF(COUNTBLANK($A68:$E68)&gt;0, "", IFERROR(_xlfn.MAXIFS(Log!$F:$F, Log!$A:$A, $A68, Log!$B:$B, $B68, Log!$C:$C, $C68),""))</f>
        <v/>
      </c>
      <c r="M68" s="6" t="str">
        <f>IF(COUNTBLANK($A68:$E68)&gt;0, "", IFERROR(AVERAGEIFS(Log!#REF!, Log!$A:$A, $A68, Log!$B:$B, $B68, Log!$C:$C, $C68),""))</f>
        <v/>
      </c>
      <c r="N68" s="6" t="str">
        <f>IF(COUNTBLANK($A68:$E68)&gt;0, "", IFERROR(_xlfn.MINIFS(Log!$G:$G, Log!$A:$A, $A68, Log!$B:$B, $B68, Log!$C:$C, $C68),""))</f>
        <v/>
      </c>
      <c r="O68" s="6" t="str">
        <f>IF(COUNTBLANK($A68:$E68)&gt;0, "", IFERROR(_xlfn.MAXIFS(Log!$G:$G, Log!$A:$A, $A68, Log!$B:$B, $B68, Log!$C:$C, $C68),""))</f>
        <v/>
      </c>
    </row>
    <row r="69" spans="1:15" ht="49.95" customHeight="1" x14ac:dyDescent="0.3">
      <c r="A69" s="103" t="str">
        <f t="shared" si="2"/>
        <v/>
      </c>
      <c r="B69" s="105"/>
      <c r="H69" s="7" t="str">
        <f>IF(COUNTBLANK($A69:$E69)&gt;0, "", IFERROR(AVERAGEIFS(Log!$E:$E, Log!$A:$A, $A69, Log!$B:$B, $B69, Log!$C:$C, $C69),""))</f>
        <v/>
      </c>
      <c r="I69" s="37" t="str">
        <f t="shared" si="3"/>
        <v/>
      </c>
      <c r="J69" s="6" t="str">
        <f>IF(COUNTBLANK($A69:$E69)&gt;0, "", IFERROR(AVERAGEIFS(Log!#REF!, Log!$A:$A, $A69, Log!$B:$B, $B69, Log!$C:$C, $C69),""))</f>
        <v/>
      </c>
      <c r="K69" s="6" t="str">
        <f>IF(COUNTBLANK($A69:$E69)&gt;0, "", IFERROR(_xlfn.MINIFS(Log!$F:$F, Log!$A:$A, $A69, Log!$B:$B, $B69, Log!$C:$C, $C69),""))</f>
        <v/>
      </c>
      <c r="L69" s="6" t="str">
        <f>IF(COUNTBLANK($A69:$E69)&gt;0, "", IFERROR(_xlfn.MAXIFS(Log!$F:$F, Log!$A:$A, $A69, Log!$B:$B, $B69, Log!$C:$C, $C69),""))</f>
        <v/>
      </c>
      <c r="M69" s="6" t="str">
        <f>IF(COUNTBLANK($A69:$E69)&gt;0, "", IFERROR(AVERAGEIFS(Log!#REF!, Log!$A:$A, $A69, Log!$B:$B, $B69, Log!$C:$C, $C69),""))</f>
        <v/>
      </c>
      <c r="N69" s="6" t="str">
        <f>IF(COUNTBLANK($A69:$E69)&gt;0, "", IFERROR(_xlfn.MINIFS(Log!$G:$G, Log!$A:$A, $A69, Log!$B:$B, $B69, Log!$C:$C, $C69),""))</f>
        <v/>
      </c>
      <c r="O69" s="6" t="str">
        <f>IF(COUNTBLANK($A69:$E69)&gt;0, "", IFERROR(_xlfn.MAXIFS(Log!$G:$G, Log!$A:$A, $A69, Log!$B:$B, $B69, Log!$C:$C, $C69),""))</f>
        <v/>
      </c>
    </row>
    <row r="70" spans="1:15" ht="49.95" customHeight="1" x14ac:dyDescent="0.3">
      <c r="A70" s="103" t="str">
        <f t="shared" si="2"/>
        <v/>
      </c>
      <c r="B70" s="105"/>
      <c r="H70" s="7" t="str">
        <f>IF(COUNTBLANK($A70:$E70)&gt;0, "", IFERROR(AVERAGEIFS(Log!$E:$E, Log!$A:$A, $A70, Log!$B:$B, $B70, Log!$C:$C, $C70),""))</f>
        <v/>
      </c>
      <c r="I70" s="37" t="str">
        <f t="shared" si="3"/>
        <v/>
      </c>
      <c r="J70" s="6" t="str">
        <f>IF(COUNTBLANK($A70:$E70)&gt;0, "", IFERROR(AVERAGEIFS(Log!#REF!, Log!$A:$A, $A70, Log!$B:$B, $B70, Log!$C:$C, $C70),""))</f>
        <v/>
      </c>
      <c r="K70" s="6" t="str">
        <f>IF(COUNTBLANK($A70:$E70)&gt;0, "", IFERROR(_xlfn.MINIFS(Log!$F:$F, Log!$A:$A, $A70, Log!$B:$B, $B70, Log!$C:$C, $C70),""))</f>
        <v/>
      </c>
      <c r="L70" s="6" t="str">
        <f>IF(COUNTBLANK($A70:$E70)&gt;0, "", IFERROR(_xlfn.MAXIFS(Log!$F:$F, Log!$A:$A, $A70, Log!$B:$B, $B70, Log!$C:$C, $C70),""))</f>
        <v/>
      </c>
      <c r="M70" s="6" t="str">
        <f>IF(COUNTBLANK($A70:$E70)&gt;0, "", IFERROR(AVERAGEIFS(Log!#REF!, Log!$A:$A, $A70, Log!$B:$B, $B70, Log!$C:$C, $C70),""))</f>
        <v/>
      </c>
      <c r="N70" s="6" t="str">
        <f>IF(COUNTBLANK($A70:$E70)&gt;0, "", IFERROR(_xlfn.MINIFS(Log!$G:$G, Log!$A:$A, $A70, Log!$B:$B, $B70, Log!$C:$C, $C70),""))</f>
        <v/>
      </c>
      <c r="O70" s="6" t="str">
        <f>IF(COUNTBLANK($A70:$E70)&gt;0, "", IFERROR(_xlfn.MAXIFS(Log!$G:$G, Log!$A:$A, $A70, Log!$B:$B, $B70, Log!$C:$C, $C70),""))</f>
        <v/>
      </c>
    </row>
    <row r="71" spans="1:15" ht="49.95" customHeight="1" x14ac:dyDescent="0.3">
      <c r="A71" s="103" t="str">
        <f t="shared" si="2"/>
        <v/>
      </c>
      <c r="B71" s="105"/>
      <c r="H71" s="7" t="str">
        <f>IF(COUNTBLANK($A71:$E71)&gt;0, "", IFERROR(AVERAGEIFS(Log!$E:$E, Log!$A:$A, $A71, Log!$B:$B, $B71, Log!$C:$C, $C71),""))</f>
        <v/>
      </c>
      <c r="I71" s="37" t="str">
        <f t="shared" si="3"/>
        <v/>
      </c>
      <c r="J71" s="6" t="str">
        <f>IF(COUNTBLANK($A71:$E71)&gt;0, "", IFERROR(AVERAGEIFS(Log!#REF!, Log!$A:$A, $A71, Log!$B:$B, $B71, Log!$C:$C, $C71),""))</f>
        <v/>
      </c>
      <c r="K71" s="6" t="str">
        <f>IF(COUNTBLANK($A71:$E71)&gt;0, "", IFERROR(_xlfn.MINIFS(Log!$F:$F, Log!$A:$A, $A71, Log!$B:$B, $B71, Log!$C:$C, $C71),""))</f>
        <v/>
      </c>
      <c r="L71" s="6" t="str">
        <f>IF(COUNTBLANK($A71:$E71)&gt;0, "", IFERROR(_xlfn.MAXIFS(Log!$F:$F, Log!$A:$A, $A71, Log!$B:$B, $B71, Log!$C:$C, $C71),""))</f>
        <v/>
      </c>
      <c r="M71" s="6" t="str">
        <f>IF(COUNTBLANK($A71:$E71)&gt;0, "", IFERROR(AVERAGEIFS(Log!#REF!, Log!$A:$A, $A71, Log!$B:$B, $B71, Log!$C:$C, $C71),""))</f>
        <v/>
      </c>
      <c r="N71" s="6" t="str">
        <f>IF(COUNTBLANK($A71:$E71)&gt;0, "", IFERROR(_xlfn.MINIFS(Log!$G:$G, Log!$A:$A, $A71, Log!$B:$B, $B71, Log!$C:$C, $C71),""))</f>
        <v/>
      </c>
      <c r="O71" s="6" t="str">
        <f>IF(COUNTBLANK($A71:$E71)&gt;0, "", IFERROR(_xlfn.MAXIFS(Log!$G:$G, Log!$A:$A, $A71, Log!$B:$B, $B71, Log!$C:$C, $C71),""))</f>
        <v/>
      </c>
    </row>
    <row r="72" spans="1:15" ht="49.95" customHeight="1" x14ac:dyDescent="0.3">
      <c r="A72" s="103" t="str">
        <f t="shared" si="2"/>
        <v/>
      </c>
      <c r="B72" s="105"/>
      <c r="H72" s="7" t="str">
        <f>IF(COUNTBLANK($A72:$E72)&gt;0, "", IFERROR(AVERAGEIFS(Log!$E:$E, Log!$A:$A, $A72, Log!$B:$B, $B72, Log!$C:$C, $C72),""))</f>
        <v/>
      </c>
      <c r="I72" s="37" t="str">
        <f t="shared" si="3"/>
        <v/>
      </c>
      <c r="J72" s="6" t="str">
        <f>IF(COUNTBLANK($A72:$E72)&gt;0, "", IFERROR(AVERAGEIFS(Log!#REF!, Log!$A:$A, $A72, Log!$B:$B, $B72, Log!$C:$C, $C72),""))</f>
        <v/>
      </c>
      <c r="K72" s="6" t="str">
        <f>IF(COUNTBLANK($A72:$E72)&gt;0, "", IFERROR(_xlfn.MINIFS(Log!$F:$F, Log!$A:$A, $A72, Log!$B:$B, $B72, Log!$C:$C, $C72),""))</f>
        <v/>
      </c>
      <c r="L72" s="6" t="str">
        <f>IF(COUNTBLANK($A72:$E72)&gt;0, "", IFERROR(_xlfn.MAXIFS(Log!$F:$F, Log!$A:$A, $A72, Log!$B:$B, $B72, Log!$C:$C, $C72),""))</f>
        <v/>
      </c>
      <c r="M72" s="6" t="str">
        <f>IF(COUNTBLANK($A72:$E72)&gt;0, "", IFERROR(AVERAGEIFS(Log!#REF!, Log!$A:$A, $A72, Log!$B:$B, $B72, Log!$C:$C, $C72),""))</f>
        <v/>
      </c>
      <c r="N72" s="6" t="str">
        <f>IF(COUNTBLANK($A72:$E72)&gt;0, "", IFERROR(_xlfn.MINIFS(Log!$G:$G, Log!$A:$A, $A72, Log!$B:$B, $B72, Log!$C:$C, $C72),""))</f>
        <v/>
      </c>
      <c r="O72" s="6" t="str">
        <f>IF(COUNTBLANK($A72:$E72)&gt;0, "", IFERROR(_xlfn.MAXIFS(Log!$G:$G, Log!$A:$A, $A72, Log!$B:$B, $B72, Log!$C:$C, $C72),""))</f>
        <v/>
      </c>
    </row>
    <row r="73" spans="1:15" ht="49.95" customHeight="1" x14ac:dyDescent="0.3">
      <c r="A73" s="103" t="str">
        <f t="shared" si="2"/>
        <v/>
      </c>
      <c r="B73" s="105"/>
      <c r="H73" s="7" t="str">
        <f>IF(COUNTBLANK($A73:$E73)&gt;0, "", IFERROR(AVERAGEIFS(Log!$E:$E, Log!$A:$A, $A73, Log!$B:$B, $B73, Log!$C:$C, $C73),""))</f>
        <v/>
      </c>
      <c r="I73" s="37" t="str">
        <f t="shared" si="3"/>
        <v/>
      </c>
      <c r="J73" s="6" t="str">
        <f>IF(COUNTBLANK($A73:$E73)&gt;0, "", IFERROR(AVERAGEIFS(Log!#REF!, Log!$A:$A, $A73, Log!$B:$B, $B73, Log!$C:$C, $C73),""))</f>
        <v/>
      </c>
      <c r="K73" s="6" t="str">
        <f>IF(COUNTBLANK($A73:$E73)&gt;0, "", IFERROR(_xlfn.MINIFS(Log!$F:$F, Log!$A:$A, $A73, Log!$B:$B, $B73, Log!$C:$C, $C73),""))</f>
        <v/>
      </c>
      <c r="L73" s="6" t="str">
        <f>IF(COUNTBLANK($A73:$E73)&gt;0, "", IFERROR(_xlfn.MAXIFS(Log!$F:$F, Log!$A:$A, $A73, Log!$B:$B, $B73, Log!$C:$C, $C73),""))</f>
        <v/>
      </c>
      <c r="M73" s="6" t="str">
        <f>IF(COUNTBLANK($A73:$E73)&gt;0, "", IFERROR(AVERAGEIFS(Log!#REF!, Log!$A:$A, $A73, Log!$B:$B, $B73, Log!$C:$C, $C73),""))</f>
        <v/>
      </c>
      <c r="N73" s="6" t="str">
        <f>IF(COUNTBLANK($A73:$E73)&gt;0, "", IFERROR(_xlfn.MINIFS(Log!$G:$G, Log!$A:$A, $A73, Log!$B:$B, $B73, Log!$C:$C, $C73),""))</f>
        <v/>
      </c>
      <c r="O73" s="6" t="str">
        <f>IF(COUNTBLANK($A73:$E73)&gt;0, "", IFERROR(_xlfn.MAXIFS(Log!$G:$G, Log!$A:$A, $A73, Log!$B:$B, $B73, Log!$C:$C, $C73),""))</f>
        <v/>
      </c>
    </row>
    <row r="74" spans="1:15" ht="49.95" customHeight="1" x14ac:dyDescent="0.3">
      <c r="A74" s="103" t="str">
        <f t="shared" si="2"/>
        <v/>
      </c>
      <c r="B74" s="105"/>
      <c r="H74" s="7" t="str">
        <f>IF(COUNTBLANK($A74:$E74)&gt;0, "", IFERROR(AVERAGEIFS(Log!$E:$E, Log!$A:$A, $A74, Log!$B:$B, $B74, Log!$C:$C, $C74),""))</f>
        <v/>
      </c>
      <c r="I74" s="37" t="str">
        <f t="shared" si="3"/>
        <v/>
      </c>
      <c r="J74" s="6" t="str">
        <f>IF(COUNTBLANK($A74:$E74)&gt;0, "", IFERROR(AVERAGEIFS(Log!#REF!, Log!$A:$A, $A74, Log!$B:$B, $B74, Log!$C:$C, $C74),""))</f>
        <v/>
      </c>
      <c r="K74" s="6" t="str">
        <f>IF(COUNTBLANK($A74:$E74)&gt;0, "", IFERROR(_xlfn.MINIFS(Log!$F:$F, Log!$A:$A, $A74, Log!$B:$B, $B74, Log!$C:$C, $C74),""))</f>
        <v/>
      </c>
      <c r="L74" s="6" t="str">
        <f>IF(COUNTBLANK($A74:$E74)&gt;0, "", IFERROR(_xlfn.MAXIFS(Log!$F:$F, Log!$A:$A, $A74, Log!$B:$B, $B74, Log!$C:$C, $C74),""))</f>
        <v/>
      </c>
      <c r="M74" s="6" t="str">
        <f>IF(COUNTBLANK($A74:$E74)&gt;0, "", IFERROR(AVERAGEIFS(Log!#REF!, Log!$A:$A, $A74, Log!$B:$B, $B74, Log!$C:$C, $C74),""))</f>
        <v/>
      </c>
      <c r="N74" s="6" t="str">
        <f>IF(COUNTBLANK($A74:$E74)&gt;0, "", IFERROR(_xlfn.MINIFS(Log!$G:$G, Log!$A:$A, $A74, Log!$B:$B, $B74, Log!$C:$C, $C74),""))</f>
        <v/>
      </c>
      <c r="O74" s="6" t="str">
        <f>IF(COUNTBLANK($A74:$E74)&gt;0, "", IFERROR(_xlfn.MAXIFS(Log!$G:$G, Log!$A:$A, $A74, Log!$B:$B, $B74, Log!$C:$C, $C74),""))</f>
        <v/>
      </c>
    </row>
    <row r="75" spans="1:15" ht="49.95" customHeight="1" x14ac:dyDescent="0.3">
      <c r="A75" s="103" t="str">
        <f t="shared" si="2"/>
        <v/>
      </c>
      <c r="B75" s="105"/>
      <c r="H75" s="7" t="str">
        <f>IF(COUNTBLANK($A75:$E75)&gt;0, "", IFERROR(AVERAGEIFS(Log!$E:$E, Log!$A:$A, $A75, Log!$B:$B, $B75, Log!$C:$C, $C75),""))</f>
        <v/>
      </c>
      <c r="I75" s="37" t="str">
        <f t="shared" si="3"/>
        <v/>
      </c>
      <c r="J75" s="6" t="str">
        <f>IF(COUNTBLANK($A75:$E75)&gt;0, "", IFERROR(AVERAGEIFS(Log!#REF!, Log!$A:$A, $A75, Log!$B:$B, $B75, Log!$C:$C, $C75),""))</f>
        <v/>
      </c>
      <c r="K75" s="6" t="str">
        <f>IF(COUNTBLANK($A75:$E75)&gt;0, "", IFERROR(_xlfn.MINIFS(Log!$F:$F, Log!$A:$A, $A75, Log!$B:$B, $B75, Log!$C:$C, $C75),""))</f>
        <v/>
      </c>
      <c r="L75" s="6" t="str">
        <f>IF(COUNTBLANK($A75:$E75)&gt;0, "", IFERROR(_xlfn.MAXIFS(Log!$F:$F, Log!$A:$A, $A75, Log!$B:$B, $B75, Log!$C:$C, $C75),""))</f>
        <v/>
      </c>
      <c r="M75" s="6" t="str">
        <f>IF(COUNTBLANK($A75:$E75)&gt;0, "", IFERROR(AVERAGEIFS(Log!#REF!, Log!$A:$A, $A75, Log!$B:$B, $B75, Log!$C:$C, $C75),""))</f>
        <v/>
      </c>
      <c r="N75" s="6" t="str">
        <f>IF(COUNTBLANK($A75:$E75)&gt;0, "", IFERROR(_xlfn.MINIFS(Log!$G:$G, Log!$A:$A, $A75, Log!$B:$B, $B75, Log!$C:$C, $C75),""))</f>
        <v/>
      </c>
      <c r="O75" s="6" t="str">
        <f>IF(COUNTBLANK($A75:$E75)&gt;0, "", IFERROR(_xlfn.MAXIFS(Log!$G:$G, Log!$A:$A, $A75, Log!$B:$B, $B75, Log!$C:$C, $C75),""))</f>
        <v/>
      </c>
    </row>
    <row r="76" spans="1:15" ht="49.95" customHeight="1" x14ac:dyDescent="0.3">
      <c r="A76" s="103" t="str">
        <f t="shared" si="2"/>
        <v/>
      </c>
      <c r="B76" s="105"/>
      <c r="H76" s="7" t="str">
        <f>IF(COUNTBLANK($A76:$E76)&gt;0, "", IFERROR(AVERAGEIFS(Log!$E:$E, Log!$A:$A, $A76, Log!$B:$B, $B76, Log!$C:$C, $C76),""))</f>
        <v/>
      </c>
      <c r="I76" s="37" t="str">
        <f t="shared" si="3"/>
        <v/>
      </c>
      <c r="J76" s="6" t="str">
        <f>IF(COUNTBLANK($A76:$E76)&gt;0, "", IFERROR(AVERAGEIFS(Log!#REF!, Log!$A:$A, $A76, Log!$B:$B, $B76, Log!$C:$C, $C76),""))</f>
        <v/>
      </c>
      <c r="K76" s="6" t="str">
        <f>IF(COUNTBLANK($A76:$E76)&gt;0, "", IFERROR(_xlfn.MINIFS(Log!$F:$F, Log!$A:$A, $A76, Log!$B:$B, $B76, Log!$C:$C, $C76),""))</f>
        <v/>
      </c>
      <c r="L76" s="6" t="str">
        <f>IF(COUNTBLANK($A76:$E76)&gt;0, "", IFERROR(_xlfn.MAXIFS(Log!$F:$F, Log!$A:$A, $A76, Log!$B:$B, $B76, Log!$C:$C, $C76),""))</f>
        <v/>
      </c>
      <c r="M76" s="6" t="str">
        <f>IF(COUNTBLANK($A76:$E76)&gt;0, "", IFERROR(AVERAGEIFS(Log!#REF!, Log!$A:$A, $A76, Log!$B:$B, $B76, Log!$C:$C, $C76),""))</f>
        <v/>
      </c>
      <c r="N76" s="6" t="str">
        <f>IF(COUNTBLANK($A76:$E76)&gt;0, "", IFERROR(_xlfn.MINIFS(Log!$G:$G, Log!$A:$A, $A76, Log!$B:$B, $B76, Log!$C:$C, $C76),""))</f>
        <v/>
      </c>
      <c r="O76" s="6" t="str">
        <f>IF(COUNTBLANK($A76:$E76)&gt;0, "", IFERROR(_xlfn.MAXIFS(Log!$G:$G, Log!$A:$A, $A76, Log!$B:$B, $B76, Log!$C:$C, $C76),""))</f>
        <v/>
      </c>
    </row>
    <row r="77" spans="1:15" ht="49.95" customHeight="1" x14ac:dyDescent="0.3">
      <c r="A77" s="103" t="str">
        <f t="shared" si="2"/>
        <v/>
      </c>
      <c r="B77" s="105"/>
      <c r="H77" s="7" t="str">
        <f>IF(COUNTBLANK($A77:$E77)&gt;0, "", IFERROR(AVERAGEIFS(Log!$E:$E, Log!$A:$A, $A77, Log!$B:$B, $B77, Log!$C:$C, $C77),""))</f>
        <v/>
      </c>
      <c r="I77" s="37" t="str">
        <f t="shared" si="3"/>
        <v/>
      </c>
      <c r="J77" s="6" t="str">
        <f>IF(COUNTBLANK($A77:$E77)&gt;0, "", IFERROR(AVERAGEIFS(Log!#REF!, Log!$A:$A, $A77, Log!$B:$B, $B77, Log!$C:$C, $C77),""))</f>
        <v/>
      </c>
      <c r="K77" s="6" t="str">
        <f>IF(COUNTBLANK($A77:$E77)&gt;0, "", IFERROR(_xlfn.MINIFS(Log!$F:$F, Log!$A:$A, $A77, Log!$B:$B, $B77, Log!$C:$C, $C77),""))</f>
        <v/>
      </c>
      <c r="L77" s="6" t="str">
        <f>IF(COUNTBLANK($A77:$E77)&gt;0, "", IFERROR(_xlfn.MAXIFS(Log!$F:$F, Log!$A:$A, $A77, Log!$B:$B, $B77, Log!$C:$C, $C77),""))</f>
        <v/>
      </c>
      <c r="M77" s="6" t="str">
        <f>IF(COUNTBLANK($A77:$E77)&gt;0, "", IFERROR(AVERAGEIFS(Log!#REF!, Log!$A:$A, $A77, Log!$B:$B, $B77, Log!$C:$C, $C77),""))</f>
        <v/>
      </c>
      <c r="N77" s="6" t="str">
        <f>IF(COUNTBLANK($A77:$E77)&gt;0, "", IFERROR(_xlfn.MINIFS(Log!$G:$G, Log!$A:$A, $A77, Log!$B:$B, $B77, Log!$C:$C, $C77),""))</f>
        <v/>
      </c>
      <c r="O77" s="6" t="str">
        <f>IF(COUNTBLANK($A77:$E77)&gt;0, "", IFERROR(_xlfn.MAXIFS(Log!$G:$G, Log!$A:$A, $A77, Log!$B:$B, $B77, Log!$C:$C, $C77),""))</f>
        <v/>
      </c>
    </row>
    <row r="78" spans="1:15" ht="49.95" customHeight="1" x14ac:dyDescent="0.3">
      <c r="A78" s="103" t="str">
        <f t="shared" si="2"/>
        <v/>
      </c>
      <c r="B78" s="105"/>
      <c r="H78" s="7" t="str">
        <f>IF(COUNTBLANK($A78:$E78)&gt;0, "", IFERROR(AVERAGEIFS(Log!$E:$E, Log!$A:$A, $A78, Log!$B:$B, $B78, Log!$C:$C, $C78),""))</f>
        <v/>
      </c>
      <c r="I78" s="37" t="str">
        <f t="shared" si="3"/>
        <v/>
      </c>
      <c r="J78" s="6" t="str">
        <f>IF(COUNTBLANK($A78:$E78)&gt;0, "", IFERROR(AVERAGEIFS(Log!#REF!, Log!$A:$A, $A78, Log!$B:$B, $B78, Log!$C:$C, $C78),""))</f>
        <v/>
      </c>
      <c r="K78" s="6" t="str">
        <f>IF(COUNTBLANK($A78:$E78)&gt;0, "", IFERROR(_xlfn.MINIFS(Log!$F:$F, Log!$A:$A, $A78, Log!$B:$B, $B78, Log!$C:$C, $C78),""))</f>
        <v/>
      </c>
      <c r="L78" s="6" t="str">
        <f>IF(COUNTBLANK($A78:$E78)&gt;0, "", IFERROR(_xlfn.MAXIFS(Log!$F:$F, Log!$A:$A, $A78, Log!$B:$B, $B78, Log!$C:$C, $C78),""))</f>
        <v/>
      </c>
      <c r="M78" s="6" t="str">
        <f>IF(COUNTBLANK($A78:$E78)&gt;0, "", IFERROR(AVERAGEIFS(Log!#REF!, Log!$A:$A, $A78, Log!$B:$B, $B78, Log!$C:$C, $C78),""))</f>
        <v/>
      </c>
      <c r="N78" s="6" t="str">
        <f>IF(COUNTBLANK($A78:$E78)&gt;0, "", IFERROR(_xlfn.MINIFS(Log!$G:$G, Log!$A:$A, $A78, Log!$B:$B, $B78, Log!$C:$C, $C78),""))</f>
        <v/>
      </c>
      <c r="O78" s="6" t="str">
        <f>IF(COUNTBLANK($A78:$E78)&gt;0, "", IFERROR(_xlfn.MAXIFS(Log!$G:$G, Log!$A:$A, $A78, Log!$B:$B, $B78, Log!$C:$C, $C78),""))</f>
        <v/>
      </c>
    </row>
    <row r="79" spans="1:15" ht="49.95" customHeight="1" x14ac:dyDescent="0.3">
      <c r="A79" s="103" t="str">
        <f t="shared" si="2"/>
        <v/>
      </c>
      <c r="B79" s="105"/>
      <c r="H79" s="7" t="str">
        <f>IF(COUNTBLANK($A79:$E79)&gt;0, "", IFERROR(AVERAGEIFS(Log!$E:$E, Log!$A:$A, $A79, Log!$B:$B, $B79, Log!$C:$C, $C79),""))</f>
        <v/>
      </c>
      <c r="I79" s="37" t="str">
        <f t="shared" si="3"/>
        <v/>
      </c>
      <c r="J79" s="6" t="str">
        <f>IF(COUNTBLANK($A79:$E79)&gt;0, "", IFERROR(AVERAGEIFS(Log!#REF!, Log!$A:$A, $A79, Log!$B:$B, $B79, Log!$C:$C, $C79),""))</f>
        <v/>
      </c>
      <c r="K79" s="6" t="str">
        <f>IF(COUNTBLANK($A79:$E79)&gt;0, "", IFERROR(_xlfn.MINIFS(Log!$F:$F, Log!$A:$A, $A79, Log!$B:$B, $B79, Log!$C:$C, $C79),""))</f>
        <v/>
      </c>
      <c r="L79" s="6" t="str">
        <f>IF(COUNTBLANK($A79:$E79)&gt;0, "", IFERROR(_xlfn.MAXIFS(Log!$F:$F, Log!$A:$A, $A79, Log!$B:$B, $B79, Log!$C:$C, $C79),""))</f>
        <v/>
      </c>
      <c r="M79" s="6" t="str">
        <f>IF(COUNTBLANK($A79:$E79)&gt;0, "", IFERROR(AVERAGEIFS(Log!#REF!, Log!$A:$A, $A79, Log!$B:$B, $B79, Log!$C:$C, $C79),""))</f>
        <v/>
      </c>
      <c r="N79" s="6" t="str">
        <f>IF(COUNTBLANK($A79:$E79)&gt;0, "", IFERROR(_xlfn.MINIFS(Log!$G:$G, Log!$A:$A, $A79, Log!$B:$B, $B79, Log!$C:$C, $C79),""))</f>
        <v/>
      </c>
      <c r="O79" s="6" t="str">
        <f>IF(COUNTBLANK($A79:$E79)&gt;0, "", IFERROR(_xlfn.MAXIFS(Log!$G:$G, Log!$A:$A, $A79, Log!$B:$B, $B79, Log!$C:$C, $C79),""))</f>
        <v/>
      </c>
    </row>
    <row r="80" spans="1:15" ht="49.95" customHeight="1" x14ac:dyDescent="0.3">
      <c r="A80" s="103" t="str">
        <f t="shared" si="2"/>
        <v/>
      </c>
      <c r="B80" s="105"/>
      <c r="H80" s="7" t="str">
        <f>IF(COUNTBLANK($A80:$E80)&gt;0, "", IFERROR(AVERAGEIFS(Log!$E:$E, Log!$A:$A, $A80, Log!$B:$B, $B80, Log!$C:$C, $C80),""))</f>
        <v/>
      </c>
      <c r="I80" s="37" t="str">
        <f t="shared" si="3"/>
        <v/>
      </c>
      <c r="J80" s="6" t="str">
        <f>IF(COUNTBLANK($A80:$E80)&gt;0, "", IFERROR(AVERAGEIFS(Log!#REF!, Log!$A:$A, $A80, Log!$B:$B, $B80, Log!$C:$C, $C80),""))</f>
        <v/>
      </c>
      <c r="K80" s="6" t="str">
        <f>IF(COUNTBLANK($A80:$E80)&gt;0, "", IFERROR(_xlfn.MINIFS(Log!$F:$F, Log!$A:$A, $A80, Log!$B:$B, $B80, Log!$C:$C, $C80),""))</f>
        <v/>
      </c>
      <c r="L80" s="6" t="str">
        <f>IF(COUNTBLANK($A80:$E80)&gt;0, "", IFERROR(_xlfn.MAXIFS(Log!$F:$F, Log!$A:$A, $A80, Log!$B:$B, $B80, Log!$C:$C, $C80),""))</f>
        <v/>
      </c>
      <c r="M80" s="6" t="str">
        <f>IF(COUNTBLANK($A80:$E80)&gt;0, "", IFERROR(AVERAGEIFS(Log!#REF!, Log!$A:$A, $A80, Log!$B:$B, $B80, Log!$C:$C, $C80),""))</f>
        <v/>
      </c>
      <c r="N80" s="6" t="str">
        <f>IF(COUNTBLANK($A80:$E80)&gt;0, "", IFERROR(_xlfn.MINIFS(Log!$G:$G, Log!$A:$A, $A80, Log!$B:$B, $B80, Log!$C:$C, $C80),""))</f>
        <v/>
      </c>
      <c r="O80" s="6" t="str">
        <f>IF(COUNTBLANK($A80:$E80)&gt;0, "", IFERROR(_xlfn.MAXIFS(Log!$G:$G, Log!$A:$A, $A80, Log!$B:$B, $B80, Log!$C:$C, $C80),""))</f>
        <v/>
      </c>
    </row>
    <row r="81" spans="1:15" ht="49.95" customHeight="1" x14ac:dyDescent="0.3">
      <c r="A81" s="103" t="str">
        <f t="shared" si="2"/>
        <v/>
      </c>
      <c r="B81" s="105"/>
      <c r="H81" s="7" t="str">
        <f>IF(COUNTBLANK($A81:$E81)&gt;0, "", IFERROR(AVERAGEIFS(Log!$E:$E, Log!$A:$A, $A81, Log!$B:$B, $B81, Log!$C:$C, $C81),""))</f>
        <v/>
      </c>
      <c r="I81" s="37" t="str">
        <f t="shared" si="3"/>
        <v/>
      </c>
      <c r="J81" s="6" t="str">
        <f>IF(COUNTBLANK($A81:$E81)&gt;0, "", IFERROR(AVERAGEIFS(Log!#REF!, Log!$A:$A, $A81, Log!$B:$B, $B81, Log!$C:$C, $C81),""))</f>
        <v/>
      </c>
      <c r="K81" s="6" t="str">
        <f>IF(COUNTBLANK($A81:$E81)&gt;0, "", IFERROR(_xlfn.MINIFS(Log!$F:$F, Log!$A:$A, $A81, Log!$B:$B, $B81, Log!$C:$C, $C81),""))</f>
        <v/>
      </c>
      <c r="L81" s="6" t="str">
        <f>IF(COUNTBLANK($A81:$E81)&gt;0, "", IFERROR(_xlfn.MAXIFS(Log!$F:$F, Log!$A:$A, $A81, Log!$B:$B, $B81, Log!$C:$C, $C81),""))</f>
        <v/>
      </c>
      <c r="M81" s="6" t="str">
        <f>IF(COUNTBLANK($A81:$E81)&gt;0, "", IFERROR(AVERAGEIFS(Log!#REF!, Log!$A:$A, $A81, Log!$B:$B, $B81, Log!$C:$C, $C81),""))</f>
        <v/>
      </c>
      <c r="N81" s="6" t="str">
        <f>IF(COUNTBLANK($A81:$E81)&gt;0, "", IFERROR(_xlfn.MINIFS(Log!$G:$G, Log!$A:$A, $A81, Log!$B:$B, $B81, Log!$C:$C, $C81),""))</f>
        <v/>
      </c>
      <c r="O81" s="6" t="str">
        <f>IF(COUNTBLANK($A81:$E81)&gt;0, "", IFERROR(_xlfn.MAXIFS(Log!$G:$G, Log!$A:$A, $A81, Log!$B:$B, $B81, Log!$C:$C, $C81),""))</f>
        <v/>
      </c>
    </row>
    <row r="82" spans="1:15" ht="49.95" customHeight="1" x14ac:dyDescent="0.3">
      <c r="A82" s="103" t="str">
        <f t="shared" si="2"/>
        <v/>
      </c>
      <c r="B82" s="105"/>
      <c r="H82" s="7" t="str">
        <f>IF(COUNTBLANK($A82:$E82)&gt;0, "", IFERROR(AVERAGEIFS(Log!$E:$E, Log!$A:$A, $A82, Log!$B:$B, $B82, Log!$C:$C, $C82),""))</f>
        <v/>
      </c>
      <c r="I82" s="37" t="str">
        <f t="shared" si="3"/>
        <v/>
      </c>
      <c r="J82" s="6" t="str">
        <f>IF(COUNTBLANK($A82:$E82)&gt;0, "", IFERROR(AVERAGEIFS(Log!#REF!, Log!$A:$A, $A82, Log!$B:$B, $B82, Log!$C:$C, $C82),""))</f>
        <v/>
      </c>
      <c r="K82" s="6" t="str">
        <f>IF(COUNTBLANK($A82:$E82)&gt;0, "", IFERROR(_xlfn.MINIFS(Log!$F:$F, Log!$A:$A, $A82, Log!$B:$B, $B82, Log!$C:$C, $C82),""))</f>
        <v/>
      </c>
      <c r="L82" s="6" t="str">
        <f>IF(COUNTBLANK($A82:$E82)&gt;0, "", IFERROR(_xlfn.MAXIFS(Log!$F:$F, Log!$A:$A, $A82, Log!$B:$B, $B82, Log!$C:$C, $C82),""))</f>
        <v/>
      </c>
      <c r="M82" s="6" t="str">
        <f>IF(COUNTBLANK($A82:$E82)&gt;0, "", IFERROR(AVERAGEIFS(Log!#REF!, Log!$A:$A, $A82, Log!$B:$B, $B82, Log!$C:$C, $C82),""))</f>
        <v/>
      </c>
      <c r="N82" s="6" t="str">
        <f>IF(COUNTBLANK($A82:$E82)&gt;0, "", IFERROR(_xlfn.MINIFS(Log!$G:$G, Log!$A:$A, $A82, Log!$B:$B, $B82, Log!$C:$C, $C82),""))</f>
        <v/>
      </c>
      <c r="O82" s="6" t="str">
        <f>IF(COUNTBLANK($A82:$E82)&gt;0, "", IFERROR(_xlfn.MAXIFS(Log!$G:$G, Log!$A:$A, $A82, Log!$B:$B, $B82, Log!$C:$C, $C82),""))</f>
        <v/>
      </c>
    </row>
    <row r="83" spans="1:15" ht="49.95" customHeight="1" x14ac:dyDescent="0.3">
      <c r="A83" s="103" t="str">
        <f t="shared" si="2"/>
        <v/>
      </c>
      <c r="B83" s="105"/>
      <c r="H83" s="7" t="str">
        <f>IF(COUNTBLANK($A83:$E83)&gt;0, "", IFERROR(AVERAGEIFS(Log!$E:$E, Log!$A:$A, $A83, Log!$B:$B, $B83, Log!$C:$C, $C83),""))</f>
        <v/>
      </c>
      <c r="I83" s="37" t="str">
        <f t="shared" si="3"/>
        <v/>
      </c>
      <c r="J83" s="6" t="str">
        <f>IF(COUNTBLANK($A83:$E83)&gt;0, "", IFERROR(AVERAGEIFS(Log!#REF!, Log!$A:$A, $A83, Log!$B:$B, $B83, Log!$C:$C, $C83),""))</f>
        <v/>
      </c>
      <c r="K83" s="6" t="str">
        <f>IF(COUNTBLANK($A83:$E83)&gt;0, "", IFERROR(_xlfn.MINIFS(Log!$F:$F, Log!$A:$A, $A83, Log!$B:$B, $B83, Log!$C:$C, $C83),""))</f>
        <v/>
      </c>
      <c r="L83" s="6" t="str">
        <f>IF(COUNTBLANK($A83:$E83)&gt;0, "", IFERROR(_xlfn.MAXIFS(Log!$F:$F, Log!$A:$A, $A83, Log!$B:$B, $B83, Log!$C:$C, $C83),""))</f>
        <v/>
      </c>
      <c r="M83" s="6" t="str">
        <f>IF(COUNTBLANK($A83:$E83)&gt;0, "", IFERROR(AVERAGEIFS(Log!#REF!, Log!$A:$A, $A83, Log!$B:$B, $B83, Log!$C:$C, $C83),""))</f>
        <v/>
      </c>
      <c r="N83" s="6" t="str">
        <f>IF(COUNTBLANK($A83:$E83)&gt;0, "", IFERROR(_xlfn.MINIFS(Log!$G:$G, Log!$A:$A, $A83, Log!$B:$B, $B83, Log!$C:$C, $C83),""))</f>
        <v/>
      </c>
      <c r="O83" s="6" t="str">
        <f>IF(COUNTBLANK($A83:$E83)&gt;0, "", IFERROR(_xlfn.MAXIFS(Log!$G:$G, Log!$A:$A, $A83, Log!$B:$B, $B83, Log!$C:$C, $C83),""))</f>
        <v/>
      </c>
    </row>
    <row r="84" spans="1:15" ht="49.95" customHeight="1" x14ac:dyDescent="0.3">
      <c r="A84" s="103" t="str">
        <f t="shared" si="2"/>
        <v/>
      </c>
      <c r="B84" s="105"/>
      <c r="H84" s="7" t="str">
        <f>IF(COUNTBLANK($A84:$E84)&gt;0, "", IFERROR(AVERAGEIFS(Log!$E:$E, Log!$A:$A, $A84, Log!$B:$B, $B84, Log!$C:$C, $C84),""))</f>
        <v/>
      </c>
      <c r="I84" s="37" t="str">
        <f t="shared" si="3"/>
        <v/>
      </c>
      <c r="J84" s="6" t="str">
        <f>IF(COUNTBLANK($A84:$E84)&gt;0, "", IFERROR(AVERAGEIFS(Log!#REF!, Log!$A:$A, $A84, Log!$B:$B, $B84, Log!$C:$C, $C84),""))</f>
        <v/>
      </c>
      <c r="K84" s="6" t="str">
        <f>IF(COUNTBLANK($A84:$E84)&gt;0, "", IFERROR(_xlfn.MINIFS(Log!$F:$F, Log!$A:$A, $A84, Log!$B:$B, $B84, Log!$C:$C, $C84),""))</f>
        <v/>
      </c>
      <c r="L84" s="6" t="str">
        <f>IF(COUNTBLANK($A84:$E84)&gt;0, "", IFERROR(_xlfn.MAXIFS(Log!$F:$F, Log!$A:$A, $A84, Log!$B:$B, $B84, Log!$C:$C, $C84),""))</f>
        <v/>
      </c>
      <c r="M84" s="6" t="str">
        <f>IF(COUNTBLANK($A84:$E84)&gt;0, "", IFERROR(AVERAGEIFS(Log!#REF!, Log!$A:$A, $A84, Log!$B:$B, $B84, Log!$C:$C, $C84),""))</f>
        <v/>
      </c>
      <c r="N84" s="6" t="str">
        <f>IF(COUNTBLANK($A84:$E84)&gt;0, "", IFERROR(_xlfn.MINIFS(Log!$G:$G, Log!$A:$A, $A84, Log!$B:$B, $B84, Log!$C:$C, $C84),""))</f>
        <v/>
      </c>
      <c r="O84" s="6" t="str">
        <f>IF(COUNTBLANK($A84:$E84)&gt;0, "", IFERROR(_xlfn.MAXIFS(Log!$G:$G, Log!$A:$A, $A84, Log!$B:$B, $B84, Log!$C:$C, $C84),""))</f>
        <v/>
      </c>
    </row>
    <row r="85" spans="1:15" ht="49.95" customHeight="1" x14ac:dyDescent="0.3">
      <c r="A85" s="103" t="str">
        <f t="shared" si="2"/>
        <v/>
      </c>
      <c r="B85" s="105"/>
      <c r="H85" s="7" t="str">
        <f>IF(COUNTBLANK($A85:$E85)&gt;0, "", IFERROR(AVERAGEIFS(Log!$E:$E, Log!$A:$A, $A85, Log!$B:$B, $B85, Log!$C:$C, $C85),""))</f>
        <v/>
      </c>
      <c r="I85" s="37" t="str">
        <f t="shared" si="3"/>
        <v/>
      </c>
      <c r="J85" s="6" t="str">
        <f>IF(COUNTBLANK($A85:$E85)&gt;0, "", IFERROR(AVERAGEIFS(Log!#REF!, Log!$A:$A, $A85, Log!$B:$B, $B85, Log!$C:$C, $C85),""))</f>
        <v/>
      </c>
      <c r="K85" s="6" t="str">
        <f>IF(COUNTBLANK($A85:$E85)&gt;0, "", IFERROR(_xlfn.MINIFS(Log!$F:$F, Log!$A:$A, $A85, Log!$B:$B, $B85, Log!$C:$C, $C85),""))</f>
        <v/>
      </c>
      <c r="L85" s="6" t="str">
        <f>IF(COUNTBLANK($A85:$E85)&gt;0, "", IFERROR(_xlfn.MAXIFS(Log!$F:$F, Log!$A:$A, $A85, Log!$B:$B, $B85, Log!$C:$C, $C85),""))</f>
        <v/>
      </c>
      <c r="M85" s="6" t="str">
        <f>IF(COUNTBLANK($A85:$E85)&gt;0, "", IFERROR(AVERAGEIFS(Log!#REF!, Log!$A:$A, $A85, Log!$B:$B, $B85, Log!$C:$C, $C85),""))</f>
        <v/>
      </c>
      <c r="N85" s="6" t="str">
        <f>IF(COUNTBLANK($A85:$E85)&gt;0, "", IFERROR(_xlfn.MINIFS(Log!$G:$G, Log!$A:$A, $A85, Log!$B:$B, $B85, Log!$C:$C, $C85),""))</f>
        <v/>
      </c>
      <c r="O85" s="6" t="str">
        <f>IF(COUNTBLANK($A85:$E85)&gt;0, "", IFERROR(_xlfn.MAXIFS(Log!$G:$G, Log!$A:$A, $A85, Log!$B:$B, $B85, Log!$C:$C, $C85),""))</f>
        <v/>
      </c>
    </row>
    <row r="86" spans="1:15" ht="49.95" customHeight="1" x14ac:dyDescent="0.3">
      <c r="A86" s="103" t="str">
        <f t="shared" si="2"/>
        <v/>
      </c>
      <c r="B86" s="105"/>
      <c r="H86" s="7" t="str">
        <f>IF(COUNTBLANK($A86:$E86)&gt;0, "", IFERROR(AVERAGEIFS(Log!$E:$E, Log!$A:$A, $A86, Log!$B:$B, $B86, Log!$C:$C, $C86),""))</f>
        <v/>
      </c>
      <c r="I86" s="37" t="str">
        <f t="shared" si="3"/>
        <v/>
      </c>
      <c r="J86" s="6" t="str">
        <f>IF(COUNTBLANK($A86:$E86)&gt;0, "", IFERROR(AVERAGEIFS(Log!#REF!, Log!$A:$A, $A86, Log!$B:$B, $B86, Log!$C:$C, $C86),""))</f>
        <v/>
      </c>
      <c r="K86" s="6" t="str">
        <f>IF(COUNTBLANK($A86:$E86)&gt;0, "", IFERROR(_xlfn.MINIFS(Log!$F:$F, Log!$A:$A, $A86, Log!$B:$B, $B86, Log!$C:$C, $C86),""))</f>
        <v/>
      </c>
      <c r="L86" s="6" t="str">
        <f>IF(COUNTBLANK($A86:$E86)&gt;0, "", IFERROR(_xlfn.MAXIFS(Log!$F:$F, Log!$A:$A, $A86, Log!$B:$B, $B86, Log!$C:$C, $C86),""))</f>
        <v/>
      </c>
      <c r="M86" s="6" t="str">
        <f>IF(COUNTBLANK($A86:$E86)&gt;0, "", IFERROR(AVERAGEIFS(Log!#REF!, Log!$A:$A, $A86, Log!$B:$B, $B86, Log!$C:$C, $C86),""))</f>
        <v/>
      </c>
      <c r="N86" s="6" t="str">
        <f>IF(COUNTBLANK($A86:$E86)&gt;0, "", IFERROR(_xlfn.MINIFS(Log!$G:$G, Log!$A:$A, $A86, Log!$B:$B, $B86, Log!$C:$C, $C86),""))</f>
        <v/>
      </c>
      <c r="O86" s="6" t="str">
        <f>IF(COUNTBLANK($A86:$E86)&gt;0, "", IFERROR(_xlfn.MAXIFS(Log!$G:$G, Log!$A:$A, $A86, Log!$B:$B, $B86, Log!$C:$C, $C86),""))</f>
        <v/>
      </c>
    </row>
    <row r="87" spans="1:15" ht="49.95" customHeight="1" x14ac:dyDescent="0.3">
      <c r="A87" s="103" t="str">
        <f t="shared" si="2"/>
        <v/>
      </c>
      <c r="B87" s="105"/>
      <c r="H87" s="7" t="str">
        <f>IF(COUNTBLANK($A87:$E87)&gt;0, "", IFERROR(AVERAGEIFS(Log!$E:$E, Log!$A:$A, $A87, Log!$B:$B, $B87, Log!$C:$C, $C87),""))</f>
        <v/>
      </c>
      <c r="I87" s="37" t="str">
        <f t="shared" si="3"/>
        <v/>
      </c>
      <c r="J87" s="6" t="str">
        <f>IF(COUNTBLANK($A87:$E87)&gt;0, "", IFERROR(AVERAGEIFS(Log!#REF!, Log!$A:$A, $A87, Log!$B:$B, $B87, Log!$C:$C, $C87),""))</f>
        <v/>
      </c>
      <c r="K87" s="6" t="str">
        <f>IF(COUNTBLANK($A87:$E87)&gt;0, "", IFERROR(_xlfn.MINIFS(Log!$F:$F, Log!$A:$A, $A87, Log!$B:$B, $B87, Log!$C:$C, $C87),""))</f>
        <v/>
      </c>
      <c r="L87" s="6" t="str">
        <f>IF(COUNTBLANK($A87:$E87)&gt;0, "", IFERROR(_xlfn.MAXIFS(Log!$F:$F, Log!$A:$A, $A87, Log!$B:$B, $B87, Log!$C:$C, $C87),""))</f>
        <v/>
      </c>
      <c r="M87" s="6" t="str">
        <f>IF(COUNTBLANK($A87:$E87)&gt;0, "", IFERROR(AVERAGEIFS(Log!#REF!, Log!$A:$A, $A87, Log!$B:$B, $B87, Log!$C:$C, $C87),""))</f>
        <v/>
      </c>
      <c r="N87" s="6" t="str">
        <f>IF(COUNTBLANK($A87:$E87)&gt;0, "", IFERROR(_xlfn.MINIFS(Log!$G:$G, Log!$A:$A, $A87, Log!$B:$B, $B87, Log!$C:$C, $C87),""))</f>
        <v/>
      </c>
      <c r="O87" s="6" t="str">
        <f>IF(COUNTBLANK($A87:$E87)&gt;0, "", IFERROR(_xlfn.MAXIFS(Log!$G:$G, Log!$A:$A, $A87, Log!$B:$B, $B87, Log!$C:$C, $C87),""))</f>
        <v/>
      </c>
    </row>
    <row r="88" spans="1:15" ht="49.95" customHeight="1" x14ac:dyDescent="0.3">
      <c r="A88" s="103" t="str">
        <f t="shared" si="2"/>
        <v/>
      </c>
      <c r="B88" s="105"/>
      <c r="H88" s="7" t="str">
        <f>IF(COUNTBLANK($A88:$E88)&gt;0, "", IFERROR(AVERAGEIFS(Log!$E:$E, Log!$A:$A, $A88, Log!$B:$B, $B88, Log!$C:$C, $C88),""))</f>
        <v/>
      </c>
      <c r="I88" s="37" t="str">
        <f t="shared" si="3"/>
        <v/>
      </c>
      <c r="J88" s="6" t="str">
        <f>IF(COUNTBLANK($A88:$E88)&gt;0, "", IFERROR(AVERAGEIFS(Log!#REF!, Log!$A:$A, $A88, Log!$B:$B, $B88, Log!$C:$C, $C88),""))</f>
        <v/>
      </c>
      <c r="K88" s="6" t="str">
        <f>IF(COUNTBLANK($A88:$E88)&gt;0, "", IFERROR(_xlfn.MINIFS(Log!$F:$F, Log!$A:$A, $A88, Log!$B:$B, $B88, Log!$C:$C, $C88),""))</f>
        <v/>
      </c>
      <c r="L88" s="6" t="str">
        <f>IF(COUNTBLANK($A88:$E88)&gt;0, "", IFERROR(_xlfn.MAXIFS(Log!$F:$F, Log!$A:$A, $A88, Log!$B:$B, $B88, Log!$C:$C, $C88),""))</f>
        <v/>
      </c>
      <c r="M88" s="6" t="str">
        <f>IF(COUNTBLANK($A88:$E88)&gt;0, "", IFERROR(AVERAGEIFS(Log!#REF!, Log!$A:$A, $A88, Log!$B:$B, $B88, Log!$C:$C, $C88),""))</f>
        <v/>
      </c>
      <c r="N88" s="6" t="str">
        <f>IF(COUNTBLANK($A88:$E88)&gt;0, "", IFERROR(_xlfn.MINIFS(Log!$G:$G, Log!$A:$A, $A88, Log!$B:$B, $B88, Log!$C:$C, $C88),""))</f>
        <v/>
      </c>
      <c r="O88" s="6" t="str">
        <f>IF(COUNTBLANK($A88:$E88)&gt;0, "", IFERROR(_xlfn.MAXIFS(Log!$G:$G, Log!$A:$A, $A88, Log!$B:$B, $B88, Log!$C:$C, $C88),""))</f>
        <v/>
      </c>
    </row>
    <row r="89" spans="1:15" ht="49.95" customHeight="1" x14ac:dyDescent="0.3">
      <c r="A89" s="103" t="str">
        <f t="shared" si="2"/>
        <v/>
      </c>
      <c r="B89" s="105"/>
      <c r="H89" s="7" t="str">
        <f>IF(COUNTBLANK($A89:$E89)&gt;0, "", IFERROR(AVERAGEIFS(Log!$E:$E, Log!$A:$A, $A89, Log!$B:$B, $B89, Log!$C:$C, $C89),""))</f>
        <v/>
      </c>
      <c r="I89" s="37" t="str">
        <f t="shared" si="3"/>
        <v/>
      </c>
      <c r="J89" s="6" t="str">
        <f>IF(COUNTBLANK($A89:$E89)&gt;0, "", IFERROR(AVERAGEIFS(Log!#REF!, Log!$A:$A, $A89, Log!$B:$B, $B89, Log!$C:$C, $C89),""))</f>
        <v/>
      </c>
      <c r="K89" s="6" t="str">
        <f>IF(COUNTBLANK($A89:$E89)&gt;0, "", IFERROR(_xlfn.MINIFS(Log!$F:$F, Log!$A:$A, $A89, Log!$B:$B, $B89, Log!$C:$C, $C89),""))</f>
        <v/>
      </c>
      <c r="L89" s="6" t="str">
        <f>IF(COUNTBLANK($A89:$E89)&gt;0, "", IFERROR(_xlfn.MAXIFS(Log!$F:$F, Log!$A:$A, $A89, Log!$B:$B, $B89, Log!$C:$C, $C89),""))</f>
        <v/>
      </c>
      <c r="M89" s="6" t="str">
        <f>IF(COUNTBLANK($A89:$E89)&gt;0, "", IFERROR(AVERAGEIFS(Log!#REF!, Log!$A:$A, $A89, Log!$B:$B, $B89, Log!$C:$C, $C89),""))</f>
        <v/>
      </c>
      <c r="N89" s="6" t="str">
        <f>IF(COUNTBLANK($A89:$E89)&gt;0, "", IFERROR(_xlfn.MINIFS(Log!$G:$G, Log!$A:$A, $A89, Log!$B:$B, $B89, Log!$C:$C, $C89),""))</f>
        <v/>
      </c>
      <c r="O89" s="6" t="str">
        <f>IF(COUNTBLANK($A89:$E89)&gt;0, "", IFERROR(_xlfn.MAXIFS(Log!$G:$G, Log!$A:$A, $A89, Log!$B:$B, $B89, Log!$C:$C, $C89),""))</f>
        <v/>
      </c>
    </row>
    <row r="90" spans="1:15" ht="49.95" customHeight="1" x14ac:dyDescent="0.3">
      <c r="A90" s="103" t="str">
        <f t="shared" si="2"/>
        <v/>
      </c>
      <c r="B90" s="105"/>
      <c r="H90" s="7" t="str">
        <f>IF(COUNTBLANK($A90:$E90)&gt;0, "", IFERROR(AVERAGEIFS(Log!$E:$E, Log!$A:$A, $A90, Log!$B:$B, $B90, Log!$C:$C, $C90),""))</f>
        <v/>
      </c>
      <c r="I90" s="37" t="str">
        <f t="shared" si="3"/>
        <v/>
      </c>
      <c r="J90" s="6" t="str">
        <f>IF(COUNTBLANK($A90:$E90)&gt;0, "", IFERROR(AVERAGEIFS(Log!#REF!, Log!$A:$A, $A90, Log!$B:$B, $B90, Log!$C:$C, $C90),""))</f>
        <v/>
      </c>
      <c r="K90" s="6" t="str">
        <f>IF(COUNTBLANK($A90:$E90)&gt;0, "", IFERROR(_xlfn.MINIFS(Log!$F:$F, Log!$A:$A, $A90, Log!$B:$B, $B90, Log!$C:$C, $C90),""))</f>
        <v/>
      </c>
      <c r="L90" s="6" t="str">
        <f>IF(COUNTBLANK($A90:$E90)&gt;0, "", IFERROR(_xlfn.MAXIFS(Log!$F:$F, Log!$A:$A, $A90, Log!$B:$B, $B90, Log!$C:$C, $C90),""))</f>
        <v/>
      </c>
      <c r="M90" s="6" t="str">
        <f>IF(COUNTBLANK($A90:$E90)&gt;0, "", IFERROR(AVERAGEIFS(Log!#REF!, Log!$A:$A, $A90, Log!$B:$B, $B90, Log!$C:$C, $C90),""))</f>
        <v/>
      </c>
      <c r="N90" s="6" t="str">
        <f>IF(COUNTBLANK($A90:$E90)&gt;0, "", IFERROR(_xlfn.MINIFS(Log!$G:$G, Log!$A:$A, $A90, Log!$B:$B, $B90, Log!$C:$C, $C90),""))</f>
        <v/>
      </c>
      <c r="O90" s="6" t="str">
        <f>IF(COUNTBLANK($A90:$E90)&gt;0, "", IFERROR(_xlfn.MAXIFS(Log!$G:$G, Log!$A:$A, $A90, Log!$B:$B, $B90, Log!$C:$C, $C90),""))</f>
        <v/>
      </c>
    </row>
    <row r="91" spans="1:15" ht="49.95" customHeight="1" x14ac:dyDescent="0.3">
      <c r="A91" s="103" t="str">
        <f t="shared" si="2"/>
        <v/>
      </c>
      <c r="B91" s="105"/>
      <c r="H91" s="7" t="str">
        <f>IF(COUNTBLANK($A91:$E91)&gt;0, "", IFERROR(AVERAGEIFS(Log!$E:$E, Log!$A:$A, $A91, Log!$B:$B, $B91, Log!$C:$C, $C91),""))</f>
        <v/>
      </c>
      <c r="I91" s="37" t="str">
        <f t="shared" si="3"/>
        <v/>
      </c>
      <c r="J91" s="6" t="str">
        <f>IF(COUNTBLANK($A91:$E91)&gt;0, "", IFERROR(AVERAGEIFS(Log!#REF!, Log!$A:$A, $A91, Log!$B:$B, $B91, Log!$C:$C, $C91),""))</f>
        <v/>
      </c>
      <c r="K91" s="6" t="str">
        <f>IF(COUNTBLANK($A91:$E91)&gt;0, "", IFERROR(_xlfn.MINIFS(Log!$F:$F, Log!$A:$A, $A91, Log!$B:$B, $B91, Log!$C:$C, $C91),""))</f>
        <v/>
      </c>
      <c r="L91" s="6" t="str">
        <f>IF(COUNTBLANK($A91:$E91)&gt;0, "", IFERROR(_xlfn.MAXIFS(Log!$F:$F, Log!$A:$A, $A91, Log!$B:$B, $B91, Log!$C:$C, $C91),""))</f>
        <v/>
      </c>
      <c r="M91" s="6" t="str">
        <f>IF(COUNTBLANK($A91:$E91)&gt;0, "", IFERROR(AVERAGEIFS(Log!#REF!, Log!$A:$A, $A91, Log!$B:$B, $B91, Log!$C:$C, $C91),""))</f>
        <v/>
      </c>
      <c r="N91" s="6" t="str">
        <f>IF(COUNTBLANK($A91:$E91)&gt;0, "", IFERROR(_xlfn.MINIFS(Log!$G:$G, Log!$A:$A, $A91, Log!$B:$B, $B91, Log!$C:$C, $C91),""))</f>
        <v/>
      </c>
      <c r="O91" s="6" t="str">
        <f>IF(COUNTBLANK($A91:$E91)&gt;0, "", IFERROR(_xlfn.MAXIFS(Log!$G:$G, Log!$A:$A, $A91, Log!$B:$B, $B91, Log!$C:$C, $C91),""))</f>
        <v/>
      </c>
    </row>
    <row r="92" spans="1:15" ht="49.95" customHeight="1" x14ac:dyDescent="0.3">
      <c r="A92" s="103" t="str">
        <f t="shared" si="2"/>
        <v/>
      </c>
      <c r="B92" s="105"/>
      <c r="H92" s="7" t="str">
        <f>IF(COUNTBLANK($A92:$E92)&gt;0, "", IFERROR(AVERAGEIFS(Log!$E:$E, Log!$A:$A, $A92, Log!$B:$B, $B92, Log!$C:$C, $C92),""))</f>
        <v/>
      </c>
      <c r="I92" s="37" t="str">
        <f t="shared" si="3"/>
        <v/>
      </c>
      <c r="J92" s="6" t="str">
        <f>IF(COUNTBLANK($A92:$E92)&gt;0, "", IFERROR(AVERAGEIFS(Log!#REF!, Log!$A:$A, $A92, Log!$B:$B, $B92, Log!$C:$C, $C92),""))</f>
        <v/>
      </c>
      <c r="K92" s="6" t="str">
        <f>IF(COUNTBLANK($A92:$E92)&gt;0, "", IFERROR(_xlfn.MINIFS(Log!$F:$F, Log!$A:$A, $A92, Log!$B:$B, $B92, Log!$C:$C, $C92),""))</f>
        <v/>
      </c>
      <c r="L92" s="6" t="str">
        <f>IF(COUNTBLANK($A92:$E92)&gt;0, "", IFERROR(_xlfn.MAXIFS(Log!$F:$F, Log!$A:$A, $A92, Log!$B:$B, $B92, Log!$C:$C, $C92),""))</f>
        <v/>
      </c>
      <c r="M92" s="6" t="str">
        <f>IF(COUNTBLANK($A92:$E92)&gt;0, "", IFERROR(AVERAGEIFS(Log!#REF!, Log!$A:$A, $A92, Log!$B:$B, $B92, Log!$C:$C, $C92),""))</f>
        <v/>
      </c>
      <c r="N92" s="6" t="str">
        <f>IF(COUNTBLANK($A92:$E92)&gt;0, "", IFERROR(_xlfn.MINIFS(Log!$G:$G, Log!$A:$A, $A92, Log!$B:$B, $B92, Log!$C:$C, $C92),""))</f>
        <v/>
      </c>
      <c r="O92" s="6" t="str">
        <f>IF(COUNTBLANK($A92:$E92)&gt;0, "", IFERROR(_xlfn.MAXIFS(Log!$G:$G, Log!$A:$A, $A92, Log!$B:$B, $B92, Log!$C:$C, $C92),""))</f>
        <v/>
      </c>
    </row>
    <row r="93" spans="1:15" ht="49.95" customHeight="1" x14ac:dyDescent="0.3">
      <c r="A93" s="103" t="str">
        <f t="shared" si="2"/>
        <v/>
      </c>
      <c r="B93" s="105"/>
      <c r="H93" s="7" t="str">
        <f>IF(COUNTBLANK($A93:$E93)&gt;0, "", IFERROR(AVERAGEIFS(Log!$E:$E, Log!$A:$A, $A93, Log!$B:$B, $B93, Log!$C:$C, $C93),""))</f>
        <v/>
      </c>
      <c r="I93" s="37" t="str">
        <f t="shared" si="3"/>
        <v/>
      </c>
      <c r="J93" s="6" t="str">
        <f>IF(COUNTBLANK($A93:$E93)&gt;0, "", IFERROR(AVERAGEIFS(Log!#REF!, Log!$A:$A, $A93, Log!$B:$B, $B93, Log!$C:$C, $C93),""))</f>
        <v/>
      </c>
      <c r="K93" s="6" t="str">
        <f>IF(COUNTBLANK($A93:$E93)&gt;0, "", IFERROR(_xlfn.MINIFS(Log!$F:$F, Log!$A:$A, $A93, Log!$B:$B, $B93, Log!$C:$C, $C93),""))</f>
        <v/>
      </c>
      <c r="L93" s="6" t="str">
        <f>IF(COUNTBLANK($A93:$E93)&gt;0, "", IFERROR(_xlfn.MAXIFS(Log!$F:$F, Log!$A:$A, $A93, Log!$B:$B, $B93, Log!$C:$C, $C93),""))</f>
        <v/>
      </c>
      <c r="M93" s="6" t="str">
        <f>IF(COUNTBLANK($A93:$E93)&gt;0, "", IFERROR(AVERAGEIFS(Log!#REF!, Log!$A:$A, $A93, Log!$B:$B, $B93, Log!$C:$C, $C93),""))</f>
        <v/>
      </c>
      <c r="N93" s="6" t="str">
        <f>IF(COUNTBLANK($A93:$E93)&gt;0, "", IFERROR(_xlfn.MINIFS(Log!$G:$G, Log!$A:$A, $A93, Log!$B:$B, $B93, Log!$C:$C, $C93),""))</f>
        <v/>
      </c>
      <c r="O93" s="6" t="str">
        <f>IF(COUNTBLANK($A93:$E93)&gt;0, "", IFERROR(_xlfn.MAXIFS(Log!$G:$G, Log!$A:$A, $A93, Log!$B:$B, $B93, Log!$C:$C, $C93),""))</f>
        <v/>
      </c>
    </row>
    <row r="94" spans="1:15" ht="49.95" customHeight="1" x14ac:dyDescent="0.3">
      <c r="A94" s="103" t="str">
        <f t="shared" si="2"/>
        <v/>
      </c>
      <c r="B94" s="105"/>
      <c r="H94" s="7" t="str">
        <f>IF(COUNTBLANK($A94:$E94)&gt;0, "", IFERROR(AVERAGEIFS(Log!$E:$E, Log!$A:$A, $A94, Log!$B:$B, $B94, Log!$C:$C, $C94),""))</f>
        <v/>
      </c>
      <c r="I94" s="37" t="str">
        <f t="shared" si="3"/>
        <v/>
      </c>
      <c r="J94" s="6" t="str">
        <f>IF(COUNTBLANK($A94:$E94)&gt;0, "", IFERROR(AVERAGEIFS(Log!#REF!, Log!$A:$A, $A94, Log!$B:$B, $B94, Log!$C:$C, $C94),""))</f>
        <v/>
      </c>
      <c r="K94" s="6" t="str">
        <f>IF(COUNTBLANK($A94:$E94)&gt;0, "", IFERROR(_xlfn.MINIFS(Log!$F:$F, Log!$A:$A, $A94, Log!$B:$B, $B94, Log!$C:$C, $C94),""))</f>
        <v/>
      </c>
      <c r="L94" s="6" t="str">
        <f>IF(COUNTBLANK($A94:$E94)&gt;0, "", IFERROR(_xlfn.MAXIFS(Log!$F:$F, Log!$A:$A, $A94, Log!$B:$B, $B94, Log!$C:$C, $C94),""))</f>
        <v/>
      </c>
      <c r="M94" s="6" t="str">
        <f>IF(COUNTBLANK($A94:$E94)&gt;0, "", IFERROR(AVERAGEIFS(Log!#REF!, Log!$A:$A, $A94, Log!$B:$B, $B94, Log!$C:$C, $C94),""))</f>
        <v/>
      </c>
      <c r="N94" s="6" t="str">
        <f>IF(COUNTBLANK($A94:$E94)&gt;0, "", IFERROR(_xlfn.MINIFS(Log!$G:$G, Log!$A:$A, $A94, Log!$B:$B, $B94, Log!$C:$C, $C94),""))</f>
        <v/>
      </c>
      <c r="O94" s="6" t="str">
        <f>IF(COUNTBLANK($A94:$E94)&gt;0, "", IFERROR(_xlfn.MAXIFS(Log!$G:$G, Log!$A:$A, $A94, Log!$B:$B, $B94, Log!$C:$C, $C94),""))</f>
        <v/>
      </c>
    </row>
    <row r="95" spans="1:15" ht="49.95" customHeight="1" x14ac:dyDescent="0.3">
      <c r="A95" s="103" t="str">
        <f t="shared" si="2"/>
        <v/>
      </c>
      <c r="B95" s="105"/>
      <c r="H95" s="7" t="str">
        <f>IF(COUNTBLANK($A95:$E95)&gt;0, "", IFERROR(AVERAGEIFS(Log!$E:$E, Log!$A:$A, $A95, Log!$B:$B, $B95, Log!$C:$C, $C95),""))</f>
        <v/>
      </c>
      <c r="I95" s="37" t="str">
        <f t="shared" si="3"/>
        <v/>
      </c>
      <c r="J95" s="6" t="str">
        <f>IF(COUNTBLANK($A95:$E95)&gt;0, "", IFERROR(AVERAGEIFS(Log!#REF!, Log!$A:$A, $A95, Log!$B:$B, $B95, Log!$C:$C, $C95),""))</f>
        <v/>
      </c>
      <c r="K95" s="6" t="str">
        <f>IF(COUNTBLANK($A95:$E95)&gt;0, "", IFERROR(_xlfn.MINIFS(Log!$F:$F, Log!$A:$A, $A95, Log!$B:$B, $B95, Log!$C:$C, $C95),""))</f>
        <v/>
      </c>
      <c r="L95" s="6" t="str">
        <f>IF(COUNTBLANK($A95:$E95)&gt;0, "", IFERROR(_xlfn.MAXIFS(Log!$F:$F, Log!$A:$A, $A95, Log!$B:$B, $B95, Log!$C:$C, $C95),""))</f>
        <v/>
      </c>
      <c r="M95" s="6" t="str">
        <f>IF(COUNTBLANK($A95:$E95)&gt;0, "", IFERROR(AVERAGEIFS(Log!#REF!, Log!$A:$A, $A95, Log!$B:$B, $B95, Log!$C:$C, $C95),""))</f>
        <v/>
      </c>
      <c r="N95" s="6" t="str">
        <f>IF(COUNTBLANK($A95:$E95)&gt;0, "", IFERROR(_xlfn.MINIFS(Log!$G:$G, Log!$A:$A, $A95, Log!$B:$B, $B95, Log!$C:$C, $C95),""))</f>
        <v/>
      </c>
      <c r="O95" s="6" t="str">
        <f>IF(COUNTBLANK($A95:$E95)&gt;0, "", IFERROR(_xlfn.MAXIFS(Log!$G:$G, Log!$A:$A, $A95, Log!$B:$B, $B95, Log!$C:$C, $C95),""))</f>
        <v/>
      </c>
    </row>
    <row r="96" spans="1:15" ht="49.95" customHeight="1" x14ac:dyDescent="0.3">
      <c r="A96" s="103" t="str">
        <f t="shared" si="2"/>
        <v/>
      </c>
      <c r="B96" s="105"/>
      <c r="H96" s="7" t="str">
        <f>IF(COUNTBLANK($A96:$E96)&gt;0, "", IFERROR(AVERAGEIFS(Log!$E:$E, Log!$A:$A, $A96, Log!$B:$B, $B96, Log!$C:$C, $C96),""))</f>
        <v/>
      </c>
      <c r="I96" s="37" t="str">
        <f t="shared" si="3"/>
        <v/>
      </c>
      <c r="J96" s="6" t="str">
        <f>IF(COUNTBLANK($A96:$E96)&gt;0, "", IFERROR(AVERAGEIFS(Log!#REF!, Log!$A:$A, $A96, Log!$B:$B, $B96, Log!$C:$C, $C96),""))</f>
        <v/>
      </c>
      <c r="K96" s="6" t="str">
        <f>IF(COUNTBLANK($A96:$E96)&gt;0, "", IFERROR(_xlfn.MINIFS(Log!$F:$F, Log!$A:$A, $A96, Log!$B:$B, $B96, Log!$C:$C, $C96),""))</f>
        <v/>
      </c>
      <c r="L96" s="6" t="str">
        <f>IF(COUNTBLANK($A96:$E96)&gt;0, "", IFERROR(_xlfn.MAXIFS(Log!$F:$F, Log!$A:$A, $A96, Log!$B:$B, $B96, Log!$C:$C, $C96),""))</f>
        <v/>
      </c>
      <c r="M96" s="6" t="str">
        <f>IF(COUNTBLANK($A96:$E96)&gt;0, "", IFERROR(AVERAGEIFS(Log!#REF!, Log!$A:$A, $A96, Log!$B:$B, $B96, Log!$C:$C, $C96),""))</f>
        <v/>
      </c>
      <c r="N96" s="6" t="str">
        <f>IF(COUNTBLANK($A96:$E96)&gt;0, "", IFERROR(_xlfn.MINIFS(Log!$G:$G, Log!$A:$A, $A96, Log!$B:$B, $B96, Log!$C:$C, $C96),""))</f>
        <v/>
      </c>
      <c r="O96" s="6" t="str">
        <f>IF(COUNTBLANK($A96:$E96)&gt;0, "", IFERROR(_xlfn.MAXIFS(Log!$G:$G, Log!$A:$A, $A96, Log!$B:$B, $B96, Log!$C:$C, $C96),""))</f>
        <v/>
      </c>
    </row>
    <row r="97" spans="1:15" ht="49.95" customHeight="1" x14ac:dyDescent="0.3">
      <c r="A97" s="103" t="str">
        <f t="shared" si="2"/>
        <v/>
      </c>
      <c r="B97" s="105"/>
      <c r="H97" s="7" t="str">
        <f>IF(COUNTBLANK($A97:$E97)&gt;0, "", IFERROR(AVERAGEIFS(Log!$E:$E, Log!$A:$A, $A97, Log!$B:$B, $B97, Log!$C:$C, $C97),""))</f>
        <v/>
      </c>
      <c r="I97" s="37" t="str">
        <f t="shared" si="3"/>
        <v/>
      </c>
      <c r="J97" s="6" t="str">
        <f>IF(COUNTBLANK($A97:$E97)&gt;0, "", IFERROR(AVERAGEIFS(Log!#REF!, Log!$A:$A, $A97, Log!$B:$B, $B97, Log!$C:$C, $C97),""))</f>
        <v/>
      </c>
      <c r="K97" s="6" t="str">
        <f>IF(COUNTBLANK($A97:$E97)&gt;0, "", IFERROR(_xlfn.MINIFS(Log!$F:$F, Log!$A:$A, $A97, Log!$B:$B, $B97, Log!$C:$C, $C97),""))</f>
        <v/>
      </c>
      <c r="L97" s="6" t="str">
        <f>IF(COUNTBLANK($A97:$E97)&gt;0, "", IFERROR(_xlfn.MAXIFS(Log!$F:$F, Log!$A:$A, $A97, Log!$B:$B, $B97, Log!$C:$C, $C97),""))</f>
        <v/>
      </c>
      <c r="M97" s="6" t="str">
        <f>IF(COUNTBLANK($A97:$E97)&gt;0, "", IFERROR(AVERAGEIFS(Log!#REF!, Log!$A:$A, $A97, Log!$B:$B, $B97, Log!$C:$C, $C97),""))</f>
        <v/>
      </c>
      <c r="N97" s="6" t="str">
        <f>IF(COUNTBLANK($A97:$E97)&gt;0, "", IFERROR(_xlfn.MINIFS(Log!$G:$G, Log!$A:$A, $A97, Log!$B:$B, $B97, Log!$C:$C, $C97),""))</f>
        <v/>
      </c>
      <c r="O97" s="6" t="str">
        <f>IF(COUNTBLANK($A97:$E97)&gt;0, "", IFERROR(_xlfn.MAXIFS(Log!$G:$G, Log!$A:$A, $A97, Log!$B:$B, $B97, Log!$C:$C, $C97),""))</f>
        <v/>
      </c>
    </row>
    <row r="98" spans="1:15" ht="49.95" customHeight="1" x14ac:dyDescent="0.3">
      <c r="A98" s="103" t="str">
        <f t="shared" si="2"/>
        <v/>
      </c>
      <c r="B98" s="105"/>
      <c r="H98" s="7" t="str">
        <f>IF(COUNTBLANK($A98:$E98)&gt;0, "", IFERROR(AVERAGEIFS(Log!$E:$E, Log!$A:$A, $A98, Log!$B:$B, $B98, Log!$C:$C, $C98),""))</f>
        <v/>
      </c>
      <c r="I98" s="37" t="str">
        <f t="shared" si="3"/>
        <v/>
      </c>
      <c r="J98" s="6" t="str">
        <f>IF(COUNTBLANK($A98:$E98)&gt;0, "", IFERROR(AVERAGEIFS(Log!#REF!, Log!$A:$A, $A98, Log!$B:$B, $B98, Log!$C:$C, $C98),""))</f>
        <v/>
      </c>
      <c r="K98" s="6" t="str">
        <f>IF(COUNTBLANK($A98:$E98)&gt;0, "", IFERROR(_xlfn.MINIFS(Log!$F:$F, Log!$A:$A, $A98, Log!$B:$B, $B98, Log!$C:$C, $C98),""))</f>
        <v/>
      </c>
      <c r="L98" s="6" t="str">
        <f>IF(COUNTBLANK($A98:$E98)&gt;0, "", IFERROR(_xlfn.MAXIFS(Log!$F:$F, Log!$A:$A, $A98, Log!$B:$B, $B98, Log!$C:$C, $C98),""))</f>
        <v/>
      </c>
      <c r="M98" s="6" t="str">
        <f>IF(COUNTBLANK($A98:$E98)&gt;0, "", IFERROR(AVERAGEIFS(Log!#REF!, Log!$A:$A, $A98, Log!$B:$B, $B98, Log!$C:$C, $C98),""))</f>
        <v/>
      </c>
      <c r="N98" s="6" t="str">
        <f>IF(COUNTBLANK($A98:$E98)&gt;0, "", IFERROR(_xlfn.MINIFS(Log!$G:$G, Log!$A:$A, $A98, Log!$B:$B, $B98, Log!$C:$C, $C98),""))</f>
        <v/>
      </c>
      <c r="O98" s="6" t="str">
        <f>IF(COUNTBLANK($A98:$E98)&gt;0, "", IFERROR(_xlfn.MAXIFS(Log!$G:$G, Log!$A:$A, $A98, Log!$B:$B, $B98, Log!$C:$C, $C98),""))</f>
        <v/>
      </c>
    </row>
    <row r="99" spans="1:15" ht="49.95" customHeight="1" x14ac:dyDescent="0.3">
      <c r="A99" s="103" t="str">
        <f t="shared" si="2"/>
        <v/>
      </c>
      <c r="B99" s="105"/>
      <c r="H99" s="7" t="str">
        <f>IF(COUNTBLANK($A99:$E99)&gt;0, "", IFERROR(AVERAGEIFS(Log!$E:$E, Log!$A:$A, $A99, Log!$B:$B, $B99, Log!$C:$C, $C99),""))</f>
        <v/>
      </c>
      <c r="I99" s="37" t="str">
        <f t="shared" si="3"/>
        <v/>
      </c>
      <c r="J99" s="6" t="str">
        <f>IF(COUNTBLANK($A99:$E99)&gt;0, "", IFERROR(AVERAGEIFS(Log!#REF!, Log!$A:$A, $A99, Log!$B:$B, $B99, Log!$C:$C, $C99),""))</f>
        <v/>
      </c>
      <c r="K99" s="6" t="str">
        <f>IF(COUNTBLANK($A99:$E99)&gt;0, "", IFERROR(_xlfn.MINIFS(Log!$F:$F, Log!$A:$A, $A99, Log!$B:$B, $B99, Log!$C:$C, $C99),""))</f>
        <v/>
      </c>
      <c r="L99" s="6" t="str">
        <f>IF(COUNTBLANK($A99:$E99)&gt;0, "", IFERROR(_xlfn.MAXIFS(Log!$F:$F, Log!$A:$A, $A99, Log!$B:$B, $B99, Log!$C:$C, $C99),""))</f>
        <v/>
      </c>
      <c r="M99" s="6" t="str">
        <f>IF(COUNTBLANK($A99:$E99)&gt;0, "", IFERROR(AVERAGEIFS(Log!#REF!, Log!$A:$A, $A99, Log!$B:$B, $B99, Log!$C:$C, $C99),""))</f>
        <v/>
      </c>
      <c r="N99" s="6" t="str">
        <f>IF(COUNTBLANK($A99:$E99)&gt;0, "", IFERROR(_xlfn.MINIFS(Log!$G:$G, Log!$A:$A, $A99, Log!$B:$B, $B99, Log!$C:$C, $C99),""))</f>
        <v/>
      </c>
      <c r="O99" s="6" t="str">
        <f>IF(COUNTBLANK($A99:$E99)&gt;0, "", IFERROR(_xlfn.MAXIFS(Log!$G:$G, Log!$A:$A, $A99, Log!$B:$B, $B99, Log!$C:$C, $C99),""))</f>
        <v/>
      </c>
    </row>
    <row r="100" spans="1:15" ht="49.95" customHeight="1" x14ac:dyDescent="0.3">
      <c r="A100" s="103" t="str">
        <f t="shared" si="2"/>
        <v/>
      </c>
      <c r="B100" s="105"/>
      <c r="H100" s="7" t="str">
        <f>IF(COUNTBLANK($A100:$E100)&gt;0, "", IFERROR(AVERAGEIFS(Log!$E:$E, Log!$A:$A, $A100, Log!$B:$B, $B100, Log!$C:$C, $C100),""))</f>
        <v/>
      </c>
      <c r="I100" s="37" t="str">
        <f t="shared" si="3"/>
        <v/>
      </c>
      <c r="J100" s="6" t="str">
        <f>IF(COUNTBLANK($A100:$E100)&gt;0, "", IFERROR(AVERAGEIFS(Log!#REF!, Log!$A:$A, $A100, Log!$B:$B, $B100, Log!$C:$C, $C100),""))</f>
        <v/>
      </c>
      <c r="K100" s="6" t="str">
        <f>IF(COUNTBLANK($A100:$E100)&gt;0, "", IFERROR(_xlfn.MINIFS(Log!$F:$F, Log!$A:$A, $A100, Log!$B:$B, $B100, Log!$C:$C, $C100),""))</f>
        <v/>
      </c>
      <c r="L100" s="6" t="str">
        <f>IF(COUNTBLANK($A100:$E100)&gt;0, "", IFERROR(_xlfn.MAXIFS(Log!$F:$F, Log!$A:$A, $A100, Log!$B:$B, $B100, Log!$C:$C, $C100),""))</f>
        <v/>
      </c>
      <c r="M100" s="6" t="str">
        <f>IF(COUNTBLANK($A100:$E100)&gt;0, "", IFERROR(AVERAGEIFS(Log!#REF!, Log!$A:$A, $A100, Log!$B:$B, $B100, Log!$C:$C, $C100),""))</f>
        <v/>
      </c>
      <c r="N100" s="6" t="str">
        <f>IF(COUNTBLANK($A100:$E100)&gt;0, "", IFERROR(_xlfn.MINIFS(Log!$G:$G, Log!$A:$A, $A100, Log!$B:$B, $B100, Log!$C:$C, $C100),""))</f>
        <v/>
      </c>
      <c r="O100" s="6" t="str">
        <f>IF(COUNTBLANK($A100:$E100)&gt;0, "", IFERROR(_xlfn.MAXIFS(Log!$G:$G, Log!$A:$A, $A100, Log!$B:$B, $B100, Log!$C:$C, $C100),""))</f>
        <v/>
      </c>
    </row>
    <row r="101" spans="1:15" ht="49.95" customHeight="1" x14ac:dyDescent="0.3">
      <c r="A101" s="103" t="str">
        <f t="shared" si="2"/>
        <v/>
      </c>
      <c r="B101" s="105"/>
      <c r="H101" s="7" t="str">
        <f>IF(COUNTBLANK($A101:$E101)&gt;0, "", IFERROR(AVERAGEIFS(Log!$E:$E, Log!$A:$A, $A101, Log!$B:$B, $B101, Log!$C:$C, $C101),""))</f>
        <v/>
      </c>
      <c r="I101" s="37" t="str">
        <f t="shared" si="3"/>
        <v/>
      </c>
      <c r="J101" s="6" t="str">
        <f>IF(COUNTBLANK($A101:$E101)&gt;0, "", IFERROR(AVERAGEIFS(Log!#REF!, Log!$A:$A, $A101, Log!$B:$B, $B101, Log!$C:$C, $C101),""))</f>
        <v/>
      </c>
      <c r="K101" s="6" t="str">
        <f>IF(COUNTBLANK($A101:$E101)&gt;0, "", IFERROR(_xlfn.MINIFS(Log!$F:$F, Log!$A:$A, $A101, Log!$B:$B, $B101, Log!$C:$C, $C101),""))</f>
        <v/>
      </c>
      <c r="L101" s="6" t="str">
        <f>IF(COUNTBLANK($A101:$E101)&gt;0, "", IFERROR(_xlfn.MAXIFS(Log!$F:$F, Log!$A:$A, $A101, Log!$B:$B, $B101, Log!$C:$C, $C101),""))</f>
        <v/>
      </c>
      <c r="M101" s="6" t="str">
        <f>IF(COUNTBLANK($A101:$E101)&gt;0, "", IFERROR(AVERAGEIFS(Log!#REF!, Log!$A:$A, $A101, Log!$B:$B, $B101, Log!$C:$C, $C101),""))</f>
        <v/>
      </c>
      <c r="N101" s="6" t="str">
        <f>IF(COUNTBLANK($A101:$E101)&gt;0, "", IFERROR(_xlfn.MINIFS(Log!$G:$G, Log!$A:$A, $A101, Log!$B:$B, $B101, Log!$C:$C, $C101),""))</f>
        <v/>
      </c>
      <c r="O101" s="6" t="str">
        <f>IF(COUNTBLANK($A101:$E101)&gt;0, "", IFERROR(_xlfn.MAXIFS(Log!$G:$G, Log!$A:$A, $A101, Log!$B:$B, $B101, Log!$C:$C, $C101),""))</f>
        <v/>
      </c>
    </row>
    <row r="102" spans="1:15" ht="49.95" customHeight="1" x14ac:dyDescent="0.3">
      <c r="A102" s="103" t="str">
        <f t="shared" si="2"/>
        <v/>
      </c>
      <c r="B102" s="105"/>
      <c r="H102" s="7" t="str">
        <f>IF(COUNTBLANK($A102:$E102)&gt;0, "", IFERROR(AVERAGEIFS(Log!$E:$E, Log!$A:$A, $A102, Log!$B:$B, $B102, Log!$C:$C, $C102),""))</f>
        <v/>
      </c>
      <c r="I102" s="37" t="str">
        <f t="shared" si="3"/>
        <v/>
      </c>
      <c r="J102" s="6" t="str">
        <f>IF(COUNTBLANK($A102:$E102)&gt;0, "", IFERROR(AVERAGEIFS(Log!#REF!, Log!$A:$A, $A102, Log!$B:$B, $B102, Log!$C:$C, $C102),""))</f>
        <v/>
      </c>
      <c r="K102" s="6" t="str">
        <f>IF(COUNTBLANK($A102:$E102)&gt;0, "", IFERROR(_xlfn.MINIFS(Log!$F:$F, Log!$A:$A, $A102, Log!$B:$B, $B102, Log!$C:$C, $C102),""))</f>
        <v/>
      </c>
      <c r="L102" s="6" t="str">
        <f>IF(COUNTBLANK($A102:$E102)&gt;0, "", IFERROR(_xlfn.MAXIFS(Log!$F:$F, Log!$A:$A, $A102, Log!$B:$B, $B102, Log!$C:$C, $C102),""))</f>
        <v/>
      </c>
      <c r="M102" s="6" t="str">
        <f>IF(COUNTBLANK($A102:$E102)&gt;0, "", IFERROR(AVERAGEIFS(Log!#REF!, Log!$A:$A, $A102, Log!$B:$B, $B102, Log!$C:$C, $C102),""))</f>
        <v/>
      </c>
      <c r="N102" s="6" t="str">
        <f>IF(COUNTBLANK($A102:$E102)&gt;0, "", IFERROR(_xlfn.MINIFS(Log!$G:$G, Log!$A:$A, $A102, Log!$B:$B, $B102, Log!$C:$C, $C102),""))</f>
        <v/>
      </c>
      <c r="O102" s="6" t="str">
        <f>IF(COUNTBLANK($A102:$E102)&gt;0, "", IFERROR(_xlfn.MAXIFS(Log!$G:$G, Log!$A:$A, $A102, Log!$B:$B, $B102, Log!$C:$C, $C102),""))</f>
        <v/>
      </c>
    </row>
    <row r="103" spans="1:15" ht="49.95" customHeight="1" x14ac:dyDescent="0.3">
      <c r="A103" s="103" t="str">
        <f t="shared" si="2"/>
        <v/>
      </c>
      <c r="B103" s="105"/>
      <c r="H103" s="7" t="str">
        <f>IF(COUNTBLANK($A103:$E103)&gt;0, "", IFERROR(AVERAGEIFS(Log!$E:$E, Log!$A:$A, $A103, Log!$B:$B, $B103, Log!$C:$C, $C103),""))</f>
        <v/>
      </c>
      <c r="I103" s="37" t="str">
        <f t="shared" si="3"/>
        <v/>
      </c>
      <c r="J103" s="6" t="str">
        <f>IF(COUNTBLANK($A103:$E103)&gt;0, "", IFERROR(AVERAGEIFS(Log!#REF!, Log!$A:$A, $A103, Log!$B:$B, $B103, Log!$C:$C, $C103),""))</f>
        <v/>
      </c>
      <c r="K103" s="6" t="str">
        <f>IF(COUNTBLANK($A103:$E103)&gt;0, "", IFERROR(_xlfn.MINIFS(Log!$F:$F, Log!$A:$A, $A103, Log!$B:$B, $B103, Log!$C:$C, $C103),""))</f>
        <v/>
      </c>
      <c r="L103" s="6" t="str">
        <f>IF(COUNTBLANK($A103:$E103)&gt;0, "", IFERROR(_xlfn.MAXIFS(Log!$F:$F, Log!$A:$A, $A103, Log!$B:$B, $B103, Log!$C:$C, $C103),""))</f>
        <v/>
      </c>
      <c r="M103" s="6" t="str">
        <f>IF(COUNTBLANK($A103:$E103)&gt;0, "", IFERROR(AVERAGEIFS(Log!#REF!, Log!$A:$A, $A103, Log!$B:$B, $B103, Log!$C:$C, $C103),""))</f>
        <v/>
      </c>
      <c r="N103" s="6" t="str">
        <f>IF(COUNTBLANK($A103:$E103)&gt;0, "", IFERROR(_xlfn.MINIFS(Log!$G:$G, Log!$A:$A, $A103, Log!$B:$B, $B103, Log!$C:$C, $C103),""))</f>
        <v/>
      </c>
      <c r="O103" s="6" t="str">
        <f>IF(COUNTBLANK($A103:$E103)&gt;0, "", IFERROR(_xlfn.MAXIFS(Log!$G:$G, Log!$A:$A, $A103, Log!$B:$B, $B103, Log!$C:$C, $C103),""))</f>
        <v/>
      </c>
    </row>
    <row r="104" spans="1:15" ht="49.95" customHeight="1" x14ac:dyDescent="0.3">
      <c r="A104" s="103" t="str">
        <f t="shared" si="2"/>
        <v/>
      </c>
      <c r="B104" s="105"/>
      <c r="H104" s="7" t="str">
        <f>IF(COUNTBLANK($A104:$E104)&gt;0, "", IFERROR(AVERAGEIFS(Log!$E:$E, Log!$A:$A, $A104, Log!$B:$B, $B104, Log!$C:$C, $C104),""))</f>
        <v/>
      </c>
      <c r="I104" s="37" t="str">
        <f t="shared" si="3"/>
        <v/>
      </c>
      <c r="J104" s="6" t="str">
        <f>IF(COUNTBLANK($A104:$E104)&gt;0, "", IFERROR(AVERAGEIFS(Log!#REF!, Log!$A:$A, $A104, Log!$B:$B, $B104, Log!$C:$C, $C104),""))</f>
        <v/>
      </c>
      <c r="K104" s="6" t="str">
        <f>IF(COUNTBLANK($A104:$E104)&gt;0, "", IFERROR(_xlfn.MINIFS(Log!$F:$F, Log!$A:$A, $A104, Log!$B:$B, $B104, Log!$C:$C, $C104),""))</f>
        <v/>
      </c>
      <c r="L104" s="6" t="str">
        <f>IF(COUNTBLANK($A104:$E104)&gt;0, "", IFERROR(_xlfn.MAXIFS(Log!$F:$F, Log!$A:$A, $A104, Log!$B:$B, $B104, Log!$C:$C, $C104),""))</f>
        <v/>
      </c>
      <c r="M104" s="6" t="str">
        <f>IF(COUNTBLANK($A104:$E104)&gt;0, "", IFERROR(AVERAGEIFS(Log!#REF!, Log!$A:$A, $A104, Log!$B:$B, $B104, Log!$C:$C, $C104),""))</f>
        <v/>
      </c>
      <c r="N104" s="6" t="str">
        <f>IF(COUNTBLANK($A104:$E104)&gt;0, "", IFERROR(_xlfn.MINIFS(Log!$G:$G, Log!$A:$A, $A104, Log!$B:$B, $B104, Log!$C:$C, $C104),""))</f>
        <v/>
      </c>
      <c r="O104" s="6" t="str">
        <f>IF(COUNTBLANK($A104:$E104)&gt;0, "", IFERROR(_xlfn.MAXIFS(Log!$G:$G, Log!$A:$A, $A104, Log!$B:$B, $B104, Log!$C:$C, $C104),""))</f>
        <v/>
      </c>
    </row>
    <row r="105" spans="1:15" ht="49.95" customHeight="1" x14ac:dyDescent="0.3">
      <c r="A105" s="103" t="str">
        <f t="shared" si="2"/>
        <v/>
      </c>
      <c r="B105" s="105"/>
      <c r="H105" s="7" t="str">
        <f>IF(COUNTBLANK($A105:$E105)&gt;0, "", IFERROR(AVERAGEIFS(Log!$E:$E, Log!$A:$A, $A105, Log!$B:$B, $B105, Log!$C:$C, $C105),""))</f>
        <v/>
      </c>
      <c r="I105" s="37" t="str">
        <f t="shared" si="3"/>
        <v/>
      </c>
      <c r="J105" s="6" t="str">
        <f>IF(COUNTBLANK($A105:$E105)&gt;0, "", IFERROR(AVERAGEIFS(Log!#REF!, Log!$A:$A, $A105, Log!$B:$B, $B105, Log!$C:$C, $C105),""))</f>
        <v/>
      </c>
      <c r="K105" s="6" t="str">
        <f>IF(COUNTBLANK($A105:$E105)&gt;0, "", IFERROR(_xlfn.MINIFS(Log!$F:$F, Log!$A:$A, $A105, Log!$B:$B, $B105, Log!$C:$C, $C105),""))</f>
        <v/>
      </c>
      <c r="L105" s="6" t="str">
        <f>IF(COUNTBLANK($A105:$E105)&gt;0, "", IFERROR(_xlfn.MAXIFS(Log!$F:$F, Log!$A:$A, $A105, Log!$B:$B, $B105, Log!$C:$C, $C105),""))</f>
        <v/>
      </c>
      <c r="M105" s="6" t="str">
        <f>IF(COUNTBLANK($A105:$E105)&gt;0, "", IFERROR(AVERAGEIFS(Log!#REF!, Log!$A:$A, $A105, Log!$B:$B, $B105, Log!$C:$C, $C105),""))</f>
        <v/>
      </c>
      <c r="N105" s="6" t="str">
        <f>IF(COUNTBLANK($A105:$E105)&gt;0, "", IFERROR(_xlfn.MINIFS(Log!$G:$G, Log!$A:$A, $A105, Log!$B:$B, $B105, Log!$C:$C, $C105),""))</f>
        <v/>
      </c>
      <c r="O105" s="6" t="str">
        <f>IF(COUNTBLANK($A105:$E105)&gt;0, "", IFERROR(_xlfn.MAXIFS(Log!$G:$G, Log!$A:$A, $A105, Log!$B:$B, $B105, Log!$C:$C, $C105),""))</f>
        <v/>
      </c>
    </row>
    <row r="106" spans="1:15" ht="49.95" customHeight="1" x14ac:dyDescent="0.3">
      <c r="A106" s="103" t="str">
        <f t="shared" si="2"/>
        <v/>
      </c>
      <c r="B106" s="105"/>
      <c r="H106" s="7" t="str">
        <f>IF(COUNTBLANK($A106:$E106)&gt;0, "", IFERROR(AVERAGEIFS(Log!$E:$E, Log!$A:$A, $A106, Log!$B:$B, $B106, Log!$C:$C, $C106),""))</f>
        <v/>
      </c>
      <c r="I106" s="37" t="str">
        <f t="shared" si="3"/>
        <v/>
      </c>
      <c r="J106" s="6" t="str">
        <f>IF(COUNTBLANK($A106:$E106)&gt;0, "", IFERROR(AVERAGEIFS(Log!#REF!, Log!$A:$A, $A106, Log!$B:$B, $B106, Log!$C:$C, $C106),""))</f>
        <v/>
      </c>
      <c r="K106" s="6" t="str">
        <f>IF(COUNTBLANK($A106:$E106)&gt;0, "", IFERROR(_xlfn.MINIFS(Log!$F:$F, Log!$A:$A, $A106, Log!$B:$B, $B106, Log!$C:$C, $C106),""))</f>
        <v/>
      </c>
      <c r="L106" s="6" t="str">
        <f>IF(COUNTBLANK($A106:$E106)&gt;0, "", IFERROR(_xlfn.MAXIFS(Log!$F:$F, Log!$A:$A, $A106, Log!$B:$B, $B106, Log!$C:$C, $C106),""))</f>
        <v/>
      </c>
      <c r="M106" s="6" t="str">
        <f>IF(COUNTBLANK($A106:$E106)&gt;0, "", IFERROR(AVERAGEIFS(Log!#REF!, Log!$A:$A, $A106, Log!$B:$B, $B106, Log!$C:$C, $C106),""))</f>
        <v/>
      </c>
      <c r="N106" s="6" t="str">
        <f>IF(COUNTBLANK($A106:$E106)&gt;0, "", IFERROR(_xlfn.MINIFS(Log!$G:$G, Log!$A:$A, $A106, Log!$B:$B, $B106, Log!$C:$C, $C106),""))</f>
        <v/>
      </c>
      <c r="O106" s="6" t="str">
        <f>IF(COUNTBLANK($A106:$E106)&gt;0, "", IFERROR(_xlfn.MAXIFS(Log!$G:$G, Log!$A:$A, $A106, Log!$B:$B, $B106, Log!$C:$C, $C106),""))</f>
        <v/>
      </c>
    </row>
    <row r="107" spans="1:15" ht="49.95" customHeight="1" x14ac:dyDescent="0.3">
      <c r="A107" s="103" t="str">
        <f t="shared" si="2"/>
        <v/>
      </c>
      <c r="B107" s="105"/>
      <c r="H107" s="7" t="str">
        <f>IF(COUNTBLANK($A107:$E107)&gt;0, "", IFERROR(AVERAGEIFS(Log!$E:$E, Log!$A:$A, $A107, Log!$B:$B, $B107, Log!$C:$C, $C107),""))</f>
        <v/>
      </c>
      <c r="I107" s="37" t="str">
        <f t="shared" si="3"/>
        <v/>
      </c>
      <c r="J107" s="6" t="str">
        <f>IF(COUNTBLANK($A107:$E107)&gt;0, "", IFERROR(AVERAGEIFS(Log!#REF!, Log!$A:$A, $A107, Log!$B:$B, $B107, Log!$C:$C, $C107),""))</f>
        <v/>
      </c>
      <c r="K107" s="6" t="str">
        <f>IF(COUNTBLANK($A107:$E107)&gt;0, "", IFERROR(_xlfn.MINIFS(Log!$F:$F, Log!$A:$A, $A107, Log!$B:$B, $B107, Log!$C:$C, $C107),""))</f>
        <v/>
      </c>
      <c r="L107" s="6" t="str">
        <f>IF(COUNTBLANK($A107:$E107)&gt;0, "", IFERROR(_xlfn.MAXIFS(Log!$F:$F, Log!$A:$A, $A107, Log!$B:$B, $B107, Log!$C:$C, $C107),""))</f>
        <v/>
      </c>
      <c r="M107" s="6" t="str">
        <f>IF(COUNTBLANK($A107:$E107)&gt;0, "", IFERROR(AVERAGEIFS(Log!#REF!, Log!$A:$A, $A107, Log!$B:$B, $B107, Log!$C:$C, $C107),""))</f>
        <v/>
      </c>
      <c r="N107" s="6" t="str">
        <f>IF(COUNTBLANK($A107:$E107)&gt;0, "", IFERROR(_xlfn.MINIFS(Log!$G:$G, Log!$A:$A, $A107, Log!$B:$B, $B107, Log!$C:$C, $C107),""))</f>
        <v/>
      </c>
      <c r="O107" s="6" t="str">
        <f>IF(COUNTBLANK($A107:$E107)&gt;0, "", IFERROR(_xlfn.MAXIFS(Log!$G:$G, Log!$A:$A, $A107, Log!$B:$B, $B107, Log!$C:$C, $C107),""))</f>
        <v/>
      </c>
    </row>
    <row r="108" spans="1:15" ht="49.95" customHeight="1" x14ac:dyDescent="0.3">
      <c r="A108" s="103" t="str">
        <f t="shared" si="2"/>
        <v/>
      </c>
      <c r="B108" s="105"/>
      <c r="H108" s="7" t="str">
        <f>IF(COUNTBLANK($A108:$E108)&gt;0, "", IFERROR(AVERAGEIFS(Log!$E:$E, Log!$A:$A, $A108, Log!$B:$B, $B108, Log!$C:$C, $C108),""))</f>
        <v/>
      </c>
      <c r="I108" s="37" t="str">
        <f t="shared" si="3"/>
        <v/>
      </c>
      <c r="J108" s="6" t="str">
        <f>IF(COUNTBLANK($A108:$E108)&gt;0, "", IFERROR(AVERAGEIFS(Log!#REF!, Log!$A:$A, $A108, Log!$B:$B, $B108, Log!$C:$C, $C108),""))</f>
        <v/>
      </c>
      <c r="K108" s="6" t="str">
        <f>IF(COUNTBLANK($A108:$E108)&gt;0, "", IFERROR(_xlfn.MINIFS(Log!$F:$F, Log!$A:$A, $A108, Log!$B:$B, $B108, Log!$C:$C, $C108),""))</f>
        <v/>
      </c>
      <c r="L108" s="6" t="str">
        <f>IF(COUNTBLANK($A108:$E108)&gt;0, "", IFERROR(_xlfn.MAXIFS(Log!$F:$F, Log!$A:$A, $A108, Log!$B:$B, $B108, Log!$C:$C, $C108),""))</f>
        <v/>
      </c>
      <c r="M108" s="6" t="str">
        <f>IF(COUNTBLANK($A108:$E108)&gt;0, "", IFERROR(AVERAGEIFS(Log!#REF!, Log!$A:$A, $A108, Log!$B:$B, $B108, Log!$C:$C, $C108),""))</f>
        <v/>
      </c>
      <c r="N108" s="6" t="str">
        <f>IF(COUNTBLANK($A108:$E108)&gt;0, "", IFERROR(_xlfn.MINIFS(Log!$G:$G, Log!$A:$A, $A108, Log!$B:$B, $B108, Log!$C:$C, $C108),""))</f>
        <v/>
      </c>
      <c r="O108" s="6" t="str">
        <f>IF(COUNTBLANK($A108:$E108)&gt;0, "", IFERROR(_xlfn.MAXIFS(Log!$G:$G, Log!$A:$A, $A108, Log!$B:$B, $B108, Log!$C:$C, $C108),""))</f>
        <v/>
      </c>
    </row>
    <row r="109" spans="1:15" ht="49.95" customHeight="1" x14ac:dyDescent="0.3">
      <c r="A109" s="103" t="str">
        <f t="shared" si="2"/>
        <v/>
      </c>
      <c r="B109" s="105"/>
      <c r="H109" s="7" t="str">
        <f>IF(COUNTBLANK($A109:$E109)&gt;0, "", IFERROR(AVERAGEIFS(Log!$E:$E, Log!$A:$A, $A109, Log!$B:$B, $B109, Log!$C:$C, $C109),""))</f>
        <v/>
      </c>
      <c r="I109" s="37" t="str">
        <f t="shared" si="3"/>
        <v/>
      </c>
      <c r="J109" s="6" t="str">
        <f>IF(COUNTBLANK($A109:$E109)&gt;0, "", IFERROR(AVERAGEIFS(Log!#REF!, Log!$A:$A, $A109, Log!$B:$B, $B109, Log!$C:$C, $C109),""))</f>
        <v/>
      </c>
      <c r="K109" s="6" t="str">
        <f>IF(COUNTBLANK($A109:$E109)&gt;0, "", IFERROR(_xlfn.MINIFS(Log!$F:$F, Log!$A:$A, $A109, Log!$B:$B, $B109, Log!$C:$C, $C109),""))</f>
        <v/>
      </c>
      <c r="L109" s="6" t="str">
        <f>IF(COUNTBLANK($A109:$E109)&gt;0, "", IFERROR(_xlfn.MAXIFS(Log!$F:$F, Log!$A:$A, $A109, Log!$B:$B, $B109, Log!$C:$C, $C109),""))</f>
        <v/>
      </c>
      <c r="M109" s="6" t="str">
        <f>IF(COUNTBLANK($A109:$E109)&gt;0, "", IFERROR(AVERAGEIFS(Log!#REF!, Log!$A:$A, $A109, Log!$B:$B, $B109, Log!$C:$C, $C109),""))</f>
        <v/>
      </c>
      <c r="N109" s="6" t="str">
        <f>IF(COUNTBLANK($A109:$E109)&gt;0, "", IFERROR(_xlfn.MINIFS(Log!$G:$G, Log!$A:$A, $A109, Log!$B:$B, $B109, Log!$C:$C, $C109),""))</f>
        <v/>
      </c>
      <c r="O109" s="6" t="str">
        <f>IF(COUNTBLANK($A109:$E109)&gt;0, "", IFERROR(_xlfn.MAXIFS(Log!$G:$G, Log!$A:$A, $A109, Log!$B:$B, $B109, Log!$C:$C, $C109),""))</f>
        <v/>
      </c>
    </row>
    <row r="110" spans="1:15" ht="49.95" customHeight="1" x14ac:dyDescent="0.3">
      <c r="A110" s="103" t="str">
        <f t="shared" si="2"/>
        <v/>
      </c>
      <c r="B110" s="105"/>
      <c r="H110" s="7" t="str">
        <f>IF(COUNTBLANK($A110:$E110)&gt;0, "", IFERROR(AVERAGEIFS(Log!$E:$E, Log!$A:$A, $A110, Log!$B:$B, $B110, Log!$C:$C, $C110),""))</f>
        <v/>
      </c>
      <c r="I110" s="37" t="str">
        <f t="shared" si="3"/>
        <v/>
      </c>
      <c r="J110" s="6" t="str">
        <f>IF(COUNTBLANK($A110:$E110)&gt;0, "", IFERROR(AVERAGEIFS(Log!#REF!, Log!$A:$A, $A110, Log!$B:$B, $B110, Log!$C:$C, $C110),""))</f>
        <v/>
      </c>
      <c r="K110" s="6" t="str">
        <f>IF(COUNTBLANK($A110:$E110)&gt;0, "", IFERROR(_xlfn.MINIFS(Log!$F:$F, Log!$A:$A, $A110, Log!$B:$B, $B110, Log!$C:$C, $C110),""))</f>
        <v/>
      </c>
      <c r="L110" s="6" t="str">
        <f>IF(COUNTBLANK($A110:$E110)&gt;0, "", IFERROR(_xlfn.MAXIFS(Log!$F:$F, Log!$A:$A, $A110, Log!$B:$B, $B110, Log!$C:$C, $C110),""))</f>
        <v/>
      </c>
      <c r="M110" s="6" t="str">
        <f>IF(COUNTBLANK($A110:$E110)&gt;0, "", IFERROR(AVERAGEIFS(Log!#REF!, Log!$A:$A, $A110, Log!$B:$B, $B110, Log!$C:$C, $C110),""))</f>
        <v/>
      </c>
      <c r="N110" s="6" t="str">
        <f>IF(COUNTBLANK($A110:$E110)&gt;0, "", IFERROR(_xlfn.MINIFS(Log!$G:$G, Log!$A:$A, $A110, Log!$B:$B, $B110, Log!$C:$C, $C110),""))</f>
        <v/>
      </c>
      <c r="O110" s="6" t="str">
        <f>IF(COUNTBLANK($A110:$E110)&gt;0, "", IFERROR(_xlfn.MAXIFS(Log!$G:$G, Log!$A:$A, $A110, Log!$B:$B, $B110, Log!$C:$C, $C110),""))</f>
        <v/>
      </c>
    </row>
    <row r="111" spans="1:15" ht="49.95" customHeight="1" x14ac:dyDescent="0.3">
      <c r="A111" s="103" t="str">
        <f t="shared" si="2"/>
        <v/>
      </c>
      <c r="B111" s="105"/>
      <c r="H111" s="7" t="str">
        <f>IF(COUNTBLANK($A111:$E111)&gt;0, "", IFERROR(AVERAGEIFS(Log!$E:$E, Log!$A:$A, $A111, Log!$B:$B, $B111, Log!$C:$C, $C111),""))</f>
        <v/>
      </c>
      <c r="I111" s="37" t="str">
        <f t="shared" si="3"/>
        <v/>
      </c>
      <c r="J111" s="6" t="str">
        <f>IF(COUNTBLANK($A111:$E111)&gt;0, "", IFERROR(AVERAGEIFS(Log!#REF!, Log!$A:$A, $A111, Log!$B:$B, $B111, Log!$C:$C, $C111),""))</f>
        <v/>
      </c>
      <c r="K111" s="6" t="str">
        <f>IF(COUNTBLANK($A111:$E111)&gt;0, "", IFERROR(_xlfn.MINIFS(Log!$F:$F, Log!$A:$A, $A111, Log!$B:$B, $B111, Log!$C:$C, $C111),""))</f>
        <v/>
      </c>
      <c r="L111" s="6" t="str">
        <f>IF(COUNTBLANK($A111:$E111)&gt;0, "", IFERROR(_xlfn.MAXIFS(Log!$F:$F, Log!$A:$A, $A111, Log!$B:$B, $B111, Log!$C:$C, $C111),""))</f>
        <v/>
      </c>
      <c r="M111" s="6" t="str">
        <f>IF(COUNTBLANK($A111:$E111)&gt;0, "", IFERROR(AVERAGEIFS(Log!#REF!, Log!$A:$A, $A111, Log!$B:$B, $B111, Log!$C:$C, $C111),""))</f>
        <v/>
      </c>
      <c r="N111" s="6" t="str">
        <f>IF(COUNTBLANK($A111:$E111)&gt;0, "", IFERROR(_xlfn.MINIFS(Log!$G:$G, Log!$A:$A, $A111, Log!$B:$B, $B111, Log!$C:$C, $C111),""))</f>
        <v/>
      </c>
      <c r="O111" s="6" t="str">
        <f>IF(COUNTBLANK($A111:$E111)&gt;0, "", IFERROR(_xlfn.MAXIFS(Log!$G:$G, Log!$A:$A, $A111, Log!$B:$B, $B111, Log!$C:$C, $C111),""))</f>
        <v/>
      </c>
    </row>
    <row r="112" spans="1:15" ht="49.95" customHeight="1" x14ac:dyDescent="0.3">
      <c r="A112" s="103" t="str">
        <f t="shared" si="2"/>
        <v/>
      </c>
      <c r="B112" s="105"/>
      <c r="H112" s="7" t="str">
        <f>IF(COUNTBLANK($A112:$E112)&gt;0, "", IFERROR(AVERAGEIFS(Log!$E:$E, Log!$A:$A, $A112, Log!$B:$B, $B112, Log!$C:$C, $C112),""))</f>
        <v/>
      </c>
      <c r="I112" s="37" t="str">
        <f t="shared" si="3"/>
        <v/>
      </c>
      <c r="J112" s="6" t="str">
        <f>IF(COUNTBLANK($A112:$E112)&gt;0, "", IFERROR(AVERAGEIFS(Log!#REF!, Log!$A:$A, $A112, Log!$B:$B, $B112, Log!$C:$C, $C112),""))</f>
        <v/>
      </c>
      <c r="K112" s="6" t="str">
        <f>IF(COUNTBLANK($A112:$E112)&gt;0, "", IFERROR(_xlfn.MINIFS(Log!$F:$F, Log!$A:$A, $A112, Log!$B:$B, $B112, Log!$C:$C, $C112),""))</f>
        <v/>
      </c>
      <c r="L112" s="6" t="str">
        <f>IF(COUNTBLANK($A112:$E112)&gt;0, "", IFERROR(_xlfn.MAXIFS(Log!$F:$F, Log!$A:$A, $A112, Log!$B:$B, $B112, Log!$C:$C, $C112),""))</f>
        <v/>
      </c>
      <c r="M112" s="6" t="str">
        <f>IF(COUNTBLANK($A112:$E112)&gt;0, "", IFERROR(AVERAGEIFS(Log!#REF!, Log!$A:$A, $A112, Log!$B:$B, $B112, Log!$C:$C, $C112),""))</f>
        <v/>
      </c>
      <c r="N112" s="6" t="str">
        <f>IF(COUNTBLANK($A112:$E112)&gt;0, "", IFERROR(_xlfn.MINIFS(Log!$G:$G, Log!$A:$A, $A112, Log!$B:$B, $B112, Log!$C:$C, $C112),""))</f>
        <v/>
      </c>
      <c r="O112" s="6" t="str">
        <f>IF(COUNTBLANK($A112:$E112)&gt;0, "", IFERROR(_xlfn.MAXIFS(Log!$G:$G, Log!$A:$A, $A112, Log!$B:$B, $B112, Log!$C:$C, $C112),""))</f>
        <v/>
      </c>
    </row>
    <row r="113" spans="1:15" ht="49.95" customHeight="1" x14ac:dyDescent="0.3">
      <c r="A113" s="103" t="str">
        <f t="shared" si="2"/>
        <v/>
      </c>
      <c r="B113" s="105"/>
      <c r="H113" s="7" t="str">
        <f>IF(COUNTBLANK($A113:$E113)&gt;0, "", IFERROR(AVERAGEIFS(Log!$E:$E, Log!$A:$A, $A113, Log!$B:$B, $B113, Log!$C:$C, $C113),""))</f>
        <v/>
      </c>
      <c r="I113" s="37" t="str">
        <f t="shared" si="3"/>
        <v/>
      </c>
      <c r="J113" s="6" t="str">
        <f>IF(COUNTBLANK($A113:$E113)&gt;0, "", IFERROR(AVERAGEIFS(Log!#REF!, Log!$A:$A, $A113, Log!$B:$B, $B113, Log!$C:$C, $C113),""))</f>
        <v/>
      </c>
      <c r="K113" s="6" t="str">
        <f>IF(COUNTBLANK($A113:$E113)&gt;0, "", IFERROR(_xlfn.MINIFS(Log!$F:$F, Log!$A:$A, $A113, Log!$B:$B, $B113, Log!$C:$C, $C113),""))</f>
        <v/>
      </c>
      <c r="L113" s="6" t="str">
        <f>IF(COUNTBLANK($A113:$E113)&gt;0, "", IFERROR(_xlfn.MAXIFS(Log!$F:$F, Log!$A:$A, $A113, Log!$B:$B, $B113, Log!$C:$C, $C113),""))</f>
        <v/>
      </c>
      <c r="M113" s="6" t="str">
        <f>IF(COUNTBLANK($A113:$E113)&gt;0, "", IFERROR(AVERAGEIFS(Log!#REF!, Log!$A:$A, $A113, Log!$B:$B, $B113, Log!$C:$C, $C113),""))</f>
        <v/>
      </c>
      <c r="N113" s="6" t="str">
        <f>IF(COUNTBLANK($A113:$E113)&gt;0, "", IFERROR(_xlfn.MINIFS(Log!$G:$G, Log!$A:$A, $A113, Log!$B:$B, $B113, Log!$C:$C, $C113),""))</f>
        <v/>
      </c>
      <c r="O113" s="6" t="str">
        <f>IF(COUNTBLANK($A113:$E113)&gt;0, "", IFERROR(_xlfn.MAXIFS(Log!$G:$G, Log!$A:$A, $A113, Log!$B:$B, $B113, Log!$C:$C, $C113),""))</f>
        <v/>
      </c>
    </row>
    <row r="114" spans="1:15" ht="49.95" customHeight="1" x14ac:dyDescent="0.3">
      <c r="A114" s="103" t="str">
        <f t="shared" si="2"/>
        <v/>
      </c>
      <c r="B114" s="105"/>
      <c r="H114" s="7" t="str">
        <f>IF(COUNTBLANK($A114:$E114)&gt;0, "", IFERROR(AVERAGEIFS(Log!$E:$E, Log!$A:$A, $A114, Log!$B:$B, $B114, Log!$C:$C, $C114),""))</f>
        <v/>
      </c>
      <c r="I114" s="37" t="str">
        <f t="shared" si="3"/>
        <v/>
      </c>
      <c r="J114" s="6" t="str">
        <f>IF(COUNTBLANK($A114:$E114)&gt;0, "", IFERROR(AVERAGEIFS(Log!#REF!, Log!$A:$A, $A114, Log!$B:$B, $B114, Log!$C:$C, $C114),""))</f>
        <v/>
      </c>
      <c r="K114" s="6" t="str">
        <f>IF(COUNTBLANK($A114:$E114)&gt;0, "", IFERROR(_xlfn.MINIFS(Log!$F:$F, Log!$A:$A, $A114, Log!$B:$B, $B114, Log!$C:$C, $C114),""))</f>
        <v/>
      </c>
      <c r="L114" s="6" t="str">
        <f>IF(COUNTBLANK($A114:$E114)&gt;0, "", IFERROR(_xlfn.MAXIFS(Log!$F:$F, Log!$A:$A, $A114, Log!$B:$B, $B114, Log!$C:$C, $C114),""))</f>
        <v/>
      </c>
      <c r="M114" s="6" t="str">
        <f>IF(COUNTBLANK($A114:$E114)&gt;0, "", IFERROR(AVERAGEIFS(Log!#REF!, Log!$A:$A, $A114, Log!$B:$B, $B114, Log!$C:$C, $C114),""))</f>
        <v/>
      </c>
      <c r="N114" s="6" t="str">
        <f>IF(COUNTBLANK($A114:$E114)&gt;0, "", IFERROR(_xlfn.MINIFS(Log!$G:$G, Log!$A:$A, $A114, Log!$B:$B, $B114, Log!$C:$C, $C114),""))</f>
        <v/>
      </c>
      <c r="O114" s="6" t="str">
        <f>IF(COUNTBLANK($A114:$E114)&gt;0, "", IFERROR(_xlfn.MAXIFS(Log!$G:$G, Log!$A:$A, $A114, Log!$B:$B, $B114, Log!$C:$C, $C114),""))</f>
        <v/>
      </c>
    </row>
    <row r="115" spans="1:15" ht="49.95" customHeight="1" x14ac:dyDescent="0.3">
      <c r="A115" s="103" t="str">
        <f t="shared" si="2"/>
        <v/>
      </c>
      <c r="B115" s="105"/>
      <c r="H115" s="7" t="str">
        <f>IF(COUNTBLANK($A115:$E115)&gt;0, "", IFERROR(AVERAGEIFS(Log!$E:$E, Log!$A:$A, $A115, Log!$B:$B, $B115, Log!$C:$C, $C115),""))</f>
        <v/>
      </c>
      <c r="I115" s="37" t="str">
        <f t="shared" si="3"/>
        <v/>
      </c>
      <c r="J115" s="6" t="str">
        <f>IF(COUNTBLANK($A115:$E115)&gt;0, "", IFERROR(AVERAGEIFS(Log!#REF!, Log!$A:$A, $A115, Log!$B:$B, $B115, Log!$C:$C, $C115),""))</f>
        <v/>
      </c>
      <c r="K115" s="6" t="str">
        <f>IF(COUNTBLANK($A115:$E115)&gt;0, "", IFERROR(_xlfn.MINIFS(Log!$F:$F, Log!$A:$A, $A115, Log!$B:$B, $B115, Log!$C:$C, $C115),""))</f>
        <v/>
      </c>
      <c r="L115" s="6" t="str">
        <f>IF(COUNTBLANK($A115:$E115)&gt;0, "", IFERROR(_xlfn.MAXIFS(Log!$F:$F, Log!$A:$A, $A115, Log!$B:$B, $B115, Log!$C:$C, $C115),""))</f>
        <v/>
      </c>
      <c r="M115" s="6" t="str">
        <f>IF(COUNTBLANK($A115:$E115)&gt;0, "", IFERROR(AVERAGEIFS(Log!#REF!, Log!$A:$A, $A115, Log!$B:$B, $B115, Log!$C:$C, $C115),""))</f>
        <v/>
      </c>
      <c r="N115" s="6" t="str">
        <f>IF(COUNTBLANK($A115:$E115)&gt;0, "", IFERROR(_xlfn.MINIFS(Log!$G:$G, Log!$A:$A, $A115, Log!$B:$B, $B115, Log!$C:$C, $C115),""))</f>
        <v/>
      </c>
      <c r="O115" s="6" t="str">
        <f>IF(COUNTBLANK($A115:$E115)&gt;0, "", IFERROR(_xlfn.MAXIFS(Log!$G:$G, Log!$A:$A, $A115, Log!$B:$B, $B115, Log!$C:$C, $C115),""))</f>
        <v/>
      </c>
    </row>
    <row r="116" spans="1:15" ht="49.95" customHeight="1" x14ac:dyDescent="0.3">
      <c r="A116" s="103" t="str">
        <f t="shared" si="2"/>
        <v/>
      </c>
      <c r="B116" s="105"/>
      <c r="H116" s="7" t="str">
        <f>IF(COUNTBLANK($A116:$E116)&gt;0, "", IFERROR(AVERAGEIFS(Log!$E:$E, Log!$A:$A, $A116, Log!$B:$B, $B116, Log!$C:$C, $C116),""))</f>
        <v/>
      </c>
      <c r="I116" s="37" t="str">
        <f t="shared" si="3"/>
        <v/>
      </c>
      <c r="J116" s="6" t="str">
        <f>IF(COUNTBLANK($A116:$E116)&gt;0, "", IFERROR(AVERAGEIFS(Log!#REF!, Log!$A:$A, $A116, Log!$B:$B, $B116, Log!$C:$C, $C116),""))</f>
        <v/>
      </c>
      <c r="K116" s="6" t="str">
        <f>IF(COUNTBLANK($A116:$E116)&gt;0, "", IFERROR(_xlfn.MINIFS(Log!$F:$F, Log!$A:$A, $A116, Log!$B:$B, $B116, Log!$C:$C, $C116),""))</f>
        <v/>
      </c>
      <c r="L116" s="6" t="str">
        <f>IF(COUNTBLANK($A116:$E116)&gt;0, "", IFERROR(_xlfn.MAXIFS(Log!$F:$F, Log!$A:$A, $A116, Log!$B:$B, $B116, Log!$C:$C, $C116),""))</f>
        <v/>
      </c>
      <c r="M116" s="6" t="str">
        <f>IF(COUNTBLANK($A116:$E116)&gt;0, "", IFERROR(AVERAGEIFS(Log!#REF!, Log!$A:$A, $A116, Log!$B:$B, $B116, Log!$C:$C, $C116),""))</f>
        <v/>
      </c>
      <c r="N116" s="6" t="str">
        <f>IF(COUNTBLANK($A116:$E116)&gt;0, "", IFERROR(_xlfn.MINIFS(Log!$G:$G, Log!$A:$A, $A116, Log!$B:$B, $B116, Log!$C:$C, $C116),""))</f>
        <v/>
      </c>
      <c r="O116" s="6" t="str">
        <f>IF(COUNTBLANK($A116:$E116)&gt;0, "", IFERROR(_xlfn.MAXIFS(Log!$G:$G, Log!$A:$A, $A116, Log!$B:$B, $B116, Log!$C:$C, $C116),""))</f>
        <v/>
      </c>
    </row>
    <row r="117" spans="1:15" ht="49.95" customHeight="1" x14ac:dyDescent="0.3">
      <c r="A117" s="103" t="str">
        <f t="shared" si="2"/>
        <v/>
      </c>
      <c r="B117" s="105"/>
      <c r="H117" s="7" t="str">
        <f>IF(COUNTBLANK($A117:$E117)&gt;0, "", IFERROR(AVERAGEIFS(Log!$E:$E, Log!$A:$A, $A117, Log!$B:$B, $B117, Log!$C:$C, $C117),""))</f>
        <v/>
      </c>
      <c r="I117" s="37" t="str">
        <f t="shared" si="3"/>
        <v/>
      </c>
      <c r="J117" s="6" t="str">
        <f>IF(COUNTBLANK($A117:$E117)&gt;0, "", IFERROR(AVERAGEIFS(Log!#REF!, Log!$A:$A, $A117, Log!$B:$B, $B117, Log!$C:$C, $C117),""))</f>
        <v/>
      </c>
      <c r="K117" s="6" t="str">
        <f>IF(COUNTBLANK($A117:$E117)&gt;0, "", IFERROR(_xlfn.MINIFS(Log!$F:$F, Log!$A:$A, $A117, Log!$B:$B, $B117, Log!$C:$C, $C117),""))</f>
        <v/>
      </c>
      <c r="L117" s="6" t="str">
        <f>IF(COUNTBLANK($A117:$E117)&gt;0, "", IFERROR(_xlfn.MAXIFS(Log!$F:$F, Log!$A:$A, $A117, Log!$B:$B, $B117, Log!$C:$C, $C117),""))</f>
        <v/>
      </c>
      <c r="M117" s="6" t="str">
        <f>IF(COUNTBLANK($A117:$E117)&gt;0, "", IFERROR(AVERAGEIFS(Log!#REF!, Log!$A:$A, $A117, Log!$B:$B, $B117, Log!$C:$C, $C117),""))</f>
        <v/>
      </c>
      <c r="N117" s="6" t="str">
        <f>IF(COUNTBLANK($A117:$E117)&gt;0, "", IFERROR(_xlfn.MINIFS(Log!$G:$G, Log!$A:$A, $A117, Log!$B:$B, $B117, Log!$C:$C, $C117),""))</f>
        <v/>
      </c>
      <c r="O117" s="6" t="str">
        <f>IF(COUNTBLANK($A117:$E117)&gt;0, "", IFERROR(_xlfn.MAXIFS(Log!$G:$G, Log!$A:$A, $A117, Log!$B:$B, $B117, Log!$C:$C, $C117),""))</f>
        <v/>
      </c>
    </row>
    <row r="118" spans="1:15" ht="49.95" customHeight="1" x14ac:dyDescent="0.3">
      <c r="A118" s="103" t="str">
        <f t="shared" si="2"/>
        <v/>
      </c>
      <c r="B118" s="105"/>
      <c r="H118" s="7" t="str">
        <f>IF(COUNTBLANK($A118:$E118)&gt;0, "", IFERROR(AVERAGEIFS(Log!$E:$E, Log!$A:$A, $A118, Log!$B:$B, $B118, Log!$C:$C, $C118),""))</f>
        <v/>
      </c>
      <c r="I118" s="37" t="str">
        <f t="shared" si="3"/>
        <v/>
      </c>
      <c r="J118" s="6" t="str">
        <f>IF(COUNTBLANK($A118:$E118)&gt;0, "", IFERROR(AVERAGEIFS(Log!#REF!, Log!$A:$A, $A118, Log!$B:$B, $B118, Log!$C:$C, $C118),""))</f>
        <v/>
      </c>
      <c r="K118" s="6" t="str">
        <f>IF(COUNTBLANK($A118:$E118)&gt;0, "", IFERROR(_xlfn.MINIFS(Log!$F:$F, Log!$A:$A, $A118, Log!$B:$B, $B118, Log!$C:$C, $C118),""))</f>
        <v/>
      </c>
      <c r="L118" s="6" t="str">
        <f>IF(COUNTBLANK($A118:$E118)&gt;0, "", IFERROR(_xlfn.MAXIFS(Log!$F:$F, Log!$A:$A, $A118, Log!$B:$B, $B118, Log!$C:$C, $C118),""))</f>
        <v/>
      </c>
      <c r="M118" s="6" t="str">
        <f>IF(COUNTBLANK($A118:$E118)&gt;0, "", IFERROR(AVERAGEIFS(Log!#REF!, Log!$A:$A, $A118, Log!$B:$B, $B118, Log!$C:$C, $C118),""))</f>
        <v/>
      </c>
      <c r="N118" s="6" t="str">
        <f>IF(COUNTBLANK($A118:$E118)&gt;0, "", IFERROR(_xlfn.MINIFS(Log!$G:$G, Log!$A:$A, $A118, Log!$B:$B, $B118, Log!$C:$C, $C118),""))</f>
        <v/>
      </c>
      <c r="O118" s="6" t="str">
        <f>IF(COUNTBLANK($A118:$E118)&gt;0, "", IFERROR(_xlfn.MAXIFS(Log!$G:$G, Log!$A:$A, $A118, Log!$B:$B, $B118, Log!$C:$C, $C118),""))</f>
        <v/>
      </c>
    </row>
    <row r="119" spans="1:15" ht="49.95" customHeight="1" x14ac:dyDescent="0.3">
      <c r="A119" s="103" t="str">
        <f t="shared" si="2"/>
        <v/>
      </c>
      <c r="B119" s="105"/>
      <c r="H119" s="7" t="str">
        <f>IF(COUNTBLANK($A119:$E119)&gt;0, "", IFERROR(AVERAGEIFS(Log!$E:$E, Log!$A:$A, $A119, Log!$B:$B, $B119, Log!$C:$C, $C119),""))</f>
        <v/>
      </c>
      <c r="I119" s="37" t="str">
        <f t="shared" si="3"/>
        <v/>
      </c>
      <c r="J119" s="6" t="str">
        <f>IF(COUNTBLANK($A119:$E119)&gt;0, "", IFERROR(AVERAGEIFS(Log!#REF!, Log!$A:$A, $A119, Log!$B:$B, $B119, Log!$C:$C, $C119),""))</f>
        <v/>
      </c>
      <c r="K119" s="6" t="str">
        <f>IF(COUNTBLANK($A119:$E119)&gt;0, "", IFERROR(_xlfn.MINIFS(Log!$F:$F, Log!$A:$A, $A119, Log!$B:$B, $B119, Log!$C:$C, $C119),""))</f>
        <v/>
      </c>
      <c r="L119" s="6" t="str">
        <f>IF(COUNTBLANK($A119:$E119)&gt;0, "", IFERROR(_xlfn.MAXIFS(Log!$F:$F, Log!$A:$A, $A119, Log!$B:$B, $B119, Log!$C:$C, $C119),""))</f>
        <v/>
      </c>
      <c r="M119" s="6" t="str">
        <f>IF(COUNTBLANK($A119:$E119)&gt;0, "", IFERROR(AVERAGEIFS(Log!#REF!, Log!$A:$A, $A119, Log!$B:$B, $B119, Log!$C:$C, $C119),""))</f>
        <v/>
      </c>
      <c r="N119" s="6" t="str">
        <f>IF(COUNTBLANK($A119:$E119)&gt;0, "", IFERROR(_xlfn.MINIFS(Log!$G:$G, Log!$A:$A, $A119, Log!$B:$B, $B119, Log!$C:$C, $C119),""))</f>
        <v/>
      </c>
      <c r="O119" s="6" t="str">
        <f>IF(COUNTBLANK($A119:$E119)&gt;0, "", IFERROR(_xlfn.MAXIFS(Log!$G:$G, Log!$A:$A, $A119, Log!$B:$B, $B119, Log!$C:$C, $C119),""))</f>
        <v/>
      </c>
    </row>
    <row r="120" spans="1:15" ht="49.95" customHeight="1" x14ac:dyDescent="0.3">
      <c r="A120" s="103" t="str">
        <f t="shared" si="2"/>
        <v/>
      </c>
      <c r="B120" s="105"/>
      <c r="H120" s="7" t="str">
        <f>IF(COUNTBLANK($A120:$E120)&gt;0, "", IFERROR(AVERAGEIFS(Log!$E:$E, Log!$A:$A, $A120, Log!$B:$B, $B120, Log!$C:$C, $C120),""))</f>
        <v/>
      </c>
      <c r="I120" s="37" t="str">
        <f t="shared" si="3"/>
        <v/>
      </c>
      <c r="J120" s="6" t="str">
        <f>IF(COUNTBLANK($A120:$E120)&gt;0, "", IFERROR(AVERAGEIFS(Log!#REF!, Log!$A:$A, $A120, Log!$B:$B, $B120, Log!$C:$C, $C120),""))</f>
        <v/>
      </c>
      <c r="K120" s="6" t="str">
        <f>IF(COUNTBLANK($A120:$E120)&gt;0, "", IFERROR(_xlfn.MINIFS(Log!$F:$F, Log!$A:$A, $A120, Log!$B:$B, $B120, Log!$C:$C, $C120),""))</f>
        <v/>
      </c>
      <c r="L120" s="6" t="str">
        <f>IF(COUNTBLANK($A120:$E120)&gt;0, "", IFERROR(_xlfn.MAXIFS(Log!$F:$F, Log!$A:$A, $A120, Log!$B:$B, $B120, Log!$C:$C, $C120),""))</f>
        <v/>
      </c>
      <c r="M120" s="6" t="str">
        <f>IF(COUNTBLANK($A120:$E120)&gt;0, "", IFERROR(AVERAGEIFS(Log!#REF!, Log!$A:$A, $A120, Log!$B:$B, $B120, Log!$C:$C, $C120),""))</f>
        <v/>
      </c>
      <c r="N120" s="6" t="str">
        <f>IF(COUNTBLANK($A120:$E120)&gt;0, "", IFERROR(_xlfn.MINIFS(Log!$G:$G, Log!$A:$A, $A120, Log!$B:$B, $B120, Log!$C:$C, $C120),""))</f>
        <v/>
      </c>
      <c r="O120" s="6" t="str">
        <f>IF(COUNTBLANK($A120:$E120)&gt;0, "", IFERROR(_xlfn.MAXIFS(Log!$G:$G, Log!$A:$A, $A120, Log!$B:$B, $B120, Log!$C:$C, $C120),""))</f>
        <v/>
      </c>
    </row>
    <row r="121" spans="1:15" ht="49.95" customHeight="1" x14ac:dyDescent="0.3">
      <c r="A121" s="103" t="str">
        <f t="shared" si="2"/>
        <v/>
      </c>
      <c r="B121" s="105"/>
      <c r="H121" s="7" t="str">
        <f>IF(COUNTBLANK($A121:$E121)&gt;0, "", IFERROR(AVERAGEIFS(Log!$E:$E, Log!$A:$A, $A121, Log!$B:$B, $B121, Log!$C:$C, $C121),""))</f>
        <v/>
      </c>
      <c r="I121" s="37" t="str">
        <f t="shared" si="3"/>
        <v/>
      </c>
      <c r="J121" s="6" t="str">
        <f>IF(COUNTBLANK($A121:$E121)&gt;0, "", IFERROR(AVERAGEIFS(Log!#REF!, Log!$A:$A, $A121, Log!$B:$B, $B121, Log!$C:$C, $C121),""))</f>
        <v/>
      </c>
      <c r="K121" s="6" t="str">
        <f>IF(COUNTBLANK($A121:$E121)&gt;0, "", IFERROR(_xlfn.MINIFS(Log!$F:$F, Log!$A:$A, $A121, Log!$B:$B, $B121, Log!$C:$C, $C121),""))</f>
        <v/>
      </c>
      <c r="L121" s="6" t="str">
        <f>IF(COUNTBLANK($A121:$E121)&gt;0, "", IFERROR(_xlfn.MAXIFS(Log!$F:$F, Log!$A:$A, $A121, Log!$B:$B, $B121, Log!$C:$C, $C121),""))</f>
        <v/>
      </c>
      <c r="M121" s="6" t="str">
        <f>IF(COUNTBLANK($A121:$E121)&gt;0, "", IFERROR(AVERAGEIFS(Log!#REF!, Log!$A:$A, $A121, Log!$B:$B, $B121, Log!$C:$C, $C121),""))</f>
        <v/>
      </c>
      <c r="N121" s="6" t="str">
        <f>IF(COUNTBLANK($A121:$E121)&gt;0, "", IFERROR(_xlfn.MINIFS(Log!$G:$G, Log!$A:$A, $A121, Log!$B:$B, $B121, Log!$C:$C, $C121),""))</f>
        <v/>
      </c>
      <c r="O121" s="6" t="str">
        <f>IF(COUNTBLANK($A121:$E121)&gt;0, "", IFERROR(_xlfn.MAXIFS(Log!$G:$G, Log!$A:$A, $A121, Log!$B:$B, $B121, Log!$C:$C, $C121),""))</f>
        <v/>
      </c>
    </row>
    <row r="122" spans="1:15" ht="49.95" customHeight="1" x14ac:dyDescent="0.3">
      <c r="A122" s="103" t="str">
        <f t="shared" si="2"/>
        <v/>
      </c>
      <c r="B122" s="105"/>
      <c r="H122" s="7" t="str">
        <f>IF(COUNTBLANK($A122:$E122)&gt;0, "", IFERROR(AVERAGEIFS(Log!$E:$E, Log!$A:$A, $A122, Log!$B:$B, $B122, Log!$C:$C, $C122),""))</f>
        <v/>
      </c>
      <c r="I122" s="37" t="str">
        <f t="shared" si="3"/>
        <v/>
      </c>
      <c r="J122" s="6" t="str">
        <f>IF(COUNTBLANK($A122:$E122)&gt;0, "", IFERROR(AVERAGEIFS(Log!#REF!, Log!$A:$A, $A122, Log!$B:$B, $B122, Log!$C:$C, $C122),""))</f>
        <v/>
      </c>
      <c r="K122" s="6" t="str">
        <f>IF(COUNTBLANK($A122:$E122)&gt;0, "", IFERROR(_xlfn.MINIFS(Log!$F:$F, Log!$A:$A, $A122, Log!$B:$B, $B122, Log!$C:$C, $C122),""))</f>
        <v/>
      </c>
      <c r="L122" s="6" t="str">
        <f>IF(COUNTBLANK($A122:$E122)&gt;0, "", IFERROR(_xlfn.MAXIFS(Log!$F:$F, Log!$A:$A, $A122, Log!$B:$B, $B122, Log!$C:$C, $C122),""))</f>
        <v/>
      </c>
      <c r="M122" s="6" t="str">
        <f>IF(COUNTBLANK($A122:$E122)&gt;0, "", IFERROR(AVERAGEIFS(Log!#REF!, Log!$A:$A, $A122, Log!$B:$B, $B122, Log!$C:$C, $C122),""))</f>
        <v/>
      </c>
      <c r="N122" s="6" t="str">
        <f>IF(COUNTBLANK($A122:$E122)&gt;0, "", IFERROR(_xlfn.MINIFS(Log!$G:$G, Log!$A:$A, $A122, Log!$B:$B, $B122, Log!$C:$C, $C122),""))</f>
        <v/>
      </c>
      <c r="O122" s="6" t="str">
        <f>IF(COUNTBLANK($A122:$E122)&gt;0, "", IFERROR(_xlfn.MAXIFS(Log!$G:$G, Log!$A:$A, $A122, Log!$B:$B, $B122, Log!$C:$C, $C122),""))</f>
        <v/>
      </c>
    </row>
    <row r="123" spans="1:15" ht="49.95" customHeight="1" x14ac:dyDescent="0.3">
      <c r="A123" s="103" t="str">
        <f t="shared" si="2"/>
        <v/>
      </c>
      <c r="B123" s="105"/>
      <c r="H123" s="7" t="str">
        <f>IF(COUNTBLANK($A123:$E123)&gt;0, "", IFERROR(AVERAGEIFS(Log!$E:$E, Log!$A:$A, $A123, Log!$B:$B, $B123, Log!$C:$C, $C123),""))</f>
        <v/>
      </c>
      <c r="I123" s="37" t="str">
        <f t="shared" si="3"/>
        <v/>
      </c>
      <c r="J123" s="6" t="str">
        <f>IF(COUNTBLANK($A123:$E123)&gt;0, "", IFERROR(AVERAGEIFS(Log!#REF!, Log!$A:$A, $A123, Log!$B:$B, $B123, Log!$C:$C, $C123),""))</f>
        <v/>
      </c>
      <c r="K123" s="6" t="str">
        <f>IF(COUNTBLANK($A123:$E123)&gt;0, "", IFERROR(_xlfn.MINIFS(Log!$F:$F, Log!$A:$A, $A123, Log!$B:$B, $B123, Log!$C:$C, $C123),""))</f>
        <v/>
      </c>
      <c r="L123" s="6" t="str">
        <f>IF(COUNTBLANK($A123:$E123)&gt;0, "", IFERROR(_xlfn.MAXIFS(Log!$F:$F, Log!$A:$A, $A123, Log!$B:$B, $B123, Log!$C:$C, $C123),""))</f>
        <v/>
      </c>
      <c r="M123" s="6" t="str">
        <f>IF(COUNTBLANK($A123:$E123)&gt;0, "", IFERROR(AVERAGEIFS(Log!#REF!, Log!$A:$A, $A123, Log!$B:$B, $B123, Log!$C:$C, $C123),""))</f>
        <v/>
      </c>
      <c r="N123" s="6" t="str">
        <f>IF(COUNTBLANK($A123:$E123)&gt;0, "", IFERROR(_xlfn.MINIFS(Log!$G:$G, Log!$A:$A, $A123, Log!$B:$B, $B123, Log!$C:$C, $C123),""))</f>
        <v/>
      </c>
      <c r="O123" s="6" t="str">
        <f>IF(COUNTBLANK($A123:$E123)&gt;0, "", IFERROR(_xlfn.MAXIFS(Log!$G:$G, Log!$A:$A, $A123, Log!$B:$B, $B123, Log!$C:$C, $C123),""))</f>
        <v/>
      </c>
    </row>
    <row r="124" spans="1:15" ht="49.95" customHeight="1" x14ac:dyDescent="0.3">
      <c r="A124" s="103" t="str">
        <f t="shared" si="2"/>
        <v/>
      </c>
      <c r="B124" s="105"/>
      <c r="H124" s="7" t="str">
        <f>IF(COUNTBLANK($A124:$E124)&gt;0, "", IFERROR(AVERAGEIFS(Log!$E:$E, Log!$A:$A, $A124, Log!$B:$B, $B124, Log!$C:$C, $C124),""))</f>
        <v/>
      </c>
      <c r="I124" s="37" t="str">
        <f t="shared" si="3"/>
        <v/>
      </c>
      <c r="J124" s="6" t="str">
        <f>IF(COUNTBLANK($A124:$E124)&gt;0, "", IFERROR(AVERAGEIFS(Log!#REF!, Log!$A:$A, $A124, Log!$B:$B, $B124, Log!$C:$C, $C124),""))</f>
        <v/>
      </c>
      <c r="K124" s="6" t="str">
        <f>IF(COUNTBLANK($A124:$E124)&gt;0, "", IFERROR(_xlfn.MINIFS(Log!$F:$F, Log!$A:$A, $A124, Log!$B:$B, $B124, Log!$C:$C, $C124),""))</f>
        <v/>
      </c>
      <c r="L124" s="6" t="str">
        <f>IF(COUNTBLANK($A124:$E124)&gt;0, "", IFERROR(_xlfn.MAXIFS(Log!$F:$F, Log!$A:$A, $A124, Log!$B:$B, $B124, Log!$C:$C, $C124),""))</f>
        <v/>
      </c>
      <c r="M124" s="6" t="str">
        <f>IF(COUNTBLANK($A124:$E124)&gt;0, "", IFERROR(AVERAGEIFS(Log!#REF!, Log!$A:$A, $A124, Log!$B:$B, $B124, Log!$C:$C, $C124),""))</f>
        <v/>
      </c>
      <c r="N124" s="6" t="str">
        <f>IF(COUNTBLANK($A124:$E124)&gt;0, "", IFERROR(_xlfn.MINIFS(Log!$G:$G, Log!$A:$A, $A124, Log!$B:$B, $B124, Log!$C:$C, $C124),""))</f>
        <v/>
      </c>
      <c r="O124" s="6" t="str">
        <f>IF(COUNTBLANK($A124:$E124)&gt;0, "", IFERROR(_xlfn.MAXIFS(Log!$G:$G, Log!$A:$A, $A124, Log!$B:$B, $B124, Log!$C:$C, $C124),""))</f>
        <v/>
      </c>
    </row>
    <row r="125" spans="1:15" ht="49.95" customHeight="1" x14ac:dyDescent="0.3">
      <c r="A125" s="103" t="str">
        <f t="shared" si="2"/>
        <v/>
      </c>
      <c r="B125" s="105"/>
      <c r="H125" s="7" t="str">
        <f>IF(COUNTBLANK($A125:$E125)&gt;0, "", IFERROR(AVERAGEIFS(Log!$E:$E, Log!$A:$A, $A125, Log!$B:$B, $B125, Log!$C:$C, $C125),""))</f>
        <v/>
      </c>
      <c r="I125" s="37" t="str">
        <f t="shared" si="3"/>
        <v/>
      </c>
      <c r="J125" s="6" t="str">
        <f>IF(COUNTBLANK($A125:$E125)&gt;0, "", IFERROR(AVERAGEIFS(Log!#REF!, Log!$A:$A, $A125, Log!$B:$B, $B125, Log!$C:$C, $C125),""))</f>
        <v/>
      </c>
      <c r="K125" s="6" t="str">
        <f>IF(COUNTBLANK($A125:$E125)&gt;0, "", IFERROR(_xlfn.MINIFS(Log!$F:$F, Log!$A:$A, $A125, Log!$B:$B, $B125, Log!$C:$C, $C125),""))</f>
        <v/>
      </c>
      <c r="L125" s="6" t="str">
        <f>IF(COUNTBLANK($A125:$E125)&gt;0, "", IFERROR(_xlfn.MAXIFS(Log!$F:$F, Log!$A:$A, $A125, Log!$B:$B, $B125, Log!$C:$C, $C125),""))</f>
        <v/>
      </c>
      <c r="M125" s="6" t="str">
        <f>IF(COUNTBLANK($A125:$E125)&gt;0, "", IFERROR(AVERAGEIFS(Log!#REF!, Log!$A:$A, $A125, Log!$B:$B, $B125, Log!$C:$C, $C125),""))</f>
        <v/>
      </c>
      <c r="N125" s="6" t="str">
        <f>IF(COUNTBLANK($A125:$E125)&gt;0, "", IFERROR(_xlfn.MINIFS(Log!$G:$G, Log!$A:$A, $A125, Log!$B:$B, $B125, Log!$C:$C, $C125),""))</f>
        <v/>
      </c>
      <c r="O125" s="6" t="str">
        <f>IF(COUNTBLANK($A125:$E125)&gt;0, "", IFERROR(_xlfn.MAXIFS(Log!$G:$G, Log!$A:$A, $A125, Log!$B:$B, $B125, Log!$C:$C, $C125),""))</f>
        <v/>
      </c>
    </row>
    <row r="126" spans="1:15" ht="49.95" customHeight="1" x14ac:dyDescent="0.3">
      <c r="A126" s="103" t="str">
        <f t="shared" si="2"/>
        <v/>
      </c>
      <c r="B126" s="105"/>
      <c r="H126" s="7" t="str">
        <f>IF(COUNTBLANK($A126:$E126)&gt;0, "", IFERROR(AVERAGEIFS(Log!$E:$E, Log!$A:$A, $A126, Log!$B:$B, $B126, Log!$C:$C, $C126),""))</f>
        <v/>
      </c>
      <c r="I126" s="37" t="str">
        <f t="shared" si="3"/>
        <v/>
      </c>
      <c r="J126" s="6" t="str">
        <f>IF(COUNTBLANK($A126:$E126)&gt;0, "", IFERROR(AVERAGEIFS(Log!#REF!, Log!$A:$A, $A126, Log!$B:$B, $B126, Log!$C:$C, $C126),""))</f>
        <v/>
      </c>
      <c r="K126" s="6" t="str">
        <f>IF(COUNTBLANK($A126:$E126)&gt;0, "", IFERROR(_xlfn.MINIFS(Log!$F:$F, Log!$A:$A, $A126, Log!$B:$B, $B126, Log!$C:$C, $C126),""))</f>
        <v/>
      </c>
      <c r="L126" s="6" t="str">
        <f>IF(COUNTBLANK($A126:$E126)&gt;0, "", IFERROR(_xlfn.MAXIFS(Log!$F:$F, Log!$A:$A, $A126, Log!$B:$B, $B126, Log!$C:$C, $C126),""))</f>
        <v/>
      </c>
      <c r="M126" s="6" t="str">
        <f>IF(COUNTBLANK($A126:$E126)&gt;0, "", IFERROR(AVERAGEIFS(Log!#REF!, Log!$A:$A, $A126, Log!$B:$B, $B126, Log!$C:$C, $C126),""))</f>
        <v/>
      </c>
      <c r="N126" s="6" t="str">
        <f>IF(COUNTBLANK($A126:$E126)&gt;0, "", IFERROR(_xlfn.MINIFS(Log!$G:$G, Log!$A:$A, $A126, Log!$B:$B, $B126, Log!$C:$C, $C126),""))</f>
        <v/>
      </c>
      <c r="O126" s="6" t="str">
        <f>IF(COUNTBLANK($A126:$E126)&gt;0, "", IFERROR(_xlfn.MAXIFS(Log!$G:$G, Log!$A:$A, $A126, Log!$B:$B, $B126, Log!$C:$C, $C126),""))</f>
        <v/>
      </c>
    </row>
    <row r="127" spans="1:15" ht="49.95" customHeight="1" x14ac:dyDescent="0.3">
      <c r="A127" s="103" t="str">
        <f t="shared" si="2"/>
        <v/>
      </c>
      <c r="B127" s="105"/>
      <c r="H127" s="7" t="str">
        <f>IF(COUNTBLANK($A127:$E127)&gt;0, "", IFERROR(AVERAGEIFS(Log!$E:$E, Log!$A:$A, $A127, Log!$B:$B, $B127, Log!$C:$C, $C127),""))</f>
        <v/>
      </c>
      <c r="I127" s="37" t="str">
        <f t="shared" si="3"/>
        <v/>
      </c>
      <c r="J127" s="6" t="str">
        <f>IF(COUNTBLANK($A127:$E127)&gt;0, "", IFERROR(AVERAGEIFS(Log!#REF!, Log!$A:$A, $A127, Log!$B:$B, $B127, Log!$C:$C, $C127),""))</f>
        <v/>
      </c>
      <c r="K127" s="6" t="str">
        <f>IF(COUNTBLANK($A127:$E127)&gt;0, "", IFERROR(_xlfn.MINIFS(Log!$F:$F, Log!$A:$A, $A127, Log!$B:$B, $B127, Log!$C:$C, $C127),""))</f>
        <v/>
      </c>
      <c r="L127" s="6" t="str">
        <f>IF(COUNTBLANK($A127:$E127)&gt;0, "", IFERROR(_xlfn.MAXIFS(Log!$F:$F, Log!$A:$A, $A127, Log!$B:$B, $B127, Log!$C:$C, $C127),""))</f>
        <v/>
      </c>
      <c r="M127" s="6" t="str">
        <f>IF(COUNTBLANK($A127:$E127)&gt;0, "", IFERROR(AVERAGEIFS(Log!#REF!, Log!$A:$A, $A127, Log!$B:$B, $B127, Log!$C:$C, $C127),""))</f>
        <v/>
      </c>
      <c r="N127" s="6" t="str">
        <f>IF(COUNTBLANK($A127:$E127)&gt;0, "", IFERROR(_xlfn.MINIFS(Log!$G:$G, Log!$A:$A, $A127, Log!$B:$B, $B127, Log!$C:$C, $C127),""))</f>
        <v/>
      </c>
      <c r="O127" s="6" t="str">
        <f>IF(COUNTBLANK($A127:$E127)&gt;0, "", IFERROR(_xlfn.MAXIFS(Log!$G:$G, Log!$A:$A, $A127, Log!$B:$B, $B127, Log!$C:$C, $C127),""))</f>
        <v/>
      </c>
    </row>
    <row r="128" spans="1:15" ht="49.95" customHeight="1" x14ac:dyDescent="0.3">
      <c r="A128" s="103" t="str">
        <f t="shared" si="2"/>
        <v/>
      </c>
      <c r="B128" s="105"/>
      <c r="H128" s="7" t="str">
        <f>IF(COUNTBLANK($A128:$E128)&gt;0, "", IFERROR(AVERAGEIFS(Log!$E:$E, Log!$A:$A, $A128, Log!$B:$B, $B128, Log!$C:$C, $C128),""))</f>
        <v/>
      </c>
      <c r="I128" s="37" t="str">
        <f t="shared" si="3"/>
        <v/>
      </c>
      <c r="J128" s="6" t="str">
        <f>IF(COUNTBLANK($A128:$E128)&gt;0, "", IFERROR(AVERAGEIFS(Log!#REF!, Log!$A:$A, $A128, Log!$B:$B, $B128, Log!$C:$C, $C128),""))</f>
        <v/>
      </c>
      <c r="K128" s="6" t="str">
        <f>IF(COUNTBLANK($A128:$E128)&gt;0, "", IFERROR(_xlfn.MINIFS(Log!$F:$F, Log!$A:$A, $A128, Log!$B:$B, $B128, Log!$C:$C, $C128),""))</f>
        <v/>
      </c>
      <c r="L128" s="6" t="str">
        <f>IF(COUNTBLANK($A128:$E128)&gt;0, "", IFERROR(_xlfn.MAXIFS(Log!$F:$F, Log!$A:$A, $A128, Log!$B:$B, $B128, Log!$C:$C, $C128),""))</f>
        <v/>
      </c>
      <c r="M128" s="6" t="str">
        <f>IF(COUNTBLANK($A128:$E128)&gt;0, "", IFERROR(AVERAGEIFS(Log!#REF!, Log!$A:$A, $A128, Log!$B:$B, $B128, Log!$C:$C, $C128),""))</f>
        <v/>
      </c>
      <c r="N128" s="6" t="str">
        <f>IF(COUNTBLANK($A128:$E128)&gt;0, "", IFERROR(_xlfn.MINIFS(Log!$G:$G, Log!$A:$A, $A128, Log!$B:$B, $B128, Log!$C:$C, $C128),""))</f>
        <v/>
      </c>
      <c r="O128" s="6" t="str">
        <f>IF(COUNTBLANK($A128:$E128)&gt;0, "", IFERROR(_xlfn.MAXIFS(Log!$G:$G, Log!$A:$A, $A128, Log!$B:$B, $B128, Log!$C:$C, $C128),""))</f>
        <v/>
      </c>
    </row>
    <row r="129" spans="1:15" ht="49.95" customHeight="1" x14ac:dyDescent="0.3">
      <c r="A129" s="103" t="str">
        <f t="shared" si="2"/>
        <v/>
      </c>
      <c r="B129" s="105"/>
      <c r="H129" s="7" t="str">
        <f>IF(COUNTBLANK($A129:$E129)&gt;0, "", IFERROR(AVERAGEIFS(Log!$E:$E, Log!$A:$A, $A129, Log!$B:$B, $B129, Log!$C:$C, $C129),""))</f>
        <v/>
      </c>
      <c r="I129" s="37" t="str">
        <f t="shared" si="3"/>
        <v/>
      </c>
      <c r="J129" s="6" t="str">
        <f>IF(COUNTBLANK($A129:$E129)&gt;0, "", IFERROR(AVERAGEIFS(Log!#REF!, Log!$A:$A, $A129, Log!$B:$B, $B129, Log!$C:$C, $C129),""))</f>
        <v/>
      </c>
      <c r="K129" s="6" t="str">
        <f>IF(COUNTBLANK($A129:$E129)&gt;0, "", IFERROR(_xlfn.MINIFS(Log!$F:$F, Log!$A:$A, $A129, Log!$B:$B, $B129, Log!$C:$C, $C129),""))</f>
        <v/>
      </c>
      <c r="L129" s="6" t="str">
        <f>IF(COUNTBLANK($A129:$E129)&gt;0, "", IFERROR(_xlfn.MAXIFS(Log!$F:$F, Log!$A:$A, $A129, Log!$B:$B, $B129, Log!$C:$C, $C129),""))</f>
        <v/>
      </c>
      <c r="M129" s="6" t="str">
        <f>IF(COUNTBLANK($A129:$E129)&gt;0, "", IFERROR(AVERAGEIFS(Log!#REF!, Log!$A:$A, $A129, Log!$B:$B, $B129, Log!$C:$C, $C129),""))</f>
        <v/>
      </c>
      <c r="N129" s="6" t="str">
        <f>IF(COUNTBLANK($A129:$E129)&gt;0, "", IFERROR(_xlfn.MINIFS(Log!$G:$G, Log!$A:$A, $A129, Log!$B:$B, $B129, Log!$C:$C, $C129),""))</f>
        <v/>
      </c>
      <c r="O129" s="6" t="str">
        <f>IF(COUNTBLANK($A129:$E129)&gt;0, "", IFERROR(_xlfn.MAXIFS(Log!$G:$G, Log!$A:$A, $A129, Log!$B:$B, $B129, Log!$C:$C, $C129),""))</f>
        <v/>
      </c>
    </row>
    <row r="130" spans="1:15" ht="49.95" customHeight="1" x14ac:dyDescent="0.3">
      <c r="A130" s="103" t="str">
        <f t="shared" si="2"/>
        <v/>
      </c>
      <c r="B130" s="105"/>
      <c r="H130" s="7" t="str">
        <f>IF(COUNTBLANK($A130:$E130)&gt;0, "", IFERROR(AVERAGEIFS(Log!$E:$E, Log!$A:$A, $A130, Log!$B:$B, $B130, Log!$C:$C, $C130),""))</f>
        <v/>
      </c>
      <c r="I130" s="37" t="str">
        <f t="shared" si="3"/>
        <v/>
      </c>
      <c r="J130" s="6" t="str">
        <f>IF(COUNTBLANK($A130:$E130)&gt;0, "", IFERROR(AVERAGEIFS(Log!#REF!, Log!$A:$A, $A130, Log!$B:$B, $B130, Log!$C:$C, $C130),""))</f>
        <v/>
      </c>
      <c r="K130" s="6" t="str">
        <f>IF(COUNTBLANK($A130:$E130)&gt;0, "", IFERROR(_xlfn.MINIFS(Log!$F:$F, Log!$A:$A, $A130, Log!$B:$B, $B130, Log!$C:$C, $C130),""))</f>
        <v/>
      </c>
      <c r="L130" s="6" t="str">
        <f>IF(COUNTBLANK($A130:$E130)&gt;0, "", IFERROR(_xlfn.MAXIFS(Log!$F:$F, Log!$A:$A, $A130, Log!$B:$B, $B130, Log!$C:$C, $C130),""))</f>
        <v/>
      </c>
      <c r="M130" s="6" t="str">
        <f>IF(COUNTBLANK($A130:$E130)&gt;0, "", IFERROR(AVERAGEIFS(Log!#REF!, Log!$A:$A, $A130, Log!$B:$B, $B130, Log!$C:$C, $C130),""))</f>
        <v/>
      </c>
      <c r="N130" s="6" t="str">
        <f>IF(COUNTBLANK($A130:$E130)&gt;0, "", IFERROR(_xlfn.MINIFS(Log!$G:$G, Log!$A:$A, $A130, Log!$B:$B, $B130, Log!$C:$C, $C130),""))</f>
        <v/>
      </c>
      <c r="O130" s="6" t="str">
        <f>IF(COUNTBLANK($A130:$E130)&gt;0, "", IFERROR(_xlfn.MAXIFS(Log!$G:$G, Log!$A:$A, $A130, Log!$B:$B, $B130, Log!$C:$C, $C130),""))</f>
        <v/>
      </c>
    </row>
    <row r="131" spans="1:15" ht="49.95" customHeight="1" x14ac:dyDescent="0.3">
      <c r="A131" s="103" t="str">
        <f t="shared" si="2"/>
        <v/>
      </c>
      <c r="B131" s="105"/>
      <c r="H131" s="7" t="str">
        <f>IF(COUNTBLANK($A131:$E131)&gt;0, "", IFERROR(AVERAGEIFS(Log!$E:$E, Log!$A:$A, $A131, Log!$B:$B, $B131, Log!$C:$C, $C131),""))</f>
        <v/>
      </c>
      <c r="I131" s="37" t="str">
        <f t="shared" si="3"/>
        <v/>
      </c>
      <c r="J131" s="6" t="str">
        <f>IF(COUNTBLANK($A131:$E131)&gt;0, "", IFERROR(AVERAGEIFS(Log!#REF!, Log!$A:$A, $A131, Log!$B:$B, $B131, Log!$C:$C, $C131),""))</f>
        <v/>
      </c>
      <c r="K131" s="6" t="str">
        <f>IF(COUNTBLANK($A131:$E131)&gt;0, "", IFERROR(_xlfn.MINIFS(Log!$F:$F, Log!$A:$A, $A131, Log!$B:$B, $B131, Log!$C:$C, $C131),""))</f>
        <v/>
      </c>
      <c r="L131" s="6" t="str">
        <f>IF(COUNTBLANK($A131:$E131)&gt;0, "", IFERROR(_xlfn.MAXIFS(Log!$F:$F, Log!$A:$A, $A131, Log!$B:$B, $B131, Log!$C:$C, $C131),""))</f>
        <v/>
      </c>
      <c r="M131" s="6" t="str">
        <f>IF(COUNTBLANK($A131:$E131)&gt;0, "", IFERROR(AVERAGEIFS(Log!#REF!, Log!$A:$A, $A131, Log!$B:$B, $B131, Log!$C:$C, $C131),""))</f>
        <v/>
      </c>
      <c r="N131" s="6" t="str">
        <f>IF(COUNTBLANK($A131:$E131)&gt;0, "", IFERROR(_xlfn.MINIFS(Log!$G:$G, Log!$A:$A, $A131, Log!$B:$B, $B131, Log!$C:$C, $C131),""))</f>
        <v/>
      </c>
      <c r="O131" s="6" t="str">
        <f>IF(COUNTBLANK($A131:$E131)&gt;0, "", IFERROR(_xlfn.MAXIFS(Log!$G:$G, Log!$A:$A, $A131, Log!$B:$B, $B131, Log!$C:$C, $C131),""))</f>
        <v/>
      </c>
    </row>
    <row r="132" spans="1:15" ht="49.95" customHeight="1" x14ac:dyDescent="0.3">
      <c r="A132" s="103" t="str">
        <f t="shared" ref="A132:A179" si="4">IF(C132&lt;&gt;"", "Error", "")</f>
        <v/>
      </c>
      <c r="B132" s="105"/>
      <c r="H132" s="7" t="str">
        <f>IF(COUNTBLANK($A132:$E132)&gt;0, "", IFERROR(AVERAGEIFS(Log!$E:$E, Log!$A:$A, $A132, Log!$B:$B, $B132, Log!$C:$C, $C132),""))</f>
        <v/>
      </c>
      <c r="I132" s="37" t="str">
        <f t="shared" ref="I132:I183" si="5">IF(AND($H132&lt;&gt;"", $G132&lt;&gt;""), $H132/$G132, "")</f>
        <v/>
      </c>
      <c r="J132" s="6" t="str">
        <f>IF(COUNTBLANK($A132:$E132)&gt;0, "", IFERROR(AVERAGEIFS(Log!#REF!, Log!$A:$A, $A132, Log!$B:$B, $B132, Log!$C:$C, $C132),""))</f>
        <v/>
      </c>
      <c r="K132" s="6" t="str">
        <f>IF(COUNTBLANK($A132:$E132)&gt;0, "", IFERROR(_xlfn.MINIFS(Log!$F:$F, Log!$A:$A, $A132, Log!$B:$B, $B132, Log!$C:$C, $C132),""))</f>
        <v/>
      </c>
      <c r="L132" s="6" t="str">
        <f>IF(COUNTBLANK($A132:$E132)&gt;0, "", IFERROR(_xlfn.MAXIFS(Log!$F:$F, Log!$A:$A, $A132, Log!$B:$B, $B132, Log!$C:$C, $C132),""))</f>
        <v/>
      </c>
      <c r="M132" s="6" t="str">
        <f>IF(COUNTBLANK($A132:$E132)&gt;0, "", IFERROR(AVERAGEIFS(Log!#REF!, Log!$A:$A, $A132, Log!$B:$B, $B132, Log!$C:$C, $C132),""))</f>
        <v/>
      </c>
      <c r="N132" s="6" t="str">
        <f>IF(COUNTBLANK($A132:$E132)&gt;0, "", IFERROR(_xlfn.MINIFS(Log!$G:$G, Log!$A:$A, $A132, Log!$B:$B, $B132, Log!$C:$C, $C132),""))</f>
        <v/>
      </c>
      <c r="O132" s="6" t="str">
        <f>IF(COUNTBLANK($A132:$E132)&gt;0, "", IFERROR(_xlfn.MAXIFS(Log!$G:$G, Log!$A:$A, $A132, Log!$B:$B, $B132, Log!$C:$C, $C132),""))</f>
        <v/>
      </c>
    </row>
    <row r="133" spans="1:15" ht="49.95" customHeight="1" x14ac:dyDescent="0.3">
      <c r="A133" s="103" t="str">
        <f t="shared" si="4"/>
        <v/>
      </c>
      <c r="B133" s="105"/>
      <c r="H133" s="7" t="str">
        <f>IF(COUNTBLANK($A133:$E133)&gt;0, "", IFERROR(AVERAGEIFS(Log!$E:$E, Log!$A:$A, $A133, Log!$B:$B, $B133, Log!$C:$C, $C133),""))</f>
        <v/>
      </c>
      <c r="I133" s="37" t="str">
        <f t="shared" si="5"/>
        <v/>
      </c>
      <c r="J133" s="6" t="str">
        <f>IF(COUNTBLANK($A133:$E133)&gt;0, "", IFERROR(AVERAGEIFS(Log!#REF!, Log!$A:$A, $A133, Log!$B:$B, $B133, Log!$C:$C, $C133),""))</f>
        <v/>
      </c>
      <c r="K133" s="6" t="str">
        <f>IF(COUNTBLANK($A133:$E133)&gt;0, "", IFERROR(_xlfn.MINIFS(Log!$F:$F, Log!$A:$A, $A133, Log!$B:$B, $B133, Log!$C:$C, $C133),""))</f>
        <v/>
      </c>
      <c r="L133" s="6" t="str">
        <f>IF(COUNTBLANK($A133:$E133)&gt;0, "", IFERROR(_xlfn.MAXIFS(Log!$F:$F, Log!$A:$A, $A133, Log!$B:$B, $B133, Log!$C:$C, $C133),""))</f>
        <v/>
      </c>
      <c r="M133" s="6" t="str">
        <f>IF(COUNTBLANK($A133:$E133)&gt;0, "", IFERROR(AVERAGEIFS(Log!#REF!, Log!$A:$A, $A133, Log!$B:$B, $B133, Log!$C:$C, $C133),""))</f>
        <v/>
      </c>
      <c r="N133" s="6" t="str">
        <f>IF(COUNTBLANK($A133:$E133)&gt;0, "", IFERROR(_xlfn.MINIFS(Log!$G:$G, Log!$A:$A, $A133, Log!$B:$B, $B133, Log!$C:$C, $C133),""))</f>
        <v/>
      </c>
      <c r="O133" s="6" t="str">
        <f>IF(COUNTBLANK($A133:$E133)&gt;0, "", IFERROR(_xlfn.MAXIFS(Log!$G:$G, Log!$A:$A, $A133, Log!$B:$B, $B133, Log!$C:$C, $C133),""))</f>
        <v/>
      </c>
    </row>
    <row r="134" spans="1:15" ht="49.95" customHeight="1" x14ac:dyDescent="0.3">
      <c r="A134" s="103" t="str">
        <f t="shared" si="4"/>
        <v/>
      </c>
      <c r="B134" s="105"/>
      <c r="H134" s="7" t="str">
        <f>IF(COUNTBLANK($A134:$E134)&gt;0, "", IFERROR(AVERAGEIFS(Log!$E:$E, Log!$A:$A, $A134, Log!$B:$B, $B134, Log!$C:$C, $C134),""))</f>
        <v/>
      </c>
      <c r="I134" s="37" t="str">
        <f t="shared" si="5"/>
        <v/>
      </c>
      <c r="J134" s="6" t="str">
        <f>IF(COUNTBLANK($A134:$E134)&gt;0, "", IFERROR(AVERAGEIFS(Log!#REF!, Log!$A:$A, $A134, Log!$B:$B, $B134, Log!$C:$C, $C134),""))</f>
        <v/>
      </c>
      <c r="K134" s="6" t="str">
        <f>IF(COUNTBLANK($A134:$E134)&gt;0, "", IFERROR(_xlfn.MINIFS(Log!$F:$F, Log!$A:$A, $A134, Log!$B:$B, $B134, Log!$C:$C, $C134),""))</f>
        <v/>
      </c>
      <c r="L134" s="6" t="str">
        <f>IF(COUNTBLANK($A134:$E134)&gt;0, "", IFERROR(_xlfn.MAXIFS(Log!$F:$F, Log!$A:$A, $A134, Log!$B:$B, $B134, Log!$C:$C, $C134),""))</f>
        <v/>
      </c>
      <c r="M134" s="6" t="str">
        <f>IF(COUNTBLANK($A134:$E134)&gt;0, "", IFERROR(AVERAGEIFS(Log!#REF!, Log!$A:$A, $A134, Log!$B:$B, $B134, Log!$C:$C, $C134),""))</f>
        <v/>
      </c>
      <c r="N134" s="6" t="str">
        <f>IF(COUNTBLANK($A134:$E134)&gt;0, "", IFERROR(_xlfn.MINIFS(Log!$G:$G, Log!$A:$A, $A134, Log!$B:$B, $B134, Log!$C:$C, $C134),""))</f>
        <v/>
      </c>
      <c r="O134" s="6" t="str">
        <f>IF(COUNTBLANK($A134:$E134)&gt;0, "", IFERROR(_xlfn.MAXIFS(Log!$G:$G, Log!$A:$A, $A134, Log!$B:$B, $B134, Log!$C:$C, $C134),""))</f>
        <v/>
      </c>
    </row>
    <row r="135" spans="1:15" ht="49.95" customHeight="1" x14ac:dyDescent="0.3">
      <c r="A135" s="103" t="str">
        <f t="shared" si="4"/>
        <v/>
      </c>
      <c r="B135" s="105"/>
      <c r="H135" s="7" t="str">
        <f>IF(COUNTBLANK($A135:$E135)&gt;0, "", IFERROR(AVERAGEIFS(Log!$E:$E, Log!$A:$A, $A135, Log!$B:$B, $B135, Log!$C:$C, $C135),""))</f>
        <v/>
      </c>
      <c r="I135" s="37" t="str">
        <f t="shared" si="5"/>
        <v/>
      </c>
      <c r="J135" s="6" t="str">
        <f>IF(COUNTBLANK($A135:$E135)&gt;0, "", IFERROR(AVERAGEIFS(Log!#REF!, Log!$A:$A, $A135, Log!$B:$B, $B135, Log!$C:$C, $C135),""))</f>
        <v/>
      </c>
      <c r="K135" s="6" t="str">
        <f>IF(COUNTBLANK($A135:$E135)&gt;0, "", IFERROR(_xlfn.MINIFS(Log!$F:$F, Log!$A:$A, $A135, Log!$B:$B, $B135, Log!$C:$C, $C135),""))</f>
        <v/>
      </c>
      <c r="L135" s="6" t="str">
        <f>IF(COUNTBLANK($A135:$E135)&gt;0, "", IFERROR(_xlfn.MAXIFS(Log!$F:$F, Log!$A:$A, $A135, Log!$B:$B, $B135, Log!$C:$C, $C135),""))</f>
        <v/>
      </c>
      <c r="M135" s="6" t="str">
        <f>IF(COUNTBLANK($A135:$E135)&gt;0, "", IFERROR(AVERAGEIFS(Log!#REF!, Log!$A:$A, $A135, Log!$B:$B, $B135, Log!$C:$C, $C135),""))</f>
        <v/>
      </c>
      <c r="N135" s="6" t="str">
        <f>IF(COUNTBLANK($A135:$E135)&gt;0, "", IFERROR(_xlfn.MINIFS(Log!$G:$G, Log!$A:$A, $A135, Log!$B:$B, $B135, Log!$C:$C, $C135),""))</f>
        <v/>
      </c>
      <c r="O135" s="6" t="str">
        <f>IF(COUNTBLANK($A135:$E135)&gt;0, "", IFERROR(_xlfn.MAXIFS(Log!$G:$G, Log!$A:$A, $A135, Log!$B:$B, $B135, Log!$C:$C, $C135),""))</f>
        <v/>
      </c>
    </row>
    <row r="136" spans="1:15" ht="49.95" customHeight="1" x14ac:dyDescent="0.3">
      <c r="A136" s="103" t="str">
        <f t="shared" si="4"/>
        <v/>
      </c>
      <c r="B136" s="105"/>
      <c r="H136" s="7" t="str">
        <f>IF(COUNTBLANK($A136:$E136)&gt;0, "", IFERROR(AVERAGEIFS(Log!$E:$E, Log!$A:$A, $A136, Log!$B:$B, $B136, Log!$C:$C, $C136),""))</f>
        <v/>
      </c>
      <c r="I136" s="37" t="str">
        <f t="shared" si="5"/>
        <v/>
      </c>
      <c r="J136" s="6" t="str">
        <f>IF(COUNTBLANK($A136:$E136)&gt;0, "", IFERROR(AVERAGEIFS(Log!#REF!, Log!$A:$A, $A136, Log!$B:$B, $B136, Log!$C:$C, $C136),""))</f>
        <v/>
      </c>
      <c r="K136" s="6" t="str">
        <f>IF(COUNTBLANK($A136:$E136)&gt;0, "", IFERROR(_xlfn.MINIFS(Log!$F:$F, Log!$A:$A, $A136, Log!$B:$B, $B136, Log!$C:$C, $C136),""))</f>
        <v/>
      </c>
      <c r="L136" s="6" t="str">
        <f>IF(COUNTBLANK($A136:$E136)&gt;0, "", IFERROR(_xlfn.MAXIFS(Log!$F:$F, Log!$A:$A, $A136, Log!$B:$B, $B136, Log!$C:$C, $C136),""))</f>
        <v/>
      </c>
      <c r="M136" s="6" t="str">
        <f>IF(COUNTBLANK($A136:$E136)&gt;0, "", IFERROR(AVERAGEIFS(Log!#REF!, Log!$A:$A, $A136, Log!$B:$B, $B136, Log!$C:$C, $C136),""))</f>
        <v/>
      </c>
      <c r="N136" s="6" t="str">
        <f>IF(COUNTBLANK($A136:$E136)&gt;0, "", IFERROR(_xlfn.MINIFS(Log!$G:$G, Log!$A:$A, $A136, Log!$B:$B, $B136, Log!$C:$C, $C136),""))</f>
        <v/>
      </c>
      <c r="O136" s="6" t="str">
        <f>IF(COUNTBLANK($A136:$E136)&gt;0, "", IFERROR(_xlfn.MAXIFS(Log!$G:$G, Log!$A:$A, $A136, Log!$B:$B, $B136, Log!$C:$C, $C136),""))</f>
        <v/>
      </c>
    </row>
    <row r="137" spans="1:15" ht="49.95" customHeight="1" x14ac:dyDescent="0.3">
      <c r="A137" s="103" t="str">
        <f t="shared" si="4"/>
        <v/>
      </c>
      <c r="B137" s="105"/>
      <c r="H137" s="7" t="str">
        <f>IF(COUNTBLANK($A137:$E137)&gt;0, "", IFERROR(AVERAGEIFS(Log!$E:$E, Log!$A:$A, $A137, Log!$B:$B, $B137, Log!$C:$C, $C137),""))</f>
        <v/>
      </c>
      <c r="I137" s="37" t="str">
        <f t="shared" si="5"/>
        <v/>
      </c>
      <c r="J137" s="6" t="str">
        <f>IF(COUNTBLANK($A137:$E137)&gt;0, "", IFERROR(AVERAGEIFS(Log!#REF!, Log!$A:$A, $A137, Log!$B:$B, $B137, Log!$C:$C, $C137),""))</f>
        <v/>
      </c>
      <c r="K137" s="6" t="str">
        <f>IF(COUNTBLANK($A137:$E137)&gt;0, "", IFERROR(_xlfn.MINIFS(Log!$F:$F, Log!$A:$A, $A137, Log!$B:$B, $B137, Log!$C:$C, $C137),""))</f>
        <v/>
      </c>
      <c r="L137" s="6" t="str">
        <f>IF(COUNTBLANK($A137:$E137)&gt;0, "", IFERROR(_xlfn.MAXIFS(Log!$F:$F, Log!$A:$A, $A137, Log!$B:$B, $B137, Log!$C:$C, $C137),""))</f>
        <v/>
      </c>
      <c r="M137" s="6" t="str">
        <f>IF(COUNTBLANK($A137:$E137)&gt;0, "", IFERROR(AVERAGEIFS(Log!#REF!, Log!$A:$A, $A137, Log!$B:$B, $B137, Log!$C:$C, $C137),""))</f>
        <v/>
      </c>
      <c r="N137" s="6" t="str">
        <f>IF(COUNTBLANK($A137:$E137)&gt;0, "", IFERROR(_xlfn.MINIFS(Log!$G:$G, Log!$A:$A, $A137, Log!$B:$B, $B137, Log!$C:$C, $C137),""))</f>
        <v/>
      </c>
      <c r="O137" s="6" t="str">
        <f>IF(COUNTBLANK($A137:$E137)&gt;0, "", IFERROR(_xlfn.MAXIFS(Log!$G:$G, Log!$A:$A, $A137, Log!$B:$B, $B137, Log!$C:$C, $C137),""))</f>
        <v/>
      </c>
    </row>
    <row r="138" spans="1:15" ht="49.95" customHeight="1" x14ac:dyDescent="0.3">
      <c r="A138" s="103" t="str">
        <f t="shared" si="4"/>
        <v/>
      </c>
      <c r="B138" s="105"/>
      <c r="H138" s="7" t="str">
        <f>IF(COUNTBLANK($A138:$E138)&gt;0, "", IFERROR(AVERAGEIFS(Log!$E:$E, Log!$A:$A, $A138, Log!$B:$B, $B138, Log!$C:$C, $C138),""))</f>
        <v/>
      </c>
      <c r="I138" s="37" t="str">
        <f t="shared" si="5"/>
        <v/>
      </c>
      <c r="J138" s="6" t="str">
        <f>IF(COUNTBLANK($A138:$E138)&gt;0, "", IFERROR(AVERAGEIFS(Log!#REF!, Log!$A:$A, $A138, Log!$B:$B, $B138, Log!$C:$C, $C138),""))</f>
        <v/>
      </c>
      <c r="K138" s="6" t="str">
        <f>IF(COUNTBLANK($A138:$E138)&gt;0, "", IFERROR(_xlfn.MINIFS(Log!$F:$F, Log!$A:$A, $A138, Log!$B:$B, $B138, Log!$C:$C, $C138),""))</f>
        <v/>
      </c>
      <c r="L138" s="6" t="str">
        <f>IF(COUNTBLANK($A138:$E138)&gt;0, "", IFERROR(_xlfn.MAXIFS(Log!$F:$F, Log!$A:$A, $A138, Log!$B:$B, $B138, Log!$C:$C, $C138),""))</f>
        <v/>
      </c>
      <c r="M138" s="6" t="str">
        <f>IF(COUNTBLANK($A138:$E138)&gt;0, "", IFERROR(AVERAGEIFS(Log!#REF!, Log!$A:$A, $A138, Log!$B:$B, $B138, Log!$C:$C, $C138),""))</f>
        <v/>
      </c>
      <c r="N138" s="6" t="str">
        <f>IF(COUNTBLANK($A138:$E138)&gt;0, "", IFERROR(_xlfn.MINIFS(Log!$G:$G, Log!$A:$A, $A138, Log!$B:$B, $B138, Log!$C:$C, $C138),""))</f>
        <v/>
      </c>
      <c r="O138" s="6" t="str">
        <f>IF(COUNTBLANK($A138:$E138)&gt;0, "", IFERROR(_xlfn.MAXIFS(Log!$G:$G, Log!$A:$A, $A138, Log!$B:$B, $B138, Log!$C:$C, $C138),""))</f>
        <v/>
      </c>
    </row>
    <row r="139" spans="1:15" ht="49.95" customHeight="1" x14ac:dyDescent="0.3">
      <c r="A139" s="103" t="str">
        <f t="shared" si="4"/>
        <v/>
      </c>
      <c r="B139" s="105"/>
      <c r="H139" s="7" t="str">
        <f>IF(COUNTBLANK($A139:$E139)&gt;0, "", IFERROR(AVERAGEIFS(Log!$E:$E, Log!$A:$A, $A139, Log!$B:$B, $B139, Log!$C:$C, $C139),""))</f>
        <v/>
      </c>
      <c r="I139" s="37" t="str">
        <f t="shared" si="5"/>
        <v/>
      </c>
      <c r="J139" s="6" t="str">
        <f>IF(COUNTBLANK($A139:$E139)&gt;0, "", IFERROR(AVERAGEIFS(Log!#REF!, Log!$A:$A, $A139, Log!$B:$B, $B139, Log!$C:$C, $C139),""))</f>
        <v/>
      </c>
      <c r="K139" s="6" t="str">
        <f>IF(COUNTBLANK($A139:$E139)&gt;0, "", IFERROR(_xlfn.MINIFS(Log!$F:$F, Log!$A:$A, $A139, Log!$B:$B, $B139, Log!$C:$C, $C139),""))</f>
        <v/>
      </c>
      <c r="L139" s="6" t="str">
        <f>IF(COUNTBLANK($A139:$E139)&gt;0, "", IFERROR(_xlfn.MAXIFS(Log!$F:$F, Log!$A:$A, $A139, Log!$B:$B, $B139, Log!$C:$C, $C139),""))</f>
        <v/>
      </c>
      <c r="M139" s="6" t="str">
        <f>IF(COUNTBLANK($A139:$E139)&gt;0, "", IFERROR(AVERAGEIFS(Log!#REF!, Log!$A:$A, $A139, Log!$B:$B, $B139, Log!$C:$C, $C139),""))</f>
        <v/>
      </c>
      <c r="N139" s="6" t="str">
        <f>IF(COUNTBLANK($A139:$E139)&gt;0, "", IFERROR(_xlfn.MINIFS(Log!$G:$G, Log!$A:$A, $A139, Log!$B:$B, $B139, Log!$C:$C, $C139),""))</f>
        <v/>
      </c>
      <c r="O139" s="6" t="str">
        <f>IF(COUNTBLANK($A139:$E139)&gt;0, "", IFERROR(_xlfn.MAXIFS(Log!$G:$G, Log!$A:$A, $A139, Log!$B:$B, $B139, Log!$C:$C, $C139),""))</f>
        <v/>
      </c>
    </row>
    <row r="140" spans="1:15" ht="49.95" customHeight="1" x14ac:dyDescent="0.3">
      <c r="A140" s="103" t="str">
        <f t="shared" si="4"/>
        <v/>
      </c>
      <c r="B140" s="105"/>
      <c r="H140" s="7" t="str">
        <f>IF(COUNTBLANK($A140:$E140)&gt;0, "", IFERROR(AVERAGEIFS(Log!$E:$E, Log!$A:$A, $A140, Log!$B:$B, $B140, Log!$C:$C, $C140),""))</f>
        <v/>
      </c>
      <c r="I140" s="37" t="str">
        <f t="shared" si="5"/>
        <v/>
      </c>
      <c r="J140" s="6" t="str">
        <f>IF(COUNTBLANK($A140:$E140)&gt;0, "", IFERROR(AVERAGEIFS(Log!#REF!, Log!$A:$A, $A140, Log!$B:$B, $B140, Log!$C:$C, $C140),""))</f>
        <v/>
      </c>
      <c r="K140" s="6" t="str">
        <f>IF(COUNTBLANK($A140:$E140)&gt;0, "", IFERROR(_xlfn.MINIFS(Log!$F:$F, Log!$A:$A, $A140, Log!$B:$B, $B140, Log!$C:$C, $C140),""))</f>
        <v/>
      </c>
      <c r="L140" s="6" t="str">
        <f>IF(COUNTBLANK($A140:$E140)&gt;0, "", IFERROR(_xlfn.MAXIFS(Log!$F:$F, Log!$A:$A, $A140, Log!$B:$B, $B140, Log!$C:$C, $C140),""))</f>
        <v/>
      </c>
      <c r="M140" s="6" t="str">
        <f>IF(COUNTBLANK($A140:$E140)&gt;0, "", IFERROR(AVERAGEIFS(Log!#REF!, Log!$A:$A, $A140, Log!$B:$B, $B140, Log!$C:$C, $C140),""))</f>
        <v/>
      </c>
      <c r="N140" s="6" t="str">
        <f>IF(COUNTBLANK($A140:$E140)&gt;0, "", IFERROR(_xlfn.MINIFS(Log!$G:$G, Log!$A:$A, $A140, Log!$B:$B, $B140, Log!$C:$C, $C140),""))</f>
        <v/>
      </c>
      <c r="O140" s="6" t="str">
        <f>IF(COUNTBLANK($A140:$E140)&gt;0, "", IFERROR(_xlfn.MAXIFS(Log!$G:$G, Log!$A:$A, $A140, Log!$B:$B, $B140, Log!$C:$C, $C140),""))</f>
        <v/>
      </c>
    </row>
    <row r="141" spans="1:15" ht="49.95" customHeight="1" x14ac:dyDescent="0.3">
      <c r="A141" s="103" t="str">
        <f t="shared" si="4"/>
        <v/>
      </c>
      <c r="B141" s="105"/>
      <c r="H141" s="7" t="str">
        <f>IF(COUNTBLANK($A141:$E141)&gt;0, "", IFERROR(AVERAGEIFS(Log!$E:$E, Log!$A:$A, $A141, Log!$B:$B, $B141, Log!$C:$C, $C141),""))</f>
        <v/>
      </c>
      <c r="I141" s="37" t="str">
        <f t="shared" si="5"/>
        <v/>
      </c>
      <c r="J141" s="6" t="str">
        <f>IF(COUNTBLANK($A141:$E141)&gt;0, "", IFERROR(AVERAGEIFS(Log!#REF!, Log!$A:$A, $A141, Log!$B:$B, $B141, Log!$C:$C, $C141),""))</f>
        <v/>
      </c>
      <c r="K141" s="6" t="str">
        <f>IF(COUNTBLANK($A141:$E141)&gt;0, "", IFERROR(_xlfn.MINIFS(Log!$F:$F, Log!$A:$A, $A141, Log!$B:$B, $B141, Log!$C:$C, $C141),""))</f>
        <v/>
      </c>
      <c r="L141" s="6" t="str">
        <f>IF(COUNTBLANK($A141:$E141)&gt;0, "", IFERROR(_xlfn.MAXIFS(Log!$F:$F, Log!$A:$A, $A141, Log!$B:$B, $B141, Log!$C:$C, $C141),""))</f>
        <v/>
      </c>
      <c r="M141" s="6" t="str">
        <f>IF(COUNTBLANK($A141:$E141)&gt;0, "", IFERROR(AVERAGEIFS(Log!#REF!, Log!$A:$A, $A141, Log!$B:$B, $B141, Log!$C:$C, $C141),""))</f>
        <v/>
      </c>
      <c r="N141" s="6" t="str">
        <f>IF(COUNTBLANK($A141:$E141)&gt;0, "", IFERROR(_xlfn.MINIFS(Log!$G:$G, Log!$A:$A, $A141, Log!$B:$B, $B141, Log!$C:$C, $C141),""))</f>
        <v/>
      </c>
      <c r="O141" s="6" t="str">
        <f>IF(COUNTBLANK($A141:$E141)&gt;0, "", IFERROR(_xlfn.MAXIFS(Log!$G:$G, Log!$A:$A, $A141, Log!$B:$B, $B141, Log!$C:$C, $C141),""))</f>
        <v/>
      </c>
    </row>
    <row r="142" spans="1:15" ht="49.95" customHeight="1" x14ac:dyDescent="0.3">
      <c r="A142" s="103" t="str">
        <f t="shared" si="4"/>
        <v/>
      </c>
      <c r="B142" s="105"/>
      <c r="H142" s="7" t="str">
        <f>IF(COUNTBLANK($A142:$E142)&gt;0, "", IFERROR(AVERAGEIFS(Log!$E:$E, Log!$A:$A, $A142, Log!$B:$B, $B142, Log!$C:$C, $C142),""))</f>
        <v/>
      </c>
      <c r="I142" s="37" t="str">
        <f t="shared" si="5"/>
        <v/>
      </c>
      <c r="J142" s="6" t="str">
        <f>IF(COUNTBLANK($A142:$E142)&gt;0, "", IFERROR(AVERAGEIFS(Log!#REF!, Log!$A:$A, $A142, Log!$B:$B, $B142, Log!$C:$C, $C142),""))</f>
        <v/>
      </c>
      <c r="K142" s="6" t="str">
        <f>IF(COUNTBLANK($A142:$E142)&gt;0, "", IFERROR(_xlfn.MINIFS(Log!$F:$F, Log!$A:$A, $A142, Log!$B:$B, $B142, Log!$C:$C, $C142),""))</f>
        <v/>
      </c>
      <c r="L142" s="6" t="str">
        <f>IF(COUNTBLANK($A142:$E142)&gt;0, "", IFERROR(_xlfn.MAXIFS(Log!$F:$F, Log!$A:$A, $A142, Log!$B:$B, $B142, Log!$C:$C, $C142),""))</f>
        <v/>
      </c>
      <c r="M142" s="6" t="str">
        <f>IF(COUNTBLANK($A142:$E142)&gt;0, "", IFERROR(AVERAGEIFS(Log!#REF!, Log!$A:$A, $A142, Log!$B:$B, $B142, Log!$C:$C, $C142),""))</f>
        <v/>
      </c>
      <c r="N142" s="6" t="str">
        <f>IF(COUNTBLANK($A142:$E142)&gt;0, "", IFERROR(_xlfn.MINIFS(Log!$G:$G, Log!$A:$A, $A142, Log!$B:$B, $B142, Log!$C:$C, $C142),""))</f>
        <v/>
      </c>
      <c r="O142" s="6" t="str">
        <f>IF(COUNTBLANK($A142:$E142)&gt;0, "", IFERROR(_xlfn.MAXIFS(Log!$G:$G, Log!$A:$A, $A142, Log!$B:$B, $B142, Log!$C:$C, $C142),""))</f>
        <v/>
      </c>
    </row>
    <row r="143" spans="1:15" ht="49.95" customHeight="1" x14ac:dyDescent="0.3">
      <c r="A143" s="103" t="str">
        <f t="shared" si="4"/>
        <v/>
      </c>
      <c r="B143" s="105"/>
      <c r="H143" s="7" t="str">
        <f>IF(COUNTBLANK($A143:$E143)&gt;0, "", IFERROR(AVERAGEIFS(Log!$E:$E, Log!$A:$A, $A143, Log!$B:$B, $B143, Log!$C:$C, $C143),""))</f>
        <v/>
      </c>
      <c r="I143" s="37" t="str">
        <f t="shared" si="5"/>
        <v/>
      </c>
      <c r="J143" s="6" t="str">
        <f>IF(COUNTBLANK($A143:$E143)&gt;0, "", IFERROR(AVERAGEIFS(Log!#REF!, Log!$A:$A, $A143, Log!$B:$B, $B143, Log!$C:$C, $C143),""))</f>
        <v/>
      </c>
      <c r="K143" s="6" t="str">
        <f>IF(COUNTBLANK($A143:$E143)&gt;0, "", IFERROR(_xlfn.MINIFS(Log!$F:$F, Log!$A:$A, $A143, Log!$B:$B, $B143, Log!$C:$C, $C143),""))</f>
        <v/>
      </c>
      <c r="L143" s="6" t="str">
        <f>IF(COUNTBLANK($A143:$E143)&gt;0, "", IFERROR(_xlfn.MAXIFS(Log!$F:$F, Log!$A:$A, $A143, Log!$B:$B, $B143, Log!$C:$C, $C143),""))</f>
        <v/>
      </c>
      <c r="M143" s="6" t="str">
        <f>IF(COUNTBLANK($A143:$E143)&gt;0, "", IFERROR(AVERAGEIFS(Log!#REF!, Log!$A:$A, $A143, Log!$B:$B, $B143, Log!$C:$C, $C143),""))</f>
        <v/>
      </c>
      <c r="N143" s="6" t="str">
        <f>IF(COUNTBLANK($A143:$E143)&gt;0, "", IFERROR(_xlfn.MINIFS(Log!$G:$G, Log!$A:$A, $A143, Log!$B:$B, $B143, Log!$C:$C, $C143),""))</f>
        <v/>
      </c>
      <c r="O143" s="6" t="str">
        <f>IF(COUNTBLANK($A143:$E143)&gt;0, "", IFERROR(_xlfn.MAXIFS(Log!$G:$G, Log!$A:$A, $A143, Log!$B:$B, $B143, Log!$C:$C, $C143),""))</f>
        <v/>
      </c>
    </row>
    <row r="144" spans="1:15" ht="49.95" customHeight="1" x14ac:dyDescent="0.3">
      <c r="A144" s="103" t="str">
        <f t="shared" si="4"/>
        <v/>
      </c>
      <c r="B144" s="105"/>
      <c r="H144" s="7" t="str">
        <f>IF(COUNTBLANK($A144:$E144)&gt;0, "", IFERROR(AVERAGEIFS(Log!$E:$E, Log!$A:$A, $A144, Log!$B:$B, $B144, Log!$C:$C, $C144),""))</f>
        <v/>
      </c>
      <c r="I144" s="37" t="str">
        <f t="shared" si="5"/>
        <v/>
      </c>
      <c r="J144" s="6" t="str">
        <f>IF(COUNTBLANK($A144:$E144)&gt;0, "", IFERROR(AVERAGEIFS(Log!#REF!, Log!$A:$A, $A144, Log!$B:$B, $B144, Log!$C:$C, $C144),""))</f>
        <v/>
      </c>
      <c r="K144" s="6" t="str">
        <f>IF(COUNTBLANK($A144:$E144)&gt;0, "", IFERROR(_xlfn.MINIFS(Log!$F:$F, Log!$A:$A, $A144, Log!$B:$B, $B144, Log!$C:$C, $C144),""))</f>
        <v/>
      </c>
      <c r="L144" s="6" t="str">
        <f>IF(COUNTBLANK($A144:$E144)&gt;0, "", IFERROR(_xlfn.MAXIFS(Log!$F:$F, Log!$A:$A, $A144, Log!$B:$B, $B144, Log!$C:$C, $C144),""))</f>
        <v/>
      </c>
      <c r="M144" s="6" t="str">
        <f>IF(COUNTBLANK($A144:$E144)&gt;0, "", IFERROR(AVERAGEIFS(Log!#REF!, Log!$A:$A, $A144, Log!$B:$B, $B144, Log!$C:$C, $C144),""))</f>
        <v/>
      </c>
      <c r="N144" s="6" t="str">
        <f>IF(COUNTBLANK($A144:$E144)&gt;0, "", IFERROR(_xlfn.MINIFS(Log!$G:$G, Log!$A:$A, $A144, Log!$B:$B, $B144, Log!$C:$C, $C144),""))</f>
        <v/>
      </c>
      <c r="O144" s="6" t="str">
        <f>IF(COUNTBLANK($A144:$E144)&gt;0, "", IFERROR(_xlfn.MAXIFS(Log!$G:$G, Log!$A:$A, $A144, Log!$B:$B, $B144, Log!$C:$C, $C144),""))</f>
        <v/>
      </c>
    </row>
    <row r="145" spans="1:15" ht="49.95" customHeight="1" x14ac:dyDescent="0.3">
      <c r="A145" s="103" t="str">
        <f t="shared" si="4"/>
        <v/>
      </c>
      <c r="B145" s="105"/>
      <c r="H145" s="7" t="str">
        <f>IF(COUNTBLANK($A145:$E145)&gt;0, "", IFERROR(AVERAGEIFS(Log!$E:$E, Log!$A:$A, $A145, Log!$B:$B, $B145, Log!$C:$C, $C145),""))</f>
        <v/>
      </c>
      <c r="I145" s="37" t="str">
        <f t="shared" si="5"/>
        <v/>
      </c>
      <c r="J145" s="6" t="str">
        <f>IF(COUNTBLANK($A145:$E145)&gt;0, "", IFERROR(AVERAGEIFS(Log!#REF!, Log!$A:$A, $A145, Log!$B:$B, $B145, Log!$C:$C, $C145),""))</f>
        <v/>
      </c>
      <c r="K145" s="6" t="str">
        <f>IF(COUNTBLANK($A145:$E145)&gt;0, "", IFERROR(_xlfn.MINIFS(Log!$F:$F, Log!$A:$A, $A145, Log!$B:$B, $B145, Log!$C:$C, $C145),""))</f>
        <v/>
      </c>
      <c r="L145" s="6" t="str">
        <f>IF(COUNTBLANK($A145:$E145)&gt;0, "", IFERROR(_xlfn.MAXIFS(Log!$F:$F, Log!$A:$A, $A145, Log!$B:$B, $B145, Log!$C:$C, $C145),""))</f>
        <v/>
      </c>
      <c r="M145" s="6" t="str">
        <f>IF(COUNTBLANK($A145:$E145)&gt;0, "", IFERROR(AVERAGEIFS(Log!#REF!, Log!$A:$A, $A145, Log!$B:$B, $B145, Log!$C:$C, $C145),""))</f>
        <v/>
      </c>
      <c r="N145" s="6" t="str">
        <f>IF(COUNTBLANK($A145:$E145)&gt;0, "", IFERROR(_xlfn.MINIFS(Log!$G:$G, Log!$A:$A, $A145, Log!$B:$B, $B145, Log!$C:$C, $C145),""))</f>
        <v/>
      </c>
      <c r="O145" s="6" t="str">
        <f>IF(COUNTBLANK($A145:$E145)&gt;0, "", IFERROR(_xlfn.MAXIFS(Log!$G:$G, Log!$A:$A, $A145, Log!$B:$B, $B145, Log!$C:$C, $C145),""))</f>
        <v/>
      </c>
    </row>
    <row r="146" spans="1:15" ht="49.95" customHeight="1" x14ac:dyDescent="0.3">
      <c r="A146" s="103" t="str">
        <f t="shared" si="4"/>
        <v/>
      </c>
      <c r="B146" s="105"/>
      <c r="H146" s="7" t="str">
        <f>IF(COUNTBLANK($A146:$E146)&gt;0, "", IFERROR(AVERAGEIFS(Log!$E:$E, Log!$A:$A, $A146, Log!$B:$B, $B146, Log!$C:$C, $C146),""))</f>
        <v/>
      </c>
      <c r="I146" s="37" t="str">
        <f t="shared" si="5"/>
        <v/>
      </c>
      <c r="J146" s="6" t="str">
        <f>IF(COUNTBLANK($A146:$E146)&gt;0, "", IFERROR(AVERAGEIFS(Log!#REF!, Log!$A:$A, $A146, Log!$B:$B, $B146, Log!$C:$C, $C146),""))</f>
        <v/>
      </c>
      <c r="K146" s="6" t="str">
        <f>IF(COUNTBLANK($A146:$E146)&gt;0, "", IFERROR(_xlfn.MINIFS(Log!$F:$F, Log!$A:$A, $A146, Log!$B:$B, $B146, Log!$C:$C, $C146),""))</f>
        <v/>
      </c>
      <c r="L146" s="6" t="str">
        <f>IF(COUNTBLANK($A146:$E146)&gt;0, "", IFERROR(_xlfn.MAXIFS(Log!$F:$F, Log!$A:$A, $A146, Log!$B:$B, $B146, Log!$C:$C, $C146),""))</f>
        <v/>
      </c>
      <c r="M146" s="6" t="str">
        <f>IF(COUNTBLANK($A146:$E146)&gt;0, "", IFERROR(AVERAGEIFS(Log!#REF!, Log!$A:$A, $A146, Log!$B:$B, $B146, Log!$C:$C, $C146),""))</f>
        <v/>
      </c>
      <c r="N146" s="6" t="str">
        <f>IF(COUNTBLANK($A146:$E146)&gt;0, "", IFERROR(_xlfn.MINIFS(Log!$G:$G, Log!$A:$A, $A146, Log!$B:$B, $B146, Log!$C:$C, $C146),""))</f>
        <v/>
      </c>
      <c r="O146" s="6" t="str">
        <f>IF(COUNTBLANK($A146:$E146)&gt;0, "", IFERROR(_xlfn.MAXIFS(Log!$G:$G, Log!$A:$A, $A146, Log!$B:$B, $B146, Log!$C:$C, $C146),""))</f>
        <v/>
      </c>
    </row>
    <row r="147" spans="1:15" ht="49.95" customHeight="1" x14ac:dyDescent="0.3">
      <c r="A147" s="103" t="str">
        <f t="shared" si="4"/>
        <v/>
      </c>
      <c r="B147" s="105"/>
      <c r="H147" s="7" t="str">
        <f>IF(COUNTBLANK($A147:$E147)&gt;0, "", IFERROR(AVERAGEIFS(Log!$E:$E, Log!$A:$A, $A147, Log!$B:$B, $B147, Log!$C:$C, $C147),""))</f>
        <v/>
      </c>
      <c r="I147" s="37" t="str">
        <f t="shared" si="5"/>
        <v/>
      </c>
      <c r="J147" s="6" t="str">
        <f>IF(COUNTBLANK($A147:$E147)&gt;0, "", IFERROR(AVERAGEIFS(Log!#REF!, Log!$A:$A, $A147, Log!$B:$B, $B147, Log!$C:$C, $C147),""))</f>
        <v/>
      </c>
      <c r="K147" s="6" t="str">
        <f>IF(COUNTBLANK($A147:$E147)&gt;0, "", IFERROR(_xlfn.MINIFS(Log!$F:$F, Log!$A:$A, $A147, Log!$B:$B, $B147, Log!$C:$C, $C147),""))</f>
        <v/>
      </c>
      <c r="L147" s="6" t="str">
        <f>IF(COUNTBLANK($A147:$E147)&gt;0, "", IFERROR(_xlfn.MAXIFS(Log!$F:$F, Log!$A:$A, $A147, Log!$B:$B, $B147, Log!$C:$C, $C147),""))</f>
        <v/>
      </c>
      <c r="M147" s="6" t="str">
        <f>IF(COUNTBLANK($A147:$E147)&gt;0, "", IFERROR(AVERAGEIFS(Log!#REF!, Log!$A:$A, $A147, Log!$B:$B, $B147, Log!$C:$C, $C147),""))</f>
        <v/>
      </c>
      <c r="N147" s="6" t="str">
        <f>IF(COUNTBLANK($A147:$E147)&gt;0, "", IFERROR(_xlfn.MINIFS(Log!$G:$G, Log!$A:$A, $A147, Log!$B:$B, $B147, Log!$C:$C, $C147),""))</f>
        <v/>
      </c>
      <c r="O147" s="6" t="str">
        <f>IF(COUNTBLANK($A147:$E147)&gt;0, "", IFERROR(_xlfn.MAXIFS(Log!$G:$G, Log!$A:$A, $A147, Log!$B:$B, $B147, Log!$C:$C, $C147),""))</f>
        <v/>
      </c>
    </row>
    <row r="148" spans="1:15" ht="49.95" customHeight="1" x14ac:dyDescent="0.3">
      <c r="A148" s="103" t="str">
        <f t="shared" si="4"/>
        <v/>
      </c>
      <c r="B148" s="105"/>
      <c r="H148" s="7" t="str">
        <f>IF(COUNTBLANK($A148:$E148)&gt;0, "", IFERROR(AVERAGEIFS(Log!$E:$E, Log!$A:$A, $A148, Log!$B:$B, $B148, Log!$C:$C, $C148),""))</f>
        <v/>
      </c>
      <c r="I148" s="37" t="str">
        <f t="shared" si="5"/>
        <v/>
      </c>
      <c r="J148" s="6" t="str">
        <f>IF(COUNTBLANK($A148:$E148)&gt;0, "", IFERROR(AVERAGEIFS(Log!#REF!, Log!$A:$A, $A148, Log!$B:$B, $B148, Log!$C:$C, $C148),""))</f>
        <v/>
      </c>
      <c r="K148" s="6" t="str">
        <f>IF(COUNTBLANK($A148:$E148)&gt;0, "", IFERROR(_xlfn.MINIFS(Log!$F:$F, Log!$A:$A, $A148, Log!$B:$B, $B148, Log!$C:$C, $C148),""))</f>
        <v/>
      </c>
      <c r="L148" s="6" t="str">
        <f>IF(COUNTBLANK($A148:$E148)&gt;0, "", IFERROR(_xlfn.MAXIFS(Log!$F:$F, Log!$A:$A, $A148, Log!$B:$B, $B148, Log!$C:$C, $C148),""))</f>
        <v/>
      </c>
      <c r="M148" s="6" t="str">
        <f>IF(COUNTBLANK($A148:$E148)&gt;0, "", IFERROR(AVERAGEIFS(Log!#REF!, Log!$A:$A, $A148, Log!$B:$B, $B148, Log!$C:$C, $C148),""))</f>
        <v/>
      </c>
      <c r="N148" s="6" t="str">
        <f>IF(COUNTBLANK($A148:$E148)&gt;0, "", IFERROR(_xlfn.MINIFS(Log!$G:$G, Log!$A:$A, $A148, Log!$B:$B, $B148, Log!$C:$C, $C148),""))</f>
        <v/>
      </c>
      <c r="O148" s="6" t="str">
        <f>IF(COUNTBLANK($A148:$E148)&gt;0, "", IFERROR(_xlfn.MAXIFS(Log!$G:$G, Log!$A:$A, $A148, Log!$B:$B, $B148, Log!$C:$C, $C148),""))</f>
        <v/>
      </c>
    </row>
    <row r="149" spans="1:15" ht="49.95" customHeight="1" x14ac:dyDescent="0.3">
      <c r="A149" s="103" t="str">
        <f t="shared" si="4"/>
        <v/>
      </c>
      <c r="B149" s="105"/>
      <c r="H149" s="7" t="str">
        <f>IF(COUNTBLANK($A149:$E149)&gt;0, "", IFERROR(AVERAGEIFS(Log!$E:$E, Log!$A:$A, $A149, Log!$B:$B, $B149, Log!$C:$C, $C149),""))</f>
        <v/>
      </c>
      <c r="I149" s="37" t="str">
        <f t="shared" si="5"/>
        <v/>
      </c>
      <c r="J149" s="6" t="str">
        <f>IF(COUNTBLANK($A149:$E149)&gt;0, "", IFERROR(AVERAGEIFS(Log!#REF!, Log!$A:$A, $A149, Log!$B:$B, $B149, Log!$C:$C, $C149),""))</f>
        <v/>
      </c>
      <c r="K149" s="6" t="str">
        <f>IF(COUNTBLANK($A149:$E149)&gt;0, "", IFERROR(_xlfn.MINIFS(Log!$F:$F, Log!$A:$A, $A149, Log!$B:$B, $B149, Log!$C:$C, $C149),""))</f>
        <v/>
      </c>
      <c r="L149" s="6" t="str">
        <f>IF(COUNTBLANK($A149:$E149)&gt;0, "", IFERROR(_xlfn.MAXIFS(Log!$F:$F, Log!$A:$A, $A149, Log!$B:$B, $B149, Log!$C:$C, $C149),""))</f>
        <v/>
      </c>
      <c r="M149" s="6" t="str">
        <f>IF(COUNTBLANK($A149:$E149)&gt;0, "", IFERROR(AVERAGEIFS(Log!#REF!, Log!$A:$A, $A149, Log!$B:$B, $B149, Log!$C:$C, $C149),""))</f>
        <v/>
      </c>
      <c r="N149" s="6" t="str">
        <f>IF(COUNTBLANK($A149:$E149)&gt;0, "", IFERROR(_xlfn.MINIFS(Log!$G:$G, Log!$A:$A, $A149, Log!$B:$B, $B149, Log!$C:$C, $C149),""))</f>
        <v/>
      </c>
      <c r="O149" s="6" t="str">
        <f>IF(COUNTBLANK($A149:$E149)&gt;0, "", IFERROR(_xlfn.MAXIFS(Log!$G:$G, Log!$A:$A, $A149, Log!$B:$B, $B149, Log!$C:$C, $C149),""))</f>
        <v/>
      </c>
    </row>
    <row r="150" spans="1:15" ht="49.95" customHeight="1" x14ac:dyDescent="0.3">
      <c r="A150" s="103" t="str">
        <f t="shared" si="4"/>
        <v/>
      </c>
      <c r="B150" s="105"/>
      <c r="H150" s="7" t="str">
        <f>IF(COUNTBLANK($A150:$E150)&gt;0, "", IFERROR(AVERAGEIFS(Log!$E:$E, Log!$A:$A, $A150, Log!$B:$B, $B150, Log!$C:$C, $C150),""))</f>
        <v/>
      </c>
      <c r="I150" s="37" t="str">
        <f t="shared" si="5"/>
        <v/>
      </c>
      <c r="J150" s="6" t="str">
        <f>IF(COUNTBLANK($A150:$E150)&gt;0, "", IFERROR(AVERAGEIFS(Log!#REF!, Log!$A:$A, $A150, Log!$B:$B, $B150, Log!$C:$C, $C150),""))</f>
        <v/>
      </c>
      <c r="K150" s="6" t="str">
        <f>IF(COUNTBLANK($A150:$E150)&gt;0, "", IFERROR(_xlfn.MINIFS(Log!$F:$F, Log!$A:$A, $A150, Log!$B:$B, $B150, Log!$C:$C, $C150),""))</f>
        <v/>
      </c>
      <c r="L150" s="6" t="str">
        <f>IF(COUNTBLANK($A150:$E150)&gt;0, "", IFERROR(_xlfn.MAXIFS(Log!$F:$F, Log!$A:$A, $A150, Log!$B:$B, $B150, Log!$C:$C, $C150),""))</f>
        <v/>
      </c>
      <c r="M150" s="6" t="str">
        <f>IF(COUNTBLANK($A150:$E150)&gt;0, "", IFERROR(AVERAGEIFS(Log!#REF!, Log!$A:$A, $A150, Log!$B:$B, $B150, Log!$C:$C, $C150),""))</f>
        <v/>
      </c>
      <c r="N150" s="6" t="str">
        <f>IF(COUNTBLANK($A150:$E150)&gt;0, "", IFERROR(_xlfn.MINIFS(Log!$G:$G, Log!$A:$A, $A150, Log!$B:$B, $B150, Log!$C:$C, $C150),""))</f>
        <v/>
      </c>
      <c r="O150" s="6" t="str">
        <f>IF(COUNTBLANK($A150:$E150)&gt;0, "", IFERROR(_xlfn.MAXIFS(Log!$G:$G, Log!$A:$A, $A150, Log!$B:$B, $B150, Log!$C:$C, $C150),""))</f>
        <v/>
      </c>
    </row>
    <row r="151" spans="1:15" ht="49.95" customHeight="1" x14ac:dyDescent="0.3">
      <c r="A151" s="103" t="str">
        <f t="shared" si="4"/>
        <v/>
      </c>
      <c r="B151" s="105"/>
      <c r="H151" s="7" t="str">
        <f>IF(COUNTBLANK($A151:$E151)&gt;0, "", IFERROR(AVERAGEIFS(Log!$E:$E, Log!$A:$A, $A151, Log!$B:$B, $B151, Log!$C:$C, $C151),""))</f>
        <v/>
      </c>
      <c r="I151" s="37" t="str">
        <f t="shared" si="5"/>
        <v/>
      </c>
      <c r="J151" s="6" t="str">
        <f>IF(COUNTBLANK($A151:$E151)&gt;0, "", IFERROR(AVERAGEIFS(Log!#REF!, Log!$A:$A, $A151, Log!$B:$B, $B151, Log!$C:$C, $C151),""))</f>
        <v/>
      </c>
      <c r="K151" s="6" t="str">
        <f>IF(COUNTBLANK($A151:$E151)&gt;0, "", IFERROR(_xlfn.MINIFS(Log!$F:$F, Log!$A:$A, $A151, Log!$B:$B, $B151, Log!$C:$C, $C151),""))</f>
        <v/>
      </c>
      <c r="L151" s="6" t="str">
        <f>IF(COUNTBLANK($A151:$E151)&gt;0, "", IFERROR(_xlfn.MAXIFS(Log!$F:$F, Log!$A:$A, $A151, Log!$B:$B, $B151, Log!$C:$C, $C151),""))</f>
        <v/>
      </c>
      <c r="M151" s="6" t="str">
        <f>IF(COUNTBLANK($A151:$E151)&gt;0, "", IFERROR(AVERAGEIFS(Log!#REF!, Log!$A:$A, $A151, Log!$B:$B, $B151, Log!$C:$C, $C151),""))</f>
        <v/>
      </c>
      <c r="N151" s="6" t="str">
        <f>IF(COUNTBLANK($A151:$E151)&gt;0, "", IFERROR(_xlfn.MINIFS(Log!$G:$G, Log!$A:$A, $A151, Log!$B:$B, $B151, Log!$C:$C, $C151),""))</f>
        <v/>
      </c>
      <c r="O151" s="6" t="str">
        <f>IF(COUNTBLANK($A151:$E151)&gt;0, "", IFERROR(_xlfn.MAXIFS(Log!$G:$G, Log!$A:$A, $A151, Log!$B:$B, $B151, Log!$C:$C, $C151),""))</f>
        <v/>
      </c>
    </row>
    <row r="152" spans="1:15" ht="49.95" customHeight="1" x14ac:dyDescent="0.3">
      <c r="A152" s="103" t="str">
        <f t="shared" si="4"/>
        <v/>
      </c>
      <c r="B152" s="105"/>
      <c r="H152" s="7" t="str">
        <f>IF(COUNTBLANK($A152:$E152)&gt;0, "", IFERROR(AVERAGEIFS(Log!$E:$E, Log!$A:$A, $A152, Log!$B:$B, $B152, Log!$C:$C, $C152),""))</f>
        <v/>
      </c>
      <c r="I152" s="37" t="str">
        <f t="shared" si="5"/>
        <v/>
      </c>
      <c r="J152" s="6" t="str">
        <f>IF(COUNTBLANK($A152:$E152)&gt;0, "", IFERROR(AVERAGEIFS(Log!#REF!, Log!$A:$A, $A152, Log!$B:$B, $B152, Log!$C:$C, $C152),""))</f>
        <v/>
      </c>
      <c r="K152" s="6" t="str">
        <f>IF(COUNTBLANK($A152:$E152)&gt;0, "", IFERROR(_xlfn.MINIFS(Log!$F:$F, Log!$A:$A, $A152, Log!$B:$B, $B152, Log!$C:$C, $C152),""))</f>
        <v/>
      </c>
      <c r="L152" s="6" t="str">
        <f>IF(COUNTBLANK($A152:$E152)&gt;0, "", IFERROR(_xlfn.MAXIFS(Log!$F:$F, Log!$A:$A, $A152, Log!$B:$B, $B152, Log!$C:$C, $C152),""))</f>
        <v/>
      </c>
      <c r="M152" s="6" t="str">
        <f>IF(COUNTBLANK($A152:$E152)&gt;0, "", IFERROR(AVERAGEIFS(Log!#REF!, Log!$A:$A, $A152, Log!$B:$B, $B152, Log!$C:$C, $C152),""))</f>
        <v/>
      </c>
      <c r="N152" s="6" t="str">
        <f>IF(COUNTBLANK($A152:$E152)&gt;0, "", IFERROR(_xlfn.MINIFS(Log!$G:$G, Log!$A:$A, $A152, Log!$B:$B, $B152, Log!$C:$C, $C152),""))</f>
        <v/>
      </c>
      <c r="O152" s="6" t="str">
        <f>IF(COUNTBLANK($A152:$E152)&gt;0, "", IFERROR(_xlfn.MAXIFS(Log!$G:$G, Log!$A:$A, $A152, Log!$B:$B, $B152, Log!$C:$C, $C152),""))</f>
        <v/>
      </c>
    </row>
    <row r="153" spans="1:15" ht="49.95" customHeight="1" x14ac:dyDescent="0.3">
      <c r="A153" s="103" t="str">
        <f t="shared" si="4"/>
        <v/>
      </c>
      <c r="B153" s="105"/>
      <c r="H153" s="7" t="str">
        <f>IF(COUNTBLANK($A153:$E153)&gt;0, "", IFERROR(AVERAGEIFS(Log!$E:$E, Log!$A:$A, $A153, Log!$B:$B, $B153, Log!$C:$C, $C153),""))</f>
        <v/>
      </c>
      <c r="I153" s="37" t="str">
        <f t="shared" si="5"/>
        <v/>
      </c>
      <c r="J153" s="6" t="str">
        <f>IF(COUNTBLANK($A153:$E153)&gt;0, "", IFERROR(AVERAGEIFS(Log!#REF!, Log!$A:$A, $A153, Log!$B:$B, $B153, Log!$C:$C, $C153),""))</f>
        <v/>
      </c>
      <c r="K153" s="6" t="str">
        <f>IF(COUNTBLANK($A153:$E153)&gt;0, "", IFERROR(_xlfn.MINIFS(Log!$F:$F, Log!$A:$A, $A153, Log!$B:$B, $B153, Log!$C:$C, $C153),""))</f>
        <v/>
      </c>
      <c r="L153" s="6" t="str">
        <f>IF(COUNTBLANK($A153:$E153)&gt;0, "", IFERROR(_xlfn.MAXIFS(Log!$F:$F, Log!$A:$A, $A153, Log!$B:$B, $B153, Log!$C:$C, $C153),""))</f>
        <v/>
      </c>
      <c r="M153" s="6" t="str">
        <f>IF(COUNTBLANK($A153:$E153)&gt;0, "", IFERROR(AVERAGEIFS(Log!#REF!, Log!$A:$A, $A153, Log!$B:$B, $B153, Log!$C:$C, $C153),""))</f>
        <v/>
      </c>
      <c r="N153" s="6" t="str">
        <f>IF(COUNTBLANK($A153:$E153)&gt;0, "", IFERROR(_xlfn.MINIFS(Log!$G:$G, Log!$A:$A, $A153, Log!$B:$B, $B153, Log!$C:$C, $C153),""))</f>
        <v/>
      </c>
      <c r="O153" s="6" t="str">
        <f>IF(COUNTBLANK($A153:$E153)&gt;0, "", IFERROR(_xlfn.MAXIFS(Log!$G:$G, Log!$A:$A, $A153, Log!$B:$B, $B153, Log!$C:$C, $C153),""))</f>
        <v/>
      </c>
    </row>
    <row r="154" spans="1:15" ht="49.95" customHeight="1" x14ac:dyDescent="0.3">
      <c r="A154" s="103" t="str">
        <f t="shared" si="4"/>
        <v/>
      </c>
      <c r="B154" s="105"/>
      <c r="H154" s="7" t="str">
        <f>IF(COUNTBLANK($A154:$E154)&gt;0, "", IFERROR(AVERAGEIFS(Log!$E:$E, Log!$A:$A, $A154, Log!$B:$B, $B154, Log!$C:$C, $C154),""))</f>
        <v/>
      </c>
      <c r="I154" s="37" t="str">
        <f t="shared" si="5"/>
        <v/>
      </c>
      <c r="J154" s="6" t="str">
        <f>IF(COUNTBLANK($A154:$E154)&gt;0, "", IFERROR(AVERAGEIFS(Log!#REF!, Log!$A:$A, $A154, Log!$B:$B, $B154, Log!$C:$C, $C154),""))</f>
        <v/>
      </c>
      <c r="K154" s="6" t="str">
        <f>IF(COUNTBLANK($A154:$E154)&gt;0, "", IFERROR(_xlfn.MINIFS(Log!$F:$F, Log!$A:$A, $A154, Log!$B:$B, $B154, Log!$C:$C, $C154),""))</f>
        <v/>
      </c>
      <c r="L154" s="6" t="str">
        <f>IF(COUNTBLANK($A154:$E154)&gt;0, "", IFERROR(_xlfn.MAXIFS(Log!$F:$F, Log!$A:$A, $A154, Log!$B:$B, $B154, Log!$C:$C, $C154),""))</f>
        <v/>
      </c>
      <c r="M154" s="6" t="str">
        <f>IF(COUNTBLANK($A154:$E154)&gt;0, "", IFERROR(AVERAGEIFS(Log!#REF!, Log!$A:$A, $A154, Log!$B:$B, $B154, Log!$C:$C, $C154),""))</f>
        <v/>
      </c>
      <c r="N154" s="6" t="str">
        <f>IF(COUNTBLANK($A154:$E154)&gt;0, "", IFERROR(_xlfn.MINIFS(Log!$G:$G, Log!$A:$A, $A154, Log!$B:$B, $B154, Log!$C:$C, $C154),""))</f>
        <v/>
      </c>
      <c r="O154" s="6" t="str">
        <f>IF(COUNTBLANK($A154:$E154)&gt;0, "", IFERROR(_xlfn.MAXIFS(Log!$G:$G, Log!$A:$A, $A154, Log!$B:$B, $B154, Log!$C:$C, $C154),""))</f>
        <v/>
      </c>
    </row>
    <row r="155" spans="1:15" ht="49.95" customHeight="1" x14ac:dyDescent="0.3">
      <c r="A155" s="103" t="str">
        <f t="shared" si="4"/>
        <v/>
      </c>
      <c r="B155" s="105"/>
      <c r="H155" s="7" t="str">
        <f>IF(COUNTBLANK($A155:$E155)&gt;0, "", IFERROR(AVERAGEIFS(Log!$E:$E, Log!$A:$A, $A155, Log!$B:$B, $B155, Log!$C:$C, $C155),""))</f>
        <v/>
      </c>
      <c r="I155" s="37" t="str">
        <f t="shared" si="5"/>
        <v/>
      </c>
      <c r="J155" s="6" t="str">
        <f>IF(COUNTBLANK($A155:$E155)&gt;0, "", IFERROR(AVERAGEIFS(Log!#REF!, Log!$A:$A, $A155, Log!$B:$B, $B155, Log!$C:$C, $C155),""))</f>
        <v/>
      </c>
      <c r="K155" s="6" t="str">
        <f>IF(COUNTBLANK($A155:$E155)&gt;0, "", IFERROR(_xlfn.MINIFS(Log!$F:$F, Log!$A:$A, $A155, Log!$B:$B, $B155, Log!$C:$C, $C155),""))</f>
        <v/>
      </c>
      <c r="L155" s="6" t="str">
        <f>IF(COUNTBLANK($A155:$E155)&gt;0, "", IFERROR(_xlfn.MAXIFS(Log!$F:$F, Log!$A:$A, $A155, Log!$B:$B, $B155, Log!$C:$C, $C155),""))</f>
        <v/>
      </c>
      <c r="M155" s="6" t="str">
        <f>IF(COUNTBLANK($A155:$E155)&gt;0, "", IFERROR(AVERAGEIFS(Log!#REF!, Log!$A:$A, $A155, Log!$B:$B, $B155, Log!$C:$C, $C155),""))</f>
        <v/>
      </c>
      <c r="N155" s="6" t="str">
        <f>IF(COUNTBLANK($A155:$E155)&gt;0, "", IFERROR(_xlfn.MINIFS(Log!$G:$G, Log!$A:$A, $A155, Log!$B:$B, $B155, Log!$C:$C, $C155),""))</f>
        <v/>
      </c>
      <c r="O155" s="6" t="str">
        <f>IF(COUNTBLANK($A155:$E155)&gt;0, "", IFERROR(_xlfn.MAXIFS(Log!$G:$G, Log!$A:$A, $A155, Log!$B:$B, $B155, Log!$C:$C, $C155),""))</f>
        <v/>
      </c>
    </row>
    <row r="156" spans="1:15" ht="49.95" customHeight="1" x14ac:dyDescent="0.3">
      <c r="A156" s="103" t="str">
        <f t="shared" si="4"/>
        <v/>
      </c>
      <c r="B156" s="105"/>
      <c r="H156" s="7" t="str">
        <f>IF(COUNTBLANK($A156:$E156)&gt;0, "", IFERROR(AVERAGEIFS(Log!$E:$E, Log!$A:$A, $A156, Log!$B:$B, $B156, Log!$C:$C, $C156),""))</f>
        <v/>
      </c>
      <c r="I156" s="37" t="str">
        <f t="shared" si="5"/>
        <v/>
      </c>
      <c r="J156" s="6" t="str">
        <f>IF(COUNTBLANK($A156:$E156)&gt;0, "", IFERROR(AVERAGEIFS(Log!#REF!, Log!$A:$A, $A156, Log!$B:$B, $B156, Log!$C:$C, $C156),""))</f>
        <v/>
      </c>
      <c r="K156" s="6" t="str">
        <f>IF(COUNTBLANK($A156:$E156)&gt;0, "", IFERROR(_xlfn.MINIFS(Log!$F:$F, Log!$A:$A, $A156, Log!$B:$B, $B156, Log!$C:$C, $C156),""))</f>
        <v/>
      </c>
      <c r="L156" s="6" t="str">
        <f>IF(COUNTBLANK($A156:$E156)&gt;0, "", IFERROR(_xlfn.MAXIFS(Log!$F:$F, Log!$A:$A, $A156, Log!$B:$B, $B156, Log!$C:$C, $C156),""))</f>
        <v/>
      </c>
      <c r="M156" s="6" t="str">
        <f>IF(COUNTBLANK($A156:$E156)&gt;0, "", IFERROR(AVERAGEIFS(Log!#REF!, Log!$A:$A, $A156, Log!$B:$B, $B156, Log!$C:$C, $C156),""))</f>
        <v/>
      </c>
      <c r="N156" s="6" t="str">
        <f>IF(COUNTBLANK($A156:$E156)&gt;0, "", IFERROR(_xlfn.MINIFS(Log!$G:$G, Log!$A:$A, $A156, Log!$B:$B, $B156, Log!$C:$C, $C156),""))</f>
        <v/>
      </c>
      <c r="O156" s="6" t="str">
        <f>IF(COUNTBLANK($A156:$E156)&gt;0, "", IFERROR(_xlfn.MAXIFS(Log!$G:$G, Log!$A:$A, $A156, Log!$B:$B, $B156, Log!$C:$C, $C156),""))</f>
        <v/>
      </c>
    </row>
    <row r="157" spans="1:15" ht="49.95" customHeight="1" x14ac:dyDescent="0.3">
      <c r="A157" s="103" t="str">
        <f t="shared" si="4"/>
        <v/>
      </c>
      <c r="B157" s="105"/>
      <c r="H157" s="7" t="str">
        <f>IF(COUNTBLANK($A157:$E157)&gt;0, "", IFERROR(AVERAGEIFS(Log!$E:$E, Log!$A:$A, $A157, Log!$B:$B, $B157, Log!$C:$C, $C157),""))</f>
        <v/>
      </c>
      <c r="I157" s="37" t="str">
        <f t="shared" si="5"/>
        <v/>
      </c>
      <c r="J157" s="6" t="str">
        <f>IF(COUNTBLANK($A157:$E157)&gt;0, "", IFERROR(AVERAGEIFS(Log!#REF!, Log!$A:$A, $A157, Log!$B:$B, $B157, Log!$C:$C, $C157),""))</f>
        <v/>
      </c>
      <c r="K157" s="6" t="str">
        <f>IF(COUNTBLANK($A157:$E157)&gt;0, "", IFERROR(_xlfn.MINIFS(Log!$F:$F, Log!$A:$A, $A157, Log!$B:$B, $B157, Log!$C:$C, $C157),""))</f>
        <v/>
      </c>
      <c r="L157" s="6" t="str">
        <f>IF(COUNTBLANK($A157:$E157)&gt;0, "", IFERROR(_xlfn.MAXIFS(Log!$F:$F, Log!$A:$A, $A157, Log!$B:$B, $B157, Log!$C:$C, $C157),""))</f>
        <v/>
      </c>
      <c r="M157" s="6" t="str">
        <f>IF(COUNTBLANK($A157:$E157)&gt;0, "", IFERROR(AVERAGEIFS(Log!#REF!, Log!$A:$A, $A157, Log!$B:$B, $B157, Log!$C:$C, $C157),""))</f>
        <v/>
      </c>
      <c r="N157" s="6" t="str">
        <f>IF(COUNTBLANK($A157:$E157)&gt;0, "", IFERROR(_xlfn.MINIFS(Log!$G:$G, Log!$A:$A, $A157, Log!$B:$B, $B157, Log!$C:$C, $C157),""))</f>
        <v/>
      </c>
      <c r="O157" s="6" t="str">
        <f>IF(COUNTBLANK($A157:$E157)&gt;0, "", IFERROR(_xlfn.MAXIFS(Log!$G:$G, Log!$A:$A, $A157, Log!$B:$B, $B157, Log!$C:$C, $C157),""))</f>
        <v/>
      </c>
    </row>
    <row r="158" spans="1:15" ht="49.95" customHeight="1" x14ac:dyDescent="0.3">
      <c r="A158" s="103" t="str">
        <f t="shared" si="4"/>
        <v/>
      </c>
      <c r="B158" s="105"/>
      <c r="H158" s="7" t="str">
        <f>IF(COUNTBLANK($A158:$E158)&gt;0, "", IFERROR(AVERAGEIFS(Log!$E:$E, Log!$A:$A, $A158, Log!$B:$B, $B158, Log!$C:$C, $C158),""))</f>
        <v/>
      </c>
      <c r="I158" s="37" t="str">
        <f t="shared" si="5"/>
        <v/>
      </c>
      <c r="J158" s="6" t="str">
        <f>IF(COUNTBLANK($A158:$E158)&gt;0, "", IFERROR(AVERAGEIFS(Log!#REF!, Log!$A:$A, $A158, Log!$B:$B, $B158, Log!$C:$C, $C158),""))</f>
        <v/>
      </c>
      <c r="K158" s="6" t="str">
        <f>IF(COUNTBLANK($A158:$E158)&gt;0, "", IFERROR(_xlfn.MINIFS(Log!$F:$F, Log!$A:$A, $A158, Log!$B:$B, $B158, Log!$C:$C, $C158),""))</f>
        <v/>
      </c>
      <c r="L158" s="6" t="str">
        <f>IF(COUNTBLANK($A158:$E158)&gt;0, "", IFERROR(_xlfn.MAXIFS(Log!$F:$F, Log!$A:$A, $A158, Log!$B:$B, $B158, Log!$C:$C, $C158),""))</f>
        <v/>
      </c>
      <c r="M158" s="6" t="str">
        <f>IF(COUNTBLANK($A158:$E158)&gt;0, "", IFERROR(AVERAGEIFS(Log!#REF!, Log!$A:$A, $A158, Log!$B:$B, $B158, Log!$C:$C, $C158),""))</f>
        <v/>
      </c>
      <c r="N158" s="6" t="str">
        <f>IF(COUNTBLANK($A158:$E158)&gt;0, "", IFERROR(_xlfn.MINIFS(Log!$G:$G, Log!$A:$A, $A158, Log!$B:$B, $B158, Log!$C:$C, $C158),""))</f>
        <v/>
      </c>
      <c r="O158" s="6" t="str">
        <f>IF(COUNTBLANK($A158:$E158)&gt;0, "", IFERROR(_xlfn.MAXIFS(Log!$G:$G, Log!$A:$A, $A158, Log!$B:$B, $B158, Log!$C:$C, $C158),""))</f>
        <v/>
      </c>
    </row>
    <row r="159" spans="1:15" ht="49.95" customHeight="1" x14ac:dyDescent="0.3">
      <c r="A159" s="103" t="str">
        <f t="shared" si="4"/>
        <v/>
      </c>
      <c r="B159" s="105"/>
      <c r="H159" s="7" t="str">
        <f>IF(COUNTBLANK($A159:$E159)&gt;0, "", IFERROR(AVERAGEIFS(Log!$E:$E, Log!$A:$A, $A159, Log!$B:$B, $B159, Log!$C:$C, $C159),""))</f>
        <v/>
      </c>
      <c r="I159" s="37" t="str">
        <f t="shared" si="5"/>
        <v/>
      </c>
      <c r="J159" s="6" t="str">
        <f>IF(COUNTBLANK($A159:$E159)&gt;0, "", IFERROR(AVERAGEIFS(Log!#REF!, Log!$A:$A, $A159, Log!$B:$B, $B159, Log!$C:$C, $C159),""))</f>
        <v/>
      </c>
      <c r="K159" s="6" t="str">
        <f>IF(COUNTBLANK($A159:$E159)&gt;0, "", IFERROR(_xlfn.MINIFS(Log!$F:$F, Log!$A:$A, $A159, Log!$B:$B, $B159, Log!$C:$C, $C159),""))</f>
        <v/>
      </c>
      <c r="L159" s="6" t="str">
        <f>IF(COUNTBLANK($A159:$E159)&gt;0, "", IFERROR(_xlfn.MAXIFS(Log!$F:$F, Log!$A:$A, $A159, Log!$B:$B, $B159, Log!$C:$C, $C159),""))</f>
        <v/>
      </c>
      <c r="M159" s="6" t="str">
        <f>IF(COUNTBLANK($A159:$E159)&gt;0, "", IFERROR(AVERAGEIFS(Log!#REF!, Log!$A:$A, $A159, Log!$B:$B, $B159, Log!$C:$C, $C159),""))</f>
        <v/>
      </c>
      <c r="N159" s="6" t="str">
        <f>IF(COUNTBLANK($A159:$E159)&gt;0, "", IFERROR(_xlfn.MINIFS(Log!$G:$G, Log!$A:$A, $A159, Log!$B:$B, $B159, Log!$C:$C, $C159),""))</f>
        <v/>
      </c>
      <c r="O159" s="6" t="str">
        <f>IF(COUNTBLANK($A159:$E159)&gt;0, "", IFERROR(_xlfn.MAXIFS(Log!$G:$G, Log!$A:$A, $A159, Log!$B:$B, $B159, Log!$C:$C, $C159),""))</f>
        <v/>
      </c>
    </row>
    <row r="160" spans="1:15" ht="49.95" customHeight="1" x14ac:dyDescent="0.3">
      <c r="A160" s="103" t="str">
        <f t="shared" si="4"/>
        <v/>
      </c>
      <c r="B160" s="105"/>
      <c r="H160" s="7" t="str">
        <f>IF(COUNTBLANK($A160:$E160)&gt;0, "", IFERROR(AVERAGEIFS(Log!$E:$E, Log!$A:$A, $A160, Log!$B:$B, $B160, Log!$C:$C, $C160),""))</f>
        <v/>
      </c>
      <c r="I160" s="37" t="str">
        <f t="shared" si="5"/>
        <v/>
      </c>
      <c r="J160" s="6" t="str">
        <f>IF(COUNTBLANK($A160:$E160)&gt;0, "", IFERROR(AVERAGEIFS(Log!#REF!, Log!$A:$A, $A160, Log!$B:$B, $B160, Log!$C:$C, $C160),""))</f>
        <v/>
      </c>
      <c r="K160" s="6" t="str">
        <f>IF(COUNTBLANK($A160:$E160)&gt;0, "", IFERROR(_xlfn.MINIFS(Log!$F:$F, Log!$A:$A, $A160, Log!$B:$B, $B160, Log!$C:$C, $C160),""))</f>
        <v/>
      </c>
      <c r="L160" s="6" t="str">
        <f>IF(COUNTBLANK($A160:$E160)&gt;0, "", IFERROR(_xlfn.MAXIFS(Log!$F:$F, Log!$A:$A, $A160, Log!$B:$B, $B160, Log!$C:$C, $C160),""))</f>
        <v/>
      </c>
      <c r="M160" s="6" t="str">
        <f>IF(COUNTBLANK($A160:$E160)&gt;0, "", IFERROR(AVERAGEIFS(Log!#REF!, Log!$A:$A, $A160, Log!$B:$B, $B160, Log!$C:$C, $C160),""))</f>
        <v/>
      </c>
      <c r="N160" s="6" t="str">
        <f>IF(COUNTBLANK($A160:$E160)&gt;0, "", IFERROR(_xlfn.MINIFS(Log!$G:$G, Log!$A:$A, $A160, Log!$B:$B, $B160, Log!$C:$C, $C160),""))</f>
        <v/>
      </c>
      <c r="O160" s="6" t="str">
        <f>IF(COUNTBLANK($A160:$E160)&gt;0, "", IFERROR(_xlfn.MAXIFS(Log!$G:$G, Log!$A:$A, $A160, Log!$B:$B, $B160, Log!$C:$C, $C160),""))</f>
        <v/>
      </c>
    </row>
    <row r="161" spans="1:15" ht="49.95" customHeight="1" x14ac:dyDescent="0.3">
      <c r="A161" s="103" t="str">
        <f t="shared" si="4"/>
        <v/>
      </c>
      <c r="B161" s="105"/>
      <c r="H161" s="7" t="str">
        <f>IF(COUNTBLANK($A161:$E161)&gt;0, "", IFERROR(AVERAGEIFS(Log!$E:$E, Log!$A:$A, $A161, Log!$B:$B, $B161, Log!$C:$C, $C161),""))</f>
        <v/>
      </c>
      <c r="I161" s="37" t="str">
        <f t="shared" si="5"/>
        <v/>
      </c>
      <c r="J161" s="6" t="str">
        <f>IF(COUNTBLANK($A161:$E161)&gt;0, "", IFERROR(AVERAGEIFS(Log!#REF!, Log!$A:$A, $A161, Log!$B:$B, $B161, Log!$C:$C, $C161),""))</f>
        <v/>
      </c>
      <c r="K161" s="6" t="str">
        <f>IF(COUNTBLANK($A161:$E161)&gt;0, "", IFERROR(_xlfn.MINIFS(Log!$F:$F, Log!$A:$A, $A161, Log!$B:$B, $B161, Log!$C:$C, $C161),""))</f>
        <v/>
      </c>
      <c r="L161" s="6" t="str">
        <f>IF(COUNTBLANK($A161:$E161)&gt;0, "", IFERROR(_xlfn.MAXIFS(Log!$F:$F, Log!$A:$A, $A161, Log!$B:$B, $B161, Log!$C:$C, $C161),""))</f>
        <v/>
      </c>
      <c r="M161" s="6" t="str">
        <f>IF(COUNTBLANK($A161:$E161)&gt;0, "", IFERROR(AVERAGEIFS(Log!#REF!, Log!$A:$A, $A161, Log!$B:$B, $B161, Log!$C:$C, $C161),""))</f>
        <v/>
      </c>
      <c r="N161" s="6" t="str">
        <f>IF(COUNTBLANK($A161:$E161)&gt;0, "", IFERROR(_xlfn.MINIFS(Log!$G:$G, Log!$A:$A, $A161, Log!$B:$B, $B161, Log!$C:$C, $C161),""))</f>
        <v/>
      </c>
      <c r="O161" s="6" t="str">
        <f>IF(COUNTBLANK($A161:$E161)&gt;0, "", IFERROR(_xlfn.MAXIFS(Log!$G:$G, Log!$A:$A, $A161, Log!$B:$B, $B161, Log!$C:$C, $C161),""))</f>
        <v/>
      </c>
    </row>
    <row r="162" spans="1:15" ht="49.95" customHeight="1" x14ac:dyDescent="0.3">
      <c r="A162" s="103" t="str">
        <f t="shared" si="4"/>
        <v/>
      </c>
      <c r="B162" s="105"/>
      <c r="H162" s="7" t="str">
        <f>IF(COUNTBLANK($A162:$E162)&gt;0, "", IFERROR(AVERAGEIFS(Log!$E:$E, Log!$A:$A, $A162, Log!$B:$B, $B162, Log!$C:$C, $C162),""))</f>
        <v/>
      </c>
      <c r="I162" s="37" t="str">
        <f t="shared" si="5"/>
        <v/>
      </c>
      <c r="J162" s="6" t="str">
        <f>IF(COUNTBLANK($A162:$E162)&gt;0, "", IFERROR(AVERAGEIFS(Log!#REF!, Log!$A:$A, $A162, Log!$B:$B, $B162, Log!$C:$C, $C162),""))</f>
        <v/>
      </c>
      <c r="K162" s="6" t="str">
        <f>IF(COUNTBLANK($A162:$E162)&gt;0, "", IFERROR(_xlfn.MINIFS(Log!$F:$F, Log!$A:$A, $A162, Log!$B:$B, $B162, Log!$C:$C, $C162),""))</f>
        <v/>
      </c>
      <c r="L162" s="6" t="str">
        <f>IF(COUNTBLANK($A162:$E162)&gt;0, "", IFERROR(_xlfn.MAXIFS(Log!$F:$F, Log!$A:$A, $A162, Log!$B:$B, $B162, Log!$C:$C, $C162),""))</f>
        <v/>
      </c>
      <c r="M162" s="6" t="str">
        <f>IF(COUNTBLANK($A162:$E162)&gt;0, "", IFERROR(AVERAGEIFS(Log!#REF!, Log!$A:$A, $A162, Log!$B:$B, $B162, Log!$C:$C, $C162),""))</f>
        <v/>
      </c>
      <c r="N162" s="6" t="str">
        <f>IF(COUNTBLANK($A162:$E162)&gt;0, "", IFERROR(_xlfn.MINIFS(Log!$G:$G, Log!$A:$A, $A162, Log!$B:$B, $B162, Log!$C:$C, $C162),""))</f>
        <v/>
      </c>
      <c r="O162" s="6" t="str">
        <f>IF(COUNTBLANK($A162:$E162)&gt;0, "", IFERROR(_xlfn.MAXIFS(Log!$G:$G, Log!$A:$A, $A162, Log!$B:$B, $B162, Log!$C:$C, $C162),""))</f>
        <v/>
      </c>
    </row>
    <row r="163" spans="1:15" ht="49.95" customHeight="1" x14ac:dyDescent="0.3">
      <c r="A163" s="103" t="str">
        <f t="shared" si="4"/>
        <v/>
      </c>
      <c r="B163" s="105"/>
      <c r="H163" s="7" t="str">
        <f>IF(COUNTBLANK($A163:$E163)&gt;0, "", IFERROR(AVERAGEIFS(Log!$E:$E, Log!$A:$A, $A163, Log!$B:$B, $B163, Log!$C:$C, $C163),""))</f>
        <v/>
      </c>
      <c r="I163" s="37" t="str">
        <f t="shared" si="5"/>
        <v/>
      </c>
      <c r="J163" s="6" t="str">
        <f>IF(COUNTBLANK($A163:$E163)&gt;0, "", IFERROR(AVERAGEIFS(Log!#REF!, Log!$A:$A, $A163, Log!$B:$B, $B163, Log!$C:$C, $C163),""))</f>
        <v/>
      </c>
      <c r="K163" s="6" t="str">
        <f>IF(COUNTBLANK($A163:$E163)&gt;0, "", IFERROR(_xlfn.MINIFS(Log!$F:$F, Log!$A:$A, $A163, Log!$B:$B, $B163, Log!$C:$C, $C163),""))</f>
        <v/>
      </c>
      <c r="L163" s="6" t="str">
        <f>IF(COUNTBLANK($A163:$E163)&gt;0, "", IFERROR(_xlfn.MAXIFS(Log!$F:$F, Log!$A:$A, $A163, Log!$B:$B, $B163, Log!$C:$C, $C163),""))</f>
        <v/>
      </c>
      <c r="M163" s="6" t="str">
        <f>IF(COUNTBLANK($A163:$E163)&gt;0, "", IFERROR(AVERAGEIFS(Log!#REF!, Log!$A:$A, $A163, Log!$B:$B, $B163, Log!$C:$C, $C163),""))</f>
        <v/>
      </c>
      <c r="N163" s="6" t="str">
        <f>IF(COUNTBLANK($A163:$E163)&gt;0, "", IFERROR(_xlfn.MINIFS(Log!$G:$G, Log!$A:$A, $A163, Log!$B:$B, $B163, Log!$C:$C, $C163),""))</f>
        <v/>
      </c>
      <c r="O163" s="6" t="str">
        <f>IF(COUNTBLANK($A163:$E163)&gt;0, "", IFERROR(_xlfn.MAXIFS(Log!$G:$G, Log!$A:$A, $A163, Log!$B:$B, $B163, Log!$C:$C, $C163),""))</f>
        <v/>
      </c>
    </row>
    <row r="164" spans="1:15" ht="49.95" customHeight="1" x14ac:dyDescent="0.3">
      <c r="A164" s="103" t="str">
        <f t="shared" si="4"/>
        <v/>
      </c>
      <c r="B164" s="105"/>
      <c r="H164" s="7" t="str">
        <f>IF(COUNTBLANK($A164:$E164)&gt;0, "", IFERROR(AVERAGEIFS(Log!$E:$E, Log!$A:$A, $A164, Log!$B:$B, $B164, Log!$C:$C, $C164),""))</f>
        <v/>
      </c>
      <c r="I164" s="37" t="str">
        <f t="shared" si="5"/>
        <v/>
      </c>
      <c r="J164" s="6" t="str">
        <f>IF(COUNTBLANK($A164:$E164)&gt;0, "", IFERROR(AVERAGEIFS(Log!#REF!, Log!$A:$A, $A164, Log!$B:$B, $B164, Log!$C:$C, $C164),""))</f>
        <v/>
      </c>
      <c r="K164" s="6" t="str">
        <f>IF(COUNTBLANK($A164:$E164)&gt;0, "", IFERROR(_xlfn.MINIFS(Log!$F:$F, Log!$A:$A, $A164, Log!$B:$B, $B164, Log!$C:$C, $C164),""))</f>
        <v/>
      </c>
      <c r="L164" s="6" t="str">
        <f>IF(COUNTBLANK($A164:$E164)&gt;0, "", IFERROR(_xlfn.MAXIFS(Log!$F:$F, Log!$A:$A, $A164, Log!$B:$B, $B164, Log!$C:$C, $C164),""))</f>
        <v/>
      </c>
      <c r="M164" s="6" t="str">
        <f>IF(COUNTBLANK($A164:$E164)&gt;0, "", IFERROR(AVERAGEIFS(Log!#REF!, Log!$A:$A, $A164, Log!$B:$B, $B164, Log!$C:$C, $C164),""))</f>
        <v/>
      </c>
      <c r="N164" s="6" t="str">
        <f>IF(COUNTBLANK($A164:$E164)&gt;0, "", IFERROR(_xlfn.MINIFS(Log!$G:$G, Log!$A:$A, $A164, Log!$B:$B, $B164, Log!$C:$C, $C164),""))</f>
        <v/>
      </c>
      <c r="O164" s="6" t="str">
        <f>IF(COUNTBLANK($A164:$E164)&gt;0, "", IFERROR(_xlfn.MAXIFS(Log!$G:$G, Log!$A:$A, $A164, Log!$B:$B, $B164, Log!$C:$C, $C164),""))</f>
        <v/>
      </c>
    </row>
    <row r="165" spans="1:15" ht="49.95" customHeight="1" x14ac:dyDescent="0.3">
      <c r="A165" s="103" t="str">
        <f t="shared" si="4"/>
        <v/>
      </c>
      <c r="B165" s="105"/>
      <c r="H165" s="7" t="str">
        <f>IF(COUNTBLANK($A165:$E165)&gt;0, "", IFERROR(AVERAGEIFS(Log!$E:$E, Log!$A:$A, $A165, Log!$B:$B, $B165, Log!$C:$C, $C165),""))</f>
        <v/>
      </c>
      <c r="I165" s="37" t="str">
        <f t="shared" si="5"/>
        <v/>
      </c>
      <c r="J165" s="6" t="str">
        <f>IF(COUNTBLANK($A165:$E165)&gt;0, "", IFERROR(AVERAGEIFS(Log!#REF!, Log!$A:$A, $A165, Log!$B:$B, $B165, Log!$C:$C, $C165),""))</f>
        <v/>
      </c>
      <c r="K165" s="6" t="str">
        <f>IF(COUNTBLANK($A165:$E165)&gt;0, "", IFERROR(_xlfn.MINIFS(Log!$F:$F, Log!$A:$A, $A165, Log!$B:$B, $B165, Log!$C:$C, $C165),""))</f>
        <v/>
      </c>
      <c r="L165" s="6" t="str">
        <f>IF(COUNTBLANK($A165:$E165)&gt;0, "", IFERROR(_xlfn.MAXIFS(Log!$F:$F, Log!$A:$A, $A165, Log!$B:$B, $B165, Log!$C:$C, $C165),""))</f>
        <v/>
      </c>
      <c r="M165" s="6" t="str">
        <f>IF(COUNTBLANK($A165:$E165)&gt;0, "", IFERROR(AVERAGEIFS(Log!#REF!, Log!$A:$A, $A165, Log!$B:$B, $B165, Log!$C:$C, $C165),""))</f>
        <v/>
      </c>
      <c r="N165" s="6" t="str">
        <f>IF(COUNTBLANK($A165:$E165)&gt;0, "", IFERROR(_xlfn.MINIFS(Log!$G:$G, Log!$A:$A, $A165, Log!$B:$B, $B165, Log!$C:$C, $C165),""))</f>
        <v/>
      </c>
      <c r="O165" s="6" t="str">
        <f>IF(COUNTBLANK($A165:$E165)&gt;0, "", IFERROR(_xlfn.MAXIFS(Log!$G:$G, Log!$A:$A, $A165, Log!$B:$B, $B165, Log!$C:$C, $C165),""))</f>
        <v/>
      </c>
    </row>
    <row r="166" spans="1:15" ht="49.95" customHeight="1" x14ac:dyDescent="0.3">
      <c r="A166" s="103" t="str">
        <f t="shared" si="4"/>
        <v/>
      </c>
      <c r="B166" s="105"/>
      <c r="H166" s="7" t="str">
        <f>IF(COUNTBLANK($A166:$E166)&gt;0, "", IFERROR(AVERAGEIFS(Log!$E:$E, Log!$A:$A, $A166, Log!$B:$B, $B166, Log!$C:$C, $C166),""))</f>
        <v/>
      </c>
      <c r="I166" s="37" t="str">
        <f t="shared" si="5"/>
        <v/>
      </c>
      <c r="J166" s="6" t="str">
        <f>IF(COUNTBLANK($A166:$E166)&gt;0, "", IFERROR(AVERAGEIFS(Log!#REF!, Log!$A:$A, $A166, Log!$B:$B, $B166, Log!$C:$C, $C166),""))</f>
        <v/>
      </c>
      <c r="K166" s="6" t="str">
        <f>IF(COUNTBLANK($A166:$E166)&gt;0, "", IFERROR(_xlfn.MINIFS(Log!$F:$F, Log!$A:$A, $A166, Log!$B:$B, $B166, Log!$C:$C, $C166),""))</f>
        <v/>
      </c>
      <c r="L166" s="6" t="str">
        <f>IF(COUNTBLANK($A166:$E166)&gt;0, "", IFERROR(_xlfn.MAXIFS(Log!$F:$F, Log!$A:$A, $A166, Log!$B:$B, $B166, Log!$C:$C, $C166),""))</f>
        <v/>
      </c>
      <c r="M166" s="6" t="str">
        <f>IF(COUNTBLANK($A166:$E166)&gt;0, "", IFERROR(AVERAGEIFS(Log!#REF!, Log!$A:$A, $A166, Log!$B:$B, $B166, Log!$C:$C, $C166),""))</f>
        <v/>
      </c>
      <c r="N166" s="6" t="str">
        <f>IF(COUNTBLANK($A166:$E166)&gt;0, "", IFERROR(_xlfn.MINIFS(Log!$G:$G, Log!$A:$A, $A166, Log!$B:$B, $B166, Log!$C:$C, $C166),""))</f>
        <v/>
      </c>
      <c r="O166" s="6" t="str">
        <f>IF(COUNTBLANK($A166:$E166)&gt;0, "", IFERROR(_xlfn.MAXIFS(Log!$G:$G, Log!$A:$A, $A166, Log!$B:$B, $B166, Log!$C:$C, $C166),""))</f>
        <v/>
      </c>
    </row>
    <row r="167" spans="1:15" ht="49.95" customHeight="1" x14ac:dyDescent="0.3">
      <c r="A167" s="103" t="str">
        <f t="shared" si="4"/>
        <v/>
      </c>
      <c r="B167" s="105"/>
      <c r="H167" s="7" t="str">
        <f>IF(COUNTBLANK($A167:$E167)&gt;0, "", IFERROR(AVERAGEIFS(Log!$E:$E, Log!$A:$A, $A167, Log!$B:$B, $B167, Log!$C:$C, $C167),""))</f>
        <v/>
      </c>
      <c r="I167" s="37" t="str">
        <f t="shared" si="5"/>
        <v/>
      </c>
      <c r="J167" s="6" t="str">
        <f>IF(COUNTBLANK($A167:$E167)&gt;0, "", IFERROR(AVERAGEIFS(Log!#REF!, Log!$A:$A, $A167, Log!$B:$B, $B167, Log!$C:$C, $C167),""))</f>
        <v/>
      </c>
      <c r="K167" s="6" t="str">
        <f>IF(COUNTBLANK($A167:$E167)&gt;0, "", IFERROR(_xlfn.MINIFS(Log!$F:$F, Log!$A:$A, $A167, Log!$B:$B, $B167, Log!$C:$C, $C167),""))</f>
        <v/>
      </c>
      <c r="L167" s="6" t="str">
        <f>IF(COUNTBLANK($A167:$E167)&gt;0, "", IFERROR(_xlfn.MAXIFS(Log!$F:$F, Log!$A:$A, $A167, Log!$B:$B, $B167, Log!$C:$C, $C167),""))</f>
        <v/>
      </c>
      <c r="M167" s="6" t="str">
        <f>IF(COUNTBLANK($A167:$E167)&gt;0, "", IFERROR(AVERAGEIFS(Log!#REF!, Log!$A:$A, $A167, Log!$B:$B, $B167, Log!$C:$C, $C167),""))</f>
        <v/>
      </c>
      <c r="N167" s="6" t="str">
        <f>IF(COUNTBLANK($A167:$E167)&gt;0, "", IFERROR(_xlfn.MINIFS(Log!$G:$G, Log!$A:$A, $A167, Log!$B:$B, $B167, Log!$C:$C, $C167),""))</f>
        <v/>
      </c>
      <c r="O167" s="6" t="str">
        <f>IF(COUNTBLANK($A167:$E167)&gt;0, "", IFERROR(_xlfn.MAXIFS(Log!$G:$G, Log!$A:$A, $A167, Log!$B:$B, $B167, Log!$C:$C, $C167),""))</f>
        <v/>
      </c>
    </row>
    <row r="168" spans="1:15" ht="49.95" customHeight="1" x14ac:dyDescent="0.3">
      <c r="A168" s="103" t="str">
        <f t="shared" si="4"/>
        <v/>
      </c>
      <c r="B168" s="105"/>
      <c r="H168" s="7" t="str">
        <f>IF(COUNTBLANK($A168:$E168)&gt;0, "", IFERROR(AVERAGEIFS(Log!$E:$E, Log!$A:$A, $A168, Log!$B:$B, $B168, Log!$C:$C, $C168),""))</f>
        <v/>
      </c>
      <c r="I168" s="37" t="str">
        <f t="shared" si="5"/>
        <v/>
      </c>
      <c r="J168" s="6" t="str">
        <f>IF(COUNTBLANK($A168:$E168)&gt;0, "", IFERROR(AVERAGEIFS(Log!#REF!, Log!$A:$A, $A168, Log!$B:$B, $B168, Log!$C:$C, $C168),""))</f>
        <v/>
      </c>
      <c r="K168" s="6" t="str">
        <f>IF(COUNTBLANK($A168:$E168)&gt;0, "", IFERROR(_xlfn.MINIFS(Log!$F:$F, Log!$A:$A, $A168, Log!$B:$B, $B168, Log!$C:$C, $C168),""))</f>
        <v/>
      </c>
      <c r="L168" s="6" t="str">
        <f>IF(COUNTBLANK($A168:$E168)&gt;0, "", IFERROR(_xlfn.MAXIFS(Log!$F:$F, Log!$A:$A, $A168, Log!$B:$B, $B168, Log!$C:$C, $C168),""))</f>
        <v/>
      </c>
      <c r="M168" s="6" t="str">
        <f>IF(COUNTBLANK($A168:$E168)&gt;0, "", IFERROR(AVERAGEIFS(Log!#REF!, Log!$A:$A, $A168, Log!$B:$B, $B168, Log!$C:$C, $C168),""))</f>
        <v/>
      </c>
      <c r="N168" s="6" t="str">
        <f>IF(COUNTBLANK($A168:$E168)&gt;0, "", IFERROR(_xlfn.MINIFS(Log!$G:$G, Log!$A:$A, $A168, Log!$B:$B, $B168, Log!$C:$C, $C168),""))</f>
        <v/>
      </c>
      <c r="O168" s="6" t="str">
        <f>IF(COUNTBLANK($A168:$E168)&gt;0, "", IFERROR(_xlfn.MAXIFS(Log!$G:$G, Log!$A:$A, $A168, Log!$B:$B, $B168, Log!$C:$C, $C168),""))</f>
        <v/>
      </c>
    </row>
    <row r="169" spans="1:15" ht="49.95" customHeight="1" x14ac:dyDescent="0.3">
      <c r="A169" s="103" t="str">
        <f t="shared" si="4"/>
        <v/>
      </c>
      <c r="B169" s="105"/>
      <c r="H169" s="7" t="str">
        <f>IF(COUNTBLANK($A169:$E169)&gt;0, "", IFERROR(AVERAGEIFS(Log!$E:$E, Log!$A:$A, $A169, Log!$B:$B, $B169, Log!$C:$C, $C169),""))</f>
        <v/>
      </c>
      <c r="I169" s="37" t="str">
        <f t="shared" si="5"/>
        <v/>
      </c>
      <c r="J169" s="6" t="str">
        <f>IF(COUNTBLANK($A169:$E169)&gt;0, "", IFERROR(AVERAGEIFS(Log!#REF!, Log!$A:$A, $A169, Log!$B:$B, $B169, Log!$C:$C, $C169),""))</f>
        <v/>
      </c>
      <c r="K169" s="6" t="str">
        <f>IF(COUNTBLANK($A169:$E169)&gt;0, "", IFERROR(_xlfn.MINIFS(Log!$F:$F, Log!$A:$A, $A169, Log!$B:$B, $B169, Log!$C:$C, $C169),""))</f>
        <v/>
      </c>
      <c r="L169" s="6" t="str">
        <f>IF(COUNTBLANK($A169:$E169)&gt;0, "", IFERROR(_xlfn.MAXIFS(Log!$F:$F, Log!$A:$A, $A169, Log!$B:$B, $B169, Log!$C:$C, $C169),""))</f>
        <v/>
      </c>
      <c r="M169" s="6" t="str">
        <f>IF(COUNTBLANK($A169:$E169)&gt;0, "", IFERROR(AVERAGEIFS(Log!#REF!, Log!$A:$A, $A169, Log!$B:$B, $B169, Log!$C:$C, $C169),""))</f>
        <v/>
      </c>
      <c r="N169" s="6" t="str">
        <f>IF(COUNTBLANK($A169:$E169)&gt;0, "", IFERROR(_xlfn.MINIFS(Log!$G:$G, Log!$A:$A, $A169, Log!$B:$B, $B169, Log!$C:$C, $C169),""))</f>
        <v/>
      </c>
      <c r="O169" s="6" t="str">
        <f>IF(COUNTBLANK($A169:$E169)&gt;0, "", IFERROR(_xlfn.MAXIFS(Log!$G:$G, Log!$A:$A, $A169, Log!$B:$B, $B169, Log!$C:$C, $C169),""))</f>
        <v/>
      </c>
    </row>
    <row r="170" spans="1:15" ht="49.95" customHeight="1" x14ac:dyDescent="0.3">
      <c r="A170" s="103" t="str">
        <f t="shared" si="4"/>
        <v/>
      </c>
      <c r="B170" s="105"/>
      <c r="H170" s="7" t="str">
        <f>IF(COUNTBLANK($A170:$E170)&gt;0, "", IFERROR(AVERAGEIFS(Log!$E:$E, Log!$A:$A, $A170, Log!$B:$B, $B170, Log!$C:$C, $C170),""))</f>
        <v/>
      </c>
      <c r="I170" s="37" t="str">
        <f t="shared" si="5"/>
        <v/>
      </c>
      <c r="J170" s="6" t="str">
        <f>IF(COUNTBLANK($A170:$E170)&gt;0, "", IFERROR(AVERAGEIFS(Log!#REF!, Log!$A:$A, $A170, Log!$B:$B, $B170, Log!$C:$C, $C170),""))</f>
        <v/>
      </c>
      <c r="K170" s="6" t="str">
        <f>IF(COUNTBLANK($A170:$E170)&gt;0, "", IFERROR(_xlfn.MINIFS(Log!$F:$F, Log!$A:$A, $A170, Log!$B:$B, $B170, Log!$C:$C, $C170),""))</f>
        <v/>
      </c>
      <c r="L170" s="6" t="str">
        <f>IF(COUNTBLANK($A170:$E170)&gt;0, "", IFERROR(_xlfn.MAXIFS(Log!$F:$F, Log!$A:$A, $A170, Log!$B:$B, $B170, Log!$C:$C, $C170),""))</f>
        <v/>
      </c>
      <c r="M170" s="6" t="str">
        <f>IF(COUNTBLANK($A170:$E170)&gt;0, "", IFERROR(AVERAGEIFS(Log!#REF!, Log!$A:$A, $A170, Log!$B:$B, $B170, Log!$C:$C, $C170),""))</f>
        <v/>
      </c>
      <c r="N170" s="6" t="str">
        <f>IF(COUNTBLANK($A170:$E170)&gt;0, "", IFERROR(_xlfn.MINIFS(Log!$G:$G, Log!$A:$A, $A170, Log!$B:$B, $B170, Log!$C:$C, $C170),""))</f>
        <v/>
      </c>
      <c r="O170" s="6" t="str">
        <f>IF(COUNTBLANK($A170:$E170)&gt;0, "", IFERROR(_xlfn.MAXIFS(Log!$G:$G, Log!$A:$A, $A170, Log!$B:$B, $B170, Log!$C:$C, $C170),""))</f>
        <v/>
      </c>
    </row>
    <row r="171" spans="1:15" ht="49.95" customHeight="1" x14ac:dyDescent="0.3">
      <c r="A171" s="103" t="str">
        <f t="shared" si="4"/>
        <v/>
      </c>
      <c r="B171" s="105"/>
      <c r="H171" s="7" t="str">
        <f>IF(COUNTBLANK($A171:$E171)&gt;0, "", IFERROR(AVERAGEIFS(Log!$E:$E, Log!$A:$A, $A171, Log!$B:$B, $B171, Log!$C:$C, $C171),""))</f>
        <v/>
      </c>
      <c r="I171" s="37" t="str">
        <f t="shared" si="5"/>
        <v/>
      </c>
      <c r="J171" s="6" t="str">
        <f>IF(COUNTBLANK($A171:$E171)&gt;0, "", IFERROR(AVERAGEIFS(Log!#REF!, Log!$A:$A, $A171, Log!$B:$B, $B171, Log!$C:$C, $C171),""))</f>
        <v/>
      </c>
      <c r="K171" s="6" t="str">
        <f>IF(COUNTBLANK($A171:$E171)&gt;0, "", IFERROR(_xlfn.MINIFS(Log!$F:$F, Log!$A:$A, $A171, Log!$B:$B, $B171, Log!$C:$C, $C171),""))</f>
        <v/>
      </c>
      <c r="L171" s="6" t="str">
        <f>IF(COUNTBLANK($A171:$E171)&gt;0, "", IFERROR(_xlfn.MAXIFS(Log!$F:$F, Log!$A:$A, $A171, Log!$B:$B, $B171, Log!$C:$C, $C171),""))</f>
        <v/>
      </c>
      <c r="M171" s="6" t="str">
        <f>IF(COUNTBLANK($A171:$E171)&gt;0, "", IFERROR(AVERAGEIFS(Log!#REF!, Log!$A:$A, $A171, Log!$B:$B, $B171, Log!$C:$C, $C171),""))</f>
        <v/>
      </c>
      <c r="N171" s="6" t="str">
        <f>IF(COUNTBLANK($A171:$E171)&gt;0, "", IFERROR(_xlfn.MINIFS(Log!$G:$G, Log!$A:$A, $A171, Log!$B:$B, $B171, Log!$C:$C, $C171),""))</f>
        <v/>
      </c>
      <c r="O171" s="6" t="str">
        <f>IF(COUNTBLANK($A171:$E171)&gt;0, "", IFERROR(_xlfn.MAXIFS(Log!$G:$G, Log!$A:$A, $A171, Log!$B:$B, $B171, Log!$C:$C, $C171),""))</f>
        <v/>
      </c>
    </row>
    <row r="172" spans="1:15" ht="49.95" customHeight="1" x14ac:dyDescent="0.3">
      <c r="A172" s="103" t="str">
        <f t="shared" si="4"/>
        <v/>
      </c>
      <c r="B172" s="105"/>
      <c r="H172" s="7" t="str">
        <f>IF(COUNTBLANK($A172:$E172)&gt;0, "", IFERROR(AVERAGEIFS(Log!$E:$E, Log!$A:$A, $A172, Log!$B:$B, $B172, Log!$C:$C, $C172),""))</f>
        <v/>
      </c>
      <c r="I172" s="37" t="str">
        <f t="shared" si="5"/>
        <v/>
      </c>
      <c r="J172" s="6" t="str">
        <f>IF(COUNTBLANK($A172:$E172)&gt;0, "", IFERROR(AVERAGEIFS(Log!#REF!, Log!$A:$A, $A172, Log!$B:$B, $B172, Log!$C:$C, $C172),""))</f>
        <v/>
      </c>
      <c r="K172" s="6" t="str">
        <f>IF(COUNTBLANK($A172:$E172)&gt;0, "", IFERROR(_xlfn.MINIFS(Log!$F:$F, Log!$A:$A, $A172, Log!$B:$B, $B172, Log!$C:$C, $C172),""))</f>
        <v/>
      </c>
      <c r="L172" s="6" t="str">
        <f>IF(COUNTBLANK($A172:$E172)&gt;0, "", IFERROR(_xlfn.MAXIFS(Log!$F:$F, Log!$A:$A, $A172, Log!$B:$B, $B172, Log!$C:$C, $C172),""))</f>
        <v/>
      </c>
      <c r="M172" s="6" t="str">
        <f>IF(COUNTBLANK($A172:$E172)&gt;0, "", IFERROR(AVERAGEIFS(Log!#REF!, Log!$A:$A, $A172, Log!$B:$B, $B172, Log!$C:$C, $C172),""))</f>
        <v/>
      </c>
      <c r="N172" s="6" t="str">
        <f>IF(COUNTBLANK($A172:$E172)&gt;0, "", IFERROR(_xlfn.MINIFS(Log!$G:$G, Log!$A:$A, $A172, Log!$B:$B, $B172, Log!$C:$C, $C172),""))</f>
        <v/>
      </c>
      <c r="O172" s="6" t="str">
        <f>IF(COUNTBLANK($A172:$E172)&gt;0, "", IFERROR(_xlfn.MAXIFS(Log!$G:$G, Log!$A:$A, $A172, Log!$B:$B, $B172, Log!$C:$C, $C172),""))</f>
        <v/>
      </c>
    </row>
    <row r="173" spans="1:15" ht="49.95" customHeight="1" x14ac:dyDescent="0.3">
      <c r="A173" s="103" t="str">
        <f t="shared" si="4"/>
        <v/>
      </c>
      <c r="B173" s="105"/>
      <c r="H173" s="7" t="str">
        <f>IF(COUNTBLANK($A173:$E173)&gt;0, "", IFERROR(AVERAGEIFS(Log!$E:$E, Log!$A:$A, $A173, Log!$B:$B, $B173, Log!$C:$C, $C173),""))</f>
        <v/>
      </c>
      <c r="I173" s="37" t="str">
        <f t="shared" si="5"/>
        <v/>
      </c>
      <c r="J173" s="6" t="str">
        <f>IF(COUNTBLANK($A173:$E173)&gt;0, "", IFERROR(AVERAGEIFS(Log!#REF!, Log!$A:$A, $A173, Log!$B:$B, $B173, Log!$C:$C, $C173),""))</f>
        <v/>
      </c>
      <c r="K173" s="6" t="str">
        <f>IF(COUNTBLANK($A173:$E173)&gt;0, "", IFERROR(_xlfn.MINIFS(Log!$F:$F, Log!$A:$A, $A173, Log!$B:$B, $B173, Log!$C:$C, $C173),""))</f>
        <v/>
      </c>
      <c r="L173" s="6" t="str">
        <f>IF(COUNTBLANK($A173:$E173)&gt;0, "", IFERROR(_xlfn.MAXIFS(Log!$F:$F, Log!$A:$A, $A173, Log!$B:$B, $B173, Log!$C:$C, $C173),""))</f>
        <v/>
      </c>
      <c r="M173" s="6" t="str">
        <f>IF(COUNTBLANK($A173:$E173)&gt;0, "", IFERROR(AVERAGEIFS(Log!#REF!, Log!$A:$A, $A173, Log!$B:$B, $B173, Log!$C:$C, $C173),""))</f>
        <v/>
      </c>
      <c r="N173" s="6" t="str">
        <f>IF(COUNTBLANK($A173:$E173)&gt;0, "", IFERROR(_xlfn.MINIFS(Log!$G:$G, Log!$A:$A, $A173, Log!$B:$B, $B173, Log!$C:$C, $C173),""))</f>
        <v/>
      </c>
      <c r="O173" s="6" t="str">
        <f>IF(COUNTBLANK($A173:$E173)&gt;0, "", IFERROR(_xlfn.MAXIFS(Log!$G:$G, Log!$A:$A, $A173, Log!$B:$B, $B173, Log!$C:$C, $C173),""))</f>
        <v/>
      </c>
    </row>
    <row r="174" spans="1:15" ht="49.95" customHeight="1" x14ac:dyDescent="0.3">
      <c r="A174" s="103" t="str">
        <f t="shared" si="4"/>
        <v/>
      </c>
      <c r="B174" s="105"/>
      <c r="H174" s="7" t="str">
        <f>IF(COUNTBLANK($A174:$E174)&gt;0, "", IFERROR(AVERAGEIFS(Log!$E:$E, Log!$A:$A, $A174, Log!$B:$B, $B174, Log!$C:$C, $C174),""))</f>
        <v/>
      </c>
      <c r="I174" s="37" t="str">
        <f t="shared" si="5"/>
        <v/>
      </c>
      <c r="J174" s="6" t="str">
        <f>IF(COUNTBLANK($A174:$E174)&gt;0, "", IFERROR(AVERAGEIFS(Log!#REF!, Log!$A:$A, $A174, Log!$B:$B, $B174, Log!$C:$C, $C174),""))</f>
        <v/>
      </c>
      <c r="K174" s="6" t="str">
        <f>IF(COUNTBLANK($A174:$E174)&gt;0, "", IFERROR(_xlfn.MINIFS(Log!$F:$F, Log!$A:$A, $A174, Log!$B:$B, $B174, Log!$C:$C, $C174),""))</f>
        <v/>
      </c>
      <c r="L174" s="6" t="str">
        <f>IF(COUNTBLANK($A174:$E174)&gt;0, "", IFERROR(_xlfn.MAXIFS(Log!$F:$F, Log!$A:$A, $A174, Log!$B:$B, $B174, Log!$C:$C, $C174),""))</f>
        <v/>
      </c>
      <c r="M174" s="6" t="str">
        <f>IF(COUNTBLANK($A174:$E174)&gt;0, "", IFERROR(AVERAGEIFS(Log!#REF!, Log!$A:$A, $A174, Log!$B:$B, $B174, Log!$C:$C, $C174),""))</f>
        <v/>
      </c>
      <c r="N174" s="6" t="str">
        <f>IF(COUNTBLANK($A174:$E174)&gt;0, "", IFERROR(_xlfn.MINIFS(Log!$G:$G, Log!$A:$A, $A174, Log!$B:$B, $B174, Log!$C:$C, $C174),""))</f>
        <v/>
      </c>
      <c r="O174" s="6" t="str">
        <f>IF(COUNTBLANK($A174:$E174)&gt;0, "", IFERROR(_xlfn.MAXIFS(Log!$G:$G, Log!$A:$A, $A174, Log!$B:$B, $B174, Log!$C:$C, $C174),""))</f>
        <v/>
      </c>
    </row>
    <row r="175" spans="1:15" ht="49.95" customHeight="1" x14ac:dyDescent="0.3">
      <c r="A175" s="103" t="str">
        <f t="shared" si="4"/>
        <v/>
      </c>
      <c r="B175" s="105"/>
      <c r="H175" s="7" t="str">
        <f>IF(COUNTBLANK($A175:$E175)&gt;0, "", IFERROR(AVERAGEIFS(Log!$E:$E, Log!$A:$A, $A175, Log!$B:$B, $B175, Log!$C:$C, $C175),""))</f>
        <v/>
      </c>
      <c r="I175" s="37" t="str">
        <f t="shared" si="5"/>
        <v/>
      </c>
      <c r="J175" s="6" t="str">
        <f>IF(COUNTBLANK($A175:$E175)&gt;0, "", IFERROR(AVERAGEIFS(Log!#REF!, Log!$A:$A, $A175, Log!$B:$B, $B175, Log!$C:$C, $C175),""))</f>
        <v/>
      </c>
      <c r="K175" s="6" t="str">
        <f>IF(COUNTBLANK($A175:$E175)&gt;0, "", IFERROR(_xlfn.MINIFS(Log!$F:$F, Log!$A:$A, $A175, Log!$B:$B, $B175, Log!$C:$C, $C175),""))</f>
        <v/>
      </c>
      <c r="L175" s="6" t="str">
        <f>IF(COUNTBLANK($A175:$E175)&gt;0, "", IFERROR(_xlfn.MAXIFS(Log!$F:$F, Log!$A:$A, $A175, Log!$B:$B, $B175, Log!$C:$C, $C175),""))</f>
        <v/>
      </c>
      <c r="M175" s="6" t="str">
        <f>IF(COUNTBLANK($A175:$E175)&gt;0, "", IFERROR(AVERAGEIFS(Log!#REF!, Log!$A:$A, $A175, Log!$B:$B, $B175, Log!$C:$C, $C175),""))</f>
        <v/>
      </c>
      <c r="N175" s="6" t="str">
        <f>IF(COUNTBLANK($A175:$E175)&gt;0, "", IFERROR(_xlfn.MINIFS(Log!$G:$G, Log!$A:$A, $A175, Log!$B:$B, $B175, Log!$C:$C, $C175),""))</f>
        <v/>
      </c>
      <c r="O175" s="6" t="str">
        <f>IF(COUNTBLANK($A175:$E175)&gt;0, "", IFERROR(_xlfn.MAXIFS(Log!$G:$G, Log!$A:$A, $A175, Log!$B:$B, $B175, Log!$C:$C, $C175),""))</f>
        <v/>
      </c>
    </row>
    <row r="176" spans="1:15" ht="49.95" customHeight="1" x14ac:dyDescent="0.3">
      <c r="A176" s="103" t="str">
        <f t="shared" si="4"/>
        <v/>
      </c>
      <c r="B176" s="105"/>
      <c r="H176" s="7" t="str">
        <f>IF(COUNTBLANK($A176:$E176)&gt;0, "", IFERROR(AVERAGEIFS(Log!$E:$E, Log!$A:$A, $A176, Log!$B:$B, $B176, Log!$C:$C, $C176),""))</f>
        <v/>
      </c>
      <c r="I176" s="37" t="str">
        <f t="shared" si="5"/>
        <v/>
      </c>
      <c r="J176" s="6" t="str">
        <f>IF(COUNTBLANK($A176:$E176)&gt;0, "", IFERROR(AVERAGEIFS(Log!#REF!, Log!$A:$A, $A176, Log!$B:$B, $B176, Log!$C:$C, $C176),""))</f>
        <v/>
      </c>
      <c r="K176" s="6" t="str">
        <f>IF(COUNTBLANK($A176:$E176)&gt;0, "", IFERROR(_xlfn.MINIFS(Log!$F:$F, Log!$A:$A, $A176, Log!$B:$B, $B176, Log!$C:$C, $C176),""))</f>
        <v/>
      </c>
      <c r="L176" s="6" t="str">
        <f>IF(COUNTBLANK($A176:$E176)&gt;0, "", IFERROR(_xlfn.MAXIFS(Log!$F:$F, Log!$A:$A, $A176, Log!$B:$B, $B176, Log!$C:$C, $C176),""))</f>
        <v/>
      </c>
      <c r="M176" s="6" t="str">
        <f>IF(COUNTBLANK($A176:$E176)&gt;0, "", IFERROR(AVERAGEIFS(Log!#REF!, Log!$A:$A, $A176, Log!$B:$B, $B176, Log!$C:$C, $C176),""))</f>
        <v/>
      </c>
      <c r="N176" s="6" t="str">
        <f>IF(COUNTBLANK($A176:$E176)&gt;0, "", IFERROR(_xlfn.MINIFS(Log!$G:$G, Log!$A:$A, $A176, Log!$B:$B, $B176, Log!$C:$C, $C176),""))</f>
        <v/>
      </c>
      <c r="O176" s="6" t="str">
        <f>IF(COUNTBLANK($A176:$E176)&gt;0, "", IFERROR(_xlfn.MAXIFS(Log!$G:$G, Log!$A:$A, $A176, Log!$B:$B, $B176, Log!$C:$C, $C176),""))</f>
        <v/>
      </c>
    </row>
    <row r="177" spans="1:15" ht="49.95" customHeight="1" x14ac:dyDescent="0.3">
      <c r="A177" s="103" t="str">
        <f t="shared" si="4"/>
        <v/>
      </c>
      <c r="B177" s="105"/>
      <c r="H177" s="7" t="str">
        <f>IF(COUNTBLANK($A177:$E177)&gt;0, "", IFERROR(AVERAGEIFS(Log!$E:$E, Log!$A:$A, $A177, Log!$B:$B, $B177, Log!$C:$C, $C177),""))</f>
        <v/>
      </c>
      <c r="I177" s="37" t="str">
        <f t="shared" si="5"/>
        <v/>
      </c>
      <c r="J177" s="6" t="str">
        <f>IF(COUNTBLANK($A177:$E177)&gt;0, "", IFERROR(AVERAGEIFS(Log!#REF!, Log!$A:$A, $A177, Log!$B:$B, $B177, Log!$C:$C, $C177),""))</f>
        <v/>
      </c>
      <c r="K177" s="6" t="str">
        <f>IF(COUNTBLANK($A177:$E177)&gt;0, "", IFERROR(_xlfn.MINIFS(Log!$F:$F, Log!$A:$A, $A177, Log!$B:$B, $B177, Log!$C:$C, $C177),""))</f>
        <v/>
      </c>
      <c r="L177" s="6" t="str">
        <f>IF(COUNTBLANK($A177:$E177)&gt;0, "", IFERROR(_xlfn.MAXIFS(Log!$F:$F, Log!$A:$A, $A177, Log!$B:$B, $B177, Log!$C:$C, $C177),""))</f>
        <v/>
      </c>
      <c r="M177" s="6" t="str">
        <f>IF(COUNTBLANK($A177:$E177)&gt;0, "", IFERROR(AVERAGEIFS(Log!#REF!, Log!$A:$A, $A177, Log!$B:$B, $B177, Log!$C:$C, $C177),""))</f>
        <v/>
      </c>
      <c r="N177" s="6" t="str">
        <f>IF(COUNTBLANK($A177:$E177)&gt;0, "", IFERROR(_xlfn.MINIFS(Log!$G:$G, Log!$A:$A, $A177, Log!$B:$B, $B177, Log!$C:$C, $C177),""))</f>
        <v/>
      </c>
      <c r="O177" s="6" t="str">
        <f>IF(COUNTBLANK($A177:$E177)&gt;0, "", IFERROR(_xlfn.MAXIFS(Log!$G:$G, Log!$A:$A, $A177, Log!$B:$B, $B177, Log!$C:$C, $C177),""))</f>
        <v/>
      </c>
    </row>
    <row r="178" spans="1:15" ht="49.95" customHeight="1" x14ac:dyDescent="0.3">
      <c r="A178" s="103" t="str">
        <f t="shared" si="4"/>
        <v/>
      </c>
      <c r="B178" s="105"/>
      <c r="H178" s="7" t="str">
        <f>IF(COUNTBLANK($A178:$E178)&gt;0, "", IFERROR(AVERAGEIFS(Log!$E:$E, Log!$A:$A, $A178, Log!$B:$B, $B178, Log!$C:$C, $C178),""))</f>
        <v/>
      </c>
      <c r="I178" s="37" t="str">
        <f t="shared" si="5"/>
        <v/>
      </c>
      <c r="J178" s="6" t="str">
        <f>IF(COUNTBLANK($A178:$E178)&gt;0, "", IFERROR(AVERAGEIFS(Log!#REF!, Log!$A:$A, $A178, Log!$B:$B, $B178, Log!$C:$C, $C178),""))</f>
        <v/>
      </c>
      <c r="K178" s="6" t="str">
        <f>IF(COUNTBLANK($A178:$E178)&gt;0, "", IFERROR(_xlfn.MINIFS(Log!$F:$F, Log!$A:$A, $A178, Log!$B:$B, $B178, Log!$C:$C, $C178),""))</f>
        <v/>
      </c>
      <c r="L178" s="6" t="str">
        <f>IF(COUNTBLANK($A178:$E178)&gt;0, "", IFERROR(_xlfn.MAXIFS(Log!$F:$F, Log!$A:$A, $A178, Log!$B:$B, $B178, Log!$C:$C, $C178),""))</f>
        <v/>
      </c>
      <c r="M178" s="6" t="str">
        <f>IF(COUNTBLANK($A178:$E178)&gt;0, "", IFERROR(AVERAGEIFS(Log!#REF!, Log!$A:$A, $A178, Log!$B:$B, $B178, Log!$C:$C, $C178),""))</f>
        <v/>
      </c>
      <c r="N178" s="6" t="str">
        <f>IF(COUNTBLANK($A178:$E178)&gt;0, "", IFERROR(_xlfn.MINIFS(Log!$G:$G, Log!$A:$A, $A178, Log!$B:$B, $B178, Log!$C:$C, $C178),""))</f>
        <v/>
      </c>
      <c r="O178" s="6" t="str">
        <f>IF(COUNTBLANK($A178:$E178)&gt;0, "", IFERROR(_xlfn.MAXIFS(Log!$G:$G, Log!$A:$A, $A178, Log!$B:$B, $B178, Log!$C:$C, $C178),""))</f>
        <v/>
      </c>
    </row>
    <row r="179" spans="1:15" ht="49.95" customHeight="1" x14ac:dyDescent="0.3">
      <c r="A179" s="103" t="str">
        <f t="shared" si="4"/>
        <v/>
      </c>
      <c r="B179" s="105"/>
      <c r="H179" s="7" t="str">
        <f>IF(COUNTBLANK($A179:$E179)&gt;0, "", IFERROR(AVERAGEIFS(Log!$E:$E, Log!$A:$A, $A179, Log!$B:$B, $B179, Log!$C:$C, $C179),""))</f>
        <v/>
      </c>
      <c r="I179" s="37" t="str">
        <f t="shared" si="5"/>
        <v/>
      </c>
      <c r="J179" s="6" t="str">
        <f>IF(COUNTBLANK($A179:$E179)&gt;0, "", IFERROR(AVERAGEIFS(Log!#REF!, Log!$A:$A, $A179, Log!$B:$B, $B179, Log!$C:$C, $C179),""))</f>
        <v/>
      </c>
      <c r="K179" s="6" t="str">
        <f>IF(COUNTBLANK($A179:$E179)&gt;0, "", IFERROR(_xlfn.MINIFS(Log!$F:$F, Log!$A:$A, $A179, Log!$B:$B, $B179, Log!$C:$C, $C179),""))</f>
        <v/>
      </c>
      <c r="L179" s="6" t="str">
        <f>IF(COUNTBLANK($A179:$E179)&gt;0, "", IFERROR(_xlfn.MAXIFS(Log!$F:$F, Log!$A:$A, $A179, Log!$B:$B, $B179, Log!$C:$C, $C179),""))</f>
        <v/>
      </c>
      <c r="M179" s="6" t="str">
        <f>IF(COUNTBLANK($A179:$E179)&gt;0, "", IFERROR(AVERAGEIFS(Log!#REF!, Log!$A:$A, $A179, Log!$B:$B, $B179, Log!$C:$C, $C179),""))</f>
        <v/>
      </c>
      <c r="N179" s="6" t="str">
        <f>IF(COUNTBLANK($A179:$E179)&gt;0, "", IFERROR(_xlfn.MINIFS(Log!$G:$G, Log!$A:$A, $A179, Log!$B:$B, $B179, Log!$C:$C, $C179),""))</f>
        <v/>
      </c>
      <c r="O179" s="6" t="str">
        <f>IF(COUNTBLANK($A179:$E179)&gt;0, "", IFERROR(_xlfn.MAXIFS(Log!$G:$G, Log!$A:$A, $A179, Log!$B:$B, $B179, Log!$C:$C, $C179),""))</f>
        <v/>
      </c>
    </row>
    <row r="180" spans="1:15" ht="49.95" customHeight="1" x14ac:dyDescent="0.3">
      <c r="B180" s="105"/>
      <c r="H180" s="7" t="str">
        <f>IF(COUNTBLANK($A180:$E180)&gt;0, "", IFERROR(AVERAGEIFS(Log!$E:$E, Log!$A:$A, $A180, Log!$B:$B, $B180, Log!$C:$C, $C180),""))</f>
        <v/>
      </c>
      <c r="I180" s="37" t="str">
        <f t="shared" si="5"/>
        <v/>
      </c>
      <c r="J180" s="6" t="str">
        <f>IF(COUNTBLANK($A180:$E180)&gt;0, "", IFERROR(AVERAGEIFS(Log!#REF!, Log!$A:$A, $A180, Log!$B:$B, $B180, Log!$C:$C, $C180),""))</f>
        <v/>
      </c>
      <c r="K180" s="6" t="str">
        <f>IF(COUNTBLANK($A180:$E180)&gt;0, "", IFERROR(_xlfn.MINIFS(Log!$F:$F, Log!$A:$A, $A180, Log!$B:$B, $B180, Log!$C:$C, $C180),""))</f>
        <v/>
      </c>
      <c r="L180" s="6" t="str">
        <f>IF(COUNTBLANK($A180:$E180)&gt;0, "", IFERROR(_xlfn.MAXIFS(Log!$F:$F, Log!$A:$A, $A180, Log!$B:$B, $B180, Log!$C:$C, $C180),""))</f>
        <v/>
      </c>
      <c r="M180" s="6" t="str">
        <f>IF(COUNTBLANK($A180:$E180)&gt;0, "", IFERROR(AVERAGEIFS(Log!#REF!, Log!$A:$A, $A180, Log!$B:$B, $B180, Log!$C:$C, $C180),""))</f>
        <v/>
      </c>
      <c r="N180" s="6" t="str">
        <f>IF(COUNTBLANK($A180:$E180)&gt;0, "", IFERROR(_xlfn.MINIFS(Log!$G:$G, Log!$A:$A, $A180, Log!$B:$B, $B180, Log!$C:$C, $C180),""))</f>
        <v/>
      </c>
      <c r="O180" s="6" t="str">
        <f>IF(COUNTBLANK($A180:$E180)&gt;0, "", IFERROR(_xlfn.MAXIFS(Log!$G:$G, Log!$A:$A, $A180, Log!$B:$B, $B180, Log!$C:$C, $C180),""))</f>
        <v/>
      </c>
    </row>
    <row r="181" spans="1:15" ht="49.95" customHeight="1" x14ac:dyDescent="0.3">
      <c r="B181" s="105"/>
      <c r="H181" s="7" t="str">
        <f>IF(COUNTBLANK($A181:$E181)&gt;0, "", IFERROR(AVERAGEIFS(Log!$E:$E, Log!$A:$A, $A181, Log!$B:$B, $B181, Log!$C:$C, $C181),""))</f>
        <v/>
      </c>
      <c r="I181" s="37" t="str">
        <f t="shared" si="5"/>
        <v/>
      </c>
      <c r="J181" s="6" t="str">
        <f>IF(COUNTBLANK($A181:$E181)&gt;0, "", IFERROR(AVERAGEIFS(Log!#REF!, Log!$A:$A, $A181, Log!$B:$B, $B181, Log!$C:$C, $C181),""))</f>
        <v/>
      </c>
      <c r="K181" s="6" t="str">
        <f>IF(COUNTBLANK($A181:$E181)&gt;0, "", IFERROR(_xlfn.MINIFS(Log!$F:$F, Log!$A:$A, $A181, Log!$B:$B, $B181, Log!$C:$C, $C181),""))</f>
        <v/>
      </c>
      <c r="L181" s="6" t="str">
        <f>IF(COUNTBLANK($A181:$E181)&gt;0, "", IFERROR(_xlfn.MAXIFS(Log!$F:$F, Log!$A:$A, $A181, Log!$B:$B, $B181, Log!$C:$C, $C181),""))</f>
        <v/>
      </c>
      <c r="M181" s="6" t="str">
        <f>IF(COUNTBLANK($A181:$E181)&gt;0, "", IFERROR(AVERAGEIFS(Log!#REF!, Log!$A:$A, $A181, Log!$B:$B, $B181, Log!$C:$C, $C181),""))</f>
        <v/>
      </c>
      <c r="N181" s="6" t="str">
        <f>IF(COUNTBLANK($A181:$E181)&gt;0, "", IFERROR(_xlfn.MINIFS(Log!$G:$G, Log!$A:$A, $A181, Log!$B:$B, $B181, Log!$C:$C, $C181),""))</f>
        <v/>
      </c>
      <c r="O181" s="6" t="str">
        <f>IF(COUNTBLANK($A181:$E181)&gt;0, "", IFERROR(_xlfn.MAXIFS(Log!$G:$G, Log!$A:$A, $A181, Log!$B:$B, $B181, Log!$C:$C, $C181),""))</f>
        <v/>
      </c>
    </row>
    <row r="182" spans="1:15" ht="49.95" customHeight="1" x14ac:dyDescent="0.3">
      <c r="B182" s="105"/>
      <c r="H182" s="7" t="str">
        <f>IF(COUNTBLANK($A182:$E182)&gt;0, "", IFERROR(AVERAGEIFS(Log!$E:$E, Log!$A:$A, $A182, Log!$B:$B, $B182, Log!$C:$C, $C182),""))</f>
        <v/>
      </c>
      <c r="I182" s="37" t="str">
        <f t="shared" si="5"/>
        <v/>
      </c>
      <c r="J182" s="6" t="str">
        <f>IF(COUNTBLANK($A182:$E182)&gt;0, "", IFERROR(AVERAGEIFS(Log!#REF!, Log!$A:$A, $A182, Log!$B:$B, $B182, Log!$C:$C, $C182),""))</f>
        <v/>
      </c>
      <c r="K182" s="6" t="str">
        <f>IF(COUNTBLANK($A182:$E182)&gt;0, "", IFERROR(_xlfn.MINIFS(Log!$F:$F, Log!$A:$A, $A182, Log!$B:$B, $B182, Log!$C:$C, $C182),""))</f>
        <v/>
      </c>
      <c r="L182" s="6" t="str">
        <f>IF(COUNTBLANK($A182:$E182)&gt;0, "", IFERROR(_xlfn.MAXIFS(Log!$F:$F, Log!$A:$A, $A182, Log!$B:$B, $B182, Log!$C:$C, $C182),""))</f>
        <v/>
      </c>
      <c r="M182" s="6" t="str">
        <f>IF(COUNTBLANK($A182:$E182)&gt;0, "", IFERROR(AVERAGEIFS(Log!#REF!, Log!$A:$A, $A182, Log!$B:$B, $B182, Log!$C:$C, $C182),""))</f>
        <v/>
      </c>
      <c r="N182" s="6" t="str">
        <f>IF(COUNTBLANK($A182:$E182)&gt;0, "", IFERROR(_xlfn.MINIFS(Log!$G:$G, Log!$A:$A, $A182, Log!$B:$B, $B182, Log!$C:$C, $C182),""))</f>
        <v/>
      </c>
      <c r="O182" s="6" t="str">
        <f>IF(COUNTBLANK($A182:$E182)&gt;0, "", IFERROR(_xlfn.MAXIFS(Log!$G:$G, Log!$A:$A, $A182, Log!$B:$B, $B182, Log!$C:$C, $C182),""))</f>
        <v/>
      </c>
    </row>
    <row r="183" spans="1:15" ht="49.95" customHeight="1" x14ac:dyDescent="0.3">
      <c r="B183" s="105"/>
      <c r="H183" s="7" t="str">
        <f>IF(COUNTBLANK($A183:$E183)&gt;0, "", IFERROR(AVERAGEIFS(Log!$E:$E, Log!$A:$A, $A183, Log!$B:$B, $B183, Log!$C:$C, $C183),""))</f>
        <v/>
      </c>
      <c r="I183" s="37" t="str">
        <f t="shared" si="5"/>
        <v/>
      </c>
      <c r="J183" s="6" t="str">
        <f>IF(COUNTBLANK($A183:$E183)&gt;0, "", IFERROR(AVERAGEIFS(Log!#REF!, Log!$A:$A, $A183, Log!$B:$B, $B183, Log!$C:$C, $C183),""))</f>
        <v/>
      </c>
      <c r="K183" s="6" t="str">
        <f>IF(COUNTBLANK($A183:$E183)&gt;0, "", IFERROR(_xlfn.MINIFS(Log!$F:$F, Log!$A:$A, $A183, Log!$B:$B, $B183, Log!$C:$C, $C183),""))</f>
        <v/>
      </c>
      <c r="L183" s="6" t="str">
        <f>IF(COUNTBLANK($A183:$E183)&gt;0, "", IFERROR(_xlfn.MAXIFS(Log!$F:$F, Log!$A:$A, $A183, Log!$B:$B, $B183, Log!$C:$C, $C183),""))</f>
        <v/>
      </c>
      <c r="M183" s="6" t="str">
        <f>IF(COUNTBLANK($A183:$E183)&gt;0, "", IFERROR(AVERAGEIFS(Log!#REF!, Log!$A:$A, $A183, Log!$B:$B, $B183, Log!$C:$C, $C183),""))</f>
        <v/>
      </c>
      <c r="N183" s="6" t="str">
        <f>IF(COUNTBLANK($A183:$E183)&gt;0, "", IFERROR(_xlfn.MINIFS(Log!$G:$G, Log!$A:$A, $A183, Log!$B:$B, $B183, Log!$C:$C, $C183),""))</f>
        <v/>
      </c>
      <c r="O183" s="6" t="str">
        <f>IF(COUNTBLANK($A183:$E183)&gt;0, "", IFERROR(_xlfn.MAXIFS(Log!$G:$G, Log!$A:$A, $A183, Log!$B:$B, $B183, Log!$C:$C, $C183),""))</f>
        <v/>
      </c>
    </row>
    <row r="184" spans="1:15" ht="49.95" customHeight="1" x14ac:dyDescent="0.3">
      <c r="B184" s="105"/>
    </row>
    <row r="185" spans="1:15" ht="49.95" customHeight="1" x14ac:dyDescent="0.3">
      <c r="B185" s="105"/>
    </row>
    <row r="186" spans="1:15" ht="49.95" customHeight="1" x14ac:dyDescent="0.3">
      <c r="B186" s="105"/>
    </row>
    <row r="187" spans="1:15" ht="49.95" customHeight="1" x14ac:dyDescent="0.3">
      <c r="B187" s="105"/>
    </row>
    <row r="188" spans="1:15" ht="49.95" customHeight="1" x14ac:dyDescent="0.3">
      <c r="B188" s="105"/>
    </row>
    <row r="189" spans="1:15" ht="49.95" customHeight="1" x14ac:dyDescent="0.3">
      <c r="B189" s="105"/>
    </row>
    <row r="190" spans="1:15" ht="49.95" customHeight="1" x14ac:dyDescent="0.3">
      <c r="B190" s="105"/>
    </row>
    <row r="191" spans="1:15" ht="49.95" customHeight="1" x14ac:dyDescent="0.3">
      <c r="B191" s="105"/>
    </row>
    <row r="192" spans="1:15" ht="49.95" customHeight="1" x14ac:dyDescent="0.3">
      <c r="B192" s="105"/>
    </row>
    <row r="193" spans="2:2" ht="49.95" customHeight="1" x14ac:dyDescent="0.3">
      <c r="B193" s="105"/>
    </row>
    <row r="194" spans="2:2" ht="49.95" customHeight="1" x14ac:dyDescent="0.3">
      <c r="B194" s="105"/>
    </row>
    <row r="195" spans="2:2" ht="49.95" customHeight="1" x14ac:dyDescent="0.3">
      <c r="B195" s="105"/>
    </row>
    <row r="196" spans="2:2" ht="49.95" customHeight="1" x14ac:dyDescent="0.3">
      <c r="B196" s="105"/>
    </row>
    <row r="197" spans="2:2" ht="49.95" customHeight="1" x14ac:dyDescent="0.3">
      <c r="B197" s="105"/>
    </row>
    <row r="198" spans="2:2" ht="49.95" customHeight="1" x14ac:dyDescent="0.3">
      <c r="B198" s="105"/>
    </row>
    <row r="199" spans="2:2" ht="49.95" customHeight="1" x14ac:dyDescent="0.3">
      <c r="B199" s="105"/>
    </row>
    <row r="200" spans="2:2" ht="49.95" customHeight="1" x14ac:dyDescent="0.3">
      <c r="B200" s="105"/>
    </row>
    <row r="201" spans="2:2" ht="49.95" customHeight="1" x14ac:dyDescent="0.3">
      <c r="B201" s="105"/>
    </row>
    <row r="202" spans="2:2" ht="49.95" customHeight="1" x14ac:dyDescent="0.3">
      <c r="B202" s="105"/>
    </row>
    <row r="203" spans="2:2" ht="49.95" customHeight="1" x14ac:dyDescent="0.3">
      <c r="B203" s="105"/>
    </row>
    <row r="204" spans="2:2" ht="49.95" customHeight="1" x14ac:dyDescent="0.3">
      <c r="B204" s="105"/>
    </row>
    <row r="205" spans="2:2" ht="49.95" customHeight="1" x14ac:dyDescent="0.3">
      <c r="B205" s="105"/>
    </row>
    <row r="206" spans="2:2" ht="49.95" customHeight="1" x14ac:dyDescent="0.3">
      <c r="B206" s="105"/>
    </row>
    <row r="207" spans="2:2" ht="49.95" customHeight="1" x14ac:dyDescent="0.3">
      <c r="B207" s="105"/>
    </row>
    <row r="208" spans="2:2" ht="49.95" customHeight="1" x14ac:dyDescent="0.3">
      <c r="B208" s="105"/>
    </row>
    <row r="209" spans="2:2" ht="49.95" customHeight="1" x14ac:dyDescent="0.3">
      <c r="B209" s="105"/>
    </row>
    <row r="210" spans="2:2" ht="49.95" customHeight="1" x14ac:dyDescent="0.3">
      <c r="B210" s="105"/>
    </row>
    <row r="211" spans="2:2" ht="49.95" customHeight="1" x14ac:dyDescent="0.3">
      <c r="B211" s="105"/>
    </row>
    <row r="212" spans="2:2" ht="49.95" customHeight="1" x14ac:dyDescent="0.3">
      <c r="B212" s="105"/>
    </row>
    <row r="213" spans="2:2" ht="49.95" customHeight="1" x14ac:dyDescent="0.3">
      <c r="B213" s="105"/>
    </row>
    <row r="214" spans="2:2" ht="49.95" customHeight="1" x14ac:dyDescent="0.3">
      <c r="B214" s="105"/>
    </row>
    <row r="215" spans="2:2" ht="49.95" customHeight="1" x14ac:dyDescent="0.3">
      <c r="B215" s="105"/>
    </row>
    <row r="216" spans="2:2" ht="49.95" customHeight="1" x14ac:dyDescent="0.3">
      <c r="B216" s="105"/>
    </row>
    <row r="217" spans="2:2" ht="49.95" customHeight="1" x14ac:dyDescent="0.3">
      <c r="B217" s="105"/>
    </row>
    <row r="218" spans="2:2" ht="49.95" customHeight="1" x14ac:dyDescent="0.3">
      <c r="B218" s="105"/>
    </row>
    <row r="219" spans="2:2" ht="49.95" customHeight="1" x14ac:dyDescent="0.3">
      <c r="B219" s="105"/>
    </row>
    <row r="220" spans="2:2" ht="49.95" customHeight="1" x14ac:dyDescent="0.3">
      <c r="B220" s="105"/>
    </row>
    <row r="221" spans="2:2" ht="49.95" customHeight="1" x14ac:dyDescent="0.3">
      <c r="B221" s="105"/>
    </row>
    <row r="222" spans="2:2" ht="49.95" customHeight="1" x14ac:dyDescent="0.3">
      <c r="B222" s="105"/>
    </row>
    <row r="223" spans="2:2" ht="49.95" customHeight="1" x14ac:dyDescent="0.3">
      <c r="B223" s="105"/>
    </row>
    <row r="224" spans="2:2" ht="49.95" customHeight="1" x14ac:dyDescent="0.3">
      <c r="B224" s="105"/>
    </row>
    <row r="225" spans="2:2" ht="49.95" customHeight="1" x14ac:dyDescent="0.3">
      <c r="B225" s="105"/>
    </row>
    <row r="226" spans="2:2" ht="49.95" customHeight="1" x14ac:dyDescent="0.3">
      <c r="B226" s="105"/>
    </row>
    <row r="227" spans="2:2" ht="49.95" customHeight="1" x14ac:dyDescent="0.3">
      <c r="B227" s="105"/>
    </row>
    <row r="228" spans="2:2" ht="49.95" customHeight="1" x14ac:dyDescent="0.3">
      <c r="B228" s="105"/>
    </row>
    <row r="229" spans="2:2" ht="49.95" customHeight="1" x14ac:dyDescent="0.3">
      <c r="B229" s="105"/>
    </row>
    <row r="230" spans="2:2" ht="49.95" customHeight="1" x14ac:dyDescent="0.3">
      <c r="B230" s="105"/>
    </row>
    <row r="231" spans="2:2" ht="49.95" customHeight="1" x14ac:dyDescent="0.3">
      <c r="B231" s="105"/>
    </row>
    <row r="232" spans="2:2" ht="49.95" customHeight="1" x14ac:dyDescent="0.3">
      <c r="B232" s="105"/>
    </row>
    <row r="233" spans="2:2" ht="49.95" customHeight="1" x14ac:dyDescent="0.3">
      <c r="B233" s="105"/>
    </row>
    <row r="234" spans="2:2" ht="49.95" customHeight="1" x14ac:dyDescent="0.3">
      <c r="B234" s="105"/>
    </row>
    <row r="235" spans="2:2" ht="49.95" customHeight="1" x14ac:dyDescent="0.3">
      <c r="B235" s="105"/>
    </row>
    <row r="236" spans="2:2" ht="49.95" customHeight="1" x14ac:dyDescent="0.3">
      <c r="B236" s="105"/>
    </row>
    <row r="237" spans="2:2" ht="49.95" customHeight="1" x14ac:dyDescent="0.3">
      <c r="B237" s="105"/>
    </row>
    <row r="238" spans="2:2" ht="49.95" customHeight="1" x14ac:dyDescent="0.3">
      <c r="B238" s="105"/>
    </row>
    <row r="239" spans="2:2" ht="49.95" customHeight="1" x14ac:dyDescent="0.3">
      <c r="B239" s="105"/>
    </row>
    <row r="240" spans="2:2" ht="49.95" customHeight="1" x14ac:dyDescent="0.3">
      <c r="B240" s="105"/>
    </row>
    <row r="241" spans="2:2" ht="49.95" customHeight="1" x14ac:dyDescent="0.3">
      <c r="B241" s="105"/>
    </row>
    <row r="242" spans="2:2" ht="49.95" customHeight="1" x14ac:dyDescent="0.3">
      <c r="B242" s="105"/>
    </row>
    <row r="243" spans="2:2" ht="49.95" customHeight="1" x14ac:dyDescent="0.3">
      <c r="B243" s="105"/>
    </row>
    <row r="244" spans="2:2" ht="49.95" customHeight="1" x14ac:dyDescent="0.3">
      <c r="B244" s="105"/>
    </row>
    <row r="245" spans="2:2" ht="49.95" customHeight="1" x14ac:dyDescent="0.3">
      <c r="B245" s="105"/>
    </row>
    <row r="246" spans="2:2" ht="49.95" customHeight="1" x14ac:dyDescent="0.3">
      <c r="B246" s="105"/>
    </row>
    <row r="247" spans="2:2" ht="49.95" customHeight="1" x14ac:dyDescent="0.3">
      <c r="B247" s="105"/>
    </row>
    <row r="248" spans="2:2" ht="49.95" customHeight="1" x14ac:dyDescent="0.3">
      <c r="B248" s="105"/>
    </row>
    <row r="249" spans="2:2" ht="49.95" customHeight="1" x14ac:dyDescent="0.3">
      <c r="B249" s="105"/>
    </row>
    <row r="250" spans="2:2" ht="49.95" customHeight="1" x14ac:dyDescent="0.3">
      <c r="B250" s="105"/>
    </row>
    <row r="251" spans="2:2" ht="49.95" customHeight="1" x14ac:dyDescent="0.3">
      <c r="B251" s="105"/>
    </row>
    <row r="252" spans="2:2" ht="49.95" customHeight="1" x14ac:dyDescent="0.3">
      <c r="B252" s="105"/>
    </row>
    <row r="253" spans="2:2" ht="49.95" customHeight="1" x14ac:dyDescent="0.3">
      <c r="B253" s="105"/>
    </row>
    <row r="254" spans="2:2" ht="49.95" customHeight="1" x14ac:dyDescent="0.3">
      <c r="B254" s="105"/>
    </row>
    <row r="255" spans="2:2" ht="49.95" customHeight="1" x14ac:dyDescent="0.3">
      <c r="B255" s="105"/>
    </row>
    <row r="256" spans="2:2" ht="49.95" customHeight="1" x14ac:dyDescent="0.3">
      <c r="B256" s="105"/>
    </row>
    <row r="257" spans="2:2" ht="49.95" customHeight="1" x14ac:dyDescent="0.3">
      <c r="B257" s="105"/>
    </row>
    <row r="258" spans="2:2" ht="49.95" customHeight="1" x14ac:dyDescent="0.3">
      <c r="B258" s="105"/>
    </row>
    <row r="259" spans="2:2" ht="49.95" customHeight="1" x14ac:dyDescent="0.3">
      <c r="B259" s="105"/>
    </row>
    <row r="260" spans="2:2" ht="49.95" customHeight="1" x14ac:dyDescent="0.3">
      <c r="B260" s="105"/>
    </row>
    <row r="261" spans="2:2" ht="49.95" customHeight="1" x14ac:dyDescent="0.3">
      <c r="B261" s="105"/>
    </row>
    <row r="262" spans="2:2" ht="49.95" customHeight="1" x14ac:dyDescent="0.3">
      <c r="B262" s="105"/>
    </row>
    <row r="263" spans="2:2" ht="49.95" customHeight="1" x14ac:dyDescent="0.3">
      <c r="B263" s="105"/>
    </row>
    <row r="264" spans="2:2" ht="49.95" customHeight="1" x14ac:dyDescent="0.3">
      <c r="B264" s="105"/>
    </row>
    <row r="265" spans="2:2" ht="49.95" customHeight="1" x14ac:dyDescent="0.3">
      <c r="B265" s="105"/>
    </row>
    <row r="266" spans="2:2" ht="49.95" customHeight="1" x14ac:dyDescent="0.3">
      <c r="B266" s="105"/>
    </row>
    <row r="267" spans="2:2" ht="49.95" customHeight="1" x14ac:dyDescent="0.3">
      <c r="B267" s="105"/>
    </row>
    <row r="268" spans="2:2" ht="49.95" customHeight="1" x14ac:dyDescent="0.3">
      <c r="B268" s="105"/>
    </row>
    <row r="269" spans="2:2" ht="49.95" customHeight="1" x14ac:dyDescent="0.3">
      <c r="B269" s="105"/>
    </row>
    <row r="270" spans="2:2" ht="49.95" customHeight="1" x14ac:dyDescent="0.3">
      <c r="B270" s="105"/>
    </row>
    <row r="271" spans="2:2" ht="49.95" customHeight="1" x14ac:dyDescent="0.3">
      <c r="B271" s="105"/>
    </row>
    <row r="272" spans="2:2" ht="49.95" customHeight="1" x14ac:dyDescent="0.3">
      <c r="B272" s="105"/>
    </row>
    <row r="273" spans="2:2" ht="49.95" customHeight="1" x14ac:dyDescent="0.3">
      <c r="B273" s="105"/>
    </row>
    <row r="274" spans="2:2" ht="49.95" customHeight="1" x14ac:dyDescent="0.3">
      <c r="B274" s="105"/>
    </row>
    <row r="275" spans="2:2" ht="49.95" customHeight="1" x14ac:dyDescent="0.3">
      <c r="B275" s="105"/>
    </row>
    <row r="276" spans="2:2" ht="49.95" customHeight="1" x14ac:dyDescent="0.3">
      <c r="B276" s="105"/>
    </row>
    <row r="277" spans="2:2" ht="49.95" customHeight="1" x14ac:dyDescent="0.3">
      <c r="B277" s="105"/>
    </row>
    <row r="278" spans="2:2" ht="49.95" customHeight="1" x14ac:dyDescent="0.3">
      <c r="B278" s="105"/>
    </row>
    <row r="279" spans="2:2" ht="49.95" customHeight="1" x14ac:dyDescent="0.3">
      <c r="B279" s="105"/>
    </row>
    <row r="280" spans="2:2" ht="49.95" customHeight="1" x14ac:dyDescent="0.3">
      <c r="B280" s="105"/>
    </row>
    <row r="281" spans="2:2" ht="49.95" customHeight="1" x14ac:dyDescent="0.3">
      <c r="B281" s="105"/>
    </row>
    <row r="282" spans="2:2" ht="49.95" customHeight="1" x14ac:dyDescent="0.3">
      <c r="B282" s="105"/>
    </row>
    <row r="283" spans="2:2" ht="49.95" customHeight="1" x14ac:dyDescent="0.3">
      <c r="B283" s="105"/>
    </row>
    <row r="284" spans="2:2" ht="49.95" customHeight="1" x14ac:dyDescent="0.3">
      <c r="B284" s="105"/>
    </row>
    <row r="285" spans="2:2" ht="49.95" customHeight="1" x14ac:dyDescent="0.3">
      <c r="B285" s="105"/>
    </row>
    <row r="286" spans="2:2" ht="49.95" customHeight="1" x14ac:dyDescent="0.3">
      <c r="B286" s="105"/>
    </row>
    <row r="287" spans="2:2" ht="49.95" customHeight="1" x14ac:dyDescent="0.3">
      <c r="B287" s="105"/>
    </row>
    <row r="288" spans="2:2" ht="49.95" customHeight="1" x14ac:dyDescent="0.3">
      <c r="B288" s="105"/>
    </row>
    <row r="289" spans="2:2" ht="49.95" customHeight="1" x14ac:dyDescent="0.3">
      <c r="B289" s="105"/>
    </row>
    <row r="290" spans="2:2" ht="49.95" customHeight="1" x14ac:dyDescent="0.3">
      <c r="B290" s="105"/>
    </row>
    <row r="291" spans="2:2" ht="49.95" customHeight="1" x14ac:dyDescent="0.3">
      <c r="B291" s="105"/>
    </row>
    <row r="292" spans="2:2" ht="49.95" customHeight="1" x14ac:dyDescent="0.3">
      <c r="B292" s="105"/>
    </row>
    <row r="293" spans="2:2" ht="49.95" customHeight="1" x14ac:dyDescent="0.3">
      <c r="B293" s="105"/>
    </row>
    <row r="294" spans="2:2" ht="49.95" customHeight="1" x14ac:dyDescent="0.3">
      <c r="B294" s="105"/>
    </row>
    <row r="295" spans="2:2" ht="49.95" customHeight="1" x14ac:dyDescent="0.3">
      <c r="B295" s="105"/>
    </row>
    <row r="296" spans="2:2" ht="49.95" customHeight="1" x14ac:dyDescent="0.3">
      <c r="B296" s="105"/>
    </row>
    <row r="297" spans="2:2" ht="49.95" customHeight="1" x14ac:dyDescent="0.3">
      <c r="B297" s="105"/>
    </row>
    <row r="298" spans="2:2" ht="49.95" customHeight="1" x14ac:dyDescent="0.3">
      <c r="B298" s="105"/>
    </row>
    <row r="299" spans="2:2" ht="49.95" customHeight="1" x14ac:dyDescent="0.3">
      <c r="B299" s="105"/>
    </row>
    <row r="300" spans="2:2" ht="49.95" customHeight="1" x14ac:dyDescent="0.3">
      <c r="B300" s="105"/>
    </row>
    <row r="301" spans="2:2" ht="49.95" customHeight="1" x14ac:dyDescent="0.3">
      <c r="B301" s="105"/>
    </row>
    <row r="302" spans="2:2" ht="49.95" customHeight="1" x14ac:dyDescent="0.3">
      <c r="B302" s="105"/>
    </row>
    <row r="303" spans="2:2" ht="49.95" customHeight="1" x14ac:dyDescent="0.3">
      <c r="B303" s="105"/>
    </row>
    <row r="304" spans="2:2" ht="49.95" customHeight="1" x14ac:dyDescent="0.3">
      <c r="B304" s="105"/>
    </row>
    <row r="305" spans="2:2" ht="49.95" customHeight="1" x14ac:dyDescent="0.3">
      <c r="B305" s="105"/>
    </row>
    <row r="306" spans="2:2" ht="49.95" customHeight="1" x14ac:dyDescent="0.3">
      <c r="B306" s="105"/>
    </row>
    <row r="307" spans="2:2" ht="49.95" customHeight="1" x14ac:dyDescent="0.3">
      <c r="B307" s="105"/>
    </row>
    <row r="308" spans="2:2" ht="49.95" customHeight="1" x14ac:dyDescent="0.3">
      <c r="B308" s="105"/>
    </row>
    <row r="309" spans="2:2" ht="49.95" customHeight="1" x14ac:dyDescent="0.3">
      <c r="B309" s="105"/>
    </row>
    <row r="310" spans="2:2" ht="49.95" customHeight="1" x14ac:dyDescent="0.3">
      <c r="B310" s="105"/>
    </row>
    <row r="311" spans="2:2" ht="49.95" customHeight="1" x14ac:dyDescent="0.3">
      <c r="B311" s="105"/>
    </row>
    <row r="312" spans="2:2" ht="49.95" customHeight="1" x14ac:dyDescent="0.3">
      <c r="B312" s="105"/>
    </row>
    <row r="313" spans="2:2" ht="49.95" customHeight="1" x14ac:dyDescent="0.3">
      <c r="B313" s="105"/>
    </row>
    <row r="314" spans="2:2" ht="49.95" customHeight="1" x14ac:dyDescent="0.3">
      <c r="B314" s="105"/>
    </row>
    <row r="315" spans="2:2" ht="49.95" customHeight="1" x14ac:dyDescent="0.3">
      <c r="B315" s="105"/>
    </row>
    <row r="316" spans="2:2" ht="49.95" customHeight="1" x14ac:dyDescent="0.3">
      <c r="B316" s="105"/>
    </row>
    <row r="317" spans="2:2" ht="49.95" customHeight="1" x14ac:dyDescent="0.3">
      <c r="B317" s="105"/>
    </row>
    <row r="318" spans="2:2" ht="49.95" customHeight="1" x14ac:dyDescent="0.3">
      <c r="B318" s="105"/>
    </row>
    <row r="319" spans="2:2" ht="49.95" customHeight="1" x14ac:dyDescent="0.3">
      <c r="B319" s="105"/>
    </row>
    <row r="320" spans="2:2" ht="49.95" customHeight="1" x14ac:dyDescent="0.3">
      <c r="B320" s="105"/>
    </row>
    <row r="321" spans="2:2" ht="49.95" customHeight="1" x14ac:dyDescent="0.3">
      <c r="B321" s="105"/>
    </row>
    <row r="322" spans="2:2" ht="49.95" customHeight="1" x14ac:dyDescent="0.3">
      <c r="B322" s="105"/>
    </row>
    <row r="323" spans="2:2" ht="49.95" customHeight="1" x14ac:dyDescent="0.3">
      <c r="B323" s="105"/>
    </row>
    <row r="324" spans="2:2" ht="49.95" customHeight="1" x14ac:dyDescent="0.3">
      <c r="B324" s="105"/>
    </row>
    <row r="325" spans="2:2" ht="49.95" customHeight="1" x14ac:dyDescent="0.3">
      <c r="B325" s="105"/>
    </row>
    <row r="326" spans="2:2" ht="49.95" customHeight="1" x14ac:dyDescent="0.3">
      <c r="B326" s="105"/>
    </row>
    <row r="327" spans="2:2" ht="49.95" customHeight="1" x14ac:dyDescent="0.3">
      <c r="B327" s="105"/>
    </row>
    <row r="328" spans="2:2" ht="49.95" customHeight="1" x14ac:dyDescent="0.3">
      <c r="B328" s="105"/>
    </row>
    <row r="329" spans="2:2" ht="49.95" customHeight="1" x14ac:dyDescent="0.3">
      <c r="B329" s="105"/>
    </row>
    <row r="330" spans="2:2" ht="49.95" customHeight="1" x14ac:dyDescent="0.3">
      <c r="B330" s="105"/>
    </row>
    <row r="331" spans="2:2" ht="49.95" customHeight="1" x14ac:dyDescent="0.3">
      <c r="B331" s="105"/>
    </row>
    <row r="332" spans="2:2" ht="49.95" customHeight="1" x14ac:dyDescent="0.3">
      <c r="B332" s="105"/>
    </row>
    <row r="333" spans="2:2" ht="49.95" customHeight="1" x14ac:dyDescent="0.3">
      <c r="B333" s="105"/>
    </row>
    <row r="334" spans="2:2" ht="49.95" customHeight="1" x14ac:dyDescent="0.3">
      <c r="B334" s="105"/>
    </row>
    <row r="335" spans="2:2" ht="49.95" customHeight="1" x14ac:dyDescent="0.3">
      <c r="B335" s="105"/>
    </row>
    <row r="336" spans="2:2" ht="49.95" customHeight="1" x14ac:dyDescent="0.3">
      <c r="B336" s="105"/>
    </row>
    <row r="337" spans="2:2" ht="49.95" customHeight="1" x14ac:dyDescent="0.3">
      <c r="B337" s="105"/>
    </row>
    <row r="338" spans="2:2" ht="49.95" customHeight="1" x14ac:dyDescent="0.3">
      <c r="B338" s="105"/>
    </row>
    <row r="339" spans="2:2" ht="49.95" customHeight="1" x14ac:dyDescent="0.3">
      <c r="B339" s="105"/>
    </row>
    <row r="340" spans="2:2" ht="49.95" customHeight="1" x14ac:dyDescent="0.3">
      <c r="B340" s="105"/>
    </row>
    <row r="341" spans="2:2" ht="49.95" customHeight="1" x14ac:dyDescent="0.3">
      <c r="B341" s="105"/>
    </row>
    <row r="342" spans="2:2" ht="49.95" customHeight="1" x14ac:dyDescent="0.3">
      <c r="B342" s="105"/>
    </row>
    <row r="343" spans="2:2" ht="49.95" customHeight="1" x14ac:dyDescent="0.3">
      <c r="B343" s="105"/>
    </row>
    <row r="344" spans="2:2" ht="49.95" customHeight="1" x14ac:dyDescent="0.3">
      <c r="B344" s="105"/>
    </row>
    <row r="345" spans="2:2" ht="49.95" customHeight="1" x14ac:dyDescent="0.3">
      <c r="B345" s="105"/>
    </row>
    <row r="346" spans="2:2" ht="49.95" customHeight="1" x14ac:dyDescent="0.3">
      <c r="B346" s="105"/>
    </row>
    <row r="347" spans="2:2" ht="49.95" customHeight="1" x14ac:dyDescent="0.3">
      <c r="B347" s="105"/>
    </row>
    <row r="348" spans="2:2" ht="49.95" customHeight="1" x14ac:dyDescent="0.3">
      <c r="B348" s="105"/>
    </row>
    <row r="349" spans="2:2" ht="49.95" customHeight="1" x14ac:dyDescent="0.3">
      <c r="B349" s="105"/>
    </row>
    <row r="350" spans="2:2" ht="49.95" customHeight="1" x14ac:dyDescent="0.3">
      <c r="B350" s="105"/>
    </row>
    <row r="351" spans="2:2" ht="49.95" customHeight="1" x14ac:dyDescent="0.3">
      <c r="B351" s="105"/>
    </row>
    <row r="352" spans="2:2" ht="49.95" customHeight="1" x14ac:dyDescent="0.3">
      <c r="B352" s="105"/>
    </row>
    <row r="353" spans="2:2" ht="49.95" customHeight="1" x14ac:dyDescent="0.3">
      <c r="B353" s="105"/>
    </row>
    <row r="354" spans="2:2" ht="49.95" customHeight="1" x14ac:dyDescent="0.3">
      <c r="B354" s="105"/>
    </row>
    <row r="355" spans="2:2" ht="49.95" customHeight="1" x14ac:dyDescent="0.3">
      <c r="B355" s="105"/>
    </row>
    <row r="356" spans="2:2" ht="49.95" customHeight="1" x14ac:dyDescent="0.3">
      <c r="B356" s="105"/>
    </row>
    <row r="357" spans="2:2" ht="49.95" customHeight="1" x14ac:dyDescent="0.3">
      <c r="B357" s="105"/>
    </row>
    <row r="358" spans="2:2" ht="49.95" customHeight="1" x14ac:dyDescent="0.3">
      <c r="B358" s="105"/>
    </row>
    <row r="359" spans="2:2" ht="49.95" customHeight="1" x14ac:dyDescent="0.3">
      <c r="B359" s="105"/>
    </row>
    <row r="360" spans="2:2" ht="49.95" customHeight="1" x14ac:dyDescent="0.3">
      <c r="B360" s="105"/>
    </row>
    <row r="361" spans="2:2" ht="49.95" customHeight="1" x14ac:dyDescent="0.3">
      <c r="B361" s="105"/>
    </row>
    <row r="362" spans="2:2" ht="49.95" customHeight="1" x14ac:dyDescent="0.3">
      <c r="B362" s="105"/>
    </row>
    <row r="363" spans="2:2" ht="49.95" customHeight="1" x14ac:dyDescent="0.3">
      <c r="B363" s="105"/>
    </row>
    <row r="364" spans="2:2" ht="49.95" customHeight="1" x14ac:dyDescent="0.3">
      <c r="B364" s="105"/>
    </row>
    <row r="365" spans="2:2" ht="49.95" customHeight="1" x14ac:dyDescent="0.3">
      <c r="B365" s="105"/>
    </row>
    <row r="366" spans="2:2" ht="49.95" customHeight="1" x14ac:dyDescent="0.3">
      <c r="B366" s="105"/>
    </row>
    <row r="367" spans="2:2" ht="49.95" customHeight="1" x14ac:dyDescent="0.3">
      <c r="B367" s="105"/>
    </row>
    <row r="368" spans="2:2" ht="49.95" customHeight="1" x14ac:dyDescent="0.3">
      <c r="B368" s="105"/>
    </row>
    <row r="369" spans="2:2" ht="49.95" customHeight="1" x14ac:dyDescent="0.3">
      <c r="B369" s="105"/>
    </row>
    <row r="370" spans="2:2" ht="49.95" customHeight="1" x14ac:dyDescent="0.3">
      <c r="B370" s="105"/>
    </row>
    <row r="371" spans="2:2" ht="49.95" customHeight="1" x14ac:dyDescent="0.3">
      <c r="B371" s="105"/>
    </row>
    <row r="372" spans="2:2" ht="49.95" customHeight="1" x14ac:dyDescent="0.3">
      <c r="B372" s="105"/>
    </row>
    <row r="373" spans="2:2" ht="49.95" customHeight="1" x14ac:dyDescent="0.3">
      <c r="B373" s="105"/>
    </row>
    <row r="374" spans="2:2" ht="49.95" customHeight="1" x14ac:dyDescent="0.3">
      <c r="B374" s="105"/>
    </row>
    <row r="375" spans="2:2" ht="49.95" customHeight="1" x14ac:dyDescent="0.3">
      <c r="B375" s="105"/>
    </row>
    <row r="376" spans="2:2" ht="49.95" customHeight="1" x14ac:dyDescent="0.3">
      <c r="B376" s="105"/>
    </row>
    <row r="377" spans="2:2" ht="49.95" customHeight="1" x14ac:dyDescent="0.3">
      <c r="B377" s="105"/>
    </row>
    <row r="378" spans="2:2" ht="49.95" customHeight="1" x14ac:dyDescent="0.3">
      <c r="B378" s="105"/>
    </row>
    <row r="379" spans="2:2" ht="49.95" customHeight="1" x14ac:dyDescent="0.3">
      <c r="B379" s="105"/>
    </row>
    <row r="380" spans="2:2" ht="49.95" customHeight="1" x14ac:dyDescent="0.3">
      <c r="B380" s="105"/>
    </row>
    <row r="381" spans="2:2" ht="49.95" customHeight="1" x14ac:dyDescent="0.3">
      <c r="B381" s="105"/>
    </row>
    <row r="382" spans="2:2" ht="49.95" customHeight="1" x14ac:dyDescent="0.3">
      <c r="B382" s="105"/>
    </row>
    <row r="383" spans="2:2" ht="49.95" customHeight="1" x14ac:dyDescent="0.3">
      <c r="B383" s="105"/>
    </row>
    <row r="384" spans="2:2" ht="49.95" customHeight="1" x14ac:dyDescent="0.3">
      <c r="B384" s="105"/>
    </row>
    <row r="385" spans="2:2" ht="49.95" customHeight="1" x14ac:dyDescent="0.3">
      <c r="B385" s="105"/>
    </row>
    <row r="386" spans="2:2" ht="49.95" customHeight="1" x14ac:dyDescent="0.3">
      <c r="B386" s="105"/>
    </row>
    <row r="387" spans="2:2" ht="49.95" customHeight="1" x14ac:dyDescent="0.3">
      <c r="B387" s="105"/>
    </row>
    <row r="388" spans="2:2" ht="49.95" customHeight="1" x14ac:dyDescent="0.3">
      <c r="B388" s="105"/>
    </row>
    <row r="389" spans="2:2" ht="49.95" customHeight="1" x14ac:dyDescent="0.3">
      <c r="B389" s="105"/>
    </row>
    <row r="390" spans="2:2" ht="49.95" customHeight="1" x14ac:dyDescent="0.3">
      <c r="B390" s="105"/>
    </row>
    <row r="391" spans="2:2" ht="49.95" customHeight="1" x14ac:dyDescent="0.3">
      <c r="B391" s="105"/>
    </row>
    <row r="392" spans="2:2" ht="49.95" customHeight="1" x14ac:dyDescent="0.3">
      <c r="B392" s="105"/>
    </row>
    <row r="393" spans="2:2" ht="49.95" customHeight="1" x14ac:dyDescent="0.3">
      <c r="B393" s="105"/>
    </row>
    <row r="394" spans="2:2" ht="49.95" customHeight="1" x14ac:dyDescent="0.3">
      <c r="B394" s="105"/>
    </row>
    <row r="395" spans="2:2" ht="49.95" customHeight="1" x14ac:dyDescent="0.3">
      <c r="B395" s="105"/>
    </row>
    <row r="396" spans="2:2" ht="49.95" customHeight="1" x14ac:dyDescent="0.3">
      <c r="B396" s="105"/>
    </row>
    <row r="397" spans="2:2" ht="49.95" customHeight="1" x14ac:dyDescent="0.3">
      <c r="B397" s="105"/>
    </row>
    <row r="398" spans="2:2" ht="49.95" customHeight="1" x14ac:dyDescent="0.3">
      <c r="B398" s="105"/>
    </row>
    <row r="399" spans="2:2" ht="49.95" customHeight="1" x14ac:dyDescent="0.3">
      <c r="B399" s="105"/>
    </row>
    <row r="400" spans="2:2" ht="49.95" customHeight="1" x14ac:dyDescent="0.3">
      <c r="B400" s="105"/>
    </row>
    <row r="401" spans="2:2" ht="49.95" customHeight="1" x14ac:dyDescent="0.3">
      <c r="B401" s="105"/>
    </row>
    <row r="402" spans="2:2" ht="49.95" customHeight="1" x14ac:dyDescent="0.3">
      <c r="B402" s="105"/>
    </row>
    <row r="403" spans="2:2" ht="49.95" customHeight="1" x14ac:dyDescent="0.3">
      <c r="B403" s="105"/>
    </row>
    <row r="404" spans="2:2" ht="49.95" customHeight="1" x14ac:dyDescent="0.3">
      <c r="B404" s="105"/>
    </row>
    <row r="405" spans="2:2" ht="49.95" customHeight="1" x14ac:dyDescent="0.3">
      <c r="B405" s="105"/>
    </row>
    <row r="406" spans="2:2" ht="49.95" customHeight="1" x14ac:dyDescent="0.3">
      <c r="B406" s="105"/>
    </row>
    <row r="407" spans="2:2" ht="49.95" customHeight="1" x14ac:dyDescent="0.3">
      <c r="B407" s="105"/>
    </row>
    <row r="408" spans="2:2" ht="49.95" customHeight="1" x14ac:dyDescent="0.3">
      <c r="B408" s="105"/>
    </row>
    <row r="409" spans="2:2" ht="49.95" customHeight="1" x14ac:dyDescent="0.3">
      <c r="B409" s="105"/>
    </row>
    <row r="410" spans="2:2" ht="49.95" customHeight="1" x14ac:dyDescent="0.3">
      <c r="B410" s="105"/>
    </row>
    <row r="411" spans="2:2" ht="49.95" customHeight="1" x14ac:dyDescent="0.3">
      <c r="B411" s="105"/>
    </row>
    <row r="412" spans="2:2" ht="49.95" customHeight="1" x14ac:dyDescent="0.3">
      <c r="B412" s="105"/>
    </row>
    <row r="413" spans="2:2" ht="49.95" customHeight="1" x14ac:dyDescent="0.3">
      <c r="B413" s="105"/>
    </row>
    <row r="414" spans="2:2" ht="49.95" customHeight="1" x14ac:dyDescent="0.3">
      <c r="B414" s="105"/>
    </row>
    <row r="415" spans="2:2" ht="49.95" customHeight="1" x14ac:dyDescent="0.3">
      <c r="B415" s="105"/>
    </row>
    <row r="416" spans="2:2" ht="49.95" customHeight="1" x14ac:dyDescent="0.3">
      <c r="B416" s="105"/>
    </row>
    <row r="417" spans="2:2" ht="49.95" customHeight="1" x14ac:dyDescent="0.3">
      <c r="B417" s="105"/>
    </row>
    <row r="418" spans="2:2" ht="49.95" customHeight="1" x14ac:dyDescent="0.3">
      <c r="B418" s="105"/>
    </row>
    <row r="419" spans="2:2" ht="49.95" customHeight="1" x14ac:dyDescent="0.3">
      <c r="B419" s="105"/>
    </row>
    <row r="420" spans="2:2" ht="49.95" customHeight="1" x14ac:dyDescent="0.3">
      <c r="B420" s="105"/>
    </row>
    <row r="421" spans="2:2" ht="49.95" customHeight="1" x14ac:dyDescent="0.3">
      <c r="B421" s="105"/>
    </row>
    <row r="422" spans="2:2" ht="49.95" customHeight="1" x14ac:dyDescent="0.3">
      <c r="B422" s="105"/>
    </row>
    <row r="423" spans="2:2" ht="49.95" customHeight="1" x14ac:dyDescent="0.3">
      <c r="B423" s="105"/>
    </row>
    <row r="424" spans="2:2" ht="49.95" customHeight="1" x14ac:dyDescent="0.3">
      <c r="B424" s="105"/>
    </row>
    <row r="425" spans="2:2" ht="49.95" customHeight="1" x14ac:dyDescent="0.3">
      <c r="B425" s="105"/>
    </row>
    <row r="426" spans="2:2" ht="49.95" customHeight="1" x14ac:dyDescent="0.3">
      <c r="B426" s="105"/>
    </row>
    <row r="427" spans="2:2" ht="49.95" customHeight="1" x14ac:dyDescent="0.3">
      <c r="B427" s="105"/>
    </row>
    <row r="428" spans="2:2" ht="49.95" customHeight="1" x14ac:dyDescent="0.3">
      <c r="B428" s="105"/>
    </row>
    <row r="429" spans="2:2" ht="49.95" customHeight="1" x14ac:dyDescent="0.3">
      <c r="B429" s="105"/>
    </row>
    <row r="430" spans="2:2" ht="49.95" customHeight="1" x14ac:dyDescent="0.3">
      <c r="B430" s="105"/>
    </row>
    <row r="431" spans="2:2" ht="49.95" customHeight="1" x14ac:dyDescent="0.3">
      <c r="B431" s="105"/>
    </row>
    <row r="432" spans="2:2" ht="49.95" customHeight="1" x14ac:dyDescent="0.3">
      <c r="B432" s="105"/>
    </row>
    <row r="433" spans="2:2" ht="49.95" customHeight="1" x14ac:dyDescent="0.3">
      <c r="B433" s="105"/>
    </row>
    <row r="434" spans="2:2" ht="49.95" customHeight="1" x14ac:dyDescent="0.3">
      <c r="B434" s="105"/>
    </row>
    <row r="435" spans="2:2" ht="49.95" customHeight="1" x14ac:dyDescent="0.3">
      <c r="B435" s="105"/>
    </row>
    <row r="436" spans="2:2" ht="49.95" customHeight="1" x14ac:dyDescent="0.3">
      <c r="B436" s="105"/>
    </row>
    <row r="437" spans="2:2" ht="49.95" customHeight="1" x14ac:dyDescent="0.3">
      <c r="B437" s="105"/>
    </row>
    <row r="438" spans="2:2" ht="49.95" customHeight="1" x14ac:dyDescent="0.3">
      <c r="B438" s="105"/>
    </row>
    <row r="439" spans="2:2" ht="49.95" customHeight="1" x14ac:dyDescent="0.3">
      <c r="B439" s="105"/>
    </row>
    <row r="440" spans="2:2" ht="49.95" customHeight="1" x14ac:dyDescent="0.3">
      <c r="B440" s="105"/>
    </row>
    <row r="441" spans="2:2" ht="49.95" customHeight="1" x14ac:dyDescent="0.3">
      <c r="B441" s="105"/>
    </row>
    <row r="442" spans="2:2" ht="49.95" customHeight="1" x14ac:dyDescent="0.3">
      <c r="B442" s="105"/>
    </row>
    <row r="443" spans="2:2" ht="49.95" customHeight="1" x14ac:dyDescent="0.3">
      <c r="B443" s="105"/>
    </row>
    <row r="444" spans="2:2" ht="49.95" customHeight="1" x14ac:dyDescent="0.3">
      <c r="B444" s="105"/>
    </row>
    <row r="445" spans="2:2" ht="49.95" customHeight="1" x14ac:dyDescent="0.3">
      <c r="B445" s="105"/>
    </row>
    <row r="446" spans="2:2" ht="49.95" customHeight="1" x14ac:dyDescent="0.3">
      <c r="B446" s="105"/>
    </row>
    <row r="447" spans="2:2" ht="49.95" customHeight="1" x14ac:dyDescent="0.3">
      <c r="B447" s="105"/>
    </row>
    <row r="448" spans="2:2" ht="49.95" customHeight="1" x14ac:dyDescent="0.3">
      <c r="B448" s="105"/>
    </row>
    <row r="449" spans="2:2" ht="49.95" customHeight="1" x14ac:dyDescent="0.3">
      <c r="B449" s="105"/>
    </row>
    <row r="450" spans="2:2" ht="49.95" customHeight="1" x14ac:dyDescent="0.3">
      <c r="B450" s="105"/>
    </row>
    <row r="451" spans="2:2" ht="49.95" customHeight="1" x14ac:dyDescent="0.3">
      <c r="B451" s="105"/>
    </row>
    <row r="452" spans="2:2" ht="49.95" customHeight="1" x14ac:dyDescent="0.3">
      <c r="B452" s="105"/>
    </row>
    <row r="453" spans="2:2" ht="49.95" customHeight="1" x14ac:dyDescent="0.3">
      <c r="B453" s="105"/>
    </row>
    <row r="454" spans="2:2" ht="49.95" customHeight="1" x14ac:dyDescent="0.3">
      <c r="B454" s="105"/>
    </row>
    <row r="455" spans="2:2" ht="49.95" customHeight="1" x14ac:dyDescent="0.3">
      <c r="B455" s="105"/>
    </row>
    <row r="456" spans="2:2" ht="49.95" customHeight="1" x14ac:dyDescent="0.3">
      <c r="B456" s="105"/>
    </row>
    <row r="457" spans="2:2" ht="49.95" customHeight="1" x14ac:dyDescent="0.3">
      <c r="B457" s="105"/>
    </row>
    <row r="458" spans="2:2" ht="49.95" customHeight="1" x14ac:dyDescent="0.3">
      <c r="B458" s="105"/>
    </row>
    <row r="459" spans="2:2" ht="49.95" customHeight="1" x14ac:dyDescent="0.3">
      <c r="B459" s="105"/>
    </row>
    <row r="460" spans="2:2" ht="49.95" customHeight="1" x14ac:dyDescent="0.3">
      <c r="B460" s="105"/>
    </row>
    <row r="461" spans="2:2" ht="49.95" customHeight="1" x14ac:dyDescent="0.3">
      <c r="B461" s="105"/>
    </row>
    <row r="462" spans="2:2" ht="49.95" customHeight="1" x14ac:dyDescent="0.3">
      <c r="B462" s="105"/>
    </row>
    <row r="463" spans="2:2" ht="49.95" customHeight="1" x14ac:dyDescent="0.3">
      <c r="B463" s="105"/>
    </row>
    <row r="464" spans="2:2" ht="49.95" customHeight="1" x14ac:dyDescent="0.3">
      <c r="B464" s="105"/>
    </row>
    <row r="465" spans="2:2" ht="49.95" customHeight="1" x14ac:dyDescent="0.3">
      <c r="B465" s="105"/>
    </row>
    <row r="466" spans="2:2" ht="49.95" customHeight="1" x14ac:dyDescent="0.3">
      <c r="B466" s="105"/>
    </row>
    <row r="467" spans="2:2" ht="49.95" customHeight="1" x14ac:dyDescent="0.3">
      <c r="B467" s="105"/>
    </row>
    <row r="468" spans="2:2" ht="49.95" customHeight="1" x14ac:dyDescent="0.3">
      <c r="B468" s="105"/>
    </row>
    <row r="469" spans="2:2" ht="49.95" customHeight="1" x14ac:dyDescent="0.3">
      <c r="B469" s="105"/>
    </row>
    <row r="470" spans="2:2" ht="49.95" customHeight="1" x14ac:dyDescent="0.3">
      <c r="B470" s="105"/>
    </row>
    <row r="471" spans="2:2" ht="49.95" customHeight="1" x14ac:dyDescent="0.3">
      <c r="B471" s="105"/>
    </row>
    <row r="472" spans="2:2" ht="49.95" customHeight="1" x14ac:dyDescent="0.3">
      <c r="B472" s="105"/>
    </row>
    <row r="473" spans="2:2" ht="49.95" customHeight="1" x14ac:dyDescent="0.3">
      <c r="B473" s="105"/>
    </row>
    <row r="474" spans="2:2" ht="49.95" customHeight="1" x14ac:dyDescent="0.3">
      <c r="B474" s="105"/>
    </row>
    <row r="475" spans="2:2" ht="49.95" customHeight="1" x14ac:dyDescent="0.3">
      <c r="B475" s="105"/>
    </row>
    <row r="476" spans="2:2" ht="49.95" customHeight="1" x14ac:dyDescent="0.3">
      <c r="B476" s="105"/>
    </row>
    <row r="477" spans="2:2" ht="49.95" customHeight="1" x14ac:dyDescent="0.3">
      <c r="B477" s="105"/>
    </row>
    <row r="478" spans="2:2" ht="49.95" customHeight="1" x14ac:dyDescent="0.3">
      <c r="B478" s="105"/>
    </row>
    <row r="479" spans="2:2" ht="49.95" customHeight="1" x14ac:dyDescent="0.3">
      <c r="B479" s="105"/>
    </row>
    <row r="480" spans="2:2" ht="49.95" customHeight="1" x14ac:dyDescent="0.3">
      <c r="B480" s="105"/>
    </row>
    <row r="481" spans="2:2" ht="49.95" customHeight="1" x14ac:dyDescent="0.3">
      <c r="B481" s="105"/>
    </row>
    <row r="482" spans="2:2" ht="49.95" customHeight="1" x14ac:dyDescent="0.3">
      <c r="B482" s="105"/>
    </row>
    <row r="483" spans="2:2" ht="49.95" customHeight="1" x14ac:dyDescent="0.3">
      <c r="B483" s="105"/>
    </row>
    <row r="484" spans="2:2" ht="49.95" customHeight="1" x14ac:dyDescent="0.3">
      <c r="B484" s="105"/>
    </row>
    <row r="485" spans="2:2" ht="49.95" customHeight="1" x14ac:dyDescent="0.3">
      <c r="B485" s="105"/>
    </row>
    <row r="486" spans="2:2" ht="49.95" customHeight="1" x14ac:dyDescent="0.3">
      <c r="B486" s="105"/>
    </row>
    <row r="487" spans="2:2" ht="49.95" customHeight="1" x14ac:dyDescent="0.3">
      <c r="B487" s="105"/>
    </row>
    <row r="488" spans="2:2" ht="49.95" customHeight="1" x14ac:dyDescent="0.3">
      <c r="B488" s="105"/>
    </row>
    <row r="489" spans="2:2" ht="49.95" customHeight="1" x14ac:dyDescent="0.3">
      <c r="B489" s="105"/>
    </row>
    <row r="490" spans="2:2" ht="49.95" customHeight="1" x14ac:dyDescent="0.3">
      <c r="B490" s="105"/>
    </row>
    <row r="491" spans="2:2" ht="49.95" customHeight="1" x14ac:dyDescent="0.3">
      <c r="B491" s="105"/>
    </row>
    <row r="492" spans="2:2" ht="49.95" customHeight="1" x14ac:dyDescent="0.3">
      <c r="B492" s="105"/>
    </row>
    <row r="493" spans="2:2" ht="49.95" customHeight="1" x14ac:dyDescent="0.3">
      <c r="B493" s="105"/>
    </row>
    <row r="494" spans="2:2" ht="49.95" customHeight="1" x14ac:dyDescent="0.3">
      <c r="B494" s="105"/>
    </row>
    <row r="495" spans="2:2" ht="49.95" customHeight="1" x14ac:dyDescent="0.3">
      <c r="B495" s="105"/>
    </row>
    <row r="496" spans="2:2" ht="49.95" customHeight="1" x14ac:dyDescent="0.3">
      <c r="B496" s="105"/>
    </row>
    <row r="497" spans="2:2" ht="49.95" customHeight="1" x14ac:dyDescent="0.3">
      <c r="B497" s="105"/>
    </row>
    <row r="498" spans="2:2" ht="49.95" customHeight="1" x14ac:dyDescent="0.3">
      <c r="B498" s="105"/>
    </row>
    <row r="499" spans="2:2" ht="49.95" customHeight="1" x14ac:dyDescent="0.3">
      <c r="B499" s="105"/>
    </row>
    <row r="500" spans="2:2" ht="49.95" customHeight="1" x14ac:dyDescent="0.3">
      <c r="B500" s="105"/>
    </row>
    <row r="501" spans="2:2" ht="49.95" customHeight="1" x14ac:dyDescent="0.3">
      <c r="B501" s="105"/>
    </row>
    <row r="502" spans="2:2" ht="49.95" customHeight="1" x14ac:dyDescent="0.3">
      <c r="B502" s="105"/>
    </row>
    <row r="503" spans="2:2" ht="49.95" customHeight="1" x14ac:dyDescent="0.3">
      <c r="B503" s="105"/>
    </row>
    <row r="504" spans="2:2" ht="49.95" customHeight="1" x14ac:dyDescent="0.3">
      <c r="B504" s="105"/>
    </row>
    <row r="505" spans="2:2" ht="49.95" customHeight="1" x14ac:dyDescent="0.3">
      <c r="B505" s="105"/>
    </row>
    <row r="506" spans="2:2" ht="49.95" customHeight="1" x14ac:dyDescent="0.3">
      <c r="B506" s="105"/>
    </row>
    <row r="507" spans="2:2" ht="49.95" customHeight="1" x14ac:dyDescent="0.3">
      <c r="B507" s="105"/>
    </row>
    <row r="508" spans="2:2" ht="49.95" customHeight="1" x14ac:dyDescent="0.3">
      <c r="B508" s="105"/>
    </row>
    <row r="509" spans="2:2" ht="49.95" customHeight="1" x14ac:dyDescent="0.3">
      <c r="B509" s="105"/>
    </row>
    <row r="510" spans="2:2" ht="49.95" customHeight="1" x14ac:dyDescent="0.3">
      <c r="B510" s="105"/>
    </row>
    <row r="511" spans="2:2" ht="49.95" customHeight="1" x14ac:dyDescent="0.3">
      <c r="B511" s="105"/>
    </row>
    <row r="512" spans="2:2" ht="49.95" customHeight="1" x14ac:dyDescent="0.3">
      <c r="B512" s="105"/>
    </row>
    <row r="513" spans="2:2" ht="49.95" customHeight="1" x14ac:dyDescent="0.3">
      <c r="B513" s="105"/>
    </row>
    <row r="514" spans="2:2" ht="49.95" customHeight="1" x14ac:dyDescent="0.3">
      <c r="B514" s="105"/>
    </row>
    <row r="515" spans="2:2" ht="49.95" customHeight="1" x14ac:dyDescent="0.3">
      <c r="B515" s="105"/>
    </row>
    <row r="516" spans="2:2" ht="49.95" customHeight="1" x14ac:dyDescent="0.3">
      <c r="B516" s="105"/>
    </row>
    <row r="517" spans="2:2" ht="49.95" customHeight="1" x14ac:dyDescent="0.3">
      <c r="B517" s="105"/>
    </row>
    <row r="518" spans="2:2" ht="49.95" customHeight="1" x14ac:dyDescent="0.3">
      <c r="B518" s="105"/>
    </row>
    <row r="519" spans="2:2" ht="49.95" customHeight="1" x14ac:dyDescent="0.3">
      <c r="B519" s="105"/>
    </row>
    <row r="520" spans="2:2" ht="49.95" customHeight="1" x14ac:dyDescent="0.3">
      <c r="B520" s="105"/>
    </row>
    <row r="521" spans="2:2" ht="49.95" customHeight="1" x14ac:dyDescent="0.3">
      <c r="B521" s="105"/>
    </row>
    <row r="522" spans="2:2" ht="49.95" customHeight="1" x14ac:dyDescent="0.3">
      <c r="B522" s="105"/>
    </row>
    <row r="523" spans="2:2" ht="49.95" customHeight="1" x14ac:dyDescent="0.3">
      <c r="B523" s="105"/>
    </row>
    <row r="524" spans="2:2" ht="49.95" customHeight="1" x14ac:dyDescent="0.3">
      <c r="B524" s="105"/>
    </row>
    <row r="525" spans="2:2" ht="49.95" customHeight="1" x14ac:dyDescent="0.3">
      <c r="B525" s="105"/>
    </row>
    <row r="526" spans="2:2" ht="49.95" customHeight="1" x14ac:dyDescent="0.3">
      <c r="B526" s="105"/>
    </row>
    <row r="527" spans="2:2" ht="49.95" customHeight="1" x14ac:dyDescent="0.3">
      <c r="B527" s="105"/>
    </row>
    <row r="528" spans="2:2" ht="49.95" customHeight="1" x14ac:dyDescent="0.3">
      <c r="B528" s="105"/>
    </row>
    <row r="529" spans="2:2" ht="49.95" customHeight="1" x14ac:dyDescent="0.3">
      <c r="B529" s="105"/>
    </row>
    <row r="530" spans="2:2" ht="49.95" customHeight="1" x14ac:dyDescent="0.3">
      <c r="B530" s="105"/>
    </row>
    <row r="531" spans="2:2" ht="49.95" customHeight="1" x14ac:dyDescent="0.3">
      <c r="B531" s="105"/>
    </row>
    <row r="532" spans="2:2" ht="49.95" customHeight="1" x14ac:dyDescent="0.3">
      <c r="B532" s="105"/>
    </row>
    <row r="533" spans="2:2" ht="49.95" customHeight="1" x14ac:dyDescent="0.3">
      <c r="B533" s="105"/>
    </row>
    <row r="534" spans="2:2" ht="49.95" customHeight="1" x14ac:dyDescent="0.3">
      <c r="B534" s="105"/>
    </row>
    <row r="535" spans="2:2" ht="49.95" customHeight="1" x14ac:dyDescent="0.3">
      <c r="B535" s="105"/>
    </row>
    <row r="536" spans="2:2" ht="49.95" customHeight="1" x14ac:dyDescent="0.3">
      <c r="B536" s="105"/>
    </row>
    <row r="537" spans="2:2" ht="49.95" customHeight="1" x14ac:dyDescent="0.3">
      <c r="B537" s="105"/>
    </row>
    <row r="538" spans="2:2" ht="49.95" customHeight="1" x14ac:dyDescent="0.3">
      <c r="B538" s="105"/>
    </row>
    <row r="539" spans="2:2" ht="49.95" customHeight="1" x14ac:dyDescent="0.3">
      <c r="B539" s="105"/>
    </row>
    <row r="540" spans="2:2" ht="49.95" customHeight="1" x14ac:dyDescent="0.3">
      <c r="B540" s="105"/>
    </row>
    <row r="541" spans="2:2" ht="49.95" customHeight="1" x14ac:dyDescent="0.3">
      <c r="B541" s="105"/>
    </row>
    <row r="542" spans="2:2" ht="49.95" customHeight="1" x14ac:dyDescent="0.3">
      <c r="B542" s="105"/>
    </row>
    <row r="543" spans="2:2" ht="49.95" customHeight="1" x14ac:dyDescent="0.3">
      <c r="B543" s="105"/>
    </row>
    <row r="544" spans="2:2" ht="49.95" customHeight="1" x14ac:dyDescent="0.3">
      <c r="B544" s="105"/>
    </row>
    <row r="545" spans="2:2" ht="49.95" customHeight="1" x14ac:dyDescent="0.3">
      <c r="B545" s="105"/>
    </row>
    <row r="546" spans="2:2" ht="49.95" customHeight="1" x14ac:dyDescent="0.3">
      <c r="B546" s="105"/>
    </row>
    <row r="547" spans="2:2" ht="49.95" customHeight="1" x14ac:dyDescent="0.3">
      <c r="B547" s="105"/>
    </row>
    <row r="548" spans="2:2" ht="49.95" customHeight="1" x14ac:dyDescent="0.3">
      <c r="B548" s="105"/>
    </row>
    <row r="549" spans="2:2" ht="49.95" customHeight="1" x14ac:dyDescent="0.3">
      <c r="B549" s="105"/>
    </row>
    <row r="550" spans="2:2" ht="49.95" customHeight="1" x14ac:dyDescent="0.3">
      <c r="B550" s="105"/>
    </row>
    <row r="551" spans="2:2" ht="49.95" customHeight="1" x14ac:dyDescent="0.3">
      <c r="B551" s="105"/>
    </row>
    <row r="552" spans="2:2" ht="49.95" customHeight="1" x14ac:dyDescent="0.3">
      <c r="B552" s="105"/>
    </row>
    <row r="553" spans="2:2" ht="49.95" customHeight="1" x14ac:dyDescent="0.3">
      <c r="B553" s="105"/>
    </row>
    <row r="554" spans="2:2" ht="49.95" customHeight="1" x14ac:dyDescent="0.3">
      <c r="B554" s="105"/>
    </row>
    <row r="555" spans="2:2" ht="49.95" customHeight="1" x14ac:dyDescent="0.3">
      <c r="B555" s="105"/>
    </row>
    <row r="556" spans="2:2" ht="49.95" customHeight="1" x14ac:dyDescent="0.3">
      <c r="B556" s="105"/>
    </row>
    <row r="557" spans="2:2" ht="49.95" customHeight="1" x14ac:dyDescent="0.3">
      <c r="B557" s="105"/>
    </row>
    <row r="558" spans="2:2" ht="49.95" customHeight="1" x14ac:dyDescent="0.3">
      <c r="B558" s="105"/>
    </row>
    <row r="559" spans="2:2" ht="49.95" customHeight="1" x14ac:dyDescent="0.3">
      <c r="B559" s="105"/>
    </row>
    <row r="560" spans="2:2" ht="49.95" customHeight="1" x14ac:dyDescent="0.3">
      <c r="B560" s="105"/>
    </row>
    <row r="561" spans="2:2" ht="49.95" customHeight="1" x14ac:dyDescent="0.3">
      <c r="B561" s="105"/>
    </row>
    <row r="562" spans="2:2" ht="49.95" customHeight="1" x14ac:dyDescent="0.3">
      <c r="B562" s="105"/>
    </row>
    <row r="563" spans="2:2" ht="49.95" customHeight="1" x14ac:dyDescent="0.3">
      <c r="B563" s="105"/>
    </row>
    <row r="564" spans="2:2" ht="49.95" customHeight="1" x14ac:dyDescent="0.3">
      <c r="B564" s="105"/>
    </row>
    <row r="565" spans="2:2" ht="49.95" customHeight="1" x14ac:dyDescent="0.3">
      <c r="B565" s="105"/>
    </row>
    <row r="566" spans="2:2" ht="49.95" customHeight="1" x14ac:dyDescent="0.3">
      <c r="B566" s="105"/>
    </row>
    <row r="567" spans="2:2" ht="49.95" customHeight="1" x14ac:dyDescent="0.3">
      <c r="B567" s="105"/>
    </row>
    <row r="568" spans="2:2" ht="49.95" customHeight="1" x14ac:dyDescent="0.3">
      <c r="B568" s="105"/>
    </row>
    <row r="569" spans="2:2" ht="49.95" customHeight="1" x14ac:dyDescent="0.3">
      <c r="B569" s="105"/>
    </row>
    <row r="570" spans="2:2" ht="49.95" customHeight="1" x14ac:dyDescent="0.3">
      <c r="B570" s="105"/>
    </row>
    <row r="571" spans="2:2" ht="49.95" customHeight="1" x14ac:dyDescent="0.3">
      <c r="B571" s="105"/>
    </row>
    <row r="572" spans="2:2" ht="49.95" customHeight="1" x14ac:dyDescent="0.3">
      <c r="B572" s="105"/>
    </row>
    <row r="573" spans="2:2" ht="49.95" customHeight="1" x14ac:dyDescent="0.3">
      <c r="B573" s="105"/>
    </row>
    <row r="574" spans="2:2" ht="49.95" customHeight="1" x14ac:dyDescent="0.3">
      <c r="B574" s="105"/>
    </row>
    <row r="575" spans="2:2" ht="49.95" customHeight="1" x14ac:dyDescent="0.3">
      <c r="B575" s="105"/>
    </row>
    <row r="576" spans="2:2" ht="49.95" customHeight="1" x14ac:dyDescent="0.3">
      <c r="B576" s="105"/>
    </row>
    <row r="577" spans="2:2" ht="49.95" customHeight="1" x14ac:dyDescent="0.3">
      <c r="B577" s="105"/>
    </row>
    <row r="578" spans="2:2" ht="49.95" customHeight="1" x14ac:dyDescent="0.3">
      <c r="B578" s="105"/>
    </row>
    <row r="579" spans="2:2" ht="49.95" customHeight="1" x14ac:dyDescent="0.3">
      <c r="B579" s="105"/>
    </row>
    <row r="580" spans="2:2" ht="49.95" customHeight="1" x14ac:dyDescent="0.3">
      <c r="B580" s="105"/>
    </row>
    <row r="581" spans="2:2" ht="49.95" customHeight="1" x14ac:dyDescent="0.3">
      <c r="B581" s="105"/>
    </row>
    <row r="582" spans="2:2" ht="49.95" customHeight="1" x14ac:dyDescent="0.3">
      <c r="B582" s="105"/>
    </row>
    <row r="583" spans="2:2" ht="49.95" customHeight="1" x14ac:dyDescent="0.3">
      <c r="B583" s="105"/>
    </row>
    <row r="584" spans="2:2" ht="49.95" customHeight="1" x14ac:dyDescent="0.3">
      <c r="B584" s="105"/>
    </row>
    <row r="585" spans="2:2" ht="49.95" customHeight="1" x14ac:dyDescent="0.3">
      <c r="B585" s="105"/>
    </row>
    <row r="586" spans="2:2" ht="49.95" customHeight="1" x14ac:dyDescent="0.3">
      <c r="B586" s="105"/>
    </row>
    <row r="587" spans="2:2" ht="49.95" customHeight="1" x14ac:dyDescent="0.3">
      <c r="B587" s="105"/>
    </row>
    <row r="588" spans="2:2" ht="49.95" customHeight="1" x14ac:dyDescent="0.3">
      <c r="B588" s="105"/>
    </row>
    <row r="589" spans="2:2" ht="49.95" customHeight="1" x14ac:dyDescent="0.3">
      <c r="B589" s="105"/>
    </row>
    <row r="590" spans="2:2" ht="49.95" customHeight="1" x14ac:dyDescent="0.3">
      <c r="B590" s="105"/>
    </row>
    <row r="591" spans="2:2" ht="49.95" customHeight="1" x14ac:dyDescent="0.3">
      <c r="B591" s="105"/>
    </row>
    <row r="592" spans="2:2" ht="49.95" customHeight="1" x14ac:dyDescent="0.3">
      <c r="B592" s="105"/>
    </row>
    <row r="593" spans="2:2" ht="49.95" customHeight="1" x14ac:dyDescent="0.3">
      <c r="B593" s="105"/>
    </row>
    <row r="594" spans="2:2" ht="49.95" customHeight="1" x14ac:dyDescent="0.3">
      <c r="B594" s="105"/>
    </row>
    <row r="595" spans="2:2" ht="49.95" customHeight="1" x14ac:dyDescent="0.3">
      <c r="B595" s="105"/>
    </row>
    <row r="596" spans="2:2" ht="49.95" customHeight="1" x14ac:dyDescent="0.3">
      <c r="B596" s="105"/>
    </row>
    <row r="597" spans="2:2" ht="49.95" customHeight="1" x14ac:dyDescent="0.3">
      <c r="B597" s="105"/>
    </row>
    <row r="598" spans="2:2" ht="49.95" customHeight="1" x14ac:dyDescent="0.3">
      <c r="B598" s="105"/>
    </row>
    <row r="599" spans="2:2" ht="49.95" customHeight="1" x14ac:dyDescent="0.3">
      <c r="B599" s="105"/>
    </row>
    <row r="600" spans="2:2" ht="49.95" customHeight="1" x14ac:dyDescent="0.3">
      <c r="B600" s="105"/>
    </row>
    <row r="601" spans="2:2" ht="49.95" customHeight="1" x14ac:dyDescent="0.3">
      <c r="B601" s="105"/>
    </row>
    <row r="602" spans="2:2" ht="49.95" customHeight="1" x14ac:dyDescent="0.3">
      <c r="B602" s="105"/>
    </row>
    <row r="603" spans="2:2" ht="49.95" customHeight="1" x14ac:dyDescent="0.3">
      <c r="B603" s="105"/>
    </row>
    <row r="604" spans="2:2" ht="49.95" customHeight="1" x14ac:dyDescent="0.3">
      <c r="B604" s="105"/>
    </row>
    <row r="605" spans="2:2" ht="49.95" customHeight="1" x14ac:dyDescent="0.3">
      <c r="B605" s="105"/>
    </row>
    <row r="606" spans="2:2" ht="49.95" customHeight="1" x14ac:dyDescent="0.3">
      <c r="B606" s="105"/>
    </row>
    <row r="607" spans="2:2" ht="49.95" customHeight="1" x14ac:dyDescent="0.3">
      <c r="B607" s="105"/>
    </row>
    <row r="608" spans="2:2" ht="49.95" customHeight="1" x14ac:dyDescent="0.3">
      <c r="B608" s="105"/>
    </row>
    <row r="609" spans="2:2" ht="49.95" customHeight="1" x14ac:dyDescent="0.3">
      <c r="B609" s="105"/>
    </row>
    <row r="610" spans="2:2" ht="49.95" customHeight="1" x14ac:dyDescent="0.3">
      <c r="B610" s="105"/>
    </row>
    <row r="611" spans="2:2" ht="49.95" customHeight="1" x14ac:dyDescent="0.3">
      <c r="B611" s="105"/>
    </row>
    <row r="612" spans="2:2" ht="49.95" customHeight="1" x14ac:dyDescent="0.3">
      <c r="B612" s="105"/>
    </row>
    <row r="613" spans="2:2" ht="49.95" customHeight="1" x14ac:dyDescent="0.3">
      <c r="B613" s="105"/>
    </row>
    <row r="614" spans="2:2" ht="49.95" customHeight="1" x14ac:dyDescent="0.3">
      <c r="B614" s="105"/>
    </row>
    <row r="615" spans="2:2" ht="49.95" customHeight="1" x14ac:dyDescent="0.3">
      <c r="B615" s="105"/>
    </row>
    <row r="616" spans="2:2" ht="49.95" customHeight="1" x14ac:dyDescent="0.3">
      <c r="B616" s="105"/>
    </row>
    <row r="617" spans="2:2" ht="49.95" customHeight="1" x14ac:dyDescent="0.3">
      <c r="B617" s="105"/>
    </row>
    <row r="618" spans="2:2" ht="49.95" customHeight="1" x14ac:dyDescent="0.3">
      <c r="B618" s="105"/>
    </row>
    <row r="619" spans="2:2" ht="49.95" customHeight="1" x14ac:dyDescent="0.3">
      <c r="B619" s="105"/>
    </row>
    <row r="620" spans="2:2" ht="49.95" customHeight="1" x14ac:dyDescent="0.3">
      <c r="B620" s="105"/>
    </row>
    <row r="621" spans="2:2" ht="49.95" customHeight="1" x14ac:dyDescent="0.3">
      <c r="B621" s="105"/>
    </row>
    <row r="622" spans="2:2" ht="49.95" customHeight="1" x14ac:dyDescent="0.3">
      <c r="B622" s="105"/>
    </row>
    <row r="623" spans="2:2" ht="49.95" customHeight="1" x14ac:dyDescent="0.3">
      <c r="B623" s="105"/>
    </row>
    <row r="624" spans="2:2" ht="49.95" customHeight="1" x14ac:dyDescent="0.3">
      <c r="B624" s="105"/>
    </row>
    <row r="625" spans="2:2" ht="49.95" customHeight="1" x14ac:dyDescent="0.3">
      <c r="B625" s="105"/>
    </row>
    <row r="626" spans="2:2" ht="49.95" customHeight="1" x14ac:dyDescent="0.3">
      <c r="B626" s="105"/>
    </row>
    <row r="627" spans="2:2" ht="49.95" customHeight="1" x14ac:dyDescent="0.3">
      <c r="B627" s="105"/>
    </row>
    <row r="628" spans="2:2" ht="49.95" customHeight="1" x14ac:dyDescent="0.3">
      <c r="B628" s="105"/>
    </row>
    <row r="629" spans="2:2" ht="49.95" customHeight="1" x14ac:dyDescent="0.3">
      <c r="B629" s="105"/>
    </row>
    <row r="630" spans="2:2" ht="49.95" customHeight="1" x14ac:dyDescent="0.3">
      <c r="B630" s="105"/>
    </row>
    <row r="631" spans="2:2" ht="49.95" customHeight="1" x14ac:dyDescent="0.3">
      <c r="B631" s="105"/>
    </row>
    <row r="632" spans="2:2" ht="49.95" customHeight="1" x14ac:dyDescent="0.3">
      <c r="B632" s="105"/>
    </row>
    <row r="633" spans="2:2" ht="49.95" customHeight="1" x14ac:dyDescent="0.3">
      <c r="B633" s="105"/>
    </row>
    <row r="634" spans="2:2" ht="49.95" customHeight="1" x14ac:dyDescent="0.3">
      <c r="B634" s="105"/>
    </row>
    <row r="635" spans="2:2" ht="49.95" customHeight="1" x14ac:dyDescent="0.3">
      <c r="B635" s="105"/>
    </row>
    <row r="636" spans="2:2" ht="49.95" customHeight="1" x14ac:dyDescent="0.3">
      <c r="B636" s="105"/>
    </row>
    <row r="637" spans="2:2" ht="49.95" customHeight="1" x14ac:dyDescent="0.3">
      <c r="B637" s="105"/>
    </row>
    <row r="638" spans="2:2" ht="49.95" customHeight="1" x14ac:dyDescent="0.3">
      <c r="B638" s="105"/>
    </row>
    <row r="639" spans="2:2" ht="49.95" customHeight="1" x14ac:dyDescent="0.3">
      <c r="B639" s="105"/>
    </row>
    <row r="640" spans="2:2" ht="49.95" customHeight="1" x14ac:dyDescent="0.3">
      <c r="B640" s="105"/>
    </row>
    <row r="641" spans="2:2" ht="49.95" customHeight="1" x14ac:dyDescent="0.3">
      <c r="B641" s="105"/>
    </row>
    <row r="642" spans="2:2" ht="49.95" customHeight="1" x14ac:dyDescent="0.3">
      <c r="B642" s="105"/>
    </row>
    <row r="643" spans="2:2" ht="49.95" customHeight="1" x14ac:dyDescent="0.3">
      <c r="B643" s="105"/>
    </row>
    <row r="644" spans="2:2" ht="49.95" customHeight="1" x14ac:dyDescent="0.3">
      <c r="B644" s="105"/>
    </row>
    <row r="645" spans="2:2" ht="49.95" customHeight="1" x14ac:dyDescent="0.3">
      <c r="B645" s="105"/>
    </row>
    <row r="646" spans="2:2" ht="49.95" customHeight="1" x14ac:dyDescent="0.3">
      <c r="B646" s="105"/>
    </row>
    <row r="647" spans="2:2" ht="49.95" customHeight="1" x14ac:dyDescent="0.3">
      <c r="B647" s="105"/>
    </row>
    <row r="648" spans="2:2" ht="49.95" customHeight="1" x14ac:dyDescent="0.3">
      <c r="B648" s="105"/>
    </row>
    <row r="649" spans="2:2" ht="49.95" customHeight="1" x14ac:dyDescent="0.3">
      <c r="B649" s="105"/>
    </row>
    <row r="650" spans="2:2" ht="49.95" customHeight="1" x14ac:dyDescent="0.3">
      <c r="B650" s="105"/>
    </row>
    <row r="651" spans="2:2" ht="49.95" customHeight="1" x14ac:dyDescent="0.3">
      <c r="B651" s="105"/>
    </row>
  </sheetData>
  <sheetProtection sheet="1" objects="1" scenarios="1" selectLockedCells="1" selectUnlockedCells="1"/>
  <mergeCells count="10">
    <mergeCell ref="A1:XFD1"/>
    <mergeCell ref="S2:AH2"/>
    <mergeCell ref="S7:T7"/>
    <mergeCell ref="S10:Z10"/>
    <mergeCell ref="S9:Y9"/>
    <mergeCell ref="S4:T4"/>
    <mergeCell ref="S5:T5"/>
    <mergeCell ref="U5:Y5"/>
    <mergeCell ref="S6:T6"/>
    <mergeCell ref="U6:Y6"/>
  </mergeCells>
  <conditionalFormatting sqref="A3:C9997">
    <cfRule type="expression" dxfId="41" priority="13">
      <formula>EXACT($A3, "Daily")</formula>
    </cfRule>
    <cfRule type="expression" dxfId="40" priority="14">
      <formula>EXACT($A3, "Error")</formula>
    </cfRule>
    <cfRule type="expression" dxfId="39" priority="15">
      <formula>EXACT($A3, "Trial")</formula>
    </cfRule>
  </conditionalFormatting>
  <conditionalFormatting sqref="H3:H1048576">
    <cfRule type="colorScale" priority="26">
      <colorScale>
        <cfvo type="min"/>
        <cfvo type="percentile" val="50"/>
        <cfvo type="max"/>
        <color rgb="FFF8696B"/>
        <color rgb="FFFFEB84"/>
        <color rgb="FF63BE7B"/>
      </colorScale>
    </cfRule>
  </conditionalFormatting>
  <conditionalFormatting sqref="I3:I1048576">
    <cfRule type="colorScale" priority="23">
      <colorScale>
        <cfvo type="min"/>
        <cfvo type="max"/>
        <color rgb="FFFF7128"/>
        <color rgb="FFFFEF9C"/>
      </colorScale>
    </cfRule>
  </conditionalFormatting>
  <conditionalFormatting sqref="J3:J1048576">
    <cfRule type="colorScale" priority="24">
      <colorScale>
        <cfvo type="min"/>
        <cfvo type="percentile" val="50"/>
        <cfvo type="max"/>
        <color rgb="FF63BE7B"/>
        <color rgb="FFFFEB84"/>
        <color rgb="FFF8696B"/>
      </colorScale>
    </cfRule>
  </conditionalFormatting>
  <conditionalFormatting sqref="K3:K1048576">
    <cfRule type="colorScale" priority="22">
      <colorScale>
        <cfvo type="min"/>
        <cfvo type="max"/>
        <color rgb="FFFFEF9C"/>
        <color rgb="FFFF7128"/>
      </colorScale>
    </cfRule>
  </conditionalFormatting>
  <conditionalFormatting sqref="L3:L1048576">
    <cfRule type="colorScale" priority="21">
      <colorScale>
        <cfvo type="min"/>
        <cfvo type="max"/>
        <color rgb="FFFFEF9C"/>
        <color rgb="FFFF7128"/>
      </colorScale>
    </cfRule>
  </conditionalFormatting>
  <conditionalFormatting sqref="M3:M1048576">
    <cfRule type="colorScale" priority="25">
      <colorScale>
        <cfvo type="min"/>
        <cfvo type="percentile" val="50"/>
        <cfvo type="max"/>
        <color rgb="FF63BE7B"/>
        <color rgb="FFFFEB84"/>
        <color rgb="FFF8696B"/>
      </colorScale>
    </cfRule>
  </conditionalFormatting>
  <conditionalFormatting sqref="N3:N1048576">
    <cfRule type="colorScale" priority="20">
      <colorScale>
        <cfvo type="min"/>
        <cfvo type="max"/>
        <color rgb="FFFFEF9C"/>
        <color rgb="FFFF7128"/>
      </colorScale>
    </cfRule>
  </conditionalFormatting>
  <conditionalFormatting sqref="O3:O1048576">
    <cfRule type="colorScale" priority="19">
      <colorScale>
        <cfvo type="min"/>
        <cfvo type="max"/>
        <color rgb="FFFFEF9C"/>
        <color rgb="FFFF7128"/>
      </colorScale>
    </cfRule>
  </conditionalFormatting>
  <conditionalFormatting sqref="P8">
    <cfRule type="colorScale" priority="5">
      <colorScale>
        <cfvo type="min"/>
        <cfvo type="max"/>
        <color rgb="FFFFEF9C"/>
        <color rgb="FFFF7128"/>
      </colorScale>
    </cfRule>
  </conditionalFormatting>
  <conditionalFormatting sqref="R8">
    <cfRule type="colorScale" priority="4">
      <colorScale>
        <cfvo type="min"/>
        <cfvo type="max"/>
        <color rgb="FFFFEF9C"/>
        <color rgb="FFFF7128"/>
      </colorScale>
    </cfRule>
  </conditionalFormatting>
  <conditionalFormatting sqref="S8">
    <cfRule type="colorScale" priority="3">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807619EF-9AE1-493D-9E97-8904F261B843}">
          <x14:formula1>
            <xm:f>'Data-Lists'!$C$4:$C$6</xm:f>
          </x14:formula1>
          <xm:sqref>A3:A179</xm:sqref>
        </x14:dataValidation>
        <x14:dataValidation type="list" allowBlank="1" showInputMessage="1" showErrorMessage="1" xr:uid="{5B864A4B-5F87-4AAF-88D1-21D1FB23751D}">
          <x14:formula1>
            <xm:f>'Data-Lists'!$B$4:$B$246</xm:f>
          </x14:formula1>
          <xm:sqref>C3:C6</xm:sqref>
        </x14:dataValidation>
        <x14:dataValidation type="list" allowBlank="1" showInputMessage="1" showErrorMessage="1" xr:uid="{EE206A71-0C35-4D6E-8D03-2D9260746B93}">
          <x14:formula1>
            <xm:f>'Data-Lists'!$D$4:$D$10000</xm:f>
          </x14:formula1>
          <xm:sqref>B3:B8</xm:sqref>
        </x14:dataValidation>
        <x14:dataValidation type="list" allowBlank="1" showInputMessage="1" showErrorMessage="1" xr:uid="{E43D20E8-DD8A-4A9F-9BF5-5A0D2596120F}">
          <x14:formula1>
            <xm:f>'Data-Lists'!$F$4:$F$101</xm:f>
          </x14:formula1>
          <xm:sqref>F1:F1048576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45B93-7D15-4AF8-8394-4FC0D8F01FC3}">
  <sheetPr>
    <tabColor rgb="FFC5D9F1"/>
  </sheetPr>
  <dimension ref="A1:AV659"/>
  <sheetViews>
    <sheetView showZeros="0" topLeftCell="F1" zoomScale="70" zoomScaleNormal="70" workbookViewId="0">
      <pane ySplit="2" topLeftCell="A3" activePane="bottomLeft" state="frozen"/>
      <selection activeCell="R17" sqref="R17"/>
      <selection pane="bottomLeft" sqref="A1:XFD1"/>
    </sheetView>
  </sheetViews>
  <sheetFormatPr defaultColWidth="8.6640625" defaultRowHeight="40.049999999999997" customHeight="1" x14ac:dyDescent="0.3"/>
  <cols>
    <col min="1" max="1" width="10.77734375" style="40" customWidth="1"/>
    <col min="2" max="2" width="20.77734375" style="106" customWidth="1"/>
    <col min="3" max="3" width="15.77734375" style="40" customWidth="1"/>
    <col min="4" max="4" width="15.77734375" style="41" customWidth="1"/>
    <col min="5" max="5" width="12.77734375" style="44" customWidth="1"/>
    <col min="6" max="6" width="12.77734375" style="75" customWidth="1"/>
    <col min="7" max="7" width="15.77734375" style="45" customWidth="1"/>
    <col min="8" max="10" width="18.77734375" style="45" customWidth="1"/>
    <col min="11" max="11" width="18.77734375" style="46" customWidth="1"/>
    <col min="12" max="13" width="18.77734375" style="75" customWidth="1"/>
    <col min="14" max="14" width="15" style="40" customWidth="1"/>
    <col min="15" max="15" width="15" style="46" customWidth="1"/>
    <col min="16" max="17" width="15" style="40" customWidth="1"/>
    <col min="18" max="19" width="15" style="75" customWidth="1"/>
    <col min="20" max="20" width="15" style="40" customWidth="1"/>
    <col min="21" max="21" width="15" style="46" customWidth="1"/>
    <col min="22" max="23" width="15" style="40" customWidth="1"/>
    <col min="24" max="25" width="15" style="75" customWidth="1"/>
    <col min="26" max="26" width="15.77734375" style="165" customWidth="1"/>
    <col min="27" max="27" width="15.77734375" style="169" customWidth="1"/>
    <col min="28" max="29" width="50.77734375" style="147" customWidth="1"/>
    <col min="30" max="30" width="50.77734375" style="143" customWidth="1"/>
    <col min="31" max="32" width="8.6640625" style="40"/>
    <col min="33" max="33" width="8.6640625" style="43" customWidth="1"/>
    <col min="34" max="16384" width="8.6640625" style="40"/>
  </cols>
  <sheetData>
    <row r="1" spans="1:48" s="359" customFormat="1" ht="24.6" thickTop="1" thickBot="1" x14ac:dyDescent="0.5">
      <c r="A1" s="358" t="s">
        <v>311</v>
      </c>
    </row>
    <row r="2" spans="1:48" ht="40.049999999999997" customHeight="1" thickTop="1" thickBot="1" x14ac:dyDescent="0.35">
      <c r="A2" s="157" t="s">
        <v>85</v>
      </c>
      <c r="B2" s="158" t="s">
        <v>87</v>
      </c>
      <c r="C2" s="159" t="s">
        <v>31</v>
      </c>
      <c r="D2" s="153" t="s">
        <v>42</v>
      </c>
      <c r="E2" s="153" t="s">
        <v>43</v>
      </c>
      <c r="F2" s="156" t="s">
        <v>75</v>
      </c>
      <c r="G2" s="178" t="s">
        <v>225</v>
      </c>
      <c r="H2" s="181" t="s">
        <v>240</v>
      </c>
      <c r="I2" s="181" t="s">
        <v>242</v>
      </c>
      <c r="J2" s="181" t="s">
        <v>243</v>
      </c>
      <c r="K2" s="179" t="s">
        <v>241</v>
      </c>
      <c r="L2" s="175" t="s">
        <v>239</v>
      </c>
      <c r="M2" s="175" t="s">
        <v>244</v>
      </c>
      <c r="N2" s="175" t="s">
        <v>234</v>
      </c>
      <c r="O2" s="179" t="s">
        <v>231</v>
      </c>
      <c r="P2" s="175" t="s">
        <v>165</v>
      </c>
      <c r="Q2" s="175" t="s">
        <v>166</v>
      </c>
      <c r="R2" s="175" t="s">
        <v>237</v>
      </c>
      <c r="S2" s="175" t="s">
        <v>238</v>
      </c>
      <c r="T2" s="175" t="s">
        <v>233</v>
      </c>
      <c r="U2" s="179" t="s">
        <v>232</v>
      </c>
      <c r="V2" s="175" t="s">
        <v>168</v>
      </c>
      <c r="W2" s="175" t="s">
        <v>169</v>
      </c>
      <c r="X2" s="175" t="s">
        <v>236</v>
      </c>
      <c r="Y2" s="175" t="s">
        <v>235</v>
      </c>
      <c r="Z2" s="164" t="s">
        <v>201</v>
      </c>
      <c r="AA2" s="168" t="s">
        <v>202</v>
      </c>
      <c r="AB2" s="154" t="s">
        <v>112</v>
      </c>
      <c r="AC2" s="160" t="s">
        <v>131</v>
      </c>
      <c r="AD2" s="155" t="s">
        <v>108</v>
      </c>
      <c r="AF2" s="296" t="s">
        <v>213</v>
      </c>
      <c r="AG2" s="297"/>
      <c r="AH2" s="297"/>
      <c r="AI2" s="297"/>
      <c r="AJ2" s="297"/>
      <c r="AK2" s="297"/>
      <c r="AL2" s="297"/>
      <c r="AM2" s="297"/>
      <c r="AN2" s="297"/>
      <c r="AO2" s="297"/>
      <c r="AP2" s="297"/>
      <c r="AQ2" s="297"/>
      <c r="AR2" s="297"/>
      <c r="AS2" s="297"/>
      <c r="AT2" s="297"/>
      <c r="AU2" s="297"/>
      <c r="AV2" s="297"/>
    </row>
    <row r="3" spans="1:48" ht="10.050000000000001" customHeight="1" x14ac:dyDescent="0.3">
      <c r="A3" s="107"/>
      <c r="B3" s="105"/>
      <c r="C3" s="5"/>
      <c r="D3" s="31"/>
      <c r="E3" s="32"/>
      <c r="G3" s="36"/>
      <c r="H3" s="36" t="str">
        <f>IF(COUNTBLANK($A3:$E3)&gt;0, "", IFERROR(AVERAGEIFS(Log!$E:$E, Log!$A:$A, $A3, Log!$B:$B, $B3, Log!$C:$C, $C3),""))</f>
        <v/>
      </c>
      <c r="I3" s="36"/>
      <c r="J3" s="36"/>
      <c r="K3" s="37" t="str">
        <f t="shared" ref="K3:K43" si="0">IF(AND($H3&lt;&gt;"", $G3&lt;&gt;""), $H3/$G3, "")</f>
        <v/>
      </c>
      <c r="L3" s="180"/>
      <c r="M3" s="180"/>
      <c r="N3" s="6" t="str">
        <f>IF(COUNTBLANK($A3:$E3)&gt;0, "", IFERROR(AVERAGEIFS(Log!$F:$F, Log!$A:$A, $A3, Log!$B:$B, $B3, Log!$C:$C, $C3),""))</f>
        <v/>
      </c>
      <c r="O3" s="37" t="str">
        <f>IF(COUNTBLANK($A3:$E3)&gt;0, "", IFERROR(AVERAGEIFS(Log!$F:$F, Log!$A:$A, $A3, Log!$B:$B, $B3, Log!$C:$C, $C3),""))</f>
        <v/>
      </c>
      <c r="P3" s="6" t="str">
        <f>IF(COUNTBLANK($A3:$E3)&gt;0, "", IFERROR(_xlfn.MINIFS(Log!$F:$F, Log!$A:$A, $A3, Log!$B:$B, $B3, Log!$C:$C, $C3),""))</f>
        <v/>
      </c>
      <c r="Q3" s="6" t="str">
        <f>IF(COUNTBLANK($A3:$E3)&gt;0, "", IFERROR(_xlfn.MAXIFS(Log!$F:$F, Log!$A:$A, $A3, Log!$B:$B, $B3, Log!$C:$C, $C3),""))</f>
        <v/>
      </c>
      <c r="R3" s="180"/>
      <c r="S3" s="180"/>
      <c r="T3" s="6" t="str">
        <f>IF(COUNTBLANK($A3:$E3)&gt;0, "", IFERROR(AVERAGEIFS(Log!#REF!, Log!$A:$A, $A3, Log!$B:$B, $B3, Log!$C:$C, $C3),""))</f>
        <v/>
      </c>
      <c r="U3" s="37" t="str">
        <f>IF(COUNTBLANK($A3:$E3)&gt;0, "", IFERROR(AVERAGEIFS(Log!$F:$F, Log!$A:$A, $A3, Log!$B:$B, $B3, Log!$C:$C, $C3),""))</f>
        <v/>
      </c>
      <c r="V3" s="6" t="str">
        <f>IF(COUNTBLANK($A3:$E3)&gt;0, "", IFERROR(_xlfn.MINIFS(Log!$G:$G, Log!$A:$A, $A3, Log!$B:$B, $B3, Log!$C:$C, $C3),""))</f>
        <v/>
      </c>
      <c r="W3" s="6" t="str">
        <f>IF(COUNTBLANK($A3:$E3)&gt;0, "", IFERROR(_xlfn.MAXIFS(Log!$G:$G, Log!$A:$A, $A3, Log!$B:$B, $B3, Log!$C:$C, $C3),""))</f>
        <v/>
      </c>
      <c r="X3" s="180"/>
      <c r="Y3" s="180"/>
    </row>
    <row r="4" spans="1:48" ht="40.049999999999997" customHeight="1" x14ac:dyDescent="0.3">
      <c r="A4" s="103" t="s">
        <v>88</v>
      </c>
      <c r="B4" s="105" t="s">
        <v>120</v>
      </c>
      <c r="C4" s="5">
        <v>46240</v>
      </c>
      <c r="D4" s="31">
        <v>25</v>
      </c>
      <c r="E4" s="32">
        <v>0.64722222222222225</v>
      </c>
      <c r="F4" s="75" t="s">
        <v>73</v>
      </c>
      <c r="G4" s="36">
        <v>1000</v>
      </c>
      <c r="H4" s="36">
        <f>IF(COUNTBLANK($A4:$E4)&gt;0, "", IFERROR(AVERAGEIFS(Log!$E:$E, Log!$A:$A, $A4, Log!$B:$B, $B4, Log!$C:$C, $C4),""))</f>
        <v>1994.5555555555557</v>
      </c>
      <c r="I4" s="36">
        <f>IF(COUNTBLANK($A4:$E4)&gt;0, "", IFERROR(_xlfn.MAXIFS(Log!$E:$E, Log!$A:$A, $A4, Log!$B:$B, $B4, Log!$C:$C, $C4),""))</f>
        <v>3478</v>
      </c>
      <c r="J4" s="36">
        <f>IF(COUNTBLANK($A4:$E4)&gt;0, "", IFERROR(_xlfn.MINIFS(Log!$E:$E, Log!$A:$A, $A4, Log!$B:$B, $B4, Log!$C:$C, $C4),""))</f>
        <v>1002</v>
      </c>
      <c r="K4" s="37">
        <f t="shared" si="0"/>
        <v>1.9945555555555556</v>
      </c>
      <c r="L4" s="180" t="str" cm="1">
        <f t="array" ref="L4">_xlfn.LET(_xlpm.row_no, ROW(A4),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 s="180" t="str" cm="1">
        <f t="array" ref="M4">_xlfn.LET(_xlpm.row_no, ROW(A4),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4" s="6">
        <f>IF(COUNTBLANK($A4:$E4)&gt;0, "", IFERROR(AVERAGEIFS(Log!$F:$F, Log!$A:$A, $A4, Log!$B:$B, $B4, Log!$C:$C, $C4),""))</f>
        <v>0.42452883333333341</v>
      </c>
      <c r="O4" s="37" cm="1">
        <f t="array" ref="O4">IFERROR(_xlfn.LET(
_xlpm.goal, $N4,
_xlpm.key, $B4,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0.61111111111111116</v>
      </c>
      <c r="P4" s="6">
        <f>IF(COUNTBLANK($A4:$E4)&gt;0, "", IFERROR(_xlfn.MINIFS(Log!$F:$F, Log!$A:$A, $A4, Log!$B:$B, $B4, Log!$C:$C, $C4),""))</f>
        <v>0.19153899999999999</v>
      </c>
      <c r="Q4" s="6">
        <f>IF(COUNTBLANK($A4:$E4)&gt;0, "", IFERROR(_xlfn.MAXIFS(Log!$F:$F, Log!$A:$A, $A4, Log!$B:$B, $B4, Log!$C:$C, $C4),""))</f>
        <v>0.75186900000000001</v>
      </c>
      <c r="R4" s="180" t="str" cm="1">
        <f t="array" ref="R4">_xlfn.LET(_xlpm.row_no, ROW(A4),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4" s="180" t="str" cm="1">
        <f t="array" ref="S4">_xlfn.LET(_xlpm.row_no, ROW(A4),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4" s="6">
        <f>IF(COUNTBLANK($A4:$E4)&gt;0, "", IFERROR(AVERAGEIFS(Log!$G:$G, Log!$A:$A, $A4, Log!$B:$B, $B4, Log!$C:$C, $C4),""))</f>
        <v>0.10059798888888888</v>
      </c>
      <c r="U4" s="37" cm="1">
        <f t="array" ref="U4">IFERROR(_xlfn.LET(
_xlpm.goal, $T4,
_xlpm.key, $B4,
_xlpm.range, Log!$G:$G,
_xlpm.cameras_above_mean, ROWS(_xlfn.UNIQUE(_xlfn._xlws.FILTER(Log!$D:$D, (_xlpm.range&gt;_xlpm.goal) * (Log!$A:$A="Trial") * (Log!$B:$B=_xlpm.key)))),
_xlpm.total_cameras, ROWS('Data-Lists'!G4:G21),
_xlpm.text_representation, _xlfn.CONCAT(_xlpm.cameras_above_mean, "/", _xlpm.total_cameras),
_xlpm.percentage, _xlpm.cameras_above_mean/_xlpm.total_cameras,
_xlpm.percentage
), 0)</f>
        <v>0.5</v>
      </c>
      <c r="V4" s="6">
        <f>IF(COUNTBLANK($A4:$E4)&gt;0, "", IFERROR(_xlfn.MINIFS(Log!$G:$G, Log!$A:$A, $A4, Log!$B:$B, $B4, Log!$C:$C, $C4),""))</f>
        <v>4.7962699999999997E-2</v>
      </c>
      <c r="W4" s="6">
        <f>IF(COUNTBLANK($A4:$E4)&gt;0, "", IFERROR(_xlfn.MAXIFS(Log!$G:$G, Log!$A:$A, $A4, Log!$B:$B, $B4, Log!$C:$C, $C4),""))</f>
        <v>0.151252</v>
      </c>
      <c r="X4" s="180" t="str" cm="1">
        <f t="array" ref="X4">_xlfn.LET(_xlpm.row_no, ROW(A4),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4" s="180" t="str" cm="1">
        <f t="array" ref="Y4">_xlfn.LET(_xlpm.row_no, ROW(A4),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4" s="314"/>
      <c r="AA4" s="315"/>
      <c r="AB4" s="312" t="s">
        <v>128</v>
      </c>
      <c r="AC4" s="312" t="s">
        <v>132</v>
      </c>
      <c r="AD4" s="312" t="s">
        <v>129</v>
      </c>
      <c r="AG4" s="40"/>
    </row>
    <row r="5" spans="1:48" ht="39.6" customHeight="1" x14ac:dyDescent="0.3">
      <c r="A5" s="103" t="s">
        <v>88</v>
      </c>
      <c r="B5" s="105" t="s">
        <v>121</v>
      </c>
      <c r="C5" s="5">
        <v>46240</v>
      </c>
      <c r="D5" s="31">
        <v>25</v>
      </c>
      <c r="E5" s="32">
        <v>0.66041666666666665</v>
      </c>
      <c r="F5" s="75" t="s">
        <v>73</v>
      </c>
      <c r="G5" s="36">
        <v>1000</v>
      </c>
      <c r="H5" s="36">
        <f>IF(COUNTBLANK($A5:$E5)&gt;0, "", IFERROR(AVERAGEIFS(Log!$E:$E, Log!$A:$A, $A5, Log!$B:$B, $B5, Log!$C:$C, $C5),""))</f>
        <v>2307.7222222222222</v>
      </c>
      <c r="I5" s="36">
        <f>IF(COUNTBLANK($A5:$E5)&gt;0, "", IFERROR(_xlfn.MAXIFS(Log!$E:$E, Log!$A:$A, $A5, Log!$B:$B, $B5, Log!$C:$C, $C5),""))</f>
        <v>3707</v>
      </c>
      <c r="J5" s="36">
        <f>IF(COUNTBLANK($A5:$E5)&gt;0, "", IFERROR(_xlfn.MINIFS(Log!$E:$E, Log!$A:$A, $A5, Log!$B:$B, $B5, Log!$C:$C, $C5),""))</f>
        <v>1001</v>
      </c>
      <c r="K5" s="37">
        <f t="shared" si="0"/>
        <v>2.307722222222222</v>
      </c>
      <c r="L5" s="180" t="str" cm="1">
        <f t="array" ref="L5">_xlfn.LET(_xlpm.row_no, ROW(A5),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5" s="180" t="str" cm="1">
        <f t="array" ref="M5">_xlfn.LET(_xlpm.row_no, ROW(A5),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 s="6">
        <f>IF(COUNTBLANK($A5:$E5)&gt;0, "", IFERROR(AVERAGEIFS(Log!$F:$F, Log!$A:$A, $A5, Log!$B:$B, $B5, Log!$C:$C, $C5),""))</f>
        <v>0.45376905555555552</v>
      </c>
      <c r="O5" s="37" cm="1">
        <f t="array" ref="O5">IFERROR(_xlfn.LET(
_xlpm.goal, $N5,
_xlpm.key, $B5,
_xlpm.range, Log!$F:$F,
_xlpm.cameras_above_mean, ROWS(_xlfn.UNIQUE(_xlfn._xlws.FILTER(Log!$D:$D, (_xlpm.range&gt;_xlpm.goal) * (Log!$A:$A="Trial") * (Log!$B:$B=_xlpm.key)))),
_xlpm.total_cameras, ROWS('Data-Lists'!A5:A22),
_xlpm.text_representation, _xlfn.CONCAT(_xlpm.cameras_above_mean, "/", _xlpm.total_cameras),
_xlpm.percentage, _xlpm.cameras_above_mean/_xlpm.total_cameras,
_xlpm.percentage
), 0)</f>
        <v>0.33333333333333331</v>
      </c>
      <c r="P5" s="6">
        <f>IF(COUNTBLANK($A5:$E5)&gt;0, "", IFERROR(_xlfn.MINIFS(Log!$F:$F, Log!$A:$A, $A5, Log!$B:$B, $B5, Log!$C:$C, $C5),""))</f>
        <v>0.19483200000000001</v>
      </c>
      <c r="Q5" s="6">
        <f>IF(COUNTBLANK($A5:$E5)&gt;0, "", IFERROR(_xlfn.MAXIFS(Log!$F:$F, Log!$A:$A, $A5, Log!$B:$B, $B5, Log!$C:$C, $C5),""))</f>
        <v>0.94636500000000001</v>
      </c>
      <c r="R5" s="180" t="str" cm="1">
        <f t="array" ref="R5">_xlfn.LET(_xlpm.row_no, ROW(A5),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5" s="180" t="str" cm="1">
        <f t="array" ref="S5">_xlfn.LET(_xlpm.row_no, ROW(A5),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5" s="6">
        <f>IF(COUNTBLANK($A5:$E5)&gt;0, "", IFERROR(AVERAGEIFS(Log!$G:$G, Log!$A:$A, $A5, Log!$B:$B, $B5, Log!$C:$C, $C5),""))</f>
        <v>0.10801037222222223</v>
      </c>
      <c r="U5" s="37" cm="1">
        <f t="array" ref="U5">IFERROR(_xlfn.LET(
_xlpm.goal, $T5,
_xlpm.key, $B5,
_xlpm.range, Log!$G:$G,
_xlpm.cameras_above_mean, ROWS(_xlfn.UNIQUE(_xlfn._xlws.FILTER(Log!$D:$D, (_xlpm.range&gt;_xlpm.goal) * (Log!$A:$A="Trial") * (Log!$B:$B=_xlpm.key)))),
_xlpm.total_cameras, ROWS('Data-Lists'!G5:G22),
_xlpm.text_representation, _xlfn.CONCAT(_xlpm.cameras_above_mean, "/", _xlpm.total_cameras),
_xlpm.percentage, _xlpm.cameras_above_mean/_xlpm.total_cameras,
_xlpm.percentage
), 0)</f>
        <v>0.5</v>
      </c>
      <c r="V5" s="6">
        <f>IF(COUNTBLANK($A5:$E5)&gt;0, "", IFERROR(_xlfn.MINIFS(Log!$G:$G, Log!$A:$A, $A5, Log!$B:$B, $B5, Log!$C:$C, $C5),""))</f>
        <v>4.92673E-2</v>
      </c>
      <c r="W5" s="6">
        <f>IF(COUNTBLANK($A5:$E5)&gt;0, "", IFERROR(_xlfn.MAXIFS(Log!$G:$G, Log!$A:$A, $A5, Log!$B:$B, $B5, Log!$C:$C, $C5),""))</f>
        <v>0.197852</v>
      </c>
      <c r="X5" s="180" t="str" cm="1">
        <f t="array" ref="X5">_xlfn.LET(_xlpm.row_no, ROW(A5),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5" s="180" t="str" cm="1">
        <f t="array" ref="Y5">_xlfn.LET(_xlpm.row_no, ROW(A5),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5" s="314"/>
      <c r="AA5" s="315"/>
      <c r="AB5" s="312"/>
      <c r="AC5" s="312"/>
      <c r="AD5" s="312"/>
      <c r="AG5" s="40"/>
    </row>
    <row r="6" spans="1:48" ht="10.050000000000001" customHeight="1" x14ac:dyDescent="0.3">
      <c r="A6" s="107"/>
      <c r="B6" s="105"/>
      <c r="C6" s="5"/>
      <c r="D6" s="31"/>
      <c r="E6" s="32"/>
      <c r="G6" s="36"/>
      <c r="H6" s="36" t="str">
        <f>IF(COUNTBLANK($A6:$E6)&gt;0, "", IFERROR(AVERAGEIFS(Log!$E:$E, Log!$A:$A, $A6, Log!$B:$B, $B6, Log!$C:$C, $C6),""))</f>
        <v/>
      </c>
      <c r="I6" s="36" t="str">
        <f>IF(COUNTBLANK($A6:$E6)&gt;0, "", IFERROR(_xlfn.MAXIFS(Log!$E:$E, Log!$A:$A, $A6, Log!$B:$B, $B6, Log!$C:$C, $C6),""))</f>
        <v/>
      </c>
      <c r="J6" s="36" t="str">
        <f>IF(COUNTBLANK($A6:$E6)&gt;0, "", IFERROR(_xlfn.MINIFS(Log!$E:$E, Log!$A:$A, $A6, Log!$B:$B, $B6, Log!$C:$C, $C6),""))</f>
        <v/>
      </c>
      <c r="K6" s="37" t="str">
        <f t="shared" si="0"/>
        <v/>
      </c>
      <c r="L6" s="180" t="str" cm="1">
        <f t="array" ref="L6">_xlfn.LET(_xlpm.row_no, ROW(A6),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6" s="180" t="str" cm="1">
        <f t="array" ref="M6">_xlfn.LET(_xlpm.row_no, ROW(A6),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6" s="6" t="str">
        <f>IF(COUNTBLANK($A6:$E6)&gt;0, "", IFERROR(AVERAGEIFS(Log!$F:$F, Log!$A:$A, $A6, Log!$B:$B, $B6, Log!$C:$C, $C6),""))</f>
        <v/>
      </c>
      <c r="O6" s="37" t="str">
        <f>IF(COUNTBLANK($A6:$E6)&gt;0, "", IFERROR(AVERAGEIFS(Log!$F:$F, Log!$A:$A, $A6, Log!$B:$B, $B6, Log!$C:$C, $C6),""))</f>
        <v/>
      </c>
      <c r="P6" s="6" t="str">
        <f>IF(COUNTBLANK($A6:$E6)&gt;0, "", IFERROR(_xlfn.MINIFS(Log!$F:$F, Log!$A:$A, $A6, Log!$B:$B, $B6, Log!$C:$C, $C6),""))</f>
        <v/>
      </c>
      <c r="Q6" s="6" t="str">
        <f>IF(COUNTBLANK($A6:$E6)&gt;0, "", IFERROR(_xlfn.MAXIFS(Log!$F:$F, Log!$A:$A, $A6, Log!$B:$B, $B6, Log!$C:$C, $C6),""))</f>
        <v/>
      </c>
      <c r="R6" s="180" t="str" cm="1">
        <f t="array" ref="R6">_xlfn.LET(_xlpm.row_no, ROW(A6),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S6" s="180" t="str" cm="1">
        <f t="array" ref="S6">_xlfn.LET(_xlpm.row_no, ROW(A6),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T6" s="6" t="str">
        <f>IF(COUNTBLANK($A6:$E6)&gt;0, "", IFERROR(AVERAGEIFS(Log!#REF!, Log!$A:$A, $A6, Log!$B:$B, $B6, Log!$C:$C, $C6),""))</f>
        <v/>
      </c>
      <c r="U6" s="37" t="str">
        <f>IF(COUNTBLANK($A6:$E6)&gt;0, "", IFERROR(AVERAGEIFS(Log!$F:$F, Log!$A:$A, $A6, Log!$B:$B, $B6, Log!$C:$C, $C6),""))</f>
        <v/>
      </c>
      <c r="V6" s="6" t="str">
        <f>IF(COUNTBLANK($A6:$E6)&gt;0, "", IFERROR(_xlfn.MINIFS(Log!$G:$G, Log!$A:$A, $A6, Log!$B:$B, $B6, Log!$C:$C, $C6),""))</f>
        <v/>
      </c>
      <c r="W6" s="6" t="str">
        <f>IF(COUNTBLANK($A6:$E6)&gt;0, "", IFERROR(_xlfn.MAXIFS(Log!$G:$G, Log!$A:$A, $A6, Log!$B:$B, $B6, Log!$C:$C, $C6),""))</f>
        <v/>
      </c>
      <c r="X6" s="180" t="str" cm="1">
        <f t="array" ref="X6">_xlfn.LET(_xlpm.row_no, ROW(A6),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Y6" s="180" t="str" cm="1">
        <f t="array" ref="Y6">_xlfn.LET(_xlpm.row_no, ROW(A6),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AG6" s="40"/>
    </row>
    <row r="7" spans="1:48" ht="40.049999999999997" customHeight="1" x14ac:dyDescent="0.3">
      <c r="A7" s="103" t="s">
        <v>88</v>
      </c>
      <c r="B7" s="105" t="s">
        <v>135</v>
      </c>
      <c r="C7" s="122">
        <v>46242</v>
      </c>
      <c r="D7" s="31">
        <v>24.5</v>
      </c>
      <c r="E7" s="32">
        <v>0.62361111111111112</v>
      </c>
      <c r="F7" s="75" t="s">
        <v>73</v>
      </c>
      <c r="G7" s="36">
        <v>1000</v>
      </c>
      <c r="H7" s="36">
        <f>IF(COUNTBLANK($A7:$E7)&gt;0, "", IFERROR(AVERAGEIFS(Log!$E:$E, Log!$A:$A, $A7, Log!$B:$B, $B7, Log!$C:$C, $C7),""))</f>
        <v>1881.4444444444443</v>
      </c>
      <c r="I7" s="36">
        <f>IF(COUNTBLANK($A7:$E7)&gt;0, "", IFERROR(_xlfn.MAXIFS(Log!$E:$E, Log!$A:$A, $A7, Log!$B:$B, $B7, Log!$C:$C, $C7),""))</f>
        <v>2984</v>
      </c>
      <c r="J7" s="36">
        <f>IF(COUNTBLANK($A7:$E7)&gt;0, "", IFERROR(_xlfn.MINIFS(Log!$E:$E, Log!$A:$A, $A7, Log!$B:$B, $B7, Log!$C:$C, $C7),""))</f>
        <v>1003</v>
      </c>
      <c r="K7" s="37">
        <f t="shared" si="0"/>
        <v>1.8814444444444443</v>
      </c>
      <c r="L7" s="180" t="str" cm="1">
        <f t="array" ref="L7">_xlfn.LET(_xlpm.row_no, ROW(A7),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7" s="180" t="str" cm="1">
        <f t="array" ref="M7">_xlfn.LET(_xlpm.row_no, ROW(A7),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7" s="6">
        <f>IF(COUNTBLANK($A7:$E7)&gt;0, "", IFERROR(AVERAGEIFS(Log!$F:$F, Log!$A:$A, $A7, Log!$B:$B, $B7, Log!$C:$C, $C7),""))</f>
        <v>0.38615661111111116</v>
      </c>
      <c r="O7" s="37" cm="1">
        <f t="array" ref="O7">IFERROR(_xlfn.LET(
_xlpm.goal, $N7,
_xlpm.key, $B7,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0.61111111111111116</v>
      </c>
      <c r="P7" s="6">
        <f>IF(COUNTBLANK($A7:$E7)&gt;0, "", IFERROR(_xlfn.MINIFS(Log!$F:$F, Log!$A:$A, $A7, Log!$B:$B, $B7, Log!$C:$C, $C7),""))</f>
        <v>0.17077700000000001</v>
      </c>
      <c r="Q7" s="6">
        <f>IF(COUNTBLANK($A7:$E7)&gt;0, "", IFERROR(_xlfn.MAXIFS(Log!$F:$F, Log!$A:$A, $A7, Log!$B:$B, $B7, Log!$C:$C, $C7),""))</f>
        <v>0.54024799999999995</v>
      </c>
      <c r="R7" s="180" t="str" cm="1">
        <f t="array" ref="R7">_xlfn.LET(_xlpm.row_no, ROW(A7),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7" s="180" t="str" cm="1">
        <f t="array" ref="S7">_xlfn.LET(_xlpm.row_no, ROW(A7),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7" s="6">
        <f>IF(COUNTBLANK($A7:$E7)&gt;0, "", IFERROR(AVERAGEIFS(Log!$G:$G, Log!$A:$A, $A7, Log!$B:$B, $B7, Log!$C:$C, $C7),""))</f>
        <v>9.2878877777777771E-2</v>
      </c>
      <c r="U7" s="37" cm="1">
        <f t="array" ref="U7">IFERROR(_xlfn.LET(
_xlpm.goal, $T7,
_xlpm.key, $B7,
_xlpm.range, Log!$G:$G,
_xlpm.cameras_above_mean, ROWS(_xlfn.UNIQUE(_xlfn._xlws.FILTER(Log!$D:$D, (_xlpm.range&gt;_xlpm.goal) * (Log!$A:$A="Trial") * (Log!$B:$B=_xlpm.key)))),
_xlpm.total_cameras, ROWS('Data-Lists'!G4:G21),
_xlpm.text_representation, _xlfn.CONCAT(_xlpm.cameras_above_mean, "/", _xlpm.total_cameras),
_xlpm.percentage, _xlpm.cameras_above_mean/_xlpm.total_cameras,
_xlpm.percentage
), 0)</f>
        <v>0.44444444444444442</v>
      </c>
      <c r="V7" s="6">
        <f>IF(COUNTBLANK($A7:$E7)&gt;0, "", IFERROR(_xlfn.MINIFS(Log!$G:$G, Log!$A:$A, $A7, Log!$B:$B, $B7, Log!$C:$C, $C7),""))</f>
        <v>4.3160200000000003E-2</v>
      </c>
      <c r="W7" s="6">
        <f>IF(COUNTBLANK($A7:$E7)&gt;0, "", IFERROR(_xlfn.MAXIFS(Log!$G:$G, Log!$A:$A, $A7, Log!$B:$B, $B7, Log!$C:$C, $C7),""))</f>
        <v>0.13869799999999999</v>
      </c>
      <c r="X7" s="180" t="str" cm="1">
        <f t="array" ref="X7">_xlfn.LET(_xlpm.row_no, ROW(A7),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7" s="180" t="str" cm="1">
        <f t="array" ref="Y7">_xlfn.LET(_xlpm.row_no, ROW(A7),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7" s="314"/>
      <c r="AA7" s="315"/>
      <c r="AB7" s="312" t="s">
        <v>133</v>
      </c>
      <c r="AC7" s="312" t="s">
        <v>142</v>
      </c>
      <c r="AD7" s="312" t="s">
        <v>141</v>
      </c>
      <c r="AF7" s="263" t="s">
        <v>93</v>
      </c>
      <c r="AG7" s="263"/>
      <c r="AH7"/>
      <c r="AI7"/>
      <c r="AJ7"/>
      <c r="AK7"/>
    </row>
    <row r="8" spans="1:48" ht="40.049999999999997" customHeight="1" x14ac:dyDescent="0.3">
      <c r="A8" s="103" t="s">
        <v>88</v>
      </c>
      <c r="B8" s="105" t="s">
        <v>134</v>
      </c>
      <c r="C8" s="5">
        <v>46242</v>
      </c>
      <c r="D8" s="31">
        <v>24.5</v>
      </c>
      <c r="E8" s="32">
        <v>0.63680555555555551</v>
      </c>
      <c r="F8" s="75" t="s">
        <v>73</v>
      </c>
      <c r="G8" s="36">
        <v>2000</v>
      </c>
      <c r="H8" s="36">
        <f>IF(COUNTBLANK($A8:$E8)&gt;0, "", IFERROR(AVERAGEIFS(Log!$E:$E, Log!$A:$A, $A8, Log!$B:$B, $B8, Log!$C:$C, $C8),""))</f>
        <v>3373.3888888888887</v>
      </c>
      <c r="I8" s="36">
        <f>IF(COUNTBLANK($A8:$E8)&gt;0, "", IFERROR(_xlfn.MAXIFS(Log!$E:$E, Log!$A:$A, $A8, Log!$B:$B, $B8, Log!$C:$C, $C8),""))</f>
        <v>4973</v>
      </c>
      <c r="J8" s="36">
        <f>IF(COUNTBLANK($A8:$E8)&gt;0, "", IFERROR(_xlfn.MINIFS(Log!$E:$E, Log!$A:$A, $A8, Log!$B:$B, $B8, Log!$C:$C, $C8),""))</f>
        <v>2002</v>
      </c>
      <c r="K8" s="37">
        <f t="shared" si="0"/>
        <v>1.6866944444444443</v>
      </c>
      <c r="L8" s="180" t="str" cm="1">
        <f t="array" ref="L8">_xlfn.LET(_xlpm.row_no, ROW(A8),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8" s="180" t="str" cm="1">
        <f t="array" ref="M8">_xlfn.LET(_xlpm.row_no, ROW(A8),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8" s="6">
        <f>IF(COUNTBLANK($A8:$E8)&gt;0, "", IFERROR(AVERAGEIFS(Log!$F:$F, Log!$A:$A, $A8, Log!$B:$B, $B8, Log!$C:$C, $C8),""))</f>
        <v>0.36258505555555548</v>
      </c>
      <c r="O8" s="37" cm="1">
        <f t="array" ref="O8">IFERROR(_xlfn.LET(
_xlpm.goal, $N8,
_xlpm.key, $B8,
_xlpm.range, Log!$F:$F,
_xlpm.cameras_above_mean, ROWS(_xlfn.UNIQUE(_xlfn._xlws.FILTER(Log!$D:$D, (_xlpm.range&gt;_xlpm.goal) * (Log!$A:$A="Trial") * (Log!$B:$B=_xlpm.key)))),
_xlpm.total_cameras, ROWS('Data-Lists'!A5:A22),
_xlpm.text_representation, _xlfn.CONCAT(_xlpm.cameras_above_mean, "/", _xlpm.total_cameras),
_xlpm.percentage, _xlpm.cameras_above_mean/_xlpm.total_cameras,
_xlpm.percentage
), 0)</f>
        <v>0.61111111111111116</v>
      </c>
      <c r="P8" s="6">
        <f>IF(COUNTBLANK($A8:$E8)&gt;0, "", IFERROR(_xlfn.MINIFS(Log!$F:$F, Log!$A:$A, $A8, Log!$B:$B, $B8, Log!$C:$C, $C8),""))</f>
        <v>0.13646</v>
      </c>
      <c r="Q8" s="6">
        <f>IF(COUNTBLANK($A8:$E8)&gt;0, "", IFERROR(_xlfn.MAXIFS(Log!$F:$F, Log!$A:$A, $A8, Log!$B:$B, $B8, Log!$C:$C, $C8),""))</f>
        <v>0.499662</v>
      </c>
      <c r="R8" s="180" t="str" cm="1">
        <f t="array" ref="R8">_xlfn.LET(_xlpm.row_no, ROW(A8),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8" s="180" t="str" cm="1">
        <f t="array" ref="S8">_xlfn.LET(_xlpm.row_no, ROW(A8),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8" s="6">
        <f>IF(COUNTBLANK($A8:$E8)&gt;0, "", IFERROR(AVERAGEIFS(Log!$G:$G, Log!$A:$A, $A8, Log!$B:$B, $B8, Log!$C:$C, $C8),""))</f>
        <v>8.7321022222222211E-2</v>
      </c>
      <c r="U8" s="37" cm="1">
        <f t="array" ref="U8">IFERROR(_xlfn.LET(
_xlpm.goal, $T8,
_xlpm.key, $B8,
_xlpm.range, Log!$G:$G,
_xlpm.cameras_above_mean, ROWS(_xlfn.UNIQUE(_xlfn._xlws.FILTER(Log!$D:$D, (_xlpm.range&gt;_xlpm.goal) * (Log!$A:$A="Trial") * (Log!$B:$B=_xlpm.key)))),
_xlpm.total_cameras, ROWS('Data-Lists'!G5:G22),
_xlpm.text_representation, _xlfn.CONCAT(_xlpm.cameras_above_mean, "/", _xlpm.total_cameras),
_xlpm.percentage, _xlpm.cameras_above_mean/_xlpm.total_cameras,
_xlpm.percentage
), 0)</f>
        <v>0.55555555555555558</v>
      </c>
      <c r="V8" s="6">
        <f>IF(COUNTBLANK($A8:$E8)&gt;0, "", IFERROR(_xlfn.MINIFS(Log!$G:$G, Log!$A:$A, $A8, Log!$B:$B, $B8, Log!$C:$C, $C8),""))</f>
        <v>3.44975E-2</v>
      </c>
      <c r="W8" s="6">
        <f>IF(COUNTBLANK($A8:$E8)&gt;0, "", IFERROR(_xlfn.MAXIFS(Log!$G:$G, Log!$A:$A, $A8, Log!$B:$B, $B8, Log!$C:$C, $C8),""))</f>
        <v>0.13658699999999999</v>
      </c>
      <c r="X8" s="180" t="str" cm="1">
        <f t="array" ref="X8">_xlfn.LET(_xlpm.row_no, ROW(A8),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8" s="180" t="str" cm="1">
        <f t="array" ref="Y8">_xlfn.LET(_xlpm.row_no, ROW(A8),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8" s="314"/>
      <c r="AA8" s="315"/>
      <c r="AB8" s="312"/>
      <c r="AC8" s="312"/>
      <c r="AD8" s="312"/>
      <c r="AF8" s="306"/>
      <c r="AG8" s="306"/>
      <c r="AH8" s="307" t="s">
        <v>127</v>
      </c>
      <c r="AI8" s="307"/>
      <c r="AJ8" s="307"/>
      <c r="AK8" s="307"/>
      <c r="AL8" s="307"/>
    </row>
    <row r="9" spans="1:48" ht="40.049999999999997" customHeight="1" x14ac:dyDescent="0.3">
      <c r="A9" s="103" t="s">
        <v>88</v>
      </c>
      <c r="B9" s="105" t="s">
        <v>136</v>
      </c>
      <c r="C9" s="5">
        <v>46242</v>
      </c>
      <c r="D9" s="31">
        <v>24.5</v>
      </c>
      <c r="E9" s="32">
        <v>0.65625</v>
      </c>
      <c r="F9" s="75" t="s">
        <v>73</v>
      </c>
      <c r="G9" s="36">
        <v>2000</v>
      </c>
      <c r="H9" s="36">
        <f>IF(COUNTBLANK($A9:$E9)&gt;0, "", IFERROR(AVERAGEIFS(Log!$E:$E, Log!$A:$A, $A9, Log!$B:$B, $B9, Log!$C:$C, $C9),""))</f>
        <v>3374.4444444444443</v>
      </c>
      <c r="I9" s="36">
        <f>IF(COUNTBLANK($A9:$E9)&gt;0, "", IFERROR(_xlfn.MAXIFS(Log!$E:$E, Log!$A:$A, $A9, Log!$B:$B, $B9, Log!$C:$C, $C9),""))</f>
        <v>5467</v>
      </c>
      <c r="J9" s="36">
        <f>IF(COUNTBLANK($A9:$E9)&gt;0, "", IFERROR(_xlfn.MINIFS(Log!$E:$E, Log!$A:$A, $A9, Log!$B:$B, $B9, Log!$C:$C, $C9),""))</f>
        <v>2000</v>
      </c>
      <c r="K9" s="37">
        <f t="shared" si="0"/>
        <v>1.6872222222222222</v>
      </c>
      <c r="L9" s="180" t="str" cm="1">
        <f t="array" ref="L9">_xlfn.LET(_xlpm.row_no, ROW(A9),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9" s="180" t="str" cm="1">
        <f t="array" ref="M9">_xlfn.LET(_xlpm.row_no, ROW(A9),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9" s="6">
        <f>IF(COUNTBLANK($A9:$E9)&gt;0, "", IFERROR(AVERAGEIFS(Log!$F:$F, Log!$A:$A, $A9, Log!$B:$B, $B9, Log!$C:$C, $C9),""))</f>
        <v>0.38776061111111115</v>
      </c>
      <c r="O9" s="37" cm="1">
        <f t="array" ref="O9">IFERROR(_xlfn.LET(
_xlpm.goal, $N9,
_xlpm.key, $B9,
_xlpm.range, Log!$F:$F,
_xlpm.cameras_above_mean, ROWS(_xlfn.UNIQUE(_xlfn._xlws.FILTER(Log!$D:$D, (_xlpm.range&gt;_xlpm.goal) * (Log!$A:$A="Trial") * (Log!$B:$B=_xlpm.key)))),
_xlpm.total_cameras, ROWS('Data-Lists'!A6:A23),
_xlpm.text_representation, _xlfn.CONCAT(_xlpm.cameras_above_mean, "/", _xlpm.total_cameras),
_xlpm.percentage, _xlpm.cameras_above_mean/_xlpm.total_cameras,
_xlpm.percentage
), 0)</f>
        <v>0.66666666666666663</v>
      </c>
      <c r="P9" s="6">
        <f>IF(COUNTBLANK($A9:$E9)&gt;0, "", IFERROR(_xlfn.MINIFS(Log!$F:$F, Log!$A:$A, $A9, Log!$B:$B, $B9, Log!$C:$C, $C9),""))</f>
        <v>0.17380200000000001</v>
      </c>
      <c r="Q9" s="6">
        <f>IF(COUNTBLANK($A9:$E9)&gt;0, "", IFERROR(_xlfn.MAXIFS(Log!$F:$F, Log!$A:$A, $A9, Log!$B:$B, $B9, Log!$C:$C, $C9),""))</f>
        <v>0.52926799999999996</v>
      </c>
      <c r="R9" s="180" t="str" cm="1">
        <f t="array" ref="R9">_xlfn.LET(_xlpm.row_no, ROW(A9),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9" s="180" t="str" cm="1">
        <f t="array" ref="S9">_xlfn.LET(_xlpm.row_no, ROW(A9),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9" s="6">
        <f>IF(COUNTBLANK($A9:$E9)&gt;0, "", IFERROR(AVERAGEIFS(Log!$G:$G, Log!$A:$A, $A9, Log!$B:$B, $B9, Log!$C:$C, $C9),""))</f>
        <v>9.35569611111111E-2</v>
      </c>
      <c r="U9" s="37" cm="1">
        <f t="array" ref="U9">IFERROR(_xlfn.LET(
_xlpm.goal, $T9,
_xlpm.key, $B9,
_xlpm.range, Log!$G:$G,
_xlpm.cameras_above_mean, ROWS(_xlfn.UNIQUE(_xlfn._xlws.FILTER(Log!$D:$D, (_xlpm.range&gt;_xlpm.goal) * (Log!$A:$A="Trial") * (Log!$B:$B=_xlpm.key)))),
_xlpm.total_cameras, ROWS('Data-Lists'!G6:G23),
_xlpm.text_representation, _xlfn.CONCAT(_xlpm.cameras_above_mean, "/", _xlpm.total_cameras),
_xlpm.percentage, _xlpm.cameras_above_mean/_xlpm.total_cameras,
_xlpm.percentage
), 0)</f>
        <v>0.5</v>
      </c>
      <c r="V9" s="6">
        <f>IF(COUNTBLANK($A9:$E9)&gt;0, "", IFERROR(_xlfn.MINIFS(Log!$G:$G, Log!$A:$A, $A9, Log!$B:$B, $B9, Log!$C:$C, $C9),""))</f>
        <v>4.1760899999999997E-2</v>
      </c>
      <c r="W9" s="6">
        <f>IF(COUNTBLANK($A9:$E9)&gt;0, "", IFERROR(_xlfn.MAXIFS(Log!$G:$G, Log!$A:$A, $A9, Log!$B:$B, $B9, Log!$C:$C, $C9),""))</f>
        <v>0.15055499999999999</v>
      </c>
      <c r="X9" s="180" t="str" cm="1">
        <f t="array" ref="X9">_xlfn.LET(_xlpm.row_no, ROW(A9),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9" s="180" t="str" cm="1">
        <f t="array" ref="Y9">_xlfn.LET(_xlpm.row_no, ROW(A9),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9" s="314"/>
      <c r="AA9" s="315"/>
      <c r="AB9" s="312"/>
      <c r="AC9" s="312"/>
      <c r="AD9" s="312"/>
      <c r="AF9" s="308"/>
      <c r="AG9" s="308"/>
      <c r="AH9" s="307" t="s">
        <v>126</v>
      </c>
      <c r="AI9" s="307"/>
      <c r="AJ9" s="307"/>
      <c r="AK9" s="307"/>
      <c r="AL9" s="307"/>
    </row>
    <row r="10" spans="1:48" ht="40.049999999999997" customHeight="1" x14ac:dyDescent="0.3">
      <c r="A10" s="103" t="s">
        <v>88</v>
      </c>
      <c r="B10" s="105" t="s">
        <v>137</v>
      </c>
      <c r="C10" s="5">
        <v>46242</v>
      </c>
      <c r="D10" s="31">
        <v>24.5</v>
      </c>
      <c r="E10" s="32">
        <v>0.65902777777777777</v>
      </c>
      <c r="F10" s="75" t="s">
        <v>73</v>
      </c>
      <c r="G10" s="36">
        <v>1500</v>
      </c>
      <c r="H10" s="36">
        <f>IF(COUNTBLANK($A10:$E10)&gt;0, "", IFERROR(AVERAGEIFS(Log!$E:$E, Log!$A:$A, $A10, Log!$B:$B, $B10, Log!$C:$C, $C10),""))</f>
        <v>2657.3888888888887</v>
      </c>
      <c r="I10" s="36">
        <f>IF(COUNTBLANK($A10:$E10)&gt;0, "", IFERROR(_xlfn.MAXIFS(Log!$E:$E, Log!$A:$A, $A10, Log!$B:$B, $B10, Log!$C:$C, $C10),""))</f>
        <v>4385</v>
      </c>
      <c r="J10" s="36">
        <f>IF(COUNTBLANK($A10:$E10)&gt;0, "", IFERROR(_xlfn.MINIFS(Log!$E:$E, Log!$A:$A, $A10, Log!$B:$B, $B10, Log!$C:$C, $C10),""))</f>
        <v>1503</v>
      </c>
      <c r="K10" s="37">
        <f t="shared" si="0"/>
        <v>1.7715925925925924</v>
      </c>
      <c r="L10" s="180" t="str" cm="1">
        <f t="array" ref="L10">_xlfn.LET(_xlpm.row_no, ROW(A10),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0" s="180" t="str" cm="1">
        <f t="array" ref="M10">_xlfn.LET(_xlpm.row_no, ROW(A10),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0" s="6">
        <f>IF(COUNTBLANK($A10:$E10)&gt;0, "", IFERROR(AVERAGEIFS(Log!$F:$F, Log!$A:$A, $A10, Log!$B:$B, $B10, Log!$C:$C, $C10),""))</f>
        <v>0.38401872222222228</v>
      </c>
      <c r="O10" s="37" cm="1">
        <f t="array" ref="O10">IFERROR(_xlfn.LET(
_xlpm.goal, $N10,
_xlpm.key, $B10,
_xlpm.range, Log!$F:$F,
_xlpm.cameras_above_mean, ROWS(_xlfn.UNIQUE(_xlfn._xlws.FILTER(Log!$D:$D, (_xlpm.range&gt;_xlpm.goal) * (Log!$A:$A="Trial") * (Log!$B:$B=_xlpm.key)))),
_xlpm.total_cameras, ROWS('Data-Lists'!A7:A24),
_xlpm.text_representation, _xlfn.CONCAT(_xlpm.cameras_above_mean, "/", _xlpm.total_cameras),
_xlpm.percentage, _xlpm.cameras_above_mean/_xlpm.total_cameras,
_xlpm.percentage
), 0)</f>
        <v>0.55555555555555558</v>
      </c>
      <c r="P10" s="6">
        <f>IF(COUNTBLANK($A10:$E10)&gt;0, "", IFERROR(_xlfn.MINIFS(Log!$F:$F, Log!$A:$A, $A10, Log!$B:$B, $B10, Log!$C:$C, $C10),""))</f>
        <v>0.17731</v>
      </c>
      <c r="Q10" s="6">
        <f>IF(COUNTBLANK($A10:$E10)&gt;0, "", IFERROR(_xlfn.MAXIFS(Log!$F:$F, Log!$A:$A, $A10, Log!$B:$B, $B10, Log!$C:$C, $C10),""))</f>
        <v>0.57739700000000005</v>
      </c>
      <c r="R10" s="180" t="str" cm="1">
        <f t="array" ref="R10">_xlfn.LET(_xlpm.row_no, ROW(A10),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0" s="180" t="str" cm="1">
        <f t="array" ref="S10">_xlfn.LET(_xlpm.row_no, ROW(A10),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0" s="6">
        <f>IF(COUNTBLANK($A10:$E10)&gt;0, "", IFERROR(AVERAGEIFS(Log!$G:$G, Log!$A:$A, $A10, Log!$B:$B, $B10, Log!$C:$C, $C10),""))</f>
        <v>9.2438494444444463E-2</v>
      </c>
      <c r="U10" s="37" cm="1">
        <f t="array" ref="U10">IFERROR(_xlfn.LET(
_xlpm.goal, $T10,
_xlpm.key, $B10,
_xlpm.range, Log!$G:$G,
_xlpm.cameras_above_mean, ROWS(_xlfn.UNIQUE(_xlfn._xlws.FILTER(Log!$D:$D, (_xlpm.range&gt;_xlpm.goal) * (Log!$A:$A="Trial") * (Log!$B:$B=_xlpm.key)))),
_xlpm.total_cameras, ROWS('Data-Lists'!G7:G24),
_xlpm.text_representation, _xlfn.CONCAT(_xlpm.cameras_above_mean, "/", _xlpm.total_cameras),
_xlpm.percentage, _xlpm.cameras_above_mean/_xlpm.total_cameras,
_xlpm.percentage
), 0)</f>
        <v>0.44444444444444442</v>
      </c>
      <c r="V10" s="6">
        <f>IF(COUNTBLANK($A10:$E10)&gt;0, "", IFERROR(_xlfn.MINIFS(Log!$G:$G, Log!$A:$A, $A10, Log!$B:$B, $B10, Log!$C:$C, $C10),""))</f>
        <v>4.2629300000000002E-2</v>
      </c>
      <c r="W10" s="6">
        <f>IF(COUNTBLANK($A10:$E10)&gt;0, "", IFERROR(_xlfn.MAXIFS(Log!$G:$G, Log!$A:$A, $A10, Log!$B:$B, $B10, Log!$C:$C, $C10),""))</f>
        <v>0.16231799999999999</v>
      </c>
      <c r="X10" s="180" t="str" cm="1">
        <f t="array" ref="X10">_xlfn.LET(_xlpm.row_no, ROW(A10),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0" s="180" t="str" cm="1">
        <f t="array" ref="Y10">_xlfn.LET(_xlpm.row_no, ROW(A10),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0" s="314"/>
      <c r="AA10" s="315"/>
      <c r="AB10" s="312"/>
      <c r="AC10" s="312"/>
      <c r="AD10" s="312"/>
      <c r="AF10" s="298"/>
      <c r="AG10" s="299"/>
      <c r="AH10" s="102" t="s">
        <v>92</v>
      </c>
      <c r="AI10" s="102"/>
      <c r="AJ10" s="102"/>
      <c r="AK10" s="102"/>
      <c r="AL10" s="102"/>
    </row>
    <row r="11" spans="1:48" ht="40.049999999999997" customHeight="1" x14ac:dyDescent="0.3">
      <c r="A11" s="103" t="s">
        <v>88</v>
      </c>
      <c r="B11" s="105" t="s">
        <v>138</v>
      </c>
      <c r="C11" s="5">
        <v>46242</v>
      </c>
      <c r="D11" s="31">
        <v>24.5</v>
      </c>
      <c r="E11" s="32">
        <v>0.65902777777777777</v>
      </c>
      <c r="F11" s="75" t="s">
        <v>73</v>
      </c>
      <c r="G11" s="36">
        <v>1500</v>
      </c>
      <c r="H11" s="36">
        <f>IF(COUNTBLANK($A11:$E11)&gt;0, "", IFERROR(AVERAGEIFS(Log!$E:$E, Log!$A:$A, $A11, Log!$B:$B, $B11, Log!$C:$C, $C11),""))</f>
        <v>2656.2222222222222</v>
      </c>
      <c r="I11" s="36">
        <f>IF(COUNTBLANK($A11:$E11)&gt;0, "", IFERROR(_xlfn.MAXIFS(Log!$E:$E, Log!$A:$A, $A11, Log!$B:$B, $B11, Log!$C:$C, $C11),""))</f>
        <v>4872</v>
      </c>
      <c r="J11" s="36">
        <f>IF(COUNTBLANK($A11:$E11)&gt;0, "", IFERROR(_xlfn.MINIFS(Log!$E:$E, Log!$A:$A, $A11, Log!$B:$B, $B11, Log!$C:$C, $C11),""))</f>
        <v>1503</v>
      </c>
      <c r="K11" s="37">
        <f t="shared" si="0"/>
        <v>1.7708148148148148</v>
      </c>
      <c r="L11" s="180" t="str" cm="1">
        <f t="array" ref="L11">_xlfn.LET(_xlpm.row_no, ROW(A11),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1" s="180" t="str" cm="1">
        <f t="array" ref="M11">_xlfn.LET(_xlpm.row_no, ROW(A11),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11" s="6">
        <f>IF(COUNTBLANK($A11:$E11)&gt;0, "", IFERROR(AVERAGEIFS(Log!$F:$F, Log!$A:$A, $A11, Log!$B:$B, $B11, Log!$C:$C, $C11),""))</f>
        <v>0.40662061111111103</v>
      </c>
      <c r="O11" s="37" cm="1">
        <f t="array" ref="O11">IFERROR(_xlfn.LET(
_xlpm.goal, $N11,
_xlpm.key, $B11,
_xlpm.range, Log!$F:$F,
_xlpm.cameras_above_mean, ROWS(_xlfn.UNIQUE(_xlfn._xlws.FILTER(Log!$D:$D, (_xlpm.range&gt;_xlpm.goal) * (Log!$A:$A="Trial") * (Log!$B:$B=_xlpm.key)))),
_xlpm.total_cameras, ROWS('Data-Lists'!A8:A25),
_xlpm.text_representation, _xlfn.CONCAT(_xlpm.cameras_above_mean, "/", _xlpm.total_cameras),
_xlpm.percentage, _xlpm.cameras_above_mean/_xlpm.total_cameras,
_xlpm.percentage
), 0)</f>
        <v>0.55555555555555558</v>
      </c>
      <c r="P11" s="6">
        <f>IF(COUNTBLANK($A11:$E11)&gt;0, "", IFERROR(_xlfn.MINIFS(Log!$F:$F, Log!$A:$A, $A11, Log!$B:$B, $B11, Log!$C:$C, $C11),""))</f>
        <v>0.19323199999999999</v>
      </c>
      <c r="Q11" s="6">
        <f>IF(COUNTBLANK($A11:$E11)&gt;0, "", IFERROR(_xlfn.MAXIFS(Log!$F:$F, Log!$A:$A, $A11, Log!$B:$B, $B11, Log!$C:$C, $C11),""))</f>
        <v>0.561473</v>
      </c>
      <c r="R11" s="180" t="str" cm="1">
        <f t="array" ref="R11">_xlfn.LET(_xlpm.row_no, ROW(A11),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1" s="180" t="str" cm="1">
        <f t="array" ref="S11">_xlfn.LET(_xlpm.row_no, ROW(A11),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1" s="6">
        <f>IF(COUNTBLANK($A11:$E11)&gt;0, "", IFERROR(AVERAGEIFS(Log!$G:$G, Log!$A:$A, $A11, Log!$B:$B, $B11, Log!$C:$C, $C11),""))</f>
        <v>9.7669605555555553E-2</v>
      </c>
      <c r="U11" s="37" cm="1">
        <f t="array" ref="U11">IFERROR(_xlfn.LET(
_xlpm.goal, $T11,
_xlpm.key, $B11,
_xlpm.range, Log!$G:$G,
_xlpm.cameras_above_mean, ROWS(_xlfn.UNIQUE(_xlfn._xlws.FILTER(Log!$D:$D, (_xlpm.range&gt;_xlpm.goal) * (Log!$A:$A="Trial") * (Log!$B:$B=_xlpm.key)))),
_xlpm.total_cameras, ROWS('Data-Lists'!G8:G25),
_xlpm.text_representation, _xlfn.CONCAT(_xlpm.cameras_above_mean, "/", _xlpm.total_cameras),
_xlpm.percentage, _xlpm.cameras_above_mean/_xlpm.total_cameras,
_xlpm.percentage
), 0)</f>
        <v>0.44444444444444442</v>
      </c>
      <c r="V11" s="6">
        <f>IF(COUNTBLANK($A11:$E11)&gt;0, "", IFERROR(_xlfn.MINIFS(Log!$G:$G, Log!$A:$A, $A11, Log!$B:$B, $B11, Log!$C:$C, $C11),""))</f>
        <v>6.1878799999999998E-2</v>
      </c>
      <c r="W11" s="6">
        <f>IF(COUNTBLANK($A11:$E11)&gt;0, "", IFERROR(_xlfn.MAXIFS(Log!$G:$G, Log!$A:$A, $A11, Log!$B:$B, $B11, Log!$C:$C, $C11),""))</f>
        <v>0.14718300000000001</v>
      </c>
      <c r="X11" s="180" t="str" cm="1">
        <f t="array" ref="X11">_xlfn.LET(_xlpm.row_no, ROW(A11),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Y11" s="180" t="str" cm="1">
        <f t="array" ref="Y11">_xlfn.LET(_xlpm.row_no, ROW(A11),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1" s="314"/>
      <c r="AA11" s="315"/>
      <c r="AB11" s="312"/>
      <c r="AC11" s="312"/>
      <c r="AD11" s="312"/>
      <c r="AG11" s="40"/>
    </row>
    <row r="12" spans="1:48" ht="40.049999999999997" customHeight="1" x14ac:dyDescent="0.3">
      <c r="A12" s="103" t="s">
        <v>88</v>
      </c>
      <c r="B12" s="105" t="s">
        <v>139</v>
      </c>
      <c r="C12" s="5">
        <v>46242</v>
      </c>
      <c r="D12" s="31">
        <v>24.5</v>
      </c>
      <c r="E12" s="32">
        <v>0.65902777777777777</v>
      </c>
      <c r="F12" s="75" t="s">
        <v>73</v>
      </c>
      <c r="G12" s="36">
        <v>1000</v>
      </c>
      <c r="H12" s="36">
        <f>IF(COUNTBLANK($A12:$E12)&gt;0, "", IFERROR(AVERAGEIFS(Log!$E:$E, Log!$A:$A, $A12, Log!$B:$B, $B12, Log!$C:$C, $C12),""))</f>
        <v>1872.7777777777778</v>
      </c>
      <c r="I12" s="36">
        <f>IF(COUNTBLANK($A12:$E12)&gt;0, "", IFERROR(_xlfn.MAXIFS(Log!$E:$E, Log!$A:$A, $A12, Log!$B:$B, $B12, Log!$C:$C, $C12),""))</f>
        <v>3324</v>
      </c>
      <c r="J12" s="36">
        <f>IF(COUNTBLANK($A12:$E12)&gt;0, "", IFERROR(_xlfn.MINIFS(Log!$E:$E, Log!$A:$A, $A12, Log!$B:$B, $B12, Log!$C:$C, $C12),""))</f>
        <v>1002</v>
      </c>
      <c r="K12" s="37">
        <f t="shared" si="0"/>
        <v>1.8727777777777779</v>
      </c>
      <c r="L12" s="180" t="str" cm="1">
        <f t="array" ref="L12">_xlfn.LET(_xlpm.row_no, ROW(A12),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2" s="180" t="str" cm="1">
        <f t="array" ref="M12">_xlfn.LET(_xlpm.row_no, ROW(A12),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12" s="6">
        <f>IF(COUNTBLANK($A12:$E12)&gt;0, "", IFERROR(AVERAGEIFS(Log!$F:$F, Log!$A:$A, $A12, Log!$B:$B, $B12, Log!$C:$C, $C12),""))</f>
        <v>0.38028649999999997</v>
      </c>
      <c r="O12" s="37" cm="1">
        <f t="array" ref="O12">IFERROR(_xlfn.LET(
_xlpm.goal, $N12,
_xlpm.key, $B12,
_xlpm.range, Log!$F:$F,
_xlpm.cameras_above_mean, ROWS(_xlfn.UNIQUE(_xlfn._xlws.FILTER(Log!$D:$D, (_xlpm.range&gt;_xlpm.goal) * (Log!$A:$A="Trial") * (Log!$B:$B=_xlpm.key)))),
_xlpm.total_cameras, ROWS('Data-Lists'!A9:A26),
_xlpm.text_representation, _xlfn.CONCAT(_xlpm.cameras_above_mean, "/", _xlpm.total_cameras),
_xlpm.percentage, _xlpm.cameras_above_mean/_xlpm.total_cameras,
_xlpm.percentage
), 0)</f>
        <v>0.61111111111111116</v>
      </c>
      <c r="P12" s="6">
        <f>IF(COUNTBLANK($A12:$E12)&gt;0, "", IFERROR(_xlfn.MINIFS(Log!$F:$F, Log!$A:$A, $A12, Log!$B:$B, $B12, Log!$C:$C, $C12),""))</f>
        <v>0.18479499999999999</v>
      </c>
      <c r="Q12" s="6">
        <f>IF(COUNTBLANK($A12:$E12)&gt;0, "", IFERROR(_xlfn.MAXIFS(Log!$F:$F, Log!$A:$A, $A12, Log!$B:$B, $B12, Log!$C:$C, $C12),""))</f>
        <v>0.58029200000000003</v>
      </c>
      <c r="R12" s="180" t="str" cm="1">
        <f t="array" ref="R12">_xlfn.LET(_xlpm.row_no, ROW(A12),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2" s="180" t="str" cm="1">
        <f t="array" ref="S12">_xlfn.LET(_xlpm.row_no, ROW(A12),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12" s="6">
        <f>IF(COUNTBLANK($A12:$E12)&gt;0, "", IFERROR(AVERAGEIFS(Log!$G:$G, Log!$A:$A, $A12, Log!$B:$B, $B12, Log!$C:$C, $C12),""))</f>
        <v>9.0735544444444455E-2</v>
      </c>
      <c r="U12" s="37" cm="1">
        <f t="array" ref="U12">IFERROR(_xlfn.LET(
_xlpm.goal, $T12,
_xlpm.key, $B12,
_xlpm.range, Log!$G:$G,
_xlpm.cameras_above_mean, ROWS(_xlfn.UNIQUE(_xlfn._xlws.FILTER(Log!$D:$D, (_xlpm.range&gt;_xlpm.goal) * (Log!$A:$A="Trial") * (Log!$B:$B=_xlpm.key)))),
_xlpm.total_cameras, ROWS('Data-Lists'!G9:G26),
_xlpm.text_representation, _xlfn.CONCAT(_xlpm.cameras_above_mean, "/", _xlpm.total_cameras),
_xlpm.percentage, _xlpm.cameras_above_mean/_xlpm.total_cameras,
_xlpm.percentage
), 0)</f>
        <v>0.3888888888888889</v>
      </c>
      <c r="V12" s="6">
        <f>IF(COUNTBLANK($A12:$E12)&gt;0, "", IFERROR(_xlfn.MINIFS(Log!$G:$G, Log!$A:$A, $A12, Log!$B:$B, $B12, Log!$C:$C, $C12),""))</f>
        <v>5.1241000000000002E-2</v>
      </c>
      <c r="W12" s="6">
        <f>IF(COUNTBLANK($A12:$E12)&gt;0, "", IFERROR(_xlfn.MAXIFS(Log!$G:$G, Log!$A:$A, $A12, Log!$B:$B, $B12, Log!$C:$C, $C12),""))</f>
        <v>0.15919700000000001</v>
      </c>
      <c r="X12" s="180" t="str" cm="1">
        <f t="array" ref="X12">_xlfn.LET(_xlpm.row_no, ROW(A12),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2" s="180" t="str" cm="1">
        <f t="array" ref="Y12">_xlfn.LET(_xlpm.row_no, ROW(A12),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2" s="314"/>
      <c r="AA12" s="315"/>
      <c r="AB12" s="312"/>
      <c r="AC12" s="312"/>
      <c r="AD12" s="312"/>
      <c r="AF12" s="303" t="s">
        <v>72</v>
      </c>
      <c r="AG12" s="304"/>
      <c r="AH12" s="304"/>
      <c r="AI12" s="304"/>
      <c r="AJ12" s="304"/>
      <c r="AK12" s="304"/>
      <c r="AL12" s="305"/>
      <c r="AM12" s="116"/>
    </row>
    <row r="13" spans="1:48" ht="39.6" customHeight="1" x14ac:dyDescent="0.3">
      <c r="A13" s="103" t="s">
        <v>88</v>
      </c>
      <c r="B13" s="105" t="s">
        <v>140</v>
      </c>
      <c r="C13" s="5">
        <v>46242</v>
      </c>
      <c r="D13" s="31">
        <v>24.5</v>
      </c>
      <c r="E13" s="32">
        <v>0.68958333333333333</v>
      </c>
      <c r="F13" s="75" t="s">
        <v>73</v>
      </c>
      <c r="G13" s="36">
        <v>1000</v>
      </c>
      <c r="H13" s="36">
        <f>IF(COUNTBLANK($A13:$E13)&gt;0, "", IFERROR(AVERAGEIFS(Log!$E:$E, Log!$A:$A, $A13, Log!$B:$B, $B13, Log!$C:$C, $C13),""))</f>
        <v>1814.2222222222222</v>
      </c>
      <c r="I13" s="36">
        <f>IF(COUNTBLANK($A13:$E13)&gt;0, "", IFERROR(_xlfn.MAXIFS(Log!$E:$E, Log!$A:$A, $A13, Log!$B:$B, $B13, Log!$C:$C, $C13),""))</f>
        <v>3265</v>
      </c>
      <c r="J13" s="36">
        <f>IF(COUNTBLANK($A13:$E13)&gt;0, "", IFERROR(_xlfn.MINIFS(Log!$E:$E, Log!$A:$A, $A13, Log!$B:$B, $B13, Log!$C:$C, $C13),""))</f>
        <v>1004</v>
      </c>
      <c r="K13" s="37">
        <f t="shared" si="0"/>
        <v>1.8142222222222222</v>
      </c>
      <c r="L13" s="180" t="str" cm="1">
        <f t="array" ref="L13">_xlfn.LET(_xlpm.row_no, ROW(A13),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3" s="180" t="str" cm="1">
        <f t="array" ref="M13">_xlfn.LET(_xlpm.row_no, ROW(A13),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3" s="6">
        <f>IF(COUNTBLANK($A13:$E13)&gt;0, "", IFERROR(AVERAGEIFS(Log!$F:$F, Log!$A:$A, $A13, Log!$B:$B, $B13, Log!$C:$C, $C13),""))</f>
        <v>0.36988611111111114</v>
      </c>
      <c r="O13" s="37" cm="1">
        <f t="array" ref="O13">IFERROR(_xlfn.LET(
_xlpm.goal, $N13,
_xlpm.key, $B13,
_xlpm.range, Log!$F:$F,
_xlpm.cameras_above_mean, ROWS(_xlfn.UNIQUE(_xlfn._xlws.FILTER(Log!$D:$D, (_xlpm.range&gt;_xlpm.goal) * (Log!$A:$A="Trial") * (Log!$B:$B=_xlpm.key)))),
_xlpm.total_cameras, ROWS('Data-Lists'!A10:A27),
_xlpm.text_representation, _xlfn.CONCAT(_xlpm.cameras_above_mean, "/", _xlpm.total_cameras),
_xlpm.percentage, _xlpm.cameras_above_mean/_xlpm.total_cameras,
_xlpm.percentage
), 0)</f>
        <v>0.61111111111111116</v>
      </c>
      <c r="P13" s="6">
        <f>IF(COUNTBLANK($A13:$E13)&gt;0, "", IFERROR(_xlfn.MINIFS(Log!$F:$F, Log!$A:$A, $A13, Log!$B:$B, $B13, Log!$C:$C, $C13),""))</f>
        <v>0.17080200000000001</v>
      </c>
      <c r="Q13" s="6">
        <f>IF(COUNTBLANK($A13:$E13)&gt;0, "", IFERROR(_xlfn.MAXIFS(Log!$F:$F, Log!$A:$A, $A13, Log!$B:$B, $B13, Log!$C:$C, $C13),""))</f>
        <v>0.55515800000000004</v>
      </c>
      <c r="R13" s="180" t="str" cm="1">
        <f t="array" ref="R13">_xlfn.LET(_xlpm.row_no, ROW(A13),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3" s="180" t="str" cm="1">
        <f t="array" ref="S13">_xlfn.LET(_xlpm.row_no, ROW(A13),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3" s="6">
        <f>IF(COUNTBLANK($A13:$E13)&gt;0, "", IFERROR(AVERAGEIFS(Log!$G:$G, Log!$A:$A, $A13, Log!$B:$B, $B13, Log!$C:$C, $C13),""))</f>
        <v>8.9815727777777798E-2</v>
      </c>
      <c r="U13" s="37" cm="1">
        <f t="array" ref="U13">IFERROR(_xlfn.LET(
_xlpm.goal, $T13,
_xlpm.key, $B13,
_xlpm.range, Log!$G:$G,
_xlpm.cameras_above_mean, ROWS(_xlfn.UNIQUE(_xlfn._xlws.FILTER(Log!$D:$D, (_xlpm.range&gt;_xlpm.goal) * (Log!$A:$A="Trial") * (Log!$B:$B=_xlpm.key)))),
_xlpm.total_cameras, ROWS('Data-Lists'!G10:G27),
_xlpm.text_representation, _xlfn.CONCAT(_xlpm.cameras_above_mean, "/", _xlpm.total_cameras),
_xlpm.percentage, _xlpm.cameras_above_mean/_xlpm.total_cameras,
_xlpm.percentage
), 0)</f>
        <v>0.44444444444444442</v>
      </c>
      <c r="V13" s="6">
        <f>IF(COUNTBLANK($A13:$E13)&gt;0, "", IFERROR(_xlfn.MINIFS(Log!$G:$G, Log!$A:$A, $A13, Log!$B:$B, $B13, Log!$C:$C, $C13),""))</f>
        <v>4.3830000000000001E-2</v>
      </c>
      <c r="W13" s="6">
        <f>IF(COUNTBLANK($A13:$E13)&gt;0, "", IFERROR(_xlfn.MAXIFS(Log!$G:$G, Log!$A:$A, $A13, Log!$B:$B, $B13, Log!$C:$C, $C13),""))</f>
        <v>0.140682</v>
      </c>
      <c r="X13" s="180" t="str" cm="1">
        <f t="array" ref="X13">_xlfn.LET(_xlpm.row_no, ROW(A13),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3" s="180" t="str" cm="1">
        <f t="array" ref="Y13">_xlfn.LET(_xlpm.row_no, ROW(A13),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3" s="314"/>
      <c r="AA13" s="315"/>
      <c r="AB13" s="312"/>
      <c r="AC13" s="312"/>
      <c r="AD13" s="312"/>
      <c r="AF13" s="300" t="s">
        <v>111</v>
      </c>
      <c r="AG13" s="301"/>
      <c r="AH13" s="301"/>
      <c r="AI13" s="301"/>
      <c r="AJ13" s="301"/>
      <c r="AK13" s="301"/>
      <c r="AL13" s="301"/>
      <c r="AM13" s="302"/>
    </row>
    <row r="14" spans="1:48" ht="10.050000000000001" customHeight="1" x14ac:dyDescent="0.3">
      <c r="A14" s="107"/>
      <c r="B14" s="105"/>
      <c r="C14" s="5"/>
      <c r="D14" s="31"/>
      <c r="E14" s="32"/>
      <c r="G14" s="36"/>
      <c r="H14" s="36" t="str">
        <f>IF(COUNTBLANK($A14:$E14)&gt;0, "", IFERROR(AVERAGEIFS(Log!$E:$E, Log!$A:$A, $A14, Log!$B:$B, $B14, Log!$C:$C, $C14),""))</f>
        <v/>
      </c>
      <c r="I14" s="36" t="str">
        <f>IF(COUNTBLANK($A14:$E14)&gt;0, "", IFERROR(_xlfn.MAXIFS(Log!$E:$E, Log!$A:$A, $A14, Log!$B:$B, $B14, Log!$C:$C, $C14),""))</f>
        <v/>
      </c>
      <c r="J14" s="36" t="str">
        <f>IF(COUNTBLANK($A14:$E14)&gt;0, "", IFERROR(_xlfn.MINIFS(Log!$E:$E, Log!$A:$A, $A14, Log!$B:$B, $B14, Log!$C:$C, $C14),""))</f>
        <v/>
      </c>
      <c r="K14" s="37" t="str">
        <f t="shared" si="0"/>
        <v/>
      </c>
      <c r="L14" s="180" t="str" cm="1">
        <f t="array" ref="L14">_xlfn.LET(_xlpm.row_no, ROW(A14),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14" s="180" t="str" cm="1">
        <f t="array" ref="M14">_xlfn.LET(_xlpm.row_no, ROW(A14),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14" s="6" t="str">
        <f>IF(COUNTBLANK($A14:$E14)&gt;0, "", IFERROR(AVERAGEIFS(Log!$F:$F, Log!$A:$A, $A14, Log!$B:$B, $B14, Log!$C:$C, $C14),""))</f>
        <v/>
      </c>
      <c r="O14" s="37" t="str">
        <f>IF(COUNTBLANK($A14:$E14)&gt;0, "", IFERROR(AVERAGEIFS(Log!$F:$F, Log!$A:$A, $A14, Log!$B:$B, $B14, Log!$C:$C, $C14),""))</f>
        <v/>
      </c>
      <c r="P14" s="6" t="str">
        <f>IF(COUNTBLANK($A14:$E14)&gt;0, "", IFERROR(_xlfn.MINIFS(Log!$F:$F, Log!$A:$A, $A14, Log!$B:$B, $B14, Log!$C:$C, $C14),""))</f>
        <v/>
      </c>
      <c r="Q14" s="6" t="str">
        <f>IF(COUNTBLANK($A14:$E14)&gt;0, "", IFERROR(_xlfn.MAXIFS(Log!$F:$F, Log!$A:$A, $A14, Log!$B:$B, $B14, Log!$C:$C, $C14),""))</f>
        <v/>
      </c>
      <c r="R14" s="180" t="str" cm="1">
        <f t="array" ref="R14">_xlfn.LET(_xlpm.row_no, ROW(A14),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S14" s="180" t="str" cm="1">
        <f t="array" ref="S14">_xlfn.LET(_xlpm.row_no, ROW(A14),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T14" s="6" t="str">
        <f>IF(COUNTBLANK($A14:$E14)&gt;0, "", IFERROR(AVERAGEIFS(Log!#REF!, Log!$A:$A, $A14, Log!$B:$B, $B14, Log!$C:$C, $C14),""))</f>
        <v/>
      </c>
      <c r="U14" s="37" t="str">
        <f>IF(COUNTBLANK($A14:$E14)&gt;0, "", IFERROR(AVERAGEIFS(Log!$F:$F, Log!$A:$A, $A14, Log!$B:$B, $B14, Log!$C:$C, $C14),""))</f>
        <v/>
      </c>
      <c r="V14" s="6" t="str">
        <f>IF(COUNTBLANK($A14:$E14)&gt;0, "", IFERROR(_xlfn.MINIFS(Log!$G:$G, Log!$A:$A, $A14, Log!$B:$B, $B14, Log!$C:$C, $C14),""))</f>
        <v/>
      </c>
      <c r="W14" s="6" t="str">
        <f>IF(COUNTBLANK($A14:$E14)&gt;0, "", IFERROR(_xlfn.MAXIFS(Log!$G:$G, Log!$A:$A, $A14, Log!$B:$B, $B14, Log!$C:$C, $C14),""))</f>
        <v/>
      </c>
      <c r="X14" s="180" t="str" cm="1">
        <f t="array" ref="X14">_xlfn.LET(_xlpm.row_no, ROW(A14),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Y14" s="180" t="str" cm="1">
        <f t="array" ref="Y14">_xlfn.LET(_xlpm.row_no, ROW(A14),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AG14" s="40"/>
    </row>
    <row r="15" spans="1:48" ht="40.049999999999997" customHeight="1" x14ac:dyDescent="0.3">
      <c r="A15" s="103" t="s">
        <v>88</v>
      </c>
      <c r="B15" s="105" t="s">
        <v>172</v>
      </c>
      <c r="C15" s="5">
        <v>46245</v>
      </c>
      <c r="D15" s="31">
        <v>24</v>
      </c>
      <c r="E15" s="32">
        <v>0.47361111111111109</v>
      </c>
      <c r="F15" s="75" t="s">
        <v>73</v>
      </c>
      <c r="G15" s="36">
        <v>1000</v>
      </c>
      <c r="H15" s="36">
        <f>IF(COUNTBLANK($A15:$E15)&gt;0, "", IFERROR(AVERAGEIFS(Log!$E:$E, Log!$A:$A, $A15, Log!$B:$B, $B15, Log!$C:$C, $C15),""))</f>
        <v>1897</v>
      </c>
      <c r="I15" s="36">
        <f>IF(COUNTBLANK($A15:$E15)&gt;0, "", IFERROR(_xlfn.MAXIFS(Log!$E:$E, Log!$A:$A, $A15, Log!$B:$B, $B15, Log!$C:$C, $C15),""))</f>
        <v>3324</v>
      </c>
      <c r="J15" s="36">
        <f>IF(COUNTBLANK($A15:$E15)&gt;0, "", IFERROR(_xlfn.MINIFS(Log!$E:$E, Log!$A:$A, $A15, Log!$B:$B, $B15, Log!$C:$C, $C15),""))</f>
        <v>1005</v>
      </c>
      <c r="K15" s="37">
        <f t="shared" si="0"/>
        <v>1.897</v>
      </c>
      <c r="L15" s="180" t="str" cm="1">
        <f t="array" ref="L15">_xlfn.LET(_xlpm.row_no, ROW(A15),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5" s="180" t="str" cm="1">
        <f t="array" ref="M15">_xlfn.LET(_xlpm.row_no, ROW(A15),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5" s="6">
        <f>IF(COUNTBLANK($A15:$E15)&gt;0, "", IFERROR(AVERAGEIFS(Log!$F:$F, Log!$A:$A, $A15, Log!$B:$B, $B15, Log!$C:$C, $C15),""))</f>
        <v>0.40652022222222217</v>
      </c>
      <c r="O15" s="37" cm="1">
        <f t="array" ref="O15">IFERROR(_xlfn.LET(
_xlpm.goal, $N15,
_xlpm.key, $B15,
_xlpm.range, Log!$F:$F,
_xlpm.cameras_above_mean, ROWS(_xlfn.UNIQUE(_xlfn._xlws.FILTER(Log!$D:$D, (_xlpm.range&gt;_xlpm.goal) * (Log!$A:$A="Trial") * (Log!$B:$B=_xlpm.key)))),
_xlpm.total_cameras, ROWS('Data-Lists'!A4:A21),
_xlpm.text_representation, _xlfn.CONCAT(_xlpm.cameras_above_mean, "/", _xlpm.total_cameras),
_xlpm.percentage, _xlpm.cameras_above_mean/_xlpm.total_cameras,
_xlpm.percentage
), 0)</f>
        <v>0.55555555555555558</v>
      </c>
      <c r="P15" s="6">
        <f>IF(COUNTBLANK($A15:$E15)&gt;0, "", IFERROR(_xlfn.MINIFS(Log!$F:$F, Log!$A:$A, $A15, Log!$B:$B, $B15, Log!$C:$C, $C15),""))</f>
        <v>0.21635299999999999</v>
      </c>
      <c r="Q15" s="6">
        <f>IF(COUNTBLANK($A15:$E15)&gt;0, "", IFERROR(_xlfn.MAXIFS(Log!$F:$F, Log!$A:$A, $A15, Log!$B:$B, $B15, Log!$C:$C, $C15),""))</f>
        <v>0.64593299999999998</v>
      </c>
      <c r="R15" s="180" t="str" cm="1">
        <f t="array" ref="R15">_xlfn.LET(_xlpm.row_no, ROW(A15),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5" s="180" t="str" cm="1">
        <f t="array" ref="S15">_xlfn.LET(_xlpm.row_no, ROW(A15),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5" s="6">
        <f>IF(COUNTBLANK($A15:$E15)&gt;0, "", IFERROR(AVERAGEIFS(Log!$G:$G, Log!$A:$A, $A15, Log!$B:$B, $B15, Log!$C:$C, $C15),""))</f>
        <v>9.8806116666666666E-2</v>
      </c>
      <c r="U15" s="37" cm="1">
        <f t="array" ref="U15">IFERROR(_xlfn.LET(
_xlpm.goal, $T15,
_xlpm.key, $B15,
_xlpm.range, Log!$G:$G,
_xlpm.cameras_above_mean, ROWS(_xlfn.UNIQUE(_xlfn._xlws.FILTER(Log!$D:$D, (_xlpm.range&gt;_xlpm.goal) * (Log!$A:$A="Trial") * (Log!$B:$B=_xlpm.key)))),
_xlpm.total_cameras, ROWS('Data-Lists'!G10:G27),
_xlpm.text_representation, _xlfn.CONCAT(_xlpm.cameras_above_mean, "/", _xlpm.total_cameras),
_xlpm.percentage, _xlpm.cameras_above_mean/_xlpm.total_cameras,
_xlpm.percentage
), 0)</f>
        <v>0.3888888888888889</v>
      </c>
      <c r="V15" s="6">
        <f>IF(COUNTBLANK($A15:$E15)&gt;0, "", IFERROR(_xlfn.MINIFS(Log!$G:$G, Log!$A:$A, $A15, Log!$B:$B, $B15, Log!$C:$C, $C15),""))</f>
        <v>5.2024399999999998E-2</v>
      </c>
      <c r="W15" s="6">
        <f>IF(COUNTBLANK($A15:$E15)&gt;0, "", IFERROR(_xlfn.MAXIFS(Log!$G:$G, Log!$A:$A, $A15, Log!$B:$B, $B15, Log!$C:$C, $C15),""))</f>
        <v>0.181585</v>
      </c>
      <c r="X15" s="180" t="str" cm="1">
        <f t="array" ref="X15">_xlfn.LET(_xlpm.row_no, ROW(A15),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5" s="180" t="str" cm="1">
        <f t="array" ref="Y15">_xlfn.LET(_xlpm.row_no, ROW(A15),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5" s="165" t="s">
        <v>214</v>
      </c>
      <c r="AA15" s="166"/>
      <c r="AB15" s="312" t="s">
        <v>192</v>
      </c>
      <c r="AC15" s="312" t="s">
        <v>229</v>
      </c>
      <c r="AD15" s="313" t="s">
        <v>230</v>
      </c>
    </row>
    <row r="16" spans="1:48" ht="40.049999999999997" customHeight="1" x14ac:dyDescent="0.3">
      <c r="A16" s="103" t="s">
        <v>88</v>
      </c>
      <c r="B16" s="105" t="s">
        <v>173</v>
      </c>
      <c r="C16" s="5">
        <v>46245</v>
      </c>
      <c r="D16" s="31">
        <v>24</v>
      </c>
      <c r="E16" s="32">
        <v>0.48472222222222222</v>
      </c>
      <c r="F16" s="75" t="s">
        <v>73</v>
      </c>
      <c r="G16" s="36">
        <v>1000</v>
      </c>
      <c r="H16" s="36">
        <f>IF(COUNTBLANK($A16:$E16)&gt;0, "", IFERROR(AVERAGEIFS(Log!$E:$E, Log!$A:$A, $A16, Log!$B:$B, $B16, Log!$C:$C, $C16),""))</f>
        <v>1789.3333333333333</v>
      </c>
      <c r="I16" s="36">
        <f>IF(COUNTBLANK($A16:$E16)&gt;0, "", IFERROR(_xlfn.MAXIFS(Log!$E:$E, Log!$A:$A, $A16, Log!$B:$B, $B16, Log!$C:$C, $C16),""))</f>
        <v>3413</v>
      </c>
      <c r="J16" s="36">
        <f>IF(COUNTBLANK($A16:$E16)&gt;0, "", IFERROR(_xlfn.MINIFS(Log!$E:$E, Log!$A:$A, $A16, Log!$B:$B, $B16, Log!$C:$C, $C16),""))</f>
        <v>1003</v>
      </c>
      <c r="K16" s="37">
        <f t="shared" si="0"/>
        <v>1.7893333333333332</v>
      </c>
      <c r="L16" s="180" t="str" cm="1">
        <f t="array" ref="L16">_xlfn.LET(_xlpm.row_no, ROW(A16),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6" s="180" t="str" cm="1">
        <f t="array" ref="M16">_xlfn.LET(_xlpm.row_no, ROW(A16),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6" s="6">
        <f>IF(COUNTBLANK($A16:$E16)&gt;0, "", IFERROR(AVERAGEIFS(Log!$F:$F, Log!$A:$A, $A16, Log!$B:$B, $B16, Log!$C:$C, $C16),""))</f>
        <v>0.33343427777777779</v>
      </c>
      <c r="O16" s="37" cm="1">
        <f t="array" ref="O16">IFERROR(_xlfn.LET(
_xlpm.goal, $N16,
_xlpm.key, $B16,
_xlpm.range, Log!$F:$F,
_xlpm.cameras_above_mean, ROWS(_xlfn.UNIQUE(_xlfn._xlws.FILTER(Log!$D:$D, (_xlpm.range&gt;_xlpm.goal) * (Log!$A:$A="Trial") * (Log!$B:$B=_xlpm.key)))),
_xlpm.total_cameras, ROWS('Data-Lists'!A5:A22),
_xlpm.text_representation, _xlfn.CONCAT(_xlpm.cameras_above_mean, "/", _xlpm.total_cameras),
_xlpm.percentage, _xlpm.cameras_above_mean/_xlpm.total_cameras,
_xlpm.percentage
), 0)</f>
        <v>0.55555555555555558</v>
      </c>
      <c r="P16" s="6">
        <f>IF(COUNTBLANK($A16:$E16)&gt;0, "", IFERROR(_xlfn.MINIFS(Log!$F:$F, Log!$A:$A, $A16, Log!$B:$B, $B16, Log!$C:$C, $C16),""))</f>
        <v>0.117384</v>
      </c>
      <c r="Q16" s="6">
        <f>IF(COUNTBLANK($A16:$E16)&gt;0, "", IFERROR(_xlfn.MAXIFS(Log!$F:$F, Log!$A:$A, $A16, Log!$B:$B, $B16, Log!$C:$C, $C16),""))</f>
        <v>0.49287599999999998</v>
      </c>
      <c r="R16" s="180" t="str" cm="1">
        <f t="array" ref="R16">_xlfn.LET(_xlpm.row_no, ROW(A16),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16" s="180" t="str" cm="1">
        <f t="array" ref="S16">_xlfn.LET(_xlpm.row_no, ROW(A16),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6" s="6">
        <f>IF(COUNTBLANK($A16:$E16)&gt;0, "", IFERROR(AVERAGEIFS(Log!$G:$G, Log!$A:$A, $A16, Log!$B:$B, $B16, Log!$C:$C, $C16),""))</f>
        <v>8.0766700000000011E-2</v>
      </c>
      <c r="U16" s="37" cm="1">
        <f t="array" ref="U16">IFERROR(_xlfn.LET(
_xlpm.goal, $T16,
_xlpm.key, $B16,
_xlpm.range, Log!$G:$G,
_xlpm.cameras_above_mean, ROWS(_xlfn.UNIQUE(_xlfn._xlws.FILTER(Log!$D:$D, (_xlpm.range&gt;_xlpm.goal) * (Log!$A:$A="Trial") * (Log!$B:$B=_xlpm.key)))),
_xlpm.total_cameras, ROWS('Data-Lists'!G11:G28),
_xlpm.text_representation, _xlfn.CONCAT(_xlpm.cameras_above_mean, "/", _xlpm.total_cameras),
_xlpm.percentage, _xlpm.cameras_above_mean/_xlpm.total_cameras,
_xlpm.percentage
), 0)</f>
        <v>0.3888888888888889</v>
      </c>
      <c r="V16" s="6">
        <f>IF(COUNTBLANK($A16:$E16)&gt;0, "", IFERROR(_xlfn.MINIFS(Log!$G:$G, Log!$A:$A, $A16, Log!$B:$B, $B16, Log!$C:$C, $C16),""))</f>
        <v>2.3031800000000002E-2</v>
      </c>
      <c r="W16" s="6">
        <f>IF(COUNTBLANK($A16:$E16)&gt;0, "", IFERROR(_xlfn.MAXIFS(Log!$G:$G, Log!$A:$A, $A16, Log!$B:$B, $B16, Log!$C:$C, $C16),""))</f>
        <v>0.139321</v>
      </c>
      <c r="X16" s="180" t="str" cm="1">
        <f t="array" ref="X16">_xlfn.LET(_xlpm.row_no, ROW(A16),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Y16" s="180" t="str" cm="1">
        <f t="array" ref="Y16">_xlfn.LET(_xlpm.row_no, ROW(A16),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6" s="165" t="s">
        <v>214</v>
      </c>
      <c r="AA16" s="166"/>
      <c r="AB16" s="312"/>
      <c r="AC16" s="312"/>
      <c r="AD16" s="313"/>
      <c r="AG16" s="40"/>
    </row>
    <row r="17" spans="1:33" ht="40.049999999999997" customHeight="1" x14ac:dyDescent="0.3">
      <c r="A17" s="103" t="s">
        <v>88</v>
      </c>
      <c r="B17" s="105" t="s">
        <v>174</v>
      </c>
      <c r="C17" s="5">
        <v>46245</v>
      </c>
      <c r="D17" s="31">
        <v>24</v>
      </c>
      <c r="E17" s="32">
        <v>0.49513888888888891</v>
      </c>
      <c r="F17" s="75" t="s">
        <v>73</v>
      </c>
      <c r="G17" s="36">
        <v>1000</v>
      </c>
      <c r="H17" s="36">
        <f>IF(COUNTBLANK($A17:$E17)&gt;0, "", IFERROR(AVERAGEIFS(Log!$E:$E, Log!$A:$A, $A17, Log!$B:$B, $B17, Log!$C:$C, $C17),""))</f>
        <v>1762.1666666666667</v>
      </c>
      <c r="I17" s="36">
        <f>IF(COUNTBLANK($A17:$E17)&gt;0, "", IFERROR(_xlfn.MAXIFS(Log!$E:$E, Log!$A:$A, $A17, Log!$B:$B, $B17, Log!$C:$C, $C17),""))</f>
        <v>2950</v>
      </c>
      <c r="J17" s="36">
        <f>IF(COUNTBLANK($A17:$E17)&gt;0, "", IFERROR(_xlfn.MINIFS(Log!$E:$E, Log!$A:$A, $A17, Log!$B:$B, $B17, Log!$C:$C, $C17),""))</f>
        <v>1003</v>
      </c>
      <c r="K17" s="37">
        <f t="shared" si="0"/>
        <v>1.7621666666666667</v>
      </c>
      <c r="L17" s="180" t="str" cm="1">
        <f t="array" ref="L17">_xlfn.LET(_xlpm.row_no, ROW(A17),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7" s="180" t="str" cm="1">
        <f t="array" ref="M17">_xlfn.LET(_xlpm.row_no, ROW(A17),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17" s="6">
        <f>IF(COUNTBLANK($A17:$E17)&gt;0, "", IFERROR(AVERAGEIFS(Log!$F:$F, Log!$A:$A, $A17, Log!$B:$B, $B17, Log!$C:$C, $C17),""))</f>
        <v>0.37823699999999993</v>
      </c>
      <c r="O17" s="37" cm="1">
        <f t="array" ref="O17">IFERROR(_xlfn.LET(
_xlpm.goal, $N17,
_xlpm.key, $B17,
_xlpm.range, Log!$F:$F,
_xlpm.cameras_above_mean, ROWS(_xlfn.UNIQUE(_xlfn._xlws.FILTER(Log!$D:$D, (_xlpm.range&gt;_xlpm.goal) * (Log!$A:$A="Trial") * (Log!$B:$B=_xlpm.key)))),
_xlpm.total_cameras, ROWS('Data-Lists'!A6:A23),
_xlpm.text_representation, _xlfn.CONCAT(_xlpm.cameras_above_mean, "/", _xlpm.total_cameras),
_xlpm.percentage, _xlpm.cameras_above_mean/_xlpm.total_cameras,
_xlpm.percentage
), 0)</f>
        <v>0.55555555555555558</v>
      </c>
      <c r="P17" s="6">
        <f>IF(COUNTBLANK($A17:$E17)&gt;0, "", IFERROR(_xlfn.MINIFS(Log!$F:$F, Log!$A:$A, $A17, Log!$B:$B, $B17, Log!$C:$C, $C17),""))</f>
        <v>0.197274</v>
      </c>
      <c r="Q17" s="6">
        <f>IF(COUNTBLANK($A17:$E17)&gt;0, "", IFERROR(_xlfn.MAXIFS(Log!$F:$F, Log!$A:$A, $A17, Log!$B:$B, $B17, Log!$C:$C, $C17),""))</f>
        <v>0.58545000000000003</v>
      </c>
      <c r="R17" s="180" t="str" cm="1">
        <f t="array" ref="R17">_xlfn.LET(_xlpm.row_no, ROW(A17),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17" s="180" t="str" cm="1">
        <f t="array" ref="S17">_xlfn.LET(_xlpm.row_no, ROW(A17),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7" s="6">
        <f>IF(COUNTBLANK($A17:$E17)&gt;0, "", IFERROR(AVERAGEIFS(Log!$G:$G, Log!$A:$A, $A17, Log!$B:$B, $B17, Log!$C:$C, $C17),""))</f>
        <v>9.2112966666666685E-2</v>
      </c>
      <c r="U17" s="37" cm="1">
        <f t="array" ref="U17">IFERROR(_xlfn.LET(
_xlpm.goal, $T17,
_xlpm.key, $B17,
_xlpm.range, Log!$G:$G,
_xlpm.cameras_above_mean, ROWS(_xlfn.UNIQUE(_xlfn._xlws.FILTER(Log!$D:$D, (_xlpm.range&gt;_xlpm.goal) * (Log!$A:$A="Trial") * (Log!$B:$B=_xlpm.key)))),
_xlpm.total_cameras, ROWS('Data-Lists'!G12:G29),
_xlpm.text_representation, _xlfn.CONCAT(_xlpm.cameras_above_mean, "/", _xlpm.total_cameras),
_xlpm.percentage, _xlpm.cameras_above_mean/_xlpm.total_cameras,
_xlpm.percentage
), 0)</f>
        <v>0.5</v>
      </c>
      <c r="V17" s="6">
        <f>IF(COUNTBLANK($A17:$E17)&gt;0, "", IFERROR(_xlfn.MINIFS(Log!$G:$G, Log!$A:$A, $A17, Log!$B:$B, $B17, Log!$C:$C, $C17),""))</f>
        <v>5.8390299999999999E-2</v>
      </c>
      <c r="W17" s="6">
        <f>IF(COUNTBLANK($A17:$E17)&gt;0, "", IFERROR(_xlfn.MAXIFS(Log!$G:$G, Log!$A:$A, $A17, Log!$B:$B, $B17, Log!$C:$C, $C17),""))</f>
        <v>0.14530899999999999</v>
      </c>
      <c r="X17" s="180" t="str" cm="1">
        <f t="array" ref="X17">_xlfn.LET(_xlpm.row_no, ROW(A17),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Y17" s="180" t="str" cm="1">
        <f t="array" ref="Y17">_xlfn.LET(_xlpm.row_no, ROW(A17),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7" s="165" t="s">
        <v>214</v>
      </c>
      <c r="AA17" s="166"/>
      <c r="AB17" s="312"/>
      <c r="AC17" s="312"/>
      <c r="AD17" s="313"/>
      <c r="AG17" s="40"/>
    </row>
    <row r="18" spans="1:33" ht="40.049999999999997" customHeight="1" x14ac:dyDescent="0.3">
      <c r="A18" s="103" t="s">
        <v>88</v>
      </c>
      <c r="B18" s="105" t="s">
        <v>203</v>
      </c>
      <c r="C18" s="5">
        <v>46246</v>
      </c>
      <c r="D18" s="31">
        <v>25</v>
      </c>
      <c r="E18" s="32">
        <v>0.46180555555555558</v>
      </c>
      <c r="F18" s="75" t="s">
        <v>73</v>
      </c>
      <c r="G18" s="36">
        <v>1000</v>
      </c>
      <c r="H18" s="36">
        <f>IF(COUNTBLANK($A18:$E18)&gt;0, "", IFERROR(AVERAGEIFS(Log!$E:$E, Log!$A:$A, $A18, Log!$B:$B, $B18, Log!$C:$C, $C18),""))</f>
        <v>1860.4705882352941</v>
      </c>
      <c r="I18" s="36">
        <f>IF(COUNTBLANK($A18:$E18)&gt;0, "", IFERROR(_xlfn.MAXIFS(Log!$E:$E, Log!$A:$A, $A18, Log!$B:$B, $B18, Log!$C:$C, $C18),""))</f>
        <v>2843</v>
      </c>
      <c r="J18" s="36">
        <f>IF(COUNTBLANK($A18:$E18)&gt;0, "", IFERROR(_xlfn.MINIFS(Log!$E:$E, Log!$A:$A, $A18, Log!$B:$B, $B18, Log!$C:$C, $C18),""))</f>
        <v>1002</v>
      </c>
      <c r="K18" s="37">
        <f t="shared" si="0"/>
        <v>1.8604705882352941</v>
      </c>
      <c r="L18" s="180" t="str" cm="1">
        <f t="array" ref="L18">_xlfn.LET(_xlpm.row_no, ROW(A18),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8" s="180" t="str" cm="1">
        <f t="array" ref="M18">_xlfn.LET(_xlpm.row_no, ROW(A18),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8" s="6">
        <f>IF(COUNTBLANK($A18:$E18)&gt;0, "", IFERROR(AVERAGEIFS(Log!$F:$F, Log!$A:$A, $A18, Log!$B:$B, $B18, Log!$C:$C, $C18),""))</f>
        <v>0.40640135294117646</v>
      </c>
      <c r="O18" s="37" cm="1">
        <f t="array" ref="O18">IFERROR(_xlfn.LET(
_xlpm.goal, $N18,
_xlpm.key, $B18,
_xlpm.range, Log!$F:$F,
_xlpm.cameras_above_mean, ROWS(_xlfn.UNIQUE(_xlfn._xlws.FILTER(Log!$D:$D, (_xlpm.range&gt;_xlpm.goal) * (Log!$A:$A="Trial") * (Log!$B:$B=_xlpm.key)))),
_xlpm.total_cameras, ROWS('Data-Lists'!A7:A24),
_xlpm.text_representation, _xlfn.CONCAT(_xlpm.cameras_above_mean, "/", _xlpm.total_cameras),
_xlpm.percentage, _xlpm.cameras_above_mean/_xlpm.total_cameras,
_xlpm.percentage
), 0)</f>
        <v>0.61111111111111116</v>
      </c>
      <c r="P18" s="6">
        <f>IF(COUNTBLANK($A18:$E18)&gt;0, "", IFERROR(_xlfn.MINIFS(Log!$F:$F, Log!$A:$A, $A18, Log!$B:$B, $B18, Log!$C:$C, $C18),""))</f>
        <v>0.20551900000000001</v>
      </c>
      <c r="Q18" s="6">
        <f>IF(COUNTBLANK($A18:$E18)&gt;0, "", IFERROR(_xlfn.MAXIFS(Log!$F:$F, Log!$A:$A, $A18, Log!$B:$B, $B18, Log!$C:$C, $C18),""))</f>
        <v>0.63461900000000004</v>
      </c>
      <c r="R18" s="180" t="str" cm="1">
        <f t="array" ref="R18">_xlfn.LET(_xlpm.row_no, ROW(A18),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18" s="180" t="str" cm="1">
        <f t="array" ref="S18">_xlfn.LET(_xlpm.row_no, ROW(A18),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18" s="6">
        <f>IF(COUNTBLANK($A18:$E18)&gt;0, "", IFERROR(AVERAGEIFS(Log!$G:$G, Log!$A:$A, $A18, Log!$B:$B, $B18, Log!$C:$C, $C18),""))</f>
        <v>9.9986976470588226E-2</v>
      </c>
      <c r="U18" s="37" cm="1">
        <f t="array" ref="U18">IFERROR(_xlfn.LET(
_xlpm.goal, $T18,
_xlpm.key, $B18,
_xlpm.range, Log!$G:$G,
_xlpm.cameras_above_mean, ROWS(_xlfn.UNIQUE(_xlfn._xlws.FILTER(Log!$D:$D, (_xlpm.range&gt;_xlpm.goal) * (Log!$A:$A="Trial") * (Log!$B:$B=_xlpm.key)))),
_xlpm.total_cameras, ROWS('Data-Lists'!G13:G30),
_xlpm.text_representation, _xlfn.CONCAT(_xlpm.cameras_above_mean, "/", _xlpm.total_cameras),
_xlpm.percentage, _xlpm.cameras_above_mean/_xlpm.total_cameras,
_xlpm.percentage
), 0)</f>
        <v>0.3888888888888889</v>
      </c>
      <c r="V18" s="6">
        <f>IF(COUNTBLANK($A18:$E18)&gt;0, "", IFERROR(_xlfn.MINIFS(Log!$G:$G, Log!$A:$A, $A18, Log!$B:$B, $B18, Log!$C:$C, $C18),""))</f>
        <v>5.54628E-2</v>
      </c>
      <c r="W18" s="6">
        <f>IF(COUNTBLANK($A18:$E18)&gt;0, "", IFERROR(_xlfn.MAXIFS(Log!$G:$G, Log!$A:$A, $A18, Log!$B:$B, $B18, Log!$C:$C, $C18),""))</f>
        <v>0.16361000000000001</v>
      </c>
      <c r="X18" s="180" t="str" cm="1">
        <f t="array" ref="X18">_xlfn.LET(_xlpm.row_no, ROW(A18),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8" s="180" t="str" cm="1">
        <f t="array" ref="Y18">_xlfn.LET(_xlpm.row_no, ROW(A18),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18" s="165" t="s">
        <v>214</v>
      </c>
      <c r="AA18" s="170">
        <v>5.8333333333333334E-2</v>
      </c>
      <c r="AB18" s="312"/>
      <c r="AC18" s="312"/>
      <c r="AD18" s="313"/>
      <c r="AG18" s="40"/>
    </row>
    <row r="19" spans="1:33" ht="40.049999999999997" customHeight="1" x14ac:dyDescent="0.3">
      <c r="A19" s="103" t="s">
        <v>88</v>
      </c>
      <c r="B19" s="105" t="s">
        <v>175</v>
      </c>
      <c r="C19" s="5">
        <v>46245</v>
      </c>
      <c r="D19" s="31">
        <v>24</v>
      </c>
      <c r="E19" s="32">
        <v>0.52152777777777781</v>
      </c>
      <c r="F19" s="75" t="s">
        <v>74</v>
      </c>
      <c r="G19" s="36">
        <v>1000</v>
      </c>
      <c r="H19" s="36">
        <f>IF(COUNTBLANK($A19:$E19)&gt;0, "", IFERROR(AVERAGEIFS(Log!$E:$E, Log!$A:$A, $A19, Log!$B:$B, $B19, Log!$C:$C, $C19),""))</f>
        <v>1882.9444444444443</v>
      </c>
      <c r="I19" s="36">
        <f>IF(COUNTBLANK($A19:$E19)&gt;0, "", IFERROR(_xlfn.MAXIFS(Log!$E:$E, Log!$A:$A, $A19, Log!$B:$B, $B19, Log!$C:$C, $C19),""))</f>
        <v>2862</v>
      </c>
      <c r="J19" s="36">
        <f>IF(COUNTBLANK($A19:$E19)&gt;0, "", IFERROR(_xlfn.MINIFS(Log!$E:$E, Log!$A:$A, $A19, Log!$B:$B, $B19, Log!$C:$C, $C19),""))</f>
        <v>1004</v>
      </c>
      <c r="K19" s="37">
        <f t="shared" si="0"/>
        <v>1.8829444444444443</v>
      </c>
      <c r="L19" s="180" t="str" cm="1">
        <f t="array" ref="L19">_xlfn.LET(_xlpm.row_no, ROW(A19),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19" s="180" t="str" cm="1">
        <f t="array" ref="M19">_xlfn.LET(_xlpm.row_no, ROW(A19),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19" s="6">
        <f>IF(COUNTBLANK($A19:$E19)&gt;0, "", IFERROR(AVERAGEIFS(Log!$F:$F, Log!$A:$A, $A19, Log!$B:$B, $B19, Log!$C:$C, $C19),""))</f>
        <v>0.44913916666666659</v>
      </c>
      <c r="O19" s="37" cm="1">
        <f t="array" ref="O19">IFERROR(_xlfn.LET(
_xlpm.goal, $N19,
_xlpm.key, $B19,
_xlpm.range, Log!$F:$F,
_xlpm.cameras_above_mean, ROWS(_xlfn.UNIQUE(_xlfn._xlws.FILTER(Log!$D:$D, (_xlpm.range&gt;_xlpm.goal) * (Log!$A:$A="Trial") * (Log!$B:$B=_xlpm.key)))),
_xlpm.total_cameras, ROWS('Data-Lists'!A8:A25),
_xlpm.text_representation, _xlfn.CONCAT(_xlpm.cameras_above_mean, "/", _xlpm.total_cameras),
_xlpm.percentage, _xlpm.cameras_above_mean/_xlpm.total_cameras,
_xlpm.percentage
), 0)</f>
        <v>0.66666666666666663</v>
      </c>
      <c r="P19" s="6">
        <f>IF(COUNTBLANK($A19:$E19)&gt;0, "", IFERROR(_xlfn.MINIFS(Log!$F:$F, Log!$A:$A, $A19, Log!$B:$B, $B19, Log!$C:$C, $C19),""))</f>
        <v>0.22983100000000001</v>
      </c>
      <c r="Q19" s="6">
        <f>IF(COUNTBLANK($A19:$E19)&gt;0, "", IFERROR(_xlfn.MAXIFS(Log!$F:$F, Log!$A:$A, $A19, Log!$B:$B, $B19, Log!$C:$C, $C19),""))</f>
        <v>0.69997100000000001</v>
      </c>
      <c r="R19" s="180" t="str" cm="1">
        <f t="array" ref="R19">_xlfn.LET(_xlpm.row_no, ROW(A19),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19" s="180" t="str" cm="1">
        <f t="array" ref="S19">_xlfn.LET(_xlpm.row_no, ROW(A19),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19" s="6">
        <f>IF(COUNTBLANK($A19:$E19)&gt;0, "", IFERROR(AVERAGEIFS(Log!$G:$G, Log!$A:$A, $A19, Log!$B:$B, $B19, Log!$C:$C, $C19),""))</f>
        <v>0.10939316666666668</v>
      </c>
      <c r="U19" s="37" cm="1">
        <f t="array" ref="U19">IFERROR(_xlfn.LET(
_xlpm.goal, $T19,
_xlpm.key, $B19,
_xlpm.range, Log!$G:$G,
_xlpm.cameras_above_mean, ROWS(_xlfn.UNIQUE(_xlfn._xlws.FILTER(Log!$D:$D, (_xlpm.range&gt;_xlpm.goal) * (Log!$A:$A="Trial") * (Log!$B:$B=_xlpm.key)))),
_xlpm.total_cameras, ROWS('Data-Lists'!G14:G31),
_xlpm.text_representation, _xlfn.CONCAT(_xlpm.cameras_above_mean, "/", _xlpm.total_cameras),
_xlpm.percentage, _xlpm.cameras_above_mean/_xlpm.total_cameras,
_xlpm.percentage
), 0)</f>
        <v>0.44444444444444442</v>
      </c>
      <c r="V19" s="6">
        <f>IF(COUNTBLANK($A19:$E19)&gt;0, "", IFERROR(_xlfn.MINIFS(Log!$G:$G, Log!$A:$A, $A19, Log!$B:$B, $B19, Log!$C:$C, $C19),""))</f>
        <v>5.7769899999999999E-2</v>
      </c>
      <c r="W19" s="6">
        <f>IF(COUNTBLANK($A19:$E19)&gt;0, "", IFERROR(_xlfn.MAXIFS(Log!$G:$G, Log!$A:$A, $A19, Log!$B:$B, $B19, Log!$C:$C, $C19),""))</f>
        <v>0.19674</v>
      </c>
      <c r="X19" s="180" t="str" cm="1">
        <f t="array" ref="X19">_xlfn.LET(_xlpm.row_no, ROW(A19),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19" s="180" t="str" cm="1">
        <f t="array" ref="Y19">_xlfn.LET(_xlpm.row_no, ROW(A19),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19" s="165" t="s">
        <v>214</v>
      </c>
      <c r="AA19" s="166"/>
      <c r="AB19" s="312"/>
      <c r="AC19" s="312"/>
      <c r="AD19" s="313"/>
      <c r="AG19" s="40"/>
    </row>
    <row r="20" spans="1:33" ht="40.049999999999997" customHeight="1" x14ac:dyDescent="0.3">
      <c r="A20" s="103" t="s">
        <v>88</v>
      </c>
      <c r="B20" s="105" t="s">
        <v>176</v>
      </c>
      <c r="C20" s="5">
        <v>46245</v>
      </c>
      <c r="D20" s="31">
        <v>24</v>
      </c>
      <c r="E20" s="32">
        <v>0.52430555555555558</v>
      </c>
      <c r="F20" s="75" t="s">
        <v>74</v>
      </c>
      <c r="G20" s="36">
        <v>1000</v>
      </c>
      <c r="H20" s="36">
        <f>IF(COUNTBLANK($A20:$E20)&gt;0, "", IFERROR(AVERAGEIFS(Log!$E:$E, Log!$A:$A, $A20, Log!$B:$B, $B20, Log!$C:$C, $C20),""))</f>
        <v>1726.7222222222222</v>
      </c>
      <c r="I20" s="36">
        <f>IF(COUNTBLANK($A20:$E20)&gt;0, "", IFERROR(_xlfn.MAXIFS(Log!$E:$E, Log!$A:$A, $A20, Log!$B:$B, $B20, Log!$C:$C, $C20),""))</f>
        <v>2632</v>
      </c>
      <c r="J20" s="36">
        <f>IF(COUNTBLANK($A20:$E20)&gt;0, "", IFERROR(_xlfn.MINIFS(Log!$E:$E, Log!$A:$A, $A20, Log!$B:$B, $B20, Log!$C:$C, $C20),""))</f>
        <v>1005</v>
      </c>
      <c r="K20" s="37">
        <f t="shared" si="0"/>
        <v>1.7267222222222223</v>
      </c>
      <c r="L20" s="180" t="str" cm="1">
        <f t="array" ref="L20">_xlfn.LET(_xlpm.row_no, ROW(A20),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0" s="180" t="str" cm="1">
        <f t="array" ref="M20">_xlfn.LET(_xlpm.row_no, ROW(A20),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20" s="6">
        <f>IF(COUNTBLANK($A20:$E20)&gt;0, "", IFERROR(AVERAGEIFS(Log!$F:$F, Log!$A:$A, $A20, Log!$B:$B, $B20, Log!$C:$C, $C20),""))</f>
        <v>0.35505961111111106</v>
      </c>
      <c r="O20" s="37" cm="1">
        <f t="array" ref="O20">IFERROR(_xlfn.LET(
_xlpm.goal, $N20,
_xlpm.key, $B20,
_xlpm.range, Log!$F:$F,
_xlpm.cameras_above_mean, ROWS(_xlfn.UNIQUE(_xlfn._xlws.FILTER(Log!$D:$D, (_xlpm.range&gt;_xlpm.goal) * (Log!$A:$A="Trial") * (Log!$B:$B=_xlpm.key)))),
_xlpm.total_cameras, ROWS('Data-Lists'!A9:A26),
_xlpm.text_representation, _xlfn.CONCAT(_xlpm.cameras_above_mean, "/", _xlpm.total_cameras),
_xlpm.percentage, _xlpm.cameras_above_mean/_xlpm.total_cameras,
_xlpm.percentage
), 0)</f>
        <v>0.5</v>
      </c>
      <c r="P20" s="6">
        <f>IF(COUNTBLANK($A20:$E20)&gt;0, "", IFERROR(_xlfn.MINIFS(Log!$F:$F, Log!$A:$A, $A20, Log!$B:$B, $B20, Log!$C:$C, $C20),""))</f>
        <v>0.17457500000000001</v>
      </c>
      <c r="Q20" s="6">
        <f>IF(COUNTBLANK($A20:$E20)&gt;0, "", IFERROR(_xlfn.MAXIFS(Log!$F:$F, Log!$A:$A, $A20, Log!$B:$B, $B20, Log!$C:$C, $C20),""))</f>
        <v>0.54661599999999999</v>
      </c>
      <c r="R20" s="180" t="str" cm="1">
        <f t="array" ref="R20">_xlfn.LET(_xlpm.row_no, ROW(A20),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20" s="180" t="str" cm="1">
        <f t="array" ref="S20">_xlfn.LET(_xlpm.row_no, ROW(A20),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20" s="6">
        <f>IF(COUNTBLANK($A20:$E20)&gt;0, "", IFERROR(AVERAGEIFS(Log!$G:$G, Log!$A:$A, $A20, Log!$B:$B, $B20, Log!$C:$C, $C20),""))</f>
        <v>8.6578638888888892E-2</v>
      </c>
      <c r="U20" s="37" cm="1">
        <f t="array" ref="U20">IFERROR(_xlfn.LET(
_xlpm.goal, $T20,
_xlpm.key, $B20,
_xlpm.range, Log!$G:$G,
_xlpm.cameras_above_mean, ROWS(_xlfn.UNIQUE(_xlfn._xlws.FILTER(Log!$D:$D, (_xlpm.range&gt;_xlpm.goal) * (Log!$A:$A="Trial") * (Log!$B:$B=_xlpm.key)))),
_xlpm.total_cameras, ROWS('Data-Lists'!G15:G32),
_xlpm.text_representation, _xlfn.CONCAT(_xlpm.cameras_above_mean, "/", _xlpm.total_cameras),
_xlpm.percentage, _xlpm.cameras_above_mean/_xlpm.total_cameras,
_xlpm.percentage
), 0)</f>
        <v>0.5</v>
      </c>
      <c r="V20" s="6">
        <f>IF(COUNTBLANK($A20:$E20)&gt;0, "", IFERROR(_xlfn.MINIFS(Log!$G:$G, Log!$A:$A, $A20, Log!$B:$B, $B20, Log!$C:$C, $C20),""))</f>
        <v>4.1752299999999999E-2</v>
      </c>
      <c r="W20" s="6">
        <f>IF(COUNTBLANK($A20:$E20)&gt;0, "", IFERROR(_xlfn.MAXIFS(Log!$G:$G, Log!$A:$A, $A20, Log!$B:$B, $B20, Log!$C:$C, $C20),""))</f>
        <v>0.15504499999999999</v>
      </c>
      <c r="X20" s="180" t="str" cm="1">
        <f t="array" ref="X20">_xlfn.LET(_xlpm.row_no, ROW(A20),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0" s="180" t="str" cm="1">
        <f t="array" ref="Y20">_xlfn.LET(_xlpm.row_no, ROW(A20),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0" s="167" t="s">
        <v>215</v>
      </c>
      <c r="AA20" s="166"/>
      <c r="AB20" s="312"/>
      <c r="AC20" s="312"/>
      <c r="AD20" s="313"/>
      <c r="AG20" s="40"/>
    </row>
    <row r="21" spans="1:33" ht="40.049999999999997" customHeight="1" x14ac:dyDescent="0.3">
      <c r="A21" s="103" t="s">
        <v>88</v>
      </c>
      <c r="B21" s="105" t="s">
        <v>177</v>
      </c>
      <c r="C21" s="5">
        <v>46245</v>
      </c>
      <c r="D21" s="31">
        <v>24</v>
      </c>
      <c r="E21" s="32">
        <v>0.56666666666666665</v>
      </c>
      <c r="F21" s="75" t="s">
        <v>74</v>
      </c>
      <c r="G21" s="36">
        <v>1000</v>
      </c>
      <c r="H21" s="36">
        <f>IF(COUNTBLANK($A21:$E21)&gt;0, "", IFERROR(AVERAGEIFS(Log!$E:$E, Log!$A:$A, $A21, Log!$B:$B, $B21, Log!$C:$C, $C21),""))</f>
        <v>1750.1111111111111</v>
      </c>
      <c r="I21" s="36">
        <f>IF(COUNTBLANK($A21:$E21)&gt;0, "", IFERROR(_xlfn.MAXIFS(Log!$E:$E, Log!$A:$A, $A21, Log!$B:$B, $B21, Log!$C:$C, $C21),""))</f>
        <v>3031</v>
      </c>
      <c r="J21" s="36">
        <f>IF(COUNTBLANK($A21:$E21)&gt;0, "", IFERROR(_xlfn.MINIFS(Log!$E:$E, Log!$A:$A, $A21, Log!$B:$B, $B21, Log!$C:$C, $C21),""))</f>
        <v>1003</v>
      </c>
      <c r="K21" s="37">
        <f t="shared" si="0"/>
        <v>1.7501111111111112</v>
      </c>
      <c r="L21" s="180" t="str" cm="1">
        <f t="array" ref="L21">_xlfn.LET(_xlpm.row_no, ROW(A21),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1" s="180" t="str" cm="1">
        <f t="array" ref="M21">_xlfn.LET(_xlpm.row_no, ROW(A21),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21" s="6">
        <f>IF(COUNTBLANK($A21:$E21)&gt;0, "", IFERROR(AVERAGEIFS(Log!$F:$F, Log!$A:$A, $A21, Log!$B:$B, $B21, Log!$C:$C, $C21),""))</f>
        <v>0.41515294444444445</v>
      </c>
      <c r="O21" s="37" cm="1">
        <f t="array" ref="O21">IFERROR(_xlfn.LET(
_xlpm.goal, $N21,
_xlpm.key, $B21,
_xlpm.range, Log!$F:$F,
_xlpm.cameras_above_mean, ROWS(_xlfn.UNIQUE(_xlfn._xlws.FILTER(Log!$D:$D, (_xlpm.range&gt;_xlpm.goal) * (Log!$A:$A="Trial") * (Log!$B:$B=_xlpm.key)))),
_xlpm.total_cameras, ROWS('Data-Lists'!A10:A27),
_xlpm.text_representation, _xlfn.CONCAT(_xlpm.cameras_above_mean, "/", _xlpm.total_cameras),
_xlpm.percentage, _xlpm.cameras_above_mean/_xlpm.total_cameras,
_xlpm.percentage
), 0)</f>
        <v>0.44444444444444442</v>
      </c>
      <c r="P21" s="6">
        <f>IF(COUNTBLANK($A21:$E21)&gt;0, "", IFERROR(_xlfn.MINIFS(Log!$F:$F, Log!$A:$A, $A21, Log!$B:$B, $B21, Log!$C:$C, $C21),""))</f>
        <v>0.185832</v>
      </c>
      <c r="Q21" s="6">
        <f>IF(COUNTBLANK($A21:$E21)&gt;0, "", IFERROR(_xlfn.MAXIFS(Log!$F:$F, Log!$A:$A, $A21, Log!$B:$B, $B21, Log!$C:$C, $C21),""))</f>
        <v>0.73990800000000001</v>
      </c>
      <c r="R21" s="180" t="str" cm="1">
        <f t="array" ref="R21">_xlfn.LET(_xlpm.row_no, ROW(A21),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21" s="180" t="str" cm="1">
        <f t="array" ref="S21">_xlfn.LET(_xlpm.row_no, ROW(A21),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T21" s="6">
        <f>IF(COUNTBLANK($A21:$E21)&gt;0, "", IFERROR(AVERAGEIFS(Log!$G:$G, Log!$A:$A, $A21, Log!$B:$B, $B21, Log!$C:$C, $C21),""))</f>
        <v>0.10087679444444447</v>
      </c>
      <c r="U21" s="37" cm="1">
        <f t="array" ref="U21">IFERROR(_xlfn.LET(
_xlpm.goal, $T21,
_xlpm.key, $B21,
_xlpm.range, Log!$G:$G,
_xlpm.cameras_above_mean, ROWS(_xlfn.UNIQUE(_xlfn._xlws.FILTER(Log!$D:$D, (_xlpm.range&gt;_xlpm.goal) * (Log!$A:$A="Trial") * (Log!$B:$B=_xlpm.key)))),
_xlpm.total_cameras, ROWS('Data-Lists'!G16:G33),
_xlpm.text_representation, _xlfn.CONCAT(_xlpm.cameras_above_mean, "/", _xlpm.total_cameras),
_xlpm.percentage, _xlpm.cameras_above_mean/_xlpm.total_cameras,
_xlpm.percentage
), 0)</f>
        <v>0.44444444444444442</v>
      </c>
      <c r="V21" s="6">
        <f>IF(COUNTBLANK($A21:$E21)&gt;0, "", IFERROR(_xlfn.MINIFS(Log!$G:$G, Log!$A:$A, $A21, Log!$B:$B, $B21, Log!$C:$C, $C21),""))</f>
        <v>5.5301599999999999E-2</v>
      </c>
      <c r="W21" s="6">
        <f>IF(COUNTBLANK($A21:$E21)&gt;0, "", IFERROR(_xlfn.MAXIFS(Log!$G:$G, Log!$A:$A, $A21, Log!$B:$B, $B21, Log!$C:$C, $C21),""))</f>
        <v>0.20802999999999999</v>
      </c>
      <c r="X21" s="180" t="str" cm="1">
        <f t="array" ref="X21">_xlfn.LET(_xlpm.row_no, ROW(A21),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21" s="180" t="str" cm="1">
        <f t="array" ref="Y21">_xlfn.LET(_xlpm.row_no, ROW(A21),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1" s="165" t="s">
        <v>214</v>
      </c>
      <c r="AA21" s="166"/>
      <c r="AB21" s="312"/>
      <c r="AC21" s="312"/>
      <c r="AD21" s="313"/>
      <c r="AG21" s="40"/>
    </row>
    <row r="22" spans="1:33" ht="40.049999999999997" customHeight="1" x14ac:dyDescent="0.3">
      <c r="A22" s="103" t="s">
        <v>88</v>
      </c>
      <c r="B22" s="105" t="s">
        <v>204</v>
      </c>
      <c r="C22" s="5">
        <v>46246</v>
      </c>
      <c r="D22" s="31">
        <v>25</v>
      </c>
      <c r="E22" s="32">
        <v>0.46736111111111112</v>
      </c>
      <c r="F22" s="75" t="s">
        <v>74</v>
      </c>
      <c r="G22" s="36">
        <v>1000</v>
      </c>
      <c r="H22" s="36">
        <f>IF(COUNTBLANK($A22:$E22)&gt;0, "", IFERROR(AVERAGEIFS(Log!$E:$E, Log!$A:$A, $A22, Log!$B:$B, $B22, Log!$C:$C, $C22),""))</f>
        <v>1893.8823529411766</v>
      </c>
      <c r="I22" s="36">
        <f>IF(COUNTBLANK($A22:$E22)&gt;0, "", IFERROR(_xlfn.MAXIFS(Log!$E:$E, Log!$A:$A, $A22, Log!$B:$B, $B22, Log!$C:$C, $C22),""))</f>
        <v>2969</v>
      </c>
      <c r="J22" s="36">
        <f>IF(COUNTBLANK($A22:$E22)&gt;0, "", IFERROR(_xlfn.MINIFS(Log!$E:$E, Log!$A:$A, $A22, Log!$B:$B, $B22, Log!$C:$C, $C22),""))</f>
        <v>1005</v>
      </c>
      <c r="K22" s="37">
        <f t="shared" si="0"/>
        <v>1.8938823529411766</v>
      </c>
      <c r="L22" s="180" t="str" cm="1">
        <f t="array" ref="L22">_xlfn.LET(_xlpm.row_no, ROW(A22),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2" s="180" t="str" cm="1">
        <f t="array" ref="M22">_xlfn.LET(_xlpm.row_no, ROW(A22),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2" s="6">
        <f>IF(COUNTBLANK($A22:$E22)&gt;0, "", IFERROR(AVERAGEIFS(Log!$F:$F, Log!$A:$A, $A22, Log!$B:$B, $B22, Log!$C:$C, $C22),""))</f>
        <v>0.4116781764705883</v>
      </c>
      <c r="O22" s="37" cm="1">
        <f t="array" ref="O22">IFERROR(_xlfn.LET(
_xlpm.goal, $N22,
_xlpm.key, $B22,
_xlpm.range, Log!$F:$F,
_xlpm.cameras_above_mean, ROWS(_xlfn.UNIQUE(_xlfn._xlws.FILTER(Log!$D:$D, (_xlpm.range&gt;_xlpm.goal) * (Log!$A:$A="Trial") * (Log!$B:$B=_xlpm.key)))),
_xlpm.total_cameras, ROWS('Data-Lists'!A11:A28),
_xlpm.text_representation, _xlfn.CONCAT(_xlpm.cameras_above_mean, "/", _xlpm.total_cameras),
_xlpm.percentage, _xlpm.cameras_above_mean/_xlpm.total_cameras,
_xlpm.percentage
), 0)</f>
        <v>0.61111111111111116</v>
      </c>
      <c r="P22" s="6">
        <f>IF(COUNTBLANK($A22:$E22)&gt;0, "", IFERROR(_xlfn.MINIFS(Log!$F:$F, Log!$A:$A, $A22, Log!$B:$B, $B22, Log!$C:$C, $C22),""))</f>
        <v>0.179782</v>
      </c>
      <c r="Q22" s="6">
        <f>IF(COUNTBLANK($A22:$E22)&gt;0, "", IFERROR(_xlfn.MAXIFS(Log!$F:$F, Log!$A:$A, $A22, Log!$B:$B, $B22, Log!$C:$C, $C22),""))</f>
        <v>0.61062700000000003</v>
      </c>
      <c r="R22" s="180" t="str" cm="1">
        <f t="array" ref="R22">_xlfn.LET(_xlpm.row_no, ROW(A22),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22" s="180" t="str" cm="1">
        <f t="array" ref="S22">_xlfn.LET(_xlpm.row_no, ROW(A22),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T22" s="6">
        <f>IF(COUNTBLANK($A22:$E22)&gt;0, "", IFERROR(AVERAGEIFS(Log!$G:$G, Log!$A:$A, $A22, Log!$B:$B, $B22, Log!$C:$C, $C22),""))</f>
        <v>0.1005493294117647</v>
      </c>
      <c r="U22" s="37" cm="1">
        <f t="array" ref="U22">IFERROR(_xlfn.LET(
_xlpm.goal, $T22,
_xlpm.key, $B22,
_xlpm.range, Log!$G:$G,
_xlpm.cameras_above_mean, ROWS(_xlfn.UNIQUE(_xlfn._xlws.FILTER(Log!$D:$D, (_xlpm.range&gt;_xlpm.goal) * (Log!$A:$A="Trial") * (Log!$B:$B=_xlpm.key)))),
_xlpm.total_cameras, ROWS('Data-Lists'!G17:G34),
_xlpm.text_representation, _xlfn.CONCAT(_xlpm.cameras_above_mean, "/", _xlpm.total_cameras),
_xlpm.percentage, _xlpm.cameras_above_mean/_xlpm.total_cameras,
_xlpm.percentage
), 0)</f>
        <v>0.5</v>
      </c>
      <c r="V22" s="6">
        <f>IF(COUNTBLANK($A22:$E22)&gt;0, "", IFERROR(_xlfn.MINIFS(Log!$G:$G, Log!$A:$A, $A22, Log!$B:$B, $B22, Log!$C:$C, $C22),""))</f>
        <v>5.0472500000000003E-2</v>
      </c>
      <c r="W22" s="6">
        <f>IF(COUNTBLANK($A22:$E22)&gt;0, "", IFERROR(_xlfn.MAXIFS(Log!$G:$G, Log!$A:$A, $A22, Log!$B:$B, $B22, Log!$C:$C, $C22),""))</f>
        <v>0.15378</v>
      </c>
      <c r="X22" s="180" t="str" cm="1">
        <f t="array" ref="X22">_xlfn.LET(_xlpm.row_no, ROW(A22),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2" s="180" t="str" cm="1">
        <f t="array" ref="Y22">_xlfn.LET(_xlpm.row_no, ROW(A22),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2" s="165" t="s">
        <v>214</v>
      </c>
      <c r="AA22" s="170">
        <v>6.5972222222222224E-2</v>
      </c>
      <c r="AB22" s="312"/>
      <c r="AC22" s="312"/>
      <c r="AD22" s="313"/>
      <c r="AG22" s="40"/>
    </row>
    <row r="23" spans="1:33" ht="40.049999999999997" customHeight="1" x14ac:dyDescent="0.3">
      <c r="A23" s="103" t="s">
        <v>88</v>
      </c>
      <c r="B23" s="105" t="s">
        <v>205</v>
      </c>
      <c r="C23" s="5">
        <v>46245</v>
      </c>
      <c r="D23" s="31">
        <v>24</v>
      </c>
      <c r="E23" s="32">
        <v>0.57430555555555551</v>
      </c>
      <c r="F23" s="75" t="s">
        <v>76</v>
      </c>
      <c r="G23" s="36">
        <v>1000</v>
      </c>
      <c r="H23" s="36">
        <f>IF(COUNTBLANK($A23:$E23)&gt;0, "", IFERROR(AVERAGEIFS(Log!$E:$E, Log!$A:$A, $A23, Log!$B:$B, $B23, Log!$C:$C, $C23),""))</f>
        <v>1479.2222222222222</v>
      </c>
      <c r="I23" s="36">
        <f>IF(COUNTBLANK($A23:$E23)&gt;0, "", IFERROR(_xlfn.MAXIFS(Log!$E:$E, Log!$A:$A, $A23, Log!$B:$B, $B23, Log!$C:$C, $C23),""))</f>
        <v>2811</v>
      </c>
      <c r="J23" s="36">
        <f>IF(COUNTBLANK($A23:$E23)&gt;0, "", IFERROR(_xlfn.MINIFS(Log!$E:$E, Log!$A:$A, $A23, Log!$B:$B, $B23, Log!$C:$C, $C23),""))</f>
        <v>1005</v>
      </c>
      <c r="K23" s="37">
        <f t="shared" si="0"/>
        <v>1.4792222222222222</v>
      </c>
      <c r="L23" s="180" t="str" cm="1">
        <f t="array" ref="L23">_xlfn.LET(_xlpm.row_no, ROW(A23),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3" s="180" t="str" cm="1">
        <f t="array" ref="M23">_xlfn.LET(_xlpm.row_no, ROW(A23),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23" s="6">
        <f>IF(COUNTBLANK($A23:$E23)&gt;0, "", IFERROR(AVERAGEIFS(Log!$F:$F, Log!$A:$A, $A23, Log!$B:$B, $B23, Log!$C:$C, $C23),""))</f>
        <v>0.29446205555555549</v>
      </c>
      <c r="O23" s="37" cm="1">
        <f t="array" ref="O23">IFERROR(_xlfn.LET(
_xlpm.goal, $N23,
_xlpm.key, $B23,
_xlpm.range, Log!$F:$F,
_xlpm.cameras_above_mean, ROWS(_xlfn.UNIQUE(_xlfn._xlws.FILTER(Log!$D:$D, (_xlpm.range&gt;_xlpm.goal) * (Log!$A:$A="Trial") * (Log!$B:$B=_xlpm.key)))),
_xlpm.total_cameras, ROWS('Data-Lists'!A12:A29),
_xlpm.text_representation, _xlfn.CONCAT(_xlpm.cameras_above_mean, "/", _xlpm.total_cameras),
_xlpm.percentage, _xlpm.cameras_above_mean/_xlpm.total_cameras,
_xlpm.percentage
), 0)</f>
        <v>0.66666666666666663</v>
      </c>
      <c r="P23" s="6">
        <f>IF(COUNTBLANK($A23:$E23)&gt;0, "", IFERROR(_xlfn.MINIFS(Log!$F:$F, Log!$A:$A, $A23, Log!$B:$B, $B23, Log!$C:$C, $C23),""))</f>
        <v>0.17169300000000001</v>
      </c>
      <c r="Q23" s="6">
        <f>IF(COUNTBLANK($A23:$E23)&gt;0, "", IFERROR(_xlfn.MAXIFS(Log!$F:$F, Log!$A:$A, $A23, Log!$B:$B, $B23, Log!$C:$C, $C23),""))</f>
        <v>0.44070599999999999</v>
      </c>
      <c r="R23" s="180" t="str" cm="1">
        <f t="array" ref="R23">_xlfn.LET(_xlpm.row_no, ROW(A23),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23" s="180" t="str" cm="1">
        <f t="array" ref="S23">_xlfn.LET(_xlpm.row_no, ROW(A23),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3" s="6">
        <f>IF(COUNTBLANK($A23:$E23)&gt;0, "", IFERROR(AVERAGEIFS(Log!$G:$G, Log!$A:$A, $A23, Log!$B:$B, $B23, Log!$C:$C, $C23),""))</f>
        <v>7.1127172222222229E-2</v>
      </c>
      <c r="U23" s="37" cm="1">
        <f t="array" ref="U23">IFERROR(_xlfn.LET(
_xlpm.goal, $T23,
_xlpm.key, $B23,
_xlpm.range, Log!$G:$G,
_xlpm.cameras_above_mean, ROWS(_xlfn.UNIQUE(_xlfn._xlws.FILTER(Log!$D:$D, (_xlpm.range&gt;_xlpm.goal) * (Log!$A:$A="Trial") * (Log!$B:$B=_xlpm.key)))),
_xlpm.total_cameras, ROWS('Data-Lists'!G18:G35),
_xlpm.text_representation, _xlfn.CONCAT(_xlpm.cameras_above_mean, "/", _xlpm.total_cameras),
_xlpm.percentage, _xlpm.cameras_above_mean/_xlpm.total_cameras,
_xlpm.percentage
), 0)</f>
        <v>0.3888888888888889</v>
      </c>
      <c r="V23" s="6">
        <f>IF(COUNTBLANK($A23:$E23)&gt;0, "", IFERROR(_xlfn.MINIFS(Log!$G:$G, Log!$A:$A, $A23, Log!$B:$B, $B23, Log!$C:$C, $C23),""))</f>
        <v>5.3806699999999999E-2</v>
      </c>
      <c r="W23" s="6">
        <f>IF(COUNTBLANK($A23:$E23)&gt;0, "", IFERROR(_xlfn.MAXIFS(Log!$G:$G, Log!$A:$A, $A23, Log!$B:$B, $B23, Log!$C:$C, $C23),""))</f>
        <v>0.113124</v>
      </c>
      <c r="X23" s="180" t="str" cm="1">
        <f t="array" ref="X23">_xlfn.LET(_xlpm.row_no, ROW(A23),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Y23" s="180" t="str" cm="1">
        <f t="array" ref="Y23">_xlfn.LET(_xlpm.row_no, ROW(A23),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3" s="165" t="s">
        <v>214</v>
      </c>
      <c r="AA23" s="166"/>
      <c r="AB23" s="312"/>
      <c r="AC23" s="312"/>
      <c r="AD23" s="313"/>
      <c r="AG23" s="40"/>
    </row>
    <row r="24" spans="1:33" ht="40.049999999999997" customHeight="1" x14ac:dyDescent="0.3">
      <c r="A24" s="103" t="s">
        <v>88</v>
      </c>
      <c r="B24" s="105" t="s">
        <v>206</v>
      </c>
      <c r="C24" s="5">
        <v>46245</v>
      </c>
      <c r="D24" s="31">
        <v>24</v>
      </c>
      <c r="E24" s="32">
        <v>0.57777777777777772</v>
      </c>
      <c r="F24" s="75" t="s">
        <v>76</v>
      </c>
      <c r="G24" s="36">
        <v>1000</v>
      </c>
      <c r="H24" s="36">
        <f>IF(COUNTBLANK($A24:$E24)&gt;0, "", IFERROR(AVERAGEIFS(Log!$E:$E, Log!$A:$A, $A24, Log!$B:$B, $B24, Log!$C:$C, $C24),""))</f>
        <v>1630.5555555555557</v>
      </c>
      <c r="I24" s="36">
        <f>IF(COUNTBLANK($A24:$E24)&gt;0, "", IFERROR(_xlfn.MAXIFS(Log!$E:$E, Log!$A:$A, $A24, Log!$B:$B, $B24, Log!$C:$C, $C24),""))</f>
        <v>2922</v>
      </c>
      <c r="J24" s="36">
        <f>IF(COUNTBLANK($A24:$E24)&gt;0, "", IFERROR(_xlfn.MINIFS(Log!$E:$E, Log!$A:$A, $A24, Log!$B:$B, $B24, Log!$C:$C, $C24),""))</f>
        <v>1005</v>
      </c>
      <c r="K24" s="37">
        <f t="shared" si="0"/>
        <v>1.6305555555555558</v>
      </c>
      <c r="L24" s="180" t="str" cm="1">
        <f t="array" ref="L24">_xlfn.LET(_xlpm.row_no, ROW(A24),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4" s="180" t="str" cm="1">
        <f t="array" ref="M24">_xlfn.LET(_xlpm.row_no, ROW(A24),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4" s="6">
        <f>IF(COUNTBLANK($A24:$E24)&gt;0, "", IFERROR(AVERAGEIFS(Log!$F:$F, Log!$A:$A, $A24, Log!$B:$B, $B24, Log!$C:$C, $C24),""))</f>
        <v>0.29757333333333336</v>
      </c>
      <c r="O24" s="37" cm="1">
        <f t="array" ref="O24">IFERROR(_xlfn.LET(
_xlpm.goal, $N24,
_xlpm.key, $B24,
_xlpm.range, Log!$F:$F,
_xlpm.cameras_above_mean, ROWS(_xlfn.UNIQUE(_xlfn._xlws.FILTER(Log!$D:$D, (_xlpm.range&gt;_xlpm.goal) * (Log!$A:$A="Trial") * (Log!$B:$B=_xlpm.key)))),
_xlpm.total_cameras, ROWS('Data-Lists'!A13:A30),
_xlpm.text_representation, _xlfn.CONCAT(_xlpm.cameras_above_mean, "/", _xlpm.total_cameras),
_xlpm.percentage, _xlpm.cameras_above_mean/_xlpm.total_cameras,
_xlpm.percentage
), 0)</f>
        <v>0.5</v>
      </c>
      <c r="P24" s="6">
        <f>IF(COUNTBLANK($A24:$E24)&gt;0, "", IFERROR(_xlfn.MINIFS(Log!$F:$F, Log!$A:$A, $A24, Log!$B:$B, $B24, Log!$C:$C, $C24),""))</f>
        <v>0.17078399999999999</v>
      </c>
      <c r="Q24" s="6">
        <f>IF(COUNTBLANK($A24:$E24)&gt;0, "", IFERROR(_xlfn.MAXIFS(Log!$F:$F, Log!$A:$A, $A24, Log!$B:$B, $B24, Log!$C:$C, $C24),""))</f>
        <v>0.42992399999999997</v>
      </c>
      <c r="R24" s="180" t="str" cm="1">
        <f t="array" ref="R24">_xlfn.LET(_xlpm.row_no, ROW(A24),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4" s="180" t="str" cm="1">
        <f t="array" ref="S24">_xlfn.LET(_xlpm.row_no, ROW(A24),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4" s="6">
        <f>IF(COUNTBLANK($A24:$E24)&gt;0, "", IFERROR(AVERAGEIFS(Log!$G:$G, Log!$A:$A, $A24, Log!$B:$B, $B24, Log!$C:$C, $C24),""))</f>
        <v>7.2018149999999989E-2</v>
      </c>
      <c r="U24" s="37" cm="1">
        <f t="array" ref="U24">IFERROR(_xlfn.LET(
_xlpm.goal, $T24,
_xlpm.key, $B24,
_xlpm.range, Log!$G:$G,
_xlpm.cameras_above_mean, ROWS(_xlfn.UNIQUE(_xlfn._xlws.FILTER(Log!$D:$D, (_xlpm.range&gt;_xlpm.goal) * (Log!$A:$A="Trial") * (Log!$B:$B=_xlpm.key)))),
_xlpm.total_cameras, ROWS('Data-Lists'!G19:G36),
_xlpm.text_representation, _xlfn.CONCAT(_xlpm.cameras_above_mean, "/", _xlpm.total_cameras),
_xlpm.percentage, _xlpm.cameras_above_mean/_xlpm.total_cameras,
_xlpm.percentage
), 0)</f>
        <v>0.44444444444444442</v>
      </c>
      <c r="V24" s="6">
        <f>IF(COUNTBLANK($A24:$E24)&gt;0, "", IFERROR(_xlfn.MINIFS(Log!$G:$G, Log!$A:$A, $A24, Log!$B:$B, $B24, Log!$C:$C, $C24),""))</f>
        <v>4.8247999999999999E-2</v>
      </c>
      <c r="W24" s="6">
        <f>IF(COUNTBLANK($A24:$E24)&gt;0, "", IFERROR(_xlfn.MAXIFS(Log!$G:$G, Log!$A:$A, $A24, Log!$B:$B, $B24, Log!$C:$C, $C24),""))</f>
        <v>0.12529399999999999</v>
      </c>
      <c r="X24" s="180" t="str" cm="1">
        <f t="array" ref="X24">_xlfn.LET(_xlpm.row_no, ROW(A24),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4" s="180" t="str" cm="1">
        <f t="array" ref="Y24">_xlfn.LET(_xlpm.row_no, ROW(A24),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4" s="165" t="s">
        <v>214</v>
      </c>
      <c r="AA24" s="166"/>
      <c r="AB24" s="312"/>
      <c r="AC24" s="312"/>
      <c r="AD24" s="313"/>
      <c r="AG24" s="40"/>
    </row>
    <row r="25" spans="1:33" ht="40.049999999999997" customHeight="1" x14ac:dyDescent="0.3">
      <c r="A25" s="103" t="s">
        <v>88</v>
      </c>
      <c r="B25" s="105" t="s">
        <v>207</v>
      </c>
      <c r="C25" s="5">
        <v>46245</v>
      </c>
      <c r="D25" s="31">
        <v>24</v>
      </c>
      <c r="E25" s="32">
        <v>0.58263888888888893</v>
      </c>
      <c r="F25" s="75" t="s">
        <v>76</v>
      </c>
      <c r="G25" s="36">
        <v>1000</v>
      </c>
      <c r="H25" s="36">
        <f>IF(COUNTBLANK($A25:$E25)&gt;0, "", IFERROR(AVERAGEIFS(Log!$E:$E, Log!$A:$A, $A25, Log!$B:$B, $B25, Log!$C:$C, $C25),""))</f>
        <v>1718.3888888888889</v>
      </c>
      <c r="I25" s="36">
        <f>IF(COUNTBLANK($A25:$E25)&gt;0, "", IFERROR(_xlfn.MAXIFS(Log!$E:$E, Log!$A:$A, $A25, Log!$B:$B, $B25, Log!$C:$C, $C25),""))</f>
        <v>2885</v>
      </c>
      <c r="J25" s="36">
        <f>IF(COUNTBLANK($A25:$E25)&gt;0, "", IFERROR(_xlfn.MINIFS(Log!$E:$E, Log!$A:$A, $A25, Log!$B:$B, $B25, Log!$C:$C, $C25),""))</f>
        <v>1004</v>
      </c>
      <c r="K25" s="37">
        <f t="shared" si="0"/>
        <v>1.718388888888889</v>
      </c>
      <c r="L25" s="180" t="str" cm="1">
        <f t="array" ref="L25">_xlfn.LET(_xlpm.row_no, ROW(A25),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5" s="180" t="str" cm="1">
        <f t="array" ref="M25">_xlfn.LET(_xlpm.row_no, ROW(A25),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25" s="6">
        <f>IF(COUNTBLANK($A25:$E25)&gt;0, "", IFERROR(AVERAGEIFS(Log!$F:$F, Log!$A:$A, $A25, Log!$B:$B, $B25, Log!$C:$C, $C25),""))</f>
        <v>0.3030937777777778</v>
      </c>
      <c r="O25" s="37" cm="1">
        <f t="array" ref="O25">IFERROR(_xlfn.LET(
_xlpm.goal, $N25,
_xlpm.key, $B25,
_xlpm.range, Log!$F:$F,
_xlpm.cameras_above_mean, ROWS(_xlfn.UNIQUE(_xlfn._xlws.FILTER(Log!$D:$D, (_xlpm.range&gt;_xlpm.goal) * (Log!$A:$A="Trial") * (Log!$B:$B=_xlpm.key)))),
_xlpm.total_cameras, ROWS('Data-Lists'!A14:A31),
_xlpm.text_representation, _xlfn.CONCAT(_xlpm.cameras_above_mean, "/", _xlpm.total_cameras),
_xlpm.percentage, _xlpm.cameras_above_mean/_xlpm.total_cameras,
_xlpm.percentage
), 0)</f>
        <v>0.55555555555555558</v>
      </c>
      <c r="P25" s="6">
        <f>IF(COUNTBLANK($A25:$E25)&gt;0, "", IFERROR(_xlfn.MINIFS(Log!$F:$F, Log!$A:$A, $A25, Log!$B:$B, $B25, Log!$C:$C, $C25),""))</f>
        <v>0.138596</v>
      </c>
      <c r="Q25" s="6">
        <f>IF(COUNTBLANK($A25:$E25)&gt;0, "", IFERROR(_xlfn.MAXIFS(Log!$F:$F, Log!$A:$A, $A25, Log!$B:$B, $B25, Log!$C:$C, $C25),""))</f>
        <v>0.44058199999999997</v>
      </c>
      <c r="R25" s="180" t="str" cm="1">
        <f t="array" ref="R25">_xlfn.LET(_xlpm.row_no, ROW(A25),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25" s="180" t="str" cm="1">
        <f t="array" ref="S25">_xlfn.LET(_xlpm.row_no, ROW(A25),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25" s="6">
        <f>IF(COUNTBLANK($A25:$E25)&gt;0, "", IFERROR(AVERAGEIFS(Log!$G:$G, Log!$A:$A, $A25, Log!$B:$B, $B25, Log!$C:$C, $C25),""))</f>
        <v>7.278691111111113E-2</v>
      </c>
      <c r="U25" s="37" cm="1">
        <f t="array" ref="U25">IFERROR(_xlfn.LET(
_xlpm.goal, $T25,
_xlpm.key, $B25,
_xlpm.range, Log!$G:$G,
_xlpm.cameras_above_mean, ROWS(_xlfn.UNIQUE(_xlfn._xlws.FILTER(Log!$D:$D, (_xlpm.range&gt;_xlpm.goal) * (Log!$A:$A="Trial") * (Log!$B:$B=_xlpm.key)))),
_xlpm.total_cameras, ROWS('Data-Lists'!G20:G37),
_xlpm.text_representation, _xlfn.CONCAT(_xlpm.cameras_above_mean, "/", _xlpm.total_cameras),
_xlpm.percentage, _xlpm.cameras_above_mean/_xlpm.total_cameras,
_xlpm.percentage
), 0)</f>
        <v>0.44444444444444442</v>
      </c>
      <c r="V25" s="6">
        <f>IF(COUNTBLANK($A25:$E25)&gt;0, "", IFERROR(_xlfn.MINIFS(Log!$G:$G, Log!$A:$A, $A25, Log!$B:$B, $B25, Log!$C:$C, $C25),""))</f>
        <v>4.4565599999999997E-2</v>
      </c>
      <c r="W25" s="6">
        <f>IF(COUNTBLANK($A25:$E25)&gt;0, "", IFERROR(_xlfn.MAXIFS(Log!$G:$G, Log!$A:$A, $A25, Log!$B:$B, $B25, Log!$C:$C, $C25),""))</f>
        <v>0.106374</v>
      </c>
      <c r="X25" s="180" t="str" cm="1">
        <f t="array" ref="X25">_xlfn.LET(_xlpm.row_no, ROW(A25),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25" s="180" t="str" cm="1">
        <f t="array" ref="Y25">_xlfn.LET(_xlpm.row_no, ROW(A25),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25" s="165" t="s">
        <v>214</v>
      </c>
      <c r="AA25" s="166"/>
      <c r="AB25" s="312"/>
      <c r="AC25" s="312"/>
      <c r="AD25" s="313"/>
      <c r="AG25" s="40"/>
    </row>
    <row r="26" spans="1:33" ht="40.049999999999997" customHeight="1" x14ac:dyDescent="0.3">
      <c r="A26" s="103" t="s">
        <v>88</v>
      </c>
      <c r="B26" s="105" t="s">
        <v>208</v>
      </c>
      <c r="C26" s="5">
        <v>46246</v>
      </c>
      <c r="D26" s="31">
        <v>25</v>
      </c>
      <c r="E26" s="32">
        <v>0.56874999999999998</v>
      </c>
      <c r="F26" s="75" t="s">
        <v>76</v>
      </c>
      <c r="G26" s="36">
        <v>1000</v>
      </c>
      <c r="H26" s="36">
        <f>IF(COUNTBLANK($A26:$E26)&gt;0, "", IFERROR(AVERAGEIFS(Log!$E:$E, Log!$A:$A, $A26, Log!$B:$B, $B26, Log!$C:$C, $C26),""))</f>
        <v>1554.2352941176471</v>
      </c>
      <c r="I26" s="36">
        <f>IF(COUNTBLANK($A26:$E26)&gt;0, "", IFERROR(_xlfn.MAXIFS(Log!$E:$E, Log!$A:$A, $A26, Log!$B:$B, $B26, Log!$C:$C, $C26),""))</f>
        <v>2613</v>
      </c>
      <c r="J26" s="36">
        <f>IF(COUNTBLANK($A26:$E26)&gt;0, "", IFERROR(_xlfn.MINIFS(Log!$E:$E, Log!$A:$A, $A26, Log!$B:$B, $B26, Log!$C:$C, $C26),""))</f>
        <v>1003</v>
      </c>
      <c r="K26" s="37">
        <f t="shared" si="0"/>
        <v>1.5542352941176472</v>
      </c>
      <c r="L26" s="180" t="str" cm="1">
        <f t="array" ref="L26">_xlfn.LET(_xlpm.row_no, ROW(A26),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6" s="180" t="str" cm="1">
        <f t="array" ref="M26">_xlfn.LET(_xlpm.row_no, ROW(A26),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26" s="6">
        <f>IF(COUNTBLANK($A26:$E26)&gt;0, "", IFERROR(AVERAGEIFS(Log!$F:$F, Log!$A:$A, $A26, Log!$B:$B, $B26, Log!$C:$C, $C26),""))</f>
        <v>0.31200464705882358</v>
      </c>
      <c r="O26" s="37" cm="1">
        <f t="array" ref="O26">IFERROR(_xlfn.LET(
_xlpm.goal, $N26,
_xlpm.key, $B26,
_xlpm.range, Log!$F:$F,
_xlpm.cameras_above_mean, ROWS(_xlfn.UNIQUE(_xlfn._xlws.FILTER(Log!$D:$D, (_xlpm.range&gt;_xlpm.goal) * (Log!$A:$A="Trial") * (Log!$B:$B=_xlpm.key)))),
_xlpm.total_cameras, ROWS('Data-Lists'!A15:A32),
_xlpm.text_representation, _xlfn.CONCAT(_xlpm.cameras_above_mean, "/", _xlpm.total_cameras),
_xlpm.percentage, _xlpm.cameras_above_mean/_xlpm.total_cameras,
_xlpm.percentage
), 0)</f>
        <v>0.5</v>
      </c>
      <c r="P26" s="6">
        <f>IF(COUNTBLANK($A26:$E26)&gt;0, "", IFERROR(_xlfn.MINIFS(Log!$F:$F, Log!$A:$A, $A26, Log!$B:$B, $B26, Log!$C:$C, $C26),""))</f>
        <v>0.15177499999999999</v>
      </c>
      <c r="Q26" s="6">
        <f>IF(COUNTBLANK($A26:$E26)&gt;0, "", IFERROR(_xlfn.MAXIFS(Log!$F:$F, Log!$A:$A, $A26, Log!$B:$B, $B26, Log!$C:$C, $C26),""))</f>
        <v>0.58531599999999995</v>
      </c>
      <c r="R26" s="180" t="str" cm="1">
        <f t="array" ref="R26">_xlfn.LET(_xlpm.row_no, ROW(A26),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26" s="180" t="str" cm="1">
        <f t="array" ref="S26">_xlfn.LET(_xlpm.row_no, ROW(A26),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26" s="6">
        <f>IF(COUNTBLANK($A26:$E26)&gt;0, "", IFERROR(AVERAGEIFS(Log!$G:$G, Log!$A:$A, $A26, Log!$B:$B, $B26, Log!$C:$C, $C26),""))</f>
        <v>7.6022294117647063E-2</v>
      </c>
      <c r="U26" s="37" cm="1">
        <f t="array" ref="U26">IFERROR(_xlfn.LET(
_xlpm.goal, $T26,
_xlpm.key, $B26,
_xlpm.range, Log!$G:$G,
_xlpm.cameras_above_mean, ROWS(_xlfn.UNIQUE(_xlfn._xlws.FILTER(Log!$D:$D, (_xlpm.range&gt;_xlpm.goal) * (Log!$A:$A="Trial") * (Log!$B:$B=_xlpm.key)))),
_xlpm.total_cameras, ROWS('Data-Lists'!G21:G38),
_xlpm.text_representation, _xlfn.CONCAT(_xlpm.cameras_above_mean, "/", _xlpm.total_cameras),
_xlpm.percentage, _xlpm.cameras_above_mean/_xlpm.total_cameras,
_xlpm.percentage
), 0)</f>
        <v>0.61111111111111116</v>
      </c>
      <c r="V26" s="6">
        <f>IF(COUNTBLANK($A26:$E26)&gt;0, "", IFERROR(_xlfn.MINIFS(Log!$G:$G, Log!$A:$A, $A26, Log!$B:$B, $B26, Log!$C:$C, $C26),""))</f>
        <v>3.3919999999999999E-2</v>
      </c>
      <c r="W26" s="6">
        <f>IF(COUNTBLANK($A26:$E26)&gt;0, "", IFERROR(_xlfn.MAXIFS(Log!$G:$G, Log!$A:$A, $A26, Log!$B:$B, $B26, Log!$C:$C, $C26),""))</f>
        <v>0.11579100000000001</v>
      </c>
      <c r="X26" s="180" t="str" cm="1">
        <f t="array" ref="X26">_xlfn.LET(_xlpm.row_no, ROW(A26),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26" s="180" t="str" cm="1">
        <f t="array" ref="Y26">_xlfn.LET(_xlpm.row_no, ROW(A26),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Z26" s="165" t="s">
        <v>214</v>
      </c>
      <c r="AA26" s="170">
        <v>6.25E-2</v>
      </c>
      <c r="AB26" s="312"/>
      <c r="AC26" s="312"/>
      <c r="AD26" s="313"/>
      <c r="AG26" s="40"/>
    </row>
    <row r="27" spans="1:33" ht="40.049999999999997" customHeight="1" x14ac:dyDescent="0.3">
      <c r="A27" s="103" t="s">
        <v>88</v>
      </c>
      <c r="B27" s="105" t="s">
        <v>178</v>
      </c>
      <c r="C27" s="5">
        <v>46245</v>
      </c>
      <c r="D27" s="31">
        <v>24</v>
      </c>
      <c r="E27" s="32">
        <v>0.58680555555555558</v>
      </c>
      <c r="F27" s="75" t="s">
        <v>157</v>
      </c>
      <c r="G27" s="36">
        <v>1000</v>
      </c>
      <c r="H27" s="36">
        <f>IF(COUNTBLANK($A27:$E27)&gt;0, "", IFERROR(AVERAGEIFS(Log!$E:$E, Log!$A:$A, $A27, Log!$B:$B, $B27, Log!$C:$C, $C27),""))</f>
        <v>1570.5555555555557</v>
      </c>
      <c r="I27" s="36">
        <f>IF(COUNTBLANK($A27:$E27)&gt;0, "", IFERROR(_xlfn.MAXIFS(Log!$E:$E, Log!$A:$A, $A27, Log!$B:$B, $B27, Log!$C:$C, $C27),""))</f>
        <v>2539</v>
      </c>
      <c r="J27" s="36">
        <f>IF(COUNTBLANK($A27:$E27)&gt;0, "", IFERROR(_xlfn.MINIFS(Log!$E:$E, Log!$A:$A, $A27, Log!$B:$B, $B27, Log!$C:$C, $C27),""))</f>
        <v>1001</v>
      </c>
      <c r="K27" s="37">
        <f t="shared" si="0"/>
        <v>1.5705555555555557</v>
      </c>
      <c r="L27" s="180" t="str" cm="1">
        <f t="array" ref="L27">_xlfn.LET(_xlpm.row_no, ROW(A27),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M27" s="180" t="str" cm="1">
        <f t="array" ref="M27">_xlfn.LET(_xlpm.row_no, ROW(A27),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27" s="6">
        <f>IF(COUNTBLANK($A27:$E27)&gt;0, "", IFERROR(AVERAGEIFS(Log!$F:$F, Log!$A:$A, $A27, Log!$B:$B, $B27, Log!$C:$C, $C27),""))</f>
        <v>0.43736677777777772</v>
      </c>
      <c r="O27" s="37" cm="1">
        <f t="array" ref="O27">IFERROR(_xlfn.LET(
_xlpm.goal, $N27,
_xlpm.key, $B27,
_xlpm.range, Log!$F:$F,
_xlpm.cameras_above_mean, ROWS(_xlfn.UNIQUE(_xlfn._xlws.FILTER(Log!$D:$D, (_xlpm.range&gt;_xlpm.goal) * (Log!$A:$A="Trial") * (Log!$B:$B=_xlpm.key)))),
_xlpm.total_cameras, ROWS('Data-Lists'!A16:A33),
_xlpm.text_representation, _xlfn.CONCAT(_xlpm.cameras_above_mean, "/", _xlpm.total_cameras),
_xlpm.percentage, _xlpm.cameras_above_mean/_xlpm.total_cameras,
_xlpm.percentage
), 0)</f>
        <v>0.44444444444444442</v>
      </c>
      <c r="P27" s="6">
        <f>IF(COUNTBLANK($A27:$E27)&gt;0, "", IFERROR(_xlfn.MINIFS(Log!$F:$F, Log!$A:$A, $A27, Log!$B:$B, $B27, Log!$C:$C, $C27),""))</f>
        <v>0.21996299999999999</v>
      </c>
      <c r="Q27" s="6">
        <f>IF(COUNTBLANK($A27:$E27)&gt;0, "", IFERROR(_xlfn.MAXIFS(Log!$F:$F, Log!$A:$A, $A27, Log!$B:$B, $B27, Log!$C:$C, $C27),""))</f>
        <v>0.58007799999999998</v>
      </c>
      <c r="R27" s="180" t="str" cm="1">
        <f t="array" ref="R27">_xlfn.LET(_xlpm.row_no, ROW(A27),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7" s="180" t="str" cm="1">
        <f t="array" ref="S27">_xlfn.LET(_xlpm.row_no, ROW(A27),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#7 </v>
      </c>
      <c r="T27" s="6">
        <f>IF(COUNTBLANK($A27:$E27)&gt;0, "", IFERROR(AVERAGEIFS(Log!$G:$G, Log!$A:$A, $A27, Log!$B:$B, $B27, Log!$C:$C, $C27),""))</f>
        <v>0.10567767222222221</v>
      </c>
      <c r="U27" s="37" cm="1">
        <f t="array" ref="U27">IFERROR(_xlfn.LET(
_xlpm.goal, $T27,
_xlpm.key, $B27,
_xlpm.range, Log!$G:$G,
_xlpm.cameras_above_mean, ROWS(_xlfn.UNIQUE(_xlfn._xlws.FILTER(Log!$D:$D, (_xlpm.range&gt;_xlpm.goal) * (Log!$A:$A="Trial") * (Log!$B:$B=_xlpm.key)))),
_xlpm.total_cameras, ROWS('Data-Lists'!G22:G39),
_xlpm.text_representation, _xlfn.CONCAT(_xlpm.cameras_above_mean, "/", _xlpm.total_cameras),
_xlpm.percentage, _xlpm.cameras_above_mean/_xlpm.total_cameras,
_xlpm.percentage
), 0)</f>
        <v>0.61111111111111116</v>
      </c>
      <c r="V27" s="6">
        <f>IF(COUNTBLANK($A27:$E27)&gt;0, "", IFERROR(_xlfn.MINIFS(Log!$G:$G, Log!$A:$A, $A27, Log!$B:$B, $B27, Log!$C:$C, $C27),""))</f>
        <v>5.7532100000000003E-2</v>
      </c>
      <c r="W27" s="6">
        <f>IF(COUNTBLANK($A27:$E27)&gt;0, "", IFERROR(_xlfn.MAXIFS(Log!$G:$G, Log!$A:$A, $A27, Log!$B:$B, $B27, Log!$C:$C, $C27),""))</f>
        <v>0.13488800000000001</v>
      </c>
      <c r="X27" s="180" t="str" cm="1">
        <f t="array" ref="X27">_xlfn.LET(_xlpm.row_no, ROW(A27),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7" s="180" t="str" cm="1">
        <f t="array" ref="Y27">_xlfn.LET(_xlpm.row_no, ROW(A27),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27" s="165" t="s">
        <v>214</v>
      </c>
      <c r="AA27" s="166"/>
      <c r="AB27" s="312"/>
      <c r="AC27" s="312"/>
      <c r="AD27" s="313"/>
      <c r="AG27" s="40"/>
    </row>
    <row r="28" spans="1:33" ht="40.049999999999997" customHeight="1" x14ac:dyDescent="0.3">
      <c r="A28" s="103" t="s">
        <v>88</v>
      </c>
      <c r="B28" s="105" t="s">
        <v>181</v>
      </c>
      <c r="C28" s="5">
        <v>46245</v>
      </c>
      <c r="D28" s="31">
        <v>24</v>
      </c>
      <c r="E28" s="32">
        <v>0.59027777777777779</v>
      </c>
      <c r="F28" s="75" t="s">
        <v>157</v>
      </c>
      <c r="G28" s="36">
        <v>1000</v>
      </c>
      <c r="H28" s="36">
        <f>IF(COUNTBLANK($A28:$E28)&gt;0, "", IFERROR(AVERAGEIFS(Log!$E:$E, Log!$A:$A, $A28, Log!$B:$B, $B28, Log!$C:$C, $C28),""))</f>
        <v>1498.2222222222222</v>
      </c>
      <c r="I28" s="36">
        <f>IF(COUNTBLANK($A28:$E28)&gt;0, "", IFERROR(_xlfn.MAXIFS(Log!$E:$E, Log!$A:$A, $A28, Log!$B:$B, $B28, Log!$C:$C, $C28),""))</f>
        <v>2351</v>
      </c>
      <c r="J28" s="36">
        <f>IF(COUNTBLANK($A28:$E28)&gt;0, "", IFERROR(_xlfn.MINIFS(Log!$E:$E, Log!$A:$A, $A28, Log!$B:$B, $B28, Log!$C:$C, $C28),""))</f>
        <v>1003</v>
      </c>
      <c r="K28" s="37">
        <f t="shared" si="0"/>
        <v>1.4982222222222221</v>
      </c>
      <c r="L28" s="180" t="str" cm="1">
        <f t="array" ref="L28">_xlfn.LET(_xlpm.row_no, ROW(A28),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M28" s="180" t="str" cm="1">
        <f t="array" ref="M28">_xlfn.LET(_xlpm.row_no, ROW(A28),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28" s="6">
        <f>IF(COUNTBLANK($A28:$E28)&gt;0, "", IFERROR(AVERAGEIFS(Log!$F:$F, Log!$A:$A, $A28, Log!$B:$B, $B28, Log!$C:$C, $C28),""))</f>
        <v>0.42161983333333336</v>
      </c>
      <c r="O28" s="37" cm="1">
        <f t="array" ref="O28">IFERROR(_xlfn.LET(
_xlpm.goal, $N28,
_xlpm.key, $B28,
_xlpm.range, Log!$F:$F,
_xlpm.cameras_above_mean, ROWS(_xlfn.UNIQUE(_xlfn._xlws.FILTER(Log!$D:$D, (_xlpm.range&gt;_xlpm.goal) * (Log!$A:$A="Trial") * (Log!$B:$B=_xlpm.key)))),
_xlpm.total_cameras, ROWS('Data-Lists'!A17:A34),
_xlpm.text_representation, _xlfn.CONCAT(_xlpm.cameras_above_mean, "/", _xlpm.total_cameras),
_xlpm.percentage, _xlpm.cameras_above_mean/_xlpm.total_cameras,
_xlpm.percentage
), 0)</f>
        <v>0.55555555555555558</v>
      </c>
      <c r="P28" s="6">
        <f>IF(COUNTBLANK($A28:$E28)&gt;0, "", IFERROR(_xlfn.MINIFS(Log!$F:$F, Log!$A:$A, $A28, Log!$B:$B, $B28, Log!$C:$C, $C28),""))</f>
        <v>0.244757</v>
      </c>
      <c r="Q28" s="6">
        <f>IF(COUNTBLANK($A28:$E28)&gt;0, "", IFERROR(_xlfn.MAXIFS(Log!$F:$F, Log!$A:$A, $A28, Log!$B:$B, $B28, Log!$C:$C, $C28),""))</f>
        <v>0.61059399999999997</v>
      </c>
      <c r="R28" s="180" t="str" cm="1">
        <f t="array" ref="R28">_xlfn.LET(_xlpm.row_no, ROW(A28),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28" s="180" t="str" cm="1">
        <f t="array" ref="S28">_xlfn.LET(_xlpm.row_no, ROW(A28),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28" s="6">
        <f>IF(COUNTBLANK($A28:$E28)&gt;0, "", IFERROR(AVERAGEIFS(Log!$G:$G, Log!$A:$A, $A28, Log!$B:$B, $B28, Log!$C:$C, $C28),""))</f>
        <v>0.10281456111111113</v>
      </c>
      <c r="U28" s="37" cm="1">
        <f t="array" ref="U28">IFERROR(_xlfn.LET(
_xlpm.goal, $T28,
_xlpm.key, $B28,
_xlpm.range, Log!$G:$G,
_xlpm.cameras_above_mean, ROWS(_xlfn.UNIQUE(_xlfn._xlws.FILTER(Log!$D:$D, (_xlpm.range&gt;_xlpm.goal) * (Log!$A:$A="Trial") * (Log!$B:$B=_xlpm.key)))),
_xlpm.total_cameras, ROWS('Data-Lists'!G23:G40),
_xlpm.text_representation, _xlfn.CONCAT(_xlpm.cameras_above_mean, "/", _xlpm.total_cameras),
_xlpm.percentage, _xlpm.cameras_above_mean/_xlpm.total_cameras,
_xlpm.percentage
), 0)</f>
        <v>0.3888888888888889</v>
      </c>
      <c r="V28" s="6">
        <f>IF(COUNTBLANK($A28:$E28)&gt;0, "", IFERROR(_xlfn.MINIFS(Log!$G:$G, Log!$A:$A, $A28, Log!$B:$B, $B28, Log!$C:$C, $C28),""))</f>
        <v>6.7692199999999994E-2</v>
      </c>
      <c r="W28" s="6">
        <f>IF(COUNTBLANK($A28:$E28)&gt;0, "", IFERROR(_xlfn.MAXIFS(Log!$G:$G, Log!$A:$A, $A28, Log!$B:$B, $B28, Log!$C:$C, $C28),""))</f>
        <v>0.147393</v>
      </c>
      <c r="X28" s="180" t="str" cm="1">
        <f t="array" ref="X28">_xlfn.LET(_xlpm.row_no, ROW(A28),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8" s="180" t="str" cm="1">
        <f t="array" ref="Y28">_xlfn.LET(_xlpm.row_no, ROW(A28),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28" s="165" t="s">
        <v>214</v>
      </c>
      <c r="AA28" s="166"/>
      <c r="AB28" s="312"/>
      <c r="AC28" s="312"/>
      <c r="AD28" s="313"/>
      <c r="AG28" s="40"/>
    </row>
    <row r="29" spans="1:33" ht="40.049999999999997" customHeight="1" x14ac:dyDescent="0.3">
      <c r="A29" s="103" t="s">
        <v>88</v>
      </c>
      <c r="B29" s="105" t="s">
        <v>182</v>
      </c>
      <c r="C29" s="5">
        <v>46245</v>
      </c>
      <c r="D29" s="31">
        <v>24</v>
      </c>
      <c r="E29" s="32">
        <v>0.59305555555555556</v>
      </c>
      <c r="F29" s="75" t="s">
        <v>157</v>
      </c>
      <c r="G29" s="36">
        <v>1000</v>
      </c>
      <c r="H29" s="36">
        <f>IF(COUNTBLANK($A29:$E29)&gt;0, "", IFERROR(AVERAGEIFS(Log!$E:$E, Log!$A:$A, $A29, Log!$B:$B, $B29, Log!$C:$C, $C29),""))</f>
        <v>1491.2777777777778</v>
      </c>
      <c r="I29" s="36">
        <f>IF(COUNTBLANK($A29:$E29)&gt;0, "", IFERROR(_xlfn.MAXIFS(Log!$E:$E, Log!$A:$A, $A29, Log!$B:$B, $B29, Log!$C:$C, $C29),""))</f>
        <v>2216</v>
      </c>
      <c r="J29" s="36">
        <f>IF(COUNTBLANK($A29:$E29)&gt;0, "", IFERROR(_xlfn.MINIFS(Log!$E:$E, Log!$A:$A, $A29, Log!$B:$B, $B29, Log!$C:$C, $C29),""))</f>
        <v>1003</v>
      </c>
      <c r="K29" s="37">
        <f t="shared" si="0"/>
        <v>1.4912777777777779</v>
      </c>
      <c r="L29" s="180" t="str" cm="1">
        <f t="array" ref="L29">_xlfn.LET(_xlpm.row_no, ROW(A29),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29" s="180" t="str" cm="1">
        <f t="array" ref="M29">_xlfn.LET(_xlpm.row_no, ROW(A29),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N29" s="6">
        <f>IF(COUNTBLANK($A29:$E29)&gt;0, "", IFERROR(AVERAGEIFS(Log!$F:$F, Log!$A:$A, $A29, Log!$B:$B, $B29, Log!$C:$C, $C29),""))</f>
        <v>0.3899057222222222</v>
      </c>
      <c r="O29" s="37" cm="1">
        <f t="array" ref="O29">IFERROR(_xlfn.LET(
_xlpm.goal, $N29,
_xlpm.key, $B29,
_xlpm.range, Log!$F:$F,
_xlpm.cameras_above_mean, ROWS(_xlfn.UNIQUE(_xlfn._xlws.FILTER(Log!$D:$D, (_xlpm.range&gt;_xlpm.goal) * (Log!$A:$A="Trial") * (Log!$B:$B=_xlpm.key)))),
_xlpm.total_cameras, ROWS('Data-Lists'!A18:A35),
_xlpm.text_representation, _xlfn.CONCAT(_xlpm.cameras_above_mean, "/", _xlpm.total_cameras),
_xlpm.percentage, _xlpm.cameras_above_mean/_xlpm.total_cameras,
_xlpm.percentage
), 0)</f>
        <v>0.44444444444444442</v>
      </c>
      <c r="P29" s="6">
        <f>IF(COUNTBLANK($A29:$E29)&gt;0, "", IFERROR(_xlfn.MINIFS(Log!$F:$F, Log!$A:$A, $A29, Log!$B:$B, $B29, Log!$C:$C, $C29),""))</f>
        <v>0.26663900000000001</v>
      </c>
      <c r="Q29" s="6">
        <f>IF(COUNTBLANK($A29:$E29)&gt;0, "", IFERROR(_xlfn.MAXIFS(Log!$F:$F, Log!$A:$A, $A29, Log!$B:$B, $B29, Log!$C:$C, $C29),""))</f>
        <v>0.56033999999999995</v>
      </c>
      <c r="R29" s="180" t="str" cm="1">
        <f t="array" ref="R29">_xlfn.LET(_xlpm.row_no, ROW(A29),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S29" s="180" t="str" cm="1">
        <f t="array" ref="S29">_xlfn.LET(_xlpm.row_no, ROW(A29),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29" s="6">
        <f>IF(COUNTBLANK($A29:$E29)&gt;0, "", IFERROR(AVERAGEIFS(Log!$G:$G, Log!$A:$A, $A29, Log!$B:$B, $B29, Log!$C:$C, $C29),""))</f>
        <v>9.5571205555555566E-2</v>
      </c>
      <c r="U29" s="37" cm="1">
        <f t="array" ref="U29">IFERROR(_xlfn.LET(
_xlpm.goal, $T29,
_xlpm.key, $B29,
_xlpm.range, Log!$G:$G,
_xlpm.cameras_above_mean, ROWS(_xlfn.UNIQUE(_xlfn._xlws.FILTER(Log!$D:$D, (_xlpm.range&gt;_xlpm.goal) * (Log!$A:$A="Trial") * (Log!$B:$B=_xlpm.key)))),
_xlpm.total_cameras, ROWS('Data-Lists'!G24:G41),
_xlpm.text_representation, _xlfn.CONCAT(_xlpm.cameras_above_mean, "/", _xlpm.total_cameras),
_xlpm.percentage, _xlpm.cameras_above_mean/_xlpm.total_cameras,
_xlpm.percentage
), 0)</f>
        <v>0.44444444444444442</v>
      </c>
      <c r="V29" s="6">
        <f>IF(COUNTBLANK($A29:$E29)&gt;0, "", IFERROR(_xlfn.MINIFS(Log!$G:$G, Log!$A:$A, $A29, Log!$B:$B, $B29, Log!$C:$C, $C29),""))</f>
        <v>6.4111500000000002E-2</v>
      </c>
      <c r="W29" s="6">
        <f>IF(COUNTBLANK($A29:$E29)&gt;0, "", IFERROR(_xlfn.MAXIFS(Log!$G:$G, Log!$A:$A, $A29, Log!$B:$B, $B29, Log!$C:$C, $C29),""))</f>
        <v>0.12984799999999999</v>
      </c>
      <c r="X29" s="180" t="str" cm="1">
        <f t="array" ref="X29">_xlfn.LET(_xlpm.row_no, ROW(A29),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29" s="180" t="str" cm="1">
        <f t="array" ref="Y29">_xlfn.LET(_xlpm.row_no, ROW(A29),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Z29" s="165" t="s">
        <v>214</v>
      </c>
      <c r="AA29" s="166"/>
      <c r="AB29" s="312"/>
      <c r="AC29" s="312"/>
      <c r="AD29" s="313"/>
      <c r="AG29" s="40"/>
    </row>
    <row r="30" spans="1:33" ht="40.049999999999997" customHeight="1" x14ac:dyDescent="0.3">
      <c r="A30" s="103" t="s">
        <v>88</v>
      </c>
      <c r="B30" s="105" t="s">
        <v>209</v>
      </c>
      <c r="C30" s="5">
        <v>46246</v>
      </c>
      <c r="D30" s="31">
        <v>25</v>
      </c>
      <c r="E30" s="32">
        <v>0.57430555555555551</v>
      </c>
      <c r="F30" s="75" t="s">
        <v>157</v>
      </c>
      <c r="G30" s="36">
        <v>1000</v>
      </c>
      <c r="H30" s="36">
        <f>IF(COUNTBLANK($A30:$E30)&gt;0, "", IFERROR(AVERAGEIFS(Log!$E:$E, Log!$A:$A, $A30, Log!$B:$B, $B30, Log!$C:$C, $C30),""))</f>
        <v>1342.5882352941176</v>
      </c>
      <c r="I30" s="36">
        <f>IF(COUNTBLANK($A30:$E30)&gt;0, "", IFERROR(_xlfn.MAXIFS(Log!$E:$E, Log!$A:$A, $A30, Log!$B:$B, $B30, Log!$C:$C, $C30),""))</f>
        <v>1953</v>
      </c>
      <c r="J30" s="36">
        <f>IF(COUNTBLANK($A30:$E30)&gt;0, "", IFERROR(_xlfn.MINIFS(Log!$E:$E, Log!$A:$A, $A30, Log!$B:$B, $B30, Log!$C:$C, $C30),""))</f>
        <v>1015</v>
      </c>
      <c r="K30" s="37">
        <f t="shared" si="0"/>
        <v>1.3425882352941176</v>
      </c>
      <c r="L30" s="180" t="str" cm="1">
        <f t="array" ref="L30">_xlfn.LET(_xlpm.row_no, ROW(A30),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0" s="180" t="str" cm="1">
        <f t="array" ref="M30">_xlfn.LET(_xlpm.row_no, ROW(A30),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N30" s="6">
        <f>IF(COUNTBLANK($A30:$E30)&gt;0, "", IFERROR(AVERAGEIFS(Log!$F:$F, Log!$A:$A, $A30, Log!$B:$B, $B30, Log!$C:$C, $C30),""))</f>
        <v>0.40350788235294116</v>
      </c>
      <c r="O30" s="37" cm="1">
        <f t="array" ref="O30">IFERROR(_xlfn.LET(
_xlpm.goal, $N30,
_xlpm.key, $B30,
_xlpm.range, Log!$F:$F,
_xlpm.cameras_above_mean, ROWS(_xlfn.UNIQUE(_xlfn._xlws.FILTER(Log!$D:$D, (_xlpm.range&gt;_xlpm.goal) * (Log!$A:$A="Trial") * (Log!$B:$B=_xlpm.key)))),
_xlpm.total_cameras, ROWS('Data-Lists'!A19:A36),
_xlpm.text_representation, _xlfn.CONCAT(_xlpm.cameras_above_mean, "/", _xlpm.total_cameras),
_xlpm.percentage, _xlpm.cameras_above_mean/_xlpm.total_cameras,
_xlpm.percentage
), 0)</f>
        <v>0.61111111111111116</v>
      </c>
      <c r="P30" s="6">
        <f>IF(COUNTBLANK($A30:$E30)&gt;0, "", IFERROR(_xlfn.MINIFS(Log!$F:$F, Log!$A:$A, $A30, Log!$B:$B, $B30, Log!$C:$C, $C30),""))</f>
        <v>0.242585</v>
      </c>
      <c r="Q30" s="6">
        <f>IF(COUNTBLANK($A30:$E30)&gt;0, "", IFERROR(_xlfn.MAXIFS(Log!$F:$F, Log!$A:$A, $A30, Log!$B:$B, $B30, Log!$C:$C, $C30),""))</f>
        <v>0.54694299999999996</v>
      </c>
      <c r="R30" s="180" t="str" cm="1">
        <f t="array" ref="R30">_xlfn.LET(_xlpm.row_no, ROW(A30),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30" s="180" t="str" cm="1">
        <f t="array" ref="S30">_xlfn.LET(_xlpm.row_no, ROW(A30),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T30" s="6">
        <f>IF(COUNTBLANK($A30:$E30)&gt;0, "", IFERROR(AVERAGEIFS(Log!$G:$G, Log!$A:$A, $A30, Log!$B:$B, $B30, Log!$C:$C, $C30),""))</f>
        <v>9.9487094117647043E-2</v>
      </c>
      <c r="U30" s="37" cm="1">
        <f t="array" ref="U30">IFERROR(_xlfn.LET(
_xlpm.goal, $T30,
_xlpm.key, $B30,
_xlpm.range, Log!$G:$G,
_xlpm.cameras_above_mean, ROWS(_xlfn.UNIQUE(_xlfn._xlws.FILTER(Log!$D:$D, (_xlpm.range&gt;_xlpm.goal) * (Log!$A:$A="Trial") * (Log!$B:$B=_xlpm.key)))),
_xlpm.total_cameras, ROWS('Data-Lists'!G25:G42),
_xlpm.text_representation, _xlfn.CONCAT(_xlpm.cameras_above_mean, "/", _xlpm.total_cameras),
_xlpm.percentage, _xlpm.cameras_above_mean/_xlpm.total_cameras,
_xlpm.percentage
), 0)</f>
        <v>0.3888888888888889</v>
      </c>
      <c r="V30" s="6">
        <f>IF(COUNTBLANK($A30:$E30)&gt;0, "", IFERROR(_xlfn.MINIFS(Log!$G:$G, Log!$A:$A, $A30, Log!$B:$B, $B30, Log!$C:$C, $C30),""))</f>
        <v>6.3335900000000001E-2</v>
      </c>
      <c r="W30" s="6">
        <f>IF(COUNTBLANK($A30:$E30)&gt;0, "", IFERROR(_xlfn.MAXIFS(Log!$G:$G, Log!$A:$A, $A30, Log!$B:$B, $B30, Log!$C:$C, $C30),""))</f>
        <v>0.13891100000000001</v>
      </c>
      <c r="X30" s="180" t="str" cm="1">
        <f t="array" ref="X30">_xlfn.LET(_xlpm.row_no, ROW(A30),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30" s="180" t="str" cm="1">
        <f t="array" ref="Y30">_xlfn.LET(_xlpm.row_no, ROW(A30),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Z30" s="165" t="s">
        <v>214</v>
      </c>
      <c r="AA30" s="170">
        <v>3.4722222222222224E-2</v>
      </c>
      <c r="AB30" s="312"/>
      <c r="AC30" s="312"/>
      <c r="AD30" s="313"/>
      <c r="AG30" s="40"/>
    </row>
    <row r="31" spans="1:33" ht="40.049999999999997" customHeight="1" x14ac:dyDescent="0.3">
      <c r="A31" s="103" t="s">
        <v>88</v>
      </c>
      <c r="B31" s="105" t="s">
        <v>179</v>
      </c>
      <c r="C31" s="5">
        <v>46245</v>
      </c>
      <c r="D31" s="31">
        <v>24</v>
      </c>
      <c r="E31" s="32">
        <v>0.59722222222222221</v>
      </c>
      <c r="F31" s="75" t="s">
        <v>158</v>
      </c>
      <c r="G31" s="36">
        <v>1000</v>
      </c>
      <c r="H31" s="36">
        <f>IF(COUNTBLANK($A31:$E31)&gt;0, "", IFERROR(AVERAGEIFS(Log!$E:$E, Log!$A:$A, $A31, Log!$B:$B, $B31, Log!$C:$C, $C31),""))</f>
        <v>1359.6666666666667</v>
      </c>
      <c r="I31" s="36">
        <f>IF(COUNTBLANK($A31:$E31)&gt;0, "", IFERROR(_xlfn.MAXIFS(Log!$E:$E, Log!$A:$A, $A31, Log!$B:$B, $B31, Log!$C:$C, $C31),""))</f>
        <v>2048</v>
      </c>
      <c r="J31" s="36">
        <f>IF(COUNTBLANK($A31:$E31)&gt;0, "", IFERROR(_xlfn.MINIFS(Log!$E:$E, Log!$A:$A, $A31, Log!$B:$B, $B31, Log!$C:$C, $C31),""))</f>
        <v>1005</v>
      </c>
      <c r="K31" s="37">
        <f t="shared" si="0"/>
        <v>1.3596666666666668</v>
      </c>
      <c r="L31" s="180" t="str" cm="1">
        <f t="array" ref="L31">_xlfn.LET(_xlpm.row_no, ROW(A31),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1" s="180" t="str" cm="1">
        <f t="array" ref="M31">_xlfn.LET(_xlpm.row_no, ROW(A31),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N31" s="6">
        <f>IF(COUNTBLANK($A31:$E31)&gt;0, "", IFERROR(AVERAGEIFS(Log!$F:$F, Log!$A:$A, $A31, Log!$B:$B, $B31, Log!$C:$C, $C31),""))</f>
        <v>0.31395694444444439</v>
      </c>
      <c r="O31" s="37" cm="1">
        <f t="array" ref="O31">IFERROR(_xlfn.LET(
_xlpm.goal, $N31,
_xlpm.key, $B31,
_xlpm.range, Log!$F:$F,
_xlpm.cameras_above_mean, ROWS(_xlfn.UNIQUE(_xlfn._xlws.FILTER(Log!$D:$D, (_xlpm.range&gt;_xlpm.goal) * (Log!$A:$A="Trial") * (Log!$B:$B=_xlpm.key)))),
_xlpm.total_cameras, ROWS('Data-Lists'!A20:A37),
_xlpm.text_representation, _xlfn.CONCAT(_xlpm.cameras_above_mean, "/", _xlpm.total_cameras),
_xlpm.percentage, _xlpm.cameras_above_mean/_xlpm.total_cameras,
_xlpm.percentage
), 0)</f>
        <v>0.3888888888888889</v>
      </c>
      <c r="P31" s="6">
        <f>IF(COUNTBLANK($A31:$E31)&gt;0, "", IFERROR(_xlfn.MINIFS(Log!$F:$F, Log!$A:$A, $A31, Log!$B:$B, $B31, Log!$C:$C, $C31),""))</f>
        <v>0.19647999999999999</v>
      </c>
      <c r="Q31" s="6">
        <f>IF(COUNTBLANK($A31:$E31)&gt;0, "", IFERROR(_xlfn.MAXIFS(Log!$F:$F, Log!$A:$A, $A31, Log!$B:$B, $B31, Log!$C:$C, $C31),""))</f>
        <v>0.57077599999999995</v>
      </c>
      <c r="R31" s="180" t="str" cm="1">
        <f t="array" ref="R31">_xlfn.LET(_xlpm.row_no, ROW(A31),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S31" s="180" t="str" cm="1">
        <f t="array" ref="S31">_xlfn.LET(_xlpm.row_no, ROW(A31),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31" s="6">
        <f>IF(COUNTBLANK($A31:$E31)&gt;0, "", IFERROR(AVERAGEIFS(Log!$G:$G, Log!$A:$A, $A31, Log!$B:$B, $B31, Log!$C:$C, $C31),""))</f>
        <v>7.4516150000000003E-2</v>
      </c>
      <c r="U31" s="37" cm="1">
        <f t="array" ref="U31">IFERROR(_xlfn.LET(
_xlpm.goal, $T31,
_xlpm.key, $B31,
_xlpm.range, Log!$G:$G,
_xlpm.cameras_above_mean, ROWS(_xlfn.UNIQUE(_xlfn._xlws.FILTER(Log!$D:$D, (_xlpm.range&gt;_xlpm.goal) * (Log!$A:$A="Trial") * (Log!$B:$B=_xlpm.key)))),
_xlpm.total_cameras, ROWS('Data-Lists'!G26:G43),
_xlpm.text_representation, _xlfn.CONCAT(_xlpm.cameras_above_mean, "/", _xlpm.total_cameras),
_xlpm.percentage, _xlpm.cameras_above_mean/_xlpm.total_cameras,
_xlpm.percentage
), 0)</f>
        <v>0.5</v>
      </c>
      <c r="V31" s="6">
        <f>IF(COUNTBLANK($A31:$E31)&gt;0, "", IFERROR(_xlfn.MINIFS(Log!$G:$G, Log!$A:$A, $A31, Log!$B:$B, $B31, Log!$C:$C, $C31),""))</f>
        <v>4.6718000000000003E-2</v>
      </c>
      <c r="W31" s="6">
        <f>IF(COUNTBLANK($A31:$E31)&gt;0, "", IFERROR(_xlfn.MAXIFS(Log!$G:$G, Log!$A:$A, $A31, Log!$B:$B, $B31, Log!$C:$C, $C31),""))</f>
        <v>0.111293</v>
      </c>
      <c r="X31" s="180" t="str" cm="1">
        <f t="array" ref="X31">_xlfn.LET(_xlpm.row_no, ROW(A31),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#5 </v>
      </c>
      <c r="Y31" s="180" t="str" cm="1">
        <f t="array" ref="Y31">_xlfn.LET(_xlpm.row_no, ROW(A31),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Z31" s="165" t="s">
        <v>214</v>
      </c>
      <c r="AA31" s="166"/>
      <c r="AB31" s="312"/>
      <c r="AC31" s="312"/>
      <c r="AD31" s="313"/>
    </row>
    <row r="32" spans="1:33" ht="40.049999999999997" customHeight="1" x14ac:dyDescent="0.3">
      <c r="A32" s="103" t="s">
        <v>88</v>
      </c>
      <c r="B32" s="105" t="s">
        <v>183</v>
      </c>
      <c r="C32" s="5">
        <v>46245</v>
      </c>
      <c r="D32" s="31">
        <v>24</v>
      </c>
      <c r="E32" s="32">
        <v>0.60138888888888886</v>
      </c>
      <c r="F32" s="75" t="s">
        <v>158</v>
      </c>
      <c r="G32" s="36">
        <v>1000</v>
      </c>
      <c r="H32" s="36">
        <f>IF(COUNTBLANK($A32:$E32)&gt;0, "", IFERROR(AVERAGEIFS(Log!$E:$E, Log!$A:$A, $A32, Log!$B:$B, $B32, Log!$C:$C, $C32),""))</f>
        <v>1473.5</v>
      </c>
      <c r="I32" s="36">
        <f>IF(COUNTBLANK($A32:$E32)&gt;0, "", IFERROR(_xlfn.MAXIFS(Log!$E:$E, Log!$A:$A, $A32, Log!$B:$B, $B32, Log!$C:$C, $C32),""))</f>
        <v>2482</v>
      </c>
      <c r="J32" s="36">
        <f>IF(COUNTBLANK($A32:$E32)&gt;0, "", IFERROR(_xlfn.MINIFS(Log!$E:$E, Log!$A:$A, $A32, Log!$B:$B, $B32, Log!$C:$C, $C32),""))</f>
        <v>1003</v>
      </c>
      <c r="K32" s="37">
        <f t="shared" si="0"/>
        <v>1.4735</v>
      </c>
      <c r="L32" s="180" t="str" cm="1">
        <f t="array" ref="L32">_xlfn.LET(_xlpm.row_no, ROW(A32),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2" s="180" t="str" cm="1">
        <f t="array" ref="M32">_xlfn.LET(_xlpm.row_no, ROW(A32),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32" s="6">
        <f>IF(COUNTBLANK($A32:$E32)&gt;0, "", IFERROR(AVERAGEIFS(Log!$F:$F, Log!$A:$A, $A32, Log!$B:$B, $B32, Log!$C:$C, $C32),""))</f>
        <v>0.28085299999999996</v>
      </c>
      <c r="O32" s="37" cm="1">
        <f t="array" ref="O32">IFERROR(_xlfn.LET(
_xlpm.goal, $N32,
_xlpm.key, $B32,
_xlpm.range, Log!$F:$F,
_xlpm.cameras_above_mean, ROWS(_xlfn.UNIQUE(_xlfn._xlws.FILTER(Log!$D:$D, (_xlpm.range&gt;_xlpm.goal) * (Log!$A:$A="Trial") * (Log!$B:$B=_xlpm.key)))),
_xlpm.total_cameras, ROWS('Data-Lists'!A21:A38),
_xlpm.text_representation, _xlfn.CONCAT(_xlpm.cameras_above_mean, "/", _xlpm.total_cameras),
_xlpm.percentage, _xlpm.cameras_above_mean/_xlpm.total_cameras,
_xlpm.percentage
), 0)</f>
        <v>0.3888888888888889</v>
      </c>
      <c r="P32" s="6">
        <f>IF(COUNTBLANK($A32:$E32)&gt;0, "", IFERROR(_xlfn.MINIFS(Log!$F:$F, Log!$A:$A, $A32, Log!$B:$B, $B32, Log!$C:$C, $C32),""))</f>
        <v>0.15012700000000001</v>
      </c>
      <c r="Q32" s="6">
        <f>IF(COUNTBLANK($A32:$E32)&gt;0, "", IFERROR(_xlfn.MAXIFS(Log!$F:$F, Log!$A:$A, $A32, Log!$B:$B, $B32, Log!$C:$C, $C32),""))</f>
        <v>0.54901</v>
      </c>
      <c r="R32" s="180" t="str" cm="1">
        <f t="array" ref="R32">_xlfn.LET(_xlpm.row_no, ROW(A32),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2" s="180" t="str" cm="1">
        <f t="array" ref="S32">_xlfn.LET(_xlpm.row_no, ROW(A32),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2" s="6">
        <f>IF(COUNTBLANK($A32:$E32)&gt;0, "", IFERROR(AVERAGEIFS(Log!$G:$G, Log!$A:$A, $A32, Log!$B:$B, $B32, Log!$C:$C, $C32),""))</f>
        <v>6.8297388888888894E-2</v>
      </c>
      <c r="U32" s="37" cm="1">
        <f t="array" ref="U32">IFERROR(_xlfn.LET(
_xlpm.goal, $T32,
_xlpm.key, $B32,
_xlpm.range, Log!$G:$G,
_xlpm.cameras_above_mean, ROWS(_xlfn.UNIQUE(_xlfn._xlws.FILTER(Log!$D:$D, (_xlpm.range&gt;_xlpm.goal) * (Log!$A:$A="Trial") * (Log!$B:$B=_xlpm.key)))),
_xlpm.total_cameras, ROWS('Data-Lists'!G27:G44),
_xlpm.text_representation, _xlfn.CONCAT(_xlpm.cameras_above_mean, "/", _xlpm.total_cameras),
_xlpm.percentage, _xlpm.cameras_above_mean/_xlpm.total_cameras,
_xlpm.percentage
), 0)</f>
        <v>0.33333333333333331</v>
      </c>
      <c r="V32" s="6">
        <f>IF(COUNTBLANK($A32:$E32)&gt;0, "", IFERROR(_xlfn.MINIFS(Log!$G:$G, Log!$A:$A, $A32, Log!$B:$B, $B32, Log!$C:$C, $C32),""))</f>
        <v>4.7119899999999999E-2</v>
      </c>
      <c r="W32" s="6">
        <f>IF(COUNTBLANK($A32:$E32)&gt;0, "", IFERROR(_xlfn.MAXIFS(Log!$G:$G, Log!$A:$A, $A32, Log!$B:$B, $B32, Log!$C:$C, $C32),""))</f>
        <v>0.152257</v>
      </c>
      <c r="X32" s="180" t="str" cm="1">
        <f t="array" ref="X32">_xlfn.LET(_xlpm.row_no, ROW(A32),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32" s="180" t="str" cm="1">
        <f t="array" ref="Y32">_xlfn.LET(_xlpm.row_no, ROW(A32),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2" s="165" t="s">
        <v>214</v>
      </c>
      <c r="AA32" s="166"/>
      <c r="AB32" s="312"/>
      <c r="AC32" s="312"/>
      <c r="AD32" s="313"/>
    </row>
    <row r="33" spans="1:33" ht="40.049999999999997" customHeight="1" x14ac:dyDescent="0.3">
      <c r="A33" s="103" t="s">
        <v>88</v>
      </c>
      <c r="B33" s="105" t="s">
        <v>184</v>
      </c>
      <c r="C33" s="5">
        <v>46245</v>
      </c>
      <c r="D33" s="31">
        <v>24</v>
      </c>
      <c r="E33" s="32">
        <v>0.60555555555555551</v>
      </c>
      <c r="F33" s="75" t="s">
        <v>158</v>
      </c>
      <c r="G33" s="36">
        <v>1000</v>
      </c>
      <c r="H33" s="36">
        <f>IF(COUNTBLANK($A33:$E33)&gt;0, "", IFERROR(AVERAGEIFS(Log!$E:$E, Log!$A:$A, $A33, Log!$B:$B, $B33, Log!$C:$C, $C33),""))</f>
        <v>1348.3888888888889</v>
      </c>
      <c r="I33" s="36">
        <f>IF(COUNTBLANK($A33:$E33)&gt;0, "", IFERROR(_xlfn.MAXIFS(Log!$E:$E, Log!$A:$A, $A33, Log!$B:$B, $B33, Log!$C:$C, $C33),""))</f>
        <v>2300</v>
      </c>
      <c r="J33" s="36">
        <f>IF(COUNTBLANK($A33:$E33)&gt;0, "", IFERROR(_xlfn.MINIFS(Log!$E:$E, Log!$A:$A, $A33, Log!$B:$B, $B33, Log!$C:$C, $C33),""))</f>
        <v>1004</v>
      </c>
      <c r="K33" s="37">
        <f t="shared" si="0"/>
        <v>1.3483888888888889</v>
      </c>
      <c r="L33" s="180" t="str" cm="1">
        <f t="array" ref="L33">_xlfn.LET(_xlpm.row_no, ROW(A33),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3" s="180" t="str" cm="1">
        <f t="array" ref="M33">_xlfn.LET(_xlpm.row_no, ROW(A33),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3" s="6">
        <f>IF(COUNTBLANK($A33:$E33)&gt;0, "", IFERROR(AVERAGEIFS(Log!$F:$F, Log!$A:$A, $A33, Log!$B:$B, $B33, Log!$C:$C, $C33),""))</f>
        <v>0.47672877777777778</v>
      </c>
      <c r="O33" s="37" cm="1">
        <f t="array" ref="O33">IFERROR(_xlfn.LET(
_xlpm.goal, $N33,
_xlpm.key, $B33,
_xlpm.range, Log!$F:$F,
_xlpm.cameras_above_mean, ROWS(_xlfn.UNIQUE(_xlfn._xlws.FILTER(Log!$D:$D, (_xlpm.range&gt;_xlpm.goal) * (Log!$A:$A="Trial") * (Log!$B:$B=_xlpm.key)))),
_xlpm.total_cameras, ROWS('Data-Lists'!A22:A39),
_xlpm.text_representation, _xlfn.CONCAT(_xlpm.cameras_above_mean, "/", _xlpm.total_cameras),
_xlpm.percentage, _xlpm.cameras_above_mean/_xlpm.total_cameras,
_xlpm.percentage
), 0)</f>
        <v>0.27777777777777779</v>
      </c>
      <c r="P33" s="6">
        <f>IF(COUNTBLANK($A33:$E33)&gt;0, "", IFERROR(_xlfn.MINIFS(Log!$F:$F, Log!$A:$A, $A33, Log!$B:$B, $B33, Log!$C:$C, $C33),""))</f>
        <v>0.20420099999999999</v>
      </c>
      <c r="Q33" s="6">
        <f>IF(COUNTBLANK($A33:$E33)&gt;0, "", IFERROR(_xlfn.MAXIFS(Log!$F:$F, Log!$A:$A, $A33, Log!$B:$B, $B33, Log!$C:$C, $C33),""))</f>
        <v>1.42056</v>
      </c>
      <c r="R33" s="180" t="str" cm="1">
        <f t="array" ref="R33">_xlfn.LET(_xlpm.row_no, ROW(A33),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S33" s="180" t="str" cm="1">
        <f t="array" ref="S33">_xlfn.LET(_xlpm.row_no, ROW(A33),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T33" s="6">
        <f>IF(COUNTBLANK($A33:$E33)&gt;0, "", IFERROR(AVERAGEIFS(Log!$G:$G, Log!$A:$A, $A33, Log!$B:$B, $B33, Log!$C:$C, $C33),""))</f>
        <v>0.11062158333333333</v>
      </c>
      <c r="U33" s="37" cm="1">
        <f t="array" ref="U33">IFERROR(_xlfn.LET(
_xlpm.goal, $T33,
_xlpm.key, $B33,
_xlpm.range, Log!$G:$G,
_xlpm.cameras_above_mean, ROWS(_xlfn.UNIQUE(_xlfn._xlws.FILTER(Log!$D:$D, (_xlpm.range&gt;_xlpm.goal) * (Log!$A:$A="Trial") * (Log!$B:$B=_xlpm.key)))),
_xlpm.total_cameras, ROWS('Data-Lists'!G28:G45),
_xlpm.text_representation, _xlfn.CONCAT(_xlpm.cameras_above_mean, "/", _xlpm.total_cameras),
_xlpm.percentage, _xlpm.cameras_above_mean/_xlpm.total_cameras,
_xlpm.percentage
), 0)</f>
        <v>0.27777777777777779</v>
      </c>
      <c r="V33" s="6">
        <f>IF(COUNTBLANK($A33:$E33)&gt;0, "", IFERROR(_xlfn.MINIFS(Log!$G:$G, Log!$A:$A, $A33, Log!$B:$B, $B33, Log!$C:$C, $C33),""))</f>
        <v>5.9915700000000002E-2</v>
      </c>
      <c r="W33" s="6">
        <f>IF(COUNTBLANK($A33:$E33)&gt;0, "", IFERROR(_xlfn.MAXIFS(Log!$G:$G, Log!$A:$A, $A33, Log!$B:$B, $B33, Log!$C:$C, $C33),""))</f>
        <v>0.28700599999999998</v>
      </c>
      <c r="X33" s="180" t="str" cm="1">
        <f t="array" ref="X33">_xlfn.LET(_xlpm.row_no, ROW(A33),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3" s="180" t="str" cm="1">
        <f t="array" ref="Y33">_xlfn.LET(_xlpm.row_no, ROW(A33),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#18</v>
      </c>
      <c r="Z33" s="167" t="s">
        <v>215</v>
      </c>
      <c r="AA33" s="166"/>
      <c r="AB33" s="312"/>
      <c r="AC33" s="312"/>
      <c r="AD33" s="313"/>
    </row>
    <row r="34" spans="1:33" ht="40.049999999999997" customHeight="1" x14ac:dyDescent="0.3">
      <c r="A34" s="103" t="s">
        <v>88</v>
      </c>
      <c r="B34" s="105" t="s">
        <v>210</v>
      </c>
      <c r="C34" s="5">
        <v>46246</v>
      </c>
      <c r="D34" s="31">
        <v>25</v>
      </c>
      <c r="E34" s="32">
        <v>0.58125000000000004</v>
      </c>
      <c r="F34" s="75" t="s">
        <v>158</v>
      </c>
      <c r="G34" s="36">
        <v>1000</v>
      </c>
      <c r="H34" s="36">
        <f>IF(COUNTBLANK($A34:$E34)&gt;0, "", IFERROR(AVERAGEIFS(Log!$E:$E, Log!$A:$A, $A34, Log!$B:$B, $B34, Log!$C:$C, $C34),""))</f>
        <v>1722</v>
      </c>
      <c r="I34" s="36">
        <f>IF(COUNTBLANK($A34:$E34)&gt;0, "", IFERROR(_xlfn.MAXIFS(Log!$E:$E, Log!$A:$A, $A34, Log!$B:$B, $B34, Log!$C:$C, $C34),""))</f>
        <v>3124</v>
      </c>
      <c r="J34" s="36">
        <f>IF(COUNTBLANK($A34:$E34)&gt;0, "", IFERROR(_xlfn.MINIFS(Log!$E:$E, Log!$A:$A, $A34, Log!$B:$B, $B34, Log!$C:$C, $C34),""))</f>
        <v>1002</v>
      </c>
      <c r="K34" s="37">
        <f t="shared" si="0"/>
        <v>1.722</v>
      </c>
      <c r="L34" s="180" t="str" cm="1">
        <f t="array" ref="L34">_xlfn.LET(_xlpm.row_no, ROW(A34),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4" s="180" t="str" cm="1">
        <f t="array" ref="M34">_xlfn.LET(_xlpm.row_no, ROW(A34),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34" s="6">
        <f>IF(COUNTBLANK($A34:$E34)&gt;0, "", IFERROR(AVERAGEIFS(Log!$F:$F, Log!$A:$A, $A34, Log!$B:$B, $B34, Log!$C:$C, $C34),""))</f>
        <v>0.38141035294117642</v>
      </c>
      <c r="O34" s="37" cm="1">
        <f t="array" ref="O34">IFERROR(_xlfn.LET(
_xlpm.goal, $N34,
_xlpm.key, $B34,
_xlpm.range, Log!$F:$F,
_xlpm.cameras_above_mean, ROWS(_xlfn.UNIQUE(_xlfn._xlws.FILTER(Log!$D:$D, (_xlpm.range&gt;_xlpm.goal) * (Log!$A:$A="Trial") * (Log!$B:$B=_xlpm.key)))),
_xlpm.total_cameras, ROWS('Data-Lists'!A23:A40),
_xlpm.text_representation, _xlfn.CONCAT(_xlpm.cameras_above_mean, "/", _xlpm.total_cameras),
_xlpm.percentage, _xlpm.cameras_above_mean/_xlpm.total_cameras,
_xlpm.percentage
), 0)</f>
        <v>0.5</v>
      </c>
      <c r="P34" s="6">
        <f>IF(COUNTBLANK($A34:$E34)&gt;0, "", IFERROR(_xlfn.MINIFS(Log!$F:$F, Log!$A:$A, $A34, Log!$B:$B, $B34, Log!$C:$C, $C34),""))</f>
        <v>0.17096500000000001</v>
      </c>
      <c r="Q34" s="6">
        <f>IF(COUNTBLANK($A34:$E34)&gt;0, "", IFERROR(_xlfn.MAXIFS(Log!$F:$F, Log!$A:$A, $A34, Log!$B:$B, $B34, Log!$C:$C, $C34),""))</f>
        <v>0.91455299999999995</v>
      </c>
      <c r="R34" s="180" t="str" cm="1">
        <f t="array" ref="R34">_xlfn.LET(_xlpm.row_no, ROW(A34),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4" s="180" t="str" cm="1">
        <f t="array" ref="S34">_xlfn.LET(_xlpm.row_no, ROW(A34),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4" s="6">
        <f>IF(COUNTBLANK($A34:$E34)&gt;0, "", IFERROR(AVERAGEIFS(Log!$G:$G, Log!$A:$A, $A34, Log!$B:$B, $B34, Log!$C:$C, $C34),""))</f>
        <v>9.3228123529411774E-2</v>
      </c>
      <c r="U34" s="37" cm="1">
        <f t="array" ref="U34">IFERROR(_xlfn.LET(
_xlpm.goal, $T34,
_xlpm.key, $B34,
_xlpm.range, Log!$G:$G,
_xlpm.cameras_above_mean, ROWS(_xlfn.UNIQUE(_xlfn._xlws.FILTER(Log!$D:$D, (_xlpm.range&gt;_xlpm.goal) * (Log!$A:$A="Trial") * (Log!$B:$B=_xlpm.key)))),
_xlpm.total_cameras, ROWS('Data-Lists'!G29:G46),
_xlpm.text_representation, _xlfn.CONCAT(_xlpm.cameras_above_mean, "/", _xlpm.total_cameras),
_xlpm.percentage, _xlpm.cameras_above_mean/_xlpm.total_cameras,
_xlpm.percentage
), 0)</f>
        <v>0.3888888888888889</v>
      </c>
      <c r="V34" s="6">
        <f>IF(COUNTBLANK($A34:$E34)&gt;0, "", IFERROR(_xlfn.MINIFS(Log!$G:$G, Log!$A:$A, $A34, Log!$B:$B, $B34, Log!$C:$C, $C34),""))</f>
        <v>5.7526300000000002E-2</v>
      </c>
      <c r="W34" s="6">
        <f>IF(COUNTBLANK($A34:$E34)&gt;0, "", IFERROR(_xlfn.MAXIFS(Log!$G:$G, Log!$A:$A, $A34, Log!$B:$B, $B34, Log!$C:$C, $C34),""))</f>
        <v>0.23045199999999999</v>
      </c>
      <c r="X34" s="180" t="str" cm="1">
        <f t="array" ref="X34">_xlfn.LET(_xlpm.row_no, ROW(A34),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4" s="180" t="str" cm="1">
        <f t="array" ref="Y34">_xlfn.LET(_xlpm.row_no, ROW(A34),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4" s="167" t="s">
        <v>215</v>
      </c>
      <c r="AA34" s="170">
        <v>4.6527777777777779E-2</v>
      </c>
      <c r="AB34" s="312"/>
      <c r="AC34" s="312"/>
      <c r="AD34" s="313"/>
    </row>
    <row r="35" spans="1:33" ht="40.049999999999997" customHeight="1" x14ac:dyDescent="0.3">
      <c r="A35" s="103" t="s">
        <v>88</v>
      </c>
      <c r="B35" s="105" t="s">
        <v>180</v>
      </c>
      <c r="C35" s="5">
        <v>46246</v>
      </c>
      <c r="D35" s="31">
        <v>24.5</v>
      </c>
      <c r="E35" s="32">
        <v>0.46180555555555558</v>
      </c>
      <c r="F35" s="75" t="s">
        <v>160</v>
      </c>
      <c r="G35" s="36">
        <v>1000</v>
      </c>
      <c r="H35" s="36">
        <f>IF(COUNTBLANK($A35:$E35)&gt;0, "", IFERROR(AVERAGEIFS(Log!$E:$E, Log!$A:$A, $A35, Log!$B:$B, $B35, Log!$C:$C, $C35),""))</f>
        <v>1505</v>
      </c>
      <c r="I35" s="36">
        <f>IF(COUNTBLANK($A35:$E35)&gt;0, "", IFERROR(_xlfn.MAXIFS(Log!$E:$E, Log!$A:$A, $A35, Log!$B:$B, $B35, Log!$C:$C, $C35),""))</f>
        <v>2360</v>
      </c>
      <c r="J35" s="36">
        <f>IF(COUNTBLANK($A35:$E35)&gt;0, "", IFERROR(_xlfn.MINIFS(Log!$E:$E, Log!$A:$A, $A35, Log!$B:$B, $B35, Log!$C:$C, $C35),""))</f>
        <v>1004</v>
      </c>
      <c r="K35" s="37">
        <f t="shared" si="0"/>
        <v>1.5049999999999999</v>
      </c>
      <c r="L35" s="180" t="str" cm="1">
        <f t="array" ref="L35">_xlfn.LET(_xlpm.row_no, ROW(A35),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5" s="180" t="str" cm="1">
        <f t="array" ref="M35">_xlfn.LET(_xlpm.row_no, ROW(A35),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35" s="6">
        <f>IF(COUNTBLANK($A35:$E35)&gt;0, "", IFERROR(AVERAGEIFS(Log!$F:$F, Log!$A:$A, $A35, Log!$B:$B, $B35, Log!$C:$C, $C35),""))</f>
        <v>0.51211722222222211</v>
      </c>
      <c r="O35" s="37" cm="1">
        <f t="array" ref="O35">IFERROR(_xlfn.LET(
_xlpm.goal, $N35,
_xlpm.key, $B35,
_xlpm.range, Log!$F:$F,
_xlpm.cameras_above_mean, ROWS(_xlfn.UNIQUE(_xlfn._xlws.FILTER(Log!$D:$D, (_xlpm.range&gt;_xlpm.goal) * (Log!$A:$A="Trial") * (Log!$B:$B=_xlpm.key)))),
_xlpm.total_cameras, ROWS('Data-Lists'!A24:A41),
_xlpm.text_representation, _xlfn.CONCAT(_xlpm.cameras_above_mean, "/", _xlpm.total_cameras),
_xlpm.percentage, _xlpm.cameras_above_mean/_xlpm.total_cameras,
_xlpm.percentage
), 0)</f>
        <v>0.44444444444444442</v>
      </c>
      <c r="P35" s="6">
        <f>IF(COUNTBLANK($A35:$E35)&gt;0, "", IFERROR(_xlfn.MINIFS(Log!$F:$F, Log!$A:$A, $A35, Log!$B:$B, $B35, Log!$C:$C, $C35),""))</f>
        <v>0.18245900000000001</v>
      </c>
      <c r="Q35" s="6">
        <f>IF(COUNTBLANK($A35:$E35)&gt;0, "", IFERROR(_xlfn.MAXIFS(Log!$F:$F, Log!$A:$A, $A35, Log!$B:$B, $B35, Log!$C:$C, $C35),""))</f>
        <v>1.4746300000000001</v>
      </c>
      <c r="R35" s="180" t="str" cm="1">
        <f t="array" ref="R35">_xlfn.LET(_xlpm.row_no, ROW(A35),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35" s="180" t="str" cm="1">
        <f t="array" ref="S35">_xlfn.LET(_xlpm.row_no, ROW(A35),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T35" s="6">
        <f>IF(COUNTBLANK($A35:$E35)&gt;0, "", IFERROR(AVERAGEIFS(Log!$G:$G, Log!$A:$A, $A35, Log!$B:$B, $B35, Log!$C:$C, $C35),""))</f>
        <v>0.12117922222222226</v>
      </c>
      <c r="U35" s="37" cm="1">
        <f t="array" ref="U35">IFERROR(_xlfn.LET(
_xlpm.goal, $T35,
_xlpm.key, $B35,
_xlpm.range, Log!$G:$G,
_xlpm.cameras_above_mean, ROWS(_xlfn.UNIQUE(_xlfn._xlws.FILTER(Log!$D:$D, (_xlpm.range&gt;_xlpm.goal) * (Log!$A:$A="Trial") * (Log!$B:$B=_xlpm.key)))),
_xlpm.total_cameras, ROWS('Data-Lists'!G30:G47),
_xlpm.text_representation, _xlfn.CONCAT(_xlpm.cameras_above_mean, "/", _xlpm.total_cameras),
_xlpm.percentage, _xlpm.cameras_above_mean/_xlpm.total_cameras,
_xlpm.percentage
), 0)</f>
        <v>0.44444444444444442</v>
      </c>
      <c r="V35" s="6">
        <f>IF(COUNTBLANK($A35:$E35)&gt;0, "", IFERROR(_xlfn.MINIFS(Log!$G:$G, Log!$A:$A, $A35, Log!$B:$B, $B35, Log!$C:$C, $C35),""))</f>
        <v>5.6480700000000002E-2</v>
      </c>
      <c r="W35" s="6">
        <f>IF(COUNTBLANK($A35:$E35)&gt;0, "", IFERROR(_xlfn.MAXIFS(Log!$G:$G, Log!$A:$A, $A35, Log!$B:$B, $B35, Log!$C:$C, $C35),""))</f>
        <v>0.30990099999999998</v>
      </c>
      <c r="X35" s="180" t="str" cm="1">
        <f t="array" ref="X35">_xlfn.LET(_xlpm.row_no, ROW(A35),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35" s="180" t="str" cm="1">
        <f t="array" ref="Y35">_xlfn.LET(_xlpm.row_no, ROW(A35),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Z35" s="167" t="s">
        <v>215</v>
      </c>
      <c r="AA35" s="166"/>
      <c r="AB35" s="312"/>
      <c r="AC35" s="312"/>
      <c r="AD35" s="313"/>
    </row>
    <row r="36" spans="1:33" ht="40.049999999999997" customHeight="1" x14ac:dyDescent="0.3">
      <c r="A36" s="103" t="s">
        <v>88</v>
      </c>
      <c r="B36" s="105" t="s">
        <v>185</v>
      </c>
      <c r="C36" s="5">
        <v>46246</v>
      </c>
      <c r="D36" s="31">
        <v>24.5</v>
      </c>
      <c r="E36" s="32">
        <v>0.46736111111111112</v>
      </c>
      <c r="F36" s="75" t="s">
        <v>160</v>
      </c>
      <c r="G36" s="36">
        <v>1000</v>
      </c>
      <c r="H36" s="36">
        <f>IF(COUNTBLANK($A36:$E36)&gt;0, "", IFERROR(AVERAGEIFS(Log!$E:$E, Log!$A:$A, $A36, Log!$B:$B, $B36, Log!$C:$C, $C36),""))</f>
        <v>1629.7777777777778</v>
      </c>
      <c r="I36" s="36">
        <f>IF(COUNTBLANK($A36:$E36)&gt;0, "", IFERROR(_xlfn.MAXIFS(Log!$E:$E, Log!$A:$A, $A36, Log!$B:$B, $B36, Log!$C:$C, $C36),""))</f>
        <v>2683</v>
      </c>
      <c r="J36" s="36">
        <f>IF(COUNTBLANK($A36:$E36)&gt;0, "", IFERROR(_xlfn.MINIFS(Log!$E:$E, Log!$A:$A, $A36, Log!$B:$B, $B36, Log!$C:$C, $C36),""))</f>
        <v>1002</v>
      </c>
      <c r="K36" s="37">
        <f t="shared" si="0"/>
        <v>1.6297777777777778</v>
      </c>
      <c r="L36" s="180" t="str" cm="1">
        <f t="array" ref="L36">_xlfn.LET(_xlpm.row_no, ROW(A36),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M36" s="180" t="str" cm="1">
        <f t="array" ref="M36">_xlfn.LET(_xlpm.row_no, ROW(A36),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N36" s="6">
        <f>IF(COUNTBLANK($A36:$E36)&gt;0, "", IFERROR(AVERAGEIFS(Log!$F:$F, Log!$A:$A, $A36, Log!$B:$B, $B36, Log!$C:$C, $C36),""))</f>
        <v>0.42551411111111109</v>
      </c>
      <c r="O36" s="37" cm="1">
        <f t="array" ref="O36">IFERROR(_xlfn.LET(
_xlpm.goal, $N36,
_xlpm.key, $B36,
_xlpm.range, Log!$F:$F,
_xlpm.cameras_above_mean, ROWS(_xlfn.UNIQUE(_xlfn._xlws.FILTER(Log!$D:$D, (_xlpm.range&gt;_xlpm.goal) * (Log!$A:$A="Trial") * (Log!$B:$B=_xlpm.key)))),
_xlpm.total_cameras, ROWS('Data-Lists'!A25:A42),
_xlpm.text_representation, _xlfn.CONCAT(_xlpm.cameras_above_mean, "/", _xlpm.total_cameras),
_xlpm.percentage, _xlpm.cameras_above_mean/_xlpm.total_cameras,
_xlpm.percentage
), 0)</f>
        <v>0.44444444444444442</v>
      </c>
      <c r="P36" s="6">
        <f>IF(COUNTBLANK($A36:$E36)&gt;0, "", IFERROR(_xlfn.MINIFS(Log!$F:$F, Log!$A:$A, $A36, Log!$B:$B, $B36, Log!$C:$C, $C36),""))</f>
        <v>0.19472</v>
      </c>
      <c r="Q36" s="6">
        <f>IF(COUNTBLANK($A36:$E36)&gt;0, "", IFERROR(_xlfn.MAXIFS(Log!$F:$F, Log!$A:$A, $A36, Log!$B:$B, $B36, Log!$C:$C, $C36),""))</f>
        <v>0.90618900000000002</v>
      </c>
      <c r="R36" s="180" t="str" cm="1">
        <f t="array" ref="R36">_xlfn.LET(_xlpm.row_no, ROW(A36),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36" s="180" t="str" cm="1">
        <f t="array" ref="S36">_xlfn.LET(_xlpm.row_no, ROW(A36),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T36" s="6">
        <f>IF(COUNTBLANK($A36:$E36)&gt;0, "", IFERROR(AVERAGEIFS(Log!$G:$G, Log!$A:$A, $A36, Log!$B:$B, $B36, Log!$C:$C, $C36),""))</f>
        <v>0.10026711111111111</v>
      </c>
      <c r="U36" s="37" cm="1">
        <f t="array" ref="U36">IFERROR(_xlfn.LET(
_xlpm.goal, $T36,
_xlpm.key, $B36,
_xlpm.range, Log!$G:$G,
_xlpm.cameras_above_mean, ROWS(_xlfn.UNIQUE(_xlfn._xlws.FILTER(Log!$D:$D, (_xlpm.range&gt;_xlpm.goal) * (Log!$A:$A="Trial") * (Log!$B:$B=_xlpm.key)))),
_xlpm.total_cameras, ROWS('Data-Lists'!G31:G48),
_xlpm.text_representation, _xlfn.CONCAT(_xlpm.cameras_above_mean, "/", _xlpm.total_cameras),
_xlpm.percentage, _xlpm.cameras_above_mean/_xlpm.total_cameras,
_xlpm.percentage
), 0)</f>
        <v>0.44444444444444442</v>
      </c>
      <c r="V36" s="6">
        <f>IF(COUNTBLANK($A36:$E36)&gt;0, "", IFERROR(_xlfn.MINIFS(Log!$G:$G, Log!$A:$A, $A36, Log!$B:$B, $B36, Log!$C:$C, $C36),""))</f>
        <v>5.2473800000000001E-2</v>
      </c>
      <c r="W36" s="6">
        <f>IF(COUNTBLANK($A36:$E36)&gt;0, "", IFERROR(_xlfn.MAXIFS(Log!$G:$G, Log!$A:$A, $A36, Log!$B:$B, $B36, Log!$C:$C, $C36),""))</f>
        <v>0.18437700000000001</v>
      </c>
      <c r="X36" s="180" t="str" cm="1">
        <f t="array" ref="X36">_xlfn.LET(_xlpm.row_no, ROW(A36),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6" s="180" t="str" cm="1">
        <f t="array" ref="Y36">_xlfn.LET(_xlpm.row_no, ROW(A36),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#6 </v>
      </c>
      <c r="Z36" s="165" t="s">
        <v>214</v>
      </c>
      <c r="AA36" s="166"/>
      <c r="AB36" s="312"/>
      <c r="AC36" s="312"/>
      <c r="AD36" s="313"/>
    </row>
    <row r="37" spans="1:33" ht="40.049999999999997" customHeight="1" x14ac:dyDescent="0.3">
      <c r="A37" s="103" t="s">
        <v>88</v>
      </c>
      <c r="B37" s="105" t="s">
        <v>186</v>
      </c>
      <c r="C37" s="5">
        <v>46246</v>
      </c>
      <c r="D37" s="31">
        <v>24.5</v>
      </c>
      <c r="E37" s="32">
        <v>0.53333333333333333</v>
      </c>
      <c r="F37" s="75" t="s">
        <v>160</v>
      </c>
      <c r="G37" s="36">
        <v>1000</v>
      </c>
      <c r="H37" s="36">
        <f>IF(COUNTBLANK($A37:$E37)&gt;0, "", IFERROR(AVERAGEIFS(Log!$E:$E, Log!$A:$A, $A37, Log!$B:$B, $B37, Log!$C:$C, $C37),""))</f>
        <v>1474.7777777777778</v>
      </c>
      <c r="I37" s="36">
        <f>IF(COUNTBLANK($A37:$E37)&gt;0, "", IFERROR(_xlfn.MAXIFS(Log!$E:$E, Log!$A:$A, $A37, Log!$B:$B, $B37, Log!$C:$C, $C37),""))</f>
        <v>2477</v>
      </c>
      <c r="J37" s="36">
        <f>IF(COUNTBLANK($A37:$E37)&gt;0, "", IFERROR(_xlfn.MINIFS(Log!$E:$E, Log!$A:$A, $A37, Log!$B:$B, $B37, Log!$C:$C, $C37),""))</f>
        <v>1004</v>
      </c>
      <c r="K37" s="37">
        <f t="shared" si="0"/>
        <v>1.4747777777777777</v>
      </c>
      <c r="L37" s="180" t="str" cm="1">
        <f t="array" ref="L37">_xlfn.LET(_xlpm.row_no, ROW(A37),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7" s="180" t="str" cm="1">
        <f t="array" ref="M37">_xlfn.LET(_xlpm.row_no, ROW(A37),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7" s="6">
        <f>IF(COUNTBLANK($A37:$E37)&gt;0, "", IFERROR(AVERAGEIFS(Log!$F:$F, Log!$A:$A, $A37, Log!$B:$B, $B37, Log!$C:$C, $C37),""))</f>
        <v>0.86146366666666652</v>
      </c>
      <c r="O37" s="37" cm="1">
        <f t="array" ref="O37">IFERROR(_xlfn.LET(
_xlpm.goal, $N37,
_xlpm.key, $B37,
_xlpm.range, Log!$F:$F,
_xlpm.cameras_above_mean, ROWS(_xlfn.UNIQUE(_xlfn._xlws.FILTER(Log!$D:$D, (_xlpm.range&gt;_xlpm.goal) * (Log!$A:$A="Trial") * (Log!$B:$B=_xlpm.key)))),
_xlpm.total_cameras, ROWS('Data-Lists'!A26:A43),
_xlpm.text_representation, _xlfn.CONCAT(_xlpm.cameras_above_mean, "/", _xlpm.total_cameras),
_xlpm.percentage, _xlpm.cameras_above_mean/_xlpm.total_cameras,
_xlpm.percentage
), 0)</f>
        <v>0.33333333333333331</v>
      </c>
      <c r="P37" s="6">
        <f>IF(COUNTBLANK($A37:$E37)&gt;0, "", IFERROR(_xlfn.MINIFS(Log!$F:$F, Log!$A:$A, $A37, Log!$B:$B, $B37, Log!$C:$C, $C37),""))</f>
        <v>0.18582799999999999</v>
      </c>
      <c r="Q37" s="6">
        <f>IF(COUNTBLANK($A37:$E37)&gt;0, "", IFERROR(_xlfn.MAXIFS(Log!$F:$F, Log!$A:$A, $A37, Log!$B:$B, $B37, Log!$C:$C, $C37),""))</f>
        <v>1.7665500000000001</v>
      </c>
      <c r="R37" s="180" t="str" cm="1">
        <f t="array" ref="R37">_xlfn.LET(_xlpm.row_no, ROW(A37),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7" s="180" t="str" cm="1">
        <f t="array" ref="S37">_xlfn.LET(_xlpm.row_no, ROW(A37),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T37" s="6">
        <f>IF(COUNTBLANK($A37:$E37)&gt;0, "", IFERROR(AVERAGEIFS(Log!$G:$G, Log!$A:$A, $A37, Log!$B:$B, $B37, Log!$C:$C, $C37),""))</f>
        <v>0.20853869444444445</v>
      </c>
      <c r="U37" s="37" cm="1">
        <f t="array" ref="U37">IFERROR(_xlfn.LET(
_xlpm.goal, $T37,
_xlpm.key, $B37,
_xlpm.range, Log!$G:$G,
_xlpm.cameras_above_mean, ROWS(_xlfn.UNIQUE(_xlfn._xlws.FILTER(Log!$D:$D, (_xlpm.range&gt;_xlpm.goal) * (Log!$A:$A="Trial") * (Log!$B:$B=_xlpm.key)))),
_xlpm.total_cameras, ROWS('Data-Lists'!G32:G49),
_xlpm.text_representation, _xlfn.CONCAT(_xlpm.cameras_above_mean, "/", _xlpm.total_cameras),
_xlpm.percentage, _xlpm.cameras_above_mean/_xlpm.total_cameras,
_xlpm.percentage
), 0)</f>
        <v>0.33333333333333331</v>
      </c>
      <c r="V37" s="6">
        <f>IF(COUNTBLANK($A37:$E37)&gt;0, "", IFERROR(_xlfn.MINIFS(Log!$G:$G, Log!$A:$A, $A37, Log!$B:$B, $B37, Log!$C:$C, $C37),""))</f>
        <v>5.7430799999999997E-2</v>
      </c>
      <c r="W37" s="6">
        <f>IF(COUNTBLANK($A37:$E37)&gt;0, "", IFERROR(_xlfn.MAXIFS(Log!$G:$G, Log!$A:$A, $A37, Log!$B:$B, $B37, Log!$C:$C, $C37),""))</f>
        <v>0.46729300000000001</v>
      </c>
      <c r="X37" s="180" t="str" cm="1">
        <f t="array" ref="X37">_xlfn.LET(_xlpm.row_no, ROW(A37),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#16</v>
      </c>
      <c r="Y37" s="180" t="str" cm="1">
        <f t="array" ref="Y37">_xlfn.LET(_xlpm.row_no, ROW(A37),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#2 </v>
      </c>
      <c r="Z37" s="165" t="s">
        <v>214</v>
      </c>
      <c r="AA37" s="170">
        <v>5.4166666666666669E-2</v>
      </c>
      <c r="AB37" s="312"/>
      <c r="AC37" s="312"/>
      <c r="AD37" s="313"/>
    </row>
    <row r="38" spans="1:33" ht="40.049999999999997" customHeight="1" x14ac:dyDescent="0.3">
      <c r="A38" s="103" t="s">
        <v>88</v>
      </c>
      <c r="B38" s="105" t="s">
        <v>211</v>
      </c>
      <c r="C38" s="5">
        <v>46246</v>
      </c>
      <c r="D38" s="31">
        <v>25</v>
      </c>
      <c r="E38" s="32">
        <v>0.59166666666666667</v>
      </c>
      <c r="F38" s="75" t="s">
        <v>160</v>
      </c>
      <c r="G38" s="36">
        <v>1000</v>
      </c>
      <c r="H38" s="36">
        <f>IF(COUNTBLANK($A38:$E38)&gt;0, "", IFERROR(AVERAGEIFS(Log!$E:$E, Log!$A:$A, $A38, Log!$B:$B, $B38, Log!$C:$C, $C38),""))</f>
        <v>1516.3333333333333</v>
      </c>
      <c r="I38" s="36">
        <f>IF(COUNTBLANK($A38:$E38)&gt;0, "", IFERROR(_xlfn.MAXIFS(Log!$E:$E, Log!$A:$A, $A38, Log!$B:$B, $B38, Log!$C:$C, $C38),""))</f>
        <v>2627</v>
      </c>
      <c r="J38" s="36">
        <f>IF(COUNTBLANK($A38:$E38)&gt;0, "", IFERROR(_xlfn.MINIFS(Log!$E:$E, Log!$A:$A, $A38, Log!$B:$B, $B38, Log!$C:$C, $C38),""))</f>
        <v>1003</v>
      </c>
      <c r="K38" s="37">
        <f t="shared" si="0"/>
        <v>1.5163333333333333</v>
      </c>
      <c r="L38" s="180" t="str" cm="1">
        <f t="array" ref="L38">_xlfn.LET(_xlpm.row_no, ROW(A38),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38" s="180" t="str" cm="1">
        <f t="array" ref="M38">_xlfn.LET(_xlpm.row_no, ROW(A38),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8" s="6">
        <f>IF(COUNTBLANK($A38:$E38)&gt;0, "", IFERROR(AVERAGEIFS(Log!$F:$F, Log!$A:$A, $A38, Log!$B:$B, $B38, Log!$C:$C, $C38),""))</f>
        <v>0.3096255555555556</v>
      </c>
      <c r="O38" s="37" cm="1">
        <f t="array" ref="O38">IFERROR(_xlfn.LET(
_xlpm.goal, $N38,
_xlpm.key, $B38,
_xlpm.range, Log!$F:$F,
_xlpm.cameras_above_mean, ROWS(_xlfn.UNIQUE(_xlfn._xlws.FILTER(Log!$D:$D, (_xlpm.range&gt;_xlpm.goal) * (Log!$A:$A="Trial") * (Log!$B:$B=_xlpm.key)))),
_xlpm.total_cameras, ROWS('Data-Lists'!A27:A44),
_xlpm.text_representation, _xlfn.CONCAT(_xlpm.cameras_above_mean, "/", _xlpm.total_cameras),
_xlpm.percentage, _xlpm.cameras_above_mean/_xlpm.total_cameras,
_xlpm.percentage
), 0)</f>
        <v>0.55555555555555558</v>
      </c>
      <c r="P38" s="6">
        <f>IF(COUNTBLANK($A38:$E38)&gt;0, "", IFERROR(_xlfn.MINIFS(Log!$F:$F, Log!$A:$A, $A38, Log!$B:$B, $B38, Log!$C:$C, $C38),""))</f>
        <v>0.193277</v>
      </c>
      <c r="Q38" s="6">
        <f>IF(COUNTBLANK($A38:$E38)&gt;0, "", IFERROR(_xlfn.MAXIFS(Log!$F:$F, Log!$A:$A, $A38, Log!$B:$B, $B38, Log!$C:$C, $C38),""))</f>
        <v>0.45769599999999999</v>
      </c>
      <c r="R38" s="180" t="str" cm="1">
        <f t="array" ref="R38">_xlfn.LET(_xlpm.row_no, ROW(A38),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8" s="180" t="str" cm="1">
        <f t="array" ref="S38">_xlfn.LET(_xlpm.row_no, ROW(A38),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38" s="6">
        <f>IF(COUNTBLANK($A38:$E38)&gt;0, "", IFERROR(AVERAGEIFS(Log!$G:$G, Log!$A:$A, $A38, Log!$B:$B, $B38, Log!$C:$C, $C38),""))</f>
        <v>7.498857222222223E-2</v>
      </c>
      <c r="U38" s="37" cm="1">
        <f t="array" ref="U38">IFERROR(_xlfn.LET(
_xlpm.goal, $T38,
_xlpm.key, $B38,
_xlpm.range, Log!$G:$G,
_xlpm.cameras_above_mean, ROWS(_xlfn.UNIQUE(_xlfn._xlws.FILTER(Log!$D:$D, (_xlpm.range&gt;_xlpm.goal) * (Log!$A:$A="Trial") * (Log!$B:$B=_xlpm.key)))),
_xlpm.total_cameras, ROWS('Data-Lists'!G33:G50),
_xlpm.text_representation, _xlfn.CONCAT(_xlpm.cameras_above_mean, "/", _xlpm.total_cameras),
_xlpm.percentage, _xlpm.cameras_above_mean/_xlpm.total_cameras,
_xlpm.percentage
), 0)</f>
        <v>0.44444444444444442</v>
      </c>
      <c r="V38" s="6">
        <f>IF(COUNTBLANK($A38:$E38)&gt;0, "", IFERROR(_xlfn.MINIFS(Log!$G:$G, Log!$A:$A, $A38, Log!$B:$B, $B38, Log!$C:$C, $C38),""))</f>
        <v>4.8508799999999998E-2</v>
      </c>
      <c r="W38" s="6">
        <f>IF(COUNTBLANK($A38:$E38)&gt;0, "", IFERROR(_xlfn.MAXIFS(Log!$G:$G, Log!$A:$A, $A38, Log!$B:$B, $B38, Log!$C:$C, $C38),""))</f>
        <v>0.10785699999999999</v>
      </c>
      <c r="X38" s="180" t="str" cm="1">
        <f t="array" ref="X38">_xlfn.LET(_xlpm.row_no, ROW(A38),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Y38" s="180" t="str" cm="1">
        <f t="array" ref="Y38">_xlfn.LET(_xlpm.row_no, ROW(A38),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38" s="165" t="s">
        <v>214</v>
      </c>
      <c r="AA38" s="170">
        <v>5.347222222222222E-2</v>
      </c>
      <c r="AB38" s="312"/>
      <c r="AC38" s="312"/>
      <c r="AD38" s="313"/>
    </row>
    <row r="39" spans="1:33" ht="40.049999999999997" customHeight="1" x14ac:dyDescent="0.3">
      <c r="A39" s="103" t="s">
        <v>88</v>
      </c>
      <c r="B39" s="105" t="s">
        <v>189</v>
      </c>
      <c r="C39" s="5">
        <v>46246</v>
      </c>
      <c r="D39" s="31">
        <v>25</v>
      </c>
      <c r="E39" s="32">
        <v>0.54027777777777775</v>
      </c>
      <c r="F39" s="75" t="s">
        <v>161</v>
      </c>
      <c r="G39" s="36">
        <v>1000</v>
      </c>
      <c r="H39" s="36">
        <f>IF(COUNTBLANK($A39:$E39)&gt;0, "", IFERROR(AVERAGEIFS(Log!$E:$E, Log!$A:$A, $A39, Log!$B:$B, $B39, Log!$C:$C, $C39),""))</f>
        <v>1641.0555555555557</v>
      </c>
      <c r="I39" s="36">
        <f>IF(COUNTBLANK($A39:$E39)&gt;0, "", IFERROR(_xlfn.MAXIFS(Log!$E:$E, Log!$A:$A, $A39, Log!$B:$B, $B39, Log!$C:$C, $C39),""))</f>
        <v>2560</v>
      </c>
      <c r="J39" s="36">
        <f>IF(COUNTBLANK($A39:$E39)&gt;0, "", IFERROR(_xlfn.MINIFS(Log!$E:$E, Log!$A:$A, $A39, Log!$B:$B, $B39, Log!$C:$C, $C39),""))</f>
        <v>1004</v>
      </c>
      <c r="K39" s="37">
        <f t="shared" si="0"/>
        <v>1.6410555555555557</v>
      </c>
      <c r="L39" s="180" t="str" cm="1">
        <f t="array" ref="L39">_xlfn.LET(_xlpm.row_no, ROW(A39),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#1 </v>
      </c>
      <c r="M39" s="180" t="str" cm="1">
        <f t="array" ref="M39">_xlfn.LET(_xlpm.row_no, ROW(A39),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39" s="6">
        <f>IF(COUNTBLANK($A39:$E39)&gt;0, "", IFERROR(AVERAGEIFS(Log!$F:$F, Log!$A:$A, $A39, Log!$B:$B, $B39, Log!$C:$C, $C39),""))</f>
        <v>0.34042788888888892</v>
      </c>
      <c r="O39" s="37" cm="1">
        <f t="array" ref="O39">IFERROR(_xlfn.LET(
_xlpm.goal, $N39,
_xlpm.key, $B39,
_xlpm.range, Log!$F:$F,
_xlpm.cameras_above_mean, ROWS(_xlfn.UNIQUE(_xlfn._xlws.FILTER(Log!$D:$D, (_xlpm.range&gt;_xlpm.goal) * (Log!$A:$A="Trial") * (Log!$B:$B=_xlpm.key)))),
_xlpm.total_cameras, ROWS('Data-Lists'!A28:A45),
_xlpm.text_representation, _xlfn.CONCAT(_xlpm.cameras_above_mean, "/", _xlpm.total_cameras),
_xlpm.percentage, _xlpm.cameras_above_mean/_xlpm.total_cameras,
_xlpm.percentage
), 0)</f>
        <v>0.44444444444444442</v>
      </c>
      <c r="P39" s="6">
        <f>IF(COUNTBLANK($A39:$E39)&gt;0, "", IFERROR(_xlfn.MINIFS(Log!$F:$F, Log!$A:$A, $A39, Log!$B:$B, $B39, Log!$C:$C, $C39),""))</f>
        <v>0.15140600000000001</v>
      </c>
      <c r="Q39" s="6">
        <f>IF(COUNTBLANK($A39:$E39)&gt;0, "", IFERROR(_xlfn.MAXIFS(Log!$F:$F, Log!$A:$A, $A39, Log!$B:$B, $B39, Log!$C:$C, $C39),""))</f>
        <v>0.55817000000000005</v>
      </c>
      <c r="R39" s="180" t="str" cm="1">
        <f t="array" ref="R39">_xlfn.LET(_xlpm.row_no, ROW(A39),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39" s="180" t="str" cm="1">
        <f t="array" ref="S39">_xlfn.LET(_xlpm.row_no, ROW(A39),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T39" s="6">
        <f>IF(COUNTBLANK($A39:$E39)&gt;0, "", IFERROR(AVERAGEIFS(Log!$G:$G, Log!$A:$A, $A39, Log!$B:$B, $B39, Log!$C:$C, $C39),""))</f>
        <v>8.3619938888888898E-2</v>
      </c>
      <c r="U39" s="37" cm="1">
        <f t="array" ref="U39">IFERROR(_xlfn.LET(
_xlpm.goal, $T39,
_xlpm.key, $B39,
_xlpm.range, Log!$G:$G,
_xlpm.cameras_above_mean, ROWS(_xlfn.UNIQUE(_xlfn._xlws.FILTER(Log!$D:$D, (_xlpm.range&gt;_xlpm.goal) * (Log!$A:$A="Trial") * (Log!$B:$B=_xlpm.key)))),
_xlpm.total_cameras, ROWS('Data-Lists'!G34:G51),
_xlpm.text_representation, _xlfn.CONCAT(_xlpm.cameras_above_mean, "/", _xlpm.total_cameras),
_xlpm.percentage, _xlpm.cameras_above_mean/_xlpm.total_cameras,
_xlpm.percentage
), 0)</f>
        <v>0.3888888888888889</v>
      </c>
      <c r="V39" s="6">
        <f>IF(COUNTBLANK($A39:$E39)&gt;0, "", IFERROR(_xlfn.MINIFS(Log!$G:$G, Log!$A:$A, $A39, Log!$B:$B, $B39, Log!$C:$C, $C39),""))</f>
        <v>4.8649299999999999E-2</v>
      </c>
      <c r="W39" s="6">
        <f>IF(COUNTBLANK($A39:$E39)&gt;0, "", IFERROR(_xlfn.MAXIFS(Log!$G:$G, Log!$A:$A, $A39, Log!$B:$B, $B39, Log!$C:$C, $C39),""))</f>
        <v>0.18329200000000001</v>
      </c>
      <c r="X39" s="180" t="str" cm="1">
        <f t="array" ref="X39">_xlfn.LET(_xlpm.row_no, ROW(A39),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39" s="180" t="str" cm="1">
        <f t="array" ref="Y39">_xlfn.LET(_xlpm.row_no, ROW(A39),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39" s="165" t="s">
        <v>214</v>
      </c>
      <c r="AA39" s="166"/>
      <c r="AB39" s="312"/>
      <c r="AC39" s="312"/>
      <c r="AD39" s="313"/>
    </row>
    <row r="40" spans="1:33" ht="40.049999999999997" customHeight="1" x14ac:dyDescent="0.3">
      <c r="A40" s="103" t="s">
        <v>88</v>
      </c>
      <c r="B40" s="105" t="s">
        <v>190</v>
      </c>
      <c r="C40" s="5">
        <v>46246</v>
      </c>
      <c r="D40" s="31">
        <v>25</v>
      </c>
      <c r="E40" s="32">
        <v>0.54513888888888884</v>
      </c>
      <c r="F40" s="75" t="s">
        <v>161</v>
      </c>
      <c r="G40" s="36">
        <v>1000</v>
      </c>
      <c r="H40" s="36">
        <f>IF(COUNTBLANK($A40:$E40)&gt;0, "", IFERROR(AVERAGEIFS(Log!$E:$E, Log!$A:$A, $A40, Log!$B:$B, $B40, Log!$C:$C, $C40),""))</f>
        <v>1574.8888888888889</v>
      </c>
      <c r="I40" s="36">
        <f>IF(COUNTBLANK($A40:$E40)&gt;0, "", IFERROR(_xlfn.MAXIFS(Log!$E:$E, Log!$A:$A, $A40, Log!$B:$B, $B40, Log!$C:$C, $C40),""))</f>
        <v>2471</v>
      </c>
      <c r="J40" s="36">
        <f>IF(COUNTBLANK($A40:$E40)&gt;0, "", IFERROR(_xlfn.MINIFS(Log!$E:$E, Log!$A:$A, $A40, Log!$B:$B, $B40, Log!$C:$C, $C40),""))</f>
        <v>1002</v>
      </c>
      <c r="K40" s="37">
        <f t="shared" si="0"/>
        <v>1.574888888888889</v>
      </c>
      <c r="L40" s="180" t="str" cm="1">
        <f t="array" ref="L40">_xlfn.LET(_xlpm.row_no, ROW(A40),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0" s="180" t="str" cm="1">
        <f t="array" ref="M40">_xlfn.LET(_xlpm.row_no, ROW(A40),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#13</v>
      </c>
      <c r="N40" s="6">
        <f>IF(COUNTBLANK($A40:$E40)&gt;0, "", IFERROR(AVERAGEIFS(Log!$F:$F, Log!$A:$A, $A40, Log!$B:$B, $B40, Log!$C:$C, $C40),""))</f>
        <v>0.31728616666666665</v>
      </c>
      <c r="O40" s="37" cm="1">
        <f t="array" ref="O40">IFERROR(_xlfn.LET(
_xlpm.goal, $N40,
_xlpm.key, $B40,
_xlpm.range, Log!$F:$F,
_xlpm.cameras_above_mean, ROWS(_xlfn.UNIQUE(_xlfn._xlws.FILTER(Log!$D:$D, (_xlpm.range&gt;_xlpm.goal) * (Log!$A:$A="Trial") * (Log!$B:$B=_xlpm.key)))),
_xlpm.total_cameras, ROWS('Data-Lists'!A29:A46),
_xlpm.text_representation, _xlfn.CONCAT(_xlpm.cameras_above_mean, "/", _xlpm.total_cameras),
_xlpm.percentage, _xlpm.cameras_above_mean/_xlpm.total_cameras,
_xlpm.percentage
), 0)</f>
        <v>0.55555555555555558</v>
      </c>
      <c r="P40" s="6">
        <f>IF(COUNTBLANK($A40:$E40)&gt;0, "", IFERROR(_xlfn.MINIFS(Log!$F:$F, Log!$A:$A, $A40, Log!$B:$B, $B40, Log!$C:$C, $C40),""))</f>
        <v>0.14955399999999999</v>
      </c>
      <c r="Q40" s="6">
        <f>IF(COUNTBLANK($A40:$E40)&gt;0, "", IFERROR(_xlfn.MAXIFS(Log!$F:$F, Log!$A:$A, $A40, Log!$B:$B, $B40, Log!$C:$C, $C40),""))</f>
        <v>0.47091100000000002</v>
      </c>
      <c r="R40" s="180" t="str" cm="1">
        <f t="array" ref="R40">_xlfn.LET(_xlpm.row_no, ROW(A40),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40" s="180" t="str" cm="1">
        <f t="array" ref="S40">_xlfn.LET(_xlpm.row_no, ROW(A40),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40" s="6">
        <f>IF(COUNTBLANK($A40:$E40)&gt;0, "", IFERROR(AVERAGEIFS(Log!$G:$G, Log!$A:$A, $A40, Log!$B:$B, $B40, Log!$C:$C, $C40),""))</f>
        <v>7.6625477777777784E-2</v>
      </c>
      <c r="U40" s="37" cm="1">
        <f t="array" ref="U40">IFERROR(_xlfn.LET(
_xlpm.goal, $T40,
_xlpm.key, $B40,
_xlpm.range, Log!$G:$G,
_xlpm.cameras_above_mean, ROWS(_xlfn.UNIQUE(_xlfn._xlws.FILTER(Log!$D:$D, (_xlpm.range&gt;_xlpm.goal) * (Log!$A:$A="Trial") * (Log!$B:$B=_xlpm.key)))),
_xlpm.total_cameras, ROWS('Data-Lists'!G35:G52),
_xlpm.text_representation, _xlfn.CONCAT(_xlpm.cameras_above_mean, "/", _xlpm.total_cameras),
_xlpm.percentage, _xlpm.cameras_above_mean/_xlpm.total_cameras,
_xlpm.percentage
), 0)</f>
        <v>0.44444444444444442</v>
      </c>
      <c r="V40" s="6">
        <f>IF(COUNTBLANK($A40:$E40)&gt;0, "", IFERROR(_xlfn.MINIFS(Log!$G:$G, Log!$A:$A, $A40, Log!$B:$B, $B40, Log!$C:$C, $C40),""))</f>
        <v>4.6043800000000003E-2</v>
      </c>
      <c r="W40" s="6">
        <f>IF(COUNTBLANK($A40:$E40)&gt;0, "", IFERROR(_xlfn.MAXIFS(Log!$G:$G, Log!$A:$A, $A40, Log!$B:$B, $B40, Log!$C:$C, $C40),""))</f>
        <v>0.121674</v>
      </c>
      <c r="X40" s="180" t="str" cm="1">
        <f t="array" ref="X40">_xlfn.LET(_xlpm.row_no, ROW(A40),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40" s="180" t="str" cm="1">
        <f t="array" ref="Y40">_xlfn.LET(_xlpm.row_no, ROW(A40),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40" s="165" t="s">
        <v>214</v>
      </c>
      <c r="AA40" s="166"/>
      <c r="AB40" s="312"/>
      <c r="AC40" s="312"/>
      <c r="AD40" s="313"/>
    </row>
    <row r="41" spans="1:33" ht="40.049999999999997" customHeight="1" x14ac:dyDescent="0.3">
      <c r="A41" s="103" t="s">
        <v>88</v>
      </c>
      <c r="B41" s="105" t="s">
        <v>191</v>
      </c>
      <c r="C41" s="5">
        <v>46246</v>
      </c>
      <c r="D41" s="31">
        <v>25</v>
      </c>
      <c r="E41" s="32">
        <v>0.55208333333333337</v>
      </c>
      <c r="F41" s="75" t="s">
        <v>161</v>
      </c>
      <c r="G41" s="36">
        <v>1000</v>
      </c>
      <c r="H41" s="36">
        <f>IF(COUNTBLANK($A41:$E41)&gt;0, "", IFERROR(AVERAGEIFS(Log!$E:$E, Log!$A:$A, $A41, Log!$B:$B, $B41, Log!$C:$C, $C41),""))</f>
        <v>1577.1666666666667</v>
      </c>
      <c r="I41" s="36">
        <f>IF(COUNTBLANK($A41:$E41)&gt;0, "", IFERROR(_xlfn.MAXIFS(Log!$E:$E, Log!$A:$A, $A41, Log!$B:$B, $B41, Log!$C:$C, $C41),""))</f>
        <v>2559</v>
      </c>
      <c r="J41" s="36">
        <f>IF(COUNTBLANK($A41:$E41)&gt;0, "", IFERROR(_xlfn.MINIFS(Log!$E:$E, Log!$A:$A, $A41, Log!$B:$B, $B41, Log!$C:$C, $C41),""))</f>
        <v>1007</v>
      </c>
      <c r="K41" s="37">
        <f t="shared" si="0"/>
        <v>1.5771666666666668</v>
      </c>
      <c r="L41" s="180" t="str" cm="1">
        <f t="array" ref="L41">_xlfn.LET(_xlpm.row_no, ROW(A41),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1" s="180" t="str" cm="1">
        <f t="array" ref="M41">_xlfn.LET(_xlpm.row_no, ROW(A41),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N41" s="6">
        <f>IF(COUNTBLANK($A41:$E41)&gt;0, "", IFERROR(AVERAGEIFS(Log!$F:$F, Log!$A:$A, $A41, Log!$B:$B, $B41, Log!$C:$C, $C41),""))</f>
        <v>0.32077516666666672</v>
      </c>
      <c r="O41" s="37" cm="1">
        <f t="array" ref="O41">IFERROR(_xlfn.LET(
_xlpm.goal, $N41,
_xlpm.key, $B41,
_xlpm.range, Log!$F:$F,
_xlpm.cameras_above_mean, ROWS(_xlfn.UNIQUE(_xlfn._xlws.FILTER(Log!$D:$D, (_xlpm.range&gt;_xlpm.goal) * (Log!$A:$A="Trial") * (Log!$B:$B=_xlpm.key)))),
_xlpm.total_cameras, ROWS('Data-Lists'!A30:A47),
_xlpm.text_representation, _xlfn.CONCAT(_xlpm.cameras_above_mean, "/", _xlpm.total_cameras),
_xlpm.percentage, _xlpm.cameras_above_mean/_xlpm.total_cameras,
_xlpm.percentage
), 0)</f>
        <v>0.5</v>
      </c>
      <c r="P41" s="6">
        <f>IF(COUNTBLANK($A41:$E41)&gt;0, "", IFERROR(_xlfn.MINIFS(Log!$F:$F, Log!$A:$A, $A41, Log!$B:$B, $B41, Log!$C:$C, $C41),""))</f>
        <v>0.134521</v>
      </c>
      <c r="Q41" s="6">
        <f>IF(COUNTBLANK($A41:$E41)&gt;0, "", IFERROR(_xlfn.MAXIFS(Log!$F:$F, Log!$A:$A, $A41, Log!$B:$B, $B41, Log!$C:$C, $C41),""))</f>
        <v>0.43557200000000001</v>
      </c>
      <c r="R41" s="180" t="str" cm="1">
        <f t="array" ref="R41">_xlfn.LET(_xlpm.row_no, ROW(A41),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S41" s="180" t="str" cm="1">
        <f t="array" ref="S41">_xlfn.LET(_xlpm.row_no, ROW(A41),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41" s="6">
        <f>IF(COUNTBLANK($A41:$E41)&gt;0, "", IFERROR(AVERAGEIFS(Log!$G:$G, Log!$A:$A, $A41, Log!$B:$B, $B41, Log!$C:$C, $C41),""))</f>
        <v>7.789879999999999E-2</v>
      </c>
      <c r="U41" s="37" cm="1">
        <f t="array" ref="U41">IFERROR(_xlfn.LET(
_xlpm.goal, $T41,
_xlpm.key, $B41,
_xlpm.range, Log!$G:$G,
_xlpm.cameras_above_mean, ROWS(_xlfn.UNIQUE(_xlfn._xlws.FILTER(Log!$D:$D, (_xlpm.range&gt;_xlpm.goal) * (Log!$A:$A="Trial") * (Log!$B:$B=_xlpm.key)))),
_xlpm.total_cameras, ROWS('Data-Lists'!G36:G53),
_xlpm.text_representation, _xlfn.CONCAT(_xlpm.cameras_above_mean, "/", _xlpm.total_cameras),
_xlpm.percentage, _xlpm.cameras_above_mean/_xlpm.total_cameras,
_xlpm.percentage
), 0)</f>
        <v>0.33333333333333331</v>
      </c>
      <c r="V41" s="6">
        <f>IF(COUNTBLANK($A41:$E41)&gt;0, "", IFERROR(_xlfn.MINIFS(Log!$G:$G, Log!$A:$A, $A41, Log!$B:$B, $B41, Log!$C:$C, $C41),""))</f>
        <v>4.3235999999999997E-2</v>
      </c>
      <c r="W41" s="6">
        <f>IF(COUNTBLANK($A41:$E41)&gt;0, "", IFERROR(_xlfn.MAXIFS(Log!$G:$G, Log!$A:$A, $A41, Log!$B:$B, $B41, Log!$C:$C, $C41),""))</f>
        <v>0.14143</v>
      </c>
      <c r="X41" s="180" t="str" cm="1">
        <f t="array" ref="X41">_xlfn.LET(_xlpm.row_no, ROW(A41),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#14</v>
      </c>
      <c r="Y41" s="180" t="str" cm="1">
        <f t="array" ref="Y41">_xlfn.LET(_xlpm.row_no, ROW(A41),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41" s="165" t="s">
        <v>214</v>
      </c>
      <c r="AA41" s="170">
        <v>5.347222222222222E-2</v>
      </c>
      <c r="AB41" s="312"/>
      <c r="AC41" s="312"/>
      <c r="AD41" s="313"/>
    </row>
    <row r="42" spans="1:33" ht="40.049999999999997" customHeight="1" x14ac:dyDescent="0.3">
      <c r="A42" s="103" t="s">
        <v>88</v>
      </c>
      <c r="B42" s="105" t="s">
        <v>212</v>
      </c>
      <c r="C42" s="5">
        <v>46246</v>
      </c>
      <c r="D42" s="31">
        <v>25</v>
      </c>
      <c r="E42" s="32">
        <v>0.59791666666666665</v>
      </c>
      <c r="F42" s="75" t="s">
        <v>161</v>
      </c>
      <c r="G42" s="36">
        <v>1000</v>
      </c>
      <c r="H42" s="36">
        <f>IF(COUNTBLANK($A42:$E42)&gt;0, "", IFERROR(AVERAGEIFS(Log!$E:$E, Log!$A:$A, $A42, Log!$B:$B, $B42, Log!$C:$C, $C42),""))</f>
        <v>1743.0555555555557</v>
      </c>
      <c r="I42" s="36">
        <f>IF(COUNTBLANK($A42:$E42)&gt;0, "", IFERROR(_xlfn.MAXIFS(Log!$E:$E, Log!$A:$A, $A42, Log!$B:$B, $B42, Log!$C:$C, $C42),""))</f>
        <v>2758</v>
      </c>
      <c r="J42" s="36">
        <f>IF(COUNTBLANK($A42:$E42)&gt;0, "", IFERROR(_xlfn.MINIFS(Log!$E:$E, Log!$A:$A, $A42, Log!$B:$B, $B42, Log!$C:$C, $C42),""))</f>
        <v>1004</v>
      </c>
      <c r="K42" s="37">
        <f t="shared" si="0"/>
        <v>1.7430555555555556</v>
      </c>
      <c r="L42" s="180" t="str" cm="1">
        <f t="array" ref="L42">_xlfn.LET(_xlpm.row_no, ROW(A42),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M42" s="180" t="str" cm="1">
        <f t="array" ref="M42">_xlfn.LET(_xlpm.row_no, ROW(A42),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#3 </v>
      </c>
      <c r="N42" s="6">
        <f>IF(COUNTBLANK($A42:$E42)&gt;0, "", IFERROR(AVERAGEIFS(Log!$F:$F, Log!$A:$A, $A42, Log!$B:$B, $B42, Log!$C:$C, $C42),""))</f>
        <v>0.33022572222222224</v>
      </c>
      <c r="O42" s="37" cm="1">
        <f t="array" ref="O42">IFERROR(_xlfn.LET(
_xlpm.goal, $N42,
_xlpm.key, $B42,
_xlpm.range, Log!$F:$F,
_xlpm.cameras_above_mean, ROWS(_xlfn.UNIQUE(_xlfn._xlws.FILTER(Log!$D:$D, (_xlpm.range&gt;_xlpm.goal) * (Log!$A:$A="Trial") * (Log!$B:$B=_xlpm.key)))),
_xlpm.total_cameras, ROWS('Data-Lists'!A31:A48),
_xlpm.text_representation, _xlfn.CONCAT(_xlpm.cameras_above_mean, "/", _xlpm.total_cameras),
_xlpm.percentage, _xlpm.cameras_above_mean/_xlpm.total_cameras,
_xlpm.percentage
), 0)</f>
        <v>0.5</v>
      </c>
      <c r="P42" s="6">
        <f>IF(COUNTBLANK($A42:$E42)&gt;0, "", IFERROR(_xlfn.MINIFS(Log!$F:$F, Log!$A:$A, $A42, Log!$B:$B, $B42, Log!$C:$C, $C42),""))</f>
        <v>0.13330800000000001</v>
      </c>
      <c r="Q42" s="6">
        <f>IF(COUNTBLANK($A42:$E42)&gt;0, "", IFERROR(_xlfn.MAXIFS(Log!$F:$F, Log!$A:$A, $A42, Log!$B:$B, $B42, Log!$C:$C, $C42),""))</f>
        <v>0.49648700000000001</v>
      </c>
      <c r="R42" s="180" t="str" cm="1">
        <f t="array" ref="R42">_xlfn.LET(_xlpm.row_no, ROW(A42),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S42" s="180" t="str" cm="1">
        <f t="array" ref="S42">_xlfn.LET(_xlpm.row_no, ROW(A42),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#9 </v>
      </c>
      <c r="T42" s="6">
        <f>IF(COUNTBLANK($A42:$E42)&gt;0, "", IFERROR(AVERAGEIFS(Log!$G:$G, Log!$A:$A, $A42, Log!$B:$B, $B42, Log!$C:$C, $C42),""))</f>
        <v>8.0754166666666669E-2</v>
      </c>
      <c r="U42" s="37" cm="1">
        <f t="array" ref="U42">IFERROR(_xlfn.LET(
_xlpm.goal, $T42,
_xlpm.key, $B42,
_xlpm.range, Log!$G:$G,
_xlpm.cameras_above_mean, ROWS(_xlfn.UNIQUE(_xlfn._xlws.FILTER(Log!$D:$D, (_xlpm.range&gt;_xlpm.goal) * (Log!$A:$A="Trial") * (Log!$B:$B=_xlpm.key)))),
_xlpm.total_cameras, ROWS('Data-Lists'!G37:G54),
_xlpm.text_representation, _xlfn.CONCAT(_xlpm.cameras_above_mean, "/", _xlpm.total_cameras),
_xlpm.percentage, _xlpm.cameras_above_mean/_xlpm.total_cameras,
_xlpm.percentage
), 0)</f>
        <v>0.3888888888888889</v>
      </c>
      <c r="V42" s="6">
        <f>IF(COUNTBLANK($A42:$E42)&gt;0, "", IFERROR(_xlfn.MINIFS(Log!$G:$G, Log!$A:$A, $A42, Log!$B:$B, $B42, Log!$C:$C, $C42),""))</f>
        <v>4.5813899999999998E-2</v>
      </c>
      <c r="W42" s="6">
        <f>IF(COUNTBLANK($A42:$E42)&gt;0, "", IFERROR(_xlfn.MAXIFS(Log!$G:$G, Log!$A:$A, $A42, Log!$B:$B, $B42, Log!$C:$C, $C42),""))</f>
        <v>0.12987599999999999</v>
      </c>
      <c r="X42" s="180" t="str" cm="1">
        <f t="array" ref="X42">_xlfn.LET(_xlpm.row_no, ROW(A42),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#12</v>
      </c>
      <c r="Y42" s="180" t="str" cm="1">
        <f t="array" ref="Y42">_xlfn.LET(_xlpm.row_no, ROW(A42),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Z42" s="165" t="s">
        <v>214</v>
      </c>
      <c r="AA42" s="170">
        <v>5.347222222222222E-2</v>
      </c>
    </row>
    <row r="43" spans="1:33" ht="10.050000000000001" customHeight="1" x14ac:dyDescent="0.3">
      <c r="A43" s="107"/>
      <c r="B43" s="105"/>
      <c r="C43" s="5"/>
      <c r="D43" s="31"/>
      <c r="E43" s="32"/>
      <c r="G43" s="36"/>
      <c r="H43" s="36" t="str">
        <f>IF(COUNTBLANK($A43:$E43)&gt;0, "", IFERROR(AVERAGEIFS(Log!$E:$E, Log!$A:$A, $A43, Log!$B:$B, $B43, Log!$C:$C, $C43),""))</f>
        <v/>
      </c>
      <c r="I43" s="36"/>
      <c r="J43" s="36"/>
      <c r="K43" s="37" t="str">
        <f t="shared" si="0"/>
        <v/>
      </c>
      <c r="L43" s="180" t="str" cm="1">
        <f t="array" ref="L43">_xlfn.LET(_xlpm.row_no, ROW(A43),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43" s="180" t="str" cm="1">
        <f t="array" ref="M43">_xlfn.LET(_xlpm.row_no, ROW(A43),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43" s="6" t="str">
        <f>IF(COUNTBLANK($A43:$E43)&gt;0, "", IFERROR(AVERAGEIFS(Log!$F:$F, Log!$A:$A, $A43, Log!$B:$B, $B43, Log!$C:$C, $C43),""))</f>
        <v/>
      </c>
      <c r="O43" s="37" t="str">
        <f>IF(COUNTBLANK($A43:$E43)&gt;0, "", IFERROR(AVERAGEIFS(Log!$F:$F, Log!$A:$A, $A43, Log!$B:$B, $B43, Log!$C:$C, $C43),""))</f>
        <v/>
      </c>
      <c r="P43" s="6" t="str">
        <f>IF(COUNTBLANK($A43:$E43)&gt;0, "", IFERROR(_xlfn.MINIFS(Log!$F:$F, Log!$A:$A, $A43, Log!$B:$B, $B43, Log!$C:$C, $C43),""))</f>
        <v/>
      </c>
      <c r="Q43" s="6" t="str">
        <f>IF(COUNTBLANK($A43:$E43)&gt;0, "", IFERROR(_xlfn.MAXIFS(Log!$F:$F, Log!$A:$A, $A43, Log!$B:$B, $B43, Log!$C:$C, $C43),""))</f>
        <v/>
      </c>
      <c r="R43" s="180"/>
      <c r="S43" s="180"/>
      <c r="T43" s="6" t="str">
        <f>IF(COUNTBLANK($A43:$E43)&gt;0, "", IFERROR(AVERAGEIFS(Log!#REF!, Log!$A:$A, $A43, Log!$B:$B, $B43, Log!$C:$C, $C43),""))</f>
        <v/>
      </c>
      <c r="U43" s="37" t="str">
        <f>IF(COUNTBLANK($A43:$E43)&gt;0, "", IFERROR(AVERAGEIFS(Log!$F:$F, Log!$A:$A, $A43, Log!$B:$B, $B43, Log!$C:$C, $C43),""))</f>
        <v/>
      </c>
      <c r="V43" s="6" t="str">
        <f>IF(COUNTBLANK($A43:$E43)&gt;0, "", IFERROR(_xlfn.MINIFS(Log!$G:$G, Log!$A:$A, $A43, Log!$B:$B, $B43, Log!$C:$C, $C43),""))</f>
        <v/>
      </c>
      <c r="W43" s="6" t="str">
        <f>IF(COUNTBLANK($A43:$E43)&gt;0, "", IFERROR(_xlfn.MAXIFS(Log!$G:$G, Log!$A:$A, $A43, Log!$B:$B, $B43, Log!$C:$C, $C43),""))</f>
        <v/>
      </c>
      <c r="X43" s="180"/>
      <c r="Y43" s="180"/>
      <c r="AG43" s="40"/>
    </row>
    <row r="44" spans="1:33" ht="40.049999999999997" customHeight="1" x14ac:dyDescent="0.3">
      <c r="A44" s="103" t="s">
        <v>88</v>
      </c>
      <c r="B44" s="171" t="s">
        <v>216</v>
      </c>
      <c r="C44" s="316" t="str">
        <f>"(Meta trial entry) " &amp; CHAR(10) &amp; "Stat means for all 'Wand-Wave-" &amp; $F44 &amp; "' trials!"</f>
        <v>(Meta trial entry) 
Stat means for all 'Wand-Wave-A' trials!</v>
      </c>
      <c r="D44" s="317"/>
      <c r="E44" s="317"/>
      <c r="F44" s="75" t="s">
        <v>73</v>
      </c>
      <c r="G44" s="36">
        <v>1000</v>
      </c>
      <c r="H44" s="36">
        <f>AVERAGEIFS(H$15:H$42, $F$15:$F$42, $F44)</f>
        <v>1827.2426470588234</v>
      </c>
      <c r="I44" s="36">
        <f>_xlfn.MAXIFS(I$15:I$42, $F$15:$F$42, $F44)</f>
        <v>3413</v>
      </c>
      <c r="J44" s="36">
        <f>_xlfn.MINIFS(J$15:J$42, $F$15:$F$42, $F44)</f>
        <v>1002</v>
      </c>
      <c r="K44" s="37">
        <f t="shared" ref="K44:K50" si="1">AVERAGEIFS(K$15:K$42, $F$15:$F$42, $F44)</f>
        <v>1.8272426470588234</v>
      </c>
      <c r="L44" s="180" t="str" cm="1">
        <f t="array" ref="L44">_xlfn.UNIQUE(_xlfn._xlws.FILTER($L15:$L42, ($I15:$I42=$I44) * ($F15:$F42=$F44)))</f>
        <v xml:space="preserve">#9 </v>
      </c>
      <c r="M44" s="180" t="str" cm="1">
        <f t="array" ref="M44">_xlfn.UNIQUE(_xlfn._xlws.FILTER($M15:$M42, ($J15:$J42=$J44) * ($F15:$F42=$F44)))</f>
        <v xml:space="preserve">#8 </v>
      </c>
      <c r="N44" s="6">
        <f>AVERAGEIFS(N$15:N$42, $F$15:$F$42, $F44)</f>
        <v>0.38114821323529413</v>
      </c>
      <c r="O44" s="37">
        <f>AVERAGEIFS(O$15:O$42, $F$15:$F$42, $F44)</f>
        <v>0.56944444444444442</v>
      </c>
      <c r="P44" s="6">
        <f>_xlfn.MINIFS(P$15:P$42, $F$15:$F$42, $F44)</f>
        <v>0.117384</v>
      </c>
      <c r="Q44" s="6">
        <f>_xlfn.MAXIFS(Q$15:Q$42, $F$15:$F$42, $F44)</f>
        <v>0.64593299999999998</v>
      </c>
      <c r="R44" s="180" t="str" cm="1">
        <f t="array" ref="R44">_xlfn.UNIQUE(_xlfn._xlws.FILTER($R15:$R42, ($P15:$P42=$P44) * ($F15:$F42=$F44)))</f>
        <v>#13</v>
      </c>
      <c r="S44" s="180" t="str" cm="1">
        <f t="array" ref="S44">_xlfn.UNIQUE(_xlfn._xlws.FILTER($S15:$S42,($Q15:$Q42=$Q44)*($F15:$F42=$F44)))</f>
        <v xml:space="preserve">#1 </v>
      </c>
      <c r="T44" s="6">
        <f>AVERAGEIFS(T$15:T$42, $F$15:$F$42, $F44)</f>
        <v>9.2918189950980404E-2</v>
      </c>
      <c r="U44" s="37">
        <f>AVERAGEIFS(U$15:U$42, $F$15:$F$42, $F44)</f>
        <v>0.41666666666666663</v>
      </c>
      <c r="V44" s="6">
        <f>_xlfn.MINIFS(V$15:V$42, $F$15:$F$42, $F44)</f>
        <v>2.3031800000000002E-2</v>
      </c>
      <c r="W44" s="6">
        <f>_xlfn.MAXIFS(W$15:W$42, $F$15:$F$42, $F44)</f>
        <v>0.181585</v>
      </c>
      <c r="X44" s="180" t="str" cm="1">
        <f t="array" ref="X44">_xlfn.UNIQUE(_xlfn._xlws.FILTER($R15:$R42, ($P15:$P42=$P44) * ($F15:$F42=$F44)))</f>
        <v>#13</v>
      </c>
      <c r="Y44" s="180" t="str" cm="1">
        <f t="array" ref="Y44">_xlfn.UNIQUE(_xlfn._xlws.FILTER($S15:$S42,($Q15:$Q42=$Q44)*($F15:$F42=$F44)))</f>
        <v xml:space="preserve">#1 </v>
      </c>
      <c r="Z44" s="165" t="s">
        <v>214</v>
      </c>
      <c r="AA44" s="170">
        <v>5.8333333333333334E-2</v>
      </c>
      <c r="AB44" s="312"/>
      <c r="AC44" s="312"/>
      <c r="AD44" s="172" t="str">
        <f>Legend!$H11</f>
        <v>Waving in figure 8, slowly - as though you're pushing water - pushing downards whilst walking around the room in a square</v>
      </c>
    </row>
    <row r="45" spans="1:33" ht="40.049999999999997" customHeight="1" x14ac:dyDescent="0.3">
      <c r="A45" s="103" t="s">
        <v>88</v>
      </c>
      <c r="B45" s="171" t="s">
        <v>217</v>
      </c>
      <c r="C45" s="316" t="str">
        <f t="shared" ref="C45:C50" si="2">"(Meta trial entry) " &amp; CHAR(10) &amp; "Stat means for all 'Wand-Wave-" &amp; $F45 &amp; "' trials!"</f>
        <v>(Meta trial entry) 
Stat means for all 'Wand-Wave-B' trials!</v>
      </c>
      <c r="D45" s="317"/>
      <c r="E45" s="317"/>
      <c r="F45" s="75" t="s">
        <v>74</v>
      </c>
      <c r="G45" s="36">
        <v>1000</v>
      </c>
      <c r="H45" s="36">
        <f t="shared" ref="H45:H50" si="3">AVERAGEIFS(H$15:H$42, $F$15:$F$42, $F45)</f>
        <v>1813.4150326797385</v>
      </c>
      <c r="I45" s="36">
        <f t="shared" ref="I45:I50" si="4">_xlfn.MAXIFS(I$15:I$42, $F$15:$F$42, $F45)</f>
        <v>3031</v>
      </c>
      <c r="J45" s="36">
        <f t="shared" ref="J45:J50" si="5">_xlfn.MINIFS(J$15:J$42, $F$15:$F$42, $F45)</f>
        <v>1003</v>
      </c>
      <c r="K45" s="37">
        <f t="shared" si="1"/>
        <v>1.8134150326797385</v>
      </c>
      <c r="L45" s="180" t="str" cm="1">
        <f t="array" ref="L45">_xlfn.UNIQUE(_xlfn._xlws.FILTER($L16:$L43, ($I16:$I43=$I45) * ($F16:$F43=$F45)))</f>
        <v xml:space="preserve">#9 </v>
      </c>
      <c r="M45" s="180" t="str" cm="1">
        <f t="array" ref="M45">_xlfn.UNIQUE(_xlfn._xlws.FILTER($M16:$M43, ($J16:$J43=$J45) * ($F16:$F43=$F45)))</f>
        <v>#13</v>
      </c>
      <c r="N45" s="6">
        <f t="shared" ref="N45:N50" si="6">AVERAGEIFS(N$15:N$42, $F$15:$F$42, $F45)</f>
        <v>0.40775747467320261</v>
      </c>
      <c r="O45" s="37">
        <f t="shared" ref="O45:O50" si="7">AVERAGEIFS(O$15:O$42, $F$15:$F$42, $F45)</f>
        <v>0.55555555555555558</v>
      </c>
      <c r="P45" s="6">
        <f t="shared" ref="P45:P50" si="8">_xlfn.MINIFS(P$15:P$42, $F$15:$F$42, $F45)</f>
        <v>0.17457500000000001</v>
      </c>
      <c r="Q45" s="6">
        <f t="shared" ref="Q45:Q50" si="9">_xlfn.MAXIFS(Q$15:Q$42, $F$15:$F$42, $F45)</f>
        <v>0.73990800000000001</v>
      </c>
      <c r="R45" s="180" t="str" cm="1">
        <f t="array" ref="R45">_xlfn.UNIQUE(_xlfn._xlws.FILTER($R16:$R43, ($P16:$P43=$P45) * ($F16:$F43=$F45)))</f>
        <v>#13</v>
      </c>
      <c r="S45" s="180" t="str" cm="1">
        <f t="array" ref="S45">_xlfn.UNIQUE(_xlfn._xlws.FILTER($S16:$S43,($Q16:$Q43=$Q45)*($F16:$F43=$F45)))</f>
        <v xml:space="preserve">#1 </v>
      </c>
      <c r="T45" s="6">
        <f t="shared" ref="T45:T50" si="10">AVERAGEIFS(T$15:T$42, $F$15:$F$42, $F45)</f>
        <v>9.9349482352941179E-2</v>
      </c>
      <c r="U45" s="37">
        <f t="shared" ref="U45:U50" si="11">AVERAGEIFS(U$15:U$42, $F$15:$F$42, $F45)</f>
        <v>0.47222222222222221</v>
      </c>
      <c r="V45" s="6">
        <f t="shared" ref="V45:V50" si="12">_xlfn.MINIFS(V$15:V$42, $F$15:$F$42, $F45)</f>
        <v>4.1752299999999999E-2</v>
      </c>
      <c r="W45" s="6">
        <f t="shared" ref="W45:W50" si="13">_xlfn.MAXIFS(W$15:W$42, $F$15:$F$42, $F45)</f>
        <v>0.20802999999999999</v>
      </c>
      <c r="X45" s="180" t="str" cm="1">
        <f t="array" ref="X45">_xlfn.UNIQUE(_xlfn._xlws.FILTER($R16:$R43, ($P16:$P43=$P45) * ($F16:$F43=$F45)))</f>
        <v>#13</v>
      </c>
      <c r="Y45" s="180" t="str" cm="1">
        <f t="array" ref="Y45">_xlfn.UNIQUE(_xlfn._xlws.FILTER($S16:$S43,($Q16:$Q43=$Q45)*($F16:$F43=$F45)))</f>
        <v xml:space="preserve">#1 </v>
      </c>
      <c r="Z45" s="167" t="s">
        <v>215</v>
      </c>
      <c r="AA45" s="170">
        <v>6.5972222222222224E-2</v>
      </c>
      <c r="AB45" s="312"/>
      <c r="AC45" s="312"/>
      <c r="AD45" s="172" t="str">
        <f>Legend!$H12</f>
        <v>As technique A except - bringing the wand in and out by stretching arm, and stooping/lunging as moving (in order to vary distance from the body)</v>
      </c>
    </row>
    <row r="46" spans="1:33" ht="40.049999999999997" customHeight="1" x14ac:dyDescent="0.3">
      <c r="A46" s="103" t="s">
        <v>88</v>
      </c>
      <c r="B46" s="171" t="s">
        <v>218</v>
      </c>
      <c r="C46" s="316" t="str">
        <f t="shared" si="2"/>
        <v>(Meta trial entry) 
Stat means for all 'Wand-Wave-C' trials!</v>
      </c>
      <c r="D46" s="317"/>
      <c r="E46" s="317"/>
      <c r="F46" s="75" t="s">
        <v>76</v>
      </c>
      <c r="G46" s="36">
        <v>1000</v>
      </c>
      <c r="H46" s="36">
        <f t="shared" si="3"/>
        <v>1595.6004901960785</v>
      </c>
      <c r="I46" s="36">
        <f t="shared" si="4"/>
        <v>2922</v>
      </c>
      <c r="J46" s="36">
        <f t="shared" si="5"/>
        <v>1003</v>
      </c>
      <c r="K46" s="37">
        <f t="shared" si="1"/>
        <v>1.5956004901960785</v>
      </c>
      <c r="L46" s="180" t="str" cm="1">
        <f t="array" ref="L46">_xlfn.UNIQUE(_xlfn._xlws.FILTER($L17:$L44, ($I17:$I44=$I46) * ($F17:$F44=$F46)))</f>
        <v xml:space="preserve">#9 </v>
      </c>
      <c r="M46" s="180" t="str" cm="1">
        <f t="array" ref="M46">_xlfn.UNIQUE(_xlfn._xlws.FILTER($M17:$M44, ($J17:$J44=$J46) * ($F17:$F44=$F46)))</f>
        <v>#11</v>
      </c>
      <c r="N46" s="6">
        <f t="shared" si="6"/>
        <v>0.30178345343137258</v>
      </c>
      <c r="O46" s="37">
        <f t="shared" si="7"/>
        <v>0.55555555555555558</v>
      </c>
      <c r="P46" s="6">
        <f t="shared" si="8"/>
        <v>0.138596</v>
      </c>
      <c r="Q46" s="6">
        <f t="shared" si="9"/>
        <v>0.58531599999999995</v>
      </c>
      <c r="R46" s="180" t="str" cm="1">
        <f t="array" ref="R46">_xlfn.UNIQUE(_xlfn._xlws.FILTER($R17:$R44, ($P17:$P44=$P46) * ($F17:$F44=$F46)))</f>
        <v>#14</v>
      </c>
      <c r="S46" s="180" t="str" cm="1">
        <f t="array" ref="S46">_xlfn.UNIQUE(_xlfn._xlws.FILTER($S17:$S44,($Q17:$Q44=$Q46)*($F17:$F44=$F46)))</f>
        <v xml:space="preserve">#4 </v>
      </c>
      <c r="T46" s="6">
        <f t="shared" si="10"/>
        <v>7.2988631862745096E-2</v>
      </c>
      <c r="U46" s="37">
        <f t="shared" si="11"/>
        <v>0.47222222222222221</v>
      </c>
      <c r="V46" s="6">
        <f t="shared" si="12"/>
        <v>3.3919999999999999E-2</v>
      </c>
      <c r="W46" s="6">
        <f t="shared" si="13"/>
        <v>0.12529399999999999</v>
      </c>
      <c r="X46" s="180" t="str" cm="1">
        <f t="array" ref="X46">_xlfn.UNIQUE(_xlfn._xlws.FILTER($R17:$R44, ($P17:$P44=$P46) * ($F17:$F44=$F46)))</f>
        <v>#14</v>
      </c>
      <c r="Y46" s="180" t="str" cm="1">
        <f t="array" ref="Y46">_xlfn.UNIQUE(_xlfn._xlws.FILTER($S17:$S44,($Q17:$Q44=$Q46)*($F17:$F44=$F46)))</f>
        <v xml:space="preserve">#4 </v>
      </c>
      <c r="Z46" s="165" t="s">
        <v>214</v>
      </c>
      <c r="AA46" s="170">
        <v>6.25E-2</v>
      </c>
      <c r="AB46" s="312"/>
      <c r="AC46" s="312"/>
      <c r="AD46" s="172" t="str">
        <f>Legend!$H13</f>
        <v>Guidance from active wand v4 (away from body, half circles, facing camera, no turning wand keep parallel to yourself, watch for objects)</v>
      </c>
    </row>
    <row r="47" spans="1:33" ht="40.049999999999997" customHeight="1" x14ac:dyDescent="0.3">
      <c r="A47" s="103" t="s">
        <v>88</v>
      </c>
      <c r="B47" s="171" t="s">
        <v>219</v>
      </c>
      <c r="C47" s="316" t="str">
        <f t="shared" si="2"/>
        <v>(Meta trial entry) 
Stat means for all 'Wand-Wave-D' trials!</v>
      </c>
      <c r="D47" s="317"/>
      <c r="E47" s="317"/>
      <c r="F47" s="75" t="s">
        <v>157</v>
      </c>
      <c r="G47" s="36">
        <v>1000</v>
      </c>
      <c r="H47" s="36">
        <f t="shared" si="3"/>
        <v>1475.6609477124184</v>
      </c>
      <c r="I47" s="36">
        <f t="shared" si="4"/>
        <v>2539</v>
      </c>
      <c r="J47" s="36">
        <f t="shared" si="5"/>
        <v>1001</v>
      </c>
      <c r="K47" s="37">
        <f t="shared" si="1"/>
        <v>1.4756609477124183</v>
      </c>
      <c r="L47" s="180" t="str" cm="1">
        <f t="array" ref="L47">_xlfn.UNIQUE(_xlfn._xlws.FILTER($L18:$L45, ($I18:$I45=$I47) * ($F18:$F45=$F47)))</f>
        <v>#12</v>
      </c>
      <c r="M47" s="180" t="str" cm="1">
        <f t="array" ref="M47">_xlfn.UNIQUE(_xlfn._xlws.FILTER($M18:$M45, ($J18:$J45=$J47) * ($F18:$F45=$F47)))</f>
        <v xml:space="preserve">#3 </v>
      </c>
      <c r="N47" s="6">
        <f t="shared" si="6"/>
        <v>0.41310005392156862</v>
      </c>
      <c r="O47" s="37">
        <f t="shared" si="7"/>
        <v>0.51388888888888884</v>
      </c>
      <c r="P47" s="6">
        <f t="shared" si="8"/>
        <v>0.21996299999999999</v>
      </c>
      <c r="Q47" s="6">
        <f t="shared" si="9"/>
        <v>0.61059399999999997</v>
      </c>
      <c r="R47" s="180" t="str" cm="1">
        <f t="array" ref="R47">_xlfn.UNIQUE(_xlfn._xlws.FILTER($R18:$R45, ($P18:$P45=$P47) * ($F18:$F45=$F47)))</f>
        <v xml:space="preserve">#8 </v>
      </c>
      <c r="S47" s="180" t="str" cm="1">
        <f t="array" ref="S47">_xlfn.UNIQUE(_xlfn._xlws.FILTER($S18:$S45,($Q18:$Q45=$Q47)*($F18:$F45=$F47)))</f>
        <v>#15</v>
      </c>
      <c r="T47" s="6">
        <f t="shared" si="10"/>
        <v>0.10088763325163398</v>
      </c>
      <c r="U47" s="37">
        <f t="shared" si="11"/>
        <v>0.45833333333333331</v>
      </c>
      <c r="V47" s="6">
        <f t="shared" si="12"/>
        <v>5.7532100000000003E-2</v>
      </c>
      <c r="W47" s="6">
        <f t="shared" si="13"/>
        <v>0.147393</v>
      </c>
      <c r="X47" s="180" t="str" cm="1">
        <f t="array" ref="X47">_xlfn.UNIQUE(_xlfn._xlws.FILTER($R18:$R45, ($P18:$P45=$P47) * ($F18:$F45=$F47)))</f>
        <v xml:space="preserve">#8 </v>
      </c>
      <c r="Y47" s="180" t="str" cm="1">
        <f t="array" ref="Y47">_xlfn.UNIQUE(_xlfn._xlws.FILTER($S18:$S45,($Q18:$Q45=$Q47)*($F18:$F45=$F47)))</f>
        <v>#15</v>
      </c>
      <c r="Z47" s="165" t="s">
        <v>214</v>
      </c>
      <c r="AA47" s="170">
        <v>3.4722222222222224E-2</v>
      </c>
      <c r="AB47" s="312"/>
      <c r="AC47" s="312"/>
      <c r="AD47" s="172" t="str">
        <f>Legend!$H14</f>
        <v>Figure 8 with the wand facing up - reccommended by the Vicon trainer during system installation</v>
      </c>
    </row>
    <row r="48" spans="1:33" ht="40.049999999999997" hidden="1" customHeight="1" x14ac:dyDescent="0.3">
      <c r="A48" s="103" t="s">
        <v>88</v>
      </c>
      <c r="B48" s="171" t="s">
        <v>220</v>
      </c>
      <c r="C48" s="316" t="str">
        <f t="shared" si="2"/>
        <v>(Meta trial entry) 
Stat means for all 'Wand-Wave-E' trials!</v>
      </c>
      <c r="D48" s="317"/>
      <c r="E48" s="317"/>
      <c r="F48" s="75" t="s">
        <v>158</v>
      </c>
      <c r="G48" s="36">
        <v>1000</v>
      </c>
      <c r="H48" s="36">
        <f t="shared" si="3"/>
        <v>1475.8888888888889</v>
      </c>
      <c r="I48" s="36">
        <f t="shared" si="4"/>
        <v>3124</v>
      </c>
      <c r="J48" s="36">
        <f t="shared" si="5"/>
        <v>1002</v>
      </c>
      <c r="K48" s="37">
        <f t="shared" si="1"/>
        <v>1.475888888888889</v>
      </c>
      <c r="L48" s="180" t="str" cm="1">
        <f t="array" ref="L48">_xlfn.UNIQUE(_xlfn._xlws.FILTER($L19:$L46, ($I19:$I46=$I48) * ($F19:$F46=$F48)))</f>
        <v xml:space="preserve">#9 </v>
      </c>
      <c r="M48" s="180" t="str" cm="1">
        <f t="array" ref="M48">_xlfn.UNIQUE(_xlfn._xlws.FILTER($M19:$M46, ($J19:$J46=$J48) * ($F19:$F46=$F48)))</f>
        <v>#11</v>
      </c>
      <c r="N48" s="6">
        <f t="shared" si="6"/>
        <v>0.36323726879084961</v>
      </c>
      <c r="O48" s="37">
        <f t="shared" si="7"/>
        <v>0.3888888888888889</v>
      </c>
      <c r="P48" s="6">
        <f t="shared" si="8"/>
        <v>0.15012700000000001</v>
      </c>
      <c r="Q48" s="6">
        <f t="shared" si="9"/>
        <v>1.42056</v>
      </c>
      <c r="R48" s="180" t="str" cm="1">
        <f t="array" ref="R48">_xlfn.UNIQUE(_xlfn._xlws.FILTER($R19:$R46, ($P19:$P46=$P48) * ($F19:$F46=$F48)))</f>
        <v>#14</v>
      </c>
      <c r="S48" s="180" t="str" cm="1">
        <f t="array" ref="S48">_xlfn.UNIQUE(_xlfn._xlws.FILTER($S19:$S46,($Q19:$Q46=$Q48)*($F19:$F46=$F48)))</f>
        <v>#18</v>
      </c>
      <c r="T48" s="6">
        <f t="shared" si="10"/>
        <v>8.6665811437908497E-2</v>
      </c>
      <c r="U48" s="37">
        <f t="shared" si="11"/>
        <v>0.375</v>
      </c>
      <c r="V48" s="6">
        <f t="shared" si="12"/>
        <v>4.6718000000000003E-2</v>
      </c>
      <c r="W48" s="6">
        <f t="shared" si="13"/>
        <v>0.28700599999999998</v>
      </c>
      <c r="X48" s="180" t="str" cm="1">
        <f t="array" ref="X48">_xlfn.UNIQUE(_xlfn._xlws.FILTER($R19:$R46, ($P19:$P46=$P48) * ($F19:$F46=$F48)))</f>
        <v>#14</v>
      </c>
      <c r="Y48" s="180" t="str" cm="1">
        <f t="array" ref="Y48">_xlfn.UNIQUE(_xlfn._xlws.FILTER($S19:$S46,($Q19:$Q46=$Q48)*($F19:$F46=$F48)))</f>
        <v>#18</v>
      </c>
      <c r="Z48" s="167" t="s">
        <v>215</v>
      </c>
      <c r="AA48" s="170">
        <v>4.6527777777777779E-2</v>
      </c>
      <c r="AB48" s="312"/>
      <c r="AC48" s="312"/>
      <c r="AD48" s="172" t="str">
        <f>Legend!$H15</f>
        <v>Spinning the wand extended from body (rotating around center 360deg holding wand in middle but spinning it)</v>
      </c>
    </row>
    <row r="49" spans="1:42" ht="40.049999999999997" hidden="1" customHeight="1" x14ac:dyDescent="0.3">
      <c r="A49" s="103" t="s">
        <v>88</v>
      </c>
      <c r="B49" s="171" t="s">
        <v>221</v>
      </c>
      <c r="C49" s="316" t="str">
        <f t="shared" si="2"/>
        <v>(Meta trial entry) 
Stat means for all 'Wand-Wave-F' trials!</v>
      </c>
      <c r="D49" s="317"/>
      <c r="E49" s="317"/>
      <c r="F49" s="75" t="s">
        <v>160</v>
      </c>
      <c r="G49" s="36">
        <v>1000</v>
      </c>
      <c r="H49" s="36">
        <f t="shared" si="3"/>
        <v>1531.4722222222222</v>
      </c>
      <c r="I49" s="36">
        <f t="shared" si="4"/>
        <v>2683</v>
      </c>
      <c r="J49" s="36">
        <f t="shared" si="5"/>
        <v>1002</v>
      </c>
      <c r="K49" s="37">
        <f t="shared" si="1"/>
        <v>1.5314722222222223</v>
      </c>
      <c r="L49" s="180" t="str" cm="1">
        <f t="array" ref="L49">_xlfn.UNIQUE(_xlfn._xlws.FILTER($L20:$L47, ($I20:$I47=$I49) * ($F20:$F47=$F49)))</f>
        <v xml:space="preserve">#1 </v>
      </c>
      <c r="M49" s="180" t="str" cm="1">
        <f t="array" ref="M49">_xlfn.UNIQUE(_xlfn._xlws.FILTER($M20:$M47, ($J20:$J47=$J49) * ($F20:$F47=$F49)))</f>
        <v>#15</v>
      </c>
      <c r="N49" s="6">
        <f t="shared" si="6"/>
        <v>0.52718013888888882</v>
      </c>
      <c r="O49" s="37">
        <f t="shared" si="7"/>
        <v>0.44444444444444442</v>
      </c>
      <c r="P49" s="6">
        <f t="shared" si="8"/>
        <v>0.18245900000000001</v>
      </c>
      <c r="Q49" s="6">
        <f t="shared" si="9"/>
        <v>1.7665500000000001</v>
      </c>
      <c r="R49" s="180" t="str" cm="1">
        <f t="array" ref="R49">_xlfn.UNIQUE(_xlfn._xlws.FILTER($R20:$R47, ($P20:$P47=$P49) * ($F20:$F47=$F49)))</f>
        <v>#12</v>
      </c>
      <c r="S49" s="180" t="str" cm="1">
        <f t="array" ref="S49">_xlfn.UNIQUE(_xlfn._xlws.FILTER($S20:$S47,($Q20:$Q47=$Q49)*($F20:$F47=$F49)))</f>
        <v xml:space="preserve">#2 </v>
      </c>
      <c r="T49" s="6">
        <f t="shared" si="10"/>
        <v>0.12624340000000001</v>
      </c>
      <c r="U49" s="37">
        <f t="shared" si="11"/>
        <v>0.41666666666666663</v>
      </c>
      <c r="V49" s="6">
        <f t="shared" si="12"/>
        <v>4.8508799999999998E-2</v>
      </c>
      <c r="W49" s="6">
        <f t="shared" si="13"/>
        <v>0.46729300000000001</v>
      </c>
      <c r="X49" s="180" t="str" cm="1">
        <f t="array" ref="X49">_xlfn.UNIQUE(_xlfn._xlws.FILTER($R20:$R47, ($P20:$P47=$P49) * ($F20:$F47=$F49)))</f>
        <v>#12</v>
      </c>
      <c r="Y49" s="180" t="str" cm="1">
        <f t="array" ref="Y49">_xlfn.UNIQUE(_xlfn._xlws.FILTER($S20:$S47,($Q20:$Q47=$Q49)*($F20:$F47=$F49)))</f>
        <v xml:space="preserve">#2 </v>
      </c>
      <c r="Z49" s="167" t="s">
        <v>215</v>
      </c>
      <c r="AA49" s="170">
        <v>5.347222222222222E-2</v>
      </c>
      <c r="AB49" s="312"/>
      <c r="AC49" s="312"/>
      <c r="AD49" s="172" t="str">
        <f>Legend!$H16</f>
        <v>Wave wand up and down (chopping axe motion, AWIR2 docs)</v>
      </c>
    </row>
    <row r="50" spans="1:42" ht="40.049999999999997" customHeight="1" x14ac:dyDescent="0.3">
      <c r="A50" s="103" t="s">
        <v>88</v>
      </c>
      <c r="B50" s="171" t="s">
        <v>222</v>
      </c>
      <c r="C50" s="316" t="str">
        <f t="shared" si="2"/>
        <v>(Meta trial entry) 
Stat means for all 'Wand-Wave-G' trials!</v>
      </c>
      <c r="D50" s="317"/>
      <c r="E50" s="317"/>
      <c r="F50" s="75" t="s">
        <v>161</v>
      </c>
      <c r="G50" s="36">
        <v>1000</v>
      </c>
      <c r="H50" s="36">
        <f t="shared" si="3"/>
        <v>1634.0416666666667</v>
      </c>
      <c r="I50" s="36">
        <f t="shared" si="4"/>
        <v>2758</v>
      </c>
      <c r="J50" s="36">
        <f t="shared" si="5"/>
        <v>1002</v>
      </c>
      <c r="K50" s="37">
        <f t="shared" si="1"/>
        <v>1.6340416666666666</v>
      </c>
      <c r="L50" s="180" t="str" cm="1">
        <f t="array" ref="L50">_xlfn.UNIQUE(_xlfn._xlws.FILTER($L21:$L48, ($I21:$I48=$I50) * ($F21:$F48=$F50)))</f>
        <v xml:space="preserve">#9 </v>
      </c>
      <c r="M50" s="180" t="str" cm="1">
        <f t="array" ref="M50">_xlfn.UNIQUE(_xlfn._xlws.FILTER($M21:$M48, ($J21:$J48=$J50) * ($F21:$F48=$F50)))</f>
        <v>#13</v>
      </c>
      <c r="N50" s="6">
        <f t="shared" si="6"/>
        <v>0.32717873611111115</v>
      </c>
      <c r="O50" s="37">
        <f t="shared" si="7"/>
        <v>0.5</v>
      </c>
      <c r="P50" s="6">
        <f t="shared" si="8"/>
        <v>0.13330800000000001</v>
      </c>
      <c r="Q50" s="6">
        <f t="shared" si="9"/>
        <v>0.55817000000000005</v>
      </c>
      <c r="R50" s="180" t="str" cm="1">
        <f t="array" ref="R50">_xlfn.UNIQUE(_xlfn._xlws.FILTER($R21:$R48, ($P21:$P48=$P50) * ($F21:$F48=$F50)))</f>
        <v>#12</v>
      </c>
      <c r="S50" s="180" t="str" cm="1">
        <f t="array" ref="S50">_xlfn.UNIQUE(_xlfn._xlws.FILTER($S21:$S48,($Q21:$Q48=$Q50)*($F21:$F48=$F50)))</f>
        <v>#11</v>
      </c>
      <c r="T50" s="6">
        <f t="shared" si="10"/>
        <v>7.9724595833333342E-2</v>
      </c>
      <c r="U50" s="37">
        <f t="shared" si="11"/>
        <v>0.38888888888888884</v>
      </c>
      <c r="V50" s="6">
        <f t="shared" si="12"/>
        <v>4.3235999999999997E-2</v>
      </c>
      <c r="W50" s="6">
        <f t="shared" si="13"/>
        <v>0.18329200000000001</v>
      </c>
      <c r="X50" s="180" t="str" cm="1">
        <f t="array" ref="X50">_xlfn.UNIQUE(_xlfn._xlws.FILTER($R21:$R48, ($P21:$P48=$P50) * ($F21:$F48=$F50)))</f>
        <v>#12</v>
      </c>
      <c r="Y50" s="180" t="str" cm="1">
        <f t="array" ref="Y50">_xlfn.UNIQUE(_xlfn._xlws.FILTER($S21:$S48,($Q21:$Q48=$Q50)*($F21:$F48=$F50)))</f>
        <v>#11</v>
      </c>
      <c r="Z50" s="165" t="s">
        <v>214</v>
      </c>
      <c r="AA50" s="170">
        <v>5.347222222222222E-2</v>
      </c>
      <c r="AB50" s="312"/>
      <c r="AC50" s="312"/>
      <c r="AD50" s="172" t="str">
        <f>Legend!$H17</f>
        <v>Circling the wand extended from body (hold forward &amp; draw circle, rotating around center 360deg holding handle - full circle vs C semi-circle)</v>
      </c>
    </row>
    <row r="51" spans="1:42" ht="10.050000000000001" customHeight="1" x14ac:dyDescent="0.3">
      <c r="A51" s="107"/>
      <c r="B51" s="105"/>
      <c r="C51" s="5"/>
      <c r="D51" s="31"/>
      <c r="E51" s="32"/>
      <c r="G51" s="36"/>
      <c r="H51" s="36" t="str">
        <f>IF(COUNTBLANK($A51:$E51)&gt;0, "", IFERROR(AVERAGEIFS(Log!$E:$E, Log!$A:$A, $A51, Log!$B:$B, $B51, Log!$C:$C, $C51),""))</f>
        <v/>
      </c>
      <c r="I51" s="36"/>
      <c r="J51" s="36"/>
      <c r="K51" s="37" t="str">
        <f t="shared" ref="K51:K62" si="14">IF(AND($H51&lt;&gt;"", $G51&lt;&gt;""), $H51/$G51, "")</f>
        <v/>
      </c>
      <c r="L51" s="180" t="str" cm="1">
        <f t="array" ref="L51">_xlfn.LET(_xlpm.row_no, ROW(A51),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51" s="180" t="str" cm="1">
        <f t="array" ref="M51">_xlfn.LET(_xlpm.row_no, ROW(A51),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51" s="6" t="str">
        <f>IF(COUNTBLANK($A51:$E51)&gt;0, "", IFERROR(AVERAGEIFS(Log!$F:$F, Log!$A:$A, $A51, Log!$B:$B, $B51, Log!$C:$C, $C51),""))</f>
        <v/>
      </c>
      <c r="O51" s="37" t="str">
        <f>IF(COUNTBLANK($A51:$E51)&gt;0, "", IFERROR(AVERAGEIFS(Log!$F:$F, Log!$A:$A, $A51, Log!$B:$B, $B51, Log!$C:$C, $C51),""))</f>
        <v/>
      </c>
      <c r="P51" s="6" t="str">
        <f>IF(COUNTBLANK($A51:$E51)&gt;0, "", IFERROR(_xlfn.MINIFS(Log!$F:$F, Log!$A:$A, $A51, Log!$B:$B, $B51, Log!$C:$C, $C51),""))</f>
        <v/>
      </c>
      <c r="Q51" s="6" t="str">
        <f>IF(COUNTBLANK($A51:$E51)&gt;0, "", IFERROR(_xlfn.MAXIFS(Log!$F:$F, Log!$A:$A, $A51, Log!$B:$B, $B51, Log!$C:$C, $C51),""))</f>
        <v/>
      </c>
      <c r="R51" s="180"/>
      <c r="S51" s="180"/>
      <c r="T51" s="6" t="str">
        <f>IF(COUNTBLANK($A51:$E51)&gt;0, "", IFERROR(AVERAGEIFS(Log!#REF!, Log!$A:$A, $A51, Log!$B:$B, $B51, Log!$C:$C, $C51),""))</f>
        <v/>
      </c>
      <c r="U51" s="37" t="str">
        <f>IF(COUNTBLANK($A51:$E51)&gt;0, "", IFERROR(AVERAGEIFS(Log!$F:$F, Log!$A:$A, $A51, Log!$B:$B, $B51, Log!$C:$C, $C51),""))</f>
        <v/>
      </c>
      <c r="V51" s="6" t="str">
        <f>IF(COUNTBLANK($A51:$E51)&gt;0, "", IFERROR(_xlfn.MINIFS(Log!$G:$G, Log!$A:$A, $A51, Log!$B:$B, $B51, Log!$C:$C, $C51),""))</f>
        <v/>
      </c>
      <c r="W51" s="6" t="str">
        <f>IF(COUNTBLANK($A51:$E51)&gt;0, "", IFERROR(_xlfn.MAXIFS(Log!$G:$G, Log!$A:$A, $A51, Log!$B:$B, $B51, Log!$C:$C, $C51),""))</f>
        <v/>
      </c>
      <c r="X51" s="180"/>
      <c r="Y51" s="180"/>
      <c r="AG51" s="40"/>
    </row>
    <row r="52" spans="1:42" ht="40.049999999999997" customHeight="1" x14ac:dyDescent="0.3">
      <c r="A52" s="103" t="s">
        <v>88</v>
      </c>
      <c r="B52" s="105" t="s">
        <v>296</v>
      </c>
      <c r="C52" s="5">
        <v>46253</v>
      </c>
      <c r="D52" s="31">
        <v>24.5</v>
      </c>
      <c r="E52" s="32">
        <v>0.86041666666666672</v>
      </c>
      <c r="F52" s="75" t="s">
        <v>161</v>
      </c>
      <c r="G52" s="36">
        <v>1000</v>
      </c>
      <c r="H52" s="36">
        <f>IF(COUNTBLANK($A52:$E52)&gt;0, "", IFERROR(AVERAGEIFS(Log!$E:$E, Log!$A:$A, $A52, Log!$B:$B, $B52, Log!$C:$C, $C52),""))</f>
        <v>1003</v>
      </c>
      <c r="I52" s="36">
        <f>IF(COUNTBLANK($A52:$E52)&gt;0, "", IFERROR(_xlfn.MAXIFS(Log!$E:$E, Log!$A:$A, $A52, Log!$B:$B, $B52, Log!$C:$C, $C52),""))</f>
        <v>1003</v>
      </c>
      <c r="J52" s="36">
        <f>IF(COUNTBLANK($A52:$E52)&gt;0, "", IFERROR(_xlfn.MINIFS(Log!$E:$E, Log!$A:$A, $A52, Log!$B:$B, $B52, Log!$C:$C, $C52),""))</f>
        <v>1003</v>
      </c>
      <c r="K52" s="37">
        <f t="shared" si="14"/>
        <v>1.0029999999999999</v>
      </c>
      <c r="L52" s="180" t="str" cm="1">
        <f t="array" ref="L52">_xlfn.LET(_xlpm.row_no, ROW(A52),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2" s="180" t="str" cm="1">
        <f t="array" ref="M52">_xlfn.LET(_xlpm.row_no, ROW(A52),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2" s="6">
        <f>IF(COUNTBLANK($A52:$E52)&gt;0, "", IFERROR(AVERAGEIFS(Log!$F:$F, Log!$A:$A, $A52, Log!$B:$B, $B52, Log!$C:$C, $C52),""))</f>
        <v>0.167577</v>
      </c>
      <c r="O52" s="37"/>
      <c r="P52" s="6">
        <f>IF(COUNTBLANK($A52:$E52)&gt;0, "", IFERROR(_xlfn.MINIFS(Log!$F:$F, Log!$A:$A, $A52, Log!$B:$B, $B52, Log!$C:$C, $C52),""))</f>
        <v>0.167577</v>
      </c>
      <c r="Q52" s="6">
        <f>IF(COUNTBLANK($A52:$E52)&gt;0, "", IFERROR(_xlfn.MAXIFS(Log!$F:$F, Log!$A:$A, $A52, Log!$B:$B, $B52, Log!$C:$C, $C52),""))</f>
        <v>0.167577</v>
      </c>
      <c r="R52" s="180"/>
      <c r="S52" s="180"/>
      <c r="T52" s="6">
        <f>IF(COUNTBLANK($A52:$E52)&gt;0, "", IFERROR(AVERAGEIFS(Log!$G:$G, Log!$A:$A, $A52, Log!$B:$B, $B52, Log!$C:$C, $C52),""))</f>
        <v>5.49744E-2</v>
      </c>
      <c r="U52" s="37"/>
      <c r="V52" s="6">
        <f>IF(COUNTBLANK($A52:$E52)&gt;0, "", IFERROR(_xlfn.MINIFS(Log!$G:$G, Log!$A:$A, $A52, Log!$B:$B, $B52, Log!$C:$C, $C52),""))</f>
        <v>5.49744E-2</v>
      </c>
      <c r="W52" s="6">
        <f>IF(COUNTBLANK($A52:$E52)&gt;0, "", IFERROR(_xlfn.MAXIFS(Log!$G:$G, Log!$A:$A, $A52, Log!$B:$B, $B52, Log!$C:$C, $C52),""))</f>
        <v>5.49744E-2</v>
      </c>
      <c r="X52" s="180"/>
      <c r="Y52" s="180"/>
      <c r="AA52" s="170"/>
      <c r="AB52" s="309" t="s">
        <v>306</v>
      </c>
      <c r="AC52" s="309" t="s">
        <v>305</v>
      </c>
      <c r="AD52" s="310"/>
    </row>
    <row r="53" spans="1:42" ht="40.049999999999997" customHeight="1" x14ac:dyDescent="0.3">
      <c r="A53" s="103" t="s">
        <v>88</v>
      </c>
      <c r="B53" s="105" t="s">
        <v>297</v>
      </c>
      <c r="C53" s="5">
        <v>46253</v>
      </c>
      <c r="D53" s="31">
        <v>24.5</v>
      </c>
      <c r="E53" s="32">
        <v>0.86111111111111116</v>
      </c>
      <c r="F53" s="75" t="s">
        <v>161</v>
      </c>
      <c r="G53" s="36">
        <v>1000</v>
      </c>
      <c r="H53" s="36">
        <f>IF(COUNTBLANK($A53:$E53)&gt;0, "", IFERROR(AVERAGEIFS(Log!$E:$E, Log!$A:$A, $A53, Log!$B:$B, $B53, Log!$C:$C, $C53),""))</f>
        <v>1001</v>
      </c>
      <c r="I53" s="36">
        <f>IF(COUNTBLANK($A53:$E53)&gt;0, "", IFERROR(_xlfn.MAXIFS(Log!$E:$E, Log!$A:$A, $A53, Log!$B:$B, $B53, Log!$C:$C, $C53),""))</f>
        <v>1001</v>
      </c>
      <c r="J53" s="36">
        <f>IF(COUNTBLANK($A53:$E53)&gt;0, "", IFERROR(_xlfn.MINIFS(Log!$E:$E, Log!$A:$A, $A53, Log!$B:$B, $B53, Log!$C:$C, $C53),""))</f>
        <v>1001</v>
      </c>
      <c r="K53" s="37">
        <f t="shared" si="14"/>
        <v>1.0009999999999999</v>
      </c>
      <c r="L53" s="180" t="str" cm="1">
        <f t="array" ref="L53">_xlfn.LET(_xlpm.row_no, ROW(A53),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3" s="180" t="str" cm="1">
        <f t="array" ref="M53">_xlfn.LET(_xlpm.row_no, ROW(A53),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3" s="6">
        <f>IF(COUNTBLANK($A53:$E53)&gt;0, "", IFERROR(AVERAGEIFS(Log!$F:$F, Log!$A:$A, $A53, Log!$B:$B, $B53, Log!$C:$C, $C53),""))</f>
        <v>0.123311</v>
      </c>
      <c r="O53" s="37"/>
      <c r="P53" s="6">
        <f>IF(COUNTBLANK($A53:$E53)&gt;0, "", IFERROR(_xlfn.MINIFS(Log!$F:$F, Log!$A:$A, $A53, Log!$B:$B, $B53, Log!$C:$C, $C53),""))</f>
        <v>0.123311</v>
      </c>
      <c r="Q53" s="6">
        <f>IF(COUNTBLANK($A53:$E53)&gt;0, "", IFERROR(_xlfn.MAXIFS(Log!$F:$F, Log!$A:$A, $A53, Log!$B:$B, $B53, Log!$C:$C, $C53),""))</f>
        <v>0.123311</v>
      </c>
      <c r="R53" s="180"/>
      <c r="S53" s="180"/>
      <c r="T53" s="6">
        <f>IF(COUNTBLANK($A53:$E53)&gt;0, "", IFERROR(AVERAGEIFS(Log!$G:$G, Log!$A:$A, $A53, Log!$B:$B, $B53, Log!$C:$C, $C53),""))</f>
        <v>4.0463199999999998E-2</v>
      </c>
      <c r="U53" s="37"/>
      <c r="V53" s="6">
        <f>IF(COUNTBLANK($A53:$E53)&gt;0, "", IFERROR(_xlfn.MINIFS(Log!$G:$G, Log!$A:$A, $A53, Log!$B:$B, $B53, Log!$C:$C, $C53),""))</f>
        <v>4.0463199999999998E-2</v>
      </c>
      <c r="W53" s="6">
        <f>IF(COUNTBLANK($A53:$E53)&gt;0, "", IFERROR(_xlfn.MAXIFS(Log!$G:$G, Log!$A:$A, $A53, Log!$B:$B, $B53, Log!$C:$C, $C53),""))</f>
        <v>4.0463199999999998E-2</v>
      </c>
      <c r="X53" s="180"/>
      <c r="Y53" s="180"/>
      <c r="AA53" s="170"/>
      <c r="AB53" s="309"/>
      <c r="AC53" s="309"/>
      <c r="AD53" s="310"/>
    </row>
    <row r="54" spans="1:42" ht="40.049999999999997" customHeight="1" x14ac:dyDescent="0.3">
      <c r="A54" s="103" t="s">
        <v>88</v>
      </c>
      <c r="B54" s="105" t="s">
        <v>300</v>
      </c>
      <c r="C54" s="5">
        <v>46253</v>
      </c>
      <c r="D54" s="31">
        <v>24.5</v>
      </c>
      <c r="E54" s="32">
        <v>0.86250000000000004</v>
      </c>
      <c r="F54" s="75" t="s">
        <v>161</v>
      </c>
      <c r="G54" s="36">
        <v>1000</v>
      </c>
      <c r="H54" s="36">
        <f>IF(COUNTBLANK($A54:$E54)&gt;0, "", IFERROR(AVERAGEIFS(Log!$E:$E, Log!$A:$A, $A54, Log!$B:$B, $B54, Log!$C:$C, $C54),""))</f>
        <v>1003</v>
      </c>
      <c r="I54" s="36">
        <f>IF(COUNTBLANK($A54:$E54)&gt;0, "", IFERROR(_xlfn.MAXIFS(Log!$E:$E, Log!$A:$A, $A54, Log!$B:$B, $B54, Log!$C:$C, $C54),""))</f>
        <v>1003</v>
      </c>
      <c r="J54" s="36">
        <f>IF(COUNTBLANK($A54:$E54)&gt;0, "", IFERROR(_xlfn.MINIFS(Log!$E:$E, Log!$A:$A, $A54, Log!$B:$B, $B54, Log!$C:$C, $C54),""))</f>
        <v>1003</v>
      </c>
      <c r="K54" s="37">
        <f t="shared" si="14"/>
        <v>1.0029999999999999</v>
      </c>
      <c r="L54" s="180" t="str" cm="1">
        <f t="array" ref="L54">_xlfn.LET(_xlpm.row_no, ROW(A54),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4" s="180" t="str" cm="1">
        <f t="array" ref="M54">_xlfn.LET(_xlpm.row_no, ROW(A54),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4" s="6">
        <f>IF(COUNTBLANK($A54:$E54)&gt;0, "", IFERROR(AVERAGEIFS(Log!$F:$F, Log!$A:$A, $A54, Log!$B:$B, $B54, Log!$C:$C, $C54),""))</f>
        <v>0.16467300000000001</v>
      </c>
      <c r="O54" s="37"/>
      <c r="P54" s="6">
        <f>IF(COUNTBLANK($A54:$E54)&gt;0, "", IFERROR(_xlfn.MINIFS(Log!$F:$F, Log!$A:$A, $A54, Log!$B:$B, $B54, Log!$C:$C, $C54),""))</f>
        <v>0.16467300000000001</v>
      </c>
      <c r="Q54" s="6">
        <f>IF(COUNTBLANK($A54:$E54)&gt;0, "", IFERROR(_xlfn.MAXIFS(Log!$F:$F, Log!$A:$A, $A54, Log!$B:$B, $B54, Log!$C:$C, $C54),""))</f>
        <v>0.16467300000000001</v>
      </c>
      <c r="R54" s="180"/>
      <c r="S54" s="180"/>
      <c r="T54" s="6">
        <f>IF(COUNTBLANK($A54:$E54)&gt;0, "", IFERROR(AVERAGEIFS(Log!$G:$G, Log!$A:$A, $A54, Log!$B:$B, $B54, Log!$C:$C, $C54),""))</f>
        <v>5.4067200000000003E-2</v>
      </c>
      <c r="U54" s="37"/>
      <c r="V54" s="6">
        <f>IF(COUNTBLANK($A54:$E54)&gt;0, "", IFERROR(_xlfn.MINIFS(Log!$G:$G, Log!$A:$A, $A54, Log!$B:$B, $B54, Log!$C:$C, $C54),""))</f>
        <v>5.4067200000000003E-2</v>
      </c>
      <c r="W54" s="6">
        <f>IF(COUNTBLANK($A54:$E54)&gt;0, "", IFERROR(_xlfn.MAXIFS(Log!$G:$G, Log!$A:$A, $A54, Log!$B:$B, $B54, Log!$C:$C, $C54),""))</f>
        <v>5.4067200000000003E-2</v>
      </c>
      <c r="X54" s="180"/>
      <c r="Y54" s="180"/>
      <c r="AA54" s="170"/>
      <c r="AB54" s="309"/>
      <c r="AC54" s="309"/>
      <c r="AD54" s="310"/>
    </row>
    <row r="55" spans="1:42" ht="40.049999999999997" customHeight="1" x14ac:dyDescent="0.3">
      <c r="A55" s="103" t="s">
        <v>88</v>
      </c>
      <c r="B55" s="105" t="s">
        <v>298</v>
      </c>
      <c r="C55" s="5">
        <v>46253</v>
      </c>
      <c r="D55" s="31">
        <v>24.5</v>
      </c>
      <c r="E55" s="32">
        <v>0.86111111111111116</v>
      </c>
      <c r="F55" s="75" t="s">
        <v>161</v>
      </c>
      <c r="G55" s="36">
        <v>1000</v>
      </c>
      <c r="H55" s="36">
        <f>IF(COUNTBLANK($A55:$E55)&gt;0, "", IFERROR(AVERAGEIFS(Log!$E:$E, Log!$A:$A, $A55, Log!$B:$B, $B55, Log!$C:$C, $C55),""))</f>
        <v>1001</v>
      </c>
      <c r="I55" s="36">
        <f>IF(COUNTBLANK($A55:$E55)&gt;0, "", IFERROR(_xlfn.MAXIFS(Log!$E:$E, Log!$A:$A, $A55, Log!$B:$B, $B55, Log!$C:$C, $C55),""))</f>
        <v>1001</v>
      </c>
      <c r="J55" s="36">
        <f>IF(COUNTBLANK($A55:$E55)&gt;0, "", IFERROR(_xlfn.MINIFS(Log!$E:$E, Log!$A:$A, $A55, Log!$B:$B, $B55, Log!$C:$C, $C55),""))</f>
        <v>1001</v>
      </c>
      <c r="K55" s="37">
        <f t="shared" si="14"/>
        <v>1.0009999999999999</v>
      </c>
      <c r="L55" s="180" t="str" cm="1">
        <f t="array" ref="L55">_xlfn.LET(_xlpm.row_no, ROW(A55),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5" s="180" t="str" cm="1">
        <f t="array" ref="M55">_xlfn.LET(_xlpm.row_no, ROW(A55),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5" s="6">
        <f>IF(COUNTBLANK($A55:$E55)&gt;0, "", IFERROR(AVERAGEIFS(Log!$F:$F, Log!$A:$A, $A55, Log!$B:$B, $B55, Log!$C:$C, $C55),""))</f>
        <v>0.108927</v>
      </c>
      <c r="O55" s="37"/>
      <c r="P55" s="6">
        <f>IF(COUNTBLANK($A55:$E55)&gt;0, "", IFERROR(_xlfn.MINIFS(Log!$F:$F, Log!$A:$A, $A55, Log!$B:$B, $B55, Log!$C:$C, $C55),""))</f>
        <v>0.108927</v>
      </c>
      <c r="Q55" s="6">
        <f>IF(COUNTBLANK($A55:$E55)&gt;0, "", IFERROR(_xlfn.MAXIFS(Log!$F:$F, Log!$A:$A, $A55, Log!$B:$B, $B55, Log!$C:$C, $C55),""))</f>
        <v>0.108927</v>
      </c>
      <c r="R55" s="180"/>
      <c r="S55" s="180"/>
      <c r="T55" s="6">
        <f>IF(COUNTBLANK($A55:$E55)&gt;0, "", IFERROR(AVERAGEIFS(Log!$G:$G, Log!$A:$A, $A55, Log!$B:$B, $B55, Log!$C:$C, $C55),""))</f>
        <v>3.5765900000000003E-2</v>
      </c>
      <c r="U55" s="37"/>
      <c r="V55" s="6">
        <f>IF(COUNTBLANK($A55:$E55)&gt;0, "", IFERROR(_xlfn.MINIFS(Log!$G:$G, Log!$A:$A, $A55, Log!$B:$B, $B55, Log!$C:$C, $C55),""))</f>
        <v>3.5765900000000003E-2</v>
      </c>
      <c r="W55" s="6">
        <f>IF(COUNTBLANK($A55:$E55)&gt;0, "", IFERROR(_xlfn.MAXIFS(Log!$G:$G, Log!$A:$A, $A55, Log!$B:$B, $B55, Log!$C:$C, $C55),""))</f>
        <v>3.5765900000000003E-2</v>
      </c>
      <c r="X55" s="180"/>
      <c r="Y55" s="180"/>
      <c r="AA55" s="170"/>
      <c r="AB55" s="309"/>
      <c r="AC55" s="309"/>
      <c r="AD55" s="310"/>
    </row>
    <row r="56" spans="1:42" ht="40.049999999999997" customHeight="1" x14ac:dyDescent="0.3">
      <c r="A56" s="103" t="s">
        <v>88</v>
      </c>
      <c r="B56" s="105" t="s">
        <v>299</v>
      </c>
      <c r="C56" s="5">
        <v>46253</v>
      </c>
      <c r="D56" s="31">
        <v>24.5</v>
      </c>
      <c r="E56" s="32">
        <v>0.8618055555555556</v>
      </c>
      <c r="F56" s="75" t="s">
        <v>161</v>
      </c>
      <c r="G56" s="36">
        <v>1000</v>
      </c>
      <c r="H56" s="36">
        <f>IF(COUNTBLANK($A56:$E56)&gt;0, "", IFERROR(AVERAGEIFS(Log!$E:$E, Log!$A:$A, $A56, Log!$B:$B, $B56, Log!$C:$C, $C56),""))</f>
        <v>1002</v>
      </c>
      <c r="I56" s="36">
        <f>IF(COUNTBLANK($A56:$E56)&gt;0, "", IFERROR(_xlfn.MAXIFS(Log!$E:$E, Log!$A:$A, $A56, Log!$B:$B, $B56, Log!$C:$C, $C56),""))</f>
        <v>1002</v>
      </c>
      <c r="J56" s="36">
        <f>IF(COUNTBLANK($A56:$E56)&gt;0, "", IFERROR(_xlfn.MINIFS(Log!$E:$E, Log!$A:$A, $A56, Log!$B:$B, $B56, Log!$C:$C, $C56),""))</f>
        <v>1002</v>
      </c>
      <c r="K56" s="37">
        <f t="shared" si="14"/>
        <v>1.002</v>
      </c>
      <c r="L56" s="180" t="str" cm="1">
        <f t="array" ref="L56">_xlfn.LET(_xlpm.row_no, ROW(A56),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6" s="180" t="str" cm="1">
        <f t="array" ref="M56">_xlfn.LET(_xlpm.row_no, ROW(A56),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6" s="6">
        <f>IF(COUNTBLANK($A56:$E56)&gt;0, "", IFERROR(AVERAGEIFS(Log!$F:$F, Log!$A:$A, $A56, Log!$B:$B, $B56, Log!$C:$C, $C56),""))</f>
        <v>0.12937699999999999</v>
      </c>
      <c r="O56" s="37"/>
      <c r="P56" s="6">
        <f>IF(COUNTBLANK($A56:$E56)&gt;0, "", IFERROR(_xlfn.MINIFS(Log!$F:$F, Log!$A:$A, $A56, Log!$B:$B, $B56, Log!$C:$C, $C56),""))</f>
        <v>0.12937699999999999</v>
      </c>
      <c r="Q56" s="6">
        <f>IF(COUNTBLANK($A56:$E56)&gt;0, "", IFERROR(_xlfn.MAXIFS(Log!$F:$F, Log!$A:$A, $A56, Log!$B:$B, $B56, Log!$C:$C, $C56),""))</f>
        <v>0.12937699999999999</v>
      </c>
      <c r="R56" s="180"/>
      <c r="S56" s="180"/>
      <c r="T56" s="6">
        <f>IF(COUNTBLANK($A56:$E56)&gt;0, "", IFERROR(AVERAGEIFS(Log!$G:$G, Log!$A:$A, $A56, Log!$B:$B, $B56, Log!$C:$C, $C56),""))</f>
        <v>4.24275E-2</v>
      </c>
      <c r="U56" s="37"/>
      <c r="V56" s="6">
        <f>IF(COUNTBLANK($A56:$E56)&gt;0, "", IFERROR(_xlfn.MINIFS(Log!$G:$G, Log!$A:$A, $A56, Log!$B:$B, $B56, Log!$C:$C, $C56),""))</f>
        <v>4.24275E-2</v>
      </c>
      <c r="W56" s="6">
        <f>IF(COUNTBLANK($A56:$E56)&gt;0, "", IFERROR(_xlfn.MAXIFS(Log!$G:$G, Log!$A:$A, $A56, Log!$B:$B, $B56, Log!$C:$C, $C56),""))</f>
        <v>4.24275E-2</v>
      </c>
      <c r="X56" s="180"/>
      <c r="Y56" s="180"/>
      <c r="AA56" s="170"/>
      <c r="AB56" s="309"/>
      <c r="AC56" s="309"/>
      <c r="AD56" s="310"/>
    </row>
    <row r="57" spans="1:42" ht="40.049999999999997" customHeight="1" x14ac:dyDescent="0.3">
      <c r="A57" s="103" t="s">
        <v>88</v>
      </c>
      <c r="B57" s="105" t="s">
        <v>301</v>
      </c>
      <c r="C57" s="5">
        <v>46253</v>
      </c>
      <c r="D57" s="31">
        <v>24.5</v>
      </c>
      <c r="E57" s="32">
        <v>0.86250000000000004</v>
      </c>
      <c r="F57" s="75" t="s">
        <v>161</v>
      </c>
      <c r="G57" s="36">
        <v>1000</v>
      </c>
      <c r="H57" s="36">
        <f>IF(COUNTBLANK($A57:$E57)&gt;0, "", IFERROR(AVERAGEIFS(Log!$E:$E, Log!$A:$A, $A57, Log!$B:$B, $B57, Log!$C:$C, $C57),""))</f>
        <v>1002</v>
      </c>
      <c r="I57" s="36">
        <f>IF(COUNTBLANK($A57:$E57)&gt;0, "", IFERROR(_xlfn.MAXIFS(Log!$E:$E, Log!$A:$A, $A57, Log!$B:$B, $B57, Log!$C:$C, $C57),""))</f>
        <v>1002</v>
      </c>
      <c r="J57" s="36">
        <f>IF(COUNTBLANK($A57:$E57)&gt;0, "", IFERROR(_xlfn.MINIFS(Log!$E:$E, Log!$A:$A, $A57, Log!$B:$B, $B57, Log!$C:$C, $C57),""))</f>
        <v>1002</v>
      </c>
      <c r="K57" s="37">
        <f t="shared" si="14"/>
        <v>1.002</v>
      </c>
      <c r="L57" s="180" t="str" cm="1">
        <f t="array" ref="L57">_xlfn.LET(_xlpm.row_no, ROW(A57),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M57" s="180" t="str" cm="1">
        <f t="array" ref="M57">_xlfn.LET(_xlpm.row_no, ROW(A57),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N57" s="6">
        <f>IF(COUNTBLANK($A57:$E57)&gt;0, "", IFERROR(AVERAGEIFS(Log!$F:$F, Log!$A:$A, $A57, Log!$B:$B, $B57, Log!$C:$C, $C57),""))</f>
        <v>0.10671700000000001</v>
      </c>
      <c r="O57" s="37"/>
      <c r="P57" s="6">
        <f>IF(COUNTBLANK($A57:$E57)&gt;0, "", IFERROR(_xlfn.MINIFS(Log!$F:$F, Log!$A:$A, $A57, Log!$B:$B, $B57, Log!$C:$C, $C57),""))</f>
        <v>0.10671700000000001</v>
      </c>
      <c r="Q57" s="6">
        <f>IF(COUNTBLANK($A57:$E57)&gt;0, "", IFERROR(_xlfn.MAXIFS(Log!$F:$F, Log!$A:$A, $A57, Log!$B:$B, $B57, Log!$C:$C, $C57),""))</f>
        <v>0.10671700000000001</v>
      </c>
      <c r="R57" s="180"/>
      <c r="S57" s="180"/>
      <c r="T57" s="6">
        <f>IF(COUNTBLANK($A57:$E57)&gt;0, "", IFERROR(AVERAGEIFS(Log!$G:$G, Log!$A:$A, $A57, Log!$B:$B, $B57, Log!$C:$C, $C57),""))</f>
        <v>3.5031E-2</v>
      </c>
      <c r="U57" s="37"/>
      <c r="V57" s="6">
        <f>IF(COUNTBLANK($A57:$E57)&gt;0, "", IFERROR(_xlfn.MINIFS(Log!$G:$G, Log!$A:$A, $A57, Log!$B:$B, $B57, Log!$C:$C, $C57),""))</f>
        <v>3.5031E-2</v>
      </c>
      <c r="W57" s="6">
        <f>IF(COUNTBLANK($A57:$E57)&gt;0, "", IFERROR(_xlfn.MAXIFS(Log!$G:$G, Log!$A:$A, $A57, Log!$B:$B, $B57, Log!$C:$C, $C57),""))</f>
        <v>3.5031E-2</v>
      </c>
      <c r="X57" s="180"/>
      <c r="Y57" s="180"/>
      <c r="AA57" s="170"/>
      <c r="AB57" s="309"/>
      <c r="AC57" s="309"/>
      <c r="AD57" s="310"/>
    </row>
    <row r="58" spans="1:42" ht="10.050000000000001" customHeight="1" x14ac:dyDescent="0.3">
      <c r="A58" s="107"/>
      <c r="B58" s="105"/>
      <c r="C58" s="5"/>
      <c r="D58" s="31"/>
      <c r="E58" s="32"/>
      <c r="G58" s="36"/>
      <c r="H58" s="36" t="str">
        <f>IF(COUNTBLANK($A58:$E58)&gt;0, "", IFERROR(AVERAGEIFS(Log!$E:$E, Log!$A:$A, $A58, Log!$B:$B, $B58, Log!$C:$C, $C58),""))</f>
        <v/>
      </c>
      <c r="I58" s="36"/>
      <c r="J58" s="36"/>
      <c r="K58" s="37" t="str">
        <f t="shared" si="14"/>
        <v/>
      </c>
      <c r="L58" s="180" t="str" cm="1">
        <f t="array" ref="L58">_xlfn.LET(_xlpm.row_no, ROW(A58),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58" s="180" t="str" cm="1">
        <f t="array" ref="M58">_xlfn.LET(_xlpm.row_no, ROW(A58),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58" s="6" t="str">
        <f>IF(COUNTBLANK($A58:$E58)&gt;0, "", IFERROR(AVERAGEIFS(Log!$F:$F, Log!$A:$A, $A58, Log!$B:$B, $B58, Log!$C:$C, $C58),""))</f>
        <v/>
      </c>
      <c r="O58" s="37" t="str">
        <f>IF(COUNTBLANK($A58:$E58)&gt;0, "", IFERROR(AVERAGEIFS(Log!$F:$F, Log!$A:$A, $A58, Log!$B:$B, $B58, Log!$C:$C, $C58),""))</f>
        <v/>
      </c>
      <c r="P58" s="6" t="str">
        <f>IF(COUNTBLANK($A58:$E58)&gt;0, "", IFERROR(_xlfn.MINIFS(Log!$F:$F, Log!$A:$A, $A58, Log!$B:$B, $B58, Log!$C:$C, $C58),""))</f>
        <v/>
      </c>
      <c r="Q58" s="6" t="str">
        <f>IF(COUNTBLANK($A58:$E58)&gt;0, "", IFERROR(_xlfn.MAXIFS(Log!$F:$F, Log!$A:$A, $A58, Log!$B:$B, $B58, Log!$C:$C, $C58),""))</f>
        <v/>
      </c>
      <c r="R58" s="180"/>
      <c r="S58" s="180"/>
      <c r="T58" s="6" t="str">
        <f>IF(COUNTBLANK($A58:$E58)&gt;0, "", IFERROR(AVERAGEIFS(Log!#REF!, Log!$A:$A, $A58, Log!$B:$B, $B58, Log!$C:$C, $C58),""))</f>
        <v/>
      </c>
      <c r="U58" s="37" t="str">
        <f>IF(COUNTBLANK($A58:$E58)&gt;0, "", IFERROR(AVERAGEIFS(Log!$F:$F, Log!$A:$A, $A58, Log!$B:$B, $B58, Log!$C:$C, $C58),""))</f>
        <v/>
      </c>
      <c r="V58" s="6" t="str">
        <f>IF(COUNTBLANK($A58:$E58)&gt;0, "", IFERROR(_xlfn.MINIFS(Log!$G:$G, Log!$A:$A, $A58, Log!$B:$B, $B58, Log!$C:$C, $C58),""))</f>
        <v/>
      </c>
      <c r="W58" s="6" t="str">
        <f>IF(COUNTBLANK($A58:$E58)&gt;0, "", IFERROR(_xlfn.MAXIFS(Log!$G:$G, Log!$A:$A, $A58, Log!$B:$B, $B58, Log!$C:$C, $C58),""))</f>
        <v/>
      </c>
      <c r="X58" s="180"/>
      <c r="Y58" s="180"/>
      <c r="AG58" s="40"/>
    </row>
    <row r="59" spans="1:42" ht="40.049999999999997" customHeight="1" x14ac:dyDescent="0.3">
      <c r="A59" s="103" t="s">
        <v>88</v>
      </c>
      <c r="B59" s="171" t="s">
        <v>294</v>
      </c>
      <c r="C59" s="311" t="str">
        <f>"(Meta trial entry) " &amp; CHAR(10) &amp; "Stat means for all 'Calibration-Fast' trials!"</f>
        <v>(Meta trial entry) 
Stat means for all 'Calibration-Fast' trials!</v>
      </c>
      <c r="D59" s="311"/>
      <c r="E59" s="311"/>
      <c r="F59" s="75" t="s">
        <v>161</v>
      </c>
      <c r="G59" s="36">
        <v>1000</v>
      </c>
      <c r="H59" s="36">
        <f>AVERAGE(H$52:H$54)</f>
        <v>1002.3333333333334</v>
      </c>
      <c r="I59" s="36">
        <f>MAX(I$52:I$54)</f>
        <v>1003</v>
      </c>
      <c r="J59" s="36">
        <f>MIN(J$52:J$54)</f>
        <v>1001</v>
      </c>
      <c r="K59" s="37">
        <f t="shared" ref="K59:T59" si="15">AVERAGE(K$52:K$54)</f>
        <v>1.0023333333333333</v>
      </c>
      <c r="L59" s="36"/>
      <c r="M59" s="36"/>
      <c r="N59" s="6">
        <f t="shared" si="15"/>
        <v>0.15185366666666669</v>
      </c>
      <c r="O59" s="6"/>
      <c r="P59" s="6">
        <f>MIN(P$52:P$54)</f>
        <v>0.123311</v>
      </c>
      <c r="Q59" s="6">
        <f>MAX(Q$52:Q$54)</f>
        <v>0.167577</v>
      </c>
      <c r="R59" s="6"/>
      <c r="S59" s="6"/>
      <c r="T59" s="6">
        <f t="shared" si="15"/>
        <v>4.9834933333333331E-2</v>
      </c>
      <c r="U59" s="6"/>
      <c r="V59" s="6">
        <f>MIN(V$52:V$54)</f>
        <v>4.0463199999999998E-2</v>
      </c>
      <c r="W59" s="6">
        <f>MAX(W$52:W$54)</f>
        <v>5.49744E-2</v>
      </c>
      <c r="X59" s="36"/>
      <c r="Y59" s="36"/>
      <c r="AB59" s="309" t="s">
        <v>307</v>
      </c>
      <c r="AC59" s="309"/>
    </row>
    <row r="60" spans="1:42" ht="40.049999999999997" customHeight="1" x14ac:dyDescent="0.3">
      <c r="A60" s="103" t="s">
        <v>88</v>
      </c>
      <c r="B60" s="245" t="s">
        <v>295</v>
      </c>
      <c r="C60" s="311" t="str">
        <f>"(Meta trial entry) " &amp; CHAR(10) &amp; "Stat means for all 'Calibration-Slow' trials!"</f>
        <v>(Meta trial entry) 
Stat means for all 'Calibration-Slow' trials!</v>
      </c>
      <c r="D60" s="311"/>
      <c r="E60" s="311"/>
      <c r="F60" s="75" t="s">
        <v>161</v>
      </c>
      <c r="G60" s="36">
        <v>1000</v>
      </c>
      <c r="H60" s="36">
        <f>AVERAGE(H$55:H$57)</f>
        <v>1001.6666666666666</v>
      </c>
      <c r="I60" s="36">
        <f>MAX(I$55:I$57)</f>
        <v>1002</v>
      </c>
      <c r="J60" s="36">
        <f>MIN(J$55:J$57)</f>
        <v>1001</v>
      </c>
      <c r="K60" s="37">
        <f t="shared" ref="K60:T60" si="16">AVERAGE(K$55:K$57)</f>
        <v>1.0016666666666667</v>
      </c>
      <c r="L60" s="36"/>
      <c r="M60" s="36"/>
      <c r="N60" s="6">
        <f t="shared" si="16"/>
        <v>0.11500700000000001</v>
      </c>
      <c r="O60" s="6"/>
      <c r="P60" s="6">
        <f>MIN(P$55:P$57)</f>
        <v>0.10671700000000001</v>
      </c>
      <c r="Q60" s="6">
        <f>MAX(Q$55:Q$57)</f>
        <v>0.12937699999999999</v>
      </c>
      <c r="R60" s="6"/>
      <c r="S60" s="6"/>
      <c r="T60" s="6">
        <f t="shared" si="16"/>
        <v>3.7741466666666668E-2</v>
      </c>
      <c r="U60" s="6"/>
      <c r="V60" s="6">
        <f>MIN(V$55:V$57)</f>
        <v>3.5031E-2</v>
      </c>
      <c r="W60" s="6">
        <f>MAX(W$55:W$57)</f>
        <v>4.24275E-2</v>
      </c>
      <c r="X60" s="36"/>
      <c r="Y60" s="36"/>
      <c r="AB60" s="309"/>
      <c r="AC60" s="309"/>
    </row>
    <row r="61" spans="1:42" ht="10.050000000000001" customHeight="1" x14ac:dyDescent="0.3">
      <c r="A61" s="107"/>
      <c r="B61" s="105"/>
      <c r="C61" s="5"/>
      <c r="D61" s="31"/>
      <c r="E61" s="32"/>
      <c r="G61" s="36"/>
      <c r="H61" s="36" t="str">
        <f>IF(COUNTBLANK($A61:$E61)&gt;0, "", IFERROR(AVERAGEIFS(Log!$E:$E, Log!$A:$A, $A61, Log!$B:$B, $B61, Log!$C:$C, $C61),""))</f>
        <v/>
      </c>
      <c r="I61" s="36"/>
      <c r="J61" s="36"/>
      <c r="K61" s="37" t="str">
        <f t="shared" si="14"/>
        <v/>
      </c>
      <c r="L61" s="180" t="str" cm="1">
        <f t="array" ref="L61">_xlfn.LET(_xlpm.row_no, ROW(A61),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M61" s="180" t="str" cm="1">
        <f t="array" ref="M61">_xlfn.LET(_xlpm.row_no, ROW(A61),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c>
      <c r="N61" s="6" t="str">
        <f>IF(COUNTBLANK($A61:$E61)&gt;0, "", IFERROR(AVERAGEIFS(Log!$F:$F, Log!$A:$A, $A61, Log!$B:$B, $B61, Log!$C:$C, $C61),""))</f>
        <v/>
      </c>
      <c r="O61" s="37" t="str">
        <f>IF(COUNTBLANK($A61:$E61)&gt;0, "", IFERROR(AVERAGEIFS(Log!$F:$F, Log!$A:$A, $A61, Log!$B:$B, $B61, Log!$C:$C, $C61),""))</f>
        <v/>
      </c>
      <c r="P61" s="6" t="str">
        <f>IF(COUNTBLANK($A61:$E61)&gt;0, "", IFERROR(_xlfn.MINIFS(Log!$F:$F, Log!$A:$A, $A61, Log!$B:$B, $B61, Log!$C:$C, $C61),""))</f>
        <v/>
      </c>
      <c r="Q61" s="6" t="str">
        <f>IF(COUNTBLANK($A61:$E61)&gt;0, "", IFERROR(_xlfn.MAXIFS(Log!$F:$F, Log!$A:$A, $A61, Log!$B:$B, $B61, Log!$C:$C, $C61),""))</f>
        <v/>
      </c>
      <c r="R61" s="180"/>
      <c r="S61" s="180"/>
      <c r="T61" s="6" t="str">
        <f>IF(COUNTBLANK($A61:$E61)&gt;0, "", IFERROR(AVERAGEIFS(Log!#REF!, Log!$A:$A, $A61, Log!$B:$B, $B61, Log!$C:$C, $C61),""))</f>
        <v/>
      </c>
      <c r="U61" s="37" t="str">
        <f>IF(COUNTBLANK($A61:$E61)&gt;0, "", IFERROR(AVERAGEIFS(Log!$F:$F, Log!$A:$A, $A61, Log!$B:$B, $B61, Log!$C:$C, $C61),""))</f>
        <v/>
      </c>
      <c r="V61" s="6" t="str">
        <f>IF(COUNTBLANK($A61:$E61)&gt;0, "", IFERROR(_xlfn.MINIFS(Log!$G:$G, Log!$A:$A, $A61, Log!$B:$B, $B61, Log!$C:$C, $C61),""))</f>
        <v/>
      </c>
      <c r="W61" s="6" t="str">
        <f>IF(COUNTBLANK($A61:$E61)&gt;0, "", IFERROR(_xlfn.MAXIFS(Log!$G:$G, Log!$A:$A, $A61, Log!$B:$B, $B61, Log!$C:$C, $C61),""))</f>
        <v/>
      </c>
      <c r="X61" s="180"/>
      <c r="Y61" s="180"/>
      <c r="AG61" s="40"/>
    </row>
    <row r="62" spans="1:42" ht="40.049999999999997" customHeight="1" x14ac:dyDescent="0.3">
      <c r="A62" s="103" t="s">
        <v>88</v>
      </c>
      <c r="B62" s="105" t="s">
        <v>308</v>
      </c>
      <c r="C62" s="5">
        <v>46255</v>
      </c>
      <c r="D62" s="246">
        <v>0</v>
      </c>
      <c r="E62" s="32">
        <v>0.84097222222222223</v>
      </c>
      <c r="F62" s="75" t="s">
        <v>245</v>
      </c>
      <c r="G62" s="36">
        <v>1000</v>
      </c>
      <c r="H62" s="36">
        <f>IF(COUNTBLANK($A62:$E62)&gt;0, "", IFERROR(AVERAGEIFS(Log!$E:$E, Log!$A:$A, $A62, Log!$B:$B, $B62, Log!$C:$C, $C62),""))</f>
        <v>1621.3333333333333</v>
      </c>
      <c r="I62" s="36">
        <f>IF(COUNTBLANK($A62:$E62)&gt;0, "", IFERROR(_xlfn.MAXIFS(Log!$E:$E, Log!$A:$A, $A62, Log!$B:$B, $B62, Log!$C:$C, $C62),""))</f>
        <v>2163</v>
      </c>
      <c r="J62" s="36">
        <f>IF(COUNTBLANK($A62:$E62)&gt;0, "", IFERROR(_xlfn.MINIFS(Log!$E:$E, Log!$A:$A, $A62, Log!$B:$B, $B62, Log!$C:$C, $C62),""))</f>
        <v>1002</v>
      </c>
      <c r="K62" s="37">
        <f t="shared" si="14"/>
        <v>1.6213333333333333</v>
      </c>
      <c r="L62" s="180" t="str" cm="1">
        <f t="array" ref="L62">_xlfn.LET(_xlpm.row_no, ROW(A62),
 _xlpm.identity, INDEX($I:$I,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#15</v>
      </c>
      <c r="M62" s="180" t="str" cm="1">
        <f t="array" ref="M62">_xlfn.LET(_xlpm.row_no, ROW(A62),
 _xlpm.identity, INDEX($J:$J, _xlpm.row_no),
 _xlpm.eval_range, Log!$E:$E,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#17</v>
      </c>
      <c r="N62" s="6">
        <f>IF(COUNTBLANK($A62:$E62)&gt;0, "", IFERROR(AVERAGEIFS(Log!$F:$F, Log!$A:$A, $A62, Log!$B:$B, $B62, Log!$C:$C, $C62),""))</f>
        <v>0.40883977777777764</v>
      </c>
      <c r="O62" s="37" cm="1">
        <f t="array" ref="O62">IFERROR(_xlfn.LET(
_xlpm.goal, $N62,
_xlpm.key, $B62,
_xlpm.range, Log!$F:$F,
_xlpm.cameras_above_mean, ROWS(_xlfn.UNIQUE(_xlfn._xlws.FILTER(Log!$D:$D, (_xlpm.range&gt;_xlpm.goal) * (Log!$A:$A="Trial") * (Log!$B:$B=_xlpm.key)))),
_xlpm.total_cameras, ROWS('Data-Lists'!A51:A68),
_xlpm.text_representation, _xlfn.CONCAT(_xlpm.cameras_above_mean, "/", _xlpm.total_cameras),
_xlpm.percentage, _xlpm.cameras_above_mean/_xlpm.total_cameras,
_xlpm.percentage
), 0)</f>
        <v>0.44444444444444442</v>
      </c>
      <c r="P62" s="6">
        <f>IF(COUNTBLANK($A62:$E62)&gt;0, "", IFERROR(_xlfn.MINIFS(Log!$F:$F, Log!$A:$A, $A62, Log!$B:$B, $B62, Log!$C:$C, $C62),""))</f>
        <v>0.28099800000000003</v>
      </c>
      <c r="Q62" s="6">
        <f>IF(COUNTBLANK($A62:$E62)&gt;0, "", IFERROR(_xlfn.MAXIFS(Log!$F:$F, Log!$A:$A, $A62, Log!$B:$B, $B62, Log!$C:$C, $C62),""))</f>
        <v>0.601742</v>
      </c>
      <c r="R62" s="180" t="str" cm="1">
        <f t="array" ref="R62">_xlfn.LET(_xlpm.row_no, ROW(A62),
 _xlpm.identity, INDEX($P:$P,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#8 </v>
      </c>
      <c r="S62" s="180" t="str" cm="1">
        <f t="array" ref="S62">_xlfn.LET(_xlpm.row_no, ROW(A62),
 _xlpm.identity, INDEX($Q:$Q, _xlpm.row_no),
 _xlpm.eval_range, Log!$F:$F,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 xml:space="preserve">#4 </v>
      </c>
      <c r="T62" s="6">
        <f>IF(COUNTBLANK($A62:$E62)&gt;0, "", IFERROR(AVERAGEIFS(Log!$G:$G, Log!$A:$A, $A62, Log!$B:$B, $B62, Log!$C:$C, $C62),""))</f>
        <v>9.8833172222222238E-2</v>
      </c>
      <c r="U62" s="37" cm="1">
        <f t="array" ref="U62">IFERROR(_xlfn.LET(
_xlpm.goal, $T62,
_xlpm.key, $B62,
_xlpm.range, Log!$G:$G,
_xlpm.cameras_above_mean, ROWS(_xlfn.UNIQUE(_xlfn._xlws.FILTER(Log!$D:$D, (_xlpm.range&gt;_xlpm.goal) * (Log!$A:$A="Trial") * (Log!$B:$B=_xlpm.key)))),
_xlpm.total_cameras, ROWS('Data-Lists'!G57:G74),
_xlpm.text_representation, _xlfn.CONCAT(_xlpm.cameras_above_mean, "/", _xlpm.total_cameras),
_xlpm.percentage, _xlpm.cameras_above_mean/_xlpm.total_cameras,
_xlpm.percentage
), 0)</f>
        <v>0.5</v>
      </c>
      <c r="V62" s="6">
        <f>IF(COUNTBLANK($A62:$E62)&gt;0, "", IFERROR(_xlfn.MINIFS(Log!$G:$G, Log!$A:$A, $A62, Log!$B:$B, $B62, Log!$C:$C, $C62),""))</f>
        <v>6.8804900000000002E-2</v>
      </c>
      <c r="W62" s="6">
        <f>IF(COUNTBLANK($A62:$E62)&gt;0, "", IFERROR(_xlfn.MAXIFS(Log!$G:$G, Log!$A:$A, $A62, Log!$B:$B, $B62, Log!$C:$C, $C62),""))</f>
        <v>0.14013600000000001</v>
      </c>
      <c r="X62" s="180" t="str" cm="1">
        <f t="array" ref="X62">_xlfn.LET(_xlpm.row_no, ROW(A62),
 _xlpm.identity, INDEX($V:$V,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#17</v>
      </c>
      <c r="Y62" s="180" t="str" cm="1">
        <f t="array" ref="Y62">_xlfn.LET(_xlpm.row_no, ROW(A62),
 _xlpm.identity, INDEX($W:$W, _xlpm.row_no),
 _xlpm.eval_range, Log!$G:$G,
 _xlpm.category, INDEX($A:$A, _xlpm.row_no),
 _xlpm.category_range, Log!$A:$A,
 _xlpm.key, INDEX($B:$B, _xlpm.row_no),
 _xlpm.key_range, Log!$B:$B,
 _xlpm.date, INDEX($C:$C, _xlpm.row_no),
 _xlpm.date_range, Log!$C:$C,
 _xlpm.winner, _xlfn._xlws.FILTER(
  Log!$D:$D, (_xlpm.eval_range = _xlpm.identity) * (_xlpm.category_range=_xlpm.category) * (_xlpm.key_range=_xlpm.key) * (_xlpm.date_range=_xlpm.date)
),
 _xlfn.UNIQUE(LEFT(_xlpm.winner, 3))
)</f>
        <v>#11</v>
      </c>
      <c r="AA62" s="170"/>
      <c r="AB62" s="147" t="s">
        <v>292</v>
      </c>
      <c r="AD62" s="143" t="s">
        <v>293</v>
      </c>
      <c r="AK62" s="105" t="s">
        <v>308</v>
      </c>
      <c r="AP62" s="43" t="str">
        <f>"reflection-trial-2" &amp; CHAR(10) &amp; "daily baseline"</f>
        <v>reflection-trial-2
daily baseline</v>
      </c>
    </row>
    <row r="63" spans="1:42" ht="40.049999999999997" customHeight="1" x14ac:dyDescent="0.3">
      <c r="A63" s="103" t="s">
        <v>88</v>
      </c>
      <c r="B63" s="247" t="s">
        <v>309</v>
      </c>
      <c r="C63" s="5">
        <v>46255</v>
      </c>
      <c r="D63" s="31">
        <f>'Daily WE'!D$26</f>
        <v>0</v>
      </c>
      <c r="E63" s="31">
        <f>'Daily WE'!E$26</f>
        <v>0.82986111111111116</v>
      </c>
      <c r="F63" s="31" t="str">
        <f>'Daily WE'!F$26</f>
        <v>H</v>
      </c>
      <c r="G63" s="31">
        <f>'Daily WE'!G$26</f>
        <v>1000</v>
      </c>
      <c r="H63" s="36">
        <f>'Daily WE'!H26</f>
        <v>1564.8888888888889</v>
      </c>
      <c r="I63" s="36"/>
      <c r="J63" s="36"/>
      <c r="K63" s="37">
        <f>'Daily WE'!I26</f>
        <v>1.564888888888889</v>
      </c>
      <c r="L63" s="180"/>
      <c r="M63" s="180"/>
      <c r="N63" s="6">
        <f>'Daily WE'!N26</f>
        <v>0.42276977777777769</v>
      </c>
      <c r="O63" s="37"/>
      <c r="P63" s="6">
        <f>'Daily WE'!O26</f>
        <v>0.26023600000000002</v>
      </c>
      <c r="Q63" s="6">
        <f>'Daily WE'!P26</f>
        <v>0.55751899999999999</v>
      </c>
      <c r="R63" s="180"/>
      <c r="S63" s="180"/>
      <c r="T63" s="6">
        <f>'Daily WE'!Q26</f>
        <v>0.10262061111111112</v>
      </c>
      <c r="U63" s="37"/>
      <c r="V63" s="6">
        <f>'Daily WE'!R26</f>
        <v>6.2629799999999999E-2</v>
      </c>
      <c r="W63" s="6">
        <f>'Daily WE'!S26</f>
        <v>0.14977499999999999</v>
      </c>
      <c r="X63" s="180"/>
      <c r="Y63" s="180"/>
    </row>
    <row r="64" spans="1:42" ht="40.049999999999997" customHeight="1" x14ac:dyDescent="0.3">
      <c r="A64" s="107"/>
      <c r="B64" s="105"/>
      <c r="C64" s="5"/>
      <c r="D64" s="40"/>
      <c r="E64" s="32"/>
      <c r="G64" s="36"/>
      <c r="H64" s="36"/>
      <c r="I64" s="36"/>
      <c r="J64" s="36"/>
      <c r="K64" s="37"/>
      <c r="L64" s="180"/>
      <c r="M64" s="180"/>
      <c r="N64" s="6"/>
      <c r="O64" s="37"/>
      <c r="P64" s="6"/>
      <c r="Q64" s="6"/>
      <c r="R64" s="180"/>
      <c r="S64" s="180"/>
      <c r="T64" s="6"/>
      <c r="U64" s="37"/>
      <c r="V64" s="6"/>
      <c r="W64" s="6" t="str">
        <f>IF(COUNTBLANK($A64:$E64)&gt;0, "", IFERROR(_xlfn.MAXIFS(Log!$G:$G, Log!$A:$A, $A64, Log!$B:$B, $B64, Log!$C:$C, $C64),""))</f>
        <v/>
      </c>
      <c r="X64" s="180"/>
      <c r="Y64" s="180"/>
    </row>
    <row r="65" spans="1:25" ht="40.049999999999997" customHeight="1" x14ac:dyDescent="0.3">
      <c r="A65" s="107"/>
      <c r="B65" s="105"/>
      <c r="D65" s="40"/>
      <c r="H65" s="36"/>
      <c r="I65" s="36"/>
      <c r="J65" s="36"/>
      <c r="K65" s="37"/>
      <c r="L65" s="180"/>
      <c r="M65" s="180"/>
      <c r="N65" s="6"/>
      <c r="O65" s="37"/>
      <c r="P65" s="6"/>
      <c r="Q65" s="6"/>
      <c r="R65" s="180"/>
      <c r="S65" s="180"/>
      <c r="T65" s="6"/>
      <c r="U65" s="37"/>
      <c r="V65" s="6"/>
      <c r="W65" s="6" t="str">
        <f>IF(COUNTBLANK($A65:$E65)&gt;0, "", IFERROR(_xlfn.MAXIFS(Log!$G:$G, Log!$A:$A, $A65, Log!$B:$B, $B65, Log!$C:$C, $C65),""))</f>
        <v/>
      </c>
      <c r="X65" s="180"/>
      <c r="Y65" s="180"/>
    </row>
    <row r="66" spans="1:25" ht="40.049999999999997" customHeight="1" x14ac:dyDescent="0.3">
      <c r="A66" s="107"/>
      <c r="B66" s="105"/>
      <c r="H66" s="36"/>
      <c r="I66" s="36"/>
      <c r="J66" s="36"/>
      <c r="K66" s="37"/>
      <c r="L66" s="180"/>
      <c r="M66" s="180"/>
      <c r="N66" s="6"/>
      <c r="O66" s="37"/>
      <c r="P66" s="6"/>
      <c r="Q66" s="6"/>
      <c r="R66" s="180"/>
      <c r="S66" s="180"/>
      <c r="T66" s="6"/>
      <c r="U66" s="37"/>
      <c r="V66" s="6"/>
      <c r="W66" s="6"/>
      <c r="X66" s="180"/>
      <c r="Y66" s="180"/>
    </row>
    <row r="67" spans="1:25" ht="40.049999999999997" customHeight="1" x14ac:dyDescent="0.3">
      <c r="A67" s="107"/>
      <c r="B67" s="105"/>
      <c r="H67" s="36"/>
      <c r="I67" s="40"/>
      <c r="J67" s="36"/>
      <c r="K67" s="37"/>
      <c r="L67" s="180"/>
      <c r="M67" s="180"/>
      <c r="N67" s="6"/>
      <c r="O67" s="37"/>
      <c r="P67" s="6"/>
      <c r="Q67" s="6"/>
      <c r="R67" s="180"/>
      <c r="S67" s="180"/>
      <c r="T67" s="6"/>
      <c r="U67" s="37"/>
      <c r="V67" s="6"/>
      <c r="W67" s="6"/>
      <c r="X67" s="180"/>
      <c r="Y67" s="180"/>
    </row>
    <row r="68" spans="1:25" ht="40.049999999999997" customHeight="1" x14ac:dyDescent="0.3">
      <c r="A68" s="107"/>
      <c r="B68" s="105"/>
      <c r="H68" s="36"/>
      <c r="I68" s="36"/>
      <c r="J68" s="36"/>
      <c r="K68" s="37"/>
      <c r="L68" s="180"/>
      <c r="M68" s="180"/>
      <c r="N68" s="6"/>
      <c r="O68" s="37"/>
      <c r="P68" s="6"/>
      <c r="Q68" s="6"/>
      <c r="R68" s="180"/>
      <c r="S68" s="180"/>
      <c r="T68" s="6"/>
      <c r="U68" s="37"/>
      <c r="V68" s="6"/>
      <c r="W68" s="6"/>
      <c r="X68" s="180"/>
      <c r="Y68" s="180"/>
    </row>
    <row r="69" spans="1:25" ht="40.049999999999997" customHeight="1" x14ac:dyDescent="0.3">
      <c r="A69" s="107"/>
      <c r="B69" s="105"/>
      <c r="H69" s="36"/>
      <c r="I69" s="36"/>
      <c r="J69" s="36"/>
      <c r="K69" s="37"/>
      <c r="L69" s="180"/>
      <c r="M69" s="180"/>
      <c r="N69" s="6"/>
      <c r="O69" s="37"/>
      <c r="P69" s="6"/>
      <c r="Q69" s="6"/>
      <c r="R69" s="180"/>
      <c r="S69" s="180"/>
      <c r="T69" s="6"/>
      <c r="U69" s="37"/>
      <c r="V69" s="6"/>
      <c r="W69" s="6"/>
      <c r="X69" s="180"/>
      <c r="Y69" s="180"/>
    </row>
    <row r="70" spans="1:25" ht="40.049999999999997" customHeight="1" x14ac:dyDescent="0.3">
      <c r="A70" s="107"/>
      <c r="B70" s="105"/>
      <c r="H70" s="36"/>
      <c r="I70" s="36"/>
      <c r="J70" s="36"/>
      <c r="K70" s="37"/>
      <c r="L70" s="180"/>
      <c r="M70" s="180"/>
      <c r="N70" s="6"/>
      <c r="O70" s="37"/>
      <c r="P70" s="6"/>
      <c r="Q70" s="6"/>
      <c r="R70" s="180"/>
      <c r="S70" s="180"/>
      <c r="T70" s="6"/>
      <c r="U70" s="37"/>
      <c r="V70" s="6"/>
      <c r="W70" s="6"/>
      <c r="X70" s="180"/>
      <c r="Y70" s="180"/>
    </row>
    <row r="71" spans="1:25" ht="40.049999999999997" customHeight="1" x14ac:dyDescent="0.3">
      <c r="A71" s="107"/>
      <c r="B71" s="105"/>
      <c r="H71" s="36"/>
      <c r="I71" s="36"/>
      <c r="J71" s="36"/>
      <c r="K71" s="37"/>
      <c r="L71" s="180"/>
      <c r="M71" s="180"/>
      <c r="N71" s="6"/>
      <c r="O71" s="37"/>
      <c r="P71" s="6"/>
      <c r="Q71" s="6"/>
      <c r="R71" s="180"/>
      <c r="S71" s="180"/>
      <c r="T71" s="6"/>
      <c r="U71" s="37"/>
      <c r="V71" s="6"/>
      <c r="W71" s="6"/>
      <c r="X71" s="180"/>
      <c r="Y71" s="180"/>
    </row>
    <row r="72" spans="1:25" ht="40.049999999999997" customHeight="1" x14ac:dyDescent="0.3">
      <c r="A72" s="107"/>
      <c r="B72" s="105"/>
      <c r="H72" s="36"/>
      <c r="I72" s="36"/>
      <c r="J72" s="36"/>
      <c r="K72" s="37"/>
      <c r="L72" s="180"/>
      <c r="M72" s="180"/>
      <c r="N72" s="6"/>
      <c r="O72" s="37"/>
      <c r="P72" s="6"/>
      <c r="Q72" s="6"/>
      <c r="R72" s="180"/>
      <c r="S72" s="180"/>
      <c r="T72" s="6"/>
      <c r="U72" s="37"/>
      <c r="V72" s="6"/>
      <c r="W72" s="6"/>
      <c r="X72" s="180"/>
      <c r="Y72" s="180"/>
    </row>
    <row r="73" spans="1:25" ht="40.049999999999997" customHeight="1" x14ac:dyDescent="0.3">
      <c r="A73" s="107"/>
      <c r="B73" s="105"/>
      <c r="H73" s="36"/>
      <c r="I73" s="36"/>
      <c r="J73" s="36"/>
      <c r="K73" s="37"/>
      <c r="L73" s="180"/>
      <c r="M73" s="180"/>
      <c r="N73" s="6"/>
      <c r="O73" s="37"/>
      <c r="P73" s="6"/>
      <c r="Q73" s="6"/>
      <c r="R73" s="180"/>
      <c r="S73" s="180"/>
      <c r="T73" s="6"/>
      <c r="U73" s="37"/>
      <c r="V73" s="6"/>
      <c r="W73" s="6"/>
      <c r="X73" s="180"/>
      <c r="Y73" s="180"/>
    </row>
    <row r="74" spans="1:25" ht="40.049999999999997" customHeight="1" x14ac:dyDescent="0.3">
      <c r="A74" s="107"/>
      <c r="B74" s="105"/>
      <c r="H74" s="36"/>
      <c r="I74" s="36"/>
      <c r="J74" s="36"/>
      <c r="K74" s="37"/>
      <c r="L74" s="180"/>
      <c r="M74" s="180"/>
      <c r="N74" s="6"/>
      <c r="O74" s="37"/>
      <c r="P74" s="6"/>
      <c r="Q74" s="6"/>
      <c r="R74" s="180"/>
      <c r="S74" s="180"/>
      <c r="T74" s="6"/>
      <c r="U74" s="37"/>
      <c r="V74" s="6"/>
      <c r="W74" s="6"/>
      <c r="X74" s="180"/>
      <c r="Y74" s="180"/>
    </row>
    <row r="75" spans="1:25" ht="40.049999999999997" customHeight="1" x14ac:dyDescent="0.3">
      <c r="A75" s="107"/>
      <c r="B75" s="105"/>
      <c r="H75" s="36"/>
      <c r="I75" s="36"/>
      <c r="J75" s="36"/>
      <c r="K75" s="37"/>
      <c r="L75" s="180"/>
      <c r="M75" s="180"/>
      <c r="N75" s="6"/>
      <c r="O75" s="37"/>
      <c r="P75" s="6"/>
      <c r="Q75" s="6"/>
      <c r="R75" s="180"/>
      <c r="S75" s="180"/>
      <c r="T75" s="6"/>
      <c r="U75" s="37"/>
      <c r="V75" s="6"/>
      <c r="W75" s="6"/>
      <c r="X75" s="180"/>
      <c r="Y75" s="180"/>
    </row>
    <row r="76" spans="1:25" ht="40.049999999999997" customHeight="1" x14ac:dyDescent="0.3">
      <c r="A76" s="107"/>
      <c r="B76" s="105"/>
      <c r="H76" s="36"/>
      <c r="I76" s="36"/>
      <c r="J76" s="36"/>
      <c r="K76" s="37"/>
      <c r="L76" s="180"/>
      <c r="M76" s="180"/>
      <c r="N76" s="6"/>
      <c r="O76" s="37"/>
      <c r="P76" s="6"/>
      <c r="Q76" s="6"/>
      <c r="R76" s="180"/>
      <c r="S76" s="180"/>
      <c r="T76" s="6"/>
      <c r="U76" s="37"/>
      <c r="V76" s="6"/>
      <c r="W76" s="6"/>
      <c r="X76" s="180"/>
      <c r="Y76" s="180"/>
    </row>
    <row r="77" spans="1:25" ht="40.049999999999997" customHeight="1" x14ac:dyDescent="0.3">
      <c r="A77" s="107"/>
      <c r="B77" s="105"/>
      <c r="H77" s="36"/>
      <c r="I77" s="36"/>
      <c r="J77" s="36"/>
      <c r="K77" s="37"/>
      <c r="L77" s="180"/>
      <c r="M77" s="180"/>
      <c r="N77" s="6"/>
      <c r="O77" s="37"/>
      <c r="P77" s="6"/>
      <c r="Q77" s="6"/>
      <c r="R77" s="180"/>
      <c r="S77" s="180"/>
      <c r="T77" s="6"/>
      <c r="U77" s="37"/>
      <c r="V77" s="6"/>
      <c r="W77" s="6"/>
      <c r="X77" s="180"/>
      <c r="Y77" s="180"/>
    </row>
    <row r="78" spans="1:25" ht="40.049999999999997" customHeight="1" x14ac:dyDescent="0.3">
      <c r="A78" s="107"/>
      <c r="B78" s="105"/>
      <c r="H78" s="36"/>
      <c r="I78" s="36"/>
      <c r="J78" s="36"/>
      <c r="K78" s="37"/>
      <c r="L78" s="180"/>
      <c r="M78" s="180"/>
      <c r="N78" s="6"/>
      <c r="O78" s="37"/>
      <c r="P78" s="6"/>
      <c r="Q78" s="6"/>
      <c r="R78" s="180"/>
      <c r="S78" s="180"/>
      <c r="T78" s="6"/>
      <c r="U78" s="37"/>
      <c r="V78" s="6"/>
      <c r="W78" s="6"/>
      <c r="X78" s="180"/>
      <c r="Y78" s="180"/>
    </row>
    <row r="79" spans="1:25" ht="40.049999999999997" customHeight="1" x14ac:dyDescent="0.3">
      <c r="A79" s="107"/>
      <c r="B79" s="105"/>
      <c r="H79" s="36"/>
      <c r="I79" s="36"/>
      <c r="J79" s="36"/>
      <c r="K79" s="37"/>
      <c r="L79" s="180"/>
      <c r="M79" s="180"/>
      <c r="N79" s="6"/>
      <c r="O79" s="37"/>
      <c r="P79" s="6"/>
      <c r="Q79" s="6"/>
      <c r="R79" s="180"/>
      <c r="S79" s="180"/>
      <c r="T79" s="6"/>
      <c r="U79" s="37"/>
      <c r="V79" s="6"/>
      <c r="W79" s="6"/>
      <c r="X79" s="180"/>
      <c r="Y79" s="180"/>
    </row>
    <row r="80" spans="1:25" ht="40.049999999999997" customHeight="1" x14ac:dyDescent="0.3">
      <c r="A80" s="107"/>
      <c r="B80" s="105"/>
      <c r="H80" s="36"/>
      <c r="I80" s="36"/>
      <c r="J80" s="36"/>
      <c r="K80" s="37"/>
      <c r="L80" s="180"/>
      <c r="M80" s="180"/>
      <c r="N80" s="6"/>
      <c r="O80" s="37"/>
      <c r="P80" s="6"/>
      <c r="Q80" s="6"/>
      <c r="R80" s="180"/>
      <c r="S80" s="180"/>
      <c r="T80" s="6"/>
      <c r="U80" s="37"/>
      <c r="V80" s="6"/>
      <c r="W80" s="6"/>
      <c r="X80" s="180"/>
      <c r="Y80" s="180"/>
    </row>
    <row r="81" spans="1:25" ht="40.049999999999997" customHeight="1" x14ac:dyDescent="0.3">
      <c r="A81" s="107"/>
      <c r="B81" s="105"/>
      <c r="H81" s="36"/>
      <c r="I81" s="36"/>
      <c r="J81" s="36"/>
      <c r="K81" s="37"/>
      <c r="L81" s="180"/>
      <c r="M81" s="180"/>
      <c r="N81" s="6"/>
      <c r="O81" s="37"/>
      <c r="P81" s="6"/>
      <c r="Q81" s="6"/>
      <c r="R81" s="180"/>
      <c r="S81" s="180"/>
      <c r="T81" s="6"/>
      <c r="U81" s="37"/>
      <c r="V81" s="6"/>
      <c r="W81" s="6"/>
      <c r="X81" s="180"/>
      <c r="Y81" s="180"/>
    </row>
    <row r="82" spans="1:25" ht="40.049999999999997" customHeight="1" x14ac:dyDescent="0.3">
      <c r="A82" s="107"/>
      <c r="B82" s="105"/>
      <c r="H82" s="36"/>
      <c r="I82" s="36"/>
      <c r="J82" s="36"/>
      <c r="K82" s="37"/>
      <c r="L82" s="180"/>
      <c r="M82" s="180"/>
      <c r="N82" s="6"/>
      <c r="O82" s="37"/>
      <c r="P82" s="6"/>
      <c r="Q82" s="6"/>
      <c r="R82" s="180"/>
      <c r="S82" s="180"/>
      <c r="T82" s="6"/>
      <c r="U82" s="37"/>
      <c r="V82" s="6"/>
      <c r="W82" s="6"/>
      <c r="X82" s="180"/>
      <c r="Y82" s="180"/>
    </row>
    <row r="83" spans="1:25" ht="40.049999999999997" customHeight="1" x14ac:dyDescent="0.3">
      <c r="A83" s="107"/>
      <c r="B83" s="105"/>
      <c r="H83" s="36"/>
      <c r="I83" s="36"/>
      <c r="J83" s="36"/>
      <c r="K83" s="37"/>
      <c r="L83" s="180"/>
      <c r="M83" s="180"/>
      <c r="N83" s="6"/>
      <c r="O83" s="37"/>
      <c r="P83" s="6"/>
      <c r="Q83" s="6"/>
      <c r="R83" s="180"/>
      <c r="S83" s="180"/>
      <c r="T83" s="6"/>
      <c r="U83" s="37"/>
      <c r="V83" s="6"/>
      <c r="W83" s="6"/>
      <c r="X83" s="180"/>
      <c r="Y83" s="180"/>
    </row>
    <row r="84" spans="1:25" ht="40.049999999999997" customHeight="1" x14ac:dyDescent="0.3">
      <c r="A84" s="107"/>
      <c r="B84" s="105"/>
      <c r="H84" s="36"/>
      <c r="I84" s="36"/>
      <c r="J84" s="36"/>
      <c r="K84" s="37"/>
      <c r="L84" s="180"/>
      <c r="M84" s="180"/>
      <c r="N84" s="6"/>
      <c r="O84" s="37"/>
      <c r="P84" s="6"/>
      <c r="Q84" s="6"/>
      <c r="R84" s="180"/>
      <c r="S84" s="180"/>
      <c r="T84" s="6"/>
      <c r="U84" s="37"/>
      <c r="V84" s="6"/>
      <c r="W84" s="6"/>
      <c r="X84" s="180"/>
      <c r="Y84" s="180"/>
    </row>
    <row r="85" spans="1:25" ht="40.049999999999997" customHeight="1" x14ac:dyDescent="0.3">
      <c r="A85" s="107"/>
      <c r="B85" s="105"/>
      <c r="H85" s="36"/>
      <c r="I85" s="36"/>
      <c r="J85" s="36"/>
      <c r="K85" s="37"/>
      <c r="L85" s="180"/>
      <c r="M85" s="180"/>
      <c r="N85" s="6"/>
      <c r="O85" s="37"/>
      <c r="P85" s="6"/>
      <c r="Q85" s="6"/>
      <c r="R85" s="180"/>
      <c r="S85" s="180"/>
      <c r="T85" s="6"/>
      <c r="U85" s="37"/>
      <c r="V85" s="6"/>
      <c r="W85" s="6"/>
      <c r="X85" s="180"/>
      <c r="Y85" s="180"/>
    </row>
    <row r="86" spans="1:25" ht="40.049999999999997" customHeight="1" x14ac:dyDescent="0.3">
      <c r="A86" s="107"/>
      <c r="B86" s="105"/>
      <c r="H86" s="36"/>
      <c r="I86" s="36"/>
      <c r="J86" s="36"/>
      <c r="K86" s="37"/>
      <c r="L86" s="180"/>
      <c r="M86" s="180"/>
      <c r="N86" s="6"/>
      <c r="O86" s="37"/>
      <c r="P86" s="6"/>
      <c r="Q86" s="6"/>
      <c r="R86" s="180"/>
      <c r="S86" s="180"/>
      <c r="T86" s="6"/>
      <c r="U86" s="37"/>
      <c r="V86" s="6"/>
      <c r="W86" s="6"/>
      <c r="X86" s="180"/>
      <c r="Y86" s="180"/>
    </row>
    <row r="87" spans="1:25" ht="40.049999999999997" customHeight="1" x14ac:dyDescent="0.3">
      <c r="A87" s="107"/>
      <c r="B87" s="105"/>
      <c r="H87" s="36"/>
      <c r="I87" s="36"/>
      <c r="J87" s="36"/>
      <c r="K87" s="37"/>
      <c r="L87" s="180"/>
      <c r="M87" s="180"/>
      <c r="N87" s="6"/>
      <c r="O87" s="37"/>
      <c r="P87" s="6"/>
      <c r="Q87" s="6"/>
      <c r="R87" s="180"/>
      <c r="S87" s="180"/>
      <c r="T87" s="6"/>
      <c r="U87" s="37"/>
      <c r="V87" s="6"/>
      <c r="W87" s="6"/>
      <c r="X87" s="180"/>
      <c r="Y87" s="180"/>
    </row>
    <row r="88" spans="1:25" ht="40.049999999999997" customHeight="1" x14ac:dyDescent="0.3">
      <c r="A88" s="107"/>
      <c r="B88" s="105"/>
      <c r="H88" s="36"/>
      <c r="I88" s="36"/>
      <c r="J88" s="36"/>
      <c r="K88" s="37"/>
      <c r="L88" s="180"/>
      <c r="M88" s="180"/>
      <c r="N88" s="6"/>
      <c r="O88" s="37"/>
      <c r="P88" s="6"/>
      <c r="Q88" s="6"/>
      <c r="R88" s="180"/>
      <c r="S88" s="180"/>
      <c r="T88" s="6"/>
      <c r="U88" s="37"/>
      <c r="V88" s="6"/>
      <c r="W88" s="6"/>
      <c r="X88" s="180"/>
      <c r="Y88" s="180"/>
    </row>
    <row r="89" spans="1:25" ht="40.049999999999997" customHeight="1" x14ac:dyDescent="0.3">
      <c r="A89" s="107"/>
      <c r="B89" s="105"/>
      <c r="H89" s="36"/>
      <c r="I89" s="36"/>
      <c r="J89" s="36"/>
      <c r="K89" s="37"/>
      <c r="L89" s="180"/>
      <c r="M89" s="180"/>
      <c r="N89" s="6"/>
      <c r="O89" s="37"/>
      <c r="P89" s="6"/>
      <c r="Q89" s="6"/>
      <c r="R89" s="180"/>
      <c r="S89" s="180"/>
      <c r="T89" s="6"/>
      <c r="U89" s="37"/>
      <c r="V89" s="6"/>
      <c r="W89" s="6"/>
      <c r="X89" s="180"/>
      <c r="Y89" s="180"/>
    </row>
    <row r="90" spans="1:25" ht="40.049999999999997" customHeight="1" x14ac:dyDescent="0.3">
      <c r="A90" s="107"/>
      <c r="B90" s="105"/>
      <c r="H90" s="36"/>
      <c r="I90" s="36"/>
      <c r="J90" s="36"/>
      <c r="K90" s="37"/>
      <c r="L90" s="180"/>
      <c r="M90" s="180"/>
      <c r="N90" s="6"/>
      <c r="O90" s="37"/>
      <c r="P90" s="6"/>
      <c r="Q90" s="6"/>
      <c r="R90" s="180"/>
      <c r="S90" s="180"/>
      <c r="T90" s="6"/>
      <c r="U90" s="37"/>
      <c r="V90" s="6"/>
      <c r="W90" s="6"/>
      <c r="X90" s="180"/>
      <c r="Y90" s="180"/>
    </row>
    <row r="91" spans="1:25" ht="40.049999999999997" customHeight="1" x14ac:dyDescent="0.3">
      <c r="A91" s="107"/>
      <c r="B91" s="105"/>
      <c r="H91" s="36"/>
      <c r="I91" s="36"/>
      <c r="J91" s="36"/>
      <c r="K91" s="37"/>
      <c r="L91" s="180"/>
      <c r="M91" s="180"/>
      <c r="N91" s="6"/>
      <c r="O91" s="37"/>
      <c r="P91" s="6"/>
      <c r="Q91" s="6"/>
      <c r="R91" s="180"/>
      <c r="S91" s="180"/>
      <c r="T91" s="6"/>
      <c r="U91" s="37"/>
      <c r="V91" s="6"/>
      <c r="W91" s="6"/>
      <c r="X91" s="180"/>
      <c r="Y91" s="180"/>
    </row>
    <row r="92" spans="1:25" ht="40.049999999999997" customHeight="1" x14ac:dyDescent="0.3">
      <c r="A92" s="107"/>
      <c r="B92" s="105"/>
      <c r="H92" s="36"/>
      <c r="I92" s="36"/>
      <c r="J92" s="36"/>
      <c r="K92" s="37"/>
      <c r="L92" s="180"/>
      <c r="M92" s="180"/>
      <c r="N92" s="6"/>
      <c r="O92" s="37"/>
      <c r="P92" s="6"/>
      <c r="Q92" s="6"/>
      <c r="R92" s="180"/>
      <c r="S92" s="180"/>
      <c r="T92" s="6"/>
      <c r="U92" s="37"/>
      <c r="V92" s="6"/>
      <c r="W92" s="6"/>
      <c r="X92" s="180"/>
      <c r="Y92" s="180"/>
    </row>
    <row r="93" spans="1:25" ht="40.049999999999997" customHeight="1" x14ac:dyDescent="0.3">
      <c r="A93" s="107"/>
      <c r="B93" s="105"/>
      <c r="H93" s="36"/>
      <c r="I93" s="36"/>
      <c r="J93" s="36"/>
      <c r="K93" s="37"/>
      <c r="L93" s="180"/>
      <c r="M93" s="180"/>
      <c r="N93" s="6"/>
      <c r="O93" s="37"/>
      <c r="P93" s="6"/>
      <c r="Q93" s="6"/>
      <c r="R93" s="180"/>
      <c r="S93" s="180"/>
      <c r="T93" s="6"/>
      <c r="U93" s="37"/>
      <c r="V93" s="6"/>
      <c r="W93" s="6"/>
      <c r="X93" s="180"/>
      <c r="Y93" s="180"/>
    </row>
    <row r="94" spans="1:25" ht="40.049999999999997" customHeight="1" x14ac:dyDescent="0.3">
      <c r="A94" s="107"/>
      <c r="B94" s="105"/>
      <c r="H94" s="36"/>
      <c r="I94" s="36"/>
      <c r="J94" s="36"/>
      <c r="K94" s="37"/>
      <c r="L94" s="180"/>
      <c r="M94" s="180"/>
      <c r="N94" s="6"/>
      <c r="O94" s="37"/>
      <c r="P94" s="6"/>
      <c r="Q94" s="6"/>
      <c r="R94" s="180"/>
      <c r="S94" s="180"/>
      <c r="T94" s="6"/>
      <c r="U94" s="37"/>
      <c r="V94" s="6"/>
      <c r="W94" s="6"/>
      <c r="X94" s="180"/>
      <c r="Y94" s="180"/>
    </row>
    <row r="95" spans="1:25" ht="40.049999999999997" customHeight="1" x14ac:dyDescent="0.3">
      <c r="A95" s="107"/>
      <c r="B95" s="105"/>
      <c r="H95" s="36"/>
      <c r="I95" s="36"/>
      <c r="J95" s="36"/>
      <c r="K95" s="37"/>
      <c r="L95" s="180"/>
      <c r="M95" s="180"/>
      <c r="N95" s="6"/>
      <c r="O95" s="37"/>
      <c r="P95" s="6"/>
      <c r="Q95" s="6"/>
      <c r="R95" s="180"/>
      <c r="S95" s="180"/>
      <c r="T95" s="6"/>
      <c r="U95" s="37"/>
      <c r="V95" s="6"/>
      <c r="W95" s="6"/>
      <c r="X95" s="180"/>
      <c r="Y95" s="180"/>
    </row>
    <row r="96" spans="1:25" ht="40.049999999999997" customHeight="1" x14ac:dyDescent="0.3">
      <c r="A96" s="107"/>
      <c r="B96" s="105"/>
      <c r="H96" s="36"/>
      <c r="I96" s="36"/>
      <c r="J96" s="36"/>
      <c r="K96" s="37"/>
      <c r="L96" s="180"/>
      <c r="M96" s="180"/>
      <c r="N96" s="6"/>
      <c r="O96" s="37"/>
      <c r="P96" s="6"/>
      <c r="Q96" s="6"/>
      <c r="R96" s="180"/>
      <c r="S96" s="180"/>
      <c r="T96" s="6"/>
      <c r="U96" s="37"/>
      <c r="V96" s="6"/>
      <c r="W96" s="6"/>
      <c r="X96" s="180"/>
      <c r="Y96" s="180"/>
    </row>
    <row r="97" spans="1:25" ht="40.049999999999997" customHeight="1" x14ac:dyDescent="0.3">
      <c r="A97" s="107"/>
      <c r="B97" s="105"/>
      <c r="H97" s="36"/>
      <c r="I97" s="36"/>
      <c r="J97" s="36"/>
      <c r="K97" s="37"/>
      <c r="L97" s="180"/>
      <c r="M97" s="180"/>
      <c r="N97" s="6"/>
      <c r="O97" s="37"/>
      <c r="P97" s="6"/>
      <c r="Q97" s="6"/>
      <c r="R97" s="180"/>
      <c r="S97" s="180"/>
      <c r="T97" s="6"/>
      <c r="U97" s="37"/>
      <c r="V97" s="6"/>
      <c r="W97" s="6"/>
      <c r="X97" s="180"/>
      <c r="Y97" s="180"/>
    </row>
    <row r="98" spans="1:25" ht="40.049999999999997" customHeight="1" x14ac:dyDescent="0.3">
      <c r="A98" s="107"/>
      <c r="B98" s="105"/>
      <c r="H98" s="36"/>
      <c r="I98" s="36"/>
      <c r="J98" s="36"/>
      <c r="K98" s="37"/>
      <c r="L98" s="180"/>
      <c r="M98" s="180"/>
      <c r="N98" s="6"/>
      <c r="O98" s="37"/>
      <c r="P98" s="6"/>
      <c r="Q98" s="6"/>
      <c r="R98" s="180"/>
      <c r="S98" s="180"/>
      <c r="T98" s="6"/>
      <c r="U98" s="37"/>
      <c r="V98" s="6"/>
      <c r="W98" s="6"/>
      <c r="X98" s="180"/>
      <c r="Y98" s="180"/>
    </row>
    <row r="99" spans="1:25" ht="40.049999999999997" customHeight="1" x14ac:dyDescent="0.3">
      <c r="A99" s="107"/>
      <c r="B99" s="105"/>
      <c r="H99" s="36"/>
      <c r="I99" s="36"/>
      <c r="J99" s="36"/>
      <c r="K99" s="37"/>
      <c r="L99" s="180"/>
      <c r="M99" s="180"/>
      <c r="N99" s="6"/>
      <c r="O99" s="37"/>
      <c r="P99" s="6"/>
      <c r="Q99" s="6"/>
      <c r="R99" s="180"/>
      <c r="S99" s="180"/>
      <c r="T99" s="6"/>
      <c r="U99" s="37"/>
      <c r="V99" s="6"/>
      <c r="W99" s="6"/>
      <c r="X99" s="180"/>
      <c r="Y99" s="180"/>
    </row>
    <row r="100" spans="1:25" ht="40.049999999999997" customHeight="1" x14ac:dyDescent="0.3">
      <c r="A100" s="107"/>
      <c r="B100" s="105"/>
      <c r="H100" s="36"/>
      <c r="I100" s="36"/>
      <c r="J100" s="36"/>
      <c r="K100" s="37"/>
      <c r="L100" s="180"/>
      <c r="M100" s="180"/>
      <c r="N100" s="6"/>
      <c r="O100" s="37"/>
      <c r="P100" s="6"/>
      <c r="Q100" s="6"/>
      <c r="R100" s="180"/>
      <c r="S100" s="180"/>
      <c r="T100" s="6"/>
      <c r="U100" s="37"/>
      <c r="V100" s="6"/>
      <c r="W100" s="6"/>
      <c r="X100" s="180"/>
      <c r="Y100" s="180"/>
    </row>
    <row r="101" spans="1:25" ht="40.049999999999997" customHeight="1" x14ac:dyDescent="0.3">
      <c r="A101" s="107"/>
      <c r="B101" s="105"/>
      <c r="H101" s="36"/>
      <c r="I101" s="36"/>
      <c r="J101" s="36"/>
      <c r="K101" s="37"/>
      <c r="L101" s="180"/>
      <c r="M101" s="180"/>
      <c r="N101" s="6"/>
      <c r="O101" s="37"/>
      <c r="P101" s="6"/>
      <c r="Q101" s="6"/>
      <c r="R101" s="180"/>
      <c r="S101" s="180"/>
      <c r="T101" s="6"/>
      <c r="U101" s="37"/>
      <c r="V101" s="6"/>
      <c r="W101" s="6"/>
      <c r="X101" s="180"/>
      <c r="Y101" s="180"/>
    </row>
    <row r="102" spans="1:25" ht="40.049999999999997" customHeight="1" x14ac:dyDescent="0.3">
      <c r="A102" s="107"/>
      <c r="B102" s="105"/>
      <c r="H102" s="36"/>
      <c r="I102" s="36"/>
      <c r="J102" s="36"/>
      <c r="K102" s="37"/>
      <c r="L102" s="180"/>
      <c r="M102" s="180"/>
      <c r="N102" s="6"/>
      <c r="O102" s="37"/>
      <c r="P102" s="6"/>
      <c r="Q102" s="6"/>
      <c r="R102" s="180"/>
      <c r="S102" s="180"/>
      <c r="T102" s="6"/>
      <c r="U102" s="37"/>
      <c r="V102" s="6"/>
      <c r="W102" s="6"/>
      <c r="X102" s="180"/>
      <c r="Y102" s="180"/>
    </row>
    <row r="103" spans="1:25" ht="40.049999999999997" customHeight="1" x14ac:dyDescent="0.3">
      <c r="A103" s="107"/>
      <c r="B103" s="105"/>
      <c r="H103" s="36"/>
      <c r="I103" s="36"/>
      <c r="J103" s="36"/>
      <c r="K103" s="37"/>
      <c r="L103" s="180"/>
      <c r="M103" s="180"/>
      <c r="N103" s="6"/>
      <c r="O103" s="37"/>
      <c r="P103" s="6"/>
      <c r="Q103" s="6"/>
      <c r="R103" s="180"/>
      <c r="S103" s="180"/>
      <c r="T103" s="6"/>
      <c r="U103" s="37"/>
      <c r="V103" s="6"/>
      <c r="W103" s="6"/>
      <c r="X103" s="180"/>
      <c r="Y103" s="180"/>
    </row>
    <row r="104" spans="1:25" ht="40.049999999999997" customHeight="1" x14ac:dyDescent="0.3">
      <c r="A104" s="107"/>
      <c r="B104" s="105"/>
      <c r="H104" s="36"/>
      <c r="I104" s="36"/>
      <c r="J104" s="36"/>
      <c r="K104" s="37"/>
      <c r="L104" s="180"/>
      <c r="M104" s="180"/>
      <c r="N104" s="6"/>
      <c r="O104" s="37"/>
      <c r="P104" s="6"/>
      <c r="Q104" s="6"/>
      <c r="R104" s="180"/>
      <c r="S104" s="180"/>
      <c r="T104" s="6"/>
      <c r="U104" s="37"/>
      <c r="V104" s="6"/>
      <c r="W104" s="6"/>
      <c r="X104" s="180"/>
      <c r="Y104" s="180"/>
    </row>
    <row r="105" spans="1:25" ht="40.049999999999997" customHeight="1" x14ac:dyDescent="0.3">
      <c r="A105" s="107"/>
      <c r="B105" s="105"/>
      <c r="H105" s="36"/>
      <c r="I105" s="36"/>
      <c r="J105" s="36"/>
      <c r="K105" s="37"/>
      <c r="L105" s="180"/>
      <c r="M105" s="180"/>
      <c r="N105" s="6"/>
      <c r="O105" s="37"/>
      <c r="P105" s="6"/>
      <c r="Q105" s="6"/>
      <c r="R105" s="180"/>
      <c r="S105" s="180"/>
      <c r="T105" s="6"/>
      <c r="U105" s="37"/>
      <c r="V105" s="6"/>
      <c r="W105" s="6"/>
      <c r="X105" s="180"/>
      <c r="Y105" s="180"/>
    </row>
    <row r="106" spans="1:25" ht="40.049999999999997" customHeight="1" x14ac:dyDescent="0.3">
      <c r="A106" s="107"/>
      <c r="B106" s="105"/>
      <c r="H106" s="36"/>
      <c r="I106" s="36"/>
      <c r="J106" s="36"/>
      <c r="K106" s="37"/>
      <c r="L106" s="180"/>
      <c r="M106" s="180"/>
      <c r="N106" s="6"/>
      <c r="O106" s="37"/>
      <c r="P106" s="6"/>
      <c r="Q106" s="6"/>
      <c r="R106" s="180"/>
      <c r="S106" s="180"/>
      <c r="T106" s="6"/>
      <c r="U106" s="37"/>
      <c r="V106" s="6"/>
      <c r="W106" s="6"/>
      <c r="X106" s="180"/>
      <c r="Y106" s="180"/>
    </row>
    <row r="107" spans="1:25" ht="40.049999999999997" customHeight="1" x14ac:dyDescent="0.3">
      <c r="A107" s="107"/>
      <c r="B107" s="105"/>
      <c r="H107" s="36"/>
      <c r="I107" s="36"/>
      <c r="J107" s="36"/>
      <c r="K107" s="37"/>
      <c r="L107" s="180"/>
      <c r="M107" s="180"/>
      <c r="N107" s="6"/>
      <c r="O107" s="37"/>
      <c r="P107" s="6"/>
      <c r="Q107" s="6"/>
      <c r="R107" s="180"/>
      <c r="S107" s="180"/>
      <c r="T107" s="6"/>
      <c r="U107" s="37"/>
      <c r="V107" s="6"/>
      <c r="W107" s="6"/>
      <c r="X107" s="180"/>
      <c r="Y107" s="180"/>
    </row>
    <row r="108" spans="1:25" ht="40.049999999999997" customHeight="1" x14ac:dyDescent="0.3">
      <c r="A108" s="107"/>
      <c r="B108" s="105"/>
      <c r="H108" s="36"/>
      <c r="I108" s="36"/>
      <c r="J108" s="36"/>
      <c r="K108" s="37"/>
      <c r="L108" s="180"/>
      <c r="M108" s="180"/>
      <c r="N108" s="6"/>
      <c r="O108" s="37"/>
      <c r="P108" s="6"/>
      <c r="Q108" s="6"/>
      <c r="R108" s="180"/>
      <c r="S108" s="180"/>
      <c r="T108" s="6"/>
      <c r="U108" s="37"/>
      <c r="V108" s="6"/>
      <c r="W108" s="6"/>
      <c r="X108" s="180"/>
      <c r="Y108" s="180"/>
    </row>
    <row r="109" spans="1:25" ht="40.049999999999997" customHeight="1" x14ac:dyDescent="0.3">
      <c r="A109" s="107"/>
      <c r="B109" s="105"/>
      <c r="H109" s="36"/>
      <c r="I109" s="36"/>
      <c r="J109" s="36"/>
      <c r="K109" s="37"/>
      <c r="L109" s="180"/>
      <c r="M109" s="180"/>
      <c r="N109" s="6"/>
      <c r="O109" s="37"/>
      <c r="P109" s="6"/>
      <c r="Q109" s="6"/>
      <c r="R109" s="180"/>
      <c r="S109" s="180"/>
      <c r="T109" s="6"/>
      <c r="U109" s="37"/>
      <c r="V109" s="6"/>
      <c r="W109" s="6"/>
      <c r="X109" s="180"/>
      <c r="Y109" s="180"/>
    </row>
    <row r="110" spans="1:25" ht="40.049999999999997" customHeight="1" x14ac:dyDescent="0.3">
      <c r="A110" s="107"/>
      <c r="B110" s="105"/>
      <c r="H110" s="36"/>
      <c r="I110" s="36"/>
      <c r="J110" s="36"/>
      <c r="K110" s="37"/>
      <c r="L110" s="180"/>
      <c r="M110" s="180"/>
      <c r="N110" s="6"/>
      <c r="O110" s="37"/>
      <c r="P110" s="6"/>
      <c r="Q110" s="6"/>
      <c r="R110" s="180"/>
      <c r="S110" s="180"/>
      <c r="T110" s="6"/>
      <c r="U110" s="37"/>
      <c r="V110" s="6"/>
      <c r="W110" s="6"/>
      <c r="X110" s="180"/>
      <c r="Y110" s="180"/>
    </row>
    <row r="111" spans="1:25" ht="40.049999999999997" customHeight="1" x14ac:dyDescent="0.3">
      <c r="A111" s="107"/>
      <c r="B111" s="105"/>
      <c r="H111" s="36"/>
      <c r="I111" s="36"/>
      <c r="J111" s="36"/>
      <c r="K111" s="37"/>
      <c r="L111" s="180"/>
      <c r="M111" s="180"/>
      <c r="N111" s="6"/>
      <c r="O111" s="37"/>
      <c r="P111" s="6"/>
      <c r="Q111" s="6"/>
      <c r="R111" s="180"/>
      <c r="S111" s="180"/>
      <c r="T111" s="6"/>
      <c r="U111" s="37"/>
      <c r="V111" s="6"/>
      <c r="W111" s="6"/>
      <c r="X111" s="180"/>
      <c r="Y111" s="180"/>
    </row>
    <row r="112" spans="1:25" ht="40.049999999999997" customHeight="1" x14ac:dyDescent="0.3">
      <c r="A112" s="107"/>
      <c r="B112" s="105"/>
      <c r="H112" s="36"/>
      <c r="I112" s="36"/>
      <c r="J112" s="36"/>
      <c r="K112" s="37"/>
      <c r="L112" s="180"/>
      <c r="M112" s="180"/>
      <c r="N112" s="6"/>
      <c r="O112" s="37"/>
      <c r="P112" s="6"/>
      <c r="Q112" s="6"/>
      <c r="R112" s="180"/>
      <c r="S112" s="180"/>
      <c r="T112" s="6"/>
      <c r="U112" s="37"/>
      <c r="V112" s="6"/>
      <c r="W112" s="6"/>
      <c r="X112" s="180"/>
      <c r="Y112" s="180"/>
    </row>
    <row r="113" spans="1:25" ht="40.049999999999997" customHeight="1" x14ac:dyDescent="0.3">
      <c r="A113" s="107"/>
      <c r="B113" s="105"/>
      <c r="H113" s="36"/>
      <c r="I113" s="36"/>
      <c r="J113" s="36"/>
      <c r="K113" s="37"/>
      <c r="L113" s="180"/>
      <c r="M113" s="180"/>
      <c r="N113" s="6"/>
      <c r="O113" s="37"/>
      <c r="P113" s="6"/>
      <c r="Q113" s="6"/>
      <c r="R113" s="180"/>
      <c r="S113" s="180"/>
      <c r="T113" s="6"/>
      <c r="U113" s="37"/>
      <c r="V113" s="6"/>
      <c r="W113" s="6"/>
      <c r="X113" s="180"/>
      <c r="Y113" s="180"/>
    </row>
    <row r="114" spans="1:25" ht="40.049999999999997" customHeight="1" x14ac:dyDescent="0.3">
      <c r="A114" s="107"/>
      <c r="B114" s="105"/>
      <c r="H114" s="36"/>
      <c r="I114" s="36"/>
      <c r="J114" s="36"/>
      <c r="K114" s="37"/>
      <c r="L114" s="180"/>
      <c r="M114" s="180"/>
      <c r="N114" s="6"/>
      <c r="O114" s="37"/>
      <c r="P114" s="6"/>
      <c r="Q114" s="6"/>
      <c r="R114" s="180"/>
      <c r="S114" s="180"/>
      <c r="T114" s="6"/>
      <c r="U114" s="37"/>
      <c r="V114" s="6"/>
      <c r="W114" s="6"/>
      <c r="X114" s="180"/>
      <c r="Y114" s="180"/>
    </row>
    <row r="115" spans="1:25" ht="40.049999999999997" customHeight="1" x14ac:dyDescent="0.3">
      <c r="A115" s="107"/>
      <c r="B115" s="105"/>
      <c r="H115" s="36"/>
      <c r="I115" s="36"/>
      <c r="J115" s="36"/>
      <c r="K115" s="37"/>
      <c r="L115" s="180"/>
      <c r="M115" s="180"/>
      <c r="N115" s="6"/>
      <c r="O115" s="37"/>
      <c r="P115" s="6"/>
      <c r="Q115" s="6"/>
      <c r="R115" s="180"/>
      <c r="S115" s="180"/>
      <c r="T115" s="6"/>
      <c r="U115" s="37"/>
      <c r="V115" s="6"/>
      <c r="W115" s="6"/>
      <c r="X115" s="180"/>
      <c r="Y115" s="180"/>
    </row>
    <row r="116" spans="1:25" ht="40.049999999999997" customHeight="1" x14ac:dyDescent="0.3">
      <c r="A116" s="107"/>
      <c r="B116" s="105"/>
      <c r="H116" s="36"/>
      <c r="I116" s="36"/>
      <c r="J116" s="36"/>
      <c r="K116" s="37"/>
      <c r="L116" s="180"/>
      <c r="M116" s="180"/>
      <c r="N116" s="6"/>
      <c r="O116" s="37"/>
      <c r="P116" s="6"/>
      <c r="Q116" s="6"/>
      <c r="R116" s="180"/>
      <c r="S116" s="180"/>
      <c r="T116" s="6"/>
      <c r="U116" s="37"/>
      <c r="V116" s="6"/>
      <c r="W116" s="6"/>
      <c r="X116" s="180"/>
      <c r="Y116" s="180"/>
    </row>
    <row r="117" spans="1:25" ht="40.049999999999997" customHeight="1" x14ac:dyDescent="0.3">
      <c r="A117" s="107"/>
      <c r="B117" s="105"/>
      <c r="H117" s="36"/>
      <c r="I117" s="36"/>
      <c r="J117" s="36"/>
      <c r="K117" s="37"/>
      <c r="L117" s="180"/>
      <c r="M117" s="180"/>
      <c r="N117" s="6"/>
      <c r="O117" s="37"/>
      <c r="P117" s="6"/>
      <c r="Q117" s="6"/>
      <c r="R117" s="180"/>
      <c r="S117" s="180"/>
      <c r="T117" s="6"/>
      <c r="U117" s="37"/>
      <c r="V117" s="6"/>
      <c r="W117" s="6"/>
      <c r="X117" s="180"/>
      <c r="Y117" s="180"/>
    </row>
    <row r="118" spans="1:25" ht="40.049999999999997" customHeight="1" x14ac:dyDescent="0.3">
      <c r="A118" s="107"/>
      <c r="B118" s="105"/>
      <c r="H118" s="36"/>
      <c r="I118" s="36"/>
      <c r="J118" s="36"/>
      <c r="K118" s="37"/>
      <c r="L118" s="180"/>
      <c r="M118" s="180"/>
      <c r="N118" s="6"/>
      <c r="O118" s="37"/>
      <c r="P118" s="6"/>
      <c r="Q118" s="6"/>
      <c r="R118" s="180"/>
      <c r="S118" s="180"/>
      <c r="T118" s="6"/>
      <c r="U118" s="37"/>
      <c r="V118" s="6"/>
      <c r="W118" s="6"/>
      <c r="X118" s="180"/>
      <c r="Y118" s="180"/>
    </row>
    <row r="119" spans="1:25" ht="40.049999999999997" customHeight="1" x14ac:dyDescent="0.3">
      <c r="A119" s="107"/>
      <c r="B119" s="105"/>
      <c r="H119" s="36"/>
      <c r="I119" s="36"/>
      <c r="J119" s="36"/>
      <c r="K119" s="37"/>
      <c r="L119" s="180"/>
      <c r="M119" s="180"/>
      <c r="N119" s="6"/>
      <c r="O119" s="37"/>
      <c r="P119" s="6"/>
      <c r="Q119" s="6"/>
      <c r="R119" s="180"/>
      <c r="S119" s="180"/>
      <c r="T119" s="6"/>
      <c r="U119" s="37"/>
      <c r="V119" s="6"/>
      <c r="W119" s="6"/>
      <c r="X119" s="180"/>
      <c r="Y119" s="180"/>
    </row>
    <row r="120" spans="1:25" ht="40.049999999999997" customHeight="1" x14ac:dyDescent="0.3">
      <c r="A120" s="107"/>
      <c r="B120" s="105"/>
      <c r="H120" s="36"/>
      <c r="I120" s="36"/>
      <c r="J120" s="36"/>
      <c r="K120" s="37"/>
      <c r="L120" s="180"/>
      <c r="M120" s="180"/>
      <c r="N120" s="6"/>
      <c r="O120" s="37"/>
      <c r="P120" s="6"/>
      <c r="Q120" s="6"/>
      <c r="R120" s="180"/>
      <c r="S120" s="180"/>
      <c r="T120" s="6"/>
      <c r="U120" s="37"/>
      <c r="V120" s="6"/>
      <c r="W120" s="6"/>
      <c r="X120" s="180"/>
      <c r="Y120" s="180"/>
    </row>
    <row r="121" spans="1:25" ht="40.049999999999997" customHeight="1" x14ac:dyDescent="0.3">
      <c r="A121" s="107"/>
      <c r="B121" s="105"/>
      <c r="H121" s="36"/>
      <c r="I121" s="36"/>
      <c r="J121" s="36"/>
      <c r="K121" s="37"/>
      <c r="L121" s="180"/>
      <c r="M121" s="180"/>
      <c r="N121" s="6"/>
      <c r="O121" s="37"/>
      <c r="P121" s="6"/>
      <c r="Q121" s="6"/>
      <c r="R121" s="180"/>
      <c r="S121" s="180"/>
      <c r="T121" s="6"/>
      <c r="U121" s="37"/>
      <c r="V121" s="6"/>
      <c r="W121" s="6"/>
      <c r="X121" s="180"/>
      <c r="Y121" s="180"/>
    </row>
    <row r="122" spans="1:25" ht="40.049999999999997" customHeight="1" x14ac:dyDescent="0.3">
      <c r="A122" s="107"/>
      <c r="B122" s="105"/>
      <c r="H122" s="36"/>
      <c r="I122" s="36"/>
      <c r="J122" s="36"/>
      <c r="K122" s="37"/>
      <c r="L122" s="180"/>
      <c r="M122" s="180"/>
      <c r="N122" s="6"/>
      <c r="O122" s="37"/>
      <c r="P122" s="6"/>
      <c r="Q122" s="6"/>
      <c r="R122" s="180"/>
      <c r="S122" s="180"/>
      <c r="T122" s="6"/>
      <c r="U122" s="37"/>
      <c r="V122" s="6"/>
      <c r="W122" s="6"/>
      <c r="X122" s="180"/>
      <c r="Y122" s="180"/>
    </row>
    <row r="123" spans="1:25" ht="40.049999999999997" customHeight="1" x14ac:dyDescent="0.3">
      <c r="A123" s="107"/>
      <c r="B123" s="105"/>
      <c r="H123" s="36"/>
      <c r="I123" s="36"/>
      <c r="J123" s="36"/>
      <c r="K123" s="37"/>
      <c r="L123" s="180"/>
      <c r="M123" s="180"/>
      <c r="N123" s="6"/>
      <c r="O123" s="37"/>
      <c r="P123" s="6"/>
      <c r="Q123" s="6"/>
      <c r="R123" s="180"/>
      <c r="S123" s="180"/>
      <c r="T123" s="6"/>
      <c r="U123" s="37"/>
      <c r="V123" s="6"/>
      <c r="W123" s="6"/>
      <c r="X123" s="180"/>
      <c r="Y123" s="180"/>
    </row>
    <row r="124" spans="1:25" ht="40.049999999999997" customHeight="1" x14ac:dyDescent="0.3">
      <c r="A124" s="107"/>
      <c r="B124" s="105"/>
      <c r="H124" s="36"/>
      <c r="I124" s="36"/>
      <c r="J124" s="36"/>
      <c r="K124" s="37"/>
      <c r="L124" s="180"/>
      <c r="M124" s="180"/>
      <c r="N124" s="6"/>
      <c r="O124" s="37"/>
      <c r="P124" s="6"/>
      <c r="Q124" s="6"/>
      <c r="R124" s="180"/>
      <c r="S124" s="180"/>
      <c r="T124" s="6"/>
      <c r="U124" s="37"/>
      <c r="V124" s="6"/>
      <c r="W124" s="6"/>
      <c r="X124" s="180"/>
      <c r="Y124" s="180"/>
    </row>
    <row r="125" spans="1:25" ht="40.049999999999997" customHeight="1" x14ac:dyDescent="0.3">
      <c r="A125" s="107"/>
      <c r="B125" s="105"/>
      <c r="H125" s="36"/>
      <c r="I125" s="36"/>
      <c r="J125" s="36"/>
      <c r="K125" s="37"/>
      <c r="L125" s="180"/>
      <c r="M125" s="180"/>
      <c r="N125" s="6"/>
      <c r="O125" s="37"/>
      <c r="P125" s="6"/>
      <c r="Q125" s="6"/>
      <c r="R125" s="180"/>
      <c r="S125" s="180"/>
      <c r="T125" s="6"/>
      <c r="U125" s="37"/>
      <c r="V125" s="6"/>
      <c r="W125" s="6"/>
      <c r="X125" s="180"/>
      <c r="Y125" s="180"/>
    </row>
    <row r="126" spans="1:25" ht="40.049999999999997" customHeight="1" x14ac:dyDescent="0.3">
      <c r="A126" s="107"/>
      <c r="B126" s="105"/>
      <c r="H126" s="36"/>
      <c r="I126" s="36"/>
      <c r="J126" s="36"/>
      <c r="K126" s="37"/>
      <c r="L126" s="180"/>
      <c r="M126" s="180"/>
      <c r="N126" s="6"/>
      <c r="O126" s="37"/>
      <c r="P126" s="6"/>
      <c r="Q126" s="6"/>
      <c r="R126" s="180"/>
      <c r="S126" s="180"/>
      <c r="T126" s="6"/>
      <c r="U126" s="37"/>
      <c r="V126" s="6"/>
      <c r="W126" s="6"/>
      <c r="X126" s="180"/>
      <c r="Y126" s="180"/>
    </row>
    <row r="127" spans="1:25" ht="40.049999999999997" customHeight="1" x14ac:dyDescent="0.3">
      <c r="A127" s="107"/>
      <c r="B127" s="105"/>
      <c r="H127" s="36"/>
      <c r="I127" s="36"/>
      <c r="J127" s="36"/>
      <c r="K127" s="37"/>
      <c r="L127" s="180"/>
      <c r="M127" s="180"/>
      <c r="N127" s="6"/>
      <c r="O127" s="37"/>
      <c r="P127" s="6"/>
      <c r="Q127" s="6"/>
      <c r="R127" s="180"/>
      <c r="S127" s="180"/>
      <c r="T127" s="6"/>
      <c r="U127" s="37"/>
      <c r="V127" s="6"/>
      <c r="W127" s="6"/>
      <c r="X127" s="180"/>
      <c r="Y127" s="180"/>
    </row>
    <row r="128" spans="1:25" ht="40.049999999999997" customHeight="1" x14ac:dyDescent="0.3">
      <c r="A128" s="107"/>
      <c r="B128" s="105"/>
      <c r="H128" s="36"/>
      <c r="I128" s="36"/>
      <c r="J128" s="36"/>
      <c r="K128" s="37"/>
      <c r="L128" s="180"/>
      <c r="M128" s="180"/>
      <c r="N128" s="6"/>
      <c r="O128" s="37"/>
      <c r="P128" s="6"/>
      <c r="Q128" s="6"/>
      <c r="R128" s="180"/>
      <c r="S128" s="180"/>
      <c r="T128" s="6"/>
      <c r="U128" s="37"/>
      <c r="V128" s="6"/>
      <c r="W128" s="6"/>
      <c r="X128" s="180"/>
      <c r="Y128" s="180"/>
    </row>
    <row r="129" spans="1:25" ht="40.049999999999997" customHeight="1" x14ac:dyDescent="0.3">
      <c r="A129" s="107"/>
      <c r="B129" s="105"/>
      <c r="H129" s="36"/>
      <c r="I129" s="36"/>
      <c r="J129" s="36"/>
      <c r="K129" s="37"/>
      <c r="L129" s="180"/>
      <c r="M129" s="180"/>
      <c r="N129" s="6"/>
      <c r="O129" s="37"/>
      <c r="P129" s="6"/>
      <c r="Q129" s="6"/>
      <c r="R129" s="180"/>
      <c r="S129" s="180"/>
      <c r="T129" s="6"/>
      <c r="U129" s="37"/>
      <c r="V129" s="6"/>
      <c r="W129" s="6"/>
      <c r="X129" s="180"/>
      <c r="Y129" s="180"/>
    </row>
    <row r="130" spans="1:25" ht="40.049999999999997" customHeight="1" x14ac:dyDescent="0.3">
      <c r="A130" s="107"/>
      <c r="B130" s="105"/>
      <c r="H130" s="36"/>
      <c r="I130" s="36"/>
      <c r="J130" s="36"/>
      <c r="K130" s="37"/>
      <c r="L130" s="180"/>
      <c r="M130" s="180"/>
      <c r="N130" s="6"/>
      <c r="O130" s="37"/>
      <c r="P130" s="6"/>
      <c r="Q130" s="6"/>
      <c r="R130" s="180"/>
      <c r="S130" s="180"/>
      <c r="T130" s="6"/>
      <c r="U130" s="37"/>
      <c r="V130" s="6"/>
      <c r="W130" s="6"/>
      <c r="X130" s="180"/>
      <c r="Y130" s="180"/>
    </row>
    <row r="131" spans="1:25" ht="40.049999999999997" customHeight="1" x14ac:dyDescent="0.3">
      <c r="A131" s="107"/>
      <c r="B131" s="105"/>
      <c r="H131" s="36"/>
      <c r="I131" s="36"/>
      <c r="J131" s="36"/>
      <c r="K131" s="37"/>
      <c r="L131" s="180"/>
      <c r="M131" s="180"/>
      <c r="N131" s="6"/>
      <c r="O131" s="37"/>
      <c r="P131" s="6"/>
      <c r="Q131" s="6"/>
      <c r="R131" s="180"/>
      <c r="S131" s="180"/>
      <c r="T131" s="6"/>
      <c r="U131" s="37"/>
      <c r="V131" s="6"/>
      <c r="W131" s="6"/>
      <c r="X131" s="180"/>
      <c r="Y131" s="180"/>
    </row>
    <row r="132" spans="1:25" ht="40.049999999999997" customHeight="1" x14ac:dyDescent="0.3">
      <c r="A132" s="107"/>
      <c r="B132" s="105"/>
      <c r="H132" s="36"/>
      <c r="I132" s="36"/>
      <c r="J132" s="36"/>
      <c r="K132" s="37"/>
      <c r="L132" s="180"/>
      <c r="M132" s="180"/>
      <c r="N132" s="6"/>
      <c r="O132" s="37"/>
      <c r="P132" s="6"/>
      <c r="Q132" s="6"/>
      <c r="R132" s="180"/>
      <c r="S132" s="180"/>
      <c r="T132" s="6"/>
      <c r="U132" s="37"/>
      <c r="V132" s="6"/>
      <c r="W132" s="6"/>
      <c r="X132" s="180"/>
      <c r="Y132" s="180"/>
    </row>
    <row r="133" spans="1:25" ht="40.049999999999997" customHeight="1" x14ac:dyDescent="0.3">
      <c r="A133" s="107"/>
      <c r="B133" s="105"/>
      <c r="H133" s="36"/>
      <c r="I133" s="36"/>
      <c r="J133" s="36"/>
      <c r="K133" s="37"/>
      <c r="L133" s="180"/>
      <c r="M133" s="180"/>
      <c r="N133" s="6"/>
      <c r="O133" s="37"/>
      <c r="P133" s="6"/>
      <c r="Q133" s="6"/>
      <c r="R133" s="180"/>
      <c r="S133" s="180"/>
      <c r="T133" s="6"/>
      <c r="U133" s="37"/>
      <c r="V133" s="6"/>
      <c r="W133" s="6"/>
      <c r="X133" s="180"/>
      <c r="Y133" s="180"/>
    </row>
    <row r="134" spans="1:25" ht="40.049999999999997" customHeight="1" x14ac:dyDescent="0.3">
      <c r="A134" s="107"/>
      <c r="B134" s="105"/>
      <c r="H134" s="36"/>
      <c r="I134" s="36"/>
      <c r="J134" s="36"/>
      <c r="K134" s="37"/>
      <c r="L134" s="180"/>
      <c r="M134" s="180"/>
      <c r="N134" s="6"/>
      <c r="O134" s="37"/>
      <c r="P134" s="6"/>
      <c r="Q134" s="6"/>
      <c r="R134" s="180"/>
      <c r="S134" s="180"/>
      <c r="T134" s="6"/>
      <c r="U134" s="37"/>
      <c r="V134" s="6"/>
      <c r="W134" s="6"/>
      <c r="X134" s="180"/>
      <c r="Y134" s="180"/>
    </row>
    <row r="135" spans="1:25" ht="40.049999999999997" customHeight="1" x14ac:dyDescent="0.3">
      <c r="A135" s="107"/>
      <c r="B135" s="105"/>
      <c r="H135" s="36"/>
      <c r="I135" s="36"/>
      <c r="J135" s="36"/>
      <c r="K135" s="37"/>
      <c r="L135" s="180"/>
      <c r="M135" s="180"/>
      <c r="N135" s="6"/>
      <c r="O135" s="37"/>
      <c r="P135" s="6"/>
      <c r="Q135" s="6"/>
      <c r="R135" s="180"/>
      <c r="S135" s="180"/>
      <c r="T135" s="6"/>
      <c r="U135" s="37"/>
      <c r="V135" s="6"/>
      <c r="W135" s="6"/>
      <c r="X135" s="180"/>
      <c r="Y135" s="180"/>
    </row>
    <row r="136" spans="1:25" ht="40.049999999999997" customHeight="1" x14ac:dyDescent="0.3">
      <c r="A136" s="107"/>
      <c r="B136" s="105"/>
      <c r="H136" s="36"/>
      <c r="I136" s="36"/>
      <c r="J136" s="36"/>
      <c r="K136" s="37"/>
      <c r="L136" s="180"/>
      <c r="M136" s="180"/>
      <c r="N136" s="6"/>
      <c r="O136" s="37"/>
      <c r="P136" s="6"/>
      <c r="Q136" s="6"/>
      <c r="R136" s="180"/>
      <c r="S136" s="180"/>
      <c r="T136" s="6"/>
      <c r="U136" s="37"/>
      <c r="V136" s="6"/>
      <c r="W136" s="6"/>
      <c r="X136" s="180"/>
      <c r="Y136" s="180"/>
    </row>
    <row r="137" spans="1:25" ht="40.049999999999997" customHeight="1" x14ac:dyDescent="0.3">
      <c r="A137" s="107"/>
      <c r="B137" s="105"/>
      <c r="H137" s="36"/>
      <c r="I137" s="36"/>
      <c r="J137" s="36"/>
      <c r="K137" s="37"/>
      <c r="L137" s="180"/>
      <c r="M137" s="180"/>
      <c r="N137" s="6"/>
      <c r="O137" s="37"/>
      <c r="P137" s="6"/>
      <c r="Q137" s="6"/>
      <c r="R137" s="180"/>
      <c r="S137" s="180"/>
      <c r="T137" s="6"/>
      <c r="U137" s="37"/>
      <c r="V137" s="6"/>
      <c r="W137" s="6"/>
      <c r="X137" s="180"/>
      <c r="Y137" s="180"/>
    </row>
    <row r="138" spans="1:25" ht="40.049999999999997" customHeight="1" x14ac:dyDescent="0.3">
      <c r="A138" s="107"/>
      <c r="B138" s="105"/>
      <c r="H138" s="36"/>
      <c r="I138" s="36"/>
      <c r="J138" s="36"/>
      <c r="K138" s="37"/>
      <c r="L138" s="180"/>
      <c r="M138" s="180"/>
      <c r="N138" s="6"/>
      <c r="O138" s="37"/>
      <c r="P138" s="6"/>
      <c r="Q138" s="6"/>
      <c r="R138" s="180"/>
      <c r="S138" s="180"/>
      <c r="T138" s="6"/>
      <c r="U138" s="37"/>
      <c r="V138" s="6"/>
      <c r="W138" s="6"/>
      <c r="X138" s="180"/>
      <c r="Y138" s="180"/>
    </row>
    <row r="139" spans="1:25" ht="40.049999999999997" customHeight="1" x14ac:dyDescent="0.3">
      <c r="A139" s="107"/>
      <c r="B139" s="105"/>
      <c r="H139" s="36"/>
      <c r="I139" s="36"/>
      <c r="J139" s="36"/>
      <c r="K139" s="37"/>
      <c r="L139" s="180"/>
      <c r="M139" s="180"/>
      <c r="N139" s="6"/>
      <c r="O139" s="37"/>
      <c r="P139" s="6"/>
      <c r="Q139" s="6"/>
      <c r="R139" s="180"/>
      <c r="S139" s="180"/>
      <c r="T139" s="6"/>
      <c r="U139" s="37"/>
      <c r="V139" s="6"/>
      <c r="W139" s="6"/>
      <c r="X139" s="180"/>
      <c r="Y139" s="180"/>
    </row>
    <row r="140" spans="1:25" ht="40.049999999999997" customHeight="1" x14ac:dyDescent="0.3">
      <c r="A140" s="107"/>
      <c r="B140" s="105"/>
      <c r="H140" s="36"/>
      <c r="I140" s="36"/>
      <c r="J140" s="36"/>
      <c r="K140" s="37"/>
      <c r="L140" s="180"/>
      <c r="M140" s="180"/>
      <c r="N140" s="6"/>
      <c r="O140" s="37"/>
      <c r="P140" s="6"/>
      <c r="Q140" s="6"/>
      <c r="R140" s="180"/>
      <c r="S140" s="180"/>
      <c r="T140" s="6"/>
      <c r="U140" s="37"/>
      <c r="V140" s="6"/>
      <c r="W140" s="6"/>
      <c r="X140" s="180"/>
      <c r="Y140" s="180"/>
    </row>
    <row r="141" spans="1:25" ht="40.049999999999997" customHeight="1" x14ac:dyDescent="0.3">
      <c r="A141" s="107"/>
      <c r="B141" s="105"/>
      <c r="H141" s="36"/>
      <c r="I141" s="36"/>
      <c r="J141" s="36"/>
      <c r="K141" s="37"/>
      <c r="L141" s="180"/>
      <c r="M141" s="180"/>
      <c r="N141" s="6"/>
      <c r="O141" s="37"/>
      <c r="P141" s="6"/>
      <c r="Q141" s="6"/>
      <c r="R141" s="180"/>
      <c r="S141" s="180"/>
      <c r="T141" s="6"/>
      <c r="U141" s="37"/>
      <c r="V141" s="6"/>
      <c r="W141" s="6"/>
      <c r="X141" s="180"/>
      <c r="Y141" s="180"/>
    </row>
    <row r="142" spans="1:25" ht="40.049999999999997" customHeight="1" x14ac:dyDescent="0.3">
      <c r="A142" s="107"/>
      <c r="B142" s="105"/>
      <c r="H142" s="36"/>
      <c r="I142" s="36"/>
      <c r="J142" s="36"/>
      <c r="K142" s="37"/>
      <c r="L142" s="180"/>
      <c r="M142" s="180"/>
      <c r="N142" s="6"/>
      <c r="O142" s="37"/>
      <c r="P142" s="6"/>
      <c r="Q142" s="6"/>
      <c r="R142" s="180"/>
      <c r="S142" s="180"/>
      <c r="T142" s="6"/>
      <c r="U142" s="37"/>
      <c r="V142" s="6"/>
      <c r="W142" s="6"/>
      <c r="X142" s="180"/>
      <c r="Y142" s="180"/>
    </row>
    <row r="143" spans="1:25" ht="40.049999999999997" customHeight="1" x14ac:dyDescent="0.3">
      <c r="A143" s="107"/>
      <c r="B143" s="105"/>
      <c r="H143" s="36"/>
      <c r="I143" s="36"/>
      <c r="J143" s="36"/>
      <c r="K143" s="37"/>
      <c r="L143" s="180"/>
      <c r="M143" s="180"/>
      <c r="N143" s="6"/>
      <c r="O143" s="37"/>
      <c r="P143" s="6"/>
      <c r="Q143" s="6"/>
      <c r="R143" s="180"/>
      <c r="S143" s="180"/>
      <c r="T143" s="6"/>
      <c r="U143" s="37"/>
      <c r="V143" s="6"/>
      <c r="W143" s="6"/>
      <c r="X143" s="180"/>
      <c r="Y143" s="180"/>
    </row>
    <row r="144" spans="1:25" ht="40.049999999999997" customHeight="1" x14ac:dyDescent="0.3">
      <c r="A144" s="107"/>
      <c r="B144" s="105"/>
      <c r="H144" s="36"/>
      <c r="I144" s="36"/>
      <c r="J144" s="36"/>
      <c r="K144" s="37"/>
      <c r="L144" s="180"/>
      <c r="M144" s="180"/>
      <c r="N144" s="6"/>
      <c r="O144" s="37"/>
      <c r="P144" s="6"/>
      <c r="Q144" s="6"/>
      <c r="R144" s="180"/>
      <c r="S144" s="180"/>
      <c r="T144" s="6"/>
      <c r="U144" s="37"/>
      <c r="V144" s="6"/>
      <c r="W144" s="6"/>
      <c r="X144" s="180"/>
      <c r="Y144" s="180"/>
    </row>
    <row r="145" spans="1:25" ht="40.049999999999997" customHeight="1" x14ac:dyDescent="0.3">
      <c r="A145" s="107"/>
      <c r="B145" s="105"/>
      <c r="H145" s="36"/>
      <c r="I145" s="36"/>
      <c r="J145" s="36"/>
      <c r="K145" s="37"/>
      <c r="L145" s="180"/>
      <c r="M145" s="180"/>
      <c r="N145" s="6"/>
      <c r="O145" s="37"/>
      <c r="P145" s="6"/>
      <c r="Q145" s="6"/>
      <c r="R145" s="180"/>
      <c r="S145" s="180"/>
      <c r="T145" s="6"/>
      <c r="U145" s="37"/>
      <c r="V145" s="6"/>
      <c r="W145" s="6"/>
      <c r="X145" s="180"/>
      <c r="Y145" s="180"/>
    </row>
    <row r="146" spans="1:25" ht="40.049999999999997" customHeight="1" x14ac:dyDescent="0.3">
      <c r="A146" s="107"/>
      <c r="B146" s="105"/>
      <c r="H146" s="36"/>
      <c r="I146" s="36"/>
      <c r="J146" s="36"/>
      <c r="K146" s="37"/>
      <c r="L146" s="180"/>
      <c r="M146" s="180"/>
      <c r="N146" s="6"/>
      <c r="O146" s="37"/>
      <c r="P146" s="6"/>
      <c r="Q146" s="6"/>
      <c r="R146" s="180"/>
      <c r="S146" s="180"/>
      <c r="T146" s="6"/>
      <c r="U146" s="37"/>
      <c r="V146" s="6"/>
      <c r="W146" s="6"/>
      <c r="X146" s="180"/>
      <c r="Y146" s="180"/>
    </row>
    <row r="147" spans="1:25" ht="40.049999999999997" customHeight="1" x14ac:dyDescent="0.3">
      <c r="A147" s="107"/>
      <c r="B147" s="105"/>
      <c r="H147" s="36"/>
      <c r="I147" s="36"/>
      <c r="J147" s="36"/>
      <c r="K147" s="37"/>
      <c r="L147" s="180"/>
      <c r="M147" s="180"/>
      <c r="N147" s="6"/>
      <c r="O147" s="37"/>
      <c r="P147" s="6"/>
      <c r="Q147" s="6"/>
      <c r="R147" s="180"/>
      <c r="S147" s="180"/>
      <c r="T147" s="6"/>
      <c r="U147" s="37"/>
      <c r="V147" s="6"/>
      <c r="W147" s="6"/>
      <c r="X147" s="180"/>
      <c r="Y147" s="180"/>
    </row>
    <row r="148" spans="1:25" ht="40.049999999999997" customHeight="1" x14ac:dyDescent="0.3">
      <c r="A148" s="107"/>
      <c r="B148" s="105"/>
      <c r="H148" s="36"/>
      <c r="I148" s="36"/>
      <c r="J148" s="36"/>
      <c r="K148" s="37"/>
      <c r="L148" s="180"/>
      <c r="M148" s="180"/>
      <c r="N148" s="6"/>
      <c r="O148" s="37"/>
      <c r="P148" s="6"/>
      <c r="Q148" s="6"/>
      <c r="R148" s="180"/>
      <c r="S148" s="180"/>
      <c r="T148" s="6"/>
      <c r="U148" s="37"/>
      <c r="V148" s="6"/>
      <c r="W148" s="6"/>
      <c r="X148" s="180"/>
      <c r="Y148" s="180"/>
    </row>
    <row r="149" spans="1:25" ht="40.049999999999997" customHeight="1" x14ac:dyDescent="0.3">
      <c r="A149" s="107"/>
      <c r="B149" s="105"/>
      <c r="H149" s="36"/>
      <c r="I149" s="36"/>
      <c r="J149" s="36"/>
      <c r="K149" s="37"/>
      <c r="L149" s="180"/>
      <c r="M149" s="180"/>
      <c r="N149" s="6"/>
      <c r="O149" s="37"/>
      <c r="P149" s="6"/>
      <c r="Q149" s="6"/>
      <c r="R149" s="180"/>
      <c r="S149" s="180"/>
      <c r="T149" s="6"/>
      <c r="U149" s="37"/>
      <c r="V149" s="6"/>
      <c r="W149" s="6"/>
      <c r="X149" s="180"/>
      <c r="Y149" s="180"/>
    </row>
    <row r="150" spans="1:25" ht="40.049999999999997" customHeight="1" x14ac:dyDescent="0.3">
      <c r="A150" s="107"/>
      <c r="B150" s="105"/>
      <c r="H150" s="36"/>
      <c r="I150" s="36"/>
      <c r="J150" s="36"/>
      <c r="K150" s="37"/>
      <c r="L150" s="180"/>
      <c r="M150" s="180"/>
      <c r="N150" s="6"/>
      <c r="O150" s="37"/>
      <c r="P150" s="6"/>
      <c r="Q150" s="6"/>
      <c r="R150" s="180"/>
      <c r="S150" s="180"/>
      <c r="T150" s="6"/>
      <c r="U150" s="37"/>
      <c r="V150" s="6"/>
      <c r="W150" s="6"/>
      <c r="X150" s="180"/>
      <c r="Y150" s="180"/>
    </row>
    <row r="151" spans="1:25" ht="40.049999999999997" customHeight="1" x14ac:dyDescent="0.3">
      <c r="A151" s="107"/>
      <c r="B151" s="105"/>
      <c r="H151" s="36"/>
      <c r="I151" s="36"/>
      <c r="J151" s="36"/>
      <c r="K151" s="37"/>
      <c r="L151" s="180"/>
      <c r="M151" s="180"/>
      <c r="N151" s="6"/>
      <c r="O151" s="37"/>
      <c r="P151" s="6"/>
      <c r="Q151" s="6"/>
      <c r="R151" s="180"/>
      <c r="S151" s="180"/>
      <c r="T151" s="6"/>
      <c r="U151" s="37"/>
      <c r="V151" s="6"/>
      <c r="W151" s="6"/>
      <c r="X151" s="180"/>
      <c r="Y151" s="180"/>
    </row>
    <row r="152" spans="1:25" ht="40.049999999999997" customHeight="1" x14ac:dyDescent="0.3">
      <c r="A152" s="107"/>
      <c r="B152" s="105"/>
      <c r="H152" s="36"/>
      <c r="I152" s="36"/>
      <c r="J152" s="36"/>
      <c r="K152" s="37"/>
      <c r="L152" s="180"/>
      <c r="M152" s="180"/>
      <c r="N152" s="6"/>
      <c r="O152" s="37"/>
      <c r="P152" s="6"/>
      <c r="Q152" s="6"/>
      <c r="R152" s="180"/>
      <c r="S152" s="180"/>
      <c r="T152" s="6"/>
      <c r="U152" s="37"/>
      <c r="V152" s="6"/>
      <c r="W152" s="6"/>
      <c r="X152" s="180"/>
      <c r="Y152" s="180"/>
    </row>
    <row r="153" spans="1:25" ht="40.049999999999997" customHeight="1" x14ac:dyDescent="0.3">
      <c r="A153" s="107"/>
      <c r="B153" s="105"/>
      <c r="H153" s="36"/>
      <c r="I153" s="36"/>
      <c r="J153" s="36"/>
      <c r="K153" s="37"/>
      <c r="L153" s="180"/>
      <c r="M153" s="180"/>
      <c r="N153" s="6"/>
      <c r="O153" s="37"/>
      <c r="P153" s="6"/>
      <c r="Q153" s="6"/>
      <c r="R153" s="180"/>
      <c r="S153" s="180"/>
      <c r="T153" s="6"/>
      <c r="U153" s="37"/>
      <c r="V153" s="6"/>
      <c r="W153" s="6"/>
      <c r="X153" s="180"/>
      <c r="Y153" s="180"/>
    </row>
    <row r="154" spans="1:25" ht="40.049999999999997" customHeight="1" x14ac:dyDescent="0.3">
      <c r="A154" s="107"/>
      <c r="B154" s="105"/>
      <c r="H154" s="36"/>
      <c r="I154" s="36"/>
      <c r="J154" s="36"/>
      <c r="K154" s="37"/>
      <c r="L154" s="180"/>
      <c r="M154" s="180"/>
      <c r="N154" s="6"/>
      <c r="O154" s="37"/>
      <c r="P154" s="6"/>
      <c r="Q154" s="6"/>
      <c r="R154" s="180"/>
      <c r="S154" s="180"/>
      <c r="T154" s="6"/>
      <c r="U154" s="37"/>
      <c r="V154" s="6"/>
      <c r="W154" s="6"/>
      <c r="X154" s="180"/>
      <c r="Y154" s="180"/>
    </row>
    <row r="155" spans="1:25" ht="40.049999999999997" customHeight="1" x14ac:dyDescent="0.3">
      <c r="A155" s="107"/>
      <c r="B155" s="105"/>
      <c r="H155" s="36"/>
      <c r="I155" s="36"/>
      <c r="J155" s="36"/>
      <c r="K155" s="37"/>
      <c r="L155" s="180"/>
      <c r="M155" s="180"/>
      <c r="N155" s="6"/>
      <c r="O155" s="37"/>
      <c r="P155" s="6"/>
      <c r="Q155" s="6"/>
      <c r="R155" s="180"/>
      <c r="S155" s="180"/>
      <c r="T155" s="6"/>
      <c r="U155" s="37"/>
      <c r="V155" s="6"/>
      <c r="W155" s="6"/>
      <c r="X155" s="180"/>
      <c r="Y155" s="180"/>
    </row>
    <row r="156" spans="1:25" ht="40.049999999999997" customHeight="1" x14ac:dyDescent="0.3">
      <c r="A156" s="107"/>
      <c r="B156" s="105"/>
      <c r="H156" s="36"/>
      <c r="I156" s="36"/>
      <c r="J156" s="36"/>
      <c r="K156" s="37"/>
      <c r="L156" s="180"/>
      <c r="M156" s="180"/>
      <c r="N156" s="6"/>
      <c r="O156" s="37"/>
      <c r="P156" s="6"/>
      <c r="Q156" s="6"/>
      <c r="R156" s="180"/>
      <c r="S156" s="180"/>
      <c r="T156" s="6"/>
      <c r="U156" s="37"/>
      <c r="V156" s="6"/>
      <c r="W156" s="6"/>
      <c r="X156" s="180"/>
      <c r="Y156" s="180"/>
    </row>
    <row r="157" spans="1:25" ht="40.049999999999997" customHeight="1" x14ac:dyDescent="0.3">
      <c r="A157" s="107"/>
      <c r="B157" s="105"/>
      <c r="H157" s="36"/>
      <c r="I157" s="36"/>
      <c r="J157" s="36"/>
      <c r="K157" s="37"/>
      <c r="L157" s="180"/>
      <c r="M157" s="180"/>
      <c r="N157" s="6"/>
      <c r="O157" s="37"/>
      <c r="P157" s="6"/>
      <c r="Q157" s="6"/>
      <c r="R157" s="180"/>
      <c r="S157" s="180"/>
      <c r="T157" s="6"/>
      <c r="U157" s="37"/>
      <c r="V157" s="6"/>
      <c r="W157" s="6"/>
      <c r="X157" s="180"/>
      <c r="Y157" s="180"/>
    </row>
    <row r="158" spans="1:25" ht="40.049999999999997" customHeight="1" x14ac:dyDescent="0.3">
      <c r="A158" s="107"/>
      <c r="B158" s="105"/>
      <c r="H158" s="36"/>
      <c r="I158" s="36"/>
      <c r="J158" s="36"/>
      <c r="K158" s="37"/>
      <c r="L158" s="180"/>
      <c r="M158" s="180"/>
      <c r="N158" s="6"/>
      <c r="O158" s="37"/>
      <c r="P158" s="6"/>
      <c r="Q158" s="6"/>
      <c r="R158" s="180"/>
      <c r="S158" s="180"/>
      <c r="T158" s="6"/>
      <c r="U158" s="37"/>
      <c r="V158" s="6"/>
      <c r="W158" s="6"/>
      <c r="X158" s="180"/>
      <c r="Y158" s="180"/>
    </row>
    <row r="159" spans="1:25" ht="40.049999999999997" customHeight="1" x14ac:dyDescent="0.3">
      <c r="A159" s="107"/>
      <c r="B159" s="105"/>
      <c r="H159" s="36"/>
      <c r="I159" s="36"/>
      <c r="J159" s="36"/>
      <c r="K159" s="37"/>
      <c r="L159" s="180"/>
      <c r="M159" s="180"/>
      <c r="N159" s="6"/>
      <c r="O159" s="37"/>
      <c r="P159" s="6"/>
      <c r="Q159" s="6"/>
      <c r="R159" s="180"/>
      <c r="S159" s="180"/>
      <c r="T159" s="6"/>
      <c r="U159" s="37"/>
      <c r="V159" s="6"/>
      <c r="W159" s="6"/>
      <c r="X159" s="180"/>
      <c r="Y159" s="180"/>
    </row>
    <row r="160" spans="1:25" ht="40.049999999999997" customHeight="1" x14ac:dyDescent="0.3">
      <c r="A160" s="107"/>
      <c r="B160" s="105"/>
      <c r="H160" s="36"/>
      <c r="I160" s="36"/>
      <c r="J160" s="36"/>
      <c r="K160" s="37"/>
      <c r="L160" s="180"/>
      <c r="M160" s="180"/>
      <c r="N160" s="6"/>
      <c r="O160" s="37"/>
      <c r="P160" s="6"/>
      <c r="Q160" s="6"/>
      <c r="R160" s="180"/>
      <c r="S160" s="180"/>
      <c r="T160" s="6"/>
      <c r="U160" s="37"/>
      <c r="V160" s="6"/>
      <c r="W160" s="6"/>
      <c r="X160" s="180"/>
      <c r="Y160" s="180"/>
    </row>
    <row r="161" spans="1:25" ht="40.049999999999997" customHeight="1" x14ac:dyDescent="0.3">
      <c r="A161" s="107"/>
      <c r="B161" s="105"/>
      <c r="H161" s="36"/>
      <c r="I161" s="36"/>
      <c r="J161" s="36"/>
      <c r="K161" s="37"/>
      <c r="L161" s="180"/>
      <c r="M161" s="180"/>
      <c r="N161" s="6"/>
      <c r="O161" s="37"/>
      <c r="P161" s="6"/>
      <c r="Q161" s="6"/>
      <c r="R161" s="180"/>
      <c r="S161" s="180"/>
      <c r="T161" s="6"/>
      <c r="U161" s="37"/>
      <c r="V161" s="6"/>
      <c r="W161" s="6"/>
      <c r="X161" s="180"/>
      <c r="Y161" s="180"/>
    </row>
    <row r="162" spans="1:25" ht="40.049999999999997" customHeight="1" x14ac:dyDescent="0.3">
      <c r="A162" s="107"/>
      <c r="B162" s="105"/>
      <c r="H162" s="36"/>
      <c r="I162" s="36"/>
      <c r="J162" s="36"/>
      <c r="K162" s="37"/>
      <c r="L162" s="180"/>
      <c r="M162" s="180"/>
      <c r="N162" s="6"/>
      <c r="O162" s="37"/>
      <c r="P162" s="6"/>
      <c r="Q162" s="6"/>
      <c r="R162" s="180"/>
      <c r="S162" s="180"/>
      <c r="T162" s="6"/>
      <c r="U162" s="37"/>
      <c r="V162" s="6"/>
      <c r="W162" s="6"/>
      <c r="X162" s="180"/>
      <c r="Y162" s="180"/>
    </row>
    <row r="163" spans="1:25" ht="40.049999999999997" customHeight="1" x14ac:dyDescent="0.3">
      <c r="A163" s="107"/>
      <c r="B163" s="105"/>
      <c r="H163" s="36"/>
      <c r="I163" s="36"/>
      <c r="J163" s="36"/>
      <c r="K163" s="37"/>
      <c r="L163" s="180"/>
      <c r="M163" s="180"/>
      <c r="N163" s="6"/>
      <c r="O163" s="37"/>
      <c r="P163" s="6"/>
      <c r="Q163" s="6"/>
      <c r="R163" s="180"/>
      <c r="S163" s="180"/>
      <c r="T163" s="6"/>
      <c r="U163" s="37"/>
      <c r="V163" s="6"/>
      <c r="W163" s="6"/>
      <c r="X163" s="180"/>
      <c r="Y163" s="180"/>
    </row>
    <row r="164" spans="1:25" ht="40.049999999999997" customHeight="1" x14ac:dyDescent="0.3">
      <c r="A164" s="107"/>
      <c r="B164" s="105"/>
      <c r="H164" s="36"/>
      <c r="I164" s="36"/>
      <c r="J164" s="36"/>
      <c r="K164" s="37"/>
      <c r="L164" s="180"/>
      <c r="M164" s="180"/>
      <c r="N164" s="6"/>
      <c r="O164" s="37"/>
      <c r="P164" s="6"/>
      <c r="Q164" s="6"/>
      <c r="R164" s="180"/>
      <c r="S164" s="180"/>
      <c r="T164" s="6"/>
      <c r="U164" s="37"/>
      <c r="V164" s="6"/>
      <c r="W164" s="6"/>
      <c r="X164" s="180"/>
      <c r="Y164" s="180"/>
    </row>
    <row r="165" spans="1:25" ht="40.049999999999997" customHeight="1" x14ac:dyDescent="0.3">
      <c r="A165" s="107"/>
      <c r="B165" s="105"/>
      <c r="H165" s="36"/>
      <c r="I165" s="36"/>
      <c r="J165" s="36"/>
      <c r="K165" s="37"/>
      <c r="L165" s="180"/>
      <c r="M165" s="180"/>
      <c r="N165" s="6"/>
      <c r="O165" s="37"/>
      <c r="P165" s="6"/>
      <c r="Q165" s="6"/>
      <c r="R165" s="180"/>
      <c r="S165" s="180"/>
      <c r="T165" s="6"/>
      <c r="U165" s="37"/>
      <c r="V165" s="6"/>
      <c r="W165" s="6"/>
      <c r="X165" s="180"/>
      <c r="Y165" s="180"/>
    </row>
    <row r="166" spans="1:25" ht="40.049999999999997" customHeight="1" x14ac:dyDescent="0.3">
      <c r="A166" s="107"/>
      <c r="B166" s="105"/>
      <c r="H166" s="36"/>
      <c r="I166" s="36"/>
      <c r="J166" s="36"/>
      <c r="K166" s="37"/>
      <c r="L166" s="180"/>
      <c r="M166" s="180"/>
      <c r="N166" s="6"/>
      <c r="O166" s="37"/>
      <c r="P166" s="6"/>
      <c r="Q166" s="6"/>
      <c r="R166" s="180"/>
      <c r="S166" s="180"/>
      <c r="T166" s="6"/>
      <c r="U166" s="37"/>
      <c r="V166" s="6"/>
      <c r="W166" s="6"/>
      <c r="X166" s="180"/>
      <c r="Y166" s="180"/>
    </row>
    <row r="167" spans="1:25" ht="40.049999999999997" customHeight="1" x14ac:dyDescent="0.3">
      <c r="A167" s="107"/>
      <c r="B167" s="105"/>
      <c r="H167" s="36"/>
      <c r="I167" s="36"/>
      <c r="J167" s="36"/>
      <c r="K167" s="37"/>
      <c r="L167" s="180"/>
      <c r="M167" s="180"/>
      <c r="N167" s="6"/>
      <c r="O167" s="37"/>
      <c r="P167" s="6"/>
      <c r="Q167" s="6"/>
      <c r="R167" s="180"/>
      <c r="S167" s="180"/>
      <c r="T167" s="6"/>
      <c r="U167" s="37"/>
      <c r="V167" s="6"/>
      <c r="W167" s="6"/>
      <c r="X167" s="180"/>
      <c r="Y167" s="180"/>
    </row>
    <row r="168" spans="1:25" ht="40.049999999999997" customHeight="1" x14ac:dyDescent="0.3">
      <c r="A168" s="107"/>
      <c r="B168" s="105"/>
      <c r="H168" s="36"/>
      <c r="I168" s="36"/>
      <c r="J168" s="36"/>
      <c r="K168" s="37"/>
      <c r="L168" s="180"/>
      <c r="M168" s="180"/>
      <c r="N168" s="6"/>
      <c r="O168" s="37"/>
      <c r="P168" s="6"/>
      <c r="Q168" s="6"/>
      <c r="R168" s="180"/>
      <c r="S168" s="180"/>
      <c r="T168" s="6"/>
      <c r="U168" s="37"/>
      <c r="V168" s="6"/>
      <c r="W168" s="6"/>
      <c r="X168" s="180"/>
      <c r="Y168" s="180"/>
    </row>
    <row r="169" spans="1:25" ht="40.049999999999997" customHeight="1" x14ac:dyDescent="0.3">
      <c r="A169" s="107"/>
      <c r="B169" s="105"/>
      <c r="H169" s="36"/>
      <c r="I169" s="36"/>
      <c r="J169" s="36"/>
      <c r="K169" s="37"/>
      <c r="L169" s="180"/>
      <c r="M169" s="180"/>
      <c r="N169" s="6"/>
      <c r="O169" s="37"/>
      <c r="P169" s="6"/>
      <c r="Q169" s="6"/>
      <c r="R169" s="180"/>
      <c r="S169" s="180"/>
      <c r="T169" s="6"/>
      <c r="U169" s="37"/>
      <c r="V169" s="6"/>
      <c r="W169" s="6"/>
      <c r="X169" s="180"/>
      <c r="Y169" s="180"/>
    </row>
    <row r="170" spans="1:25" ht="40.049999999999997" customHeight="1" x14ac:dyDescent="0.3">
      <c r="A170" s="107"/>
      <c r="B170" s="105"/>
      <c r="H170" s="36"/>
      <c r="I170" s="36"/>
      <c r="J170" s="36"/>
      <c r="K170" s="37"/>
      <c r="L170" s="180"/>
      <c r="M170" s="180"/>
      <c r="N170" s="6"/>
      <c r="O170" s="37"/>
      <c r="P170" s="6"/>
      <c r="Q170" s="6"/>
      <c r="R170" s="180"/>
      <c r="S170" s="180"/>
      <c r="T170" s="6"/>
      <c r="U170" s="37"/>
      <c r="V170" s="6"/>
      <c r="W170" s="6"/>
      <c r="X170" s="180"/>
      <c r="Y170" s="180"/>
    </row>
    <row r="171" spans="1:25" ht="40.049999999999997" customHeight="1" x14ac:dyDescent="0.3">
      <c r="A171" s="107"/>
      <c r="B171" s="105"/>
      <c r="H171" s="36"/>
      <c r="I171" s="36"/>
      <c r="J171" s="36"/>
      <c r="K171" s="37"/>
      <c r="L171" s="180"/>
      <c r="M171" s="180"/>
      <c r="N171" s="6"/>
      <c r="O171" s="37"/>
      <c r="P171" s="6"/>
      <c r="Q171" s="6"/>
      <c r="R171" s="180"/>
      <c r="S171" s="180"/>
      <c r="T171" s="6"/>
      <c r="U171" s="37"/>
      <c r="V171" s="6"/>
      <c r="W171" s="6"/>
      <c r="X171" s="180"/>
      <c r="Y171" s="180"/>
    </row>
    <row r="172" spans="1:25" ht="40.049999999999997" customHeight="1" x14ac:dyDescent="0.3">
      <c r="A172" s="107"/>
      <c r="B172" s="105"/>
      <c r="H172" s="36"/>
      <c r="I172" s="36"/>
      <c r="J172" s="36"/>
      <c r="K172" s="37"/>
      <c r="L172" s="180"/>
      <c r="M172" s="180"/>
      <c r="N172" s="6"/>
      <c r="O172" s="37"/>
      <c r="P172" s="6"/>
      <c r="Q172" s="6"/>
      <c r="R172" s="180"/>
      <c r="S172" s="180"/>
      <c r="T172" s="6"/>
      <c r="U172" s="37"/>
      <c r="V172" s="6"/>
      <c r="W172" s="6"/>
      <c r="X172" s="180"/>
      <c r="Y172" s="180"/>
    </row>
    <row r="173" spans="1:25" ht="40.049999999999997" customHeight="1" x14ac:dyDescent="0.3">
      <c r="A173" s="107"/>
      <c r="B173" s="105"/>
      <c r="H173" s="36"/>
      <c r="I173" s="36"/>
      <c r="J173" s="36"/>
      <c r="K173" s="37"/>
      <c r="L173" s="180"/>
      <c r="M173" s="180"/>
      <c r="N173" s="6"/>
      <c r="O173" s="37"/>
      <c r="P173" s="6"/>
      <c r="Q173" s="6"/>
      <c r="R173" s="180"/>
      <c r="S173" s="180"/>
      <c r="T173" s="6"/>
      <c r="U173" s="37"/>
      <c r="V173" s="6"/>
      <c r="W173" s="6"/>
      <c r="X173" s="180"/>
      <c r="Y173" s="180"/>
    </row>
    <row r="174" spans="1:25" ht="40.049999999999997" customHeight="1" x14ac:dyDescent="0.3">
      <c r="A174" s="107"/>
      <c r="B174" s="105"/>
      <c r="H174" s="36"/>
      <c r="I174" s="36"/>
      <c r="J174" s="36"/>
      <c r="K174" s="37"/>
      <c r="L174" s="180"/>
      <c r="M174" s="180"/>
      <c r="N174" s="6"/>
      <c r="O174" s="37"/>
      <c r="P174" s="6"/>
      <c r="Q174" s="6"/>
      <c r="R174" s="180"/>
      <c r="S174" s="180"/>
      <c r="T174" s="6"/>
      <c r="U174" s="37"/>
      <c r="V174" s="6"/>
      <c r="W174" s="6"/>
      <c r="X174" s="180"/>
      <c r="Y174" s="180"/>
    </row>
    <row r="175" spans="1:25" ht="40.049999999999997" customHeight="1" x14ac:dyDescent="0.3">
      <c r="A175" s="107"/>
      <c r="B175" s="105"/>
      <c r="H175" s="36"/>
      <c r="I175" s="36"/>
      <c r="J175" s="36"/>
      <c r="K175" s="37"/>
      <c r="L175" s="180"/>
      <c r="M175" s="180"/>
      <c r="N175" s="6"/>
      <c r="O175" s="37"/>
      <c r="P175" s="6"/>
      <c r="Q175" s="6"/>
      <c r="R175" s="180"/>
      <c r="S175" s="180"/>
      <c r="T175" s="6"/>
      <c r="U175" s="37"/>
      <c r="V175" s="6"/>
      <c r="W175" s="6"/>
      <c r="X175" s="180"/>
      <c r="Y175" s="180"/>
    </row>
    <row r="176" spans="1:25" ht="40.049999999999997" customHeight="1" x14ac:dyDescent="0.3">
      <c r="A176" s="107"/>
      <c r="B176" s="105"/>
      <c r="H176" s="36"/>
      <c r="I176" s="36"/>
      <c r="J176" s="36"/>
      <c r="K176" s="37"/>
      <c r="L176" s="180"/>
      <c r="M176" s="180"/>
      <c r="N176" s="6"/>
      <c r="O176" s="37"/>
      <c r="P176" s="6"/>
      <c r="Q176" s="6"/>
      <c r="R176" s="180"/>
      <c r="S176" s="180"/>
      <c r="T176" s="6"/>
      <c r="U176" s="37"/>
      <c r="V176" s="6"/>
      <c r="W176" s="6"/>
      <c r="X176" s="180"/>
      <c r="Y176" s="180"/>
    </row>
    <row r="177" spans="1:25" ht="40.049999999999997" customHeight="1" x14ac:dyDescent="0.3">
      <c r="A177" s="107"/>
      <c r="B177" s="105"/>
      <c r="H177" s="36"/>
      <c r="I177" s="36"/>
      <c r="J177" s="36"/>
      <c r="K177" s="37"/>
      <c r="L177" s="180"/>
      <c r="M177" s="180"/>
      <c r="N177" s="6"/>
      <c r="O177" s="37"/>
      <c r="P177" s="6"/>
      <c r="Q177" s="6"/>
      <c r="R177" s="180"/>
      <c r="S177" s="180"/>
      <c r="T177" s="6"/>
      <c r="U177" s="37"/>
      <c r="V177" s="6"/>
      <c r="W177" s="6"/>
      <c r="X177" s="180"/>
      <c r="Y177" s="180"/>
    </row>
    <row r="178" spans="1:25" ht="40.049999999999997" customHeight="1" x14ac:dyDescent="0.3">
      <c r="A178" s="107"/>
      <c r="B178" s="105"/>
      <c r="H178" s="36"/>
      <c r="I178" s="36"/>
      <c r="J178" s="36"/>
      <c r="K178" s="37"/>
      <c r="L178" s="180"/>
      <c r="M178" s="180"/>
      <c r="N178" s="6"/>
      <c r="O178" s="37"/>
      <c r="P178" s="6"/>
      <c r="Q178" s="6"/>
      <c r="R178" s="180"/>
      <c r="S178" s="180"/>
      <c r="T178" s="6"/>
      <c r="U178" s="37"/>
      <c r="V178" s="6"/>
      <c r="W178" s="6"/>
      <c r="X178" s="180"/>
      <c r="Y178" s="180"/>
    </row>
    <row r="179" spans="1:25" ht="40.049999999999997" customHeight="1" x14ac:dyDescent="0.3">
      <c r="A179" s="107"/>
      <c r="B179" s="105"/>
      <c r="H179" s="36"/>
      <c r="I179" s="36"/>
      <c r="J179" s="36"/>
      <c r="K179" s="37"/>
      <c r="L179" s="180"/>
      <c r="M179" s="180"/>
      <c r="N179" s="6"/>
      <c r="O179" s="37"/>
      <c r="P179" s="6"/>
      <c r="Q179" s="6"/>
      <c r="R179" s="180"/>
      <c r="S179" s="180"/>
      <c r="T179" s="6"/>
      <c r="U179" s="37"/>
      <c r="V179" s="6"/>
      <c r="W179" s="6"/>
      <c r="X179" s="180"/>
      <c r="Y179" s="180"/>
    </row>
    <row r="180" spans="1:25" ht="40.049999999999997" customHeight="1" x14ac:dyDescent="0.3">
      <c r="A180" s="107"/>
      <c r="B180" s="105"/>
      <c r="H180" s="36"/>
      <c r="I180" s="36"/>
      <c r="J180" s="36"/>
      <c r="K180" s="37"/>
      <c r="L180" s="180"/>
      <c r="M180" s="180"/>
      <c r="N180" s="6"/>
      <c r="O180" s="37"/>
      <c r="P180" s="6"/>
      <c r="Q180" s="6"/>
      <c r="R180" s="180"/>
      <c r="S180" s="180"/>
      <c r="T180" s="6"/>
      <c r="U180" s="37"/>
      <c r="V180" s="6"/>
      <c r="W180" s="6"/>
      <c r="X180" s="180"/>
      <c r="Y180" s="180"/>
    </row>
    <row r="181" spans="1:25" ht="40.049999999999997" customHeight="1" x14ac:dyDescent="0.3">
      <c r="A181" s="107"/>
      <c r="B181" s="105"/>
      <c r="H181" s="36"/>
      <c r="I181" s="36"/>
      <c r="J181" s="36"/>
      <c r="K181" s="37"/>
      <c r="L181" s="180"/>
      <c r="M181" s="180"/>
      <c r="N181" s="6"/>
      <c r="O181" s="37"/>
      <c r="P181" s="6"/>
      <c r="Q181" s="6"/>
      <c r="R181" s="180"/>
      <c r="S181" s="180"/>
      <c r="T181" s="6"/>
      <c r="U181" s="37"/>
      <c r="V181" s="6"/>
      <c r="W181" s="6"/>
      <c r="X181" s="180"/>
      <c r="Y181" s="180"/>
    </row>
    <row r="182" spans="1:25" ht="40.049999999999997" customHeight="1" x14ac:dyDescent="0.3">
      <c r="A182" s="107"/>
      <c r="B182" s="105"/>
      <c r="H182" s="36"/>
      <c r="I182" s="36"/>
      <c r="J182" s="36"/>
      <c r="K182" s="37"/>
      <c r="L182" s="180"/>
      <c r="M182" s="180"/>
      <c r="N182" s="6"/>
      <c r="O182" s="37"/>
      <c r="P182" s="6"/>
      <c r="Q182" s="6"/>
      <c r="R182" s="180"/>
      <c r="S182" s="180"/>
      <c r="T182" s="6"/>
      <c r="U182" s="37"/>
      <c r="V182" s="6"/>
      <c r="W182" s="6"/>
      <c r="X182" s="180"/>
      <c r="Y182" s="180"/>
    </row>
    <row r="183" spans="1:25" ht="40.049999999999997" customHeight="1" x14ac:dyDescent="0.3">
      <c r="A183" s="107"/>
      <c r="B183" s="105"/>
      <c r="H183" s="36"/>
      <c r="I183" s="36"/>
      <c r="J183" s="36"/>
      <c r="K183" s="37"/>
      <c r="L183" s="180"/>
      <c r="M183" s="180"/>
      <c r="N183" s="6"/>
      <c r="O183" s="37"/>
      <c r="P183" s="6"/>
      <c r="Q183" s="6"/>
      <c r="R183" s="180"/>
      <c r="S183" s="180"/>
      <c r="T183" s="6"/>
      <c r="U183" s="37"/>
      <c r="V183" s="6"/>
      <c r="W183" s="6"/>
      <c r="X183" s="180"/>
      <c r="Y183" s="180"/>
    </row>
    <row r="184" spans="1:25" ht="40.049999999999997" customHeight="1" x14ac:dyDescent="0.3">
      <c r="A184" s="107"/>
      <c r="B184" s="105"/>
      <c r="H184" s="36"/>
      <c r="I184" s="36"/>
      <c r="J184" s="36"/>
      <c r="K184" s="37"/>
      <c r="L184" s="180"/>
      <c r="M184" s="180"/>
      <c r="N184" s="6"/>
      <c r="O184" s="37"/>
      <c r="P184" s="6"/>
      <c r="Q184" s="6"/>
      <c r="R184" s="180"/>
      <c r="S184" s="180"/>
      <c r="T184" s="6"/>
      <c r="U184" s="37"/>
      <c r="V184" s="6"/>
      <c r="W184" s="6"/>
      <c r="X184" s="180"/>
      <c r="Y184" s="180"/>
    </row>
    <row r="185" spans="1:25" ht="40.049999999999997" customHeight="1" x14ac:dyDescent="0.3">
      <c r="A185" s="107"/>
      <c r="B185" s="105"/>
      <c r="H185" s="36"/>
      <c r="I185" s="36"/>
      <c r="J185" s="36"/>
      <c r="K185" s="37"/>
      <c r="L185" s="180"/>
      <c r="M185" s="180"/>
      <c r="N185" s="6"/>
      <c r="O185" s="37"/>
      <c r="P185" s="6"/>
      <c r="Q185" s="6"/>
      <c r="R185" s="180"/>
      <c r="S185" s="180"/>
      <c r="T185" s="6"/>
      <c r="U185" s="37"/>
      <c r="V185" s="6"/>
      <c r="W185" s="6"/>
      <c r="X185" s="180"/>
      <c r="Y185" s="180"/>
    </row>
    <row r="186" spans="1:25" ht="40.049999999999997" customHeight="1" x14ac:dyDescent="0.3">
      <c r="A186" s="107"/>
      <c r="B186" s="105"/>
      <c r="H186" s="36"/>
      <c r="I186" s="36"/>
      <c r="J186" s="36"/>
      <c r="K186" s="37"/>
      <c r="L186" s="180"/>
      <c r="M186" s="180"/>
      <c r="N186" s="6"/>
      <c r="O186" s="37"/>
      <c r="P186" s="6"/>
      <c r="Q186" s="6"/>
      <c r="R186" s="180"/>
      <c r="S186" s="180"/>
      <c r="T186" s="6"/>
      <c r="U186" s="37"/>
      <c r="V186" s="6"/>
      <c r="W186" s="6"/>
      <c r="X186" s="180"/>
      <c r="Y186" s="180"/>
    </row>
    <row r="187" spans="1:25" ht="40.049999999999997" customHeight="1" x14ac:dyDescent="0.3">
      <c r="A187" s="107"/>
      <c r="B187" s="105"/>
      <c r="H187" s="36"/>
      <c r="I187" s="36"/>
      <c r="J187" s="36"/>
      <c r="K187" s="37"/>
      <c r="L187" s="180"/>
      <c r="M187" s="180"/>
      <c r="N187" s="6"/>
      <c r="O187" s="37"/>
      <c r="P187" s="6"/>
      <c r="Q187" s="6"/>
      <c r="R187" s="180"/>
      <c r="S187" s="180"/>
      <c r="T187" s="6"/>
      <c r="U187" s="37"/>
      <c r="V187" s="6"/>
      <c r="W187" s="6"/>
      <c r="X187" s="180"/>
      <c r="Y187" s="180"/>
    </row>
    <row r="188" spans="1:25" ht="40.049999999999997" customHeight="1" x14ac:dyDescent="0.3">
      <c r="A188" s="107"/>
      <c r="B188" s="105"/>
      <c r="H188" s="36"/>
      <c r="I188" s="36"/>
      <c r="J188" s="36"/>
      <c r="K188" s="37"/>
      <c r="L188" s="180"/>
      <c r="M188" s="180"/>
      <c r="N188" s="6"/>
      <c r="O188" s="37"/>
      <c r="P188" s="6"/>
      <c r="Q188" s="6"/>
      <c r="R188" s="180"/>
      <c r="S188" s="180"/>
      <c r="T188" s="6"/>
      <c r="U188" s="37"/>
      <c r="V188" s="6"/>
      <c r="W188" s="6"/>
      <c r="X188" s="180"/>
      <c r="Y188" s="180"/>
    </row>
    <row r="189" spans="1:25" ht="40.049999999999997" customHeight="1" x14ac:dyDescent="0.3">
      <c r="A189" s="107"/>
      <c r="B189" s="105"/>
      <c r="H189" s="36"/>
      <c r="I189" s="36"/>
      <c r="J189" s="36"/>
      <c r="K189" s="37"/>
      <c r="L189" s="180"/>
      <c r="M189" s="180"/>
      <c r="N189" s="6"/>
      <c r="O189" s="37"/>
      <c r="P189" s="6"/>
      <c r="Q189" s="6"/>
      <c r="R189" s="180"/>
      <c r="S189" s="180"/>
      <c r="T189" s="6"/>
      <c r="U189" s="37"/>
      <c r="V189" s="6"/>
      <c r="W189" s="6"/>
      <c r="X189" s="180"/>
      <c r="Y189" s="180"/>
    </row>
    <row r="190" spans="1:25" ht="40.049999999999997" customHeight="1" x14ac:dyDescent="0.3">
      <c r="A190" s="107"/>
      <c r="B190" s="105"/>
      <c r="H190" s="36" t="str">
        <f>IF(COUNTBLANK(A190:E190)&gt;0, "", IFERROR(AVERAGEIFS(Log!$E:$E, Log!$A:$A, $A190, Log!$B:$B, $B190, Log!$C:$C, $C190),""))</f>
        <v/>
      </c>
      <c r="I190" s="36"/>
      <c r="J190" s="36"/>
      <c r="K190" s="37" t="str">
        <f>IF(AND(H190&lt;&gt;"", G190&lt;&gt;""), H190/G190, "")</f>
        <v/>
      </c>
      <c r="L190" s="180"/>
      <c r="M190" s="180"/>
      <c r="N190" s="6" t="str">
        <f>IF(COUNTBLANK(A190:E190)&gt;0, "", IFERROR(AVERAGEIFS(Log!$F:$F, Log!$A:$A, $A190, Log!$B:$B, $B190, Log!$C:$C, $C190),""))</f>
        <v/>
      </c>
      <c r="O190" s="37" t="str">
        <f>IF(COUNTBLANK(B190:F190)&gt;0, "", IFERROR(AVERAGEIFS(Log!$F:$F, Log!$A:$A, $A190, Log!$B:$B, $B190, Log!$C:$C, $C190),""))</f>
        <v/>
      </c>
      <c r="P190" s="6" t="str">
        <f>IF(COUNTBLANK(A190:E190)&gt;0, "", IFERROR(_xlfn.MINIFS(Log!#REF!, Log!$A:$A, $A190, Log!$B:$B, $B190, Log!$C:$C, $C190),""))</f>
        <v/>
      </c>
      <c r="Q190" s="6" t="str">
        <f>IF(COUNTBLANK(A190:E190)&gt;0, "", IFERROR(_xlfn.MAXIFS(Log!#REF!, Log!$A:$A, $A190, Log!$B:$B, $B190, Log!$C:$C, $C190),""))</f>
        <v/>
      </c>
      <c r="R190" s="180"/>
      <c r="S190" s="180"/>
      <c r="T190" s="6" t="str">
        <f>IF(COUNTBLANK(A190:E190)&gt;0, "", IFERROR(AVERAGEIFS(Log!#REF!, Log!$A:$A, $A190, Log!$B:$B, $B190, Log!$C:$C, $C190),""))</f>
        <v/>
      </c>
      <c r="U190" s="37" t="str">
        <f>IF(COUNTBLANK(H190:P190)&gt;0, "", IFERROR(AVERAGEIFS(Log!$F:$F, Log!$A:$A, $A190, Log!$B:$B, $B190, Log!$C:$C, $C190),""))</f>
        <v/>
      </c>
      <c r="V190" s="6" t="str">
        <f>IF(COUNTBLANK(A190:E190)&gt;0, "", IFERROR(_xlfn.MINIFS(Log!#REF!, Log!$A:$A, $A190, Log!$B:$B, $B190, Log!$C:$C, $C190),""))</f>
        <v/>
      </c>
      <c r="W190" s="6" t="str">
        <f>IF(COUNTBLANK(A190:E190)&gt;0, "", IFERROR(_xlfn.MAXIFS(Log!#REF!, Log!$A:$A, $A190, Log!$B:$B, $B190, Log!$C:$C, $C190),""))</f>
        <v/>
      </c>
      <c r="X190" s="180"/>
      <c r="Y190" s="180"/>
    </row>
    <row r="191" spans="1:25" ht="40.049999999999997" customHeight="1" x14ac:dyDescent="0.3">
      <c r="A191" s="107"/>
      <c r="B191" s="105"/>
      <c r="H191" s="36" t="str">
        <f>IF(COUNTBLANK(A191:E191)&gt;0, "", IFERROR(AVERAGEIFS(Log!$E:$E, Log!$A:$A, $A191, Log!$B:$B, $B191, Log!$C:$C, $C191),""))</f>
        <v/>
      </c>
      <c r="I191" s="36"/>
      <c r="J191" s="36"/>
      <c r="K191" s="37" t="str">
        <f>IF(AND(H191&lt;&gt;"", G191&lt;&gt;""), H191/G191, "")</f>
        <v/>
      </c>
      <c r="L191" s="180"/>
      <c r="M191" s="180"/>
      <c r="N191" s="6" t="str">
        <f>IF(COUNTBLANK(A191:E191)&gt;0, "", IFERROR(AVERAGEIFS(Log!$F:$F, Log!$A:$A, $A191, Log!$B:$B, $B191, Log!$C:$C, $C191),""))</f>
        <v/>
      </c>
      <c r="O191" s="37" t="str">
        <f>IF(COUNTBLANK(B191:F191)&gt;0, "", IFERROR(AVERAGEIFS(Log!$F:$F, Log!$A:$A, $A191, Log!$B:$B, $B191, Log!$C:$C, $C191),""))</f>
        <v/>
      </c>
      <c r="P191" s="6" t="str">
        <f>IF(COUNTBLANK(A191:E191)&gt;0, "", IFERROR(_xlfn.MINIFS(Log!#REF!, Log!$A:$A, $A191, Log!$B:$B, $B191, Log!$C:$C, $C191),""))</f>
        <v/>
      </c>
      <c r="Q191" s="6" t="str">
        <f>IF(COUNTBLANK(A191:E191)&gt;0, "", IFERROR(_xlfn.MAXIFS(Log!#REF!, Log!$A:$A, $A191, Log!$B:$B, $B191, Log!$C:$C, $C191),""))</f>
        <v/>
      </c>
      <c r="R191" s="180"/>
      <c r="S191" s="180"/>
      <c r="T191" s="6" t="str">
        <f>IF(COUNTBLANK(A191:E191)&gt;0, "", IFERROR(AVERAGEIFS(Log!#REF!, Log!$A:$A, $A191, Log!$B:$B, $B191, Log!$C:$C, $C191),""))</f>
        <v/>
      </c>
      <c r="U191" s="37" t="str">
        <f>IF(COUNTBLANK(H191:P191)&gt;0, "", IFERROR(AVERAGEIFS(Log!$F:$F, Log!$A:$A, $A191, Log!$B:$B, $B191, Log!$C:$C, $C191),""))</f>
        <v/>
      </c>
      <c r="V191" s="6" t="str">
        <f>IF(COUNTBLANK(A191:E191)&gt;0, "", IFERROR(_xlfn.MINIFS(Log!#REF!, Log!$A:$A, $A191, Log!$B:$B, $B191, Log!$C:$C, $C191),""))</f>
        <v/>
      </c>
      <c r="W191" s="6" t="str">
        <f>IF(COUNTBLANK(A191:E191)&gt;0, "", IFERROR(_xlfn.MAXIFS(Log!#REF!, Log!$A:$A, $A191, Log!$B:$B, $B191, Log!$C:$C, $C191),""))</f>
        <v/>
      </c>
      <c r="X191" s="180"/>
      <c r="Y191" s="180"/>
    </row>
    <row r="192" spans="1:25" ht="40.049999999999997" customHeight="1" x14ac:dyDescent="0.3">
      <c r="A192" s="107"/>
      <c r="B192" s="105"/>
    </row>
    <row r="193" spans="1:2" ht="40.049999999999997" customHeight="1" x14ac:dyDescent="0.3">
      <c r="A193" s="107"/>
      <c r="B193" s="105"/>
    </row>
    <row r="194" spans="1:2" ht="40.049999999999997" customHeight="1" x14ac:dyDescent="0.3">
      <c r="A194" s="107"/>
      <c r="B194" s="105"/>
    </row>
    <row r="195" spans="1:2" ht="40.049999999999997" customHeight="1" x14ac:dyDescent="0.3">
      <c r="A195" s="107"/>
      <c r="B195" s="105"/>
    </row>
    <row r="196" spans="1:2" ht="40.049999999999997" customHeight="1" x14ac:dyDescent="0.3">
      <c r="A196" s="107"/>
      <c r="B196" s="105"/>
    </row>
    <row r="197" spans="1:2" ht="40.049999999999997" customHeight="1" x14ac:dyDescent="0.3">
      <c r="B197" s="105"/>
    </row>
    <row r="198" spans="1:2" ht="40.049999999999997" customHeight="1" x14ac:dyDescent="0.3">
      <c r="B198" s="105"/>
    </row>
    <row r="199" spans="1:2" ht="40.049999999999997" customHeight="1" x14ac:dyDescent="0.3">
      <c r="B199" s="105"/>
    </row>
    <row r="200" spans="1:2" ht="40.049999999999997" customHeight="1" x14ac:dyDescent="0.3">
      <c r="B200" s="105"/>
    </row>
    <row r="201" spans="1:2" ht="40.049999999999997" customHeight="1" x14ac:dyDescent="0.3">
      <c r="B201" s="105"/>
    </row>
    <row r="202" spans="1:2" ht="40.049999999999997" customHeight="1" x14ac:dyDescent="0.3">
      <c r="B202" s="105"/>
    </row>
    <row r="203" spans="1:2" ht="40.049999999999997" customHeight="1" x14ac:dyDescent="0.3">
      <c r="B203" s="105"/>
    </row>
    <row r="204" spans="1:2" ht="40.049999999999997" customHeight="1" x14ac:dyDescent="0.3">
      <c r="B204" s="105"/>
    </row>
    <row r="205" spans="1:2" ht="40.049999999999997" customHeight="1" x14ac:dyDescent="0.3">
      <c r="B205" s="105"/>
    </row>
    <row r="206" spans="1:2" ht="40.049999999999997" customHeight="1" x14ac:dyDescent="0.3">
      <c r="B206" s="105"/>
    </row>
    <row r="207" spans="1:2" ht="40.049999999999997" customHeight="1" x14ac:dyDescent="0.3">
      <c r="B207" s="105"/>
    </row>
    <row r="208" spans="1:2" ht="40.049999999999997" customHeight="1" x14ac:dyDescent="0.3">
      <c r="B208" s="105"/>
    </row>
    <row r="209" spans="2:2" ht="40.049999999999997" customHeight="1" x14ac:dyDescent="0.3">
      <c r="B209" s="105"/>
    </row>
    <row r="210" spans="2:2" ht="40.049999999999997" customHeight="1" x14ac:dyDescent="0.3">
      <c r="B210" s="105"/>
    </row>
    <row r="211" spans="2:2" ht="40.049999999999997" customHeight="1" x14ac:dyDescent="0.3">
      <c r="B211" s="105"/>
    </row>
    <row r="212" spans="2:2" ht="40.049999999999997" customHeight="1" x14ac:dyDescent="0.3">
      <c r="B212" s="105"/>
    </row>
    <row r="213" spans="2:2" ht="40.049999999999997" customHeight="1" x14ac:dyDescent="0.3">
      <c r="B213" s="105"/>
    </row>
    <row r="214" spans="2:2" ht="40.049999999999997" customHeight="1" x14ac:dyDescent="0.3">
      <c r="B214" s="105"/>
    </row>
    <row r="215" spans="2:2" ht="40.049999999999997" customHeight="1" x14ac:dyDescent="0.3">
      <c r="B215" s="105"/>
    </row>
    <row r="216" spans="2:2" ht="40.049999999999997" customHeight="1" x14ac:dyDescent="0.3">
      <c r="B216" s="105"/>
    </row>
    <row r="217" spans="2:2" ht="40.049999999999997" customHeight="1" x14ac:dyDescent="0.3">
      <c r="B217" s="105"/>
    </row>
    <row r="218" spans="2:2" ht="40.049999999999997" customHeight="1" x14ac:dyDescent="0.3">
      <c r="B218" s="105"/>
    </row>
    <row r="219" spans="2:2" ht="40.049999999999997" customHeight="1" x14ac:dyDescent="0.3">
      <c r="B219" s="105"/>
    </row>
    <row r="220" spans="2:2" ht="40.049999999999997" customHeight="1" x14ac:dyDescent="0.3">
      <c r="B220" s="105"/>
    </row>
    <row r="221" spans="2:2" ht="40.049999999999997" customHeight="1" x14ac:dyDescent="0.3">
      <c r="B221" s="105"/>
    </row>
    <row r="222" spans="2:2" ht="40.049999999999997" customHeight="1" x14ac:dyDescent="0.3">
      <c r="B222" s="105"/>
    </row>
    <row r="223" spans="2:2" ht="40.049999999999997" customHeight="1" x14ac:dyDescent="0.3">
      <c r="B223" s="105"/>
    </row>
    <row r="224" spans="2:2" ht="40.049999999999997" customHeight="1" x14ac:dyDescent="0.3">
      <c r="B224" s="105"/>
    </row>
    <row r="225" spans="2:2" ht="40.049999999999997" customHeight="1" x14ac:dyDescent="0.3">
      <c r="B225" s="105"/>
    </row>
    <row r="226" spans="2:2" ht="40.049999999999997" customHeight="1" x14ac:dyDescent="0.3">
      <c r="B226" s="105"/>
    </row>
    <row r="227" spans="2:2" ht="40.049999999999997" customHeight="1" x14ac:dyDescent="0.3">
      <c r="B227" s="105"/>
    </row>
    <row r="228" spans="2:2" ht="40.049999999999997" customHeight="1" x14ac:dyDescent="0.3">
      <c r="B228" s="105"/>
    </row>
    <row r="229" spans="2:2" ht="40.049999999999997" customHeight="1" x14ac:dyDescent="0.3">
      <c r="B229" s="105"/>
    </row>
    <row r="230" spans="2:2" ht="40.049999999999997" customHeight="1" x14ac:dyDescent="0.3">
      <c r="B230" s="105"/>
    </row>
    <row r="231" spans="2:2" ht="40.049999999999997" customHeight="1" x14ac:dyDescent="0.3">
      <c r="B231" s="105"/>
    </row>
    <row r="232" spans="2:2" ht="40.049999999999997" customHeight="1" x14ac:dyDescent="0.3">
      <c r="B232" s="105"/>
    </row>
    <row r="233" spans="2:2" ht="40.049999999999997" customHeight="1" x14ac:dyDescent="0.3">
      <c r="B233" s="105"/>
    </row>
    <row r="234" spans="2:2" ht="40.049999999999997" customHeight="1" x14ac:dyDescent="0.3">
      <c r="B234" s="105"/>
    </row>
    <row r="235" spans="2:2" ht="40.049999999999997" customHeight="1" x14ac:dyDescent="0.3">
      <c r="B235" s="105"/>
    </row>
    <row r="236" spans="2:2" ht="40.049999999999997" customHeight="1" x14ac:dyDescent="0.3">
      <c r="B236" s="105"/>
    </row>
    <row r="237" spans="2:2" ht="40.049999999999997" customHeight="1" x14ac:dyDescent="0.3">
      <c r="B237" s="105"/>
    </row>
    <row r="238" spans="2:2" ht="40.049999999999997" customHeight="1" x14ac:dyDescent="0.3">
      <c r="B238" s="105"/>
    </row>
    <row r="239" spans="2:2" ht="40.049999999999997" customHeight="1" x14ac:dyDescent="0.3">
      <c r="B239" s="105"/>
    </row>
    <row r="240" spans="2:2" ht="40.049999999999997" customHeight="1" x14ac:dyDescent="0.3">
      <c r="B240" s="105"/>
    </row>
    <row r="241" spans="2:2" ht="40.049999999999997" customHeight="1" x14ac:dyDescent="0.3">
      <c r="B241" s="105"/>
    </row>
    <row r="242" spans="2:2" ht="40.049999999999997" customHeight="1" x14ac:dyDescent="0.3">
      <c r="B242" s="105"/>
    </row>
    <row r="243" spans="2:2" ht="40.049999999999997" customHeight="1" x14ac:dyDescent="0.3">
      <c r="B243" s="105"/>
    </row>
    <row r="244" spans="2:2" ht="40.049999999999997" customHeight="1" x14ac:dyDescent="0.3">
      <c r="B244" s="105"/>
    </row>
    <row r="245" spans="2:2" ht="40.049999999999997" customHeight="1" x14ac:dyDescent="0.3">
      <c r="B245" s="105"/>
    </row>
    <row r="246" spans="2:2" ht="40.049999999999997" customHeight="1" x14ac:dyDescent="0.3">
      <c r="B246" s="105"/>
    </row>
    <row r="247" spans="2:2" ht="40.049999999999997" customHeight="1" x14ac:dyDescent="0.3">
      <c r="B247" s="105"/>
    </row>
    <row r="248" spans="2:2" ht="40.049999999999997" customHeight="1" x14ac:dyDescent="0.3">
      <c r="B248" s="105"/>
    </row>
    <row r="249" spans="2:2" ht="40.049999999999997" customHeight="1" x14ac:dyDescent="0.3">
      <c r="B249" s="105"/>
    </row>
    <row r="250" spans="2:2" ht="40.049999999999997" customHeight="1" x14ac:dyDescent="0.3">
      <c r="B250" s="105"/>
    </row>
    <row r="251" spans="2:2" ht="40.049999999999997" customHeight="1" x14ac:dyDescent="0.3">
      <c r="B251" s="105"/>
    </row>
    <row r="252" spans="2:2" ht="40.049999999999997" customHeight="1" x14ac:dyDescent="0.3">
      <c r="B252" s="105"/>
    </row>
    <row r="253" spans="2:2" ht="40.049999999999997" customHeight="1" x14ac:dyDescent="0.3">
      <c r="B253" s="105"/>
    </row>
    <row r="254" spans="2:2" ht="40.049999999999997" customHeight="1" x14ac:dyDescent="0.3">
      <c r="B254" s="105"/>
    </row>
    <row r="255" spans="2:2" ht="40.049999999999997" customHeight="1" x14ac:dyDescent="0.3">
      <c r="B255" s="105"/>
    </row>
    <row r="256" spans="2:2" ht="40.049999999999997" customHeight="1" x14ac:dyDescent="0.3">
      <c r="B256" s="105"/>
    </row>
    <row r="257" spans="2:2" ht="40.049999999999997" customHeight="1" x14ac:dyDescent="0.3">
      <c r="B257" s="105"/>
    </row>
    <row r="258" spans="2:2" ht="40.049999999999997" customHeight="1" x14ac:dyDescent="0.3">
      <c r="B258" s="105"/>
    </row>
    <row r="259" spans="2:2" ht="40.049999999999997" customHeight="1" x14ac:dyDescent="0.3">
      <c r="B259" s="105"/>
    </row>
    <row r="260" spans="2:2" ht="40.049999999999997" customHeight="1" x14ac:dyDescent="0.3">
      <c r="B260" s="105"/>
    </row>
    <row r="261" spans="2:2" ht="40.049999999999997" customHeight="1" x14ac:dyDescent="0.3">
      <c r="B261" s="105"/>
    </row>
    <row r="262" spans="2:2" ht="40.049999999999997" customHeight="1" x14ac:dyDescent="0.3">
      <c r="B262" s="105"/>
    </row>
    <row r="263" spans="2:2" ht="40.049999999999997" customHeight="1" x14ac:dyDescent="0.3">
      <c r="B263" s="105"/>
    </row>
    <row r="264" spans="2:2" ht="40.049999999999997" customHeight="1" x14ac:dyDescent="0.3">
      <c r="B264" s="105"/>
    </row>
    <row r="265" spans="2:2" ht="40.049999999999997" customHeight="1" x14ac:dyDescent="0.3">
      <c r="B265" s="105"/>
    </row>
    <row r="266" spans="2:2" ht="40.049999999999997" customHeight="1" x14ac:dyDescent="0.3">
      <c r="B266" s="105"/>
    </row>
    <row r="267" spans="2:2" ht="40.049999999999997" customHeight="1" x14ac:dyDescent="0.3">
      <c r="B267" s="105"/>
    </row>
    <row r="268" spans="2:2" ht="40.049999999999997" customHeight="1" x14ac:dyDescent="0.3">
      <c r="B268" s="105"/>
    </row>
    <row r="269" spans="2:2" ht="40.049999999999997" customHeight="1" x14ac:dyDescent="0.3">
      <c r="B269" s="105"/>
    </row>
    <row r="270" spans="2:2" ht="40.049999999999997" customHeight="1" x14ac:dyDescent="0.3">
      <c r="B270" s="105"/>
    </row>
    <row r="271" spans="2:2" ht="40.049999999999997" customHeight="1" x14ac:dyDescent="0.3">
      <c r="B271" s="105"/>
    </row>
    <row r="272" spans="2:2" ht="40.049999999999997" customHeight="1" x14ac:dyDescent="0.3">
      <c r="B272" s="105"/>
    </row>
    <row r="273" spans="2:2" ht="40.049999999999997" customHeight="1" x14ac:dyDescent="0.3">
      <c r="B273" s="105"/>
    </row>
    <row r="274" spans="2:2" ht="40.049999999999997" customHeight="1" x14ac:dyDescent="0.3">
      <c r="B274" s="105"/>
    </row>
    <row r="275" spans="2:2" ht="40.049999999999997" customHeight="1" x14ac:dyDescent="0.3">
      <c r="B275" s="105"/>
    </row>
    <row r="276" spans="2:2" ht="40.049999999999997" customHeight="1" x14ac:dyDescent="0.3">
      <c r="B276" s="105"/>
    </row>
    <row r="277" spans="2:2" ht="40.049999999999997" customHeight="1" x14ac:dyDescent="0.3">
      <c r="B277" s="105"/>
    </row>
    <row r="278" spans="2:2" ht="40.049999999999997" customHeight="1" x14ac:dyDescent="0.3">
      <c r="B278" s="105"/>
    </row>
    <row r="279" spans="2:2" ht="40.049999999999997" customHeight="1" x14ac:dyDescent="0.3">
      <c r="B279" s="105"/>
    </row>
    <row r="280" spans="2:2" ht="40.049999999999997" customHeight="1" x14ac:dyDescent="0.3">
      <c r="B280" s="105"/>
    </row>
    <row r="281" spans="2:2" ht="40.049999999999997" customHeight="1" x14ac:dyDescent="0.3">
      <c r="B281" s="105"/>
    </row>
    <row r="282" spans="2:2" ht="40.049999999999997" customHeight="1" x14ac:dyDescent="0.3">
      <c r="B282" s="105"/>
    </row>
    <row r="283" spans="2:2" ht="40.049999999999997" customHeight="1" x14ac:dyDescent="0.3">
      <c r="B283" s="105"/>
    </row>
    <row r="284" spans="2:2" ht="40.049999999999997" customHeight="1" x14ac:dyDescent="0.3">
      <c r="B284" s="105"/>
    </row>
    <row r="285" spans="2:2" ht="40.049999999999997" customHeight="1" x14ac:dyDescent="0.3">
      <c r="B285" s="105"/>
    </row>
    <row r="286" spans="2:2" ht="40.049999999999997" customHeight="1" x14ac:dyDescent="0.3">
      <c r="B286" s="105"/>
    </row>
    <row r="287" spans="2:2" ht="40.049999999999997" customHeight="1" x14ac:dyDescent="0.3">
      <c r="B287" s="105"/>
    </row>
    <row r="288" spans="2:2" ht="40.049999999999997" customHeight="1" x14ac:dyDescent="0.3">
      <c r="B288" s="105"/>
    </row>
    <row r="289" spans="2:2" ht="40.049999999999997" customHeight="1" x14ac:dyDescent="0.3">
      <c r="B289" s="105"/>
    </row>
    <row r="290" spans="2:2" ht="40.049999999999997" customHeight="1" x14ac:dyDescent="0.3">
      <c r="B290" s="105"/>
    </row>
    <row r="291" spans="2:2" ht="40.049999999999997" customHeight="1" x14ac:dyDescent="0.3">
      <c r="B291" s="105"/>
    </row>
    <row r="292" spans="2:2" ht="40.049999999999997" customHeight="1" x14ac:dyDescent="0.3">
      <c r="B292" s="105"/>
    </row>
    <row r="293" spans="2:2" ht="40.049999999999997" customHeight="1" x14ac:dyDescent="0.3">
      <c r="B293" s="105"/>
    </row>
    <row r="294" spans="2:2" ht="40.049999999999997" customHeight="1" x14ac:dyDescent="0.3">
      <c r="B294" s="105"/>
    </row>
    <row r="295" spans="2:2" ht="40.049999999999997" customHeight="1" x14ac:dyDescent="0.3">
      <c r="B295" s="105"/>
    </row>
    <row r="296" spans="2:2" ht="40.049999999999997" customHeight="1" x14ac:dyDescent="0.3">
      <c r="B296" s="105"/>
    </row>
    <row r="297" spans="2:2" ht="40.049999999999997" customHeight="1" x14ac:dyDescent="0.3">
      <c r="B297" s="105"/>
    </row>
    <row r="298" spans="2:2" ht="40.049999999999997" customHeight="1" x14ac:dyDescent="0.3">
      <c r="B298" s="105"/>
    </row>
    <row r="299" spans="2:2" ht="40.049999999999997" customHeight="1" x14ac:dyDescent="0.3">
      <c r="B299" s="105"/>
    </row>
    <row r="300" spans="2:2" ht="40.049999999999997" customHeight="1" x14ac:dyDescent="0.3">
      <c r="B300" s="105"/>
    </row>
    <row r="301" spans="2:2" ht="40.049999999999997" customHeight="1" x14ac:dyDescent="0.3">
      <c r="B301" s="105"/>
    </row>
    <row r="302" spans="2:2" ht="40.049999999999997" customHeight="1" x14ac:dyDescent="0.3">
      <c r="B302" s="105"/>
    </row>
    <row r="303" spans="2:2" ht="40.049999999999997" customHeight="1" x14ac:dyDescent="0.3">
      <c r="B303" s="105"/>
    </row>
    <row r="304" spans="2:2" ht="40.049999999999997" customHeight="1" x14ac:dyDescent="0.3">
      <c r="B304" s="105"/>
    </row>
    <row r="305" spans="2:2" ht="40.049999999999997" customHeight="1" x14ac:dyDescent="0.3">
      <c r="B305" s="105"/>
    </row>
    <row r="306" spans="2:2" ht="40.049999999999997" customHeight="1" x14ac:dyDescent="0.3">
      <c r="B306" s="105"/>
    </row>
    <row r="307" spans="2:2" ht="40.049999999999997" customHeight="1" x14ac:dyDescent="0.3">
      <c r="B307" s="105"/>
    </row>
    <row r="308" spans="2:2" ht="40.049999999999997" customHeight="1" x14ac:dyDescent="0.3">
      <c r="B308" s="105"/>
    </row>
    <row r="309" spans="2:2" ht="40.049999999999997" customHeight="1" x14ac:dyDescent="0.3">
      <c r="B309" s="105"/>
    </row>
    <row r="310" spans="2:2" ht="40.049999999999997" customHeight="1" x14ac:dyDescent="0.3">
      <c r="B310" s="105"/>
    </row>
    <row r="311" spans="2:2" ht="40.049999999999997" customHeight="1" x14ac:dyDescent="0.3">
      <c r="B311" s="105"/>
    </row>
    <row r="312" spans="2:2" ht="40.049999999999997" customHeight="1" x14ac:dyDescent="0.3">
      <c r="B312" s="105"/>
    </row>
    <row r="313" spans="2:2" ht="40.049999999999997" customHeight="1" x14ac:dyDescent="0.3">
      <c r="B313" s="105"/>
    </row>
    <row r="314" spans="2:2" ht="40.049999999999997" customHeight="1" x14ac:dyDescent="0.3">
      <c r="B314" s="105"/>
    </row>
    <row r="315" spans="2:2" ht="40.049999999999997" customHeight="1" x14ac:dyDescent="0.3">
      <c r="B315" s="105"/>
    </row>
    <row r="316" spans="2:2" ht="40.049999999999997" customHeight="1" x14ac:dyDescent="0.3">
      <c r="B316" s="105"/>
    </row>
    <row r="317" spans="2:2" ht="40.049999999999997" customHeight="1" x14ac:dyDescent="0.3">
      <c r="B317" s="105"/>
    </row>
    <row r="318" spans="2:2" ht="40.049999999999997" customHeight="1" x14ac:dyDescent="0.3">
      <c r="B318" s="105"/>
    </row>
    <row r="319" spans="2:2" ht="40.049999999999997" customHeight="1" x14ac:dyDescent="0.3">
      <c r="B319" s="105"/>
    </row>
    <row r="320" spans="2:2" ht="40.049999999999997" customHeight="1" x14ac:dyDescent="0.3">
      <c r="B320" s="105"/>
    </row>
    <row r="321" spans="2:2" ht="40.049999999999997" customHeight="1" x14ac:dyDescent="0.3">
      <c r="B321" s="105"/>
    </row>
    <row r="322" spans="2:2" ht="40.049999999999997" customHeight="1" x14ac:dyDescent="0.3">
      <c r="B322" s="105"/>
    </row>
    <row r="323" spans="2:2" ht="40.049999999999997" customHeight="1" x14ac:dyDescent="0.3">
      <c r="B323" s="105"/>
    </row>
    <row r="324" spans="2:2" ht="40.049999999999997" customHeight="1" x14ac:dyDescent="0.3">
      <c r="B324" s="105"/>
    </row>
    <row r="325" spans="2:2" ht="40.049999999999997" customHeight="1" x14ac:dyDescent="0.3">
      <c r="B325" s="105"/>
    </row>
    <row r="326" spans="2:2" ht="40.049999999999997" customHeight="1" x14ac:dyDescent="0.3">
      <c r="B326" s="105"/>
    </row>
    <row r="327" spans="2:2" ht="40.049999999999997" customHeight="1" x14ac:dyDescent="0.3">
      <c r="B327" s="105"/>
    </row>
    <row r="328" spans="2:2" ht="40.049999999999997" customHeight="1" x14ac:dyDescent="0.3">
      <c r="B328" s="105"/>
    </row>
    <row r="329" spans="2:2" ht="40.049999999999997" customHeight="1" x14ac:dyDescent="0.3">
      <c r="B329" s="105"/>
    </row>
    <row r="330" spans="2:2" ht="40.049999999999997" customHeight="1" x14ac:dyDescent="0.3">
      <c r="B330" s="105"/>
    </row>
    <row r="331" spans="2:2" ht="40.049999999999997" customHeight="1" x14ac:dyDescent="0.3">
      <c r="B331" s="105"/>
    </row>
    <row r="332" spans="2:2" ht="40.049999999999997" customHeight="1" x14ac:dyDescent="0.3">
      <c r="B332" s="105"/>
    </row>
    <row r="333" spans="2:2" ht="40.049999999999997" customHeight="1" x14ac:dyDescent="0.3">
      <c r="B333" s="105"/>
    </row>
    <row r="334" spans="2:2" ht="40.049999999999997" customHeight="1" x14ac:dyDescent="0.3">
      <c r="B334" s="105"/>
    </row>
    <row r="335" spans="2:2" ht="40.049999999999997" customHeight="1" x14ac:dyDescent="0.3">
      <c r="B335" s="105"/>
    </row>
    <row r="336" spans="2:2" ht="40.049999999999997" customHeight="1" x14ac:dyDescent="0.3">
      <c r="B336" s="105"/>
    </row>
    <row r="337" spans="2:2" ht="40.049999999999997" customHeight="1" x14ac:dyDescent="0.3">
      <c r="B337" s="105"/>
    </row>
    <row r="338" spans="2:2" ht="40.049999999999997" customHeight="1" x14ac:dyDescent="0.3">
      <c r="B338" s="105"/>
    </row>
    <row r="339" spans="2:2" ht="40.049999999999997" customHeight="1" x14ac:dyDescent="0.3">
      <c r="B339" s="105"/>
    </row>
    <row r="340" spans="2:2" ht="40.049999999999997" customHeight="1" x14ac:dyDescent="0.3">
      <c r="B340" s="105"/>
    </row>
    <row r="341" spans="2:2" ht="40.049999999999997" customHeight="1" x14ac:dyDescent="0.3">
      <c r="B341" s="105"/>
    </row>
    <row r="342" spans="2:2" ht="40.049999999999997" customHeight="1" x14ac:dyDescent="0.3">
      <c r="B342" s="105"/>
    </row>
    <row r="343" spans="2:2" ht="40.049999999999997" customHeight="1" x14ac:dyDescent="0.3">
      <c r="B343" s="105"/>
    </row>
    <row r="344" spans="2:2" ht="40.049999999999997" customHeight="1" x14ac:dyDescent="0.3">
      <c r="B344" s="105"/>
    </row>
    <row r="345" spans="2:2" ht="40.049999999999997" customHeight="1" x14ac:dyDescent="0.3">
      <c r="B345" s="105"/>
    </row>
    <row r="346" spans="2:2" ht="40.049999999999997" customHeight="1" x14ac:dyDescent="0.3">
      <c r="B346" s="105"/>
    </row>
    <row r="347" spans="2:2" ht="40.049999999999997" customHeight="1" x14ac:dyDescent="0.3">
      <c r="B347" s="105"/>
    </row>
    <row r="348" spans="2:2" ht="40.049999999999997" customHeight="1" x14ac:dyDescent="0.3">
      <c r="B348" s="105"/>
    </row>
    <row r="349" spans="2:2" ht="40.049999999999997" customHeight="1" x14ac:dyDescent="0.3">
      <c r="B349" s="105"/>
    </row>
    <row r="350" spans="2:2" ht="40.049999999999997" customHeight="1" x14ac:dyDescent="0.3">
      <c r="B350" s="105"/>
    </row>
    <row r="351" spans="2:2" ht="40.049999999999997" customHeight="1" x14ac:dyDescent="0.3">
      <c r="B351" s="105"/>
    </row>
    <row r="352" spans="2:2" ht="40.049999999999997" customHeight="1" x14ac:dyDescent="0.3">
      <c r="B352" s="105"/>
    </row>
    <row r="353" spans="2:2" ht="40.049999999999997" customHeight="1" x14ac:dyDescent="0.3">
      <c r="B353" s="105"/>
    </row>
    <row r="354" spans="2:2" ht="40.049999999999997" customHeight="1" x14ac:dyDescent="0.3">
      <c r="B354" s="105"/>
    </row>
    <row r="355" spans="2:2" ht="40.049999999999997" customHeight="1" x14ac:dyDescent="0.3">
      <c r="B355" s="105"/>
    </row>
    <row r="356" spans="2:2" ht="40.049999999999997" customHeight="1" x14ac:dyDescent="0.3">
      <c r="B356" s="105"/>
    </row>
    <row r="357" spans="2:2" ht="40.049999999999997" customHeight="1" x14ac:dyDescent="0.3">
      <c r="B357" s="105"/>
    </row>
    <row r="358" spans="2:2" ht="40.049999999999997" customHeight="1" x14ac:dyDescent="0.3">
      <c r="B358" s="105"/>
    </row>
    <row r="359" spans="2:2" ht="40.049999999999997" customHeight="1" x14ac:dyDescent="0.3">
      <c r="B359" s="105"/>
    </row>
    <row r="360" spans="2:2" ht="40.049999999999997" customHeight="1" x14ac:dyDescent="0.3">
      <c r="B360" s="105"/>
    </row>
    <row r="361" spans="2:2" ht="40.049999999999997" customHeight="1" x14ac:dyDescent="0.3">
      <c r="B361" s="105"/>
    </row>
    <row r="362" spans="2:2" ht="40.049999999999997" customHeight="1" x14ac:dyDescent="0.3">
      <c r="B362" s="105"/>
    </row>
    <row r="363" spans="2:2" ht="40.049999999999997" customHeight="1" x14ac:dyDescent="0.3">
      <c r="B363" s="105"/>
    </row>
    <row r="364" spans="2:2" ht="40.049999999999997" customHeight="1" x14ac:dyDescent="0.3">
      <c r="B364" s="105"/>
    </row>
    <row r="365" spans="2:2" ht="40.049999999999997" customHeight="1" x14ac:dyDescent="0.3">
      <c r="B365" s="105"/>
    </row>
    <row r="366" spans="2:2" ht="40.049999999999997" customHeight="1" x14ac:dyDescent="0.3">
      <c r="B366" s="105"/>
    </row>
    <row r="367" spans="2:2" ht="40.049999999999997" customHeight="1" x14ac:dyDescent="0.3">
      <c r="B367" s="105"/>
    </row>
    <row r="368" spans="2:2" ht="40.049999999999997" customHeight="1" x14ac:dyDescent="0.3">
      <c r="B368" s="105"/>
    </row>
    <row r="369" spans="2:2" ht="40.049999999999997" customHeight="1" x14ac:dyDescent="0.3">
      <c r="B369" s="105"/>
    </row>
    <row r="370" spans="2:2" ht="40.049999999999997" customHeight="1" x14ac:dyDescent="0.3">
      <c r="B370" s="105"/>
    </row>
    <row r="371" spans="2:2" ht="40.049999999999997" customHeight="1" x14ac:dyDescent="0.3">
      <c r="B371" s="105"/>
    </row>
    <row r="372" spans="2:2" ht="40.049999999999997" customHeight="1" x14ac:dyDescent="0.3">
      <c r="B372" s="105"/>
    </row>
    <row r="373" spans="2:2" ht="40.049999999999997" customHeight="1" x14ac:dyDescent="0.3">
      <c r="B373" s="105"/>
    </row>
    <row r="374" spans="2:2" ht="40.049999999999997" customHeight="1" x14ac:dyDescent="0.3">
      <c r="B374" s="105"/>
    </row>
    <row r="375" spans="2:2" ht="40.049999999999997" customHeight="1" x14ac:dyDescent="0.3">
      <c r="B375" s="105"/>
    </row>
    <row r="376" spans="2:2" ht="40.049999999999997" customHeight="1" x14ac:dyDescent="0.3">
      <c r="B376" s="105"/>
    </row>
    <row r="377" spans="2:2" ht="40.049999999999997" customHeight="1" x14ac:dyDescent="0.3">
      <c r="B377" s="105"/>
    </row>
    <row r="378" spans="2:2" ht="40.049999999999997" customHeight="1" x14ac:dyDescent="0.3">
      <c r="B378" s="105"/>
    </row>
    <row r="379" spans="2:2" ht="40.049999999999997" customHeight="1" x14ac:dyDescent="0.3">
      <c r="B379" s="105"/>
    </row>
    <row r="380" spans="2:2" ht="40.049999999999997" customHeight="1" x14ac:dyDescent="0.3">
      <c r="B380" s="105"/>
    </row>
    <row r="381" spans="2:2" ht="40.049999999999997" customHeight="1" x14ac:dyDescent="0.3">
      <c r="B381" s="105"/>
    </row>
    <row r="382" spans="2:2" ht="40.049999999999997" customHeight="1" x14ac:dyDescent="0.3">
      <c r="B382" s="105"/>
    </row>
    <row r="383" spans="2:2" ht="40.049999999999997" customHeight="1" x14ac:dyDescent="0.3">
      <c r="B383" s="105"/>
    </row>
    <row r="384" spans="2:2" ht="40.049999999999997" customHeight="1" x14ac:dyDescent="0.3">
      <c r="B384" s="105"/>
    </row>
    <row r="385" spans="2:2" ht="40.049999999999997" customHeight="1" x14ac:dyDescent="0.3">
      <c r="B385" s="105"/>
    </row>
    <row r="386" spans="2:2" ht="40.049999999999997" customHeight="1" x14ac:dyDescent="0.3">
      <c r="B386" s="105"/>
    </row>
    <row r="387" spans="2:2" ht="40.049999999999997" customHeight="1" x14ac:dyDescent="0.3">
      <c r="B387" s="105"/>
    </row>
    <row r="388" spans="2:2" ht="40.049999999999997" customHeight="1" x14ac:dyDescent="0.3">
      <c r="B388" s="105"/>
    </row>
    <row r="389" spans="2:2" ht="40.049999999999997" customHeight="1" x14ac:dyDescent="0.3">
      <c r="B389" s="105"/>
    </row>
    <row r="390" spans="2:2" ht="40.049999999999997" customHeight="1" x14ac:dyDescent="0.3">
      <c r="B390" s="105"/>
    </row>
    <row r="391" spans="2:2" ht="40.049999999999997" customHeight="1" x14ac:dyDescent="0.3">
      <c r="B391" s="105"/>
    </row>
    <row r="392" spans="2:2" ht="40.049999999999997" customHeight="1" x14ac:dyDescent="0.3">
      <c r="B392" s="105"/>
    </row>
    <row r="393" spans="2:2" ht="40.049999999999997" customHeight="1" x14ac:dyDescent="0.3">
      <c r="B393" s="105"/>
    </row>
    <row r="394" spans="2:2" ht="40.049999999999997" customHeight="1" x14ac:dyDescent="0.3">
      <c r="B394" s="105"/>
    </row>
    <row r="395" spans="2:2" ht="40.049999999999997" customHeight="1" x14ac:dyDescent="0.3">
      <c r="B395" s="105"/>
    </row>
    <row r="396" spans="2:2" ht="40.049999999999997" customHeight="1" x14ac:dyDescent="0.3">
      <c r="B396" s="105"/>
    </row>
    <row r="397" spans="2:2" ht="40.049999999999997" customHeight="1" x14ac:dyDescent="0.3">
      <c r="B397" s="105"/>
    </row>
    <row r="398" spans="2:2" ht="40.049999999999997" customHeight="1" x14ac:dyDescent="0.3">
      <c r="B398" s="105"/>
    </row>
    <row r="399" spans="2:2" ht="40.049999999999997" customHeight="1" x14ac:dyDescent="0.3">
      <c r="B399" s="105"/>
    </row>
    <row r="400" spans="2:2" ht="40.049999999999997" customHeight="1" x14ac:dyDescent="0.3">
      <c r="B400" s="105"/>
    </row>
    <row r="401" spans="2:2" ht="40.049999999999997" customHeight="1" x14ac:dyDescent="0.3">
      <c r="B401" s="105"/>
    </row>
    <row r="402" spans="2:2" ht="40.049999999999997" customHeight="1" x14ac:dyDescent="0.3">
      <c r="B402" s="105"/>
    </row>
    <row r="403" spans="2:2" ht="40.049999999999997" customHeight="1" x14ac:dyDescent="0.3">
      <c r="B403" s="105"/>
    </row>
    <row r="404" spans="2:2" ht="40.049999999999997" customHeight="1" x14ac:dyDescent="0.3">
      <c r="B404" s="105"/>
    </row>
    <row r="405" spans="2:2" ht="40.049999999999997" customHeight="1" x14ac:dyDescent="0.3">
      <c r="B405" s="105"/>
    </row>
    <row r="406" spans="2:2" ht="40.049999999999997" customHeight="1" x14ac:dyDescent="0.3">
      <c r="B406" s="105"/>
    </row>
    <row r="407" spans="2:2" ht="40.049999999999997" customHeight="1" x14ac:dyDescent="0.3">
      <c r="B407" s="105"/>
    </row>
    <row r="408" spans="2:2" ht="40.049999999999997" customHeight="1" x14ac:dyDescent="0.3">
      <c r="B408" s="105"/>
    </row>
    <row r="409" spans="2:2" ht="40.049999999999997" customHeight="1" x14ac:dyDescent="0.3">
      <c r="B409" s="105"/>
    </row>
    <row r="410" spans="2:2" ht="40.049999999999997" customHeight="1" x14ac:dyDescent="0.3">
      <c r="B410" s="105"/>
    </row>
    <row r="411" spans="2:2" ht="40.049999999999997" customHeight="1" x14ac:dyDescent="0.3">
      <c r="B411" s="105"/>
    </row>
    <row r="412" spans="2:2" ht="40.049999999999997" customHeight="1" x14ac:dyDescent="0.3">
      <c r="B412" s="105"/>
    </row>
    <row r="413" spans="2:2" ht="40.049999999999997" customHeight="1" x14ac:dyDescent="0.3">
      <c r="B413" s="105"/>
    </row>
    <row r="414" spans="2:2" ht="40.049999999999997" customHeight="1" x14ac:dyDescent="0.3">
      <c r="B414" s="105"/>
    </row>
    <row r="415" spans="2:2" ht="40.049999999999997" customHeight="1" x14ac:dyDescent="0.3">
      <c r="B415" s="105"/>
    </row>
    <row r="416" spans="2:2" ht="40.049999999999997" customHeight="1" x14ac:dyDescent="0.3">
      <c r="B416" s="105"/>
    </row>
    <row r="417" spans="2:2" ht="40.049999999999997" customHeight="1" x14ac:dyDescent="0.3">
      <c r="B417" s="105"/>
    </row>
    <row r="418" spans="2:2" ht="40.049999999999997" customHeight="1" x14ac:dyDescent="0.3">
      <c r="B418" s="105"/>
    </row>
    <row r="419" spans="2:2" ht="40.049999999999997" customHeight="1" x14ac:dyDescent="0.3">
      <c r="B419" s="105"/>
    </row>
    <row r="420" spans="2:2" ht="40.049999999999997" customHeight="1" x14ac:dyDescent="0.3">
      <c r="B420" s="105"/>
    </row>
    <row r="421" spans="2:2" ht="40.049999999999997" customHeight="1" x14ac:dyDescent="0.3">
      <c r="B421" s="105"/>
    </row>
    <row r="422" spans="2:2" ht="40.049999999999997" customHeight="1" x14ac:dyDescent="0.3">
      <c r="B422" s="105"/>
    </row>
    <row r="423" spans="2:2" ht="40.049999999999997" customHeight="1" x14ac:dyDescent="0.3">
      <c r="B423" s="105"/>
    </row>
    <row r="424" spans="2:2" ht="40.049999999999997" customHeight="1" x14ac:dyDescent="0.3">
      <c r="B424" s="105"/>
    </row>
    <row r="425" spans="2:2" ht="40.049999999999997" customHeight="1" x14ac:dyDescent="0.3">
      <c r="B425" s="105"/>
    </row>
    <row r="426" spans="2:2" ht="40.049999999999997" customHeight="1" x14ac:dyDescent="0.3">
      <c r="B426" s="105"/>
    </row>
    <row r="427" spans="2:2" ht="40.049999999999997" customHeight="1" x14ac:dyDescent="0.3">
      <c r="B427" s="105"/>
    </row>
    <row r="428" spans="2:2" ht="40.049999999999997" customHeight="1" x14ac:dyDescent="0.3">
      <c r="B428" s="105"/>
    </row>
    <row r="429" spans="2:2" ht="40.049999999999997" customHeight="1" x14ac:dyDescent="0.3">
      <c r="B429" s="105"/>
    </row>
    <row r="430" spans="2:2" ht="40.049999999999997" customHeight="1" x14ac:dyDescent="0.3">
      <c r="B430" s="105"/>
    </row>
    <row r="431" spans="2:2" ht="40.049999999999997" customHeight="1" x14ac:dyDescent="0.3">
      <c r="B431" s="105"/>
    </row>
    <row r="432" spans="2:2" ht="40.049999999999997" customHeight="1" x14ac:dyDescent="0.3">
      <c r="B432" s="105"/>
    </row>
    <row r="433" spans="2:2" ht="40.049999999999997" customHeight="1" x14ac:dyDescent="0.3">
      <c r="B433" s="105"/>
    </row>
    <row r="434" spans="2:2" ht="40.049999999999997" customHeight="1" x14ac:dyDescent="0.3">
      <c r="B434" s="105"/>
    </row>
    <row r="435" spans="2:2" ht="40.049999999999997" customHeight="1" x14ac:dyDescent="0.3">
      <c r="B435" s="105"/>
    </row>
    <row r="436" spans="2:2" ht="40.049999999999997" customHeight="1" x14ac:dyDescent="0.3">
      <c r="B436" s="105"/>
    </row>
    <row r="437" spans="2:2" ht="40.049999999999997" customHeight="1" x14ac:dyDescent="0.3">
      <c r="B437" s="105"/>
    </row>
    <row r="438" spans="2:2" ht="40.049999999999997" customHeight="1" x14ac:dyDescent="0.3">
      <c r="B438" s="105"/>
    </row>
    <row r="439" spans="2:2" ht="40.049999999999997" customHeight="1" x14ac:dyDescent="0.3">
      <c r="B439" s="105"/>
    </row>
    <row r="440" spans="2:2" ht="40.049999999999997" customHeight="1" x14ac:dyDescent="0.3">
      <c r="B440" s="105"/>
    </row>
    <row r="441" spans="2:2" ht="40.049999999999997" customHeight="1" x14ac:dyDescent="0.3">
      <c r="B441" s="105"/>
    </row>
    <row r="442" spans="2:2" ht="40.049999999999997" customHeight="1" x14ac:dyDescent="0.3">
      <c r="B442" s="105"/>
    </row>
    <row r="443" spans="2:2" ht="40.049999999999997" customHeight="1" x14ac:dyDescent="0.3">
      <c r="B443" s="105"/>
    </row>
    <row r="444" spans="2:2" ht="40.049999999999997" customHeight="1" x14ac:dyDescent="0.3">
      <c r="B444" s="105"/>
    </row>
    <row r="445" spans="2:2" ht="40.049999999999997" customHeight="1" x14ac:dyDescent="0.3">
      <c r="B445" s="105"/>
    </row>
    <row r="446" spans="2:2" ht="40.049999999999997" customHeight="1" x14ac:dyDescent="0.3">
      <c r="B446" s="105"/>
    </row>
    <row r="447" spans="2:2" ht="40.049999999999997" customHeight="1" x14ac:dyDescent="0.3">
      <c r="B447" s="105"/>
    </row>
    <row r="448" spans="2:2" ht="40.049999999999997" customHeight="1" x14ac:dyDescent="0.3">
      <c r="B448" s="105"/>
    </row>
    <row r="449" spans="2:2" ht="40.049999999999997" customHeight="1" x14ac:dyDescent="0.3">
      <c r="B449" s="105"/>
    </row>
    <row r="450" spans="2:2" ht="40.049999999999997" customHeight="1" x14ac:dyDescent="0.3">
      <c r="B450" s="105"/>
    </row>
    <row r="451" spans="2:2" ht="40.049999999999997" customHeight="1" x14ac:dyDescent="0.3">
      <c r="B451" s="105"/>
    </row>
    <row r="452" spans="2:2" ht="40.049999999999997" customHeight="1" x14ac:dyDescent="0.3">
      <c r="B452" s="105"/>
    </row>
    <row r="453" spans="2:2" ht="40.049999999999997" customHeight="1" x14ac:dyDescent="0.3">
      <c r="B453" s="105"/>
    </row>
    <row r="454" spans="2:2" ht="40.049999999999997" customHeight="1" x14ac:dyDescent="0.3">
      <c r="B454" s="105"/>
    </row>
    <row r="455" spans="2:2" ht="40.049999999999997" customHeight="1" x14ac:dyDescent="0.3">
      <c r="B455" s="105"/>
    </row>
    <row r="456" spans="2:2" ht="40.049999999999997" customHeight="1" x14ac:dyDescent="0.3">
      <c r="B456" s="105"/>
    </row>
    <row r="457" spans="2:2" ht="40.049999999999997" customHeight="1" x14ac:dyDescent="0.3">
      <c r="B457" s="105"/>
    </row>
    <row r="458" spans="2:2" ht="40.049999999999997" customHeight="1" x14ac:dyDescent="0.3">
      <c r="B458" s="105"/>
    </row>
    <row r="459" spans="2:2" ht="40.049999999999997" customHeight="1" x14ac:dyDescent="0.3">
      <c r="B459" s="105"/>
    </row>
    <row r="460" spans="2:2" ht="40.049999999999997" customHeight="1" x14ac:dyDescent="0.3">
      <c r="B460" s="105"/>
    </row>
    <row r="461" spans="2:2" ht="40.049999999999997" customHeight="1" x14ac:dyDescent="0.3">
      <c r="B461" s="105"/>
    </row>
    <row r="462" spans="2:2" ht="40.049999999999997" customHeight="1" x14ac:dyDescent="0.3">
      <c r="B462" s="105"/>
    </row>
    <row r="463" spans="2:2" ht="40.049999999999997" customHeight="1" x14ac:dyDescent="0.3">
      <c r="B463" s="105"/>
    </row>
    <row r="464" spans="2:2" ht="40.049999999999997" customHeight="1" x14ac:dyDescent="0.3">
      <c r="B464" s="105"/>
    </row>
    <row r="465" spans="2:2" ht="40.049999999999997" customHeight="1" x14ac:dyDescent="0.3">
      <c r="B465" s="105"/>
    </row>
    <row r="466" spans="2:2" ht="40.049999999999997" customHeight="1" x14ac:dyDescent="0.3">
      <c r="B466" s="105"/>
    </row>
    <row r="467" spans="2:2" ht="40.049999999999997" customHeight="1" x14ac:dyDescent="0.3">
      <c r="B467" s="105"/>
    </row>
    <row r="468" spans="2:2" ht="40.049999999999997" customHeight="1" x14ac:dyDescent="0.3">
      <c r="B468" s="105"/>
    </row>
    <row r="469" spans="2:2" ht="40.049999999999997" customHeight="1" x14ac:dyDescent="0.3">
      <c r="B469" s="105"/>
    </row>
    <row r="470" spans="2:2" ht="40.049999999999997" customHeight="1" x14ac:dyDescent="0.3">
      <c r="B470" s="105"/>
    </row>
    <row r="471" spans="2:2" ht="40.049999999999997" customHeight="1" x14ac:dyDescent="0.3">
      <c r="B471" s="105"/>
    </row>
    <row r="472" spans="2:2" ht="40.049999999999997" customHeight="1" x14ac:dyDescent="0.3">
      <c r="B472" s="105"/>
    </row>
    <row r="473" spans="2:2" ht="40.049999999999997" customHeight="1" x14ac:dyDescent="0.3">
      <c r="B473" s="105"/>
    </row>
    <row r="474" spans="2:2" ht="40.049999999999997" customHeight="1" x14ac:dyDescent="0.3">
      <c r="B474" s="105"/>
    </row>
    <row r="475" spans="2:2" ht="40.049999999999997" customHeight="1" x14ac:dyDescent="0.3">
      <c r="B475" s="105"/>
    </row>
    <row r="476" spans="2:2" ht="40.049999999999997" customHeight="1" x14ac:dyDescent="0.3">
      <c r="B476" s="105"/>
    </row>
    <row r="477" spans="2:2" ht="40.049999999999997" customHeight="1" x14ac:dyDescent="0.3">
      <c r="B477" s="105"/>
    </row>
    <row r="478" spans="2:2" ht="40.049999999999997" customHeight="1" x14ac:dyDescent="0.3">
      <c r="B478" s="105"/>
    </row>
    <row r="479" spans="2:2" ht="40.049999999999997" customHeight="1" x14ac:dyDescent="0.3">
      <c r="B479" s="105"/>
    </row>
    <row r="480" spans="2:2" ht="40.049999999999997" customHeight="1" x14ac:dyDescent="0.3">
      <c r="B480" s="105"/>
    </row>
    <row r="481" spans="2:2" ht="40.049999999999997" customHeight="1" x14ac:dyDescent="0.3">
      <c r="B481" s="105"/>
    </row>
    <row r="482" spans="2:2" ht="40.049999999999997" customHeight="1" x14ac:dyDescent="0.3">
      <c r="B482" s="105"/>
    </row>
    <row r="483" spans="2:2" ht="40.049999999999997" customHeight="1" x14ac:dyDescent="0.3">
      <c r="B483" s="105"/>
    </row>
    <row r="484" spans="2:2" ht="40.049999999999997" customHeight="1" x14ac:dyDescent="0.3">
      <c r="B484" s="105"/>
    </row>
    <row r="485" spans="2:2" ht="40.049999999999997" customHeight="1" x14ac:dyDescent="0.3">
      <c r="B485" s="105"/>
    </row>
    <row r="486" spans="2:2" ht="40.049999999999997" customHeight="1" x14ac:dyDescent="0.3">
      <c r="B486" s="105"/>
    </row>
    <row r="487" spans="2:2" ht="40.049999999999997" customHeight="1" x14ac:dyDescent="0.3">
      <c r="B487" s="105"/>
    </row>
    <row r="488" spans="2:2" ht="40.049999999999997" customHeight="1" x14ac:dyDescent="0.3">
      <c r="B488" s="105"/>
    </row>
    <row r="489" spans="2:2" ht="40.049999999999997" customHeight="1" x14ac:dyDescent="0.3">
      <c r="B489" s="105"/>
    </row>
    <row r="490" spans="2:2" ht="40.049999999999997" customHeight="1" x14ac:dyDescent="0.3">
      <c r="B490" s="105"/>
    </row>
    <row r="491" spans="2:2" ht="40.049999999999997" customHeight="1" x14ac:dyDescent="0.3">
      <c r="B491" s="105"/>
    </row>
    <row r="492" spans="2:2" ht="40.049999999999997" customHeight="1" x14ac:dyDescent="0.3">
      <c r="B492" s="105"/>
    </row>
    <row r="493" spans="2:2" ht="40.049999999999997" customHeight="1" x14ac:dyDescent="0.3">
      <c r="B493" s="105"/>
    </row>
    <row r="494" spans="2:2" ht="40.049999999999997" customHeight="1" x14ac:dyDescent="0.3">
      <c r="B494" s="105"/>
    </row>
    <row r="495" spans="2:2" ht="40.049999999999997" customHeight="1" x14ac:dyDescent="0.3">
      <c r="B495" s="105"/>
    </row>
    <row r="496" spans="2:2" ht="40.049999999999997" customHeight="1" x14ac:dyDescent="0.3">
      <c r="B496" s="105"/>
    </row>
    <row r="497" spans="2:2" ht="40.049999999999997" customHeight="1" x14ac:dyDescent="0.3">
      <c r="B497" s="105"/>
    </row>
    <row r="498" spans="2:2" ht="40.049999999999997" customHeight="1" x14ac:dyDescent="0.3">
      <c r="B498" s="105"/>
    </row>
    <row r="499" spans="2:2" ht="40.049999999999997" customHeight="1" x14ac:dyDescent="0.3">
      <c r="B499" s="105"/>
    </row>
    <row r="500" spans="2:2" ht="40.049999999999997" customHeight="1" x14ac:dyDescent="0.3">
      <c r="B500" s="105"/>
    </row>
    <row r="501" spans="2:2" ht="40.049999999999997" customHeight="1" x14ac:dyDescent="0.3">
      <c r="B501" s="105"/>
    </row>
    <row r="502" spans="2:2" ht="40.049999999999997" customHeight="1" x14ac:dyDescent="0.3">
      <c r="B502" s="105"/>
    </row>
    <row r="503" spans="2:2" ht="40.049999999999997" customHeight="1" x14ac:dyDescent="0.3">
      <c r="B503" s="105"/>
    </row>
    <row r="504" spans="2:2" ht="40.049999999999997" customHeight="1" x14ac:dyDescent="0.3">
      <c r="B504" s="105"/>
    </row>
    <row r="505" spans="2:2" ht="40.049999999999997" customHeight="1" x14ac:dyDescent="0.3">
      <c r="B505" s="105"/>
    </row>
    <row r="506" spans="2:2" ht="40.049999999999997" customHeight="1" x14ac:dyDescent="0.3">
      <c r="B506" s="105"/>
    </row>
    <row r="507" spans="2:2" ht="40.049999999999997" customHeight="1" x14ac:dyDescent="0.3">
      <c r="B507" s="105"/>
    </row>
    <row r="508" spans="2:2" ht="40.049999999999997" customHeight="1" x14ac:dyDescent="0.3">
      <c r="B508" s="105"/>
    </row>
    <row r="509" spans="2:2" ht="40.049999999999997" customHeight="1" x14ac:dyDescent="0.3">
      <c r="B509" s="105"/>
    </row>
    <row r="510" spans="2:2" ht="40.049999999999997" customHeight="1" x14ac:dyDescent="0.3">
      <c r="B510" s="105"/>
    </row>
    <row r="511" spans="2:2" ht="40.049999999999997" customHeight="1" x14ac:dyDescent="0.3">
      <c r="B511" s="105"/>
    </row>
    <row r="512" spans="2:2" ht="40.049999999999997" customHeight="1" x14ac:dyDescent="0.3">
      <c r="B512" s="105"/>
    </row>
    <row r="513" spans="2:2" ht="40.049999999999997" customHeight="1" x14ac:dyDescent="0.3">
      <c r="B513" s="105"/>
    </row>
    <row r="514" spans="2:2" ht="40.049999999999997" customHeight="1" x14ac:dyDescent="0.3">
      <c r="B514" s="105"/>
    </row>
    <row r="515" spans="2:2" ht="40.049999999999997" customHeight="1" x14ac:dyDescent="0.3">
      <c r="B515" s="105"/>
    </row>
    <row r="516" spans="2:2" ht="40.049999999999997" customHeight="1" x14ac:dyDescent="0.3">
      <c r="B516" s="105"/>
    </row>
    <row r="517" spans="2:2" ht="40.049999999999997" customHeight="1" x14ac:dyDescent="0.3">
      <c r="B517" s="105"/>
    </row>
    <row r="518" spans="2:2" ht="40.049999999999997" customHeight="1" x14ac:dyDescent="0.3">
      <c r="B518" s="105"/>
    </row>
    <row r="519" spans="2:2" ht="40.049999999999997" customHeight="1" x14ac:dyDescent="0.3">
      <c r="B519" s="105"/>
    </row>
    <row r="520" spans="2:2" ht="40.049999999999997" customHeight="1" x14ac:dyDescent="0.3">
      <c r="B520" s="105"/>
    </row>
    <row r="521" spans="2:2" ht="40.049999999999997" customHeight="1" x14ac:dyDescent="0.3">
      <c r="B521" s="105"/>
    </row>
    <row r="522" spans="2:2" ht="40.049999999999997" customHeight="1" x14ac:dyDescent="0.3">
      <c r="B522" s="105"/>
    </row>
    <row r="523" spans="2:2" ht="40.049999999999997" customHeight="1" x14ac:dyDescent="0.3">
      <c r="B523" s="105"/>
    </row>
    <row r="524" spans="2:2" ht="40.049999999999997" customHeight="1" x14ac:dyDescent="0.3">
      <c r="B524" s="105"/>
    </row>
    <row r="525" spans="2:2" ht="40.049999999999997" customHeight="1" x14ac:dyDescent="0.3">
      <c r="B525" s="105"/>
    </row>
    <row r="526" spans="2:2" ht="40.049999999999997" customHeight="1" x14ac:dyDescent="0.3">
      <c r="B526" s="105"/>
    </row>
    <row r="527" spans="2:2" ht="40.049999999999997" customHeight="1" x14ac:dyDescent="0.3">
      <c r="B527" s="105"/>
    </row>
    <row r="528" spans="2:2" ht="40.049999999999997" customHeight="1" x14ac:dyDescent="0.3">
      <c r="B528" s="105"/>
    </row>
    <row r="529" spans="2:2" ht="40.049999999999997" customHeight="1" x14ac:dyDescent="0.3">
      <c r="B529" s="105"/>
    </row>
    <row r="530" spans="2:2" ht="40.049999999999997" customHeight="1" x14ac:dyDescent="0.3">
      <c r="B530" s="105"/>
    </row>
    <row r="531" spans="2:2" ht="40.049999999999997" customHeight="1" x14ac:dyDescent="0.3">
      <c r="B531" s="105"/>
    </row>
    <row r="532" spans="2:2" ht="40.049999999999997" customHeight="1" x14ac:dyDescent="0.3">
      <c r="B532" s="105"/>
    </row>
    <row r="533" spans="2:2" ht="40.049999999999997" customHeight="1" x14ac:dyDescent="0.3">
      <c r="B533" s="105"/>
    </row>
    <row r="534" spans="2:2" ht="40.049999999999997" customHeight="1" x14ac:dyDescent="0.3">
      <c r="B534" s="105"/>
    </row>
    <row r="535" spans="2:2" ht="40.049999999999997" customHeight="1" x14ac:dyDescent="0.3">
      <c r="B535" s="105"/>
    </row>
    <row r="536" spans="2:2" ht="40.049999999999997" customHeight="1" x14ac:dyDescent="0.3">
      <c r="B536" s="105"/>
    </row>
    <row r="537" spans="2:2" ht="40.049999999999997" customHeight="1" x14ac:dyDescent="0.3">
      <c r="B537" s="105"/>
    </row>
    <row r="538" spans="2:2" ht="40.049999999999997" customHeight="1" x14ac:dyDescent="0.3">
      <c r="B538" s="105"/>
    </row>
    <row r="539" spans="2:2" ht="40.049999999999997" customHeight="1" x14ac:dyDescent="0.3">
      <c r="B539" s="105"/>
    </row>
    <row r="540" spans="2:2" ht="40.049999999999997" customHeight="1" x14ac:dyDescent="0.3">
      <c r="B540" s="105"/>
    </row>
    <row r="541" spans="2:2" ht="40.049999999999997" customHeight="1" x14ac:dyDescent="0.3">
      <c r="B541" s="105"/>
    </row>
    <row r="542" spans="2:2" ht="40.049999999999997" customHeight="1" x14ac:dyDescent="0.3">
      <c r="B542" s="105"/>
    </row>
    <row r="543" spans="2:2" ht="40.049999999999997" customHeight="1" x14ac:dyDescent="0.3">
      <c r="B543" s="105"/>
    </row>
    <row r="544" spans="2:2" ht="40.049999999999997" customHeight="1" x14ac:dyDescent="0.3">
      <c r="B544" s="105"/>
    </row>
    <row r="545" spans="2:2" ht="40.049999999999997" customHeight="1" x14ac:dyDescent="0.3">
      <c r="B545" s="105"/>
    </row>
    <row r="546" spans="2:2" ht="40.049999999999997" customHeight="1" x14ac:dyDescent="0.3">
      <c r="B546" s="105"/>
    </row>
    <row r="547" spans="2:2" ht="40.049999999999997" customHeight="1" x14ac:dyDescent="0.3">
      <c r="B547" s="105"/>
    </row>
    <row r="548" spans="2:2" ht="40.049999999999997" customHeight="1" x14ac:dyDescent="0.3">
      <c r="B548" s="105"/>
    </row>
    <row r="549" spans="2:2" ht="40.049999999999997" customHeight="1" x14ac:dyDescent="0.3">
      <c r="B549" s="105"/>
    </row>
    <row r="550" spans="2:2" ht="40.049999999999997" customHeight="1" x14ac:dyDescent="0.3">
      <c r="B550" s="105"/>
    </row>
    <row r="551" spans="2:2" ht="40.049999999999997" customHeight="1" x14ac:dyDescent="0.3">
      <c r="B551" s="105"/>
    </row>
    <row r="552" spans="2:2" ht="40.049999999999997" customHeight="1" x14ac:dyDescent="0.3">
      <c r="B552" s="105"/>
    </row>
    <row r="553" spans="2:2" ht="40.049999999999997" customHeight="1" x14ac:dyDescent="0.3">
      <c r="B553" s="105"/>
    </row>
    <row r="554" spans="2:2" ht="40.049999999999997" customHeight="1" x14ac:dyDescent="0.3">
      <c r="B554" s="105"/>
    </row>
    <row r="555" spans="2:2" ht="40.049999999999997" customHeight="1" x14ac:dyDescent="0.3">
      <c r="B555" s="105"/>
    </row>
    <row r="556" spans="2:2" ht="40.049999999999997" customHeight="1" x14ac:dyDescent="0.3">
      <c r="B556" s="105"/>
    </row>
    <row r="557" spans="2:2" ht="40.049999999999997" customHeight="1" x14ac:dyDescent="0.3">
      <c r="B557" s="105"/>
    </row>
    <row r="558" spans="2:2" ht="40.049999999999997" customHeight="1" x14ac:dyDescent="0.3">
      <c r="B558" s="105"/>
    </row>
    <row r="559" spans="2:2" ht="40.049999999999997" customHeight="1" x14ac:dyDescent="0.3">
      <c r="B559" s="105"/>
    </row>
    <row r="560" spans="2:2" ht="40.049999999999997" customHeight="1" x14ac:dyDescent="0.3">
      <c r="B560" s="105"/>
    </row>
    <row r="561" spans="2:2" ht="40.049999999999997" customHeight="1" x14ac:dyDescent="0.3">
      <c r="B561" s="105"/>
    </row>
    <row r="562" spans="2:2" ht="40.049999999999997" customHeight="1" x14ac:dyDescent="0.3">
      <c r="B562" s="105"/>
    </row>
    <row r="563" spans="2:2" ht="40.049999999999997" customHeight="1" x14ac:dyDescent="0.3">
      <c r="B563" s="105"/>
    </row>
    <row r="564" spans="2:2" ht="40.049999999999997" customHeight="1" x14ac:dyDescent="0.3">
      <c r="B564" s="105"/>
    </row>
    <row r="565" spans="2:2" ht="40.049999999999997" customHeight="1" x14ac:dyDescent="0.3">
      <c r="B565" s="105"/>
    </row>
    <row r="566" spans="2:2" ht="40.049999999999997" customHeight="1" x14ac:dyDescent="0.3">
      <c r="B566" s="105"/>
    </row>
    <row r="567" spans="2:2" ht="40.049999999999997" customHeight="1" x14ac:dyDescent="0.3">
      <c r="B567" s="105"/>
    </row>
    <row r="568" spans="2:2" ht="40.049999999999997" customHeight="1" x14ac:dyDescent="0.3">
      <c r="B568" s="105"/>
    </row>
    <row r="569" spans="2:2" ht="40.049999999999997" customHeight="1" x14ac:dyDescent="0.3">
      <c r="B569" s="105"/>
    </row>
    <row r="570" spans="2:2" ht="40.049999999999997" customHeight="1" x14ac:dyDescent="0.3">
      <c r="B570" s="105"/>
    </row>
    <row r="571" spans="2:2" ht="40.049999999999997" customHeight="1" x14ac:dyDescent="0.3">
      <c r="B571" s="105"/>
    </row>
    <row r="572" spans="2:2" ht="40.049999999999997" customHeight="1" x14ac:dyDescent="0.3">
      <c r="B572" s="105"/>
    </row>
    <row r="573" spans="2:2" ht="40.049999999999997" customHeight="1" x14ac:dyDescent="0.3">
      <c r="B573" s="105"/>
    </row>
    <row r="574" spans="2:2" ht="40.049999999999997" customHeight="1" x14ac:dyDescent="0.3">
      <c r="B574" s="105"/>
    </row>
    <row r="575" spans="2:2" ht="40.049999999999997" customHeight="1" x14ac:dyDescent="0.3">
      <c r="B575" s="105"/>
    </row>
    <row r="576" spans="2:2" ht="40.049999999999997" customHeight="1" x14ac:dyDescent="0.3">
      <c r="B576" s="105"/>
    </row>
    <row r="577" spans="2:2" ht="40.049999999999997" customHeight="1" x14ac:dyDescent="0.3">
      <c r="B577" s="105"/>
    </row>
    <row r="578" spans="2:2" ht="40.049999999999997" customHeight="1" x14ac:dyDescent="0.3">
      <c r="B578" s="105"/>
    </row>
    <row r="579" spans="2:2" ht="40.049999999999997" customHeight="1" x14ac:dyDescent="0.3">
      <c r="B579" s="105"/>
    </row>
    <row r="580" spans="2:2" ht="40.049999999999997" customHeight="1" x14ac:dyDescent="0.3">
      <c r="B580" s="105"/>
    </row>
    <row r="581" spans="2:2" ht="40.049999999999997" customHeight="1" x14ac:dyDescent="0.3">
      <c r="B581" s="105"/>
    </row>
    <row r="582" spans="2:2" ht="40.049999999999997" customHeight="1" x14ac:dyDescent="0.3">
      <c r="B582" s="105"/>
    </row>
    <row r="583" spans="2:2" ht="40.049999999999997" customHeight="1" x14ac:dyDescent="0.3">
      <c r="B583" s="105"/>
    </row>
    <row r="584" spans="2:2" ht="40.049999999999997" customHeight="1" x14ac:dyDescent="0.3">
      <c r="B584" s="105"/>
    </row>
    <row r="585" spans="2:2" ht="40.049999999999997" customHeight="1" x14ac:dyDescent="0.3">
      <c r="B585" s="105"/>
    </row>
    <row r="586" spans="2:2" ht="40.049999999999997" customHeight="1" x14ac:dyDescent="0.3">
      <c r="B586" s="105"/>
    </row>
    <row r="587" spans="2:2" ht="40.049999999999997" customHeight="1" x14ac:dyDescent="0.3">
      <c r="B587" s="105"/>
    </row>
    <row r="588" spans="2:2" ht="40.049999999999997" customHeight="1" x14ac:dyDescent="0.3">
      <c r="B588" s="105"/>
    </row>
    <row r="589" spans="2:2" ht="40.049999999999997" customHeight="1" x14ac:dyDescent="0.3">
      <c r="B589" s="105"/>
    </row>
    <row r="590" spans="2:2" ht="40.049999999999997" customHeight="1" x14ac:dyDescent="0.3">
      <c r="B590" s="105"/>
    </row>
    <row r="591" spans="2:2" ht="40.049999999999997" customHeight="1" x14ac:dyDescent="0.3">
      <c r="B591" s="105"/>
    </row>
    <row r="592" spans="2:2" ht="40.049999999999997" customHeight="1" x14ac:dyDescent="0.3">
      <c r="B592" s="105"/>
    </row>
    <row r="593" spans="2:2" ht="40.049999999999997" customHeight="1" x14ac:dyDescent="0.3">
      <c r="B593" s="105"/>
    </row>
    <row r="594" spans="2:2" ht="40.049999999999997" customHeight="1" x14ac:dyDescent="0.3">
      <c r="B594" s="105"/>
    </row>
    <row r="595" spans="2:2" ht="40.049999999999997" customHeight="1" x14ac:dyDescent="0.3">
      <c r="B595" s="105"/>
    </row>
    <row r="596" spans="2:2" ht="40.049999999999997" customHeight="1" x14ac:dyDescent="0.3">
      <c r="B596" s="105"/>
    </row>
    <row r="597" spans="2:2" ht="40.049999999999997" customHeight="1" x14ac:dyDescent="0.3">
      <c r="B597" s="105"/>
    </row>
    <row r="598" spans="2:2" ht="40.049999999999997" customHeight="1" x14ac:dyDescent="0.3">
      <c r="B598" s="105"/>
    </row>
    <row r="599" spans="2:2" ht="40.049999999999997" customHeight="1" x14ac:dyDescent="0.3">
      <c r="B599" s="105"/>
    </row>
    <row r="600" spans="2:2" ht="40.049999999999997" customHeight="1" x14ac:dyDescent="0.3">
      <c r="B600" s="105"/>
    </row>
    <row r="601" spans="2:2" ht="40.049999999999997" customHeight="1" x14ac:dyDescent="0.3">
      <c r="B601" s="105"/>
    </row>
    <row r="602" spans="2:2" ht="40.049999999999997" customHeight="1" x14ac:dyDescent="0.3">
      <c r="B602" s="105"/>
    </row>
    <row r="603" spans="2:2" ht="40.049999999999997" customHeight="1" x14ac:dyDescent="0.3">
      <c r="B603" s="105"/>
    </row>
    <row r="604" spans="2:2" ht="40.049999999999997" customHeight="1" x14ac:dyDescent="0.3">
      <c r="B604" s="105"/>
    </row>
    <row r="605" spans="2:2" ht="40.049999999999997" customHeight="1" x14ac:dyDescent="0.3">
      <c r="B605" s="105"/>
    </row>
    <row r="606" spans="2:2" ht="40.049999999999997" customHeight="1" x14ac:dyDescent="0.3">
      <c r="B606" s="105"/>
    </row>
    <row r="607" spans="2:2" ht="40.049999999999997" customHeight="1" x14ac:dyDescent="0.3">
      <c r="B607" s="105"/>
    </row>
    <row r="608" spans="2:2" ht="40.049999999999997" customHeight="1" x14ac:dyDescent="0.3">
      <c r="B608" s="105"/>
    </row>
    <row r="609" spans="2:2" ht="40.049999999999997" customHeight="1" x14ac:dyDescent="0.3">
      <c r="B609" s="105"/>
    </row>
    <row r="610" spans="2:2" ht="40.049999999999997" customHeight="1" x14ac:dyDescent="0.3">
      <c r="B610" s="105"/>
    </row>
    <row r="611" spans="2:2" ht="40.049999999999997" customHeight="1" x14ac:dyDescent="0.3">
      <c r="B611" s="105"/>
    </row>
    <row r="612" spans="2:2" ht="40.049999999999997" customHeight="1" x14ac:dyDescent="0.3">
      <c r="B612" s="105"/>
    </row>
    <row r="613" spans="2:2" ht="40.049999999999997" customHeight="1" x14ac:dyDescent="0.3">
      <c r="B613" s="105"/>
    </row>
    <row r="614" spans="2:2" ht="40.049999999999997" customHeight="1" x14ac:dyDescent="0.3">
      <c r="B614" s="105"/>
    </row>
    <row r="615" spans="2:2" ht="40.049999999999997" customHeight="1" x14ac:dyDescent="0.3">
      <c r="B615" s="105"/>
    </row>
    <row r="616" spans="2:2" ht="40.049999999999997" customHeight="1" x14ac:dyDescent="0.3">
      <c r="B616" s="105"/>
    </row>
    <row r="617" spans="2:2" ht="40.049999999999997" customHeight="1" x14ac:dyDescent="0.3">
      <c r="B617" s="105"/>
    </row>
    <row r="618" spans="2:2" ht="40.049999999999997" customHeight="1" x14ac:dyDescent="0.3">
      <c r="B618" s="105"/>
    </row>
    <row r="619" spans="2:2" ht="40.049999999999997" customHeight="1" x14ac:dyDescent="0.3">
      <c r="B619" s="105"/>
    </row>
    <row r="620" spans="2:2" ht="40.049999999999997" customHeight="1" x14ac:dyDescent="0.3">
      <c r="B620" s="105"/>
    </row>
    <row r="621" spans="2:2" ht="40.049999999999997" customHeight="1" x14ac:dyDescent="0.3">
      <c r="B621" s="105"/>
    </row>
    <row r="622" spans="2:2" ht="40.049999999999997" customHeight="1" x14ac:dyDescent="0.3">
      <c r="B622" s="105"/>
    </row>
    <row r="623" spans="2:2" ht="40.049999999999997" customHeight="1" x14ac:dyDescent="0.3">
      <c r="B623" s="105"/>
    </row>
    <row r="624" spans="2:2" ht="40.049999999999997" customHeight="1" x14ac:dyDescent="0.3">
      <c r="B624" s="105"/>
    </row>
    <row r="625" spans="2:2" ht="40.049999999999997" customHeight="1" x14ac:dyDescent="0.3">
      <c r="B625" s="105"/>
    </row>
    <row r="626" spans="2:2" ht="40.049999999999997" customHeight="1" x14ac:dyDescent="0.3">
      <c r="B626" s="105"/>
    </row>
    <row r="627" spans="2:2" ht="40.049999999999997" customHeight="1" x14ac:dyDescent="0.3">
      <c r="B627" s="105"/>
    </row>
    <row r="628" spans="2:2" ht="40.049999999999997" customHeight="1" x14ac:dyDescent="0.3">
      <c r="B628" s="105"/>
    </row>
    <row r="629" spans="2:2" ht="40.049999999999997" customHeight="1" x14ac:dyDescent="0.3">
      <c r="B629" s="105"/>
    </row>
    <row r="630" spans="2:2" ht="40.049999999999997" customHeight="1" x14ac:dyDescent="0.3">
      <c r="B630" s="105"/>
    </row>
    <row r="631" spans="2:2" ht="40.049999999999997" customHeight="1" x14ac:dyDescent="0.3">
      <c r="B631" s="105"/>
    </row>
    <row r="632" spans="2:2" ht="40.049999999999997" customHeight="1" x14ac:dyDescent="0.3">
      <c r="B632" s="105"/>
    </row>
    <row r="633" spans="2:2" ht="40.049999999999997" customHeight="1" x14ac:dyDescent="0.3">
      <c r="B633" s="105"/>
    </row>
    <row r="634" spans="2:2" ht="40.049999999999997" customHeight="1" x14ac:dyDescent="0.3">
      <c r="B634" s="105"/>
    </row>
    <row r="635" spans="2:2" ht="40.049999999999997" customHeight="1" x14ac:dyDescent="0.3">
      <c r="B635" s="105"/>
    </row>
    <row r="636" spans="2:2" ht="40.049999999999997" customHeight="1" x14ac:dyDescent="0.3">
      <c r="B636" s="105"/>
    </row>
    <row r="637" spans="2:2" ht="40.049999999999997" customHeight="1" x14ac:dyDescent="0.3">
      <c r="B637" s="105"/>
    </row>
    <row r="638" spans="2:2" ht="40.049999999999997" customHeight="1" x14ac:dyDescent="0.3">
      <c r="B638" s="105"/>
    </row>
    <row r="639" spans="2:2" ht="40.049999999999997" customHeight="1" x14ac:dyDescent="0.3">
      <c r="B639" s="105"/>
    </row>
    <row r="640" spans="2:2" ht="40.049999999999997" customHeight="1" x14ac:dyDescent="0.3">
      <c r="B640" s="105"/>
    </row>
    <row r="641" spans="2:2" ht="40.049999999999997" customHeight="1" x14ac:dyDescent="0.3">
      <c r="B641" s="105"/>
    </row>
    <row r="642" spans="2:2" ht="40.049999999999997" customHeight="1" x14ac:dyDescent="0.3">
      <c r="B642" s="105"/>
    </row>
    <row r="643" spans="2:2" ht="40.049999999999997" customHeight="1" x14ac:dyDescent="0.3">
      <c r="B643" s="105"/>
    </row>
    <row r="644" spans="2:2" ht="40.049999999999997" customHeight="1" x14ac:dyDescent="0.3">
      <c r="B644" s="105"/>
    </row>
    <row r="645" spans="2:2" ht="40.049999999999997" customHeight="1" x14ac:dyDescent="0.3">
      <c r="B645" s="105"/>
    </row>
    <row r="646" spans="2:2" ht="40.049999999999997" customHeight="1" x14ac:dyDescent="0.3">
      <c r="B646" s="105"/>
    </row>
    <row r="647" spans="2:2" ht="40.049999999999997" customHeight="1" x14ac:dyDescent="0.3">
      <c r="B647" s="105"/>
    </row>
    <row r="648" spans="2:2" ht="40.049999999999997" customHeight="1" x14ac:dyDescent="0.3">
      <c r="B648" s="105"/>
    </row>
    <row r="649" spans="2:2" ht="40.049999999999997" customHeight="1" x14ac:dyDescent="0.3">
      <c r="B649" s="105"/>
    </row>
    <row r="650" spans="2:2" ht="40.049999999999997" customHeight="1" x14ac:dyDescent="0.3">
      <c r="B650" s="105"/>
    </row>
    <row r="651" spans="2:2" ht="40.049999999999997" customHeight="1" x14ac:dyDescent="0.3">
      <c r="B651" s="105"/>
    </row>
    <row r="652" spans="2:2" ht="40.049999999999997" customHeight="1" x14ac:dyDescent="0.3">
      <c r="B652" s="105"/>
    </row>
    <row r="653" spans="2:2" ht="40.049999999999997" customHeight="1" x14ac:dyDescent="0.3">
      <c r="B653" s="105"/>
    </row>
    <row r="654" spans="2:2" ht="40.049999999999997" customHeight="1" x14ac:dyDescent="0.3">
      <c r="B654" s="105"/>
    </row>
    <row r="655" spans="2:2" ht="40.049999999999997" customHeight="1" x14ac:dyDescent="0.3">
      <c r="B655" s="105"/>
    </row>
    <row r="656" spans="2:2" ht="40.049999999999997" customHeight="1" x14ac:dyDescent="0.3">
      <c r="B656" s="105"/>
    </row>
    <row r="657" spans="2:2" ht="40.049999999999997" customHeight="1" x14ac:dyDescent="0.3">
      <c r="B657" s="105"/>
    </row>
    <row r="658" spans="2:2" ht="40.049999999999997" customHeight="1" x14ac:dyDescent="0.3">
      <c r="B658" s="105"/>
    </row>
    <row r="659" spans="2:2" ht="40.049999999999997" customHeight="1" x14ac:dyDescent="0.3">
      <c r="B659" s="105"/>
    </row>
  </sheetData>
  <sheetProtection sheet="1" objects="1" scenarios="1" selectLockedCells="1" selectUnlockedCells="1"/>
  <mergeCells count="37">
    <mergeCell ref="A1:XFD1"/>
    <mergeCell ref="AB44:AC50"/>
    <mergeCell ref="C44:E44"/>
    <mergeCell ref="C45:E45"/>
    <mergeCell ref="C46:E46"/>
    <mergeCell ref="C47:E47"/>
    <mergeCell ref="C48:E48"/>
    <mergeCell ref="C49:E49"/>
    <mergeCell ref="C50:E50"/>
    <mergeCell ref="AF2:AV2"/>
    <mergeCell ref="Z4:Z5"/>
    <mergeCell ref="Z7:Z13"/>
    <mergeCell ref="AA4:AA5"/>
    <mergeCell ref="AA7:AA13"/>
    <mergeCell ref="AF7:AG7"/>
    <mergeCell ref="AF8:AG8"/>
    <mergeCell ref="AH8:AL8"/>
    <mergeCell ref="AF10:AG10"/>
    <mergeCell ref="AD7:AD13"/>
    <mergeCell ref="AB4:AB5"/>
    <mergeCell ref="AD4:AD5"/>
    <mergeCell ref="AC4:AC5"/>
    <mergeCell ref="AF9:AG9"/>
    <mergeCell ref="AH9:AL9"/>
    <mergeCell ref="AF12:AL12"/>
    <mergeCell ref="AF13:AM13"/>
    <mergeCell ref="AB15:AB41"/>
    <mergeCell ref="AC15:AC41"/>
    <mergeCell ref="AD15:AD41"/>
    <mergeCell ref="AB7:AB13"/>
    <mergeCell ref="AC7:AC13"/>
    <mergeCell ref="AB52:AB57"/>
    <mergeCell ref="AC52:AC57"/>
    <mergeCell ref="AD52:AD57"/>
    <mergeCell ref="C59:E59"/>
    <mergeCell ref="C60:E60"/>
    <mergeCell ref="AB59:AC60"/>
  </mergeCells>
  <conditionalFormatting sqref="A44:A50 A51:C58 A59:A60 C59:C60 A61:C10005">
    <cfRule type="expression" dxfId="38" priority="113">
      <formula>EXACT($A44, "Daily")</formula>
    </cfRule>
    <cfRule type="expression" dxfId="37" priority="114">
      <formula>EXACT($A44, "Error")</formula>
    </cfRule>
    <cfRule type="expression" dxfId="36" priority="115">
      <formula>EXACT($A44, "Trial")</formula>
    </cfRule>
  </conditionalFormatting>
  <conditionalFormatting sqref="A3:C43">
    <cfRule type="expression" dxfId="35" priority="129">
      <formula>EXACT($A3, "Daily")</formula>
    </cfRule>
    <cfRule type="expression" dxfId="34" priority="130">
      <formula>EXACT($A3, "Error")</formula>
    </cfRule>
    <cfRule type="expression" dxfId="33" priority="131">
      <formula>EXACT($A3, "Trial")</formula>
    </cfRule>
  </conditionalFormatting>
  <conditionalFormatting sqref="H4:H5">
    <cfRule type="colorScale" priority="173">
      <colorScale>
        <cfvo type="min"/>
        <cfvo type="percentile" val="50"/>
        <cfvo type="max"/>
        <color rgb="FFF8696B"/>
        <color rgb="FFFFEB84"/>
        <color rgb="FF63BE7B"/>
      </colorScale>
    </cfRule>
  </conditionalFormatting>
  <conditionalFormatting sqref="H7:H13">
    <cfRule type="colorScale" priority="159">
      <colorScale>
        <cfvo type="min"/>
        <cfvo type="percentile" val="50"/>
        <cfvo type="max"/>
        <color rgb="FFF8696B"/>
        <color rgb="FFFFEB84"/>
        <color rgb="FF63BE7B"/>
      </colorScale>
    </cfRule>
  </conditionalFormatting>
  <conditionalFormatting sqref="H15:H42">
    <cfRule type="colorScale" priority="126">
      <colorScale>
        <cfvo type="min"/>
        <cfvo type="percentile" val="50"/>
        <cfvo type="max"/>
        <color rgb="FFF8696B"/>
        <color rgb="FFFFEB84"/>
        <color rgb="FF63BE7B"/>
      </colorScale>
    </cfRule>
  </conditionalFormatting>
  <conditionalFormatting sqref="H44:H50">
    <cfRule type="colorScale" priority="104">
      <colorScale>
        <cfvo type="min"/>
        <cfvo type="percentile" val="50"/>
        <cfvo type="max"/>
        <color rgb="FFF8696B"/>
        <color rgb="FFFFEB84"/>
        <color rgb="FF63BE7B"/>
      </colorScale>
    </cfRule>
  </conditionalFormatting>
  <conditionalFormatting sqref="H52:H57">
    <cfRule type="colorScale" priority="54">
      <colorScale>
        <cfvo type="min"/>
        <cfvo type="percentile" val="50"/>
        <cfvo type="max"/>
        <color rgb="FFF8696B"/>
        <color rgb="FFFFEB84"/>
        <color rgb="FF63BE7B"/>
      </colorScale>
    </cfRule>
  </conditionalFormatting>
  <conditionalFormatting sqref="H62:H63">
    <cfRule type="colorScale" priority="14">
      <colorScale>
        <cfvo type="min"/>
        <cfvo type="percentile" val="50"/>
        <cfvo type="max"/>
        <color rgb="FFF8696B"/>
        <color rgb="FFFFEB84"/>
        <color rgb="FF63BE7B"/>
      </colorScale>
    </cfRule>
  </conditionalFormatting>
  <conditionalFormatting sqref="I4:I42">
    <cfRule type="colorScale" priority="69">
      <colorScale>
        <cfvo type="min"/>
        <cfvo type="percentile" val="50"/>
        <cfvo type="max"/>
        <color rgb="FFF8696B"/>
        <color rgb="FFFFEB84"/>
        <color rgb="FF63BE7B"/>
      </colorScale>
    </cfRule>
  </conditionalFormatting>
  <conditionalFormatting sqref="I44:I50">
    <cfRule type="colorScale" priority="66">
      <colorScale>
        <cfvo type="min"/>
        <cfvo type="percentile" val="50"/>
        <cfvo type="max"/>
        <color rgb="FFF8696B"/>
        <color rgb="FFFFEB84"/>
        <color rgb="FF63BE7B"/>
      </colorScale>
    </cfRule>
  </conditionalFormatting>
  <conditionalFormatting sqref="I52:I57">
    <cfRule type="colorScale" priority="45">
      <colorScale>
        <cfvo type="min"/>
        <cfvo type="percentile" val="50"/>
        <cfvo type="max"/>
        <color rgb="FFF8696B"/>
        <color rgb="FFFFEB84"/>
        <color rgb="FF63BE7B"/>
      </colorScale>
    </cfRule>
  </conditionalFormatting>
  <conditionalFormatting sqref="I62:I63">
    <cfRule type="colorScale" priority="5">
      <colorScale>
        <cfvo type="min"/>
        <cfvo type="percentile" val="50"/>
        <cfvo type="max"/>
        <color rgb="FFF8696B"/>
        <color rgb="FFFFEB84"/>
        <color rgb="FF63BE7B"/>
      </colorScale>
    </cfRule>
  </conditionalFormatting>
  <conditionalFormatting sqref="J4:J42">
    <cfRule type="colorScale" priority="70">
      <colorScale>
        <cfvo type="min"/>
        <cfvo type="percentile" val="50"/>
        <cfvo type="max"/>
        <color rgb="FFF8696B"/>
        <color rgb="FFFFEB84"/>
        <color rgb="FF63BE7B"/>
      </colorScale>
    </cfRule>
  </conditionalFormatting>
  <conditionalFormatting sqref="J44:J50">
    <cfRule type="colorScale" priority="73">
      <colorScale>
        <cfvo type="min"/>
        <cfvo type="percentile" val="50"/>
        <cfvo type="max"/>
        <color rgb="FFF8696B"/>
        <color rgb="FFFFEB84"/>
        <color rgb="FF63BE7B"/>
      </colorScale>
    </cfRule>
  </conditionalFormatting>
  <conditionalFormatting sqref="J52:J57">
    <cfRule type="colorScale" priority="46">
      <colorScale>
        <cfvo type="min"/>
        <cfvo type="percentile" val="50"/>
        <cfvo type="max"/>
        <color rgb="FFF8696B"/>
        <color rgb="FFFFEB84"/>
        <color rgb="FF63BE7B"/>
      </colorScale>
    </cfRule>
  </conditionalFormatting>
  <conditionalFormatting sqref="J62:J63">
    <cfRule type="colorScale" priority="6">
      <colorScale>
        <cfvo type="min"/>
        <cfvo type="percentile" val="50"/>
        <cfvo type="max"/>
        <color rgb="FFF8696B"/>
        <color rgb="FFFFEB84"/>
        <color rgb="FF63BE7B"/>
      </colorScale>
    </cfRule>
  </conditionalFormatting>
  <conditionalFormatting sqref="K4:K5">
    <cfRule type="colorScale" priority="170">
      <colorScale>
        <cfvo type="min"/>
        <cfvo type="max"/>
        <color rgb="FFFF7128"/>
        <color rgb="FFFFEF9C"/>
      </colorScale>
    </cfRule>
  </conditionalFormatting>
  <conditionalFormatting sqref="K7:K13">
    <cfRule type="colorScale" priority="156">
      <colorScale>
        <cfvo type="min"/>
        <cfvo type="max"/>
        <color rgb="FFFF7128"/>
        <color rgb="FFFFEF9C"/>
      </colorScale>
    </cfRule>
  </conditionalFormatting>
  <conditionalFormatting sqref="K15:K42">
    <cfRule type="colorScale" priority="123">
      <colorScale>
        <cfvo type="min"/>
        <cfvo type="max"/>
        <color rgb="FFFF7128"/>
        <color rgb="FFFFEF9C"/>
      </colorScale>
    </cfRule>
  </conditionalFormatting>
  <conditionalFormatting sqref="K44:K50">
    <cfRule type="colorScale" priority="109">
      <colorScale>
        <cfvo type="min"/>
        <cfvo type="max"/>
        <color rgb="FFFF7128"/>
        <color rgb="FFFFEF9C"/>
      </colorScale>
    </cfRule>
  </conditionalFormatting>
  <conditionalFormatting sqref="K52:K57">
    <cfRule type="colorScale" priority="51">
      <colorScale>
        <cfvo type="min"/>
        <cfvo type="max"/>
        <color rgb="FFFF7128"/>
        <color rgb="FFFFEF9C"/>
      </colorScale>
    </cfRule>
  </conditionalFormatting>
  <conditionalFormatting sqref="K62:K63">
    <cfRule type="colorScale" priority="11">
      <colorScale>
        <cfvo type="min"/>
        <cfvo type="max"/>
        <color rgb="FFFF7128"/>
        <color rgb="FFFFEF9C"/>
      </colorScale>
    </cfRule>
  </conditionalFormatting>
  <conditionalFormatting sqref="N4:N5">
    <cfRule type="colorScale" priority="171">
      <colorScale>
        <cfvo type="min"/>
        <cfvo type="percentile" val="50"/>
        <cfvo type="max"/>
        <color rgb="FF63BE7B"/>
        <color rgb="FFFFEB84"/>
        <color rgb="FFF8696B"/>
      </colorScale>
    </cfRule>
  </conditionalFormatting>
  <conditionalFormatting sqref="N7:N13">
    <cfRule type="colorScale" priority="157">
      <colorScale>
        <cfvo type="min"/>
        <cfvo type="percentile" val="50"/>
        <cfvo type="max"/>
        <color rgb="FF63BE7B"/>
        <color rgb="FFFFEB84"/>
        <color rgb="FFF8696B"/>
      </colorScale>
    </cfRule>
  </conditionalFormatting>
  <conditionalFormatting sqref="N15:N42">
    <cfRule type="colorScale" priority="124">
      <colorScale>
        <cfvo type="min"/>
        <cfvo type="percentile" val="50"/>
        <cfvo type="max"/>
        <color rgb="FF63BE7B"/>
        <color rgb="FFFFEB84"/>
        <color rgb="FFF8696B"/>
      </colorScale>
    </cfRule>
  </conditionalFormatting>
  <conditionalFormatting sqref="N44:N50">
    <cfRule type="colorScale" priority="108">
      <colorScale>
        <cfvo type="min"/>
        <cfvo type="percentile" val="50"/>
        <cfvo type="max"/>
        <color rgb="FF63BE7B"/>
        <color rgb="FFFFEB84"/>
        <color rgb="FFF8696B"/>
      </colorScale>
    </cfRule>
  </conditionalFormatting>
  <conditionalFormatting sqref="N52:N57">
    <cfRule type="colorScale" priority="52">
      <colorScale>
        <cfvo type="min"/>
        <cfvo type="percentile" val="50"/>
        <cfvo type="max"/>
        <color rgb="FF63BE7B"/>
        <color rgb="FFFFEB84"/>
        <color rgb="FFF8696B"/>
      </colorScale>
    </cfRule>
  </conditionalFormatting>
  <conditionalFormatting sqref="N62:N63">
    <cfRule type="colorScale" priority="12">
      <colorScale>
        <cfvo type="min"/>
        <cfvo type="percentile" val="50"/>
        <cfvo type="max"/>
        <color rgb="FF63BE7B"/>
        <color rgb="FFFFEB84"/>
        <color rgb="FFF8696B"/>
      </colorScale>
    </cfRule>
  </conditionalFormatting>
  <conditionalFormatting sqref="O4:O5">
    <cfRule type="colorScale" priority="103">
      <colorScale>
        <cfvo type="min"/>
        <cfvo type="percentile" val="50"/>
        <cfvo type="max"/>
        <color rgb="FFF8696B"/>
        <color rgb="FFFFEB84"/>
        <color rgb="FF63BE7B"/>
      </colorScale>
    </cfRule>
  </conditionalFormatting>
  <conditionalFormatting sqref="O7:O13">
    <cfRule type="colorScale" priority="102">
      <colorScale>
        <cfvo type="min"/>
        <cfvo type="percentile" val="50"/>
        <cfvo type="max"/>
        <color rgb="FFF8696B"/>
        <color rgb="FFFFEB84"/>
        <color rgb="FF63BE7B"/>
      </colorScale>
    </cfRule>
  </conditionalFormatting>
  <conditionalFormatting sqref="O15:O42">
    <cfRule type="colorScale" priority="101">
      <colorScale>
        <cfvo type="min"/>
        <cfvo type="percentile" val="50"/>
        <cfvo type="max"/>
        <color rgb="FFF8696B"/>
        <color rgb="FFFFEB84"/>
        <color rgb="FF63BE7B"/>
      </colorScale>
    </cfRule>
  </conditionalFormatting>
  <conditionalFormatting sqref="O44:O50">
    <cfRule type="colorScale" priority="100">
      <colorScale>
        <cfvo type="min"/>
        <cfvo type="percentile" val="50"/>
        <cfvo type="max"/>
        <color rgb="FFF8696B"/>
        <color rgb="FFFFEB84"/>
        <color rgb="FF63BE7B"/>
      </colorScale>
    </cfRule>
  </conditionalFormatting>
  <conditionalFormatting sqref="O52:O57">
    <cfRule type="colorScale" priority="48">
      <colorScale>
        <cfvo type="min"/>
        <cfvo type="percentile" val="50"/>
        <cfvo type="max"/>
        <color rgb="FFF8696B"/>
        <color rgb="FFFFEB84"/>
        <color rgb="FF63BE7B"/>
      </colorScale>
    </cfRule>
  </conditionalFormatting>
  <conditionalFormatting sqref="O62:O63">
    <cfRule type="colorScale" priority="8">
      <colorScale>
        <cfvo type="min"/>
        <cfvo type="percentile" val="50"/>
        <cfvo type="max"/>
        <color rgb="FFF8696B"/>
        <color rgb="FFFFEB84"/>
        <color rgb="FF63BE7B"/>
      </colorScale>
    </cfRule>
  </conditionalFormatting>
  <conditionalFormatting sqref="P4:P5">
    <cfRule type="colorScale" priority="174">
      <colorScale>
        <cfvo type="min"/>
        <cfvo type="max"/>
        <color rgb="FFFFEF9C"/>
        <color rgb="FFFF7128"/>
      </colorScale>
    </cfRule>
  </conditionalFormatting>
  <conditionalFormatting sqref="P7:P13">
    <cfRule type="colorScale" priority="176">
      <colorScale>
        <cfvo type="min"/>
        <cfvo type="max"/>
        <color rgb="FFFFEF9C"/>
        <color rgb="FFFF7128"/>
      </colorScale>
    </cfRule>
  </conditionalFormatting>
  <conditionalFormatting sqref="P15:P42">
    <cfRule type="colorScale" priority="178">
      <colorScale>
        <cfvo type="min"/>
        <cfvo type="max"/>
        <color rgb="FFFFEF9C"/>
        <color rgb="FFFF7128"/>
      </colorScale>
    </cfRule>
  </conditionalFormatting>
  <conditionalFormatting sqref="P44:P50">
    <cfRule type="colorScale" priority="180">
      <colorScale>
        <cfvo type="min"/>
        <cfvo type="max"/>
        <color rgb="FFFFEF9C"/>
        <color rgb="FFFF7128"/>
      </colorScale>
    </cfRule>
  </conditionalFormatting>
  <conditionalFormatting sqref="P52:P57">
    <cfRule type="colorScale" priority="56">
      <colorScale>
        <cfvo type="min"/>
        <cfvo type="max"/>
        <color rgb="FFFFEF9C"/>
        <color rgb="FFFF7128"/>
      </colorScale>
    </cfRule>
  </conditionalFormatting>
  <conditionalFormatting sqref="P62:P63">
    <cfRule type="colorScale" priority="16">
      <colorScale>
        <cfvo type="min"/>
        <cfvo type="max"/>
        <color rgb="FFFFEF9C"/>
        <color rgb="FFFF7128"/>
      </colorScale>
    </cfRule>
  </conditionalFormatting>
  <conditionalFormatting sqref="Q4:Q5">
    <cfRule type="colorScale" priority="168">
      <colorScale>
        <cfvo type="min"/>
        <cfvo type="max"/>
        <color rgb="FFFFEF9C"/>
        <color rgb="FFFF7128"/>
      </colorScale>
    </cfRule>
  </conditionalFormatting>
  <conditionalFormatting sqref="Q7:Q13">
    <cfRule type="colorScale" priority="121">
      <colorScale>
        <cfvo type="min"/>
        <cfvo type="max"/>
        <color rgb="FFFFEF9C"/>
        <color rgb="FFFF7128"/>
      </colorScale>
    </cfRule>
    <cfRule type="colorScale" priority="154">
      <colorScale>
        <cfvo type="min"/>
        <cfvo type="max"/>
        <color rgb="FFFFEF9C"/>
        <color rgb="FFFF7128"/>
      </colorScale>
    </cfRule>
  </conditionalFormatting>
  <conditionalFormatting sqref="Q15:Q42">
    <cfRule type="colorScale" priority="120">
      <colorScale>
        <cfvo type="min"/>
        <cfvo type="max"/>
        <color rgb="FFFFEF9C"/>
        <color rgb="FFFF7128"/>
      </colorScale>
    </cfRule>
  </conditionalFormatting>
  <conditionalFormatting sqref="Q44:Q50 S44:S50">
    <cfRule type="colorScale" priority="111">
      <colorScale>
        <cfvo type="min"/>
        <cfvo type="max"/>
        <color rgb="FFFFEF9C"/>
        <color rgb="FFFF7128"/>
      </colorScale>
    </cfRule>
  </conditionalFormatting>
  <conditionalFormatting sqref="Q52:Q57">
    <cfRule type="colorScale" priority="50">
      <colorScale>
        <cfvo type="min"/>
        <cfvo type="max"/>
        <color rgb="FFFFEF9C"/>
        <color rgb="FFFF7128"/>
      </colorScale>
    </cfRule>
  </conditionalFormatting>
  <conditionalFormatting sqref="Q62:Q63">
    <cfRule type="colorScale" priority="10">
      <colorScale>
        <cfvo type="min"/>
        <cfvo type="max"/>
        <color rgb="FFFFEF9C"/>
        <color rgb="FFFF7128"/>
      </colorScale>
    </cfRule>
  </conditionalFormatting>
  <conditionalFormatting sqref="R4:S58 X4:Y58 R61:S301 X61:Y301">
    <cfRule type="expression" dxfId="32" priority="60">
      <formula>AND(R4&lt;&gt;"", $L4=R4)</formula>
    </cfRule>
    <cfRule type="expression" dxfId="31" priority="61">
      <formula>AND(R4&lt;&gt;"", $M4=R4)</formula>
    </cfRule>
  </conditionalFormatting>
  <conditionalFormatting sqref="T4:T5">
    <cfRule type="colorScale" priority="172">
      <colorScale>
        <cfvo type="min"/>
        <cfvo type="percentile" val="50"/>
        <cfvo type="max"/>
        <color rgb="FF63BE7B"/>
        <color rgb="FFFFEB84"/>
        <color rgb="FFF8696B"/>
      </colorScale>
    </cfRule>
  </conditionalFormatting>
  <conditionalFormatting sqref="T7:T13">
    <cfRule type="colorScale" priority="4">
      <colorScale>
        <cfvo type="min"/>
        <cfvo type="percentile" val="50"/>
        <cfvo type="max"/>
        <color rgb="FF63BE7B"/>
        <color rgb="FFFFEB84"/>
        <color rgb="FFF8696B"/>
      </colorScale>
    </cfRule>
  </conditionalFormatting>
  <conditionalFormatting sqref="T15:T42">
    <cfRule type="colorScale" priority="3">
      <colorScale>
        <cfvo type="min"/>
        <cfvo type="percentile" val="50"/>
        <cfvo type="max"/>
        <color rgb="FF63BE7B"/>
        <color rgb="FFFFEB84"/>
        <color rgb="FFF8696B"/>
      </colorScale>
    </cfRule>
  </conditionalFormatting>
  <conditionalFormatting sqref="T44:T50">
    <cfRule type="colorScale" priority="107">
      <colorScale>
        <cfvo type="min"/>
        <cfvo type="percentile" val="50"/>
        <cfvo type="max"/>
        <color rgb="FF63BE7B"/>
        <color rgb="FFFFEB84"/>
        <color rgb="FFF8696B"/>
      </colorScale>
    </cfRule>
  </conditionalFormatting>
  <conditionalFormatting sqref="T52:T57">
    <cfRule type="colorScale" priority="2">
      <colorScale>
        <cfvo type="min"/>
        <cfvo type="percentile" val="50"/>
        <cfvo type="max"/>
        <color rgb="FF63BE7B"/>
        <color rgb="FFFFEB84"/>
        <color rgb="FFF8696B"/>
      </colorScale>
    </cfRule>
  </conditionalFormatting>
  <conditionalFormatting sqref="T59:T60">
    <cfRule type="colorScale" priority="43">
      <colorScale>
        <cfvo type="min"/>
        <cfvo type="max"/>
        <color rgb="FFFFEF9C"/>
        <color rgb="FFFF7128"/>
      </colorScale>
    </cfRule>
  </conditionalFormatting>
  <conditionalFormatting sqref="T62">
    <cfRule type="colorScale" priority="1">
      <colorScale>
        <cfvo type="min"/>
        <cfvo type="percentile" val="50"/>
        <cfvo type="max"/>
        <color rgb="FF63BE7B"/>
        <color rgb="FFFFEB84"/>
        <color rgb="FFF8696B"/>
      </colorScale>
    </cfRule>
  </conditionalFormatting>
  <conditionalFormatting sqref="T63">
    <cfRule type="colorScale" priority="13">
      <colorScale>
        <cfvo type="min"/>
        <cfvo type="percentile" val="50"/>
        <cfvo type="max"/>
        <color rgb="FF63BE7B"/>
        <color rgb="FFFFEB84"/>
        <color rgb="FFF8696B"/>
      </colorScale>
    </cfRule>
  </conditionalFormatting>
  <conditionalFormatting sqref="U4:U5">
    <cfRule type="colorScale" priority="95">
      <colorScale>
        <cfvo type="min"/>
        <cfvo type="percentile" val="50"/>
        <cfvo type="max"/>
        <color rgb="FFF8696B"/>
        <color rgb="FFFFEB84"/>
        <color rgb="FF63BE7B"/>
      </colorScale>
    </cfRule>
  </conditionalFormatting>
  <conditionalFormatting sqref="U7:U13">
    <cfRule type="colorScale" priority="94">
      <colorScale>
        <cfvo type="min"/>
        <cfvo type="percentile" val="50"/>
        <cfvo type="max"/>
        <color rgb="FFF8696B"/>
        <color rgb="FFFFEB84"/>
        <color rgb="FF63BE7B"/>
      </colorScale>
    </cfRule>
  </conditionalFormatting>
  <conditionalFormatting sqref="U15:U42">
    <cfRule type="colorScale" priority="93">
      <colorScale>
        <cfvo type="min"/>
        <cfvo type="percentile" val="50"/>
        <cfvo type="max"/>
        <color rgb="FFF8696B"/>
        <color rgb="FFFFEB84"/>
        <color rgb="FF63BE7B"/>
      </colorScale>
    </cfRule>
  </conditionalFormatting>
  <conditionalFormatting sqref="U44:U50">
    <cfRule type="colorScale" priority="92">
      <colorScale>
        <cfvo type="min"/>
        <cfvo type="percentile" val="50"/>
        <cfvo type="max"/>
        <color rgb="FFF8696B"/>
        <color rgb="FFFFEB84"/>
        <color rgb="FF63BE7B"/>
      </colorScale>
    </cfRule>
  </conditionalFormatting>
  <conditionalFormatting sqref="U52:U57">
    <cfRule type="colorScale" priority="47">
      <colorScale>
        <cfvo type="min"/>
        <cfvo type="percentile" val="50"/>
        <cfvo type="max"/>
        <color rgb="FFF8696B"/>
        <color rgb="FFFFEB84"/>
        <color rgb="FF63BE7B"/>
      </colorScale>
    </cfRule>
  </conditionalFormatting>
  <conditionalFormatting sqref="U62:U63">
    <cfRule type="colorScale" priority="7">
      <colorScale>
        <cfvo type="min"/>
        <cfvo type="percentile" val="50"/>
        <cfvo type="max"/>
        <color rgb="FFF8696B"/>
        <color rgb="FFFFEB84"/>
        <color rgb="FF63BE7B"/>
      </colorScale>
    </cfRule>
  </conditionalFormatting>
  <conditionalFormatting sqref="V4:V5">
    <cfRule type="colorScale" priority="167">
      <colorScale>
        <cfvo type="min"/>
        <cfvo type="max"/>
        <color rgb="FFFFEF9C"/>
        <color rgb="FFFF7128"/>
      </colorScale>
    </cfRule>
  </conditionalFormatting>
  <conditionalFormatting sqref="V7:V13">
    <cfRule type="colorScale" priority="153">
      <colorScale>
        <cfvo type="min"/>
        <cfvo type="max"/>
        <color rgb="FFFFEF9C"/>
        <color rgb="FFFF7128"/>
      </colorScale>
    </cfRule>
  </conditionalFormatting>
  <conditionalFormatting sqref="V15:V42">
    <cfRule type="colorScale" priority="119">
      <colorScale>
        <cfvo type="min"/>
        <cfvo type="max"/>
        <color rgb="FFFFEF9C"/>
        <color rgb="FFFF7128"/>
      </colorScale>
    </cfRule>
  </conditionalFormatting>
  <conditionalFormatting sqref="V44:V50">
    <cfRule type="colorScale" priority="106">
      <colorScale>
        <cfvo type="min"/>
        <cfvo type="max"/>
        <color rgb="FFFFEF9C"/>
        <color rgb="FFFF7128"/>
      </colorScale>
    </cfRule>
    <cfRule type="colorScale" priority="112">
      <colorScale>
        <cfvo type="min"/>
        <cfvo type="max"/>
        <color rgb="FFFFEF9C"/>
        <color rgb="FFFF7128"/>
      </colorScale>
    </cfRule>
  </conditionalFormatting>
  <conditionalFormatting sqref="V52:V57">
    <cfRule type="colorScale" priority="49">
      <colorScale>
        <cfvo type="min"/>
        <cfvo type="max"/>
        <color rgb="FFFFEF9C"/>
        <color rgb="FFFF7128"/>
      </colorScale>
    </cfRule>
  </conditionalFormatting>
  <conditionalFormatting sqref="V62:V63">
    <cfRule type="colorScale" priority="9">
      <colorScale>
        <cfvo type="min"/>
        <cfvo type="max"/>
        <color rgb="FFFFEF9C"/>
        <color rgb="FFFF7128"/>
      </colorScale>
    </cfRule>
  </conditionalFormatting>
  <conditionalFormatting sqref="W4:W5">
    <cfRule type="colorScale" priority="166">
      <colorScale>
        <cfvo type="min"/>
        <cfvo type="max"/>
        <color rgb="FFFFEF9C"/>
        <color rgb="FFFF7128"/>
      </colorScale>
    </cfRule>
  </conditionalFormatting>
  <conditionalFormatting sqref="W7:W13">
    <cfRule type="colorScale" priority="152">
      <colorScale>
        <cfvo type="min"/>
        <cfvo type="max"/>
        <color rgb="FFFFEF9C"/>
        <color rgb="FFFF7128"/>
      </colorScale>
    </cfRule>
  </conditionalFormatting>
  <conditionalFormatting sqref="W15:W42">
    <cfRule type="colorScale" priority="128">
      <colorScale>
        <cfvo type="min"/>
        <cfvo type="max"/>
        <color rgb="FFFFEF9C"/>
        <color rgb="FFFF7128"/>
      </colorScale>
    </cfRule>
  </conditionalFormatting>
  <conditionalFormatting sqref="W44:W50">
    <cfRule type="colorScale" priority="105">
      <colorScale>
        <cfvo type="min"/>
        <cfvo type="max"/>
        <color rgb="FFFFEF9C"/>
        <color rgb="FFFF7128"/>
      </colorScale>
    </cfRule>
  </conditionalFormatting>
  <conditionalFormatting sqref="W52:W57">
    <cfRule type="colorScale" priority="55">
      <colorScale>
        <cfvo type="min"/>
        <cfvo type="max"/>
        <color rgb="FFFFEF9C"/>
        <color rgb="FFFF7128"/>
      </colorScale>
    </cfRule>
  </conditionalFormatting>
  <conditionalFormatting sqref="W62:W63">
    <cfRule type="colorScale" priority="15">
      <colorScale>
        <cfvo type="min"/>
        <cfvo type="max"/>
        <color rgb="FFFFEF9C"/>
        <color rgb="FFFF7128"/>
      </colorScale>
    </cfRule>
  </conditionalFormatting>
  <conditionalFormatting sqref="Z2:Z1048576">
    <cfRule type="containsText" dxfId="30" priority="135" operator="containsText" text="Yes">
      <formula>NOT(ISERROR(SEARCH("Yes",Z2)))</formula>
    </cfRule>
    <cfRule type="containsText" dxfId="29" priority="136" operator="containsText" text="No">
      <formula>NOT(ISERROR(SEARCH("No",Z2)))</formula>
    </cfRule>
  </conditionalFormatting>
  <conditionalFormatting sqref="AK62">
    <cfRule type="expression" dxfId="28" priority="29">
      <formula>EXACT($A62, "Daily")</formula>
    </cfRule>
    <cfRule type="expression" dxfId="27" priority="30">
      <formula>EXACT($A62, "Error")</formula>
    </cfRule>
    <cfRule type="expression" dxfId="26" priority="31">
      <formula>EXACT($A62, "Trial")</formula>
    </cfRule>
  </conditionalFormatting>
  <dataValidations count="1">
    <dataValidation type="list" allowBlank="1" showInputMessage="1" showErrorMessage="1" sqref="Z2:Z1048576" xr:uid="{598AAE5D-C23C-47C4-86C7-2CAAD7E6FE48}">
      <formula1>"Yes, No, Yes*"</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AF9AEF08-7727-46DA-8A99-58D4B7283455}">
          <x14:formula1>
            <xm:f>'Data-Lists'!$B$4:$B$246</xm:f>
          </x14:formula1>
          <xm:sqref>C7:C13 C4:C5</xm:sqref>
        </x14:dataValidation>
        <x14:dataValidation type="list" allowBlank="1" showInputMessage="1" showErrorMessage="1" xr:uid="{BA8EB9CE-CCC1-431B-A1CF-A1F600B9B30B}">
          <x14:formula1>
            <xm:f>'Data-Lists'!$E$4:$E$10000</xm:f>
          </x14:formula1>
          <xm:sqref>B3:B58 AK62 B61:B183</xm:sqref>
        </x14:dataValidation>
        <x14:dataValidation type="list" allowBlank="1" showInputMessage="1" showErrorMessage="1" xr:uid="{E4536E17-E0A1-426E-A003-9058288DAB27}">
          <x14:formula1>
            <xm:f>'Data-Lists'!$C$4:$C$6</xm:f>
          </x14:formula1>
          <xm:sqref>A3:A196</xm:sqref>
        </x14:dataValidation>
        <x14:dataValidation type="list" allowBlank="1" showInputMessage="1" showErrorMessage="1" xr:uid="{84487B7B-1D3F-4D98-94AC-C5230D179969}">
          <x14:formula1>
            <xm:f>'Data-Lists'!$F$4:$F$101</xm:f>
          </x14:formula1>
          <xm:sqref>F1:F62 F64:F1048576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D40D-9BFF-4E8B-9B2B-23CE1E7DE609}">
  <sheetPr>
    <tabColor rgb="FFFFFF00"/>
  </sheetPr>
  <dimension ref="A1:CM380"/>
  <sheetViews>
    <sheetView showZeros="0" zoomScale="70" zoomScaleNormal="70" workbookViewId="0">
      <pane ySplit="2" topLeftCell="A3" activePane="bottomLeft" state="frozen"/>
      <selection pane="bottomLeft" sqref="A1:XFD1"/>
    </sheetView>
  </sheetViews>
  <sheetFormatPr defaultColWidth="8.6640625" defaultRowHeight="14.4" x14ac:dyDescent="0.3"/>
  <cols>
    <col min="1" max="1" width="8.6640625" style="89" customWidth="1"/>
    <col min="2" max="5" width="8.6640625" style="4" customWidth="1"/>
    <col min="6" max="9" width="8.6640625" style="108" customWidth="1"/>
    <col min="11" max="16" width="8.6640625" style="4" customWidth="1"/>
    <col min="19" max="19" width="8.6640625" customWidth="1"/>
    <col min="24" max="24" width="8.6640625" customWidth="1"/>
    <col min="71" max="72" width="15.77734375" customWidth="1"/>
    <col min="73" max="73" width="15.77734375" style="211" customWidth="1"/>
    <col min="74" max="78" width="15.77734375" customWidth="1"/>
    <col min="79" max="79" width="15.77734375" style="237" customWidth="1"/>
    <col min="80" max="89" width="15.77734375" customWidth="1"/>
  </cols>
  <sheetData>
    <row r="1" spans="1:91" s="359" customFormat="1" ht="24.6" thickTop="1" thickBot="1" x14ac:dyDescent="0.5">
      <c r="A1" s="358" t="s">
        <v>311</v>
      </c>
    </row>
    <row r="2" spans="1:91" s="318" customFormat="1" ht="16.2" thickTop="1" x14ac:dyDescent="0.3">
      <c r="A2" s="318" t="s">
        <v>156</v>
      </c>
    </row>
    <row r="3" spans="1:91" x14ac:dyDescent="0.3">
      <c r="A3" s="121"/>
      <c r="B3" s="121"/>
      <c r="C3" s="121"/>
      <c r="D3" s="121"/>
      <c r="E3" s="121"/>
      <c r="F3" s="121"/>
      <c r="G3" s="121"/>
      <c r="H3" s="121"/>
      <c r="I3" s="121"/>
      <c r="K3" s="132"/>
      <c r="L3" s="132"/>
      <c r="M3" s="132"/>
      <c r="N3" s="132"/>
      <c r="O3" s="132"/>
      <c r="P3" s="132"/>
      <c r="R3" s="136"/>
      <c r="S3" s="136"/>
      <c r="X3" s="40"/>
    </row>
    <row r="4" spans="1:91" ht="20.399999999999999" x14ac:dyDescent="0.3">
      <c r="A4" s="137"/>
      <c r="B4" s="132"/>
      <c r="C4" s="138"/>
      <c r="D4" s="138"/>
      <c r="E4" s="139"/>
      <c r="F4" s="140"/>
      <c r="G4" s="140"/>
      <c r="H4" s="140"/>
      <c r="I4" s="140"/>
      <c r="K4" s="132"/>
      <c r="L4" s="132"/>
      <c r="M4" s="132"/>
      <c r="N4" s="132"/>
      <c r="O4" s="132"/>
      <c r="P4" s="132"/>
      <c r="R4" s="141"/>
      <c r="S4" s="141"/>
      <c r="T4" s="142"/>
      <c r="U4" s="142"/>
      <c r="V4" s="142"/>
      <c r="W4" s="142"/>
      <c r="X4" s="142"/>
      <c r="BS4" s="238" t="str" cm="1">
        <f t="array" ref="BS4:CM4">('Daily WE'!A2:U2)</f>
        <v>Key 1
(Category)</v>
      </c>
      <c r="BT4" s="239" t="str">
        <v>Key 2
(Precision)</v>
      </c>
      <c r="BU4" s="242" t="str">
        <v>Date</v>
      </c>
      <c r="BV4" s="239" t="str">
        <v>Starting Temperature</v>
      </c>
      <c r="BW4" s="239" t="str">
        <v>Starting Time</v>
      </c>
      <c r="BX4" s="239" t="str">
        <v>Wand Technique</v>
      </c>
      <c r="BY4" s="239" t="str">
        <v>Auto-Stop Setting</v>
      </c>
      <c r="BZ4" s="239" t="str">
        <v>Mean Frame
Count</v>
      </c>
      <c r="CA4" s="240" t="str">
        <v>Frame Ratio
(% of Auto-Stop)</v>
      </c>
      <c r="CB4" s="239" t="str">
        <v>Highest Frame Count</v>
      </c>
      <c r="CC4" s="239" t="str">
        <v>Lowest Frame Count</v>
      </c>
      <c r="CD4" s="239" t="str">
        <v>Most Frames
(Camera ID)</v>
      </c>
      <c r="CE4" s="239" t="str">
        <v>Least Frames
(Camera ID)</v>
      </c>
      <c r="CF4" s="239" t="str">
        <v>Mean
World Error</v>
      </c>
      <c r="CG4" s="239" t="str">
        <v>Lowest
World Error</v>
      </c>
      <c r="CH4" s="239" t="str">
        <v>Highest
World Error</v>
      </c>
      <c r="CI4" s="239" t="str">
        <v>Mean
Image Error</v>
      </c>
      <c r="CJ4" s="239" t="str">
        <v>Lowest
Image Error</v>
      </c>
      <c r="CK4" s="239" t="str">
        <v>Highest
Image Error</v>
      </c>
      <c r="CL4" s="50" t="str">
        <v>All-Time Mean Values</v>
      </c>
      <c r="CM4" s="50">
        <v>0</v>
      </c>
    </row>
    <row r="5" spans="1:91" x14ac:dyDescent="0.3">
      <c r="A5" s="137"/>
      <c r="B5" s="132"/>
      <c r="C5" s="133"/>
      <c r="D5" s="133"/>
      <c r="E5" s="139"/>
      <c r="F5" s="134"/>
      <c r="G5" s="134"/>
      <c r="H5" s="134"/>
      <c r="I5" s="134"/>
      <c r="M5" s="55"/>
      <c r="N5" s="55"/>
      <c r="O5" s="135"/>
      <c r="P5" s="135"/>
      <c r="R5" s="141"/>
      <c r="S5" s="141"/>
      <c r="T5" s="142"/>
      <c r="U5" s="142"/>
      <c r="V5" s="142"/>
      <c r="W5" s="142"/>
      <c r="X5" s="142"/>
      <c r="BS5" s="210" t="str" cm="1">
        <f t="array" ref="BS5:CM26">_xlfn._xlws.FILTER('Daily WE'!A2:U251, ('Daily WE'!A2:A251&lt;&gt;"") * ('Daily WE'!B2:B251="n/a"))</f>
        <v>Daily</v>
      </c>
      <c r="BT5" t="str">
        <v>n/a</v>
      </c>
      <c r="BU5" s="211">
        <v>46228</v>
      </c>
      <c r="BV5">
        <v>23.5</v>
      </c>
      <c r="BW5">
        <v>0.85833333333333328</v>
      </c>
      <c r="BX5" t="str">
        <v>A</v>
      </c>
      <c r="BY5">
        <v>1000</v>
      </c>
      <c r="BZ5">
        <v>2045.4117647058824</v>
      </c>
      <c r="CA5" s="237">
        <v>2.0454117647058823</v>
      </c>
      <c r="CB5">
        <v>0</v>
      </c>
      <c r="CC5">
        <v>0</v>
      </c>
      <c r="CD5">
        <v>0</v>
      </c>
      <c r="CE5">
        <v>0</v>
      </c>
      <c r="CF5">
        <v>0.3911837647058824</v>
      </c>
      <c r="CG5">
        <v>0.13059299999999999</v>
      </c>
      <c r="CH5">
        <v>0.64795899999999995</v>
      </c>
      <c r="CI5">
        <v>9.2278499999999999E-2</v>
      </c>
      <c r="CJ5">
        <v>4.2415799999999997E-2</v>
      </c>
      <c r="CK5">
        <v>0.147318</v>
      </c>
      <c r="CL5">
        <v>0.4150363317865432</v>
      </c>
      <c r="CM5">
        <v>9.9319293039443104E-2</v>
      </c>
    </row>
    <row r="6" spans="1:91" x14ac:dyDescent="0.3">
      <c r="A6" s="5"/>
      <c r="C6" s="6"/>
      <c r="D6" s="6"/>
      <c r="E6" s="113"/>
      <c r="BS6" t="str">
        <v>Daily</v>
      </c>
      <c r="BT6" t="str">
        <v>n/a</v>
      </c>
      <c r="BU6" s="211">
        <v>46230</v>
      </c>
      <c r="BV6">
        <v>23.5</v>
      </c>
      <c r="BW6">
        <v>0.60138888888888886</v>
      </c>
      <c r="BX6" t="str">
        <v>A</v>
      </c>
      <c r="BY6">
        <v>1000</v>
      </c>
      <c r="BZ6">
        <v>1582.8333333333333</v>
      </c>
      <c r="CA6" s="237">
        <v>1.5828333333333333</v>
      </c>
      <c r="CB6">
        <v>2611</v>
      </c>
      <c r="CC6">
        <v>1005</v>
      </c>
      <c r="CD6" t="e" vm="2">
        <v>#VALUE!</v>
      </c>
      <c r="CE6" t="e">
        <v>#REF!</v>
      </c>
      <c r="CF6">
        <v>0.3804177222222222</v>
      </c>
      <c r="CG6">
        <v>0.162101</v>
      </c>
      <c r="CH6">
        <v>0.610344</v>
      </c>
      <c r="CI6">
        <v>9.1966633333333339E-2</v>
      </c>
      <c r="CJ6">
        <v>4.46854E-2</v>
      </c>
      <c r="CK6">
        <v>0.14344199999999999</v>
      </c>
      <c r="CL6">
        <v>0.4150363317865432</v>
      </c>
      <c r="CM6">
        <v>9.9319293039443104E-2</v>
      </c>
    </row>
    <row r="7" spans="1:91" x14ac:dyDescent="0.3">
      <c r="A7" s="5"/>
      <c r="C7" s="6"/>
      <c r="D7" s="6"/>
      <c r="E7" s="113"/>
      <c r="X7" s="119" t="e">
        <f>CONCATENATE('Daily WE'!$N$2, " ", 'Daily WE'!#REF!, " on date")</f>
        <v>#REF!</v>
      </c>
      <c r="BS7" t="str">
        <v>Daily</v>
      </c>
      <c r="BT7" t="str">
        <v>n/a</v>
      </c>
      <c r="BU7" s="211">
        <v>46231</v>
      </c>
      <c r="BV7">
        <v>24.5</v>
      </c>
      <c r="BW7">
        <v>0.50694444444444442</v>
      </c>
      <c r="BX7" t="str">
        <v>B</v>
      </c>
      <c r="BY7">
        <v>1000</v>
      </c>
      <c r="BZ7">
        <v>1833.0555555555557</v>
      </c>
      <c r="CA7" s="237">
        <v>1.8330555555555557</v>
      </c>
      <c r="CB7">
        <v>2717</v>
      </c>
      <c r="CC7">
        <v>1004</v>
      </c>
      <c r="CD7" t="e" vm="2">
        <v>#VALUE!</v>
      </c>
      <c r="CE7" t="e">
        <v>#REF!</v>
      </c>
      <c r="CF7">
        <v>0.3508782777777778</v>
      </c>
      <c r="CG7">
        <v>0.157855</v>
      </c>
      <c r="CH7">
        <v>0.55680700000000005</v>
      </c>
      <c r="CI7">
        <v>8.4730411111111126E-2</v>
      </c>
      <c r="CJ7">
        <v>4.7859600000000002E-2</v>
      </c>
      <c r="CK7">
        <v>0.14671400000000001</v>
      </c>
      <c r="CL7">
        <v>0.4150363317865432</v>
      </c>
      <c r="CM7">
        <v>9.9319293039443104E-2</v>
      </c>
    </row>
    <row r="8" spans="1:91" x14ac:dyDescent="0.3">
      <c r="A8" s="5"/>
      <c r="C8" s="6"/>
      <c r="D8" s="6"/>
      <c r="E8" s="113"/>
      <c r="X8" s="119" t="e">
        <f>CONCATENATE('Daily WE'!$Q$2, " ", 'Daily WE'!#REF!, " on date")</f>
        <v>#REF!</v>
      </c>
      <c r="BS8" t="str">
        <v>Daily</v>
      </c>
      <c r="BT8" t="str">
        <v>n/a</v>
      </c>
      <c r="BU8" s="211">
        <v>46232</v>
      </c>
      <c r="BV8">
        <v>25.5</v>
      </c>
      <c r="BW8">
        <v>0.82291666666666663</v>
      </c>
      <c r="BX8" t="str">
        <v>A</v>
      </c>
      <c r="BY8">
        <v>1000</v>
      </c>
      <c r="BZ8">
        <v>2014.2222222222222</v>
      </c>
      <c r="CA8" s="237">
        <v>2.0142222222222221</v>
      </c>
      <c r="CB8">
        <v>3094</v>
      </c>
      <c r="CC8">
        <v>1004</v>
      </c>
      <c r="CD8" t="e" vm="2">
        <v>#VALUE!</v>
      </c>
      <c r="CE8" t="e">
        <v>#REF!</v>
      </c>
      <c r="CF8">
        <v>0.36980916666666658</v>
      </c>
      <c r="CG8">
        <v>0.18460799999999999</v>
      </c>
      <c r="CH8">
        <v>0.56917399999999996</v>
      </c>
      <c r="CI8">
        <v>8.8881683333333336E-2</v>
      </c>
      <c r="CJ8">
        <v>5.9381200000000002E-2</v>
      </c>
      <c r="CK8">
        <v>0.136459</v>
      </c>
      <c r="CL8">
        <v>0.4150363317865432</v>
      </c>
      <c r="CM8">
        <v>9.9319293039443104E-2</v>
      </c>
    </row>
    <row r="9" spans="1:91" x14ac:dyDescent="0.3">
      <c r="A9" s="5"/>
      <c r="C9" s="6"/>
      <c r="D9" s="6"/>
      <c r="E9" s="113"/>
      <c r="BS9" t="str">
        <v>Daily</v>
      </c>
      <c r="BT9" t="str">
        <v>n/a</v>
      </c>
      <c r="BU9" s="211">
        <v>46233</v>
      </c>
      <c r="BV9">
        <v>24.5</v>
      </c>
      <c r="BW9">
        <v>0.53333333333333333</v>
      </c>
      <c r="BX9" t="str">
        <v>A</v>
      </c>
      <c r="BY9">
        <v>1000</v>
      </c>
      <c r="BZ9">
        <v>1931.5555555555557</v>
      </c>
      <c r="CA9" s="237">
        <v>1.9315555555555557</v>
      </c>
      <c r="CB9">
        <v>2638</v>
      </c>
      <c r="CC9">
        <v>1004</v>
      </c>
      <c r="CD9" t="e" vm="2">
        <v>#VALUE!</v>
      </c>
      <c r="CE9" t="e">
        <v>#REF!</v>
      </c>
      <c r="CF9">
        <v>0.32767977777777779</v>
      </c>
      <c r="CG9">
        <v>0.21171599999999999</v>
      </c>
      <c r="CH9">
        <v>0.45406200000000002</v>
      </c>
      <c r="CI9">
        <v>7.9198327777777758E-2</v>
      </c>
      <c r="CJ9">
        <v>5.0948300000000002E-2</v>
      </c>
      <c r="CK9">
        <v>0.12241299999999999</v>
      </c>
      <c r="CL9">
        <v>0.4150363317865432</v>
      </c>
      <c r="CM9">
        <v>9.9319293039443104E-2</v>
      </c>
    </row>
    <row r="10" spans="1:91" x14ac:dyDescent="0.3">
      <c r="A10" s="5"/>
      <c r="C10" s="6"/>
      <c r="D10" s="6"/>
      <c r="E10" s="113"/>
      <c r="BS10" t="str">
        <v>Daily</v>
      </c>
      <c r="BT10" t="str">
        <v>n/a</v>
      </c>
      <c r="BU10" s="211">
        <v>46234</v>
      </c>
      <c r="BV10">
        <v>24.5</v>
      </c>
      <c r="BW10">
        <v>0.58333333333333337</v>
      </c>
      <c r="BX10" t="str">
        <v>C</v>
      </c>
      <c r="BY10">
        <v>1500</v>
      </c>
      <c r="BZ10">
        <v>2650.3888888888887</v>
      </c>
      <c r="CA10" s="237">
        <v>1.7669259259259258</v>
      </c>
      <c r="CB10">
        <v>4033</v>
      </c>
      <c r="CC10">
        <v>1502</v>
      </c>
      <c r="CD10" t="e" vm="2">
        <v>#VALUE!</v>
      </c>
      <c r="CE10" t="e">
        <v>#REF!</v>
      </c>
      <c r="CF10">
        <v>0.39170800000000006</v>
      </c>
      <c r="CG10">
        <v>0.163774</v>
      </c>
      <c r="CH10">
        <v>0.61609199999999997</v>
      </c>
      <c r="CI10">
        <v>9.6186149999999998E-2</v>
      </c>
      <c r="CJ10">
        <v>5.20276E-2</v>
      </c>
      <c r="CK10">
        <v>0.202345</v>
      </c>
      <c r="CL10">
        <v>0.4150363317865432</v>
      </c>
      <c r="CM10">
        <v>9.9319293039443104E-2</v>
      </c>
    </row>
    <row r="11" spans="1:91" x14ac:dyDescent="0.3">
      <c r="A11" s="5"/>
      <c r="C11" s="6"/>
      <c r="D11" s="6"/>
      <c r="E11" s="113"/>
      <c r="BS11" t="str">
        <v>Daily</v>
      </c>
      <c r="BT11" t="str">
        <v>n/a</v>
      </c>
      <c r="BU11" s="211">
        <v>46235</v>
      </c>
      <c r="BV11">
        <v>24</v>
      </c>
      <c r="BW11">
        <v>0.74097222222222225</v>
      </c>
      <c r="BX11" t="str">
        <v>C</v>
      </c>
      <c r="BY11">
        <v>1500</v>
      </c>
      <c r="BZ11">
        <v>2360.4444444444443</v>
      </c>
      <c r="CA11" s="237">
        <v>1.5736296296296295</v>
      </c>
      <c r="CB11">
        <v>3742</v>
      </c>
      <c r="CC11">
        <v>1503</v>
      </c>
      <c r="CD11" t="e" vm="2">
        <v>#VALUE!</v>
      </c>
      <c r="CE11" t="e">
        <v>#REF!</v>
      </c>
      <c r="CF11">
        <v>0.5529641111111111</v>
      </c>
      <c r="CG11">
        <v>0.204627</v>
      </c>
      <c r="CH11">
        <v>1.47159</v>
      </c>
      <c r="CI11">
        <v>0.12669717222222221</v>
      </c>
      <c r="CJ11">
        <v>5.4853300000000001E-2</v>
      </c>
      <c r="CK11">
        <v>0.31046400000000002</v>
      </c>
      <c r="CL11">
        <v>0.4150363317865432</v>
      </c>
      <c r="CM11">
        <v>9.9319293039443104E-2</v>
      </c>
    </row>
    <row r="12" spans="1:91" x14ac:dyDescent="0.3">
      <c r="A12" s="5"/>
      <c r="C12" s="6"/>
      <c r="D12" s="6"/>
      <c r="E12" s="113"/>
      <c r="BS12" t="str">
        <v>Daily</v>
      </c>
      <c r="BT12" t="str">
        <v>n/a</v>
      </c>
      <c r="BU12" s="211">
        <v>46237</v>
      </c>
      <c r="BV12">
        <v>24</v>
      </c>
      <c r="BW12">
        <v>0.46597222222222223</v>
      </c>
      <c r="BX12" t="str">
        <v>A</v>
      </c>
      <c r="BY12">
        <v>1000</v>
      </c>
      <c r="BZ12">
        <v>2116.6111111111113</v>
      </c>
      <c r="CA12" s="237">
        <v>2.1166111111111112</v>
      </c>
      <c r="CB12">
        <v>3654</v>
      </c>
      <c r="CC12">
        <v>1004</v>
      </c>
      <c r="CD12" t="e" vm="2">
        <v>#VALUE!</v>
      </c>
      <c r="CE12" t="e">
        <v>#REF!</v>
      </c>
      <c r="CF12">
        <v>0.37600283333333329</v>
      </c>
      <c r="CG12">
        <v>0.179206</v>
      </c>
      <c r="CH12">
        <v>0.79732999999999998</v>
      </c>
      <c r="CI12">
        <v>9.034650000000001E-2</v>
      </c>
      <c r="CJ12">
        <v>4.2684399999999997E-2</v>
      </c>
      <c r="CK12">
        <v>0.15168999999999999</v>
      </c>
      <c r="CL12">
        <v>0.4150363317865432</v>
      </c>
      <c r="CM12">
        <v>9.9319293039443104E-2</v>
      </c>
    </row>
    <row r="13" spans="1:91" x14ac:dyDescent="0.3">
      <c r="A13" s="5"/>
      <c r="C13" s="6"/>
      <c r="D13" s="6"/>
      <c r="E13" s="113"/>
      <c r="BS13" t="str">
        <v>Daily</v>
      </c>
      <c r="BT13" t="str">
        <v>n/a</v>
      </c>
      <c r="BU13" s="211">
        <v>46238</v>
      </c>
      <c r="BV13">
        <v>24.5</v>
      </c>
      <c r="BW13">
        <v>0.52083333333333337</v>
      </c>
      <c r="BX13" t="str">
        <v>A</v>
      </c>
      <c r="BY13">
        <v>1000</v>
      </c>
      <c r="BZ13">
        <v>2144.6111111111113</v>
      </c>
      <c r="CA13" s="237">
        <v>2.1446111111111112</v>
      </c>
      <c r="CB13">
        <v>3274</v>
      </c>
      <c r="CC13">
        <v>1006</v>
      </c>
      <c r="CD13" t="e" vm="2">
        <v>#VALUE!</v>
      </c>
      <c r="CE13" t="e">
        <v>#REF!</v>
      </c>
      <c r="CF13">
        <v>0.40401527777777774</v>
      </c>
      <c r="CG13">
        <v>0.174374</v>
      </c>
      <c r="CH13">
        <v>0.59375999999999995</v>
      </c>
      <c r="CI13">
        <v>9.6629455555555549E-2</v>
      </c>
      <c r="CJ13">
        <v>5.6044799999999999E-2</v>
      </c>
      <c r="CK13">
        <v>0.12640199999999999</v>
      </c>
      <c r="CL13">
        <v>0.4150363317865432</v>
      </c>
      <c r="CM13">
        <v>9.9319293039443104E-2</v>
      </c>
    </row>
    <row r="14" spans="1:91" x14ac:dyDescent="0.3">
      <c r="A14" s="5"/>
      <c r="C14" s="6"/>
      <c r="D14" s="6"/>
      <c r="E14" s="113"/>
      <c r="BS14" t="str">
        <v>Daily</v>
      </c>
      <c r="BT14" t="str">
        <v>n/a</v>
      </c>
      <c r="BU14" s="211">
        <v>46239</v>
      </c>
      <c r="BV14">
        <v>25</v>
      </c>
      <c r="BW14">
        <v>0.59305555555555556</v>
      </c>
      <c r="BX14" t="str">
        <v>A</v>
      </c>
      <c r="BY14">
        <v>1000</v>
      </c>
      <c r="BZ14">
        <v>1975.4444444444443</v>
      </c>
      <c r="CA14" s="237">
        <v>1.9754444444444443</v>
      </c>
      <c r="CB14">
        <v>3247</v>
      </c>
      <c r="CC14">
        <v>1003</v>
      </c>
      <c r="CD14" t="e" vm="2">
        <v>#VALUE!</v>
      </c>
      <c r="CE14" t="e">
        <v>#REF!</v>
      </c>
      <c r="CF14">
        <v>0.37193638888888891</v>
      </c>
      <c r="CG14">
        <v>0.16952999999999999</v>
      </c>
      <c r="CH14">
        <v>0.58760599999999996</v>
      </c>
      <c r="CI14">
        <v>8.8825327777777782E-2</v>
      </c>
      <c r="CJ14">
        <v>5.2189399999999997E-2</v>
      </c>
      <c r="CK14">
        <v>0.11620800000000001</v>
      </c>
      <c r="CL14">
        <v>0.4150363317865432</v>
      </c>
      <c r="CM14">
        <v>9.9319293039443104E-2</v>
      </c>
    </row>
    <row r="15" spans="1:91" x14ac:dyDescent="0.3">
      <c r="A15" s="5"/>
      <c r="C15" s="6"/>
      <c r="D15" s="6"/>
      <c r="E15" s="113"/>
      <c r="BS15" t="str">
        <v>Daily</v>
      </c>
      <c r="BT15" t="str">
        <v>n/a</v>
      </c>
      <c r="BU15" s="211">
        <v>46240</v>
      </c>
      <c r="BV15">
        <v>25</v>
      </c>
      <c r="BW15">
        <v>0.47569444444444442</v>
      </c>
      <c r="BX15" t="str">
        <v>A</v>
      </c>
      <c r="BY15">
        <v>1000</v>
      </c>
      <c r="BZ15">
        <v>2069.9444444444443</v>
      </c>
      <c r="CA15" s="237">
        <v>2.0699444444444444</v>
      </c>
      <c r="CB15">
        <v>3135</v>
      </c>
      <c r="CC15">
        <v>1002</v>
      </c>
      <c r="CD15" t="e" vm="2">
        <v>#VALUE!</v>
      </c>
      <c r="CE15" t="e">
        <v>#REF!</v>
      </c>
      <c r="CF15">
        <v>0.37121238888888891</v>
      </c>
      <c r="CG15">
        <v>0.20263600000000001</v>
      </c>
      <c r="CH15">
        <v>0.52784600000000004</v>
      </c>
      <c r="CI15">
        <v>8.8747716666666671E-2</v>
      </c>
      <c r="CJ15">
        <v>4.8736000000000002E-2</v>
      </c>
      <c r="CK15">
        <v>0.10940999999999999</v>
      </c>
      <c r="CL15">
        <v>0.4150363317865432</v>
      </c>
      <c r="CM15">
        <v>9.9319293039443104E-2</v>
      </c>
    </row>
    <row r="16" spans="1:91" x14ac:dyDescent="0.3">
      <c r="A16" s="5"/>
      <c r="C16" s="6"/>
      <c r="D16" s="6"/>
      <c r="E16" s="113"/>
      <c r="BS16" t="str">
        <v>Daily</v>
      </c>
      <c r="BT16" t="str">
        <v>n/a</v>
      </c>
      <c r="BU16" s="211">
        <v>46242</v>
      </c>
      <c r="BV16">
        <v>24.5</v>
      </c>
      <c r="BW16">
        <v>0.62361111111111112</v>
      </c>
      <c r="BX16" t="str">
        <v>A</v>
      </c>
      <c r="BY16">
        <v>1000</v>
      </c>
      <c r="BZ16">
        <v>1881.4444444444443</v>
      </c>
      <c r="CA16" s="237">
        <v>1.8814444444444443</v>
      </c>
      <c r="CB16">
        <v>2984</v>
      </c>
      <c r="CC16">
        <v>1003</v>
      </c>
      <c r="CD16" t="e" vm="2">
        <v>#VALUE!</v>
      </c>
      <c r="CE16" t="e">
        <v>#REF!</v>
      </c>
      <c r="CF16">
        <v>0.38615661111111116</v>
      </c>
      <c r="CG16">
        <v>0.17077700000000001</v>
      </c>
      <c r="CH16">
        <v>0.54024799999999995</v>
      </c>
      <c r="CI16">
        <v>9.2878877777777771E-2</v>
      </c>
      <c r="CJ16">
        <v>4.3160200000000003E-2</v>
      </c>
      <c r="CK16">
        <v>0.13869799999999999</v>
      </c>
      <c r="CL16">
        <v>0.4150363317865432</v>
      </c>
      <c r="CM16">
        <v>9.9319293039443104E-2</v>
      </c>
    </row>
    <row r="17" spans="1:91" x14ac:dyDescent="0.3">
      <c r="A17" s="5"/>
      <c r="C17" s="6"/>
      <c r="D17" s="6"/>
      <c r="E17" s="113"/>
      <c r="BS17" t="str">
        <v>Daily</v>
      </c>
      <c r="BT17" t="str">
        <v>n/a</v>
      </c>
      <c r="BU17" s="211">
        <v>46244</v>
      </c>
      <c r="BV17">
        <v>24</v>
      </c>
      <c r="BW17">
        <v>0.52777777777777779</v>
      </c>
      <c r="BX17" t="str">
        <v>D</v>
      </c>
      <c r="BY17">
        <v>1000</v>
      </c>
      <c r="BZ17">
        <v>1693.3888888888889</v>
      </c>
      <c r="CA17" s="237">
        <v>1.6933888888888888</v>
      </c>
      <c r="CB17">
        <v>2879</v>
      </c>
      <c r="CC17">
        <v>1005</v>
      </c>
      <c r="CD17" t="e" vm="2">
        <v>#VALUE!</v>
      </c>
      <c r="CE17" t="e">
        <v>#REF!</v>
      </c>
      <c r="CF17">
        <v>0.4884073888888889</v>
      </c>
      <c r="CG17">
        <v>0.19611799999999999</v>
      </c>
      <c r="CH17">
        <v>0.68407899999999999</v>
      </c>
      <c r="CI17">
        <v>0.11783660555555556</v>
      </c>
      <c r="CJ17">
        <v>4.7153599999999997E-2</v>
      </c>
      <c r="CK17">
        <v>0.14813200000000001</v>
      </c>
      <c r="CL17">
        <v>0.4150363317865432</v>
      </c>
      <c r="CM17">
        <v>9.9319293039443104E-2</v>
      </c>
    </row>
    <row r="18" spans="1:91" x14ac:dyDescent="0.3">
      <c r="A18" s="5"/>
      <c r="C18" s="6"/>
      <c r="D18" s="6"/>
      <c r="E18" s="113"/>
      <c r="BS18" t="str">
        <v>Daily</v>
      </c>
      <c r="BT18" t="str">
        <v>n/a</v>
      </c>
      <c r="BU18" s="211">
        <v>46245</v>
      </c>
      <c r="BV18">
        <v>24</v>
      </c>
      <c r="BW18">
        <v>0.42777777777777776</v>
      </c>
      <c r="BX18" t="str">
        <v>E</v>
      </c>
      <c r="BY18">
        <v>1000</v>
      </c>
      <c r="BZ18">
        <v>1382.3888888888889</v>
      </c>
      <c r="CA18" s="237">
        <v>1.3823888888888889</v>
      </c>
      <c r="CB18">
        <v>2370</v>
      </c>
      <c r="CC18">
        <v>1002</v>
      </c>
      <c r="CD18" t="e" vm="2">
        <v>#VALUE!</v>
      </c>
      <c r="CE18" t="e">
        <v>#REF!</v>
      </c>
      <c r="CF18">
        <v>0.29684038888888886</v>
      </c>
      <c r="CG18">
        <v>0.19009200000000001</v>
      </c>
      <c r="CH18">
        <v>0.55846799999999996</v>
      </c>
      <c r="CI18">
        <v>7.1251700000000001E-2</v>
      </c>
      <c r="CJ18">
        <v>4.7409600000000003E-2</v>
      </c>
      <c r="CK18">
        <v>0.110303</v>
      </c>
      <c r="CL18">
        <v>0.4150363317865432</v>
      </c>
      <c r="CM18">
        <v>9.9319293039443104E-2</v>
      </c>
    </row>
    <row r="19" spans="1:91" x14ac:dyDescent="0.3">
      <c r="A19" s="5"/>
      <c r="C19" s="6"/>
      <c r="D19" s="6"/>
      <c r="E19" s="113"/>
      <c r="BS19" t="str">
        <v>Daily</v>
      </c>
      <c r="BT19" t="str">
        <v>n/a</v>
      </c>
      <c r="BU19" s="211">
        <v>46246</v>
      </c>
      <c r="BV19">
        <v>25</v>
      </c>
      <c r="BW19">
        <v>0.61597222222222225</v>
      </c>
      <c r="BX19" t="str">
        <v>G</v>
      </c>
      <c r="BY19">
        <v>1000</v>
      </c>
      <c r="BZ19">
        <v>1707.3888888888889</v>
      </c>
      <c r="CA19" s="237">
        <v>1.7073888888888888</v>
      </c>
      <c r="CB19">
        <v>3124</v>
      </c>
      <c r="CC19">
        <v>1002</v>
      </c>
      <c r="CD19" t="e" vm="2">
        <v>#VALUE!</v>
      </c>
      <c r="CE19" t="e">
        <v>#REF!</v>
      </c>
      <c r="CF19">
        <v>0.58543183333333326</v>
      </c>
      <c r="CG19">
        <v>0.13086600000000001</v>
      </c>
      <c r="CH19">
        <v>1.3784799999999999</v>
      </c>
      <c r="CI19">
        <v>0.13689469444444444</v>
      </c>
      <c r="CJ19">
        <v>4.2027099999999998E-2</v>
      </c>
      <c r="CK19">
        <v>0.28981800000000002</v>
      </c>
      <c r="CL19">
        <v>0.4150363317865432</v>
      </c>
      <c r="CM19">
        <v>9.9319293039443104E-2</v>
      </c>
    </row>
    <row r="20" spans="1:91" x14ac:dyDescent="0.3">
      <c r="A20" s="5"/>
      <c r="C20" s="6"/>
      <c r="D20" s="6"/>
      <c r="E20" s="113"/>
      <c r="BS20" t="str">
        <v>Daily</v>
      </c>
      <c r="BT20" t="str">
        <v>n/a</v>
      </c>
      <c r="BU20" s="211">
        <v>46247</v>
      </c>
      <c r="BV20">
        <v>25.5</v>
      </c>
      <c r="BW20">
        <v>0.48402777777777778</v>
      </c>
      <c r="BX20" t="str">
        <v>F</v>
      </c>
      <c r="BY20">
        <v>1000</v>
      </c>
      <c r="BZ20">
        <v>1514.6666666666667</v>
      </c>
      <c r="CA20" s="237">
        <v>1.5146666666666668</v>
      </c>
      <c r="CB20">
        <v>2428</v>
      </c>
      <c r="CC20">
        <v>1004</v>
      </c>
      <c r="CD20" t="e" vm="2">
        <v>#VALUE!</v>
      </c>
      <c r="CE20" t="e">
        <v>#REF!</v>
      </c>
      <c r="CF20">
        <v>0.3348787222222222</v>
      </c>
      <c r="CG20">
        <v>0.13841200000000001</v>
      </c>
      <c r="CH20">
        <v>0.53639599999999998</v>
      </c>
      <c r="CI20">
        <v>8.0860061111111103E-2</v>
      </c>
      <c r="CJ20">
        <v>4.45136E-2</v>
      </c>
      <c r="CK20">
        <v>0.12531</v>
      </c>
      <c r="CL20">
        <v>0.4150363317865432</v>
      </c>
      <c r="CM20">
        <v>9.9319293039443104E-2</v>
      </c>
    </row>
    <row r="21" spans="1:91" x14ac:dyDescent="0.3">
      <c r="A21" s="5"/>
      <c r="C21" s="6"/>
      <c r="D21" s="6"/>
      <c r="E21" s="113"/>
      <c r="Z21" s="237"/>
      <c r="BS21" t="str">
        <v>Daily</v>
      </c>
      <c r="BT21" t="str">
        <v>n/a</v>
      </c>
      <c r="BU21" s="211">
        <v>46248</v>
      </c>
      <c r="BV21">
        <v>25.5</v>
      </c>
      <c r="BW21">
        <v>0.48055555555555557</v>
      </c>
      <c r="BX21" t="str">
        <v>H</v>
      </c>
      <c r="BY21">
        <v>1000</v>
      </c>
      <c r="BZ21">
        <v>1491.5</v>
      </c>
      <c r="CA21" s="237">
        <v>1.4915</v>
      </c>
      <c r="CB21">
        <v>2288</v>
      </c>
      <c r="CC21">
        <v>1002</v>
      </c>
      <c r="CD21" t="e" vm="2">
        <v>#VALUE!</v>
      </c>
      <c r="CE21" t="e">
        <v>#REF!</v>
      </c>
      <c r="CF21">
        <v>0.39099744444444445</v>
      </c>
      <c r="CG21">
        <v>0.26705099999999998</v>
      </c>
      <c r="CH21">
        <v>0.50386299999999995</v>
      </c>
      <c r="CI21">
        <v>9.5190122222222215E-2</v>
      </c>
      <c r="CJ21">
        <v>6.8542400000000003E-2</v>
      </c>
      <c r="CK21">
        <v>0.12145400000000001</v>
      </c>
      <c r="CL21">
        <v>0.4150363317865432</v>
      </c>
      <c r="CM21">
        <v>9.9319293039443104E-2</v>
      </c>
    </row>
    <row r="22" spans="1:91" x14ac:dyDescent="0.3">
      <c r="A22" s="5"/>
      <c r="C22" s="6"/>
      <c r="D22" s="6"/>
      <c r="E22" s="113"/>
      <c r="BS22" t="str">
        <v>Daily</v>
      </c>
      <c r="BT22" t="str">
        <v>n/a</v>
      </c>
      <c r="BU22" s="211">
        <v>46251</v>
      </c>
      <c r="BV22">
        <v>25</v>
      </c>
      <c r="BW22">
        <v>0.7319444444444444</v>
      </c>
      <c r="BX22" t="str">
        <v>I</v>
      </c>
      <c r="BY22">
        <v>1000</v>
      </c>
      <c r="BZ22">
        <v>1684.5</v>
      </c>
      <c r="CA22" s="237">
        <v>1.6845000000000001</v>
      </c>
      <c r="CB22">
        <v>2552</v>
      </c>
      <c r="CC22">
        <v>1004</v>
      </c>
      <c r="CD22" t="e" vm="2">
        <v>#VALUE!</v>
      </c>
      <c r="CE22" t="e">
        <v>#REF!</v>
      </c>
      <c r="CF22">
        <v>0.42146349999999999</v>
      </c>
      <c r="CG22">
        <v>0.28678700000000001</v>
      </c>
      <c r="CH22">
        <v>0.59777599999999997</v>
      </c>
      <c r="CI22">
        <v>0.10134896666666665</v>
      </c>
      <c r="CJ22">
        <v>6.8599099999999996E-2</v>
      </c>
      <c r="CK22">
        <v>0.13004399999999999</v>
      </c>
      <c r="CL22">
        <v>0.4150363317865432</v>
      </c>
      <c r="CM22">
        <v>9.9319293039443104E-2</v>
      </c>
    </row>
    <row r="23" spans="1:91" x14ac:dyDescent="0.3">
      <c r="A23" s="5"/>
      <c r="C23" s="6"/>
      <c r="D23" s="6"/>
      <c r="E23" s="113"/>
      <c r="BS23" t="str">
        <v>Daily</v>
      </c>
      <c r="BT23" t="str">
        <v>n/a</v>
      </c>
      <c r="BU23" s="211">
        <v>46252</v>
      </c>
      <c r="BV23">
        <v>25</v>
      </c>
      <c r="BW23">
        <v>0.75416666666666665</v>
      </c>
      <c r="BX23" t="str">
        <v>I</v>
      </c>
      <c r="BY23">
        <v>1000</v>
      </c>
      <c r="BZ23">
        <v>1852</v>
      </c>
      <c r="CA23" s="237">
        <v>1.8520000000000001</v>
      </c>
      <c r="CB23">
        <v>2710</v>
      </c>
      <c r="CC23">
        <v>1004</v>
      </c>
      <c r="CD23" t="e" vm="2">
        <v>#VALUE!</v>
      </c>
      <c r="CE23" t="e">
        <v>#REF!</v>
      </c>
      <c r="CF23">
        <v>0.44992333333333334</v>
      </c>
      <c r="CG23">
        <v>0.232436</v>
      </c>
      <c r="CH23">
        <v>0.69097900000000001</v>
      </c>
      <c r="CI23">
        <v>0.10735645000000002</v>
      </c>
      <c r="CJ23">
        <v>7.0449899999999996E-2</v>
      </c>
      <c r="CK23">
        <v>0.13900999999999999</v>
      </c>
      <c r="CL23">
        <v>0.4150363317865432</v>
      </c>
      <c r="CM23">
        <v>9.9319293039443104E-2</v>
      </c>
    </row>
    <row r="24" spans="1:91" x14ac:dyDescent="0.3">
      <c r="A24" s="5"/>
      <c r="C24" s="6"/>
      <c r="D24" s="6"/>
      <c r="E24" s="113"/>
      <c r="BS24" t="str">
        <v>Daily</v>
      </c>
      <c r="BT24" t="str">
        <v>n/a</v>
      </c>
      <c r="BU24" s="211">
        <v>46253</v>
      </c>
      <c r="BV24">
        <v>24.5</v>
      </c>
      <c r="BW24">
        <v>0.85138888888888886</v>
      </c>
      <c r="BX24" t="str">
        <v>D</v>
      </c>
      <c r="BY24">
        <v>1000</v>
      </c>
      <c r="BZ24">
        <v>1711.3888888888889</v>
      </c>
      <c r="CA24" s="237">
        <v>1.7113888888888888</v>
      </c>
      <c r="CB24">
        <v>2728</v>
      </c>
      <c r="CC24">
        <v>1001</v>
      </c>
      <c r="CD24" t="e" vm="2">
        <v>#VALUE!</v>
      </c>
      <c r="CE24" t="e">
        <v>#REF!</v>
      </c>
      <c r="CF24">
        <v>0.54501322222222226</v>
      </c>
      <c r="CG24">
        <v>0.25521100000000002</v>
      </c>
      <c r="CH24">
        <v>0.97526599999999997</v>
      </c>
      <c r="CI24">
        <v>0.12795185555555555</v>
      </c>
      <c r="CJ24">
        <v>8.3699099999999999E-2</v>
      </c>
      <c r="CK24">
        <v>0.21911</v>
      </c>
      <c r="CL24">
        <v>0.4150363317865432</v>
      </c>
      <c r="CM24">
        <v>9.9319293039443104E-2</v>
      </c>
    </row>
    <row r="25" spans="1:91" x14ac:dyDescent="0.3">
      <c r="A25" s="5"/>
      <c r="C25" s="6"/>
      <c r="D25" s="6"/>
      <c r="E25" s="113"/>
      <c r="BS25" t="str">
        <v>Daily</v>
      </c>
      <c r="BT25" t="str">
        <v>n/a</v>
      </c>
      <c r="BU25" s="211">
        <v>46254</v>
      </c>
      <c r="BV25">
        <v>24.5</v>
      </c>
      <c r="BW25">
        <v>0.78680555555555554</v>
      </c>
      <c r="BX25" t="str">
        <v>H</v>
      </c>
      <c r="BY25">
        <v>1000</v>
      </c>
      <c r="BZ25">
        <v>1787</v>
      </c>
      <c r="CA25" s="237">
        <v>1.7869999999999999</v>
      </c>
      <c r="CB25">
        <v>3016</v>
      </c>
      <c r="CC25">
        <v>1005</v>
      </c>
      <c r="CD25" t="e" vm="2">
        <v>#VALUE!</v>
      </c>
      <c r="CE25" t="e">
        <v>#REF!</v>
      </c>
      <c r="CF25">
        <v>0.44261372222222228</v>
      </c>
      <c r="CG25">
        <v>0.26846599999999998</v>
      </c>
      <c r="CH25">
        <v>0.60257000000000005</v>
      </c>
      <c r="CI25">
        <v>0.10628490555555556</v>
      </c>
      <c r="CJ25">
        <v>7.6168700000000006E-2</v>
      </c>
      <c r="CK25">
        <v>0.13422300000000001</v>
      </c>
      <c r="CL25">
        <v>0.4150363317865432</v>
      </c>
      <c r="CM25">
        <v>9.9319293039443104E-2</v>
      </c>
    </row>
    <row r="26" spans="1:91" x14ac:dyDescent="0.3">
      <c r="A26" s="5"/>
      <c r="C26" s="6"/>
      <c r="D26" s="6"/>
      <c r="E26" s="113"/>
      <c r="BS26" t="str">
        <v>Daily</v>
      </c>
      <c r="BT26" t="str">
        <v>n/a</v>
      </c>
      <c r="BU26" s="211">
        <v>46255</v>
      </c>
      <c r="BV26">
        <v>0</v>
      </c>
      <c r="BW26">
        <v>0.82986111111111116</v>
      </c>
      <c r="BX26" t="str">
        <v>H</v>
      </c>
      <c r="BY26">
        <v>1000</v>
      </c>
      <c r="BZ26">
        <v>1564.8888888888889</v>
      </c>
      <c r="CA26" s="237">
        <v>1.564888888888889</v>
      </c>
      <c r="CB26">
        <v>2366</v>
      </c>
      <c r="CC26">
        <v>1007</v>
      </c>
      <c r="CD26" t="e" vm="2">
        <v>#VALUE!</v>
      </c>
      <c r="CE26" t="e">
        <v>#REF!</v>
      </c>
      <c r="CF26">
        <v>0.42276977777777769</v>
      </c>
      <c r="CG26">
        <v>0.26023600000000002</v>
      </c>
      <c r="CH26">
        <v>0.55751899999999999</v>
      </c>
      <c r="CI26">
        <v>0.10262061111111112</v>
      </c>
      <c r="CJ26">
        <v>6.2629799999999999E-2</v>
      </c>
      <c r="CK26">
        <v>0.14977499999999999</v>
      </c>
      <c r="CL26">
        <v>0.4150363317865432</v>
      </c>
      <c r="CM26">
        <v>9.9319293039443104E-2</v>
      </c>
    </row>
    <row r="27" spans="1:91" x14ac:dyDescent="0.3">
      <c r="A27" s="5"/>
      <c r="C27" s="6"/>
      <c r="D27" s="6"/>
      <c r="E27" s="113"/>
    </row>
    <row r="28" spans="1:91" x14ac:dyDescent="0.3">
      <c r="A28" s="5"/>
      <c r="C28" s="6"/>
      <c r="D28" s="6"/>
      <c r="E28" s="113"/>
    </row>
    <row r="29" spans="1:91" x14ac:dyDescent="0.3">
      <c r="A29" s="5"/>
      <c r="C29" s="6"/>
      <c r="D29" s="6"/>
      <c r="E29" s="113"/>
    </row>
    <row r="30" spans="1:91" x14ac:dyDescent="0.3">
      <c r="A30" s="5"/>
      <c r="C30" s="6"/>
      <c r="D30" s="6"/>
      <c r="E30" s="113"/>
    </row>
    <row r="31" spans="1:91" x14ac:dyDescent="0.3">
      <c r="A31" s="5"/>
      <c r="C31" s="6"/>
      <c r="D31" s="6"/>
      <c r="E31" s="113"/>
    </row>
    <row r="32" spans="1:91" x14ac:dyDescent="0.3">
      <c r="A32" s="5"/>
      <c r="C32" s="6"/>
      <c r="D32" s="6"/>
      <c r="E32" s="113"/>
    </row>
    <row r="33" spans="1:5" x14ac:dyDescent="0.3">
      <c r="A33" s="5"/>
      <c r="C33" s="6"/>
      <c r="D33" s="6"/>
      <c r="E33" s="113"/>
    </row>
    <row r="34" spans="1:5" x14ac:dyDescent="0.3">
      <c r="A34" s="5"/>
      <c r="C34" s="6"/>
      <c r="D34" s="6"/>
      <c r="E34" s="113"/>
    </row>
    <row r="35" spans="1:5" x14ac:dyDescent="0.3">
      <c r="A35" s="5"/>
      <c r="C35" s="6"/>
      <c r="D35" s="6"/>
      <c r="E35" s="113"/>
    </row>
    <row r="36" spans="1:5" x14ac:dyDescent="0.3">
      <c r="A36" s="5"/>
      <c r="C36" s="6"/>
      <c r="D36" s="6"/>
      <c r="E36" s="113"/>
    </row>
    <row r="37" spans="1:5" x14ac:dyDescent="0.3">
      <c r="A37" s="5"/>
      <c r="C37" s="6"/>
      <c r="D37" s="6"/>
      <c r="E37" s="113"/>
    </row>
    <row r="38" spans="1:5" x14ac:dyDescent="0.3">
      <c r="A38" s="5"/>
      <c r="C38" s="6"/>
      <c r="D38" s="6"/>
      <c r="E38" s="113"/>
    </row>
    <row r="39" spans="1:5" x14ac:dyDescent="0.3">
      <c r="A39" s="5"/>
      <c r="C39" s="6"/>
      <c r="D39" s="6"/>
      <c r="E39" s="113"/>
    </row>
    <row r="40" spans="1:5" x14ac:dyDescent="0.3">
      <c r="A40" s="5"/>
      <c r="C40" s="6"/>
      <c r="D40" s="6"/>
      <c r="E40" s="113"/>
    </row>
    <row r="41" spans="1:5" x14ac:dyDescent="0.3">
      <c r="A41" s="5"/>
      <c r="C41" s="6"/>
      <c r="D41" s="6"/>
      <c r="E41" s="113"/>
    </row>
    <row r="42" spans="1:5" x14ac:dyDescent="0.3">
      <c r="A42" s="5"/>
      <c r="C42" s="6"/>
      <c r="D42" s="6"/>
      <c r="E42" s="113"/>
    </row>
    <row r="43" spans="1:5" x14ac:dyDescent="0.3">
      <c r="A43" s="5"/>
      <c r="C43" s="6"/>
      <c r="D43" s="6"/>
      <c r="E43" s="113"/>
    </row>
    <row r="44" spans="1:5" x14ac:dyDescent="0.3">
      <c r="A44" s="5"/>
      <c r="C44" s="6"/>
      <c r="D44" s="6"/>
      <c r="E44" s="113"/>
    </row>
    <row r="45" spans="1:5" x14ac:dyDescent="0.3">
      <c r="A45" s="5"/>
      <c r="C45" s="6"/>
      <c r="D45" s="6"/>
      <c r="E45" s="113"/>
    </row>
    <row r="46" spans="1:5" x14ac:dyDescent="0.3">
      <c r="A46" s="5"/>
      <c r="C46" s="6"/>
      <c r="D46" s="6"/>
      <c r="E46" s="113"/>
    </row>
    <row r="47" spans="1:5" x14ac:dyDescent="0.3">
      <c r="A47" s="5"/>
      <c r="C47" s="6"/>
      <c r="D47" s="6"/>
      <c r="E47" s="113"/>
    </row>
    <row r="48" spans="1:5" x14ac:dyDescent="0.3">
      <c r="A48" s="5"/>
      <c r="C48" s="6"/>
      <c r="D48" s="6"/>
      <c r="E48" s="113"/>
    </row>
    <row r="49" spans="1:5" x14ac:dyDescent="0.3">
      <c r="A49" s="5"/>
      <c r="C49" s="6"/>
      <c r="D49" s="6"/>
      <c r="E49" s="113"/>
    </row>
    <row r="50" spans="1:5" x14ac:dyDescent="0.3">
      <c r="A50" s="5"/>
      <c r="C50" s="6"/>
      <c r="D50" s="6"/>
      <c r="E50" s="113"/>
    </row>
    <row r="51" spans="1:5" x14ac:dyDescent="0.3">
      <c r="A51" s="5"/>
      <c r="C51" s="6"/>
      <c r="D51" s="6"/>
      <c r="E51" s="113"/>
    </row>
    <row r="52" spans="1:5" x14ac:dyDescent="0.3">
      <c r="A52" s="5"/>
      <c r="C52" s="6"/>
      <c r="D52" s="6"/>
      <c r="E52" s="113"/>
    </row>
    <row r="53" spans="1:5" x14ac:dyDescent="0.3">
      <c r="A53" s="5"/>
      <c r="C53" s="6"/>
      <c r="D53" s="6"/>
      <c r="E53" s="113"/>
    </row>
    <row r="54" spans="1:5" x14ac:dyDescent="0.3">
      <c r="A54" s="5"/>
      <c r="C54" s="6"/>
      <c r="D54" s="6"/>
      <c r="E54" s="113"/>
    </row>
    <row r="55" spans="1:5" x14ac:dyDescent="0.3">
      <c r="A55" s="5"/>
      <c r="C55" s="6"/>
      <c r="D55" s="6"/>
      <c r="E55" s="113"/>
    </row>
    <row r="56" spans="1:5" x14ac:dyDescent="0.3">
      <c r="A56" s="5"/>
      <c r="C56" s="6"/>
      <c r="D56" s="6"/>
      <c r="E56" s="113"/>
    </row>
    <row r="57" spans="1:5" x14ac:dyDescent="0.3">
      <c r="A57" s="5"/>
      <c r="C57" s="6"/>
      <c r="D57" s="6"/>
      <c r="E57" s="113"/>
    </row>
    <row r="58" spans="1:5" x14ac:dyDescent="0.3">
      <c r="A58" s="5"/>
      <c r="C58" s="6"/>
      <c r="D58" s="6"/>
      <c r="E58" s="113"/>
    </row>
    <row r="59" spans="1:5" x14ac:dyDescent="0.3">
      <c r="A59" s="5"/>
      <c r="C59" s="6"/>
      <c r="D59" s="6"/>
      <c r="E59" s="113"/>
    </row>
    <row r="60" spans="1:5" x14ac:dyDescent="0.3">
      <c r="A60" s="5"/>
      <c r="C60" s="6"/>
      <c r="D60" s="6"/>
      <c r="E60" s="113"/>
    </row>
    <row r="61" spans="1:5" x14ac:dyDescent="0.3">
      <c r="A61" s="5"/>
      <c r="C61" s="6"/>
      <c r="D61" s="6"/>
      <c r="E61" s="113"/>
    </row>
    <row r="62" spans="1:5" x14ac:dyDescent="0.3">
      <c r="C62" s="6"/>
      <c r="D62" s="6"/>
      <c r="E62" s="113"/>
    </row>
    <row r="63" spans="1:5" x14ac:dyDescent="0.3">
      <c r="C63" s="6"/>
      <c r="D63" s="6"/>
      <c r="E63" s="113"/>
    </row>
    <row r="64" spans="1:5" x14ac:dyDescent="0.3">
      <c r="C64" s="6"/>
      <c r="D64" s="6"/>
      <c r="E64" s="113"/>
    </row>
    <row r="65" spans="3:5" x14ac:dyDescent="0.3">
      <c r="C65" s="6"/>
      <c r="D65" s="6"/>
      <c r="E65" s="113"/>
    </row>
    <row r="66" spans="3:5" x14ac:dyDescent="0.3">
      <c r="C66" s="6"/>
      <c r="D66" s="6"/>
      <c r="E66" s="113"/>
    </row>
    <row r="67" spans="3:5" x14ac:dyDescent="0.3">
      <c r="C67" s="6"/>
      <c r="D67" s="6"/>
      <c r="E67" s="113"/>
    </row>
    <row r="68" spans="3:5" x14ac:dyDescent="0.3">
      <c r="C68" s="6"/>
      <c r="D68" s="6"/>
      <c r="E68" s="113"/>
    </row>
    <row r="69" spans="3:5" x14ac:dyDescent="0.3">
      <c r="C69" s="6"/>
      <c r="D69" s="6"/>
      <c r="E69" s="113"/>
    </row>
    <row r="70" spans="3:5" x14ac:dyDescent="0.3">
      <c r="C70" s="6"/>
      <c r="D70" s="6"/>
      <c r="E70" s="113"/>
    </row>
    <row r="71" spans="3:5" x14ac:dyDescent="0.3">
      <c r="C71" s="6"/>
      <c r="D71" s="6"/>
      <c r="E71" s="113"/>
    </row>
    <row r="72" spans="3:5" x14ac:dyDescent="0.3">
      <c r="C72" s="6"/>
      <c r="D72" s="6"/>
      <c r="E72" s="113"/>
    </row>
    <row r="73" spans="3:5" x14ac:dyDescent="0.3">
      <c r="C73" s="6"/>
      <c r="D73" s="6"/>
      <c r="E73" s="113"/>
    </row>
    <row r="74" spans="3:5" x14ac:dyDescent="0.3">
      <c r="C74" s="6"/>
      <c r="D74" s="6"/>
      <c r="E74" s="113"/>
    </row>
    <row r="75" spans="3:5" x14ac:dyDescent="0.3">
      <c r="C75" s="6"/>
      <c r="D75" s="6"/>
      <c r="E75" s="113"/>
    </row>
    <row r="76" spans="3:5" x14ac:dyDescent="0.3">
      <c r="C76" s="6"/>
      <c r="D76" s="6"/>
      <c r="E76" s="113"/>
    </row>
    <row r="77" spans="3:5" x14ac:dyDescent="0.3">
      <c r="C77" s="6"/>
      <c r="D77" s="6"/>
      <c r="E77" s="113"/>
    </row>
    <row r="78" spans="3:5" x14ac:dyDescent="0.3">
      <c r="C78" s="6"/>
      <c r="D78" s="6"/>
      <c r="E78" s="113"/>
    </row>
    <row r="79" spans="3:5" x14ac:dyDescent="0.3">
      <c r="C79" s="6"/>
      <c r="D79" s="6"/>
      <c r="E79" s="113"/>
    </row>
    <row r="80" spans="3:5" x14ac:dyDescent="0.3">
      <c r="C80" s="6"/>
      <c r="D80" s="6"/>
      <c r="E80" s="113"/>
    </row>
    <row r="81" spans="3:5" x14ac:dyDescent="0.3">
      <c r="C81" s="6"/>
      <c r="D81" s="6"/>
      <c r="E81" s="113"/>
    </row>
    <row r="82" spans="3:5" x14ac:dyDescent="0.3">
      <c r="C82" s="6"/>
      <c r="D82" s="6"/>
      <c r="E82" s="113"/>
    </row>
    <row r="83" spans="3:5" x14ac:dyDescent="0.3">
      <c r="C83" s="6"/>
      <c r="D83" s="6"/>
      <c r="E83" s="113"/>
    </row>
    <row r="84" spans="3:5" x14ac:dyDescent="0.3">
      <c r="C84" s="6"/>
      <c r="D84" s="6"/>
      <c r="E84" s="113"/>
    </row>
    <row r="85" spans="3:5" x14ac:dyDescent="0.3">
      <c r="C85" s="6"/>
      <c r="D85" s="6"/>
      <c r="E85" s="113"/>
    </row>
    <row r="86" spans="3:5" x14ac:dyDescent="0.3">
      <c r="C86" s="6"/>
      <c r="D86" s="6"/>
      <c r="E86" s="113"/>
    </row>
    <row r="87" spans="3:5" x14ac:dyDescent="0.3">
      <c r="C87" s="6"/>
      <c r="D87" s="6"/>
      <c r="E87" s="113"/>
    </row>
    <row r="88" spans="3:5" x14ac:dyDescent="0.3">
      <c r="C88" s="6"/>
      <c r="D88" s="6"/>
      <c r="E88" s="113"/>
    </row>
    <row r="89" spans="3:5" x14ac:dyDescent="0.3">
      <c r="C89" s="6"/>
      <c r="D89" s="6"/>
      <c r="E89" s="113"/>
    </row>
    <row r="90" spans="3:5" x14ac:dyDescent="0.3">
      <c r="C90" s="6"/>
      <c r="D90" s="6"/>
      <c r="E90" s="113"/>
    </row>
    <row r="91" spans="3:5" x14ac:dyDescent="0.3">
      <c r="C91" s="6"/>
      <c r="D91" s="6"/>
      <c r="E91" s="113"/>
    </row>
    <row r="92" spans="3:5" x14ac:dyDescent="0.3">
      <c r="C92" s="6"/>
      <c r="D92" s="6"/>
      <c r="E92" s="113"/>
    </row>
    <row r="93" spans="3:5" x14ac:dyDescent="0.3">
      <c r="C93" s="6"/>
      <c r="D93" s="6"/>
      <c r="E93" s="113"/>
    </row>
    <row r="94" spans="3:5" x14ac:dyDescent="0.3">
      <c r="C94" s="6"/>
      <c r="D94" s="6"/>
      <c r="E94" s="113"/>
    </row>
    <row r="95" spans="3:5" x14ac:dyDescent="0.3">
      <c r="C95" s="6"/>
      <c r="D95" s="6"/>
      <c r="E95" s="113"/>
    </row>
    <row r="96" spans="3:5" x14ac:dyDescent="0.3">
      <c r="C96" s="6"/>
      <c r="D96" s="6"/>
      <c r="E96" s="113"/>
    </row>
    <row r="97" spans="3:5" x14ac:dyDescent="0.3">
      <c r="C97" s="6"/>
      <c r="D97" s="6"/>
      <c r="E97" s="113"/>
    </row>
    <row r="98" spans="3:5" x14ac:dyDescent="0.3">
      <c r="C98" s="6"/>
      <c r="D98" s="6"/>
      <c r="E98" s="113"/>
    </row>
    <row r="99" spans="3:5" x14ac:dyDescent="0.3">
      <c r="C99" s="6"/>
      <c r="D99" s="6"/>
      <c r="E99" s="113"/>
    </row>
    <row r="100" spans="3:5" x14ac:dyDescent="0.3">
      <c r="C100" s="6"/>
      <c r="D100" s="6"/>
      <c r="E100" s="113"/>
    </row>
    <row r="101" spans="3:5" x14ac:dyDescent="0.3">
      <c r="C101" s="6"/>
      <c r="D101" s="6"/>
      <c r="E101" s="113"/>
    </row>
    <row r="102" spans="3:5" x14ac:dyDescent="0.3">
      <c r="C102" s="6"/>
      <c r="D102" s="6"/>
      <c r="E102" s="113"/>
    </row>
    <row r="103" spans="3:5" x14ac:dyDescent="0.3">
      <c r="C103" s="6"/>
      <c r="D103" s="6"/>
      <c r="E103" s="113"/>
    </row>
    <row r="104" spans="3:5" x14ac:dyDescent="0.3">
      <c r="C104" s="6"/>
      <c r="D104" s="6"/>
      <c r="E104" s="113"/>
    </row>
    <row r="105" spans="3:5" x14ac:dyDescent="0.3">
      <c r="C105" s="6"/>
      <c r="D105" s="6"/>
      <c r="E105" s="113"/>
    </row>
    <row r="106" spans="3:5" x14ac:dyDescent="0.3">
      <c r="C106" s="6"/>
      <c r="D106" s="6"/>
      <c r="E106" s="113"/>
    </row>
    <row r="107" spans="3:5" x14ac:dyDescent="0.3">
      <c r="C107" s="6"/>
      <c r="D107" s="6"/>
      <c r="E107" s="113"/>
    </row>
    <row r="108" spans="3:5" x14ac:dyDescent="0.3">
      <c r="C108" s="6"/>
      <c r="D108" s="6"/>
      <c r="E108" s="113"/>
    </row>
    <row r="109" spans="3:5" x14ac:dyDescent="0.3">
      <c r="C109" s="6"/>
      <c r="D109" s="6"/>
      <c r="E109" s="113"/>
    </row>
    <row r="110" spans="3:5" x14ac:dyDescent="0.3">
      <c r="C110" s="6"/>
      <c r="D110" s="6"/>
      <c r="E110" s="113"/>
    </row>
    <row r="111" spans="3:5" x14ac:dyDescent="0.3">
      <c r="C111" s="6"/>
      <c r="D111" s="6"/>
      <c r="E111" s="113"/>
    </row>
    <row r="112" spans="3:5" x14ac:dyDescent="0.3">
      <c r="C112" s="6"/>
      <c r="D112" s="6"/>
      <c r="E112" s="113"/>
    </row>
    <row r="113" spans="3:5" x14ac:dyDescent="0.3">
      <c r="C113" s="6"/>
      <c r="D113" s="6"/>
      <c r="E113" s="113"/>
    </row>
    <row r="114" spans="3:5" x14ac:dyDescent="0.3">
      <c r="C114" s="6"/>
      <c r="D114" s="6"/>
      <c r="E114" s="113"/>
    </row>
    <row r="115" spans="3:5" x14ac:dyDescent="0.3">
      <c r="C115" s="6"/>
      <c r="D115" s="6"/>
      <c r="E115" s="113"/>
    </row>
    <row r="116" spans="3:5" x14ac:dyDescent="0.3">
      <c r="C116" s="6"/>
      <c r="D116" s="6"/>
      <c r="E116" s="113"/>
    </row>
    <row r="117" spans="3:5" x14ac:dyDescent="0.3">
      <c r="C117" s="6"/>
      <c r="D117" s="6"/>
      <c r="E117" s="113"/>
    </row>
    <row r="118" spans="3:5" x14ac:dyDescent="0.3">
      <c r="C118" s="6"/>
      <c r="D118" s="6"/>
      <c r="E118" s="113"/>
    </row>
    <row r="119" spans="3:5" x14ac:dyDescent="0.3">
      <c r="C119" s="6"/>
      <c r="D119" s="6"/>
      <c r="E119" s="113"/>
    </row>
    <row r="120" spans="3:5" x14ac:dyDescent="0.3">
      <c r="C120" s="6"/>
      <c r="D120" s="6"/>
      <c r="E120" s="113"/>
    </row>
    <row r="121" spans="3:5" x14ac:dyDescent="0.3">
      <c r="C121" s="6"/>
      <c r="D121" s="6"/>
      <c r="E121" s="113"/>
    </row>
    <row r="122" spans="3:5" x14ac:dyDescent="0.3">
      <c r="C122" s="6"/>
      <c r="D122" s="6"/>
      <c r="E122" s="113"/>
    </row>
    <row r="123" spans="3:5" x14ac:dyDescent="0.3">
      <c r="C123" s="6"/>
      <c r="D123" s="6"/>
      <c r="E123" s="113"/>
    </row>
    <row r="124" spans="3:5" x14ac:dyDescent="0.3">
      <c r="C124" s="6"/>
      <c r="D124" s="6"/>
      <c r="E124" s="113"/>
    </row>
    <row r="125" spans="3:5" x14ac:dyDescent="0.3">
      <c r="C125" s="6"/>
      <c r="D125" s="6"/>
      <c r="E125" s="113"/>
    </row>
    <row r="126" spans="3:5" x14ac:dyDescent="0.3">
      <c r="C126" s="6"/>
      <c r="D126" s="6"/>
      <c r="E126" s="113"/>
    </row>
    <row r="127" spans="3:5" x14ac:dyDescent="0.3">
      <c r="C127" s="6"/>
      <c r="D127" s="6"/>
      <c r="E127" s="113"/>
    </row>
    <row r="128" spans="3:5" x14ac:dyDescent="0.3">
      <c r="C128" s="6"/>
      <c r="D128" s="6"/>
      <c r="E128" s="113"/>
    </row>
    <row r="129" spans="3:5" x14ac:dyDescent="0.3">
      <c r="C129" s="6"/>
      <c r="D129" s="6"/>
      <c r="E129" s="113"/>
    </row>
    <row r="130" spans="3:5" x14ac:dyDescent="0.3">
      <c r="C130" s="6"/>
      <c r="D130" s="6"/>
      <c r="E130" s="113"/>
    </row>
    <row r="131" spans="3:5" x14ac:dyDescent="0.3">
      <c r="C131" s="6"/>
      <c r="D131" s="6"/>
      <c r="E131" s="113"/>
    </row>
    <row r="132" spans="3:5" x14ac:dyDescent="0.3">
      <c r="C132" s="6"/>
      <c r="D132" s="6"/>
      <c r="E132" s="113"/>
    </row>
    <row r="133" spans="3:5" x14ac:dyDescent="0.3">
      <c r="C133" s="6"/>
      <c r="D133" s="6"/>
      <c r="E133" s="113"/>
    </row>
    <row r="134" spans="3:5" x14ac:dyDescent="0.3">
      <c r="C134" s="6"/>
      <c r="D134" s="6"/>
      <c r="E134" s="113"/>
    </row>
    <row r="135" spans="3:5" x14ac:dyDescent="0.3">
      <c r="C135" s="6"/>
      <c r="D135" s="6"/>
      <c r="E135" s="113"/>
    </row>
    <row r="136" spans="3:5" x14ac:dyDescent="0.3">
      <c r="C136" s="6"/>
      <c r="D136" s="6"/>
      <c r="E136" s="113"/>
    </row>
    <row r="137" spans="3:5" x14ac:dyDescent="0.3">
      <c r="C137" s="6"/>
      <c r="D137" s="6"/>
      <c r="E137" s="113"/>
    </row>
    <row r="138" spans="3:5" x14ac:dyDescent="0.3">
      <c r="C138" s="6"/>
      <c r="D138" s="6"/>
      <c r="E138" s="113"/>
    </row>
    <row r="139" spans="3:5" x14ac:dyDescent="0.3">
      <c r="C139" s="6"/>
      <c r="D139" s="6"/>
      <c r="E139" s="113"/>
    </row>
    <row r="140" spans="3:5" x14ac:dyDescent="0.3">
      <c r="C140" s="6"/>
      <c r="D140" s="6"/>
      <c r="E140" s="113"/>
    </row>
    <row r="141" spans="3:5" x14ac:dyDescent="0.3">
      <c r="C141" s="6"/>
      <c r="D141" s="6"/>
      <c r="E141" s="113"/>
    </row>
    <row r="142" spans="3:5" x14ac:dyDescent="0.3">
      <c r="C142" s="6"/>
      <c r="D142" s="6"/>
      <c r="E142" s="113"/>
    </row>
    <row r="143" spans="3:5" x14ac:dyDescent="0.3">
      <c r="C143" s="6"/>
      <c r="D143" s="6"/>
      <c r="E143" s="36"/>
    </row>
    <row r="144" spans="3:5" x14ac:dyDescent="0.3">
      <c r="C144" s="6"/>
      <c r="D144" s="6"/>
      <c r="E144" s="36"/>
    </row>
    <row r="145" spans="3:5" x14ac:dyDescent="0.3">
      <c r="C145" s="6"/>
      <c r="D145" s="6"/>
      <c r="E145" s="36"/>
    </row>
    <row r="146" spans="3:5" x14ac:dyDescent="0.3">
      <c r="C146" s="6"/>
      <c r="D146" s="6"/>
      <c r="E146" s="36"/>
    </row>
    <row r="147" spans="3:5" x14ac:dyDescent="0.3">
      <c r="C147" s="6"/>
      <c r="D147" s="6"/>
      <c r="E147" s="36"/>
    </row>
    <row r="148" spans="3:5" x14ac:dyDescent="0.3">
      <c r="C148" s="6"/>
      <c r="D148" s="6"/>
      <c r="E148" s="36"/>
    </row>
    <row r="149" spans="3:5" x14ac:dyDescent="0.3">
      <c r="C149" s="6"/>
      <c r="D149" s="6"/>
      <c r="E149" s="36"/>
    </row>
    <row r="150" spans="3:5" x14ac:dyDescent="0.3">
      <c r="C150" s="6"/>
      <c r="D150" s="6"/>
      <c r="E150" s="36"/>
    </row>
    <row r="151" spans="3:5" x14ac:dyDescent="0.3">
      <c r="C151" s="6"/>
      <c r="D151" s="6"/>
      <c r="E151" s="36"/>
    </row>
    <row r="152" spans="3:5" x14ac:dyDescent="0.3">
      <c r="C152" s="6"/>
      <c r="D152" s="6"/>
      <c r="E152" s="36"/>
    </row>
    <row r="153" spans="3:5" x14ac:dyDescent="0.3">
      <c r="C153" s="6"/>
      <c r="D153" s="6"/>
      <c r="E153" s="36"/>
    </row>
    <row r="154" spans="3:5" x14ac:dyDescent="0.3">
      <c r="C154" s="6"/>
      <c r="D154" s="6"/>
      <c r="E154" s="36"/>
    </row>
    <row r="155" spans="3:5" x14ac:dyDescent="0.3">
      <c r="C155" s="6"/>
      <c r="D155" s="6"/>
      <c r="E155" s="36"/>
    </row>
    <row r="156" spans="3:5" x14ac:dyDescent="0.3">
      <c r="C156" s="6"/>
      <c r="D156" s="6"/>
      <c r="E156" s="36"/>
    </row>
    <row r="157" spans="3:5" x14ac:dyDescent="0.3">
      <c r="C157" s="6"/>
      <c r="D157" s="6"/>
      <c r="E157" s="36"/>
    </row>
    <row r="158" spans="3:5" x14ac:dyDescent="0.3">
      <c r="C158" s="6"/>
      <c r="D158" s="6"/>
      <c r="E158" s="36"/>
    </row>
    <row r="159" spans="3:5" x14ac:dyDescent="0.3">
      <c r="C159" s="6"/>
      <c r="D159" s="6"/>
      <c r="E159" s="36"/>
    </row>
    <row r="160" spans="3:5" x14ac:dyDescent="0.3">
      <c r="C160" s="6"/>
      <c r="D160" s="6"/>
      <c r="E160" s="36"/>
    </row>
    <row r="161" spans="3:5" x14ac:dyDescent="0.3">
      <c r="C161" s="6"/>
      <c r="D161" s="6"/>
      <c r="E161" s="36"/>
    </row>
    <row r="162" spans="3:5" x14ac:dyDescent="0.3">
      <c r="C162" s="6"/>
      <c r="D162" s="6"/>
      <c r="E162" s="36"/>
    </row>
    <row r="163" spans="3:5" x14ac:dyDescent="0.3">
      <c r="C163" s="6"/>
      <c r="D163" s="6"/>
      <c r="E163" s="36"/>
    </row>
    <row r="164" spans="3:5" x14ac:dyDescent="0.3">
      <c r="C164" s="6"/>
      <c r="D164" s="6"/>
      <c r="E164" s="36"/>
    </row>
    <row r="165" spans="3:5" x14ac:dyDescent="0.3">
      <c r="C165" s="6"/>
      <c r="D165" s="6"/>
      <c r="E165" s="36"/>
    </row>
    <row r="166" spans="3:5" x14ac:dyDescent="0.3">
      <c r="C166" s="6"/>
      <c r="D166" s="6"/>
      <c r="E166" s="36"/>
    </row>
    <row r="167" spans="3:5" x14ac:dyDescent="0.3">
      <c r="C167" s="6"/>
      <c r="D167" s="6"/>
      <c r="E167" s="36"/>
    </row>
    <row r="168" spans="3:5" x14ac:dyDescent="0.3">
      <c r="C168" s="6"/>
      <c r="D168" s="6"/>
      <c r="E168" s="36"/>
    </row>
    <row r="169" spans="3:5" x14ac:dyDescent="0.3">
      <c r="C169" s="6"/>
      <c r="D169" s="6"/>
      <c r="E169" s="36"/>
    </row>
    <row r="170" spans="3:5" x14ac:dyDescent="0.3">
      <c r="C170" s="6"/>
      <c r="D170" s="6"/>
      <c r="E170" s="36"/>
    </row>
    <row r="171" spans="3:5" x14ac:dyDescent="0.3">
      <c r="C171" s="6"/>
      <c r="D171" s="6"/>
      <c r="E171" s="36"/>
    </row>
    <row r="172" spans="3:5" x14ac:dyDescent="0.3">
      <c r="C172" s="6"/>
      <c r="D172" s="6"/>
      <c r="E172" s="36"/>
    </row>
    <row r="173" spans="3:5" x14ac:dyDescent="0.3">
      <c r="C173" s="6"/>
      <c r="D173" s="6"/>
      <c r="E173" s="36"/>
    </row>
    <row r="174" spans="3:5" x14ac:dyDescent="0.3">
      <c r="C174" s="6"/>
      <c r="D174" s="6"/>
      <c r="E174" s="36"/>
    </row>
    <row r="175" spans="3:5" x14ac:dyDescent="0.3">
      <c r="C175" s="6"/>
      <c r="D175" s="6"/>
      <c r="E175" s="36"/>
    </row>
    <row r="176" spans="3:5" x14ac:dyDescent="0.3">
      <c r="C176" s="6"/>
      <c r="D176" s="6"/>
      <c r="E176" s="36"/>
    </row>
    <row r="177" spans="3:5" x14ac:dyDescent="0.3">
      <c r="C177" s="6"/>
      <c r="D177" s="6"/>
      <c r="E177" s="36"/>
    </row>
    <row r="178" spans="3:5" x14ac:dyDescent="0.3">
      <c r="C178" s="6"/>
      <c r="D178" s="6"/>
      <c r="E178" s="36"/>
    </row>
    <row r="179" spans="3:5" x14ac:dyDescent="0.3">
      <c r="C179" s="6"/>
      <c r="D179" s="6"/>
      <c r="E179" s="36"/>
    </row>
    <row r="180" spans="3:5" x14ac:dyDescent="0.3">
      <c r="C180" s="6"/>
      <c r="D180" s="6"/>
      <c r="E180" s="36"/>
    </row>
    <row r="181" spans="3:5" x14ac:dyDescent="0.3">
      <c r="C181" s="6"/>
      <c r="D181" s="6"/>
      <c r="E181" s="36"/>
    </row>
    <row r="182" spans="3:5" x14ac:dyDescent="0.3">
      <c r="C182" s="6"/>
      <c r="D182" s="6"/>
      <c r="E182" s="36"/>
    </row>
    <row r="183" spans="3:5" x14ac:dyDescent="0.3">
      <c r="C183" s="6"/>
      <c r="D183" s="6"/>
      <c r="E183" s="36"/>
    </row>
    <row r="184" spans="3:5" x14ac:dyDescent="0.3">
      <c r="C184" s="6"/>
      <c r="D184" s="6"/>
      <c r="E184" s="36"/>
    </row>
    <row r="185" spans="3:5" x14ac:dyDescent="0.3">
      <c r="C185" s="6"/>
      <c r="D185" s="6"/>
      <c r="E185" s="36"/>
    </row>
    <row r="186" spans="3:5" x14ac:dyDescent="0.3">
      <c r="C186" s="6"/>
      <c r="D186" s="6"/>
      <c r="E186" s="36"/>
    </row>
    <row r="187" spans="3:5" x14ac:dyDescent="0.3">
      <c r="C187" s="6"/>
      <c r="D187" s="6"/>
      <c r="E187" s="36"/>
    </row>
    <row r="188" spans="3:5" x14ac:dyDescent="0.3">
      <c r="C188" s="6"/>
      <c r="D188" s="6"/>
      <c r="E188" s="36"/>
    </row>
    <row r="189" spans="3:5" x14ac:dyDescent="0.3">
      <c r="C189" s="6"/>
      <c r="D189" s="6"/>
      <c r="E189" s="36"/>
    </row>
    <row r="190" spans="3:5" x14ac:dyDescent="0.3">
      <c r="C190" s="6"/>
      <c r="D190" s="6"/>
      <c r="E190" s="36"/>
    </row>
    <row r="191" spans="3:5" x14ac:dyDescent="0.3">
      <c r="C191" s="6"/>
      <c r="D191" s="6"/>
      <c r="E191" s="36"/>
    </row>
    <row r="192" spans="3:5" x14ac:dyDescent="0.3">
      <c r="C192" s="6"/>
      <c r="D192" s="6"/>
      <c r="E192" s="36"/>
    </row>
    <row r="193" spans="3:5" x14ac:dyDescent="0.3">
      <c r="C193" s="6"/>
      <c r="D193" s="6"/>
      <c r="E193" s="36"/>
    </row>
    <row r="194" spans="3:5" x14ac:dyDescent="0.3">
      <c r="C194" s="6"/>
      <c r="D194" s="6"/>
      <c r="E194" s="36"/>
    </row>
    <row r="195" spans="3:5" x14ac:dyDescent="0.3">
      <c r="C195" s="6"/>
      <c r="D195" s="6"/>
      <c r="E195" s="36"/>
    </row>
    <row r="196" spans="3:5" x14ac:dyDescent="0.3">
      <c r="C196" s="6"/>
      <c r="D196" s="6"/>
      <c r="E196" s="36"/>
    </row>
    <row r="197" spans="3:5" x14ac:dyDescent="0.3">
      <c r="C197" s="6"/>
      <c r="D197" s="6"/>
      <c r="E197" s="36"/>
    </row>
    <row r="198" spans="3:5" x14ac:dyDescent="0.3">
      <c r="C198" s="6"/>
      <c r="D198" s="6"/>
      <c r="E198" s="36"/>
    </row>
    <row r="199" spans="3:5" x14ac:dyDescent="0.3">
      <c r="C199" s="6"/>
      <c r="D199" s="6"/>
      <c r="E199" s="36"/>
    </row>
    <row r="200" spans="3:5" x14ac:dyDescent="0.3">
      <c r="C200" s="6"/>
      <c r="D200" s="6"/>
      <c r="E200" s="36"/>
    </row>
    <row r="201" spans="3:5" x14ac:dyDescent="0.3">
      <c r="C201" s="6"/>
      <c r="D201" s="6"/>
      <c r="E201" s="36"/>
    </row>
    <row r="202" spans="3:5" x14ac:dyDescent="0.3">
      <c r="C202" s="6"/>
      <c r="D202" s="6"/>
      <c r="E202" s="36"/>
    </row>
    <row r="203" spans="3:5" x14ac:dyDescent="0.3">
      <c r="C203" s="6"/>
      <c r="D203" s="6"/>
      <c r="E203" s="36"/>
    </row>
    <row r="204" spans="3:5" x14ac:dyDescent="0.3">
      <c r="C204" s="6"/>
      <c r="D204" s="6"/>
      <c r="E204" s="36"/>
    </row>
    <row r="205" spans="3:5" x14ac:dyDescent="0.3">
      <c r="C205" s="6"/>
      <c r="D205" s="6"/>
      <c r="E205" s="36"/>
    </row>
    <row r="206" spans="3:5" x14ac:dyDescent="0.3">
      <c r="C206" s="6"/>
      <c r="D206" s="6"/>
      <c r="E206" s="36"/>
    </row>
    <row r="207" spans="3:5" x14ac:dyDescent="0.3">
      <c r="C207" s="6"/>
      <c r="D207" s="6"/>
      <c r="E207" s="36"/>
    </row>
    <row r="208" spans="3:5" x14ac:dyDescent="0.3">
      <c r="C208" s="6"/>
      <c r="D208" s="6"/>
      <c r="E208" s="36"/>
    </row>
    <row r="209" spans="3:5" x14ac:dyDescent="0.3">
      <c r="C209" s="6"/>
      <c r="D209" s="6"/>
      <c r="E209" s="36"/>
    </row>
    <row r="210" spans="3:5" x14ac:dyDescent="0.3">
      <c r="C210" s="6"/>
      <c r="D210" s="6"/>
      <c r="E210" s="36"/>
    </row>
    <row r="211" spans="3:5" x14ac:dyDescent="0.3">
      <c r="C211" s="6"/>
      <c r="D211" s="6"/>
      <c r="E211" s="36"/>
    </row>
    <row r="212" spans="3:5" x14ac:dyDescent="0.3">
      <c r="C212" s="6"/>
      <c r="D212" s="6"/>
      <c r="E212" s="36"/>
    </row>
    <row r="213" spans="3:5" x14ac:dyDescent="0.3">
      <c r="C213" s="6"/>
      <c r="D213" s="6"/>
      <c r="E213" s="36"/>
    </row>
    <row r="214" spans="3:5" x14ac:dyDescent="0.3">
      <c r="C214" s="6"/>
      <c r="D214" s="6"/>
      <c r="E214" s="36"/>
    </row>
    <row r="215" spans="3:5" x14ac:dyDescent="0.3">
      <c r="C215" s="6"/>
      <c r="D215" s="6"/>
      <c r="E215" s="36"/>
    </row>
    <row r="216" spans="3:5" x14ac:dyDescent="0.3">
      <c r="C216" s="6"/>
      <c r="D216" s="6"/>
      <c r="E216" s="36"/>
    </row>
    <row r="217" spans="3:5" x14ac:dyDescent="0.3">
      <c r="C217" s="6"/>
      <c r="D217" s="6"/>
      <c r="E217" s="36"/>
    </row>
    <row r="218" spans="3:5" x14ac:dyDescent="0.3">
      <c r="C218" s="6"/>
      <c r="D218" s="6"/>
      <c r="E218" s="36"/>
    </row>
    <row r="219" spans="3:5" x14ac:dyDescent="0.3">
      <c r="C219" s="6"/>
      <c r="D219" s="6"/>
      <c r="E219" s="36"/>
    </row>
    <row r="220" spans="3:5" x14ac:dyDescent="0.3">
      <c r="C220" s="6"/>
      <c r="D220" s="6"/>
      <c r="E220" s="36"/>
    </row>
    <row r="221" spans="3:5" x14ac:dyDescent="0.3">
      <c r="C221" s="6"/>
      <c r="D221" s="6"/>
      <c r="E221" s="36"/>
    </row>
    <row r="222" spans="3:5" x14ac:dyDescent="0.3">
      <c r="C222" s="6"/>
      <c r="D222" s="6"/>
      <c r="E222" s="36"/>
    </row>
    <row r="223" spans="3:5" x14ac:dyDescent="0.3">
      <c r="C223" s="6"/>
      <c r="D223" s="6"/>
      <c r="E223" s="36"/>
    </row>
    <row r="224" spans="3:5" x14ac:dyDescent="0.3">
      <c r="C224" s="6"/>
      <c r="D224" s="6"/>
      <c r="E224" s="36"/>
    </row>
    <row r="225" spans="3:5" x14ac:dyDescent="0.3">
      <c r="C225" s="6"/>
      <c r="D225" s="6"/>
      <c r="E225" s="36"/>
    </row>
    <row r="226" spans="3:5" x14ac:dyDescent="0.3">
      <c r="C226" s="6"/>
      <c r="D226" s="6"/>
      <c r="E226" s="36"/>
    </row>
    <row r="227" spans="3:5" x14ac:dyDescent="0.3">
      <c r="C227" s="6"/>
      <c r="D227" s="6"/>
      <c r="E227" s="36"/>
    </row>
    <row r="228" spans="3:5" x14ac:dyDescent="0.3">
      <c r="C228" s="6"/>
      <c r="D228" s="6"/>
      <c r="E228" s="36"/>
    </row>
    <row r="229" spans="3:5" x14ac:dyDescent="0.3">
      <c r="C229" s="6"/>
      <c r="D229" s="6"/>
      <c r="E229" s="36"/>
    </row>
    <row r="230" spans="3:5" x14ac:dyDescent="0.3">
      <c r="C230" s="6"/>
      <c r="D230" s="6"/>
      <c r="E230" s="36"/>
    </row>
    <row r="231" spans="3:5" x14ac:dyDescent="0.3">
      <c r="C231" s="6"/>
      <c r="D231" s="6"/>
      <c r="E231" s="36"/>
    </row>
    <row r="232" spans="3:5" x14ac:dyDescent="0.3">
      <c r="C232" s="6"/>
      <c r="D232" s="6"/>
      <c r="E232" s="36"/>
    </row>
    <row r="233" spans="3:5" x14ac:dyDescent="0.3">
      <c r="C233" s="6"/>
      <c r="D233" s="6"/>
      <c r="E233" s="36"/>
    </row>
    <row r="234" spans="3:5" x14ac:dyDescent="0.3">
      <c r="C234" s="6"/>
      <c r="D234" s="6"/>
      <c r="E234" s="36"/>
    </row>
    <row r="235" spans="3:5" x14ac:dyDescent="0.3">
      <c r="C235" s="6"/>
      <c r="D235" s="6"/>
      <c r="E235" s="36"/>
    </row>
    <row r="236" spans="3:5" x14ac:dyDescent="0.3">
      <c r="C236" s="6"/>
      <c r="D236" s="6"/>
      <c r="E236" s="36"/>
    </row>
    <row r="237" spans="3:5" x14ac:dyDescent="0.3">
      <c r="C237" s="6"/>
      <c r="D237" s="6"/>
      <c r="E237" s="36"/>
    </row>
    <row r="238" spans="3:5" x14ac:dyDescent="0.3">
      <c r="C238" s="6"/>
      <c r="D238" s="6"/>
      <c r="E238" s="36"/>
    </row>
    <row r="239" spans="3:5" x14ac:dyDescent="0.3">
      <c r="C239" s="6"/>
      <c r="D239" s="6"/>
      <c r="E239" s="36"/>
    </row>
    <row r="240" spans="3:5" x14ac:dyDescent="0.3">
      <c r="C240" s="6"/>
      <c r="D240" s="6"/>
      <c r="E240" s="36"/>
    </row>
    <row r="241" spans="3:5" x14ac:dyDescent="0.3">
      <c r="C241" s="6"/>
      <c r="D241" s="6"/>
      <c r="E241" s="36"/>
    </row>
    <row r="242" spans="3:5" x14ac:dyDescent="0.3">
      <c r="C242" s="6"/>
      <c r="D242" s="6"/>
      <c r="E242" s="36"/>
    </row>
    <row r="243" spans="3:5" x14ac:dyDescent="0.3">
      <c r="C243" s="6"/>
      <c r="D243" s="6"/>
      <c r="E243" s="36"/>
    </row>
    <row r="244" spans="3:5" x14ac:dyDescent="0.3">
      <c r="C244" s="6"/>
      <c r="D244" s="6"/>
      <c r="E244" s="36"/>
    </row>
    <row r="245" spans="3:5" x14ac:dyDescent="0.3">
      <c r="C245" s="6"/>
      <c r="D245" s="6"/>
      <c r="E245" s="36"/>
    </row>
    <row r="246" spans="3:5" x14ac:dyDescent="0.3">
      <c r="C246" s="6"/>
      <c r="D246" s="6"/>
      <c r="E246" s="36"/>
    </row>
    <row r="247" spans="3:5" x14ac:dyDescent="0.3">
      <c r="C247" s="6"/>
      <c r="D247" s="6"/>
      <c r="E247" s="36"/>
    </row>
    <row r="248" spans="3:5" x14ac:dyDescent="0.3">
      <c r="C248" s="6"/>
      <c r="D248" s="6"/>
      <c r="E248" s="36"/>
    </row>
    <row r="249" spans="3:5" x14ac:dyDescent="0.3">
      <c r="C249" s="6"/>
      <c r="D249" s="6"/>
      <c r="E249" s="36"/>
    </row>
    <row r="250" spans="3:5" x14ac:dyDescent="0.3">
      <c r="C250" s="6"/>
      <c r="D250" s="6"/>
      <c r="E250" s="36"/>
    </row>
    <row r="251" spans="3:5" x14ac:dyDescent="0.3">
      <c r="C251" s="6"/>
      <c r="D251" s="6"/>
      <c r="E251" s="36"/>
    </row>
    <row r="252" spans="3:5" x14ac:dyDescent="0.3">
      <c r="C252" s="6"/>
      <c r="D252" s="6"/>
      <c r="E252" s="36"/>
    </row>
    <row r="253" spans="3:5" x14ac:dyDescent="0.3">
      <c r="C253" s="6"/>
      <c r="D253" s="6"/>
      <c r="E253" s="36"/>
    </row>
    <row r="254" spans="3:5" x14ac:dyDescent="0.3">
      <c r="C254" s="6"/>
      <c r="D254" s="6"/>
      <c r="E254" s="36"/>
    </row>
    <row r="255" spans="3:5" x14ac:dyDescent="0.3">
      <c r="C255" s="6"/>
      <c r="D255" s="6"/>
      <c r="E255" s="36"/>
    </row>
    <row r="256" spans="3:5" x14ac:dyDescent="0.3">
      <c r="E256" s="36"/>
    </row>
    <row r="257" spans="5:5" x14ac:dyDescent="0.3">
      <c r="E257" s="36"/>
    </row>
    <row r="258" spans="5:5" x14ac:dyDescent="0.3">
      <c r="E258" s="36"/>
    </row>
    <row r="259" spans="5:5" x14ac:dyDescent="0.3">
      <c r="E259" s="36"/>
    </row>
    <row r="260" spans="5:5" x14ac:dyDescent="0.3">
      <c r="E260" s="36"/>
    </row>
    <row r="261" spans="5:5" x14ac:dyDescent="0.3">
      <c r="E261" s="36"/>
    </row>
    <row r="262" spans="5:5" x14ac:dyDescent="0.3">
      <c r="E262" s="36"/>
    </row>
    <row r="263" spans="5:5" x14ac:dyDescent="0.3">
      <c r="E263" s="36"/>
    </row>
    <row r="264" spans="5:5" x14ac:dyDescent="0.3">
      <c r="E264" s="36"/>
    </row>
    <row r="265" spans="5:5" x14ac:dyDescent="0.3">
      <c r="E265" s="36"/>
    </row>
    <row r="266" spans="5:5" x14ac:dyDescent="0.3">
      <c r="E266" s="36"/>
    </row>
    <row r="267" spans="5:5" x14ac:dyDescent="0.3">
      <c r="E267" s="36"/>
    </row>
    <row r="268" spans="5:5" x14ac:dyDescent="0.3">
      <c r="E268" s="36"/>
    </row>
    <row r="269" spans="5:5" x14ac:dyDescent="0.3">
      <c r="E269" s="36"/>
    </row>
    <row r="270" spans="5:5" x14ac:dyDescent="0.3">
      <c r="E270" s="36"/>
    </row>
    <row r="271" spans="5:5" x14ac:dyDescent="0.3">
      <c r="E271" s="36"/>
    </row>
    <row r="272" spans="5:5" x14ac:dyDescent="0.3">
      <c r="E272" s="36"/>
    </row>
    <row r="273" spans="5:5" x14ac:dyDescent="0.3">
      <c r="E273" s="36"/>
    </row>
    <row r="274" spans="5:5" x14ac:dyDescent="0.3">
      <c r="E274" s="36"/>
    </row>
    <row r="275" spans="5:5" x14ac:dyDescent="0.3">
      <c r="E275" s="36"/>
    </row>
    <row r="276" spans="5:5" x14ac:dyDescent="0.3">
      <c r="E276" s="36"/>
    </row>
    <row r="277" spans="5:5" x14ac:dyDescent="0.3">
      <c r="E277" s="36"/>
    </row>
    <row r="278" spans="5:5" x14ac:dyDescent="0.3">
      <c r="E278" s="36"/>
    </row>
    <row r="279" spans="5:5" x14ac:dyDescent="0.3">
      <c r="E279" s="36"/>
    </row>
    <row r="280" spans="5:5" x14ac:dyDescent="0.3">
      <c r="E280" s="36"/>
    </row>
    <row r="281" spans="5:5" x14ac:dyDescent="0.3">
      <c r="E281" s="36"/>
    </row>
    <row r="282" spans="5:5" x14ac:dyDescent="0.3">
      <c r="E282" s="36"/>
    </row>
    <row r="283" spans="5:5" x14ac:dyDescent="0.3">
      <c r="E283" s="36"/>
    </row>
    <row r="284" spans="5:5" x14ac:dyDescent="0.3">
      <c r="E284" s="36"/>
    </row>
    <row r="285" spans="5:5" x14ac:dyDescent="0.3">
      <c r="E285" s="36"/>
    </row>
    <row r="286" spans="5:5" x14ac:dyDescent="0.3">
      <c r="E286" s="36"/>
    </row>
    <row r="287" spans="5:5" x14ac:dyDescent="0.3">
      <c r="E287" s="36"/>
    </row>
    <row r="288" spans="5:5" x14ac:dyDescent="0.3">
      <c r="E288" s="36"/>
    </row>
    <row r="289" spans="5:5" x14ac:dyDescent="0.3">
      <c r="E289" s="36"/>
    </row>
    <row r="290" spans="5:5" x14ac:dyDescent="0.3">
      <c r="E290" s="36"/>
    </row>
    <row r="291" spans="5:5" x14ac:dyDescent="0.3">
      <c r="E291" s="36"/>
    </row>
    <row r="292" spans="5:5" x14ac:dyDescent="0.3">
      <c r="E292" s="36"/>
    </row>
    <row r="293" spans="5:5" x14ac:dyDescent="0.3">
      <c r="E293" s="36"/>
    </row>
    <row r="294" spans="5:5" x14ac:dyDescent="0.3">
      <c r="E294" s="36"/>
    </row>
    <row r="295" spans="5:5" x14ac:dyDescent="0.3">
      <c r="E295" s="36"/>
    </row>
    <row r="296" spans="5:5" x14ac:dyDescent="0.3">
      <c r="E296" s="36"/>
    </row>
    <row r="297" spans="5:5" x14ac:dyDescent="0.3">
      <c r="E297" s="36"/>
    </row>
    <row r="298" spans="5:5" x14ac:dyDescent="0.3">
      <c r="E298" s="36"/>
    </row>
    <row r="299" spans="5:5" x14ac:dyDescent="0.3">
      <c r="E299" s="36"/>
    </row>
    <row r="300" spans="5:5" x14ac:dyDescent="0.3">
      <c r="E300" s="36"/>
    </row>
    <row r="301" spans="5:5" x14ac:dyDescent="0.3">
      <c r="E301" s="36"/>
    </row>
    <row r="302" spans="5:5" x14ac:dyDescent="0.3">
      <c r="E302" s="36"/>
    </row>
    <row r="303" spans="5:5" x14ac:dyDescent="0.3">
      <c r="E303" s="36"/>
    </row>
    <row r="304" spans="5:5" x14ac:dyDescent="0.3">
      <c r="E304" s="36"/>
    </row>
    <row r="305" spans="1:79" x14ac:dyDescent="0.3">
      <c r="E305" s="36"/>
    </row>
    <row r="306" spans="1:79" s="108" customFormat="1" x14ac:dyDescent="0.3">
      <c r="A306" s="89"/>
      <c r="B306" s="4"/>
      <c r="C306" s="4"/>
      <c r="D306" s="4"/>
      <c r="E306" s="36"/>
      <c r="J306"/>
      <c r="K306" s="4"/>
      <c r="L306" s="4"/>
      <c r="M306" s="4"/>
      <c r="N306" s="4"/>
      <c r="O306" s="4"/>
      <c r="P306" s="4"/>
      <c r="BU306" s="213"/>
      <c r="CA306" s="241"/>
    </row>
    <row r="307" spans="1:79" s="108" customFormat="1" x14ac:dyDescent="0.3">
      <c r="A307" s="89"/>
      <c r="B307" s="4"/>
      <c r="C307" s="4"/>
      <c r="D307" s="4"/>
      <c r="E307" s="36"/>
      <c r="J307"/>
      <c r="K307" s="4"/>
      <c r="L307" s="4"/>
      <c r="M307" s="4"/>
      <c r="N307" s="4"/>
      <c r="O307" s="4"/>
      <c r="P307" s="4"/>
      <c r="BU307" s="213"/>
      <c r="CA307" s="241"/>
    </row>
    <row r="308" spans="1:79" s="108" customFormat="1" x14ac:dyDescent="0.3">
      <c r="A308" s="89"/>
      <c r="B308" s="4"/>
      <c r="C308" s="4"/>
      <c r="D308" s="4"/>
      <c r="E308" s="36"/>
      <c r="J308"/>
      <c r="K308" s="4"/>
      <c r="L308" s="4"/>
      <c r="M308" s="4"/>
      <c r="N308" s="4"/>
      <c r="O308" s="4"/>
      <c r="P308" s="4"/>
      <c r="BU308" s="213"/>
      <c r="CA308" s="241"/>
    </row>
    <row r="309" spans="1:79" s="108" customFormat="1" x14ac:dyDescent="0.3">
      <c r="A309" s="89"/>
      <c r="B309" s="4"/>
      <c r="C309" s="4"/>
      <c r="D309" s="4"/>
      <c r="E309" s="36"/>
      <c r="J309"/>
      <c r="K309" s="4"/>
      <c r="L309" s="4"/>
      <c r="M309" s="4"/>
      <c r="N309" s="4"/>
      <c r="O309" s="4"/>
      <c r="P309" s="4"/>
      <c r="BU309" s="213"/>
      <c r="CA309" s="241"/>
    </row>
    <row r="310" spans="1:79" s="108" customFormat="1" x14ac:dyDescent="0.3">
      <c r="A310" s="89"/>
      <c r="B310" s="4"/>
      <c r="C310" s="4"/>
      <c r="D310" s="4"/>
      <c r="E310" s="36"/>
      <c r="J310"/>
      <c r="K310" s="4"/>
      <c r="L310" s="4"/>
      <c r="M310" s="4"/>
      <c r="N310" s="4"/>
      <c r="O310" s="4"/>
      <c r="P310" s="4"/>
      <c r="BU310" s="213"/>
      <c r="CA310" s="241"/>
    </row>
    <row r="311" spans="1:79" s="108" customFormat="1" x14ac:dyDescent="0.3">
      <c r="A311" s="89"/>
      <c r="B311" s="4"/>
      <c r="C311" s="4"/>
      <c r="D311" s="4"/>
      <c r="E311" s="36"/>
      <c r="J311"/>
      <c r="K311" s="4"/>
      <c r="L311" s="4"/>
      <c r="M311" s="4"/>
      <c r="N311" s="4"/>
      <c r="O311" s="4"/>
      <c r="P311" s="4"/>
      <c r="BU311" s="213"/>
      <c r="CA311" s="241"/>
    </row>
    <row r="312" spans="1:79" s="108" customFormat="1" x14ac:dyDescent="0.3">
      <c r="A312" s="89"/>
      <c r="B312" s="4"/>
      <c r="C312" s="4"/>
      <c r="D312" s="4"/>
      <c r="E312" s="36"/>
      <c r="J312"/>
      <c r="K312" s="4"/>
      <c r="L312" s="4"/>
      <c r="M312" s="4"/>
      <c r="N312" s="4"/>
      <c r="O312" s="4"/>
      <c r="P312" s="4"/>
      <c r="BU312" s="213"/>
      <c r="CA312" s="241"/>
    </row>
    <row r="313" spans="1:79" s="108" customFormat="1" x14ac:dyDescent="0.3">
      <c r="A313" s="89"/>
      <c r="B313" s="4"/>
      <c r="C313" s="4"/>
      <c r="D313" s="4"/>
      <c r="E313" s="36"/>
      <c r="J313"/>
      <c r="K313" s="4"/>
      <c r="L313" s="4"/>
      <c r="M313" s="4"/>
      <c r="N313" s="4"/>
      <c r="O313" s="4"/>
      <c r="P313" s="4"/>
      <c r="BU313" s="213"/>
      <c r="CA313" s="241"/>
    </row>
    <row r="314" spans="1:79" s="108" customFormat="1" x14ac:dyDescent="0.3">
      <c r="A314" s="89"/>
      <c r="B314" s="4"/>
      <c r="C314" s="4"/>
      <c r="D314" s="4"/>
      <c r="E314" s="36"/>
      <c r="J314"/>
      <c r="K314" s="4"/>
      <c r="L314" s="4"/>
      <c r="M314" s="4"/>
      <c r="N314" s="4"/>
      <c r="O314" s="4"/>
      <c r="P314" s="4"/>
      <c r="BU314" s="213"/>
      <c r="CA314" s="241"/>
    </row>
    <row r="315" spans="1:79" s="108" customFormat="1" x14ac:dyDescent="0.3">
      <c r="A315" s="89"/>
      <c r="B315" s="4"/>
      <c r="C315" s="4"/>
      <c r="D315" s="4"/>
      <c r="E315" s="36"/>
      <c r="J315"/>
      <c r="K315" s="4"/>
      <c r="L315" s="4"/>
      <c r="M315" s="4"/>
      <c r="N315" s="4"/>
      <c r="O315" s="4"/>
      <c r="P315" s="4"/>
      <c r="BU315" s="213"/>
      <c r="CA315" s="241"/>
    </row>
    <row r="316" spans="1:79" s="108" customFormat="1" x14ac:dyDescent="0.3">
      <c r="A316" s="89"/>
      <c r="B316" s="4"/>
      <c r="C316" s="4"/>
      <c r="D316" s="4"/>
      <c r="E316" s="36"/>
      <c r="J316"/>
      <c r="K316" s="4"/>
      <c r="L316" s="4"/>
      <c r="M316" s="4"/>
      <c r="N316" s="4"/>
      <c r="O316" s="4"/>
      <c r="P316" s="4"/>
      <c r="BU316" s="213"/>
      <c r="CA316" s="241"/>
    </row>
    <row r="317" spans="1:79" s="108" customFormat="1" x14ac:dyDescent="0.3">
      <c r="A317" s="89"/>
      <c r="B317" s="4"/>
      <c r="C317" s="4"/>
      <c r="D317" s="4"/>
      <c r="E317" s="36"/>
      <c r="J317"/>
      <c r="K317" s="4"/>
      <c r="L317" s="4"/>
      <c r="M317" s="4"/>
      <c r="N317" s="4"/>
      <c r="O317" s="4"/>
      <c r="P317" s="4"/>
      <c r="BU317" s="213"/>
      <c r="CA317" s="241"/>
    </row>
    <row r="318" spans="1:79" s="108" customFormat="1" x14ac:dyDescent="0.3">
      <c r="A318" s="89"/>
      <c r="B318" s="4"/>
      <c r="C318" s="4"/>
      <c r="D318" s="4"/>
      <c r="E318" s="36"/>
      <c r="J318"/>
      <c r="K318" s="4"/>
      <c r="L318" s="4"/>
      <c r="M318" s="4"/>
      <c r="N318" s="4"/>
      <c r="O318" s="4"/>
      <c r="P318" s="4"/>
      <c r="BU318" s="213"/>
      <c r="CA318" s="241"/>
    </row>
    <row r="319" spans="1:79" s="108" customFormat="1" x14ac:dyDescent="0.3">
      <c r="A319" s="89"/>
      <c r="B319" s="4"/>
      <c r="C319" s="4"/>
      <c r="D319" s="4"/>
      <c r="E319" s="36"/>
      <c r="J319"/>
      <c r="K319" s="4"/>
      <c r="L319" s="4"/>
      <c r="M319" s="4"/>
      <c r="N319" s="4"/>
      <c r="O319" s="4"/>
      <c r="P319" s="4"/>
      <c r="BU319" s="213"/>
      <c r="CA319" s="241"/>
    </row>
    <row r="320" spans="1:79" s="108" customFormat="1" x14ac:dyDescent="0.3">
      <c r="A320" s="89"/>
      <c r="B320" s="4"/>
      <c r="C320" s="4"/>
      <c r="D320" s="4"/>
      <c r="E320" s="36"/>
      <c r="J320"/>
      <c r="K320" s="4"/>
      <c r="L320" s="4"/>
      <c r="M320" s="4"/>
      <c r="N320" s="4"/>
      <c r="O320" s="4"/>
      <c r="P320" s="4"/>
      <c r="BU320" s="213"/>
      <c r="CA320" s="241"/>
    </row>
    <row r="321" spans="1:79" s="108" customFormat="1" x14ac:dyDescent="0.3">
      <c r="A321" s="89"/>
      <c r="B321" s="4"/>
      <c r="C321" s="4"/>
      <c r="D321" s="4"/>
      <c r="E321" s="36"/>
      <c r="J321"/>
      <c r="K321" s="4"/>
      <c r="L321" s="4"/>
      <c r="M321" s="4"/>
      <c r="N321" s="4"/>
      <c r="O321" s="4"/>
      <c r="P321" s="4"/>
      <c r="BU321" s="213"/>
      <c r="CA321" s="241"/>
    </row>
    <row r="322" spans="1:79" s="108" customFormat="1" x14ac:dyDescent="0.3">
      <c r="A322" s="89"/>
      <c r="B322" s="4"/>
      <c r="C322" s="4"/>
      <c r="D322" s="4"/>
      <c r="E322" s="36"/>
      <c r="J322"/>
      <c r="K322" s="4"/>
      <c r="L322" s="4"/>
      <c r="M322" s="4"/>
      <c r="N322" s="4"/>
      <c r="O322" s="4"/>
      <c r="P322" s="4"/>
      <c r="BU322" s="213"/>
      <c r="CA322" s="241"/>
    </row>
    <row r="323" spans="1:79" s="108" customFormat="1" x14ac:dyDescent="0.3">
      <c r="A323" s="89"/>
      <c r="B323" s="4"/>
      <c r="C323" s="4"/>
      <c r="D323" s="4"/>
      <c r="E323" s="36"/>
      <c r="J323"/>
      <c r="K323" s="4"/>
      <c r="L323" s="4"/>
      <c r="M323" s="4"/>
      <c r="N323" s="4"/>
      <c r="O323" s="4"/>
      <c r="P323" s="4"/>
      <c r="BU323" s="213"/>
      <c r="CA323" s="241"/>
    </row>
    <row r="324" spans="1:79" s="108" customFormat="1" x14ac:dyDescent="0.3">
      <c r="A324" s="89"/>
      <c r="B324" s="4"/>
      <c r="C324" s="4"/>
      <c r="D324" s="4"/>
      <c r="E324" s="36"/>
      <c r="J324"/>
      <c r="K324" s="4"/>
      <c r="L324" s="4"/>
      <c r="M324" s="4"/>
      <c r="N324" s="4"/>
      <c r="O324" s="4"/>
      <c r="P324" s="4"/>
      <c r="BU324" s="213"/>
      <c r="CA324" s="241"/>
    </row>
    <row r="325" spans="1:79" s="108" customFormat="1" x14ac:dyDescent="0.3">
      <c r="A325" s="89"/>
      <c r="B325" s="4"/>
      <c r="C325" s="4"/>
      <c r="D325" s="4"/>
      <c r="E325" s="36"/>
      <c r="J325"/>
      <c r="K325" s="4"/>
      <c r="L325" s="4"/>
      <c r="M325" s="4"/>
      <c r="N325" s="4"/>
      <c r="O325" s="4"/>
      <c r="P325" s="4"/>
      <c r="BU325" s="213"/>
      <c r="CA325" s="241"/>
    </row>
    <row r="326" spans="1:79" s="108" customFormat="1" x14ac:dyDescent="0.3">
      <c r="A326" s="89"/>
      <c r="B326" s="4"/>
      <c r="C326" s="4"/>
      <c r="D326" s="4"/>
      <c r="E326" s="36"/>
      <c r="J326"/>
      <c r="K326" s="4"/>
      <c r="L326" s="4"/>
      <c r="M326" s="4"/>
      <c r="N326" s="4"/>
      <c r="O326" s="4"/>
      <c r="P326" s="4"/>
      <c r="BU326" s="213"/>
      <c r="CA326" s="241"/>
    </row>
    <row r="327" spans="1:79" s="108" customFormat="1" x14ac:dyDescent="0.3">
      <c r="A327" s="89"/>
      <c r="B327" s="4"/>
      <c r="C327" s="4"/>
      <c r="D327" s="4"/>
      <c r="E327" s="36"/>
      <c r="J327"/>
      <c r="K327" s="4"/>
      <c r="L327" s="4"/>
      <c r="M327" s="4"/>
      <c r="N327" s="4"/>
      <c r="O327" s="4"/>
      <c r="P327" s="4"/>
      <c r="BU327" s="213"/>
      <c r="CA327" s="241"/>
    </row>
    <row r="328" spans="1:79" s="108" customFormat="1" x14ac:dyDescent="0.3">
      <c r="A328" s="89"/>
      <c r="B328" s="4"/>
      <c r="C328" s="4"/>
      <c r="D328" s="4"/>
      <c r="E328" s="36"/>
      <c r="J328"/>
      <c r="K328" s="4"/>
      <c r="L328" s="4"/>
      <c r="M328" s="4"/>
      <c r="N328" s="4"/>
      <c r="O328" s="4"/>
      <c r="P328" s="4"/>
      <c r="BU328" s="213"/>
      <c r="CA328" s="241"/>
    </row>
    <row r="329" spans="1:79" s="108" customFormat="1" x14ac:dyDescent="0.3">
      <c r="A329" s="89"/>
      <c r="B329" s="4"/>
      <c r="C329" s="4"/>
      <c r="D329" s="4"/>
      <c r="E329" s="36"/>
      <c r="J329"/>
      <c r="K329" s="4"/>
      <c r="L329" s="4"/>
      <c r="M329" s="4"/>
      <c r="N329" s="4"/>
      <c r="O329" s="4"/>
      <c r="P329" s="4"/>
      <c r="BU329" s="213"/>
      <c r="CA329" s="241"/>
    </row>
    <row r="330" spans="1:79" s="108" customFormat="1" x14ac:dyDescent="0.3">
      <c r="A330" s="89"/>
      <c r="B330" s="4"/>
      <c r="C330" s="4"/>
      <c r="D330" s="4"/>
      <c r="E330" s="36"/>
      <c r="J330"/>
      <c r="K330" s="4"/>
      <c r="L330" s="4"/>
      <c r="M330" s="4"/>
      <c r="N330" s="4"/>
      <c r="O330" s="4"/>
      <c r="P330" s="4"/>
      <c r="BU330" s="213"/>
      <c r="CA330" s="241"/>
    </row>
    <row r="331" spans="1:79" s="108" customFormat="1" x14ac:dyDescent="0.3">
      <c r="A331" s="89"/>
      <c r="B331" s="4"/>
      <c r="C331" s="4"/>
      <c r="D331" s="4"/>
      <c r="E331" s="36"/>
      <c r="J331"/>
      <c r="K331" s="4"/>
      <c r="L331" s="4"/>
      <c r="M331" s="4"/>
      <c r="N331" s="4"/>
      <c r="O331" s="4"/>
      <c r="P331" s="4"/>
      <c r="BU331" s="213"/>
      <c r="CA331" s="241"/>
    </row>
    <row r="332" spans="1:79" s="108" customFormat="1" x14ac:dyDescent="0.3">
      <c r="A332" s="89"/>
      <c r="B332" s="4"/>
      <c r="C332" s="4"/>
      <c r="D332" s="4"/>
      <c r="E332" s="36"/>
      <c r="J332"/>
      <c r="K332" s="4"/>
      <c r="L332" s="4"/>
      <c r="M332" s="4"/>
      <c r="N332" s="4"/>
      <c r="O332" s="4"/>
      <c r="P332" s="4"/>
      <c r="BU332" s="213"/>
      <c r="CA332" s="241"/>
    </row>
    <row r="333" spans="1:79" s="108" customFormat="1" x14ac:dyDescent="0.3">
      <c r="A333" s="89"/>
      <c r="B333" s="4"/>
      <c r="C333" s="4"/>
      <c r="D333" s="4"/>
      <c r="E333" s="36"/>
      <c r="J333"/>
      <c r="K333" s="4"/>
      <c r="L333" s="4"/>
      <c r="M333" s="4"/>
      <c r="N333" s="4"/>
      <c r="O333" s="4"/>
      <c r="P333" s="4"/>
      <c r="BU333" s="213"/>
      <c r="CA333" s="241"/>
    </row>
    <row r="334" spans="1:79" s="108" customFormat="1" x14ac:dyDescent="0.3">
      <c r="A334" s="89"/>
      <c r="B334" s="4"/>
      <c r="C334" s="4"/>
      <c r="D334" s="4"/>
      <c r="E334" s="36"/>
      <c r="J334"/>
      <c r="K334" s="4"/>
      <c r="L334" s="4"/>
      <c r="M334" s="4"/>
      <c r="N334" s="4"/>
      <c r="O334" s="4"/>
      <c r="P334" s="4"/>
      <c r="BU334" s="213"/>
      <c r="CA334" s="241"/>
    </row>
    <row r="335" spans="1:79" s="108" customFormat="1" x14ac:dyDescent="0.3">
      <c r="A335" s="89"/>
      <c r="B335" s="4"/>
      <c r="C335" s="4"/>
      <c r="D335" s="4"/>
      <c r="E335" s="36"/>
      <c r="J335"/>
      <c r="K335" s="4"/>
      <c r="L335" s="4"/>
      <c r="M335" s="4"/>
      <c r="N335" s="4"/>
      <c r="O335" s="4"/>
      <c r="P335" s="4"/>
      <c r="BU335" s="213"/>
      <c r="CA335" s="241"/>
    </row>
    <row r="336" spans="1:79" s="108" customFormat="1" x14ac:dyDescent="0.3">
      <c r="A336" s="89"/>
      <c r="B336" s="4"/>
      <c r="C336" s="4"/>
      <c r="D336" s="4"/>
      <c r="E336" s="36"/>
      <c r="J336"/>
      <c r="K336" s="4"/>
      <c r="L336" s="4"/>
      <c r="M336" s="4"/>
      <c r="N336" s="4"/>
      <c r="O336" s="4"/>
      <c r="P336" s="4"/>
      <c r="BU336" s="213"/>
      <c r="CA336" s="241"/>
    </row>
    <row r="337" spans="1:79" s="108" customFormat="1" x14ac:dyDescent="0.3">
      <c r="A337" s="89"/>
      <c r="B337" s="4"/>
      <c r="C337" s="4"/>
      <c r="D337" s="4"/>
      <c r="E337" s="36"/>
      <c r="J337"/>
      <c r="K337" s="4"/>
      <c r="L337" s="4"/>
      <c r="M337" s="4"/>
      <c r="N337" s="4"/>
      <c r="O337" s="4"/>
      <c r="P337" s="4"/>
      <c r="BU337" s="213"/>
      <c r="CA337" s="241"/>
    </row>
    <row r="338" spans="1:79" s="108" customFormat="1" x14ac:dyDescent="0.3">
      <c r="A338" s="89"/>
      <c r="B338" s="4"/>
      <c r="C338" s="4"/>
      <c r="D338" s="4"/>
      <c r="E338" s="36"/>
      <c r="J338"/>
      <c r="K338" s="4"/>
      <c r="L338" s="4"/>
      <c r="M338" s="4"/>
      <c r="N338" s="4"/>
      <c r="O338" s="4"/>
      <c r="P338" s="4"/>
      <c r="BU338" s="213"/>
      <c r="CA338" s="241"/>
    </row>
    <row r="339" spans="1:79" s="108" customFormat="1" x14ac:dyDescent="0.3">
      <c r="A339" s="89"/>
      <c r="B339" s="4"/>
      <c r="C339" s="4"/>
      <c r="D339" s="4"/>
      <c r="E339" s="36"/>
      <c r="J339"/>
      <c r="K339" s="4"/>
      <c r="L339" s="4"/>
      <c r="M339" s="4"/>
      <c r="N339" s="4"/>
      <c r="O339" s="4"/>
      <c r="P339" s="4"/>
      <c r="BU339" s="213"/>
      <c r="CA339" s="241"/>
    </row>
    <row r="340" spans="1:79" s="108" customFormat="1" x14ac:dyDescent="0.3">
      <c r="A340" s="89"/>
      <c r="B340" s="4"/>
      <c r="C340" s="4"/>
      <c r="D340" s="4"/>
      <c r="E340" s="36"/>
      <c r="J340"/>
      <c r="K340" s="4"/>
      <c r="L340" s="4"/>
      <c r="M340" s="4"/>
      <c r="N340" s="4"/>
      <c r="O340" s="4"/>
      <c r="P340" s="4"/>
      <c r="BU340" s="213"/>
      <c r="CA340" s="241"/>
    </row>
    <row r="341" spans="1:79" s="108" customFormat="1" x14ac:dyDescent="0.3">
      <c r="A341" s="89"/>
      <c r="B341" s="4"/>
      <c r="C341" s="4"/>
      <c r="D341" s="4"/>
      <c r="E341" s="36"/>
      <c r="J341"/>
      <c r="K341" s="4"/>
      <c r="L341" s="4"/>
      <c r="M341" s="4"/>
      <c r="N341" s="4"/>
      <c r="O341" s="4"/>
      <c r="P341" s="4"/>
      <c r="BU341" s="213"/>
      <c r="CA341" s="241"/>
    </row>
    <row r="342" spans="1:79" s="108" customFormat="1" x14ac:dyDescent="0.3">
      <c r="A342" s="89"/>
      <c r="B342" s="4"/>
      <c r="C342" s="4"/>
      <c r="D342" s="4"/>
      <c r="E342" s="36"/>
      <c r="J342"/>
      <c r="K342" s="4"/>
      <c r="L342" s="4"/>
      <c r="M342" s="4"/>
      <c r="N342" s="4"/>
      <c r="O342" s="4"/>
      <c r="P342" s="4"/>
      <c r="BU342" s="213"/>
      <c r="CA342" s="241"/>
    </row>
    <row r="343" spans="1:79" s="108" customFormat="1" x14ac:dyDescent="0.3">
      <c r="A343" s="89"/>
      <c r="B343" s="4"/>
      <c r="C343" s="4"/>
      <c r="D343" s="4"/>
      <c r="E343" s="36"/>
      <c r="J343"/>
      <c r="K343" s="4"/>
      <c r="L343" s="4"/>
      <c r="M343" s="4"/>
      <c r="N343" s="4"/>
      <c r="O343" s="4"/>
      <c r="P343" s="4"/>
      <c r="BU343" s="213"/>
      <c r="CA343" s="241"/>
    </row>
    <row r="344" spans="1:79" s="108" customFormat="1" x14ac:dyDescent="0.3">
      <c r="A344" s="89"/>
      <c r="B344" s="4"/>
      <c r="C344" s="4"/>
      <c r="D344" s="4"/>
      <c r="E344" s="36"/>
      <c r="J344"/>
      <c r="K344" s="4"/>
      <c r="L344" s="4"/>
      <c r="M344" s="4"/>
      <c r="N344" s="4"/>
      <c r="O344" s="4"/>
      <c r="P344" s="4"/>
      <c r="BU344" s="213"/>
      <c r="CA344" s="241"/>
    </row>
    <row r="345" spans="1:79" s="108" customFormat="1" x14ac:dyDescent="0.3">
      <c r="A345" s="89"/>
      <c r="B345" s="4"/>
      <c r="C345" s="4"/>
      <c r="D345" s="4"/>
      <c r="E345" s="36"/>
      <c r="J345"/>
      <c r="K345" s="4"/>
      <c r="L345" s="4"/>
      <c r="M345" s="4"/>
      <c r="N345" s="4"/>
      <c r="O345" s="4"/>
      <c r="P345" s="4"/>
      <c r="BU345" s="213"/>
      <c r="CA345" s="241"/>
    </row>
    <row r="346" spans="1:79" s="108" customFormat="1" x14ac:dyDescent="0.3">
      <c r="A346" s="89"/>
      <c r="B346" s="4"/>
      <c r="C346" s="4"/>
      <c r="D346" s="4"/>
      <c r="E346" s="36"/>
      <c r="J346"/>
      <c r="K346" s="4"/>
      <c r="L346" s="4"/>
      <c r="M346" s="4"/>
      <c r="N346" s="4"/>
      <c r="O346" s="4"/>
      <c r="P346" s="4"/>
      <c r="BU346" s="213"/>
      <c r="CA346" s="241"/>
    </row>
    <row r="347" spans="1:79" s="108" customFormat="1" x14ac:dyDescent="0.3">
      <c r="A347" s="89"/>
      <c r="B347" s="4"/>
      <c r="C347" s="4"/>
      <c r="D347" s="4"/>
      <c r="E347" s="36"/>
      <c r="J347"/>
      <c r="K347" s="4"/>
      <c r="L347" s="4"/>
      <c r="M347" s="4"/>
      <c r="N347" s="4"/>
      <c r="O347" s="4"/>
      <c r="P347" s="4"/>
      <c r="BU347" s="213"/>
      <c r="CA347" s="241"/>
    </row>
    <row r="348" spans="1:79" s="108" customFormat="1" x14ac:dyDescent="0.3">
      <c r="A348" s="89"/>
      <c r="B348" s="4"/>
      <c r="C348" s="4"/>
      <c r="D348" s="4"/>
      <c r="E348" s="36"/>
      <c r="J348"/>
      <c r="K348" s="4"/>
      <c r="L348" s="4"/>
      <c r="M348" s="4"/>
      <c r="N348" s="4"/>
      <c r="O348" s="4"/>
      <c r="P348" s="4"/>
      <c r="BU348" s="213"/>
      <c r="CA348" s="241"/>
    </row>
    <row r="349" spans="1:79" s="108" customFormat="1" x14ac:dyDescent="0.3">
      <c r="A349" s="89"/>
      <c r="B349" s="4"/>
      <c r="C349" s="4"/>
      <c r="D349" s="4"/>
      <c r="E349" s="36"/>
      <c r="J349"/>
      <c r="K349" s="4"/>
      <c r="L349" s="4"/>
      <c r="M349" s="4"/>
      <c r="N349" s="4"/>
      <c r="O349" s="4"/>
      <c r="P349" s="4"/>
      <c r="BU349" s="213"/>
      <c r="CA349" s="241"/>
    </row>
    <row r="350" spans="1:79" s="108" customFormat="1" x14ac:dyDescent="0.3">
      <c r="A350" s="89"/>
      <c r="B350" s="4"/>
      <c r="C350" s="4"/>
      <c r="D350" s="4"/>
      <c r="E350" s="36"/>
      <c r="J350"/>
      <c r="K350" s="4"/>
      <c r="L350" s="4"/>
      <c r="M350" s="4"/>
      <c r="N350" s="4"/>
      <c r="O350" s="4"/>
      <c r="P350" s="4"/>
      <c r="BU350" s="213"/>
      <c r="CA350" s="241"/>
    </row>
    <row r="351" spans="1:79" s="108" customFormat="1" x14ac:dyDescent="0.3">
      <c r="A351" s="89"/>
      <c r="B351" s="4"/>
      <c r="C351" s="4"/>
      <c r="D351" s="4"/>
      <c r="E351" s="36"/>
      <c r="J351"/>
      <c r="K351" s="4"/>
      <c r="L351" s="4"/>
      <c r="M351" s="4"/>
      <c r="N351" s="4"/>
      <c r="O351" s="4"/>
      <c r="P351" s="4"/>
      <c r="BU351" s="213"/>
      <c r="CA351" s="241"/>
    </row>
    <row r="352" spans="1:79" s="108" customFormat="1" x14ac:dyDescent="0.3">
      <c r="A352" s="89"/>
      <c r="B352" s="4"/>
      <c r="C352" s="4"/>
      <c r="D352" s="4"/>
      <c r="E352" s="36"/>
      <c r="J352"/>
      <c r="K352" s="4"/>
      <c r="L352" s="4"/>
      <c r="M352" s="4"/>
      <c r="N352" s="4"/>
      <c r="O352" s="4"/>
      <c r="P352" s="4"/>
      <c r="BU352" s="213"/>
      <c r="CA352" s="241"/>
    </row>
    <row r="353" spans="1:79" s="108" customFormat="1" x14ac:dyDescent="0.3">
      <c r="A353" s="89"/>
      <c r="B353" s="4"/>
      <c r="C353" s="4"/>
      <c r="D353" s="4"/>
      <c r="E353" s="36"/>
      <c r="J353"/>
      <c r="K353" s="4"/>
      <c r="L353" s="4"/>
      <c r="M353" s="4"/>
      <c r="N353" s="4"/>
      <c r="O353" s="4"/>
      <c r="P353" s="4"/>
      <c r="BU353" s="213"/>
      <c r="CA353" s="241"/>
    </row>
    <row r="354" spans="1:79" s="108" customFormat="1" x14ac:dyDescent="0.3">
      <c r="A354" s="89"/>
      <c r="B354" s="4"/>
      <c r="C354" s="4"/>
      <c r="D354" s="4"/>
      <c r="E354" s="36"/>
      <c r="J354"/>
      <c r="K354" s="4"/>
      <c r="L354" s="4"/>
      <c r="M354" s="4"/>
      <c r="N354" s="4"/>
      <c r="O354" s="4"/>
      <c r="P354" s="4"/>
      <c r="BU354" s="213"/>
      <c r="CA354" s="241"/>
    </row>
    <row r="355" spans="1:79" s="108" customFormat="1" x14ac:dyDescent="0.3">
      <c r="A355" s="89"/>
      <c r="B355" s="4"/>
      <c r="C355" s="4"/>
      <c r="D355" s="4"/>
      <c r="E355" s="36"/>
      <c r="J355"/>
      <c r="K355" s="4"/>
      <c r="L355" s="4"/>
      <c r="M355" s="4"/>
      <c r="N355" s="4"/>
      <c r="O355" s="4"/>
      <c r="P355" s="4"/>
      <c r="BU355" s="213"/>
      <c r="CA355" s="241"/>
    </row>
    <row r="356" spans="1:79" s="108" customFormat="1" x14ac:dyDescent="0.3">
      <c r="A356" s="89"/>
      <c r="B356" s="4"/>
      <c r="C356" s="4"/>
      <c r="D356" s="4"/>
      <c r="E356" s="36"/>
      <c r="J356"/>
      <c r="K356" s="4"/>
      <c r="L356" s="4"/>
      <c r="M356" s="4"/>
      <c r="N356" s="4"/>
      <c r="O356" s="4"/>
      <c r="P356" s="4"/>
      <c r="BU356" s="213"/>
      <c r="CA356" s="241"/>
    </row>
    <row r="357" spans="1:79" s="108" customFormat="1" x14ac:dyDescent="0.3">
      <c r="A357" s="89"/>
      <c r="B357" s="4"/>
      <c r="C357" s="4"/>
      <c r="D357" s="4"/>
      <c r="E357" s="36"/>
      <c r="J357"/>
      <c r="K357" s="4"/>
      <c r="L357" s="4"/>
      <c r="M357" s="4"/>
      <c r="N357" s="4"/>
      <c r="O357" s="4"/>
      <c r="P357" s="4"/>
      <c r="BU357" s="213"/>
      <c r="CA357" s="241"/>
    </row>
    <row r="358" spans="1:79" s="108" customFormat="1" x14ac:dyDescent="0.3">
      <c r="A358" s="89"/>
      <c r="B358" s="4"/>
      <c r="C358" s="4"/>
      <c r="D358" s="4"/>
      <c r="E358" s="36"/>
      <c r="J358"/>
      <c r="K358" s="4"/>
      <c r="L358" s="4"/>
      <c r="M358" s="4"/>
      <c r="N358" s="4"/>
      <c r="O358" s="4"/>
      <c r="P358" s="4"/>
      <c r="BU358" s="213"/>
      <c r="CA358" s="241"/>
    </row>
    <row r="359" spans="1:79" s="108" customFormat="1" x14ac:dyDescent="0.3">
      <c r="A359" s="89"/>
      <c r="B359" s="4"/>
      <c r="C359" s="4"/>
      <c r="D359" s="4"/>
      <c r="E359" s="36"/>
      <c r="J359"/>
      <c r="K359" s="4"/>
      <c r="L359" s="4"/>
      <c r="M359" s="4"/>
      <c r="N359" s="4"/>
      <c r="O359" s="4"/>
      <c r="P359" s="4"/>
      <c r="BU359" s="213"/>
      <c r="CA359" s="241"/>
    </row>
    <row r="360" spans="1:79" s="108" customFormat="1" x14ac:dyDescent="0.3">
      <c r="A360" s="89"/>
      <c r="B360" s="4"/>
      <c r="C360" s="4"/>
      <c r="D360" s="4"/>
      <c r="E360" s="36"/>
      <c r="J360"/>
      <c r="K360" s="4"/>
      <c r="L360" s="4"/>
      <c r="M360" s="4"/>
      <c r="N360" s="4"/>
      <c r="O360" s="4"/>
      <c r="P360" s="4"/>
      <c r="BU360" s="213"/>
      <c r="CA360" s="241"/>
    </row>
    <row r="361" spans="1:79" s="108" customFormat="1" x14ac:dyDescent="0.3">
      <c r="A361" s="89"/>
      <c r="B361" s="4"/>
      <c r="C361" s="4"/>
      <c r="D361" s="4"/>
      <c r="E361" s="36"/>
      <c r="J361"/>
      <c r="K361" s="4"/>
      <c r="L361" s="4"/>
      <c r="M361" s="4"/>
      <c r="N361" s="4"/>
      <c r="O361" s="4"/>
      <c r="P361" s="4"/>
      <c r="BU361" s="213"/>
      <c r="CA361" s="241"/>
    </row>
    <row r="362" spans="1:79" s="108" customFormat="1" x14ac:dyDescent="0.3">
      <c r="A362" s="89"/>
      <c r="B362" s="4"/>
      <c r="C362" s="4"/>
      <c r="D362" s="4"/>
      <c r="E362" s="36"/>
      <c r="J362"/>
      <c r="K362" s="4"/>
      <c r="L362" s="4"/>
      <c r="M362" s="4"/>
      <c r="N362" s="4"/>
      <c r="O362" s="4"/>
      <c r="P362" s="4"/>
      <c r="BU362" s="213"/>
      <c r="CA362" s="241"/>
    </row>
    <row r="363" spans="1:79" s="108" customFormat="1" x14ac:dyDescent="0.3">
      <c r="A363" s="89"/>
      <c r="B363" s="4"/>
      <c r="C363" s="4"/>
      <c r="D363" s="4"/>
      <c r="E363" s="36"/>
      <c r="J363"/>
      <c r="K363" s="4"/>
      <c r="L363" s="4"/>
      <c r="M363" s="4"/>
      <c r="N363" s="4"/>
      <c r="O363" s="4"/>
      <c r="P363" s="4"/>
      <c r="BU363" s="213"/>
      <c r="CA363" s="241"/>
    </row>
    <row r="364" spans="1:79" s="108" customFormat="1" x14ac:dyDescent="0.3">
      <c r="A364" s="89"/>
      <c r="B364" s="4"/>
      <c r="C364" s="4"/>
      <c r="D364" s="4"/>
      <c r="E364" s="36"/>
      <c r="J364"/>
      <c r="K364" s="4"/>
      <c r="L364" s="4"/>
      <c r="M364" s="4"/>
      <c r="N364" s="4"/>
      <c r="O364" s="4"/>
      <c r="P364" s="4"/>
      <c r="BU364" s="213"/>
      <c r="CA364" s="241"/>
    </row>
    <row r="365" spans="1:79" s="108" customFormat="1" x14ac:dyDescent="0.3">
      <c r="A365" s="89"/>
      <c r="B365" s="4"/>
      <c r="C365" s="4"/>
      <c r="D365" s="4"/>
      <c r="E365" s="36"/>
      <c r="J365"/>
      <c r="K365" s="4"/>
      <c r="L365" s="4"/>
      <c r="M365" s="4"/>
      <c r="N365" s="4"/>
      <c r="O365" s="4"/>
      <c r="P365" s="4"/>
      <c r="BU365" s="213"/>
      <c r="CA365" s="241"/>
    </row>
    <row r="366" spans="1:79" s="108" customFormat="1" x14ac:dyDescent="0.3">
      <c r="A366" s="89"/>
      <c r="B366" s="4"/>
      <c r="C366" s="4"/>
      <c r="D366" s="4"/>
      <c r="E366" s="36"/>
      <c r="J366"/>
      <c r="K366" s="4"/>
      <c r="L366" s="4"/>
      <c r="M366" s="4"/>
      <c r="N366" s="4"/>
      <c r="O366" s="4"/>
      <c r="P366" s="4"/>
      <c r="BU366" s="213"/>
      <c r="CA366" s="241"/>
    </row>
    <row r="367" spans="1:79" s="108" customFormat="1" x14ac:dyDescent="0.3">
      <c r="A367" s="89"/>
      <c r="B367" s="4"/>
      <c r="C367" s="4"/>
      <c r="D367" s="4"/>
      <c r="E367" s="36"/>
      <c r="J367"/>
      <c r="K367" s="4"/>
      <c r="L367" s="4"/>
      <c r="M367" s="4"/>
      <c r="N367" s="4"/>
      <c r="O367" s="4"/>
      <c r="P367" s="4"/>
      <c r="BU367" s="213"/>
      <c r="CA367" s="241"/>
    </row>
    <row r="368" spans="1:79" s="108" customFormat="1" x14ac:dyDescent="0.3">
      <c r="A368" s="89"/>
      <c r="B368" s="4"/>
      <c r="C368" s="4"/>
      <c r="D368" s="4"/>
      <c r="E368" s="36"/>
      <c r="J368"/>
      <c r="K368" s="4"/>
      <c r="L368" s="4"/>
      <c r="M368" s="4"/>
      <c r="N368" s="4"/>
      <c r="O368" s="4"/>
      <c r="P368" s="4"/>
      <c r="BU368" s="213"/>
      <c r="CA368" s="241"/>
    </row>
    <row r="369" spans="1:79" s="108" customFormat="1" x14ac:dyDescent="0.3">
      <c r="A369" s="89"/>
      <c r="B369" s="4"/>
      <c r="C369" s="4"/>
      <c r="D369" s="4"/>
      <c r="E369" s="36"/>
      <c r="J369"/>
      <c r="K369" s="4"/>
      <c r="L369" s="4"/>
      <c r="M369" s="4"/>
      <c r="N369" s="4"/>
      <c r="O369" s="4"/>
      <c r="P369" s="4"/>
      <c r="BU369" s="213"/>
      <c r="CA369" s="241"/>
    </row>
    <row r="370" spans="1:79" s="108" customFormat="1" x14ac:dyDescent="0.3">
      <c r="A370" s="89"/>
      <c r="B370" s="4"/>
      <c r="C370" s="4"/>
      <c r="D370" s="4"/>
      <c r="E370" s="36"/>
      <c r="J370"/>
      <c r="K370" s="4"/>
      <c r="L370" s="4"/>
      <c r="M370" s="4"/>
      <c r="N370" s="4"/>
      <c r="O370" s="4"/>
      <c r="P370" s="4"/>
      <c r="BU370" s="213"/>
      <c r="CA370" s="241"/>
    </row>
    <row r="371" spans="1:79" s="108" customFormat="1" x14ac:dyDescent="0.3">
      <c r="A371" s="89"/>
      <c r="B371" s="4"/>
      <c r="C371" s="4"/>
      <c r="D371" s="4"/>
      <c r="E371" s="36"/>
      <c r="J371"/>
      <c r="K371" s="4"/>
      <c r="L371" s="4"/>
      <c r="M371" s="4"/>
      <c r="N371" s="4"/>
      <c r="O371" s="4"/>
      <c r="P371" s="4"/>
      <c r="BU371" s="213"/>
      <c r="CA371" s="241"/>
    </row>
    <row r="372" spans="1:79" s="108" customFormat="1" x14ac:dyDescent="0.3">
      <c r="A372" s="89"/>
      <c r="B372" s="4"/>
      <c r="C372" s="4"/>
      <c r="D372" s="4"/>
      <c r="E372" s="36"/>
      <c r="J372"/>
      <c r="K372" s="4"/>
      <c r="L372" s="4"/>
      <c r="M372" s="4"/>
      <c r="N372" s="4"/>
      <c r="O372" s="4"/>
      <c r="P372" s="4"/>
      <c r="BU372" s="213"/>
      <c r="CA372" s="241"/>
    </row>
    <row r="373" spans="1:79" s="108" customFormat="1" x14ac:dyDescent="0.3">
      <c r="A373" s="89"/>
      <c r="B373" s="4"/>
      <c r="C373" s="4"/>
      <c r="D373" s="4"/>
      <c r="E373" s="36"/>
      <c r="J373"/>
      <c r="K373" s="4"/>
      <c r="L373" s="4"/>
      <c r="M373" s="4"/>
      <c r="N373" s="4"/>
      <c r="O373" s="4"/>
      <c r="P373" s="4"/>
      <c r="BU373" s="213"/>
      <c r="CA373" s="241"/>
    </row>
    <row r="374" spans="1:79" s="108" customFormat="1" x14ac:dyDescent="0.3">
      <c r="A374" s="89"/>
      <c r="B374" s="4"/>
      <c r="C374" s="4"/>
      <c r="D374" s="4"/>
      <c r="E374" s="36"/>
      <c r="J374"/>
      <c r="K374" s="4"/>
      <c r="L374" s="4"/>
      <c r="M374" s="4"/>
      <c r="N374" s="4"/>
      <c r="O374" s="4"/>
      <c r="P374" s="4"/>
      <c r="BU374" s="213"/>
      <c r="CA374" s="241"/>
    </row>
    <row r="375" spans="1:79" s="108" customFormat="1" x14ac:dyDescent="0.3">
      <c r="A375" s="89"/>
      <c r="B375" s="4"/>
      <c r="C375" s="4"/>
      <c r="D375" s="4"/>
      <c r="E375" s="36"/>
      <c r="J375"/>
      <c r="K375" s="4"/>
      <c r="L375" s="4"/>
      <c r="M375" s="4"/>
      <c r="N375" s="4"/>
      <c r="O375" s="4"/>
      <c r="P375" s="4"/>
      <c r="BU375" s="213"/>
      <c r="CA375" s="241"/>
    </row>
    <row r="376" spans="1:79" s="108" customFormat="1" x14ac:dyDescent="0.3">
      <c r="A376" s="89"/>
      <c r="B376" s="4"/>
      <c r="C376" s="4"/>
      <c r="D376" s="4"/>
      <c r="E376" s="36"/>
      <c r="J376"/>
      <c r="K376" s="4"/>
      <c r="L376" s="4"/>
      <c r="M376" s="4"/>
      <c r="N376" s="4"/>
      <c r="O376" s="4"/>
      <c r="P376" s="4"/>
      <c r="BU376" s="213"/>
      <c r="CA376" s="241"/>
    </row>
    <row r="377" spans="1:79" s="108" customFormat="1" x14ac:dyDescent="0.3">
      <c r="A377" s="89"/>
      <c r="B377" s="4"/>
      <c r="C377" s="4"/>
      <c r="D377" s="4"/>
      <c r="E377" s="36"/>
      <c r="J377"/>
      <c r="K377" s="4"/>
      <c r="L377" s="4"/>
      <c r="M377" s="4"/>
      <c r="N377" s="4"/>
      <c r="O377" s="4"/>
      <c r="P377" s="4"/>
      <c r="BU377" s="213"/>
      <c r="CA377" s="241"/>
    </row>
    <row r="378" spans="1:79" s="108" customFormat="1" x14ac:dyDescent="0.3">
      <c r="A378" s="89"/>
      <c r="B378" s="4"/>
      <c r="C378" s="4"/>
      <c r="D378" s="4"/>
      <c r="E378" s="36"/>
      <c r="J378"/>
      <c r="K378" s="4"/>
      <c r="L378" s="4"/>
      <c r="M378" s="4"/>
      <c r="N378" s="4"/>
      <c r="O378" s="4"/>
      <c r="P378" s="4"/>
      <c r="BU378" s="213"/>
      <c r="CA378" s="241"/>
    </row>
    <row r="379" spans="1:79" s="108" customFormat="1" x14ac:dyDescent="0.3">
      <c r="A379" s="89"/>
      <c r="B379" s="4"/>
      <c r="C379" s="4"/>
      <c r="D379" s="4"/>
      <c r="E379" s="36"/>
      <c r="J379"/>
      <c r="K379" s="4"/>
      <c r="L379" s="4"/>
      <c r="M379" s="4"/>
      <c r="N379" s="4"/>
      <c r="O379" s="4"/>
      <c r="P379" s="4"/>
      <c r="BU379" s="213"/>
      <c r="CA379" s="241"/>
    </row>
    <row r="380" spans="1:79" s="108" customFormat="1" x14ac:dyDescent="0.3">
      <c r="A380" s="89"/>
      <c r="B380" s="4"/>
      <c r="C380" s="4"/>
      <c r="D380" s="4"/>
      <c r="E380" s="36"/>
      <c r="J380"/>
      <c r="K380" s="4"/>
      <c r="L380" s="4"/>
      <c r="M380" s="4"/>
      <c r="N380" s="4"/>
      <c r="O380" s="4"/>
      <c r="P380" s="4"/>
      <c r="BU380" s="213"/>
      <c r="CA380" s="241"/>
    </row>
  </sheetData>
  <sheetProtection sheet="1" objects="1" scenarios="1" selectLockedCells="1" selectUnlockedCells="1"/>
  <mergeCells count="2">
    <mergeCell ref="A2:XFD2"/>
    <mergeCell ref="A1:XFD1"/>
  </mergeCells>
  <conditionalFormatting sqref="C6:C23 C26:C10000">
    <cfRule type="expression" dxfId="25" priority="5">
      <formula>AND($C6&lt;&gt;"",$F6&lt;&gt;"",$C6&gt;$F6)</formula>
    </cfRule>
    <cfRule type="expression" dxfId="24" priority="6">
      <formula>AND($C6&lt;&gt;"",$F6&lt;&gt;"",$C6&lt;$F6)</formula>
    </cfRule>
  </conditionalFormatting>
  <conditionalFormatting sqref="C24:C25">
    <cfRule type="expression" dxfId="23" priority="7">
      <formula>AND($C24&lt;&gt;"",$X7&lt;&gt;"",$C24&gt;$X7)</formula>
    </cfRule>
    <cfRule type="expression" dxfId="22" priority="8">
      <formula>AND($C24&lt;&gt;"",$X7&lt;&gt;"",$C24&lt;$X7)</formula>
    </cfRule>
  </conditionalFormatting>
  <conditionalFormatting sqref="D6:D10000">
    <cfRule type="expression" dxfId="21" priority="3">
      <formula>AND($D6&lt;&gt;"",$G6&lt;&gt;"",$D6&gt;$G6)</formula>
    </cfRule>
    <cfRule type="expression" dxfId="20" priority="4">
      <formula>AND($D6&lt;&gt;"",$G6&lt;&gt;"",$D6&lt;$G6)</formula>
    </cfRule>
  </conditionalFormatting>
  <conditionalFormatting sqref="E6:E10000">
    <cfRule type="colorScale" priority="1">
      <colorScale>
        <cfvo type="min"/>
        <cfvo type="max"/>
        <color rgb="FFFF7128"/>
        <color rgb="FFFFEF9C"/>
      </colorScale>
    </cfRule>
  </conditionalFormatting>
  <conditionalFormatting sqref="O5:P5">
    <cfRule type="cellIs" dxfId="19" priority="2" operator="greaterThanOrEqual">
      <formula>100%</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disablePrompts="1" count="2">
        <x14:dataValidation type="list" xr:uid="{3C833F73-C96F-4818-9AF1-DAE875F38A32}">
          <x14:formula1>
            <xm:f>'Data-Lists'!$A$4:$A$21</xm:f>
          </x14:formula1>
          <x14:formula2>
            <xm:f>0</xm:f>
          </x14:formula2>
          <xm:sqref>C3</xm:sqref>
        </x14:dataValidation>
        <x14:dataValidation type="list" allowBlank="1" showInputMessage="1" showErrorMessage="1" xr:uid="{5787716E-13C3-4CF3-B072-57FD92E941A5}">
          <x14:formula1>
            <xm:f>'Data-Lists'!$F$4:$F$101</xm:f>
          </x14:formula1>
          <xm:sqref>F1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X380"/>
  <sheetViews>
    <sheetView showZeros="0" zoomScale="70" zoomScaleNormal="70" workbookViewId="0">
      <pane ySplit="5" topLeftCell="A6" activePane="bottomLeft" state="frozen"/>
      <selection sqref="A1:XFD1"/>
      <selection pane="bottomLeft" sqref="A1:XFD1"/>
    </sheetView>
  </sheetViews>
  <sheetFormatPr defaultColWidth="8.6640625" defaultRowHeight="14.4" x14ac:dyDescent="0.3"/>
  <cols>
    <col min="1" max="1" width="20.77734375" style="89" customWidth="1"/>
    <col min="2" max="2" width="8.6640625" style="4" hidden="1" customWidth="1"/>
    <col min="3" max="4" width="15.6640625" style="4" customWidth="1"/>
    <col min="5" max="5" width="25.77734375" style="4" customWidth="1"/>
    <col min="6" max="7" width="15.77734375" style="193" customWidth="1"/>
    <col min="8" max="9" width="15.77734375" style="108" customWidth="1"/>
    <col min="11" max="16" width="15.77734375" style="4" customWidth="1"/>
    <col min="19" max="19" width="8.6640625" customWidth="1"/>
  </cols>
  <sheetData>
    <row r="1" spans="1:24" s="359" customFormat="1" ht="24.6" thickTop="1" thickBot="1" x14ac:dyDescent="0.5">
      <c r="A1" s="358" t="s">
        <v>311</v>
      </c>
    </row>
    <row r="2" spans="1:24" ht="16.2" thickTop="1" x14ac:dyDescent="0.3">
      <c r="A2" s="324" t="s">
        <v>113</v>
      </c>
      <c r="B2" s="324"/>
      <c r="C2" s="324"/>
      <c r="D2" s="324"/>
      <c r="E2" s="324"/>
      <c r="F2" s="324"/>
      <c r="G2" s="324"/>
      <c r="H2" s="324"/>
      <c r="I2" s="324"/>
      <c r="J2" s="324"/>
      <c r="K2" s="324"/>
      <c r="L2" s="324"/>
      <c r="M2" s="324"/>
      <c r="N2" s="324"/>
      <c r="O2" s="324"/>
      <c r="P2" s="324"/>
    </row>
    <row r="3" spans="1:24" x14ac:dyDescent="0.3">
      <c r="A3" s="321" t="s">
        <v>143</v>
      </c>
      <c r="B3" s="321"/>
      <c r="C3" s="325" t="s">
        <v>18</v>
      </c>
      <c r="D3" s="325"/>
      <c r="E3" s="325"/>
      <c r="F3" s="325"/>
      <c r="G3" s="325"/>
      <c r="H3" s="325"/>
      <c r="I3" s="325"/>
      <c r="K3" s="326" t="s">
        <v>58</v>
      </c>
      <c r="L3" s="326"/>
      <c r="M3" s="326" t="s">
        <v>57</v>
      </c>
      <c r="N3" s="326"/>
      <c r="O3" s="326" t="s">
        <v>59</v>
      </c>
      <c r="P3" s="326"/>
      <c r="R3" s="263" t="s">
        <v>93</v>
      </c>
      <c r="S3" s="263"/>
      <c r="X3" s="40"/>
    </row>
    <row r="4" spans="1:24" ht="19.95" customHeight="1" thickBot="1" x14ac:dyDescent="0.35">
      <c r="A4" s="319" t="s">
        <v>31</v>
      </c>
      <c r="B4" s="322" t="s">
        <v>48</v>
      </c>
      <c r="C4" s="327" t="str">
        <f>_xlfn.CONCAT("Camera ", C3, " Error")</f>
        <v>Camera #5 (Vero v2.2) Error</v>
      </c>
      <c r="D4" s="327"/>
      <c r="E4" s="179" t="s">
        <v>254</v>
      </c>
      <c r="F4" s="329" t="s">
        <v>253</v>
      </c>
      <c r="G4" s="330"/>
      <c r="H4" s="328" t="s">
        <v>256</v>
      </c>
      <c r="I4" s="328"/>
      <c r="K4" s="20" t="s">
        <v>32</v>
      </c>
      <c r="L4" s="20" t="s">
        <v>33</v>
      </c>
      <c r="M4" s="20" t="s">
        <v>32</v>
      </c>
      <c r="N4" s="20" t="s">
        <v>33</v>
      </c>
      <c r="O4" s="20" t="s">
        <v>32</v>
      </c>
      <c r="P4" s="20" t="s">
        <v>33</v>
      </c>
      <c r="R4" s="306"/>
      <c r="S4" s="306"/>
      <c r="T4" s="307" t="s">
        <v>91</v>
      </c>
      <c r="U4" s="307"/>
      <c r="V4" s="307"/>
      <c r="W4" s="307"/>
      <c r="X4" s="307"/>
    </row>
    <row r="5" spans="1:24" ht="19.95" customHeight="1" thickBot="1" x14ac:dyDescent="0.35">
      <c r="A5" s="320"/>
      <c r="B5" s="323"/>
      <c r="C5" s="194" t="s">
        <v>148</v>
      </c>
      <c r="D5" s="194" t="s">
        <v>149</v>
      </c>
      <c r="E5" s="190" t="s">
        <v>255</v>
      </c>
      <c r="F5" s="194" t="s">
        <v>148</v>
      </c>
      <c r="G5" s="194" t="s">
        <v>149</v>
      </c>
      <c r="H5" s="194" t="s">
        <v>148</v>
      </c>
      <c r="I5" s="194" t="s">
        <v>149</v>
      </c>
      <c r="K5" s="110">
        <f>IFERROR(AVERAGEIFS(Log!$F:$F, Log!$D:$D,$C$3, Log!$A:$A, "Daily"), "")</f>
        <v>0.34793408333333331</v>
      </c>
      <c r="L5" s="110">
        <f>IFERROR(AVERAGEIFS(Log!$G:$G, Log!$D:$D, $C$3, Log!$A:$A, "Daily"), "")</f>
        <v>8.2877616666666667E-2</v>
      </c>
      <c r="M5" s="111">
        <f>AVERAGEIFS(Log!$F:$F, Log!$A:$A, "Daily")</f>
        <v>0.4150363317865432</v>
      </c>
      <c r="N5" s="111">
        <f>AVERAGEIFS(Log!$G:$G, Log!$A:$A, "Daily")</f>
        <v>9.9319293039443104E-2</v>
      </c>
      <c r="O5" s="112">
        <f>M5/K5</f>
        <v>1.1928590835664798</v>
      </c>
      <c r="P5" s="112">
        <f>N5/L5</f>
        <v>1.1983850047100748</v>
      </c>
      <c r="R5" s="331"/>
      <c r="S5" s="331"/>
      <c r="T5" s="332" t="s">
        <v>92</v>
      </c>
      <c r="U5" s="332"/>
      <c r="V5" s="332"/>
      <c r="W5" s="332"/>
      <c r="X5" s="332"/>
    </row>
    <row r="6" spans="1:24" x14ac:dyDescent="0.3">
      <c r="A6" s="5" cm="1">
        <f t="array" ref="A6:A27">_xlfn.UNIQUE(_xlfn._xlws.FILTER(Log!$C:$C, (Log!$B:$B="n/a") * (Log!$A:$A="Daily") * (Log!$D:$D=$C$3)))</f>
        <v>46228</v>
      </c>
      <c r="B6" s="4">
        <f>_xlfn.XLOOKUP($A6, 'Daily WE'!C:C, 'Daily WE'!D:D)</f>
        <v>23.5</v>
      </c>
      <c r="C6" s="6">
        <f>IFERROR(AVERAGEIFS(Log!$F:$F, Log!$C:$C, $A6, Log!$B:$B, "n/a", Log!$A:$A, "Daily", Log!$D:$D, $C$3), NA())</f>
        <v>0.19189300000000001</v>
      </c>
      <c r="D6" s="6">
        <f>IFERROR(AVERAGEIFS(Log!$G:$G, Log!$C:$C, $A6, Log!$B:$B, "n/a", Log!$A:$A, "Daily", Log!$D:$D, $C$3), NA())</f>
        <v>4.4366900000000001E-2</v>
      </c>
      <c r="E6" s="113">
        <f>IFERROR(_xlfn.LET(_xlpm.camera_wand_count_by_day, AVERAGEIFS(Log!$E:$E, Log!$C:$C, $A6, Log!$B:$B, "n/a", Log!$A:$A, "Daily", Log!$D:$D, $C$3), _xlpm.auto_stop_that_day, _xlfn.XLOOKUP(A6, 'Daily WE'!$C3:$C9997, 'Daily WE'!$G3:$G9997), _xlpm.camera_wand_count_by_day/_xlpm.auto_stop_that_day), NA())</f>
        <v>2.2400000000000002</v>
      </c>
      <c r="F6" s="191">
        <f>_xlfn.LET(
    _xlpm.cat,        Log!$A:$A,
    _xlpm.key,        Log!$B:$B,
    _xlpm.date,       Log!$C:$C,
    _xlpm.cam,        Log!$D:$D,
    _xlpm.imgErr,     Log!$G:$G,
    _xlpm.thisDate,   $A6,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6" s="191">
        <f>_xlfn.LET(
    _xlpm.cat,        Log!$A:$A,
    _xlpm.key,        Log!$B:$B,
    _xlpm.date,       Log!$C:$C,
    _xlpm.cam,        Log!$D:$D,
    _xlpm.worErr,     Log!$F:$F,
    _xlpm.thisDate,   $A6,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6" s="108">
        <f>IF($C6="#N/A", NA(), _xlfn.XLOOKUP($A6, 'Daily WE'!$C:$C, 'Daily WE'!$N:$N))</f>
        <v>0.3911837647058824</v>
      </c>
      <c r="I6" s="108">
        <f>IF($D6="#N/A", NA(), _xlfn.XLOOKUP($A6, 'Daily WE'!$C:$C, 'Daily WE'!$Q:$Q))</f>
        <v>9.2278499999999999E-2</v>
      </c>
    </row>
    <row r="7" spans="1:24" ht="14.4" customHeight="1" x14ac:dyDescent="0.3">
      <c r="A7" s="5">
        <v>46230</v>
      </c>
      <c r="B7" s="4">
        <f>_xlfn.XLOOKUP($A7, 'Daily WE'!C:C, 'Daily WE'!D:D)</f>
        <v>23.5</v>
      </c>
      <c r="C7" s="6">
        <f>IFERROR(AVERAGEIFS(Log!$F:$F, Log!$C:$C, $A7, Log!$B:$B, "n/a", Log!$A:$A, "Daily", Log!$D:$D, $C$3), "")</f>
        <v>0.28196100000000002</v>
      </c>
      <c r="D7" s="6">
        <f>IFERROR(AVERAGEIFS(Log!$G:$G, Log!$C:$C, $A7, Log!$B:$B, "n/a", Log!$A:$A, "Daily", Log!$D:$D, $C$3), "")</f>
        <v>6.7092299999999994E-2</v>
      </c>
      <c r="E7" s="113">
        <f>IFERROR(_xlfn.LET(_xlpm.camera_wand_count_by_day, AVERAGEIFS(Log!$E:$E, Log!$C:$C, $A7, Log!$B:$B, "n/a", Log!$A:$A, "Daily", Log!$D:$D, $C$3), _xlpm.auto_stop_that_day, _xlfn.XLOOKUP(A7, 'Daily WE'!$C4:$C9998, 'Daily WE'!$G4:$G9998), _xlpm.camera_wand_count_by_day/_xlpm.auto_stop_that_day), "")</f>
        <v>1.5409999999999999</v>
      </c>
      <c r="F7" s="191">
        <f>_xlfn.LET(
    _xlpm.cat,        Log!$A:$A,
    _xlpm.key,        Log!$B:$B,
    _xlpm.date,       Log!$C:$C,
    _xlpm.cam,        Log!$D:$D,
    _xlpm.imgErr,     Log!$G:$G,
    _xlpm.thisDate,   $A7,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7" s="191">
        <f>_xlfn.LET(
    _xlpm.cat,        Log!$A:$A,
    _xlpm.key,        Log!$B:$B,
    _xlpm.date,       Log!$C:$C,
    _xlpm.cam,        Log!$D:$D,
    _xlpm.worErr,     Log!$F:$F,
    _xlpm.thisDate,   $A7,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7" s="108">
        <f>IF($C7="#N/A", NA(), _xlfn.XLOOKUP($A7, 'Daily WE'!$C:$C, 'Daily WE'!$N:$N))</f>
        <v>0.3804177222222222</v>
      </c>
      <c r="I7" s="108">
        <f>IF($D7="#N/A", NA(), _xlfn.XLOOKUP($A7, 'Daily WE'!$C:$C, 'Daily WE'!$Q:$Q))</f>
        <v>9.1966633333333339E-2</v>
      </c>
      <c r="X7" s="119" t="e">
        <f>CONCATENATE('Daily WE'!$N$2, " ", 'Daily WE'!#REF!, " on date")</f>
        <v>#REF!</v>
      </c>
    </row>
    <row r="8" spans="1:24" x14ac:dyDescent="0.3">
      <c r="A8" s="5">
        <v>46231</v>
      </c>
      <c r="B8" s="4">
        <f>_xlfn.XLOOKUP($A8, 'Daily WE'!C:C, 'Daily WE'!D:D)</f>
        <v>24.5</v>
      </c>
      <c r="C8" s="6">
        <f>IFERROR(AVERAGEIFS(Log!$F:$F, Log!$C:$C, $A8, Log!$B:$B, "n/a", Log!$A:$A, "Daily", Log!$D:$D, $C$3), "")</f>
        <v>0.32659700000000003</v>
      </c>
      <c r="D8" s="6">
        <f>IFERROR(AVERAGEIFS(Log!$G:$G, Log!$C:$C, $A8, Log!$B:$B, "n/a", Log!$A:$A, "Daily", Log!$D:$D, $C$3), "")</f>
        <v>7.7769500000000005E-2</v>
      </c>
      <c r="E8" s="113">
        <f>IFERROR(_xlfn.LET(_xlpm.camera_wand_count_by_day, AVERAGEIFS(Log!$E:$E, Log!$C:$C, $A8, Log!$B:$B, "n/a", Log!$A:$A, "Daily", Log!$D:$D, $C$3), _xlpm.auto_stop_that_day, _xlfn.XLOOKUP(A8, 'Daily WE'!$C5:$C9999, 'Daily WE'!$G5:$G9999), _xlpm.camera_wand_count_by_day/_xlpm.auto_stop_that_day), "")</f>
        <v>2.109</v>
      </c>
      <c r="F8" s="191">
        <f>_xlfn.LET(
    _xlpm.cat,        Log!$A:$A,
    _xlpm.key,        Log!$B:$B,
    _xlpm.date,       Log!$C:$C,
    _xlpm.cam,        Log!$D:$D,
    _xlpm.imgErr,     Log!$G:$G,
    _xlpm.thisDate,   $A8,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9</v>
      </c>
      <c r="G8" s="191">
        <f>_xlfn.LET(
    _xlpm.cat,        Log!$A:$A,
    _xlpm.key,        Log!$B:$B,
    _xlpm.date,       Log!$C:$C,
    _xlpm.cam,        Log!$D:$D,
    _xlpm.worErr,     Log!$F:$F,
    _xlpm.thisDate,   $A8,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8" s="108">
        <f>IF($C8="#N/A", NA(), _xlfn.XLOOKUP($A8, 'Daily WE'!$C:$C, 'Daily WE'!$N:$N))</f>
        <v>0.3508782777777778</v>
      </c>
      <c r="I8" s="108">
        <f>IF($D8="#N/A", NA(), _xlfn.XLOOKUP($A8, 'Daily WE'!$C:$C, 'Daily WE'!$Q:$Q))</f>
        <v>8.4730411111111126E-2</v>
      </c>
      <c r="X8" s="119" t="e">
        <f>CONCATENATE('Daily WE'!$Q$2, " ", 'Daily WE'!#REF!, " on date")</f>
        <v>#REF!</v>
      </c>
    </row>
    <row r="9" spans="1:24" x14ac:dyDescent="0.3">
      <c r="A9" s="5">
        <v>46232</v>
      </c>
      <c r="B9" s="4">
        <f>_xlfn.XLOOKUP($A9, 'Daily WE'!C:C, 'Daily WE'!D:D)</f>
        <v>25.5</v>
      </c>
      <c r="C9" s="6">
        <f>IFERROR(AVERAGEIFS(Log!$F:$F, Log!$C:$C, $A9, Log!$B:$B, "n/a", Log!$A:$A, "Daily", Log!$D:$D, $C$3), "")</f>
        <v>0.27124799999999999</v>
      </c>
      <c r="D9" s="6">
        <f>IFERROR(AVERAGEIFS(Log!$G:$G, Log!$C:$C, $A9, Log!$B:$B, "n/a", Log!$A:$A, "Daily", Log!$D:$D, $C$3), "")</f>
        <v>6.4562400000000006E-2</v>
      </c>
      <c r="E9" s="113">
        <f>IFERROR(_xlfn.LET(_xlpm.camera_wand_count_by_day, AVERAGEIFS(Log!$E:$E, Log!$C:$C, $A9, Log!$B:$B, "n/a", Log!$A:$A, "Daily", Log!$D:$D, $C$3), _xlpm.auto_stop_that_day, _xlfn.XLOOKUP(A9, 'Daily WE'!$C6:$C10000, 'Daily WE'!$G6:$G10000), _xlpm.camera_wand_count_by_day/_xlpm.auto_stop_that_day), "")</f>
        <v>1.925</v>
      </c>
      <c r="F9" s="191">
        <f>_xlfn.LET(
    _xlpm.cat,        Log!$A:$A,
    _xlpm.key,        Log!$B:$B,
    _xlpm.date,       Log!$C:$C,
    _xlpm.cam,        Log!$D:$D,
    _xlpm.imgErr,     Log!$G:$G,
    _xlpm.thisDate,   $A9,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9" s="191">
        <f>_xlfn.LET(
    _xlpm.cat,        Log!$A:$A,
    _xlpm.key,        Log!$B:$B,
    _xlpm.date,       Log!$C:$C,
    _xlpm.cam,        Log!$D:$D,
    _xlpm.worErr,     Log!$F:$F,
    _xlpm.thisDate,   $A9,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9" s="108">
        <f>IF($C9="#N/A", NA(), _xlfn.XLOOKUP($A9, 'Daily WE'!$C:$C, 'Daily WE'!$N:$N))</f>
        <v>0.36980916666666658</v>
      </c>
      <c r="I9" s="108">
        <f>IF($D9="#N/A", NA(), _xlfn.XLOOKUP($A9, 'Daily WE'!$C:$C, 'Daily WE'!$Q:$Q))</f>
        <v>8.8881683333333336E-2</v>
      </c>
    </row>
    <row r="10" spans="1:24" x14ac:dyDescent="0.3">
      <c r="A10" s="5">
        <v>46233</v>
      </c>
      <c r="B10" s="4">
        <f>_xlfn.XLOOKUP($A10, 'Daily WE'!C:C, 'Daily WE'!D:D)</f>
        <v>24.5</v>
      </c>
      <c r="C10" s="6">
        <f>IFERROR(AVERAGEIFS(Log!$F:$F, Log!$C:$C, $A10, Log!$B:$B, "n/a", Log!$A:$A, "Daily", Log!$D:$D, $C$3), "")</f>
        <v>0.258108</v>
      </c>
      <c r="D10" s="6">
        <f>IFERROR(AVERAGEIFS(Log!$G:$G, Log!$C:$C, $A10, Log!$B:$B, "n/a", Log!$A:$A, "Daily", Log!$D:$D, $C$3), "")</f>
        <v>6.1423999999999999E-2</v>
      </c>
      <c r="E10" s="113">
        <f>IFERROR(_xlfn.LET(_xlpm.camera_wand_count_by_day, AVERAGEIFS(Log!$E:$E, Log!$C:$C, $A10, Log!$B:$B, "n/a", Log!$A:$A, "Daily", Log!$D:$D, $C$3), _xlpm.auto_stop_that_day, _xlfn.XLOOKUP(A10, 'Daily WE'!$C7:$C10001, 'Daily WE'!$G7:$G10001), _xlpm.camera_wand_count_by_day/_xlpm.auto_stop_that_day), "")</f>
        <v>2.2749999999999999</v>
      </c>
      <c r="F10" s="191">
        <f>_xlfn.LET(
    _xlpm.cat,        Log!$A:$A,
    _xlpm.key,        Log!$B:$B,
    _xlpm.date,       Log!$C:$C,
    _xlpm.cam,        Log!$D:$D,
    _xlpm.imgErr,     Log!$G:$G,
    _xlpm.thisDate,   $A10,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10" s="191">
        <f>_xlfn.LET(
    _xlpm.cat,        Log!$A:$A,
    _xlpm.key,        Log!$B:$B,
    _xlpm.date,       Log!$C:$C,
    _xlpm.cam,        Log!$D:$D,
    _xlpm.worErr,     Log!$F:$F,
    _xlpm.thisDate,   $A10,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10" s="108">
        <f>IF($C10="#N/A", NA(), _xlfn.XLOOKUP($A10, 'Daily WE'!$C:$C, 'Daily WE'!$N:$N))</f>
        <v>0.32767977777777779</v>
      </c>
      <c r="I10" s="108">
        <f>IF($D10="#N/A", NA(), _xlfn.XLOOKUP($A10, 'Daily WE'!$C:$C, 'Daily WE'!$Q:$Q))</f>
        <v>7.9198327777777758E-2</v>
      </c>
    </row>
    <row r="11" spans="1:24" x14ac:dyDescent="0.3">
      <c r="A11" s="5">
        <v>46234</v>
      </c>
      <c r="B11" s="4">
        <f>_xlfn.XLOOKUP($A11, 'Daily WE'!C:C, 'Daily WE'!D:D)</f>
        <v>24.5</v>
      </c>
      <c r="C11" s="6">
        <f>IFERROR(AVERAGEIFS(Log!$F:$F, Log!$C:$C, $A11, Log!$B:$B, "n/a", Log!$A:$A, "Daily", Log!$D:$D, $C$3), "")</f>
        <v>0.218719</v>
      </c>
      <c r="D11" s="6">
        <f>IFERROR(AVERAGEIFS(Log!$G:$G, Log!$C:$C, $A11, Log!$B:$B, "n/a", Log!$A:$A, "Daily", Log!$D:$D, $C$3), "")</f>
        <v>5.20276E-2</v>
      </c>
      <c r="E11" s="113">
        <f>IFERROR(_xlfn.LET(_xlpm.camera_wand_count_by_day, AVERAGEIFS(Log!$E:$E, Log!$C:$C, $A11, Log!$B:$B, "n/a", Log!$A:$A, "Daily", Log!$D:$D, $C$3), _xlpm.auto_stop_that_day, _xlfn.XLOOKUP(A11, 'Daily WE'!$C8:$C10002, 'Daily WE'!$G8:$G10002), _xlpm.camera_wand_count_by_day/_xlpm.auto_stop_that_day), "")</f>
        <v>2.09</v>
      </c>
      <c r="F11" s="191">
        <f>_xlfn.LET(
    _xlpm.cat,        Log!$A:$A,
    _xlpm.key,        Log!$B:$B,
    _xlpm.date,       Log!$C:$C,
    _xlpm.cam,        Log!$D:$D,
    _xlpm.imgErr,     Log!$G:$G,
    _xlpm.thisDate,   $A11,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v>
      </c>
      <c r="G11" s="191">
        <f>_xlfn.LET(
    _xlpm.cat,        Log!$A:$A,
    _xlpm.key,        Log!$B:$B,
    _xlpm.date,       Log!$C:$C,
    _xlpm.cam,        Log!$D:$D,
    _xlpm.worErr,     Log!$F:$F,
    _xlpm.thisDate,   $A11,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2</v>
      </c>
      <c r="H11" s="108">
        <f>IF($C11="#N/A", NA(), _xlfn.XLOOKUP($A11, 'Daily WE'!$C:$C, 'Daily WE'!$N:$N))</f>
        <v>0.39170800000000006</v>
      </c>
      <c r="I11" s="108">
        <f>IF($D11="#N/A", NA(), _xlfn.XLOOKUP($A11, 'Daily WE'!$C:$C, 'Daily WE'!$Q:$Q))</f>
        <v>9.6186149999999998E-2</v>
      </c>
    </row>
    <row r="12" spans="1:24" x14ac:dyDescent="0.3">
      <c r="A12" s="5">
        <v>46235</v>
      </c>
      <c r="B12" s="4">
        <f>_xlfn.XLOOKUP($A12, 'Daily WE'!C:C, 'Daily WE'!D:D)</f>
        <v>24</v>
      </c>
      <c r="C12" s="6">
        <f>IFERROR(AVERAGEIFS(Log!$F:$F, Log!$C:$C, $A12, Log!$B:$B, "n/a", Log!$A:$A, "Daily", Log!$D:$D, $C$3), "")</f>
        <v>0.38531199999999999</v>
      </c>
      <c r="D12" s="6">
        <f>IFERROR(AVERAGEIFS(Log!$G:$G, Log!$C:$C, $A12, Log!$B:$B, "n/a", Log!$A:$A, "Daily", Log!$D:$D, $C$3), "")</f>
        <v>9.1877600000000004E-2</v>
      </c>
      <c r="E12" s="113">
        <f>IFERROR(_xlfn.LET(_xlpm.camera_wand_count_by_day, AVERAGEIFS(Log!$E:$E, Log!$C:$C, $A12, Log!$B:$B, "n/a", Log!$A:$A, "Daily", Log!$D:$D, $C$3), _xlpm.auto_stop_that_day, _xlfn.XLOOKUP(A12, 'Daily WE'!$C9:$C10003, 'Daily WE'!$G9:$G10003), _xlpm.camera_wand_count_by_day/_xlpm.auto_stop_that_day), "")</f>
        <v>1.8759999999999999</v>
      </c>
      <c r="F12" s="191">
        <f>_xlfn.LET(
    _xlpm.cat,        Log!$A:$A,
    _xlpm.key,        Log!$B:$B,
    _xlpm.date,       Log!$C:$C,
    _xlpm.cam,        Log!$D:$D,
    _xlpm.imgErr,     Log!$G:$G,
    _xlpm.thisDate,   $A12,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7</v>
      </c>
      <c r="G12" s="191">
        <f>_xlfn.LET(
    _xlpm.cat,        Log!$A:$A,
    _xlpm.key,        Log!$B:$B,
    _xlpm.date,       Log!$C:$C,
    _xlpm.cam,        Log!$D:$D,
    _xlpm.worErr,     Log!$F:$F,
    _xlpm.thisDate,   $A12,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8</v>
      </c>
      <c r="H12" s="108">
        <f>IF($C12="#N/A", NA(), _xlfn.XLOOKUP($A12, 'Daily WE'!$C:$C, 'Daily WE'!$N:$N))</f>
        <v>0.5529641111111111</v>
      </c>
      <c r="I12" s="108">
        <f>IF($D12="#N/A", NA(), _xlfn.XLOOKUP($A12, 'Daily WE'!$C:$C, 'Daily WE'!$Q:$Q))</f>
        <v>0.12669717222222221</v>
      </c>
    </row>
    <row r="13" spans="1:24" x14ac:dyDescent="0.3">
      <c r="A13" s="5">
        <v>46237</v>
      </c>
      <c r="B13" s="4">
        <f>_xlfn.XLOOKUP($A13, 'Daily WE'!C:C, 'Daily WE'!D:D)</f>
        <v>24</v>
      </c>
      <c r="C13" s="6">
        <f>IFERROR(AVERAGEIFS(Log!$F:$F, Log!$C:$C, $A13, Log!$B:$B, "n/a", Log!$A:$A, "Daily", Log!$D:$D, $C$3), "")</f>
        <v>0.28808499999999998</v>
      </c>
      <c r="D13" s="6">
        <f>IFERROR(AVERAGEIFS(Log!$G:$G, Log!$C:$C, $A13, Log!$B:$B, "n/a", Log!$A:$A, "Daily", Log!$D:$D, $C$3), "")</f>
        <v>7.16387E-2</v>
      </c>
      <c r="E13" s="113">
        <f>IFERROR(_xlfn.LET(_xlpm.camera_wand_count_by_day, AVERAGEIFS(Log!$E:$E, Log!$C:$C, $A13, Log!$B:$B, "n/a", Log!$A:$A, "Daily", Log!$D:$D, $C$3), _xlpm.auto_stop_that_day, _xlfn.XLOOKUP(A13, 'Daily WE'!$C10:$C10004, 'Daily WE'!$G10:$G10004), _xlpm.camera_wand_count_by_day/_xlpm.auto_stop_that_day), "")</f>
        <v>2.0760000000000001</v>
      </c>
      <c r="F13" s="191">
        <f>_xlfn.LET(
    _xlpm.cat,        Log!$A:$A,
    _xlpm.key,        Log!$B:$B,
    _xlpm.date,       Log!$C:$C,
    _xlpm.cam,        Log!$D:$D,
    _xlpm.imgErr,     Log!$G:$G,
    _xlpm.thisDate,   $A13,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13" s="191">
        <f>_xlfn.LET(
    _xlpm.cat,        Log!$A:$A,
    _xlpm.key,        Log!$B:$B,
    _xlpm.date,       Log!$C:$C,
    _xlpm.cam,        Log!$D:$D,
    _xlpm.worErr,     Log!$F:$F,
    _xlpm.thisDate,   $A13,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13" s="108">
        <f>IF($C13="#N/A", NA(), _xlfn.XLOOKUP($A13, 'Daily WE'!$C:$C, 'Daily WE'!$N:$N))</f>
        <v>0.37600283333333329</v>
      </c>
      <c r="I13" s="108">
        <f>IF($D13="#N/A", NA(), _xlfn.XLOOKUP($A13, 'Daily WE'!$C:$C, 'Daily WE'!$Q:$Q))</f>
        <v>9.034650000000001E-2</v>
      </c>
    </row>
    <row r="14" spans="1:24" x14ac:dyDescent="0.3">
      <c r="A14" s="5">
        <v>46238</v>
      </c>
      <c r="B14" s="4">
        <f>_xlfn.XLOOKUP($A14, 'Daily WE'!C:C, 'Daily WE'!D:D)</f>
        <v>24.5</v>
      </c>
      <c r="C14" s="6">
        <f>IFERROR(AVERAGEIFS(Log!$F:$F, Log!$C:$C, $A14, Log!$B:$B, "n/a", Log!$A:$A, "Daily", Log!$D:$D, $C$3), "")</f>
        <v>0.301788</v>
      </c>
      <c r="D14" s="6">
        <f>IFERROR(AVERAGEIFS(Log!$G:$G, Log!$C:$C, $A14, Log!$B:$B, "n/a", Log!$A:$A, "Daily", Log!$D:$D, $C$3), "")</f>
        <v>7.17666E-2</v>
      </c>
      <c r="E14" s="113">
        <f>IFERROR(_xlfn.LET(_xlpm.camera_wand_count_by_day, AVERAGEIFS(Log!$E:$E, Log!$C:$C, $A14, Log!$B:$B, "n/a", Log!$A:$A, "Daily", Log!$D:$D, $C$3), _xlpm.auto_stop_that_day, _xlfn.XLOOKUP(A14, 'Daily WE'!$C11:$C10005, 'Daily WE'!$G11:$G10005), _xlpm.camera_wand_count_by_day/_xlpm.auto_stop_that_day), "")</f>
        <v>2.194</v>
      </c>
      <c r="F14" s="191">
        <f>_xlfn.LET(
    _xlpm.cat,        Log!$A:$A,
    _xlpm.key,        Log!$B:$B,
    _xlpm.date,       Log!$C:$C,
    _xlpm.cam,        Log!$D:$D,
    _xlpm.imgErr,     Log!$G:$G,
    _xlpm.thisDate,   $A14,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5</v>
      </c>
      <c r="G14" s="191">
        <f>_xlfn.LET(
    _xlpm.cat,        Log!$A:$A,
    _xlpm.key,        Log!$B:$B,
    _xlpm.date,       Log!$C:$C,
    _xlpm.cam,        Log!$D:$D,
    _xlpm.worErr,     Log!$F:$F,
    _xlpm.thisDate,   $A14,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6</v>
      </c>
      <c r="H14" s="108">
        <f>IF($C14="#N/A", NA(), _xlfn.XLOOKUP($A14, 'Daily WE'!$C:$C, 'Daily WE'!$N:$N))</f>
        <v>0.40401527777777774</v>
      </c>
      <c r="I14" s="108">
        <f>IF($D14="#N/A", NA(), _xlfn.XLOOKUP($A14, 'Daily WE'!$C:$C, 'Daily WE'!$Q:$Q))</f>
        <v>9.6629455555555549E-2</v>
      </c>
    </row>
    <row r="15" spans="1:24" x14ac:dyDescent="0.3">
      <c r="A15" s="5">
        <v>46239</v>
      </c>
      <c r="B15" s="4">
        <f>_xlfn.XLOOKUP($A15, 'Daily WE'!C:C, 'Daily WE'!D:D)</f>
        <v>25</v>
      </c>
      <c r="C15" s="6">
        <f>IFERROR(AVERAGEIFS(Log!$F:$F, Log!$C:$C, $A15, Log!$B:$B, "n/a", Log!$A:$A, "Daily", Log!$D:$D, $C$3), "")</f>
        <v>0.26507900000000001</v>
      </c>
      <c r="D15" s="6">
        <f>IFERROR(AVERAGEIFS(Log!$G:$G, Log!$C:$C, $A15, Log!$B:$B, "n/a", Log!$A:$A, "Daily", Log!$D:$D, $C$3), "")</f>
        <v>6.3077099999999997E-2</v>
      </c>
      <c r="E15" s="113">
        <f>IFERROR(_xlfn.LET(_xlpm.camera_wand_count_by_day, AVERAGEIFS(Log!$E:$E, Log!$C:$C, $A15, Log!$B:$B, "n/a", Log!$A:$A, "Daily", Log!$D:$D, $C$3), _xlpm.auto_stop_that_day, _xlfn.XLOOKUP(A15, 'Daily WE'!$C12:$C10006, 'Daily WE'!$G12:$G10006), _xlpm.camera_wand_count_by_day/_xlpm.auto_stop_that_day), "")</f>
        <v>2.02</v>
      </c>
      <c r="F15" s="191">
        <f>_xlfn.LET(
    _xlpm.cat,        Log!$A:$A,
    _xlpm.key,        Log!$B:$B,
    _xlpm.date,       Log!$C:$C,
    _xlpm.cam,        Log!$D:$D,
    _xlpm.imgErr,     Log!$G:$G,
    _xlpm.thisDate,   $A15,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4</v>
      </c>
      <c r="G15" s="191">
        <f>_xlfn.LET(
    _xlpm.cat,        Log!$A:$A,
    _xlpm.key,        Log!$B:$B,
    _xlpm.date,       Log!$C:$C,
    _xlpm.cam,        Log!$D:$D,
    _xlpm.worErr,     Log!$F:$F,
    _xlpm.thisDate,   $A15,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5</v>
      </c>
      <c r="H15" s="108">
        <f>IF($C15="#N/A", NA(), _xlfn.XLOOKUP($A15, 'Daily WE'!$C:$C, 'Daily WE'!$N:$N))</f>
        <v>0.37193638888888891</v>
      </c>
      <c r="I15" s="108">
        <f>IF($D15="#N/A", NA(), _xlfn.XLOOKUP($A15, 'Daily WE'!$C:$C, 'Daily WE'!$Q:$Q))</f>
        <v>8.8825327777777782E-2</v>
      </c>
      <c r="Q15" s="199" t="e" cm="1" vm="3">
        <f t="array" aca="1" ref="Q15" ca="1">_xlfn.LET(
    _xlpm.cat,        Log!$A:$A,
    _xlpm.key,        Log!$B:$B,
    _xlpm.date,       Log!$C:$C,
    _xlpm.cam,        Log!$D:$D,
    _xlpm.worErr,     Log!$F:$F,
    _xlpm.imgErr,     Log!$G:$G,
    _xlpm.thisDate,   'Daily Rank'!$A12,
    _xlpm.thisCam,    $C$3,
    _xlpm.chosenErr,  IF('Daily Rank'!$U$4="World Errror",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_xlpm.chosenErr
)</f>
        <v>#VALUE!</v>
      </c>
    </row>
    <row r="16" spans="1:24" x14ac:dyDescent="0.3">
      <c r="A16" s="5">
        <v>46240</v>
      </c>
      <c r="B16" s="4">
        <f>_xlfn.XLOOKUP($A16, 'Daily WE'!C:C, 'Daily WE'!D:D)</f>
        <v>25</v>
      </c>
      <c r="C16" s="6">
        <f>IFERROR(AVERAGEIFS(Log!$F:$F, Log!$C:$C, $A16, Log!$B:$B, "n/a", Log!$A:$A, "Daily", Log!$D:$D, $C$3), "")</f>
        <v>0.29474400000000001</v>
      </c>
      <c r="D16" s="6">
        <f>IFERROR(AVERAGEIFS(Log!$G:$G, Log!$C:$C, $A16, Log!$B:$B, "n/a", Log!$A:$A, "Daily", Log!$D:$D, $C$3), "")</f>
        <v>7.01209E-2</v>
      </c>
      <c r="E16" s="113">
        <f>IFERROR(_xlfn.LET(_xlpm.camera_wand_count_by_day, AVERAGEIFS(Log!$E:$E, Log!$C:$C, $A16, Log!$B:$B, "n/a", Log!$A:$A, "Daily", Log!$D:$D, $C$3), _xlpm.auto_stop_that_day, _xlfn.XLOOKUP(A16, 'Daily WE'!$C13:$C10007, 'Daily WE'!$G13:$G10007), _xlpm.camera_wand_count_by_day/_xlpm.auto_stop_that_day), "")</f>
        <v>2.4009999999999998</v>
      </c>
      <c r="F16" s="191">
        <f>_xlfn.LET(
    _xlpm.cat,        Log!$A:$A,
    _xlpm.key,        Log!$B:$B,
    _xlpm.date,       Log!$C:$C,
    _xlpm.cam,        Log!$D:$D,
    _xlpm.imgErr,     Log!$G:$G,
    _xlpm.thisDate,   $A16,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16" s="191">
        <f>_xlfn.LET(
    _xlpm.cat,        Log!$A:$A,
    _xlpm.key,        Log!$B:$B,
    _xlpm.date,       Log!$C:$C,
    _xlpm.cam,        Log!$D:$D,
    _xlpm.worErr,     Log!$F:$F,
    _xlpm.thisDate,   $A16,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6</v>
      </c>
      <c r="H16" s="108">
        <f>IF($C16="#N/A", NA(), _xlfn.XLOOKUP($A16, 'Daily WE'!$C:$C, 'Daily WE'!$N:$N))</f>
        <v>0.37121238888888891</v>
      </c>
      <c r="I16" s="108">
        <f>IF($D16="#N/A", NA(), _xlfn.XLOOKUP($A16, 'Daily WE'!$C:$C, 'Daily WE'!$Q:$Q))</f>
        <v>8.8747716666666671E-2</v>
      </c>
    </row>
    <row r="17" spans="1:9" x14ac:dyDescent="0.3">
      <c r="A17" s="5">
        <v>46242</v>
      </c>
      <c r="B17" s="4">
        <f>_xlfn.XLOOKUP($A17, 'Daily WE'!C:C, 'Daily WE'!D:D)</f>
        <v>24.5</v>
      </c>
      <c r="C17" s="6">
        <f>IFERROR(AVERAGEIFS(Log!$F:$F, Log!$C:$C, $A17, Log!$B:$B, "n/a", Log!$A:$A, "Daily", Log!$D:$D, $C$3), "")</f>
        <v>0.38157099999999999</v>
      </c>
      <c r="D17" s="6">
        <f>IFERROR(AVERAGEIFS(Log!$G:$G, Log!$C:$C, $A17, Log!$B:$B, "n/a", Log!$A:$A, "Daily", Log!$D:$D, $C$3), "")</f>
        <v>9.0749499999999997E-2</v>
      </c>
      <c r="E17" s="113">
        <f>IFERROR(_xlfn.LET(_xlpm.camera_wand_count_by_day, AVERAGEIFS(Log!$E:$E, Log!$C:$C, $A17, Log!$B:$B, "n/a", Log!$A:$A, "Daily", Log!$D:$D, $C$3), _xlpm.auto_stop_that_day, _xlfn.XLOOKUP(A17, 'Daily WE'!$C14:$C10008, 'Daily WE'!$G14:$G10008), _xlpm.camera_wand_count_by_day/_xlpm.auto_stop_that_day), "")</f>
        <v>1.95</v>
      </c>
      <c r="F17" s="191">
        <f>_xlfn.LET(
    _xlpm.cat,        Log!$A:$A,
    _xlpm.key,        Log!$B:$B,
    _xlpm.date,       Log!$C:$C,
    _xlpm.cam,        Log!$D:$D,
    _xlpm.imgErr,     Log!$G:$G,
    _xlpm.thisDate,   $A17,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10</v>
      </c>
      <c r="G17" s="191">
        <f>_xlfn.LET(
    _xlpm.cat,        Log!$A:$A,
    _xlpm.key,        Log!$B:$B,
    _xlpm.date,       Log!$C:$C,
    _xlpm.cam,        Log!$D:$D,
    _xlpm.worErr,     Log!$F:$F,
    _xlpm.thisDate,   $A17,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17" s="108">
        <f>IF($C17="#N/A", NA(), _xlfn.XLOOKUP($A17, 'Daily WE'!$C:$C, 'Daily WE'!$N:$N))</f>
        <v>0.38615661111111116</v>
      </c>
      <c r="I17" s="108">
        <f>IF($D17="#N/A", NA(), _xlfn.XLOOKUP($A17, 'Daily WE'!$C:$C, 'Daily WE'!$Q:$Q))</f>
        <v>9.2878877777777771E-2</v>
      </c>
    </row>
    <row r="18" spans="1:9" x14ac:dyDescent="0.3">
      <c r="A18" s="5">
        <v>46244</v>
      </c>
      <c r="B18" s="4">
        <f>_xlfn.XLOOKUP($A18, 'Daily WE'!C:C, 'Daily WE'!D:D)</f>
        <v>24</v>
      </c>
      <c r="C18" s="6">
        <f>IFERROR(AVERAGEIFS(Log!$F:$F, Log!$C:$C, $A18, Log!$B:$B, "n/a", Log!$A:$A, "Daily", Log!$D:$D, $C$3), "")</f>
        <v>0.44016699999999997</v>
      </c>
      <c r="D18" s="6">
        <f>IFERROR(AVERAGEIFS(Log!$G:$G, Log!$C:$C, $A18, Log!$B:$B, "n/a", Log!$A:$A, "Daily", Log!$D:$D, $C$3), "")</f>
        <v>0.10468</v>
      </c>
      <c r="E18" s="113">
        <f>IFERROR(_xlfn.LET(_xlpm.camera_wand_count_by_day, AVERAGEIFS(Log!$E:$E, Log!$C:$C, $A18, Log!$B:$B, "n/a", Log!$A:$A, "Daily", Log!$D:$D, $C$3), _xlpm.auto_stop_that_day, _xlfn.XLOOKUP(A18, 'Daily WE'!$C15:$C10009, 'Daily WE'!$G15:$G10009), _xlpm.camera_wand_count_by_day/_xlpm.auto_stop_that_day), "")</f>
        <v>1.8069999999999999</v>
      </c>
      <c r="F18" s="191">
        <f>_xlfn.LET(
    _xlpm.cat,        Log!$A:$A,
    _xlpm.key,        Log!$B:$B,
    _xlpm.date,       Log!$C:$C,
    _xlpm.cam,        Log!$D:$D,
    _xlpm.imgErr,     Log!$G:$G,
    _xlpm.thisDate,   $A18,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6</v>
      </c>
      <c r="G18" s="191">
        <f>_xlfn.LET(
    _xlpm.cat,        Log!$A:$A,
    _xlpm.key,        Log!$B:$B,
    _xlpm.date,       Log!$C:$C,
    _xlpm.cam,        Log!$D:$D,
    _xlpm.worErr,     Log!$F:$F,
    _xlpm.thisDate,   $A18,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7</v>
      </c>
      <c r="H18" s="108">
        <f>IF($C18="#N/A", NA(), _xlfn.XLOOKUP($A18, 'Daily WE'!$C:$C, 'Daily WE'!$N:$N))</f>
        <v>0.4884073888888889</v>
      </c>
      <c r="I18" s="108">
        <f>IF($D18="#N/A", NA(), _xlfn.XLOOKUP($A18, 'Daily WE'!$C:$C, 'Daily WE'!$Q:$Q))</f>
        <v>0.11783660555555556</v>
      </c>
    </row>
    <row r="19" spans="1:9" x14ac:dyDescent="0.3">
      <c r="A19" s="5">
        <v>46245</v>
      </c>
      <c r="B19" s="4">
        <f>_xlfn.XLOOKUP($A19, 'Daily WE'!C:C, 'Daily WE'!D:D)</f>
        <v>24</v>
      </c>
      <c r="C19" s="6">
        <f>IFERROR(AVERAGEIFS(Log!$F:$F, Log!$C:$C, $A19, Log!$B:$B, "n/a", Log!$A:$A, "Daily", Log!$D:$D, $C$3), "")</f>
        <v>0.25397599999999998</v>
      </c>
      <c r="D19" s="6">
        <f>IFERROR(AVERAGEIFS(Log!$G:$G, Log!$C:$C, $A19, Log!$B:$B, "n/a", Log!$A:$A, "Daily", Log!$D:$D, $C$3), "")</f>
        <v>6.0416400000000002E-2</v>
      </c>
      <c r="E19" s="113">
        <f>IFERROR(_xlfn.LET(_xlpm.camera_wand_count_by_day, AVERAGEIFS(Log!$E:$E, Log!$C:$C, $A19, Log!$B:$B, "n/a", Log!$A:$A, "Daily", Log!$D:$D, $C$3), _xlpm.auto_stop_that_day, _xlfn.XLOOKUP(A19, 'Daily WE'!$C16:$C10010, 'Daily WE'!$G16:$G10010), _xlpm.camera_wand_count_by_day/_xlpm.auto_stop_that_day), "")</f>
        <v>1.2749999999999999</v>
      </c>
      <c r="F19" s="191">
        <f>_xlfn.LET(
    _xlpm.cat,        Log!$A:$A,
    _xlpm.key,        Log!$B:$B,
    _xlpm.date,       Log!$C:$C,
    _xlpm.cam,        Log!$D:$D,
    _xlpm.imgErr,     Log!$G:$G,
    _xlpm.thisDate,   $A19,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8</v>
      </c>
      <c r="G19" s="191">
        <f>_xlfn.LET(
    _xlpm.cat,        Log!$A:$A,
    _xlpm.key,        Log!$B:$B,
    _xlpm.date,       Log!$C:$C,
    _xlpm.cam,        Log!$D:$D,
    _xlpm.worErr,     Log!$F:$F,
    _xlpm.thisDate,   $A19,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8</v>
      </c>
      <c r="H19" s="108">
        <f>IF($C19="#N/A", NA(), _xlfn.XLOOKUP($A19, 'Daily WE'!$C:$C, 'Daily WE'!$N:$N))</f>
        <v>0.29684038888888886</v>
      </c>
      <c r="I19" s="108">
        <f>IF($D19="#N/A", NA(), _xlfn.XLOOKUP($A19, 'Daily WE'!$C:$C, 'Daily WE'!$Q:$Q))</f>
        <v>7.1251700000000001E-2</v>
      </c>
    </row>
    <row r="20" spans="1:9" x14ac:dyDescent="0.3">
      <c r="A20" s="5">
        <v>46246</v>
      </c>
      <c r="B20" s="4">
        <f>_xlfn.XLOOKUP($A20, 'Daily WE'!C:C, 'Daily WE'!D:D)</f>
        <v>25</v>
      </c>
      <c r="C20" s="6">
        <f>IFERROR(AVERAGEIFS(Log!$F:$F, Log!$C:$C, $A20, Log!$B:$B, "n/a", Log!$A:$A, "Daily", Log!$D:$D, $C$3), "")</f>
        <v>0.94400899999999999</v>
      </c>
      <c r="D20" s="6">
        <f>IFERROR(AVERAGEIFS(Log!$G:$G, Log!$C:$C, $A20, Log!$B:$B, "n/a", Log!$A:$A, "Daily", Log!$D:$D, $C$3), "")</f>
        <v>0.224774</v>
      </c>
      <c r="E20" s="113">
        <f>IFERROR(_xlfn.LET(_xlpm.camera_wand_count_by_day, AVERAGEIFS(Log!$E:$E, Log!$C:$C, $A20, Log!$B:$B, "n/a", Log!$A:$A, "Daily", Log!$D:$D, $C$3), _xlpm.auto_stop_that_day, _xlfn.XLOOKUP(A20, 'Daily WE'!$C17:$C10011, 'Daily WE'!$G17:$G10011), _xlpm.camera_wand_count_by_day/_xlpm.auto_stop_that_day), "")</f>
        <v>1.79</v>
      </c>
      <c r="F20" s="191">
        <f>_xlfn.LET(
    _xlpm.cat,        Log!$A:$A,
    _xlpm.key,        Log!$B:$B,
    _xlpm.date,       Log!$C:$C,
    _xlpm.cam,        Log!$D:$D,
    _xlpm.imgErr,     Log!$G:$G,
    _xlpm.thisDate,   $A20,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16</v>
      </c>
      <c r="G20" s="191">
        <f>_xlfn.LET(
    _xlpm.cat,        Log!$A:$A,
    _xlpm.key,        Log!$B:$B,
    _xlpm.date,       Log!$C:$C,
    _xlpm.cam,        Log!$D:$D,
    _xlpm.worErr,     Log!$F:$F,
    _xlpm.thisDate,   $A20,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16</v>
      </c>
      <c r="H20" s="108">
        <f>IF($C20="#N/A", NA(), _xlfn.XLOOKUP($A20, 'Daily WE'!$C:$C, 'Daily WE'!$N:$N))</f>
        <v>0.58543183333333326</v>
      </c>
      <c r="I20" s="108">
        <f>IF($D20="#N/A", NA(), _xlfn.XLOOKUP($A20, 'Daily WE'!$C:$C, 'Daily WE'!$Q:$Q))</f>
        <v>0.13689469444444444</v>
      </c>
    </row>
    <row r="21" spans="1:9" x14ac:dyDescent="0.3">
      <c r="A21" s="5">
        <v>46247</v>
      </c>
      <c r="B21" s="4">
        <f>_xlfn.XLOOKUP($A21, 'Daily WE'!C:C, 'Daily WE'!D:D)</f>
        <v>25.5</v>
      </c>
      <c r="C21" s="6">
        <f>IFERROR(AVERAGEIFS(Log!$F:$F, Log!$C:$C, $A21, Log!$B:$B, "n/a", Log!$A:$A, "Daily", Log!$D:$D, $C$3), "")</f>
        <v>0.21718199999999999</v>
      </c>
      <c r="D21" s="6">
        <f>IFERROR(AVERAGEIFS(Log!$G:$G, Log!$C:$C, $A21, Log!$B:$B, "n/a", Log!$A:$A, "Daily", Log!$D:$D, $C$3), "")</f>
        <v>5.1662399999999997E-2</v>
      </c>
      <c r="E21" s="113">
        <f>IFERROR(_xlfn.LET(_xlpm.camera_wand_count_by_day, AVERAGEIFS(Log!$E:$E, Log!$C:$C, $A21, Log!$B:$B, "n/a", Log!$A:$A, "Daily", Log!$D:$D, $C$3), _xlpm.auto_stop_that_day, _xlfn.XLOOKUP(A21, 'Daily WE'!$C18:$C10012, 'Daily WE'!$G18:$G10012), _xlpm.camera_wand_count_by_day/_xlpm.auto_stop_that_day), "")</f>
        <v>1.421</v>
      </c>
      <c r="F21" s="191">
        <f>_xlfn.LET(
    _xlpm.cat,        Log!$A:$A,
    _xlpm.key,        Log!$B:$B,
    _xlpm.date,       Log!$C:$C,
    _xlpm.cam,        Log!$D:$D,
    _xlpm.imgErr,     Log!$G:$G,
    _xlpm.thisDate,   $A21,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21" s="191">
        <f>_xlfn.LET(
    _xlpm.cat,        Log!$A:$A,
    _xlpm.key,        Log!$B:$B,
    _xlpm.date,       Log!$C:$C,
    _xlpm.cam,        Log!$D:$D,
    _xlpm.worErr,     Log!$F:$F,
    _xlpm.thisDate,   $A21,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4</v>
      </c>
      <c r="H21" s="108">
        <f>IF($C21="#N/A", NA(), _xlfn.XLOOKUP($A21, 'Daily WE'!$C:$C, 'Daily WE'!$N:$N))</f>
        <v>0.3348787222222222</v>
      </c>
      <c r="I21" s="108">
        <f>IF($D21="#N/A", NA(), _xlfn.XLOOKUP($A21, 'Daily WE'!$C:$C, 'Daily WE'!$Q:$Q))</f>
        <v>8.0860061111111103E-2</v>
      </c>
    </row>
    <row r="22" spans="1:9" x14ac:dyDescent="0.3">
      <c r="A22" s="5">
        <v>46248</v>
      </c>
      <c r="B22" s="4">
        <f>_xlfn.XLOOKUP($A22, 'Daily WE'!C:C, 'Daily WE'!D:D)</f>
        <v>25.5</v>
      </c>
      <c r="C22" s="6">
        <f>IFERROR(AVERAGEIFS(Log!$F:$F, Log!$C:$C, $A22, Log!$B:$B, "n/a", Log!$A:$A, "Daily", Log!$D:$D, $C$3), "")</f>
        <v>0.29020200000000002</v>
      </c>
      <c r="D22" s="6">
        <f>IFERROR(AVERAGEIFS(Log!$G:$G, Log!$C:$C, $A22, Log!$B:$B, "n/a", Log!$A:$A, "Daily", Log!$D:$D, $C$3), "")</f>
        <v>6.9010299999999997E-2</v>
      </c>
      <c r="E22" s="113">
        <f>IFERROR(_xlfn.LET(_xlpm.camera_wand_count_by_day, AVERAGEIFS(Log!$E:$E, Log!$C:$C, $A22, Log!$B:$B, "n/a", Log!$A:$A, "Daily", Log!$D:$D, $C$3), _xlpm.auto_stop_that_day, _xlfn.XLOOKUP(A22, 'Daily WE'!$C19:$C10013, 'Daily WE'!$G19:$G10013), _xlpm.camera_wand_count_by_day/_xlpm.auto_stop_that_day), "")</f>
        <v>1.37</v>
      </c>
      <c r="F22" s="191">
        <f>_xlfn.LET(
    _xlpm.cat,        Log!$A:$A,
    _xlpm.key,        Log!$B:$B,
    _xlpm.date,       Log!$C:$C,
    _xlpm.cam,        Log!$D:$D,
    _xlpm.imgErr,     Log!$G:$G,
    _xlpm.thisDate,   $A22,
    _xlpm.thisCam,    $C$3,
    _xlpm.myErr,      IFERROR(
                    AVERAGEIFS(_xlpm.imgErr, _xlpm.date, _xlpm.thisDate, _xlpm.key, "n/a", _xlpm.cat, "Daily", _xlpm.cam, _xlpm.thisCam),
                    ""
                ),
    _xlpm.better,     COUNTIFS(_xlpm.date, _xlpm.thisDate, _xlpm.key, "n/a", _xlpm.cat, "Daily", _xlpm.imgErr, "&lt;" &amp; _xlpm.myErr),
    _xlpm.total,      COUNTIFS(_xlpm.date, _xlpm.thisDate, _xlpm.key, "n/a", _xlpm.cat, "Daily"),
    IF(_xlpm.myErr = "", NA(), (_xlpm.better + 1))
)</f>
        <v>2</v>
      </c>
      <c r="G22" s="191">
        <f>_xlfn.LET(
    _xlpm.cat,        Log!$A:$A,
    _xlpm.key,        Log!$B:$B,
    _xlpm.date,       Log!$C:$C,
    _xlpm.cam,        Log!$D:$D,
    _xlpm.worErr,     Log!$F:$F,
    _xlpm.thisDate,   $A22,
    _xlpm.thisCam,    $C$3,
    _xlpm.myErr,      IFERROR(
                    AVERAGEIFS(_xlpm.worErr, _xlpm.date, _xlpm.thisDate, _xlpm.key, "n/a", _xlpm.cat, "Daily", _xlpm.cam, _xlpm.thisCam),
                    ""
                ),
    _xlpm.better,     COUNTIFS(_xlpm.date, _xlpm.thisDate, _xlpm.key, "n/a", _xlpm.cat, "Daily", _xlpm.worErr, "&lt;" &amp; _xlpm.myErr),
    _xlpm.total,      COUNTIFS(_xlpm.date, _xlpm.thisDate, _xlpm.key, "n/a", _xlpm.cat, "Daily"),
    IF(_xlpm.myErr = "", NA(), (_xlpm.better + 1))
)</f>
        <v>3</v>
      </c>
      <c r="H22" s="108">
        <f>IF($C22="#N/A", NA(), _xlfn.XLOOKUP($A22, 'Daily WE'!$C:$C, 'Daily WE'!$N:$N))</f>
        <v>0.39099744444444445</v>
      </c>
      <c r="I22" s="108">
        <f>IF($D22="#N/A", NA(), _xlfn.XLOOKUP($A22, 'Daily WE'!$C:$C, 'Daily WE'!$Q:$Q))</f>
        <v>9.5190122222222215E-2</v>
      </c>
    </row>
    <row r="23" spans="1:9" x14ac:dyDescent="0.3">
      <c r="A23" s="5">
        <v>46251</v>
      </c>
      <c r="B23" s="4">
        <f>_xlfn.XLOOKUP($A23, 'Daily WE'!C:C, 'Daily WE'!D:D)</f>
        <v>25</v>
      </c>
      <c r="C23" s="6">
        <f>IFERROR(AVERAGEIFS(Log!$F:$F, Log!$C:$C, $A23, Log!$B:$B, "n/a", Log!$A:$A, "Daily", Log!$D:$D, $C$3), "")</f>
        <v>0.35497099999999998</v>
      </c>
      <c r="D23" s="6">
        <f>IFERROR(AVERAGEIFS(Log!$G:$G, Log!$C:$C, $A23, Log!$B:$B, "n/a", Log!$A:$A, "Daily", Log!$D:$D, $C$3), "")</f>
        <v>8.4469199999999994E-2</v>
      </c>
      <c r="E23" s="113">
        <f>IFERROR(_xlfn.LET(_xlpm.camera_wand_count_by_day, AVERAGEIFS(Log!$E:$E, Log!$C:$C, $A23, Log!$B:$B, "n/a", Log!$A:$A, "Daily", Log!$D:$D, $C$3), _xlpm.auto_stop_that_day, _xlfn.XLOOKUP(A23, 'Daily WE'!$C20:$C10014, 'Daily WE'!$G20:$G10014), _xlpm.camera_wand_count_by_day/_xlpm.auto_stop_that_day), "")</f>
        <v>1.6719999999999999</v>
      </c>
      <c r="F23" s="191"/>
      <c r="G23" s="191"/>
      <c r="H23" s="108">
        <f>IF($C23="#N/A", NA(), _xlfn.XLOOKUP($A23, 'Daily WE'!$C:$C, 'Daily WE'!$N:$N))</f>
        <v>0.4757022222222223</v>
      </c>
      <c r="I23" s="108">
        <f>IF($D23="#N/A", NA(), _xlfn.XLOOKUP($A23, 'Daily WE'!$C:$C, 'Daily WE'!$Q:$Q))</f>
        <v>0.11488596111111112</v>
      </c>
    </row>
    <row r="24" spans="1:9" x14ac:dyDescent="0.3">
      <c r="A24" s="5">
        <v>46252</v>
      </c>
      <c r="B24" s="4">
        <f>_xlfn.XLOOKUP($A24, 'Daily WE'!C:C, 'Daily WE'!D:D)</f>
        <v>25</v>
      </c>
      <c r="C24" s="6">
        <f>IFERROR(AVERAGEIFS(Log!$F:$F, Log!$C:$C, $A24, Log!$B:$B, "n/a", Log!$A:$A, "Daily", Log!$D:$D, $C$3), "")</f>
        <v>0.367645</v>
      </c>
      <c r="D24" s="6">
        <f>IFERROR(AVERAGEIFS(Log!$G:$G, Log!$C:$C, $A24, Log!$B:$B, "n/a", Log!$A:$A, "Daily", Log!$D:$D, $C$3), "")</f>
        <v>8.7530300000000005E-2</v>
      </c>
      <c r="E24" s="113">
        <f>IFERROR(_xlfn.LET(_xlpm.camera_wand_count_by_day, AVERAGEIFS(Log!$E:$E, Log!$C:$C, $A24, Log!$B:$B, "n/a", Log!$A:$A, "Daily", Log!$D:$D, $C$3), _xlpm.auto_stop_that_day, _xlfn.XLOOKUP(A24, 'Daily WE'!$C21:$C10015, 'Daily WE'!$G21:$G10015), _xlpm.camera_wand_count_by_day/_xlpm.auto_stop_that_day), "")</f>
        <v>1.875</v>
      </c>
      <c r="F24" s="191"/>
      <c r="G24" s="191"/>
      <c r="H24" s="108">
        <f>IF($C24="#N/A", NA(), _xlfn.XLOOKUP($A24, 'Daily WE'!$C:$C, 'Daily WE'!$N:$N))</f>
        <v>0.44992333333333334</v>
      </c>
      <c r="I24" s="108">
        <f>IF($D24="#N/A", NA(), _xlfn.XLOOKUP($A24, 'Daily WE'!$C:$C, 'Daily WE'!$Q:$Q))</f>
        <v>0.10735645000000002</v>
      </c>
    </row>
    <row r="25" spans="1:9" x14ac:dyDescent="0.3">
      <c r="A25" s="5">
        <v>46253</v>
      </c>
      <c r="B25" s="4">
        <f>_xlfn.XLOOKUP($A25, 'Daily WE'!C:C, 'Daily WE'!D:D)</f>
        <v>24.5</v>
      </c>
      <c r="C25" s="6">
        <f>IFERROR(AVERAGEIFS(Log!$F:$F, Log!$C:$C, $A25, Log!$B:$B, "n/a", Log!$A:$A, "Daily", Log!$D:$D, $C$3), "")</f>
        <v>0.56932799999999995</v>
      </c>
      <c r="D25" s="6">
        <f>IFERROR(AVERAGEIFS(Log!$G:$G, Log!$C:$C, $A25, Log!$B:$B, "n/a", Log!$A:$A, "Daily", Log!$D:$D, $C$3), "")</f>
        <v>0.13553999999999999</v>
      </c>
      <c r="E25" s="113">
        <f>IFERROR(_xlfn.LET(_xlpm.camera_wand_count_by_day, AVERAGEIFS(Log!$E:$E, Log!$C:$C, $A25, Log!$B:$B, "n/a", Log!$A:$A, "Daily", Log!$D:$D, $C$3), _xlpm.auto_stop_that_day, _xlfn.XLOOKUP(A25, 'Daily WE'!$C22:$C10016, 'Daily WE'!$G22:$G10016), _xlpm.camera_wand_count_by_day/_xlpm.auto_stop_that_day), "")</f>
        <v>1.2809999999999999</v>
      </c>
      <c r="F25" s="191"/>
      <c r="G25" s="191"/>
      <c r="H25" s="108">
        <f>IF($C25="#N/A", NA(), _xlfn.XLOOKUP($A25, 'Daily WE'!$C:$C, 'Daily WE'!$N:$N))</f>
        <v>0.54501322222222226</v>
      </c>
      <c r="I25" s="108">
        <f>IF($D25="#N/A", NA(), _xlfn.XLOOKUP($A25, 'Daily WE'!$C:$C, 'Daily WE'!$Q:$Q))</f>
        <v>0.12795185555555555</v>
      </c>
    </row>
    <row r="26" spans="1:9" x14ac:dyDescent="0.3">
      <c r="A26" s="5">
        <v>46254</v>
      </c>
      <c r="B26" s="4">
        <f>_xlfn.XLOOKUP($A26, 'Daily WE'!C:C, 'Daily WE'!D:D)</f>
        <v>24.5</v>
      </c>
      <c r="C26" s="6">
        <f>IFERROR(AVERAGEIFS(Log!$F:$F, Log!$C:$C, $A26, Log!$B:$B, "n/a", Log!$A:$A, "Daily", Log!$D:$D, $C$3), "")</f>
        <v>0.36153600000000002</v>
      </c>
      <c r="D26" s="6">
        <f>IFERROR(AVERAGEIFS(Log!$G:$G, Log!$C:$C, $A26, Log!$B:$B, "n/a", Log!$A:$A, "Daily", Log!$D:$D, $C$3), "")</f>
        <v>8.6050100000000004E-2</v>
      </c>
      <c r="E26" s="113">
        <f>IFERROR(_xlfn.LET(_xlpm.camera_wand_count_by_day, AVERAGEIFS(Log!$E:$E, Log!$C:$C, $A26, Log!$B:$B, "n/a", Log!$A:$A, "Daily", Log!$D:$D, $C$3), _xlpm.auto_stop_that_day, _xlfn.XLOOKUP(A26, 'Daily WE'!$C23:$C10017, 'Daily WE'!$G23:$G10017), _xlpm.camera_wand_count_by_day/_xlpm.auto_stop_that_day), "")</f>
        <v>1.5049999999999999</v>
      </c>
      <c r="F26" s="191"/>
      <c r="G26" s="191"/>
      <c r="H26" s="108">
        <f>IF($C26="#N/A", NA(), _xlfn.XLOOKUP($A26, 'Daily WE'!$C:$C, 'Daily WE'!$N:$N))</f>
        <v>0.44261372222222228</v>
      </c>
      <c r="I26" s="108">
        <f>IF($D26="#N/A", NA(), _xlfn.XLOOKUP($A26, 'Daily WE'!$C:$C, 'Daily WE'!$Q:$Q))</f>
        <v>0.10628490555555556</v>
      </c>
    </row>
    <row r="27" spans="1:9" x14ac:dyDescent="0.3">
      <c r="A27" s="5">
        <v>46255</v>
      </c>
      <c r="B27" s="4">
        <f>_xlfn.XLOOKUP($A27, 'Daily WE'!C:C, 'Daily WE'!D:D)</f>
        <v>0</v>
      </c>
      <c r="C27" s="6">
        <f>IFERROR(AVERAGEIFS(Log!$F:$F, Log!$C:$C, $A27, Log!$B:$B, "n/a", Log!$A:$A, "Daily", Log!$D:$D, $C$3), "")</f>
        <v>0.322826</v>
      </c>
      <c r="D27" s="6">
        <f>IFERROR(AVERAGEIFS(Log!$G:$G, Log!$C:$C, $A27, Log!$B:$B, "n/a", Log!$A:$A, "Daily", Log!$D:$D, $C$3), "")</f>
        <v>7.68263E-2</v>
      </c>
      <c r="E27" s="113">
        <f>IFERROR(_xlfn.LET(_xlpm.camera_wand_count_by_day, AVERAGEIFS(Log!$E:$E, Log!$C:$C, $A27, Log!$B:$B, "n/a", Log!$A:$A, "Daily", Log!$D:$D, $C$3), _xlpm.auto_stop_that_day, _xlfn.XLOOKUP(A27, 'Daily WE'!$C24:$C10018, 'Daily WE'!$G24:$G10018), _xlpm.camera_wand_count_by_day/_xlpm.auto_stop_that_day), "")</f>
        <v>1.323</v>
      </c>
      <c r="F27" s="191"/>
      <c r="G27" s="191"/>
      <c r="H27" s="108">
        <f>IF($C27="#N/A", NA(), _xlfn.XLOOKUP($A27, 'Daily WE'!$C:$C, 'Daily WE'!$N:$N))</f>
        <v>0.42276977777777769</v>
      </c>
      <c r="I27" s="108">
        <f>IF($D27="#N/A", NA(), _xlfn.XLOOKUP($A27, 'Daily WE'!$C:$C, 'Daily WE'!$Q:$Q))</f>
        <v>0.10262061111111112</v>
      </c>
    </row>
    <row r="28" spans="1:9" x14ac:dyDescent="0.3">
      <c r="A28" s="5"/>
      <c r="B28" s="4">
        <f>_xlfn.XLOOKUP($A28, 'Daily WE'!C:C, 'Daily WE'!D:D)</f>
        <v>0</v>
      </c>
      <c r="C28" s="6" t="str">
        <f>IFERROR(AVERAGEIFS(Log!$F:$F, Log!$C:$C, $A28, Log!$B:$B, "n/a", Log!$A:$A, "Daily", Log!$D:$D, $C$3), "")</f>
        <v/>
      </c>
      <c r="D28" s="6" t="str">
        <f>IFERROR(AVERAGEIFS(Log!$G:$G, Log!$C:$C, $A28, Log!$B:$B, "n/a", Log!$A:$A, "Daily", Log!$D:$D, $C$3), "")</f>
        <v/>
      </c>
      <c r="E28" s="113" t="str">
        <f>IFERROR(_xlfn.LET(_xlpm.camera_wand_count_by_day, AVERAGEIFS(Log!$E:$E, Log!$C:$C, $A28, Log!$B:$B, "n/a", Log!$A:$A, "Daily", Log!$D:$D, $C$3), _xlpm.auto_stop_that_day, _xlfn.XLOOKUP(A28, 'Daily WE'!$C25:$C10019, 'Daily WE'!$G25:$G10019), _xlpm.camera_wand_count_by_day/_xlpm.auto_stop_that_day), "")</f>
        <v/>
      </c>
      <c r="F28" s="191"/>
      <c r="G28" s="191"/>
      <c r="H28" s="108">
        <f>IF($C28="#N/A", NA(), _xlfn.XLOOKUP($A28, 'Daily WE'!$C:$C, 'Daily WE'!$N:$N))</f>
        <v>0</v>
      </c>
      <c r="I28" s="108">
        <f>IF($D28="#N/A", NA(), _xlfn.XLOOKUP($A28, 'Daily WE'!$C:$C, 'Daily WE'!$Q:$Q))</f>
        <v>0</v>
      </c>
    </row>
    <row r="29" spans="1:9" x14ac:dyDescent="0.3">
      <c r="A29" s="5"/>
      <c r="B29" s="4">
        <f>_xlfn.XLOOKUP($A29, 'Daily WE'!C:C, 'Daily WE'!D:D)</f>
        <v>0</v>
      </c>
      <c r="C29" s="6" t="str">
        <f>IFERROR(AVERAGEIFS(Log!$F:$F, Log!$C:$C, $A29, Log!$B:$B, "n/a", Log!$A:$A, "Daily", Log!$D:$D, $C$3), "")</f>
        <v/>
      </c>
      <c r="D29" s="6" t="str">
        <f>IFERROR(AVERAGEIFS(Log!$G:$G, Log!$C:$C, $A29, Log!$B:$B, "n/a", Log!$A:$A, "Daily", Log!$D:$D, $C$3), "")</f>
        <v/>
      </c>
      <c r="E29" s="113" t="str">
        <f>IFERROR(_xlfn.LET(_xlpm.camera_wand_count_by_day, AVERAGEIFS(Log!$E:$E, Log!$C:$C, $A29, Log!$B:$B, "n/a", Log!$A:$A, "Daily", Log!$D:$D, $C$3), _xlpm.auto_stop_that_day, _xlfn.XLOOKUP(A29, 'Daily WE'!$C26:$C10020, 'Daily WE'!$G26:$G10020), _xlpm.camera_wand_count_by_day/_xlpm.auto_stop_that_day), "")</f>
        <v/>
      </c>
      <c r="F29" s="191"/>
      <c r="G29" s="191"/>
      <c r="H29" s="108">
        <f>IF($C29="#N/A", NA(), _xlfn.XLOOKUP($A29, 'Daily WE'!$C:$C, 'Daily WE'!$N:$N))</f>
        <v>0</v>
      </c>
      <c r="I29" s="108">
        <f>IF($D29="#N/A", NA(), _xlfn.XLOOKUP($A29, 'Daily WE'!$C:$C, 'Daily WE'!$Q:$Q))</f>
        <v>0</v>
      </c>
    </row>
    <row r="30" spans="1:9" x14ac:dyDescent="0.3">
      <c r="A30" s="5"/>
      <c r="B30" s="4">
        <f>_xlfn.XLOOKUP($A30, 'Daily WE'!C:C, 'Daily WE'!D:D)</f>
        <v>0</v>
      </c>
      <c r="C30" s="6" t="str">
        <f>IFERROR(AVERAGEIFS(Log!$F:$F, Log!$C:$C, $A30, Log!$B:$B, "n/a", Log!$A:$A, "Daily", Log!$D:$D, $C$3), "")</f>
        <v/>
      </c>
      <c r="D30" s="6" t="str">
        <f>IFERROR(AVERAGEIFS(Log!$G:$G, Log!$C:$C, $A30, Log!$B:$B, "n/a", Log!$A:$A, "Daily", Log!$D:$D, $C$3), "")</f>
        <v/>
      </c>
      <c r="E30" s="113" t="str">
        <f>IFERROR(_xlfn.LET(_xlpm.camera_wand_count_by_day, AVERAGEIFS(Log!$E:$E, Log!$C:$C, $A30, Log!$B:$B, "n/a", Log!$A:$A, "Daily", Log!$D:$D, $C$3), _xlpm.auto_stop_that_day, _xlfn.XLOOKUP(A30, 'Daily WE'!$C27:$C10021, 'Daily WE'!$G27:$G10021), _xlpm.camera_wand_count_by_day/_xlpm.auto_stop_that_day), "")</f>
        <v/>
      </c>
      <c r="F30" s="191"/>
      <c r="G30" s="191"/>
      <c r="H30" s="108">
        <f>IF($C30="#N/A", NA(), _xlfn.XLOOKUP($A30, 'Daily WE'!$C:$C, 'Daily WE'!$N:$N))</f>
        <v>0</v>
      </c>
      <c r="I30" s="108">
        <f>IF($D30="#N/A", NA(), _xlfn.XLOOKUP($A30, 'Daily WE'!$C:$C, 'Daily WE'!$Q:$Q))</f>
        <v>0</v>
      </c>
    </row>
    <row r="31" spans="1:9" x14ac:dyDescent="0.3">
      <c r="A31" s="5"/>
      <c r="B31" s="4">
        <f>_xlfn.XLOOKUP($A31, 'Daily WE'!C:C, 'Daily WE'!D:D)</f>
        <v>0</v>
      </c>
      <c r="C31" s="6" t="str">
        <f>IFERROR(AVERAGEIFS(Log!$F:$F, Log!$C:$C, $A31, Log!$B:$B, "n/a", Log!$A:$A, "Daily", Log!$D:$D, $C$3), "")</f>
        <v/>
      </c>
      <c r="D31" s="6" t="str">
        <f>IFERROR(AVERAGEIFS(Log!$G:$G, Log!$C:$C, $A31, Log!$B:$B, "n/a", Log!$A:$A, "Daily", Log!$D:$D, $C$3), "")</f>
        <v/>
      </c>
      <c r="E31" s="113" t="str">
        <f>IFERROR(_xlfn.LET(_xlpm.camera_wand_count_by_day, AVERAGEIFS(Log!$E:$E, Log!$C:$C, $A31, Log!$B:$B, "n/a", Log!$A:$A, "Daily", Log!$D:$D, $C$3), _xlpm.auto_stop_that_day, _xlfn.XLOOKUP(A31, 'Daily WE'!$C28:$C10022, 'Daily WE'!$G28:$G10022), _xlpm.camera_wand_count_by_day/_xlpm.auto_stop_that_day), "")</f>
        <v/>
      </c>
      <c r="F31" s="191"/>
      <c r="G31" s="191"/>
      <c r="H31" s="108">
        <f>IF($C31="#N/A", NA(), _xlfn.XLOOKUP($A31, 'Daily WE'!$C:$C, 'Daily WE'!$N:$N))</f>
        <v>0</v>
      </c>
      <c r="I31" s="108">
        <f>IF($D31="#N/A", NA(), _xlfn.XLOOKUP($A31, 'Daily WE'!$C:$C, 'Daily WE'!$Q:$Q))</f>
        <v>0</v>
      </c>
    </row>
    <row r="32" spans="1:9" x14ac:dyDescent="0.3">
      <c r="A32" s="5"/>
      <c r="B32" s="4">
        <f>_xlfn.XLOOKUP($A32, 'Daily WE'!C:C, 'Daily WE'!D:D)</f>
        <v>0</v>
      </c>
      <c r="C32" s="6" t="str">
        <f>IFERROR(AVERAGEIFS(Log!$F:$F, Log!$C:$C, $A32, Log!$B:$B, "n/a", Log!$A:$A, "Daily", Log!$D:$D, $C$3), "")</f>
        <v/>
      </c>
      <c r="D32" s="6" t="str">
        <f>IFERROR(AVERAGEIFS(Log!$G:$G, Log!$C:$C, $A32, Log!$B:$B, "n/a", Log!$A:$A, "Daily", Log!$D:$D, $C$3), "")</f>
        <v/>
      </c>
      <c r="E32" s="113" t="str">
        <f>IFERROR(_xlfn.LET(_xlpm.camera_wand_count_by_day, AVERAGEIFS(Log!$E:$E, Log!$C:$C, $A32, Log!$B:$B, "n/a", Log!$A:$A, "Daily", Log!$D:$D, $C$3), _xlpm.auto_stop_that_day, _xlfn.XLOOKUP(A32, 'Daily WE'!$C29:$C10023, 'Daily WE'!$G29:$G10023), _xlpm.camera_wand_count_by_day/_xlpm.auto_stop_that_day), "")</f>
        <v/>
      </c>
      <c r="F32" s="191"/>
      <c r="G32" s="191"/>
      <c r="H32" s="108">
        <f>IF($C32="#N/A", NA(), _xlfn.XLOOKUP($A32, 'Daily WE'!$C:$C, 'Daily WE'!$N:$N))</f>
        <v>0</v>
      </c>
      <c r="I32" s="108">
        <f>IF($D32="#N/A", NA(), _xlfn.XLOOKUP($A32, 'Daily WE'!$C:$C, 'Daily WE'!$Q:$Q))</f>
        <v>0</v>
      </c>
    </row>
    <row r="33" spans="1:9" x14ac:dyDescent="0.3">
      <c r="A33" s="5"/>
      <c r="B33" s="4">
        <f>_xlfn.XLOOKUP($A33, 'Daily WE'!C:C, 'Daily WE'!D:D)</f>
        <v>0</v>
      </c>
      <c r="C33" s="6" t="str">
        <f>IFERROR(AVERAGEIFS(Log!$F:$F, Log!$C:$C, $A33, Log!$B:$B, "n/a", Log!$A:$A, "Daily", Log!$D:$D, $C$3), "")</f>
        <v/>
      </c>
      <c r="D33" s="6" t="str">
        <f>IFERROR(AVERAGEIFS(Log!$G:$G, Log!$C:$C, $A33, Log!$B:$B, "n/a", Log!$A:$A, "Daily", Log!$D:$D, $C$3), "")</f>
        <v/>
      </c>
      <c r="E33" s="113" t="str">
        <f>IFERROR(_xlfn.LET(_xlpm.camera_wand_count_by_day, AVERAGEIFS(Log!$E:$E, Log!$C:$C, $A33, Log!$B:$B, "n/a", Log!$A:$A, "Daily", Log!$D:$D, $C$3), _xlpm.auto_stop_that_day, _xlfn.XLOOKUP(A33, 'Daily WE'!$C30:$C10024, 'Daily WE'!$G30:$G10024), _xlpm.camera_wand_count_by_day/_xlpm.auto_stop_that_day), "")</f>
        <v/>
      </c>
      <c r="F33" s="191"/>
      <c r="G33" s="191"/>
      <c r="H33" s="108">
        <f>IF($C33="#N/A", NA(), _xlfn.XLOOKUP($A33, 'Daily WE'!$C:$C, 'Daily WE'!$N:$N))</f>
        <v>0</v>
      </c>
      <c r="I33" s="108">
        <f>IF($D33="#N/A", NA(), _xlfn.XLOOKUP($A33, 'Daily WE'!$C:$C, 'Daily WE'!$Q:$Q))</f>
        <v>0</v>
      </c>
    </row>
    <row r="34" spans="1:9" x14ac:dyDescent="0.3">
      <c r="A34" s="5"/>
      <c r="B34" s="4">
        <f>_xlfn.XLOOKUP($A34, 'Daily WE'!C:C, 'Daily WE'!D:D)</f>
        <v>0</v>
      </c>
      <c r="C34" s="6" t="str">
        <f>IFERROR(AVERAGEIFS(Log!$F:$F, Log!$C:$C, $A34, Log!$B:$B, "n/a", Log!$A:$A, "Daily", Log!$D:$D, $C$3), "")</f>
        <v/>
      </c>
      <c r="D34" s="6" t="str">
        <f>IFERROR(AVERAGEIFS(Log!$G:$G, Log!$C:$C, $A34, Log!$B:$B, "n/a", Log!$A:$A, "Daily", Log!$D:$D, $C$3), "")</f>
        <v/>
      </c>
      <c r="E34" s="113" t="str">
        <f>IFERROR(_xlfn.LET(_xlpm.camera_wand_count_by_day, AVERAGEIFS(Log!$E:$E, Log!$C:$C, $A34, Log!$B:$B, "n/a", Log!$A:$A, "Daily", Log!$D:$D, $C$3), _xlpm.auto_stop_that_day, _xlfn.XLOOKUP(A34, 'Daily WE'!$C31:$C10025, 'Daily WE'!$G31:$G10025), _xlpm.camera_wand_count_by_day/_xlpm.auto_stop_that_day), "")</f>
        <v/>
      </c>
      <c r="F34" s="191"/>
      <c r="G34" s="191"/>
      <c r="H34" s="108">
        <f>IF($C34="#N/A", NA(), _xlfn.XLOOKUP($A34, 'Daily WE'!$C:$C, 'Daily WE'!$N:$N))</f>
        <v>0</v>
      </c>
      <c r="I34" s="108">
        <f>IF($D34="#N/A", NA(), _xlfn.XLOOKUP($A34, 'Daily WE'!$C:$C, 'Daily WE'!$Q:$Q))</f>
        <v>0</v>
      </c>
    </row>
    <row r="35" spans="1:9" x14ac:dyDescent="0.3">
      <c r="A35" s="5"/>
      <c r="B35" s="4">
        <f>_xlfn.XLOOKUP($A35, 'Daily WE'!C:C, 'Daily WE'!D:D)</f>
        <v>0</v>
      </c>
      <c r="C35" s="6" t="str">
        <f>IFERROR(AVERAGEIFS(Log!$F:$F, Log!$C:$C, $A35, Log!$B:$B, "n/a", Log!$A:$A, "Daily", Log!$D:$D, $C$3), "")</f>
        <v/>
      </c>
      <c r="D35" s="6" t="str">
        <f>IFERROR(AVERAGEIFS(Log!$G:$G, Log!$C:$C, $A35, Log!$B:$B, "n/a", Log!$A:$A, "Daily", Log!$D:$D, $C$3), "")</f>
        <v/>
      </c>
      <c r="E35" s="113" t="str">
        <f>IFERROR(_xlfn.LET(_xlpm.camera_wand_count_by_day, AVERAGEIFS(Log!$E:$E, Log!$C:$C, $A35, Log!$B:$B, "n/a", Log!$A:$A, "Daily", Log!$D:$D, $C$3), _xlpm.auto_stop_that_day, _xlfn.XLOOKUP(A35, 'Daily WE'!$C32:$C10026, 'Daily WE'!$G32:$G10026), _xlpm.camera_wand_count_by_day/_xlpm.auto_stop_that_day), "")</f>
        <v/>
      </c>
      <c r="F35" s="191"/>
      <c r="G35" s="191"/>
      <c r="H35" s="108">
        <f>IF($C35="#N/A", NA(), _xlfn.XLOOKUP($A35, 'Daily WE'!$C:$C, 'Daily WE'!$N:$N))</f>
        <v>0</v>
      </c>
      <c r="I35" s="108">
        <f>IF($D35="#N/A", NA(), _xlfn.XLOOKUP($A35, 'Daily WE'!$C:$C, 'Daily WE'!$Q:$Q))</f>
        <v>0</v>
      </c>
    </row>
    <row r="36" spans="1:9" x14ac:dyDescent="0.3">
      <c r="A36" s="5"/>
      <c r="B36" s="4">
        <f>_xlfn.XLOOKUP($A36, 'Daily WE'!C:C, 'Daily WE'!D:D)</f>
        <v>0</v>
      </c>
      <c r="C36" s="6" t="str">
        <f>IFERROR(AVERAGEIFS(Log!$F:$F, Log!$C:$C, $A36, Log!$B:$B, "n/a", Log!$A:$A, "Daily", Log!$D:$D, $C$3), "")</f>
        <v/>
      </c>
      <c r="D36" s="6" t="str">
        <f>IFERROR(AVERAGEIFS(Log!$G:$G, Log!$C:$C, $A36, Log!$B:$B, "n/a", Log!$A:$A, "Daily", Log!$D:$D, $C$3), "")</f>
        <v/>
      </c>
      <c r="E36" s="113" t="str">
        <f>IFERROR(_xlfn.LET(_xlpm.camera_wand_count_by_day, AVERAGEIFS(Log!$E:$E, Log!$C:$C, $A36, Log!$B:$B, "n/a", Log!$A:$A, "Daily", Log!$D:$D, $C$3), _xlpm.auto_stop_that_day, _xlfn.XLOOKUP(A36, 'Daily WE'!$C33:$C10027, 'Daily WE'!$G33:$G10027), _xlpm.camera_wand_count_by_day/_xlpm.auto_stop_that_day), "")</f>
        <v/>
      </c>
      <c r="F36" s="191"/>
      <c r="G36" s="191"/>
      <c r="H36" s="108">
        <f>IF($C36="#N/A", NA(), _xlfn.XLOOKUP($A36, 'Daily WE'!$C:$C, 'Daily WE'!$N:$N))</f>
        <v>0</v>
      </c>
      <c r="I36" s="108">
        <f>IF($D36="#N/A", NA(), _xlfn.XLOOKUP($A36, 'Daily WE'!$C:$C, 'Daily WE'!$Q:$Q))</f>
        <v>0</v>
      </c>
    </row>
    <row r="37" spans="1:9" x14ac:dyDescent="0.3">
      <c r="A37" s="5"/>
      <c r="B37" s="4">
        <f>_xlfn.XLOOKUP($A37, 'Daily WE'!C:C, 'Daily WE'!D:D)</f>
        <v>0</v>
      </c>
      <c r="C37" s="6" t="str">
        <f>IFERROR(AVERAGEIFS(Log!$F:$F, Log!$C:$C, $A37, Log!$B:$B, "n/a", Log!$A:$A, "Daily", Log!$D:$D, $C$3), "")</f>
        <v/>
      </c>
      <c r="D37" s="6" t="str">
        <f>IFERROR(AVERAGEIFS(Log!$G:$G, Log!$C:$C, $A37, Log!$B:$B, "n/a", Log!$A:$A, "Daily", Log!$D:$D, $C$3), "")</f>
        <v/>
      </c>
      <c r="E37" s="113" t="str">
        <f>IFERROR(_xlfn.LET(_xlpm.camera_wand_count_by_day, AVERAGEIFS(Log!$E:$E, Log!$C:$C, $A37, Log!$B:$B, "n/a", Log!$A:$A, "Daily", Log!$D:$D, $C$3), _xlpm.auto_stop_that_day, _xlfn.XLOOKUP(A37, 'Daily WE'!$C34:$C10028, 'Daily WE'!$G34:$G10028), _xlpm.camera_wand_count_by_day/_xlpm.auto_stop_that_day), "")</f>
        <v/>
      </c>
      <c r="F37" s="191"/>
      <c r="G37" s="191"/>
      <c r="H37" s="108">
        <f>IF($C37="#N/A", NA(), _xlfn.XLOOKUP($A37, 'Daily WE'!$C:$C, 'Daily WE'!$N:$N))</f>
        <v>0</v>
      </c>
      <c r="I37" s="108">
        <f>IF($D37="#N/A", NA(), _xlfn.XLOOKUP($A37, 'Daily WE'!$C:$C, 'Daily WE'!$Q:$Q))</f>
        <v>0</v>
      </c>
    </row>
    <row r="38" spans="1:9" x14ac:dyDescent="0.3">
      <c r="A38" s="5"/>
      <c r="B38" s="4">
        <f>_xlfn.XLOOKUP($A38, 'Daily WE'!C:C, 'Daily WE'!D:D)</f>
        <v>0</v>
      </c>
      <c r="C38" s="6" t="str">
        <f>IFERROR(AVERAGEIFS(Log!$F:$F, Log!$C:$C, $A38, Log!$B:$B, "n/a", Log!$A:$A, "Daily", Log!$D:$D, $C$3), "")</f>
        <v/>
      </c>
      <c r="D38" s="6" t="str">
        <f>IFERROR(AVERAGEIFS(Log!$G:$G, Log!$C:$C, $A38, Log!$B:$B, "n/a", Log!$A:$A, "Daily", Log!$D:$D, $C$3), "")</f>
        <v/>
      </c>
      <c r="E38" s="113" t="str">
        <f>IFERROR(_xlfn.LET(_xlpm.camera_wand_count_by_day, AVERAGEIFS(Log!$E:$E, Log!$C:$C, $A38, Log!$B:$B, "n/a", Log!$A:$A, "Daily", Log!$D:$D, $C$3), _xlpm.auto_stop_that_day, _xlfn.XLOOKUP(A38, 'Daily WE'!$C35:$C10029, 'Daily WE'!$G35:$G10029), _xlpm.camera_wand_count_by_day/_xlpm.auto_stop_that_day), "")</f>
        <v/>
      </c>
      <c r="F38" s="191"/>
      <c r="G38" s="191"/>
      <c r="H38" s="108">
        <f>IF($C38="#N/A", NA(), _xlfn.XLOOKUP($A38, 'Daily WE'!$C:$C, 'Daily WE'!$N:$N))</f>
        <v>0</v>
      </c>
      <c r="I38" s="108">
        <f>IF($D38="#N/A", NA(), _xlfn.XLOOKUP($A38, 'Daily WE'!$C:$C, 'Daily WE'!$Q:$Q))</f>
        <v>0</v>
      </c>
    </row>
    <row r="39" spans="1:9" x14ac:dyDescent="0.3">
      <c r="A39" s="5"/>
      <c r="B39" s="4">
        <f>_xlfn.XLOOKUP($A39, 'Daily WE'!C:C, 'Daily WE'!D:D)</f>
        <v>0</v>
      </c>
      <c r="C39" s="6" t="str">
        <f>IFERROR(AVERAGEIFS(Log!$F:$F, Log!$C:$C, $A39, Log!$B:$B, "n/a", Log!$A:$A, "Daily", Log!$D:$D, $C$3), "")</f>
        <v/>
      </c>
      <c r="D39" s="6" t="str">
        <f>IFERROR(AVERAGEIFS(Log!$G:$G, Log!$C:$C, $A39, Log!$B:$B, "n/a", Log!$A:$A, "Daily", Log!$D:$D, $C$3), "")</f>
        <v/>
      </c>
      <c r="E39" s="113" t="str">
        <f>IFERROR(_xlfn.LET(_xlpm.camera_wand_count_by_day, AVERAGEIFS(Log!$E:$E, Log!$C:$C, $A39, Log!$B:$B, "n/a", Log!$A:$A, "Daily", Log!$D:$D, $C$3), _xlpm.auto_stop_that_day, _xlfn.XLOOKUP(A39, 'Daily WE'!$C36:$C10030, 'Daily WE'!$G36:$G10030), _xlpm.camera_wand_count_by_day/_xlpm.auto_stop_that_day), "")</f>
        <v/>
      </c>
      <c r="F39" s="191"/>
      <c r="G39" s="191"/>
      <c r="H39" s="108">
        <f>IF($C39="#N/A", NA(), _xlfn.XLOOKUP($A39, 'Daily WE'!$C:$C, 'Daily WE'!$N:$N))</f>
        <v>0</v>
      </c>
      <c r="I39" s="108">
        <f>IF($D39="#N/A", NA(), _xlfn.XLOOKUP($A39, 'Daily WE'!$C:$C, 'Daily WE'!$Q:$Q))</f>
        <v>0</v>
      </c>
    </row>
    <row r="40" spans="1:9" x14ac:dyDescent="0.3">
      <c r="A40" s="5"/>
      <c r="B40" s="4">
        <f>_xlfn.XLOOKUP($A40, 'Daily WE'!C:C, 'Daily WE'!D:D)</f>
        <v>0</v>
      </c>
      <c r="C40" s="6" t="str">
        <f>IFERROR(AVERAGEIFS(Log!$F:$F, Log!$C:$C, $A40, Log!$B:$B, "n/a", Log!$A:$A, "Daily", Log!$D:$D, $C$3), "")</f>
        <v/>
      </c>
      <c r="D40" s="6" t="str">
        <f>IFERROR(AVERAGEIFS(Log!$G:$G, Log!$C:$C, $A40, Log!$B:$B, "n/a", Log!$A:$A, "Daily", Log!$D:$D, $C$3), "")</f>
        <v/>
      </c>
      <c r="E40" s="113" t="str">
        <f>IFERROR(_xlfn.LET(_xlpm.camera_wand_count_by_day, AVERAGEIFS(Log!$E:$E, Log!$C:$C, $A40, Log!$B:$B, "n/a", Log!$A:$A, "Daily", Log!$D:$D, $C$3), _xlpm.auto_stop_that_day, _xlfn.XLOOKUP(A40, 'Daily WE'!$C37:$C10031, 'Daily WE'!$G37:$G10031), _xlpm.camera_wand_count_by_day/_xlpm.auto_stop_that_day), "")</f>
        <v/>
      </c>
      <c r="F40" s="191"/>
      <c r="G40" s="191"/>
      <c r="H40" s="108">
        <f>IF($C40="#N/A", NA(), _xlfn.XLOOKUP($A40, 'Daily WE'!$C:$C, 'Daily WE'!$N:$N))</f>
        <v>0</v>
      </c>
      <c r="I40" s="108">
        <f>IF($D40="#N/A", NA(), _xlfn.XLOOKUP($A40, 'Daily WE'!$C:$C, 'Daily WE'!$Q:$Q))</f>
        <v>0</v>
      </c>
    </row>
    <row r="41" spans="1:9" x14ac:dyDescent="0.3">
      <c r="A41" s="5"/>
      <c r="B41" s="4">
        <f>_xlfn.XLOOKUP($A41, 'Daily WE'!C:C, 'Daily WE'!D:D)</f>
        <v>0</v>
      </c>
      <c r="C41" s="6" t="str">
        <f>IFERROR(AVERAGEIFS(Log!$F:$F, Log!$C:$C, $A41, Log!$B:$B, "n/a", Log!$A:$A, "Daily", Log!$D:$D, $C$3), "")</f>
        <v/>
      </c>
      <c r="D41" s="6" t="str">
        <f>IFERROR(AVERAGEIFS(Log!$G:$G, Log!$C:$C, $A41, Log!$B:$B, "n/a", Log!$A:$A, "Daily", Log!$D:$D, $C$3), "")</f>
        <v/>
      </c>
      <c r="E41" s="113" t="str">
        <f>IFERROR(_xlfn.LET(_xlpm.camera_wand_count_by_day, AVERAGEIFS(Log!$E:$E, Log!$C:$C, $A41, Log!$B:$B, "n/a", Log!$A:$A, "Daily", Log!$D:$D, $C$3), _xlpm.auto_stop_that_day, _xlfn.XLOOKUP(A41, 'Daily WE'!$C38:$C10032, 'Daily WE'!$G38:$G10032), _xlpm.camera_wand_count_by_day/_xlpm.auto_stop_that_day), "")</f>
        <v/>
      </c>
      <c r="F41" s="191"/>
      <c r="G41" s="191"/>
      <c r="H41" s="108">
        <f>IF($C41="#N/A", NA(), _xlfn.XLOOKUP($A41, 'Daily WE'!$C:$C, 'Daily WE'!$N:$N))</f>
        <v>0</v>
      </c>
      <c r="I41" s="108">
        <f>IF($D41="#N/A", NA(), _xlfn.XLOOKUP($A41, 'Daily WE'!$C:$C, 'Daily WE'!$Q:$Q))</f>
        <v>0</v>
      </c>
    </row>
    <row r="42" spans="1:9" x14ac:dyDescent="0.3">
      <c r="A42" s="5"/>
      <c r="B42" s="4">
        <f>_xlfn.XLOOKUP($A42, 'Daily WE'!C:C, 'Daily WE'!D:D)</f>
        <v>0</v>
      </c>
      <c r="C42" s="6" t="str">
        <f>IFERROR(AVERAGEIFS(Log!$F:$F, Log!$C:$C, $A42, Log!$B:$B, "n/a", Log!$A:$A, "Daily", Log!$D:$D, $C$3), "")</f>
        <v/>
      </c>
      <c r="D42" s="6" t="str">
        <f>IFERROR(AVERAGEIFS(Log!$G:$G, Log!$C:$C, $A42, Log!$B:$B, "n/a", Log!$A:$A, "Daily", Log!$D:$D, $C$3), "")</f>
        <v/>
      </c>
      <c r="E42" s="113" t="str">
        <f>IFERROR(_xlfn.LET(_xlpm.camera_wand_count_by_day, AVERAGEIFS(Log!$E:$E, Log!$C:$C, $A42, Log!$B:$B, "n/a", Log!$A:$A, "Daily", Log!$D:$D, $C$3), _xlpm.auto_stop_that_day, _xlfn.XLOOKUP(A42, 'Daily WE'!$C39:$C10033, 'Daily WE'!$G39:$G10033), _xlpm.camera_wand_count_by_day/_xlpm.auto_stop_that_day), "")</f>
        <v/>
      </c>
      <c r="F42" s="191"/>
      <c r="G42" s="191"/>
      <c r="H42" s="108">
        <f>IF($C42="#N/A", NA(), _xlfn.XLOOKUP($A42, 'Daily WE'!$C:$C, 'Daily WE'!$N:$N))</f>
        <v>0</v>
      </c>
      <c r="I42" s="108">
        <f>IF($D42="#N/A", NA(), _xlfn.XLOOKUP($A42, 'Daily WE'!$C:$C, 'Daily WE'!$Q:$Q))</f>
        <v>0</v>
      </c>
    </row>
    <row r="43" spans="1:9" x14ac:dyDescent="0.3">
      <c r="A43" s="5"/>
      <c r="B43" s="4">
        <f>_xlfn.XLOOKUP($A43, 'Daily WE'!C:C, 'Daily WE'!D:D)</f>
        <v>0</v>
      </c>
      <c r="C43" s="6" t="str">
        <f>IFERROR(AVERAGEIFS(Log!$F:$F, Log!$C:$C, $A43, Log!$B:$B, "n/a", Log!$A:$A, "Daily", Log!$D:$D, $C$3), "")</f>
        <v/>
      </c>
      <c r="D43" s="6" t="str">
        <f>IFERROR(AVERAGEIFS(Log!$G:$G, Log!$C:$C, $A43, Log!$B:$B, "n/a", Log!$A:$A, "Daily", Log!$D:$D, $C$3), "")</f>
        <v/>
      </c>
      <c r="E43" s="113" t="str">
        <f>IFERROR(_xlfn.LET(_xlpm.camera_wand_count_by_day, AVERAGEIFS(Log!$E:$E, Log!$C:$C, $A43, Log!$B:$B, "n/a", Log!$A:$A, "Daily", Log!$D:$D, $C$3), _xlpm.auto_stop_that_day, _xlfn.XLOOKUP(A43, 'Daily WE'!$C40:$C10034, 'Daily WE'!$G40:$G10034), _xlpm.camera_wand_count_by_day/_xlpm.auto_stop_that_day), "")</f>
        <v/>
      </c>
      <c r="F43" s="191"/>
      <c r="G43" s="191"/>
      <c r="H43" s="108">
        <f>IF($C43="#N/A", NA(), _xlfn.XLOOKUP($A43, 'Daily WE'!$C:$C, 'Daily WE'!$N:$N))</f>
        <v>0</v>
      </c>
      <c r="I43" s="108">
        <f>IF($D43="#N/A", NA(), _xlfn.XLOOKUP($A43, 'Daily WE'!$C:$C, 'Daily WE'!$Q:$Q))</f>
        <v>0</v>
      </c>
    </row>
    <row r="44" spans="1:9" x14ac:dyDescent="0.3">
      <c r="A44" s="5"/>
      <c r="B44" s="4">
        <f>_xlfn.XLOOKUP($A44, 'Daily WE'!C:C, 'Daily WE'!D:D)</f>
        <v>0</v>
      </c>
      <c r="C44" s="6" t="str">
        <f>IFERROR(AVERAGEIFS(Log!$F:$F, Log!$C:$C, $A44, Log!$B:$B, "n/a", Log!$A:$A, "Daily", Log!$D:$D, $C$3), "")</f>
        <v/>
      </c>
      <c r="D44" s="6" t="str">
        <f>IFERROR(AVERAGEIFS(Log!$G:$G, Log!$C:$C, $A44, Log!$B:$B, "n/a", Log!$A:$A, "Daily", Log!$D:$D, $C$3), "")</f>
        <v/>
      </c>
      <c r="E44" s="113" t="str">
        <f>IFERROR(_xlfn.LET(_xlpm.camera_wand_count_by_day, AVERAGEIFS(Log!$E:$E, Log!$C:$C, $A44, Log!$B:$B, "n/a", Log!$A:$A, "Daily", Log!$D:$D, $C$3), _xlpm.auto_stop_that_day, _xlfn.XLOOKUP(A44, 'Daily WE'!$C41:$C10035, 'Daily WE'!$G41:$G10035), _xlpm.camera_wand_count_by_day/_xlpm.auto_stop_that_day), "")</f>
        <v/>
      </c>
      <c r="F44" s="191"/>
      <c r="G44" s="191"/>
      <c r="H44" s="108">
        <f>IF($C44="#N/A", NA(), _xlfn.XLOOKUP($A44, 'Daily WE'!$C:$C, 'Daily WE'!$N:$N))</f>
        <v>0</v>
      </c>
      <c r="I44" s="108">
        <f>IF($D44="#N/A", NA(), _xlfn.XLOOKUP($A44, 'Daily WE'!$C:$C, 'Daily WE'!$Q:$Q))</f>
        <v>0</v>
      </c>
    </row>
    <row r="45" spans="1:9" x14ac:dyDescent="0.3">
      <c r="A45" s="5"/>
      <c r="B45" s="4">
        <f>_xlfn.XLOOKUP($A45, 'Daily WE'!C:C, 'Daily WE'!D:D)</f>
        <v>0</v>
      </c>
      <c r="C45" s="6" t="str">
        <f>IFERROR(AVERAGEIFS(Log!$F:$F, Log!$C:$C, $A45, Log!$B:$B, "n/a", Log!$A:$A, "Daily", Log!$D:$D, $C$3), "")</f>
        <v/>
      </c>
      <c r="D45" s="6" t="str">
        <f>IFERROR(AVERAGEIFS(Log!$G:$G, Log!$C:$C, $A45, Log!$B:$B, "n/a", Log!$A:$A, "Daily", Log!$D:$D, $C$3), "")</f>
        <v/>
      </c>
      <c r="E45" s="113" t="str">
        <f>IFERROR(_xlfn.LET(_xlpm.camera_wand_count_by_day, AVERAGEIFS(Log!$E:$E, Log!$C:$C, $A45, Log!$B:$B, "n/a", Log!$A:$A, "Daily", Log!$D:$D, $C$3), _xlpm.auto_stop_that_day, _xlfn.XLOOKUP(A45, 'Daily WE'!$C42:$C10036, 'Daily WE'!$G42:$G10036), _xlpm.camera_wand_count_by_day/_xlpm.auto_stop_that_day), "")</f>
        <v/>
      </c>
      <c r="F45" s="191"/>
      <c r="G45" s="191"/>
      <c r="H45" s="108">
        <f>IF($C45="#N/A", NA(), _xlfn.XLOOKUP($A45, 'Daily WE'!$C:$C, 'Daily WE'!$N:$N))</f>
        <v>0</v>
      </c>
      <c r="I45" s="108">
        <f>IF($D45="#N/A", NA(), _xlfn.XLOOKUP($A45, 'Daily WE'!$C:$C, 'Daily WE'!$Q:$Q))</f>
        <v>0</v>
      </c>
    </row>
    <row r="46" spans="1:9" x14ac:dyDescent="0.3">
      <c r="A46" s="5"/>
      <c r="B46" s="4">
        <f>_xlfn.XLOOKUP($A46, 'Daily WE'!C:C, 'Daily WE'!D:D)</f>
        <v>0</v>
      </c>
      <c r="C46" s="6" t="str">
        <f>IFERROR(AVERAGEIFS(Log!$F:$F, Log!$C:$C, $A46, Log!$B:$B, "n/a", Log!$A:$A, "Daily", Log!$D:$D, $C$3), "")</f>
        <v/>
      </c>
      <c r="D46" s="6" t="str">
        <f>IFERROR(AVERAGEIFS(Log!$G:$G, Log!$C:$C, $A46, Log!$B:$B, "n/a", Log!$A:$A, "Daily", Log!$D:$D, $C$3), "")</f>
        <v/>
      </c>
      <c r="E46" s="113" t="str">
        <f>IFERROR(_xlfn.LET(_xlpm.camera_wand_count_by_day, AVERAGEIFS(Log!$E:$E, Log!$C:$C, $A46, Log!$B:$B, "n/a", Log!$A:$A, "Daily", Log!$D:$D, $C$3), _xlpm.auto_stop_that_day, _xlfn.XLOOKUP(A46, 'Daily WE'!$C43:$C10037, 'Daily WE'!$G43:$G10037), _xlpm.camera_wand_count_by_day/_xlpm.auto_stop_that_day), "")</f>
        <v/>
      </c>
      <c r="F46" s="191"/>
      <c r="G46" s="191"/>
      <c r="H46" s="108">
        <f>IF($C46="#N/A", NA(), _xlfn.XLOOKUP($A46, 'Daily WE'!$C:$C, 'Daily WE'!$N:$N))</f>
        <v>0</v>
      </c>
      <c r="I46" s="108">
        <f>IF($D46="#N/A", NA(), _xlfn.XLOOKUP($A46, 'Daily WE'!$C:$C, 'Daily WE'!$Q:$Q))</f>
        <v>0</v>
      </c>
    </row>
    <row r="47" spans="1:9" x14ac:dyDescent="0.3">
      <c r="A47" s="5"/>
      <c r="B47" s="4">
        <f>_xlfn.XLOOKUP($A47, 'Daily WE'!C:C, 'Daily WE'!D:D)</f>
        <v>0</v>
      </c>
      <c r="C47" s="6" t="str">
        <f>IFERROR(AVERAGEIFS(Log!$F:$F, Log!$C:$C, $A47, Log!$B:$B, "n/a", Log!$A:$A, "Daily", Log!$D:$D, $C$3), "")</f>
        <v/>
      </c>
      <c r="D47" s="6" t="str">
        <f>IFERROR(AVERAGEIFS(Log!$G:$G, Log!$C:$C, $A47, Log!$B:$B, "n/a", Log!$A:$A, "Daily", Log!$D:$D, $C$3), "")</f>
        <v/>
      </c>
      <c r="E47" s="113" t="str">
        <f>IFERROR(_xlfn.LET(_xlpm.camera_wand_count_by_day, AVERAGEIFS(Log!$E:$E, Log!$C:$C, $A47, Log!$B:$B, "n/a", Log!$A:$A, "Daily", Log!$D:$D, $C$3), _xlpm.auto_stop_that_day, _xlfn.XLOOKUP(A47, 'Daily WE'!$C44:$C10038, 'Daily WE'!$G44:$G10038), _xlpm.camera_wand_count_by_day/_xlpm.auto_stop_that_day), "")</f>
        <v/>
      </c>
      <c r="F47" s="191"/>
      <c r="G47" s="191"/>
      <c r="H47" s="108">
        <f>IF($C47="#N/A", NA(), _xlfn.XLOOKUP($A47, 'Daily WE'!$C:$C, 'Daily WE'!$N:$N))</f>
        <v>0</v>
      </c>
      <c r="I47" s="108">
        <f>IF($D47="#N/A", NA(), _xlfn.XLOOKUP($A47, 'Daily WE'!$C:$C, 'Daily WE'!$Q:$Q))</f>
        <v>0</v>
      </c>
    </row>
    <row r="48" spans="1:9" x14ac:dyDescent="0.3">
      <c r="A48" s="5"/>
      <c r="B48" s="4">
        <f>_xlfn.XLOOKUP($A48, 'Daily WE'!C:C, 'Daily WE'!D:D)</f>
        <v>0</v>
      </c>
      <c r="C48" s="6" t="str">
        <f>IFERROR(AVERAGEIFS(Log!$F:$F, Log!$C:$C, $A48, Log!$B:$B, "n/a", Log!$A:$A, "Daily", Log!$D:$D, $C$3), "")</f>
        <v/>
      </c>
      <c r="D48" s="6" t="str">
        <f>IFERROR(AVERAGEIFS(Log!$G:$G, Log!$C:$C, $A48, Log!$B:$B, "n/a", Log!$A:$A, "Daily", Log!$D:$D, $C$3), "")</f>
        <v/>
      </c>
      <c r="E48" s="113" t="str">
        <f>IFERROR(_xlfn.LET(_xlpm.camera_wand_count_by_day, AVERAGEIFS(Log!$E:$E, Log!$C:$C, $A48, Log!$B:$B, "n/a", Log!$A:$A, "Daily", Log!$D:$D, $C$3), _xlpm.auto_stop_that_day, _xlfn.XLOOKUP(A48, 'Daily WE'!$C45:$C10039, 'Daily WE'!$G45:$G10039), _xlpm.camera_wand_count_by_day/_xlpm.auto_stop_that_day), "")</f>
        <v/>
      </c>
      <c r="F48" s="191"/>
      <c r="G48" s="191"/>
      <c r="H48" s="108">
        <f>IF($C48="#N/A", NA(), _xlfn.XLOOKUP($A48, 'Daily WE'!$C:$C, 'Daily WE'!$N:$N))</f>
        <v>0</v>
      </c>
      <c r="I48" s="108">
        <f>IF($D48="#N/A", NA(), _xlfn.XLOOKUP($A48, 'Daily WE'!$C:$C, 'Daily WE'!$Q:$Q))</f>
        <v>0</v>
      </c>
    </row>
    <row r="49" spans="1:9" x14ac:dyDescent="0.3">
      <c r="A49" s="5"/>
      <c r="B49" s="4">
        <f>_xlfn.XLOOKUP($A49, 'Daily WE'!C:C, 'Daily WE'!D:D)</f>
        <v>0</v>
      </c>
      <c r="C49" s="6" t="str">
        <f>IFERROR(AVERAGEIFS(Log!$F:$F, Log!$C:$C, $A49, Log!$B:$B, "n/a", Log!$A:$A, "Daily", Log!$D:$D, $C$3), "")</f>
        <v/>
      </c>
      <c r="D49" s="6" t="str">
        <f>IFERROR(AVERAGEIFS(Log!$G:$G, Log!$C:$C, $A49, Log!$B:$B, "n/a", Log!$A:$A, "Daily", Log!$D:$D, $C$3), "")</f>
        <v/>
      </c>
      <c r="E49" s="113" t="str">
        <f>IFERROR(_xlfn.LET(_xlpm.camera_wand_count_by_day, AVERAGEIFS(Log!$E:$E, Log!$C:$C, $A49, Log!$B:$B, "n/a", Log!$A:$A, "Daily", Log!$D:$D, $C$3), _xlpm.auto_stop_that_day, _xlfn.XLOOKUP(A49, 'Daily WE'!$C46:$C10040, 'Daily WE'!$G46:$G10040), _xlpm.camera_wand_count_by_day/_xlpm.auto_stop_that_day), "")</f>
        <v/>
      </c>
      <c r="F49" s="191"/>
      <c r="G49" s="191"/>
      <c r="H49" s="108">
        <f>IF($C49="#N/A", NA(), _xlfn.XLOOKUP($A49, 'Daily WE'!$C:$C, 'Daily WE'!$N:$N))</f>
        <v>0</v>
      </c>
      <c r="I49" s="108">
        <f>IF($D49="#N/A", NA(), _xlfn.XLOOKUP($A49, 'Daily WE'!$C:$C, 'Daily WE'!$Q:$Q))</f>
        <v>0</v>
      </c>
    </row>
    <row r="50" spans="1:9" x14ac:dyDescent="0.3">
      <c r="A50" s="5"/>
      <c r="B50" s="4">
        <f>_xlfn.XLOOKUP($A50, 'Daily WE'!C:C, 'Daily WE'!D:D)</f>
        <v>0</v>
      </c>
      <c r="C50" s="6" t="str">
        <f>IFERROR(AVERAGEIFS(Log!$F:$F, Log!$C:$C, $A50, Log!$B:$B, "n/a", Log!$A:$A, "Daily", Log!$D:$D, $C$3), "")</f>
        <v/>
      </c>
      <c r="D50" s="6" t="str">
        <f>IFERROR(AVERAGEIFS(Log!$G:$G, Log!$C:$C, $A50, Log!$B:$B, "n/a", Log!$A:$A, "Daily", Log!$D:$D, $C$3), "")</f>
        <v/>
      </c>
      <c r="E50" s="113" t="str">
        <f>IFERROR(_xlfn.LET(_xlpm.camera_wand_count_by_day, AVERAGEIFS(Log!$E:$E, Log!$C:$C, $A50, Log!$B:$B, "n/a", Log!$A:$A, "Daily", Log!$D:$D, $C$3), _xlpm.auto_stop_that_day, _xlfn.XLOOKUP(A50, 'Daily WE'!$C47:$C10041, 'Daily WE'!$G47:$G10041), _xlpm.camera_wand_count_by_day/_xlpm.auto_stop_that_day), "")</f>
        <v/>
      </c>
      <c r="F50" s="191"/>
      <c r="G50" s="191"/>
      <c r="H50" s="108">
        <f>IF($C50="#N/A", NA(), _xlfn.XLOOKUP($A50, 'Daily WE'!$C:$C, 'Daily WE'!$N:$N))</f>
        <v>0</v>
      </c>
      <c r="I50" s="108">
        <f>IF($D50="#N/A", NA(), _xlfn.XLOOKUP($A50, 'Daily WE'!$C:$C, 'Daily WE'!$Q:$Q))</f>
        <v>0</v>
      </c>
    </row>
    <row r="51" spans="1:9" x14ac:dyDescent="0.3">
      <c r="A51" s="5"/>
      <c r="B51" s="4">
        <f>_xlfn.XLOOKUP($A51, 'Daily WE'!C:C, 'Daily WE'!D:D)</f>
        <v>0</v>
      </c>
      <c r="C51" s="6" t="str">
        <f>IFERROR(AVERAGEIFS(Log!$F:$F, Log!$C:$C, $A51, Log!$B:$B, "n/a", Log!$A:$A, "Daily", Log!$D:$D, $C$3), "")</f>
        <v/>
      </c>
      <c r="D51" s="6" t="str">
        <f>IFERROR(AVERAGEIFS(Log!$G:$G, Log!$C:$C, $A51, Log!$B:$B, "n/a", Log!$A:$A, "Daily", Log!$D:$D, $C$3), "")</f>
        <v/>
      </c>
      <c r="E51" s="113" t="str">
        <f>IFERROR(_xlfn.LET(_xlpm.camera_wand_count_by_day, AVERAGEIFS(Log!$E:$E, Log!$C:$C, $A51, Log!$B:$B, "n/a", Log!$A:$A, "Daily", Log!$D:$D, $C$3), _xlpm.auto_stop_that_day, _xlfn.XLOOKUP(A51, 'Daily WE'!$C48:$C10042, 'Daily WE'!$G48:$G10042), _xlpm.camera_wand_count_by_day/_xlpm.auto_stop_that_day), "")</f>
        <v/>
      </c>
      <c r="F51" s="191"/>
      <c r="G51" s="191"/>
      <c r="H51" s="108">
        <f>IF($C51="#N/A", NA(), _xlfn.XLOOKUP($A51, 'Daily WE'!$C:$C, 'Daily WE'!$N:$N))</f>
        <v>0</v>
      </c>
      <c r="I51" s="108">
        <f>IF($D51="#N/A", NA(), _xlfn.XLOOKUP($A51, 'Daily WE'!$C:$C, 'Daily WE'!$Q:$Q))</f>
        <v>0</v>
      </c>
    </row>
    <row r="52" spans="1:9" x14ac:dyDescent="0.3">
      <c r="A52" s="5"/>
      <c r="B52" s="4">
        <f>_xlfn.XLOOKUP($A52, 'Daily WE'!C:C, 'Daily WE'!D:D)</f>
        <v>0</v>
      </c>
      <c r="C52" s="6" t="str">
        <f>IFERROR(AVERAGEIFS(Log!$F:$F, Log!$C:$C, $A52, Log!$B:$B, "n/a", Log!$A:$A, "Daily", Log!$D:$D, $C$3), "")</f>
        <v/>
      </c>
      <c r="D52" s="6" t="str">
        <f>IFERROR(AVERAGEIFS(Log!$G:$G, Log!$C:$C, $A52, Log!$B:$B, "n/a", Log!$A:$A, "Daily", Log!$D:$D, $C$3), "")</f>
        <v/>
      </c>
      <c r="E52" s="113" t="str">
        <f>IFERROR(_xlfn.LET(_xlpm.camera_wand_count_by_day, AVERAGEIFS(Log!$E:$E, Log!$C:$C, $A52, Log!$B:$B, "n/a", Log!$A:$A, "Daily", Log!$D:$D, $C$3), _xlpm.auto_stop_that_day, _xlfn.XLOOKUP(A52, 'Daily WE'!$C49:$C10043, 'Daily WE'!$G49:$G10043), _xlpm.camera_wand_count_by_day/_xlpm.auto_stop_that_day), "")</f>
        <v/>
      </c>
      <c r="F52" s="191"/>
      <c r="G52" s="191"/>
      <c r="H52" s="108">
        <f>IF($C52="#N/A", NA(), _xlfn.XLOOKUP($A52, 'Daily WE'!$C:$C, 'Daily WE'!$N:$N))</f>
        <v>0</v>
      </c>
      <c r="I52" s="108">
        <f>IF($D52="#N/A", NA(), _xlfn.XLOOKUP($A52, 'Daily WE'!$C:$C, 'Daily WE'!$Q:$Q))</f>
        <v>0</v>
      </c>
    </row>
    <row r="53" spans="1:9" x14ac:dyDescent="0.3">
      <c r="A53" s="5"/>
      <c r="B53" s="4">
        <f>_xlfn.XLOOKUP($A53, 'Daily WE'!C:C, 'Daily WE'!D:D)</f>
        <v>0</v>
      </c>
      <c r="C53" s="6" t="str">
        <f>IFERROR(AVERAGEIFS(Log!$F:$F, Log!$C:$C, $A53, Log!$B:$B, "n/a", Log!$A:$A, "Daily", Log!$D:$D, $C$3), "")</f>
        <v/>
      </c>
      <c r="D53" s="6" t="str">
        <f>IFERROR(AVERAGEIFS(Log!$G:$G, Log!$C:$C, $A53, Log!$B:$B, "n/a", Log!$A:$A, "Daily", Log!$D:$D, $C$3), "")</f>
        <v/>
      </c>
      <c r="E53" s="113" t="str">
        <f>IFERROR(_xlfn.LET(_xlpm.camera_wand_count_by_day, AVERAGEIFS(Log!$E:$E, Log!$C:$C, $A53, Log!$B:$B, "n/a", Log!$A:$A, "Daily", Log!$D:$D, $C$3), _xlpm.auto_stop_that_day, _xlfn.XLOOKUP(A53, 'Daily WE'!$C50:$C10044, 'Daily WE'!$G50:$G10044), _xlpm.camera_wand_count_by_day/_xlpm.auto_stop_that_day), "")</f>
        <v/>
      </c>
      <c r="F53" s="191"/>
      <c r="G53" s="191"/>
      <c r="H53" s="108">
        <f>IF($C53="#N/A", NA(), _xlfn.XLOOKUP($A53, 'Daily WE'!$C:$C, 'Daily WE'!$N:$N))</f>
        <v>0</v>
      </c>
      <c r="I53" s="108">
        <f>IF($D53="#N/A", NA(), _xlfn.XLOOKUP($A53, 'Daily WE'!$C:$C, 'Daily WE'!$Q:$Q))</f>
        <v>0</v>
      </c>
    </row>
    <row r="54" spans="1:9" x14ac:dyDescent="0.3">
      <c r="A54" s="5"/>
      <c r="B54" s="4">
        <f>_xlfn.XLOOKUP($A54, 'Daily WE'!C:C, 'Daily WE'!D:D)</f>
        <v>0</v>
      </c>
      <c r="C54" s="6" t="str">
        <f>IFERROR(AVERAGEIFS(Log!$F:$F, Log!$C:$C, $A54, Log!$B:$B, "n/a", Log!$A:$A, "Daily", Log!$D:$D, $C$3), "")</f>
        <v/>
      </c>
      <c r="D54" s="6" t="str">
        <f>IFERROR(AVERAGEIFS(Log!$G:$G, Log!$C:$C, $A54, Log!$B:$B, "n/a", Log!$A:$A, "Daily", Log!$D:$D, $C$3), "")</f>
        <v/>
      </c>
      <c r="E54" s="113" t="str">
        <f>IFERROR(_xlfn.LET(_xlpm.camera_wand_count_by_day, AVERAGEIFS(Log!$E:$E, Log!$C:$C, $A54, Log!$B:$B, "n/a", Log!$A:$A, "Daily", Log!$D:$D, $C$3), _xlpm.auto_stop_that_day, _xlfn.XLOOKUP(A54, 'Daily WE'!$C51:$C10045, 'Daily WE'!$G51:$G10045), _xlpm.camera_wand_count_by_day/_xlpm.auto_stop_that_day), "")</f>
        <v/>
      </c>
      <c r="F54" s="191"/>
      <c r="G54" s="191"/>
      <c r="H54" s="108">
        <f>IF($C54="#N/A", NA(), _xlfn.XLOOKUP($A54, 'Daily WE'!$C:$C, 'Daily WE'!$N:$N))</f>
        <v>0</v>
      </c>
      <c r="I54" s="108">
        <f>IF($D54="#N/A", NA(), _xlfn.XLOOKUP($A54, 'Daily WE'!$C:$C, 'Daily WE'!$Q:$Q))</f>
        <v>0</v>
      </c>
    </row>
    <row r="55" spans="1:9" x14ac:dyDescent="0.3">
      <c r="A55" s="5"/>
      <c r="B55" s="4">
        <f>_xlfn.XLOOKUP($A55, 'Daily WE'!C:C, 'Daily WE'!D:D)</f>
        <v>0</v>
      </c>
      <c r="C55" s="6" t="str">
        <f>IFERROR(AVERAGEIFS(Log!$F:$F, Log!$C:$C, $A55, Log!$B:$B, "n/a", Log!$A:$A, "Daily", Log!$D:$D, $C$3), "")</f>
        <v/>
      </c>
      <c r="D55" s="6" t="str">
        <f>IFERROR(AVERAGEIFS(Log!$G:$G, Log!$C:$C, $A55, Log!$B:$B, "n/a", Log!$A:$A, "Daily", Log!$D:$D, $C$3), "")</f>
        <v/>
      </c>
      <c r="E55" s="113" t="str">
        <f>IFERROR(_xlfn.LET(_xlpm.camera_wand_count_by_day, AVERAGEIFS(Log!$E:$E, Log!$C:$C, $A55, Log!$B:$B, "n/a", Log!$A:$A, "Daily", Log!$D:$D, $C$3), _xlpm.auto_stop_that_day, _xlfn.XLOOKUP(A55, 'Daily WE'!$C52:$C10046, 'Daily WE'!$G52:$G10046), _xlpm.camera_wand_count_by_day/_xlpm.auto_stop_that_day), "")</f>
        <v/>
      </c>
      <c r="F55" s="191"/>
      <c r="G55" s="191"/>
      <c r="H55" s="108">
        <f>IF($C55="#N/A", NA(), _xlfn.XLOOKUP($A55, 'Daily WE'!$C:$C, 'Daily WE'!$N:$N))</f>
        <v>0</v>
      </c>
      <c r="I55" s="108">
        <f>IF($D55="#N/A", NA(), _xlfn.XLOOKUP($A55, 'Daily WE'!$C:$C, 'Daily WE'!$Q:$Q))</f>
        <v>0</v>
      </c>
    </row>
    <row r="56" spans="1:9" x14ac:dyDescent="0.3">
      <c r="A56" s="5"/>
      <c r="B56" s="4">
        <f>_xlfn.XLOOKUP($A56, 'Daily WE'!C:C, 'Daily WE'!D:D)</f>
        <v>0</v>
      </c>
      <c r="C56" s="6" t="str">
        <f>IFERROR(AVERAGEIFS(Log!$F:$F, Log!$C:$C, $A56, Log!$B:$B, "n/a", Log!$A:$A, "Daily", Log!$D:$D, $C$3), "")</f>
        <v/>
      </c>
      <c r="D56" s="6" t="str">
        <f>IFERROR(AVERAGEIFS(Log!$G:$G, Log!$C:$C, $A56, Log!$B:$B, "n/a", Log!$A:$A, "Daily", Log!$D:$D, $C$3), "")</f>
        <v/>
      </c>
      <c r="E56" s="113" t="str">
        <f>IFERROR(_xlfn.LET(_xlpm.camera_wand_count_by_day, AVERAGEIFS(Log!$E:$E, Log!$C:$C, $A56, Log!$B:$B, "n/a", Log!$A:$A, "Daily", Log!$D:$D, $C$3), _xlpm.auto_stop_that_day, _xlfn.XLOOKUP(A56, 'Daily WE'!$C53:$C10047, 'Daily WE'!$G53:$G10047), _xlpm.camera_wand_count_by_day/_xlpm.auto_stop_that_day), "")</f>
        <v/>
      </c>
      <c r="F56" s="191"/>
      <c r="G56" s="191"/>
      <c r="H56" s="108">
        <f>IF($C56="#N/A", NA(), _xlfn.XLOOKUP($A56, 'Daily WE'!$C:$C, 'Daily WE'!$N:$N))</f>
        <v>0</v>
      </c>
      <c r="I56" s="108">
        <f>IF($D56="#N/A", NA(), _xlfn.XLOOKUP($A56, 'Daily WE'!$C:$C, 'Daily WE'!$Q:$Q))</f>
        <v>0</v>
      </c>
    </row>
    <row r="57" spans="1:9" x14ac:dyDescent="0.3">
      <c r="A57" s="5"/>
      <c r="B57" s="4">
        <f>_xlfn.XLOOKUP($A57, 'Daily WE'!C:C, 'Daily WE'!D:D)</f>
        <v>0</v>
      </c>
      <c r="C57" s="6" t="str">
        <f>IFERROR(AVERAGEIFS(Log!$F:$F, Log!$C:$C, $A57, Log!$B:$B, "n/a", Log!$A:$A, "Daily", Log!$D:$D, $C$3), "")</f>
        <v/>
      </c>
      <c r="D57" s="6" t="str">
        <f>IFERROR(AVERAGEIFS(Log!$G:$G, Log!$C:$C, $A57, Log!$B:$B, "n/a", Log!$A:$A, "Daily", Log!$D:$D, $C$3), "")</f>
        <v/>
      </c>
      <c r="E57" s="113" t="str">
        <f>IFERROR(_xlfn.LET(_xlpm.camera_wand_count_by_day, AVERAGEIFS(Log!$E:$E, Log!$C:$C, $A57, Log!$B:$B, "n/a", Log!$A:$A, "Daily", Log!$D:$D, $C$3), _xlpm.auto_stop_that_day, _xlfn.XLOOKUP(A57, 'Daily WE'!$C54:$C10048, 'Daily WE'!$G54:$G10048), _xlpm.camera_wand_count_by_day/_xlpm.auto_stop_that_day), "")</f>
        <v/>
      </c>
      <c r="F57" s="191"/>
      <c r="G57" s="191"/>
      <c r="H57" s="108">
        <f>IF($C57="#N/A", NA(), _xlfn.XLOOKUP($A57, 'Daily WE'!$C:$C, 'Daily WE'!$N:$N))</f>
        <v>0</v>
      </c>
      <c r="I57" s="108">
        <f>IF($D57="#N/A", NA(), _xlfn.XLOOKUP($A57, 'Daily WE'!$C:$C, 'Daily WE'!$Q:$Q))</f>
        <v>0</v>
      </c>
    </row>
    <row r="58" spans="1:9" x14ac:dyDescent="0.3">
      <c r="A58" s="5"/>
      <c r="B58" s="4">
        <f>_xlfn.XLOOKUP($A58, 'Daily WE'!C:C, 'Daily WE'!D:D)</f>
        <v>0</v>
      </c>
      <c r="C58" s="6" t="str">
        <f>IFERROR(AVERAGEIFS(Log!$F:$F, Log!$C:$C, $A58, Log!$B:$B, "n/a", Log!$A:$A, "Daily", Log!$D:$D, $C$3), "")</f>
        <v/>
      </c>
      <c r="D58" s="6" t="str">
        <f>IFERROR(AVERAGEIFS(Log!$G:$G, Log!$C:$C, $A58, Log!$B:$B, "n/a", Log!$A:$A, "Daily", Log!$D:$D, $C$3), "")</f>
        <v/>
      </c>
      <c r="E58" s="113" t="str">
        <f>IFERROR(_xlfn.LET(_xlpm.camera_wand_count_by_day, AVERAGEIFS(Log!$E:$E, Log!$C:$C, $A58, Log!$B:$B, "n/a", Log!$A:$A, "Daily", Log!$D:$D, $C$3), _xlpm.auto_stop_that_day, _xlfn.XLOOKUP(A58, 'Daily WE'!$C55:$C10049, 'Daily WE'!$G55:$G10049), _xlpm.camera_wand_count_by_day/_xlpm.auto_stop_that_day), "")</f>
        <v/>
      </c>
      <c r="F58" s="191"/>
      <c r="G58" s="191"/>
      <c r="H58" s="108">
        <f>IF($C58="#N/A", NA(), _xlfn.XLOOKUP($A58, 'Daily WE'!$C:$C, 'Daily WE'!$N:$N))</f>
        <v>0</v>
      </c>
      <c r="I58" s="108">
        <f>IF($D58="#N/A", NA(), _xlfn.XLOOKUP($A58, 'Daily WE'!$C:$C, 'Daily WE'!$Q:$Q))</f>
        <v>0</v>
      </c>
    </row>
    <row r="59" spans="1:9" x14ac:dyDescent="0.3">
      <c r="A59" s="5"/>
      <c r="B59" s="4">
        <f>_xlfn.XLOOKUP($A59, 'Daily WE'!C:C, 'Daily WE'!D:D)</f>
        <v>0</v>
      </c>
      <c r="C59" s="6" t="str">
        <f>IFERROR(AVERAGEIFS(Log!$F:$F, Log!$C:$C, $A59, Log!$B:$B, "n/a", Log!$A:$A, "Daily", Log!$D:$D, $C$3), "")</f>
        <v/>
      </c>
      <c r="D59" s="6" t="str">
        <f>IFERROR(AVERAGEIFS(Log!$G:$G, Log!$C:$C, $A59, Log!$B:$B, "n/a", Log!$A:$A, "Daily", Log!$D:$D, $C$3), "")</f>
        <v/>
      </c>
      <c r="E59" s="113" t="str">
        <f>IFERROR(_xlfn.LET(_xlpm.camera_wand_count_by_day, AVERAGEIFS(Log!$E:$E, Log!$C:$C, $A59, Log!$B:$B, "n/a", Log!$A:$A, "Daily", Log!$D:$D, $C$3), _xlpm.auto_stop_that_day, _xlfn.XLOOKUP(A59, 'Daily WE'!$C56:$C10050, 'Daily WE'!$G56:$G10050), _xlpm.camera_wand_count_by_day/_xlpm.auto_stop_that_day), "")</f>
        <v/>
      </c>
      <c r="F59" s="191"/>
      <c r="G59" s="191"/>
      <c r="H59" s="108">
        <f>IF($C59="#N/A", NA(), _xlfn.XLOOKUP($A59, 'Daily WE'!$C:$C, 'Daily WE'!$N:$N))</f>
        <v>0</v>
      </c>
      <c r="I59" s="108">
        <f>IF($D59="#N/A", NA(), _xlfn.XLOOKUP($A59, 'Daily WE'!$C:$C, 'Daily WE'!$Q:$Q))</f>
        <v>0</v>
      </c>
    </row>
    <row r="60" spans="1:9" x14ac:dyDescent="0.3">
      <c r="A60" s="5"/>
      <c r="C60" s="6" t="str">
        <f>IFERROR(AVERAGEIFS(Log!$F:$F, Log!$C:$C, $A60, Log!$B:$B, "n/a", Log!$A:$A, "Daily", Log!$D:$D, $C$3), "")</f>
        <v/>
      </c>
      <c r="D60" s="6" t="str">
        <f>IFERROR(AVERAGEIFS(Log!$G:$G, Log!$C:$C, $A60, Log!$B:$B, "n/a", Log!$A:$A, "Daily", Log!$D:$D, $C$3), "")</f>
        <v/>
      </c>
      <c r="E60" s="113" t="str">
        <f>IFERROR(_xlfn.LET(_xlpm.camera_wand_count_by_day, AVERAGEIFS(Log!$E:$E, Log!$C:$C, $A60, Log!$B:$B, "n/a", Log!$A:$A, "Daily", Log!$D:$D, $C$3), _xlpm.auto_stop_that_day, _xlfn.XLOOKUP(A60, 'Daily WE'!$C57:$C10051, 'Daily WE'!$G57:$G10051), _xlpm.camera_wand_count_by_day/_xlpm.auto_stop_that_day), "")</f>
        <v/>
      </c>
      <c r="F60" s="191"/>
      <c r="G60" s="191"/>
      <c r="H60" s="108">
        <f>IF($C60="#N/A", NA(), _xlfn.XLOOKUP($A60, 'Daily WE'!$C:$C, 'Daily WE'!$N:$N))</f>
        <v>0</v>
      </c>
      <c r="I60" s="108">
        <f>IF($D60="#N/A", NA(), _xlfn.XLOOKUP($A60, 'Daily WE'!$C:$C, 'Daily WE'!$Q:$Q))</f>
        <v>0</v>
      </c>
    </row>
    <row r="61" spans="1:9" x14ac:dyDescent="0.3">
      <c r="A61" s="5"/>
      <c r="C61" s="6" t="str">
        <f>IFERROR(AVERAGEIFS(Log!$F:$F, Log!$C:$C, $A61, Log!$B:$B, "n/a", Log!$A:$A, "Daily", Log!$D:$D, $C$3), "")</f>
        <v/>
      </c>
      <c r="D61" s="6" t="str">
        <f>IFERROR(AVERAGEIFS(Log!$G:$G, Log!$C:$C, $A61, Log!$B:$B, "n/a", Log!$A:$A, "Daily", Log!$D:$D, $C$3), "")</f>
        <v/>
      </c>
      <c r="E61" s="113" t="str">
        <f>IFERROR(_xlfn.LET(_xlpm.camera_wand_count_by_day, AVERAGEIFS(Log!$E:$E, Log!$C:$C, $A61, Log!$B:$B, "n/a", Log!$A:$A, "Daily", Log!$D:$D, $C$3), _xlpm.auto_stop_that_day, _xlfn.XLOOKUP(A61, 'Daily WE'!$C58:$C10052, 'Daily WE'!$G58:$G10052), _xlpm.camera_wand_count_by_day/_xlpm.auto_stop_that_day), "")</f>
        <v/>
      </c>
      <c r="F61" s="191"/>
      <c r="G61" s="191"/>
      <c r="H61" s="108">
        <f>IF($C61="#N/A", NA(), _xlfn.XLOOKUP($A61, 'Daily WE'!$C:$C, 'Daily WE'!$N:$N))</f>
        <v>0</v>
      </c>
      <c r="I61" s="108">
        <f>IF($D61="#N/A", NA(), _xlfn.XLOOKUP($A61, 'Daily WE'!$C:$C, 'Daily WE'!$Q:$Q))</f>
        <v>0</v>
      </c>
    </row>
    <row r="62" spans="1:9" x14ac:dyDescent="0.3">
      <c r="C62" s="6" t="str">
        <f>IFERROR(AVERAGEIFS(Log!$F:$F, Log!$C:$C, $A62, Log!$B:$B, "n/a", Log!$A:$A, "Daily", Log!$D:$D, $C$3), "")</f>
        <v/>
      </c>
      <c r="D62" s="6" t="str">
        <f>IFERROR(AVERAGEIFS(Log!$G:$G, Log!$C:$C, $A62, Log!$B:$B, "n/a", Log!$A:$A, "Daily", Log!$D:$D, $C$3), "")</f>
        <v/>
      </c>
      <c r="E62" s="113" t="str">
        <f>IFERROR(_xlfn.LET(_xlpm.camera_wand_count_by_day, AVERAGEIFS(Log!$E:$E, Log!$C:$C, $A62, Log!$B:$B, "n/a", Log!$A:$A, "Daily", Log!$D:$D, $C$3), _xlpm.auto_stop_that_day, _xlfn.XLOOKUP(A62, 'Daily WE'!$C59:$C10053, 'Daily WE'!$G59:$G10053), _xlpm.camera_wand_count_by_day/_xlpm.auto_stop_that_day), "")</f>
        <v/>
      </c>
      <c r="F62" s="191"/>
      <c r="G62" s="191"/>
      <c r="H62" s="108">
        <f>IF($C62="#N/A", NA(), _xlfn.XLOOKUP($A62, 'Daily WE'!$C:$C, 'Daily WE'!$N:$N))</f>
        <v>0</v>
      </c>
      <c r="I62" s="108">
        <f>IF($D62="#N/A", NA(), _xlfn.XLOOKUP($A62, 'Daily WE'!$C:$C, 'Daily WE'!$Q:$Q))</f>
        <v>0</v>
      </c>
    </row>
    <row r="63" spans="1:9" x14ac:dyDescent="0.3">
      <c r="C63" s="6" t="str">
        <f>IFERROR(AVERAGEIFS(Log!$F:$F, Log!$C:$C, $A63, Log!$B:$B, "n/a", Log!$A:$A, "Daily", Log!$D:$D, $C$3), "")</f>
        <v/>
      </c>
      <c r="D63" s="6" t="str">
        <f>IFERROR(AVERAGEIFS(Log!$G:$G, Log!$C:$C, $A63, Log!$B:$B, "n/a", Log!$A:$A, "Daily", Log!$D:$D, $C$3), "")</f>
        <v/>
      </c>
      <c r="E63" s="113" t="str">
        <f>IFERROR(_xlfn.LET(_xlpm.camera_wand_count_by_day, AVERAGEIFS(Log!$E:$E, Log!$C:$C, $A63, Log!$B:$B, "n/a", Log!$A:$A, "Daily", Log!$D:$D, $C$3), _xlpm.auto_stop_that_day, _xlfn.XLOOKUP(A63, 'Daily WE'!$C60:$C10054, 'Daily WE'!$G60:$G10054), _xlpm.camera_wand_count_by_day/_xlpm.auto_stop_that_day), "")</f>
        <v/>
      </c>
      <c r="F63" s="191"/>
      <c r="G63" s="191"/>
      <c r="H63" s="108">
        <f>IF($C63="#N/A", NA(), _xlfn.XLOOKUP($A63, 'Daily WE'!$C:$C, 'Daily WE'!$N:$N))</f>
        <v>0</v>
      </c>
      <c r="I63" s="108">
        <f>IF($D63="#N/A", NA(), _xlfn.XLOOKUP($A63, 'Daily WE'!$C:$C, 'Daily WE'!$Q:$Q))</f>
        <v>0</v>
      </c>
    </row>
    <row r="64" spans="1:9" x14ac:dyDescent="0.3">
      <c r="C64" s="6" t="str">
        <f>IFERROR(AVERAGEIFS(Log!$F:$F, Log!$C:$C, $A64, Log!$B:$B, "n/a", Log!$A:$A, "Daily", Log!$D:$D, $C$3), "")</f>
        <v/>
      </c>
      <c r="D64" s="6" t="str">
        <f>IFERROR(AVERAGEIFS(Log!$G:$G, Log!$C:$C, $A64, Log!$B:$B, "n/a", Log!$A:$A, "Daily", Log!$D:$D, $C$3), "")</f>
        <v/>
      </c>
      <c r="E64" s="113" t="str">
        <f>IFERROR(_xlfn.LET(_xlpm.camera_wand_count_by_day, AVERAGEIFS(Log!$E:$E, Log!$C:$C, $A64, Log!$B:$B, "n/a", Log!$A:$A, "Daily", Log!$D:$D, $C$3), _xlpm.auto_stop_that_day, _xlfn.XLOOKUP(A64, 'Daily WE'!$C61:$C10055, 'Daily WE'!$G61:$G10055), _xlpm.camera_wand_count_by_day/_xlpm.auto_stop_that_day), "")</f>
        <v/>
      </c>
      <c r="F64" s="191"/>
      <c r="G64" s="191"/>
      <c r="H64" s="108">
        <f>IF($C64="#N/A", NA(), _xlfn.XLOOKUP($A64, 'Daily WE'!$C:$C, 'Daily WE'!$N:$N))</f>
        <v>0</v>
      </c>
      <c r="I64" s="108">
        <f>IF($D64="#N/A", NA(), _xlfn.XLOOKUP($A64, 'Daily WE'!$C:$C, 'Daily WE'!$Q:$Q))</f>
        <v>0</v>
      </c>
    </row>
    <row r="65" spans="3:9" x14ac:dyDescent="0.3">
      <c r="C65" s="6" t="str">
        <f>IFERROR(AVERAGEIFS(Log!$F:$F, Log!$C:$C, $A65, Log!$B:$B, "n/a", Log!$A:$A, "Daily", Log!$D:$D, $C$3), "")</f>
        <v/>
      </c>
      <c r="D65" s="6" t="str">
        <f>IFERROR(AVERAGEIFS(Log!$G:$G, Log!$C:$C, $A65, Log!$B:$B, "n/a", Log!$A:$A, "Daily", Log!$D:$D, $C$3), "")</f>
        <v/>
      </c>
      <c r="E65" s="113" t="str">
        <f>IFERROR(_xlfn.LET(_xlpm.camera_wand_count_by_day, AVERAGEIFS(Log!$E:$E, Log!$C:$C, $A65, Log!$B:$B, "n/a", Log!$A:$A, "Daily", Log!$D:$D, $C$3), _xlpm.auto_stop_that_day, _xlfn.XLOOKUP(A65, 'Daily WE'!$C62:$C10056, 'Daily WE'!$G62:$G10056), _xlpm.camera_wand_count_by_day/_xlpm.auto_stop_that_day), "")</f>
        <v/>
      </c>
      <c r="F65" s="191"/>
      <c r="G65" s="191"/>
      <c r="H65" s="108">
        <f>IF($C65="#N/A", NA(), _xlfn.XLOOKUP($A65, 'Daily WE'!$C:$C, 'Daily WE'!$N:$N))</f>
        <v>0</v>
      </c>
      <c r="I65" s="108">
        <f>IF($D65="#N/A", NA(), _xlfn.XLOOKUP($A65, 'Daily WE'!$C:$C, 'Daily WE'!$Q:$Q))</f>
        <v>0</v>
      </c>
    </row>
    <row r="66" spans="3:9" x14ac:dyDescent="0.3">
      <c r="C66" s="6" t="str">
        <f>IFERROR(AVERAGEIFS(Log!$F:$F, Log!$C:$C, $A66, Log!$B:$B, "n/a", Log!$A:$A, "Daily", Log!$D:$D, $C$3), "")</f>
        <v/>
      </c>
      <c r="D66" s="6" t="str">
        <f>IFERROR(AVERAGEIFS(Log!$G:$G, Log!$C:$C, $A66, Log!$B:$B, "n/a", Log!$A:$A, "Daily", Log!$D:$D, $C$3), "")</f>
        <v/>
      </c>
      <c r="E66" s="113" t="str">
        <f>IFERROR(_xlfn.LET(_xlpm.camera_wand_count_by_day, AVERAGEIFS(Log!$E:$E, Log!$C:$C, $A66, Log!$B:$B, "n/a", Log!$A:$A, "Daily", Log!$D:$D, $C$3), _xlpm.auto_stop_that_day, _xlfn.XLOOKUP(A66, 'Daily WE'!$C63:$C10057, 'Daily WE'!$G63:$G10057), _xlpm.camera_wand_count_by_day/_xlpm.auto_stop_that_day), "")</f>
        <v/>
      </c>
      <c r="F66" s="191"/>
      <c r="G66" s="191"/>
      <c r="H66" s="108">
        <f>IF($C66="#N/A", NA(), _xlfn.XLOOKUP($A66, 'Daily WE'!$C:$C, 'Daily WE'!$N:$N))</f>
        <v>0</v>
      </c>
      <c r="I66" s="108">
        <f>IF($D66="#N/A", NA(), _xlfn.XLOOKUP($A66, 'Daily WE'!$C:$C, 'Daily WE'!$Q:$Q))</f>
        <v>0</v>
      </c>
    </row>
    <row r="67" spans="3:9" x14ac:dyDescent="0.3">
      <c r="C67" s="6" t="str">
        <f>IFERROR(AVERAGEIFS(Log!$F:$F, Log!$C:$C, $A67, Log!$B:$B, "n/a", Log!$A:$A, "Daily", Log!$D:$D, $C$3), "")</f>
        <v/>
      </c>
      <c r="D67" s="6" t="str">
        <f>IFERROR(AVERAGEIFS(Log!$G:$G, Log!$C:$C, $A67, Log!$B:$B, "n/a", Log!$A:$A, "Daily", Log!$D:$D, $C$3), "")</f>
        <v/>
      </c>
      <c r="E67" s="113" t="str">
        <f>IFERROR(_xlfn.LET(_xlpm.camera_wand_count_by_day, AVERAGEIFS(Log!$E:$E, Log!$C:$C, $A67, Log!$B:$B, "n/a", Log!$A:$A, "Daily", Log!$D:$D, $C$3), _xlpm.auto_stop_that_day, _xlfn.XLOOKUP(A67, 'Daily WE'!$C64:$C10058, 'Daily WE'!$G64:$G10058), _xlpm.camera_wand_count_by_day/_xlpm.auto_stop_that_day), "")</f>
        <v/>
      </c>
      <c r="F67" s="191"/>
      <c r="G67" s="191"/>
      <c r="H67" s="108">
        <f>IF($C67="#N/A", NA(), _xlfn.XLOOKUP($A67, 'Daily WE'!$C:$C, 'Daily WE'!$N:$N))</f>
        <v>0</v>
      </c>
      <c r="I67" s="108">
        <f>IF($D67="#N/A", NA(), _xlfn.XLOOKUP($A67, 'Daily WE'!$C:$C, 'Daily WE'!$Q:$Q))</f>
        <v>0</v>
      </c>
    </row>
    <row r="68" spans="3:9" x14ac:dyDescent="0.3">
      <c r="C68" s="6" t="str">
        <f>IFERROR(AVERAGEIFS(Log!$F:$F, Log!$C:$C, $A68, Log!$B:$B, "n/a", Log!$A:$A, "Daily", Log!$D:$D, $C$3), "")</f>
        <v/>
      </c>
      <c r="D68" s="6" t="str">
        <f>IFERROR(AVERAGEIFS(Log!$G:$G, Log!$C:$C, $A68, Log!$B:$B, "n/a", Log!$A:$A, "Daily", Log!$D:$D, $C$3), "")</f>
        <v/>
      </c>
      <c r="E68" s="113" t="str">
        <f>IFERROR(_xlfn.LET(_xlpm.camera_wand_count_by_day, AVERAGEIFS(Log!$E:$E, Log!$C:$C, $A68, Log!$B:$B, "n/a", Log!$A:$A, "Daily", Log!$D:$D, $C$3), _xlpm.auto_stop_that_day, _xlfn.XLOOKUP(A68, 'Daily WE'!$C65:$C10059, 'Daily WE'!$G65:$G10059), _xlpm.camera_wand_count_by_day/_xlpm.auto_stop_that_day), "")</f>
        <v/>
      </c>
      <c r="F68" s="191"/>
      <c r="G68" s="191"/>
      <c r="H68" s="108">
        <f>IF($C68="#N/A", NA(), _xlfn.XLOOKUP($A68, 'Daily WE'!$C:$C, 'Daily WE'!$N:$N))</f>
        <v>0</v>
      </c>
      <c r="I68" s="108">
        <f>IF($D68="#N/A", NA(), _xlfn.XLOOKUP($A68, 'Daily WE'!$C:$C, 'Daily WE'!$Q:$Q))</f>
        <v>0</v>
      </c>
    </row>
    <row r="69" spans="3:9" x14ac:dyDescent="0.3">
      <c r="C69" s="6" t="str">
        <f>IFERROR(AVERAGEIFS(Log!$F:$F, Log!$C:$C, $A69, Log!$B:$B, "n/a", Log!$A:$A, "Daily", Log!$D:$D, $C$3), "")</f>
        <v/>
      </c>
      <c r="D69" s="6" t="str">
        <f>IFERROR(AVERAGEIFS(Log!$G:$G, Log!$C:$C, $A69, Log!$B:$B, "n/a", Log!$A:$A, "Daily", Log!$D:$D, $C$3), "")</f>
        <v/>
      </c>
      <c r="E69" s="113" t="str">
        <f>IFERROR(_xlfn.LET(_xlpm.camera_wand_count_by_day, AVERAGEIFS(Log!$E:$E, Log!$C:$C, $A69, Log!$B:$B, "n/a", Log!$A:$A, "Daily", Log!$D:$D, $C$3), _xlpm.auto_stop_that_day, _xlfn.XLOOKUP(A69, 'Daily WE'!$C66:$C10060, 'Daily WE'!$G66:$G10060), _xlpm.camera_wand_count_by_day/_xlpm.auto_stop_that_day), "")</f>
        <v/>
      </c>
      <c r="F69" s="191"/>
      <c r="G69" s="191"/>
      <c r="H69" s="108">
        <f>IF($C69="#N/A", NA(), _xlfn.XLOOKUP($A69, 'Daily WE'!$C:$C, 'Daily WE'!$N:$N))</f>
        <v>0</v>
      </c>
      <c r="I69" s="108">
        <f>IF($D69="#N/A", NA(), _xlfn.XLOOKUP($A69, 'Daily WE'!$C:$C, 'Daily WE'!$Q:$Q))</f>
        <v>0</v>
      </c>
    </row>
    <row r="70" spans="3:9" x14ac:dyDescent="0.3">
      <c r="C70" s="6" t="str">
        <f>IFERROR(AVERAGEIFS(Log!$F:$F, Log!$C:$C, $A70, Log!$B:$B, "n/a", Log!$A:$A, "Daily", Log!$D:$D, $C$3), "")</f>
        <v/>
      </c>
      <c r="D70" s="6" t="str">
        <f>IFERROR(AVERAGEIFS(Log!$G:$G, Log!$C:$C, $A70, Log!$B:$B, "n/a", Log!$A:$A, "Daily", Log!$D:$D, $C$3), "")</f>
        <v/>
      </c>
      <c r="E70" s="113" t="str">
        <f>IFERROR(_xlfn.LET(_xlpm.camera_wand_count_by_day, AVERAGEIFS(Log!$E:$E, Log!$C:$C, $A70, Log!$B:$B, "n/a", Log!$A:$A, "Daily", Log!$D:$D, $C$3), _xlpm.auto_stop_that_day, _xlfn.XLOOKUP(A70, 'Daily WE'!$C67:$C10061, 'Daily WE'!$G67:$G10061), _xlpm.camera_wand_count_by_day/_xlpm.auto_stop_that_day), "")</f>
        <v/>
      </c>
      <c r="F70" s="191"/>
      <c r="G70" s="191"/>
      <c r="H70" s="108">
        <f>IF($C70="#N/A", NA(), _xlfn.XLOOKUP($A70, 'Daily WE'!$C:$C, 'Daily WE'!$N:$N))</f>
        <v>0</v>
      </c>
      <c r="I70" s="108">
        <f>IF($D70="#N/A", NA(), _xlfn.XLOOKUP($A70, 'Daily WE'!$C:$C, 'Daily WE'!$Q:$Q))</f>
        <v>0</v>
      </c>
    </row>
    <row r="71" spans="3:9" x14ac:dyDescent="0.3">
      <c r="C71" s="6" t="str">
        <f>IFERROR(AVERAGEIFS(Log!$F:$F, Log!$C:$C, $A71, Log!$B:$B, "n/a", Log!$A:$A, "Daily", Log!$D:$D, $C$3), "")</f>
        <v/>
      </c>
      <c r="D71" s="6" t="str">
        <f>IFERROR(AVERAGEIFS(Log!$G:$G, Log!$C:$C, $A71, Log!$B:$B, "n/a", Log!$A:$A, "Daily", Log!$D:$D, $C$3), "")</f>
        <v/>
      </c>
      <c r="E71" s="113" t="str">
        <f>IFERROR(_xlfn.LET(_xlpm.camera_wand_count_by_day, AVERAGEIFS(Log!$E:$E, Log!$C:$C, $A71, Log!$B:$B, "n/a", Log!$A:$A, "Daily", Log!$D:$D, $C$3), _xlpm.auto_stop_that_day, _xlfn.XLOOKUP(A71, 'Daily WE'!$C68:$C10062, 'Daily WE'!$G68:$G10062), _xlpm.camera_wand_count_by_day/_xlpm.auto_stop_that_day), "")</f>
        <v/>
      </c>
      <c r="F71" s="191"/>
      <c r="G71" s="191"/>
      <c r="H71" s="108">
        <f>IF($C71="#N/A", NA(), _xlfn.XLOOKUP($A71, 'Daily WE'!$C:$C, 'Daily WE'!$N:$N))</f>
        <v>0</v>
      </c>
      <c r="I71" s="108">
        <f>IF($D71="#N/A", NA(), _xlfn.XLOOKUP($A71, 'Daily WE'!$C:$C, 'Daily WE'!$Q:$Q))</f>
        <v>0</v>
      </c>
    </row>
    <row r="72" spans="3:9" x14ac:dyDescent="0.3">
      <c r="C72" s="6" t="str">
        <f>IFERROR(AVERAGEIFS(Log!$F:$F, Log!$C:$C, $A72, Log!$B:$B, "n/a", Log!$A:$A, "Daily", Log!$D:$D, $C$3), "")</f>
        <v/>
      </c>
      <c r="D72" s="6" t="str">
        <f>IFERROR(AVERAGEIFS(Log!$G:$G, Log!$C:$C, $A72, Log!$B:$B, "n/a", Log!$A:$A, "Daily", Log!$D:$D, $C$3), "")</f>
        <v/>
      </c>
      <c r="E72" s="113" t="str">
        <f>IFERROR(_xlfn.LET(_xlpm.camera_wand_count_by_day, AVERAGEIFS(Log!$E:$E, Log!$C:$C, $A72, Log!$B:$B, "n/a", Log!$A:$A, "Daily", Log!$D:$D, $C$3), _xlpm.auto_stop_that_day, _xlfn.XLOOKUP(A72, 'Daily WE'!$C69:$C10063, 'Daily WE'!$G69:$G10063), _xlpm.camera_wand_count_by_day/_xlpm.auto_stop_that_day), "")</f>
        <v/>
      </c>
      <c r="F72" s="191"/>
      <c r="G72" s="191"/>
      <c r="H72" s="108">
        <f>IF($C72="#N/A", NA(), _xlfn.XLOOKUP($A72, 'Daily WE'!$C:$C, 'Daily WE'!$N:$N))</f>
        <v>0</v>
      </c>
      <c r="I72" s="108">
        <f>IF($D72="#N/A", NA(), _xlfn.XLOOKUP($A72, 'Daily WE'!$C:$C, 'Daily WE'!$Q:$Q))</f>
        <v>0</v>
      </c>
    </row>
    <row r="73" spans="3:9" x14ac:dyDescent="0.3">
      <c r="C73" s="6" t="str">
        <f>IFERROR(AVERAGEIFS(Log!$F:$F, Log!$C:$C, $A73, Log!$B:$B, "n/a", Log!$A:$A, "Daily", Log!$D:$D, $C$3), "")</f>
        <v/>
      </c>
      <c r="D73" s="6" t="str">
        <f>IFERROR(AVERAGEIFS(Log!$G:$G, Log!$C:$C, $A73, Log!$B:$B, "n/a", Log!$A:$A, "Daily", Log!$D:$D, $C$3), "")</f>
        <v/>
      </c>
      <c r="E73" s="113" t="str">
        <f>IFERROR(_xlfn.LET(_xlpm.camera_wand_count_by_day, AVERAGEIFS(Log!$E:$E, Log!$C:$C, $A73, Log!$B:$B, "n/a", Log!$A:$A, "Daily", Log!$D:$D, $C$3), _xlpm.auto_stop_that_day, _xlfn.XLOOKUP(A73, 'Daily WE'!$C70:$C10064, 'Daily WE'!$G70:$G10064), _xlpm.camera_wand_count_by_day/_xlpm.auto_stop_that_day), "")</f>
        <v/>
      </c>
      <c r="F73" s="191"/>
      <c r="G73" s="191"/>
      <c r="H73" s="108">
        <f>IF($C73="#N/A", NA(), _xlfn.XLOOKUP($A73, 'Daily WE'!$C:$C, 'Daily WE'!$N:$N))</f>
        <v>0</v>
      </c>
      <c r="I73" s="108">
        <f>IF($D73="#N/A", NA(), _xlfn.XLOOKUP($A73, 'Daily WE'!$C:$C, 'Daily WE'!$Q:$Q))</f>
        <v>0</v>
      </c>
    </row>
    <row r="74" spans="3:9" x14ac:dyDescent="0.3">
      <c r="C74" s="6" t="str">
        <f>IFERROR(AVERAGEIFS(Log!$F:$F, Log!$C:$C, $A74, Log!$B:$B, "n/a", Log!$A:$A, "Daily", Log!$D:$D, $C$3), "")</f>
        <v/>
      </c>
      <c r="D74" s="6" t="str">
        <f>IFERROR(AVERAGEIFS(Log!$G:$G, Log!$C:$C, $A74, Log!$B:$B, "n/a", Log!$A:$A, "Daily", Log!$D:$D, $C$3), "")</f>
        <v/>
      </c>
      <c r="E74" s="113" t="str">
        <f>IFERROR(_xlfn.LET(_xlpm.camera_wand_count_by_day, AVERAGEIFS(Log!$E:$E, Log!$C:$C, $A74, Log!$B:$B, "n/a", Log!$A:$A, "Daily", Log!$D:$D, $C$3), _xlpm.auto_stop_that_day, _xlfn.XLOOKUP(A74, 'Daily WE'!$C71:$C10065, 'Daily WE'!$G71:$G10065), _xlpm.camera_wand_count_by_day/_xlpm.auto_stop_that_day), "")</f>
        <v/>
      </c>
      <c r="F74" s="191"/>
      <c r="G74" s="191"/>
      <c r="H74" s="108">
        <f>IF($C74="#N/A", NA(), _xlfn.XLOOKUP($A74, 'Daily WE'!$C:$C, 'Daily WE'!$N:$N))</f>
        <v>0</v>
      </c>
      <c r="I74" s="108">
        <f>IF($D74="#N/A", NA(), _xlfn.XLOOKUP($A74, 'Daily WE'!$C:$C, 'Daily WE'!$Q:$Q))</f>
        <v>0</v>
      </c>
    </row>
    <row r="75" spans="3:9" x14ac:dyDescent="0.3">
      <c r="C75" s="6" t="str">
        <f>IFERROR(AVERAGEIFS(Log!$F:$F, Log!$C:$C, $A75, Log!$B:$B, "n/a", Log!$A:$A, "Daily", Log!$D:$D, $C$3), "")</f>
        <v/>
      </c>
      <c r="D75" s="6" t="str">
        <f>IFERROR(AVERAGEIFS(Log!$G:$G, Log!$C:$C, $A75, Log!$B:$B, "n/a", Log!$A:$A, "Daily", Log!$D:$D, $C$3), "")</f>
        <v/>
      </c>
      <c r="E75" s="113" t="str">
        <f>IFERROR(_xlfn.LET(_xlpm.camera_wand_count_by_day, AVERAGEIFS(Log!$E:$E, Log!$C:$C, $A75, Log!$B:$B, "n/a", Log!$A:$A, "Daily", Log!$D:$D, $C$3), _xlpm.auto_stop_that_day, _xlfn.XLOOKUP(A75, 'Daily WE'!$C72:$C10066, 'Daily WE'!$G72:$G10066), _xlpm.camera_wand_count_by_day/_xlpm.auto_stop_that_day), "")</f>
        <v/>
      </c>
      <c r="F75" s="191"/>
      <c r="G75" s="191"/>
      <c r="H75" s="108">
        <f>IF($C75="#N/A", NA(), _xlfn.XLOOKUP($A75, 'Daily WE'!$C:$C, 'Daily WE'!$N:$N))</f>
        <v>0</v>
      </c>
      <c r="I75" s="108">
        <f>IF($D75="#N/A", NA(), _xlfn.XLOOKUP($A75, 'Daily WE'!$C:$C, 'Daily WE'!$Q:$Q))</f>
        <v>0</v>
      </c>
    </row>
    <row r="76" spans="3:9" x14ac:dyDescent="0.3">
      <c r="C76" s="6" t="str">
        <f>IFERROR(AVERAGEIFS(Log!$F:$F, Log!$C:$C, $A76, Log!$B:$B, "n/a", Log!$A:$A, "Daily", Log!$D:$D, $C$3), "")</f>
        <v/>
      </c>
      <c r="D76" s="6" t="str">
        <f>IFERROR(AVERAGEIFS(Log!$G:$G, Log!$C:$C, $A76, Log!$B:$B, "n/a", Log!$A:$A, "Daily", Log!$D:$D, $C$3), "")</f>
        <v/>
      </c>
      <c r="E76" s="113" t="str">
        <f>IFERROR(_xlfn.LET(_xlpm.camera_wand_count_by_day, AVERAGEIFS(Log!$E:$E, Log!$C:$C, $A76, Log!$B:$B, "n/a", Log!$A:$A, "Daily", Log!$D:$D, $C$3), _xlpm.auto_stop_that_day, _xlfn.XLOOKUP(A76, 'Daily WE'!$C73:$C10067, 'Daily WE'!$G73:$G10067), _xlpm.camera_wand_count_by_day/_xlpm.auto_stop_that_day), "")</f>
        <v/>
      </c>
      <c r="F76" s="191"/>
      <c r="G76" s="191"/>
      <c r="H76" s="108">
        <f>IF($C76="#N/A", NA(), _xlfn.XLOOKUP($A76, 'Daily WE'!$C:$C, 'Daily WE'!$N:$N))</f>
        <v>0</v>
      </c>
      <c r="I76" s="108">
        <f>IF($D76="#N/A", NA(), _xlfn.XLOOKUP($A76, 'Daily WE'!$C:$C, 'Daily WE'!$Q:$Q))</f>
        <v>0</v>
      </c>
    </row>
    <row r="77" spans="3:9" x14ac:dyDescent="0.3">
      <c r="C77" s="6" t="str">
        <f>IFERROR(AVERAGEIFS(Log!$F:$F, Log!$C:$C, $A77, Log!$B:$B, "n/a", Log!$A:$A, "Daily", Log!$D:$D, $C$3), "")</f>
        <v/>
      </c>
      <c r="D77" s="6" t="str">
        <f>IFERROR(AVERAGEIFS(Log!$G:$G, Log!$C:$C, $A77, Log!$B:$B, "n/a", Log!$A:$A, "Daily", Log!$D:$D, $C$3), "")</f>
        <v/>
      </c>
      <c r="E77" s="113" t="str">
        <f>IFERROR(_xlfn.LET(_xlpm.camera_wand_count_by_day, AVERAGEIFS(Log!$E:$E, Log!$C:$C, $A77, Log!$B:$B, "n/a", Log!$A:$A, "Daily", Log!$D:$D, $C$3), _xlpm.auto_stop_that_day, _xlfn.XLOOKUP(A77, 'Daily WE'!$C74:$C10068, 'Daily WE'!$G74:$G10068), _xlpm.camera_wand_count_by_day/_xlpm.auto_stop_that_day), "")</f>
        <v/>
      </c>
      <c r="F77" s="191"/>
      <c r="G77" s="191"/>
      <c r="H77" s="108">
        <f>IF($C77="#N/A", NA(), _xlfn.XLOOKUP($A77, 'Daily WE'!$C:$C, 'Daily WE'!$N:$N))</f>
        <v>0</v>
      </c>
      <c r="I77" s="108">
        <f>IF($D77="#N/A", NA(), _xlfn.XLOOKUP($A77, 'Daily WE'!$C:$C, 'Daily WE'!$Q:$Q))</f>
        <v>0</v>
      </c>
    </row>
    <row r="78" spans="3:9" x14ac:dyDescent="0.3">
      <c r="C78" s="6" t="str">
        <f>IFERROR(AVERAGEIFS(Log!$F:$F, Log!$C:$C, $A78, Log!$B:$B, "n/a", Log!$A:$A, "Daily", Log!$D:$D, $C$3), "")</f>
        <v/>
      </c>
      <c r="D78" s="6" t="str">
        <f>IFERROR(AVERAGEIFS(Log!$G:$G, Log!$C:$C, $A78, Log!$B:$B, "n/a", Log!$A:$A, "Daily", Log!$D:$D, $C$3), "")</f>
        <v/>
      </c>
      <c r="E78" s="113" t="str">
        <f>IFERROR(_xlfn.LET(_xlpm.camera_wand_count_by_day, AVERAGEIFS(Log!$E:$E, Log!$C:$C, $A78, Log!$B:$B, "n/a", Log!$A:$A, "Daily", Log!$D:$D, $C$3), _xlpm.auto_stop_that_day, _xlfn.XLOOKUP(A78, 'Daily WE'!$C75:$C10069, 'Daily WE'!$G75:$G10069), _xlpm.camera_wand_count_by_day/_xlpm.auto_stop_that_day), "")</f>
        <v/>
      </c>
      <c r="F78" s="191"/>
      <c r="G78" s="191"/>
      <c r="H78" s="108">
        <f>IF($C78="#N/A", NA(), _xlfn.XLOOKUP($A78, 'Daily WE'!$C:$C, 'Daily WE'!$N:$N))</f>
        <v>0</v>
      </c>
      <c r="I78" s="108">
        <f>IF($D78="#N/A", NA(), _xlfn.XLOOKUP($A78, 'Daily WE'!$C:$C, 'Daily WE'!$Q:$Q))</f>
        <v>0</v>
      </c>
    </row>
    <row r="79" spans="3:9" x14ac:dyDescent="0.3">
      <c r="C79" s="6" t="str">
        <f>IFERROR(AVERAGEIFS(Log!$F:$F, Log!$C:$C, $A79, Log!$B:$B, "n/a", Log!$A:$A, "Daily", Log!$D:$D, $C$3), "")</f>
        <v/>
      </c>
      <c r="D79" s="6" t="str">
        <f>IFERROR(AVERAGEIFS(Log!$G:$G, Log!$C:$C, $A79, Log!$B:$B, "n/a", Log!$A:$A, "Daily", Log!$D:$D, $C$3), "")</f>
        <v/>
      </c>
      <c r="E79" s="113" t="str">
        <f>IFERROR(_xlfn.LET(_xlpm.camera_wand_count_by_day, AVERAGEIFS(Log!$E:$E, Log!$C:$C, $A79, Log!$B:$B, "n/a", Log!$A:$A, "Daily", Log!$D:$D, $C$3), _xlpm.auto_stop_that_day, _xlfn.XLOOKUP(A79, 'Daily WE'!$C76:$C10070, 'Daily WE'!$G76:$G10070), _xlpm.camera_wand_count_by_day/_xlpm.auto_stop_that_day), "")</f>
        <v/>
      </c>
      <c r="F79" s="191"/>
      <c r="G79" s="191"/>
      <c r="H79" s="108">
        <f>IF($C79="#N/A", NA(), _xlfn.XLOOKUP($A79, 'Daily WE'!$C:$C, 'Daily WE'!$N:$N))</f>
        <v>0</v>
      </c>
      <c r="I79" s="108">
        <f>IF($D79="#N/A", NA(), _xlfn.XLOOKUP($A79, 'Daily WE'!$C:$C, 'Daily WE'!$Q:$Q))</f>
        <v>0</v>
      </c>
    </row>
    <row r="80" spans="3:9" x14ac:dyDescent="0.3">
      <c r="C80" s="6" t="str">
        <f>IFERROR(AVERAGEIFS(Log!$F:$F, Log!$C:$C, $A80, Log!$B:$B, "n/a", Log!$A:$A, "Daily", Log!$D:$D, $C$3), "")</f>
        <v/>
      </c>
      <c r="D80" s="6" t="str">
        <f>IFERROR(AVERAGEIFS(Log!$G:$G, Log!$C:$C, $A80, Log!$B:$B, "n/a", Log!$A:$A, "Daily", Log!$D:$D, $C$3), "")</f>
        <v/>
      </c>
      <c r="E80" s="113" t="str">
        <f>IFERROR(_xlfn.LET(_xlpm.camera_wand_count_by_day, AVERAGEIFS(Log!$E:$E, Log!$C:$C, $A80, Log!$B:$B, "n/a", Log!$A:$A, "Daily", Log!$D:$D, $C$3), _xlpm.auto_stop_that_day, _xlfn.XLOOKUP(A80, 'Daily WE'!$C77:$C10071, 'Daily WE'!$G77:$G10071), _xlpm.camera_wand_count_by_day/_xlpm.auto_stop_that_day), "")</f>
        <v/>
      </c>
      <c r="F80" s="191"/>
      <c r="G80" s="191"/>
      <c r="H80" s="108">
        <f>IF($C80="#N/A", NA(), _xlfn.XLOOKUP($A80, 'Daily WE'!$C:$C, 'Daily WE'!$N:$N))</f>
        <v>0</v>
      </c>
      <c r="I80" s="108">
        <f>IF($D80="#N/A", NA(), _xlfn.XLOOKUP($A80, 'Daily WE'!$C:$C, 'Daily WE'!$Q:$Q))</f>
        <v>0</v>
      </c>
    </row>
    <row r="81" spans="3:9" x14ac:dyDescent="0.3">
      <c r="C81" s="6" t="str">
        <f>IFERROR(AVERAGEIFS(Log!$F:$F, Log!$C:$C, $A81, Log!$B:$B, "n/a", Log!$A:$A, "Daily", Log!$D:$D, $C$3), "")</f>
        <v/>
      </c>
      <c r="D81" s="6" t="str">
        <f>IFERROR(AVERAGEIFS(Log!$G:$G, Log!$C:$C, $A81, Log!$B:$B, "n/a", Log!$A:$A, "Daily", Log!$D:$D, $C$3), "")</f>
        <v/>
      </c>
      <c r="E81" s="113" t="str">
        <f>IFERROR(_xlfn.LET(_xlpm.camera_wand_count_by_day, AVERAGEIFS(Log!$E:$E, Log!$C:$C, $A81, Log!$B:$B, "n/a", Log!$A:$A, "Daily", Log!$D:$D, $C$3), _xlpm.auto_stop_that_day, _xlfn.XLOOKUP(A81, 'Daily WE'!$C78:$C10072, 'Daily WE'!$G78:$G10072), _xlpm.camera_wand_count_by_day/_xlpm.auto_stop_that_day), "")</f>
        <v/>
      </c>
      <c r="F81" s="191"/>
      <c r="G81" s="191"/>
      <c r="H81" s="108">
        <f>IF($C81="#N/A", NA(), _xlfn.XLOOKUP($A81, 'Daily WE'!$C:$C, 'Daily WE'!$N:$N))</f>
        <v>0</v>
      </c>
      <c r="I81" s="108">
        <f>IF($D81="#N/A", NA(), _xlfn.XLOOKUP($A81, 'Daily WE'!$C:$C, 'Daily WE'!$Q:$Q))</f>
        <v>0</v>
      </c>
    </row>
    <row r="82" spans="3:9" x14ac:dyDescent="0.3">
      <c r="C82" s="6" t="str">
        <f>IFERROR(AVERAGEIFS(Log!$F:$F, Log!$C:$C, $A82, Log!$B:$B, "n/a", Log!$A:$A, "Daily", Log!$D:$D, $C$3), "")</f>
        <v/>
      </c>
      <c r="D82" s="6" t="str">
        <f>IFERROR(AVERAGEIFS(Log!$G:$G, Log!$C:$C, $A82, Log!$B:$B, "n/a", Log!$A:$A, "Daily", Log!$D:$D, $C$3), "")</f>
        <v/>
      </c>
      <c r="E82" s="113" t="str">
        <f>IFERROR(_xlfn.LET(_xlpm.camera_wand_count_by_day, AVERAGEIFS(Log!$E:$E, Log!$C:$C, $A82, Log!$B:$B, "n/a", Log!$A:$A, "Daily", Log!$D:$D, $C$3), _xlpm.auto_stop_that_day, _xlfn.XLOOKUP(A82, 'Daily WE'!$C79:$C10073, 'Daily WE'!$G79:$G10073), _xlpm.camera_wand_count_by_day/_xlpm.auto_stop_that_day), "")</f>
        <v/>
      </c>
      <c r="F82" s="191"/>
      <c r="G82" s="191"/>
      <c r="H82" s="108">
        <f>IF($C82="#N/A", NA(), _xlfn.XLOOKUP($A82, 'Daily WE'!$C:$C, 'Daily WE'!$N:$N))</f>
        <v>0</v>
      </c>
      <c r="I82" s="108">
        <f>IF($D82="#N/A", NA(), _xlfn.XLOOKUP($A82, 'Daily WE'!$C:$C, 'Daily WE'!$Q:$Q))</f>
        <v>0</v>
      </c>
    </row>
    <row r="83" spans="3:9" x14ac:dyDescent="0.3">
      <c r="C83" s="6" t="str">
        <f>IFERROR(AVERAGEIFS(Log!$F:$F, Log!$C:$C, $A83, Log!$B:$B, "n/a", Log!$A:$A, "Daily", Log!$D:$D, $C$3), "")</f>
        <v/>
      </c>
      <c r="D83" s="6" t="str">
        <f>IFERROR(AVERAGEIFS(Log!$G:$G, Log!$C:$C, $A83, Log!$B:$B, "n/a", Log!$A:$A, "Daily", Log!$D:$D, $C$3), "")</f>
        <v/>
      </c>
      <c r="E83" s="113" t="str">
        <f>IFERROR(_xlfn.LET(_xlpm.camera_wand_count_by_day, AVERAGEIFS(Log!$E:$E, Log!$C:$C, $A83, Log!$B:$B, "n/a", Log!$A:$A, "Daily", Log!$D:$D, $C$3), _xlpm.auto_stop_that_day, _xlfn.XLOOKUP(A83, 'Daily WE'!$C80:$C10074, 'Daily WE'!$G80:$G10074), _xlpm.camera_wand_count_by_day/_xlpm.auto_stop_that_day), "")</f>
        <v/>
      </c>
      <c r="F83" s="191"/>
      <c r="G83" s="191"/>
      <c r="H83" s="108">
        <f>IF($C83="#N/A", NA(), _xlfn.XLOOKUP($A83, 'Daily WE'!$C:$C, 'Daily WE'!$N:$N))</f>
        <v>0</v>
      </c>
      <c r="I83" s="108">
        <f>IF($D83="#N/A", NA(), _xlfn.XLOOKUP($A83, 'Daily WE'!$C:$C, 'Daily WE'!$Q:$Q))</f>
        <v>0</v>
      </c>
    </row>
    <row r="84" spans="3:9" x14ac:dyDescent="0.3">
      <c r="C84" s="6" t="str">
        <f>IFERROR(AVERAGEIFS(Log!$F:$F, Log!$C:$C, $A84, Log!$B:$B, "n/a", Log!$A:$A, "Daily", Log!$D:$D, $C$3), "")</f>
        <v/>
      </c>
      <c r="D84" s="6" t="str">
        <f>IFERROR(AVERAGEIFS(Log!$G:$G, Log!$C:$C, $A84, Log!$B:$B, "n/a", Log!$A:$A, "Daily", Log!$D:$D, $C$3), "")</f>
        <v/>
      </c>
      <c r="E84" s="113" t="str">
        <f>IFERROR(_xlfn.LET(_xlpm.camera_wand_count_by_day, AVERAGEIFS(Log!$E:$E, Log!$C:$C, $A84, Log!$B:$B, "n/a", Log!$A:$A, "Daily", Log!$D:$D, $C$3), _xlpm.auto_stop_that_day, _xlfn.XLOOKUP(A84, 'Daily WE'!$C81:$C10075, 'Daily WE'!$G81:$G10075), _xlpm.camera_wand_count_by_day/_xlpm.auto_stop_that_day), "")</f>
        <v/>
      </c>
      <c r="F84" s="191"/>
      <c r="G84" s="191"/>
      <c r="H84" s="108">
        <f>IF($C84="#N/A", NA(), _xlfn.XLOOKUP($A84, 'Daily WE'!$C:$C, 'Daily WE'!$N:$N))</f>
        <v>0</v>
      </c>
      <c r="I84" s="108">
        <f>IF($D84="#N/A", NA(), _xlfn.XLOOKUP($A84, 'Daily WE'!$C:$C, 'Daily WE'!$Q:$Q))</f>
        <v>0</v>
      </c>
    </row>
    <row r="85" spans="3:9" x14ac:dyDescent="0.3">
      <c r="C85" s="6" t="str">
        <f>IFERROR(AVERAGEIFS(Log!$F:$F, Log!$C:$C, $A85, Log!$B:$B, "n/a", Log!$A:$A, "Daily", Log!$D:$D, $C$3), "")</f>
        <v/>
      </c>
      <c r="D85" s="6" t="str">
        <f>IFERROR(AVERAGEIFS(Log!$G:$G, Log!$C:$C, $A85, Log!$B:$B, "n/a", Log!$A:$A, "Daily", Log!$D:$D, $C$3), "")</f>
        <v/>
      </c>
      <c r="E85" s="113" t="str">
        <f>IFERROR(_xlfn.LET(_xlpm.camera_wand_count_by_day, AVERAGEIFS(Log!$E:$E, Log!$C:$C, $A85, Log!$B:$B, "n/a", Log!$A:$A, "Daily", Log!$D:$D, $C$3), _xlpm.auto_stop_that_day, _xlfn.XLOOKUP(A85, 'Daily WE'!$C82:$C10076, 'Daily WE'!$G82:$G10076), _xlpm.camera_wand_count_by_day/_xlpm.auto_stop_that_day), "")</f>
        <v/>
      </c>
      <c r="F85" s="191"/>
      <c r="G85" s="191"/>
      <c r="H85" s="108">
        <f>IF($C85="#N/A", NA(), _xlfn.XLOOKUP($A85, 'Daily WE'!$C:$C, 'Daily WE'!$N:$N))</f>
        <v>0</v>
      </c>
      <c r="I85" s="108">
        <f>IF($D85="#N/A", NA(), _xlfn.XLOOKUP($A85, 'Daily WE'!$C:$C, 'Daily WE'!$Q:$Q))</f>
        <v>0</v>
      </c>
    </row>
    <row r="86" spans="3:9" x14ac:dyDescent="0.3">
      <c r="C86" s="6" t="str">
        <f>IFERROR(AVERAGEIFS(Log!$F:$F, Log!$C:$C, $A86, Log!$B:$B, "n/a", Log!$A:$A, "Daily", Log!$D:$D, $C$3), "")</f>
        <v/>
      </c>
      <c r="D86" s="6" t="str">
        <f>IFERROR(AVERAGEIFS(Log!$G:$G, Log!$C:$C, $A86, Log!$B:$B, "n/a", Log!$A:$A, "Daily", Log!$D:$D, $C$3), "")</f>
        <v/>
      </c>
      <c r="E86" s="113" t="str">
        <f>IFERROR(_xlfn.LET(_xlpm.camera_wand_count_by_day, AVERAGEIFS(Log!$E:$E, Log!$C:$C, $A86, Log!$B:$B, "n/a", Log!$A:$A, "Daily", Log!$D:$D, $C$3), _xlpm.auto_stop_that_day, _xlfn.XLOOKUP(A86, 'Daily WE'!$C83:$C10077, 'Daily WE'!$G83:$G10077), _xlpm.camera_wand_count_by_day/_xlpm.auto_stop_that_day), "")</f>
        <v/>
      </c>
      <c r="F86" s="191"/>
      <c r="G86" s="191"/>
      <c r="H86" s="108">
        <f>IF($C86="#N/A", NA(), _xlfn.XLOOKUP($A86, 'Daily WE'!$C:$C, 'Daily WE'!$N:$N))</f>
        <v>0</v>
      </c>
      <c r="I86" s="108">
        <f>IF($D86="#N/A", NA(), _xlfn.XLOOKUP($A86, 'Daily WE'!$C:$C, 'Daily WE'!$Q:$Q))</f>
        <v>0</v>
      </c>
    </row>
    <row r="87" spans="3:9" x14ac:dyDescent="0.3">
      <c r="C87" s="6" t="str">
        <f>IFERROR(AVERAGEIFS(Log!$F:$F, Log!$C:$C, $A87, Log!$B:$B, "n/a", Log!$A:$A, "Daily", Log!$D:$D, $C$3), "")</f>
        <v/>
      </c>
      <c r="D87" s="6" t="str">
        <f>IFERROR(AVERAGEIFS(Log!$G:$G, Log!$C:$C, $A87, Log!$B:$B, "n/a", Log!$A:$A, "Daily", Log!$D:$D, $C$3), "")</f>
        <v/>
      </c>
      <c r="E87" s="113" t="str">
        <f>IFERROR(_xlfn.LET(_xlpm.camera_wand_count_by_day, AVERAGEIFS(Log!$E:$E, Log!$C:$C, $A87, Log!$B:$B, "n/a", Log!$A:$A, "Daily", Log!$D:$D, $C$3), _xlpm.auto_stop_that_day, _xlfn.XLOOKUP(A87, 'Daily WE'!$C84:$C10078, 'Daily WE'!$G84:$G10078), _xlpm.camera_wand_count_by_day/_xlpm.auto_stop_that_day), "")</f>
        <v/>
      </c>
      <c r="F87" s="191"/>
      <c r="G87" s="191"/>
      <c r="H87" s="108">
        <f>IF($C87="#N/A", NA(), _xlfn.XLOOKUP($A87, 'Daily WE'!$C:$C, 'Daily WE'!$N:$N))</f>
        <v>0</v>
      </c>
      <c r="I87" s="108">
        <f>IF($D87="#N/A", NA(), _xlfn.XLOOKUP($A87, 'Daily WE'!$C:$C, 'Daily WE'!$Q:$Q))</f>
        <v>0</v>
      </c>
    </row>
    <row r="88" spans="3:9" x14ac:dyDescent="0.3">
      <c r="C88" s="6" t="str">
        <f>IFERROR(AVERAGEIFS(Log!$F:$F, Log!$C:$C, $A88, Log!$B:$B, "n/a", Log!$A:$A, "Daily", Log!$D:$D, $C$3), "")</f>
        <v/>
      </c>
      <c r="D88" s="6" t="str">
        <f>IFERROR(AVERAGEIFS(Log!$G:$G, Log!$C:$C, $A88, Log!$B:$B, "n/a", Log!$A:$A, "Daily", Log!$D:$D, $C$3), "")</f>
        <v/>
      </c>
      <c r="E88" s="113" t="str">
        <f>IFERROR(_xlfn.LET(_xlpm.camera_wand_count_by_day, AVERAGEIFS(Log!$E:$E, Log!$C:$C, $A88, Log!$B:$B, "n/a", Log!$A:$A, "Daily", Log!$D:$D, $C$3), _xlpm.auto_stop_that_day, _xlfn.XLOOKUP(A88, 'Daily WE'!$C85:$C10079, 'Daily WE'!$G85:$G10079), _xlpm.camera_wand_count_by_day/_xlpm.auto_stop_that_day), "")</f>
        <v/>
      </c>
      <c r="F88" s="191"/>
      <c r="G88" s="191"/>
      <c r="H88" s="108">
        <f>IF($C88="#N/A", NA(), _xlfn.XLOOKUP($A88, 'Daily WE'!$C:$C, 'Daily WE'!$N:$N))</f>
        <v>0</v>
      </c>
      <c r="I88" s="108">
        <f>IF($D88="#N/A", NA(), _xlfn.XLOOKUP($A88, 'Daily WE'!$C:$C, 'Daily WE'!$Q:$Q))</f>
        <v>0</v>
      </c>
    </row>
    <row r="89" spans="3:9" x14ac:dyDescent="0.3">
      <c r="C89" s="6" t="str">
        <f>IFERROR(AVERAGEIFS(Log!$F:$F, Log!$C:$C, $A89, Log!$B:$B, "n/a", Log!$A:$A, "Daily", Log!$D:$D, $C$3), "")</f>
        <v/>
      </c>
      <c r="D89" s="6" t="str">
        <f>IFERROR(AVERAGEIFS(Log!$G:$G, Log!$C:$C, $A89, Log!$B:$B, "n/a", Log!$A:$A, "Daily", Log!$D:$D, $C$3), "")</f>
        <v/>
      </c>
      <c r="E89" s="113" t="str">
        <f>IFERROR(_xlfn.LET(_xlpm.camera_wand_count_by_day, AVERAGEIFS(Log!$E:$E, Log!$C:$C, $A89, Log!$B:$B, "n/a", Log!$A:$A, "Daily", Log!$D:$D, $C$3), _xlpm.auto_stop_that_day, _xlfn.XLOOKUP(A89, 'Daily WE'!$C86:$C10080, 'Daily WE'!$G86:$G10080), _xlpm.camera_wand_count_by_day/_xlpm.auto_stop_that_day), "")</f>
        <v/>
      </c>
      <c r="F89" s="191"/>
      <c r="G89" s="191"/>
      <c r="H89" s="108">
        <f>IF($C89="#N/A", NA(), _xlfn.XLOOKUP($A89, 'Daily WE'!$C:$C, 'Daily WE'!$N:$N))</f>
        <v>0</v>
      </c>
      <c r="I89" s="108">
        <f>IF($D89="#N/A", NA(), _xlfn.XLOOKUP($A89, 'Daily WE'!$C:$C, 'Daily WE'!$Q:$Q))</f>
        <v>0</v>
      </c>
    </row>
    <row r="90" spans="3:9" x14ac:dyDescent="0.3">
      <c r="C90" s="6" t="str">
        <f>IFERROR(AVERAGEIFS(Log!$F:$F, Log!$C:$C, $A90, Log!$B:$B, "n/a", Log!$A:$A, "Daily", Log!$D:$D, $C$3), "")</f>
        <v/>
      </c>
      <c r="D90" s="6" t="str">
        <f>IFERROR(AVERAGEIFS(Log!$G:$G, Log!$C:$C, $A90, Log!$B:$B, "n/a", Log!$A:$A, "Daily", Log!$D:$D, $C$3), "")</f>
        <v/>
      </c>
      <c r="E90" s="113" t="str">
        <f>IFERROR(_xlfn.LET(_xlpm.camera_wand_count_by_day, AVERAGEIFS(Log!$E:$E, Log!$C:$C, $A90, Log!$B:$B, "n/a", Log!$A:$A, "Daily", Log!$D:$D, $C$3), _xlpm.auto_stop_that_day, _xlfn.XLOOKUP(A90, 'Daily WE'!$C87:$C10081, 'Daily WE'!$G87:$G10081), _xlpm.camera_wand_count_by_day/_xlpm.auto_stop_that_day), "")</f>
        <v/>
      </c>
      <c r="F90" s="191"/>
      <c r="G90" s="191"/>
      <c r="H90" s="108">
        <f>IF($C90="#N/A", NA(), _xlfn.XLOOKUP($A90, 'Daily WE'!$C:$C, 'Daily WE'!$N:$N))</f>
        <v>0</v>
      </c>
      <c r="I90" s="108">
        <f>IF($D90="#N/A", NA(), _xlfn.XLOOKUP($A90, 'Daily WE'!$C:$C, 'Daily WE'!$Q:$Q))</f>
        <v>0</v>
      </c>
    </row>
    <row r="91" spans="3:9" x14ac:dyDescent="0.3">
      <c r="C91" s="6" t="str">
        <f>IFERROR(AVERAGEIFS(Log!$F:$F, Log!$C:$C, $A91, Log!$B:$B, "n/a", Log!$A:$A, "Daily", Log!$D:$D, $C$3), "")</f>
        <v/>
      </c>
      <c r="D91" s="6" t="str">
        <f>IFERROR(AVERAGEIFS(Log!$G:$G, Log!$C:$C, $A91, Log!$B:$B, "n/a", Log!$A:$A, "Daily", Log!$D:$D, $C$3), "")</f>
        <v/>
      </c>
      <c r="E91" s="113" t="str">
        <f>IFERROR(_xlfn.LET(_xlpm.camera_wand_count_by_day, AVERAGEIFS(Log!$E:$E, Log!$C:$C, $A91, Log!$B:$B, "n/a", Log!$A:$A, "Daily", Log!$D:$D, $C$3), _xlpm.auto_stop_that_day, _xlfn.XLOOKUP(A91, 'Daily WE'!$C88:$C10082, 'Daily WE'!$G88:$G10082), _xlpm.camera_wand_count_by_day/_xlpm.auto_stop_that_day), "")</f>
        <v/>
      </c>
      <c r="F91" s="191"/>
      <c r="G91" s="191"/>
      <c r="H91" s="108">
        <f>IF($C91="#N/A", NA(), _xlfn.XLOOKUP($A91, 'Daily WE'!$C:$C, 'Daily WE'!$N:$N))</f>
        <v>0</v>
      </c>
      <c r="I91" s="108">
        <f>IF($D91="#N/A", NA(), _xlfn.XLOOKUP($A91, 'Daily WE'!$C:$C, 'Daily WE'!$Q:$Q))</f>
        <v>0</v>
      </c>
    </row>
    <row r="92" spans="3:9" x14ac:dyDescent="0.3">
      <c r="C92" s="6" t="str">
        <f>IFERROR(AVERAGEIFS(Log!$F:$F, Log!$C:$C, $A92, Log!$B:$B, "n/a", Log!$A:$A, "Daily", Log!$D:$D, $C$3), "")</f>
        <v/>
      </c>
      <c r="D92" s="6" t="str">
        <f>IFERROR(AVERAGEIFS(Log!$G:$G, Log!$C:$C, $A92, Log!$B:$B, "n/a", Log!$A:$A, "Daily", Log!$D:$D, $C$3), "")</f>
        <v/>
      </c>
      <c r="E92" s="113" t="str">
        <f>IFERROR(_xlfn.LET(_xlpm.camera_wand_count_by_day, AVERAGEIFS(Log!$E:$E, Log!$C:$C, $A92, Log!$B:$B, "n/a", Log!$A:$A, "Daily", Log!$D:$D, $C$3), _xlpm.auto_stop_that_day, _xlfn.XLOOKUP(A92, 'Daily WE'!$C89:$C10083, 'Daily WE'!$G89:$G10083), _xlpm.camera_wand_count_by_day/_xlpm.auto_stop_that_day), "")</f>
        <v/>
      </c>
      <c r="F92" s="191"/>
      <c r="G92" s="191"/>
      <c r="H92" s="108">
        <f>IF($C92="#N/A", NA(), _xlfn.XLOOKUP($A92, 'Daily WE'!$C:$C, 'Daily WE'!$N:$N))</f>
        <v>0</v>
      </c>
      <c r="I92" s="108">
        <f>IF($D92="#N/A", NA(), _xlfn.XLOOKUP($A92, 'Daily WE'!$C:$C, 'Daily WE'!$Q:$Q))</f>
        <v>0</v>
      </c>
    </row>
    <row r="93" spans="3:9" x14ac:dyDescent="0.3">
      <c r="C93" s="6" t="str">
        <f>IFERROR(AVERAGEIFS(Log!$F:$F, Log!$C:$C, $A93, Log!$B:$B, "n/a", Log!$A:$A, "Daily", Log!$D:$D, $C$3), "")</f>
        <v/>
      </c>
      <c r="D93" s="6" t="str">
        <f>IFERROR(AVERAGEIFS(Log!$G:$G, Log!$C:$C, $A93, Log!$B:$B, "n/a", Log!$A:$A, "Daily", Log!$D:$D, $C$3), "")</f>
        <v/>
      </c>
      <c r="E93" s="113" t="str">
        <f>IFERROR(_xlfn.LET(_xlpm.camera_wand_count_by_day, AVERAGEIFS(Log!$E:$E, Log!$C:$C, $A93, Log!$B:$B, "n/a", Log!$A:$A, "Daily", Log!$D:$D, $C$3), _xlpm.auto_stop_that_day, _xlfn.XLOOKUP(A93, 'Daily WE'!$C90:$C10084, 'Daily WE'!$G90:$G10084), _xlpm.camera_wand_count_by_day/_xlpm.auto_stop_that_day), "")</f>
        <v/>
      </c>
      <c r="F93" s="191"/>
      <c r="G93" s="191"/>
      <c r="H93" s="108">
        <f>IF($C93="#N/A", NA(), _xlfn.XLOOKUP($A93, 'Daily WE'!$C:$C, 'Daily WE'!$N:$N))</f>
        <v>0</v>
      </c>
      <c r="I93" s="108">
        <f>IF($D93="#N/A", NA(), _xlfn.XLOOKUP($A93, 'Daily WE'!$C:$C, 'Daily WE'!$Q:$Q))</f>
        <v>0</v>
      </c>
    </row>
    <row r="94" spans="3:9" x14ac:dyDescent="0.3">
      <c r="C94" s="6" t="str">
        <f>IFERROR(AVERAGEIFS(Log!$F:$F, Log!$C:$C, $A94, Log!$B:$B, "n/a", Log!$A:$A, "Daily", Log!$D:$D, $C$3), "")</f>
        <v/>
      </c>
      <c r="D94" s="6" t="str">
        <f>IFERROR(AVERAGEIFS(Log!$G:$G, Log!$C:$C, $A94, Log!$B:$B, "n/a", Log!$A:$A, "Daily", Log!$D:$D, $C$3), "")</f>
        <v/>
      </c>
      <c r="E94" s="113" t="str">
        <f>IFERROR(_xlfn.LET(_xlpm.camera_wand_count_by_day, AVERAGEIFS(Log!$E:$E, Log!$C:$C, $A94, Log!$B:$B, "n/a", Log!$A:$A, "Daily", Log!$D:$D, $C$3), _xlpm.auto_stop_that_day, _xlfn.XLOOKUP(A94, 'Daily WE'!$C91:$C10085, 'Daily WE'!$G91:$G10085), _xlpm.camera_wand_count_by_day/_xlpm.auto_stop_that_day), "")</f>
        <v/>
      </c>
      <c r="F94" s="191"/>
      <c r="G94" s="191"/>
      <c r="H94" s="108">
        <f>IF($C94="#N/A", NA(), _xlfn.XLOOKUP($A94, 'Daily WE'!$C:$C, 'Daily WE'!$N:$N))</f>
        <v>0</v>
      </c>
      <c r="I94" s="108">
        <f>IF($D94="#N/A", NA(), _xlfn.XLOOKUP($A94, 'Daily WE'!$C:$C, 'Daily WE'!$Q:$Q))</f>
        <v>0</v>
      </c>
    </row>
    <row r="95" spans="3:9" x14ac:dyDescent="0.3">
      <c r="C95" s="6" t="str">
        <f>IFERROR(AVERAGEIFS(Log!$F:$F, Log!$C:$C, $A95, Log!$B:$B, "n/a", Log!$A:$A, "Daily", Log!$D:$D, $C$3), "")</f>
        <v/>
      </c>
      <c r="D95" s="6" t="str">
        <f>IFERROR(AVERAGEIFS(Log!$G:$G, Log!$C:$C, $A95, Log!$B:$B, "n/a", Log!$A:$A, "Daily", Log!$D:$D, $C$3), "")</f>
        <v/>
      </c>
      <c r="E95" s="113" t="str">
        <f>IFERROR(_xlfn.LET(_xlpm.camera_wand_count_by_day, AVERAGEIFS(Log!$E:$E, Log!$C:$C, $A95, Log!$B:$B, "n/a", Log!$A:$A, "Daily", Log!$D:$D, $C$3), _xlpm.auto_stop_that_day, _xlfn.XLOOKUP(A95, 'Daily WE'!$C92:$C10086, 'Daily WE'!$G92:$G10086), _xlpm.camera_wand_count_by_day/_xlpm.auto_stop_that_day), "")</f>
        <v/>
      </c>
      <c r="F95" s="191"/>
      <c r="G95" s="191"/>
      <c r="H95" s="108">
        <f>IF($C95="#N/A", NA(), _xlfn.XLOOKUP($A95, 'Daily WE'!$C:$C, 'Daily WE'!$N:$N))</f>
        <v>0</v>
      </c>
      <c r="I95" s="108">
        <f>IF($D95="#N/A", NA(), _xlfn.XLOOKUP($A95, 'Daily WE'!$C:$C, 'Daily WE'!$Q:$Q))</f>
        <v>0</v>
      </c>
    </row>
    <row r="96" spans="3:9" x14ac:dyDescent="0.3">
      <c r="C96" s="6" t="str">
        <f>IFERROR(AVERAGEIFS(Log!$F:$F, Log!$C:$C, $A96, Log!$B:$B, "n/a", Log!$A:$A, "Daily", Log!$D:$D, $C$3), "")</f>
        <v/>
      </c>
      <c r="D96" s="6" t="str">
        <f>IFERROR(AVERAGEIFS(Log!$G:$G, Log!$C:$C, $A96, Log!$B:$B, "n/a", Log!$A:$A, "Daily", Log!$D:$D, $C$3), "")</f>
        <v/>
      </c>
      <c r="E96" s="113" t="str">
        <f>IFERROR(_xlfn.LET(_xlpm.camera_wand_count_by_day, AVERAGEIFS(Log!$E:$E, Log!$C:$C, $A96, Log!$B:$B, "n/a", Log!$A:$A, "Daily", Log!$D:$D, $C$3), _xlpm.auto_stop_that_day, _xlfn.XLOOKUP(A96, 'Daily WE'!$C93:$C10087, 'Daily WE'!$G93:$G10087), _xlpm.camera_wand_count_by_day/_xlpm.auto_stop_that_day), "")</f>
        <v/>
      </c>
      <c r="F96" s="191"/>
      <c r="G96" s="191"/>
      <c r="H96" s="108">
        <f>IF($C96="#N/A", NA(), _xlfn.XLOOKUP($A96, 'Daily WE'!$C:$C, 'Daily WE'!$N:$N))</f>
        <v>0</v>
      </c>
      <c r="I96" s="108">
        <f>IF($D96="#N/A", NA(), _xlfn.XLOOKUP($A96, 'Daily WE'!$C:$C, 'Daily WE'!$Q:$Q))</f>
        <v>0</v>
      </c>
    </row>
    <row r="97" spans="3:9" x14ac:dyDescent="0.3">
      <c r="C97" s="6" t="str">
        <f>IFERROR(AVERAGEIFS(Log!$F:$F, Log!$C:$C, $A97, Log!$B:$B, "n/a", Log!$A:$A, "Daily", Log!$D:$D, $C$3), "")</f>
        <v/>
      </c>
      <c r="D97" s="6" t="str">
        <f>IFERROR(AVERAGEIFS(Log!$G:$G, Log!$C:$C, $A97, Log!$B:$B, "n/a", Log!$A:$A, "Daily", Log!$D:$D, $C$3), "")</f>
        <v/>
      </c>
      <c r="E97" s="113" t="str">
        <f>IFERROR(_xlfn.LET(_xlpm.camera_wand_count_by_day, AVERAGEIFS(Log!$E:$E, Log!$C:$C, $A97, Log!$B:$B, "n/a", Log!$A:$A, "Daily", Log!$D:$D, $C$3), _xlpm.auto_stop_that_day, _xlfn.XLOOKUP(A97, 'Daily WE'!$C94:$C10088, 'Daily WE'!$G94:$G10088), _xlpm.camera_wand_count_by_day/_xlpm.auto_stop_that_day), "")</f>
        <v/>
      </c>
      <c r="F97" s="191"/>
      <c r="G97" s="191"/>
      <c r="H97" s="108">
        <f>IF($C97="#N/A", NA(), _xlfn.XLOOKUP($A97, 'Daily WE'!$C:$C, 'Daily WE'!$N:$N))</f>
        <v>0</v>
      </c>
      <c r="I97" s="108">
        <f>IF($D97="#N/A", NA(), _xlfn.XLOOKUP($A97, 'Daily WE'!$C:$C, 'Daily WE'!$Q:$Q))</f>
        <v>0</v>
      </c>
    </row>
    <row r="98" spans="3:9" x14ac:dyDescent="0.3">
      <c r="C98" s="6" t="str">
        <f>IFERROR(AVERAGEIFS(Log!$F:$F, Log!$C:$C, $A98, Log!$B:$B, "n/a", Log!$A:$A, "Daily", Log!$D:$D, $C$3), "")</f>
        <v/>
      </c>
      <c r="D98" s="6" t="str">
        <f>IFERROR(AVERAGEIFS(Log!$G:$G, Log!$C:$C, $A98, Log!$B:$B, "n/a", Log!$A:$A, "Daily", Log!$D:$D, $C$3), "")</f>
        <v/>
      </c>
      <c r="E98" s="113" t="str">
        <f>IFERROR(_xlfn.LET(_xlpm.camera_wand_count_by_day, AVERAGEIFS(Log!$E:$E, Log!$C:$C, $A98, Log!$B:$B, "n/a", Log!$A:$A, "Daily", Log!$D:$D, $C$3), _xlpm.auto_stop_that_day, _xlfn.XLOOKUP(A98, 'Daily WE'!$C95:$C10089, 'Daily WE'!$G95:$G10089), _xlpm.camera_wand_count_by_day/_xlpm.auto_stop_that_day), "")</f>
        <v/>
      </c>
      <c r="F98" s="191"/>
      <c r="G98" s="191"/>
      <c r="H98" s="108">
        <f>IF($C98="#N/A", NA(), _xlfn.XLOOKUP($A98, 'Daily WE'!$C:$C, 'Daily WE'!$N:$N))</f>
        <v>0</v>
      </c>
      <c r="I98" s="108">
        <f>IF($D98="#N/A", NA(), _xlfn.XLOOKUP($A98, 'Daily WE'!$C:$C, 'Daily WE'!$Q:$Q))</f>
        <v>0</v>
      </c>
    </row>
    <row r="99" spans="3:9" x14ac:dyDescent="0.3">
      <c r="C99" s="6" t="str">
        <f>IFERROR(AVERAGEIFS(Log!$F:$F, Log!$C:$C, $A99, Log!$B:$B, "n/a", Log!$A:$A, "Daily", Log!$D:$D, $C$3), "")</f>
        <v/>
      </c>
      <c r="D99" s="6" t="str">
        <f>IFERROR(AVERAGEIFS(Log!$G:$G, Log!$C:$C, $A99, Log!$B:$B, "n/a", Log!$A:$A, "Daily", Log!$D:$D, $C$3), "")</f>
        <v/>
      </c>
      <c r="E99" s="113" t="str">
        <f>IFERROR(_xlfn.LET(_xlpm.camera_wand_count_by_day, AVERAGEIFS(Log!$E:$E, Log!$C:$C, $A99, Log!$B:$B, "n/a", Log!$A:$A, "Daily", Log!$D:$D, $C$3), _xlpm.auto_stop_that_day, _xlfn.XLOOKUP(A99, 'Daily WE'!$C96:$C10090, 'Daily WE'!$G96:$G10090), _xlpm.camera_wand_count_by_day/_xlpm.auto_stop_that_day), "")</f>
        <v/>
      </c>
      <c r="F99" s="191"/>
      <c r="G99" s="191"/>
      <c r="H99" s="108">
        <f>IF($C99="#N/A", NA(), _xlfn.XLOOKUP($A99, 'Daily WE'!$C:$C, 'Daily WE'!$N:$N))</f>
        <v>0</v>
      </c>
      <c r="I99" s="108">
        <f>IF($D99="#N/A", NA(), _xlfn.XLOOKUP($A99, 'Daily WE'!$C:$C, 'Daily WE'!$Q:$Q))</f>
        <v>0</v>
      </c>
    </row>
    <row r="100" spans="3:9" x14ac:dyDescent="0.3">
      <c r="C100" s="6" t="str">
        <f>IFERROR(AVERAGEIFS(Log!$F:$F, Log!$C:$C, $A100, Log!$B:$B, "n/a", Log!$A:$A, "Daily", Log!$D:$D, $C$3), "")</f>
        <v/>
      </c>
      <c r="D100" s="6" t="str">
        <f>IFERROR(AVERAGEIFS(Log!$G:$G, Log!$C:$C, $A100, Log!$B:$B, "n/a", Log!$A:$A, "Daily", Log!$D:$D, $C$3), "")</f>
        <v/>
      </c>
      <c r="E100" s="113" t="str">
        <f>IFERROR(_xlfn.LET(_xlpm.camera_wand_count_by_day, AVERAGEIFS(Log!$E:$E, Log!$C:$C, $A100, Log!$B:$B, "n/a", Log!$A:$A, "Daily", Log!$D:$D, $C$3), _xlpm.auto_stop_that_day, _xlfn.XLOOKUP(A100, 'Daily WE'!$C97:$C10091, 'Daily WE'!$G97:$G10091), _xlpm.camera_wand_count_by_day/_xlpm.auto_stop_that_day), "")</f>
        <v/>
      </c>
      <c r="F100" s="191"/>
      <c r="G100" s="191"/>
      <c r="H100" s="108">
        <f>IF($C100="#N/A", NA(), _xlfn.XLOOKUP($A100, 'Daily WE'!$C:$C, 'Daily WE'!$N:$N))</f>
        <v>0</v>
      </c>
      <c r="I100" s="108">
        <f>IF($D100="#N/A", NA(), _xlfn.XLOOKUP($A100, 'Daily WE'!$C:$C, 'Daily WE'!$Q:$Q))</f>
        <v>0</v>
      </c>
    </row>
    <row r="101" spans="3:9" x14ac:dyDescent="0.3">
      <c r="C101" s="6" t="str">
        <f>IFERROR(AVERAGEIFS(Log!$F:$F, Log!$C:$C, $A101, Log!$B:$B, "n/a", Log!$A:$A, "Daily", Log!$D:$D, $C$3), "")</f>
        <v/>
      </c>
      <c r="D101" s="6" t="str">
        <f>IFERROR(AVERAGEIFS(Log!$G:$G, Log!$C:$C, $A101, Log!$B:$B, "n/a", Log!$A:$A, "Daily", Log!$D:$D, $C$3), "")</f>
        <v/>
      </c>
      <c r="E101" s="113" t="str">
        <f>IFERROR(_xlfn.LET(_xlpm.camera_wand_count_by_day, AVERAGEIFS(Log!$E:$E, Log!$C:$C, $A101, Log!$B:$B, "n/a", Log!$A:$A, "Daily", Log!$D:$D, $C$3), _xlpm.auto_stop_that_day, _xlfn.XLOOKUP(A101, 'Daily WE'!$C98:$C10092, 'Daily WE'!$G98:$G10092), _xlpm.camera_wand_count_by_day/_xlpm.auto_stop_that_day), "")</f>
        <v/>
      </c>
      <c r="F101" s="191"/>
      <c r="G101" s="191"/>
      <c r="H101" s="108">
        <f>IF($C101="#N/A", NA(), _xlfn.XLOOKUP($A101, 'Daily WE'!$C:$C, 'Daily WE'!$N:$N))</f>
        <v>0</v>
      </c>
      <c r="I101" s="108">
        <f>IF($D101="#N/A", NA(), _xlfn.XLOOKUP($A101, 'Daily WE'!$C:$C, 'Daily WE'!$Q:$Q))</f>
        <v>0</v>
      </c>
    </row>
    <row r="102" spans="3:9" x14ac:dyDescent="0.3">
      <c r="C102" s="6" t="str">
        <f>IFERROR(AVERAGEIFS(Log!$F:$F, Log!$C:$C, $A102, Log!$B:$B, "n/a", Log!$A:$A, "Daily", Log!$D:$D, $C$3), "")</f>
        <v/>
      </c>
      <c r="D102" s="6" t="str">
        <f>IFERROR(AVERAGEIFS(Log!$G:$G, Log!$C:$C, $A102, Log!$B:$B, "n/a", Log!$A:$A, "Daily", Log!$D:$D, $C$3), "")</f>
        <v/>
      </c>
      <c r="E102" s="113" t="str">
        <f>IFERROR(_xlfn.LET(_xlpm.camera_wand_count_by_day, AVERAGEIFS(Log!$E:$E, Log!$C:$C, $A102, Log!$B:$B, "n/a", Log!$A:$A, "Daily", Log!$D:$D, $C$3), _xlpm.auto_stop_that_day, _xlfn.XLOOKUP(A102, 'Daily WE'!$C99:$C10093, 'Daily WE'!$G99:$G10093), _xlpm.camera_wand_count_by_day/_xlpm.auto_stop_that_day), "")</f>
        <v/>
      </c>
      <c r="F102" s="191"/>
      <c r="G102" s="191"/>
      <c r="H102" s="108">
        <f>IF($C102="#N/A", NA(), _xlfn.XLOOKUP($A102, 'Daily WE'!$C:$C, 'Daily WE'!$N:$N))</f>
        <v>0</v>
      </c>
      <c r="I102" s="108">
        <f>IF($D102="#N/A", NA(), _xlfn.XLOOKUP($A102, 'Daily WE'!$C:$C, 'Daily WE'!$Q:$Q))</f>
        <v>0</v>
      </c>
    </row>
    <row r="103" spans="3:9" x14ac:dyDescent="0.3">
      <c r="C103" s="6" t="str">
        <f>IFERROR(AVERAGEIFS(Log!$F:$F, Log!$C:$C, $A103, Log!$B:$B, "n/a", Log!$A:$A, "Daily", Log!$D:$D, $C$3), "")</f>
        <v/>
      </c>
      <c r="D103" s="6" t="str">
        <f>IFERROR(AVERAGEIFS(Log!$G:$G, Log!$C:$C, $A103, Log!$B:$B, "n/a", Log!$A:$A, "Daily", Log!$D:$D, $C$3), "")</f>
        <v/>
      </c>
      <c r="E103" s="113" t="str">
        <f>IFERROR(_xlfn.LET(_xlpm.camera_wand_count_by_day, AVERAGEIFS(Log!$E:$E, Log!$C:$C, $A103, Log!$B:$B, "n/a", Log!$A:$A, "Daily", Log!$D:$D, $C$3), _xlpm.auto_stop_that_day, _xlfn.XLOOKUP(A103, 'Daily WE'!$C100:$C10094, 'Daily WE'!$G100:$G10094), _xlpm.camera_wand_count_by_day/_xlpm.auto_stop_that_day), "")</f>
        <v/>
      </c>
      <c r="F103" s="191"/>
      <c r="G103" s="191"/>
      <c r="H103" s="108">
        <f>IF($C103="#N/A", NA(), _xlfn.XLOOKUP($A103, 'Daily WE'!$C:$C, 'Daily WE'!$N:$N))</f>
        <v>0</v>
      </c>
      <c r="I103" s="108">
        <f>IF($D103="#N/A", NA(), _xlfn.XLOOKUP($A103, 'Daily WE'!$C:$C, 'Daily WE'!$Q:$Q))</f>
        <v>0</v>
      </c>
    </row>
    <row r="104" spans="3:9" x14ac:dyDescent="0.3">
      <c r="C104" s="6" t="str">
        <f>IFERROR(AVERAGEIFS(Log!$F:$F, Log!$C:$C, $A104, Log!$B:$B, "n/a", Log!$A:$A, "Daily", Log!$D:$D, $C$3), "")</f>
        <v/>
      </c>
      <c r="D104" s="6" t="str">
        <f>IFERROR(AVERAGEIFS(Log!$G:$G, Log!$C:$C, $A104, Log!$B:$B, "n/a", Log!$A:$A, "Daily", Log!$D:$D, $C$3), "")</f>
        <v/>
      </c>
      <c r="E104" s="113" t="str">
        <f>IFERROR(_xlfn.LET(_xlpm.camera_wand_count_by_day, AVERAGEIFS(Log!$E:$E, Log!$C:$C, $A104, Log!$B:$B, "n/a", Log!$A:$A, "Daily", Log!$D:$D, $C$3), _xlpm.auto_stop_that_day, _xlfn.XLOOKUP(A104, 'Daily WE'!$C101:$C10095, 'Daily WE'!$G101:$G10095), _xlpm.camera_wand_count_by_day/_xlpm.auto_stop_that_day), "")</f>
        <v/>
      </c>
      <c r="F104" s="191"/>
      <c r="G104" s="191"/>
      <c r="H104" s="108">
        <f>IF($C104="#N/A", NA(), _xlfn.XLOOKUP($A104, 'Daily WE'!$C:$C, 'Daily WE'!$N:$N))</f>
        <v>0</v>
      </c>
      <c r="I104" s="108">
        <f>IF($D104="#N/A", NA(), _xlfn.XLOOKUP($A104, 'Daily WE'!$C:$C, 'Daily WE'!$Q:$Q))</f>
        <v>0</v>
      </c>
    </row>
    <row r="105" spans="3:9" x14ac:dyDescent="0.3">
      <c r="C105" s="6" t="str">
        <f>IFERROR(AVERAGEIFS(Log!$F:$F, Log!$C:$C, $A105, Log!$B:$B, "n/a", Log!$A:$A, "Daily", Log!$D:$D, $C$3), "")</f>
        <v/>
      </c>
      <c r="D105" s="6" t="str">
        <f>IFERROR(AVERAGEIFS(Log!$G:$G, Log!$C:$C, $A105, Log!$B:$B, "n/a", Log!$A:$A, "Daily", Log!$D:$D, $C$3), "")</f>
        <v/>
      </c>
      <c r="E105" s="113" t="str">
        <f>IFERROR(_xlfn.LET(_xlpm.camera_wand_count_by_day, AVERAGEIFS(Log!$E:$E, Log!$C:$C, $A105, Log!$B:$B, "n/a", Log!$A:$A, "Daily", Log!$D:$D, $C$3), _xlpm.auto_stop_that_day, _xlfn.XLOOKUP(A105, 'Daily WE'!$C102:$C10096, 'Daily WE'!$G102:$G10096), _xlpm.camera_wand_count_by_day/_xlpm.auto_stop_that_day), "")</f>
        <v/>
      </c>
      <c r="F105" s="191"/>
      <c r="G105" s="191"/>
      <c r="H105" s="108">
        <f>IF($C105="#N/A", NA(), _xlfn.XLOOKUP($A105, 'Daily WE'!$C:$C, 'Daily WE'!$N:$N))</f>
        <v>0</v>
      </c>
      <c r="I105" s="108">
        <f>IF($D105="#N/A", NA(), _xlfn.XLOOKUP($A105, 'Daily WE'!$C:$C, 'Daily WE'!$Q:$Q))</f>
        <v>0</v>
      </c>
    </row>
    <row r="106" spans="3:9" x14ac:dyDescent="0.3">
      <c r="C106" s="6" t="str">
        <f>IFERROR(AVERAGEIFS(Log!$F:$F, Log!$C:$C, $A106, Log!$B:$B, "n/a", Log!$A:$A, "Daily", Log!$D:$D, $C$3), "")</f>
        <v/>
      </c>
      <c r="D106" s="6" t="str">
        <f>IFERROR(AVERAGEIFS(Log!$G:$G, Log!$C:$C, $A106, Log!$B:$B, "n/a", Log!$A:$A, "Daily", Log!$D:$D, $C$3), "")</f>
        <v/>
      </c>
      <c r="E106" s="113" t="str">
        <f>IFERROR(_xlfn.LET(_xlpm.camera_wand_count_by_day, AVERAGEIFS(Log!$E:$E, Log!$C:$C, $A106, Log!$B:$B, "n/a", Log!$A:$A, "Daily", Log!$D:$D, $C$3), _xlpm.auto_stop_that_day, _xlfn.XLOOKUP(A106, 'Daily WE'!$C103:$C10097, 'Daily WE'!$G103:$G10097), _xlpm.camera_wand_count_by_day/_xlpm.auto_stop_that_day), "")</f>
        <v/>
      </c>
      <c r="F106" s="191"/>
      <c r="G106" s="191"/>
      <c r="H106" s="108">
        <f>IF($C106="#N/A", NA(), _xlfn.XLOOKUP($A106, 'Daily WE'!$C:$C, 'Daily WE'!$N:$N))</f>
        <v>0</v>
      </c>
      <c r="I106" s="108">
        <f>IF($D106="#N/A", NA(), _xlfn.XLOOKUP($A106, 'Daily WE'!$C:$C, 'Daily WE'!$Q:$Q))</f>
        <v>0</v>
      </c>
    </row>
    <row r="107" spans="3:9" x14ac:dyDescent="0.3">
      <c r="C107" s="6" t="str">
        <f>IFERROR(AVERAGEIFS(Log!$F:$F, Log!$C:$C, $A107, Log!$B:$B, "n/a", Log!$A:$A, "Daily", Log!$D:$D, $C$3), "")</f>
        <v/>
      </c>
      <c r="D107" s="6" t="str">
        <f>IFERROR(AVERAGEIFS(Log!$G:$G, Log!$C:$C, $A107, Log!$B:$B, "n/a", Log!$A:$A, "Daily", Log!$D:$D, $C$3), "")</f>
        <v/>
      </c>
      <c r="E107" s="113" t="str">
        <f>IFERROR(_xlfn.LET(_xlpm.camera_wand_count_by_day, AVERAGEIFS(Log!$E:$E, Log!$C:$C, $A107, Log!$B:$B, "n/a", Log!$A:$A, "Daily", Log!$D:$D, $C$3), _xlpm.auto_stop_that_day, _xlfn.XLOOKUP(A107, 'Daily WE'!$C104:$C10098, 'Daily WE'!$G104:$G10098), _xlpm.camera_wand_count_by_day/_xlpm.auto_stop_that_day), "")</f>
        <v/>
      </c>
      <c r="F107" s="191"/>
      <c r="G107" s="191"/>
      <c r="H107" s="108">
        <f>IF($C107="#N/A", NA(), _xlfn.XLOOKUP($A107, 'Daily WE'!$C:$C, 'Daily WE'!$N:$N))</f>
        <v>0</v>
      </c>
      <c r="I107" s="108">
        <f>IF($D107="#N/A", NA(), _xlfn.XLOOKUP($A107, 'Daily WE'!$C:$C, 'Daily WE'!$Q:$Q))</f>
        <v>0</v>
      </c>
    </row>
    <row r="108" spans="3:9" x14ac:dyDescent="0.3">
      <c r="C108" s="6" t="str">
        <f>IFERROR(AVERAGEIFS(Log!$F:$F, Log!$C:$C, $A108, Log!$B:$B, "n/a", Log!$A:$A, "Daily", Log!$D:$D, $C$3), "")</f>
        <v/>
      </c>
      <c r="D108" s="6" t="str">
        <f>IFERROR(AVERAGEIFS(Log!$G:$G, Log!$C:$C, $A108, Log!$B:$B, "n/a", Log!$A:$A, "Daily", Log!$D:$D, $C$3), "")</f>
        <v/>
      </c>
      <c r="E108" s="113" t="str">
        <f>IFERROR(_xlfn.LET(_xlpm.camera_wand_count_by_day, AVERAGEIFS(Log!$E:$E, Log!$C:$C, $A108, Log!$B:$B, "n/a", Log!$A:$A, "Daily", Log!$D:$D, $C$3), _xlpm.auto_stop_that_day, _xlfn.XLOOKUP(A108, 'Daily WE'!$C105:$C10099, 'Daily WE'!$G105:$G10099), _xlpm.camera_wand_count_by_day/_xlpm.auto_stop_that_day), "")</f>
        <v/>
      </c>
      <c r="F108" s="191"/>
      <c r="G108" s="191"/>
      <c r="H108" s="108">
        <f>IF($C108="#N/A", NA(), _xlfn.XLOOKUP($A108, 'Daily WE'!$C:$C, 'Daily WE'!$N:$N))</f>
        <v>0</v>
      </c>
      <c r="I108" s="108">
        <f>IF($D108="#N/A", NA(), _xlfn.XLOOKUP($A108, 'Daily WE'!$C:$C, 'Daily WE'!$Q:$Q))</f>
        <v>0</v>
      </c>
    </row>
    <row r="109" spans="3:9" x14ac:dyDescent="0.3">
      <c r="C109" s="6" t="str">
        <f>IFERROR(AVERAGEIFS(Log!$F:$F, Log!$C:$C, $A109, Log!$B:$B, "n/a", Log!$A:$A, "Daily", Log!$D:$D, $C$3), "")</f>
        <v/>
      </c>
      <c r="D109" s="6" t="str">
        <f>IFERROR(AVERAGEIFS(Log!$G:$G, Log!$C:$C, $A109, Log!$B:$B, "n/a", Log!$A:$A, "Daily", Log!$D:$D, $C$3), "")</f>
        <v/>
      </c>
      <c r="E109" s="113" t="str">
        <f>IFERROR(_xlfn.LET(_xlpm.camera_wand_count_by_day, AVERAGEIFS(Log!$E:$E, Log!$C:$C, $A109, Log!$B:$B, "n/a", Log!$A:$A, "Daily", Log!$D:$D, $C$3), _xlpm.auto_stop_that_day, _xlfn.XLOOKUP(A109, 'Daily WE'!$C106:$C10100, 'Daily WE'!$G106:$G10100), _xlpm.camera_wand_count_by_day/_xlpm.auto_stop_that_day), "")</f>
        <v/>
      </c>
      <c r="F109" s="191"/>
      <c r="G109" s="191"/>
      <c r="H109" s="108">
        <f>IF($C109="#N/A", NA(), _xlfn.XLOOKUP($A109, 'Daily WE'!$C:$C, 'Daily WE'!$N:$N))</f>
        <v>0</v>
      </c>
      <c r="I109" s="108">
        <f>IF($D109="#N/A", NA(), _xlfn.XLOOKUP($A109, 'Daily WE'!$C:$C, 'Daily WE'!$Q:$Q))</f>
        <v>0</v>
      </c>
    </row>
    <row r="110" spans="3:9" x14ac:dyDescent="0.3">
      <c r="C110" s="6" t="str">
        <f>IFERROR(AVERAGEIFS(Log!$F:$F, Log!$C:$C, $A110, Log!$B:$B, "n/a", Log!$A:$A, "Daily", Log!$D:$D, $C$3), "")</f>
        <v/>
      </c>
      <c r="D110" s="6" t="str">
        <f>IFERROR(AVERAGEIFS(Log!$G:$G, Log!$C:$C, $A110, Log!$B:$B, "n/a", Log!$A:$A, "Daily", Log!$D:$D, $C$3), "")</f>
        <v/>
      </c>
      <c r="E110" s="113" t="str">
        <f>IFERROR(_xlfn.LET(_xlpm.camera_wand_count_by_day, AVERAGEIFS(Log!$E:$E, Log!$C:$C, $A110, Log!$B:$B, "n/a", Log!$A:$A, "Daily", Log!$D:$D, $C$3), _xlpm.auto_stop_that_day, _xlfn.XLOOKUP(A110, 'Daily WE'!$C107:$C10101, 'Daily WE'!$G107:$G10101), _xlpm.camera_wand_count_by_day/_xlpm.auto_stop_that_day), "")</f>
        <v/>
      </c>
      <c r="F110" s="191"/>
      <c r="G110" s="191"/>
      <c r="H110" s="108">
        <f>IF($C110="#N/A", NA(), _xlfn.XLOOKUP($A110, 'Daily WE'!$C:$C, 'Daily WE'!$N:$N))</f>
        <v>0</v>
      </c>
      <c r="I110" s="108">
        <f>IF($D110="#N/A", NA(), _xlfn.XLOOKUP($A110, 'Daily WE'!$C:$C, 'Daily WE'!$Q:$Q))</f>
        <v>0</v>
      </c>
    </row>
    <row r="111" spans="3:9" x14ac:dyDescent="0.3">
      <c r="C111" s="6" t="str">
        <f>IFERROR(AVERAGEIFS(Log!$F:$F, Log!$C:$C, $A111, Log!$B:$B, "n/a", Log!$A:$A, "Daily", Log!$D:$D, $C$3), "")</f>
        <v/>
      </c>
      <c r="D111" s="6" t="str">
        <f>IFERROR(AVERAGEIFS(Log!$G:$G, Log!$C:$C, $A111, Log!$B:$B, "n/a", Log!$A:$A, "Daily", Log!$D:$D, $C$3), "")</f>
        <v/>
      </c>
      <c r="E111" s="113" t="str">
        <f>IFERROR(_xlfn.LET(_xlpm.camera_wand_count_by_day, AVERAGEIFS(Log!$E:$E, Log!$C:$C, $A111, Log!$B:$B, "n/a", Log!$A:$A, "Daily", Log!$D:$D, $C$3), _xlpm.auto_stop_that_day, _xlfn.XLOOKUP(A111, 'Daily WE'!$C108:$C10102, 'Daily WE'!$G108:$G10102), _xlpm.camera_wand_count_by_day/_xlpm.auto_stop_that_day), "")</f>
        <v/>
      </c>
      <c r="F111" s="191"/>
      <c r="G111" s="191"/>
      <c r="H111" s="108">
        <f>IF($C111="#N/A", NA(), _xlfn.XLOOKUP($A111, 'Daily WE'!$C:$C, 'Daily WE'!$N:$N))</f>
        <v>0</v>
      </c>
      <c r="I111" s="108">
        <f>IF($D111="#N/A", NA(), _xlfn.XLOOKUP($A111, 'Daily WE'!$C:$C, 'Daily WE'!$Q:$Q))</f>
        <v>0</v>
      </c>
    </row>
    <row r="112" spans="3:9" x14ac:dyDescent="0.3">
      <c r="C112" s="6" t="str">
        <f>IFERROR(AVERAGEIFS(Log!$F:$F, Log!$C:$C, $A112, Log!$B:$B, "n/a", Log!$A:$A, "Daily", Log!$D:$D, $C$3), "")</f>
        <v/>
      </c>
      <c r="D112" s="6" t="str">
        <f>IFERROR(AVERAGEIFS(Log!$G:$G, Log!$C:$C, $A112, Log!$B:$B, "n/a", Log!$A:$A, "Daily", Log!$D:$D, $C$3), "")</f>
        <v/>
      </c>
      <c r="E112" s="113" t="str">
        <f>IFERROR(_xlfn.LET(_xlpm.camera_wand_count_by_day, AVERAGEIFS(Log!$E:$E, Log!$C:$C, $A112, Log!$B:$B, "n/a", Log!$A:$A, "Daily", Log!$D:$D, $C$3), _xlpm.auto_stop_that_day, _xlfn.XLOOKUP(A112, 'Daily WE'!$C109:$C10103, 'Daily WE'!$G109:$G10103), _xlpm.camera_wand_count_by_day/_xlpm.auto_stop_that_day), "")</f>
        <v/>
      </c>
      <c r="F112" s="191"/>
      <c r="G112" s="191"/>
      <c r="H112" s="108">
        <f>IF($C112="#N/A", NA(), _xlfn.XLOOKUP($A112, 'Daily WE'!$C:$C, 'Daily WE'!$N:$N))</f>
        <v>0</v>
      </c>
      <c r="I112" s="108">
        <f>IF($D112="#N/A", NA(), _xlfn.XLOOKUP($A112, 'Daily WE'!$C:$C, 'Daily WE'!$Q:$Q))</f>
        <v>0</v>
      </c>
    </row>
    <row r="113" spans="3:9" x14ac:dyDescent="0.3">
      <c r="C113" s="6" t="str">
        <f>IFERROR(AVERAGEIFS(Log!$F:$F, Log!$C:$C, $A113, Log!$B:$B, "n/a", Log!$A:$A, "Daily", Log!$D:$D, $C$3), "")</f>
        <v/>
      </c>
      <c r="D113" s="6" t="str">
        <f>IFERROR(AVERAGEIFS(Log!$G:$G, Log!$C:$C, $A113, Log!$B:$B, "n/a", Log!$A:$A, "Daily", Log!$D:$D, $C$3), "")</f>
        <v/>
      </c>
      <c r="E113" s="113" t="str">
        <f>IFERROR(_xlfn.LET(_xlpm.camera_wand_count_by_day, AVERAGEIFS(Log!$E:$E, Log!$C:$C, $A113, Log!$B:$B, "n/a", Log!$A:$A, "Daily", Log!$D:$D, $C$3), _xlpm.auto_stop_that_day, _xlfn.XLOOKUP(A113, 'Daily WE'!$C110:$C10104, 'Daily WE'!$G110:$G10104), _xlpm.camera_wand_count_by_day/_xlpm.auto_stop_that_day), "")</f>
        <v/>
      </c>
      <c r="F113" s="191"/>
      <c r="G113" s="191"/>
      <c r="H113" s="108">
        <f>IF($C113="#N/A", NA(), _xlfn.XLOOKUP($A113, 'Daily WE'!$C:$C, 'Daily WE'!$N:$N))</f>
        <v>0</v>
      </c>
      <c r="I113" s="108">
        <f>IF($D113="#N/A", NA(), _xlfn.XLOOKUP($A113, 'Daily WE'!$C:$C, 'Daily WE'!$Q:$Q))</f>
        <v>0</v>
      </c>
    </row>
    <row r="114" spans="3:9" x14ac:dyDescent="0.3">
      <c r="C114" s="6" t="str">
        <f>IFERROR(AVERAGEIFS(Log!$F:$F, Log!$C:$C, $A114, Log!$B:$B, "n/a", Log!$A:$A, "Daily", Log!$D:$D, $C$3), "")</f>
        <v/>
      </c>
      <c r="D114" s="6" t="str">
        <f>IFERROR(AVERAGEIFS(Log!$G:$G, Log!$C:$C, $A114, Log!$B:$B, "n/a", Log!$A:$A, "Daily", Log!$D:$D, $C$3), "")</f>
        <v/>
      </c>
      <c r="E114" s="113" t="str">
        <f>IFERROR(_xlfn.LET(_xlpm.camera_wand_count_by_day, AVERAGEIFS(Log!$E:$E, Log!$C:$C, $A114, Log!$B:$B, "n/a", Log!$A:$A, "Daily", Log!$D:$D, $C$3), _xlpm.auto_stop_that_day, _xlfn.XLOOKUP(A114, 'Daily WE'!$C111:$C10105, 'Daily WE'!$G111:$G10105), _xlpm.camera_wand_count_by_day/_xlpm.auto_stop_that_day), "")</f>
        <v/>
      </c>
      <c r="F114" s="191"/>
      <c r="G114" s="191"/>
      <c r="H114" s="108">
        <f>IF($C114="#N/A", NA(), _xlfn.XLOOKUP($A114, 'Daily WE'!$C:$C, 'Daily WE'!$N:$N))</f>
        <v>0</v>
      </c>
      <c r="I114" s="108">
        <f>IF($D114="#N/A", NA(), _xlfn.XLOOKUP($A114, 'Daily WE'!$C:$C, 'Daily WE'!$Q:$Q))</f>
        <v>0</v>
      </c>
    </row>
    <row r="115" spans="3:9" x14ac:dyDescent="0.3">
      <c r="C115" s="6" t="str">
        <f>IFERROR(AVERAGEIFS(Log!$F:$F, Log!$C:$C, $A115, Log!$B:$B, "n/a", Log!$A:$A, "Daily", Log!$D:$D, $C$3), "")</f>
        <v/>
      </c>
      <c r="D115" s="6" t="str">
        <f>IFERROR(AVERAGEIFS(Log!$G:$G, Log!$C:$C, $A115, Log!$B:$B, "n/a", Log!$A:$A, "Daily", Log!$D:$D, $C$3), "")</f>
        <v/>
      </c>
      <c r="E115" s="113" t="str">
        <f>IFERROR(_xlfn.LET(_xlpm.camera_wand_count_by_day, AVERAGEIFS(Log!$E:$E, Log!$C:$C, $A115, Log!$B:$B, "n/a", Log!$A:$A, "Daily", Log!$D:$D, $C$3), _xlpm.auto_stop_that_day, _xlfn.XLOOKUP(A115, 'Daily WE'!$C112:$C10106, 'Daily WE'!$G112:$G10106), _xlpm.camera_wand_count_by_day/_xlpm.auto_stop_that_day), "")</f>
        <v/>
      </c>
      <c r="F115" s="191"/>
      <c r="G115" s="191"/>
      <c r="H115" s="108">
        <f>IF($C115="#N/A", NA(), _xlfn.XLOOKUP($A115, 'Daily WE'!$C:$C, 'Daily WE'!$N:$N))</f>
        <v>0</v>
      </c>
      <c r="I115" s="108">
        <f>IF($D115="#N/A", NA(), _xlfn.XLOOKUP($A115, 'Daily WE'!$C:$C, 'Daily WE'!$Q:$Q))</f>
        <v>0</v>
      </c>
    </row>
    <row r="116" spans="3:9" x14ac:dyDescent="0.3">
      <c r="C116" s="6" t="str">
        <f>IFERROR(AVERAGEIFS(Log!$F:$F, Log!$C:$C, $A116, Log!$B:$B, "n/a", Log!$A:$A, "Daily", Log!$D:$D, $C$3), "")</f>
        <v/>
      </c>
      <c r="D116" s="6" t="str">
        <f>IFERROR(AVERAGEIFS(Log!$G:$G, Log!$C:$C, $A116, Log!$B:$B, "n/a", Log!$A:$A, "Daily", Log!$D:$D, $C$3), "")</f>
        <v/>
      </c>
      <c r="E116" s="113" t="str">
        <f>IFERROR(_xlfn.LET(_xlpm.camera_wand_count_by_day, AVERAGEIFS(Log!$E:$E, Log!$C:$C, $A116, Log!$B:$B, "n/a", Log!$A:$A, "Daily", Log!$D:$D, $C$3), _xlpm.auto_stop_that_day, _xlfn.XLOOKUP(A116, 'Daily WE'!$C113:$C10107, 'Daily WE'!$G113:$G10107), _xlpm.camera_wand_count_by_day/_xlpm.auto_stop_that_day), "")</f>
        <v/>
      </c>
      <c r="F116" s="191"/>
      <c r="G116" s="191"/>
      <c r="H116" s="108">
        <f>IF($C116="#N/A", NA(), _xlfn.XLOOKUP($A116, 'Daily WE'!$C:$C, 'Daily WE'!$N:$N))</f>
        <v>0</v>
      </c>
      <c r="I116" s="108">
        <f>IF($D116="#N/A", NA(), _xlfn.XLOOKUP($A116, 'Daily WE'!$C:$C, 'Daily WE'!$Q:$Q))</f>
        <v>0</v>
      </c>
    </row>
    <row r="117" spans="3:9" x14ac:dyDescent="0.3">
      <c r="C117" s="6" t="str">
        <f>IFERROR(AVERAGEIFS(Log!$F:$F, Log!$C:$C, $A117, Log!$B:$B, "n/a", Log!$A:$A, "Daily", Log!$D:$D, $C$3), "")</f>
        <v/>
      </c>
      <c r="D117" s="6" t="str">
        <f>IFERROR(AVERAGEIFS(Log!$G:$G, Log!$C:$C, $A117, Log!$B:$B, "n/a", Log!$A:$A, "Daily", Log!$D:$D, $C$3), "")</f>
        <v/>
      </c>
      <c r="E117" s="113" t="str">
        <f>IFERROR(_xlfn.LET(_xlpm.camera_wand_count_by_day, AVERAGEIFS(Log!$E:$E, Log!$C:$C, $A117, Log!$B:$B, "n/a", Log!$A:$A, "Daily", Log!$D:$D, $C$3), _xlpm.auto_stop_that_day, _xlfn.XLOOKUP(A117, 'Daily WE'!$C114:$C10108, 'Daily WE'!$G114:$G10108), _xlpm.camera_wand_count_by_day/_xlpm.auto_stop_that_day), "")</f>
        <v/>
      </c>
      <c r="F117" s="191"/>
      <c r="G117" s="191"/>
      <c r="H117" s="108">
        <f>IF($C117="#N/A", NA(), _xlfn.XLOOKUP($A117, 'Daily WE'!$C:$C, 'Daily WE'!$N:$N))</f>
        <v>0</v>
      </c>
      <c r="I117" s="108">
        <f>IF($D117="#N/A", NA(), _xlfn.XLOOKUP($A117, 'Daily WE'!$C:$C, 'Daily WE'!$Q:$Q))</f>
        <v>0</v>
      </c>
    </row>
    <row r="118" spans="3:9" x14ac:dyDescent="0.3">
      <c r="C118" s="6" t="str">
        <f>IFERROR(AVERAGEIFS(Log!$F:$F, Log!$C:$C, $A118, Log!$B:$B, "n/a", Log!$A:$A, "Daily", Log!$D:$D, $C$3), "")</f>
        <v/>
      </c>
      <c r="D118" s="6" t="str">
        <f>IFERROR(AVERAGEIFS(Log!$G:$G, Log!$C:$C, $A118, Log!$B:$B, "n/a", Log!$A:$A, "Daily", Log!$D:$D, $C$3), "")</f>
        <v/>
      </c>
      <c r="E118" s="113" t="str">
        <f>IFERROR(_xlfn.LET(_xlpm.camera_wand_count_by_day, AVERAGEIFS(Log!$E:$E, Log!$C:$C, $A118, Log!$B:$B, "n/a", Log!$A:$A, "Daily", Log!$D:$D, $C$3), _xlpm.auto_stop_that_day, _xlfn.XLOOKUP(A118, 'Daily WE'!$C115:$C10109, 'Daily WE'!$G115:$G10109), _xlpm.camera_wand_count_by_day/_xlpm.auto_stop_that_day), "")</f>
        <v/>
      </c>
      <c r="F118" s="191"/>
      <c r="G118" s="191"/>
      <c r="H118" s="108">
        <f>IF($C118="#N/A", NA(), _xlfn.XLOOKUP($A118, 'Daily WE'!$C:$C, 'Daily WE'!$N:$N))</f>
        <v>0</v>
      </c>
      <c r="I118" s="108">
        <f>IF($D118="#N/A", NA(), _xlfn.XLOOKUP($A118, 'Daily WE'!$C:$C, 'Daily WE'!$Q:$Q))</f>
        <v>0</v>
      </c>
    </row>
    <row r="119" spans="3:9" x14ac:dyDescent="0.3">
      <c r="C119" s="6" t="str">
        <f>IFERROR(AVERAGEIFS(Log!$F:$F, Log!$C:$C, $A119, Log!$B:$B, "n/a", Log!$A:$A, "Daily", Log!$D:$D, $C$3), "")</f>
        <v/>
      </c>
      <c r="D119" s="6" t="str">
        <f>IFERROR(AVERAGEIFS(Log!$G:$G, Log!$C:$C, $A119, Log!$B:$B, "n/a", Log!$A:$A, "Daily", Log!$D:$D, $C$3), "")</f>
        <v/>
      </c>
      <c r="E119" s="113" t="str">
        <f>IFERROR(_xlfn.LET(_xlpm.camera_wand_count_by_day, AVERAGEIFS(Log!$E:$E, Log!$C:$C, $A119, Log!$B:$B, "n/a", Log!$A:$A, "Daily", Log!$D:$D, $C$3), _xlpm.auto_stop_that_day, _xlfn.XLOOKUP(A119, 'Daily WE'!$C116:$C10110, 'Daily WE'!$G116:$G10110), _xlpm.camera_wand_count_by_day/_xlpm.auto_stop_that_day), "")</f>
        <v/>
      </c>
      <c r="F119" s="191"/>
      <c r="G119" s="191"/>
      <c r="H119" s="108">
        <f>IF($C119="#N/A", NA(), _xlfn.XLOOKUP($A119, 'Daily WE'!$C:$C, 'Daily WE'!$N:$N))</f>
        <v>0</v>
      </c>
      <c r="I119" s="108">
        <f>IF($D119="#N/A", NA(), _xlfn.XLOOKUP($A119, 'Daily WE'!$C:$C, 'Daily WE'!$Q:$Q))</f>
        <v>0</v>
      </c>
    </row>
    <row r="120" spans="3:9" x14ac:dyDescent="0.3">
      <c r="C120" s="6" t="str">
        <f>IFERROR(AVERAGEIFS(Log!$F:$F, Log!$C:$C, $A120, Log!$B:$B, "n/a", Log!$A:$A, "Daily", Log!$D:$D, $C$3), "")</f>
        <v/>
      </c>
      <c r="D120" s="6" t="str">
        <f>IFERROR(AVERAGEIFS(Log!$G:$G, Log!$C:$C, $A120, Log!$B:$B, "n/a", Log!$A:$A, "Daily", Log!$D:$D, $C$3), "")</f>
        <v/>
      </c>
      <c r="E120" s="113" t="str">
        <f>IFERROR(_xlfn.LET(_xlpm.camera_wand_count_by_day, AVERAGEIFS(Log!$E:$E, Log!$C:$C, $A120, Log!$B:$B, "n/a", Log!$A:$A, "Daily", Log!$D:$D, $C$3), _xlpm.auto_stop_that_day, _xlfn.XLOOKUP(A120, 'Daily WE'!$C117:$C10111, 'Daily WE'!$G117:$G10111), _xlpm.camera_wand_count_by_day/_xlpm.auto_stop_that_day), "")</f>
        <v/>
      </c>
      <c r="F120" s="191"/>
      <c r="G120" s="191"/>
      <c r="H120" s="108">
        <f>IF($C120="#N/A", NA(), _xlfn.XLOOKUP($A120, 'Daily WE'!$C:$C, 'Daily WE'!$N:$N))</f>
        <v>0</v>
      </c>
      <c r="I120" s="108">
        <f>IF($D120="#N/A", NA(), _xlfn.XLOOKUP($A120, 'Daily WE'!$C:$C, 'Daily WE'!$Q:$Q))</f>
        <v>0</v>
      </c>
    </row>
    <row r="121" spans="3:9" x14ac:dyDescent="0.3">
      <c r="C121" s="6" t="str">
        <f>IFERROR(AVERAGEIFS(Log!$F:$F, Log!$C:$C, $A121, Log!$B:$B, "n/a", Log!$A:$A, "Daily", Log!$D:$D, $C$3), "")</f>
        <v/>
      </c>
      <c r="D121" s="6" t="str">
        <f>IFERROR(AVERAGEIFS(Log!$G:$G, Log!$C:$C, $A121, Log!$B:$B, "n/a", Log!$A:$A, "Daily", Log!$D:$D, $C$3), "")</f>
        <v/>
      </c>
      <c r="E121" s="113" t="str">
        <f>IFERROR(_xlfn.LET(_xlpm.camera_wand_count_by_day, AVERAGEIFS(Log!$E:$E, Log!$C:$C, $A121, Log!$B:$B, "n/a", Log!$A:$A, "Daily", Log!$D:$D, $C$3), _xlpm.auto_stop_that_day, _xlfn.XLOOKUP(A121, 'Daily WE'!$C118:$C10112, 'Daily WE'!$G118:$G10112), _xlpm.camera_wand_count_by_day/_xlpm.auto_stop_that_day), "")</f>
        <v/>
      </c>
      <c r="F121" s="191"/>
      <c r="G121" s="191"/>
      <c r="H121" s="108">
        <f>IF($C121="#N/A", NA(), _xlfn.XLOOKUP($A121, 'Daily WE'!$C:$C, 'Daily WE'!$N:$N))</f>
        <v>0</v>
      </c>
      <c r="I121" s="108">
        <f>IF($D121="#N/A", NA(), _xlfn.XLOOKUP($A121, 'Daily WE'!$C:$C, 'Daily WE'!$Q:$Q))</f>
        <v>0</v>
      </c>
    </row>
    <row r="122" spans="3:9" x14ac:dyDescent="0.3">
      <c r="C122" s="6" t="str">
        <f>IFERROR(AVERAGEIFS(Log!$F:$F, Log!$C:$C, $A122, Log!$B:$B, "n/a", Log!$A:$A, "Daily", Log!$D:$D, $C$3), "")</f>
        <v/>
      </c>
      <c r="D122" s="6" t="str">
        <f>IFERROR(AVERAGEIFS(Log!$G:$G, Log!$C:$C, $A122, Log!$B:$B, "n/a", Log!$A:$A, "Daily", Log!$D:$D, $C$3), "")</f>
        <v/>
      </c>
      <c r="E122" s="113" t="str">
        <f>IFERROR(_xlfn.LET(_xlpm.camera_wand_count_by_day, AVERAGEIFS(Log!$E:$E, Log!$C:$C, $A122, Log!$B:$B, "n/a", Log!$A:$A, "Daily", Log!$D:$D, $C$3), _xlpm.auto_stop_that_day, _xlfn.XLOOKUP(A122, 'Daily WE'!$C119:$C10113, 'Daily WE'!$G119:$G10113), _xlpm.camera_wand_count_by_day/_xlpm.auto_stop_that_day), "")</f>
        <v/>
      </c>
      <c r="F122" s="191"/>
      <c r="G122" s="191"/>
      <c r="H122" s="108">
        <f>IF($C122="#N/A", NA(), _xlfn.XLOOKUP($A122, 'Daily WE'!$C:$C, 'Daily WE'!$N:$N))</f>
        <v>0</v>
      </c>
      <c r="I122" s="108">
        <f>IF($D122="#N/A", NA(), _xlfn.XLOOKUP($A122, 'Daily WE'!$C:$C, 'Daily WE'!$Q:$Q))</f>
        <v>0</v>
      </c>
    </row>
    <row r="123" spans="3:9" x14ac:dyDescent="0.3">
      <c r="C123" s="6" t="str">
        <f>IFERROR(AVERAGEIFS(Log!$F:$F, Log!$C:$C, $A123, Log!$B:$B, "n/a", Log!$A:$A, "Daily", Log!$D:$D, $C$3), "")</f>
        <v/>
      </c>
      <c r="D123" s="6" t="str">
        <f>IFERROR(AVERAGEIFS(Log!$G:$G, Log!$C:$C, $A123, Log!$B:$B, "n/a", Log!$A:$A, "Daily", Log!$D:$D, $C$3), "")</f>
        <v/>
      </c>
      <c r="E123" s="113" t="str">
        <f>IFERROR(_xlfn.LET(_xlpm.camera_wand_count_by_day, AVERAGEIFS(Log!$E:$E, Log!$C:$C, $A123, Log!$B:$B, "n/a", Log!$A:$A, "Daily", Log!$D:$D, $C$3), _xlpm.auto_stop_that_day, _xlfn.XLOOKUP(A123, 'Daily WE'!$C120:$C10114, 'Daily WE'!$G120:$G10114), _xlpm.camera_wand_count_by_day/_xlpm.auto_stop_that_day), "")</f>
        <v/>
      </c>
      <c r="F123" s="191"/>
      <c r="G123" s="191"/>
      <c r="H123" s="108">
        <f>IF($C123="#N/A", NA(), _xlfn.XLOOKUP($A123, 'Daily WE'!$C:$C, 'Daily WE'!$N:$N))</f>
        <v>0</v>
      </c>
      <c r="I123" s="108">
        <f>IF($D123="#N/A", NA(), _xlfn.XLOOKUP($A123, 'Daily WE'!$C:$C, 'Daily WE'!$Q:$Q))</f>
        <v>0</v>
      </c>
    </row>
    <row r="124" spans="3:9" x14ac:dyDescent="0.3">
      <c r="C124" s="6" t="str">
        <f>IFERROR(AVERAGEIFS(Log!$F:$F, Log!$C:$C, $A124, Log!$B:$B, "n/a", Log!$A:$A, "Daily", Log!$D:$D, $C$3), "")</f>
        <v/>
      </c>
      <c r="D124" s="6" t="str">
        <f>IFERROR(AVERAGEIFS(Log!$G:$G, Log!$C:$C, $A124, Log!$B:$B, "n/a", Log!$A:$A, "Daily", Log!$D:$D, $C$3), "")</f>
        <v/>
      </c>
      <c r="E124" s="113" t="str">
        <f>IFERROR(_xlfn.LET(_xlpm.camera_wand_count_by_day, AVERAGEIFS(Log!$E:$E, Log!$C:$C, $A124, Log!$B:$B, "n/a", Log!$A:$A, "Daily", Log!$D:$D, $C$3), _xlpm.auto_stop_that_day, _xlfn.XLOOKUP(A124, 'Daily WE'!$C121:$C10115, 'Daily WE'!$G121:$G10115), _xlpm.camera_wand_count_by_day/_xlpm.auto_stop_that_day), "")</f>
        <v/>
      </c>
      <c r="F124" s="191"/>
      <c r="G124" s="191"/>
      <c r="H124" s="108">
        <f>IF($C124="#N/A", NA(), _xlfn.XLOOKUP($A124, 'Daily WE'!$C:$C, 'Daily WE'!$N:$N))</f>
        <v>0</v>
      </c>
      <c r="I124" s="108">
        <f>IF($D124="#N/A", NA(), _xlfn.XLOOKUP($A124, 'Daily WE'!$C:$C, 'Daily WE'!$Q:$Q))</f>
        <v>0</v>
      </c>
    </row>
    <row r="125" spans="3:9" x14ac:dyDescent="0.3">
      <c r="C125" s="6" t="str">
        <f>IFERROR(AVERAGEIFS(Log!$F:$F, Log!$C:$C, $A125, Log!$B:$B, "n/a", Log!$A:$A, "Daily", Log!$D:$D, $C$3), "")</f>
        <v/>
      </c>
      <c r="D125" s="6" t="str">
        <f>IFERROR(AVERAGEIFS(Log!$G:$G, Log!$C:$C, $A125, Log!$B:$B, "n/a", Log!$A:$A, "Daily", Log!$D:$D, $C$3), "")</f>
        <v/>
      </c>
      <c r="E125" s="113" t="str">
        <f>IFERROR(_xlfn.LET(_xlpm.camera_wand_count_by_day, AVERAGEIFS(Log!$E:$E, Log!$C:$C, $A125, Log!$B:$B, "n/a", Log!$A:$A, "Daily", Log!$D:$D, $C$3), _xlpm.auto_stop_that_day, _xlfn.XLOOKUP(A125, 'Daily WE'!$C122:$C10116, 'Daily WE'!$G122:$G10116), _xlpm.camera_wand_count_by_day/_xlpm.auto_stop_that_day), "")</f>
        <v/>
      </c>
      <c r="F125" s="191"/>
      <c r="G125" s="191"/>
      <c r="H125" s="108">
        <f>IF($C125="#N/A", NA(), _xlfn.XLOOKUP($A125, 'Daily WE'!$C:$C, 'Daily WE'!$N:$N))</f>
        <v>0</v>
      </c>
      <c r="I125" s="108">
        <f>IF($D125="#N/A", NA(), _xlfn.XLOOKUP($A125, 'Daily WE'!$C:$C, 'Daily WE'!$Q:$Q))</f>
        <v>0</v>
      </c>
    </row>
    <row r="126" spans="3:9" x14ac:dyDescent="0.3">
      <c r="C126" s="6" t="str">
        <f>IFERROR(AVERAGEIFS(Log!$F:$F, Log!$C:$C, $A126, Log!$B:$B, "n/a", Log!$A:$A, "Daily", Log!$D:$D, $C$3), "")</f>
        <v/>
      </c>
      <c r="D126" s="6" t="str">
        <f>IFERROR(AVERAGEIFS(Log!$G:$G, Log!$C:$C, $A126, Log!$B:$B, "n/a", Log!$A:$A, "Daily", Log!$D:$D, $C$3), "")</f>
        <v/>
      </c>
      <c r="E126" s="113" t="str">
        <f>IFERROR(_xlfn.LET(_xlpm.camera_wand_count_by_day, AVERAGEIFS(Log!$E:$E, Log!$C:$C, $A126, Log!$B:$B, "n/a", Log!$A:$A, "Daily", Log!$D:$D, $C$3), _xlpm.auto_stop_that_day, _xlfn.XLOOKUP(A126, 'Daily WE'!$C123:$C10117, 'Daily WE'!$G123:$G10117), _xlpm.camera_wand_count_by_day/_xlpm.auto_stop_that_day), "")</f>
        <v/>
      </c>
      <c r="F126" s="191"/>
      <c r="G126" s="191"/>
      <c r="H126" s="108">
        <f>IF($C126="#N/A", NA(), _xlfn.XLOOKUP($A126, 'Daily WE'!$C:$C, 'Daily WE'!$N:$N))</f>
        <v>0</v>
      </c>
      <c r="I126" s="108">
        <f>IF($D126="#N/A", NA(), _xlfn.XLOOKUP($A126, 'Daily WE'!$C:$C, 'Daily WE'!$Q:$Q))</f>
        <v>0</v>
      </c>
    </row>
    <row r="127" spans="3:9" x14ac:dyDescent="0.3">
      <c r="C127" s="6" t="str">
        <f>IFERROR(AVERAGEIFS(Log!$F:$F, Log!$C:$C, $A127, Log!$B:$B, "n/a", Log!$A:$A, "Daily", Log!$D:$D, $C$3), "")</f>
        <v/>
      </c>
      <c r="D127" s="6" t="str">
        <f>IFERROR(AVERAGEIFS(Log!$G:$G, Log!$C:$C, $A127, Log!$B:$B, "n/a", Log!$A:$A, "Daily", Log!$D:$D, $C$3), "")</f>
        <v/>
      </c>
      <c r="E127" s="113" t="str">
        <f>IFERROR(_xlfn.LET(_xlpm.camera_wand_count_by_day, AVERAGEIFS(Log!$E:$E, Log!$C:$C, $A127, Log!$B:$B, "n/a", Log!$A:$A, "Daily", Log!$D:$D, $C$3), _xlpm.auto_stop_that_day, _xlfn.XLOOKUP(A127, 'Daily WE'!$C124:$C10118, 'Daily WE'!$G124:$G10118), _xlpm.camera_wand_count_by_day/_xlpm.auto_stop_that_day), "")</f>
        <v/>
      </c>
      <c r="F127" s="191"/>
      <c r="G127" s="191"/>
      <c r="H127" s="108">
        <f>IF($C127="#N/A", NA(), _xlfn.XLOOKUP($A127, 'Daily WE'!$C:$C, 'Daily WE'!$N:$N))</f>
        <v>0</v>
      </c>
      <c r="I127" s="108">
        <f>IF($D127="#N/A", NA(), _xlfn.XLOOKUP($A127, 'Daily WE'!$C:$C, 'Daily WE'!$Q:$Q))</f>
        <v>0</v>
      </c>
    </row>
    <row r="128" spans="3:9" x14ac:dyDescent="0.3">
      <c r="C128" s="6" t="str">
        <f>IFERROR(AVERAGEIFS(Log!$F:$F, Log!$C:$C, $A128, Log!$B:$B, "n/a", Log!$A:$A, "Daily", Log!$D:$D, $C$3), "")</f>
        <v/>
      </c>
      <c r="D128" s="6" t="str">
        <f>IFERROR(AVERAGEIFS(Log!$G:$G, Log!$C:$C, $A128, Log!$B:$B, "n/a", Log!$A:$A, "Daily", Log!$D:$D, $C$3), "")</f>
        <v/>
      </c>
      <c r="E128" s="113" t="str">
        <f>IFERROR(_xlfn.LET(_xlpm.camera_wand_count_by_day, AVERAGEIFS(Log!$E:$E, Log!$C:$C, $A128, Log!$B:$B, "n/a", Log!$A:$A, "Daily", Log!$D:$D, $C$3), _xlpm.auto_stop_that_day, _xlfn.XLOOKUP(A128, 'Daily WE'!$C125:$C10119, 'Daily WE'!$G125:$G10119), _xlpm.camera_wand_count_by_day/_xlpm.auto_stop_that_day), "")</f>
        <v/>
      </c>
      <c r="F128" s="191"/>
      <c r="G128" s="191"/>
      <c r="H128" s="108">
        <f>IF($C128="#N/A", NA(), _xlfn.XLOOKUP($A128, 'Daily WE'!$C:$C, 'Daily WE'!$N:$N))</f>
        <v>0</v>
      </c>
      <c r="I128" s="108">
        <f>IF($D128="#N/A", NA(), _xlfn.XLOOKUP($A128, 'Daily WE'!$C:$C, 'Daily WE'!$Q:$Q))</f>
        <v>0</v>
      </c>
    </row>
    <row r="129" spans="3:9" x14ac:dyDescent="0.3">
      <c r="C129" s="6" t="str">
        <f>IFERROR(AVERAGEIFS(Log!$F:$F, Log!$C:$C, $A129, Log!$B:$B, "n/a", Log!$A:$A, "Daily", Log!$D:$D, $C$3), "")</f>
        <v/>
      </c>
      <c r="D129" s="6" t="str">
        <f>IFERROR(AVERAGEIFS(Log!$G:$G, Log!$C:$C, $A129, Log!$B:$B, "n/a", Log!$A:$A, "Daily", Log!$D:$D, $C$3), "")</f>
        <v/>
      </c>
      <c r="E129" s="113" t="str">
        <f>IFERROR(_xlfn.LET(_xlpm.camera_wand_count_by_day, AVERAGEIFS(Log!$E:$E, Log!$C:$C, $A129, Log!$B:$B, "n/a", Log!$A:$A, "Daily", Log!$D:$D, $C$3), _xlpm.auto_stop_that_day, _xlfn.XLOOKUP(A129, 'Daily WE'!$C126:$C10120, 'Daily WE'!$G126:$G10120), _xlpm.camera_wand_count_by_day/_xlpm.auto_stop_that_day), "")</f>
        <v/>
      </c>
      <c r="F129" s="191"/>
      <c r="G129" s="191"/>
      <c r="H129" s="108">
        <f>IF($C129="#N/A", NA(), _xlfn.XLOOKUP($A129, 'Daily WE'!$C:$C, 'Daily WE'!$N:$N))</f>
        <v>0</v>
      </c>
      <c r="I129" s="108">
        <f>IF($D129="#N/A", NA(), _xlfn.XLOOKUP($A129, 'Daily WE'!$C:$C, 'Daily WE'!$Q:$Q))</f>
        <v>0</v>
      </c>
    </row>
    <row r="130" spans="3:9" x14ac:dyDescent="0.3">
      <c r="C130" s="6" t="str">
        <f>IFERROR(AVERAGEIFS(Log!$F:$F, Log!$C:$C, $A130, Log!$B:$B, "n/a", Log!$A:$A, "Daily", Log!$D:$D, $C$3), "")</f>
        <v/>
      </c>
      <c r="D130" s="6" t="str">
        <f>IFERROR(AVERAGEIFS(Log!$G:$G, Log!$C:$C, $A130, Log!$B:$B, "n/a", Log!$A:$A, "Daily", Log!$D:$D, $C$3), "")</f>
        <v/>
      </c>
      <c r="E130" s="113" t="str">
        <f>IFERROR(_xlfn.LET(_xlpm.camera_wand_count_by_day, AVERAGEIFS(Log!$E:$E, Log!$C:$C, $A130, Log!$B:$B, "n/a", Log!$A:$A, "Daily", Log!$D:$D, $C$3), _xlpm.auto_stop_that_day, _xlfn.XLOOKUP(A130, 'Daily WE'!$C127:$C10121, 'Daily WE'!$G127:$G10121), _xlpm.camera_wand_count_by_day/_xlpm.auto_stop_that_day), "")</f>
        <v/>
      </c>
      <c r="F130" s="191"/>
      <c r="G130" s="191"/>
      <c r="H130" s="108">
        <f>IF($C130="#N/A", NA(), _xlfn.XLOOKUP($A130, 'Daily WE'!$C:$C, 'Daily WE'!$N:$N))</f>
        <v>0</v>
      </c>
      <c r="I130" s="108">
        <f>IF($D130="#N/A", NA(), _xlfn.XLOOKUP($A130, 'Daily WE'!$C:$C, 'Daily WE'!$Q:$Q))</f>
        <v>0</v>
      </c>
    </row>
    <row r="131" spans="3:9" x14ac:dyDescent="0.3">
      <c r="C131" s="6" t="str">
        <f>IFERROR(AVERAGEIFS(Log!$F:$F, Log!$C:$C, $A131, Log!$B:$B, "n/a", Log!$A:$A, "Daily", Log!$D:$D, $C$3), "")</f>
        <v/>
      </c>
      <c r="D131" s="6" t="str">
        <f>IFERROR(AVERAGEIFS(Log!$G:$G, Log!$C:$C, $A131, Log!$B:$B, "n/a", Log!$A:$A, "Daily", Log!$D:$D, $C$3), "")</f>
        <v/>
      </c>
      <c r="E131" s="113" t="str">
        <f>IFERROR(_xlfn.LET(_xlpm.camera_wand_count_by_day, AVERAGEIFS(Log!$E:$E, Log!$C:$C, $A131, Log!$B:$B, "n/a", Log!$A:$A, "Daily", Log!$D:$D, $C$3), _xlpm.auto_stop_that_day, _xlfn.XLOOKUP(A131, 'Daily WE'!$C128:$C10122, 'Daily WE'!$G128:$G10122), _xlpm.camera_wand_count_by_day/_xlpm.auto_stop_that_day), "")</f>
        <v/>
      </c>
      <c r="F131" s="191"/>
      <c r="G131" s="191"/>
      <c r="H131" s="108">
        <f>IF($C131="#N/A", NA(), _xlfn.XLOOKUP($A131, 'Daily WE'!$C:$C, 'Daily WE'!$N:$N))</f>
        <v>0</v>
      </c>
      <c r="I131" s="108">
        <f>IF($D131="#N/A", NA(), _xlfn.XLOOKUP($A131, 'Daily WE'!$C:$C, 'Daily WE'!$Q:$Q))</f>
        <v>0</v>
      </c>
    </row>
    <row r="132" spans="3:9" x14ac:dyDescent="0.3">
      <c r="C132" s="6" t="str">
        <f>IFERROR(AVERAGEIFS(Log!$F:$F, Log!$C:$C, $A132, Log!$B:$B, "n/a", Log!$A:$A, "Daily", Log!$D:$D, $C$3), "")</f>
        <v/>
      </c>
      <c r="D132" s="6" t="str">
        <f>IFERROR(AVERAGEIFS(Log!$G:$G, Log!$C:$C, $A132, Log!$B:$B, "n/a", Log!$A:$A, "Daily", Log!$D:$D, $C$3), "")</f>
        <v/>
      </c>
      <c r="E132" s="113" t="str">
        <f>IFERROR(_xlfn.LET(_xlpm.camera_wand_count_by_day, AVERAGEIFS(Log!$E:$E, Log!$C:$C, $A132, Log!$B:$B, "n/a", Log!$A:$A, "Daily", Log!$D:$D, $C$3), _xlpm.auto_stop_that_day, _xlfn.XLOOKUP(A132, 'Daily WE'!$C129:$C10123, 'Daily WE'!$G129:$G10123), _xlpm.camera_wand_count_by_day/_xlpm.auto_stop_that_day), "")</f>
        <v/>
      </c>
      <c r="F132" s="191"/>
      <c r="G132" s="191"/>
      <c r="H132" s="108">
        <f>IF($C132="#N/A", NA(), _xlfn.XLOOKUP($A132, 'Daily WE'!$C:$C, 'Daily WE'!$N:$N))</f>
        <v>0</v>
      </c>
      <c r="I132" s="108">
        <f>IF($D132="#N/A", NA(), _xlfn.XLOOKUP($A132, 'Daily WE'!$C:$C, 'Daily WE'!$Q:$Q))</f>
        <v>0</v>
      </c>
    </row>
    <row r="133" spans="3:9" x14ac:dyDescent="0.3">
      <c r="C133" s="6" t="str">
        <f>IFERROR(AVERAGEIFS(Log!$F:$F, Log!$C:$C, $A133, Log!$B:$B, "n/a", Log!$A:$A, "Daily", Log!$D:$D, $C$3), "")</f>
        <v/>
      </c>
      <c r="D133" s="6" t="str">
        <f>IFERROR(AVERAGEIFS(Log!$G:$G, Log!$C:$C, $A133, Log!$B:$B, "n/a", Log!$A:$A, "Daily", Log!$D:$D, $C$3), "")</f>
        <v/>
      </c>
      <c r="E133" s="113" t="str">
        <f>IFERROR(_xlfn.LET(_xlpm.camera_wand_count_by_day, AVERAGEIFS(Log!$E:$E, Log!$C:$C, $A133, Log!$B:$B, "n/a", Log!$A:$A, "Daily", Log!$D:$D, $C$3), _xlpm.auto_stop_that_day, _xlfn.XLOOKUP(A133, 'Daily WE'!$C130:$C10124, 'Daily WE'!$G130:$G10124), _xlpm.camera_wand_count_by_day/_xlpm.auto_stop_that_day), "")</f>
        <v/>
      </c>
      <c r="F133" s="191"/>
      <c r="G133" s="191"/>
      <c r="H133" s="108">
        <f>IF($C133="#N/A", NA(), _xlfn.XLOOKUP($A133, 'Daily WE'!$C:$C, 'Daily WE'!$N:$N))</f>
        <v>0</v>
      </c>
      <c r="I133" s="108">
        <f>IF($D133="#N/A", NA(), _xlfn.XLOOKUP($A133, 'Daily WE'!$C:$C, 'Daily WE'!$Q:$Q))</f>
        <v>0</v>
      </c>
    </row>
    <row r="134" spans="3:9" x14ac:dyDescent="0.3">
      <c r="C134" s="6" t="str">
        <f>IFERROR(AVERAGEIFS(Log!$F:$F, Log!$C:$C, $A134, Log!$B:$B, "n/a", Log!$A:$A, "Daily", Log!$D:$D, $C$3), "")</f>
        <v/>
      </c>
      <c r="D134" s="6" t="str">
        <f>IFERROR(AVERAGEIFS(Log!$G:$G, Log!$C:$C, $A134, Log!$B:$B, "n/a", Log!$A:$A, "Daily", Log!$D:$D, $C$3), "")</f>
        <v/>
      </c>
      <c r="E134" s="113" t="str">
        <f>IFERROR(_xlfn.LET(_xlpm.camera_wand_count_by_day, AVERAGEIFS(Log!$E:$E, Log!$C:$C, $A134, Log!$B:$B, "n/a", Log!$A:$A, "Daily", Log!$D:$D, $C$3), _xlpm.auto_stop_that_day, _xlfn.XLOOKUP(A134, 'Daily WE'!$C131:$C10125, 'Daily WE'!$G131:$G10125), _xlpm.camera_wand_count_by_day/_xlpm.auto_stop_that_day), "")</f>
        <v/>
      </c>
      <c r="F134" s="191"/>
      <c r="G134" s="191"/>
      <c r="H134" s="108">
        <f>IF($C134="#N/A", NA(), _xlfn.XLOOKUP($A134, 'Daily WE'!$C:$C, 'Daily WE'!$N:$N))</f>
        <v>0</v>
      </c>
      <c r="I134" s="108">
        <f>IF($D134="#N/A", NA(), _xlfn.XLOOKUP($A134, 'Daily WE'!$C:$C, 'Daily WE'!$Q:$Q))</f>
        <v>0</v>
      </c>
    </row>
    <row r="135" spans="3:9" x14ac:dyDescent="0.3">
      <c r="C135" s="6" t="str">
        <f>IFERROR(AVERAGEIFS(Log!$F:$F, Log!$C:$C, $A135, Log!$B:$B, "n/a", Log!$A:$A, "Daily", Log!$D:$D, $C$3), "")</f>
        <v/>
      </c>
      <c r="D135" s="6" t="str">
        <f>IFERROR(AVERAGEIFS(Log!$G:$G, Log!$C:$C, $A135, Log!$B:$B, "n/a", Log!$A:$A, "Daily", Log!$D:$D, $C$3), "")</f>
        <v/>
      </c>
      <c r="E135" s="113" t="str">
        <f>IFERROR(_xlfn.LET(_xlpm.camera_wand_count_by_day, AVERAGEIFS(Log!$E:$E, Log!$C:$C, $A135, Log!$B:$B, "n/a", Log!$A:$A, "Daily", Log!$D:$D, $C$3), _xlpm.auto_stop_that_day, _xlfn.XLOOKUP(A135, 'Daily WE'!$C132:$C10126, 'Daily WE'!$G132:$G10126), _xlpm.camera_wand_count_by_day/_xlpm.auto_stop_that_day), "")</f>
        <v/>
      </c>
      <c r="F135" s="191"/>
      <c r="G135" s="191"/>
      <c r="H135" s="108">
        <f>IF($C135="#N/A", NA(), _xlfn.XLOOKUP($A135, 'Daily WE'!$C:$C, 'Daily WE'!$N:$N))</f>
        <v>0</v>
      </c>
      <c r="I135" s="108">
        <f>IF($D135="#N/A", NA(), _xlfn.XLOOKUP($A135, 'Daily WE'!$C:$C, 'Daily WE'!$Q:$Q))</f>
        <v>0</v>
      </c>
    </row>
    <row r="136" spans="3:9" x14ac:dyDescent="0.3">
      <c r="C136" s="6" t="str">
        <f>IFERROR(AVERAGEIFS(Log!$F:$F, Log!$C:$C, $A136, Log!$B:$B, "n/a", Log!$A:$A, "Daily", Log!$D:$D, $C$3), "")</f>
        <v/>
      </c>
      <c r="D136" s="6" t="str">
        <f>IFERROR(AVERAGEIFS(Log!$G:$G, Log!$C:$C, $A136, Log!$B:$B, "n/a", Log!$A:$A, "Daily", Log!$D:$D, $C$3), "")</f>
        <v/>
      </c>
      <c r="E136" s="113" t="str">
        <f>IFERROR(_xlfn.LET(_xlpm.camera_wand_count_by_day, AVERAGEIFS(Log!$E:$E, Log!$C:$C, $A136, Log!$B:$B, "n/a", Log!$A:$A, "Daily", Log!$D:$D, $C$3), _xlpm.auto_stop_that_day, _xlfn.XLOOKUP(A136, 'Daily WE'!$C133:$C10127, 'Daily WE'!$G133:$G10127), _xlpm.camera_wand_count_by_day/_xlpm.auto_stop_that_day), "")</f>
        <v/>
      </c>
      <c r="F136" s="191"/>
      <c r="G136" s="191"/>
      <c r="H136" s="108">
        <f>IF($C136="#N/A", NA(), _xlfn.XLOOKUP($A136, 'Daily WE'!$C:$C, 'Daily WE'!$N:$N))</f>
        <v>0</v>
      </c>
      <c r="I136" s="108">
        <f>IF($D136="#N/A", NA(), _xlfn.XLOOKUP($A136, 'Daily WE'!$C:$C, 'Daily WE'!$Q:$Q))</f>
        <v>0</v>
      </c>
    </row>
    <row r="137" spans="3:9" x14ac:dyDescent="0.3">
      <c r="C137" s="6" t="str">
        <f>IFERROR(AVERAGEIFS(Log!$F:$F, Log!$C:$C, $A137, Log!$B:$B, "n/a", Log!$A:$A, "Daily", Log!$D:$D, $C$3), "")</f>
        <v/>
      </c>
      <c r="D137" s="6" t="str">
        <f>IFERROR(AVERAGEIFS(Log!$G:$G, Log!$C:$C, $A137, Log!$B:$B, "n/a", Log!$A:$A, "Daily", Log!$D:$D, $C$3), "")</f>
        <v/>
      </c>
      <c r="E137" s="113" t="str">
        <f>IFERROR(_xlfn.LET(_xlpm.camera_wand_count_by_day, AVERAGEIFS(Log!$E:$E, Log!$C:$C, $A137, Log!$B:$B, "n/a", Log!$A:$A, "Daily", Log!$D:$D, $C$3), _xlpm.auto_stop_that_day, _xlfn.XLOOKUP(A137, 'Daily WE'!$C134:$C10128, 'Daily WE'!$G134:$G10128), _xlpm.camera_wand_count_by_day/_xlpm.auto_stop_that_day), "")</f>
        <v/>
      </c>
      <c r="F137" s="191"/>
      <c r="G137" s="191"/>
      <c r="H137" s="108">
        <f>IF($C137="#N/A", NA(), _xlfn.XLOOKUP($A137, 'Daily WE'!$C:$C, 'Daily WE'!$N:$N))</f>
        <v>0</v>
      </c>
      <c r="I137" s="108">
        <f>IF($D137="#N/A", NA(), _xlfn.XLOOKUP($A137, 'Daily WE'!$C:$C, 'Daily WE'!$Q:$Q))</f>
        <v>0</v>
      </c>
    </row>
    <row r="138" spans="3:9" x14ac:dyDescent="0.3">
      <c r="C138" s="6" t="str">
        <f>IFERROR(AVERAGEIFS(Log!$F:$F, Log!$C:$C, $A138, Log!$B:$B, "n/a", Log!$A:$A, "Daily", Log!$D:$D, $C$3), "")</f>
        <v/>
      </c>
      <c r="D138" s="6" t="str">
        <f>IFERROR(AVERAGEIFS(Log!$G:$G, Log!$C:$C, $A138, Log!$B:$B, "n/a", Log!$A:$A, "Daily", Log!$D:$D, $C$3), "")</f>
        <v/>
      </c>
      <c r="E138" s="113" t="str">
        <f>IFERROR(_xlfn.LET(_xlpm.camera_wand_count_by_day, AVERAGEIFS(Log!$E:$E, Log!$C:$C, $A138, Log!$B:$B, "n/a", Log!$A:$A, "Daily", Log!$D:$D, $C$3), _xlpm.auto_stop_that_day, _xlfn.XLOOKUP(A138, 'Daily WE'!$C135:$C10129, 'Daily WE'!$G135:$G10129), _xlpm.camera_wand_count_by_day/_xlpm.auto_stop_that_day), "")</f>
        <v/>
      </c>
      <c r="F138" s="191"/>
      <c r="G138" s="191"/>
      <c r="H138" s="108">
        <f>IF($C138="#N/A", NA(), _xlfn.XLOOKUP($A138, 'Daily WE'!$C:$C, 'Daily WE'!$N:$N))</f>
        <v>0</v>
      </c>
      <c r="I138" s="108">
        <f>IF($D138="#N/A", NA(), _xlfn.XLOOKUP($A138, 'Daily WE'!$C:$C, 'Daily WE'!$Q:$Q))</f>
        <v>0</v>
      </c>
    </row>
    <row r="139" spans="3:9" x14ac:dyDescent="0.3">
      <c r="C139" s="6" t="str">
        <f>IFERROR(AVERAGEIFS(Log!$F:$F, Log!$C:$C, $A139, Log!$B:$B, "n/a", Log!$A:$A, "Daily", Log!$D:$D, $C$3), "")</f>
        <v/>
      </c>
      <c r="D139" s="6" t="str">
        <f>IFERROR(AVERAGEIFS(Log!$G:$G, Log!$C:$C, $A139, Log!$B:$B, "n/a", Log!$A:$A, "Daily", Log!$D:$D, $C$3), "")</f>
        <v/>
      </c>
      <c r="E139" s="113" t="str">
        <f>IFERROR(_xlfn.LET(_xlpm.camera_wand_count_by_day, AVERAGEIFS(Log!$E:$E, Log!$C:$C, $A139, Log!$B:$B, "n/a", Log!$A:$A, "Daily", Log!$D:$D, $C$3), _xlpm.auto_stop_that_day, _xlfn.XLOOKUP(A139, 'Daily WE'!$C136:$C10130, 'Daily WE'!$G136:$G10130), _xlpm.camera_wand_count_by_day/_xlpm.auto_stop_that_day), "")</f>
        <v/>
      </c>
      <c r="F139" s="191"/>
      <c r="G139" s="191"/>
      <c r="H139" s="108">
        <f>IF($C139="#N/A", NA(), _xlfn.XLOOKUP($A139, 'Daily WE'!$C:$C, 'Daily WE'!$N:$N))</f>
        <v>0</v>
      </c>
      <c r="I139" s="108">
        <f>IF($D139="#N/A", NA(), _xlfn.XLOOKUP($A139, 'Daily WE'!$C:$C, 'Daily WE'!$Q:$Q))</f>
        <v>0</v>
      </c>
    </row>
    <row r="140" spans="3:9" x14ac:dyDescent="0.3">
      <c r="C140" s="6" t="str">
        <f>IFERROR(AVERAGEIFS(Log!$F:$F, Log!$C:$C, $A140, Log!$B:$B, "n/a", Log!$A:$A, "Daily", Log!$D:$D, $C$3), "")</f>
        <v/>
      </c>
      <c r="D140" s="6" t="str">
        <f>IFERROR(AVERAGEIFS(Log!$G:$G, Log!$C:$C, $A140, Log!$B:$B, "n/a", Log!$A:$A, "Daily", Log!$D:$D, $C$3), "")</f>
        <v/>
      </c>
      <c r="E140" s="113" t="str">
        <f>IFERROR(_xlfn.LET(_xlpm.camera_wand_count_by_day, AVERAGEIFS(Log!$E:$E, Log!$C:$C, $A140, Log!$B:$B, "n/a", Log!$A:$A, "Daily", Log!$D:$D, $C$3), _xlpm.auto_stop_that_day, _xlfn.XLOOKUP(A140, 'Daily WE'!$C137:$C10131, 'Daily WE'!$G137:$G10131), _xlpm.camera_wand_count_by_day/_xlpm.auto_stop_that_day), "")</f>
        <v/>
      </c>
      <c r="F140" s="191"/>
      <c r="G140" s="191"/>
      <c r="H140" s="108">
        <f>IF($C140="#N/A", NA(), _xlfn.XLOOKUP($A140, 'Daily WE'!$C:$C, 'Daily WE'!$N:$N))</f>
        <v>0</v>
      </c>
      <c r="I140" s="108">
        <f>IF($D140="#N/A", NA(), _xlfn.XLOOKUP($A140, 'Daily WE'!$C:$C, 'Daily WE'!$Q:$Q))</f>
        <v>0</v>
      </c>
    </row>
    <row r="141" spans="3:9" x14ac:dyDescent="0.3">
      <c r="C141" s="6" t="str">
        <f>IFERROR(AVERAGEIFS(Log!$F:$F, Log!$C:$C, $A141, Log!$B:$B, "n/a", Log!$A:$A, "Daily", Log!$D:$D, $C$3), "")</f>
        <v/>
      </c>
      <c r="D141" s="6" t="str">
        <f>IFERROR(AVERAGEIFS(Log!$G:$G, Log!$C:$C, $A141, Log!$B:$B, "n/a", Log!$A:$A, "Daily", Log!$D:$D, $C$3), "")</f>
        <v/>
      </c>
      <c r="E141" s="113" t="str">
        <f>IFERROR(_xlfn.LET(_xlpm.camera_wand_count_by_day, AVERAGEIFS(Log!$E:$E, Log!$C:$C, $A141, Log!$B:$B, "n/a", Log!$A:$A, "Daily", Log!$D:$D, $C$3), _xlpm.auto_stop_that_day, _xlfn.XLOOKUP(A141, 'Daily WE'!$C138:$C10132, 'Daily WE'!$G138:$G10132), _xlpm.camera_wand_count_by_day/_xlpm.auto_stop_that_day), "")</f>
        <v/>
      </c>
      <c r="F141" s="191"/>
      <c r="G141" s="191"/>
      <c r="H141" s="108">
        <f>IF($C141="#N/A", NA(), _xlfn.XLOOKUP($A141, 'Daily WE'!$C:$C, 'Daily WE'!$N:$N))</f>
        <v>0</v>
      </c>
      <c r="I141" s="108">
        <f>IF($D141="#N/A", NA(), _xlfn.XLOOKUP($A141, 'Daily WE'!$C:$C, 'Daily WE'!$Q:$Q))</f>
        <v>0</v>
      </c>
    </row>
    <row r="142" spans="3:9" x14ac:dyDescent="0.3">
      <c r="C142" s="6" t="str">
        <f>IFERROR(AVERAGEIFS(Log!$F:$F, Log!$C:$C, $A142, Log!$B:$B, "n/a", Log!$A:$A, "Daily", Log!$D:$D, $C$3), "")</f>
        <v/>
      </c>
      <c r="D142" s="6" t="str">
        <f>IFERROR(AVERAGEIFS(Log!$G:$G, Log!$C:$C, $A142, Log!$B:$B, "n/a", Log!$A:$A, "Daily", Log!$D:$D, $C$3), "")</f>
        <v/>
      </c>
      <c r="E142" s="113" t="str">
        <f>IFERROR(_xlfn.LET(_xlpm.camera_wand_count_by_day, AVERAGEIFS(Log!$E:$E, Log!$C:$C, $A142, Log!$B:$B, "n/a", Log!$A:$A, "Daily", Log!$D:$D, $C$3), _xlpm.auto_stop_that_day, _xlfn.XLOOKUP(A142, 'Daily WE'!$C139:$C10133, 'Daily WE'!$G139:$G10133), _xlpm.camera_wand_count_by_day/_xlpm.auto_stop_that_day), "")</f>
        <v/>
      </c>
      <c r="F142" s="191"/>
      <c r="G142" s="191"/>
      <c r="H142" s="108">
        <f>IF($C142="#N/A", NA(), _xlfn.XLOOKUP($A142, 'Daily WE'!$C:$C, 'Daily WE'!$N:$N))</f>
        <v>0</v>
      </c>
      <c r="I142" s="108">
        <f>IF($D142="#N/A", NA(), _xlfn.XLOOKUP($A142, 'Daily WE'!$C:$C, 'Daily WE'!$Q:$Q))</f>
        <v>0</v>
      </c>
    </row>
    <row r="143" spans="3:9" x14ac:dyDescent="0.3">
      <c r="C143" s="6" t="str">
        <f>IFERROR(AVERAGEIFS(Log!$F:$F, Log!$C:$C, $A143, Log!$B:$B, "n/a", Log!$A:$A, "Daily", Log!$D:$D, $C$3), "")</f>
        <v/>
      </c>
      <c r="D143" s="6" t="str">
        <f>IFERROR(AVERAGEIFS(Log!$G:$G, Log!$C:$C, $A143, Log!$B:$B, "n/a", Log!$A:$A, "Daily", Log!$D:$D, $C$3), "")</f>
        <v/>
      </c>
      <c r="E143" s="36" t="str">
        <f>IFERROR(AVERAGEIFS(Log!$E:$E, Log!$C:$C, $A143, Log!$B:$B, "n/a", Log!$A:$A, "Daily", Log!$D:$D, $C$3), "")</f>
        <v/>
      </c>
      <c r="F143" s="192"/>
      <c r="G143" s="192"/>
      <c r="H143" s="108">
        <f>IF($C143="#N/A", NA(), _xlfn.XLOOKUP($A143, 'Daily WE'!$C:$C, 'Daily WE'!$N:$N))</f>
        <v>0</v>
      </c>
      <c r="I143" s="108">
        <f>IF($D143="#N/A", NA(), _xlfn.XLOOKUP($A143, 'Daily WE'!$C:$C, 'Daily WE'!$Q:$Q))</f>
        <v>0</v>
      </c>
    </row>
    <row r="144" spans="3:9" x14ac:dyDescent="0.3">
      <c r="C144" s="6" t="str">
        <f>IFERROR(AVERAGEIFS(Log!$F:$F, Log!$C:$C, $A144, Log!$B:$B, "n/a", Log!$A:$A, "Daily", Log!$D:$D, $C$3), "")</f>
        <v/>
      </c>
      <c r="D144" s="6" t="str">
        <f>IFERROR(AVERAGEIFS(Log!$G:$G, Log!$C:$C, $A144, Log!$B:$B, "n/a", Log!$A:$A, "Daily", Log!$D:$D, $C$3), "")</f>
        <v/>
      </c>
      <c r="E144" s="36" t="str">
        <f>IFERROR(AVERAGEIFS(Log!$E:$E, Log!$C:$C, $A144, Log!$B:$B, "n/a", Log!$A:$A, "Daily", Log!$D:$D, $C$3), "")</f>
        <v/>
      </c>
      <c r="F144" s="192"/>
      <c r="G144" s="192"/>
      <c r="H144" s="108">
        <f>IF($C144="#N/A", NA(), _xlfn.XLOOKUP($A144, 'Daily WE'!$C:$C, 'Daily WE'!$N:$N))</f>
        <v>0</v>
      </c>
      <c r="I144" s="108">
        <f>IF($D144="#N/A", NA(), _xlfn.XLOOKUP($A144, 'Daily WE'!$C:$C, 'Daily WE'!$Q:$Q))</f>
        <v>0</v>
      </c>
    </row>
    <row r="145" spans="3:9" x14ac:dyDescent="0.3">
      <c r="C145" s="6" t="str">
        <f>IFERROR(AVERAGEIFS(Log!$F:$F, Log!$C:$C, $A145, Log!$B:$B, "n/a", Log!$A:$A, "Daily", Log!$D:$D, $C$3), "")</f>
        <v/>
      </c>
      <c r="D145" s="6" t="str">
        <f>IFERROR(AVERAGEIFS(Log!$G:$G, Log!$C:$C, $A145, Log!$B:$B, "n/a", Log!$A:$A, "Daily", Log!$D:$D, $C$3), "")</f>
        <v/>
      </c>
      <c r="E145" s="36" t="str">
        <f>IFERROR(AVERAGEIFS(Log!$E:$E, Log!$C:$C, $A145, Log!$B:$B, "n/a", Log!$A:$A, "Daily", Log!$D:$D, $C$3), "")</f>
        <v/>
      </c>
      <c r="F145" s="192"/>
      <c r="G145" s="192"/>
      <c r="H145" s="108">
        <f>IF($C145="#N/A", NA(), _xlfn.XLOOKUP($A145, 'Daily WE'!$C:$C, 'Daily WE'!$N:$N))</f>
        <v>0</v>
      </c>
      <c r="I145" s="108">
        <f>IF($D145="#N/A", NA(), _xlfn.XLOOKUP($A145, 'Daily WE'!$C:$C, 'Daily WE'!$Q:$Q))</f>
        <v>0</v>
      </c>
    </row>
    <row r="146" spans="3:9" x14ac:dyDescent="0.3">
      <c r="C146" s="6" t="str">
        <f>IFERROR(AVERAGEIFS(Log!$F:$F, Log!$C:$C, $A146, Log!$B:$B, "n/a", Log!$A:$A, "Daily", Log!$D:$D, $C$3), "")</f>
        <v/>
      </c>
      <c r="D146" s="6" t="str">
        <f>IFERROR(AVERAGEIFS(Log!$G:$G, Log!$C:$C, $A146, Log!$B:$B, "n/a", Log!$A:$A, "Daily", Log!$D:$D, $C$3), "")</f>
        <v/>
      </c>
      <c r="E146" s="36" t="str">
        <f>IFERROR(AVERAGEIFS(Log!$E:$E, Log!$C:$C, $A146, Log!$B:$B, "n/a", Log!$A:$A, "Daily", Log!$D:$D, $C$3), "")</f>
        <v/>
      </c>
      <c r="F146" s="192"/>
      <c r="G146" s="192"/>
      <c r="H146" s="108">
        <f>IF($C146="#N/A", NA(), _xlfn.XLOOKUP($A146, 'Daily WE'!$C:$C, 'Daily WE'!$N:$N))</f>
        <v>0</v>
      </c>
      <c r="I146" s="108">
        <f>IF($D146="#N/A", NA(), _xlfn.XLOOKUP($A146, 'Daily WE'!$C:$C, 'Daily WE'!$Q:$Q))</f>
        <v>0</v>
      </c>
    </row>
    <row r="147" spans="3:9" x14ac:dyDescent="0.3">
      <c r="C147" s="6" t="str">
        <f>IFERROR(AVERAGEIFS(Log!$F:$F, Log!$C:$C, $A147, Log!$B:$B, "n/a", Log!$A:$A, "Daily", Log!$D:$D, $C$3), "")</f>
        <v/>
      </c>
      <c r="D147" s="6" t="str">
        <f>IFERROR(AVERAGEIFS(Log!$G:$G, Log!$C:$C, $A147, Log!$B:$B, "n/a", Log!$A:$A, "Daily", Log!$D:$D, $C$3), "")</f>
        <v/>
      </c>
      <c r="E147" s="36" t="str">
        <f>IFERROR(AVERAGEIFS(Log!$E:$E, Log!$C:$C, $A147, Log!$B:$B, "n/a", Log!$A:$A, "Daily", Log!$D:$D, $C$3), "")</f>
        <v/>
      </c>
      <c r="F147" s="192"/>
      <c r="G147" s="192"/>
      <c r="H147" s="108">
        <f>IF($C147="#N/A", NA(), _xlfn.XLOOKUP($A147, 'Daily WE'!$C:$C, 'Daily WE'!$N:$N))</f>
        <v>0</v>
      </c>
      <c r="I147" s="108">
        <f>IF($D147="#N/A", NA(), _xlfn.XLOOKUP($A147, 'Daily WE'!$C:$C, 'Daily WE'!$Q:$Q))</f>
        <v>0</v>
      </c>
    </row>
    <row r="148" spans="3:9" x14ac:dyDescent="0.3">
      <c r="C148" s="6" t="str">
        <f>IFERROR(AVERAGEIFS(Log!$F:$F, Log!$C:$C, $A148, Log!$B:$B, "n/a", Log!$A:$A, "Daily", Log!$D:$D, $C$3), "")</f>
        <v/>
      </c>
      <c r="D148" s="6" t="str">
        <f>IFERROR(AVERAGEIFS(Log!$G:$G, Log!$C:$C, $A148, Log!$B:$B, "n/a", Log!$A:$A, "Daily", Log!$D:$D, $C$3), "")</f>
        <v/>
      </c>
      <c r="E148" s="36" t="str">
        <f>IFERROR(AVERAGEIFS(Log!$E:$E, Log!$C:$C, $A148, Log!$B:$B, "n/a", Log!$A:$A, "Daily", Log!$D:$D, $C$3), "")</f>
        <v/>
      </c>
      <c r="F148" s="192"/>
      <c r="G148" s="192"/>
      <c r="H148" s="108">
        <f>IF($C148="#N/A", NA(), _xlfn.XLOOKUP($A148, 'Daily WE'!$C:$C, 'Daily WE'!$N:$N))</f>
        <v>0</v>
      </c>
      <c r="I148" s="108">
        <f>IF($D148="#N/A", NA(), _xlfn.XLOOKUP($A148, 'Daily WE'!$C:$C, 'Daily WE'!$Q:$Q))</f>
        <v>0</v>
      </c>
    </row>
    <row r="149" spans="3:9" x14ac:dyDescent="0.3">
      <c r="C149" s="6" t="str">
        <f>IFERROR(AVERAGEIFS(Log!$F:$F, Log!$C:$C, $A149, Log!$B:$B, "n/a", Log!$A:$A, "Daily", Log!$D:$D, $C$3), "")</f>
        <v/>
      </c>
      <c r="D149" s="6" t="str">
        <f>IFERROR(AVERAGEIFS(Log!$G:$G, Log!$C:$C, $A149, Log!$B:$B, "n/a", Log!$A:$A, "Daily", Log!$D:$D, $C$3), "")</f>
        <v/>
      </c>
      <c r="E149" s="36" t="str">
        <f>IFERROR(AVERAGEIFS(Log!$E:$E, Log!$C:$C, $A149, Log!$B:$B, "n/a", Log!$A:$A, "Daily", Log!$D:$D, $C$3), "")</f>
        <v/>
      </c>
      <c r="F149" s="192"/>
      <c r="G149" s="192"/>
      <c r="H149" s="108">
        <f>IF($C149="#N/A", NA(), _xlfn.XLOOKUP($A149, 'Daily WE'!$C:$C, 'Daily WE'!$N:$N))</f>
        <v>0</v>
      </c>
      <c r="I149" s="108">
        <f>IF($D149="#N/A", NA(), _xlfn.XLOOKUP($A149, 'Daily WE'!$C:$C, 'Daily WE'!$Q:$Q))</f>
        <v>0</v>
      </c>
    </row>
    <row r="150" spans="3:9" x14ac:dyDescent="0.3">
      <c r="C150" s="6" t="str">
        <f>IFERROR(AVERAGEIFS(Log!$F:$F, Log!$C:$C, $A150, Log!$B:$B, "n/a", Log!$A:$A, "Daily", Log!$D:$D, $C$3), "")</f>
        <v/>
      </c>
      <c r="D150" s="6" t="str">
        <f>IFERROR(AVERAGEIFS(Log!$G:$G, Log!$C:$C, $A150, Log!$B:$B, "n/a", Log!$A:$A, "Daily", Log!$D:$D, $C$3), "")</f>
        <v/>
      </c>
      <c r="E150" s="36" t="str">
        <f>IFERROR(AVERAGEIFS(Log!$E:$E, Log!$C:$C, $A150, Log!$B:$B, "n/a", Log!$A:$A, "Daily", Log!$D:$D, $C$3), "")</f>
        <v/>
      </c>
      <c r="F150" s="192"/>
      <c r="G150" s="192"/>
      <c r="H150" s="108">
        <f>IF($C150="#N/A", NA(), _xlfn.XLOOKUP($A150, 'Daily WE'!$C:$C, 'Daily WE'!$N:$N))</f>
        <v>0</v>
      </c>
      <c r="I150" s="108">
        <f>IF($D150="#N/A", NA(), _xlfn.XLOOKUP($A150, 'Daily WE'!$C:$C, 'Daily WE'!$Q:$Q))</f>
        <v>0</v>
      </c>
    </row>
    <row r="151" spans="3:9" x14ac:dyDescent="0.3">
      <c r="C151" s="6" t="str">
        <f>IFERROR(AVERAGEIFS(Log!$F:$F, Log!$C:$C, $A151, Log!$B:$B, "n/a", Log!$A:$A, "Daily", Log!$D:$D, $C$3), "")</f>
        <v/>
      </c>
      <c r="D151" s="6" t="str">
        <f>IFERROR(AVERAGEIFS(Log!$G:$G, Log!$C:$C, $A151, Log!$B:$B, "n/a", Log!$A:$A, "Daily", Log!$D:$D, $C$3), "")</f>
        <v/>
      </c>
      <c r="E151" s="36" t="str">
        <f>IFERROR(AVERAGEIFS(Log!$E:$E, Log!$C:$C, $A151, Log!$B:$B, "n/a", Log!$A:$A, "Daily", Log!$D:$D, $C$3), "")</f>
        <v/>
      </c>
      <c r="F151" s="192"/>
      <c r="G151" s="192"/>
      <c r="H151" s="108">
        <f>IF($C151="#N/A", NA(), _xlfn.XLOOKUP($A151, 'Daily WE'!$C:$C, 'Daily WE'!$N:$N))</f>
        <v>0</v>
      </c>
      <c r="I151" s="108">
        <f>IF($D151="#N/A", NA(), _xlfn.XLOOKUP($A151, 'Daily WE'!$C:$C, 'Daily WE'!$Q:$Q))</f>
        <v>0</v>
      </c>
    </row>
    <row r="152" spans="3:9" x14ac:dyDescent="0.3">
      <c r="C152" s="6" t="str">
        <f>IFERROR(AVERAGEIFS(Log!$F:$F, Log!$C:$C, $A152, Log!$B:$B, "n/a", Log!$A:$A, "Daily", Log!$D:$D, $C$3), "")</f>
        <v/>
      </c>
      <c r="D152" s="6" t="str">
        <f>IFERROR(AVERAGEIFS(Log!$G:$G, Log!$C:$C, $A152, Log!$B:$B, "n/a", Log!$A:$A, "Daily", Log!$D:$D, $C$3), "")</f>
        <v/>
      </c>
      <c r="E152" s="36" t="str">
        <f>IFERROR(AVERAGEIFS(Log!$E:$E, Log!$C:$C, $A152, Log!$B:$B, "n/a", Log!$A:$A, "Daily", Log!$D:$D, $C$3), "")</f>
        <v/>
      </c>
      <c r="F152" s="192"/>
      <c r="G152" s="192"/>
      <c r="H152" s="108">
        <f>IF($C152="#N/A", NA(), _xlfn.XLOOKUP($A152, 'Daily WE'!$C:$C, 'Daily WE'!$N:$N))</f>
        <v>0</v>
      </c>
      <c r="I152" s="108">
        <f>IF($D152="#N/A", NA(), _xlfn.XLOOKUP($A152, 'Daily WE'!$C:$C, 'Daily WE'!$Q:$Q))</f>
        <v>0</v>
      </c>
    </row>
    <row r="153" spans="3:9" x14ac:dyDescent="0.3">
      <c r="C153" s="6" t="str">
        <f>IFERROR(AVERAGEIFS(Log!$F:$F, Log!$C:$C, $A153, Log!$B:$B, "n/a", Log!$A:$A, "Daily", Log!$D:$D, $C$3), "")</f>
        <v/>
      </c>
      <c r="D153" s="6" t="str">
        <f>IFERROR(AVERAGEIFS(Log!$G:$G, Log!$C:$C, $A153, Log!$B:$B, "n/a", Log!$A:$A, "Daily", Log!$D:$D, $C$3), "")</f>
        <v/>
      </c>
      <c r="E153" s="36" t="str">
        <f>IFERROR(AVERAGEIFS(Log!$E:$E, Log!$C:$C, $A153, Log!$B:$B, "n/a", Log!$A:$A, "Daily", Log!$D:$D, $C$3), "")</f>
        <v/>
      </c>
      <c r="F153" s="192"/>
      <c r="G153" s="192"/>
      <c r="H153" s="108">
        <f>IF($C153="#N/A", NA(), _xlfn.XLOOKUP($A153, 'Daily WE'!$C:$C, 'Daily WE'!$N:$N))</f>
        <v>0</v>
      </c>
      <c r="I153" s="108">
        <f>IF($D153="#N/A", NA(), _xlfn.XLOOKUP($A153, 'Daily WE'!$C:$C, 'Daily WE'!$Q:$Q))</f>
        <v>0</v>
      </c>
    </row>
    <row r="154" spans="3:9" x14ac:dyDescent="0.3">
      <c r="C154" s="6" t="str">
        <f>IFERROR(AVERAGEIFS(Log!$F:$F, Log!$C:$C, $A154, Log!$B:$B, "n/a", Log!$A:$A, "Daily", Log!$D:$D, $C$3), "")</f>
        <v/>
      </c>
      <c r="D154" s="6" t="str">
        <f>IFERROR(AVERAGEIFS(Log!$G:$G, Log!$C:$C, $A154, Log!$B:$B, "n/a", Log!$A:$A, "Daily", Log!$D:$D, $C$3), "")</f>
        <v/>
      </c>
      <c r="E154" s="36" t="str">
        <f>IFERROR(AVERAGEIFS(Log!$E:$E, Log!$C:$C, $A154, Log!$B:$B, "n/a", Log!$A:$A, "Daily", Log!$D:$D, $C$3), "")</f>
        <v/>
      </c>
      <c r="F154" s="192"/>
      <c r="G154" s="192"/>
      <c r="H154" s="108">
        <f>IF($C154="#N/A", NA(), _xlfn.XLOOKUP($A154, 'Daily WE'!$C:$C, 'Daily WE'!$N:$N))</f>
        <v>0</v>
      </c>
      <c r="I154" s="108">
        <f>IF($D154="#N/A", NA(), _xlfn.XLOOKUP($A154, 'Daily WE'!$C:$C, 'Daily WE'!$Q:$Q))</f>
        <v>0</v>
      </c>
    </row>
    <row r="155" spans="3:9" x14ac:dyDescent="0.3">
      <c r="C155" s="6" t="str">
        <f>IFERROR(AVERAGEIFS(Log!$F:$F, Log!$C:$C, $A155, Log!$B:$B, "n/a", Log!$A:$A, "Daily", Log!$D:$D, $C$3), "")</f>
        <v/>
      </c>
      <c r="D155" s="6" t="str">
        <f>IFERROR(AVERAGEIFS(Log!$G:$G, Log!$C:$C, $A155, Log!$B:$B, "n/a", Log!$A:$A, "Daily", Log!$D:$D, $C$3), "")</f>
        <v/>
      </c>
      <c r="E155" s="36" t="str">
        <f>IFERROR(AVERAGEIFS(Log!$E:$E, Log!$C:$C, $A155, Log!$B:$B, "n/a", Log!$A:$A, "Daily", Log!$D:$D, $C$3), "")</f>
        <v/>
      </c>
      <c r="F155" s="192"/>
      <c r="G155" s="192"/>
      <c r="H155" s="108">
        <f>IF($C155="#N/A", NA(), _xlfn.XLOOKUP($A155, 'Daily WE'!$C:$C, 'Daily WE'!$N:$N))</f>
        <v>0</v>
      </c>
      <c r="I155" s="108">
        <f>IF($D155="#N/A", NA(), _xlfn.XLOOKUP($A155, 'Daily WE'!$C:$C, 'Daily WE'!$Q:$Q))</f>
        <v>0</v>
      </c>
    </row>
    <row r="156" spans="3:9" x14ac:dyDescent="0.3">
      <c r="C156" s="6" t="str">
        <f>IFERROR(AVERAGEIFS(Log!$F:$F, Log!$C:$C, $A156, Log!$B:$B, "n/a", Log!$A:$A, "Daily", Log!$D:$D, $C$3), "")</f>
        <v/>
      </c>
      <c r="D156" s="6" t="str">
        <f>IFERROR(AVERAGEIFS(Log!$G:$G, Log!$C:$C, $A156, Log!$B:$B, "n/a", Log!$A:$A, "Daily", Log!$D:$D, $C$3), "")</f>
        <v/>
      </c>
      <c r="E156" s="36" t="str">
        <f>IFERROR(AVERAGEIFS(Log!$E:$E, Log!$C:$C, $A156, Log!$B:$B, "n/a", Log!$A:$A, "Daily", Log!$D:$D, $C$3), "")</f>
        <v/>
      </c>
      <c r="F156" s="192"/>
      <c r="G156" s="192"/>
      <c r="H156" s="108">
        <f>IF($C156="#N/A", NA(), _xlfn.XLOOKUP($A156, 'Daily WE'!$C:$C, 'Daily WE'!$N:$N))</f>
        <v>0</v>
      </c>
      <c r="I156" s="108">
        <f>IF($D156="#N/A", NA(), _xlfn.XLOOKUP($A156, 'Daily WE'!$C:$C, 'Daily WE'!$Q:$Q))</f>
        <v>0</v>
      </c>
    </row>
    <row r="157" spans="3:9" x14ac:dyDescent="0.3">
      <c r="C157" s="6" t="str">
        <f>IFERROR(AVERAGEIFS(Log!$F:$F, Log!$C:$C, $A157, Log!$B:$B, "n/a", Log!$A:$A, "Daily", Log!$D:$D, $C$3), "")</f>
        <v/>
      </c>
      <c r="D157" s="6" t="str">
        <f>IFERROR(AVERAGEIFS(Log!$G:$G, Log!$C:$C, $A157, Log!$B:$B, "n/a", Log!$A:$A, "Daily", Log!$D:$D, $C$3), "")</f>
        <v/>
      </c>
      <c r="E157" s="36" t="str">
        <f>IFERROR(AVERAGEIFS(Log!$E:$E, Log!$C:$C, $A157, Log!$B:$B, "n/a", Log!$A:$A, "Daily", Log!$D:$D, $C$3), "")</f>
        <v/>
      </c>
      <c r="F157" s="192"/>
      <c r="G157" s="192"/>
      <c r="H157" s="108">
        <f>IF($C157="#N/A", NA(), _xlfn.XLOOKUP($A157, 'Daily WE'!$C:$C, 'Daily WE'!$N:$N))</f>
        <v>0</v>
      </c>
      <c r="I157" s="108">
        <f>IF($D157="#N/A", NA(), _xlfn.XLOOKUP($A157, 'Daily WE'!$C:$C, 'Daily WE'!$Q:$Q))</f>
        <v>0</v>
      </c>
    </row>
    <row r="158" spans="3:9" x14ac:dyDescent="0.3">
      <c r="C158" s="6" t="str">
        <f>IFERROR(AVERAGEIFS(Log!$F:$F, Log!$C:$C, $A158, Log!$B:$B, "n/a", Log!$A:$A, "Daily", Log!$D:$D, $C$3), "")</f>
        <v/>
      </c>
      <c r="D158" s="6" t="str">
        <f>IFERROR(AVERAGEIFS(Log!$G:$G, Log!$C:$C, $A158, Log!$B:$B, "n/a", Log!$A:$A, "Daily", Log!$D:$D, $C$3), "")</f>
        <v/>
      </c>
      <c r="E158" s="36" t="str">
        <f>IFERROR(AVERAGEIFS(Log!$E:$E, Log!$C:$C, $A158, Log!$B:$B, "n/a", Log!$A:$A, "Daily", Log!$D:$D, $C$3), "")</f>
        <v/>
      </c>
      <c r="F158" s="192"/>
      <c r="G158" s="192"/>
      <c r="H158" s="108">
        <f>IF($C158="#N/A", NA(), _xlfn.XLOOKUP($A158, 'Daily WE'!$C:$C, 'Daily WE'!$N:$N))</f>
        <v>0</v>
      </c>
      <c r="I158" s="108">
        <f>IF($D158="#N/A", NA(), _xlfn.XLOOKUP($A158, 'Daily WE'!$C:$C, 'Daily WE'!$Q:$Q))</f>
        <v>0</v>
      </c>
    </row>
    <row r="159" spans="3:9" x14ac:dyDescent="0.3">
      <c r="C159" s="6" t="str">
        <f>IFERROR(AVERAGEIFS(Log!$F:$F, Log!$C:$C, $A159, Log!$B:$B, "n/a", Log!$A:$A, "Daily", Log!$D:$D, $C$3), "")</f>
        <v/>
      </c>
      <c r="D159" s="6" t="str">
        <f>IFERROR(AVERAGEIFS(Log!$G:$G, Log!$C:$C, $A159, Log!$B:$B, "n/a", Log!$A:$A, "Daily", Log!$D:$D, $C$3), "")</f>
        <v/>
      </c>
      <c r="E159" s="36" t="str">
        <f>IFERROR(AVERAGEIFS(Log!$E:$E, Log!$C:$C, $A159, Log!$B:$B, "n/a", Log!$A:$A, "Daily", Log!$D:$D, $C$3), "")</f>
        <v/>
      </c>
      <c r="F159" s="192"/>
      <c r="G159" s="192"/>
      <c r="H159" s="108">
        <f>IF($C159="#N/A", NA(), _xlfn.XLOOKUP($A159, 'Daily WE'!$C:$C, 'Daily WE'!$N:$N))</f>
        <v>0</v>
      </c>
      <c r="I159" s="108">
        <f>IF($D159="#N/A", NA(), _xlfn.XLOOKUP($A159, 'Daily WE'!$C:$C, 'Daily WE'!$Q:$Q))</f>
        <v>0</v>
      </c>
    </row>
    <row r="160" spans="3:9" x14ac:dyDescent="0.3">
      <c r="C160" s="6" t="str">
        <f>IFERROR(AVERAGEIFS(Log!$F:$F, Log!$C:$C, $A160, Log!$B:$B, "n/a", Log!$A:$A, "Daily", Log!$D:$D, $C$3), "")</f>
        <v/>
      </c>
      <c r="D160" s="6" t="str">
        <f>IFERROR(AVERAGEIFS(Log!$G:$G, Log!$C:$C, $A160, Log!$B:$B, "n/a", Log!$A:$A, "Daily", Log!$D:$D, $C$3), "")</f>
        <v/>
      </c>
      <c r="E160" s="36" t="str">
        <f>IFERROR(AVERAGEIFS(Log!$E:$E, Log!$C:$C, $A160, Log!$B:$B, "n/a", Log!$A:$A, "Daily", Log!$D:$D, $C$3), "")</f>
        <v/>
      </c>
      <c r="F160" s="192"/>
      <c r="G160" s="192"/>
      <c r="H160" s="108">
        <f>IF($C160="#N/A", NA(), _xlfn.XLOOKUP($A160, 'Daily WE'!$C:$C, 'Daily WE'!$N:$N))</f>
        <v>0</v>
      </c>
      <c r="I160" s="108">
        <f>IF($D160="#N/A", NA(), _xlfn.XLOOKUP($A160, 'Daily WE'!$C:$C, 'Daily WE'!$Q:$Q))</f>
        <v>0</v>
      </c>
    </row>
    <row r="161" spans="3:9" x14ac:dyDescent="0.3">
      <c r="C161" s="6" t="str">
        <f>IFERROR(AVERAGEIFS(Log!$F:$F, Log!$C:$C, $A161, Log!$B:$B, "n/a", Log!$A:$A, "Daily", Log!$D:$D, $C$3), "")</f>
        <v/>
      </c>
      <c r="D161" s="6" t="str">
        <f>IFERROR(AVERAGEIFS(Log!$G:$G, Log!$C:$C, $A161, Log!$B:$B, "n/a", Log!$A:$A, "Daily", Log!$D:$D, $C$3), "")</f>
        <v/>
      </c>
      <c r="E161" s="36" t="str">
        <f>IFERROR(AVERAGEIFS(Log!$E:$E, Log!$C:$C, $A161, Log!$B:$B, "n/a", Log!$A:$A, "Daily", Log!$D:$D, $C$3), "")</f>
        <v/>
      </c>
      <c r="F161" s="192"/>
      <c r="G161" s="192"/>
      <c r="H161" s="108">
        <f>IF($C161="#N/A", NA(), _xlfn.XLOOKUP($A161, 'Daily WE'!$C:$C, 'Daily WE'!$N:$N))</f>
        <v>0</v>
      </c>
      <c r="I161" s="108">
        <f>IF($D161="#N/A", NA(), _xlfn.XLOOKUP($A161, 'Daily WE'!$C:$C, 'Daily WE'!$Q:$Q))</f>
        <v>0</v>
      </c>
    </row>
    <row r="162" spans="3:9" x14ac:dyDescent="0.3">
      <c r="C162" s="6" t="str">
        <f>IFERROR(AVERAGEIFS(Log!$F:$F, Log!$C:$C, $A162, Log!$B:$B, "n/a", Log!$A:$A, "Daily", Log!$D:$D, $C$3), "")</f>
        <v/>
      </c>
      <c r="D162" s="6" t="str">
        <f>IFERROR(AVERAGEIFS(Log!$G:$G, Log!$C:$C, $A162, Log!$B:$B, "n/a", Log!$A:$A, "Daily", Log!$D:$D, $C$3), "")</f>
        <v/>
      </c>
      <c r="E162" s="36" t="str">
        <f>IFERROR(AVERAGEIFS(Log!$E:$E, Log!$C:$C, $A162, Log!$B:$B, "n/a", Log!$A:$A, "Daily", Log!$D:$D, $C$3), "")</f>
        <v/>
      </c>
      <c r="F162" s="192"/>
      <c r="G162" s="192"/>
      <c r="H162" s="108">
        <f>IF($C162="#N/A", NA(), _xlfn.XLOOKUP($A162, 'Daily WE'!$C:$C, 'Daily WE'!$N:$N))</f>
        <v>0</v>
      </c>
      <c r="I162" s="108">
        <f>IF($D162="#N/A", NA(), _xlfn.XLOOKUP($A162, 'Daily WE'!$C:$C, 'Daily WE'!$Q:$Q))</f>
        <v>0</v>
      </c>
    </row>
    <row r="163" spans="3:9" x14ac:dyDescent="0.3">
      <c r="C163" s="6" t="str">
        <f>IFERROR(AVERAGEIFS(Log!$F:$F, Log!$C:$C, $A163, Log!$B:$B, "n/a", Log!$A:$A, "Daily", Log!$D:$D, $C$3), "")</f>
        <v/>
      </c>
      <c r="D163" s="6" t="str">
        <f>IFERROR(AVERAGEIFS(Log!$G:$G, Log!$C:$C, $A163, Log!$B:$B, "n/a", Log!$A:$A, "Daily", Log!$D:$D, $C$3), "")</f>
        <v/>
      </c>
      <c r="E163" s="36" t="str">
        <f>IFERROR(AVERAGEIFS(Log!$E:$E, Log!$C:$C, $A163, Log!$B:$B, "n/a", Log!$A:$A, "Daily", Log!$D:$D, $C$3), "")</f>
        <v/>
      </c>
      <c r="F163" s="192"/>
      <c r="G163" s="192"/>
      <c r="H163" s="108">
        <f>IF($C163="#N/A", NA(), _xlfn.XLOOKUP($A163, 'Daily WE'!$C:$C, 'Daily WE'!$N:$N))</f>
        <v>0</v>
      </c>
      <c r="I163" s="108">
        <f>IF($D163="#N/A", NA(), _xlfn.XLOOKUP($A163, 'Daily WE'!$C:$C, 'Daily WE'!$Q:$Q))</f>
        <v>0</v>
      </c>
    </row>
    <row r="164" spans="3:9" x14ac:dyDescent="0.3">
      <c r="C164" s="6" t="str">
        <f>IFERROR(AVERAGEIFS(Log!$F:$F, Log!$C:$C, $A164, Log!$B:$B, "n/a", Log!$A:$A, "Daily", Log!$D:$D, $C$3), "")</f>
        <v/>
      </c>
      <c r="D164" s="6" t="str">
        <f>IFERROR(AVERAGEIFS(Log!$G:$G, Log!$C:$C, $A164, Log!$B:$B, "n/a", Log!$A:$A, "Daily", Log!$D:$D, $C$3), "")</f>
        <v/>
      </c>
      <c r="E164" s="36" t="str">
        <f>IFERROR(AVERAGEIFS(Log!$E:$E, Log!$C:$C, $A164, Log!$B:$B, "n/a", Log!$A:$A, "Daily", Log!$D:$D, $C$3), "")</f>
        <v/>
      </c>
      <c r="F164" s="192"/>
      <c r="G164" s="192"/>
      <c r="H164" s="108">
        <f>IF($C164="#N/A", NA(), _xlfn.XLOOKUP($A164, 'Daily WE'!$C:$C, 'Daily WE'!$N:$N))</f>
        <v>0</v>
      </c>
      <c r="I164" s="108">
        <f>IF($D164="#N/A", NA(), _xlfn.XLOOKUP($A164, 'Daily WE'!$C:$C, 'Daily WE'!$Q:$Q))</f>
        <v>0</v>
      </c>
    </row>
    <row r="165" spans="3:9" x14ac:dyDescent="0.3">
      <c r="C165" s="6" t="str">
        <f>IFERROR(AVERAGEIFS(Log!$F:$F, Log!$C:$C, $A165, Log!$B:$B, "n/a", Log!$A:$A, "Daily", Log!$D:$D, $C$3), "")</f>
        <v/>
      </c>
      <c r="D165" s="6" t="str">
        <f>IFERROR(AVERAGEIFS(Log!$G:$G, Log!$C:$C, $A165, Log!$B:$B, "n/a", Log!$A:$A, "Daily", Log!$D:$D, $C$3), "")</f>
        <v/>
      </c>
      <c r="E165" s="36" t="str">
        <f>IFERROR(AVERAGEIFS(Log!$E:$E, Log!$C:$C, $A165, Log!$B:$B, "n/a", Log!$A:$A, "Daily", Log!$D:$D, $C$3), "")</f>
        <v/>
      </c>
      <c r="F165" s="192"/>
      <c r="G165" s="192"/>
      <c r="H165" s="108">
        <f>IF($C165="#N/A", NA(), _xlfn.XLOOKUP($A165, 'Daily WE'!$C:$C, 'Daily WE'!$N:$N))</f>
        <v>0</v>
      </c>
      <c r="I165" s="108">
        <f>IF($D165="#N/A", NA(), _xlfn.XLOOKUP($A165, 'Daily WE'!$C:$C, 'Daily WE'!$Q:$Q))</f>
        <v>0</v>
      </c>
    </row>
    <row r="166" spans="3:9" x14ac:dyDescent="0.3">
      <c r="C166" s="6" t="str">
        <f>IFERROR(AVERAGEIFS(Log!$F:$F, Log!$C:$C, $A166, Log!$B:$B, "n/a", Log!$A:$A, "Daily", Log!$D:$D, $C$3), "")</f>
        <v/>
      </c>
      <c r="D166" s="6" t="str">
        <f>IFERROR(AVERAGEIFS(Log!$G:$G, Log!$C:$C, $A166, Log!$B:$B, "n/a", Log!$A:$A, "Daily", Log!$D:$D, $C$3), "")</f>
        <v/>
      </c>
      <c r="E166" s="36" t="str">
        <f>IFERROR(AVERAGEIFS(Log!$E:$E, Log!$C:$C, $A166, Log!$B:$B, "n/a", Log!$A:$A, "Daily", Log!$D:$D, $C$3), "")</f>
        <v/>
      </c>
      <c r="F166" s="192"/>
      <c r="G166" s="192"/>
      <c r="H166" s="108">
        <f>IF($C166="#N/A", NA(), _xlfn.XLOOKUP($A166, 'Daily WE'!$C:$C, 'Daily WE'!$N:$N))</f>
        <v>0</v>
      </c>
      <c r="I166" s="108">
        <f>IF($D166="#N/A", NA(), _xlfn.XLOOKUP($A166, 'Daily WE'!$C:$C, 'Daily WE'!$Q:$Q))</f>
        <v>0</v>
      </c>
    </row>
    <row r="167" spans="3:9" x14ac:dyDescent="0.3">
      <c r="C167" s="6" t="str">
        <f>IFERROR(AVERAGEIFS(Log!$F:$F, Log!$C:$C, $A167, Log!$B:$B, "n/a", Log!$A:$A, "Daily", Log!$D:$D, $C$3), "")</f>
        <v/>
      </c>
      <c r="D167" s="6" t="str">
        <f>IFERROR(AVERAGEIFS(Log!$G:$G, Log!$C:$C, $A167, Log!$B:$B, "n/a", Log!$A:$A, "Daily", Log!$D:$D, $C$3), "")</f>
        <v/>
      </c>
      <c r="E167" s="36" t="str">
        <f>IFERROR(AVERAGEIFS(Log!$E:$E, Log!$C:$C, $A167, Log!$B:$B, "n/a", Log!$A:$A, "Daily", Log!$D:$D, $C$3), "")</f>
        <v/>
      </c>
      <c r="F167" s="192"/>
      <c r="G167" s="192"/>
      <c r="H167" s="108">
        <f>IF($C167="#N/A", NA(), _xlfn.XLOOKUP($A167, 'Daily WE'!$C:$C, 'Daily WE'!$N:$N))</f>
        <v>0</v>
      </c>
      <c r="I167" s="108">
        <f>IF($D167="#N/A", NA(), _xlfn.XLOOKUP($A167, 'Daily WE'!$C:$C, 'Daily WE'!$Q:$Q))</f>
        <v>0</v>
      </c>
    </row>
    <row r="168" spans="3:9" x14ac:dyDescent="0.3">
      <c r="C168" s="6" t="str">
        <f>IFERROR(AVERAGEIFS(Log!$F:$F, Log!$C:$C, $A168, Log!$B:$B, "n/a", Log!$A:$A, "Daily", Log!$D:$D, $C$3), "")</f>
        <v/>
      </c>
      <c r="D168" s="6" t="str">
        <f>IFERROR(AVERAGEIFS(Log!$G:$G, Log!$C:$C, $A168, Log!$B:$B, "n/a", Log!$A:$A, "Daily", Log!$D:$D, $C$3), "")</f>
        <v/>
      </c>
      <c r="E168" s="36" t="str">
        <f>IFERROR(AVERAGEIFS(Log!$E:$E, Log!$C:$C, $A168, Log!$B:$B, "n/a", Log!$A:$A, "Daily", Log!$D:$D, $C$3), "")</f>
        <v/>
      </c>
      <c r="F168" s="192"/>
      <c r="G168" s="192"/>
      <c r="H168" s="108">
        <f>IF($C168="#N/A", NA(), _xlfn.XLOOKUP($A168, 'Daily WE'!$C:$C, 'Daily WE'!$N:$N))</f>
        <v>0</v>
      </c>
      <c r="I168" s="108">
        <f>IF($D168="#N/A", NA(), _xlfn.XLOOKUP($A168, 'Daily WE'!$C:$C, 'Daily WE'!$Q:$Q))</f>
        <v>0</v>
      </c>
    </row>
    <row r="169" spans="3:9" x14ac:dyDescent="0.3">
      <c r="C169" s="6" t="str">
        <f>IFERROR(AVERAGEIFS(Log!$F:$F, Log!$C:$C, $A169, Log!$B:$B, "n/a", Log!$A:$A, "Daily", Log!$D:$D, $C$3), "")</f>
        <v/>
      </c>
      <c r="D169" s="6" t="str">
        <f>IFERROR(AVERAGEIFS(Log!$G:$G, Log!$C:$C, $A169, Log!$B:$B, "n/a", Log!$A:$A, "Daily", Log!$D:$D, $C$3), "")</f>
        <v/>
      </c>
      <c r="E169" s="36" t="str">
        <f>IFERROR(AVERAGEIFS(Log!$E:$E, Log!$C:$C, $A169, Log!$B:$B, "n/a", Log!$A:$A, "Daily", Log!$D:$D, $C$3), "")</f>
        <v/>
      </c>
      <c r="F169" s="192"/>
      <c r="G169" s="192"/>
      <c r="H169" s="108">
        <f>IF($C169="#N/A", NA(), _xlfn.XLOOKUP($A169, 'Daily WE'!$C:$C, 'Daily WE'!$N:$N))</f>
        <v>0</v>
      </c>
      <c r="I169" s="108">
        <f>IF($D169="#N/A", NA(), _xlfn.XLOOKUP($A169, 'Daily WE'!$C:$C, 'Daily WE'!$Q:$Q))</f>
        <v>0</v>
      </c>
    </row>
    <row r="170" spans="3:9" x14ac:dyDescent="0.3">
      <c r="C170" s="6" t="str">
        <f>IFERROR(AVERAGEIFS(Log!$F:$F, Log!$C:$C, $A170, Log!$B:$B, "n/a", Log!$A:$A, "Daily", Log!$D:$D, $C$3), "")</f>
        <v/>
      </c>
      <c r="D170" s="6" t="str">
        <f>IFERROR(AVERAGEIFS(Log!$G:$G, Log!$C:$C, $A170, Log!$B:$B, "n/a", Log!$A:$A, "Daily", Log!$D:$D, $C$3), "")</f>
        <v/>
      </c>
      <c r="E170" s="36" t="str">
        <f>IFERROR(AVERAGEIFS(Log!$E:$E, Log!$C:$C, $A170, Log!$B:$B, "n/a", Log!$A:$A, "Daily", Log!$D:$D, $C$3), "")</f>
        <v/>
      </c>
      <c r="F170" s="192"/>
      <c r="G170" s="192"/>
      <c r="H170" s="108">
        <f>IF($C170="#N/A", NA(), _xlfn.XLOOKUP($A170, 'Daily WE'!$C:$C, 'Daily WE'!$N:$N))</f>
        <v>0</v>
      </c>
      <c r="I170" s="108">
        <f>IF($D170="#N/A", NA(), _xlfn.XLOOKUP($A170, 'Daily WE'!$C:$C, 'Daily WE'!$Q:$Q))</f>
        <v>0</v>
      </c>
    </row>
    <row r="171" spans="3:9" x14ac:dyDescent="0.3">
      <c r="C171" s="6" t="str">
        <f>IFERROR(AVERAGEIFS(Log!$F:$F, Log!$C:$C, $A171, Log!$B:$B, "n/a", Log!$A:$A, "Daily", Log!$D:$D, $C$3), "")</f>
        <v/>
      </c>
      <c r="D171" s="6" t="str">
        <f>IFERROR(AVERAGEIFS(Log!$G:$G, Log!$C:$C, $A171, Log!$B:$B, "n/a", Log!$A:$A, "Daily", Log!$D:$D, $C$3), "")</f>
        <v/>
      </c>
      <c r="E171" s="36" t="str">
        <f>IFERROR(AVERAGEIFS(Log!$E:$E, Log!$C:$C, $A171, Log!$B:$B, "n/a", Log!$A:$A, "Daily", Log!$D:$D, $C$3), "")</f>
        <v/>
      </c>
      <c r="F171" s="192"/>
      <c r="G171" s="192"/>
      <c r="H171" s="108">
        <f>IF($C171="#N/A", NA(), _xlfn.XLOOKUP($A171, 'Daily WE'!$C:$C, 'Daily WE'!$N:$N))</f>
        <v>0</v>
      </c>
      <c r="I171" s="108">
        <f>IF($D171="#N/A", NA(), _xlfn.XLOOKUP($A171, 'Daily WE'!$C:$C, 'Daily WE'!$Q:$Q))</f>
        <v>0</v>
      </c>
    </row>
    <row r="172" spans="3:9" x14ac:dyDescent="0.3">
      <c r="C172" s="6" t="str">
        <f>IFERROR(AVERAGEIFS(Log!$F:$F, Log!$C:$C, $A172, Log!$B:$B, "n/a", Log!$A:$A, "Daily", Log!$D:$D, $C$3), "")</f>
        <v/>
      </c>
      <c r="D172" s="6" t="str">
        <f>IFERROR(AVERAGEIFS(Log!$G:$G, Log!$C:$C, $A172, Log!$B:$B, "n/a", Log!$A:$A, "Daily", Log!$D:$D, $C$3), "")</f>
        <v/>
      </c>
      <c r="E172" s="36" t="str">
        <f>IFERROR(AVERAGEIFS(Log!$E:$E, Log!$C:$C, $A172, Log!$B:$B, "n/a", Log!$A:$A, "Daily", Log!$D:$D, $C$3), "")</f>
        <v/>
      </c>
      <c r="F172" s="192"/>
      <c r="G172" s="192"/>
      <c r="H172" s="108">
        <f>IF($C172="#N/A", NA(), _xlfn.XLOOKUP($A172, 'Daily WE'!$C:$C, 'Daily WE'!$N:$N))</f>
        <v>0</v>
      </c>
      <c r="I172" s="108">
        <f>IF($D172="#N/A", NA(), _xlfn.XLOOKUP($A172, 'Daily WE'!$C:$C, 'Daily WE'!$Q:$Q))</f>
        <v>0</v>
      </c>
    </row>
    <row r="173" spans="3:9" x14ac:dyDescent="0.3">
      <c r="C173" s="6" t="str">
        <f>IFERROR(AVERAGEIFS(Log!$F:$F, Log!$C:$C, $A173, Log!$B:$B, "n/a", Log!$A:$A, "Daily", Log!$D:$D, $C$3), "")</f>
        <v/>
      </c>
      <c r="D173" s="6" t="str">
        <f>IFERROR(AVERAGEIFS(Log!$G:$G, Log!$C:$C, $A173, Log!$B:$B, "n/a", Log!$A:$A, "Daily", Log!$D:$D, $C$3), "")</f>
        <v/>
      </c>
      <c r="E173" s="36" t="str">
        <f>IFERROR(AVERAGEIFS(Log!$E:$E, Log!$C:$C, $A173, Log!$B:$B, "n/a", Log!$A:$A, "Daily", Log!$D:$D, $C$3), "")</f>
        <v/>
      </c>
      <c r="F173" s="192"/>
      <c r="G173" s="192"/>
      <c r="H173" s="108">
        <f>IF($C173="#N/A", NA(), _xlfn.XLOOKUP($A173, 'Daily WE'!$C:$C, 'Daily WE'!$N:$N))</f>
        <v>0</v>
      </c>
      <c r="I173" s="108">
        <f>IF($D173="#N/A", NA(), _xlfn.XLOOKUP($A173, 'Daily WE'!$C:$C, 'Daily WE'!$Q:$Q))</f>
        <v>0</v>
      </c>
    </row>
    <row r="174" spans="3:9" x14ac:dyDescent="0.3">
      <c r="C174" s="6" t="str">
        <f>IFERROR(AVERAGEIFS(Log!$F:$F, Log!$C:$C, $A174, Log!$B:$B, "n/a", Log!$A:$A, "Daily", Log!$D:$D, $C$3), "")</f>
        <v/>
      </c>
      <c r="D174" s="6" t="str">
        <f>IFERROR(AVERAGEIFS(Log!$G:$G, Log!$C:$C, $A174, Log!$B:$B, "n/a", Log!$A:$A, "Daily", Log!$D:$D, $C$3), "")</f>
        <v/>
      </c>
      <c r="E174" s="36" t="str">
        <f>IFERROR(AVERAGEIFS(Log!$E:$E, Log!$C:$C, $A174, Log!$B:$B, "n/a", Log!$A:$A, "Daily", Log!$D:$D, $C$3), "")</f>
        <v/>
      </c>
      <c r="F174" s="192"/>
      <c r="G174" s="192"/>
      <c r="H174" s="108">
        <f>IF($C174="#N/A", NA(), _xlfn.XLOOKUP($A174, 'Daily WE'!$C:$C, 'Daily WE'!$N:$N))</f>
        <v>0</v>
      </c>
      <c r="I174" s="108">
        <f>IF($D174="#N/A", NA(), _xlfn.XLOOKUP($A174, 'Daily WE'!$C:$C, 'Daily WE'!$Q:$Q))</f>
        <v>0</v>
      </c>
    </row>
    <row r="175" spans="3:9" x14ac:dyDescent="0.3">
      <c r="C175" s="6" t="str">
        <f>IFERROR(AVERAGEIFS(Log!$F:$F, Log!$C:$C, $A175, Log!$B:$B, "n/a", Log!$A:$A, "Daily", Log!$D:$D, $C$3), "")</f>
        <v/>
      </c>
      <c r="D175" s="6" t="str">
        <f>IFERROR(AVERAGEIFS(Log!$G:$G, Log!$C:$C, $A175, Log!$B:$B, "n/a", Log!$A:$A, "Daily", Log!$D:$D, $C$3), "")</f>
        <v/>
      </c>
      <c r="E175" s="36" t="str">
        <f>IFERROR(AVERAGEIFS(Log!$E:$E, Log!$C:$C, $A175, Log!$B:$B, "n/a", Log!$A:$A, "Daily", Log!$D:$D, $C$3), "")</f>
        <v/>
      </c>
      <c r="F175" s="192"/>
      <c r="G175" s="192"/>
      <c r="H175" s="108">
        <f>IF($C175="#N/A", NA(), _xlfn.XLOOKUP($A175, 'Daily WE'!$C:$C, 'Daily WE'!$N:$N))</f>
        <v>0</v>
      </c>
      <c r="I175" s="108">
        <f>IF($D175="#N/A", NA(), _xlfn.XLOOKUP($A175, 'Daily WE'!$C:$C, 'Daily WE'!$Q:$Q))</f>
        <v>0</v>
      </c>
    </row>
    <row r="176" spans="3:9" x14ac:dyDescent="0.3">
      <c r="C176" s="6" t="str">
        <f>IFERROR(AVERAGEIFS(Log!$F:$F, Log!$C:$C, $A176, Log!$B:$B, "n/a", Log!$A:$A, "Daily", Log!$D:$D, $C$3), "")</f>
        <v/>
      </c>
      <c r="D176" s="6" t="str">
        <f>IFERROR(AVERAGEIFS(Log!$G:$G, Log!$C:$C, $A176, Log!$B:$B, "n/a", Log!$A:$A, "Daily", Log!$D:$D, $C$3), "")</f>
        <v/>
      </c>
      <c r="E176" s="36" t="str">
        <f>IFERROR(AVERAGEIFS(Log!$E:$E, Log!$C:$C, $A176, Log!$B:$B, "n/a", Log!$A:$A, "Daily", Log!$D:$D, $C$3), "")</f>
        <v/>
      </c>
      <c r="F176" s="192"/>
      <c r="G176" s="192"/>
      <c r="H176" s="108">
        <f>IF($C176="#N/A", NA(), _xlfn.XLOOKUP($A176, 'Daily WE'!$C:$C, 'Daily WE'!$N:$N))</f>
        <v>0</v>
      </c>
      <c r="I176" s="108">
        <f>IF($D176="#N/A", NA(), _xlfn.XLOOKUP($A176, 'Daily WE'!$C:$C, 'Daily WE'!$Q:$Q))</f>
        <v>0</v>
      </c>
    </row>
    <row r="177" spans="3:9" x14ac:dyDescent="0.3">
      <c r="C177" s="6" t="str">
        <f>IFERROR(AVERAGEIFS(Log!$F:$F, Log!$C:$C, $A177, Log!$B:$B, "n/a", Log!$A:$A, "Daily", Log!$D:$D, $C$3), "")</f>
        <v/>
      </c>
      <c r="D177" s="6" t="str">
        <f>IFERROR(AVERAGEIFS(Log!$G:$G, Log!$C:$C, $A177, Log!$B:$B, "n/a", Log!$A:$A, "Daily", Log!$D:$D, $C$3), "")</f>
        <v/>
      </c>
      <c r="E177" s="36" t="str">
        <f>IFERROR(AVERAGEIFS(Log!$E:$E, Log!$C:$C, $A177, Log!$B:$B, "n/a", Log!$A:$A, "Daily", Log!$D:$D, $C$3), "")</f>
        <v/>
      </c>
      <c r="F177" s="192"/>
      <c r="G177" s="192"/>
      <c r="H177" s="108">
        <f>IF($C177="#N/A", NA(), _xlfn.XLOOKUP($A177, 'Daily WE'!$C:$C, 'Daily WE'!$N:$N))</f>
        <v>0</v>
      </c>
      <c r="I177" s="108">
        <f>IF($D177="#N/A", NA(), _xlfn.XLOOKUP($A177, 'Daily WE'!$C:$C, 'Daily WE'!$Q:$Q))</f>
        <v>0</v>
      </c>
    </row>
    <row r="178" spans="3:9" x14ac:dyDescent="0.3">
      <c r="C178" s="6" t="str">
        <f>IFERROR(AVERAGEIFS(Log!$F:$F, Log!$C:$C, $A178, Log!$B:$B, "n/a", Log!$A:$A, "Daily", Log!$D:$D, $C$3), "")</f>
        <v/>
      </c>
      <c r="D178" s="6" t="str">
        <f>IFERROR(AVERAGEIFS(Log!$G:$G, Log!$C:$C, $A178, Log!$B:$B, "n/a", Log!$A:$A, "Daily", Log!$D:$D, $C$3), "")</f>
        <v/>
      </c>
      <c r="E178" s="36" t="str">
        <f>IFERROR(AVERAGEIFS(Log!$E:$E, Log!$C:$C, $A178, Log!$B:$B, "n/a", Log!$A:$A, "Daily", Log!$D:$D, $C$3), "")</f>
        <v/>
      </c>
      <c r="F178" s="192"/>
      <c r="G178" s="192"/>
      <c r="H178" s="108">
        <f>IF($C178="#N/A", NA(), _xlfn.XLOOKUP($A178, 'Daily WE'!$C:$C, 'Daily WE'!$N:$N))</f>
        <v>0</v>
      </c>
      <c r="I178" s="108">
        <f>IF($D178="#N/A", NA(), _xlfn.XLOOKUP($A178, 'Daily WE'!$C:$C, 'Daily WE'!$Q:$Q))</f>
        <v>0</v>
      </c>
    </row>
    <row r="179" spans="3:9" x14ac:dyDescent="0.3">
      <c r="C179" s="6" t="str">
        <f>IFERROR(AVERAGEIFS(Log!$F:$F, Log!$C:$C, $A179, Log!$B:$B, "n/a", Log!$A:$A, "Daily", Log!$D:$D, $C$3), "")</f>
        <v/>
      </c>
      <c r="D179" s="6" t="str">
        <f>IFERROR(AVERAGEIFS(Log!$G:$G, Log!$C:$C, $A179, Log!$B:$B, "n/a", Log!$A:$A, "Daily", Log!$D:$D, $C$3), "")</f>
        <v/>
      </c>
      <c r="E179" s="36" t="str">
        <f>IFERROR(AVERAGEIFS(Log!$E:$E, Log!$C:$C, $A179, Log!$B:$B, "n/a", Log!$A:$A, "Daily", Log!$D:$D, $C$3), "")</f>
        <v/>
      </c>
      <c r="F179" s="192"/>
      <c r="G179" s="192"/>
      <c r="H179" s="108">
        <f>IF($C179="#N/A", NA(), _xlfn.XLOOKUP($A179, 'Daily WE'!$C:$C, 'Daily WE'!$N:$N))</f>
        <v>0</v>
      </c>
      <c r="I179" s="108">
        <f>IF($D179="#N/A", NA(), _xlfn.XLOOKUP($A179, 'Daily WE'!$C:$C, 'Daily WE'!$Q:$Q))</f>
        <v>0</v>
      </c>
    </row>
    <row r="180" spans="3:9" x14ac:dyDescent="0.3">
      <c r="C180" s="6" t="str">
        <f>IFERROR(AVERAGEIFS(Log!$F:$F, Log!$C:$C, $A180, Log!$B:$B, "n/a", Log!$A:$A, "Daily", Log!$D:$D, $C$3), "")</f>
        <v/>
      </c>
      <c r="D180" s="6" t="str">
        <f>IFERROR(AVERAGEIFS(Log!$G:$G, Log!$C:$C, $A180, Log!$B:$B, "n/a", Log!$A:$A, "Daily", Log!$D:$D, $C$3), "")</f>
        <v/>
      </c>
      <c r="E180" s="36" t="str">
        <f>IFERROR(AVERAGEIFS(Log!$E:$E, Log!$C:$C, $A180, Log!$B:$B, "n/a", Log!$A:$A, "Daily", Log!$D:$D, $C$3), "")</f>
        <v/>
      </c>
      <c r="F180" s="192"/>
      <c r="G180" s="192"/>
      <c r="H180" s="108">
        <f>IF($C180="#N/A", NA(), _xlfn.XLOOKUP($A180, 'Daily WE'!$C:$C, 'Daily WE'!$N:$N))</f>
        <v>0</v>
      </c>
      <c r="I180" s="108">
        <f>IF($D180="#N/A", NA(), _xlfn.XLOOKUP($A180, 'Daily WE'!$C:$C, 'Daily WE'!$Q:$Q))</f>
        <v>0</v>
      </c>
    </row>
    <row r="181" spans="3:9" x14ac:dyDescent="0.3">
      <c r="C181" s="6" t="str">
        <f>IFERROR(AVERAGEIFS(Log!$F:$F, Log!$C:$C, $A181, Log!$B:$B, "n/a", Log!$A:$A, "Daily", Log!$D:$D, $C$3), "")</f>
        <v/>
      </c>
      <c r="D181" s="6" t="str">
        <f>IFERROR(AVERAGEIFS(Log!$G:$G, Log!$C:$C, $A181, Log!$B:$B, "n/a", Log!$A:$A, "Daily", Log!$D:$D, $C$3), "")</f>
        <v/>
      </c>
      <c r="E181" s="36" t="str">
        <f>IFERROR(AVERAGEIFS(Log!$E:$E, Log!$C:$C, $A181, Log!$B:$B, "n/a", Log!$A:$A, "Daily", Log!$D:$D, $C$3), "")</f>
        <v/>
      </c>
      <c r="F181" s="192"/>
      <c r="G181" s="192"/>
      <c r="H181" s="108">
        <f>IF($C181="#N/A", NA(), _xlfn.XLOOKUP($A181, 'Daily WE'!$C:$C, 'Daily WE'!$N:$N))</f>
        <v>0</v>
      </c>
      <c r="I181" s="108">
        <f>IF($D181="#N/A", NA(), _xlfn.XLOOKUP($A181, 'Daily WE'!$C:$C, 'Daily WE'!$Q:$Q))</f>
        <v>0</v>
      </c>
    </row>
    <row r="182" spans="3:9" x14ac:dyDescent="0.3">
      <c r="C182" s="6" t="str">
        <f>IFERROR(AVERAGEIFS(Log!$F:$F, Log!$C:$C, $A182, Log!$B:$B, "n/a", Log!$A:$A, "Daily", Log!$D:$D, $C$3), "")</f>
        <v/>
      </c>
      <c r="D182" s="6" t="str">
        <f>IFERROR(AVERAGEIFS(Log!$G:$G, Log!$C:$C, $A182, Log!$B:$B, "n/a", Log!$A:$A, "Daily", Log!$D:$D, $C$3), "")</f>
        <v/>
      </c>
      <c r="E182" s="36" t="str">
        <f>IFERROR(AVERAGEIFS(Log!$E:$E, Log!$C:$C, $A182, Log!$B:$B, "n/a", Log!$A:$A, "Daily", Log!$D:$D, $C$3), "")</f>
        <v/>
      </c>
      <c r="F182" s="192"/>
      <c r="G182" s="192"/>
      <c r="H182" s="108">
        <f>IF($C182="#N/A", NA(), _xlfn.XLOOKUP($A182, 'Daily WE'!$C:$C, 'Daily WE'!$N:$N))</f>
        <v>0</v>
      </c>
      <c r="I182" s="108">
        <f>IF($D182="#N/A", NA(), _xlfn.XLOOKUP($A182, 'Daily WE'!$C:$C, 'Daily WE'!$Q:$Q))</f>
        <v>0</v>
      </c>
    </row>
    <row r="183" spans="3:9" x14ac:dyDescent="0.3">
      <c r="C183" s="6" t="str">
        <f>IFERROR(AVERAGEIFS(Log!$F:$F, Log!$C:$C, $A183, Log!$B:$B, "n/a", Log!$A:$A, "Daily", Log!$D:$D, $C$3), "")</f>
        <v/>
      </c>
      <c r="D183" s="6" t="str">
        <f>IFERROR(AVERAGEIFS(Log!$G:$G, Log!$C:$C, $A183, Log!$B:$B, "n/a", Log!$A:$A, "Daily", Log!$D:$D, $C$3), "")</f>
        <v/>
      </c>
      <c r="E183" s="36" t="str">
        <f>IFERROR(AVERAGEIFS(Log!$E:$E, Log!$C:$C, $A183, Log!$B:$B, "n/a", Log!$A:$A, "Daily", Log!$D:$D, $C$3), "")</f>
        <v/>
      </c>
      <c r="F183" s="192"/>
      <c r="G183" s="192"/>
      <c r="H183" s="108">
        <f>IF($C183="#N/A", NA(), _xlfn.XLOOKUP($A183, 'Daily WE'!$C:$C, 'Daily WE'!$N:$N))</f>
        <v>0</v>
      </c>
      <c r="I183" s="108">
        <f>IF($D183="#N/A", NA(), _xlfn.XLOOKUP($A183, 'Daily WE'!$C:$C, 'Daily WE'!$Q:$Q))</f>
        <v>0</v>
      </c>
    </row>
    <row r="184" spans="3:9" x14ac:dyDescent="0.3">
      <c r="C184" s="6" t="str">
        <f>IFERROR(AVERAGEIFS(Log!$F:$F, Log!$C:$C, $A184, Log!$B:$B, "n/a", Log!$A:$A, "Daily", Log!$D:$D, $C$3), "")</f>
        <v/>
      </c>
      <c r="D184" s="6" t="str">
        <f>IFERROR(AVERAGEIFS(Log!$G:$G, Log!$C:$C, $A184, Log!$B:$B, "n/a", Log!$A:$A, "Daily", Log!$D:$D, $C$3), "")</f>
        <v/>
      </c>
      <c r="E184" s="36" t="str">
        <f>IFERROR(AVERAGEIFS(Log!$E:$E, Log!$C:$C, $A184, Log!$B:$B, "n/a", Log!$A:$A, "Daily", Log!$D:$D, $C$3), "")</f>
        <v/>
      </c>
      <c r="F184" s="192"/>
      <c r="G184" s="192"/>
      <c r="H184" s="108">
        <f>IF($C184="#N/A", NA(), _xlfn.XLOOKUP($A184, 'Daily WE'!$C:$C, 'Daily WE'!$N:$N))</f>
        <v>0</v>
      </c>
      <c r="I184" s="108">
        <f>IF($D184="#N/A", NA(), _xlfn.XLOOKUP($A184, 'Daily WE'!$C:$C, 'Daily WE'!$Q:$Q))</f>
        <v>0</v>
      </c>
    </row>
    <row r="185" spans="3:9" x14ac:dyDescent="0.3">
      <c r="C185" s="6" t="str">
        <f>IFERROR(AVERAGEIFS(Log!$F:$F, Log!$C:$C, $A185, Log!$B:$B, "n/a", Log!$A:$A, "Daily", Log!$D:$D, $C$3), "")</f>
        <v/>
      </c>
      <c r="D185" s="6" t="str">
        <f>IFERROR(AVERAGEIFS(Log!$G:$G, Log!$C:$C, $A185, Log!$B:$B, "n/a", Log!$A:$A, "Daily", Log!$D:$D, $C$3), "")</f>
        <v/>
      </c>
      <c r="E185" s="36" t="str">
        <f>IFERROR(AVERAGEIFS(Log!$E:$E, Log!$C:$C, $A185, Log!$B:$B, "n/a", Log!$A:$A, "Daily", Log!$D:$D, $C$3), "")</f>
        <v/>
      </c>
      <c r="F185" s="192"/>
      <c r="G185" s="192"/>
      <c r="H185" s="108">
        <f>IF($C185="#N/A", NA(), _xlfn.XLOOKUP($A185, 'Daily WE'!$C:$C, 'Daily WE'!$N:$N))</f>
        <v>0</v>
      </c>
      <c r="I185" s="108">
        <f>IF($D185="#N/A", NA(), _xlfn.XLOOKUP($A185, 'Daily WE'!$C:$C, 'Daily WE'!$Q:$Q))</f>
        <v>0</v>
      </c>
    </row>
    <row r="186" spans="3:9" x14ac:dyDescent="0.3">
      <c r="C186" s="6" t="str">
        <f>IFERROR(AVERAGEIFS(Log!$F:$F, Log!$C:$C, $A186, Log!$B:$B, "n/a", Log!$A:$A, "Daily", Log!$D:$D, $C$3), "")</f>
        <v/>
      </c>
      <c r="D186" s="6" t="str">
        <f>IFERROR(AVERAGEIFS(Log!$G:$G, Log!$C:$C, $A186, Log!$B:$B, "n/a", Log!$A:$A, "Daily", Log!$D:$D, $C$3), "")</f>
        <v/>
      </c>
      <c r="E186" s="36" t="str">
        <f>IFERROR(AVERAGEIFS(Log!$E:$E, Log!$C:$C, $A186, Log!$B:$B, "n/a", Log!$A:$A, "Daily", Log!$D:$D, $C$3), "")</f>
        <v/>
      </c>
      <c r="F186" s="192"/>
      <c r="G186" s="192"/>
      <c r="H186" s="108">
        <f>IF($C186="#N/A", NA(), _xlfn.XLOOKUP($A186, 'Daily WE'!$C:$C, 'Daily WE'!$N:$N))</f>
        <v>0</v>
      </c>
      <c r="I186" s="108">
        <f>IF($D186="#N/A", NA(), _xlfn.XLOOKUP($A186, 'Daily WE'!$C:$C, 'Daily WE'!$Q:$Q))</f>
        <v>0</v>
      </c>
    </row>
    <row r="187" spans="3:9" x14ac:dyDescent="0.3">
      <c r="C187" s="6" t="str">
        <f>IFERROR(AVERAGEIFS(Log!$F:$F, Log!$C:$C, $A187, Log!$B:$B, "n/a", Log!$A:$A, "Daily", Log!$D:$D, $C$3), "")</f>
        <v/>
      </c>
      <c r="D187" s="6" t="str">
        <f>IFERROR(AVERAGEIFS(Log!$G:$G, Log!$C:$C, $A187, Log!$B:$B, "n/a", Log!$A:$A, "Daily", Log!$D:$D, $C$3), "")</f>
        <v/>
      </c>
      <c r="E187" s="36" t="str">
        <f>IFERROR(AVERAGEIFS(Log!$E:$E, Log!$C:$C, $A187, Log!$B:$B, "n/a", Log!$A:$A, "Daily", Log!$D:$D, $C$3), "")</f>
        <v/>
      </c>
      <c r="F187" s="192"/>
      <c r="G187" s="192"/>
      <c r="H187" s="108">
        <f>IF($C187="#N/A", NA(), _xlfn.XLOOKUP($A187, 'Daily WE'!$C:$C, 'Daily WE'!$N:$N))</f>
        <v>0</v>
      </c>
      <c r="I187" s="108">
        <f>IF($D187="#N/A", NA(), _xlfn.XLOOKUP($A187, 'Daily WE'!$C:$C, 'Daily WE'!$Q:$Q))</f>
        <v>0</v>
      </c>
    </row>
    <row r="188" spans="3:9" x14ac:dyDescent="0.3">
      <c r="C188" s="6" t="str">
        <f>IFERROR(AVERAGEIFS(Log!$F:$F, Log!$C:$C, $A188, Log!$B:$B, "n/a", Log!$A:$A, "Daily", Log!$D:$D, $C$3), "")</f>
        <v/>
      </c>
      <c r="D188" s="6" t="str">
        <f>IFERROR(AVERAGEIFS(Log!$G:$G, Log!$C:$C, $A188, Log!$B:$B, "n/a", Log!$A:$A, "Daily", Log!$D:$D, $C$3), "")</f>
        <v/>
      </c>
      <c r="E188" s="36" t="str">
        <f>IFERROR(AVERAGEIFS(Log!$E:$E, Log!$C:$C, $A188, Log!$B:$B, "n/a", Log!$A:$A, "Daily", Log!$D:$D, $C$3), "")</f>
        <v/>
      </c>
      <c r="F188" s="192"/>
      <c r="G188" s="192"/>
      <c r="H188" s="108">
        <f>IF($C188="#N/A", NA(), _xlfn.XLOOKUP($A188, 'Daily WE'!$C:$C, 'Daily WE'!$N:$N))</f>
        <v>0</v>
      </c>
      <c r="I188" s="108">
        <f>IF($D188="#N/A", NA(), _xlfn.XLOOKUP($A188, 'Daily WE'!$C:$C, 'Daily WE'!$Q:$Q))</f>
        <v>0</v>
      </c>
    </row>
    <row r="189" spans="3:9" x14ac:dyDescent="0.3">
      <c r="C189" s="6" t="str">
        <f>IFERROR(AVERAGEIFS(Log!$F:$F, Log!$C:$C, $A189, Log!$B:$B, "n/a", Log!$A:$A, "Daily", Log!$D:$D, $C$3), "")</f>
        <v/>
      </c>
      <c r="D189" s="6" t="str">
        <f>IFERROR(AVERAGEIFS(Log!$G:$G, Log!$C:$C, $A189, Log!$B:$B, "n/a", Log!$A:$A, "Daily", Log!$D:$D, $C$3), "")</f>
        <v/>
      </c>
      <c r="E189" s="36" t="str">
        <f>IFERROR(AVERAGEIFS(Log!$E:$E, Log!$C:$C, $A189, Log!$B:$B, "n/a", Log!$A:$A, "Daily", Log!$D:$D, $C$3), "")</f>
        <v/>
      </c>
      <c r="F189" s="192"/>
      <c r="G189" s="192"/>
      <c r="H189" s="108">
        <f>IF($C189="#N/A", NA(), _xlfn.XLOOKUP($A189, 'Daily WE'!$C:$C, 'Daily WE'!$N:$N))</f>
        <v>0</v>
      </c>
      <c r="I189" s="108">
        <f>IF($D189="#N/A", NA(), _xlfn.XLOOKUP($A189, 'Daily WE'!$C:$C, 'Daily WE'!$Q:$Q))</f>
        <v>0</v>
      </c>
    </row>
    <row r="190" spans="3:9" x14ac:dyDescent="0.3">
      <c r="C190" s="6" t="str">
        <f>IFERROR(AVERAGEIFS(Log!$F:$F, Log!$C:$C, $A190, Log!$B:$B, "n/a", Log!$A:$A, "Daily", Log!$D:$D, $C$3), "")</f>
        <v/>
      </c>
      <c r="D190" s="6" t="str">
        <f>IFERROR(AVERAGEIFS(Log!$G:$G, Log!$C:$C, $A190, Log!$B:$B, "n/a", Log!$A:$A, "Daily", Log!$D:$D, $C$3), "")</f>
        <v/>
      </c>
      <c r="E190" s="36" t="str">
        <f>IFERROR(AVERAGEIFS(Log!$E:$E, Log!$C:$C, $A190, Log!$B:$B, "n/a", Log!$A:$A, "Daily", Log!$D:$D, $C$3), "")</f>
        <v/>
      </c>
      <c r="F190" s="192"/>
      <c r="G190" s="192"/>
      <c r="H190" s="108">
        <f>IF($C190="#N/A", NA(), _xlfn.XLOOKUP($A190, 'Daily WE'!$C:$C, 'Daily WE'!$N:$N))</f>
        <v>0</v>
      </c>
      <c r="I190" s="108">
        <f>IF($D190="#N/A", NA(), _xlfn.XLOOKUP($A190, 'Daily WE'!$C:$C, 'Daily WE'!$Q:$Q))</f>
        <v>0</v>
      </c>
    </row>
    <row r="191" spans="3:9" x14ac:dyDescent="0.3">
      <c r="C191" s="6" t="str">
        <f>IFERROR(AVERAGEIFS(Log!$F:$F, Log!$C:$C, $A191, Log!$B:$B, "n/a", Log!$A:$A, "Daily", Log!$D:$D, $C$3), "")</f>
        <v/>
      </c>
      <c r="D191" s="6" t="str">
        <f>IFERROR(AVERAGEIFS(Log!$G:$G, Log!$C:$C, $A191, Log!$B:$B, "n/a", Log!$A:$A, "Daily", Log!$D:$D, $C$3), "")</f>
        <v/>
      </c>
      <c r="E191" s="36" t="str">
        <f>IFERROR(AVERAGEIFS(Log!$E:$E, Log!$C:$C, $A191, Log!$B:$B, "n/a", Log!$A:$A, "Daily", Log!$D:$D, $C$3), "")</f>
        <v/>
      </c>
      <c r="F191" s="192"/>
      <c r="G191" s="192"/>
      <c r="H191" s="108">
        <f>IF($C191="#N/A", NA(), _xlfn.XLOOKUP($A191, 'Daily WE'!$C:$C, 'Daily WE'!$N:$N))</f>
        <v>0</v>
      </c>
      <c r="I191" s="108">
        <f>IF($D191="#N/A", NA(), _xlfn.XLOOKUP($A191, 'Daily WE'!$C:$C, 'Daily WE'!$Q:$Q))</f>
        <v>0</v>
      </c>
    </row>
    <row r="192" spans="3:9" x14ac:dyDescent="0.3">
      <c r="C192" s="6" t="str">
        <f>IFERROR(AVERAGEIFS(Log!$F:$F, Log!$C:$C, $A192, Log!$B:$B, "n/a", Log!$A:$A, "Daily", Log!$D:$D, $C$3), "")</f>
        <v/>
      </c>
      <c r="D192" s="6" t="str">
        <f>IFERROR(AVERAGEIFS(Log!$G:$G, Log!$C:$C, $A192, Log!$B:$B, "n/a", Log!$A:$A, "Daily", Log!$D:$D, $C$3), "")</f>
        <v/>
      </c>
      <c r="E192" s="36" t="str">
        <f>IFERROR(AVERAGEIFS(Log!$E:$E, Log!$C:$C, $A192, Log!$B:$B, "n/a", Log!$A:$A, "Daily", Log!$D:$D, $C$3), "")</f>
        <v/>
      </c>
      <c r="F192" s="192"/>
      <c r="G192" s="192"/>
      <c r="H192" s="108">
        <f>IF($C192="#N/A", NA(), _xlfn.XLOOKUP($A192, 'Daily WE'!$C:$C, 'Daily WE'!$N:$N))</f>
        <v>0</v>
      </c>
      <c r="I192" s="108">
        <f>IF($D192="#N/A", NA(), _xlfn.XLOOKUP($A192, 'Daily WE'!$C:$C, 'Daily WE'!$Q:$Q))</f>
        <v>0</v>
      </c>
    </row>
    <row r="193" spans="3:9" x14ac:dyDescent="0.3">
      <c r="C193" s="6" t="str">
        <f>IFERROR(AVERAGEIFS(Log!$F:$F, Log!$C:$C, $A193, Log!$B:$B, "n/a", Log!$A:$A, "Daily", Log!$D:$D, $C$3), "")</f>
        <v/>
      </c>
      <c r="D193" s="6" t="str">
        <f>IFERROR(AVERAGEIFS(Log!$G:$G, Log!$C:$C, $A193, Log!$B:$B, "n/a", Log!$A:$A, "Daily", Log!$D:$D, $C$3), "")</f>
        <v/>
      </c>
      <c r="E193" s="36" t="str">
        <f>IFERROR(AVERAGEIFS(Log!$E:$E, Log!$C:$C, $A193, Log!$B:$B, "n/a", Log!$A:$A, "Daily", Log!$D:$D, $C$3), "")</f>
        <v/>
      </c>
      <c r="F193" s="192"/>
      <c r="G193" s="192"/>
      <c r="H193" s="108">
        <f>IF($C193="#N/A", NA(), _xlfn.XLOOKUP($A193, 'Daily WE'!$C:$C, 'Daily WE'!$N:$N))</f>
        <v>0</v>
      </c>
      <c r="I193" s="108">
        <f>IF($D193="#N/A", NA(), _xlfn.XLOOKUP($A193, 'Daily WE'!$C:$C, 'Daily WE'!$Q:$Q))</f>
        <v>0</v>
      </c>
    </row>
    <row r="194" spans="3:9" x14ac:dyDescent="0.3">
      <c r="C194" s="6" t="str">
        <f>IFERROR(AVERAGEIFS(Log!$F:$F, Log!$C:$C, $A194, Log!$B:$B, "n/a", Log!$A:$A, "Daily", Log!$D:$D, $C$3), "")</f>
        <v/>
      </c>
      <c r="D194" s="6" t="str">
        <f>IFERROR(AVERAGEIFS(Log!$G:$G, Log!$C:$C, $A194, Log!$B:$B, "n/a", Log!$A:$A, "Daily", Log!$D:$D, $C$3), "")</f>
        <v/>
      </c>
      <c r="E194" s="36" t="str">
        <f>IFERROR(AVERAGEIFS(Log!$E:$E, Log!$C:$C, $A194, Log!$B:$B, "n/a", Log!$A:$A, "Daily", Log!$D:$D, $C$3), "")</f>
        <v/>
      </c>
      <c r="F194" s="192"/>
      <c r="G194" s="192"/>
      <c r="H194" s="108">
        <f>IF($C194="#N/A", NA(), _xlfn.XLOOKUP($A194, 'Daily WE'!$C:$C, 'Daily WE'!$N:$N))</f>
        <v>0</v>
      </c>
      <c r="I194" s="108">
        <f>IF($D194="#N/A", NA(), _xlfn.XLOOKUP($A194, 'Daily WE'!$C:$C, 'Daily WE'!$Q:$Q))</f>
        <v>0</v>
      </c>
    </row>
    <row r="195" spans="3:9" x14ac:dyDescent="0.3">
      <c r="C195" s="6" t="str">
        <f>IFERROR(AVERAGEIFS(Log!$F:$F, Log!$C:$C, $A195, Log!$B:$B, "n/a", Log!$A:$A, "Daily", Log!$D:$D, $C$3), "")</f>
        <v/>
      </c>
      <c r="D195" s="6" t="str">
        <f>IFERROR(AVERAGEIFS(Log!$G:$G, Log!$C:$C, $A195, Log!$B:$B, "n/a", Log!$A:$A, "Daily", Log!$D:$D, $C$3), "")</f>
        <v/>
      </c>
      <c r="E195" s="36" t="str">
        <f>IFERROR(AVERAGEIFS(Log!$E:$E, Log!$C:$C, $A195, Log!$B:$B, "n/a", Log!$A:$A, "Daily", Log!$D:$D, $C$3), "")</f>
        <v/>
      </c>
      <c r="F195" s="192"/>
      <c r="G195" s="192"/>
      <c r="H195" s="108">
        <f>IF($C195="#N/A", NA(), _xlfn.XLOOKUP($A195, 'Daily WE'!$C:$C, 'Daily WE'!$N:$N))</f>
        <v>0</v>
      </c>
      <c r="I195" s="108">
        <f>IF($D195="#N/A", NA(), _xlfn.XLOOKUP($A195, 'Daily WE'!$C:$C, 'Daily WE'!$Q:$Q))</f>
        <v>0</v>
      </c>
    </row>
    <row r="196" spans="3:9" x14ac:dyDescent="0.3">
      <c r="C196" s="6" t="str">
        <f>IFERROR(AVERAGEIFS(Log!$F:$F, Log!$C:$C, $A196, Log!$B:$B, "n/a", Log!$A:$A, "Daily", Log!$D:$D, $C$3), "")</f>
        <v/>
      </c>
      <c r="D196" s="6" t="str">
        <f>IFERROR(AVERAGEIFS(Log!$G:$G, Log!$C:$C, $A196, Log!$B:$B, "n/a", Log!$A:$A, "Daily", Log!$D:$D, $C$3), "")</f>
        <v/>
      </c>
      <c r="E196" s="36" t="str">
        <f>IFERROR(AVERAGEIFS(Log!$E:$E, Log!$C:$C, $A196, Log!$B:$B, "n/a", Log!$A:$A, "Daily", Log!$D:$D, $C$3), "")</f>
        <v/>
      </c>
      <c r="F196" s="192"/>
      <c r="G196" s="192"/>
      <c r="H196" s="108">
        <f>IF($C196="#N/A", NA(), _xlfn.XLOOKUP($A196, 'Daily WE'!$C:$C, 'Daily WE'!$N:$N))</f>
        <v>0</v>
      </c>
      <c r="I196" s="108">
        <f>IF($D196="#N/A", NA(), _xlfn.XLOOKUP($A196, 'Daily WE'!$C:$C, 'Daily WE'!$Q:$Q))</f>
        <v>0</v>
      </c>
    </row>
    <row r="197" spans="3:9" x14ac:dyDescent="0.3">
      <c r="C197" s="6" t="str">
        <f>IFERROR(AVERAGEIFS(Log!$F:$F, Log!$C:$C, $A197, Log!$B:$B, "n/a", Log!$A:$A, "Daily", Log!$D:$D, $C$3), "")</f>
        <v/>
      </c>
      <c r="D197" s="6" t="str">
        <f>IFERROR(AVERAGEIFS(Log!$G:$G, Log!$C:$C, $A197, Log!$B:$B, "n/a", Log!$A:$A, "Daily", Log!$D:$D, $C$3), "")</f>
        <v/>
      </c>
      <c r="E197" s="36" t="str">
        <f>IFERROR(AVERAGEIFS(Log!$E:$E, Log!$C:$C, $A197, Log!$B:$B, "n/a", Log!$A:$A, "Daily", Log!$D:$D, $C$3), "")</f>
        <v/>
      </c>
      <c r="F197" s="192"/>
      <c r="G197" s="192"/>
      <c r="H197" s="108">
        <f>IF($C197="#N/A", NA(), _xlfn.XLOOKUP($A197, 'Daily WE'!$C:$C, 'Daily WE'!$N:$N))</f>
        <v>0</v>
      </c>
      <c r="I197" s="108">
        <f>IF($D197="#N/A", NA(), _xlfn.XLOOKUP($A197, 'Daily WE'!$C:$C, 'Daily WE'!$Q:$Q))</f>
        <v>0</v>
      </c>
    </row>
    <row r="198" spans="3:9" x14ac:dyDescent="0.3">
      <c r="C198" s="6" t="str">
        <f>IFERROR(AVERAGEIFS(Log!$F:$F, Log!$C:$C, $A198, Log!$B:$B, "n/a", Log!$A:$A, "Daily", Log!$D:$D, $C$3), "")</f>
        <v/>
      </c>
      <c r="D198" s="6" t="str">
        <f>IFERROR(AVERAGEIFS(Log!$G:$G, Log!$C:$C, $A198, Log!$B:$B, "n/a", Log!$A:$A, "Daily", Log!$D:$D, $C$3), "")</f>
        <v/>
      </c>
      <c r="E198" s="36" t="str">
        <f>IFERROR(AVERAGEIFS(Log!$E:$E, Log!$C:$C, $A198, Log!$B:$B, "n/a", Log!$A:$A, "Daily", Log!$D:$D, $C$3), "")</f>
        <v/>
      </c>
      <c r="F198" s="192"/>
      <c r="G198" s="192"/>
      <c r="H198" s="108">
        <f>IF($C198="#N/A", NA(), _xlfn.XLOOKUP($A198, 'Daily WE'!$C:$C, 'Daily WE'!$N:$N))</f>
        <v>0</v>
      </c>
      <c r="I198" s="108">
        <f>IF($D198="#N/A", NA(), _xlfn.XLOOKUP($A198, 'Daily WE'!$C:$C, 'Daily WE'!$Q:$Q))</f>
        <v>0</v>
      </c>
    </row>
    <row r="199" spans="3:9" x14ac:dyDescent="0.3">
      <c r="C199" s="6" t="str">
        <f>IFERROR(AVERAGEIFS(Log!$F:$F, Log!$C:$C, $A199, Log!$B:$B, "n/a", Log!$A:$A, "Daily", Log!$D:$D, $C$3), "")</f>
        <v/>
      </c>
      <c r="D199" s="6" t="str">
        <f>IFERROR(AVERAGEIFS(Log!$G:$G, Log!$C:$C, $A199, Log!$B:$B, "n/a", Log!$A:$A, "Daily", Log!$D:$D, $C$3), "")</f>
        <v/>
      </c>
      <c r="E199" s="36" t="str">
        <f>IFERROR(AVERAGEIFS(Log!$E:$E, Log!$C:$C, $A199, Log!$B:$B, "n/a", Log!$A:$A, "Daily", Log!$D:$D, $C$3), "")</f>
        <v/>
      </c>
      <c r="F199" s="192"/>
      <c r="G199" s="192"/>
      <c r="H199" s="108">
        <f>IF($C199="#N/A", NA(), _xlfn.XLOOKUP($A199, 'Daily WE'!$C:$C, 'Daily WE'!$N:$N))</f>
        <v>0</v>
      </c>
      <c r="I199" s="108">
        <f>IF($D199="#N/A", NA(), _xlfn.XLOOKUP($A199, 'Daily WE'!$C:$C, 'Daily WE'!$Q:$Q))</f>
        <v>0</v>
      </c>
    </row>
    <row r="200" spans="3:9" x14ac:dyDescent="0.3">
      <c r="C200" s="6" t="str">
        <f>IFERROR(AVERAGEIFS(Log!$F:$F, Log!$C:$C, $A200, Log!$B:$B, "n/a", Log!$A:$A, "Daily", Log!$D:$D, $C$3), "")</f>
        <v/>
      </c>
      <c r="D200" s="6" t="str">
        <f>IFERROR(AVERAGEIFS(Log!$G:$G, Log!$C:$C, $A200, Log!$B:$B, "n/a", Log!$A:$A, "Daily", Log!$D:$D, $C$3), "")</f>
        <v/>
      </c>
      <c r="E200" s="36" t="str">
        <f>IFERROR(AVERAGEIFS(Log!$E:$E, Log!$C:$C, $A200, Log!$B:$B, "n/a", Log!$A:$A, "Daily", Log!$D:$D, $C$3), "")</f>
        <v/>
      </c>
      <c r="F200" s="192"/>
      <c r="G200" s="192"/>
      <c r="H200" s="108">
        <f>IF($C200="#N/A", NA(), _xlfn.XLOOKUP($A200, 'Daily WE'!$C:$C, 'Daily WE'!$N:$N))</f>
        <v>0</v>
      </c>
      <c r="I200" s="108">
        <f>IF($D200="#N/A", NA(), _xlfn.XLOOKUP($A200, 'Daily WE'!$C:$C, 'Daily WE'!$Q:$Q))</f>
        <v>0</v>
      </c>
    </row>
    <row r="201" spans="3:9" x14ac:dyDescent="0.3">
      <c r="C201" s="6" t="str">
        <f>IFERROR(AVERAGEIFS(Log!$F:$F, Log!$C:$C, $A201, Log!$B:$B, "n/a", Log!$A:$A, "Daily", Log!$D:$D, $C$3), "")</f>
        <v/>
      </c>
      <c r="D201" s="6" t="str">
        <f>IFERROR(AVERAGEIFS(Log!$G:$G, Log!$C:$C, $A201, Log!$B:$B, "n/a", Log!$A:$A, "Daily", Log!$D:$D, $C$3), "")</f>
        <v/>
      </c>
      <c r="E201" s="36" t="str">
        <f>IFERROR(AVERAGEIFS(Log!$E:$E, Log!$C:$C, $A201, Log!$B:$B, "n/a", Log!$A:$A, "Daily", Log!$D:$D, $C$3), "")</f>
        <v/>
      </c>
      <c r="F201" s="192"/>
      <c r="G201" s="192"/>
      <c r="H201" s="108">
        <f>IF($C201="#N/A", NA(), _xlfn.XLOOKUP($A201, 'Daily WE'!$C:$C, 'Daily WE'!$N:$N))</f>
        <v>0</v>
      </c>
      <c r="I201" s="108">
        <f>IF($D201="#N/A", NA(), _xlfn.XLOOKUP($A201, 'Daily WE'!$C:$C, 'Daily WE'!$Q:$Q))</f>
        <v>0</v>
      </c>
    </row>
    <row r="202" spans="3:9" x14ac:dyDescent="0.3">
      <c r="C202" s="6" t="str">
        <f>IFERROR(AVERAGEIFS(Log!$F:$F, Log!$C:$C, $A202, Log!$B:$B, "n/a", Log!$A:$A, "Daily", Log!$D:$D, $C$3), "")</f>
        <v/>
      </c>
      <c r="D202" s="6" t="str">
        <f>IFERROR(AVERAGEIFS(Log!$G:$G, Log!$C:$C, $A202, Log!$B:$B, "n/a", Log!$A:$A, "Daily", Log!$D:$D, $C$3), "")</f>
        <v/>
      </c>
      <c r="E202" s="36" t="str">
        <f>IFERROR(AVERAGEIFS(Log!$E:$E, Log!$C:$C, $A202, Log!$B:$B, "n/a", Log!$A:$A, "Daily", Log!$D:$D, $C$3), "")</f>
        <v/>
      </c>
      <c r="F202" s="192"/>
      <c r="G202" s="192"/>
      <c r="H202" s="108">
        <f>IF($C202="#N/A", NA(), _xlfn.XLOOKUP($A202, 'Daily WE'!$C:$C, 'Daily WE'!$N:$N))</f>
        <v>0</v>
      </c>
      <c r="I202" s="108">
        <f>IF($D202="#N/A", NA(), _xlfn.XLOOKUP($A202, 'Daily WE'!$C:$C, 'Daily WE'!$Q:$Q))</f>
        <v>0</v>
      </c>
    </row>
    <row r="203" spans="3:9" x14ac:dyDescent="0.3">
      <c r="C203" s="6" t="str">
        <f>IFERROR(AVERAGEIFS(Log!$F:$F, Log!$C:$C, $A203, Log!$B:$B, "n/a", Log!$A:$A, "Daily", Log!$D:$D, $C$3), "")</f>
        <v/>
      </c>
      <c r="D203" s="6" t="str">
        <f>IFERROR(AVERAGEIFS(Log!$G:$G, Log!$C:$C, $A203, Log!$B:$B, "n/a", Log!$A:$A, "Daily", Log!$D:$D, $C$3), "")</f>
        <v/>
      </c>
      <c r="E203" s="36" t="str">
        <f>IFERROR(AVERAGEIFS(Log!$E:$E, Log!$C:$C, $A203, Log!$B:$B, "n/a", Log!$A:$A, "Daily", Log!$D:$D, $C$3), "")</f>
        <v/>
      </c>
      <c r="F203" s="192"/>
      <c r="G203" s="192"/>
      <c r="H203" s="108">
        <f>IF($C203="#N/A", NA(), _xlfn.XLOOKUP($A203, 'Daily WE'!$C:$C, 'Daily WE'!$N:$N))</f>
        <v>0</v>
      </c>
      <c r="I203" s="108">
        <f>IF($D203="#N/A", NA(), _xlfn.XLOOKUP($A203, 'Daily WE'!$C:$C, 'Daily WE'!$Q:$Q))</f>
        <v>0</v>
      </c>
    </row>
    <row r="204" spans="3:9" x14ac:dyDescent="0.3">
      <c r="C204" s="6" t="str">
        <f>IFERROR(AVERAGEIFS(Log!$F:$F, Log!$C:$C, $A204, Log!$B:$B, "n/a", Log!$A:$A, "Daily", Log!$D:$D, $C$3), "")</f>
        <v/>
      </c>
      <c r="D204" s="6" t="str">
        <f>IFERROR(AVERAGEIFS(Log!$G:$G, Log!$C:$C, $A204, Log!$B:$B, "n/a", Log!$A:$A, "Daily", Log!$D:$D, $C$3), "")</f>
        <v/>
      </c>
      <c r="E204" s="36" t="str">
        <f>IFERROR(AVERAGEIFS(Log!$E:$E, Log!$C:$C, $A204, Log!$B:$B, "n/a", Log!$A:$A, "Daily", Log!$D:$D, $C$3), "")</f>
        <v/>
      </c>
      <c r="F204" s="192"/>
      <c r="G204" s="192"/>
      <c r="H204" s="108">
        <f>IF($C204="#N/A", NA(), _xlfn.XLOOKUP($A204, 'Daily WE'!$C:$C, 'Daily WE'!$N:$N))</f>
        <v>0</v>
      </c>
      <c r="I204" s="108">
        <f>IF($D204="#N/A", NA(), _xlfn.XLOOKUP($A204, 'Daily WE'!$C:$C, 'Daily WE'!$Q:$Q))</f>
        <v>0</v>
      </c>
    </row>
    <row r="205" spans="3:9" x14ac:dyDescent="0.3">
      <c r="C205" s="6" t="str">
        <f>IFERROR(AVERAGEIFS(Log!$F:$F, Log!$C:$C, $A205, Log!$B:$B, "n/a", Log!$A:$A, "Daily", Log!$D:$D, $C$3), "")</f>
        <v/>
      </c>
      <c r="D205" s="6" t="str">
        <f>IFERROR(AVERAGEIFS(Log!$G:$G, Log!$C:$C, $A205, Log!$B:$B, "n/a", Log!$A:$A, "Daily", Log!$D:$D, $C$3), "")</f>
        <v/>
      </c>
      <c r="E205" s="36" t="str">
        <f>IFERROR(AVERAGEIFS(Log!$E:$E, Log!$C:$C, $A205, Log!$B:$B, "n/a", Log!$A:$A, "Daily", Log!$D:$D, $C$3), "")</f>
        <v/>
      </c>
      <c r="F205" s="192"/>
      <c r="G205" s="192"/>
      <c r="H205" s="108">
        <f>IF($C205="#N/A", NA(), _xlfn.XLOOKUP($A205, 'Daily WE'!$C:$C, 'Daily WE'!$N:$N))</f>
        <v>0</v>
      </c>
      <c r="I205" s="108">
        <f>IF($D205="#N/A", NA(), _xlfn.XLOOKUP($A205, 'Daily WE'!$C:$C, 'Daily WE'!$Q:$Q))</f>
        <v>0</v>
      </c>
    </row>
    <row r="206" spans="3:9" x14ac:dyDescent="0.3">
      <c r="C206" s="6" t="str">
        <f>IFERROR(AVERAGEIFS(Log!$F:$F, Log!$C:$C, $A206, Log!$B:$B, "n/a", Log!$A:$A, "Daily", Log!$D:$D, $C$3), "")</f>
        <v/>
      </c>
      <c r="D206" s="6" t="str">
        <f>IFERROR(AVERAGEIFS(Log!$G:$G, Log!$C:$C, $A206, Log!$B:$B, "n/a", Log!$A:$A, "Daily", Log!$D:$D, $C$3), "")</f>
        <v/>
      </c>
      <c r="E206" s="36" t="str">
        <f>IFERROR(AVERAGEIFS(Log!$E:$E, Log!$C:$C, $A206, Log!$B:$B, "n/a", Log!$A:$A, "Daily", Log!$D:$D, $C$3), "")</f>
        <v/>
      </c>
      <c r="F206" s="192"/>
      <c r="G206" s="192"/>
      <c r="H206" s="108">
        <f>IF($C206="#N/A", NA(), _xlfn.XLOOKUP($A206, 'Daily WE'!$C:$C, 'Daily WE'!$N:$N))</f>
        <v>0</v>
      </c>
      <c r="I206" s="108">
        <f>IF($D206="#N/A", NA(), _xlfn.XLOOKUP($A206, 'Daily WE'!$C:$C, 'Daily WE'!$Q:$Q))</f>
        <v>0</v>
      </c>
    </row>
    <row r="207" spans="3:9" x14ac:dyDescent="0.3">
      <c r="C207" s="6" t="str">
        <f>IFERROR(AVERAGEIFS(Log!$F:$F, Log!$C:$C, $A207, Log!$B:$B, "n/a", Log!$A:$A, "Daily", Log!$D:$D, $C$3), "")</f>
        <v/>
      </c>
      <c r="D207" s="6" t="str">
        <f>IFERROR(AVERAGEIFS(Log!$G:$G, Log!$C:$C, $A207, Log!$B:$B, "n/a", Log!$A:$A, "Daily", Log!$D:$D, $C$3), "")</f>
        <v/>
      </c>
      <c r="E207" s="36" t="str">
        <f>IFERROR(AVERAGEIFS(Log!$E:$E, Log!$C:$C, $A207, Log!$B:$B, "n/a", Log!$A:$A, "Daily", Log!$D:$D, $C$3), "")</f>
        <v/>
      </c>
      <c r="F207" s="192"/>
      <c r="G207" s="192"/>
      <c r="H207" s="108">
        <f>IF($C207="#N/A", NA(), _xlfn.XLOOKUP($A207, 'Daily WE'!$C:$C, 'Daily WE'!$N:$N))</f>
        <v>0</v>
      </c>
      <c r="I207" s="108">
        <f>IF($D207="#N/A", NA(), _xlfn.XLOOKUP($A207, 'Daily WE'!$C:$C, 'Daily WE'!$Q:$Q))</f>
        <v>0</v>
      </c>
    </row>
    <row r="208" spans="3:9" x14ac:dyDescent="0.3">
      <c r="C208" s="6" t="str">
        <f>IFERROR(AVERAGEIFS(Log!$F:$F, Log!$C:$C, $A208, Log!$B:$B, "n/a", Log!$A:$A, "Daily", Log!$D:$D, $C$3), "")</f>
        <v/>
      </c>
      <c r="D208" s="6" t="str">
        <f>IFERROR(AVERAGEIFS(Log!$G:$G, Log!$C:$C, $A208, Log!$B:$B, "n/a", Log!$A:$A, "Daily", Log!$D:$D, $C$3), "")</f>
        <v/>
      </c>
      <c r="E208" s="36" t="str">
        <f>IFERROR(AVERAGEIFS(Log!$E:$E, Log!$C:$C, $A208, Log!$B:$B, "n/a", Log!$A:$A, "Daily", Log!$D:$D, $C$3), "")</f>
        <v/>
      </c>
      <c r="F208" s="192"/>
      <c r="G208" s="192"/>
      <c r="H208" s="108">
        <f>IF($C208="#N/A", NA(), _xlfn.XLOOKUP($A208, 'Daily WE'!$C:$C, 'Daily WE'!$N:$N))</f>
        <v>0</v>
      </c>
      <c r="I208" s="108">
        <f>IF($D208="#N/A", NA(), _xlfn.XLOOKUP($A208, 'Daily WE'!$C:$C, 'Daily WE'!$Q:$Q))</f>
        <v>0</v>
      </c>
    </row>
    <row r="209" spans="3:9" x14ac:dyDescent="0.3">
      <c r="C209" s="6" t="str">
        <f>IFERROR(AVERAGEIFS(Log!$F:$F, Log!$C:$C, $A209, Log!$B:$B, "n/a", Log!$A:$A, "Daily", Log!$D:$D, $C$3), "")</f>
        <v/>
      </c>
      <c r="D209" s="6" t="str">
        <f>IFERROR(AVERAGEIFS(Log!$G:$G, Log!$C:$C, $A209, Log!$B:$B, "n/a", Log!$A:$A, "Daily", Log!$D:$D, $C$3), "")</f>
        <v/>
      </c>
      <c r="E209" s="36" t="str">
        <f>IFERROR(AVERAGEIFS(Log!$E:$E, Log!$C:$C, $A209, Log!$B:$B, "n/a", Log!$A:$A, "Daily", Log!$D:$D, $C$3), "")</f>
        <v/>
      </c>
      <c r="F209" s="192"/>
      <c r="G209" s="192"/>
      <c r="H209" s="108">
        <f>IF($C209="#N/A", NA(), _xlfn.XLOOKUP($A209, 'Daily WE'!$C:$C, 'Daily WE'!$N:$N))</f>
        <v>0</v>
      </c>
      <c r="I209" s="108">
        <f>IF($D209="#N/A", NA(), _xlfn.XLOOKUP($A209, 'Daily WE'!$C:$C, 'Daily WE'!$Q:$Q))</f>
        <v>0</v>
      </c>
    </row>
    <row r="210" spans="3:9" x14ac:dyDescent="0.3">
      <c r="C210" s="6" t="str">
        <f>IFERROR(AVERAGEIFS(Log!$F:$F, Log!$C:$C, $A210, Log!$B:$B, "n/a", Log!$A:$A, "Daily", Log!$D:$D, $C$3), "")</f>
        <v/>
      </c>
      <c r="D210" s="6" t="str">
        <f>IFERROR(AVERAGEIFS(Log!$G:$G, Log!$C:$C, $A210, Log!$B:$B, "n/a", Log!$A:$A, "Daily", Log!$D:$D, $C$3), "")</f>
        <v/>
      </c>
      <c r="E210" s="36" t="str">
        <f>IFERROR(AVERAGEIFS(Log!$E:$E, Log!$C:$C, $A210, Log!$B:$B, "n/a", Log!$A:$A, "Daily", Log!$D:$D, $C$3), "")</f>
        <v/>
      </c>
      <c r="F210" s="192"/>
      <c r="G210" s="192"/>
      <c r="H210" s="108">
        <f>IF($C210="#N/A", NA(), _xlfn.XLOOKUP($A210, 'Daily WE'!$C:$C, 'Daily WE'!$N:$N))</f>
        <v>0</v>
      </c>
      <c r="I210" s="108">
        <f>IF($D210="#N/A", NA(), _xlfn.XLOOKUP($A210, 'Daily WE'!$C:$C, 'Daily WE'!$Q:$Q))</f>
        <v>0</v>
      </c>
    </row>
    <row r="211" spans="3:9" x14ac:dyDescent="0.3">
      <c r="C211" s="6" t="str">
        <f>IFERROR(AVERAGEIFS(Log!$F:$F, Log!$C:$C, $A211, Log!$B:$B, "n/a", Log!$A:$A, "Daily", Log!$D:$D, $C$3), "")</f>
        <v/>
      </c>
      <c r="D211" s="6" t="str">
        <f>IFERROR(AVERAGEIFS(Log!$G:$G, Log!$C:$C, $A211, Log!$B:$B, "n/a", Log!$A:$A, "Daily", Log!$D:$D, $C$3), "")</f>
        <v/>
      </c>
      <c r="E211" s="36" t="str">
        <f>IFERROR(AVERAGEIFS(Log!$E:$E, Log!$C:$C, $A211, Log!$B:$B, "n/a", Log!$A:$A, "Daily", Log!$D:$D, $C$3), "")</f>
        <v/>
      </c>
      <c r="F211" s="192"/>
      <c r="G211" s="192"/>
      <c r="H211" s="108">
        <f>_xlfn.XLOOKUP($A211, 'Daily WE'!$C:$C, 'Daily WE'!$N:$N)</f>
        <v>0</v>
      </c>
      <c r="I211" s="108">
        <f>_xlfn.XLOOKUP($A211, 'Daily WE'!$C:$C, 'Daily WE'!$Q:$Q)</f>
        <v>0</v>
      </c>
    </row>
    <row r="212" spans="3:9" x14ac:dyDescent="0.3">
      <c r="C212" s="6" t="str">
        <f>IFERROR(AVERAGEIFS(Log!$F:$F, Log!$C:$C, $A212, Log!$B:$B, "n/a", Log!$A:$A, "Daily", Log!$D:$D, $C$3), "")</f>
        <v/>
      </c>
      <c r="D212" s="6" t="str">
        <f>IFERROR(AVERAGEIFS(Log!$G:$G, Log!$C:$C, $A212, Log!$B:$B, "n/a", Log!$A:$A, "Daily", Log!$D:$D, $C$3), "")</f>
        <v/>
      </c>
      <c r="E212" s="36" t="str">
        <f>IFERROR(AVERAGEIFS(Log!$E:$E, Log!$C:$C, $A212, Log!$B:$B, "n/a", Log!$A:$A, "Daily", Log!$D:$D, $C$3), "")</f>
        <v/>
      </c>
      <c r="F212" s="192"/>
      <c r="G212" s="192"/>
      <c r="H212" s="108">
        <f>_xlfn.XLOOKUP($A212, 'Daily WE'!$C:$C, 'Daily WE'!$N:$N)</f>
        <v>0</v>
      </c>
      <c r="I212" s="108">
        <f>_xlfn.XLOOKUP($A212, 'Daily WE'!$C:$C, 'Daily WE'!$Q:$Q)</f>
        <v>0</v>
      </c>
    </row>
    <row r="213" spans="3:9" x14ac:dyDescent="0.3">
      <c r="C213" s="6" t="str">
        <f>IFERROR(AVERAGEIFS(Log!$F:$F, Log!$C:$C, $A213, Log!$B:$B, "n/a", Log!$A:$A, "Daily", Log!$D:$D, $C$3), "")</f>
        <v/>
      </c>
      <c r="D213" s="6" t="str">
        <f>IFERROR(AVERAGEIFS(Log!$G:$G, Log!$C:$C, $A213, Log!$B:$B, "n/a", Log!$A:$A, "Daily", Log!$D:$D, $C$3), "")</f>
        <v/>
      </c>
      <c r="E213" s="36" t="str">
        <f>IFERROR(AVERAGEIFS(Log!$E:$E, Log!$C:$C, $A213, Log!$B:$B, "n/a", Log!$A:$A, "Daily", Log!$D:$D, $C$3), "")</f>
        <v/>
      </c>
      <c r="F213" s="192"/>
      <c r="G213" s="192"/>
      <c r="H213" s="108">
        <f>_xlfn.XLOOKUP($A213, 'Daily WE'!$C:$C, 'Daily WE'!$N:$N)</f>
        <v>0</v>
      </c>
      <c r="I213" s="108">
        <f>_xlfn.XLOOKUP($A213, 'Daily WE'!$C:$C, 'Daily WE'!$Q:$Q)</f>
        <v>0</v>
      </c>
    </row>
    <row r="214" spans="3:9" x14ac:dyDescent="0.3">
      <c r="C214" s="6" t="str">
        <f>IFERROR(AVERAGEIFS(Log!$F:$F, Log!$C:$C, $A214, Log!$B:$B, "n/a", Log!$A:$A, "Daily", Log!$D:$D, $C$3), "")</f>
        <v/>
      </c>
      <c r="D214" s="6" t="str">
        <f>IFERROR(AVERAGEIFS(Log!$G:$G, Log!$C:$C, $A214, Log!$B:$B, "n/a", Log!$A:$A, "Daily", Log!$D:$D, $C$3), "")</f>
        <v/>
      </c>
      <c r="E214" s="36" t="str">
        <f>IFERROR(AVERAGEIFS(Log!$E:$E, Log!$C:$C, $A214, Log!$B:$B, "n/a", Log!$A:$A, "Daily", Log!$D:$D, $C$3), "")</f>
        <v/>
      </c>
      <c r="F214" s="192"/>
      <c r="G214" s="192"/>
      <c r="H214" s="108">
        <f>_xlfn.XLOOKUP($A214, 'Daily WE'!$C:$C, 'Daily WE'!$N:$N)</f>
        <v>0</v>
      </c>
      <c r="I214" s="108">
        <f>_xlfn.XLOOKUP($A214, 'Daily WE'!$C:$C, 'Daily WE'!$Q:$Q)</f>
        <v>0</v>
      </c>
    </row>
    <row r="215" spans="3:9" x14ac:dyDescent="0.3">
      <c r="C215" s="6" t="str">
        <f>IFERROR(AVERAGEIFS(Log!$F:$F, Log!$C:$C, $A215, Log!$B:$B, "n/a", Log!$A:$A, "Daily", Log!$D:$D, $C$3), "")</f>
        <v/>
      </c>
      <c r="D215" s="6" t="str">
        <f>IFERROR(AVERAGEIFS(Log!$G:$G, Log!$C:$C, $A215, Log!$B:$B, "n/a", Log!$A:$A, "Daily", Log!$D:$D, $C$3), "")</f>
        <v/>
      </c>
      <c r="E215" s="36" t="str">
        <f>IFERROR(AVERAGEIFS(Log!$E:$E, Log!$C:$C, $A215, Log!$B:$B, "n/a", Log!$A:$A, "Daily", Log!$D:$D, $C$3), "")</f>
        <v/>
      </c>
      <c r="F215" s="192"/>
      <c r="G215" s="192"/>
      <c r="H215" s="108">
        <f>_xlfn.XLOOKUP($A215, 'Daily WE'!$C:$C, 'Daily WE'!$N:$N)</f>
        <v>0</v>
      </c>
      <c r="I215" s="108">
        <f>_xlfn.XLOOKUP($A215, 'Daily WE'!$C:$C, 'Daily WE'!$Q:$Q)</f>
        <v>0</v>
      </c>
    </row>
    <row r="216" spans="3:9" x14ac:dyDescent="0.3">
      <c r="C216" s="6" t="str">
        <f>IFERROR(AVERAGEIFS(Log!$F:$F, Log!$C:$C, $A216, Log!$B:$B, "n/a", Log!$A:$A, "Daily", Log!$D:$D, $C$3), "")</f>
        <v/>
      </c>
      <c r="D216" s="6" t="str">
        <f>IFERROR(AVERAGEIFS(Log!$G:$G, Log!$C:$C, $A216, Log!$B:$B, "n/a", Log!$A:$A, "Daily", Log!$D:$D, $C$3), "")</f>
        <v/>
      </c>
      <c r="E216" s="36" t="str">
        <f>IFERROR(AVERAGEIFS(Log!$E:$E, Log!$C:$C, $A216, Log!$B:$B, "n/a", Log!$A:$A, "Daily", Log!$D:$D, $C$3), "")</f>
        <v/>
      </c>
      <c r="F216" s="192"/>
      <c r="G216" s="192"/>
      <c r="H216" s="108">
        <f>_xlfn.XLOOKUP($A216, 'Daily WE'!$C:$C, 'Daily WE'!$N:$N)</f>
        <v>0</v>
      </c>
      <c r="I216" s="108">
        <f>_xlfn.XLOOKUP($A216, 'Daily WE'!$C:$C, 'Daily WE'!$Q:$Q)</f>
        <v>0</v>
      </c>
    </row>
    <row r="217" spans="3:9" x14ac:dyDescent="0.3">
      <c r="C217" s="6" t="str">
        <f>IFERROR(AVERAGEIFS(Log!$F:$F, Log!$C:$C, $A217, Log!$B:$B, "n/a", Log!$A:$A, "Daily", Log!$D:$D, $C$3), "")</f>
        <v/>
      </c>
      <c r="D217" s="6" t="str">
        <f>IFERROR(AVERAGEIFS(Log!$G:$G, Log!$C:$C, $A217, Log!$B:$B, "n/a", Log!$A:$A, "Daily", Log!$D:$D, $C$3), "")</f>
        <v/>
      </c>
      <c r="E217" s="36" t="str">
        <f>IFERROR(AVERAGEIFS(Log!$E:$E, Log!$C:$C, $A217, Log!$B:$B, "n/a", Log!$A:$A, "Daily", Log!$D:$D, $C$3), "")</f>
        <v/>
      </c>
      <c r="F217" s="192"/>
      <c r="G217" s="192"/>
      <c r="H217" s="108">
        <f>_xlfn.XLOOKUP($A217, 'Daily WE'!$C:$C, 'Daily WE'!$N:$N)</f>
        <v>0</v>
      </c>
      <c r="I217" s="108">
        <f>_xlfn.XLOOKUP($A217, 'Daily WE'!$C:$C, 'Daily WE'!$Q:$Q)</f>
        <v>0</v>
      </c>
    </row>
    <row r="218" spans="3:9" x14ac:dyDescent="0.3">
      <c r="C218" s="6" t="str">
        <f>IFERROR(AVERAGEIFS(Log!$F:$F, Log!$C:$C, $A218, Log!$B:$B, "n/a", Log!$A:$A, "Daily", Log!$D:$D, $C$3), "")</f>
        <v/>
      </c>
      <c r="D218" s="6" t="str">
        <f>IFERROR(AVERAGEIFS(Log!$G:$G, Log!$C:$C, $A218, Log!$B:$B, "n/a", Log!$A:$A, "Daily", Log!$D:$D, $C$3), "")</f>
        <v/>
      </c>
      <c r="E218" s="36" t="str">
        <f>IFERROR(AVERAGEIFS(Log!$E:$E, Log!$C:$C, $A218, Log!$B:$B, "n/a", Log!$A:$A, "Daily", Log!$D:$D, $C$3), "")</f>
        <v/>
      </c>
      <c r="F218" s="192"/>
      <c r="G218" s="192"/>
      <c r="H218" s="108">
        <f>_xlfn.XLOOKUP($A218, 'Daily WE'!$C:$C, 'Daily WE'!$N:$N)</f>
        <v>0</v>
      </c>
      <c r="I218" s="108">
        <f>_xlfn.XLOOKUP($A218, 'Daily WE'!$C:$C, 'Daily WE'!$Q:$Q)</f>
        <v>0</v>
      </c>
    </row>
    <row r="219" spans="3:9" x14ac:dyDescent="0.3">
      <c r="C219" s="6" t="str">
        <f>IFERROR(AVERAGEIFS(Log!$F:$F, Log!$C:$C, $A219, Log!$B:$B, "n/a", Log!$A:$A, "Daily", Log!$D:$D, $C$3), "")</f>
        <v/>
      </c>
      <c r="D219" s="6" t="str">
        <f>IFERROR(AVERAGEIFS(Log!$G:$G, Log!$C:$C, $A219, Log!$B:$B, "n/a", Log!$A:$A, "Daily", Log!$D:$D, $C$3), "")</f>
        <v/>
      </c>
      <c r="E219" s="36" t="str">
        <f>IFERROR(AVERAGEIFS(Log!$E:$E, Log!$C:$C, $A219, Log!$B:$B, "n/a", Log!$A:$A, "Daily", Log!$D:$D, $C$3), "")</f>
        <v/>
      </c>
      <c r="F219" s="192"/>
      <c r="G219" s="192"/>
      <c r="H219" s="108">
        <f>_xlfn.XLOOKUP($A219, 'Daily WE'!$C:$C, 'Daily WE'!$N:$N)</f>
        <v>0</v>
      </c>
      <c r="I219" s="108">
        <f>_xlfn.XLOOKUP($A219, 'Daily WE'!$C:$C, 'Daily WE'!$Q:$Q)</f>
        <v>0</v>
      </c>
    </row>
    <row r="220" spans="3:9" x14ac:dyDescent="0.3">
      <c r="C220" s="6" t="str">
        <f>IFERROR(AVERAGEIFS(Log!$F:$F, Log!$C:$C, $A220, Log!$B:$B, "n/a", Log!$A:$A, "Daily", Log!$D:$D, $C$3), "")</f>
        <v/>
      </c>
      <c r="D220" s="6" t="str">
        <f>IFERROR(AVERAGEIFS(Log!$G:$G, Log!$C:$C, $A220, Log!$B:$B, "n/a", Log!$A:$A, "Daily", Log!$D:$D, $C$3), "")</f>
        <v/>
      </c>
      <c r="E220" s="36" t="str">
        <f>IFERROR(AVERAGEIFS(Log!$E:$E, Log!$C:$C, $A220, Log!$B:$B, "n/a", Log!$A:$A, "Daily", Log!$D:$D, $C$3), "")</f>
        <v/>
      </c>
      <c r="F220" s="192"/>
      <c r="G220" s="192"/>
      <c r="H220" s="108">
        <f>_xlfn.XLOOKUP($A220, 'Daily WE'!$C:$C, 'Daily WE'!$N:$N)</f>
        <v>0</v>
      </c>
      <c r="I220" s="108">
        <f>_xlfn.XLOOKUP($A220, 'Daily WE'!$C:$C, 'Daily WE'!$Q:$Q)</f>
        <v>0</v>
      </c>
    </row>
    <row r="221" spans="3:9" x14ac:dyDescent="0.3">
      <c r="C221" s="6" t="str">
        <f>IFERROR(AVERAGEIFS(Log!$F:$F, Log!$C:$C, $A221, Log!$B:$B, "n/a", Log!$A:$A, "Daily", Log!$D:$D, $C$3), "")</f>
        <v/>
      </c>
      <c r="D221" s="6" t="str">
        <f>IFERROR(AVERAGEIFS(Log!$G:$G, Log!$C:$C, $A221, Log!$B:$B, "n/a", Log!$A:$A, "Daily", Log!$D:$D, $C$3), "")</f>
        <v/>
      </c>
      <c r="E221" s="36" t="str">
        <f>IFERROR(AVERAGEIFS(Log!$E:$E, Log!$C:$C, $A221, Log!$B:$B, "n/a", Log!$A:$A, "Daily", Log!$D:$D, $C$3), "")</f>
        <v/>
      </c>
      <c r="F221" s="192"/>
      <c r="G221" s="192"/>
      <c r="H221" s="108">
        <f>_xlfn.XLOOKUP($A221, 'Daily WE'!$C:$C, 'Daily WE'!$N:$N)</f>
        <v>0</v>
      </c>
      <c r="I221" s="108">
        <f>_xlfn.XLOOKUP($A221, 'Daily WE'!$C:$C, 'Daily WE'!$Q:$Q)</f>
        <v>0</v>
      </c>
    </row>
    <row r="222" spans="3:9" x14ac:dyDescent="0.3">
      <c r="C222" s="6" t="str">
        <f>IFERROR(AVERAGEIFS(Log!$F:$F, Log!$C:$C, $A222, Log!$B:$B, "n/a", Log!$A:$A, "Daily", Log!$D:$D, $C$3), "")</f>
        <v/>
      </c>
      <c r="D222" s="6" t="str">
        <f>IFERROR(AVERAGEIFS(Log!$G:$G, Log!$C:$C, $A222, Log!$B:$B, "n/a", Log!$A:$A, "Daily", Log!$D:$D, $C$3), "")</f>
        <v/>
      </c>
      <c r="E222" s="36" t="str">
        <f>IFERROR(AVERAGEIFS(Log!$E:$E, Log!$C:$C, $A222, Log!$B:$B, "n/a", Log!$A:$A, "Daily", Log!$D:$D, $C$3), "")</f>
        <v/>
      </c>
      <c r="F222" s="192"/>
      <c r="G222" s="192"/>
      <c r="H222" s="108">
        <f>_xlfn.XLOOKUP($A222, 'Daily WE'!$C:$C, 'Daily WE'!$N:$N)</f>
        <v>0</v>
      </c>
      <c r="I222" s="108">
        <f>_xlfn.XLOOKUP($A222, 'Daily WE'!$C:$C, 'Daily WE'!$Q:$Q)</f>
        <v>0</v>
      </c>
    </row>
    <row r="223" spans="3:9" x14ac:dyDescent="0.3">
      <c r="C223" s="6" t="str">
        <f>IFERROR(AVERAGEIFS(Log!$F:$F, Log!$C:$C, $A223, Log!$B:$B, "n/a", Log!$A:$A, "Daily", Log!$D:$D, $C$3), "")</f>
        <v/>
      </c>
      <c r="D223" s="6" t="str">
        <f>IFERROR(AVERAGEIFS(Log!$G:$G, Log!$C:$C, $A223, Log!$B:$B, "n/a", Log!$A:$A, "Daily", Log!$D:$D, $C$3), "")</f>
        <v/>
      </c>
      <c r="E223" s="36" t="str">
        <f>IFERROR(AVERAGEIFS(Log!$E:$E, Log!$C:$C, $A223, Log!$B:$B, "n/a", Log!$A:$A, "Daily", Log!$D:$D, $C$3), "")</f>
        <v/>
      </c>
      <c r="F223" s="192"/>
      <c r="G223" s="192"/>
      <c r="H223" s="108">
        <f>_xlfn.XLOOKUP($A223, 'Daily WE'!$C:$C, 'Daily WE'!$N:$N)</f>
        <v>0</v>
      </c>
      <c r="I223" s="108">
        <f>_xlfn.XLOOKUP($A223, 'Daily WE'!$C:$C, 'Daily WE'!$Q:$Q)</f>
        <v>0</v>
      </c>
    </row>
    <row r="224" spans="3:9" x14ac:dyDescent="0.3">
      <c r="C224" s="6" t="str">
        <f>IFERROR(AVERAGEIFS(Log!$F:$F, Log!$C:$C, $A224, Log!$B:$B, "n/a", Log!$A:$A, "Daily", Log!$D:$D, $C$3), "")</f>
        <v/>
      </c>
      <c r="D224" s="6" t="str">
        <f>IFERROR(AVERAGEIFS(Log!$G:$G, Log!$C:$C, $A224, Log!$B:$B, "n/a", Log!$A:$A, "Daily", Log!$D:$D, $C$3), "")</f>
        <v/>
      </c>
      <c r="E224" s="36" t="str">
        <f>IFERROR(AVERAGEIFS(Log!$E:$E, Log!$C:$C, $A224, Log!$B:$B, "n/a", Log!$A:$A, "Daily", Log!$D:$D, $C$3), "")</f>
        <v/>
      </c>
      <c r="F224" s="192"/>
      <c r="G224" s="192"/>
      <c r="H224" s="108">
        <f>_xlfn.XLOOKUP($A224, 'Daily WE'!$C:$C, 'Daily WE'!$N:$N)</f>
        <v>0</v>
      </c>
      <c r="I224" s="108">
        <f>_xlfn.XLOOKUP($A224, 'Daily WE'!$C:$C, 'Daily WE'!$Q:$Q)</f>
        <v>0</v>
      </c>
    </row>
    <row r="225" spans="3:9" x14ac:dyDescent="0.3">
      <c r="C225" s="6" t="str">
        <f>IFERROR(AVERAGEIFS(Log!$F:$F, Log!$C:$C, $A225, Log!$B:$B, "n/a", Log!$A:$A, "Daily", Log!$D:$D, $C$3), "")</f>
        <v/>
      </c>
      <c r="D225" s="6" t="str">
        <f>IFERROR(AVERAGEIFS(Log!$G:$G, Log!$C:$C, $A225, Log!$B:$B, "n/a", Log!$A:$A, "Daily", Log!$D:$D, $C$3), "")</f>
        <v/>
      </c>
      <c r="E225" s="36" t="str">
        <f>IFERROR(AVERAGEIFS(Log!$E:$E, Log!$C:$C, $A225, Log!$B:$B, "n/a", Log!$A:$A, "Daily", Log!$D:$D, $C$3), "")</f>
        <v/>
      </c>
      <c r="F225" s="192"/>
      <c r="G225" s="192"/>
      <c r="H225" s="108">
        <f>_xlfn.XLOOKUP($A225, 'Daily WE'!$C:$C, 'Daily WE'!$N:$N)</f>
        <v>0</v>
      </c>
      <c r="I225" s="108">
        <f>_xlfn.XLOOKUP($A225, 'Daily WE'!$C:$C, 'Daily WE'!$Q:$Q)</f>
        <v>0</v>
      </c>
    </row>
    <row r="226" spans="3:9" x14ac:dyDescent="0.3">
      <c r="C226" s="6" t="str">
        <f>IFERROR(AVERAGEIFS(Log!$F:$F, Log!$C:$C, $A226, Log!$B:$B, "n/a", Log!$A:$A, "Daily", Log!$D:$D, $C$3), "")</f>
        <v/>
      </c>
      <c r="D226" s="6" t="str">
        <f>IFERROR(AVERAGEIFS(Log!$G:$G, Log!$C:$C, $A226, Log!$B:$B, "n/a", Log!$A:$A, "Daily", Log!$D:$D, $C$3), "")</f>
        <v/>
      </c>
      <c r="E226" s="36" t="str">
        <f>IFERROR(AVERAGEIFS(Log!$E:$E, Log!$C:$C, $A226, Log!$B:$B, "n/a", Log!$A:$A, "Daily", Log!$D:$D, $C$3), "")</f>
        <v/>
      </c>
      <c r="F226" s="192"/>
      <c r="G226" s="192"/>
      <c r="H226" s="108">
        <f>_xlfn.XLOOKUP($A226, 'Daily WE'!$C:$C, 'Daily WE'!$N:$N)</f>
        <v>0</v>
      </c>
      <c r="I226" s="108">
        <f>_xlfn.XLOOKUP($A226, 'Daily WE'!$C:$C, 'Daily WE'!$Q:$Q)</f>
        <v>0</v>
      </c>
    </row>
    <row r="227" spans="3:9" x14ac:dyDescent="0.3">
      <c r="C227" s="6" t="str">
        <f>IFERROR(AVERAGEIFS(Log!$F:$F, Log!$C:$C, $A227, Log!$B:$B, "n/a", Log!$A:$A, "Daily", Log!$D:$D, $C$3), "")</f>
        <v/>
      </c>
      <c r="D227" s="6" t="str">
        <f>IFERROR(AVERAGEIFS(Log!$G:$G, Log!$C:$C, $A227, Log!$B:$B, "n/a", Log!$A:$A, "Daily", Log!$D:$D, $C$3), "")</f>
        <v/>
      </c>
      <c r="E227" s="36" t="str">
        <f>IFERROR(AVERAGEIFS(Log!$E:$E, Log!$C:$C, $A227, Log!$B:$B, "n/a", Log!$A:$A, "Daily", Log!$D:$D, $C$3), "")</f>
        <v/>
      </c>
      <c r="F227" s="192"/>
      <c r="G227" s="192"/>
      <c r="H227" s="108">
        <f>_xlfn.XLOOKUP($A227, 'Daily WE'!$C:$C, 'Daily WE'!$N:$N)</f>
        <v>0</v>
      </c>
      <c r="I227" s="108">
        <f>_xlfn.XLOOKUP($A227, 'Daily WE'!$C:$C, 'Daily WE'!$Q:$Q)</f>
        <v>0</v>
      </c>
    </row>
    <row r="228" spans="3:9" x14ac:dyDescent="0.3">
      <c r="C228" s="6" t="str">
        <f>IFERROR(AVERAGEIFS(Log!$F:$F, Log!$C:$C, $A228, Log!$B:$B, "n/a", Log!$A:$A, "Daily", Log!$D:$D, $C$3), "")</f>
        <v/>
      </c>
      <c r="D228" s="6" t="str">
        <f>IFERROR(AVERAGEIFS(Log!$G:$G, Log!$C:$C, $A228, Log!$B:$B, "n/a", Log!$A:$A, "Daily", Log!$D:$D, $C$3), "")</f>
        <v/>
      </c>
      <c r="E228" s="36" t="str">
        <f>IFERROR(AVERAGEIFS(Log!$E:$E, Log!$C:$C, $A228, Log!$B:$B, "n/a", Log!$A:$A, "Daily", Log!$D:$D, $C$3), "")</f>
        <v/>
      </c>
      <c r="F228" s="192"/>
      <c r="G228" s="192"/>
      <c r="H228" s="108">
        <f>_xlfn.XLOOKUP($A228, 'Daily WE'!$C:$C, 'Daily WE'!$N:$N)</f>
        <v>0</v>
      </c>
      <c r="I228" s="108">
        <f>_xlfn.XLOOKUP($A228, 'Daily WE'!$C:$C, 'Daily WE'!$Q:$Q)</f>
        <v>0</v>
      </c>
    </row>
    <row r="229" spans="3:9" x14ac:dyDescent="0.3">
      <c r="C229" s="6" t="str">
        <f>IFERROR(AVERAGEIFS(Log!$F:$F, Log!$C:$C, $A229, Log!$B:$B, "n/a", Log!$A:$A, "Daily", Log!$D:$D, $C$3), "")</f>
        <v/>
      </c>
      <c r="D229" s="6" t="str">
        <f>IFERROR(AVERAGEIFS(Log!$G:$G, Log!$C:$C, $A229, Log!$B:$B, "n/a", Log!$A:$A, "Daily", Log!$D:$D, $C$3), "")</f>
        <v/>
      </c>
      <c r="E229" s="36" t="str">
        <f>IFERROR(AVERAGEIFS(Log!$E:$E, Log!$C:$C, $A229, Log!$B:$B, "n/a", Log!$A:$A, "Daily", Log!$D:$D, $C$3), "")</f>
        <v/>
      </c>
      <c r="F229" s="192"/>
      <c r="G229" s="192"/>
      <c r="H229" s="108">
        <f>_xlfn.XLOOKUP($A229, 'Daily WE'!$C:$C, 'Daily WE'!$N:$N)</f>
        <v>0</v>
      </c>
      <c r="I229" s="108">
        <f>_xlfn.XLOOKUP($A229, 'Daily WE'!$C:$C, 'Daily WE'!$Q:$Q)</f>
        <v>0</v>
      </c>
    </row>
    <row r="230" spans="3:9" x14ac:dyDescent="0.3">
      <c r="C230" s="6" t="str">
        <f>IFERROR(AVERAGEIFS(Log!$F:$F, Log!$C:$C, $A230, Log!$B:$B, "n/a", Log!$A:$A, "Daily", Log!$D:$D, $C$3), "")</f>
        <v/>
      </c>
      <c r="D230" s="6" t="str">
        <f>IFERROR(AVERAGEIFS(Log!$G:$G, Log!$C:$C, $A230, Log!$B:$B, "n/a", Log!$A:$A, "Daily", Log!$D:$D, $C$3), "")</f>
        <v/>
      </c>
      <c r="E230" s="36" t="str">
        <f>IFERROR(AVERAGEIFS(Log!$E:$E, Log!$C:$C, $A230, Log!$B:$B, "n/a", Log!$A:$A, "Daily", Log!$D:$D, $C$3), "")</f>
        <v/>
      </c>
      <c r="F230" s="192"/>
      <c r="G230" s="192"/>
      <c r="H230" s="108">
        <f>_xlfn.XLOOKUP($A230, 'Daily WE'!$C:$C, 'Daily WE'!$N:$N)</f>
        <v>0</v>
      </c>
      <c r="I230" s="108">
        <f>_xlfn.XLOOKUP($A230, 'Daily WE'!$C:$C, 'Daily WE'!$Q:$Q)</f>
        <v>0</v>
      </c>
    </row>
    <row r="231" spans="3:9" x14ac:dyDescent="0.3">
      <c r="C231" s="6" t="str">
        <f>IFERROR(AVERAGEIFS(Log!$F:$F, Log!$C:$C, $A231, Log!$B:$B, "n/a", Log!$A:$A, "Daily", Log!$D:$D, $C$3), "")</f>
        <v/>
      </c>
      <c r="D231" s="6" t="str">
        <f>IFERROR(AVERAGEIFS(Log!$G:$G, Log!$C:$C, $A231, Log!$B:$B, "n/a", Log!$A:$A, "Daily", Log!$D:$D, $C$3), "")</f>
        <v/>
      </c>
      <c r="E231" s="36" t="str">
        <f>IFERROR(AVERAGEIFS(Log!$E:$E, Log!$C:$C, $A231, Log!$B:$B, "n/a", Log!$A:$A, "Daily", Log!$D:$D, $C$3), "")</f>
        <v/>
      </c>
      <c r="F231" s="192"/>
      <c r="G231" s="192"/>
      <c r="H231" s="108">
        <f>_xlfn.XLOOKUP($A231, 'Daily WE'!$C:$C, 'Daily WE'!$N:$N)</f>
        <v>0</v>
      </c>
      <c r="I231" s="108">
        <f>_xlfn.XLOOKUP($A231, 'Daily WE'!$C:$C, 'Daily WE'!$Q:$Q)</f>
        <v>0</v>
      </c>
    </row>
    <row r="232" spans="3:9" x14ac:dyDescent="0.3">
      <c r="C232" s="6" t="str">
        <f>IFERROR(AVERAGEIFS(Log!$F:$F, Log!$C:$C, $A232, Log!$B:$B, "n/a", Log!$A:$A, "Daily", Log!$D:$D, $C$3), "")</f>
        <v/>
      </c>
      <c r="D232" s="6" t="str">
        <f>IFERROR(AVERAGEIFS(Log!$G:$G, Log!$C:$C, $A232, Log!$B:$B, "n/a", Log!$A:$A, "Daily", Log!$D:$D, $C$3), "")</f>
        <v/>
      </c>
      <c r="E232" s="36" t="str">
        <f>IFERROR(AVERAGEIFS(Log!$E:$E, Log!$C:$C, $A232, Log!$B:$B, "n/a", Log!$A:$A, "Daily", Log!$D:$D, $C$3), "")</f>
        <v/>
      </c>
      <c r="F232" s="192"/>
      <c r="G232" s="192"/>
      <c r="H232" s="108">
        <f>_xlfn.XLOOKUP($A232, 'Daily WE'!$C:$C, 'Daily WE'!$N:$N)</f>
        <v>0</v>
      </c>
      <c r="I232" s="108">
        <f>_xlfn.XLOOKUP($A232, 'Daily WE'!$C:$C, 'Daily WE'!$Q:$Q)</f>
        <v>0</v>
      </c>
    </row>
    <row r="233" spans="3:9" x14ac:dyDescent="0.3">
      <c r="C233" s="6" t="str">
        <f>IFERROR(AVERAGEIFS(Log!$F:$F, Log!$C:$C, $A233, Log!$B:$B, "n/a", Log!$A:$A, "Daily", Log!$D:$D, $C$3), "")</f>
        <v/>
      </c>
      <c r="D233" s="6" t="str">
        <f>IFERROR(AVERAGEIFS(Log!$G:$G, Log!$C:$C, $A233, Log!$B:$B, "n/a", Log!$A:$A, "Daily", Log!$D:$D, $C$3), "")</f>
        <v/>
      </c>
      <c r="E233" s="36" t="str">
        <f>IFERROR(AVERAGEIFS(Log!$E:$E, Log!$C:$C, $A233, Log!$B:$B, "n/a", Log!$A:$A, "Daily", Log!$D:$D, $C$3), "")</f>
        <v/>
      </c>
      <c r="F233" s="192"/>
      <c r="G233" s="192"/>
      <c r="H233" s="108">
        <f>_xlfn.XLOOKUP($A233, 'Daily WE'!$C:$C, 'Daily WE'!$N:$N)</f>
        <v>0</v>
      </c>
      <c r="I233" s="108">
        <f>_xlfn.XLOOKUP($A233, 'Daily WE'!$C:$C, 'Daily WE'!$Q:$Q)</f>
        <v>0</v>
      </c>
    </row>
    <row r="234" spans="3:9" x14ac:dyDescent="0.3">
      <c r="C234" s="6" t="str">
        <f>IFERROR(AVERAGEIFS(Log!$F:$F, Log!$C:$C, $A234, Log!$B:$B, "n/a", Log!$A:$A, "Daily", Log!$D:$D, $C$3), "")</f>
        <v/>
      </c>
      <c r="D234" s="6" t="str">
        <f>IFERROR(AVERAGEIFS(Log!$G:$G, Log!$C:$C, $A234, Log!$B:$B, "n/a", Log!$A:$A, "Daily", Log!$D:$D, $C$3), "")</f>
        <v/>
      </c>
      <c r="E234" s="36" t="str">
        <f>IFERROR(AVERAGEIFS(Log!$E:$E, Log!$C:$C, $A234, Log!$B:$B, "n/a", Log!$A:$A, "Daily", Log!$D:$D, $C$3), "")</f>
        <v/>
      </c>
      <c r="F234" s="192"/>
      <c r="G234" s="192"/>
      <c r="H234" s="108">
        <f>_xlfn.XLOOKUP($A234, 'Daily WE'!$C:$C, 'Daily WE'!$N:$N)</f>
        <v>0</v>
      </c>
      <c r="I234" s="108">
        <f>_xlfn.XLOOKUP($A234, 'Daily WE'!$C:$C, 'Daily WE'!$Q:$Q)</f>
        <v>0</v>
      </c>
    </row>
    <row r="235" spans="3:9" x14ac:dyDescent="0.3">
      <c r="C235" s="6" t="str">
        <f>IFERROR(AVERAGEIFS(Log!$F:$F, Log!$C:$C, $A235, Log!$B:$B, "n/a", Log!$A:$A, "Daily", Log!$D:$D, $C$3), "")</f>
        <v/>
      </c>
      <c r="D235" s="6" t="str">
        <f>IFERROR(AVERAGEIFS(Log!$G:$G, Log!$C:$C, $A235, Log!$B:$B, "n/a", Log!$A:$A, "Daily", Log!$D:$D, $C$3), "")</f>
        <v/>
      </c>
      <c r="E235" s="36" t="str">
        <f>IFERROR(AVERAGEIFS(Log!$E:$E, Log!$C:$C, $A235, Log!$B:$B, "n/a", Log!$A:$A, "Daily", Log!$D:$D, $C$3), "")</f>
        <v/>
      </c>
      <c r="F235" s="192"/>
      <c r="G235" s="192"/>
      <c r="H235" s="108">
        <f>_xlfn.XLOOKUP($A235, 'Daily WE'!$C:$C, 'Daily WE'!$N:$N)</f>
        <v>0</v>
      </c>
      <c r="I235" s="108">
        <f>_xlfn.XLOOKUP($A235, 'Daily WE'!$C:$C, 'Daily WE'!$Q:$Q)</f>
        <v>0</v>
      </c>
    </row>
    <row r="236" spans="3:9" x14ac:dyDescent="0.3">
      <c r="C236" s="6" t="str">
        <f>IFERROR(AVERAGEIFS(Log!$F:$F, Log!$C:$C, $A236, Log!$B:$B, "n/a", Log!$A:$A, "Daily", Log!$D:$D, $C$3), "")</f>
        <v/>
      </c>
      <c r="D236" s="6" t="str">
        <f>IFERROR(AVERAGEIFS(Log!$G:$G, Log!$C:$C, $A236, Log!$B:$B, "n/a", Log!$A:$A, "Daily", Log!$D:$D, $C$3), "")</f>
        <v/>
      </c>
      <c r="E236" s="36" t="str">
        <f>IFERROR(AVERAGEIFS(Log!$E:$E, Log!$C:$C, $A236, Log!$B:$B, "n/a", Log!$A:$A, "Daily", Log!$D:$D, $C$3), "")</f>
        <v/>
      </c>
      <c r="F236" s="192"/>
      <c r="G236" s="192"/>
      <c r="H236" s="108">
        <f>_xlfn.XLOOKUP($A236, 'Daily WE'!$C:$C, 'Daily WE'!$N:$N)</f>
        <v>0</v>
      </c>
      <c r="I236" s="108">
        <f>_xlfn.XLOOKUP($A236, 'Daily WE'!$C:$C, 'Daily WE'!$Q:$Q)</f>
        <v>0</v>
      </c>
    </row>
    <row r="237" spans="3:9" x14ac:dyDescent="0.3">
      <c r="C237" s="6" t="str">
        <f>IFERROR(AVERAGEIFS(Log!$F:$F, Log!$C:$C, $A237, Log!$B:$B, "n/a", Log!$A:$A, "Daily", Log!$D:$D, $C$3), "")</f>
        <v/>
      </c>
      <c r="D237" s="6" t="str">
        <f>IFERROR(AVERAGEIFS(Log!$G:$G, Log!$C:$C, $A237, Log!$B:$B, "n/a", Log!$A:$A, "Daily", Log!$D:$D, $C$3), "")</f>
        <v/>
      </c>
      <c r="E237" s="36" t="str">
        <f>IFERROR(AVERAGEIFS(Log!$E:$E, Log!$C:$C, $A237, Log!$B:$B, "n/a", Log!$A:$A, "Daily", Log!$D:$D, $C$3), "")</f>
        <v/>
      </c>
      <c r="F237" s="192"/>
      <c r="G237" s="192"/>
      <c r="H237" s="108">
        <f>_xlfn.XLOOKUP($A237, 'Daily WE'!$C:$C, 'Daily WE'!$N:$N)</f>
        <v>0</v>
      </c>
      <c r="I237" s="108">
        <f>_xlfn.XLOOKUP($A237, 'Daily WE'!$C:$C, 'Daily WE'!$Q:$Q)</f>
        <v>0</v>
      </c>
    </row>
    <row r="238" spans="3:9" x14ac:dyDescent="0.3">
      <c r="C238" s="6" t="str">
        <f>IFERROR(AVERAGEIFS(Log!$F:$F, Log!$C:$C, $A238, Log!$B:$B, "n/a", Log!$A:$A, "Daily", Log!$D:$D, $C$3), "")</f>
        <v/>
      </c>
      <c r="D238" s="6" t="str">
        <f>IFERROR(AVERAGEIFS(Log!$G:$G, Log!$C:$C, $A238, Log!$B:$B, "n/a", Log!$A:$A, "Daily", Log!$D:$D, $C$3), "")</f>
        <v/>
      </c>
      <c r="E238" s="36" t="str">
        <f>IFERROR(AVERAGEIFS(Log!$E:$E, Log!$C:$C, $A238, Log!$B:$B, "n/a", Log!$A:$A, "Daily", Log!$D:$D, $C$3), "")</f>
        <v/>
      </c>
      <c r="F238" s="192"/>
      <c r="G238" s="192"/>
      <c r="H238" s="108">
        <f>_xlfn.XLOOKUP($A238, 'Daily WE'!$C:$C, 'Daily WE'!$N:$N)</f>
        <v>0</v>
      </c>
      <c r="I238" s="108">
        <f>_xlfn.XLOOKUP($A238, 'Daily WE'!$C:$C, 'Daily WE'!$Q:$Q)</f>
        <v>0</v>
      </c>
    </row>
    <row r="239" spans="3:9" x14ac:dyDescent="0.3">
      <c r="C239" s="6" t="str">
        <f>IFERROR(AVERAGEIFS(Log!$F:$F, Log!$C:$C, $A239, Log!$B:$B, "n/a", Log!$A:$A, "Daily", Log!$D:$D, $C$3), "")</f>
        <v/>
      </c>
      <c r="D239" s="6" t="str">
        <f>IFERROR(AVERAGEIFS(Log!$G:$G, Log!$C:$C, $A239, Log!$B:$B, "n/a", Log!$A:$A, "Daily", Log!$D:$D, $C$3), "")</f>
        <v/>
      </c>
      <c r="E239" s="36" t="str">
        <f>IFERROR(AVERAGEIFS(Log!$E:$E, Log!$C:$C, $A239, Log!$B:$B, "n/a", Log!$A:$A, "Daily", Log!$D:$D, $C$3), "")</f>
        <v/>
      </c>
      <c r="F239" s="192"/>
      <c r="G239" s="192"/>
      <c r="H239" s="108">
        <f>_xlfn.XLOOKUP($A239, 'Daily WE'!$C:$C, 'Daily WE'!$N:$N)</f>
        <v>0</v>
      </c>
      <c r="I239" s="108">
        <f>_xlfn.XLOOKUP($A239, 'Daily WE'!$C:$C, 'Daily WE'!$Q:$Q)</f>
        <v>0</v>
      </c>
    </row>
    <row r="240" spans="3:9" x14ac:dyDescent="0.3">
      <c r="C240" s="6" t="str">
        <f>IFERROR(AVERAGEIFS(Log!$F:$F, Log!$C:$C, $A240, Log!$B:$B, "n/a", Log!$A:$A, "Daily", Log!$D:$D, $C$3), "")</f>
        <v/>
      </c>
      <c r="D240" s="6" t="str">
        <f>IFERROR(AVERAGEIFS(Log!$G:$G, Log!$C:$C, $A240, Log!$B:$B, "n/a", Log!$A:$A, "Daily", Log!$D:$D, $C$3), "")</f>
        <v/>
      </c>
      <c r="E240" s="36" t="str">
        <f>IFERROR(AVERAGEIFS(Log!$E:$E, Log!$C:$C, $A240, Log!$B:$B, "n/a", Log!$A:$A, "Daily", Log!$D:$D, $C$3), "")</f>
        <v/>
      </c>
      <c r="F240" s="192"/>
      <c r="G240" s="192"/>
      <c r="H240" s="108">
        <f>_xlfn.XLOOKUP($A240, 'Daily WE'!$C:$C, 'Daily WE'!$N:$N)</f>
        <v>0</v>
      </c>
      <c r="I240" s="108">
        <f>_xlfn.XLOOKUP($A240, 'Daily WE'!$C:$C, 'Daily WE'!$Q:$Q)</f>
        <v>0</v>
      </c>
    </row>
    <row r="241" spans="3:9" x14ac:dyDescent="0.3">
      <c r="C241" s="6" t="str">
        <f>IFERROR(AVERAGEIFS(Log!$F:$F, Log!$C:$C, $A241, Log!$B:$B, "n/a", Log!$A:$A, "Daily", Log!$D:$D, $C$3), "")</f>
        <v/>
      </c>
      <c r="D241" s="6" t="str">
        <f>IFERROR(AVERAGEIFS(Log!$G:$G, Log!$C:$C, $A241, Log!$B:$B, "n/a", Log!$A:$A, "Daily", Log!$D:$D, $C$3), "")</f>
        <v/>
      </c>
      <c r="E241" s="36" t="str">
        <f>IFERROR(AVERAGEIFS(Log!$E:$E, Log!$C:$C, $A241, Log!$B:$B, "n/a", Log!$A:$A, "Daily", Log!$D:$D, $C$3), "")</f>
        <v/>
      </c>
      <c r="F241" s="192"/>
      <c r="G241" s="192"/>
      <c r="H241" s="108">
        <f>_xlfn.XLOOKUP($A241, 'Daily WE'!$C:$C, 'Daily WE'!$N:$N)</f>
        <v>0</v>
      </c>
      <c r="I241" s="108">
        <f>_xlfn.XLOOKUP($A241, 'Daily WE'!$C:$C, 'Daily WE'!$Q:$Q)</f>
        <v>0</v>
      </c>
    </row>
    <row r="242" spans="3:9" x14ac:dyDescent="0.3">
      <c r="C242" s="6" t="str">
        <f>IFERROR(AVERAGEIFS(Log!$F:$F, Log!$C:$C, $A242, Log!$B:$B, "n/a", Log!$A:$A, "Daily", Log!$D:$D, $C$3), "")</f>
        <v/>
      </c>
      <c r="D242" s="6" t="str">
        <f>IFERROR(AVERAGEIFS(Log!$G:$G, Log!$C:$C, $A242, Log!$B:$B, "n/a", Log!$A:$A, "Daily", Log!$D:$D, $C$3), "")</f>
        <v/>
      </c>
      <c r="E242" s="36" t="str">
        <f>IFERROR(AVERAGEIFS(Log!$E:$E, Log!$C:$C, $A242, Log!$B:$B, "n/a", Log!$A:$A, "Daily", Log!$D:$D, $C$3), "")</f>
        <v/>
      </c>
      <c r="F242" s="192"/>
      <c r="G242" s="192"/>
      <c r="H242" s="108">
        <f>_xlfn.XLOOKUP($A242, 'Daily WE'!$C:$C, 'Daily WE'!$N:$N)</f>
        <v>0</v>
      </c>
      <c r="I242" s="108">
        <f>_xlfn.XLOOKUP($A242, 'Daily WE'!$C:$C, 'Daily WE'!$Q:$Q)</f>
        <v>0</v>
      </c>
    </row>
    <row r="243" spans="3:9" x14ac:dyDescent="0.3">
      <c r="C243" s="6" t="str">
        <f>IFERROR(AVERAGEIFS(Log!$F:$F, Log!$C:$C, $A243, Log!$B:$B, "n/a", Log!$A:$A, "Daily", Log!$D:$D, $C$3), "")</f>
        <v/>
      </c>
      <c r="D243" s="6" t="str">
        <f>IFERROR(AVERAGEIFS(Log!$G:$G, Log!$C:$C, $A243, Log!$B:$B, "n/a", Log!$A:$A, "Daily", Log!$D:$D, $C$3), "")</f>
        <v/>
      </c>
      <c r="E243" s="36" t="str">
        <f>IFERROR(AVERAGEIFS(Log!$E:$E, Log!$C:$C, $A243, Log!$B:$B, "n/a", Log!$A:$A, "Daily", Log!$D:$D, $C$3), "")</f>
        <v/>
      </c>
      <c r="F243" s="192"/>
      <c r="G243" s="192"/>
      <c r="H243" s="108">
        <f>_xlfn.XLOOKUP($A243, 'Daily WE'!$C:$C, 'Daily WE'!$N:$N)</f>
        <v>0</v>
      </c>
      <c r="I243" s="108">
        <f>_xlfn.XLOOKUP($A243, 'Daily WE'!$C:$C, 'Daily WE'!$Q:$Q)</f>
        <v>0</v>
      </c>
    </row>
    <row r="244" spans="3:9" x14ac:dyDescent="0.3">
      <c r="C244" s="6" t="str">
        <f>IFERROR(AVERAGEIFS(Log!$F:$F, Log!$C:$C, $A244, Log!$B:$B, "n/a", Log!$A:$A, "Daily", Log!$D:$D, $C$3), "")</f>
        <v/>
      </c>
      <c r="D244" s="6" t="str">
        <f>IFERROR(AVERAGEIFS(Log!$G:$G, Log!$C:$C, $A244, Log!$B:$B, "n/a", Log!$A:$A, "Daily", Log!$D:$D, $C$3), "")</f>
        <v/>
      </c>
      <c r="E244" s="36" t="str">
        <f>IFERROR(AVERAGEIFS(Log!$E:$E, Log!$C:$C, $A244, Log!$B:$B, "n/a", Log!$A:$A, "Daily", Log!$D:$D, $C$3), "")</f>
        <v/>
      </c>
      <c r="F244" s="192"/>
      <c r="G244" s="192"/>
      <c r="H244" s="108">
        <f>_xlfn.XLOOKUP($A244, 'Daily WE'!$C:$C, 'Daily WE'!$N:$N)</f>
        <v>0</v>
      </c>
      <c r="I244" s="108">
        <f>_xlfn.XLOOKUP($A244, 'Daily WE'!$C:$C, 'Daily WE'!$Q:$Q)</f>
        <v>0</v>
      </c>
    </row>
    <row r="245" spans="3:9" x14ac:dyDescent="0.3">
      <c r="C245" s="6" t="str">
        <f>IFERROR(AVERAGEIFS(Log!$F:$F, Log!$C:$C, $A245, Log!$B:$B, "n/a", Log!$A:$A, "Daily", Log!$D:$D, $C$3), "")</f>
        <v/>
      </c>
      <c r="D245" s="6" t="str">
        <f>IFERROR(AVERAGEIFS(Log!$G:$G, Log!$C:$C, $A245, Log!$B:$B, "n/a", Log!$A:$A, "Daily", Log!$D:$D, $C$3), "")</f>
        <v/>
      </c>
      <c r="E245" s="36" t="str">
        <f>IFERROR(AVERAGEIFS(Log!$E:$E, Log!$C:$C, $A245, Log!$B:$B, "n/a", Log!$A:$A, "Daily", Log!$D:$D, $C$3), "")</f>
        <v/>
      </c>
      <c r="F245" s="192"/>
      <c r="G245" s="192"/>
      <c r="H245" s="108">
        <f>_xlfn.XLOOKUP($A245, 'Daily WE'!$C:$C, 'Daily WE'!$N:$N)</f>
        <v>0</v>
      </c>
      <c r="I245" s="108">
        <f>_xlfn.XLOOKUP($A245, 'Daily WE'!$C:$C, 'Daily WE'!$Q:$Q)</f>
        <v>0</v>
      </c>
    </row>
    <row r="246" spans="3:9" x14ac:dyDescent="0.3">
      <c r="C246" s="6" t="str">
        <f>IFERROR(AVERAGEIFS(Log!$F:$F, Log!$C:$C, $A246, Log!$B:$B, "n/a", Log!$A:$A, "Daily", Log!$D:$D, $C$3), "")</f>
        <v/>
      </c>
      <c r="D246" s="6" t="str">
        <f>IFERROR(AVERAGEIFS(Log!$G:$G, Log!$C:$C, $A246, Log!$B:$B, "n/a", Log!$A:$A, "Daily", Log!$D:$D, $C$3), "")</f>
        <v/>
      </c>
      <c r="E246" s="36" t="str">
        <f>IFERROR(AVERAGEIFS(Log!$E:$E, Log!$C:$C, $A246, Log!$B:$B, "n/a", Log!$A:$A, "Daily", Log!$D:$D, $C$3), "")</f>
        <v/>
      </c>
      <c r="F246" s="192"/>
      <c r="G246" s="192"/>
      <c r="H246" s="108">
        <f>_xlfn.XLOOKUP($A246, 'Daily WE'!$C:$C, 'Daily WE'!$N:$N)</f>
        <v>0</v>
      </c>
      <c r="I246" s="108">
        <f>_xlfn.XLOOKUP($A246, 'Daily WE'!$C:$C, 'Daily WE'!$Q:$Q)</f>
        <v>0</v>
      </c>
    </row>
    <row r="247" spans="3:9" x14ac:dyDescent="0.3">
      <c r="C247" s="6" t="str">
        <f>IFERROR(AVERAGEIFS(Log!$F:$F, Log!$C:$C, $A247, Log!$B:$B, "n/a", Log!$A:$A, "Daily", Log!$D:$D, $C$3), "")</f>
        <v/>
      </c>
      <c r="D247" s="6" t="str">
        <f>IFERROR(AVERAGEIFS(Log!$G:$G, Log!$C:$C, $A247, Log!$B:$B, "n/a", Log!$A:$A, "Daily", Log!$D:$D, $C$3), "")</f>
        <v/>
      </c>
      <c r="E247" s="36" t="str">
        <f>IFERROR(AVERAGEIFS(Log!$E:$E, Log!$C:$C, $A247, Log!$B:$B, "n/a", Log!$A:$A, "Daily", Log!$D:$D, $C$3), "")</f>
        <v/>
      </c>
      <c r="F247" s="192"/>
      <c r="G247" s="192"/>
      <c r="H247" s="108">
        <f>_xlfn.XLOOKUP($A247, 'Daily WE'!$C:$C, 'Daily WE'!$N:$N)</f>
        <v>0</v>
      </c>
      <c r="I247" s="108">
        <f>_xlfn.XLOOKUP($A247, 'Daily WE'!$C:$C, 'Daily WE'!$Q:$Q)</f>
        <v>0</v>
      </c>
    </row>
    <row r="248" spans="3:9" x14ac:dyDescent="0.3">
      <c r="C248" s="6" t="str">
        <f>IFERROR(AVERAGEIFS(Log!$F:$F, Log!$C:$C, $A248, Log!$B:$B, "n/a", Log!$A:$A, "Daily", Log!$D:$D, $C$3), "")</f>
        <v/>
      </c>
      <c r="D248" s="6" t="str">
        <f>IFERROR(AVERAGEIFS(Log!$G:$G, Log!$C:$C, $A248, Log!$B:$B, "n/a", Log!$A:$A, "Daily", Log!$D:$D, $C$3), "")</f>
        <v/>
      </c>
      <c r="E248" s="36" t="str">
        <f>IFERROR(AVERAGEIFS(Log!$E:$E, Log!$C:$C, $A248, Log!$B:$B, "n/a", Log!$A:$A, "Daily", Log!$D:$D, $C$3), "")</f>
        <v/>
      </c>
      <c r="F248" s="192"/>
      <c r="G248" s="192"/>
      <c r="H248" s="108">
        <f>_xlfn.XLOOKUP($A248, 'Daily WE'!$C:$C, 'Daily WE'!$N:$N)</f>
        <v>0</v>
      </c>
      <c r="I248" s="108">
        <f>_xlfn.XLOOKUP($A248, 'Daily WE'!$C:$C, 'Daily WE'!$Q:$Q)</f>
        <v>0</v>
      </c>
    </row>
    <row r="249" spans="3:9" x14ac:dyDescent="0.3">
      <c r="C249" s="6" t="str">
        <f>IFERROR(AVERAGEIFS(Log!$F:$F, Log!$C:$C, $A249, Log!$B:$B, "n/a", Log!$A:$A, "Daily", Log!$D:$D, $C$3), "")</f>
        <v/>
      </c>
      <c r="D249" s="6" t="str">
        <f>IFERROR(AVERAGEIFS(Log!$G:$G, Log!$C:$C, $A249, Log!$B:$B, "n/a", Log!$A:$A, "Daily", Log!$D:$D, $C$3), "")</f>
        <v/>
      </c>
      <c r="E249" s="36" t="str">
        <f>IFERROR(AVERAGEIFS(Log!$E:$E, Log!$C:$C, $A249, Log!$B:$B, "n/a", Log!$A:$A, "Daily", Log!$D:$D, $C$3), "")</f>
        <v/>
      </c>
      <c r="F249" s="192"/>
      <c r="G249" s="192"/>
      <c r="H249" s="108">
        <f>_xlfn.XLOOKUP($A249, 'Daily WE'!$C:$C, 'Daily WE'!$N:$N)</f>
        <v>0</v>
      </c>
      <c r="I249" s="108">
        <f>_xlfn.XLOOKUP($A249, 'Daily WE'!$C:$C, 'Daily WE'!$Q:$Q)</f>
        <v>0</v>
      </c>
    </row>
    <row r="250" spans="3:9" x14ac:dyDescent="0.3">
      <c r="C250" s="6" t="str">
        <f>IFERROR(AVERAGEIFS(Log!$F:$F, Log!$C:$C, $A250, Log!$B:$B, "n/a", Log!$A:$A, "Daily", Log!$D:$D, $C$3), "")</f>
        <v/>
      </c>
      <c r="D250" s="6" t="str">
        <f>IFERROR(AVERAGEIFS(Log!$G:$G, Log!$C:$C, $A250, Log!$B:$B, "n/a", Log!$A:$A, "Daily", Log!$D:$D, $C$3), "")</f>
        <v/>
      </c>
      <c r="E250" s="36" t="str">
        <f>IFERROR(AVERAGEIFS(Log!$E:$E, Log!$C:$C, $A250, Log!$B:$B, "n/a", Log!$A:$A, "Daily", Log!$D:$D, $C$3), "")</f>
        <v/>
      </c>
      <c r="F250" s="192"/>
      <c r="G250" s="192"/>
      <c r="H250" s="108">
        <f>_xlfn.XLOOKUP($A250, 'Daily WE'!$C:$C, 'Daily WE'!$N:$N)</f>
        <v>0</v>
      </c>
      <c r="I250" s="108">
        <f>_xlfn.XLOOKUP($A250, 'Daily WE'!$C:$C, 'Daily WE'!$Q:$Q)</f>
        <v>0</v>
      </c>
    </row>
    <row r="251" spans="3:9" x14ac:dyDescent="0.3">
      <c r="C251" s="6" t="str">
        <f>IFERROR(AVERAGEIFS(Log!$F:$F, Log!$C:$C, $A251, Log!$B:$B, "n/a", Log!$A:$A, "Daily", Log!$D:$D, $C$3), "")</f>
        <v/>
      </c>
      <c r="D251" s="6" t="str">
        <f>IFERROR(AVERAGEIFS(Log!$G:$G, Log!$C:$C, $A251, Log!$B:$B, "n/a", Log!$A:$A, "Daily", Log!$D:$D, $C$3), "")</f>
        <v/>
      </c>
      <c r="E251" s="36" t="str">
        <f>IFERROR(AVERAGEIFS(Log!$E:$E, Log!$C:$C, $A251, Log!$B:$B, "n/a", Log!$A:$A, "Daily", Log!$D:$D, $C$3), "")</f>
        <v/>
      </c>
      <c r="F251" s="192"/>
      <c r="G251" s="192"/>
      <c r="H251" s="108">
        <f>_xlfn.XLOOKUP($A251, 'Daily WE'!$C:$C, 'Daily WE'!$N:$N)</f>
        <v>0</v>
      </c>
      <c r="I251" s="108">
        <f>_xlfn.XLOOKUP($A251, 'Daily WE'!$C:$C, 'Daily WE'!$Q:$Q)</f>
        <v>0</v>
      </c>
    </row>
    <row r="252" spans="3:9" x14ac:dyDescent="0.3">
      <c r="C252" s="6" t="str">
        <f>IFERROR(AVERAGEIFS(Log!$F:$F, Log!$C:$C, $A252, Log!$B:$B, "n/a", Log!$A:$A, "Daily", Log!$D:$D, $C$3), "")</f>
        <v/>
      </c>
      <c r="D252" s="6" t="str">
        <f>IFERROR(AVERAGEIFS(Log!$G:$G, Log!$C:$C, $A252, Log!$B:$B, "n/a", Log!$A:$A, "Daily", Log!$D:$D, $C$3), "")</f>
        <v/>
      </c>
      <c r="E252" s="36" t="str">
        <f>IFERROR(AVERAGEIFS(Log!$E:$E, Log!$C:$C, $A252, Log!$B:$B, "n/a", Log!$A:$A, "Daily", Log!$D:$D, $C$3), "")</f>
        <v/>
      </c>
      <c r="F252" s="192"/>
      <c r="G252" s="192"/>
      <c r="H252" s="108">
        <f>_xlfn.XLOOKUP($A252, 'Daily WE'!$C:$C, 'Daily WE'!$N:$N)</f>
        <v>0</v>
      </c>
      <c r="I252" s="108">
        <f>_xlfn.XLOOKUP($A252, 'Daily WE'!$C:$C, 'Daily WE'!$Q:$Q)</f>
        <v>0</v>
      </c>
    </row>
    <row r="253" spans="3:9" x14ac:dyDescent="0.3">
      <c r="C253" s="6" t="str">
        <f>IFERROR(AVERAGEIFS(Log!$F:$F, Log!$C:$C, $A253, Log!$B:$B, "n/a", Log!$A:$A, "Daily", Log!$D:$D, $C$3), "")</f>
        <v/>
      </c>
      <c r="D253" s="6" t="str">
        <f>IFERROR(AVERAGEIFS(Log!$G:$G, Log!$C:$C, $A253, Log!$B:$B, "n/a", Log!$A:$A, "Daily", Log!$D:$D, $C$3), "")</f>
        <v/>
      </c>
      <c r="E253" s="36" t="str">
        <f>IFERROR(AVERAGEIFS(Log!$E:$E, Log!$C:$C, $A253, Log!$B:$B, "n/a", Log!$A:$A, "Daily", Log!$D:$D, $C$3), "")</f>
        <v/>
      </c>
      <c r="F253" s="192"/>
      <c r="G253" s="192"/>
      <c r="H253" s="108">
        <f>_xlfn.XLOOKUP($A253, 'Daily WE'!$C:$C, 'Daily WE'!$N:$N)</f>
        <v>0</v>
      </c>
      <c r="I253" s="108">
        <f>_xlfn.XLOOKUP($A253, 'Daily WE'!$C:$C, 'Daily WE'!$Q:$Q)</f>
        <v>0</v>
      </c>
    </row>
    <row r="254" spans="3:9" x14ac:dyDescent="0.3">
      <c r="C254" s="6" t="str">
        <f>IFERROR(AVERAGEIFS(Log!$F:$F, Log!$C:$C, $A254, Log!$B:$B, "n/a", Log!$A:$A, "Daily", Log!$D:$D, $C$3), "")</f>
        <v/>
      </c>
      <c r="D254" s="6" t="str">
        <f>IFERROR(AVERAGEIFS(Log!$G:$G, Log!$C:$C, $A254, Log!$B:$B, "n/a", Log!$A:$A, "Daily", Log!$D:$D, $C$3), "")</f>
        <v/>
      </c>
      <c r="E254" s="36" t="str">
        <f>IFERROR(AVERAGEIFS(Log!$E:$E, Log!$C:$C, $A254, Log!$B:$B, "n/a", Log!$A:$A, "Daily", Log!$D:$D, $C$3), "")</f>
        <v/>
      </c>
      <c r="F254" s="192"/>
      <c r="G254" s="192"/>
      <c r="H254" s="108">
        <f>_xlfn.XLOOKUP($A254, 'Daily WE'!$C:$C, 'Daily WE'!$N:$N)</f>
        <v>0</v>
      </c>
      <c r="I254" s="108">
        <f>_xlfn.XLOOKUP($A254, 'Daily WE'!$C:$C, 'Daily WE'!$Q:$Q)</f>
        <v>0</v>
      </c>
    </row>
    <row r="255" spans="3:9" x14ac:dyDescent="0.3">
      <c r="C255" s="6" t="str">
        <f>IFERROR(AVERAGEIFS(Log!$F:$F, Log!$C:$C, $A255, Log!$B:$B, "n/a", Log!$A:$A, "Daily", Log!$D:$D, $C$3), "")</f>
        <v/>
      </c>
      <c r="D255" s="6" t="str">
        <f>IFERROR(AVERAGEIFS(Log!$G:$G, Log!$C:$C, $A255, Log!$B:$B, "n/a", Log!$A:$A, "Daily", Log!$D:$D, $C$3), "")</f>
        <v/>
      </c>
      <c r="E255" s="36" t="str">
        <f>IFERROR(AVERAGEIFS(Log!$E:$E, Log!$C:$C, $A255, Log!$B:$B, "n/a", Log!$A:$A, "Daily", Log!$D:$D, $C$3), "")</f>
        <v/>
      </c>
      <c r="F255" s="192"/>
      <c r="G255" s="192"/>
      <c r="H255" s="108">
        <f>_xlfn.XLOOKUP($A255, 'Daily WE'!$C:$C, 'Daily WE'!$N:$N)</f>
        <v>0</v>
      </c>
      <c r="I255" s="108">
        <f>_xlfn.XLOOKUP($A255, 'Daily WE'!$C:$C, 'Daily WE'!$Q:$Q)</f>
        <v>0</v>
      </c>
    </row>
    <row r="256" spans="3:9" x14ac:dyDescent="0.3">
      <c r="E256" s="36" t="str">
        <f>IFERROR(AVERAGEIFS(Log!$E:$E, Log!$C:$C, $A256, Log!$B:$B, "n/a", Log!$A:$A, "Daily", Log!$D:$D, $C$3), "")</f>
        <v/>
      </c>
      <c r="F256" s="192"/>
      <c r="G256" s="192"/>
      <c r="H256" s="108" t="str">
        <f>'Daily WE'!N253</f>
        <v/>
      </c>
      <c r="I256" s="108" t="str">
        <f>'Daily WE'!Q253</f>
        <v/>
      </c>
    </row>
    <row r="257" spans="5:9" x14ac:dyDescent="0.3">
      <c r="E257" s="36" t="str">
        <f>IFERROR(AVERAGEIFS(Log!$E:$E, Log!$C:$C, $A257, Log!$B:$B, "n/a", Log!$A:$A, "Daily", Log!$D:$D, $C$3), "")</f>
        <v/>
      </c>
      <c r="F257" s="192"/>
      <c r="G257" s="192"/>
      <c r="H257" s="108" t="str">
        <f>'Daily WE'!N254</f>
        <v/>
      </c>
      <c r="I257" s="108" t="str">
        <f>'Daily WE'!Q254</f>
        <v/>
      </c>
    </row>
    <row r="258" spans="5:9" x14ac:dyDescent="0.3">
      <c r="E258" s="36" t="str">
        <f>IFERROR(AVERAGEIFS(Log!$E:$E, Log!$C:$C, $A258, Log!$B:$B, "n/a", Log!$A:$A, "Daily", Log!$D:$D, $C$3), "")</f>
        <v/>
      </c>
      <c r="F258" s="192"/>
      <c r="G258" s="192"/>
      <c r="H258" s="108" t="str">
        <f>'Daily WE'!N255</f>
        <v/>
      </c>
      <c r="I258" s="108" t="str">
        <f>'Daily WE'!Q255</f>
        <v/>
      </c>
    </row>
    <row r="259" spans="5:9" x14ac:dyDescent="0.3">
      <c r="E259" s="36" t="str">
        <f>IFERROR(AVERAGEIFS(Log!$E:$E, Log!$C:$C, $A259, Log!$B:$B, "n/a", Log!$A:$A, "Daily", Log!$D:$D, $C$3), "")</f>
        <v/>
      </c>
      <c r="F259" s="192"/>
      <c r="G259" s="192"/>
      <c r="H259" s="108" t="str">
        <f>'Daily WE'!N256</f>
        <v/>
      </c>
      <c r="I259" s="108" t="str">
        <f>'Daily WE'!Q256</f>
        <v/>
      </c>
    </row>
    <row r="260" spans="5:9" x14ac:dyDescent="0.3">
      <c r="E260" s="36" t="str">
        <f>IFERROR(AVERAGEIFS(Log!$E:$E, Log!$C:$C, $A260, Log!$B:$B, "n/a", Log!$A:$A, "Daily", Log!$D:$D, $C$3), "")</f>
        <v/>
      </c>
      <c r="F260" s="192"/>
      <c r="G260" s="192"/>
      <c r="H260" s="108" t="str">
        <f>'Daily WE'!N257</f>
        <v/>
      </c>
      <c r="I260" s="108" t="str">
        <f>'Daily WE'!Q257</f>
        <v/>
      </c>
    </row>
    <row r="261" spans="5:9" x14ac:dyDescent="0.3">
      <c r="E261" s="36" t="str">
        <f>IFERROR(AVERAGEIFS(Log!$E:$E, Log!$C:$C, $A261, Log!$B:$B, "n/a", Log!$A:$A, "Daily", Log!$D:$D, $C$3), "")</f>
        <v/>
      </c>
      <c r="F261" s="192"/>
      <c r="G261" s="192"/>
      <c r="H261" s="108" t="str">
        <f>'Daily WE'!N258</f>
        <v/>
      </c>
      <c r="I261" s="108" t="str">
        <f>'Daily WE'!Q258</f>
        <v/>
      </c>
    </row>
    <row r="262" spans="5:9" x14ac:dyDescent="0.3">
      <c r="E262" s="36" t="str">
        <f>IFERROR(AVERAGEIFS(Log!$E:$E, Log!$C:$C, $A262, Log!$B:$B, "n/a", Log!$A:$A, "Daily", Log!$D:$D, $C$3), "")</f>
        <v/>
      </c>
      <c r="F262" s="192"/>
      <c r="G262" s="192"/>
      <c r="H262" s="108" t="str">
        <f>'Daily WE'!N259</f>
        <v/>
      </c>
      <c r="I262" s="108" t="str">
        <f>'Daily WE'!Q259</f>
        <v/>
      </c>
    </row>
    <row r="263" spans="5:9" x14ac:dyDescent="0.3">
      <c r="E263" s="36" t="str">
        <f>IFERROR(AVERAGEIFS(Log!$E:$E, Log!$C:$C, $A263, Log!$B:$B, "n/a", Log!$A:$A, "Daily", Log!$D:$D, $C$3), "")</f>
        <v/>
      </c>
      <c r="F263" s="192"/>
      <c r="G263" s="192"/>
      <c r="H263" s="108" t="str">
        <f>'Daily WE'!N260</f>
        <v/>
      </c>
      <c r="I263" s="108" t="str">
        <f>'Daily WE'!Q260</f>
        <v/>
      </c>
    </row>
    <row r="264" spans="5:9" x14ac:dyDescent="0.3">
      <c r="E264" s="36" t="str">
        <f>IFERROR(AVERAGEIFS(Log!$E:$E, Log!$C:$C, $A264, Log!$B:$B, "n/a", Log!$A:$A, "Daily", Log!$D:$D, $C$3), "")</f>
        <v/>
      </c>
      <c r="F264" s="192"/>
      <c r="G264" s="192"/>
      <c r="H264" s="108" t="str">
        <f>'Daily WE'!N261</f>
        <v/>
      </c>
      <c r="I264" s="108" t="str">
        <f>'Daily WE'!Q261</f>
        <v/>
      </c>
    </row>
    <row r="265" spans="5:9" x14ac:dyDescent="0.3">
      <c r="E265" s="36" t="str">
        <f>IFERROR(AVERAGEIFS(Log!$E:$E, Log!$C:$C, $A265, Log!$B:$B, "n/a", Log!$A:$A, "Daily", Log!$D:$D, $C$3), "")</f>
        <v/>
      </c>
      <c r="F265" s="192"/>
      <c r="G265" s="192"/>
      <c r="H265" s="108" t="str">
        <f>'Daily WE'!N262</f>
        <v/>
      </c>
      <c r="I265" s="108" t="str">
        <f>'Daily WE'!Q262</f>
        <v/>
      </c>
    </row>
    <row r="266" spans="5:9" x14ac:dyDescent="0.3">
      <c r="E266" s="36" t="str">
        <f>IFERROR(AVERAGEIFS(Log!$E:$E, Log!$C:$C, $A266, Log!$B:$B, "n/a", Log!$A:$A, "Daily", Log!$D:$D, $C$3), "")</f>
        <v/>
      </c>
      <c r="F266" s="192"/>
      <c r="G266" s="192"/>
      <c r="H266" s="108" t="str">
        <f>'Daily WE'!N263</f>
        <v/>
      </c>
      <c r="I266" s="108" t="str">
        <f>'Daily WE'!Q263</f>
        <v/>
      </c>
    </row>
    <row r="267" spans="5:9" x14ac:dyDescent="0.3">
      <c r="E267" s="36" t="str">
        <f>IFERROR(AVERAGEIFS(Log!$E:$E, Log!$C:$C, $A267, Log!$B:$B, "n/a", Log!$A:$A, "Daily", Log!$D:$D, $C$3), "")</f>
        <v/>
      </c>
      <c r="F267" s="192"/>
      <c r="G267" s="192"/>
      <c r="H267" s="108" t="str">
        <f>'Daily WE'!N264</f>
        <v/>
      </c>
      <c r="I267" s="108" t="str">
        <f>'Daily WE'!Q264</f>
        <v/>
      </c>
    </row>
    <row r="268" spans="5:9" x14ac:dyDescent="0.3">
      <c r="E268" s="36" t="str">
        <f>IFERROR(AVERAGEIFS(Log!$E:$E, Log!$C:$C, $A268, Log!$B:$B, "n/a", Log!$A:$A, "Daily", Log!$D:$D, $C$3), "")</f>
        <v/>
      </c>
      <c r="F268" s="192"/>
      <c r="G268" s="192"/>
      <c r="H268" s="108" t="str">
        <f>'Daily WE'!N265</f>
        <v/>
      </c>
      <c r="I268" s="108" t="str">
        <f>'Daily WE'!Q265</f>
        <v/>
      </c>
    </row>
    <row r="269" spans="5:9" x14ac:dyDescent="0.3">
      <c r="E269" s="36" t="str">
        <f>IFERROR(AVERAGEIFS(Log!$E:$E, Log!$C:$C, $A269, Log!$B:$B, "n/a", Log!$A:$A, "Daily", Log!$D:$D, $C$3), "")</f>
        <v/>
      </c>
      <c r="F269" s="192"/>
      <c r="G269" s="192"/>
      <c r="H269" s="108" t="str">
        <f>'Daily WE'!N266</f>
        <v/>
      </c>
      <c r="I269" s="108" t="str">
        <f>'Daily WE'!Q266</f>
        <v/>
      </c>
    </row>
    <row r="270" spans="5:9" x14ac:dyDescent="0.3">
      <c r="E270" s="36" t="str">
        <f>IFERROR(AVERAGEIFS(Log!$E:$E, Log!$C:$C, $A270, Log!$B:$B, "n/a", Log!$A:$A, "Daily", Log!$D:$D, $C$3), "")</f>
        <v/>
      </c>
      <c r="F270" s="192"/>
      <c r="G270" s="192"/>
      <c r="H270" s="108" t="str">
        <f>'Daily WE'!N267</f>
        <v/>
      </c>
      <c r="I270" s="108" t="str">
        <f>'Daily WE'!Q267</f>
        <v/>
      </c>
    </row>
    <row r="271" spans="5:9" x14ac:dyDescent="0.3">
      <c r="E271" s="36" t="str">
        <f>IFERROR(AVERAGEIFS(Log!$E:$E, Log!$C:$C, $A271, Log!$B:$B, "n/a", Log!$A:$A, "Daily", Log!$D:$D, $C$3), "")</f>
        <v/>
      </c>
      <c r="F271" s="192"/>
      <c r="G271" s="192"/>
      <c r="H271" s="108" t="str">
        <f>'Daily WE'!N268</f>
        <v/>
      </c>
      <c r="I271" s="108" t="str">
        <f>'Daily WE'!Q268</f>
        <v/>
      </c>
    </row>
    <row r="272" spans="5:9" x14ac:dyDescent="0.3">
      <c r="E272" s="36" t="str">
        <f>IFERROR(AVERAGEIFS(Log!$E:$E, Log!$C:$C, $A272, Log!$B:$B, "n/a", Log!$A:$A, "Daily", Log!$D:$D, $C$3), "")</f>
        <v/>
      </c>
      <c r="F272" s="192"/>
      <c r="G272" s="192"/>
      <c r="H272" s="108" t="str">
        <f>'Daily WE'!N269</f>
        <v/>
      </c>
      <c r="I272" s="108" t="str">
        <f>'Daily WE'!Q269</f>
        <v/>
      </c>
    </row>
    <row r="273" spans="5:9" x14ac:dyDescent="0.3">
      <c r="E273" s="36" t="str">
        <f>IFERROR(AVERAGEIFS(Log!$E:$E, Log!$C:$C, $A273, Log!$B:$B, "n/a", Log!$A:$A, "Daily", Log!$D:$D, $C$3), "")</f>
        <v/>
      </c>
      <c r="F273" s="192"/>
      <c r="G273" s="192"/>
      <c r="H273" s="108" t="str">
        <f>'Daily WE'!N270</f>
        <v/>
      </c>
      <c r="I273" s="108" t="str">
        <f>'Daily WE'!Q270</f>
        <v/>
      </c>
    </row>
    <row r="274" spans="5:9" x14ac:dyDescent="0.3">
      <c r="E274" s="36" t="str">
        <f>IFERROR(AVERAGEIFS(Log!$E:$E, Log!$C:$C, $A274, Log!$B:$B, "n/a", Log!$A:$A, "Daily", Log!$D:$D, $C$3), "")</f>
        <v/>
      </c>
      <c r="F274" s="192"/>
      <c r="G274" s="192"/>
      <c r="H274" s="108" t="str">
        <f>'Daily WE'!N271</f>
        <v/>
      </c>
      <c r="I274" s="108" t="str">
        <f>'Daily WE'!Q271</f>
        <v/>
      </c>
    </row>
    <row r="275" spans="5:9" x14ac:dyDescent="0.3">
      <c r="E275" s="36" t="str">
        <f>IFERROR(AVERAGEIFS(Log!$E:$E, Log!$C:$C, $A275, Log!$B:$B, "n/a", Log!$A:$A, "Daily", Log!$D:$D, $C$3), "")</f>
        <v/>
      </c>
      <c r="F275" s="192"/>
      <c r="G275" s="192"/>
      <c r="H275" s="108" t="str">
        <f>'Daily WE'!N272</f>
        <v/>
      </c>
      <c r="I275" s="108" t="str">
        <f>'Daily WE'!Q272</f>
        <v/>
      </c>
    </row>
    <row r="276" spans="5:9" x14ac:dyDescent="0.3">
      <c r="E276" s="36" t="str">
        <f>IFERROR(AVERAGEIFS(Log!$E:$E, Log!$C:$C, $A276, Log!$B:$B, "n/a", Log!$A:$A, "Daily", Log!$D:$D, $C$3), "")</f>
        <v/>
      </c>
      <c r="F276" s="192"/>
      <c r="G276" s="192"/>
      <c r="H276" s="108" t="str">
        <f>'Daily WE'!N273</f>
        <v/>
      </c>
      <c r="I276" s="108" t="str">
        <f>'Daily WE'!Q273</f>
        <v/>
      </c>
    </row>
    <row r="277" spans="5:9" x14ac:dyDescent="0.3">
      <c r="E277" s="36" t="str">
        <f>IFERROR(AVERAGEIFS(Log!$E:$E, Log!$C:$C, $A277, Log!$B:$B, "n/a", Log!$A:$A, "Daily", Log!$D:$D, $C$3), "")</f>
        <v/>
      </c>
      <c r="F277" s="192"/>
      <c r="G277" s="192"/>
      <c r="H277" s="108" t="str">
        <f>'Daily WE'!N274</f>
        <v/>
      </c>
      <c r="I277" s="108" t="str">
        <f>'Daily WE'!Q274</f>
        <v/>
      </c>
    </row>
    <row r="278" spans="5:9" x14ac:dyDescent="0.3">
      <c r="E278" s="36" t="str">
        <f>IFERROR(AVERAGEIFS(Log!$E:$E, Log!$C:$C, $A278, Log!$B:$B, "n/a", Log!$A:$A, "Daily", Log!$D:$D, $C$3), "")</f>
        <v/>
      </c>
      <c r="F278" s="192"/>
      <c r="G278" s="192"/>
      <c r="H278" s="108" t="str">
        <f>'Daily WE'!N275</f>
        <v/>
      </c>
      <c r="I278" s="108" t="str">
        <f>'Daily WE'!Q275</f>
        <v/>
      </c>
    </row>
    <row r="279" spans="5:9" x14ac:dyDescent="0.3">
      <c r="E279" s="36" t="str">
        <f>IFERROR(AVERAGEIFS(Log!$E:$E, Log!$C:$C, $A279, Log!$B:$B, "n/a", Log!$A:$A, "Daily", Log!$D:$D, $C$3), "")</f>
        <v/>
      </c>
      <c r="F279" s="192"/>
      <c r="G279" s="192"/>
      <c r="H279" s="108" t="str">
        <f>'Daily WE'!N276</f>
        <v/>
      </c>
      <c r="I279" s="108" t="str">
        <f>'Daily WE'!Q276</f>
        <v/>
      </c>
    </row>
    <row r="280" spans="5:9" x14ac:dyDescent="0.3">
      <c r="E280" s="36" t="str">
        <f>IFERROR(AVERAGEIFS(Log!$E:$E, Log!$C:$C, $A280, Log!$B:$B, "n/a", Log!$A:$A, "Daily", Log!$D:$D, $C$3), "")</f>
        <v/>
      </c>
      <c r="F280" s="192"/>
      <c r="G280" s="192"/>
      <c r="H280" s="108" t="str">
        <f>'Daily WE'!N277</f>
        <v/>
      </c>
      <c r="I280" s="108" t="str">
        <f>'Daily WE'!Q277</f>
        <v/>
      </c>
    </row>
    <row r="281" spans="5:9" x14ac:dyDescent="0.3">
      <c r="E281" s="36" t="str">
        <f>IFERROR(AVERAGEIFS(Log!$E:$E, Log!$C:$C, $A281, Log!$B:$B, "n/a", Log!$A:$A, "Daily", Log!$D:$D, $C$3), "")</f>
        <v/>
      </c>
      <c r="F281" s="192"/>
      <c r="G281" s="192"/>
      <c r="H281" s="108" t="str">
        <f>'Daily WE'!N278</f>
        <v/>
      </c>
      <c r="I281" s="108" t="str">
        <f>'Daily WE'!Q278</f>
        <v/>
      </c>
    </row>
    <row r="282" spans="5:9" x14ac:dyDescent="0.3">
      <c r="E282" s="36" t="str">
        <f>IFERROR(AVERAGEIFS(Log!$E:$E, Log!$C:$C, $A282, Log!$B:$B, "n/a", Log!$A:$A, "Daily", Log!$D:$D, $C$3), "")</f>
        <v/>
      </c>
      <c r="F282" s="192"/>
      <c r="G282" s="192"/>
      <c r="H282" s="108" t="str">
        <f>'Daily WE'!N279</f>
        <v/>
      </c>
      <c r="I282" s="108" t="str">
        <f>'Daily WE'!Q279</f>
        <v/>
      </c>
    </row>
    <row r="283" spans="5:9" x14ac:dyDescent="0.3">
      <c r="E283" s="36" t="str">
        <f>IFERROR(AVERAGEIFS(Log!$E:$E, Log!$C:$C, $A283, Log!$B:$B, "n/a", Log!$A:$A, "Daily", Log!$D:$D, $C$3), "")</f>
        <v/>
      </c>
      <c r="F283" s="192"/>
      <c r="G283" s="192"/>
      <c r="H283" s="108" t="str">
        <f>'Daily WE'!N280</f>
        <v/>
      </c>
      <c r="I283" s="108" t="str">
        <f>'Daily WE'!Q280</f>
        <v/>
      </c>
    </row>
    <row r="284" spans="5:9" x14ac:dyDescent="0.3">
      <c r="E284" s="36" t="str">
        <f>IFERROR(AVERAGEIFS(Log!$E:$E, Log!$C:$C, $A284, Log!$B:$B, "n/a", Log!$A:$A, "Daily", Log!$D:$D, $C$3), "")</f>
        <v/>
      </c>
      <c r="F284" s="192"/>
      <c r="G284" s="192"/>
      <c r="H284" s="108" t="str">
        <f>'Daily WE'!N281</f>
        <v/>
      </c>
      <c r="I284" s="108" t="str">
        <f>'Daily WE'!Q281</f>
        <v/>
      </c>
    </row>
    <row r="285" spans="5:9" x14ac:dyDescent="0.3">
      <c r="E285" s="36" t="str">
        <f>IFERROR(AVERAGEIFS(Log!$E:$E, Log!$C:$C, $A285, Log!$B:$B, "n/a", Log!$A:$A, "Daily", Log!$D:$D, $C$3), "")</f>
        <v/>
      </c>
      <c r="F285" s="192"/>
      <c r="G285" s="192"/>
      <c r="H285" s="108" t="str">
        <f>'Daily WE'!N282</f>
        <v/>
      </c>
      <c r="I285" s="108" t="str">
        <f>'Daily WE'!Q282</f>
        <v/>
      </c>
    </row>
    <row r="286" spans="5:9" x14ac:dyDescent="0.3">
      <c r="E286" s="36" t="str">
        <f>IFERROR(AVERAGEIFS(Log!$E:$E, Log!$C:$C, $A286, Log!$B:$B, "n/a", Log!$A:$A, "Daily", Log!$D:$D, $C$3), "")</f>
        <v/>
      </c>
      <c r="F286" s="192"/>
      <c r="G286" s="192"/>
      <c r="H286" s="108" t="str">
        <f>'Daily WE'!N283</f>
        <v/>
      </c>
      <c r="I286" s="108" t="str">
        <f>'Daily WE'!Q283</f>
        <v/>
      </c>
    </row>
    <row r="287" spans="5:9" x14ac:dyDescent="0.3">
      <c r="E287" s="36" t="str">
        <f>IFERROR(AVERAGEIFS(Log!$E:$E, Log!$C:$C, $A287, Log!$B:$B, "n/a", Log!$A:$A, "Daily", Log!$D:$D, $C$3), "")</f>
        <v/>
      </c>
      <c r="F287" s="192"/>
      <c r="G287" s="192"/>
      <c r="H287" s="108" t="str">
        <f>'Daily WE'!N284</f>
        <v/>
      </c>
      <c r="I287" s="108" t="str">
        <f>'Daily WE'!Q284</f>
        <v/>
      </c>
    </row>
    <row r="288" spans="5:9" x14ac:dyDescent="0.3">
      <c r="E288" s="36" t="str">
        <f>IFERROR(AVERAGEIFS(Log!$E:$E, Log!$C:$C, $A288, Log!$B:$B, "n/a", Log!$A:$A, "Daily", Log!$D:$D, $C$3), "")</f>
        <v/>
      </c>
      <c r="F288" s="192"/>
      <c r="G288" s="192"/>
      <c r="H288" s="108" t="str">
        <f>'Daily WE'!N285</f>
        <v/>
      </c>
      <c r="I288" s="108" t="str">
        <f>'Daily WE'!Q285</f>
        <v/>
      </c>
    </row>
    <row r="289" spans="5:9" x14ac:dyDescent="0.3">
      <c r="E289" s="36" t="str">
        <f>IFERROR(AVERAGEIFS(Log!$E:$E, Log!$C:$C, $A289, Log!$B:$B, "n/a", Log!$A:$A, "Daily", Log!$D:$D, $C$3), "")</f>
        <v/>
      </c>
      <c r="F289" s="192"/>
      <c r="G289" s="192"/>
      <c r="H289" s="108" t="str">
        <f>'Daily WE'!N286</f>
        <v/>
      </c>
      <c r="I289" s="108" t="str">
        <f>'Daily WE'!Q286</f>
        <v/>
      </c>
    </row>
    <row r="290" spans="5:9" x14ac:dyDescent="0.3">
      <c r="E290" s="36" t="str">
        <f>IFERROR(AVERAGEIFS(Log!$E:$E, Log!$C:$C, $A290, Log!$B:$B, "n/a", Log!$A:$A, "Daily", Log!$D:$D, $C$3), "")</f>
        <v/>
      </c>
      <c r="F290" s="192"/>
      <c r="G290" s="192"/>
      <c r="H290" s="108" t="str">
        <f>'Daily WE'!N287</f>
        <v/>
      </c>
      <c r="I290" s="108" t="str">
        <f>'Daily WE'!Q287</f>
        <v/>
      </c>
    </row>
    <row r="291" spans="5:9" x14ac:dyDescent="0.3">
      <c r="E291" s="36" t="str">
        <f>IFERROR(AVERAGEIFS(Log!$E:$E, Log!$C:$C, $A291, Log!$B:$B, "n/a", Log!$A:$A, "Daily", Log!$D:$D, $C$3), "")</f>
        <v/>
      </c>
      <c r="F291" s="192"/>
      <c r="G291" s="192"/>
      <c r="H291" s="108" t="str">
        <f>'Daily WE'!N288</f>
        <v/>
      </c>
      <c r="I291" s="108" t="str">
        <f>'Daily WE'!Q288</f>
        <v/>
      </c>
    </row>
    <row r="292" spans="5:9" x14ac:dyDescent="0.3">
      <c r="E292" s="36" t="str">
        <f>IFERROR(AVERAGEIFS(Log!$E:$E, Log!$C:$C, $A292, Log!$B:$B, "n/a", Log!$A:$A, "Daily", Log!$D:$D, $C$3), "")</f>
        <v/>
      </c>
      <c r="F292" s="192"/>
      <c r="G292" s="192"/>
      <c r="H292" s="108" t="str">
        <f>'Daily WE'!N289</f>
        <v/>
      </c>
      <c r="I292" s="108" t="str">
        <f>'Daily WE'!Q289</f>
        <v/>
      </c>
    </row>
    <row r="293" spans="5:9" x14ac:dyDescent="0.3">
      <c r="E293" s="36" t="str">
        <f>IFERROR(AVERAGEIFS(Log!$E:$E, Log!$C:$C, $A293, Log!$B:$B, "n/a", Log!$A:$A, "Daily", Log!$D:$D, $C$3), "")</f>
        <v/>
      </c>
      <c r="F293" s="192"/>
      <c r="G293" s="192"/>
      <c r="H293" s="108" t="str">
        <f>'Daily WE'!N290</f>
        <v/>
      </c>
      <c r="I293" s="108" t="str">
        <f>'Daily WE'!Q290</f>
        <v/>
      </c>
    </row>
    <row r="294" spans="5:9" x14ac:dyDescent="0.3">
      <c r="E294" s="36" t="str">
        <f>IFERROR(AVERAGEIFS(Log!$E:$E, Log!$C:$C, $A294, Log!$B:$B, "n/a", Log!$A:$A, "Daily", Log!$D:$D, $C$3), "")</f>
        <v/>
      </c>
      <c r="F294" s="192"/>
      <c r="G294" s="192"/>
      <c r="H294" s="108" t="str">
        <f>'Daily WE'!N291</f>
        <v/>
      </c>
      <c r="I294" s="108" t="str">
        <f>'Daily WE'!Q291</f>
        <v/>
      </c>
    </row>
    <row r="295" spans="5:9" x14ac:dyDescent="0.3">
      <c r="E295" s="36" t="str">
        <f>IFERROR(AVERAGEIFS(Log!$E:$E, Log!$C:$C, $A295, Log!$B:$B, "n/a", Log!$A:$A, "Daily", Log!$D:$D, $C$3), "")</f>
        <v/>
      </c>
      <c r="F295" s="192"/>
      <c r="G295" s="192"/>
      <c r="H295" s="108" t="str">
        <f>'Daily WE'!N292</f>
        <v/>
      </c>
      <c r="I295" s="108" t="str">
        <f>'Daily WE'!Q292</f>
        <v/>
      </c>
    </row>
    <row r="296" spans="5:9" x14ac:dyDescent="0.3">
      <c r="E296" s="36" t="str">
        <f>IFERROR(AVERAGEIFS(Log!$E:$E, Log!$C:$C, $A296, Log!$B:$B, "n/a", Log!$A:$A, "Daily", Log!$D:$D, $C$3), "")</f>
        <v/>
      </c>
      <c r="F296" s="192"/>
      <c r="G296" s="192"/>
    </row>
    <row r="297" spans="5:9" x14ac:dyDescent="0.3">
      <c r="E297" s="36" t="str">
        <f>IFERROR(AVERAGEIFS(Log!$E:$E, Log!$C:$C, $A297, Log!$B:$B, "n/a", Log!$A:$A, "Daily", Log!$D:$D, $C$3), "")</f>
        <v/>
      </c>
      <c r="F297" s="192"/>
      <c r="G297" s="192"/>
    </row>
    <row r="298" spans="5:9" x14ac:dyDescent="0.3">
      <c r="E298" s="36" t="str">
        <f>IFERROR(AVERAGEIFS(Log!$E:$E, Log!$C:$C, $A298, Log!$B:$B, "n/a", Log!$A:$A, "Daily", Log!$D:$D, $C$3), "")</f>
        <v/>
      </c>
      <c r="F298" s="192"/>
      <c r="G298" s="192"/>
    </row>
    <row r="299" spans="5:9" x14ac:dyDescent="0.3">
      <c r="E299" s="36" t="str">
        <f>IFERROR(AVERAGEIFS(Log!$E:$E, Log!$C:$C, $A299, Log!$B:$B, "n/a", Log!$A:$A, "Daily", Log!$D:$D, $C$3), "")</f>
        <v/>
      </c>
      <c r="F299" s="192"/>
      <c r="G299" s="192"/>
    </row>
    <row r="300" spans="5:9" x14ac:dyDescent="0.3">
      <c r="E300" s="36" t="str">
        <f>IFERROR(AVERAGEIFS(Log!$E:$E, Log!$C:$C, $A300, Log!$B:$B, "n/a", Log!$A:$A, "Daily", Log!$D:$D, $C$3), "")</f>
        <v/>
      </c>
      <c r="F300" s="192"/>
      <c r="G300" s="192"/>
    </row>
    <row r="301" spans="5:9" x14ac:dyDescent="0.3">
      <c r="E301" s="36" t="str">
        <f>IFERROR(AVERAGEIFS(Log!$E:$E, Log!$C:$C, $A301, Log!$B:$B, "n/a", Log!$A:$A, "Daily", Log!$D:$D, $C$3), "")</f>
        <v/>
      </c>
      <c r="F301" s="192"/>
      <c r="G301" s="192"/>
    </row>
    <row r="302" spans="5:9" x14ac:dyDescent="0.3">
      <c r="E302" s="36" t="str">
        <f>IFERROR(AVERAGEIFS(Log!$E:$E, Log!$C:$C, $A302, Log!$B:$B, "n/a", Log!$A:$A, "Daily", Log!$D:$D, $C$3), "")</f>
        <v/>
      </c>
      <c r="F302" s="192"/>
      <c r="G302" s="192"/>
    </row>
    <row r="303" spans="5:9" x14ac:dyDescent="0.3">
      <c r="E303" s="36" t="str">
        <f>IFERROR(AVERAGEIFS(Log!$E:$E, Log!$C:$C, $A303, Log!$B:$B, "n/a", Log!$A:$A, "Daily", Log!$D:$D, $C$3), "")</f>
        <v/>
      </c>
      <c r="F303" s="192"/>
      <c r="G303" s="192"/>
    </row>
    <row r="304" spans="5:9" x14ac:dyDescent="0.3">
      <c r="E304" s="36" t="str">
        <f>IFERROR(AVERAGEIFS(Log!$E:$E, Log!$C:$C, $A304, Log!$B:$B, "n/a", Log!$A:$A, "Daily", Log!$D:$D, $C$3), "")</f>
        <v/>
      </c>
      <c r="F304" s="192"/>
      <c r="G304" s="192"/>
    </row>
    <row r="305" spans="5:7" x14ac:dyDescent="0.3">
      <c r="E305" s="36" t="str">
        <f>IFERROR(AVERAGEIFS(Log!$E:$E, Log!$C:$C, $A305, Log!$B:$B, "n/a", Log!$A:$A, "Daily", Log!$D:$D, $C$3), "")</f>
        <v/>
      </c>
      <c r="F305" s="192"/>
      <c r="G305" s="192"/>
    </row>
    <row r="306" spans="5:7" x14ac:dyDescent="0.3">
      <c r="E306" s="36" t="str">
        <f>IFERROR(AVERAGEIFS(Log!$E:$E, Log!$C:$C, $A306, Log!$B:$B, "n/a", Log!$A:$A, "Daily", Log!$D:$D, $C$3), "")</f>
        <v/>
      </c>
      <c r="F306" s="192"/>
      <c r="G306" s="192"/>
    </row>
    <row r="307" spans="5:7" x14ac:dyDescent="0.3">
      <c r="E307" s="36" t="str">
        <f>IFERROR(AVERAGEIFS(Log!$E:$E, Log!$C:$C, $A307, Log!$B:$B, "n/a", Log!$A:$A, "Daily", Log!$D:$D, $C$3), "")</f>
        <v/>
      </c>
      <c r="F307" s="192"/>
      <c r="G307" s="192"/>
    </row>
    <row r="308" spans="5:7" x14ac:dyDescent="0.3">
      <c r="E308" s="36" t="str">
        <f>IFERROR(AVERAGEIFS(Log!$E:$E, Log!$C:$C, $A308, Log!$B:$B, "n/a", Log!$A:$A, "Daily", Log!$D:$D, $C$3), "")</f>
        <v/>
      </c>
      <c r="F308" s="192"/>
      <c r="G308" s="192"/>
    </row>
    <row r="309" spans="5:7" x14ac:dyDescent="0.3">
      <c r="E309" s="36" t="str">
        <f>IFERROR(AVERAGEIFS(Log!$E:$E, Log!$C:$C, $A309, Log!$B:$B, "n/a", Log!$A:$A, "Daily", Log!$D:$D, $C$3), "")</f>
        <v/>
      </c>
      <c r="F309" s="192"/>
      <c r="G309" s="192"/>
    </row>
    <row r="310" spans="5:7" x14ac:dyDescent="0.3">
      <c r="E310" s="36" t="str">
        <f>IFERROR(AVERAGEIFS(Log!$E:$E, Log!$C:$C, $A310, Log!$B:$B, "n/a", Log!$A:$A, "Daily", Log!$D:$D, $C$3), "")</f>
        <v/>
      </c>
      <c r="F310" s="192"/>
      <c r="G310" s="192"/>
    </row>
    <row r="311" spans="5:7" x14ac:dyDescent="0.3">
      <c r="E311" s="36" t="str">
        <f>IFERROR(AVERAGEIFS(Log!$E:$E, Log!$C:$C, $A311, Log!$B:$B, "n/a", Log!$A:$A, "Daily", Log!$D:$D, $C$3), "")</f>
        <v/>
      </c>
      <c r="F311" s="192"/>
      <c r="G311" s="192"/>
    </row>
    <row r="312" spans="5:7" x14ac:dyDescent="0.3">
      <c r="E312" s="36" t="str">
        <f>IFERROR(AVERAGEIFS(Log!$E:$E, Log!$C:$C, $A312, Log!$B:$B, "n/a", Log!$A:$A, "Daily", Log!$D:$D, $C$3), "")</f>
        <v/>
      </c>
      <c r="F312" s="192"/>
      <c r="G312" s="192"/>
    </row>
    <row r="313" spans="5:7" x14ac:dyDescent="0.3">
      <c r="E313" s="36" t="str">
        <f>IFERROR(AVERAGEIFS(Log!$E:$E, Log!$C:$C, $A313, Log!$B:$B, "n/a", Log!$A:$A, "Daily", Log!$D:$D, $C$3), "")</f>
        <v/>
      </c>
      <c r="F313" s="192"/>
      <c r="G313" s="192"/>
    </row>
    <row r="314" spans="5:7" x14ac:dyDescent="0.3">
      <c r="E314" s="36" t="str">
        <f>IFERROR(AVERAGEIFS(Log!$E:$E, Log!$C:$C, $A314, Log!$B:$B, "n/a", Log!$A:$A, "Daily", Log!$D:$D, $C$3), "")</f>
        <v/>
      </c>
      <c r="F314" s="192"/>
      <c r="G314" s="192"/>
    </row>
    <row r="315" spans="5:7" x14ac:dyDescent="0.3">
      <c r="E315" s="36" t="str">
        <f>IFERROR(AVERAGEIFS(Log!$E:$E, Log!$C:$C, $A315, Log!$B:$B, "n/a", Log!$A:$A, "Daily", Log!$D:$D, $C$3), "")</f>
        <v/>
      </c>
      <c r="F315" s="192"/>
      <c r="G315" s="192"/>
    </row>
    <row r="316" spans="5:7" x14ac:dyDescent="0.3">
      <c r="E316" s="36" t="str">
        <f>IFERROR(AVERAGEIFS(Log!$E:$E, Log!$C:$C, $A316, Log!$B:$B, "n/a", Log!$A:$A, "Daily", Log!$D:$D, $C$3), "")</f>
        <v/>
      </c>
      <c r="F316" s="192"/>
      <c r="G316" s="192"/>
    </row>
    <row r="317" spans="5:7" x14ac:dyDescent="0.3">
      <c r="E317" s="36" t="str">
        <f>IFERROR(AVERAGEIFS(Log!$E:$E, Log!$C:$C, $A317, Log!$B:$B, "n/a", Log!$A:$A, "Daily", Log!$D:$D, $C$3), "")</f>
        <v/>
      </c>
      <c r="F317" s="192"/>
      <c r="G317" s="192"/>
    </row>
    <row r="318" spans="5:7" x14ac:dyDescent="0.3">
      <c r="E318" s="36" t="str">
        <f>IFERROR(AVERAGEIFS(Log!$E:$E, Log!$C:$C, $A318, Log!$B:$B, "n/a", Log!$A:$A, "Daily", Log!$D:$D, $C$3), "")</f>
        <v/>
      </c>
      <c r="F318" s="192"/>
      <c r="G318" s="192"/>
    </row>
    <row r="319" spans="5:7" x14ac:dyDescent="0.3">
      <c r="E319" s="36" t="str">
        <f>IFERROR(AVERAGEIFS(Log!$E:$E, Log!$C:$C, $A319, Log!$B:$B, "n/a", Log!$A:$A, "Daily", Log!$D:$D, $C$3), "")</f>
        <v/>
      </c>
      <c r="F319" s="192"/>
      <c r="G319" s="192"/>
    </row>
    <row r="320" spans="5:7" x14ac:dyDescent="0.3">
      <c r="E320" s="36" t="str">
        <f>IFERROR(AVERAGEIFS(Log!$E:$E, Log!$C:$C, $A320, Log!$B:$B, "n/a", Log!$A:$A, "Daily", Log!$D:$D, $C$3), "")</f>
        <v/>
      </c>
      <c r="F320" s="192"/>
      <c r="G320" s="192"/>
    </row>
    <row r="321" spans="5:7" x14ac:dyDescent="0.3">
      <c r="E321" s="36" t="str">
        <f>IFERROR(AVERAGEIFS(Log!$E:$E, Log!$C:$C, $A321, Log!$B:$B, "n/a", Log!$A:$A, "Daily", Log!$D:$D, $C$3), "")</f>
        <v/>
      </c>
      <c r="F321" s="192"/>
      <c r="G321" s="192"/>
    </row>
    <row r="322" spans="5:7" x14ac:dyDescent="0.3">
      <c r="E322" s="36" t="str">
        <f>IFERROR(AVERAGEIFS(Log!$E:$E, Log!$C:$C, $A322, Log!$B:$B, "n/a", Log!$A:$A, "Daily", Log!$D:$D, $C$3), "")</f>
        <v/>
      </c>
      <c r="F322" s="192"/>
      <c r="G322" s="192"/>
    </row>
    <row r="323" spans="5:7" x14ac:dyDescent="0.3">
      <c r="E323" s="36" t="str">
        <f>IFERROR(AVERAGEIFS(Log!$E:$E, Log!$C:$C, $A323, Log!$B:$B, "n/a", Log!$A:$A, "Daily", Log!$D:$D, $C$3), "")</f>
        <v/>
      </c>
      <c r="F323" s="192"/>
      <c r="G323" s="192"/>
    </row>
    <row r="324" spans="5:7" x14ac:dyDescent="0.3">
      <c r="E324" s="36" t="str">
        <f>IFERROR(AVERAGEIFS(Log!$E:$E, Log!$C:$C, $A324, Log!$B:$B, "n/a", Log!$A:$A, "Daily", Log!$D:$D, $C$3), "")</f>
        <v/>
      </c>
      <c r="F324" s="192"/>
      <c r="G324" s="192"/>
    </row>
    <row r="325" spans="5:7" x14ac:dyDescent="0.3">
      <c r="E325" s="36" t="str">
        <f>IFERROR(AVERAGEIFS(Log!$E:$E, Log!$C:$C, $A325, Log!$B:$B, "n/a", Log!$A:$A, "Daily", Log!$D:$D, $C$3), "")</f>
        <v/>
      </c>
      <c r="F325" s="192"/>
      <c r="G325" s="192"/>
    </row>
    <row r="326" spans="5:7" x14ac:dyDescent="0.3">
      <c r="E326" s="36" t="str">
        <f>IFERROR(AVERAGEIFS(Log!$E:$E, Log!$C:$C, $A326, Log!$B:$B, "n/a", Log!$A:$A, "Daily", Log!$D:$D, $C$3), "")</f>
        <v/>
      </c>
      <c r="F326" s="192"/>
      <c r="G326" s="192"/>
    </row>
    <row r="327" spans="5:7" x14ac:dyDescent="0.3">
      <c r="E327" s="36" t="str">
        <f>IFERROR(AVERAGEIFS(Log!$E:$E, Log!$C:$C, $A327, Log!$B:$B, "n/a", Log!$A:$A, "Daily", Log!$D:$D, $C$3), "")</f>
        <v/>
      </c>
      <c r="F327" s="192"/>
      <c r="G327" s="192"/>
    </row>
    <row r="328" spans="5:7" x14ac:dyDescent="0.3">
      <c r="E328" s="36" t="str">
        <f>IFERROR(AVERAGEIFS(Log!$E:$E, Log!$C:$C, $A328, Log!$B:$B, "n/a", Log!$A:$A, "Daily", Log!$D:$D, $C$3), "")</f>
        <v/>
      </c>
      <c r="F328" s="192"/>
      <c r="G328" s="192"/>
    </row>
    <row r="329" spans="5:7" x14ac:dyDescent="0.3">
      <c r="E329" s="36" t="str">
        <f>IFERROR(AVERAGEIFS(Log!$E:$E, Log!$C:$C, $A329, Log!$B:$B, "n/a", Log!$A:$A, "Daily", Log!$D:$D, $C$3), "")</f>
        <v/>
      </c>
      <c r="F329" s="192"/>
      <c r="G329" s="192"/>
    </row>
    <row r="330" spans="5:7" x14ac:dyDescent="0.3">
      <c r="E330" s="36" t="str">
        <f>IFERROR(AVERAGEIFS(Log!$E:$E, Log!$C:$C, $A330, Log!$B:$B, "n/a", Log!$A:$A, "Daily", Log!$D:$D, $C$3), "")</f>
        <v/>
      </c>
      <c r="F330" s="192"/>
      <c r="G330" s="192"/>
    </row>
    <row r="331" spans="5:7" x14ac:dyDescent="0.3">
      <c r="E331" s="36" t="str">
        <f>IFERROR(AVERAGEIFS(Log!$E:$E, Log!$C:$C, $A331, Log!$B:$B, "n/a", Log!$A:$A, "Daily", Log!$D:$D, $C$3), "")</f>
        <v/>
      </c>
      <c r="F331" s="192"/>
      <c r="G331" s="192"/>
    </row>
    <row r="332" spans="5:7" x14ac:dyDescent="0.3">
      <c r="E332" s="36" t="str">
        <f>IFERROR(AVERAGEIFS(Log!$E:$E, Log!$C:$C, $A332, Log!$B:$B, "n/a", Log!$A:$A, "Daily", Log!$D:$D, $C$3), "")</f>
        <v/>
      </c>
      <c r="F332" s="192"/>
      <c r="G332" s="192"/>
    </row>
    <row r="333" spans="5:7" x14ac:dyDescent="0.3">
      <c r="E333" s="36" t="str">
        <f>IFERROR(AVERAGEIFS(Log!$E:$E, Log!$C:$C, $A333, Log!$B:$B, "n/a", Log!$A:$A, "Daily", Log!$D:$D, $C$3), "")</f>
        <v/>
      </c>
      <c r="F333" s="192"/>
      <c r="G333" s="192"/>
    </row>
    <row r="334" spans="5:7" x14ac:dyDescent="0.3">
      <c r="E334" s="36" t="str">
        <f>IFERROR(AVERAGEIFS(Log!$E:$E, Log!$C:$C, $A334, Log!$B:$B, "n/a", Log!$A:$A, "Daily", Log!$D:$D, $C$3), "")</f>
        <v/>
      </c>
      <c r="F334" s="192"/>
      <c r="G334" s="192"/>
    </row>
    <row r="335" spans="5:7" x14ac:dyDescent="0.3">
      <c r="E335" s="36" t="str">
        <f>IFERROR(AVERAGEIFS(Log!$E:$E, Log!$C:$C, $A335, Log!$B:$B, "n/a", Log!$A:$A, "Daily", Log!$D:$D, $C$3), "")</f>
        <v/>
      </c>
      <c r="F335" s="192"/>
      <c r="G335" s="192"/>
    </row>
    <row r="336" spans="5:7" x14ac:dyDescent="0.3">
      <c r="E336" s="36" t="str">
        <f>IFERROR(AVERAGEIFS(Log!$E:$E, Log!$C:$C, $A336, Log!$B:$B, "n/a", Log!$A:$A, "Daily", Log!$D:$D, $C$3), "")</f>
        <v/>
      </c>
      <c r="F336" s="192"/>
      <c r="G336" s="192"/>
    </row>
    <row r="337" spans="5:7" x14ac:dyDescent="0.3">
      <c r="E337" s="36" t="str">
        <f>IFERROR(AVERAGEIFS(Log!$E:$E, Log!$C:$C, $A337, Log!$B:$B, "n/a", Log!$A:$A, "Daily", Log!$D:$D, $C$3), "")</f>
        <v/>
      </c>
      <c r="F337" s="192"/>
      <c r="G337" s="192"/>
    </row>
    <row r="338" spans="5:7" x14ac:dyDescent="0.3">
      <c r="E338" s="36" t="str">
        <f>IFERROR(AVERAGEIFS(Log!$E:$E, Log!$C:$C, $A338, Log!$B:$B, "n/a", Log!$A:$A, "Daily", Log!$D:$D, $C$3), "")</f>
        <v/>
      </c>
      <c r="F338" s="192"/>
      <c r="G338" s="192"/>
    </row>
    <row r="339" spans="5:7" x14ac:dyDescent="0.3">
      <c r="E339" s="36" t="str">
        <f>IFERROR(AVERAGEIFS(Log!$E:$E, Log!$C:$C, $A339, Log!$B:$B, "n/a", Log!$A:$A, "Daily", Log!$D:$D, $C$3), "")</f>
        <v/>
      </c>
      <c r="F339" s="192"/>
      <c r="G339" s="192"/>
    </row>
    <row r="340" spans="5:7" x14ac:dyDescent="0.3">
      <c r="E340" s="36" t="str">
        <f>IFERROR(AVERAGEIFS(Log!$E:$E, Log!$C:$C, $A340, Log!$B:$B, "n/a", Log!$A:$A, "Daily", Log!$D:$D, $C$3), "")</f>
        <v/>
      </c>
      <c r="F340" s="192"/>
      <c r="G340" s="192"/>
    </row>
    <row r="341" spans="5:7" x14ac:dyDescent="0.3">
      <c r="E341" s="36" t="str">
        <f>IFERROR(AVERAGEIFS(Log!$E:$E, Log!$C:$C, $A341, Log!$B:$B, "n/a", Log!$A:$A, "Daily", Log!$D:$D, $C$3), "")</f>
        <v/>
      </c>
      <c r="F341" s="192"/>
      <c r="G341" s="192"/>
    </row>
    <row r="342" spans="5:7" x14ac:dyDescent="0.3">
      <c r="E342" s="36" t="str">
        <f>IFERROR(AVERAGEIFS(Log!$E:$E, Log!$C:$C, $A342, Log!$B:$B, "n/a", Log!$A:$A, "Daily", Log!$D:$D, $C$3), "")</f>
        <v/>
      </c>
      <c r="F342" s="192"/>
      <c r="G342" s="192"/>
    </row>
    <row r="343" spans="5:7" x14ac:dyDescent="0.3">
      <c r="E343" s="36" t="str">
        <f>IFERROR(AVERAGEIFS(Log!$E:$E, Log!$C:$C, $A343, Log!$B:$B, "n/a", Log!$A:$A, "Daily", Log!$D:$D, $C$3), "")</f>
        <v/>
      </c>
      <c r="F343" s="192"/>
      <c r="G343" s="192"/>
    </row>
    <row r="344" spans="5:7" x14ac:dyDescent="0.3">
      <c r="E344" s="36" t="str">
        <f>IFERROR(AVERAGEIFS(Log!$E:$E, Log!$C:$C, $A344, Log!$B:$B, "n/a", Log!$A:$A, "Daily", Log!$D:$D, $C$3), "")</f>
        <v/>
      </c>
      <c r="F344" s="192"/>
      <c r="G344" s="192"/>
    </row>
    <row r="345" spans="5:7" x14ac:dyDescent="0.3">
      <c r="E345" s="36" t="str">
        <f>IFERROR(AVERAGEIFS(Log!$E:$E, Log!$C:$C, $A345, Log!$B:$B, "n/a", Log!$A:$A, "Daily", Log!$D:$D, $C$3), "")</f>
        <v/>
      </c>
      <c r="F345" s="192"/>
      <c r="G345" s="192"/>
    </row>
    <row r="346" spans="5:7" x14ac:dyDescent="0.3">
      <c r="E346" s="36" t="str">
        <f>IFERROR(AVERAGEIFS(Log!$E:$E, Log!$C:$C, $A346, Log!$B:$B, "n/a", Log!$A:$A, "Daily", Log!$D:$D, $C$3), "")</f>
        <v/>
      </c>
      <c r="F346" s="192"/>
      <c r="G346" s="192"/>
    </row>
    <row r="347" spans="5:7" x14ac:dyDescent="0.3">
      <c r="E347" s="36" t="str">
        <f>IFERROR(AVERAGEIFS(Log!$E:$E, Log!$C:$C, $A347, Log!$B:$B, "n/a", Log!$A:$A, "Daily", Log!$D:$D, $C$3), "")</f>
        <v/>
      </c>
      <c r="F347" s="192"/>
      <c r="G347" s="192"/>
    </row>
    <row r="348" spans="5:7" x14ac:dyDescent="0.3">
      <c r="E348" s="36" t="str">
        <f>IFERROR(AVERAGEIFS(Log!$E:$E, Log!$C:$C, $A348, Log!$B:$B, "n/a", Log!$A:$A, "Daily", Log!$D:$D, $C$3), "")</f>
        <v/>
      </c>
      <c r="F348" s="192"/>
      <c r="G348" s="192"/>
    </row>
    <row r="349" spans="5:7" x14ac:dyDescent="0.3">
      <c r="E349" s="36" t="str">
        <f>IFERROR(AVERAGEIFS(Log!$E:$E, Log!$C:$C, $A349, Log!$B:$B, "n/a", Log!$A:$A, "Daily", Log!$D:$D, $C$3), "")</f>
        <v/>
      </c>
      <c r="F349" s="192"/>
      <c r="G349" s="192"/>
    </row>
    <row r="350" spans="5:7" x14ac:dyDescent="0.3">
      <c r="E350" s="36" t="str">
        <f>IFERROR(AVERAGEIFS(Log!$E:$E, Log!$C:$C, $A350, Log!$B:$B, "n/a", Log!$A:$A, "Daily", Log!$D:$D, $C$3), "")</f>
        <v/>
      </c>
      <c r="F350" s="192"/>
      <c r="G350" s="192"/>
    </row>
    <row r="351" spans="5:7" x14ac:dyDescent="0.3">
      <c r="E351" s="36" t="str">
        <f>IFERROR(AVERAGEIFS(Log!$E:$E, Log!$C:$C, $A351, Log!$B:$B, "n/a", Log!$A:$A, "Daily", Log!$D:$D, $C$3), "")</f>
        <v/>
      </c>
      <c r="F351" s="192"/>
      <c r="G351" s="192"/>
    </row>
    <row r="352" spans="5:7" x14ac:dyDescent="0.3">
      <c r="E352" s="36" t="str">
        <f>IFERROR(AVERAGEIFS(Log!$E:$E, Log!$C:$C, $A352, Log!$B:$B, "n/a", Log!$A:$A, "Daily", Log!$D:$D, $C$3), "")</f>
        <v/>
      </c>
      <c r="F352" s="192"/>
      <c r="G352" s="192"/>
    </row>
    <row r="353" spans="5:7" x14ac:dyDescent="0.3">
      <c r="E353" s="36" t="str">
        <f>IFERROR(AVERAGEIFS(Log!$E:$E, Log!$C:$C, $A353, Log!$B:$B, "n/a", Log!$A:$A, "Daily", Log!$D:$D, $C$3), "")</f>
        <v/>
      </c>
      <c r="F353" s="192"/>
      <c r="G353" s="192"/>
    </row>
    <row r="354" spans="5:7" x14ac:dyDescent="0.3">
      <c r="E354" s="36" t="str">
        <f>IFERROR(AVERAGEIFS(Log!$E:$E, Log!$C:$C, $A354, Log!$B:$B, "n/a", Log!$A:$A, "Daily", Log!$D:$D, $C$3), "")</f>
        <v/>
      </c>
      <c r="F354" s="192"/>
      <c r="G354" s="192"/>
    </row>
    <row r="355" spans="5:7" x14ac:dyDescent="0.3">
      <c r="E355" s="36" t="str">
        <f>IFERROR(AVERAGEIFS(Log!$E:$E, Log!$C:$C, $A355, Log!$B:$B, "n/a", Log!$A:$A, "Daily", Log!$D:$D, $C$3), "")</f>
        <v/>
      </c>
      <c r="F355" s="192"/>
      <c r="G355" s="192"/>
    </row>
    <row r="356" spans="5:7" x14ac:dyDescent="0.3">
      <c r="E356" s="36" t="str">
        <f>IFERROR(AVERAGEIFS(Log!$E:$E, Log!$C:$C, $A356, Log!$B:$B, "n/a", Log!$A:$A, "Daily", Log!$D:$D, $C$3), "")</f>
        <v/>
      </c>
      <c r="F356" s="192"/>
      <c r="G356" s="192"/>
    </row>
    <row r="357" spans="5:7" x14ac:dyDescent="0.3">
      <c r="E357" s="36" t="str">
        <f>IFERROR(AVERAGEIFS(Log!$E:$E, Log!$C:$C, $A357, Log!$B:$B, "n/a", Log!$A:$A, "Daily", Log!$D:$D, $C$3), "")</f>
        <v/>
      </c>
      <c r="F357" s="192"/>
      <c r="G357" s="192"/>
    </row>
    <row r="358" spans="5:7" x14ac:dyDescent="0.3">
      <c r="E358" s="36" t="str">
        <f>IFERROR(AVERAGEIFS(Log!$E:$E, Log!$C:$C, $A358, Log!$B:$B, "n/a", Log!$A:$A, "Daily", Log!$D:$D, $C$3), "")</f>
        <v/>
      </c>
      <c r="F358" s="192"/>
      <c r="G358" s="192"/>
    </row>
    <row r="359" spans="5:7" x14ac:dyDescent="0.3">
      <c r="E359" s="36" t="str">
        <f>IFERROR(AVERAGEIFS(Log!$E:$E, Log!$C:$C, $A359, Log!$B:$B, "n/a", Log!$A:$A, "Daily", Log!$D:$D, $C$3), "")</f>
        <v/>
      </c>
      <c r="F359" s="192"/>
      <c r="G359" s="192"/>
    </row>
    <row r="360" spans="5:7" x14ac:dyDescent="0.3">
      <c r="E360" s="36" t="str">
        <f>IFERROR(AVERAGEIFS(Log!$E:$E, Log!$C:$C, $A360, Log!$B:$B, "n/a", Log!$A:$A, "Daily", Log!$D:$D, $C$3), "")</f>
        <v/>
      </c>
      <c r="F360" s="192"/>
      <c r="G360" s="192"/>
    </row>
    <row r="361" spans="5:7" x14ac:dyDescent="0.3">
      <c r="E361" s="36" t="str">
        <f>IFERROR(AVERAGEIFS(Log!$E:$E, Log!$C:$C, $A361, Log!$B:$B, "n/a", Log!$A:$A, "Daily", Log!$D:$D, $C$3), "")</f>
        <v/>
      </c>
      <c r="F361" s="192"/>
      <c r="G361" s="192"/>
    </row>
    <row r="362" spans="5:7" x14ac:dyDescent="0.3">
      <c r="E362" s="36" t="str">
        <f>IFERROR(AVERAGEIFS(Log!$E:$E, Log!$C:$C, $A362, Log!$B:$B, "n/a", Log!$A:$A, "Daily", Log!$D:$D, $C$3), "")</f>
        <v/>
      </c>
      <c r="F362" s="192"/>
      <c r="G362" s="192"/>
    </row>
    <row r="363" spans="5:7" x14ac:dyDescent="0.3">
      <c r="E363" s="36" t="str">
        <f>IFERROR(AVERAGEIFS(Log!$E:$E, Log!$C:$C, $A363, Log!$B:$B, "n/a", Log!$A:$A, "Daily", Log!$D:$D, $C$3), "")</f>
        <v/>
      </c>
      <c r="F363" s="192"/>
      <c r="G363" s="192"/>
    </row>
    <row r="364" spans="5:7" x14ac:dyDescent="0.3">
      <c r="E364" s="36" t="str">
        <f>IFERROR(AVERAGEIFS(Log!$E:$E, Log!$C:$C, $A364, Log!$B:$B, "n/a", Log!$A:$A, "Daily", Log!$D:$D, $C$3), "")</f>
        <v/>
      </c>
      <c r="F364" s="192"/>
      <c r="G364" s="192"/>
    </row>
    <row r="365" spans="5:7" x14ac:dyDescent="0.3">
      <c r="E365" s="36" t="str">
        <f>IFERROR(AVERAGEIFS(Log!$E:$E, Log!$C:$C, $A365, Log!$B:$B, "n/a", Log!$A:$A, "Daily", Log!$D:$D, $C$3), "")</f>
        <v/>
      </c>
      <c r="F365" s="192"/>
      <c r="G365" s="192"/>
    </row>
    <row r="366" spans="5:7" x14ac:dyDescent="0.3">
      <c r="E366" s="36" t="str">
        <f>IFERROR(AVERAGEIFS(Log!$E:$E, Log!$C:$C, $A366, Log!$B:$B, "n/a", Log!$A:$A, "Daily", Log!$D:$D, $C$3), "")</f>
        <v/>
      </c>
      <c r="F366" s="192"/>
      <c r="G366" s="192"/>
    </row>
    <row r="367" spans="5:7" x14ac:dyDescent="0.3">
      <c r="E367" s="36" t="str">
        <f>IFERROR(AVERAGEIFS(Log!$E:$E, Log!$C:$C, $A367, Log!$B:$B, "n/a", Log!$A:$A, "Daily", Log!$D:$D, $C$3), "")</f>
        <v/>
      </c>
      <c r="F367" s="192"/>
      <c r="G367" s="192"/>
    </row>
    <row r="368" spans="5:7" x14ac:dyDescent="0.3">
      <c r="E368" s="36" t="str">
        <f>IFERROR(AVERAGEIFS(Log!$E:$E, Log!$C:$C, $A368, Log!$B:$B, "n/a", Log!$A:$A, "Daily", Log!$D:$D, $C$3), "")</f>
        <v/>
      </c>
      <c r="F368" s="192"/>
      <c r="G368" s="192"/>
    </row>
    <row r="369" spans="5:7" x14ac:dyDescent="0.3">
      <c r="E369" s="36" t="str">
        <f>IFERROR(AVERAGEIFS(Log!$E:$E, Log!$C:$C, $A369, Log!$B:$B, "n/a", Log!$A:$A, "Daily", Log!$D:$D, $C$3), "")</f>
        <v/>
      </c>
      <c r="F369" s="192"/>
      <c r="G369" s="192"/>
    </row>
    <row r="370" spans="5:7" x14ac:dyDescent="0.3">
      <c r="E370" s="36" t="str">
        <f>IFERROR(AVERAGEIFS(Log!$E:$E, Log!$C:$C, $A370, Log!$B:$B, "n/a", Log!$A:$A, "Daily", Log!$D:$D, $C$3), "")</f>
        <v/>
      </c>
      <c r="F370" s="192"/>
      <c r="G370" s="192"/>
    </row>
    <row r="371" spans="5:7" x14ac:dyDescent="0.3">
      <c r="E371" s="36" t="str">
        <f>IFERROR(AVERAGEIFS(Log!$E:$E, Log!$C:$C, $A371, Log!$B:$B, "n/a", Log!$A:$A, "Daily", Log!$D:$D, $C$3), "")</f>
        <v/>
      </c>
      <c r="F371" s="192"/>
      <c r="G371" s="192"/>
    </row>
    <row r="372" spans="5:7" x14ac:dyDescent="0.3">
      <c r="E372" s="36" t="str">
        <f>IFERROR(AVERAGEIFS(Log!$E:$E, Log!$C:$C, $A372, Log!$B:$B, "n/a", Log!$A:$A, "Daily", Log!$D:$D, $C$3), "")</f>
        <v/>
      </c>
      <c r="F372" s="192"/>
      <c r="G372" s="192"/>
    </row>
    <row r="373" spans="5:7" x14ac:dyDescent="0.3">
      <c r="E373" s="36" t="str">
        <f>IFERROR(AVERAGEIFS(Log!$E:$E, Log!$C:$C, $A373, Log!$B:$B, "n/a", Log!$A:$A, "Daily", Log!$D:$D, $C$3), "")</f>
        <v/>
      </c>
      <c r="F373" s="192"/>
      <c r="G373" s="192"/>
    </row>
    <row r="374" spans="5:7" x14ac:dyDescent="0.3">
      <c r="E374" s="36" t="str">
        <f>IFERROR(AVERAGEIFS(Log!$E:$E, Log!$C:$C, $A374, Log!$B:$B, "n/a", Log!$A:$A, "Daily", Log!$D:$D, $C$3), "")</f>
        <v/>
      </c>
      <c r="F374" s="192"/>
      <c r="G374" s="192"/>
    </row>
    <row r="375" spans="5:7" x14ac:dyDescent="0.3">
      <c r="E375" s="36" t="str">
        <f>IFERROR(AVERAGEIFS(Log!$E:$E, Log!$C:$C, $A375, Log!$B:$B, "n/a", Log!$A:$A, "Daily", Log!$D:$D, $C$3), "")</f>
        <v/>
      </c>
      <c r="F375" s="192"/>
      <c r="G375" s="192"/>
    </row>
    <row r="376" spans="5:7" x14ac:dyDescent="0.3">
      <c r="E376" s="36" t="str">
        <f>IFERROR(AVERAGEIFS(Log!$E:$E, Log!$C:$C, $A376, Log!$B:$B, "n/a", Log!$A:$A, "Daily", Log!$D:$D, $C$3), "")</f>
        <v/>
      </c>
      <c r="F376" s="192"/>
      <c r="G376" s="192"/>
    </row>
    <row r="377" spans="5:7" x14ac:dyDescent="0.3">
      <c r="E377" s="36" t="str">
        <f>IFERROR(AVERAGEIFS(Log!$E:$E, Log!$C:$C, $A377, Log!$B:$B, "n/a", Log!$A:$A, "Daily", Log!$D:$D, $C$3), "")</f>
        <v/>
      </c>
      <c r="F377" s="192"/>
      <c r="G377" s="192"/>
    </row>
    <row r="378" spans="5:7" x14ac:dyDescent="0.3">
      <c r="E378" s="36" t="str">
        <f>IFERROR(AVERAGEIFS(Log!$E:$E, Log!$C:$C, $A378, Log!$B:$B, "n/a", Log!$A:$A, "Daily", Log!$D:$D, $C$3), "")</f>
        <v/>
      </c>
      <c r="F378" s="192"/>
      <c r="G378" s="192"/>
    </row>
    <row r="379" spans="5:7" x14ac:dyDescent="0.3">
      <c r="E379" s="36" t="str">
        <f>IFERROR(AVERAGEIFS(Log!$E:$E, Log!$C:$C, $A379, Log!$B:$B, "n/a", Log!$A:$A, "Daily", Log!$D:$D, $C$3), "")</f>
        <v/>
      </c>
      <c r="F379" s="192"/>
      <c r="G379" s="192"/>
    </row>
    <row r="380" spans="5:7" x14ac:dyDescent="0.3">
      <c r="E380" s="36" t="str">
        <f>IFERROR(AVERAGEIFS(Log!$E:$E, Log!$C:$C, $A380, Log!$B:$B, "n/a", Log!$A:$A, "Daily", Log!$D:$D, $C$3), "")</f>
        <v/>
      </c>
      <c r="F380" s="192"/>
      <c r="G380" s="192"/>
    </row>
  </sheetData>
  <sheetProtection sheet="1" objects="1" scenarios="1" selectLockedCells="1" selectUnlockedCells="1"/>
  <mergeCells count="17">
    <mergeCell ref="A1:XFD1"/>
    <mergeCell ref="R3:S3"/>
    <mergeCell ref="R4:S4"/>
    <mergeCell ref="T4:X4"/>
    <mergeCell ref="R5:S5"/>
    <mergeCell ref="T5:X5"/>
    <mergeCell ref="A4:A5"/>
    <mergeCell ref="A3:B3"/>
    <mergeCell ref="B4:B5"/>
    <mergeCell ref="A2:P2"/>
    <mergeCell ref="C3:I3"/>
    <mergeCell ref="K3:L3"/>
    <mergeCell ref="M3:N3"/>
    <mergeCell ref="O3:P3"/>
    <mergeCell ref="C4:D4"/>
    <mergeCell ref="H4:I4"/>
    <mergeCell ref="F4:G4"/>
  </mergeCells>
  <conditionalFormatting sqref="C6:C23 C26:C10000">
    <cfRule type="expression" dxfId="18" priority="9">
      <formula>AND($C6&lt;&gt;"",$H6&lt;&gt;"",$C6&gt;$H6)</formula>
    </cfRule>
    <cfRule type="expression" dxfId="17" priority="10">
      <formula>AND($C6&lt;&gt;"",$H6&lt;&gt;"",$C6&lt;$H6)</formula>
    </cfRule>
  </conditionalFormatting>
  <conditionalFormatting sqref="C24:C25">
    <cfRule type="expression" dxfId="16" priority="122">
      <formula>AND($C24&lt;&gt;"",$X7&lt;&gt;"",$C24&gt;$X7)</formula>
    </cfRule>
    <cfRule type="expression" dxfId="15" priority="123">
      <formula>AND($C24&lt;&gt;"",$X7&lt;&gt;"",$C24&lt;$X7)</formula>
    </cfRule>
  </conditionalFormatting>
  <conditionalFormatting sqref="D6:D10000">
    <cfRule type="expression" dxfId="14" priority="7">
      <formula>AND($D6&lt;&gt;"",$I6&lt;&gt;"",$D6&gt;$I6)</formula>
    </cfRule>
    <cfRule type="expression" dxfId="13" priority="8">
      <formula>AND($D6&lt;&gt;"",$I6&lt;&gt;"",$D6&lt;$I6)</formula>
    </cfRule>
  </conditionalFormatting>
  <conditionalFormatting sqref="E6:E10000">
    <cfRule type="colorScale" priority="4">
      <colorScale>
        <cfvo type="min"/>
        <cfvo type="max"/>
        <color rgb="FFFF7128"/>
        <color rgb="FFFFEF9C"/>
      </colorScale>
    </cfRule>
  </conditionalFormatting>
  <conditionalFormatting sqref="F6:F201">
    <cfRule type="colorScale" priority="3">
      <colorScale>
        <cfvo type="num" val="1"/>
        <cfvo type="percentile" val="50"/>
        <cfvo type="num" val="18"/>
        <color rgb="FF63BE7B"/>
        <color rgb="FFFFEB84"/>
        <color rgb="FFF8696B"/>
      </colorScale>
    </cfRule>
  </conditionalFormatting>
  <conditionalFormatting sqref="G6:G201">
    <cfRule type="colorScale" priority="1">
      <colorScale>
        <cfvo type="num" val="1"/>
        <cfvo type="percentile" val="50"/>
        <cfvo type="num" val="18"/>
        <color rgb="FF63BE7B"/>
        <color rgb="FFFFEB84"/>
        <color rgb="FFF8696B"/>
      </colorScale>
    </cfRule>
  </conditionalFormatting>
  <conditionalFormatting sqref="O5:P5">
    <cfRule type="cellIs" dxfId="12" priority="6" operator="greaterThanOrEqual">
      <formula>100%</formula>
    </cfRule>
  </conditionalFormatting>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disablePrompts="1" count="2">
        <x14:dataValidation type="list" xr:uid="{00000000-0002-0000-0400-000000000000}">
          <x14:formula1>
            <xm:f>'Data-Lists'!$A$4:$A$21</xm:f>
          </x14:formula1>
          <x14:formula2>
            <xm:f>0</xm:f>
          </x14:formula2>
          <xm:sqref>C3</xm:sqref>
        </x14:dataValidation>
        <x14:dataValidation type="list" allowBlank="1" showInputMessage="1" showErrorMessage="1" xr:uid="{4ED99F62-D6D4-4182-BC2E-64DE0E071F17}">
          <x14:formula1>
            <xm:f>'Data-Lists'!$F$4:$F$101</xm:f>
          </x14:formula1>
          <xm:sqref>F1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001A-36AA-43BD-AE26-2C8108444E03}">
  <sheetPr>
    <tabColor theme="6" tint="0.59999389629810485"/>
  </sheetPr>
  <dimension ref="A1:V60"/>
  <sheetViews>
    <sheetView zoomScaleNormal="85" workbookViewId="0">
      <pane ySplit="3" topLeftCell="A4" activePane="bottomLeft" state="frozen"/>
      <selection sqref="A1:XFD1"/>
      <selection pane="bottomLeft" sqref="A1:XFD1"/>
    </sheetView>
  </sheetViews>
  <sheetFormatPr defaultColWidth="8.6640625" defaultRowHeight="14.4" x14ac:dyDescent="0.3"/>
  <cols>
    <col min="1" max="1" width="21.88671875" style="4" customWidth="1"/>
    <col min="2" max="3" width="15.77734375" style="4" customWidth="1"/>
    <col min="4" max="4" width="10.77734375" style="4" hidden="1" customWidth="1"/>
    <col min="5" max="6" width="12.77734375" style="4" customWidth="1"/>
    <col min="7" max="8" width="17.33203125" style="4" hidden="1" customWidth="1"/>
    <col min="9" max="10" width="17.33203125" style="4" customWidth="1"/>
    <col min="11" max="12" width="10.5546875" style="86" bestFit="1" customWidth="1"/>
    <col min="13" max="13" width="10.5546875" bestFit="1" customWidth="1"/>
    <col min="14" max="15" width="25.88671875" customWidth="1"/>
  </cols>
  <sheetData>
    <row r="1" spans="1:22" s="359" customFormat="1" ht="24.6" thickTop="1" thickBot="1" x14ac:dyDescent="0.5">
      <c r="A1" s="358" t="s">
        <v>311</v>
      </c>
    </row>
    <row r="2" spans="1:22" s="33" customFormat="1" ht="28.05" customHeight="1" thickTop="1" x14ac:dyDescent="0.3">
      <c r="A2" s="333" t="s">
        <v>13</v>
      </c>
      <c r="B2" s="335" t="s">
        <v>145</v>
      </c>
      <c r="C2" s="333"/>
      <c r="D2" s="336" t="s">
        <v>144</v>
      </c>
      <c r="E2" s="335" t="s">
        <v>146</v>
      </c>
      <c r="F2" s="335"/>
      <c r="G2" s="341" t="s">
        <v>44</v>
      </c>
      <c r="H2" s="341"/>
      <c r="I2" s="337" t="s">
        <v>147</v>
      </c>
      <c r="J2" s="338"/>
      <c r="K2" s="339" t="s">
        <v>152</v>
      </c>
      <c r="L2" s="339"/>
      <c r="N2" s="34" t="s">
        <v>150</v>
      </c>
      <c r="O2" s="34" t="s">
        <v>151</v>
      </c>
    </row>
    <row r="3" spans="1:22" s="109" customFormat="1" ht="27" thickBot="1" x14ac:dyDescent="0.35">
      <c r="A3" s="333"/>
      <c r="B3" s="129" t="s">
        <v>148</v>
      </c>
      <c r="C3" s="129" t="s">
        <v>149</v>
      </c>
      <c r="D3" s="336"/>
      <c r="E3" s="129" t="s">
        <v>148</v>
      </c>
      <c r="F3" s="129" t="s">
        <v>149</v>
      </c>
      <c r="G3" s="38" t="s">
        <v>32</v>
      </c>
      <c r="H3" s="38" t="s">
        <v>33</v>
      </c>
      <c r="I3" s="129" t="s">
        <v>148</v>
      </c>
      <c r="J3" s="129" t="s">
        <v>149</v>
      </c>
      <c r="K3" s="130" t="s">
        <v>148</v>
      </c>
      <c r="L3" s="130" t="s">
        <v>149</v>
      </c>
      <c r="N3" s="125" t="e">
        <f>AVERAGE($B$4:$B$21)</f>
        <v>#REF!</v>
      </c>
      <c r="O3" s="125" t="e">
        <f>AVERAGE($C$4:$C$21)</f>
        <v>#REF!</v>
      </c>
    </row>
    <row r="4" spans="1:22" x14ac:dyDescent="0.3">
      <c r="A4" s="15" t="str" cm="1">
        <f t="array" ref="A4:A21">'Data-Lists'!A4:A21</f>
        <v>#1 (Vero v2.2)</v>
      </c>
      <c r="B4" s="21" t="e">
        <f>_xlfn.LET(
  _xlpm.cam, $A4,
  _xlpm.errSum, SUMIFS(#REF!,#REF!, _xlpm.cam,#REF!, "&lt;&gt;"),
  _xlpm.errCount, COUNTIFS(#REF!, _xlpm.cam,#REF!, "&lt;&gt;"),
  IF(_xlpm.errCount=0, "", _xlpm.errSum/_xlpm.errCount)
)</f>
        <v>#REF!</v>
      </c>
      <c r="C4" s="22" t="e">
        <f>_xlfn.LET(
  _xlpm.cam, $A4,
  _xlpm.errSum, SUMIFS(#REF!,#REF!, _xlpm.cam,#REF!, "&lt;&gt;"),
  _xlpm.errCount, COUNTIFS(#REF!, _xlpm.cam,#REF!, "&lt;&gt;"),
  IF(_xlpm.errCount=0, "", _xlpm.errSum/_xlpm.errCount)
)</f>
        <v>#REF!</v>
      </c>
      <c r="D4" s="10">
        <f>COUNTIFS(Log!$D:$D, $A4, Log!$A:$A, "Daily", Log!$B:$B, "n/a")</f>
        <v>22</v>
      </c>
      <c r="E4" s="128" t="e" cm="1">
        <f t="array" ref="E4">SUMPRODUCT((Log!$D:$D=$A4)*(Log!$A:$A="Daily")*(Log!$B:$B="n/a")*(Log!$F:$F&lt;Log!#REF!)*(Log!$F:$F&lt;&gt;""))</f>
        <v>#REF!</v>
      </c>
      <c r="F4" s="128" t="e" cm="1">
        <f t="array" ref="F4">SUMPRODUCT((Log!$D:$D=$A4)*(Log!$A:$A="Daily")*(Log!$B:$B="n/a")*(Log!$G:$G&lt;Log!#REF!)*(Log!$G:$G&lt;&gt;""))</f>
        <v>#REF!</v>
      </c>
      <c r="G4" s="8" t="e">
        <f>COUNTIFS(#REF!, $A4,#REF!, "No")</f>
        <v>#REF!</v>
      </c>
      <c r="H4" s="9" t="e">
        <f>COUNTIFS(#REF!, $A4,#REF!, "No")</f>
        <v>#REF!</v>
      </c>
      <c r="I4" s="124" t="e">
        <f t="shared" ref="I4:I21" si="0">$E4/$D4</f>
        <v>#REF!</v>
      </c>
      <c r="J4" s="124" t="e">
        <f t="shared" ref="J4:J21" si="1">$F4/$D4</f>
        <v>#REF!</v>
      </c>
      <c r="K4" s="131" t="e">
        <f>IFERROR(_xlfn.LET(_xlpm.camera_lifetime_world_error_mean,
IFERROR(AVERAGEIFS(Log!$F:$F, Log!$D:$D, $A4, Log!$A:$A, "Daily"), ""),
_xlpm.camera_lifetime_image_error_mean,
IFERROR(AVERAGEIFS(Log!$G:$G, Log!$D:$D, $A4,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4" s="131" t="e">
        <f>IFERROR(_xlfn.LET(_xlpm.camera_lifetime_world_error_mean,
IFERROR(AVERAGEIFS(Log!$F:$F, Log!$D:$D, $A4, Log!$A:$A, "Daily"), ""),
_xlpm.camera_lifetime_image_error_mean,
IFERROR(AVERAGEIFS(Log!$G:$G, Log!$D:$D, $A4,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M4" s="123"/>
    </row>
    <row r="5" spans="1:22" x14ac:dyDescent="0.3">
      <c r="A5" s="16" t="str">
        <v>#2 (Vero v2.2)</v>
      </c>
      <c r="B5" s="21" t="e">
        <f>_xlfn.LET(
  _xlpm.cam, $A5,
  _xlpm.errSum, SUMIFS(#REF!,#REF!, _xlpm.cam,#REF!, "&lt;&gt;"),
  _xlpm.errCount, COUNTIFS(#REF!, _xlpm.cam,#REF!, "&lt;&gt;"),
  IF(_xlpm.errCount=0, "", _xlpm.errSum/_xlpm.errCount)
)</f>
        <v>#REF!</v>
      </c>
      <c r="C5" s="22" t="e">
        <f>_xlfn.LET(
  _xlpm.cam, $A5,
  _xlpm.errSum, SUMIFS(#REF!,#REF!, _xlpm.cam,#REF!, "&lt;&gt;"),
  _xlpm.errCount, COUNTIFS(#REF!, _xlpm.cam,#REF!, "&lt;&gt;"),
  IF(_xlpm.errCount=0, "", _xlpm.errSum/_xlpm.errCount)
)</f>
        <v>#REF!</v>
      </c>
      <c r="D5" s="10">
        <f>COUNTIFS(Log!$D:$D, $A5, Log!$A:$A, "Daily", Log!$B:$B, "n/a")</f>
        <v>22</v>
      </c>
      <c r="E5" s="127" t="e" cm="1">
        <f t="array" ref="E5">SUMPRODUCT((Log!$D:$D=$A5)*(Log!$A:$A="Daily")*(Log!$B:$B="n/a")*(Log!$F:$F&lt;Log!#REF!)*(Log!$F:$F&lt;&gt;""))</f>
        <v>#REF!</v>
      </c>
      <c r="F5" s="127" t="e" cm="1">
        <f t="array" ref="F5">SUMPRODUCT((Log!$D:$D=$A5)*(Log!$A:$A="Daily")*(Log!$B:$B="n/a")*(Log!$G:$G&lt;Log!#REF!)*(Log!$G:$G&lt;&gt;""))</f>
        <v>#REF!</v>
      </c>
      <c r="G5" s="8" t="e">
        <f>COUNTIFS(#REF!, $A5,#REF!, "No")</f>
        <v>#REF!</v>
      </c>
      <c r="H5" s="9" t="e">
        <f>COUNTIFS(#REF!, $A5,#REF!, "No")</f>
        <v>#REF!</v>
      </c>
      <c r="I5" s="126" t="e">
        <f t="shared" si="0"/>
        <v>#REF!</v>
      </c>
      <c r="J5" s="126" t="e">
        <f t="shared" si="1"/>
        <v>#REF!</v>
      </c>
      <c r="K5" s="131" t="e">
        <f>IFERROR(_xlfn.LET(_xlpm.camera_lifetime_world_error_mean,
IFERROR(AVERAGEIFS(Log!$F:$F, Log!$D:$D, $A5, Log!$A:$A, "Daily"), ""),
_xlpm.camera_lifetime_image_error_mean,
IFERROR(AVERAGEIFS(Log!$G:$G, Log!$D:$D, $A5,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5" s="131" t="e">
        <f>IFERROR(_xlfn.LET(_xlpm.camera_lifetime_world_error_mean,
IFERROR(AVERAGEIFS(Log!$F:$F, Log!$D:$D, $A5, Log!$A:$A, "Daily"), ""),
_xlpm.camera_lifetime_image_error_mean,
IFERROR(AVERAGEIFS(Log!$G:$G, Log!$D:$D, $A5,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5" s="340" t="s">
        <v>45</v>
      </c>
      <c r="O5" s="340"/>
      <c r="P5" s="340"/>
      <c r="Q5" s="340"/>
      <c r="R5" s="340"/>
      <c r="S5" s="340"/>
      <c r="T5" s="340"/>
      <c r="U5" s="340"/>
      <c r="V5" s="340"/>
    </row>
    <row r="6" spans="1:22" x14ac:dyDescent="0.3">
      <c r="A6" s="15" t="str">
        <v>#3 (Vero v2.2)</v>
      </c>
      <c r="B6" s="21" t="e">
        <f>_xlfn.LET(
  _xlpm.cam, $A6,
  _xlpm.errSum, SUMIFS(#REF!,#REF!, _xlpm.cam,#REF!, "&lt;&gt;"),
  _xlpm.errCount, COUNTIFS(#REF!, _xlpm.cam,#REF!, "&lt;&gt;"),
  IF(_xlpm.errCount=0, "", _xlpm.errSum/_xlpm.errCount)
)</f>
        <v>#REF!</v>
      </c>
      <c r="C6" s="22" t="e">
        <f>_xlfn.LET(
  _xlpm.cam, $A6,
  _xlpm.errSum, SUMIFS(#REF!,#REF!, _xlpm.cam,#REF!, "&lt;&gt;"),
  _xlpm.errCount, COUNTIFS(#REF!, _xlpm.cam,#REF!, "&lt;&gt;"),
  IF(_xlpm.errCount=0, "", _xlpm.errSum/_xlpm.errCount)
)</f>
        <v>#REF!</v>
      </c>
      <c r="D6" s="10">
        <f>COUNTIFS(Log!$D:$D, $A6, Log!$A:$A, "Daily", Log!$B:$B, "n/a")</f>
        <v>22</v>
      </c>
      <c r="E6" s="127" t="e" cm="1">
        <f t="array" ref="E6">SUMPRODUCT((Log!$D:$D=$A6)*(Log!$A:$A="Daily")*(Log!$B:$B="n/a")*(Log!$F:$F&lt;Log!#REF!)*(Log!$F:$F&lt;&gt;""))</f>
        <v>#REF!</v>
      </c>
      <c r="F6" s="127" t="e" cm="1">
        <f t="array" ref="F6">SUMPRODUCT((Log!$D:$D=$A6)*(Log!$A:$A="Daily")*(Log!$B:$B="n/a")*(Log!$G:$G&lt;Log!#REF!)*(Log!$G:$G&lt;&gt;""))</f>
        <v>#REF!</v>
      </c>
      <c r="G6" s="8" t="e">
        <f>COUNTIFS(#REF!, $A6,#REF!, "No")</f>
        <v>#REF!</v>
      </c>
      <c r="H6" s="9" t="e">
        <f>COUNTIFS(#REF!, $A6,#REF!, "No")</f>
        <v>#REF!</v>
      </c>
      <c r="I6" s="126" t="e">
        <f t="shared" si="0"/>
        <v>#REF!</v>
      </c>
      <c r="J6" s="126" t="e">
        <f t="shared" si="1"/>
        <v>#REF!</v>
      </c>
      <c r="K6" s="131" t="e">
        <f>IFERROR(_xlfn.LET(_xlpm.camera_lifetime_world_error_mean,
IFERROR(AVERAGEIFS(Log!$F:$F, Log!$D:$D, $A6, Log!$A:$A, "Daily"), ""),
_xlpm.camera_lifetime_image_error_mean,
IFERROR(AVERAGEIFS(Log!$G:$G, Log!$D:$D, $A6,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6" s="131" t="e">
        <f>IFERROR(_xlfn.LET(_xlpm.camera_lifetime_world_error_mean,
IFERROR(AVERAGEIFS(Log!$F:$F, Log!$D:$D, $A6, Log!$A:$A, "Daily"), ""),
_xlpm.camera_lifetime_image_error_mean,
IFERROR(AVERAGEIFS(Log!$G:$G, Log!$D:$D, $A6,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6" s="340"/>
      <c r="O6" s="340"/>
      <c r="P6" s="340"/>
      <c r="Q6" s="340"/>
      <c r="R6" s="340"/>
      <c r="S6" s="340"/>
      <c r="T6" s="340"/>
      <c r="U6" s="340"/>
      <c r="V6" s="340"/>
    </row>
    <row r="7" spans="1:22" x14ac:dyDescent="0.3">
      <c r="A7" s="16" t="str">
        <v>#4 (Vero v2.2)</v>
      </c>
      <c r="B7" s="21" t="e">
        <f>_xlfn.LET(
  _xlpm.cam, $A7,
  _xlpm.errSum, SUMIFS(#REF!,#REF!, _xlpm.cam,#REF!, "&lt;&gt;"),
  _xlpm.errCount, COUNTIFS(#REF!, _xlpm.cam,#REF!, "&lt;&gt;"),
  IF(_xlpm.errCount=0, "", _xlpm.errSum/_xlpm.errCount)
)</f>
        <v>#REF!</v>
      </c>
      <c r="C7" s="22" t="e">
        <f>_xlfn.LET(
  _xlpm.cam, $A7,
  _xlpm.errSum, SUMIFS(#REF!,#REF!, _xlpm.cam,#REF!, "&lt;&gt;"),
  _xlpm.errCount, COUNTIFS(#REF!, _xlpm.cam,#REF!, "&lt;&gt;"),
  IF(_xlpm.errCount=0, "", _xlpm.errSum/_xlpm.errCount)
)</f>
        <v>#REF!</v>
      </c>
      <c r="D7" s="10">
        <f>COUNTIFS(Log!$D:$D, $A7, Log!$A:$A, "Daily", Log!$B:$B, "n/a")</f>
        <v>22</v>
      </c>
      <c r="E7" s="127" t="e" cm="1">
        <f t="array" ref="E7">SUMPRODUCT((Log!$D:$D=$A7)*(Log!$A:$A="Daily")*(Log!$B:$B="n/a")*(Log!$F:$F&lt;Log!#REF!)*(Log!$F:$F&lt;&gt;""))</f>
        <v>#REF!</v>
      </c>
      <c r="F7" s="127" t="e" cm="1">
        <f t="array" ref="F7">SUMPRODUCT((Log!$D:$D=$A7)*(Log!$A:$A="Daily")*(Log!$B:$B="n/a")*(Log!$G:$G&lt;Log!#REF!)*(Log!$G:$G&lt;&gt;""))</f>
        <v>#REF!</v>
      </c>
      <c r="G7" s="8" t="e">
        <f>COUNTIFS(#REF!, $A7,#REF!, "No")</f>
        <v>#REF!</v>
      </c>
      <c r="H7" s="9" t="e">
        <f>COUNTIFS(#REF!, $A7,#REF!, "No")</f>
        <v>#REF!</v>
      </c>
      <c r="I7" s="126" t="e">
        <f t="shared" si="0"/>
        <v>#REF!</v>
      </c>
      <c r="J7" s="126" t="e">
        <f t="shared" si="1"/>
        <v>#REF!</v>
      </c>
      <c r="K7" s="131" t="e">
        <f>IFERROR(_xlfn.LET(_xlpm.camera_lifetime_world_error_mean,
IFERROR(AVERAGEIFS(Log!$F:$F, Log!$D:$D, $A7, Log!$A:$A, "Daily"), ""),
_xlpm.camera_lifetime_image_error_mean,
IFERROR(AVERAGEIFS(Log!$G:$G, Log!$D:$D, $A7,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7" s="131" t="e">
        <f>IFERROR(_xlfn.LET(_xlpm.camera_lifetime_world_error_mean,
IFERROR(AVERAGEIFS(Log!$F:$F, Log!$D:$D, $A7, Log!$A:$A, "Daily"), ""),
_xlpm.camera_lifetime_image_error_mean,
IFERROR(AVERAGEIFS(Log!$G:$G, Log!$D:$D, $A7,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8" spans="1:22" x14ac:dyDescent="0.3">
      <c r="A8" s="15" t="str">
        <v>#5 (Vero v2.2)</v>
      </c>
      <c r="B8" s="21" t="e">
        <f>_xlfn.LET(
  _xlpm.cam, $A8,
  _xlpm.errSum, SUMIFS(#REF!,#REF!, _xlpm.cam,#REF!, "&lt;&gt;"),
  _xlpm.errCount, COUNTIFS(#REF!, _xlpm.cam,#REF!, "&lt;&gt;"),
  IF(_xlpm.errCount=0, "", _xlpm.errSum/_xlpm.errCount)
)</f>
        <v>#REF!</v>
      </c>
      <c r="C8" s="22" t="e">
        <f>_xlfn.LET(
  _xlpm.cam, $A8,
  _xlpm.errSum, SUMIFS(#REF!,#REF!, _xlpm.cam,#REF!, "&lt;&gt;"),
  _xlpm.errCount, COUNTIFS(#REF!, _xlpm.cam,#REF!, "&lt;&gt;"),
  IF(_xlpm.errCount=0, "", _xlpm.errSum/_xlpm.errCount)
)</f>
        <v>#REF!</v>
      </c>
      <c r="D8" s="10">
        <f>COUNTIFS(Log!$D:$D, $A8, Log!$A:$A, "Daily", Log!$B:$B, "n/a")</f>
        <v>22</v>
      </c>
      <c r="E8" s="127" t="e" cm="1">
        <f t="array" ref="E8">SUMPRODUCT((Log!$D:$D=$A8)*(Log!$A:$A="Daily")*(Log!$B:$B="n/a")*(Log!$F:$F&lt;Log!#REF!)*(Log!$F:$F&lt;&gt;""))</f>
        <v>#REF!</v>
      </c>
      <c r="F8" s="127" t="e" cm="1">
        <f t="array" ref="F8">SUMPRODUCT((Log!$D:$D=$A8)*(Log!$A:$A="Daily")*(Log!$B:$B="n/a")*(Log!$G:$G&lt;Log!#REF!)*(Log!$G:$G&lt;&gt;""))</f>
        <v>#REF!</v>
      </c>
      <c r="G8" s="8" t="e">
        <f>COUNTIFS(#REF!, $A8,#REF!, "No")</f>
        <v>#REF!</v>
      </c>
      <c r="H8" s="9" t="e">
        <f>COUNTIFS(#REF!, $A8,#REF!, "No")</f>
        <v>#REF!</v>
      </c>
      <c r="I8" s="126" t="e">
        <f t="shared" si="0"/>
        <v>#REF!</v>
      </c>
      <c r="J8" s="126" t="e">
        <f t="shared" si="1"/>
        <v>#REF!</v>
      </c>
      <c r="K8" s="131" t="e">
        <f>IFERROR(_xlfn.LET(_xlpm.camera_lifetime_world_error_mean,
IFERROR(AVERAGEIFS(Log!$F:$F, Log!$D:$D, $A8, Log!$A:$A, "Daily"), ""),
_xlpm.camera_lifetime_image_error_mean,
IFERROR(AVERAGEIFS(Log!$G:$G, Log!$D:$D, $A8,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8" s="131" t="e">
        <f>IFERROR(_xlfn.LET(_xlpm.camera_lifetime_world_error_mean,
IFERROR(AVERAGEIFS(Log!$F:$F, Log!$D:$D, $A8, Log!$A:$A, "Daily"), ""),
_xlpm.camera_lifetime_image_error_mean,
IFERROR(AVERAGEIFS(Log!$G:$G, Log!$D:$D, $A8,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8" s="334" t="s">
        <v>79</v>
      </c>
      <c r="O8" s="334"/>
      <c r="P8" s="334"/>
      <c r="Q8" s="334"/>
      <c r="R8" s="334"/>
      <c r="S8" s="334"/>
      <c r="T8" s="334"/>
      <c r="U8" s="334"/>
      <c r="V8" s="334"/>
    </row>
    <row r="9" spans="1:22" x14ac:dyDescent="0.3">
      <c r="A9" s="16" t="str">
        <v>#6 (Vero v2.2)</v>
      </c>
      <c r="B9" s="21" t="e">
        <f>_xlfn.LET(
  _xlpm.cam, $A9,
  _xlpm.errSum, SUMIFS(#REF!,#REF!, _xlpm.cam,#REF!, "&lt;&gt;"),
  _xlpm.errCount, COUNTIFS(#REF!, _xlpm.cam,#REF!, "&lt;&gt;"),
  IF(_xlpm.errCount=0, "", _xlpm.errSum/_xlpm.errCount)
)</f>
        <v>#REF!</v>
      </c>
      <c r="C9" s="22" t="e">
        <f>_xlfn.LET(
  _xlpm.cam, $A9,
  _xlpm.errSum, SUMIFS(#REF!,#REF!, _xlpm.cam,#REF!, "&lt;&gt;"),
  _xlpm.errCount, COUNTIFS(#REF!, _xlpm.cam,#REF!, "&lt;&gt;"),
  IF(_xlpm.errCount=0, "", _xlpm.errSum/_xlpm.errCount)
)</f>
        <v>#REF!</v>
      </c>
      <c r="D9" s="10">
        <f>COUNTIFS(Log!$D:$D, $A9, Log!$A:$A, "Daily", Log!$B:$B, "n/a")</f>
        <v>22</v>
      </c>
      <c r="E9" s="127" t="e" cm="1">
        <f t="array" ref="E9">SUMPRODUCT((Log!$D:$D=$A9)*(Log!$A:$A="Daily")*(Log!$B:$B="n/a")*(Log!$F:$F&lt;Log!#REF!)*(Log!$F:$F&lt;&gt;""))</f>
        <v>#REF!</v>
      </c>
      <c r="F9" s="127" t="e" cm="1">
        <f t="array" ref="F9">SUMPRODUCT((Log!$D:$D=$A9)*(Log!$A:$A="Daily")*(Log!$B:$B="n/a")*(Log!$G:$G&lt;Log!#REF!)*(Log!$G:$G&lt;&gt;""))</f>
        <v>#REF!</v>
      </c>
      <c r="G9" s="8" t="e">
        <f>COUNTIFS(#REF!, $A9,#REF!, "No")</f>
        <v>#REF!</v>
      </c>
      <c r="H9" s="9" t="e">
        <f>COUNTIFS(#REF!, $A9,#REF!, "No")</f>
        <v>#REF!</v>
      </c>
      <c r="I9" s="126" t="e">
        <f t="shared" si="0"/>
        <v>#REF!</v>
      </c>
      <c r="J9" s="126" t="e">
        <f t="shared" si="1"/>
        <v>#REF!</v>
      </c>
      <c r="K9" s="131" t="e">
        <f>IFERROR(_xlfn.LET(_xlpm.camera_lifetime_world_error_mean,
IFERROR(AVERAGEIFS(Log!$F:$F, Log!$D:$D, $A9, Log!$A:$A, "Daily"), ""),
_xlpm.camera_lifetime_image_error_mean,
IFERROR(AVERAGEIFS(Log!$G:$G, Log!$D:$D, $A9,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9" s="131" t="e">
        <f>IFERROR(_xlfn.LET(_xlpm.camera_lifetime_world_error_mean,
IFERROR(AVERAGEIFS(Log!$F:$F, Log!$D:$D, $A9, Log!$A:$A, "Daily"), ""),
_xlpm.camera_lifetime_image_error_mean,
IFERROR(AVERAGEIFS(Log!$G:$G, Log!$D:$D, $A9,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9" s="334"/>
      <c r="O9" s="334"/>
      <c r="P9" s="334"/>
      <c r="Q9" s="334"/>
      <c r="R9" s="334"/>
      <c r="S9" s="334"/>
      <c r="T9" s="334"/>
      <c r="U9" s="334"/>
      <c r="V9" s="334"/>
    </row>
    <row r="10" spans="1:22" x14ac:dyDescent="0.3">
      <c r="A10" s="15" t="str">
        <v>#7 (Vero v2.2)</v>
      </c>
      <c r="B10" s="21" t="e">
        <f>_xlfn.LET(
  _xlpm.cam, $A10,
  _xlpm.errSum, SUMIFS(#REF!,#REF!, _xlpm.cam,#REF!, "&lt;&gt;"),
  _xlpm.errCount, COUNTIFS(#REF!, _xlpm.cam,#REF!, "&lt;&gt;"),
  IF(_xlpm.errCount=0, "", _xlpm.errSum/_xlpm.errCount)
)</f>
        <v>#REF!</v>
      </c>
      <c r="C10" s="22" t="e">
        <f>_xlfn.LET(
  _xlpm.cam, $A10,
  _xlpm.errSum, SUMIFS(#REF!,#REF!, _xlpm.cam,#REF!, "&lt;&gt;"),
  _xlpm.errCount, COUNTIFS(#REF!, _xlpm.cam,#REF!, "&lt;&gt;"),
  IF(_xlpm.errCount=0, "", _xlpm.errSum/_xlpm.errCount)
)</f>
        <v>#REF!</v>
      </c>
      <c r="D10" s="10">
        <f>COUNTIFS(Log!$D:$D, $A10, Log!$A:$A, "Daily", Log!$B:$B, "n/a")</f>
        <v>22</v>
      </c>
      <c r="E10" s="127" t="e" cm="1">
        <f t="array" ref="E10">SUMPRODUCT((Log!$D:$D=$A10)*(Log!$A:$A="Daily")*(Log!$B:$B="n/a")*(Log!$F:$F&lt;Log!#REF!)*(Log!$F:$F&lt;&gt;""))</f>
        <v>#REF!</v>
      </c>
      <c r="F10" s="127" t="e" cm="1">
        <f t="array" ref="F10">SUMPRODUCT((Log!$D:$D=$A10)*(Log!$A:$A="Daily")*(Log!$B:$B="n/a")*(Log!$G:$G&lt;Log!#REF!)*(Log!$G:$G&lt;&gt;""))</f>
        <v>#REF!</v>
      </c>
      <c r="G10" s="8" t="e">
        <f>COUNTIFS(#REF!, $A10,#REF!, "No")</f>
        <v>#REF!</v>
      </c>
      <c r="H10" s="9" t="e">
        <f>COUNTIFS(#REF!, $A10,#REF!, "No")</f>
        <v>#REF!</v>
      </c>
      <c r="I10" s="126" t="e">
        <f t="shared" si="0"/>
        <v>#REF!</v>
      </c>
      <c r="J10" s="126" t="e">
        <f t="shared" si="1"/>
        <v>#REF!</v>
      </c>
      <c r="K10" s="131" t="e">
        <f>IFERROR(_xlfn.LET(_xlpm.camera_lifetime_world_error_mean,
IFERROR(AVERAGEIFS(Log!$F:$F, Log!$D:$D, $A10, Log!$A:$A, "Daily"), ""),
_xlpm.camera_lifetime_image_error_mean,
IFERROR(AVERAGEIFS(Log!$G:$G, Log!$D:$D, $A10,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0" s="131" t="e">
        <f>IFERROR(_xlfn.LET(_xlpm.camera_lifetime_world_error_mean,
IFERROR(AVERAGEIFS(Log!$F:$F, Log!$D:$D, $A10, Log!$A:$A, "Daily"), ""),
_xlpm.camera_lifetime_image_error_mean,
IFERROR(AVERAGEIFS(Log!$G:$G, Log!$D:$D, $A10,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1" spans="1:22" x14ac:dyDescent="0.3">
      <c r="A11" s="17" t="str">
        <v>#8 (Vero v2.2)</v>
      </c>
      <c r="B11" s="21" t="e">
        <f>_xlfn.LET(
  _xlpm.cam, $A11,
  _xlpm.errSum, SUMIFS(#REF!,#REF!, _xlpm.cam,#REF!, "&lt;&gt;"),
  _xlpm.errCount, COUNTIFS(#REF!, _xlpm.cam,#REF!, "&lt;&gt;"),
  IF(_xlpm.errCount=0, "", _xlpm.errSum/_xlpm.errCount)
)</f>
        <v>#REF!</v>
      </c>
      <c r="C11" s="22" t="e">
        <f>_xlfn.LET(
  _xlpm.cam, $A11,
  _xlpm.errSum, SUMIFS(#REF!,#REF!, _xlpm.cam,#REF!, "&lt;&gt;"),
  _xlpm.errCount, COUNTIFS(#REF!, _xlpm.cam,#REF!, "&lt;&gt;"),
  IF(_xlpm.errCount=0, "", _xlpm.errSum/_xlpm.errCount)
)</f>
        <v>#REF!</v>
      </c>
      <c r="D11" s="10">
        <f>COUNTIFS(Log!$D:$D, $A11, Log!$A:$A, "Daily", Log!$B:$B, "n/a")</f>
        <v>21</v>
      </c>
      <c r="E11" s="127" t="e" cm="1">
        <f t="array" ref="E11">SUMPRODUCT((Log!$D:$D=$A11)*(Log!$A:$A="Daily")*(Log!$B:$B="n/a")*(Log!$F:$F&lt;Log!#REF!)*(Log!$F:$F&lt;&gt;""))</f>
        <v>#REF!</v>
      </c>
      <c r="F11" s="127" t="e" cm="1">
        <f t="array" ref="F11">SUMPRODUCT((Log!$D:$D=$A11)*(Log!$A:$A="Daily")*(Log!$B:$B="n/a")*(Log!$G:$G&lt;Log!#REF!)*(Log!$G:$G&lt;&gt;""))</f>
        <v>#REF!</v>
      </c>
      <c r="G11" s="8" t="e">
        <f>COUNTIFS(#REF!, $A11,#REF!, "No")</f>
        <v>#REF!</v>
      </c>
      <c r="H11" s="9" t="e">
        <f>COUNTIFS(#REF!, $A11,#REF!, "No")</f>
        <v>#REF!</v>
      </c>
      <c r="I11" s="126" t="e">
        <f t="shared" si="0"/>
        <v>#REF!</v>
      </c>
      <c r="J11" s="126" t="e">
        <f t="shared" si="1"/>
        <v>#REF!</v>
      </c>
      <c r="K11" s="131" t="e">
        <f>IFERROR(_xlfn.LET(_xlpm.camera_lifetime_world_error_mean,
IFERROR(AVERAGEIFS(Log!$F:$F, Log!$D:$D, $A11, Log!$A:$A, "Daily"), ""),
_xlpm.camera_lifetime_image_error_mean,
IFERROR(AVERAGEIFS(Log!$G:$G, Log!$D:$D, $A11,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1" s="131" t="e">
        <f>IFERROR(_xlfn.LET(_xlpm.camera_lifetime_world_error_mean,
IFERROR(AVERAGEIFS(Log!$F:$F, Log!$D:$D, $A11, Log!$A:$A, "Daily"), ""),
_xlpm.camera_lifetime_image_error_mean,
IFERROR(AVERAGEIFS(Log!$G:$G, Log!$D:$D, $A11,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c r="N11" s="35" t="s">
        <v>46</v>
      </c>
    </row>
    <row r="12" spans="1:22" x14ac:dyDescent="0.3">
      <c r="A12" s="15" t="str">
        <v>#9 (Vero v2.2)</v>
      </c>
      <c r="B12" s="21" t="e">
        <f>_xlfn.LET(
  _xlpm.cam, $A12,
  _xlpm.errSum, SUMIFS(#REF!,#REF!, _xlpm.cam,#REF!, "&lt;&gt;"),
  _xlpm.errCount, COUNTIFS(#REF!, _xlpm.cam,#REF!, "&lt;&gt;"),
  IF(_xlpm.errCount=0, "", _xlpm.errSum/_xlpm.errCount)
)</f>
        <v>#REF!</v>
      </c>
      <c r="C12" s="22" t="e">
        <f>_xlfn.LET(
  _xlpm.cam, $A12,
  _xlpm.errSum, SUMIFS(#REF!,#REF!, _xlpm.cam,#REF!, "&lt;&gt;"),
  _xlpm.errCount, COUNTIFS(#REF!, _xlpm.cam,#REF!, "&lt;&gt;"),
  IF(_xlpm.errCount=0, "", _xlpm.errSum/_xlpm.errCount)
)</f>
        <v>#REF!</v>
      </c>
      <c r="D12" s="10">
        <f>COUNTIFS(Log!$D:$D, $A12, Log!$A:$A, "Daily", Log!$B:$B, "n/a")</f>
        <v>22</v>
      </c>
      <c r="E12" s="127" t="e" cm="1">
        <f t="array" ref="E12">SUMPRODUCT((Log!$D:$D=$A12)*(Log!$A:$A="Daily")*(Log!$B:$B="n/a")*(Log!$F:$F&lt;Log!#REF!)*(Log!$F:$F&lt;&gt;""))</f>
        <v>#REF!</v>
      </c>
      <c r="F12" s="127" t="e" cm="1">
        <f t="array" ref="F12">SUMPRODUCT((Log!$D:$D=$A12)*(Log!$A:$A="Daily")*(Log!$B:$B="n/a")*(Log!$G:$G&lt;Log!#REF!)*(Log!$G:$G&lt;&gt;""))</f>
        <v>#REF!</v>
      </c>
      <c r="G12" s="8" t="e">
        <f>COUNTIFS(#REF!, $A12,#REF!, "No")</f>
        <v>#REF!</v>
      </c>
      <c r="H12" s="9" t="e">
        <f>COUNTIFS(#REF!, $A12,#REF!, "No")</f>
        <v>#REF!</v>
      </c>
      <c r="I12" s="126" t="e">
        <f t="shared" si="0"/>
        <v>#REF!</v>
      </c>
      <c r="J12" s="126" t="e">
        <f t="shared" si="1"/>
        <v>#REF!</v>
      </c>
      <c r="K12" s="131" t="e">
        <f>IFERROR(_xlfn.LET(_xlpm.camera_lifetime_world_error_mean,
IFERROR(AVERAGEIFS(Log!$F:$F, Log!$D:$D, $A12, Log!$A:$A, "Daily"), ""),
_xlpm.camera_lifetime_image_error_mean,
IFERROR(AVERAGEIFS(Log!$G:$G, Log!$D:$D, $A12,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2" s="131" t="e">
        <f>IFERROR(_xlfn.LET(_xlpm.camera_lifetime_world_error_mean,
IFERROR(AVERAGEIFS(Log!$F:$F, Log!$D:$D, $A12, Log!$A:$A, "Daily"), ""),
_xlpm.camera_lifetime_image_error_mean,
IFERROR(AVERAGEIFS(Log!$G:$G, Log!$D:$D, $A12,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3" spans="1:22" x14ac:dyDescent="0.3">
      <c r="A13" s="16" t="str">
        <v>#10 (Vero v2.2)</v>
      </c>
      <c r="B13" s="21" t="e">
        <f>_xlfn.LET(
  _xlpm.cam, $A13,
  _xlpm.errSum, SUMIFS(#REF!,#REF!, _xlpm.cam,#REF!, "&lt;&gt;"),
  _xlpm.errCount, COUNTIFS(#REF!, _xlpm.cam,#REF!, "&lt;&gt;"),
  IF(_xlpm.errCount=0, "", _xlpm.errSum/_xlpm.errCount)
)</f>
        <v>#REF!</v>
      </c>
      <c r="C13" s="22" t="e">
        <f>_xlfn.LET(
  _xlpm.cam, $A13,
  _xlpm.errSum, SUMIFS(#REF!,#REF!, _xlpm.cam,#REF!, "&lt;&gt;"),
  _xlpm.errCount, COUNTIFS(#REF!, _xlpm.cam,#REF!, "&lt;&gt;"),
  IF(_xlpm.errCount=0, "", _xlpm.errSum/_xlpm.errCount)
)</f>
        <v>#REF!</v>
      </c>
      <c r="D13" s="10">
        <f>COUNTIFS(Log!$D:$D, $A13, Log!$A:$A, "Daily", Log!$B:$B, "n/a")</f>
        <v>22</v>
      </c>
      <c r="E13" s="127" t="e" cm="1">
        <f t="array" ref="E13">SUMPRODUCT((Log!$D:$D=$A13)*(Log!$A:$A="Daily")*(Log!$B:$B="n/a")*(Log!$F:$F&lt;Log!#REF!)*(Log!$F:$F&lt;&gt;""))</f>
        <v>#REF!</v>
      </c>
      <c r="F13" s="127" t="e" cm="1">
        <f t="array" ref="F13">SUMPRODUCT((Log!$D:$D=$A13)*(Log!$A:$A="Daily")*(Log!$B:$B="n/a")*(Log!$G:$G&lt;Log!#REF!)*(Log!$G:$G&lt;&gt;""))</f>
        <v>#REF!</v>
      </c>
      <c r="G13" s="8" t="e">
        <f>COUNTIFS(#REF!, $A13,#REF!, "No")</f>
        <v>#REF!</v>
      </c>
      <c r="H13" s="9" t="e">
        <f>COUNTIFS(#REF!, $A13,#REF!, "No")</f>
        <v>#REF!</v>
      </c>
      <c r="I13" s="126" t="e">
        <f t="shared" si="0"/>
        <v>#REF!</v>
      </c>
      <c r="J13" s="126" t="e">
        <f t="shared" si="1"/>
        <v>#REF!</v>
      </c>
      <c r="K13" s="131" t="e">
        <f>IFERROR(_xlfn.LET(_xlpm.camera_lifetime_world_error_mean,
IFERROR(AVERAGEIFS(Log!$F:$F, Log!$D:$D, $A13, Log!$A:$A, "Daily"), ""),
_xlpm.camera_lifetime_image_error_mean,
IFERROR(AVERAGEIFS(Log!$G:$G, Log!$D:$D, $A13,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3" s="131" t="e">
        <f>IFERROR(_xlfn.LET(_xlpm.camera_lifetime_world_error_mean,
IFERROR(AVERAGEIFS(Log!$F:$F, Log!$D:$D, $A13, Log!$A:$A, "Daily"), ""),
_xlpm.camera_lifetime_image_error_mean,
IFERROR(AVERAGEIFS(Log!$G:$G, Log!$D:$D, $A13,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4" spans="1:22" x14ac:dyDescent="0.3">
      <c r="A14" s="15" t="str">
        <v>#11 (Vero v2.2)</v>
      </c>
      <c r="B14" s="21" t="e">
        <f>_xlfn.LET(
  _xlpm.cam, $A14,
  _xlpm.errSum, SUMIFS(#REF!,#REF!, _xlpm.cam,#REF!, "&lt;&gt;"),
  _xlpm.errCount, COUNTIFS(#REF!, _xlpm.cam,#REF!, "&lt;&gt;"),
  IF(_xlpm.errCount=0, "", _xlpm.errSum/_xlpm.errCount)
)</f>
        <v>#REF!</v>
      </c>
      <c r="C14" s="22" t="e">
        <f>_xlfn.LET(
  _xlpm.cam, $A14,
  _xlpm.errSum, SUMIFS(#REF!,#REF!, _xlpm.cam,#REF!, "&lt;&gt;"),
  _xlpm.errCount, COUNTIFS(#REF!, _xlpm.cam,#REF!, "&lt;&gt;"),
  IF(_xlpm.errCount=0, "", _xlpm.errSum/_xlpm.errCount)
)</f>
        <v>#REF!</v>
      </c>
      <c r="D14" s="10">
        <f>COUNTIFS(Log!$D:$D, $A14, Log!$A:$A, "Daily", Log!$B:$B, "n/a")</f>
        <v>22</v>
      </c>
      <c r="E14" s="127" t="e" cm="1">
        <f t="array" ref="E14">SUMPRODUCT((Log!$D:$D=$A14)*(Log!$A:$A="Daily")*(Log!$B:$B="n/a")*(Log!$F:$F&lt;Log!#REF!)*(Log!$F:$F&lt;&gt;""))</f>
        <v>#REF!</v>
      </c>
      <c r="F14" s="127" t="e" cm="1">
        <f t="array" ref="F14">SUMPRODUCT((Log!$D:$D=$A14)*(Log!$A:$A="Daily")*(Log!$B:$B="n/a")*(Log!$G:$G&lt;Log!#REF!)*(Log!$G:$G&lt;&gt;""))</f>
        <v>#REF!</v>
      </c>
      <c r="G14" s="8" t="e">
        <f>COUNTIFS(#REF!, $A14,#REF!, "No")</f>
        <v>#REF!</v>
      </c>
      <c r="H14" s="9" t="e">
        <f>COUNTIFS(#REF!, $A14,#REF!, "No")</f>
        <v>#REF!</v>
      </c>
      <c r="I14" s="126" t="e">
        <f t="shared" si="0"/>
        <v>#REF!</v>
      </c>
      <c r="J14" s="126" t="e">
        <f t="shared" si="1"/>
        <v>#REF!</v>
      </c>
      <c r="K14" s="131" t="e">
        <f>IFERROR(_xlfn.LET(_xlpm.camera_lifetime_world_error_mean,
IFERROR(AVERAGEIFS(Log!$F:$F, Log!$D:$D, $A14, Log!$A:$A, "Daily"), ""),
_xlpm.camera_lifetime_image_error_mean,
IFERROR(AVERAGEIFS(Log!$G:$G, Log!$D:$D, $A14,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4" s="131" t="e">
        <f>IFERROR(_xlfn.LET(_xlpm.camera_lifetime_world_error_mean,
IFERROR(AVERAGEIFS(Log!$F:$F, Log!$D:$D, $A14, Log!$A:$A, "Daily"), ""),
_xlpm.camera_lifetime_image_error_mean,
IFERROR(AVERAGEIFS(Log!$G:$G, Log!$D:$D, $A14,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5" spans="1:22" x14ac:dyDescent="0.3">
      <c r="A15" s="16" t="str">
        <v>#12 (Vero v2.2)</v>
      </c>
      <c r="B15" s="21" t="e">
        <f>_xlfn.LET(
  _xlpm.cam, $A15,
  _xlpm.errSum, SUMIFS(#REF!,#REF!, _xlpm.cam,#REF!, "&lt;&gt;"),
  _xlpm.errCount, COUNTIFS(#REF!, _xlpm.cam,#REF!, "&lt;&gt;"),
  IF(_xlpm.errCount=0, "", _xlpm.errSum/_xlpm.errCount)
)</f>
        <v>#REF!</v>
      </c>
      <c r="C15" s="22" t="e">
        <f>_xlfn.LET(
  _xlpm.cam, $A15,
  _xlpm.errSum, SUMIFS(#REF!,#REF!, _xlpm.cam,#REF!, "&lt;&gt;"),
  _xlpm.errCount, COUNTIFS(#REF!, _xlpm.cam,#REF!, "&lt;&gt;"),
  IF(_xlpm.errCount=0, "", _xlpm.errSum/_xlpm.errCount)
)</f>
        <v>#REF!</v>
      </c>
      <c r="D15" s="10">
        <f>COUNTIFS(Log!$D:$D, $A15, Log!$A:$A, "Daily", Log!$B:$B, "n/a")</f>
        <v>22</v>
      </c>
      <c r="E15" s="127" t="e" cm="1">
        <f t="array" ref="E15">SUMPRODUCT((Log!$D:$D=$A15)*(Log!$A:$A="Daily")*(Log!$B:$B="n/a")*(Log!$F:$F&lt;Log!#REF!)*(Log!$F:$F&lt;&gt;""))</f>
        <v>#REF!</v>
      </c>
      <c r="F15" s="127" t="e" cm="1">
        <f t="array" ref="F15">SUMPRODUCT((Log!$D:$D=$A15)*(Log!$A:$A="Daily")*(Log!$B:$B="n/a")*(Log!$G:$G&lt;Log!#REF!)*(Log!$G:$G&lt;&gt;""))</f>
        <v>#REF!</v>
      </c>
      <c r="G15" s="8" t="e">
        <f>COUNTIFS(#REF!, $A15,#REF!, "No")</f>
        <v>#REF!</v>
      </c>
      <c r="H15" s="9" t="e">
        <f>COUNTIFS(#REF!, $A15,#REF!, "No")</f>
        <v>#REF!</v>
      </c>
      <c r="I15" s="126" t="e">
        <f t="shared" si="0"/>
        <v>#REF!</v>
      </c>
      <c r="J15" s="126" t="e">
        <f t="shared" si="1"/>
        <v>#REF!</v>
      </c>
      <c r="K15" s="131" t="e">
        <f>IFERROR(_xlfn.LET(_xlpm.camera_lifetime_world_error_mean,
IFERROR(AVERAGEIFS(Log!$F:$F, Log!$D:$D, $A15, Log!$A:$A, "Daily"), ""),
_xlpm.camera_lifetime_image_error_mean,
IFERROR(AVERAGEIFS(Log!$G:$G, Log!$D:$D, $A15,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5" s="131" t="e">
        <f>IFERROR(_xlfn.LET(_xlpm.camera_lifetime_world_error_mean,
IFERROR(AVERAGEIFS(Log!$F:$F, Log!$D:$D, $A15, Log!$A:$A, "Daily"), ""),
_xlpm.camera_lifetime_image_error_mean,
IFERROR(AVERAGEIFS(Log!$G:$G, Log!$D:$D, $A15,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6" spans="1:22" x14ac:dyDescent="0.3">
      <c r="A16" s="15" t="str">
        <v>#13 (Vero v2.2)</v>
      </c>
      <c r="B16" s="21" t="e">
        <f>_xlfn.LET(
  _xlpm.cam, $A16,
  _xlpm.errSum, SUMIFS(#REF!,#REF!, _xlpm.cam,#REF!, "&lt;&gt;"),
  _xlpm.errCount, COUNTIFS(#REF!, _xlpm.cam,#REF!, "&lt;&gt;"),
  IF(_xlpm.errCount=0, "", _xlpm.errSum/_xlpm.errCount)
)</f>
        <v>#REF!</v>
      </c>
      <c r="C16" s="22" t="e">
        <f>_xlfn.LET(
  _xlpm.cam, $A16,
  _xlpm.errSum, SUMIFS(#REF!,#REF!, _xlpm.cam,#REF!, "&lt;&gt;"),
  _xlpm.errCount, COUNTIFS(#REF!, _xlpm.cam,#REF!, "&lt;&gt;"),
  IF(_xlpm.errCount=0, "", _xlpm.errSum/_xlpm.errCount)
)</f>
        <v>#REF!</v>
      </c>
      <c r="D16" s="10">
        <f>COUNTIFS(Log!$D:$D, $A16, Log!$A:$A, "Daily", Log!$B:$B, "n/a")</f>
        <v>22</v>
      </c>
      <c r="E16" s="127" t="e" cm="1">
        <f t="array" ref="E16">SUMPRODUCT((Log!$D:$D=$A16)*(Log!$A:$A="Daily")*(Log!$B:$B="n/a")*(Log!$F:$F&lt;Log!#REF!)*(Log!$F:$F&lt;&gt;""))</f>
        <v>#REF!</v>
      </c>
      <c r="F16" s="127" t="e" cm="1">
        <f t="array" ref="F16">SUMPRODUCT((Log!$D:$D=$A16)*(Log!$A:$A="Daily")*(Log!$B:$B="n/a")*(Log!$G:$G&lt;Log!#REF!)*(Log!$G:$G&lt;&gt;""))</f>
        <v>#REF!</v>
      </c>
      <c r="G16" s="8" t="e">
        <f>COUNTIFS(#REF!, $A16,#REF!, "No")</f>
        <v>#REF!</v>
      </c>
      <c r="H16" s="9" t="e">
        <f>COUNTIFS(#REF!, $A16,#REF!, "No")</f>
        <v>#REF!</v>
      </c>
      <c r="I16" s="126" t="e">
        <f t="shared" si="0"/>
        <v>#REF!</v>
      </c>
      <c r="J16" s="126" t="e">
        <f t="shared" si="1"/>
        <v>#REF!</v>
      </c>
      <c r="K16" s="131" t="e">
        <f>IFERROR(_xlfn.LET(_xlpm.camera_lifetime_world_error_mean,
IFERROR(AVERAGEIFS(Log!$F:$F, Log!$D:$D, $A16, Log!$A:$A, "Daily"), ""),
_xlpm.camera_lifetime_image_error_mean,
IFERROR(AVERAGEIFS(Log!$G:$G, Log!$D:$D, $A16,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6" s="131" t="e">
        <f>IFERROR(_xlfn.LET(_xlpm.camera_lifetime_world_error_mean,
IFERROR(AVERAGEIFS(Log!$F:$F, Log!$D:$D, $A16, Log!$A:$A, "Daily"), ""),
_xlpm.camera_lifetime_image_error_mean,
IFERROR(AVERAGEIFS(Log!$G:$G, Log!$D:$D, $A16,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7" spans="1:12" x14ac:dyDescent="0.3">
      <c r="A17" s="16" t="str">
        <v>#14 (Vero v2.2)</v>
      </c>
      <c r="B17" s="21" t="e">
        <f>_xlfn.LET(
  _xlpm.cam, $A17,
  _xlpm.errSum, SUMIFS(#REF!,#REF!, _xlpm.cam,#REF!, "&lt;&gt;"),
  _xlpm.errCount, COUNTIFS(#REF!, _xlpm.cam,#REF!, "&lt;&gt;"),
  IF(_xlpm.errCount=0, "", _xlpm.errSum/_xlpm.errCount)
)</f>
        <v>#REF!</v>
      </c>
      <c r="C17" s="22" t="e">
        <f>_xlfn.LET(
  _xlpm.cam, $A17,
  _xlpm.errSum, SUMIFS(#REF!,#REF!, _xlpm.cam,#REF!, "&lt;&gt;"),
  _xlpm.errCount, COUNTIFS(#REF!, _xlpm.cam,#REF!, "&lt;&gt;"),
  IF(_xlpm.errCount=0, "", _xlpm.errSum/_xlpm.errCount)
)</f>
        <v>#REF!</v>
      </c>
      <c r="D17" s="10">
        <f>COUNTIFS(Log!$D:$D, $A17, Log!$A:$A, "Daily", Log!$B:$B, "n/a")</f>
        <v>22</v>
      </c>
      <c r="E17" s="127" t="e" cm="1">
        <f t="array" ref="E17">SUMPRODUCT((Log!$D:$D=$A17)*(Log!$A:$A="Daily")*(Log!$B:$B="n/a")*(Log!$F:$F&lt;Log!#REF!)*(Log!$F:$F&lt;&gt;""))</f>
        <v>#REF!</v>
      </c>
      <c r="F17" s="127" t="e" cm="1">
        <f t="array" ref="F17">SUMPRODUCT((Log!$D:$D=$A17)*(Log!$A:$A="Daily")*(Log!$B:$B="n/a")*(Log!$G:$G&lt;Log!#REF!)*(Log!$G:$G&lt;&gt;""))</f>
        <v>#REF!</v>
      </c>
      <c r="G17" s="8" t="e">
        <f>COUNTIFS(#REF!, $A17,#REF!, "No")</f>
        <v>#REF!</v>
      </c>
      <c r="H17" s="9" t="e">
        <f>COUNTIFS(#REF!, $A17,#REF!, "No")</f>
        <v>#REF!</v>
      </c>
      <c r="I17" s="126" t="e">
        <f t="shared" si="0"/>
        <v>#REF!</v>
      </c>
      <c r="J17" s="126" t="e">
        <f t="shared" si="1"/>
        <v>#REF!</v>
      </c>
      <c r="K17" s="131" t="e">
        <f>IFERROR(_xlfn.LET(_xlpm.camera_lifetime_world_error_mean,
IFERROR(AVERAGEIFS(Log!$F:$F, Log!$D:$D, $A17, Log!$A:$A, "Daily"), ""),
_xlpm.camera_lifetime_image_error_mean,
IFERROR(AVERAGEIFS(Log!$G:$G, Log!$D:$D, $A17,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7" s="131" t="e">
        <f>IFERROR(_xlfn.LET(_xlpm.camera_lifetime_world_error_mean,
IFERROR(AVERAGEIFS(Log!$F:$F, Log!$D:$D, $A17, Log!$A:$A, "Daily"), ""),
_xlpm.camera_lifetime_image_error_mean,
IFERROR(AVERAGEIFS(Log!$G:$G, Log!$D:$D, $A17,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8" spans="1:12" x14ac:dyDescent="0.3">
      <c r="A18" s="15" t="str">
        <v>#15 (Vero v2.2)</v>
      </c>
      <c r="B18" s="21" t="e">
        <f>_xlfn.LET(
  _xlpm.cam, $A18,
  _xlpm.errSum, SUMIFS(#REF!,#REF!, _xlpm.cam,#REF!, "&lt;&gt;"),
  _xlpm.errCount, COUNTIFS(#REF!, _xlpm.cam,#REF!, "&lt;&gt;"),
  IF(_xlpm.errCount=0, "", _xlpm.errSum/_xlpm.errCount)
)</f>
        <v>#REF!</v>
      </c>
      <c r="C18" s="22" t="e">
        <f>_xlfn.LET(
  _xlpm.cam, $A18,
  _xlpm.errSum, SUMIFS(#REF!,#REF!, _xlpm.cam,#REF!, "&lt;&gt;"),
  _xlpm.errCount, COUNTIFS(#REF!, _xlpm.cam,#REF!, "&lt;&gt;"),
  IF(_xlpm.errCount=0, "", _xlpm.errSum/_xlpm.errCount)
)</f>
        <v>#REF!</v>
      </c>
      <c r="D18" s="10">
        <f>COUNTIFS(Log!$D:$D, $A18, Log!$A:$A, "Daily", Log!$B:$B, "n/a")</f>
        <v>22</v>
      </c>
      <c r="E18" s="127" t="e" cm="1">
        <f t="array" ref="E18">SUMPRODUCT((Log!$D:$D=$A18)*(Log!$A:$A="Daily")*(Log!$B:$B="n/a")*(Log!$F:$F&lt;Log!#REF!)*(Log!$F:$F&lt;&gt;""))</f>
        <v>#REF!</v>
      </c>
      <c r="F18" s="127" t="e" cm="1">
        <f t="array" ref="F18">SUMPRODUCT((Log!$D:$D=$A18)*(Log!$A:$A="Daily")*(Log!$B:$B="n/a")*(Log!$G:$G&lt;Log!#REF!)*(Log!$G:$G&lt;&gt;""))</f>
        <v>#REF!</v>
      </c>
      <c r="G18" s="8" t="e">
        <f>COUNTIFS(#REF!, $A18,#REF!, "No")</f>
        <v>#REF!</v>
      </c>
      <c r="H18" s="9" t="e">
        <f>COUNTIFS(#REF!, $A18,#REF!, "No")</f>
        <v>#REF!</v>
      </c>
      <c r="I18" s="126" t="e">
        <f t="shared" si="0"/>
        <v>#REF!</v>
      </c>
      <c r="J18" s="126" t="e">
        <f t="shared" si="1"/>
        <v>#REF!</v>
      </c>
      <c r="K18" s="131" t="e">
        <f>IFERROR(_xlfn.LET(_xlpm.camera_lifetime_world_error_mean,
IFERROR(AVERAGEIFS(Log!$F:$F, Log!$D:$D, $A18, Log!$A:$A, "Daily"), ""),
_xlpm.camera_lifetime_image_error_mean,
IFERROR(AVERAGEIFS(Log!$G:$G, Log!$D:$D, $A18,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8" s="131" t="e">
        <f>IFERROR(_xlfn.LET(_xlpm.camera_lifetime_world_error_mean,
IFERROR(AVERAGEIFS(Log!$F:$F, Log!$D:$D, $A18, Log!$A:$A, "Daily"), ""),
_xlpm.camera_lifetime_image_error_mean,
IFERROR(AVERAGEIFS(Log!$G:$G, Log!$D:$D, $A18,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19" spans="1:12" x14ac:dyDescent="0.3">
      <c r="A19" s="16" t="str">
        <v>#16 (Vero v2.2)</v>
      </c>
      <c r="B19" s="21" t="e">
        <f>_xlfn.LET(
  _xlpm.cam, $A19,
  _xlpm.errSum, SUMIFS(#REF!,#REF!, _xlpm.cam,#REF!, "&lt;&gt;"),
  _xlpm.errCount, COUNTIFS(#REF!, _xlpm.cam,#REF!, "&lt;&gt;"),
  IF(_xlpm.errCount=0, "", _xlpm.errSum/_xlpm.errCount)
)</f>
        <v>#REF!</v>
      </c>
      <c r="C19" s="22" t="e">
        <f>_xlfn.LET(
  _xlpm.cam, $A19,
  _xlpm.errSum, SUMIFS(#REF!,#REF!, _xlpm.cam,#REF!, "&lt;&gt;"),
  _xlpm.errCount, COUNTIFS(#REF!, _xlpm.cam,#REF!, "&lt;&gt;"),
  IF(_xlpm.errCount=0, "", _xlpm.errSum/_xlpm.errCount)
)</f>
        <v>#REF!</v>
      </c>
      <c r="D19" s="10">
        <f>COUNTIFS(Log!$D:$D, $A19, Log!$A:$A, "Daily", Log!$B:$B, "n/a")</f>
        <v>22</v>
      </c>
      <c r="E19" s="127" t="e" cm="1">
        <f t="array" ref="E19">SUMPRODUCT((Log!$D:$D=$A19)*(Log!$A:$A="Daily")*(Log!$B:$B="n/a")*(Log!$F:$F&lt;Log!#REF!)*(Log!$F:$F&lt;&gt;""))</f>
        <v>#REF!</v>
      </c>
      <c r="F19" s="127" t="e" cm="1">
        <f t="array" ref="F19">SUMPRODUCT((Log!$D:$D=$A19)*(Log!$A:$A="Daily")*(Log!$B:$B="n/a")*(Log!$G:$G&lt;Log!#REF!)*(Log!$G:$G&lt;&gt;""))</f>
        <v>#REF!</v>
      </c>
      <c r="G19" s="8" t="e">
        <f>COUNTIFS(#REF!, $A19,#REF!, "No")</f>
        <v>#REF!</v>
      </c>
      <c r="H19" s="9" t="e">
        <f>COUNTIFS(#REF!, $A19,#REF!, "No")</f>
        <v>#REF!</v>
      </c>
      <c r="I19" s="126" t="e">
        <f t="shared" si="0"/>
        <v>#REF!</v>
      </c>
      <c r="J19" s="126" t="e">
        <f t="shared" si="1"/>
        <v>#REF!</v>
      </c>
      <c r="K19" s="131" t="e">
        <f>IFERROR(_xlfn.LET(_xlpm.camera_lifetime_world_error_mean,
IFERROR(AVERAGEIFS(Log!$F:$F, Log!$D:$D, $A19, Log!$A:$A, "Daily"), ""),
_xlpm.camera_lifetime_image_error_mean,
IFERROR(AVERAGEIFS(Log!$G:$G, Log!$D:$D, $A19,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19" s="131" t="e">
        <f>IFERROR(_xlfn.LET(_xlpm.camera_lifetime_world_error_mean,
IFERROR(AVERAGEIFS(Log!$F:$F, Log!$D:$D, $A19, Log!$A:$A, "Daily"), ""),
_xlpm.camera_lifetime_image_error_mean,
IFERROR(AVERAGEIFS(Log!$G:$G, Log!$D:$D, $A19,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20" spans="1:12" x14ac:dyDescent="0.3">
      <c r="A20" s="15" t="str">
        <v>#17 (Vero v2.2)</v>
      </c>
      <c r="B20" s="21" t="e">
        <f>_xlfn.LET(
  _xlpm.cam, $A20,
  _xlpm.errSum, SUMIFS(#REF!,#REF!, _xlpm.cam,#REF!, "&lt;&gt;"),
  _xlpm.errCount, COUNTIFS(#REF!, _xlpm.cam,#REF!, "&lt;&gt;"),
  IF(_xlpm.errCount=0, "", _xlpm.errSum/_xlpm.errCount)
)</f>
        <v>#REF!</v>
      </c>
      <c r="C20" s="22" t="e">
        <f>_xlfn.LET(
  _xlpm.cam, $A20,
  _xlpm.errSum, SUMIFS(#REF!,#REF!, _xlpm.cam,#REF!, "&lt;&gt;"),
  _xlpm.errCount, COUNTIFS(#REF!, _xlpm.cam,#REF!, "&lt;&gt;"),
  IF(_xlpm.errCount=0, "", _xlpm.errSum/_xlpm.errCount)
)</f>
        <v>#REF!</v>
      </c>
      <c r="D20" s="10">
        <f>COUNTIFS(Log!$D:$D, $A20, Log!$A:$A, "Daily", Log!$B:$B, "n/a")</f>
        <v>22</v>
      </c>
      <c r="E20" s="127" t="e" cm="1">
        <f t="array" ref="E20">SUMPRODUCT((Log!$D:$D=$A20)*(Log!$A:$A="Daily")*(Log!$B:$B="n/a")*(Log!$F:$F&lt;Log!#REF!)*(Log!$F:$F&lt;&gt;""))</f>
        <v>#REF!</v>
      </c>
      <c r="F20" s="127" t="e" cm="1">
        <f t="array" ref="F20">SUMPRODUCT((Log!$D:$D=$A20)*(Log!$A:$A="Daily")*(Log!$B:$B="n/a")*(Log!$G:$G&lt;Log!#REF!)*(Log!$G:$G&lt;&gt;""))</f>
        <v>#REF!</v>
      </c>
      <c r="G20" s="8" t="e">
        <f>COUNTIFS(#REF!, $A20,#REF!, "No")</f>
        <v>#REF!</v>
      </c>
      <c r="H20" s="9" t="e">
        <f>COUNTIFS(#REF!, $A20,#REF!, "No")</f>
        <v>#REF!</v>
      </c>
      <c r="I20" s="126" t="e">
        <f t="shared" si="0"/>
        <v>#REF!</v>
      </c>
      <c r="J20" s="126" t="e">
        <f t="shared" si="1"/>
        <v>#REF!</v>
      </c>
      <c r="K20" s="131" t="e">
        <f>IFERROR(_xlfn.LET(_xlpm.camera_lifetime_world_error_mean,
IFERROR(AVERAGEIFS(Log!$F:$F, Log!$D:$D, $A20, Log!$A:$A, "Daily"), ""),
_xlpm.camera_lifetime_image_error_mean,
IFERROR(AVERAGEIFS(Log!$G:$G, Log!$D:$D, $A20,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20" s="131" t="e">
        <f>IFERROR(_xlfn.LET(_xlpm.camera_lifetime_world_error_mean,
IFERROR(AVERAGEIFS(Log!$F:$F, Log!$D:$D, $A20, Log!$A:$A, "Daily"), ""),
_xlpm.camera_lifetime_image_error_mean,
IFERROR(AVERAGEIFS(Log!$G:$G, Log!$D:$D, $A20,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21" spans="1:12" x14ac:dyDescent="0.3">
      <c r="A21" s="18" t="str">
        <v>#18 (Vero v2.2)</v>
      </c>
      <c r="B21" s="23" t="e">
        <f>_xlfn.LET(
  _xlpm.cam, $A21,
  _xlpm.errSum, SUMIFS(#REF!,#REF!, _xlpm.cam,#REF!, "&lt;&gt;"),
  _xlpm.errCount, COUNTIFS(#REF!, _xlpm.cam,#REF!, "&lt;&gt;"),
  IF(_xlpm.errCount=0, "", _xlpm.errSum/_xlpm.errCount)
)</f>
        <v>#REF!</v>
      </c>
      <c r="C21" s="24" t="e">
        <f>_xlfn.LET(
  _xlpm.cam, $A21,
  _xlpm.errSum, SUMIFS(#REF!,#REF!, _xlpm.cam,#REF!, "&lt;&gt;"),
  _xlpm.errCount, COUNTIFS(#REF!, _xlpm.cam,#REF!, "&lt;&gt;"),
  IF(_xlpm.errCount=0, "", _xlpm.errSum/_xlpm.errCount)
)</f>
        <v>#REF!</v>
      </c>
      <c r="D21" s="11">
        <f>COUNTIFS(Log!$D:$D, $A21, Log!$A:$A, "Daily", Log!$B:$B, "n/a")</f>
        <v>22</v>
      </c>
      <c r="E21" s="127" t="e" cm="1">
        <f t="array" ref="E21">SUMPRODUCT((Log!$D:$D=$A21)*(Log!$A:$A="Daily")*(Log!$B:$B="n/a")*(Log!$F:$F&lt;Log!#REF!)*(Log!$F:$F&lt;&gt;""))</f>
        <v>#REF!</v>
      </c>
      <c r="F21" s="127" t="e" cm="1">
        <f t="array" ref="F21">SUMPRODUCT((Log!$D:$D=$A21)*(Log!$A:$A="Daily")*(Log!$B:$B="n/a")*(Log!$G:$G&lt;Log!#REF!)*(Log!$G:$G&lt;&gt;""))</f>
        <v>#REF!</v>
      </c>
      <c r="G21" s="12" t="e">
        <f>COUNTIFS(#REF!, $A21,#REF!, "No")</f>
        <v>#REF!</v>
      </c>
      <c r="H21" s="13" t="e">
        <f>COUNTIFS(#REF!, $A21,#REF!, "No")</f>
        <v>#REF!</v>
      </c>
      <c r="I21" s="126" t="e">
        <f t="shared" si="0"/>
        <v>#REF!</v>
      </c>
      <c r="J21" s="126" t="e">
        <f t="shared" si="1"/>
        <v>#REF!</v>
      </c>
      <c r="K21" s="131" t="e">
        <f>IFERROR(_xlfn.LET(_xlpm.camera_lifetime_world_error_mean,
IFERROR(AVERAGEIFS(Log!$F:$F, Log!$D:$D, $A21, Log!$A:$A, "Daily"), ""),
_xlpm.camera_lifetime_image_error_mean,
IFERROR(AVERAGEIFS(Log!$G:$G, Log!$D:$D, $A21,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TRUE,
IF(_xlpm.display_we, _xlpm.world_error_performance, _xlpm.image_error_performance)
),
NA()
)</f>
        <v>#N/A</v>
      </c>
      <c r="L21" s="131" t="e">
        <f>IFERROR(_xlfn.LET(_xlpm.camera_lifetime_world_error_mean,
IFERROR(AVERAGEIFS(Log!$F:$F, Log!$D:$D, $A21, Log!$A:$A, "Daily"), ""),
_xlpm.camera_lifetime_image_error_mean,
IFERROR(AVERAGEIFS(Log!$G:$G, Log!$D:$D, $A21, Log!$A:$A, "Daily"), ""),
_xlpm.global_lifetime_world_error_mean,
AVERAGEIFS(Log!#REF!, Log!$A:$A, "Daily"),
_xlpm.global_lifetime_image_error_mean,
AVERAGEIFS(Log!#REF!, Log!$A:$A, "Daily"),
_xlpm.world_error_performance,
_xlpm.global_lifetime_world_error_mean/_xlpm.camera_lifetime_world_error_mean,
_xlpm.image_error_performance,
_xlpm.global_lifetime_image_error_mean/_xlpm.camera_lifetime_image_error_mean,
_xlpm.display_we,
FALSE,
IF(_xlpm.display_we, _xlpm.world_error_performance, _xlpm.image_error_performance)
),
NA()
)</f>
        <v>#N/A</v>
      </c>
    </row>
    <row r="22" spans="1:12" x14ac:dyDescent="0.3">
      <c r="A22" s="5"/>
      <c r="B22" s="5"/>
      <c r="C22" s="5"/>
      <c r="D22" s="6" t="str">
        <f>IFERROR(AVERAGEIFS(#REF!,#REF!,$A22,#REF!,#REF!),"")</f>
        <v/>
      </c>
      <c r="E22" s="6" t="str">
        <f>IFERROR(AVERAGEIFS(#REF!,#REF!,$A22,#REF!,#REF!),"")</f>
        <v/>
      </c>
      <c r="F22" s="6" t="str">
        <f>IFERROR(AVERAGEIFS(#REF!,#REF!,$A22,#REF!,#REF!),"")</f>
        <v/>
      </c>
      <c r="G22" s="4">
        <f>'Daily WE'!N18</f>
        <v>0.3348787222222222</v>
      </c>
      <c r="H22" s="4">
        <f>'Daily WE'!Q18</f>
        <v>8.0860061111111103E-2</v>
      </c>
    </row>
    <row r="23" spans="1:12" ht="14.4" customHeight="1" x14ac:dyDescent="0.3">
      <c r="A23" s="5"/>
    </row>
    <row r="24" spans="1:12" x14ac:dyDescent="0.3">
      <c r="A24" s="5"/>
    </row>
    <row r="25" spans="1:12" x14ac:dyDescent="0.3">
      <c r="A25" s="5"/>
      <c r="B25" s="5"/>
      <c r="C25" s="5"/>
      <c r="D25" s="6" t="str">
        <f>IFERROR(AVERAGEIFS(#REF!,#REF!,$A25,#REF!,#REF!),"")</f>
        <v/>
      </c>
      <c r="E25" s="6" t="str">
        <f>IFERROR(AVERAGEIFS(#REF!,#REF!,$A25,#REF!,#REF!),"")</f>
        <v/>
      </c>
      <c r="F25" s="6" t="str">
        <f>IFERROR(AVERAGEIFS(#REF!,#REF!,$A25,#REF!,#REF!),"")</f>
        <v/>
      </c>
      <c r="G25" s="4">
        <f>'Daily WE'!N21</f>
        <v>0.43154094444444446</v>
      </c>
      <c r="H25" s="4">
        <f>'Daily WE'!Q21</f>
        <v>0.10342318888888889</v>
      </c>
    </row>
    <row r="26" spans="1:12" x14ac:dyDescent="0.3">
      <c r="A26" s="5"/>
    </row>
    <row r="27" spans="1:12" x14ac:dyDescent="0.3">
      <c r="A27" s="5"/>
    </row>
    <row r="28" spans="1:12" x14ac:dyDescent="0.3">
      <c r="A28" s="5"/>
      <c r="B28" s="5"/>
      <c r="C28" s="5"/>
      <c r="D28" s="6" t="str">
        <f>IFERROR(AVERAGEIFS(#REF!,#REF!,$A28,#REF!,#REF!),"")</f>
        <v/>
      </c>
      <c r="E28" s="6" t="str">
        <f>IFERROR(AVERAGEIFS(#REF!,#REF!,$A28,#REF!,#REF!),"")</f>
        <v/>
      </c>
      <c r="F28" s="6" t="str">
        <f>IFERROR(AVERAGEIFS(#REF!,#REF!,$A28,#REF!,#REF!),"")</f>
        <v/>
      </c>
      <c r="G28" s="4">
        <f>'Daily WE'!N24</f>
        <v>0.54501322222222226</v>
      </c>
      <c r="H28" s="4">
        <f>'Daily WE'!Q24</f>
        <v>0.12795185555555555</v>
      </c>
    </row>
    <row r="29" spans="1:12" x14ac:dyDescent="0.3">
      <c r="A29" s="5"/>
      <c r="B29" s="5"/>
      <c r="C29" s="5"/>
      <c r="D29" s="6" t="str">
        <f>IFERROR(AVERAGEIFS(#REF!,#REF!,$A29,#REF!,#REF!),"")</f>
        <v/>
      </c>
      <c r="E29" s="6" t="str">
        <f>IFERROR(AVERAGEIFS(#REF!,#REF!,$A29,#REF!,#REF!),"")</f>
        <v/>
      </c>
      <c r="F29" s="6" t="str">
        <f>IFERROR(AVERAGEIFS(#REF!,#REF!,$A29,#REF!,#REF!),"")</f>
        <v/>
      </c>
      <c r="G29" s="4">
        <f>'Daily WE'!N25</f>
        <v>0.44261372222222228</v>
      </c>
      <c r="H29" s="4">
        <f>'Daily WE'!Q25</f>
        <v>0.10628490555555556</v>
      </c>
    </row>
    <row r="30" spans="1:12" x14ac:dyDescent="0.3">
      <c r="A30" s="5"/>
      <c r="B30" s="5"/>
      <c r="C30" s="5"/>
      <c r="D30" s="6" t="str">
        <f>IFERROR(AVERAGEIFS(#REF!,#REF!,$A30,#REF!,#REF!),"")</f>
        <v/>
      </c>
      <c r="E30" s="6" t="str">
        <f>IFERROR(AVERAGEIFS(#REF!,#REF!,$A30,#REF!,#REF!),"")</f>
        <v/>
      </c>
      <c r="F30" s="6" t="str">
        <f>IFERROR(AVERAGEIFS(#REF!,#REF!,$A30,#REF!,#REF!),"")</f>
        <v/>
      </c>
      <c r="G30" s="4">
        <f>'Daily WE'!N26</f>
        <v>0.42276977777777769</v>
      </c>
      <c r="H30" s="4">
        <f>'Daily WE'!Q26</f>
        <v>0.10262061111111112</v>
      </c>
    </row>
    <row r="31" spans="1:12" x14ac:dyDescent="0.3">
      <c r="A31" s="5"/>
      <c r="B31" s="5"/>
      <c r="C31" s="5"/>
      <c r="D31" s="6" t="str">
        <f>IFERROR(AVERAGEIFS(#REF!,#REF!,$A31,#REF!,#REF!),"")</f>
        <v/>
      </c>
      <c r="E31" s="6" t="str">
        <f>IFERROR(AVERAGEIFS(#REF!,#REF!,$A31,#REF!,#REF!),"")</f>
        <v/>
      </c>
      <c r="F31" s="19" t="s">
        <v>39</v>
      </c>
      <c r="G31" s="4" t="str">
        <f>'Daily WE'!N27</f>
        <v/>
      </c>
      <c r="H31" s="4" t="str">
        <f>'Daily WE'!Q27</f>
        <v/>
      </c>
    </row>
    <row r="32" spans="1:12" x14ac:dyDescent="0.3">
      <c r="A32" s="5"/>
      <c r="B32" s="5"/>
      <c r="C32" s="5"/>
      <c r="D32" s="6" t="str">
        <f>IFERROR(AVERAGEIFS(#REF!,#REF!,$A32,#REF!,#REF!),"")</f>
        <v/>
      </c>
      <c r="E32" s="6" t="str">
        <f>IFERROR(AVERAGEIFS(#REF!,#REF!,$A32,#REF!,#REF!),"")</f>
        <v/>
      </c>
      <c r="F32" s="6" t="str">
        <f>IFERROR(AVERAGEIFS(#REF!,#REF!,$A32,#REF!,#REF!),"")</f>
        <v/>
      </c>
      <c r="G32" s="4">
        <f>'Daily WE'!N28</f>
        <v>0</v>
      </c>
      <c r="H32" s="4">
        <f>'Daily WE'!Q28</f>
        <v>0</v>
      </c>
    </row>
    <row r="33" spans="1:8" x14ac:dyDescent="0.3">
      <c r="A33" s="5"/>
      <c r="B33" s="5"/>
      <c r="C33" s="5"/>
      <c r="D33" s="6" t="str">
        <f>IFERROR(AVERAGEIFS(#REF!,#REF!,$A33,#REF!,#REF!),"")</f>
        <v/>
      </c>
      <c r="E33" s="6" t="str">
        <f>IFERROR(AVERAGEIFS(#REF!,#REF!,$A33,#REF!,#REF!),"")</f>
        <v/>
      </c>
      <c r="F33" s="6" t="str">
        <f>IFERROR(AVERAGEIFS(#REF!,#REF!,$A33,#REF!,#REF!),"")</f>
        <v/>
      </c>
      <c r="G33" s="4">
        <f>'Daily WE'!N29</f>
        <v>0</v>
      </c>
      <c r="H33" s="4">
        <f>'Daily WE'!Q29</f>
        <v>0</v>
      </c>
    </row>
    <row r="34" spans="1:8" x14ac:dyDescent="0.3">
      <c r="A34" s="5"/>
      <c r="B34" s="5"/>
      <c r="C34" s="5"/>
      <c r="D34" s="6" t="str">
        <f>IFERROR(AVERAGEIFS(#REF!,#REF!,$A34,#REF!,#REF!),"")</f>
        <v/>
      </c>
      <c r="E34" s="6" t="str">
        <f>IFERROR(AVERAGEIFS(#REF!,#REF!,$A34,#REF!,#REF!),"")</f>
        <v/>
      </c>
      <c r="F34" s="6" t="str">
        <f>IFERROR(AVERAGEIFS(#REF!,#REF!,$A34,#REF!,#REF!),"")</f>
        <v/>
      </c>
      <c r="G34" s="4">
        <f>'Daily WE'!N30</f>
        <v>0</v>
      </c>
      <c r="H34" s="4">
        <f>'Daily WE'!Q30</f>
        <v>0</v>
      </c>
    </row>
    <row r="35" spans="1:8" x14ac:dyDescent="0.3">
      <c r="A35" s="5"/>
      <c r="B35" s="5"/>
      <c r="C35" s="5"/>
      <c r="D35" s="6" t="str">
        <f>IFERROR(AVERAGEIFS(#REF!,#REF!,$A35,#REF!,#REF!),"")</f>
        <v/>
      </c>
      <c r="E35" s="6" t="str">
        <f>IFERROR(AVERAGEIFS(#REF!,#REF!,$A35,#REF!,#REF!),"")</f>
        <v/>
      </c>
      <c r="F35" s="6" t="str">
        <f>IFERROR(AVERAGEIFS(#REF!,#REF!,$A35,#REF!,#REF!),"")</f>
        <v/>
      </c>
      <c r="G35" s="4">
        <f>'Daily WE'!N31</f>
        <v>0</v>
      </c>
      <c r="H35" s="4">
        <f>'Daily WE'!Q31</f>
        <v>0</v>
      </c>
    </row>
    <row r="36" spans="1:8" x14ac:dyDescent="0.3">
      <c r="A36" s="5"/>
      <c r="B36" s="5"/>
      <c r="C36" s="5"/>
      <c r="D36" s="6" t="str">
        <f>IFERROR(AVERAGEIFS(#REF!,#REF!,$A36,#REF!,#REF!),"")</f>
        <v/>
      </c>
      <c r="E36" s="6" t="str">
        <f>IFERROR(AVERAGEIFS(#REF!,#REF!,$A36,#REF!,#REF!),"")</f>
        <v/>
      </c>
      <c r="F36" s="6" t="str">
        <f>IFERROR(AVERAGEIFS(#REF!,#REF!,$A36,#REF!,#REF!),"")</f>
        <v/>
      </c>
      <c r="G36" s="4">
        <f>'Daily WE'!N32</f>
        <v>0</v>
      </c>
      <c r="H36" s="4">
        <f>'Daily WE'!Q32</f>
        <v>0</v>
      </c>
    </row>
    <row r="37" spans="1:8" x14ac:dyDescent="0.3">
      <c r="A37" s="5"/>
      <c r="B37" s="5"/>
      <c r="C37" s="5"/>
      <c r="D37" s="6" t="str">
        <f>IFERROR(AVERAGEIFS(#REF!,#REF!,$A37,#REF!,#REF!),"")</f>
        <v/>
      </c>
      <c r="E37" s="6" t="str">
        <f>IFERROR(AVERAGEIFS(#REF!,#REF!,$A37,#REF!,#REF!),"")</f>
        <v/>
      </c>
      <c r="F37" s="6" t="str">
        <f>IFERROR(AVERAGEIFS(#REF!,#REF!,$A37,#REF!,#REF!),"")</f>
        <v/>
      </c>
      <c r="G37" s="4">
        <f>'Daily WE'!N33</f>
        <v>0</v>
      </c>
      <c r="H37" s="4">
        <f>'Daily WE'!Q33</f>
        <v>0</v>
      </c>
    </row>
    <row r="38" spans="1:8" x14ac:dyDescent="0.3">
      <c r="A38" s="5"/>
      <c r="B38" s="5"/>
      <c r="C38" s="5"/>
      <c r="D38" s="6" t="str">
        <f>IFERROR(AVERAGEIFS(#REF!,#REF!,$A38,#REF!,#REF!),"")</f>
        <v/>
      </c>
      <c r="E38" s="6" t="str">
        <f>IFERROR(AVERAGEIFS(#REF!,#REF!,$A38,#REF!,#REF!),"")</f>
        <v/>
      </c>
      <c r="F38" s="6" t="str">
        <f>IFERROR(AVERAGEIFS(#REF!,#REF!,$A38,#REF!,#REF!),"")</f>
        <v/>
      </c>
      <c r="G38" s="4">
        <f>'Daily WE'!N34</f>
        <v>0</v>
      </c>
      <c r="H38" s="4">
        <f>'Daily WE'!Q34</f>
        <v>0</v>
      </c>
    </row>
    <row r="39" spans="1:8" x14ac:dyDescent="0.3">
      <c r="A39" s="5"/>
      <c r="B39" s="5"/>
      <c r="C39" s="5"/>
      <c r="D39" s="6" t="str">
        <f>IFERROR(AVERAGEIFS(#REF!,#REF!,$A39,#REF!,#REF!),"")</f>
        <v/>
      </c>
      <c r="E39" s="6" t="str">
        <f>IFERROR(AVERAGEIFS(#REF!,#REF!,$A39,#REF!,#REF!),"")</f>
        <v/>
      </c>
      <c r="F39" s="6" t="str">
        <f>IFERROR(AVERAGEIFS(#REF!,#REF!,$A39,#REF!,#REF!),"")</f>
        <v/>
      </c>
      <c r="G39" s="4">
        <f>'Daily WE'!N35</f>
        <v>0</v>
      </c>
      <c r="H39" s="4">
        <f>'Daily WE'!Q35</f>
        <v>0</v>
      </c>
    </row>
    <row r="40" spans="1:8" x14ac:dyDescent="0.3">
      <c r="A40" s="5"/>
      <c r="B40" s="5"/>
      <c r="C40" s="5"/>
      <c r="D40" s="6" t="str">
        <f>IFERROR(AVERAGEIFS(#REF!,#REF!,$A40,#REF!,#REF!),"")</f>
        <v/>
      </c>
      <c r="E40" s="6" t="str">
        <f>IFERROR(AVERAGEIFS(#REF!,#REF!,$A40,#REF!,#REF!),"")</f>
        <v/>
      </c>
      <c r="F40" s="6" t="str">
        <f>IFERROR(AVERAGEIFS(#REF!,#REF!,$A40,#REF!,#REF!),"")</f>
        <v/>
      </c>
      <c r="G40" s="4">
        <f>'Daily WE'!N36</f>
        <v>0</v>
      </c>
      <c r="H40" s="4">
        <f>'Daily WE'!Q36</f>
        <v>0</v>
      </c>
    </row>
    <row r="41" spans="1:8" x14ac:dyDescent="0.3">
      <c r="A41" s="5"/>
      <c r="B41" s="5"/>
      <c r="C41" s="5"/>
      <c r="D41" s="6" t="str">
        <f>IFERROR(AVERAGEIFS(#REF!,#REF!,$A41,#REF!,#REF!),"")</f>
        <v/>
      </c>
      <c r="E41" s="6" t="str">
        <f>IFERROR(AVERAGEIFS(#REF!,#REF!,$A41,#REF!,#REF!),"")</f>
        <v/>
      </c>
      <c r="F41" s="6" t="str">
        <f>IFERROR(AVERAGEIFS(#REF!,#REF!,$A41,#REF!,#REF!),"")</f>
        <v/>
      </c>
      <c r="G41" s="4">
        <f>'Daily WE'!N37</f>
        <v>0</v>
      </c>
      <c r="H41" s="4">
        <f>'Daily WE'!Q37</f>
        <v>0</v>
      </c>
    </row>
    <row r="42" spans="1:8" x14ac:dyDescent="0.3">
      <c r="A42" s="5"/>
      <c r="B42" s="5"/>
      <c r="C42" s="5"/>
      <c r="D42" s="6" t="str">
        <f>IFERROR(AVERAGEIFS(#REF!,#REF!,$A42,#REF!,#REF!),"")</f>
        <v/>
      </c>
      <c r="E42" s="6" t="str">
        <f>IFERROR(AVERAGEIFS(#REF!,#REF!,$A42,#REF!,#REF!),"")</f>
        <v/>
      </c>
      <c r="F42" s="6" t="str">
        <f>IFERROR(AVERAGEIFS(#REF!,#REF!,$A42,#REF!,#REF!),"")</f>
        <v/>
      </c>
      <c r="G42" s="4">
        <f>'Daily WE'!N38</f>
        <v>0</v>
      </c>
      <c r="H42" s="4">
        <f>'Daily WE'!Q38</f>
        <v>0</v>
      </c>
    </row>
    <row r="43" spans="1:8" x14ac:dyDescent="0.3">
      <c r="A43" s="5"/>
      <c r="B43" s="5"/>
      <c r="C43" s="5"/>
      <c r="D43" s="6" t="str">
        <f>IFERROR(AVERAGEIFS(#REF!,#REF!,$A43,#REF!,#REF!),"")</f>
        <v/>
      </c>
      <c r="E43" s="6" t="str">
        <f>IFERROR(AVERAGEIFS(#REF!,#REF!,$A43,#REF!,#REF!),"")</f>
        <v/>
      </c>
      <c r="F43" s="6" t="str">
        <f>IFERROR(AVERAGEIFS(#REF!,#REF!,$A43,#REF!,#REF!),"")</f>
        <v/>
      </c>
      <c r="G43" s="4">
        <f>'Daily WE'!N39</f>
        <v>0</v>
      </c>
      <c r="H43" s="4">
        <f>'Daily WE'!Q39</f>
        <v>0</v>
      </c>
    </row>
    <row r="44" spans="1:8" x14ac:dyDescent="0.3">
      <c r="A44" s="5"/>
      <c r="B44" s="5"/>
      <c r="C44" s="5"/>
      <c r="D44" s="6" t="str">
        <f>IFERROR(AVERAGEIFS(#REF!,#REF!,$A44,#REF!,#REF!),"")</f>
        <v/>
      </c>
      <c r="E44" s="6" t="str">
        <f>IFERROR(AVERAGEIFS(#REF!,#REF!,$A44,#REF!,#REF!),"")</f>
        <v/>
      </c>
      <c r="F44" s="6" t="str">
        <f>IFERROR(AVERAGEIFS(#REF!,#REF!,$A44,#REF!,#REF!),"")</f>
        <v/>
      </c>
      <c r="G44" s="4">
        <f>'Daily WE'!N40</f>
        <v>0</v>
      </c>
      <c r="H44" s="4">
        <f>'Daily WE'!Q40</f>
        <v>0</v>
      </c>
    </row>
    <row r="45" spans="1:8" x14ac:dyDescent="0.3">
      <c r="A45" s="5"/>
      <c r="B45" s="5"/>
      <c r="C45" s="5"/>
      <c r="D45" s="6" t="str">
        <f>IFERROR(AVERAGEIFS(#REF!,#REF!,$A45,#REF!,#REF!),"")</f>
        <v/>
      </c>
      <c r="E45" s="6" t="str">
        <f>IFERROR(AVERAGEIFS(#REF!,#REF!,$A45,#REF!,#REF!),"")</f>
        <v/>
      </c>
      <c r="F45" s="6" t="str">
        <f>IFERROR(AVERAGEIFS(#REF!,#REF!,$A45,#REF!,#REF!),"")</f>
        <v/>
      </c>
      <c r="G45" s="4">
        <f>'Daily WE'!N41</f>
        <v>0</v>
      </c>
      <c r="H45" s="4">
        <f>'Daily WE'!Q41</f>
        <v>0</v>
      </c>
    </row>
    <row r="46" spans="1:8" x14ac:dyDescent="0.3">
      <c r="A46" s="5"/>
      <c r="B46" s="5"/>
      <c r="C46" s="5"/>
      <c r="D46" s="6" t="str">
        <f>IFERROR(AVERAGEIFS(#REF!,#REF!,$A46,#REF!,#REF!),"")</f>
        <v/>
      </c>
      <c r="E46" s="6" t="str">
        <f>IFERROR(AVERAGEIFS(#REF!,#REF!,$A46,#REF!,#REF!),"")</f>
        <v/>
      </c>
      <c r="F46" s="6" t="str">
        <f>IFERROR(AVERAGEIFS(#REF!,#REF!,$A46,#REF!,#REF!),"")</f>
        <v/>
      </c>
      <c r="G46" s="4">
        <f>'Daily WE'!N42</f>
        <v>0</v>
      </c>
      <c r="H46" s="4">
        <f>'Daily WE'!Q42</f>
        <v>0</v>
      </c>
    </row>
    <row r="47" spans="1:8" x14ac:dyDescent="0.3">
      <c r="A47" s="5"/>
      <c r="B47" s="5"/>
      <c r="C47" s="5"/>
      <c r="D47" s="6" t="str">
        <f>IFERROR(AVERAGEIFS(#REF!,#REF!,$A47,#REF!,#REF!),"")</f>
        <v/>
      </c>
      <c r="E47" s="6" t="str">
        <f>IFERROR(AVERAGEIFS(#REF!,#REF!,$A47,#REF!,#REF!),"")</f>
        <v/>
      </c>
      <c r="F47" s="6" t="str">
        <f>IFERROR(AVERAGEIFS(#REF!,#REF!,$A47,#REF!,#REF!),"")</f>
        <v/>
      </c>
      <c r="G47" s="4">
        <f>'Daily WE'!N43</f>
        <v>0</v>
      </c>
      <c r="H47" s="4">
        <f>'Daily WE'!Q43</f>
        <v>0</v>
      </c>
    </row>
    <row r="48" spans="1:8" x14ac:dyDescent="0.3">
      <c r="A48" s="5"/>
      <c r="B48" s="5"/>
      <c r="C48" s="5"/>
      <c r="D48" s="6" t="str">
        <f>IFERROR(AVERAGEIFS(#REF!,#REF!,$A48,#REF!,#REF!),"")</f>
        <v/>
      </c>
      <c r="E48" s="6" t="str">
        <f>IFERROR(AVERAGEIFS(#REF!,#REF!,$A48,#REF!,#REF!),"")</f>
        <v/>
      </c>
      <c r="F48" s="6" t="str">
        <f>IFERROR(AVERAGEIFS(#REF!,#REF!,$A48,#REF!,#REF!),"")</f>
        <v/>
      </c>
      <c r="G48" s="4">
        <f>'Daily WE'!N44</f>
        <v>0</v>
      </c>
      <c r="H48" s="4">
        <f>'Daily WE'!Q44</f>
        <v>0</v>
      </c>
    </row>
    <row r="49" spans="1:8" x14ac:dyDescent="0.3">
      <c r="A49" s="5"/>
      <c r="B49" s="5"/>
      <c r="C49" s="5"/>
      <c r="D49" s="6" t="str">
        <f>IFERROR(AVERAGEIFS(#REF!,#REF!,$A49,#REF!,#REF!),"")</f>
        <v/>
      </c>
      <c r="E49" s="6" t="str">
        <f>IFERROR(AVERAGEIFS(#REF!,#REF!,$A49,#REF!,#REF!),"")</f>
        <v/>
      </c>
      <c r="F49" s="6" t="str">
        <f>IFERROR(AVERAGEIFS(#REF!,#REF!,$A49,#REF!,#REF!),"")</f>
        <v/>
      </c>
      <c r="G49" s="4">
        <f>'Daily WE'!N45</f>
        <v>0</v>
      </c>
      <c r="H49" s="4">
        <f>'Daily WE'!Q45</f>
        <v>0</v>
      </c>
    </row>
    <row r="50" spans="1:8" x14ac:dyDescent="0.3">
      <c r="A50" s="5"/>
      <c r="B50" s="5"/>
      <c r="C50" s="5"/>
      <c r="D50" s="6" t="str">
        <f>IFERROR(AVERAGEIFS(#REF!,#REF!,$A50,#REF!,#REF!),"")</f>
        <v/>
      </c>
      <c r="E50" s="6" t="str">
        <f>IFERROR(AVERAGEIFS(#REF!,#REF!,$A50,#REF!,#REF!),"")</f>
        <v/>
      </c>
      <c r="F50" s="6" t="str">
        <f>IFERROR(AVERAGEIFS(#REF!,#REF!,$A50,#REF!,#REF!),"")</f>
        <v/>
      </c>
      <c r="G50" s="4">
        <f>'Daily WE'!N46</f>
        <v>0</v>
      </c>
      <c r="H50" s="4">
        <f>'Daily WE'!Q46</f>
        <v>0</v>
      </c>
    </row>
    <row r="51" spans="1:8" x14ac:dyDescent="0.3">
      <c r="A51" s="5"/>
      <c r="B51" s="5"/>
      <c r="C51" s="5"/>
      <c r="D51" s="6" t="str">
        <f>IFERROR(AVERAGEIFS(#REF!,#REF!,$A51,#REF!,#REF!),"")</f>
        <v/>
      </c>
      <c r="E51" s="6" t="str">
        <f>IFERROR(AVERAGEIFS(#REF!,#REF!,$A51,#REF!,#REF!),"")</f>
        <v/>
      </c>
      <c r="F51" s="6" t="str">
        <f>IFERROR(AVERAGEIFS(#REF!,#REF!,$A51,#REF!,#REF!),"")</f>
        <v/>
      </c>
      <c r="G51" s="4">
        <f>'Daily WE'!N47</f>
        <v>0</v>
      </c>
      <c r="H51" s="4">
        <f>'Daily WE'!Q47</f>
        <v>0</v>
      </c>
    </row>
    <row r="52" spans="1:8" x14ac:dyDescent="0.3">
      <c r="A52" s="5"/>
      <c r="B52" s="5"/>
      <c r="C52" s="5"/>
      <c r="D52" s="6" t="str">
        <f>IFERROR(AVERAGEIFS(#REF!,#REF!,$A52,#REF!,#REF!),"")</f>
        <v/>
      </c>
      <c r="E52" s="6" t="str">
        <f>IFERROR(AVERAGEIFS(#REF!,#REF!,$A52,#REF!,#REF!),"")</f>
        <v/>
      </c>
      <c r="F52" s="6" t="str">
        <f>IFERROR(AVERAGEIFS(#REF!,#REF!,$A52,#REF!,#REF!),"")</f>
        <v/>
      </c>
      <c r="G52" s="4">
        <f>'Daily WE'!N48</f>
        <v>0</v>
      </c>
      <c r="H52" s="4">
        <f>'Daily WE'!Q48</f>
        <v>0</v>
      </c>
    </row>
    <row r="53" spans="1:8" x14ac:dyDescent="0.3">
      <c r="A53" s="5"/>
      <c r="B53" s="5"/>
      <c r="C53" s="5"/>
      <c r="D53" s="6" t="str">
        <f>IFERROR(AVERAGEIFS(#REF!,#REF!,$A53,#REF!,#REF!),"")</f>
        <v/>
      </c>
      <c r="E53" s="6" t="str">
        <f>IFERROR(AVERAGEIFS(#REF!,#REF!,$A53,#REF!,#REF!),"")</f>
        <v/>
      </c>
      <c r="F53" s="6" t="str">
        <f>IFERROR(AVERAGEIFS(#REF!,#REF!,$A53,#REF!,#REF!),"")</f>
        <v/>
      </c>
      <c r="G53" s="4">
        <f>'Daily WE'!N49</f>
        <v>0</v>
      </c>
      <c r="H53" s="4">
        <f>'Daily WE'!Q49</f>
        <v>0</v>
      </c>
    </row>
    <row r="54" spans="1:8" x14ac:dyDescent="0.3">
      <c r="A54" s="5"/>
      <c r="B54" s="5"/>
      <c r="C54" s="5"/>
      <c r="D54" s="6" t="str">
        <f>IFERROR(AVERAGEIFS(#REF!,#REF!,$A54,#REF!,#REF!),"")</f>
        <v/>
      </c>
      <c r="E54" s="6" t="str">
        <f>IFERROR(AVERAGEIFS(#REF!,#REF!,$A54,#REF!,#REF!),"")</f>
        <v/>
      </c>
      <c r="F54" s="6" t="str">
        <f>IFERROR(AVERAGEIFS(#REF!,#REF!,$A54,#REF!,#REF!),"")</f>
        <v/>
      </c>
      <c r="G54" s="4">
        <f>'Daily WE'!N50</f>
        <v>0</v>
      </c>
      <c r="H54" s="4">
        <f>'Daily WE'!Q50</f>
        <v>0</v>
      </c>
    </row>
    <row r="55" spans="1:8" x14ac:dyDescent="0.3">
      <c r="A55" s="5"/>
      <c r="B55" s="5"/>
      <c r="C55" s="5"/>
      <c r="D55" s="6" t="str">
        <f>IFERROR(AVERAGEIFS(#REF!,#REF!,$A55,#REF!,#REF!),"")</f>
        <v/>
      </c>
      <c r="E55" s="6" t="str">
        <f>IFERROR(AVERAGEIFS(#REF!,#REF!,$A55,#REF!,#REF!),"")</f>
        <v/>
      </c>
      <c r="F55" s="6" t="str">
        <f>IFERROR(AVERAGEIFS(#REF!,#REF!,$A55,#REF!,#REF!),"")</f>
        <v/>
      </c>
      <c r="G55" s="4">
        <f>'Daily WE'!N51</f>
        <v>0</v>
      </c>
      <c r="H55" s="4">
        <f>'Daily WE'!Q51</f>
        <v>0</v>
      </c>
    </row>
    <row r="56" spans="1:8" x14ac:dyDescent="0.3">
      <c r="A56" s="5"/>
      <c r="B56" s="5"/>
      <c r="C56" s="5"/>
      <c r="D56" s="6" t="str">
        <f>IFERROR(AVERAGEIFS(#REF!,#REF!,$A56,#REF!,#REF!),"")</f>
        <v/>
      </c>
      <c r="E56" s="6" t="str">
        <f>IFERROR(AVERAGEIFS(#REF!,#REF!,$A56,#REF!,#REF!),"")</f>
        <v/>
      </c>
      <c r="F56" s="6" t="str">
        <f>IFERROR(AVERAGEIFS(#REF!,#REF!,$A56,#REF!,#REF!),"")</f>
        <v/>
      </c>
      <c r="G56" s="4">
        <f>'Daily WE'!N52</f>
        <v>0</v>
      </c>
      <c r="H56" s="4">
        <f>'Daily WE'!Q52</f>
        <v>0</v>
      </c>
    </row>
    <row r="57" spans="1:8" x14ac:dyDescent="0.3">
      <c r="A57" s="5"/>
      <c r="B57" s="5"/>
      <c r="C57" s="5"/>
      <c r="D57" s="6" t="str">
        <f>IFERROR(AVERAGEIFS(#REF!,#REF!,$A57,#REF!,#REF!),"")</f>
        <v/>
      </c>
      <c r="E57" s="6" t="str">
        <f>IFERROR(AVERAGEIFS(#REF!,#REF!,$A57,#REF!,#REF!),"")</f>
        <v/>
      </c>
      <c r="F57" s="6" t="str">
        <f>IFERROR(AVERAGEIFS(#REF!,#REF!,$A57,#REF!,#REF!),"")</f>
        <v/>
      </c>
      <c r="G57" s="4">
        <f>'Daily WE'!N53</f>
        <v>0</v>
      </c>
      <c r="H57" s="4">
        <f>'Daily WE'!Q53</f>
        <v>0</v>
      </c>
    </row>
    <row r="58" spans="1:8" x14ac:dyDescent="0.3">
      <c r="A58" s="5"/>
      <c r="B58" s="5"/>
      <c r="C58" s="5"/>
      <c r="D58" s="6" t="str">
        <f>IFERROR(AVERAGEIFS(#REF!,#REF!,$A58,#REF!,#REF!),"")</f>
        <v/>
      </c>
      <c r="E58" s="6" t="str">
        <f>IFERROR(AVERAGEIFS(#REF!,#REF!,$A58,#REF!,#REF!),"")</f>
        <v/>
      </c>
      <c r="F58" s="6" t="str">
        <f>IFERROR(AVERAGEIFS(#REF!,#REF!,$A58,#REF!,#REF!),"")</f>
        <v/>
      </c>
      <c r="G58" s="4">
        <f>'Daily WE'!N54</f>
        <v>0</v>
      </c>
      <c r="H58" s="4">
        <f>'Daily WE'!Q54</f>
        <v>0</v>
      </c>
    </row>
    <row r="59" spans="1:8" x14ac:dyDescent="0.3">
      <c r="A59" s="5"/>
      <c r="B59" s="5"/>
      <c r="C59" s="5"/>
      <c r="D59" s="6" t="str">
        <f>IFERROR(AVERAGEIFS(#REF!,#REF!,$A59,#REF!,#REF!),"")</f>
        <v/>
      </c>
      <c r="E59" s="6" t="str">
        <f>IFERROR(AVERAGEIFS(#REF!,#REF!,$A59,#REF!,#REF!),"")</f>
        <v/>
      </c>
      <c r="F59" s="6" t="str">
        <f>IFERROR(AVERAGEIFS(#REF!,#REF!,$A59,#REF!,#REF!),"")</f>
        <v/>
      </c>
      <c r="G59" s="4">
        <f>'Daily WE'!N55</f>
        <v>0</v>
      </c>
      <c r="H59" s="4">
        <f>'Daily WE'!Q55</f>
        <v>0</v>
      </c>
    </row>
    <row r="60" spans="1:8" x14ac:dyDescent="0.3">
      <c r="A60" s="5"/>
      <c r="B60" s="5"/>
      <c r="C60" s="5"/>
      <c r="D60" s="6" t="str">
        <f>IFERROR(AVERAGEIFS(#REF!,#REF!,$A60,#REF!,#REF!),"")</f>
        <v/>
      </c>
      <c r="E60" s="6" t="str">
        <f>IFERROR(AVERAGEIFS(#REF!,#REF!,$A60,#REF!,#REF!),"")</f>
        <v/>
      </c>
      <c r="F60" s="6" t="str">
        <f>IFERROR(AVERAGEIFS(#REF!,#REF!,$A60,#REF!,#REF!),"")</f>
        <v/>
      </c>
      <c r="G60" s="4">
        <f>'Daily WE'!N56</f>
        <v>0</v>
      </c>
      <c r="H60" s="4">
        <f>'Daily WE'!Q56</f>
        <v>0</v>
      </c>
    </row>
  </sheetData>
  <sheetProtection sheet="1" objects="1" scenarios="1" selectLockedCells="1" selectUnlockedCells="1"/>
  <autoFilter ref="A3:K60" xr:uid="{2412001A-36AA-43BD-AE26-2C8108444E03}"/>
  <mergeCells count="10">
    <mergeCell ref="A1:XFD1"/>
    <mergeCell ref="A2:A3"/>
    <mergeCell ref="N8:V9"/>
    <mergeCell ref="E2:F2"/>
    <mergeCell ref="D2:D3"/>
    <mergeCell ref="B2:C2"/>
    <mergeCell ref="I2:J2"/>
    <mergeCell ref="K2:L2"/>
    <mergeCell ref="N5:V6"/>
    <mergeCell ref="G2:H2"/>
  </mergeCells>
  <conditionalFormatting sqref="A4:F21">
    <cfRule type="expression" dxfId="11" priority="35">
      <formula>MOD(ROW(), 2) = 0</formula>
    </cfRule>
  </conditionalFormatting>
  <conditionalFormatting sqref="B4:B21">
    <cfRule type="expression" dxfId="10" priority="9">
      <formula>B4&gt;$N$3</formula>
    </cfRule>
  </conditionalFormatting>
  <conditionalFormatting sqref="C4:C21">
    <cfRule type="expression" dxfId="9" priority="34">
      <formula>C4&gt;$O$3</formula>
    </cfRule>
  </conditionalFormatting>
  <conditionalFormatting sqref="I4:I21">
    <cfRule type="top10" dxfId="8" priority="1" bottom="1" rank="6"/>
    <cfRule type="colorScale" priority="3">
      <colorScale>
        <cfvo type="percent" val="0"/>
        <cfvo type="percent" val="75"/>
        <cfvo type="percent" val="100"/>
        <color rgb="FFC00000"/>
        <color theme="9" tint="0.39997558519241921"/>
        <color rgb="FFFFEF9C"/>
      </colorScale>
    </cfRule>
  </conditionalFormatting>
  <conditionalFormatting sqref="J4:J21">
    <cfRule type="top10" dxfId="7" priority="2" bottom="1" rank="6"/>
    <cfRule type="colorScale" priority="4">
      <colorScale>
        <cfvo type="percent" val="0"/>
        <cfvo type="percent" val="75"/>
        <cfvo type="percent" val="100"/>
        <color rgb="FFC00000"/>
        <color theme="9" tint="0.39997558519241921"/>
        <color rgb="FFFFEF9C"/>
      </colorScale>
    </cfRule>
  </conditionalFormatting>
  <conditionalFormatting sqref="K4:L21">
    <cfRule type="cellIs" dxfId="6" priority="5" operator="lessThan">
      <formula>1</formula>
    </cfRule>
    <cfRule type="cellIs" dxfId="5" priority="8" operator="greaterThanOrEqual">
      <formula>1</formula>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06D378-9CD2-47E2-92AF-C1B2E4BDA718}">
          <x14:formula1>
            <xm:f>'Data-Lists'!$F$4:$F$101</xm:f>
          </x14:formula1>
          <xm:sqref>F1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3EF7-58D2-4255-8C77-FCC35C1A2CC3}">
  <sheetPr>
    <tabColor theme="9" tint="0.39997558519241921"/>
  </sheetPr>
  <dimension ref="A1:V244"/>
  <sheetViews>
    <sheetView workbookViewId="0">
      <pane ySplit="6" topLeftCell="A7" activePane="bottomLeft" state="frozen"/>
      <selection sqref="A1:XFD1"/>
      <selection pane="bottomLeft" sqref="A1:XFD1"/>
    </sheetView>
  </sheetViews>
  <sheetFormatPr defaultRowHeight="14.4" x14ac:dyDescent="0.3"/>
  <cols>
    <col min="1" max="1" width="20.77734375" style="79" customWidth="1"/>
    <col min="2" max="19" width="6.77734375" style="67" customWidth="1"/>
    <col min="20" max="20" width="2.77734375" customWidth="1"/>
    <col min="21" max="21" width="25.77734375" style="141" customWidth="1"/>
    <col min="22" max="22" width="20.77734375" customWidth="1"/>
  </cols>
  <sheetData>
    <row r="1" spans="1:22" s="359" customFormat="1" ht="24.6" thickTop="1" thickBot="1" x14ac:dyDescent="0.5">
      <c r="A1" s="358" t="s">
        <v>311</v>
      </c>
    </row>
    <row r="2" spans="1:22" ht="16.2" thickTop="1" x14ac:dyDescent="0.3">
      <c r="A2" s="347" t="s">
        <v>67</v>
      </c>
      <c r="B2" s="347"/>
      <c r="C2" s="347"/>
      <c r="D2" s="347"/>
      <c r="E2" s="347"/>
      <c r="F2" s="347"/>
      <c r="G2" s="347"/>
      <c r="H2" s="347"/>
      <c r="I2" s="347"/>
      <c r="J2" s="347"/>
      <c r="K2" s="347"/>
      <c r="L2" s="347"/>
      <c r="M2" s="347"/>
      <c r="N2" s="347"/>
      <c r="O2" s="347"/>
      <c r="P2" s="347"/>
      <c r="Q2" s="347"/>
      <c r="R2" s="347"/>
      <c r="S2" s="347"/>
      <c r="U2" s="207" t="s">
        <v>257</v>
      </c>
    </row>
    <row r="3" spans="1:22" ht="43.2" hidden="1" customHeight="1" x14ac:dyDescent="0.3">
      <c r="A3" s="200" t="s">
        <v>31</v>
      </c>
      <c r="B3" s="69" t="str" cm="1">
        <f t="array" ref="B3:S3">TRANSPOSE('Data-Lists'!A4:A21)</f>
        <v>#1 (Vero v2.2)</v>
      </c>
      <c r="C3" s="70" t="str">
        <v>#2 (Vero v2.2)</v>
      </c>
      <c r="D3" s="70" t="str">
        <v>#3 (Vero v2.2)</v>
      </c>
      <c r="E3" s="70" t="str">
        <v>#4 (Vero v2.2)</v>
      </c>
      <c r="F3" s="70" t="str">
        <v>#5 (Vero v2.2)</v>
      </c>
      <c r="G3" s="70" t="str">
        <v>#6 (Vero v2.2)</v>
      </c>
      <c r="H3" s="70" t="str">
        <v>#7 (Vero v2.2)</v>
      </c>
      <c r="I3" s="70" t="str">
        <v>#8 (Vero v2.2)</v>
      </c>
      <c r="J3" s="70" t="str">
        <v>#9 (Vero v2.2)</v>
      </c>
      <c r="K3" s="70" t="str">
        <v>#10 (Vero v2.2)</v>
      </c>
      <c r="L3" s="70" t="str">
        <v>#11 (Vero v2.2)</v>
      </c>
      <c r="M3" s="70" t="str">
        <v>#12 (Vero v2.2)</v>
      </c>
      <c r="N3" s="70" t="str">
        <v>#13 (Vero v2.2)</v>
      </c>
      <c r="O3" s="70" t="str">
        <v>#14 (Vero v2.2)</v>
      </c>
      <c r="P3" s="70" t="str">
        <v>#15 (Vero v2.2)</v>
      </c>
      <c r="Q3" s="70" t="str">
        <v>#16 (Vero v2.2)</v>
      </c>
      <c r="R3" s="70" t="str">
        <v>#17 (Vero v2.2)</v>
      </c>
      <c r="S3" s="70" t="str">
        <v>#18 (Vero v2.2)</v>
      </c>
      <c r="U3" s="205"/>
    </row>
    <row r="4" spans="1:22" x14ac:dyDescent="0.3">
      <c r="A4" s="201" t="s">
        <v>258</v>
      </c>
      <c r="B4" s="203" cm="1">
        <f t="array" ref="B4">ROUND(AVERAGE(_xlfn._xlws.FILTER(B7:B23, ISNUMBER(B7:B23))), 0)</f>
        <v>9</v>
      </c>
      <c r="C4" s="203" cm="1">
        <f t="array" ref="C4">ROUND(AVERAGE(_xlfn._xlws.FILTER(C7:C23, ISNUMBER(C7:C23))), 0)</f>
        <v>11</v>
      </c>
      <c r="D4" s="203" cm="1">
        <f t="array" ref="D4">ROUND(AVERAGE(_xlfn._xlws.FILTER(D7:D23, ISNUMBER(D7:D23))), 0)</f>
        <v>13</v>
      </c>
      <c r="E4" s="203" cm="1">
        <f t="array" ref="E4">ROUND(AVERAGE(_xlfn._xlws.FILTER(E7:E23, ISNUMBER(E7:E23))), 0)</f>
        <v>16</v>
      </c>
      <c r="F4" s="203" cm="1">
        <f t="array" ref="F4">ROUND(AVERAGE(_xlfn._xlws.FILTER(F7:F23, ISNUMBER(F7:F23))), 0)</f>
        <v>6</v>
      </c>
      <c r="G4" s="203" cm="1">
        <f t="array" ref="G4">ROUND(AVERAGE(_xlfn._xlws.FILTER(G7:G23, ISNUMBER(G7:G23))), 0)</f>
        <v>12</v>
      </c>
      <c r="H4" s="203" cm="1">
        <f t="array" ref="H4">ROUND(AVERAGE(_xlfn._xlws.FILTER(H7:H23, ISNUMBER(H7:H23))), 0)</f>
        <v>14</v>
      </c>
      <c r="I4" s="203" cm="1">
        <f t="array" ref="I4">ROUND(AVERAGE(_xlfn._xlws.FILTER(I7:I23, ISNUMBER(I7:I23))), 0)</f>
        <v>3</v>
      </c>
      <c r="J4" s="203" cm="1">
        <f t="array" ref="J4">ROUND(AVERAGE(_xlfn._xlws.FILTER(J7:J23, ISNUMBER(J7:J23))), 0)</f>
        <v>14</v>
      </c>
      <c r="K4" s="203" cm="1">
        <f t="array" ref="K4">ROUND(AVERAGE(_xlfn._xlws.FILTER(K7:K23, ISNUMBER(K7:K23))), 0)</f>
        <v>10</v>
      </c>
      <c r="L4" s="203" cm="1">
        <f t="array" ref="L4">ROUND(AVERAGE(_xlfn._xlws.FILTER(L7:L23, ISNUMBER(L7:L23))), 0)</f>
        <v>8</v>
      </c>
      <c r="M4" s="203" cm="1">
        <f t="array" ref="M4">ROUND(AVERAGE(_xlfn._xlws.FILTER(M7:M23, ISNUMBER(M7:M23))), 0)</f>
        <v>5</v>
      </c>
      <c r="N4" s="203" cm="1">
        <f t="array" ref="N4">ROUND(AVERAGE(_xlfn._xlws.FILTER(N7:N23, ISNUMBER(N7:N23))), 0)</f>
        <v>3</v>
      </c>
      <c r="O4" s="203" cm="1">
        <f t="array" ref="O4">ROUND(AVERAGE(_xlfn._xlws.FILTER(O7:O23, ISNUMBER(O7:O23))), 0)</f>
        <v>3</v>
      </c>
      <c r="P4" s="203" cm="1">
        <f t="array" ref="P4">ROUND(AVERAGE(_xlfn._xlws.FILTER(P7:P23, ISNUMBER(P7:P23))), 0)</f>
        <v>11</v>
      </c>
      <c r="Q4" s="203" cm="1">
        <f t="array" ref="Q4">ROUND(AVERAGE(_xlfn._xlws.FILTER(Q7:Q23, ISNUMBER(Q7:Q23))), 0)</f>
        <v>9</v>
      </c>
      <c r="R4" s="203" cm="1">
        <f t="array" ref="R4">ROUND(AVERAGE(_xlfn._xlws.FILTER(R7:R23, ISNUMBER(R7:R23))), 0)</f>
        <v>9</v>
      </c>
      <c r="S4" s="203" cm="1">
        <f t="array" ref="S4">ROUND(AVERAGE(_xlfn._xlws.FILTER(S7:S23, ISNUMBER(S7:S23))), 0)</f>
        <v>14</v>
      </c>
      <c r="U4" s="342" t="s">
        <v>32</v>
      </c>
    </row>
    <row r="5" spans="1:22" ht="15.6" x14ac:dyDescent="0.3">
      <c r="A5" s="345" t="s">
        <v>31</v>
      </c>
      <c r="B5" s="348" t="s">
        <v>259</v>
      </c>
      <c r="C5" s="348"/>
      <c r="D5" s="348"/>
      <c r="E5" s="348"/>
      <c r="F5" s="348"/>
      <c r="G5" s="348"/>
      <c r="H5" s="348"/>
      <c r="I5" s="348"/>
      <c r="J5" s="348"/>
      <c r="K5" s="348"/>
      <c r="L5" s="348"/>
      <c r="M5" s="348"/>
      <c r="N5" s="348"/>
      <c r="O5" s="348"/>
      <c r="P5" s="348"/>
      <c r="Q5" s="348"/>
      <c r="R5" s="348"/>
      <c r="S5" s="348"/>
      <c r="U5" s="343"/>
    </row>
    <row r="6" spans="1:22" ht="15" customHeight="1" thickBot="1" x14ac:dyDescent="0.35">
      <c r="A6" s="346"/>
      <c r="B6" s="198" t="str">
        <f t="shared" ref="B6:S6" si="0">LEFT(B3, 3)</f>
        <v xml:space="preserve">#1 </v>
      </c>
      <c r="C6" s="198" t="str">
        <f t="shared" si="0"/>
        <v xml:space="preserve">#2 </v>
      </c>
      <c r="D6" s="198" t="str">
        <f t="shared" si="0"/>
        <v xml:space="preserve">#3 </v>
      </c>
      <c r="E6" s="198" t="str">
        <f t="shared" si="0"/>
        <v xml:space="preserve">#4 </v>
      </c>
      <c r="F6" s="198" t="str">
        <f t="shared" si="0"/>
        <v xml:space="preserve">#5 </v>
      </c>
      <c r="G6" s="198" t="str">
        <f t="shared" si="0"/>
        <v xml:space="preserve">#6 </v>
      </c>
      <c r="H6" s="198" t="str">
        <f t="shared" si="0"/>
        <v xml:space="preserve">#7 </v>
      </c>
      <c r="I6" s="198" t="str">
        <f t="shared" si="0"/>
        <v xml:space="preserve">#8 </v>
      </c>
      <c r="J6" s="198" t="str">
        <f t="shared" si="0"/>
        <v xml:space="preserve">#9 </v>
      </c>
      <c r="K6" s="198" t="str">
        <f t="shared" si="0"/>
        <v>#10</v>
      </c>
      <c r="L6" s="198" t="str">
        <f t="shared" si="0"/>
        <v>#11</v>
      </c>
      <c r="M6" s="198" t="str">
        <f t="shared" si="0"/>
        <v>#12</v>
      </c>
      <c r="N6" s="198" t="str">
        <f t="shared" si="0"/>
        <v>#13</v>
      </c>
      <c r="O6" s="198" t="str">
        <f t="shared" si="0"/>
        <v>#14</v>
      </c>
      <c r="P6" s="198" t="str">
        <f t="shared" si="0"/>
        <v>#15</v>
      </c>
      <c r="Q6" s="198" t="str">
        <f t="shared" si="0"/>
        <v>#16</v>
      </c>
      <c r="R6" s="198" t="str">
        <f t="shared" si="0"/>
        <v>#17</v>
      </c>
      <c r="S6" s="198" t="str">
        <f t="shared" si="0"/>
        <v>#18</v>
      </c>
      <c r="U6" s="344"/>
      <c r="V6" s="195"/>
    </row>
    <row r="7" spans="1:22" x14ac:dyDescent="0.3">
      <c r="A7" s="39" cm="1">
        <f t="array" ref="A7:A28">_xlfn.UNIQUE(_xlfn._xlws.FILTER(Log!$C:$C, (Log!$B:B="n/a") * (Log!$A:$A="Daily")))</f>
        <v>46228</v>
      </c>
      <c r="B7" s="68">
        <f>_xlfn.LET(
    _xlpm.cat,        Log!$A:$A,
    _xlpm.key,        Log!$B:$B,
    _xlpm.date,       Log!$C:$C,
    _xlpm.cam,        Log!$D:$D,
    _xlpm.worErr,     Log!$F:$F,
    _xlpm.imgErr,     Log!$G:$G,
    _xlpm.thisDate,   $A7,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C7" s="68">
        <f>_xlfn.LET(
    _xlpm.cat,        Log!$A:$A,
    _xlpm.key,        Log!$B:$B,
    _xlpm.date,       Log!$C:$C,
    _xlpm.cam,        Log!$D:$D,
    _xlpm.worErr,     Log!$F:$F,
    _xlpm.imgErr,     Log!$G:$G,
    _xlpm.thisDate,   $A7,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D7" s="68">
        <f>_xlfn.LET(
    _xlpm.cat,        Log!$A:$A,
    _xlpm.key,        Log!$B:$B,
    _xlpm.date,       Log!$C:$C,
    _xlpm.cam,        Log!$D:$D,
    _xlpm.worErr,     Log!$F:$F,
    _xlpm.imgErr,     Log!$G:$G,
    _xlpm.thisDate,   $A7,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E7" s="68">
        <f>_xlfn.LET(
    _xlpm.cat,        Log!$A:$A,
    _xlpm.key,        Log!$B:$B,
    _xlpm.date,       Log!$C:$C,
    _xlpm.cam,        Log!$D:$D,
    _xlpm.worErr,     Log!$F:$F,
    _xlpm.imgErr,     Log!$G:$G,
    _xlpm.thisDate,   $A7,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7" s="68">
        <f>_xlfn.LET(
    _xlpm.cat,        Log!$A:$A,
    _xlpm.key,        Log!$B:$B,
    _xlpm.date,       Log!$C:$C,
    _xlpm.cam,        Log!$D:$D,
    _xlpm.worErr,     Log!$F:$F,
    _xlpm.imgErr,     Log!$G:$G,
    _xlpm.thisDate,   $A7,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7" s="68">
        <f>_xlfn.LET(
    _xlpm.cat,        Log!$A:$A,
    _xlpm.key,        Log!$B:$B,
    _xlpm.date,       Log!$C:$C,
    _xlpm.cam,        Log!$D:$D,
    _xlpm.worErr,     Log!$F:$F,
    _xlpm.imgErr,     Log!$G:$G,
    _xlpm.thisDate,   $A7,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H7" s="68">
        <f>_xlfn.LET(
    _xlpm.cat,        Log!$A:$A,
    _xlpm.key,        Log!$B:$B,
    _xlpm.date,       Log!$C:$C,
    _xlpm.cam,        Log!$D:$D,
    _xlpm.worErr,     Log!$F:$F,
    _xlpm.imgErr,     Log!$G:$G,
    _xlpm.thisDate,   $A7,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7" s="202" t="e">
        <f>_xlfn.LET(
    _xlpm.cat,        Log!$A:$A,
    _xlpm.key,        Log!$B:$B,
    _xlpm.date,       Log!$C:$C,
    _xlpm.cam,        Log!$D:$D,
    _xlpm.worErr,     Log!$F:$F,
    _xlpm.imgErr,     Log!$G:$G,
    _xlpm.thisDate,   $A7,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#N/A</v>
      </c>
      <c r="J7" s="68">
        <f>_xlfn.LET(
    _xlpm.cat,        Log!$A:$A,
    _xlpm.key,        Log!$B:$B,
    _xlpm.date,       Log!$C:$C,
    _xlpm.cam,        Log!$D:$D,
    _xlpm.worErr,     Log!$F:$F,
    _xlpm.imgErr,     Log!$G:$G,
    _xlpm.thisDate,   $A7,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K7" s="68">
        <f>_xlfn.LET(
    _xlpm.cat,        Log!$A:$A,
    _xlpm.key,        Log!$B:$B,
    _xlpm.date,       Log!$C:$C,
    _xlpm.cam,        Log!$D:$D,
    _xlpm.worErr,     Log!$F:$F,
    _xlpm.imgErr,     Log!$G:$G,
    _xlpm.thisDate,   $A7,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L7" s="68">
        <f>_xlfn.LET(
    _xlpm.cat,        Log!$A:$A,
    _xlpm.key,        Log!$B:$B,
    _xlpm.date,       Log!$C:$C,
    _xlpm.cam,        Log!$D:$D,
    _xlpm.worErr,     Log!$F:$F,
    _xlpm.imgErr,     Log!$G:$G,
    _xlpm.thisDate,   $A7,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M7" s="68">
        <f>_xlfn.LET(
    _xlpm.cat,        Log!$A:$A,
    _xlpm.key,        Log!$B:$B,
    _xlpm.date,       Log!$C:$C,
    _xlpm.cam,        Log!$D:$D,
    _xlpm.worErr,     Log!$F:$F,
    _xlpm.imgErr,     Log!$G:$G,
    _xlpm.thisDate,   $A7,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N7" s="68">
        <f>_xlfn.LET(
    _xlpm.cat,        Log!$A:$A,
    _xlpm.key,        Log!$B:$B,
    _xlpm.date,       Log!$C:$C,
    _xlpm.cam,        Log!$D:$D,
    _xlpm.worErr,     Log!$F:$F,
    _xlpm.imgErr,     Log!$G:$G,
    _xlpm.thisDate,   $A7,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7" s="68">
        <f>_xlfn.LET(
    _xlpm.cat,        Log!$A:$A,
    _xlpm.key,        Log!$B:$B,
    _xlpm.date,       Log!$C:$C,
    _xlpm.cam,        Log!$D:$D,
    _xlpm.worErr,     Log!$F:$F,
    _xlpm.imgErr,     Log!$G:$G,
    _xlpm.thisDate,   $A7,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7" s="68">
        <f>_xlfn.LET(
    _xlpm.cat,        Log!$A:$A,
    _xlpm.key,        Log!$B:$B,
    _xlpm.date,       Log!$C:$C,
    _xlpm.cam,        Log!$D:$D,
    _xlpm.worErr,     Log!$F:$F,
    _xlpm.imgErr,     Log!$G:$G,
    _xlpm.thisDate,   $A7,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7" s="68">
        <f>_xlfn.LET(
    _xlpm.cat,        Log!$A:$A,
    _xlpm.key,        Log!$B:$B,
    _xlpm.date,       Log!$C:$C,
    _xlpm.cam,        Log!$D:$D,
    _xlpm.worErr,     Log!$F:$F,
    _xlpm.imgErr,     Log!$G:$G,
    _xlpm.thisDate,   $A7,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R7" s="68">
        <f>_xlfn.LET(
    _xlpm.cat,        Log!$A:$A,
    _xlpm.key,        Log!$B:$B,
    _xlpm.date,       Log!$C:$C,
    _xlpm.cam,        Log!$D:$D,
    _xlpm.worErr,     Log!$F:$F,
    _xlpm.imgErr,     Log!$G:$G,
    _xlpm.thisDate,   $A7,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7" s="68">
        <f>_xlfn.LET(
    _xlpm.cat,        Log!$A:$A,
    _xlpm.key,        Log!$B:$B,
    _xlpm.date,       Log!$C:$C,
    _xlpm.cam,        Log!$D:$D,
    _xlpm.worErr,     Log!$F:$F,
    _xlpm.imgErr,     Log!$G:$G,
    _xlpm.thisDate,   $A7,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row>
    <row r="8" spans="1:22" x14ac:dyDescent="0.3">
      <c r="A8" s="39">
        <v>46230</v>
      </c>
      <c r="B8" s="68">
        <f>_xlfn.LET(
    _xlpm.cat,        Log!$A:$A,
    _xlpm.key,        Log!$B:$B,
    _xlpm.date,       Log!$C:$C,
    _xlpm.cam,        Log!$D:$D,
    _xlpm.worErr,     Log!$F:$F,
    _xlpm.imgErr,     Log!$G:$G,
    _xlpm.thisDate,   $A8,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8" s="68">
        <f>_xlfn.LET(
    _xlpm.cat,        Log!$A:$A,
    _xlpm.key,        Log!$B:$B,
    _xlpm.date,       Log!$C:$C,
    _xlpm.cam,        Log!$D:$D,
    _xlpm.worErr,     Log!$F:$F,
    _xlpm.imgErr,     Log!$G:$G,
    _xlpm.thisDate,   $A8,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8" s="68">
        <f>_xlfn.LET(
    _xlpm.cat,        Log!$A:$A,
    _xlpm.key,        Log!$B:$B,
    _xlpm.date,       Log!$C:$C,
    _xlpm.cam,        Log!$D:$D,
    _xlpm.worErr,     Log!$F:$F,
    _xlpm.imgErr,     Log!$G:$G,
    _xlpm.thisDate,   $A8,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E8" s="68">
        <f>_xlfn.LET(
    _xlpm.cat,        Log!$A:$A,
    _xlpm.key,        Log!$B:$B,
    _xlpm.date,       Log!$C:$C,
    _xlpm.cam,        Log!$D:$D,
    _xlpm.worErr,     Log!$F:$F,
    _xlpm.imgErr,     Log!$G:$G,
    _xlpm.thisDate,   $A8,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8" s="68">
        <f>_xlfn.LET(
    _xlpm.cat,        Log!$A:$A,
    _xlpm.key,        Log!$B:$B,
    _xlpm.date,       Log!$C:$C,
    _xlpm.cam,        Log!$D:$D,
    _xlpm.worErr,     Log!$F:$F,
    _xlpm.imgErr,     Log!$G:$G,
    _xlpm.thisDate,   $A8,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8" s="68">
        <f>_xlfn.LET(
    _xlpm.cat,        Log!$A:$A,
    _xlpm.key,        Log!$B:$B,
    _xlpm.date,       Log!$C:$C,
    _xlpm.cam,        Log!$D:$D,
    _xlpm.worErr,     Log!$F:$F,
    _xlpm.imgErr,     Log!$G:$G,
    _xlpm.thisDate,   $A8,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H8" s="68">
        <f>_xlfn.LET(
    _xlpm.cat,        Log!$A:$A,
    _xlpm.key,        Log!$B:$B,
    _xlpm.date,       Log!$C:$C,
    _xlpm.cam,        Log!$D:$D,
    _xlpm.worErr,     Log!$F:$F,
    _xlpm.imgErr,     Log!$G:$G,
    _xlpm.thisDate,   $A8,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8" s="68">
        <f>_xlfn.LET(
    _xlpm.cat,        Log!$A:$A,
    _xlpm.key,        Log!$B:$B,
    _xlpm.date,       Log!$C:$C,
    _xlpm.cam,        Log!$D:$D,
    _xlpm.worErr,     Log!$F:$F,
    _xlpm.imgErr,     Log!$G:$G,
    _xlpm.thisDate,   $A8,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8" s="68">
        <f>_xlfn.LET(
    _xlpm.cat,        Log!$A:$A,
    _xlpm.key,        Log!$B:$B,
    _xlpm.date,       Log!$C:$C,
    _xlpm.cam,        Log!$D:$D,
    _xlpm.worErr,     Log!$F:$F,
    _xlpm.imgErr,     Log!$G:$G,
    _xlpm.thisDate,   $A8,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8" s="68">
        <f>_xlfn.LET(
    _xlpm.cat,        Log!$A:$A,
    _xlpm.key,        Log!$B:$B,
    _xlpm.date,       Log!$C:$C,
    _xlpm.cam,        Log!$D:$D,
    _xlpm.worErr,     Log!$F:$F,
    _xlpm.imgErr,     Log!$G:$G,
    _xlpm.thisDate,   $A8,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8" s="68">
        <f>_xlfn.LET(
    _xlpm.cat,        Log!$A:$A,
    _xlpm.key,        Log!$B:$B,
    _xlpm.date,       Log!$C:$C,
    _xlpm.cam,        Log!$D:$D,
    _xlpm.worErr,     Log!$F:$F,
    _xlpm.imgErr,     Log!$G:$G,
    _xlpm.thisDate,   $A8,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M8" s="68">
        <f>_xlfn.LET(
    _xlpm.cat,        Log!$A:$A,
    _xlpm.key,        Log!$B:$B,
    _xlpm.date,       Log!$C:$C,
    _xlpm.cam,        Log!$D:$D,
    _xlpm.worErr,     Log!$F:$F,
    _xlpm.imgErr,     Log!$G:$G,
    _xlpm.thisDate,   $A8,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N8" s="68">
        <f>_xlfn.LET(
    _xlpm.cat,        Log!$A:$A,
    _xlpm.key,        Log!$B:$B,
    _xlpm.date,       Log!$C:$C,
    _xlpm.cam,        Log!$D:$D,
    _xlpm.worErr,     Log!$F:$F,
    _xlpm.imgErr,     Log!$G:$G,
    _xlpm.thisDate,   $A8,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O8" s="68">
        <f>_xlfn.LET(
    _xlpm.cat,        Log!$A:$A,
    _xlpm.key,        Log!$B:$B,
    _xlpm.date,       Log!$C:$C,
    _xlpm.cam,        Log!$D:$D,
    _xlpm.worErr,     Log!$F:$F,
    _xlpm.imgErr,     Log!$G:$G,
    _xlpm.thisDate,   $A8,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8" s="68">
        <f>_xlfn.LET(
    _xlpm.cat,        Log!$A:$A,
    _xlpm.key,        Log!$B:$B,
    _xlpm.date,       Log!$C:$C,
    _xlpm.cam,        Log!$D:$D,
    _xlpm.worErr,     Log!$F:$F,
    _xlpm.imgErr,     Log!$G:$G,
    _xlpm.thisDate,   $A8,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Q8" s="68">
        <f>_xlfn.LET(
    _xlpm.cat,        Log!$A:$A,
    _xlpm.key,        Log!$B:$B,
    _xlpm.date,       Log!$C:$C,
    _xlpm.cam,        Log!$D:$D,
    _xlpm.worErr,     Log!$F:$F,
    _xlpm.imgErr,     Log!$G:$G,
    _xlpm.thisDate,   $A8,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R8" s="68">
        <f>_xlfn.LET(
    _xlpm.cat,        Log!$A:$A,
    _xlpm.key,        Log!$B:$B,
    _xlpm.date,       Log!$C:$C,
    _xlpm.cam,        Log!$D:$D,
    _xlpm.worErr,     Log!$F:$F,
    _xlpm.imgErr,     Log!$G:$G,
    _xlpm.thisDate,   $A8,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8" s="68">
        <f>_xlfn.LET(
    _xlpm.cat,        Log!$A:$A,
    _xlpm.key,        Log!$B:$B,
    _xlpm.date,       Log!$C:$C,
    _xlpm.cam,        Log!$D:$D,
    _xlpm.worErr,     Log!$F:$F,
    _xlpm.imgErr,     Log!$G:$G,
    _xlpm.thisDate,   $A8,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8" s="208" t="s">
        <v>262</v>
      </c>
    </row>
    <row r="9" spans="1:22" x14ac:dyDescent="0.3">
      <c r="A9" s="39">
        <v>46231</v>
      </c>
      <c r="B9" s="68">
        <f>_xlfn.LET(
    _xlpm.cat,        Log!$A:$A,
    _xlpm.key,        Log!$B:$B,
    _xlpm.date,       Log!$C:$C,
    _xlpm.cam,        Log!$D:$D,
    _xlpm.worErr,     Log!$F:$F,
    _xlpm.imgErr,     Log!$G:$G,
    _xlpm.thisDate,   $A9,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C9" s="68">
        <f>_xlfn.LET(
    _xlpm.cat,        Log!$A:$A,
    _xlpm.key,        Log!$B:$B,
    _xlpm.date,       Log!$C:$C,
    _xlpm.cam,        Log!$D:$D,
    _xlpm.worErr,     Log!$F:$F,
    _xlpm.imgErr,     Log!$G:$G,
    _xlpm.thisDate,   $A9,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D9" s="68">
        <f>_xlfn.LET(
    _xlpm.cat,        Log!$A:$A,
    _xlpm.key,        Log!$B:$B,
    _xlpm.date,       Log!$C:$C,
    _xlpm.cam,        Log!$D:$D,
    _xlpm.worErr,     Log!$F:$F,
    _xlpm.imgErr,     Log!$G:$G,
    _xlpm.thisDate,   $A9,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E9" s="68">
        <f>_xlfn.LET(
    _xlpm.cat,        Log!$A:$A,
    _xlpm.key,        Log!$B:$B,
    _xlpm.date,       Log!$C:$C,
    _xlpm.cam,        Log!$D:$D,
    _xlpm.worErr,     Log!$F:$F,
    _xlpm.imgErr,     Log!$G:$G,
    _xlpm.thisDate,   $A9,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9" s="68">
        <f>_xlfn.LET(
    _xlpm.cat,        Log!$A:$A,
    _xlpm.key,        Log!$B:$B,
    _xlpm.date,       Log!$C:$C,
    _xlpm.cam,        Log!$D:$D,
    _xlpm.worErr,     Log!$F:$F,
    _xlpm.imgErr,     Log!$G:$G,
    _xlpm.thisDate,   $A9,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9" s="68">
        <f>_xlfn.LET(
    _xlpm.cat,        Log!$A:$A,
    _xlpm.key,        Log!$B:$B,
    _xlpm.date,       Log!$C:$C,
    _xlpm.cam,        Log!$D:$D,
    _xlpm.worErr,     Log!$F:$F,
    _xlpm.imgErr,     Log!$G:$G,
    _xlpm.thisDate,   $A9,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H9" s="68">
        <f>_xlfn.LET(
    _xlpm.cat,        Log!$A:$A,
    _xlpm.key,        Log!$B:$B,
    _xlpm.date,       Log!$C:$C,
    _xlpm.cam,        Log!$D:$D,
    _xlpm.worErr,     Log!$F:$F,
    _xlpm.imgErr,     Log!$G:$G,
    _xlpm.thisDate,   $A9,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9" s="68">
        <f>_xlfn.LET(
    _xlpm.cat,        Log!$A:$A,
    _xlpm.key,        Log!$B:$B,
    _xlpm.date,       Log!$C:$C,
    _xlpm.cam,        Log!$D:$D,
    _xlpm.worErr,     Log!$F:$F,
    _xlpm.imgErr,     Log!$G:$G,
    _xlpm.thisDate,   $A9,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9" s="68">
        <f>_xlfn.LET(
    _xlpm.cat,        Log!$A:$A,
    _xlpm.key,        Log!$B:$B,
    _xlpm.date,       Log!$C:$C,
    _xlpm.cam,        Log!$D:$D,
    _xlpm.worErr,     Log!$F:$F,
    _xlpm.imgErr,     Log!$G:$G,
    _xlpm.thisDate,   $A9,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K9" s="68">
        <f>_xlfn.LET(
    _xlpm.cat,        Log!$A:$A,
    _xlpm.key,        Log!$B:$B,
    _xlpm.date,       Log!$C:$C,
    _xlpm.cam,        Log!$D:$D,
    _xlpm.worErr,     Log!$F:$F,
    _xlpm.imgErr,     Log!$G:$G,
    _xlpm.thisDate,   $A9,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L9" s="68">
        <f>_xlfn.LET(
    _xlpm.cat,        Log!$A:$A,
    _xlpm.key,        Log!$B:$B,
    _xlpm.date,       Log!$C:$C,
    _xlpm.cam,        Log!$D:$D,
    _xlpm.worErr,     Log!$F:$F,
    _xlpm.imgErr,     Log!$G:$G,
    _xlpm.thisDate,   $A9,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9" s="68">
        <f>_xlfn.LET(
    _xlpm.cat,        Log!$A:$A,
    _xlpm.key,        Log!$B:$B,
    _xlpm.date,       Log!$C:$C,
    _xlpm.cam,        Log!$D:$D,
    _xlpm.worErr,     Log!$F:$F,
    _xlpm.imgErr,     Log!$G:$G,
    _xlpm.thisDate,   $A9,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9" s="68">
        <f>_xlfn.LET(
    _xlpm.cat,        Log!$A:$A,
    _xlpm.key,        Log!$B:$B,
    _xlpm.date,       Log!$C:$C,
    _xlpm.cam,        Log!$D:$D,
    _xlpm.worErr,     Log!$F:$F,
    _xlpm.imgErr,     Log!$G:$G,
    _xlpm.thisDate,   $A9,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O9" s="68">
        <f>_xlfn.LET(
    _xlpm.cat,        Log!$A:$A,
    _xlpm.key,        Log!$B:$B,
    _xlpm.date,       Log!$C:$C,
    _xlpm.cam,        Log!$D:$D,
    _xlpm.worErr,     Log!$F:$F,
    _xlpm.imgErr,     Log!$G:$G,
    _xlpm.thisDate,   $A9,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9" s="68">
        <f>_xlfn.LET(
    _xlpm.cat,        Log!$A:$A,
    _xlpm.key,        Log!$B:$B,
    _xlpm.date,       Log!$C:$C,
    _xlpm.cam,        Log!$D:$D,
    _xlpm.worErr,     Log!$F:$F,
    _xlpm.imgErr,     Log!$G:$G,
    _xlpm.thisDate,   $A9,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Q9" s="68">
        <f>_xlfn.LET(
    _xlpm.cat,        Log!$A:$A,
    _xlpm.key,        Log!$B:$B,
    _xlpm.date,       Log!$C:$C,
    _xlpm.cam,        Log!$D:$D,
    _xlpm.worErr,     Log!$F:$F,
    _xlpm.imgErr,     Log!$G:$G,
    _xlpm.thisDate,   $A9,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R9" s="68">
        <f>_xlfn.LET(
    _xlpm.cat,        Log!$A:$A,
    _xlpm.key,        Log!$B:$B,
    _xlpm.date,       Log!$C:$C,
    _xlpm.cam,        Log!$D:$D,
    _xlpm.worErr,     Log!$F:$F,
    _xlpm.imgErr,     Log!$G:$G,
    _xlpm.thisDate,   $A9,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9" s="68">
        <f>_xlfn.LET(
    _xlpm.cat,        Log!$A:$A,
    _xlpm.key,        Log!$B:$B,
    _xlpm.date,       Log!$C:$C,
    _xlpm.cam,        Log!$D:$D,
    _xlpm.worErr,     Log!$F:$F,
    _xlpm.imgErr,     Log!$G:$G,
    _xlpm.thisDate,   $A9,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U9" s="141" t="s">
        <v>261</v>
      </c>
      <c r="V9" s="196"/>
    </row>
    <row r="10" spans="1:22" x14ac:dyDescent="0.3">
      <c r="A10" s="39">
        <v>46232</v>
      </c>
      <c r="B10" s="68">
        <f>_xlfn.LET(
    _xlpm.cat,        Log!$A:$A,
    _xlpm.key,        Log!$B:$B,
    _xlpm.date,       Log!$C:$C,
    _xlpm.cam,        Log!$D:$D,
    _xlpm.worErr,     Log!$F:$F,
    _xlpm.imgErr,     Log!$G:$G,
    _xlpm.thisDate,   $A10,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C10" s="68">
        <f>_xlfn.LET(
    _xlpm.cat,        Log!$A:$A,
    _xlpm.key,        Log!$B:$B,
    _xlpm.date,       Log!$C:$C,
    _xlpm.cam,        Log!$D:$D,
    _xlpm.worErr,     Log!$F:$F,
    _xlpm.imgErr,     Log!$G:$G,
    _xlpm.thisDate,   $A10,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10" s="68">
        <f>_xlfn.LET(
    _xlpm.cat,        Log!$A:$A,
    _xlpm.key,        Log!$B:$B,
    _xlpm.date,       Log!$C:$C,
    _xlpm.cam,        Log!$D:$D,
    _xlpm.worErr,     Log!$F:$F,
    _xlpm.imgErr,     Log!$G:$G,
    _xlpm.thisDate,   $A10,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E10" s="68">
        <f>_xlfn.LET(
    _xlpm.cat,        Log!$A:$A,
    _xlpm.key,        Log!$B:$B,
    _xlpm.date,       Log!$C:$C,
    _xlpm.cam,        Log!$D:$D,
    _xlpm.worErr,     Log!$F:$F,
    _xlpm.imgErr,     Log!$G:$G,
    _xlpm.thisDate,   $A10,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0" s="68">
        <f>_xlfn.LET(
    _xlpm.cat,        Log!$A:$A,
    _xlpm.key,        Log!$B:$B,
    _xlpm.date,       Log!$C:$C,
    _xlpm.cam,        Log!$D:$D,
    _xlpm.worErr,     Log!$F:$F,
    _xlpm.imgErr,     Log!$G:$G,
    _xlpm.thisDate,   $A10,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0" s="68">
        <f>_xlfn.LET(
    _xlpm.cat,        Log!$A:$A,
    _xlpm.key,        Log!$B:$B,
    _xlpm.date,       Log!$C:$C,
    _xlpm.cam,        Log!$D:$D,
    _xlpm.worErr,     Log!$F:$F,
    _xlpm.imgErr,     Log!$G:$G,
    _xlpm.thisDate,   $A10,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10" s="68">
        <f>_xlfn.LET(
    _xlpm.cat,        Log!$A:$A,
    _xlpm.key,        Log!$B:$B,
    _xlpm.date,       Log!$C:$C,
    _xlpm.cam,        Log!$D:$D,
    _xlpm.worErr,     Log!$F:$F,
    _xlpm.imgErr,     Log!$G:$G,
    _xlpm.thisDate,   $A10,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I10" s="68">
        <f>_xlfn.LET(
    _xlpm.cat,        Log!$A:$A,
    _xlpm.key,        Log!$B:$B,
    _xlpm.date,       Log!$C:$C,
    _xlpm.cam,        Log!$D:$D,
    _xlpm.worErr,     Log!$F:$F,
    _xlpm.imgErr,     Log!$G:$G,
    _xlpm.thisDate,   $A10,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J10" s="68">
        <f>_xlfn.LET(
    _xlpm.cat,        Log!$A:$A,
    _xlpm.key,        Log!$B:$B,
    _xlpm.date,       Log!$C:$C,
    _xlpm.cam,        Log!$D:$D,
    _xlpm.worErr,     Log!$F:$F,
    _xlpm.imgErr,     Log!$G:$G,
    _xlpm.thisDate,   $A10,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K10" s="68">
        <f>_xlfn.LET(
    _xlpm.cat,        Log!$A:$A,
    _xlpm.key,        Log!$B:$B,
    _xlpm.date,       Log!$C:$C,
    _xlpm.cam,        Log!$D:$D,
    _xlpm.worErr,     Log!$F:$F,
    _xlpm.imgErr,     Log!$G:$G,
    _xlpm.thisDate,   $A10,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L10" s="68">
        <f>_xlfn.LET(
    _xlpm.cat,        Log!$A:$A,
    _xlpm.key,        Log!$B:$B,
    _xlpm.date,       Log!$C:$C,
    _xlpm.cam,        Log!$D:$D,
    _xlpm.worErr,     Log!$F:$F,
    _xlpm.imgErr,     Log!$G:$G,
    _xlpm.thisDate,   $A10,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10" s="68">
        <f>_xlfn.LET(
    _xlpm.cat,        Log!$A:$A,
    _xlpm.key,        Log!$B:$B,
    _xlpm.date,       Log!$C:$C,
    _xlpm.cam,        Log!$D:$D,
    _xlpm.worErr,     Log!$F:$F,
    _xlpm.imgErr,     Log!$G:$G,
    _xlpm.thisDate,   $A10,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10" s="68">
        <f>_xlfn.LET(
    _xlpm.cat,        Log!$A:$A,
    _xlpm.key,        Log!$B:$B,
    _xlpm.date,       Log!$C:$C,
    _xlpm.cam,        Log!$D:$D,
    _xlpm.worErr,     Log!$F:$F,
    _xlpm.imgErr,     Log!$G:$G,
    _xlpm.thisDate,   $A10,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O10" s="68">
        <f>_xlfn.LET(
    _xlpm.cat,        Log!$A:$A,
    _xlpm.key,        Log!$B:$B,
    _xlpm.date,       Log!$C:$C,
    _xlpm.cam,        Log!$D:$D,
    _xlpm.worErr,     Log!$F:$F,
    _xlpm.imgErr,     Log!$G:$G,
    _xlpm.thisDate,   $A10,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10" s="68">
        <f>_xlfn.LET(
    _xlpm.cat,        Log!$A:$A,
    _xlpm.key,        Log!$B:$B,
    _xlpm.date,       Log!$C:$C,
    _xlpm.cam,        Log!$D:$D,
    _xlpm.worErr,     Log!$F:$F,
    _xlpm.imgErr,     Log!$G:$G,
    _xlpm.thisDate,   $A10,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Q10" s="68">
        <f>_xlfn.LET(
    _xlpm.cat,        Log!$A:$A,
    _xlpm.key,        Log!$B:$B,
    _xlpm.date,       Log!$C:$C,
    _xlpm.cam,        Log!$D:$D,
    _xlpm.worErr,     Log!$F:$F,
    _xlpm.imgErr,     Log!$G:$G,
    _xlpm.thisDate,   $A10,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R10" s="68">
        <f>_xlfn.LET(
    _xlpm.cat,        Log!$A:$A,
    _xlpm.key,        Log!$B:$B,
    _xlpm.date,       Log!$C:$C,
    _xlpm.cam,        Log!$D:$D,
    _xlpm.worErr,     Log!$F:$F,
    _xlpm.imgErr,     Log!$G:$G,
    _xlpm.thisDate,   $A10,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10" s="68">
        <f>_xlfn.LET(
    _xlpm.cat,        Log!$A:$A,
    _xlpm.key,        Log!$B:$B,
    _xlpm.date,       Log!$C:$C,
    _xlpm.cam,        Log!$D:$D,
    _xlpm.worErr,     Log!$F:$F,
    _xlpm.imgErr,     Log!$G:$G,
    _xlpm.thisDate,   $A10,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10" s="209" t="s">
        <v>260</v>
      </c>
      <c r="V10" s="197"/>
    </row>
    <row r="11" spans="1:22" x14ac:dyDescent="0.3">
      <c r="A11" s="39">
        <v>46233</v>
      </c>
      <c r="B11" s="68">
        <f>_xlfn.LET(
    _xlpm.cat,        Log!$A:$A,
    _xlpm.key,        Log!$B:$B,
    _xlpm.date,       Log!$C:$C,
    _xlpm.cam,        Log!$D:$D,
    _xlpm.worErr,     Log!$F:$F,
    _xlpm.imgErr,     Log!$G:$G,
    _xlpm.thisDate,   $A11,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C11" s="68">
        <f>_xlfn.LET(
    _xlpm.cat,        Log!$A:$A,
    _xlpm.key,        Log!$B:$B,
    _xlpm.date,       Log!$C:$C,
    _xlpm.cam,        Log!$D:$D,
    _xlpm.worErr,     Log!$F:$F,
    _xlpm.imgErr,     Log!$G:$G,
    _xlpm.thisDate,   $A11,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D11" s="68">
        <f>_xlfn.LET(
    _xlpm.cat,        Log!$A:$A,
    _xlpm.key,        Log!$B:$B,
    _xlpm.date,       Log!$C:$C,
    _xlpm.cam,        Log!$D:$D,
    _xlpm.worErr,     Log!$F:$F,
    _xlpm.imgErr,     Log!$G:$G,
    _xlpm.thisDate,   $A11,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1" s="68">
        <f>_xlfn.LET(
    _xlpm.cat,        Log!$A:$A,
    _xlpm.key,        Log!$B:$B,
    _xlpm.date,       Log!$C:$C,
    _xlpm.cam,        Log!$D:$D,
    _xlpm.worErr,     Log!$F:$F,
    _xlpm.imgErr,     Log!$G:$G,
    _xlpm.thisDate,   $A11,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1" s="68">
        <f>_xlfn.LET(
    _xlpm.cat,        Log!$A:$A,
    _xlpm.key,        Log!$B:$B,
    _xlpm.date,       Log!$C:$C,
    _xlpm.cam,        Log!$D:$D,
    _xlpm.worErr,     Log!$F:$F,
    _xlpm.imgErr,     Log!$G:$G,
    _xlpm.thisDate,   $A11,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1" s="68">
        <f>_xlfn.LET(
    _xlpm.cat,        Log!$A:$A,
    _xlpm.key,        Log!$B:$B,
    _xlpm.date,       Log!$C:$C,
    _xlpm.cam,        Log!$D:$D,
    _xlpm.worErr,     Log!$F:$F,
    _xlpm.imgErr,     Log!$G:$G,
    _xlpm.thisDate,   $A11,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H11" s="68">
        <f>_xlfn.LET(
    _xlpm.cat,        Log!$A:$A,
    _xlpm.key,        Log!$B:$B,
    _xlpm.date,       Log!$C:$C,
    _xlpm.cam,        Log!$D:$D,
    _xlpm.worErr,     Log!$F:$F,
    _xlpm.imgErr,     Log!$G:$G,
    _xlpm.thisDate,   $A11,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1" s="68">
        <f>_xlfn.LET(
    _xlpm.cat,        Log!$A:$A,
    _xlpm.key,        Log!$B:$B,
    _xlpm.date,       Log!$C:$C,
    _xlpm.cam,        Log!$D:$D,
    _xlpm.worErr,     Log!$F:$F,
    _xlpm.imgErr,     Log!$G:$G,
    _xlpm.thisDate,   $A11,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1" s="68">
        <f>_xlfn.LET(
    _xlpm.cat,        Log!$A:$A,
    _xlpm.key,        Log!$B:$B,
    _xlpm.date,       Log!$C:$C,
    _xlpm.cam,        Log!$D:$D,
    _xlpm.worErr,     Log!$F:$F,
    _xlpm.imgErr,     Log!$G:$G,
    _xlpm.thisDate,   $A11,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1" s="68">
        <f>_xlfn.LET(
    _xlpm.cat,        Log!$A:$A,
    _xlpm.key,        Log!$B:$B,
    _xlpm.date,       Log!$C:$C,
    _xlpm.cam,        Log!$D:$D,
    _xlpm.worErr,     Log!$F:$F,
    _xlpm.imgErr,     Log!$G:$G,
    _xlpm.thisDate,   $A11,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1" s="68">
        <f>_xlfn.LET(
    _xlpm.cat,        Log!$A:$A,
    _xlpm.key,        Log!$B:$B,
    _xlpm.date,       Log!$C:$C,
    _xlpm.cam,        Log!$D:$D,
    _xlpm.worErr,     Log!$F:$F,
    _xlpm.imgErr,     Log!$G:$G,
    _xlpm.thisDate,   $A11,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M11" s="68">
        <f>_xlfn.LET(
    _xlpm.cat,        Log!$A:$A,
    _xlpm.key,        Log!$B:$B,
    _xlpm.date,       Log!$C:$C,
    _xlpm.cam,        Log!$D:$D,
    _xlpm.worErr,     Log!$F:$F,
    _xlpm.imgErr,     Log!$G:$G,
    _xlpm.thisDate,   $A11,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N11" s="68">
        <f>_xlfn.LET(
    _xlpm.cat,        Log!$A:$A,
    _xlpm.key,        Log!$B:$B,
    _xlpm.date,       Log!$C:$C,
    _xlpm.cam,        Log!$D:$D,
    _xlpm.worErr,     Log!$F:$F,
    _xlpm.imgErr,     Log!$G:$G,
    _xlpm.thisDate,   $A11,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1" s="68">
        <f>_xlfn.LET(
    _xlpm.cat,        Log!$A:$A,
    _xlpm.key,        Log!$B:$B,
    _xlpm.date,       Log!$C:$C,
    _xlpm.cam,        Log!$D:$D,
    _xlpm.worErr,     Log!$F:$F,
    _xlpm.imgErr,     Log!$G:$G,
    _xlpm.thisDate,   $A11,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P11" s="68">
        <f>_xlfn.LET(
    _xlpm.cat,        Log!$A:$A,
    _xlpm.key,        Log!$B:$B,
    _xlpm.date,       Log!$C:$C,
    _xlpm.cam,        Log!$D:$D,
    _xlpm.worErr,     Log!$F:$F,
    _xlpm.imgErr,     Log!$G:$G,
    _xlpm.thisDate,   $A11,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11" s="68">
        <f>_xlfn.LET(
    _xlpm.cat,        Log!$A:$A,
    _xlpm.key,        Log!$B:$B,
    _xlpm.date,       Log!$C:$C,
    _xlpm.cam,        Log!$D:$D,
    _xlpm.worErr,     Log!$F:$F,
    _xlpm.imgErr,     Log!$G:$G,
    _xlpm.thisDate,   $A11,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R11" s="68">
        <f>_xlfn.LET(
    _xlpm.cat,        Log!$A:$A,
    _xlpm.key,        Log!$B:$B,
    _xlpm.date,       Log!$C:$C,
    _xlpm.cam,        Log!$D:$D,
    _xlpm.worErr,     Log!$F:$F,
    _xlpm.imgErr,     Log!$G:$G,
    _xlpm.thisDate,   $A11,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11" s="68">
        <f>_xlfn.LET(
    _xlpm.cat,        Log!$A:$A,
    _xlpm.key,        Log!$B:$B,
    _xlpm.date,       Log!$C:$C,
    _xlpm.cam,        Log!$D:$D,
    _xlpm.worErr,     Log!$F:$F,
    _xlpm.imgErr,     Log!$G:$G,
    _xlpm.thisDate,   $A11,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11" s="209" t="s">
        <v>263</v>
      </c>
      <c r="V11" s="197"/>
    </row>
    <row r="12" spans="1:22" x14ac:dyDescent="0.3">
      <c r="A12" s="39">
        <v>46234</v>
      </c>
      <c r="B12" s="68">
        <f>_xlfn.LET(
    _xlpm.cat,        Log!$A:$A,
    _xlpm.key,        Log!$B:$B,
    _xlpm.date,       Log!$C:$C,
    _xlpm.cam,        Log!$D:$D,
    _xlpm.worErr,     Log!$F:$F,
    _xlpm.imgErr,     Log!$G:$G,
    _xlpm.thisDate,   $A12,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C12" s="68">
        <f>_xlfn.LET(
    _xlpm.cat,        Log!$A:$A,
    _xlpm.key,        Log!$B:$B,
    _xlpm.date,       Log!$C:$C,
    _xlpm.cam,        Log!$D:$D,
    _xlpm.worErr,     Log!$F:$F,
    _xlpm.imgErr,     Log!$G:$G,
    _xlpm.thisDate,   $A12,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2" s="68">
        <f>_xlfn.LET(
    _xlpm.cat,        Log!$A:$A,
    _xlpm.key,        Log!$B:$B,
    _xlpm.date,       Log!$C:$C,
    _xlpm.cam,        Log!$D:$D,
    _xlpm.worErr,     Log!$F:$F,
    _xlpm.imgErr,     Log!$G:$G,
    _xlpm.thisDate,   $A12,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E12" s="68">
        <f>_xlfn.LET(
    _xlpm.cat,        Log!$A:$A,
    _xlpm.key,        Log!$B:$B,
    _xlpm.date,       Log!$C:$C,
    _xlpm.cam,        Log!$D:$D,
    _xlpm.worErr,     Log!$F:$F,
    _xlpm.imgErr,     Log!$G:$G,
    _xlpm.thisDate,   $A12,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12" s="68">
        <f>_xlfn.LET(
    _xlpm.cat,        Log!$A:$A,
    _xlpm.key,        Log!$B:$B,
    _xlpm.date,       Log!$C:$C,
    _xlpm.cam,        Log!$D:$D,
    _xlpm.worErr,     Log!$F:$F,
    _xlpm.imgErr,     Log!$G:$G,
    _xlpm.thisDate,   $A12,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G12" s="68">
        <f>_xlfn.LET(
    _xlpm.cat,        Log!$A:$A,
    _xlpm.key,        Log!$B:$B,
    _xlpm.date,       Log!$C:$C,
    _xlpm.cam,        Log!$D:$D,
    _xlpm.worErr,     Log!$F:$F,
    _xlpm.imgErr,     Log!$G:$G,
    _xlpm.thisDate,   $A12,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H12" s="68">
        <f>_xlfn.LET(
    _xlpm.cat,        Log!$A:$A,
    _xlpm.key,        Log!$B:$B,
    _xlpm.date,       Log!$C:$C,
    _xlpm.cam,        Log!$D:$D,
    _xlpm.worErr,     Log!$F:$F,
    _xlpm.imgErr,     Log!$G:$G,
    _xlpm.thisDate,   $A12,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12" s="68">
        <f>_xlfn.LET(
    _xlpm.cat,        Log!$A:$A,
    _xlpm.key,        Log!$B:$B,
    _xlpm.date,       Log!$C:$C,
    _xlpm.cam,        Log!$D:$D,
    _xlpm.worErr,     Log!$F:$F,
    _xlpm.imgErr,     Log!$G:$G,
    _xlpm.thisDate,   $A12,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J12" s="68">
        <f>_xlfn.LET(
    _xlpm.cat,        Log!$A:$A,
    _xlpm.key,        Log!$B:$B,
    _xlpm.date,       Log!$C:$C,
    _xlpm.cam,        Log!$D:$D,
    _xlpm.worErr,     Log!$F:$F,
    _xlpm.imgErr,     Log!$G:$G,
    _xlpm.thisDate,   $A12,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K12" s="68">
        <f>_xlfn.LET(
    _xlpm.cat,        Log!$A:$A,
    _xlpm.key,        Log!$B:$B,
    _xlpm.date,       Log!$C:$C,
    _xlpm.cam,        Log!$D:$D,
    _xlpm.worErr,     Log!$F:$F,
    _xlpm.imgErr,     Log!$G:$G,
    _xlpm.thisDate,   $A12,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12" s="68">
        <f>_xlfn.LET(
    _xlpm.cat,        Log!$A:$A,
    _xlpm.key,        Log!$B:$B,
    _xlpm.date,       Log!$C:$C,
    _xlpm.cam,        Log!$D:$D,
    _xlpm.worErr,     Log!$F:$F,
    _xlpm.imgErr,     Log!$G:$G,
    _xlpm.thisDate,   $A12,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M12" s="68">
        <f>_xlfn.LET(
    _xlpm.cat,        Log!$A:$A,
    _xlpm.key,        Log!$B:$B,
    _xlpm.date,       Log!$C:$C,
    _xlpm.cam,        Log!$D:$D,
    _xlpm.worErr,     Log!$F:$F,
    _xlpm.imgErr,     Log!$G:$G,
    _xlpm.thisDate,   $A12,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N12" s="68">
        <f>_xlfn.LET(
    _xlpm.cat,        Log!$A:$A,
    _xlpm.key,        Log!$B:$B,
    _xlpm.date,       Log!$C:$C,
    _xlpm.cam,        Log!$D:$D,
    _xlpm.worErr,     Log!$F:$F,
    _xlpm.imgErr,     Log!$G:$G,
    _xlpm.thisDate,   $A12,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2" s="68">
        <f>_xlfn.LET(
    _xlpm.cat,        Log!$A:$A,
    _xlpm.key,        Log!$B:$B,
    _xlpm.date,       Log!$C:$C,
    _xlpm.cam,        Log!$D:$D,
    _xlpm.worErr,     Log!$F:$F,
    _xlpm.imgErr,     Log!$G:$G,
    _xlpm.thisDate,   $A12,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12" s="68">
        <f>_xlfn.LET(
    _xlpm.cat,        Log!$A:$A,
    _xlpm.key,        Log!$B:$B,
    _xlpm.date,       Log!$C:$C,
    _xlpm.cam,        Log!$D:$D,
    _xlpm.worErr,     Log!$F:$F,
    _xlpm.imgErr,     Log!$G:$G,
    _xlpm.thisDate,   $A12,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Q12" s="68">
        <f>_xlfn.LET(
    _xlpm.cat,        Log!$A:$A,
    _xlpm.key,        Log!$B:$B,
    _xlpm.date,       Log!$C:$C,
    _xlpm.cam,        Log!$D:$D,
    _xlpm.worErr,     Log!$F:$F,
    _xlpm.imgErr,     Log!$G:$G,
    _xlpm.thisDate,   $A12,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R12" s="68">
        <f>_xlfn.LET(
    _xlpm.cat,        Log!$A:$A,
    _xlpm.key,        Log!$B:$B,
    _xlpm.date,       Log!$C:$C,
    _xlpm.cam,        Log!$D:$D,
    _xlpm.worErr,     Log!$F:$F,
    _xlpm.imgErr,     Log!$G:$G,
    _xlpm.thisDate,   $A12,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S12" s="68">
        <f>_xlfn.LET(
    _xlpm.cat,        Log!$A:$A,
    _xlpm.key,        Log!$B:$B,
    _xlpm.date,       Log!$C:$C,
    _xlpm.cam,        Log!$D:$D,
    _xlpm.worErr,     Log!$F:$F,
    _xlpm.imgErr,     Log!$G:$G,
    _xlpm.thisDate,   $A12,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U12" s="209" t="s">
        <v>264</v>
      </c>
      <c r="V12" s="197"/>
    </row>
    <row r="13" spans="1:22" x14ac:dyDescent="0.3">
      <c r="A13" s="39">
        <v>46235</v>
      </c>
      <c r="B13" s="68">
        <f>_xlfn.LET(
    _xlpm.cat,        Log!$A:$A,
    _xlpm.key,        Log!$B:$B,
    _xlpm.date,       Log!$C:$C,
    _xlpm.cam,        Log!$D:$D,
    _xlpm.worErr,     Log!$F:$F,
    _xlpm.imgErr,     Log!$G:$G,
    _xlpm.thisDate,   $A13,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13" s="68">
        <f>_xlfn.LET(
    _xlpm.cat,        Log!$A:$A,
    _xlpm.key,        Log!$B:$B,
    _xlpm.date,       Log!$C:$C,
    _xlpm.cam,        Log!$D:$D,
    _xlpm.worErr,     Log!$F:$F,
    _xlpm.imgErr,     Log!$G:$G,
    _xlpm.thisDate,   $A13,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3" s="68">
        <f>_xlfn.LET(
    _xlpm.cat,        Log!$A:$A,
    _xlpm.key,        Log!$B:$B,
    _xlpm.date,       Log!$C:$C,
    _xlpm.cam,        Log!$D:$D,
    _xlpm.worErr,     Log!$F:$F,
    _xlpm.imgErr,     Log!$G:$G,
    _xlpm.thisDate,   $A13,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13" s="68">
        <f>_xlfn.LET(
    _xlpm.cat,        Log!$A:$A,
    _xlpm.key,        Log!$B:$B,
    _xlpm.date,       Log!$C:$C,
    _xlpm.cam,        Log!$D:$D,
    _xlpm.worErr,     Log!$F:$F,
    _xlpm.imgErr,     Log!$G:$G,
    _xlpm.thisDate,   $A13,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F13" s="68">
        <f>_xlfn.LET(
    _xlpm.cat,        Log!$A:$A,
    _xlpm.key,        Log!$B:$B,
    _xlpm.date,       Log!$C:$C,
    _xlpm.cam,        Log!$D:$D,
    _xlpm.worErr,     Log!$F:$F,
    _xlpm.imgErr,     Log!$G:$G,
    _xlpm.thisDate,   $A13,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G13" s="68">
        <f>_xlfn.LET(
    _xlpm.cat,        Log!$A:$A,
    _xlpm.key,        Log!$B:$B,
    _xlpm.date,       Log!$C:$C,
    _xlpm.cam,        Log!$D:$D,
    _xlpm.worErr,     Log!$F:$F,
    _xlpm.imgErr,     Log!$G:$G,
    _xlpm.thisDate,   $A13,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H13" s="68">
        <f>_xlfn.LET(
    _xlpm.cat,        Log!$A:$A,
    _xlpm.key,        Log!$B:$B,
    _xlpm.date,       Log!$C:$C,
    _xlpm.cam,        Log!$D:$D,
    _xlpm.worErr,     Log!$F:$F,
    _xlpm.imgErr,     Log!$G:$G,
    _xlpm.thisDate,   $A13,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I13" s="68">
        <f>_xlfn.LET(
    _xlpm.cat,        Log!$A:$A,
    _xlpm.key,        Log!$B:$B,
    _xlpm.date,       Log!$C:$C,
    _xlpm.cam,        Log!$D:$D,
    _xlpm.worErr,     Log!$F:$F,
    _xlpm.imgErr,     Log!$G:$G,
    _xlpm.thisDate,   $A13,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13" s="68">
        <f>_xlfn.LET(
    _xlpm.cat,        Log!$A:$A,
    _xlpm.key,        Log!$B:$B,
    _xlpm.date,       Log!$C:$C,
    _xlpm.cam,        Log!$D:$D,
    _xlpm.worErr,     Log!$F:$F,
    _xlpm.imgErr,     Log!$G:$G,
    _xlpm.thisDate,   $A13,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K13" s="68">
        <f>_xlfn.LET(
    _xlpm.cat,        Log!$A:$A,
    _xlpm.key,        Log!$B:$B,
    _xlpm.date,       Log!$C:$C,
    _xlpm.cam,        Log!$D:$D,
    _xlpm.worErr,     Log!$F:$F,
    _xlpm.imgErr,     Log!$G:$G,
    _xlpm.thisDate,   $A13,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3" s="68">
        <f>_xlfn.LET(
    _xlpm.cat,        Log!$A:$A,
    _xlpm.key,        Log!$B:$B,
    _xlpm.date,       Log!$C:$C,
    _xlpm.cam,        Log!$D:$D,
    _xlpm.worErr,     Log!$F:$F,
    _xlpm.imgErr,     Log!$G:$G,
    _xlpm.thisDate,   $A13,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M13" s="68">
        <f>_xlfn.LET(
    _xlpm.cat,        Log!$A:$A,
    _xlpm.key,        Log!$B:$B,
    _xlpm.date,       Log!$C:$C,
    _xlpm.cam,        Log!$D:$D,
    _xlpm.worErr,     Log!$F:$F,
    _xlpm.imgErr,     Log!$G:$G,
    _xlpm.thisDate,   $A13,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N13" s="68">
        <f>_xlfn.LET(
    _xlpm.cat,        Log!$A:$A,
    _xlpm.key,        Log!$B:$B,
    _xlpm.date,       Log!$C:$C,
    _xlpm.cam,        Log!$D:$D,
    _xlpm.worErr,     Log!$F:$F,
    _xlpm.imgErr,     Log!$G:$G,
    _xlpm.thisDate,   $A13,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3" s="68">
        <f>_xlfn.LET(
    _xlpm.cat,        Log!$A:$A,
    _xlpm.key,        Log!$B:$B,
    _xlpm.date,       Log!$C:$C,
    _xlpm.cam,        Log!$D:$D,
    _xlpm.worErr,     Log!$F:$F,
    _xlpm.imgErr,     Log!$G:$G,
    _xlpm.thisDate,   $A13,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P13" s="68">
        <f>_xlfn.LET(
    _xlpm.cat,        Log!$A:$A,
    _xlpm.key,        Log!$B:$B,
    _xlpm.date,       Log!$C:$C,
    _xlpm.cam,        Log!$D:$D,
    _xlpm.worErr,     Log!$F:$F,
    _xlpm.imgErr,     Log!$G:$G,
    _xlpm.thisDate,   $A13,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Q13" s="68">
        <f>_xlfn.LET(
    _xlpm.cat,        Log!$A:$A,
    _xlpm.key,        Log!$B:$B,
    _xlpm.date,       Log!$C:$C,
    _xlpm.cam,        Log!$D:$D,
    _xlpm.worErr,     Log!$F:$F,
    _xlpm.imgErr,     Log!$G:$G,
    _xlpm.thisDate,   $A13,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R13" s="68">
        <f>_xlfn.LET(
    _xlpm.cat,        Log!$A:$A,
    _xlpm.key,        Log!$B:$B,
    _xlpm.date,       Log!$C:$C,
    _xlpm.cam,        Log!$D:$D,
    _xlpm.worErr,     Log!$F:$F,
    _xlpm.imgErr,     Log!$G:$G,
    _xlpm.thisDate,   $A13,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S13" s="68">
        <f>_xlfn.LET(
    _xlpm.cat,        Log!$A:$A,
    _xlpm.key,        Log!$B:$B,
    _xlpm.date,       Log!$C:$C,
    _xlpm.cam,        Log!$D:$D,
    _xlpm.worErr,     Log!$F:$F,
    _xlpm.imgErr,     Log!$G:$G,
    _xlpm.thisDate,   $A13,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U13" s="208" t="s">
        <v>265</v>
      </c>
    </row>
    <row r="14" spans="1:22" x14ac:dyDescent="0.3">
      <c r="A14" s="39">
        <v>46237</v>
      </c>
      <c r="B14" s="68">
        <f>_xlfn.LET(
    _xlpm.cat,        Log!$A:$A,
    _xlpm.key,        Log!$B:$B,
    _xlpm.date,       Log!$C:$C,
    _xlpm.cam,        Log!$D:$D,
    _xlpm.worErr,     Log!$F:$F,
    _xlpm.imgErr,     Log!$G:$G,
    _xlpm.thisDate,   $A14,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C14" s="68">
        <f>_xlfn.LET(
    _xlpm.cat,        Log!$A:$A,
    _xlpm.key,        Log!$B:$B,
    _xlpm.date,       Log!$C:$C,
    _xlpm.cam,        Log!$D:$D,
    _xlpm.worErr,     Log!$F:$F,
    _xlpm.imgErr,     Log!$G:$G,
    _xlpm.thisDate,   $A14,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14" s="68">
        <f>_xlfn.LET(
    _xlpm.cat,        Log!$A:$A,
    _xlpm.key,        Log!$B:$B,
    _xlpm.date,       Log!$C:$C,
    _xlpm.cam,        Log!$D:$D,
    _xlpm.worErr,     Log!$F:$F,
    _xlpm.imgErr,     Log!$G:$G,
    _xlpm.thisDate,   $A14,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4" s="68">
        <f>_xlfn.LET(
    _xlpm.cat,        Log!$A:$A,
    _xlpm.key,        Log!$B:$B,
    _xlpm.date,       Log!$C:$C,
    _xlpm.cam,        Log!$D:$D,
    _xlpm.worErr,     Log!$F:$F,
    _xlpm.imgErr,     Log!$G:$G,
    _xlpm.thisDate,   $A14,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F14" s="68">
        <f>_xlfn.LET(
    _xlpm.cat,        Log!$A:$A,
    _xlpm.key,        Log!$B:$B,
    _xlpm.date,       Log!$C:$C,
    _xlpm.cam,        Log!$D:$D,
    _xlpm.worErr,     Log!$F:$F,
    _xlpm.imgErr,     Log!$G:$G,
    _xlpm.thisDate,   $A14,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4" s="68">
        <f>_xlfn.LET(
    _xlpm.cat,        Log!$A:$A,
    _xlpm.key,        Log!$B:$B,
    _xlpm.date,       Log!$C:$C,
    _xlpm.cam,        Log!$D:$D,
    _xlpm.worErr,     Log!$F:$F,
    _xlpm.imgErr,     Log!$G:$G,
    _xlpm.thisDate,   $A14,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H14" s="68">
        <f>_xlfn.LET(
    _xlpm.cat,        Log!$A:$A,
    _xlpm.key,        Log!$B:$B,
    _xlpm.date,       Log!$C:$C,
    _xlpm.cam,        Log!$D:$D,
    _xlpm.worErr,     Log!$F:$F,
    _xlpm.imgErr,     Log!$G:$G,
    _xlpm.thisDate,   $A14,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I14" s="68">
        <f>_xlfn.LET(
    _xlpm.cat,        Log!$A:$A,
    _xlpm.key,        Log!$B:$B,
    _xlpm.date,       Log!$C:$C,
    _xlpm.cam,        Log!$D:$D,
    _xlpm.worErr,     Log!$F:$F,
    _xlpm.imgErr,     Log!$G:$G,
    _xlpm.thisDate,   $A14,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J14" s="68">
        <f>_xlfn.LET(
    _xlpm.cat,        Log!$A:$A,
    _xlpm.key,        Log!$B:$B,
    _xlpm.date,       Log!$C:$C,
    _xlpm.cam,        Log!$D:$D,
    _xlpm.worErr,     Log!$F:$F,
    _xlpm.imgErr,     Log!$G:$G,
    _xlpm.thisDate,   $A14,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14" s="68">
        <f>_xlfn.LET(
    _xlpm.cat,        Log!$A:$A,
    _xlpm.key,        Log!$B:$B,
    _xlpm.date,       Log!$C:$C,
    _xlpm.cam,        Log!$D:$D,
    _xlpm.worErr,     Log!$F:$F,
    _xlpm.imgErr,     Log!$G:$G,
    _xlpm.thisDate,   $A14,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L14" s="68">
        <f>_xlfn.LET(
    _xlpm.cat,        Log!$A:$A,
    _xlpm.key,        Log!$B:$B,
    _xlpm.date,       Log!$C:$C,
    _xlpm.cam,        Log!$D:$D,
    _xlpm.worErr,     Log!$F:$F,
    _xlpm.imgErr,     Log!$G:$G,
    _xlpm.thisDate,   $A14,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14" s="68">
        <f>_xlfn.LET(
    _xlpm.cat,        Log!$A:$A,
    _xlpm.key,        Log!$B:$B,
    _xlpm.date,       Log!$C:$C,
    _xlpm.cam,        Log!$D:$D,
    _xlpm.worErr,     Log!$F:$F,
    _xlpm.imgErr,     Log!$G:$G,
    _xlpm.thisDate,   $A14,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N14" s="68">
        <f>_xlfn.LET(
    _xlpm.cat,        Log!$A:$A,
    _xlpm.key,        Log!$B:$B,
    _xlpm.date,       Log!$C:$C,
    _xlpm.cam,        Log!$D:$D,
    _xlpm.worErr,     Log!$F:$F,
    _xlpm.imgErr,     Log!$G:$G,
    _xlpm.thisDate,   $A14,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4" s="68">
        <f>_xlfn.LET(
    _xlpm.cat,        Log!$A:$A,
    _xlpm.key,        Log!$B:$B,
    _xlpm.date,       Log!$C:$C,
    _xlpm.cam,        Log!$D:$D,
    _xlpm.worErr,     Log!$F:$F,
    _xlpm.imgErr,     Log!$G:$G,
    _xlpm.thisDate,   $A14,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14" s="68">
        <f>_xlfn.LET(
    _xlpm.cat,        Log!$A:$A,
    _xlpm.key,        Log!$B:$B,
    _xlpm.date,       Log!$C:$C,
    _xlpm.cam,        Log!$D:$D,
    _xlpm.worErr,     Log!$F:$F,
    _xlpm.imgErr,     Log!$G:$G,
    _xlpm.thisDate,   $A14,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Q14" s="68">
        <f>_xlfn.LET(
    _xlpm.cat,        Log!$A:$A,
    _xlpm.key,        Log!$B:$B,
    _xlpm.date,       Log!$C:$C,
    _xlpm.cam,        Log!$D:$D,
    _xlpm.worErr,     Log!$F:$F,
    _xlpm.imgErr,     Log!$G:$G,
    _xlpm.thisDate,   $A14,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R14" s="68">
        <f>_xlfn.LET(
    _xlpm.cat,        Log!$A:$A,
    _xlpm.key,        Log!$B:$B,
    _xlpm.date,       Log!$C:$C,
    _xlpm.cam,        Log!$D:$D,
    _xlpm.worErr,     Log!$F:$F,
    _xlpm.imgErr,     Log!$G:$G,
    _xlpm.thisDate,   $A14,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4" s="68">
        <f>_xlfn.LET(
    _xlpm.cat,        Log!$A:$A,
    _xlpm.key,        Log!$B:$B,
    _xlpm.date,       Log!$C:$C,
    _xlpm.cam,        Log!$D:$D,
    _xlpm.worErr,     Log!$F:$F,
    _xlpm.imgErr,     Log!$G:$G,
    _xlpm.thisDate,   $A14,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U14" s="208"/>
    </row>
    <row r="15" spans="1:22" x14ac:dyDescent="0.3">
      <c r="A15" s="39">
        <v>46238</v>
      </c>
      <c r="B15" s="68">
        <f>_xlfn.LET(
    _xlpm.cat,        Log!$A:$A,
    _xlpm.key,        Log!$B:$B,
    _xlpm.date,       Log!$C:$C,
    _xlpm.cam,        Log!$D:$D,
    _xlpm.worErr,     Log!$F:$F,
    _xlpm.imgErr,     Log!$G:$G,
    _xlpm.thisDate,   $A15,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C15" s="68">
        <f>_xlfn.LET(
    _xlpm.cat,        Log!$A:$A,
    _xlpm.key,        Log!$B:$B,
    _xlpm.date,       Log!$C:$C,
    _xlpm.cam,        Log!$D:$D,
    _xlpm.worErr,     Log!$F:$F,
    _xlpm.imgErr,     Log!$G:$G,
    _xlpm.thisDate,   $A15,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D15" s="68">
        <f>_xlfn.LET(
    _xlpm.cat,        Log!$A:$A,
    _xlpm.key,        Log!$B:$B,
    _xlpm.date,       Log!$C:$C,
    _xlpm.cam,        Log!$D:$D,
    _xlpm.worErr,     Log!$F:$F,
    _xlpm.imgErr,     Log!$G:$G,
    _xlpm.thisDate,   $A15,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5" s="68">
        <f>_xlfn.LET(
    _xlpm.cat,        Log!$A:$A,
    _xlpm.key,        Log!$B:$B,
    _xlpm.date,       Log!$C:$C,
    _xlpm.cam,        Log!$D:$D,
    _xlpm.worErr,     Log!$F:$F,
    _xlpm.imgErr,     Log!$G:$G,
    _xlpm.thisDate,   $A15,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F15" s="68">
        <f>_xlfn.LET(
    _xlpm.cat,        Log!$A:$A,
    _xlpm.key,        Log!$B:$B,
    _xlpm.date,       Log!$C:$C,
    _xlpm.cam,        Log!$D:$D,
    _xlpm.worErr,     Log!$F:$F,
    _xlpm.imgErr,     Log!$G:$G,
    _xlpm.thisDate,   $A15,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G15" s="68">
        <f>_xlfn.LET(
    _xlpm.cat,        Log!$A:$A,
    _xlpm.key,        Log!$B:$B,
    _xlpm.date,       Log!$C:$C,
    _xlpm.cam,        Log!$D:$D,
    _xlpm.worErr,     Log!$F:$F,
    _xlpm.imgErr,     Log!$G:$G,
    _xlpm.thisDate,   $A15,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H15" s="68">
        <f>_xlfn.LET(
    _xlpm.cat,        Log!$A:$A,
    _xlpm.key,        Log!$B:$B,
    _xlpm.date,       Log!$C:$C,
    _xlpm.cam,        Log!$D:$D,
    _xlpm.worErr,     Log!$F:$F,
    _xlpm.imgErr,     Log!$G:$G,
    _xlpm.thisDate,   $A15,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5" s="68">
        <f>_xlfn.LET(
    _xlpm.cat,        Log!$A:$A,
    _xlpm.key,        Log!$B:$B,
    _xlpm.date,       Log!$C:$C,
    _xlpm.cam,        Log!$D:$D,
    _xlpm.worErr,     Log!$F:$F,
    _xlpm.imgErr,     Log!$G:$G,
    _xlpm.thisDate,   $A15,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J15" s="68">
        <f>_xlfn.LET(
    _xlpm.cat,        Log!$A:$A,
    _xlpm.key,        Log!$B:$B,
    _xlpm.date,       Log!$C:$C,
    _xlpm.cam,        Log!$D:$D,
    _xlpm.worErr,     Log!$F:$F,
    _xlpm.imgErr,     Log!$G:$G,
    _xlpm.thisDate,   $A15,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5" s="68">
        <f>_xlfn.LET(
    _xlpm.cat,        Log!$A:$A,
    _xlpm.key,        Log!$B:$B,
    _xlpm.date,       Log!$C:$C,
    _xlpm.cam,        Log!$D:$D,
    _xlpm.worErr,     Log!$F:$F,
    _xlpm.imgErr,     Log!$G:$G,
    _xlpm.thisDate,   $A15,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L15" s="68">
        <f>_xlfn.LET(
    _xlpm.cat,        Log!$A:$A,
    _xlpm.key,        Log!$B:$B,
    _xlpm.date,       Log!$C:$C,
    _xlpm.cam,        Log!$D:$D,
    _xlpm.worErr,     Log!$F:$F,
    _xlpm.imgErr,     Log!$G:$G,
    _xlpm.thisDate,   $A15,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M15" s="68">
        <f>_xlfn.LET(
    _xlpm.cat,        Log!$A:$A,
    _xlpm.key,        Log!$B:$B,
    _xlpm.date,       Log!$C:$C,
    _xlpm.cam,        Log!$D:$D,
    _xlpm.worErr,     Log!$F:$F,
    _xlpm.imgErr,     Log!$G:$G,
    _xlpm.thisDate,   $A15,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15" s="68">
        <f>_xlfn.LET(
    _xlpm.cat,        Log!$A:$A,
    _xlpm.key,        Log!$B:$B,
    _xlpm.date,       Log!$C:$C,
    _xlpm.cam,        Log!$D:$D,
    _xlpm.worErr,     Log!$F:$F,
    _xlpm.imgErr,     Log!$G:$G,
    _xlpm.thisDate,   $A15,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5" s="68">
        <f>_xlfn.LET(
    _xlpm.cat,        Log!$A:$A,
    _xlpm.key,        Log!$B:$B,
    _xlpm.date,       Log!$C:$C,
    _xlpm.cam,        Log!$D:$D,
    _xlpm.worErr,     Log!$F:$F,
    _xlpm.imgErr,     Log!$G:$G,
    _xlpm.thisDate,   $A15,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15" s="68">
        <f>_xlfn.LET(
    _xlpm.cat,        Log!$A:$A,
    _xlpm.key,        Log!$B:$B,
    _xlpm.date,       Log!$C:$C,
    _xlpm.cam,        Log!$D:$D,
    _xlpm.worErr,     Log!$F:$F,
    _xlpm.imgErr,     Log!$G:$G,
    _xlpm.thisDate,   $A15,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Q15" s="68">
        <f>_xlfn.LET(
    _xlpm.cat,        Log!$A:$A,
    _xlpm.key,        Log!$B:$B,
    _xlpm.date,       Log!$C:$C,
    _xlpm.cam,        Log!$D:$D,
    _xlpm.worErr,     Log!$F:$F,
    _xlpm.imgErr,     Log!$G:$G,
    _xlpm.thisDate,   $A15,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R15" s="68">
        <f>_xlfn.LET(
    _xlpm.cat,        Log!$A:$A,
    _xlpm.key,        Log!$B:$B,
    _xlpm.date,       Log!$C:$C,
    _xlpm.cam,        Log!$D:$D,
    _xlpm.worErr,     Log!$F:$F,
    _xlpm.imgErr,     Log!$G:$G,
    _xlpm.thisDate,   $A15,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S15" s="68">
        <f>_xlfn.LET(
    _xlpm.cat,        Log!$A:$A,
    _xlpm.key,        Log!$B:$B,
    _xlpm.date,       Log!$C:$C,
    _xlpm.cam,        Log!$D:$D,
    _xlpm.worErr,     Log!$F:$F,
    _xlpm.imgErr,     Log!$G:$G,
    _xlpm.thisDate,   $A15,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U15" s="208"/>
    </row>
    <row r="16" spans="1:22" x14ac:dyDescent="0.3">
      <c r="A16" s="79">
        <v>46239</v>
      </c>
      <c r="B16" s="68">
        <f>_xlfn.LET(
    _xlpm.cat,        Log!$A:$A,
    _xlpm.key,        Log!$B:$B,
    _xlpm.date,       Log!$C:$C,
    _xlpm.cam,        Log!$D:$D,
    _xlpm.worErr,     Log!$F:$F,
    _xlpm.imgErr,     Log!$G:$G,
    _xlpm.thisDate,   $A16,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C16" s="68">
        <f>_xlfn.LET(
    _xlpm.cat,        Log!$A:$A,
    _xlpm.key,        Log!$B:$B,
    _xlpm.date,       Log!$C:$C,
    _xlpm.cam,        Log!$D:$D,
    _xlpm.worErr,     Log!$F:$F,
    _xlpm.imgErr,     Log!$G:$G,
    _xlpm.thisDate,   $A16,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16" s="68">
        <f>_xlfn.LET(
    _xlpm.cat,        Log!$A:$A,
    _xlpm.key,        Log!$B:$B,
    _xlpm.date,       Log!$C:$C,
    _xlpm.cam,        Log!$D:$D,
    _xlpm.worErr,     Log!$F:$F,
    _xlpm.imgErr,     Log!$G:$G,
    _xlpm.thisDate,   $A16,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6" s="68">
        <f>_xlfn.LET(
    _xlpm.cat,        Log!$A:$A,
    _xlpm.key,        Log!$B:$B,
    _xlpm.date,       Log!$C:$C,
    _xlpm.cam,        Log!$D:$D,
    _xlpm.worErr,     Log!$F:$F,
    _xlpm.imgErr,     Log!$G:$G,
    _xlpm.thisDate,   $A16,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6" s="68">
        <f>_xlfn.LET(
    _xlpm.cat,        Log!$A:$A,
    _xlpm.key,        Log!$B:$B,
    _xlpm.date,       Log!$C:$C,
    _xlpm.cam,        Log!$D:$D,
    _xlpm.worErr,     Log!$F:$F,
    _xlpm.imgErr,     Log!$G:$G,
    _xlpm.thisDate,   $A16,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G16" s="68">
        <f>_xlfn.LET(
    _xlpm.cat,        Log!$A:$A,
    _xlpm.key,        Log!$B:$B,
    _xlpm.date,       Log!$C:$C,
    _xlpm.cam,        Log!$D:$D,
    _xlpm.worErr,     Log!$F:$F,
    _xlpm.imgErr,     Log!$G:$G,
    _xlpm.thisDate,   $A16,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H16" s="68">
        <f>_xlfn.LET(
    _xlpm.cat,        Log!$A:$A,
    _xlpm.key,        Log!$B:$B,
    _xlpm.date,       Log!$C:$C,
    _xlpm.cam,        Log!$D:$D,
    _xlpm.worErr,     Log!$F:$F,
    _xlpm.imgErr,     Log!$G:$G,
    _xlpm.thisDate,   $A16,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6" s="68">
        <f>_xlfn.LET(
    _xlpm.cat,        Log!$A:$A,
    _xlpm.key,        Log!$B:$B,
    _xlpm.date,       Log!$C:$C,
    _xlpm.cam,        Log!$D:$D,
    _xlpm.worErr,     Log!$F:$F,
    _xlpm.imgErr,     Log!$G:$G,
    _xlpm.thisDate,   $A16,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6" s="68">
        <f>_xlfn.LET(
    _xlpm.cat,        Log!$A:$A,
    _xlpm.key,        Log!$B:$B,
    _xlpm.date,       Log!$C:$C,
    _xlpm.cam,        Log!$D:$D,
    _xlpm.worErr,     Log!$F:$F,
    _xlpm.imgErr,     Log!$G:$G,
    _xlpm.thisDate,   $A16,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K16" s="68">
        <f>_xlfn.LET(
    _xlpm.cat,        Log!$A:$A,
    _xlpm.key,        Log!$B:$B,
    _xlpm.date,       Log!$C:$C,
    _xlpm.cam,        Log!$D:$D,
    _xlpm.worErr,     Log!$F:$F,
    _xlpm.imgErr,     Log!$G:$G,
    _xlpm.thisDate,   $A16,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16" s="68">
        <f>_xlfn.LET(
    _xlpm.cat,        Log!$A:$A,
    _xlpm.key,        Log!$B:$B,
    _xlpm.date,       Log!$C:$C,
    _xlpm.cam,        Log!$D:$D,
    _xlpm.worErr,     Log!$F:$F,
    _xlpm.imgErr,     Log!$G:$G,
    _xlpm.thisDate,   $A16,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16" s="68">
        <f>_xlfn.LET(
    _xlpm.cat,        Log!$A:$A,
    _xlpm.key,        Log!$B:$B,
    _xlpm.date,       Log!$C:$C,
    _xlpm.cam,        Log!$D:$D,
    _xlpm.worErr,     Log!$F:$F,
    _xlpm.imgErr,     Log!$G:$G,
    _xlpm.thisDate,   $A16,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N16" s="68">
        <f>_xlfn.LET(
    _xlpm.cat,        Log!$A:$A,
    _xlpm.key,        Log!$B:$B,
    _xlpm.date,       Log!$C:$C,
    _xlpm.cam,        Log!$D:$D,
    _xlpm.worErr,     Log!$F:$F,
    _xlpm.imgErr,     Log!$G:$G,
    _xlpm.thisDate,   $A16,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16" s="68">
        <f>_xlfn.LET(
    _xlpm.cat,        Log!$A:$A,
    _xlpm.key,        Log!$B:$B,
    _xlpm.date,       Log!$C:$C,
    _xlpm.cam,        Log!$D:$D,
    _xlpm.worErr,     Log!$F:$F,
    _xlpm.imgErr,     Log!$G:$G,
    _xlpm.thisDate,   $A16,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P16" s="68">
        <f>_xlfn.LET(
    _xlpm.cat,        Log!$A:$A,
    _xlpm.key,        Log!$B:$B,
    _xlpm.date,       Log!$C:$C,
    _xlpm.cam,        Log!$D:$D,
    _xlpm.worErr,     Log!$F:$F,
    _xlpm.imgErr,     Log!$G:$G,
    _xlpm.thisDate,   $A16,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Q16" s="68">
        <f>_xlfn.LET(
    _xlpm.cat,        Log!$A:$A,
    _xlpm.key,        Log!$B:$B,
    _xlpm.date,       Log!$C:$C,
    _xlpm.cam,        Log!$D:$D,
    _xlpm.worErr,     Log!$F:$F,
    _xlpm.imgErr,     Log!$G:$G,
    _xlpm.thisDate,   $A16,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R16" s="68">
        <f>_xlfn.LET(
    _xlpm.cat,        Log!$A:$A,
    _xlpm.key,        Log!$B:$B,
    _xlpm.date,       Log!$C:$C,
    _xlpm.cam,        Log!$D:$D,
    _xlpm.worErr,     Log!$F:$F,
    _xlpm.imgErr,     Log!$G:$G,
    _xlpm.thisDate,   $A16,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16" s="68">
        <f>_xlfn.LET(
    _xlpm.cat,        Log!$A:$A,
    _xlpm.key,        Log!$B:$B,
    _xlpm.date,       Log!$C:$C,
    _xlpm.cam,        Log!$D:$D,
    _xlpm.worErr,     Log!$F:$F,
    _xlpm.imgErr,     Log!$G:$G,
    _xlpm.thisDate,   $A16,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U16" s="206"/>
    </row>
    <row r="17" spans="1:19" x14ac:dyDescent="0.3">
      <c r="A17" s="79">
        <v>46240</v>
      </c>
      <c r="B17" s="68">
        <f>_xlfn.LET(
    _xlpm.cat,        Log!$A:$A,
    _xlpm.key,        Log!$B:$B,
    _xlpm.date,       Log!$C:$C,
    _xlpm.cam,        Log!$D:$D,
    _xlpm.worErr,     Log!$F:$F,
    _xlpm.imgErr,     Log!$G:$G,
    _xlpm.thisDate,   $A17,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C17" s="68">
        <f>_xlfn.LET(
    _xlpm.cat,        Log!$A:$A,
    _xlpm.key,        Log!$B:$B,
    _xlpm.date,       Log!$C:$C,
    _xlpm.cam,        Log!$D:$D,
    _xlpm.worErr,     Log!$F:$F,
    _xlpm.imgErr,     Log!$G:$G,
    _xlpm.thisDate,   $A17,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D17" s="68">
        <f>_xlfn.LET(
    _xlpm.cat,        Log!$A:$A,
    _xlpm.key,        Log!$B:$B,
    _xlpm.date,       Log!$C:$C,
    _xlpm.cam,        Log!$D:$D,
    _xlpm.worErr,     Log!$F:$F,
    _xlpm.imgErr,     Log!$G:$G,
    _xlpm.thisDate,   $A17,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E17" s="68">
        <f>_xlfn.LET(
    _xlpm.cat,        Log!$A:$A,
    _xlpm.key,        Log!$B:$B,
    _xlpm.date,       Log!$C:$C,
    _xlpm.cam,        Log!$D:$D,
    _xlpm.worErr,     Log!$F:$F,
    _xlpm.imgErr,     Log!$G:$G,
    _xlpm.thisDate,   $A17,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7" s="68">
        <f>_xlfn.LET(
    _xlpm.cat,        Log!$A:$A,
    _xlpm.key,        Log!$B:$B,
    _xlpm.date,       Log!$C:$C,
    _xlpm.cam,        Log!$D:$D,
    _xlpm.worErr,     Log!$F:$F,
    _xlpm.imgErr,     Log!$G:$G,
    _xlpm.thisDate,   $A17,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G17" s="68">
        <f>_xlfn.LET(
    _xlpm.cat,        Log!$A:$A,
    _xlpm.key,        Log!$B:$B,
    _xlpm.date,       Log!$C:$C,
    _xlpm.cam,        Log!$D:$D,
    _xlpm.worErr,     Log!$F:$F,
    _xlpm.imgErr,     Log!$G:$G,
    _xlpm.thisDate,   $A17,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H17" s="68">
        <f>_xlfn.LET(
    _xlpm.cat,        Log!$A:$A,
    _xlpm.key,        Log!$B:$B,
    _xlpm.date,       Log!$C:$C,
    _xlpm.cam,        Log!$D:$D,
    _xlpm.worErr,     Log!$F:$F,
    _xlpm.imgErr,     Log!$G:$G,
    _xlpm.thisDate,   $A17,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I17" s="68">
        <f>_xlfn.LET(
    _xlpm.cat,        Log!$A:$A,
    _xlpm.key,        Log!$B:$B,
    _xlpm.date,       Log!$C:$C,
    _xlpm.cam,        Log!$D:$D,
    _xlpm.worErr,     Log!$F:$F,
    _xlpm.imgErr,     Log!$G:$G,
    _xlpm.thisDate,   $A17,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J17" s="68">
        <f>_xlfn.LET(
    _xlpm.cat,        Log!$A:$A,
    _xlpm.key,        Log!$B:$B,
    _xlpm.date,       Log!$C:$C,
    _xlpm.cam,        Log!$D:$D,
    _xlpm.worErr,     Log!$F:$F,
    _xlpm.imgErr,     Log!$G:$G,
    _xlpm.thisDate,   $A17,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K17" s="68">
        <f>_xlfn.LET(
    _xlpm.cat,        Log!$A:$A,
    _xlpm.key,        Log!$B:$B,
    _xlpm.date,       Log!$C:$C,
    _xlpm.cam,        Log!$D:$D,
    _xlpm.worErr,     Log!$F:$F,
    _xlpm.imgErr,     Log!$G:$G,
    _xlpm.thisDate,   $A17,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L17" s="68">
        <f>_xlfn.LET(
    _xlpm.cat,        Log!$A:$A,
    _xlpm.key,        Log!$B:$B,
    _xlpm.date,       Log!$C:$C,
    _xlpm.cam,        Log!$D:$D,
    _xlpm.worErr,     Log!$F:$F,
    _xlpm.imgErr,     Log!$G:$G,
    _xlpm.thisDate,   $A17,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17" s="68">
        <f>_xlfn.LET(
    _xlpm.cat,        Log!$A:$A,
    _xlpm.key,        Log!$B:$B,
    _xlpm.date,       Log!$C:$C,
    _xlpm.cam,        Log!$D:$D,
    _xlpm.worErr,     Log!$F:$F,
    _xlpm.imgErr,     Log!$G:$G,
    _xlpm.thisDate,   $A17,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17" s="68">
        <f>_xlfn.LET(
    _xlpm.cat,        Log!$A:$A,
    _xlpm.key,        Log!$B:$B,
    _xlpm.date,       Log!$C:$C,
    _xlpm.cam,        Log!$D:$D,
    _xlpm.worErr,     Log!$F:$F,
    _xlpm.imgErr,     Log!$G:$G,
    _xlpm.thisDate,   $A17,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7" s="68">
        <f>_xlfn.LET(
    _xlpm.cat,        Log!$A:$A,
    _xlpm.key,        Log!$B:$B,
    _xlpm.date,       Log!$C:$C,
    _xlpm.cam,        Log!$D:$D,
    _xlpm.worErr,     Log!$F:$F,
    _xlpm.imgErr,     Log!$G:$G,
    _xlpm.thisDate,   $A17,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P17" s="68">
        <f>_xlfn.LET(
    _xlpm.cat,        Log!$A:$A,
    _xlpm.key,        Log!$B:$B,
    _xlpm.date,       Log!$C:$C,
    _xlpm.cam,        Log!$D:$D,
    _xlpm.worErr,     Log!$F:$F,
    _xlpm.imgErr,     Log!$G:$G,
    _xlpm.thisDate,   $A17,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Q17" s="68">
        <f>_xlfn.LET(
    _xlpm.cat,        Log!$A:$A,
    _xlpm.key,        Log!$B:$B,
    _xlpm.date,       Log!$C:$C,
    _xlpm.cam,        Log!$D:$D,
    _xlpm.worErr,     Log!$F:$F,
    _xlpm.imgErr,     Log!$G:$G,
    _xlpm.thisDate,   $A17,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R17" s="68">
        <f>_xlfn.LET(
    _xlpm.cat,        Log!$A:$A,
    _xlpm.key,        Log!$B:$B,
    _xlpm.date,       Log!$C:$C,
    _xlpm.cam,        Log!$D:$D,
    _xlpm.worErr,     Log!$F:$F,
    _xlpm.imgErr,     Log!$G:$G,
    _xlpm.thisDate,   $A17,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7" s="68">
        <f>_xlfn.LET(
    _xlpm.cat,        Log!$A:$A,
    _xlpm.key,        Log!$B:$B,
    _xlpm.date,       Log!$C:$C,
    _xlpm.cam,        Log!$D:$D,
    _xlpm.worErr,     Log!$F:$F,
    _xlpm.imgErr,     Log!$G:$G,
    _xlpm.thisDate,   $A17,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row>
    <row r="18" spans="1:19" x14ac:dyDescent="0.3">
      <c r="A18" s="79">
        <v>46242</v>
      </c>
      <c r="B18" s="68">
        <f>_xlfn.LET(
    _xlpm.cat,        Log!$A:$A,
    _xlpm.key,        Log!$B:$B,
    _xlpm.date,       Log!$C:$C,
    _xlpm.cam,        Log!$D:$D,
    _xlpm.worErr,     Log!$F:$F,
    _xlpm.imgErr,     Log!$G:$G,
    _xlpm.thisDate,   $A18,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C18" s="68">
        <f>_xlfn.LET(
    _xlpm.cat,        Log!$A:$A,
    _xlpm.key,        Log!$B:$B,
    _xlpm.date,       Log!$C:$C,
    _xlpm.cam,        Log!$D:$D,
    _xlpm.worErr,     Log!$F:$F,
    _xlpm.imgErr,     Log!$G:$G,
    _xlpm.thisDate,   $A18,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18" s="68">
        <f>_xlfn.LET(
    _xlpm.cat,        Log!$A:$A,
    _xlpm.key,        Log!$B:$B,
    _xlpm.date,       Log!$C:$C,
    _xlpm.cam,        Log!$D:$D,
    _xlpm.worErr,     Log!$F:$F,
    _xlpm.imgErr,     Log!$G:$G,
    _xlpm.thisDate,   $A18,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18" s="68">
        <f>_xlfn.LET(
    _xlpm.cat,        Log!$A:$A,
    _xlpm.key,        Log!$B:$B,
    _xlpm.date,       Log!$C:$C,
    _xlpm.cam,        Log!$D:$D,
    _xlpm.worErr,     Log!$F:$F,
    _xlpm.imgErr,     Log!$G:$G,
    _xlpm.thisDate,   $A18,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18" s="68">
        <f>_xlfn.LET(
    _xlpm.cat,        Log!$A:$A,
    _xlpm.key,        Log!$B:$B,
    _xlpm.date,       Log!$C:$C,
    _xlpm.cam,        Log!$D:$D,
    _xlpm.worErr,     Log!$F:$F,
    _xlpm.imgErr,     Log!$G:$G,
    _xlpm.thisDate,   $A18,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18" s="68">
        <f>_xlfn.LET(
    _xlpm.cat,        Log!$A:$A,
    _xlpm.key,        Log!$B:$B,
    _xlpm.date,       Log!$C:$C,
    _xlpm.cam,        Log!$D:$D,
    _xlpm.worErr,     Log!$F:$F,
    _xlpm.imgErr,     Log!$G:$G,
    _xlpm.thisDate,   $A18,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18" s="68">
        <f>_xlfn.LET(
    _xlpm.cat,        Log!$A:$A,
    _xlpm.key,        Log!$B:$B,
    _xlpm.date,       Log!$C:$C,
    _xlpm.cam,        Log!$D:$D,
    _xlpm.worErr,     Log!$F:$F,
    _xlpm.imgErr,     Log!$G:$G,
    _xlpm.thisDate,   $A18,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18" s="68">
        <f>_xlfn.LET(
    _xlpm.cat,        Log!$A:$A,
    _xlpm.key,        Log!$B:$B,
    _xlpm.date,       Log!$C:$C,
    _xlpm.cam,        Log!$D:$D,
    _xlpm.worErr,     Log!$F:$F,
    _xlpm.imgErr,     Log!$G:$G,
    _xlpm.thisDate,   $A18,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J18" s="68">
        <f>_xlfn.LET(
    _xlpm.cat,        Log!$A:$A,
    _xlpm.key,        Log!$B:$B,
    _xlpm.date,       Log!$C:$C,
    _xlpm.cam,        Log!$D:$D,
    _xlpm.worErr,     Log!$F:$F,
    _xlpm.imgErr,     Log!$G:$G,
    _xlpm.thisDate,   $A18,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18" s="68">
        <f>_xlfn.LET(
    _xlpm.cat,        Log!$A:$A,
    _xlpm.key,        Log!$B:$B,
    _xlpm.date,       Log!$C:$C,
    _xlpm.cam,        Log!$D:$D,
    _xlpm.worErr,     Log!$F:$F,
    _xlpm.imgErr,     Log!$G:$G,
    _xlpm.thisDate,   $A18,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L18" s="68">
        <f>_xlfn.LET(
    _xlpm.cat,        Log!$A:$A,
    _xlpm.key,        Log!$B:$B,
    _xlpm.date,       Log!$C:$C,
    _xlpm.cam,        Log!$D:$D,
    _xlpm.worErr,     Log!$F:$F,
    _xlpm.imgErr,     Log!$G:$G,
    _xlpm.thisDate,   $A18,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M18" s="68">
        <f>_xlfn.LET(
    _xlpm.cat,        Log!$A:$A,
    _xlpm.key,        Log!$B:$B,
    _xlpm.date,       Log!$C:$C,
    _xlpm.cam,        Log!$D:$D,
    _xlpm.worErr,     Log!$F:$F,
    _xlpm.imgErr,     Log!$G:$G,
    _xlpm.thisDate,   $A18,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18" s="68">
        <f>_xlfn.LET(
    _xlpm.cat,        Log!$A:$A,
    _xlpm.key,        Log!$B:$B,
    _xlpm.date,       Log!$C:$C,
    _xlpm.cam,        Log!$D:$D,
    _xlpm.worErr,     Log!$F:$F,
    _xlpm.imgErr,     Log!$G:$G,
    _xlpm.thisDate,   $A18,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8" s="68">
        <f>_xlfn.LET(
    _xlpm.cat,        Log!$A:$A,
    _xlpm.key,        Log!$B:$B,
    _xlpm.date,       Log!$C:$C,
    _xlpm.cam,        Log!$D:$D,
    _xlpm.worErr,     Log!$F:$F,
    _xlpm.imgErr,     Log!$G:$G,
    _xlpm.thisDate,   $A18,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18" s="68">
        <f>_xlfn.LET(
    _xlpm.cat,        Log!$A:$A,
    _xlpm.key,        Log!$B:$B,
    _xlpm.date,       Log!$C:$C,
    _xlpm.cam,        Log!$D:$D,
    _xlpm.worErr,     Log!$F:$F,
    _xlpm.imgErr,     Log!$G:$G,
    _xlpm.thisDate,   $A18,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Q18" s="68">
        <f>_xlfn.LET(
    _xlpm.cat,        Log!$A:$A,
    _xlpm.key,        Log!$B:$B,
    _xlpm.date,       Log!$C:$C,
    _xlpm.cam,        Log!$D:$D,
    _xlpm.worErr,     Log!$F:$F,
    _xlpm.imgErr,     Log!$G:$G,
    _xlpm.thisDate,   $A18,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R18" s="68">
        <f>_xlfn.LET(
    _xlpm.cat,        Log!$A:$A,
    _xlpm.key,        Log!$B:$B,
    _xlpm.date,       Log!$C:$C,
    _xlpm.cam,        Log!$D:$D,
    _xlpm.worErr,     Log!$F:$F,
    _xlpm.imgErr,     Log!$G:$G,
    _xlpm.thisDate,   $A18,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18" s="68">
        <f>_xlfn.LET(
    _xlpm.cat,        Log!$A:$A,
    _xlpm.key,        Log!$B:$B,
    _xlpm.date,       Log!$C:$C,
    _xlpm.cam,        Log!$D:$D,
    _xlpm.worErr,     Log!$F:$F,
    _xlpm.imgErr,     Log!$G:$G,
    _xlpm.thisDate,   $A18,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row>
    <row r="19" spans="1:19" x14ac:dyDescent="0.3">
      <c r="A19" s="79">
        <v>46244</v>
      </c>
      <c r="B19" s="68">
        <f>_xlfn.LET(
    _xlpm.cat,        Log!$A:$A,
    _xlpm.key,        Log!$B:$B,
    _xlpm.date,       Log!$C:$C,
    _xlpm.cam,        Log!$D:$D,
    _xlpm.worErr,     Log!$F:$F,
    _xlpm.imgErr,     Log!$G:$G,
    _xlpm.thisDate,   $A19,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C19" s="68">
        <f>_xlfn.LET(
    _xlpm.cat,        Log!$A:$A,
    _xlpm.key,        Log!$B:$B,
    _xlpm.date,       Log!$C:$C,
    _xlpm.cam,        Log!$D:$D,
    _xlpm.worErr,     Log!$F:$F,
    _xlpm.imgErr,     Log!$G:$G,
    _xlpm.thisDate,   $A19,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D19" s="68">
        <f>_xlfn.LET(
    _xlpm.cat,        Log!$A:$A,
    _xlpm.key,        Log!$B:$B,
    _xlpm.date,       Log!$C:$C,
    _xlpm.cam,        Log!$D:$D,
    _xlpm.worErr,     Log!$F:$F,
    _xlpm.imgErr,     Log!$G:$G,
    _xlpm.thisDate,   $A19,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E19" s="68">
        <f>_xlfn.LET(
    _xlpm.cat,        Log!$A:$A,
    _xlpm.key,        Log!$B:$B,
    _xlpm.date,       Log!$C:$C,
    _xlpm.cam,        Log!$D:$D,
    _xlpm.worErr,     Log!$F:$F,
    _xlpm.imgErr,     Log!$G:$G,
    _xlpm.thisDate,   $A19,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F19" s="68">
        <f>_xlfn.LET(
    _xlpm.cat,        Log!$A:$A,
    _xlpm.key,        Log!$B:$B,
    _xlpm.date,       Log!$C:$C,
    _xlpm.cam,        Log!$D:$D,
    _xlpm.worErr,     Log!$F:$F,
    _xlpm.imgErr,     Log!$G:$G,
    _xlpm.thisDate,   $A19,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G19" s="68">
        <f>_xlfn.LET(
    _xlpm.cat,        Log!$A:$A,
    _xlpm.key,        Log!$B:$B,
    _xlpm.date,       Log!$C:$C,
    _xlpm.cam,        Log!$D:$D,
    _xlpm.worErr,     Log!$F:$F,
    _xlpm.imgErr,     Log!$G:$G,
    _xlpm.thisDate,   $A19,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19" s="68">
        <f>_xlfn.LET(
    _xlpm.cat,        Log!$A:$A,
    _xlpm.key,        Log!$B:$B,
    _xlpm.date,       Log!$C:$C,
    _xlpm.cam,        Log!$D:$D,
    _xlpm.worErr,     Log!$F:$F,
    _xlpm.imgErr,     Log!$G:$G,
    _xlpm.thisDate,   $A19,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19" s="68">
        <f>_xlfn.LET(
    _xlpm.cat,        Log!$A:$A,
    _xlpm.key,        Log!$B:$B,
    _xlpm.date,       Log!$C:$C,
    _xlpm.cam,        Log!$D:$D,
    _xlpm.worErr,     Log!$F:$F,
    _xlpm.imgErr,     Log!$G:$G,
    _xlpm.thisDate,   $A19,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19" s="68">
        <f>_xlfn.LET(
    _xlpm.cat,        Log!$A:$A,
    _xlpm.key,        Log!$B:$B,
    _xlpm.date,       Log!$C:$C,
    _xlpm.cam,        Log!$D:$D,
    _xlpm.worErr,     Log!$F:$F,
    _xlpm.imgErr,     Log!$G:$G,
    _xlpm.thisDate,   $A19,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19" s="68">
        <f>_xlfn.LET(
    _xlpm.cat,        Log!$A:$A,
    _xlpm.key,        Log!$B:$B,
    _xlpm.date,       Log!$C:$C,
    _xlpm.cam,        Log!$D:$D,
    _xlpm.worErr,     Log!$F:$F,
    _xlpm.imgErr,     Log!$G:$G,
    _xlpm.thisDate,   $A19,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19" s="68">
        <f>_xlfn.LET(
    _xlpm.cat,        Log!$A:$A,
    _xlpm.key,        Log!$B:$B,
    _xlpm.date,       Log!$C:$C,
    _xlpm.cam,        Log!$D:$D,
    _xlpm.worErr,     Log!$F:$F,
    _xlpm.imgErr,     Log!$G:$G,
    _xlpm.thisDate,   $A19,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19" s="68">
        <f>_xlfn.LET(
    _xlpm.cat,        Log!$A:$A,
    _xlpm.key,        Log!$B:$B,
    _xlpm.date,       Log!$C:$C,
    _xlpm.cam,        Log!$D:$D,
    _xlpm.worErr,     Log!$F:$F,
    _xlpm.imgErr,     Log!$G:$G,
    _xlpm.thisDate,   $A19,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N19" s="68">
        <f>_xlfn.LET(
    _xlpm.cat,        Log!$A:$A,
    _xlpm.key,        Log!$B:$B,
    _xlpm.date,       Log!$C:$C,
    _xlpm.cam,        Log!$D:$D,
    _xlpm.worErr,     Log!$F:$F,
    _xlpm.imgErr,     Log!$G:$G,
    _xlpm.thisDate,   $A19,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O19" s="68">
        <f>_xlfn.LET(
    _xlpm.cat,        Log!$A:$A,
    _xlpm.key,        Log!$B:$B,
    _xlpm.date,       Log!$C:$C,
    _xlpm.cam,        Log!$D:$D,
    _xlpm.worErr,     Log!$F:$F,
    _xlpm.imgErr,     Log!$G:$G,
    _xlpm.thisDate,   $A19,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P19" s="68">
        <f>_xlfn.LET(
    _xlpm.cat,        Log!$A:$A,
    _xlpm.key,        Log!$B:$B,
    _xlpm.date,       Log!$C:$C,
    _xlpm.cam,        Log!$D:$D,
    _xlpm.worErr,     Log!$F:$F,
    _xlpm.imgErr,     Log!$G:$G,
    _xlpm.thisDate,   $A19,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Q19" s="68">
        <f>_xlfn.LET(
    _xlpm.cat,        Log!$A:$A,
    _xlpm.key,        Log!$B:$B,
    _xlpm.date,       Log!$C:$C,
    _xlpm.cam,        Log!$D:$D,
    _xlpm.worErr,     Log!$F:$F,
    _xlpm.imgErr,     Log!$G:$G,
    _xlpm.thisDate,   $A19,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R19" s="68">
        <f>_xlfn.LET(
    _xlpm.cat,        Log!$A:$A,
    _xlpm.key,        Log!$B:$B,
    _xlpm.date,       Log!$C:$C,
    _xlpm.cam,        Log!$D:$D,
    _xlpm.worErr,     Log!$F:$F,
    _xlpm.imgErr,     Log!$G:$G,
    _xlpm.thisDate,   $A19,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S19" s="68">
        <f>_xlfn.LET(
    _xlpm.cat,        Log!$A:$A,
    _xlpm.key,        Log!$B:$B,
    _xlpm.date,       Log!$C:$C,
    _xlpm.cam,        Log!$D:$D,
    _xlpm.worErr,     Log!$F:$F,
    _xlpm.imgErr,     Log!$G:$G,
    _xlpm.thisDate,   $A19,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row>
    <row r="20" spans="1:19" x14ac:dyDescent="0.3">
      <c r="A20" s="79">
        <v>46245</v>
      </c>
      <c r="B20" s="68">
        <f>_xlfn.LET(
    _xlpm.cat,        Log!$A:$A,
    _xlpm.key,        Log!$B:$B,
    _xlpm.date,       Log!$C:$C,
    _xlpm.cam,        Log!$D:$D,
    _xlpm.worErr,     Log!$F:$F,
    _xlpm.imgErr,     Log!$G:$G,
    _xlpm.thisDate,   $A20,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C20" s="68">
        <f>_xlfn.LET(
    _xlpm.cat,        Log!$A:$A,
    _xlpm.key,        Log!$B:$B,
    _xlpm.date,       Log!$C:$C,
    _xlpm.cam,        Log!$D:$D,
    _xlpm.worErr,     Log!$F:$F,
    _xlpm.imgErr,     Log!$G:$G,
    _xlpm.thisDate,   $A20,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D20" s="68">
        <f>_xlfn.LET(
    _xlpm.cat,        Log!$A:$A,
    _xlpm.key,        Log!$B:$B,
    _xlpm.date,       Log!$C:$C,
    _xlpm.cam,        Log!$D:$D,
    _xlpm.worErr,     Log!$F:$F,
    _xlpm.imgErr,     Log!$G:$G,
    _xlpm.thisDate,   $A20,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E20" s="68">
        <f>_xlfn.LET(
    _xlpm.cat,        Log!$A:$A,
    _xlpm.key,        Log!$B:$B,
    _xlpm.date,       Log!$C:$C,
    _xlpm.cam,        Log!$D:$D,
    _xlpm.worErr,     Log!$F:$F,
    _xlpm.imgErr,     Log!$G:$G,
    _xlpm.thisDate,   $A20,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F20" s="68">
        <f>_xlfn.LET(
    _xlpm.cat,        Log!$A:$A,
    _xlpm.key,        Log!$B:$B,
    _xlpm.date,       Log!$C:$C,
    _xlpm.cam,        Log!$D:$D,
    _xlpm.worErr,     Log!$F:$F,
    _xlpm.imgErr,     Log!$G:$G,
    _xlpm.thisDate,   $A20,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G20" s="68">
        <f>_xlfn.LET(
    _xlpm.cat,        Log!$A:$A,
    _xlpm.key,        Log!$B:$B,
    _xlpm.date,       Log!$C:$C,
    _xlpm.cam,        Log!$D:$D,
    _xlpm.worErr,     Log!$F:$F,
    _xlpm.imgErr,     Log!$G:$G,
    _xlpm.thisDate,   $A20,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H20" s="68">
        <f>_xlfn.LET(
    _xlpm.cat,        Log!$A:$A,
    _xlpm.key,        Log!$B:$B,
    _xlpm.date,       Log!$C:$C,
    _xlpm.cam,        Log!$D:$D,
    _xlpm.worErr,     Log!$F:$F,
    _xlpm.imgErr,     Log!$G:$G,
    _xlpm.thisDate,   $A20,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I20" s="68">
        <f>_xlfn.LET(
    _xlpm.cat,        Log!$A:$A,
    _xlpm.key,        Log!$B:$B,
    _xlpm.date,       Log!$C:$C,
    _xlpm.cam,        Log!$D:$D,
    _xlpm.worErr,     Log!$F:$F,
    _xlpm.imgErr,     Log!$G:$G,
    _xlpm.thisDate,   $A20,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20" s="68">
        <f>_xlfn.LET(
    _xlpm.cat,        Log!$A:$A,
    _xlpm.key,        Log!$B:$B,
    _xlpm.date,       Log!$C:$C,
    _xlpm.cam,        Log!$D:$D,
    _xlpm.worErr,     Log!$F:$F,
    _xlpm.imgErr,     Log!$G:$G,
    _xlpm.thisDate,   $A20,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K20" s="68">
        <f>_xlfn.LET(
    _xlpm.cat,        Log!$A:$A,
    _xlpm.key,        Log!$B:$B,
    _xlpm.date,       Log!$C:$C,
    _xlpm.cam,        Log!$D:$D,
    _xlpm.worErr,     Log!$F:$F,
    _xlpm.imgErr,     Log!$G:$G,
    _xlpm.thisDate,   $A20,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L20" s="68">
        <f>_xlfn.LET(
    _xlpm.cat,        Log!$A:$A,
    _xlpm.key,        Log!$B:$B,
    _xlpm.date,       Log!$C:$C,
    _xlpm.cam,        Log!$D:$D,
    _xlpm.worErr,     Log!$F:$F,
    _xlpm.imgErr,     Log!$G:$G,
    _xlpm.thisDate,   $A20,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M20" s="68">
        <f>_xlfn.LET(
    _xlpm.cat,        Log!$A:$A,
    _xlpm.key,        Log!$B:$B,
    _xlpm.date,       Log!$C:$C,
    _xlpm.cam,        Log!$D:$D,
    _xlpm.worErr,     Log!$F:$F,
    _xlpm.imgErr,     Log!$G:$G,
    _xlpm.thisDate,   $A20,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N20" s="68">
        <f>_xlfn.LET(
    _xlpm.cat,        Log!$A:$A,
    _xlpm.key,        Log!$B:$B,
    _xlpm.date,       Log!$C:$C,
    _xlpm.cam,        Log!$D:$D,
    _xlpm.worErr,     Log!$F:$F,
    _xlpm.imgErr,     Log!$G:$G,
    _xlpm.thisDate,   $A20,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O20" s="68">
        <f>_xlfn.LET(
    _xlpm.cat,        Log!$A:$A,
    _xlpm.key,        Log!$B:$B,
    _xlpm.date,       Log!$C:$C,
    _xlpm.cam,        Log!$D:$D,
    _xlpm.worErr,     Log!$F:$F,
    _xlpm.imgErr,     Log!$G:$G,
    _xlpm.thisDate,   $A20,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P20" s="68">
        <f>_xlfn.LET(
    _xlpm.cat,        Log!$A:$A,
    _xlpm.key,        Log!$B:$B,
    _xlpm.date,       Log!$C:$C,
    _xlpm.cam,        Log!$D:$D,
    _xlpm.worErr,     Log!$F:$F,
    _xlpm.imgErr,     Log!$G:$G,
    _xlpm.thisDate,   $A20,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Q20" s="68">
        <f>_xlfn.LET(
    _xlpm.cat,        Log!$A:$A,
    _xlpm.key,        Log!$B:$B,
    _xlpm.date,       Log!$C:$C,
    _xlpm.cam,        Log!$D:$D,
    _xlpm.worErr,     Log!$F:$F,
    _xlpm.imgErr,     Log!$G:$G,
    _xlpm.thisDate,   $A20,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R20" s="68">
        <f>_xlfn.LET(
    _xlpm.cat,        Log!$A:$A,
    _xlpm.key,        Log!$B:$B,
    _xlpm.date,       Log!$C:$C,
    _xlpm.cam,        Log!$D:$D,
    _xlpm.worErr,     Log!$F:$F,
    _xlpm.imgErr,     Log!$G:$G,
    _xlpm.thisDate,   $A20,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S20" s="68">
        <f>_xlfn.LET(
    _xlpm.cat,        Log!$A:$A,
    _xlpm.key,        Log!$B:$B,
    _xlpm.date,       Log!$C:$C,
    _xlpm.cam,        Log!$D:$D,
    _xlpm.worErr,     Log!$F:$F,
    _xlpm.imgErr,     Log!$G:$G,
    _xlpm.thisDate,   $A20,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row>
    <row r="21" spans="1:19" x14ac:dyDescent="0.3">
      <c r="A21" s="79">
        <v>46246</v>
      </c>
      <c r="B21" s="68">
        <f>_xlfn.LET(
    _xlpm.cat,        Log!$A:$A,
    _xlpm.key,        Log!$B:$B,
    _xlpm.date,       Log!$C:$C,
    _xlpm.cam,        Log!$D:$D,
    _xlpm.worErr,     Log!$F:$F,
    _xlpm.imgErr,     Log!$G:$G,
    _xlpm.thisDate,   $A21,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C21" s="68">
        <f>_xlfn.LET(
    _xlpm.cat,        Log!$A:$A,
    _xlpm.key,        Log!$B:$B,
    _xlpm.date,       Log!$C:$C,
    _xlpm.cam,        Log!$D:$D,
    _xlpm.worErr,     Log!$F:$F,
    _xlpm.imgErr,     Log!$G:$G,
    _xlpm.thisDate,   $A21,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D21" s="68">
        <f>_xlfn.LET(
    _xlpm.cat,        Log!$A:$A,
    _xlpm.key,        Log!$B:$B,
    _xlpm.date,       Log!$C:$C,
    _xlpm.cam,        Log!$D:$D,
    _xlpm.worErr,     Log!$F:$F,
    _xlpm.imgErr,     Log!$G:$G,
    _xlpm.thisDate,   $A21,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21" s="68">
        <f>_xlfn.LET(
    _xlpm.cat,        Log!$A:$A,
    _xlpm.key,        Log!$B:$B,
    _xlpm.date,       Log!$C:$C,
    _xlpm.cam,        Log!$D:$D,
    _xlpm.worErr,     Log!$F:$F,
    _xlpm.imgErr,     Log!$G:$G,
    _xlpm.thisDate,   $A21,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F21" s="68">
        <f>_xlfn.LET(
    _xlpm.cat,        Log!$A:$A,
    _xlpm.key,        Log!$B:$B,
    _xlpm.date,       Log!$C:$C,
    _xlpm.cam,        Log!$D:$D,
    _xlpm.worErr,     Log!$F:$F,
    _xlpm.imgErr,     Log!$G:$G,
    _xlpm.thisDate,   $A21,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G21" s="68">
        <f>_xlfn.LET(
    _xlpm.cat,        Log!$A:$A,
    _xlpm.key,        Log!$B:$B,
    _xlpm.date,       Log!$C:$C,
    _xlpm.cam,        Log!$D:$D,
    _xlpm.worErr,     Log!$F:$F,
    _xlpm.imgErr,     Log!$G:$G,
    _xlpm.thisDate,   $A21,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21" s="68">
        <f>_xlfn.LET(
    _xlpm.cat,        Log!$A:$A,
    _xlpm.key,        Log!$B:$B,
    _xlpm.date,       Log!$C:$C,
    _xlpm.cam,        Log!$D:$D,
    _xlpm.worErr,     Log!$F:$F,
    _xlpm.imgErr,     Log!$G:$G,
    _xlpm.thisDate,   $A21,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21" s="68">
        <f>_xlfn.LET(
    _xlpm.cat,        Log!$A:$A,
    _xlpm.key,        Log!$B:$B,
    _xlpm.date,       Log!$C:$C,
    _xlpm.cam,        Log!$D:$D,
    _xlpm.worErr,     Log!$F:$F,
    _xlpm.imgErr,     Log!$G:$G,
    _xlpm.thisDate,   $A21,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J21" s="68">
        <f>_xlfn.LET(
    _xlpm.cat,        Log!$A:$A,
    _xlpm.key,        Log!$B:$B,
    _xlpm.date,       Log!$C:$C,
    _xlpm.cam,        Log!$D:$D,
    _xlpm.worErr,     Log!$F:$F,
    _xlpm.imgErr,     Log!$G:$G,
    _xlpm.thisDate,   $A21,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K21" s="68">
        <f>_xlfn.LET(
    _xlpm.cat,        Log!$A:$A,
    _xlpm.key,        Log!$B:$B,
    _xlpm.date,       Log!$C:$C,
    _xlpm.cam,        Log!$D:$D,
    _xlpm.worErr,     Log!$F:$F,
    _xlpm.imgErr,     Log!$G:$G,
    _xlpm.thisDate,   $A21,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L21" s="68">
        <f>_xlfn.LET(
    _xlpm.cat,        Log!$A:$A,
    _xlpm.key,        Log!$B:$B,
    _xlpm.date,       Log!$C:$C,
    _xlpm.cam,        Log!$D:$D,
    _xlpm.worErr,     Log!$F:$F,
    _xlpm.imgErr,     Log!$G:$G,
    _xlpm.thisDate,   $A21,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M21" s="68">
        <f>_xlfn.LET(
    _xlpm.cat,        Log!$A:$A,
    _xlpm.key,        Log!$B:$B,
    _xlpm.date,       Log!$C:$C,
    _xlpm.cam,        Log!$D:$D,
    _xlpm.worErr,     Log!$F:$F,
    _xlpm.imgErr,     Log!$G:$G,
    _xlpm.thisDate,   $A21,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N21" s="68">
        <f>_xlfn.LET(
    _xlpm.cat,        Log!$A:$A,
    _xlpm.key,        Log!$B:$B,
    _xlpm.date,       Log!$C:$C,
    _xlpm.cam,        Log!$D:$D,
    _xlpm.worErr,     Log!$F:$F,
    _xlpm.imgErr,     Log!$G:$G,
    _xlpm.thisDate,   $A21,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O21" s="68">
        <f>_xlfn.LET(
    _xlpm.cat,        Log!$A:$A,
    _xlpm.key,        Log!$B:$B,
    _xlpm.date,       Log!$C:$C,
    _xlpm.cam,        Log!$D:$D,
    _xlpm.worErr,     Log!$F:$F,
    _xlpm.imgErr,     Log!$G:$G,
    _xlpm.thisDate,   $A21,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21" s="68">
        <f>_xlfn.LET(
    _xlpm.cat,        Log!$A:$A,
    _xlpm.key,        Log!$B:$B,
    _xlpm.date,       Log!$C:$C,
    _xlpm.cam,        Log!$D:$D,
    _xlpm.worErr,     Log!$F:$F,
    _xlpm.imgErr,     Log!$G:$G,
    _xlpm.thisDate,   $A21,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Q21" s="68">
        <f>_xlfn.LET(
    _xlpm.cat,        Log!$A:$A,
    _xlpm.key,        Log!$B:$B,
    _xlpm.date,       Log!$C:$C,
    _xlpm.cam,        Log!$D:$D,
    _xlpm.worErr,     Log!$F:$F,
    _xlpm.imgErr,     Log!$G:$G,
    _xlpm.thisDate,   $A21,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R21" s="68">
        <f>_xlfn.LET(
    _xlpm.cat,        Log!$A:$A,
    _xlpm.key,        Log!$B:$B,
    _xlpm.date,       Log!$C:$C,
    _xlpm.cam,        Log!$D:$D,
    _xlpm.worErr,     Log!$F:$F,
    _xlpm.imgErr,     Log!$G:$G,
    _xlpm.thisDate,   $A21,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S21" s="68">
        <f>_xlfn.LET(
    _xlpm.cat,        Log!$A:$A,
    _xlpm.key,        Log!$B:$B,
    _xlpm.date,       Log!$C:$C,
    _xlpm.cam,        Log!$D:$D,
    _xlpm.worErr,     Log!$F:$F,
    _xlpm.imgErr,     Log!$G:$G,
    _xlpm.thisDate,   $A21,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row>
    <row r="22" spans="1:19" x14ac:dyDescent="0.3">
      <c r="A22" s="79">
        <v>46247</v>
      </c>
      <c r="B22" s="68">
        <f>_xlfn.LET(
    _xlpm.cat,        Log!$A:$A,
    _xlpm.key,        Log!$B:$B,
    _xlpm.date,       Log!$C:$C,
    _xlpm.cam,        Log!$D:$D,
    _xlpm.worErr,     Log!$F:$F,
    _xlpm.imgErr,     Log!$G:$G,
    _xlpm.thisDate,   $A22,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C22" s="68">
        <f>_xlfn.LET(
    _xlpm.cat,        Log!$A:$A,
    _xlpm.key,        Log!$B:$B,
    _xlpm.date,       Log!$C:$C,
    _xlpm.cam,        Log!$D:$D,
    _xlpm.worErr,     Log!$F:$F,
    _xlpm.imgErr,     Log!$G:$G,
    _xlpm.thisDate,   $A22,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D22" s="68">
        <f>_xlfn.LET(
    _xlpm.cat,        Log!$A:$A,
    _xlpm.key,        Log!$B:$B,
    _xlpm.date,       Log!$C:$C,
    _xlpm.cam,        Log!$D:$D,
    _xlpm.worErr,     Log!$F:$F,
    _xlpm.imgErr,     Log!$G:$G,
    _xlpm.thisDate,   $A22,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E22" s="68">
        <f>_xlfn.LET(
    _xlpm.cat,        Log!$A:$A,
    _xlpm.key,        Log!$B:$B,
    _xlpm.date,       Log!$C:$C,
    _xlpm.cam,        Log!$D:$D,
    _xlpm.worErr,     Log!$F:$F,
    _xlpm.imgErr,     Log!$G:$G,
    _xlpm.thisDate,   $A22,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22" s="68">
        <f>_xlfn.LET(
    _xlpm.cat,        Log!$A:$A,
    _xlpm.key,        Log!$B:$B,
    _xlpm.date,       Log!$C:$C,
    _xlpm.cam,        Log!$D:$D,
    _xlpm.worErr,     Log!$F:$F,
    _xlpm.imgErr,     Log!$G:$G,
    _xlpm.thisDate,   $A22,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G22" s="68">
        <f>_xlfn.LET(
    _xlpm.cat,        Log!$A:$A,
    _xlpm.key,        Log!$B:$B,
    _xlpm.date,       Log!$C:$C,
    _xlpm.cam,        Log!$D:$D,
    _xlpm.worErr,     Log!$F:$F,
    _xlpm.imgErr,     Log!$G:$G,
    _xlpm.thisDate,   $A22,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c r="H22" s="68">
        <f>_xlfn.LET(
    _xlpm.cat,        Log!$A:$A,
    _xlpm.key,        Log!$B:$B,
    _xlpm.date,       Log!$C:$C,
    _xlpm.cam,        Log!$D:$D,
    _xlpm.worErr,     Log!$F:$F,
    _xlpm.imgErr,     Log!$G:$G,
    _xlpm.thisDate,   $A22,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I22" s="68">
        <f>_xlfn.LET(
    _xlpm.cat,        Log!$A:$A,
    _xlpm.key,        Log!$B:$B,
    _xlpm.date,       Log!$C:$C,
    _xlpm.cam,        Log!$D:$D,
    _xlpm.worErr,     Log!$F:$F,
    _xlpm.imgErr,     Log!$G:$G,
    _xlpm.thisDate,   $A22,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J22" s="68">
        <f>_xlfn.LET(
    _xlpm.cat,        Log!$A:$A,
    _xlpm.key,        Log!$B:$B,
    _xlpm.date,       Log!$C:$C,
    _xlpm.cam,        Log!$D:$D,
    _xlpm.worErr,     Log!$F:$F,
    _xlpm.imgErr,     Log!$G:$G,
    _xlpm.thisDate,   $A22,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K22" s="68">
        <f>_xlfn.LET(
    _xlpm.cat,        Log!$A:$A,
    _xlpm.key,        Log!$B:$B,
    _xlpm.date,       Log!$C:$C,
    _xlpm.cam,        Log!$D:$D,
    _xlpm.worErr,     Log!$F:$F,
    _xlpm.imgErr,     Log!$G:$G,
    _xlpm.thisDate,   $A22,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L22" s="68">
        <f>_xlfn.LET(
    _xlpm.cat,        Log!$A:$A,
    _xlpm.key,        Log!$B:$B,
    _xlpm.date,       Log!$C:$C,
    _xlpm.cam,        Log!$D:$D,
    _xlpm.worErr,     Log!$F:$F,
    _xlpm.imgErr,     Log!$G:$G,
    _xlpm.thisDate,   $A22,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M22" s="68">
        <f>_xlfn.LET(
    _xlpm.cat,        Log!$A:$A,
    _xlpm.key,        Log!$B:$B,
    _xlpm.date,       Log!$C:$C,
    _xlpm.cam,        Log!$D:$D,
    _xlpm.worErr,     Log!$F:$F,
    _xlpm.imgErr,     Log!$G:$G,
    _xlpm.thisDate,   $A22,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N22" s="68">
        <f>_xlfn.LET(
    _xlpm.cat,        Log!$A:$A,
    _xlpm.key,        Log!$B:$B,
    _xlpm.date,       Log!$C:$C,
    _xlpm.cam,        Log!$D:$D,
    _xlpm.worErr,     Log!$F:$F,
    _xlpm.imgErr,     Log!$G:$G,
    _xlpm.thisDate,   $A22,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O22" s="68">
        <f>_xlfn.LET(
    _xlpm.cat,        Log!$A:$A,
    _xlpm.key,        Log!$B:$B,
    _xlpm.date,       Log!$C:$C,
    _xlpm.cam,        Log!$D:$D,
    _xlpm.worErr,     Log!$F:$F,
    _xlpm.imgErr,     Log!$G:$G,
    _xlpm.thisDate,   $A22,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P22" s="68">
        <f>_xlfn.LET(
    _xlpm.cat,        Log!$A:$A,
    _xlpm.key,        Log!$B:$B,
    _xlpm.date,       Log!$C:$C,
    _xlpm.cam,        Log!$D:$D,
    _xlpm.worErr,     Log!$F:$F,
    _xlpm.imgErr,     Log!$G:$G,
    _xlpm.thisDate,   $A22,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Q22" s="68">
        <f>_xlfn.LET(
    _xlpm.cat,        Log!$A:$A,
    _xlpm.key,        Log!$B:$B,
    _xlpm.date,       Log!$C:$C,
    _xlpm.cam,        Log!$D:$D,
    _xlpm.worErr,     Log!$F:$F,
    _xlpm.imgErr,     Log!$G:$G,
    _xlpm.thisDate,   $A22,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R22" s="68">
        <f>_xlfn.LET(
    _xlpm.cat,        Log!$A:$A,
    _xlpm.key,        Log!$B:$B,
    _xlpm.date,       Log!$C:$C,
    _xlpm.cam,        Log!$D:$D,
    _xlpm.worErr,     Log!$F:$F,
    _xlpm.imgErr,     Log!$G:$G,
    _xlpm.thisDate,   $A22,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S22" s="68">
        <f>_xlfn.LET(
    _xlpm.cat,        Log!$A:$A,
    _xlpm.key,        Log!$B:$B,
    _xlpm.date,       Log!$C:$C,
    _xlpm.cam,        Log!$D:$D,
    _xlpm.worErr,     Log!$F:$F,
    _xlpm.imgErr,     Log!$G:$G,
    _xlpm.thisDate,   $A22,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row>
    <row r="23" spans="1:19" x14ac:dyDescent="0.3">
      <c r="A23" s="79">
        <v>46248</v>
      </c>
      <c r="B23" s="68">
        <f>_xlfn.LET(
    _xlpm.cat,        Log!$A:$A,
    _xlpm.key,        Log!$B:$B,
    _xlpm.date,       Log!$C:$C,
    _xlpm.cam,        Log!$D:$D,
    _xlpm.worErr,     Log!$F:$F,
    _xlpm.imgErr,     Log!$G:$G,
    _xlpm.thisDate,   $A23,
    _xlpm.thisCam,    B$3,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11</v>
      </c>
      <c r="C23" s="68">
        <f>_xlfn.LET(
    _xlpm.cat,        Log!$A:$A,
    _xlpm.key,        Log!$B:$B,
    _xlpm.date,       Log!$C:$C,
    _xlpm.cam,        Log!$D:$D,
    _xlpm.worErr,     Log!$F:$F,
    _xlpm.imgErr,     Log!$G:$G,
    _xlpm.thisDate,   $A23,
    _xlpm.thisCam,    C$3,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10</v>
      </c>
      <c r="D23" s="68">
        <f>_xlfn.LET(
    _xlpm.cat,        Log!$A:$A,
    _xlpm.key,        Log!$B:$B,
    _xlpm.date,       Log!$C:$C,
    _xlpm.cam,        Log!$D:$D,
    _xlpm.worErr,     Log!$F:$F,
    _xlpm.imgErr,     Log!$G:$G,
    _xlpm.thisDate,   $A23,
    _xlpm.thisCam,    D$3,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13</v>
      </c>
      <c r="E23" s="68">
        <f>_xlfn.LET(
    _xlpm.cat,        Log!$A:$A,
    _xlpm.key,        Log!$B:$B,
    _xlpm.date,       Log!$C:$C,
    _xlpm.cam,        Log!$D:$D,
    _xlpm.worErr,     Log!$F:$F,
    _xlpm.imgErr,     Log!$G:$G,
    _xlpm.thisDate,   $A23,
    _xlpm.thisCam,    E$3,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16</v>
      </c>
      <c r="F23" s="68">
        <f>_xlfn.LET(
    _xlpm.cat,        Log!$A:$A,
    _xlpm.key,        Log!$B:$B,
    _xlpm.date,       Log!$C:$C,
    _xlpm.cam,        Log!$D:$D,
    _xlpm.worErr,     Log!$F:$F,
    _xlpm.imgErr,     Log!$G:$G,
    _xlpm.thisDate,   $A23,
    _xlpm.thisCam,    F$3,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3</v>
      </c>
      <c r="G23" s="68">
        <f>_xlfn.LET(
    _xlpm.cat,        Log!$A:$A,
    _xlpm.key,        Log!$B:$B,
    _xlpm.date,       Log!$C:$C,
    _xlpm.cam,        Log!$D:$D,
    _xlpm.worErr,     Log!$F:$F,
    _xlpm.imgErr,     Log!$G:$G,
    _xlpm.thisDate,   $A23,
    _xlpm.thisCam,    G$3,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17</v>
      </c>
      <c r="H23" s="68">
        <f>_xlfn.LET(
    _xlpm.cat,        Log!$A:$A,
    _xlpm.key,        Log!$B:$B,
    _xlpm.date,       Log!$C:$C,
    _xlpm.cam,        Log!$D:$D,
    _xlpm.worErr,     Log!$F:$F,
    _xlpm.imgErr,     Log!$G:$G,
    _xlpm.thisDate,   $A23,
    _xlpm.thisCam,    H$3,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18</v>
      </c>
      <c r="I23" s="68">
        <f>_xlfn.LET(
    _xlpm.cat,        Log!$A:$A,
    _xlpm.key,        Log!$B:$B,
    _xlpm.date,       Log!$C:$C,
    _xlpm.cam,        Log!$D:$D,
    _xlpm.worErr,     Log!$F:$F,
    _xlpm.imgErr,     Log!$G:$G,
    _xlpm.thisDate,   $A23,
    _xlpm.thisCam,    I$3,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v>
      </c>
      <c r="J23" s="68">
        <f>_xlfn.LET(
    _xlpm.cat,        Log!$A:$A,
    _xlpm.key,        Log!$B:$B,
    _xlpm.date,       Log!$C:$C,
    _xlpm.cam,        Log!$D:$D,
    _xlpm.worErr,     Log!$F:$F,
    _xlpm.imgErr,     Log!$G:$G,
    _xlpm.thisDate,   $A23,
    _xlpm.thisCam,    J$3,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15</v>
      </c>
      <c r="K23" s="68">
        <f>_xlfn.LET(
    _xlpm.cat,        Log!$A:$A,
    _xlpm.key,        Log!$B:$B,
    _xlpm.date,       Log!$C:$C,
    _xlpm.cam,        Log!$D:$D,
    _xlpm.worErr,     Log!$F:$F,
    _xlpm.imgErr,     Log!$G:$G,
    _xlpm.thisDate,   $A23,
    _xlpm.thisCam,    K$3,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5</v>
      </c>
      <c r="L23" s="68">
        <f>_xlfn.LET(
    _xlpm.cat,        Log!$A:$A,
    _xlpm.key,        Log!$B:$B,
    _xlpm.date,       Log!$C:$C,
    _xlpm.cam,        Log!$D:$D,
    _xlpm.worErr,     Log!$F:$F,
    _xlpm.imgErr,     Log!$G:$G,
    _xlpm.thisDate,   $A23,
    _xlpm.thisCam,    L$3,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6</v>
      </c>
      <c r="M23" s="68">
        <f>_xlfn.LET(
    _xlpm.cat,        Log!$A:$A,
    _xlpm.key,        Log!$B:$B,
    _xlpm.date,       Log!$C:$C,
    _xlpm.cam,        Log!$D:$D,
    _xlpm.worErr,     Log!$F:$F,
    _xlpm.imgErr,     Log!$G:$G,
    _xlpm.thisDate,   $A23,
    _xlpm.thisCam,    M$3,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4</v>
      </c>
      <c r="N23" s="68">
        <f>_xlfn.LET(
    _xlpm.cat,        Log!$A:$A,
    _xlpm.key,        Log!$B:$B,
    _xlpm.date,       Log!$C:$C,
    _xlpm.cam,        Log!$D:$D,
    _xlpm.worErr,     Log!$F:$F,
    _xlpm.imgErr,     Log!$G:$G,
    _xlpm.thisDate,   $A23,
    _xlpm.thisCam,    N$3,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2</v>
      </c>
      <c r="O23" s="68">
        <f>_xlfn.LET(
    _xlpm.cat,        Log!$A:$A,
    _xlpm.key,        Log!$B:$B,
    _xlpm.date,       Log!$C:$C,
    _xlpm.cam,        Log!$D:$D,
    _xlpm.worErr,     Log!$F:$F,
    _xlpm.imgErr,     Log!$G:$G,
    _xlpm.thisDate,   $A23,
    _xlpm.thisCam,    O$3,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7</v>
      </c>
      <c r="P23" s="68">
        <f>_xlfn.LET(
    _xlpm.cat,        Log!$A:$A,
    _xlpm.key,        Log!$B:$B,
    _xlpm.date,       Log!$C:$C,
    _xlpm.cam,        Log!$D:$D,
    _xlpm.worErr,     Log!$F:$F,
    _xlpm.imgErr,     Log!$G:$G,
    _xlpm.thisDate,   $A23,
    _xlpm.thisCam,    P$3,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14</v>
      </c>
      <c r="Q23" s="68">
        <f>_xlfn.LET(
    _xlpm.cat,        Log!$A:$A,
    _xlpm.key,        Log!$B:$B,
    _xlpm.date,       Log!$C:$C,
    _xlpm.cam,        Log!$D:$D,
    _xlpm.worErr,     Log!$F:$F,
    _xlpm.imgErr,     Log!$G:$G,
    _xlpm.thisDate,   $A23,
    _xlpm.thisCam,    Q$3,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12</v>
      </c>
      <c r="R23" s="68">
        <f>_xlfn.LET(
    _xlpm.cat,        Log!$A:$A,
    _xlpm.key,        Log!$B:$B,
    _xlpm.date,       Log!$C:$C,
    _xlpm.cam,        Log!$D:$D,
    _xlpm.worErr,     Log!$F:$F,
    _xlpm.imgErr,     Log!$G:$G,
    _xlpm.thisDate,   $A23,
    _xlpm.thisCam,    R$3,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8</v>
      </c>
      <c r="S23" s="68">
        <f>_xlfn.LET(
    _xlpm.cat,        Log!$A:$A,
    _xlpm.key,        Log!$B:$B,
    _xlpm.date,       Log!$C:$C,
    _xlpm.cam,        Log!$D:$D,
    _xlpm.worErr,     Log!$F:$F,
    _xlpm.imgErr,     Log!$G:$G,
    _xlpm.thisDate,   $A23,
    _xlpm.thisCam,    S$3,
    _xlpm.chosenErr,  IF($U$4="World Error", _xlpm.worErr, _xlpm.imgErr),
    _xlpm.myErr,      IFERROR(
                    AVERAGEIFS(_xlpm.chosenErr, _xlpm.date, _xlpm.thisDate, _xlpm.key, "n/a", _xlpm.cat, "Daily", _xlpm.cam, _xlpm.thisCam),
                    ""
                ),
    _xlpm.better,     COUNTIFS(_xlpm.date, _xlpm.thisDate, _xlpm.key, "n/a", _xlpm.cat, "Daily", _xlpm.chosenErr, "&lt;" &amp; _xlpm.myErr),
    _xlpm.total,      COUNTIFS(_xlpm.date, _xlpm.thisDate, _xlpm.key, "n/a", _xlpm.cat, "Daily"),
    IF(_xlpm.myErr = "", NA(), (_xlpm.better + 1))
)</f>
        <v>9</v>
      </c>
    </row>
    <row r="24" spans="1:19" x14ac:dyDescent="0.3">
      <c r="A24" s="79">
        <v>46251</v>
      </c>
      <c r="B24" s="68"/>
      <c r="C24" s="68"/>
      <c r="D24" s="68"/>
      <c r="E24" s="68"/>
      <c r="F24" s="68"/>
      <c r="G24" s="68"/>
      <c r="H24" s="68"/>
      <c r="I24" s="68"/>
      <c r="J24" s="68"/>
      <c r="K24" s="68"/>
      <c r="L24" s="68"/>
      <c r="M24" s="68"/>
      <c r="N24" s="68"/>
      <c r="O24" s="68"/>
      <c r="P24" s="68"/>
      <c r="Q24" s="68"/>
      <c r="R24" s="68"/>
      <c r="S24" s="68"/>
    </row>
    <row r="25" spans="1:19" x14ac:dyDescent="0.3">
      <c r="A25" s="79">
        <v>46252</v>
      </c>
      <c r="B25" s="68"/>
      <c r="C25" s="68"/>
      <c r="D25" s="68"/>
      <c r="E25" s="68"/>
      <c r="F25" s="68"/>
      <c r="G25" s="68"/>
      <c r="H25" s="68"/>
      <c r="I25" s="68"/>
      <c r="J25" s="68"/>
      <c r="K25" s="68"/>
      <c r="L25" s="68"/>
      <c r="M25" s="68"/>
      <c r="N25" s="68"/>
      <c r="O25" s="68"/>
      <c r="P25" s="68"/>
      <c r="Q25" s="68"/>
      <c r="R25" s="68"/>
      <c r="S25" s="68"/>
    </row>
    <row r="26" spans="1:19" x14ac:dyDescent="0.3">
      <c r="A26" s="79">
        <v>46253</v>
      </c>
      <c r="B26" s="68"/>
      <c r="C26" s="68"/>
      <c r="D26" s="68"/>
      <c r="E26" s="68"/>
      <c r="F26" s="68"/>
      <c r="G26" s="68"/>
      <c r="H26" s="68"/>
      <c r="I26" s="68"/>
      <c r="J26" s="68"/>
      <c r="K26" s="68"/>
      <c r="L26" s="68"/>
      <c r="M26" s="68"/>
      <c r="N26" s="68"/>
      <c r="O26" s="68"/>
      <c r="P26" s="68"/>
      <c r="Q26" s="68"/>
      <c r="R26" s="68"/>
      <c r="S26" s="68"/>
    </row>
    <row r="27" spans="1:19" x14ac:dyDescent="0.3">
      <c r="A27" s="79">
        <v>46254</v>
      </c>
      <c r="B27" s="68"/>
      <c r="C27" s="68"/>
      <c r="D27" s="68"/>
      <c r="E27" s="68"/>
      <c r="F27" s="68"/>
      <c r="G27" s="68"/>
      <c r="H27" s="68"/>
      <c r="I27" s="68"/>
      <c r="J27" s="68"/>
      <c r="K27" s="68"/>
      <c r="L27" s="68"/>
      <c r="M27" s="68"/>
      <c r="N27" s="68"/>
      <c r="O27" s="68"/>
      <c r="P27" s="68"/>
      <c r="Q27" s="68"/>
      <c r="R27" s="68"/>
      <c r="S27" s="68"/>
    </row>
    <row r="28" spans="1:19" x14ac:dyDescent="0.3">
      <c r="A28" s="79">
        <v>46255</v>
      </c>
      <c r="B28" s="68"/>
      <c r="C28" s="68"/>
      <c r="D28" s="68"/>
      <c r="E28" s="68"/>
      <c r="F28" s="68"/>
      <c r="G28" s="68"/>
      <c r="H28" s="68"/>
      <c r="I28" s="68"/>
      <c r="J28" s="68"/>
      <c r="K28" s="68"/>
      <c r="L28" s="68"/>
      <c r="M28" s="68"/>
      <c r="N28" s="68"/>
      <c r="O28" s="68"/>
      <c r="P28" s="68"/>
      <c r="Q28" s="68"/>
      <c r="R28" s="68"/>
      <c r="S28" s="68"/>
    </row>
    <row r="29" spans="1:19" x14ac:dyDescent="0.3">
      <c r="B29" s="68"/>
      <c r="C29" s="68"/>
      <c r="D29" s="68"/>
      <c r="E29" s="68"/>
      <c r="F29" s="68"/>
      <c r="G29" s="68"/>
      <c r="H29" s="68"/>
      <c r="I29" s="68"/>
      <c r="J29" s="68"/>
      <c r="K29" s="68"/>
      <c r="L29" s="68"/>
      <c r="M29" s="68"/>
      <c r="N29" s="68"/>
      <c r="O29" s="68"/>
      <c r="P29" s="68"/>
      <c r="Q29" s="68"/>
      <c r="R29" s="68"/>
      <c r="S29" s="68"/>
    </row>
    <row r="30" spans="1:19" x14ac:dyDescent="0.3">
      <c r="B30" s="68"/>
      <c r="C30" s="68"/>
      <c r="D30" s="68"/>
      <c r="E30" s="68"/>
      <c r="F30" s="68"/>
      <c r="G30" s="68"/>
      <c r="H30" s="68"/>
      <c r="I30" s="68"/>
      <c r="J30" s="68"/>
      <c r="K30" s="68"/>
      <c r="L30" s="68"/>
      <c r="M30" s="68"/>
      <c r="N30" s="68"/>
      <c r="O30" s="68"/>
      <c r="P30" s="68"/>
      <c r="Q30" s="68"/>
      <c r="R30" s="68"/>
      <c r="S30" s="68"/>
    </row>
    <row r="31" spans="1:19" x14ac:dyDescent="0.3">
      <c r="B31" s="68"/>
      <c r="C31" s="68"/>
      <c r="D31" s="68"/>
      <c r="E31" s="68"/>
      <c r="F31" s="68"/>
      <c r="G31" s="68"/>
      <c r="H31" s="68"/>
      <c r="I31" s="68"/>
      <c r="J31" s="68"/>
      <c r="K31" s="68"/>
      <c r="L31" s="68"/>
      <c r="M31" s="68"/>
      <c r="N31" s="68"/>
      <c r="O31" s="68"/>
      <c r="P31" s="68"/>
      <c r="Q31" s="68"/>
      <c r="R31" s="68"/>
      <c r="S31" s="68"/>
    </row>
    <row r="32" spans="1:19" x14ac:dyDescent="0.3">
      <c r="B32" s="68"/>
      <c r="C32" s="68"/>
      <c r="D32" s="68"/>
      <c r="E32" s="68"/>
      <c r="F32" s="68"/>
      <c r="G32" s="68"/>
      <c r="H32" s="68"/>
      <c r="I32" s="68"/>
      <c r="J32" s="68"/>
      <c r="K32" s="68"/>
      <c r="L32" s="68"/>
      <c r="M32" s="68"/>
      <c r="N32" s="68"/>
      <c r="O32" s="68"/>
      <c r="P32" s="68"/>
      <c r="Q32" s="68"/>
      <c r="R32" s="68"/>
      <c r="S32" s="68"/>
    </row>
    <row r="33" spans="2:19" x14ac:dyDescent="0.3">
      <c r="B33" s="68"/>
      <c r="C33" s="68"/>
      <c r="D33" s="68"/>
      <c r="E33" s="68"/>
      <c r="F33" s="68"/>
      <c r="G33" s="68"/>
      <c r="H33" s="68"/>
      <c r="I33" s="68"/>
      <c r="J33" s="68"/>
      <c r="K33" s="68"/>
      <c r="L33" s="68"/>
      <c r="M33" s="68"/>
      <c r="N33" s="68"/>
      <c r="O33" s="68"/>
      <c r="P33" s="68"/>
      <c r="Q33" s="68"/>
      <c r="R33" s="68"/>
      <c r="S33" s="68"/>
    </row>
    <row r="34" spans="2:19" x14ac:dyDescent="0.3">
      <c r="B34" s="68"/>
      <c r="C34" s="68"/>
      <c r="D34" s="68"/>
      <c r="E34" s="68"/>
      <c r="F34" s="68"/>
      <c r="G34" s="68"/>
      <c r="H34" s="68"/>
      <c r="I34" s="68"/>
      <c r="J34" s="68"/>
      <c r="K34" s="68"/>
      <c r="L34" s="68"/>
      <c r="M34" s="68"/>
      <c r="N34" s="68"/>
      <c r="O34" s="68"/>
      <c r="P34" s="68"/>
      <c r="Q34" s="68"/>
      <c r="R34" s="68"/>
      <c r="S34" s="68"/>
    </row>
    <row r="35" spans="2:19" x14ac:dyDescent="0.3">
      <c r="B35" s="68"/>
      <c r="C35" s="68"/>
      <c r="D35" s="68"/>
      <c r="E35" s="68"/>
      <c r="F35" s="68"/>
      <c r="G35" s="68"/>
      <c r="H35" s="68"/>
      <c r="I35" s="68"/>
      <c r="J35" s="68"/>
      <c r="K35" s="68"/>
      <c r="L35" s="68"/>
      <c r="M35" s="68"/>
      <c r="N35" s="68"/>
      <c r="O35" s="68"/>
      <c r="P35" s="68"/>
      <c r="Q35" s="68"/>
      <c r="R35" s="68"/>
      <c r="S35" s="68"/>
    </row>
    <row r="36" spans="2:19" x14ac:dyDescent="0.3">
      <c r="B36" s="68"/>
      <c r="C36" s="68"/>
      <c r="D36" s="68"/>
      <c r="E36" s="68"/>
      <c r="F36" s="68"/>
      <c r="G36" s="68"/>
      <c r="H36" s="68"/>
      <c r="I36" s="68"/>
      <c r="J36" s="68"/>
      <c r="K36" s="68"/>
      <c r="L36" s="68"/>
      <c r="M36" s="68"/>
      <c r="N36" s="68"/>
      <c r="O36" s="68"/>
      <c r="P36" s="68"/>
      <c r="Q36" s="68"/>
      <c r="R36" s="68"/>
      <c r="S36" s="68"/>
    </row>
    <row r="37" spans="2:19" x14ac:dyDescent="0.3">
      <c r="B37" s="68"/>
      <c r="C37" s="68"/>
      <c r="D37" s="68"/>
      <c r="E37" s="68"/>
      <c r="F37" s="68"/>
      <c r="G37" s="68"/>
      <c r="H37" s="68"/>
      <c r="I37" s="68"/>
      <c r="J37" s="68"/>
      <c r="K37" s="68"/>
      <c r="L37" s="68"/>
      <c r="M37" s="68"/>
      <c r="N37" s="68"/>
      <c r="O37" s="68"/>
      <c r="P37" s="68"/>
      <c r="Q37" s="68"/>
      <c r="R37" s="68"/>
      <c r="S37" s="68"/>
    </row>
    <row r="38" spans="2:19" x14ac:dyDescent="0.3">
      <c r="B38" s="68"/>
      <c r="C38" s="68"/>
      <c r="D38" s="68"/>
      <c r="E38" s="68"/>
      <c r="F38" s="68"/>
      <c r="G38" s="68"/>
      <c r="H38" s="68"/>
      <c r="I38" s="68"/>
      <c r="J38" s="68"/>
      <c r="K38" s="68"/>
      <c r="L38" s="68"/>
      <c r="M38" s="68"/>
      <c r="N38" s="68"/>
      <c r="O38" s="68"/>
      <c r="P38" s="68"/>
      <c r="Q38" s="68"/>
      <c r="R38" s="68"/>
      <c r="S38" s="68"/>
    </row>
    <row r="39" spans="2:19" x14ac:dyDescent="0.3">
      <c r="B39" s="68"/>
      <c r="C39" s="68"/>
      <c r="D39" s="68"/>
      <c r="E39" s="68"/>
      <c r="F39" s="68"/>
      <c r="G39" s="68"/>
      <c r="H39" s="68"/>
      <c r="I39" s="68"/>
      <c r="J39" s="68"/>
      <c r="K39" s="68"/>
      <c r="L39" s="68"/>
      <c r="M39" s="68"/>
      <c r="N39" s="68"/>
      <c r="O39" s="68"/>
      <c r="P39" s="68"/>
      <c r="Q39" s="68"/>
      <c r="R39" s="68"/>
      <c r="S39" s="68"/>
    </row>
    <row r="40" spans="2:19" x14ac:dyDescent="0.3">
      <c r="B40" s="68"/>
      <c r="C40" s="68"/>
      <c r="D40" s="68"/>
      <c r="E40" s="68"/>
      <c r="F40" s="68"/>
      <c r="G40" s="68"/>
      <c r="H40" s="68"/>
      <c r="I40" s="68"/>
      <c r="J40" s="68"/>
      <c r="K40" s="68"/>
      <c r="L40" s="68"/>
      <c r="M40" s="68"/>
      <c r="N40" s="68"/>
      <c r="O40" s="68"/>
      <c r="P40" s="68"/>
      <c r="Q40" s="68"/>
      <c r="R40" s="68"/>
      <c r="S40" s="68"/>
    </row>
    <row r="41" spans="2:19" x14ac:dyDescent="0.3">
      <c r="B41" s="68"/>
      <c r="C41" s="68"/>
      <c r="D41" s="68"/>
      <c r="E41" s="68"/>
      <c r="F41" s="68"/>
      <c r="G41" s="68"/>
      <c r="H41" s="68"/>
      <c r="I41" s="68"/>
      <c r="J41" s="68"/>
      <c r="K41" s="68"/>
      <c r="L41" s="68"/>
      <c r="M41" s="68"/>
      <c r="N41" s="68"/>
      <c r="O41" s="68"/>
      <c r="P41" s="68"/>
      <c r="Q41" s="68"/>
      <c r="R41" s="68"/>
      <c r="S41" s="68"/>
    </row>
    <row r="42" spans="2:19" x14ac:dyDescent="0.3">
      <c r="B42" s="68"/>
      <c r="C42" s="68"/>
      <c r="D42" s="68"/>
      <c r="E42" s="68"/>
      <c r="F42" s="68"/>
      <c r="G42" s="68"/>
      <c r="H42" s="68"/>
      <c r="I42" s="68"/>
      <c r="J42" s="68"/>
      <c r="K42" s="68"/>
      <c r="L42" s="68"/>
      <c r="M42" s="68"/>
      <c r="N42" s="68"/>
      <c r="O42" s="68"/>
      <c r="P42" s="68"/>
      <c r="Q42" s="68"/>
      <c r="R42" s="68"/>
      <c r="S42" s="68"/>
    </row>
    <row r="43" spans="2:19" x14ac:dyDescent="0.3">
      <c r="B43" s="68"/>
      <c r="C43" s="68"/>
      <c r="D43" s="68"/>
      <c r="E43" s="68"/>
      <c r="F43" s="68"/>
      <c r="G43" s="68"/>
      <c r="H43" s="68"/>
      <c r="I43" s="68"/>
      <c r="J43" s="68"/>
      <c r="K43" s="68"/>
      <c r="L43" s="68"/>
      <c r="M43" s="68"/>
      <c r="N43" s="68"/>
      <c r="O43" s="68"/>
      <c r="P43" s="68"/>
      <c r="Q43" s="68"/>
      <c r="R43" s="68"/>
      <c r="S43" s="68"/>
    </row>
    <row r="44" spans="2:19" x14ac:dyDescent="0.3">
      <c r="B44" s="68"/>
      <c r="C44" s="68"/>
      <c r="D44" s="68"/>
      <c r="E44" s="68"/>
      <c r="F44" s="68"/>
      <c r="G44" s="68"/>
      <c r="H44" s="68"/>
      <c r="I44" s="68"/>
      <c r="J44" s="68"/>
      <c r="K44" s="68"/>
      <c r="L44" s="68"/>
      <c r="M44" s="68"/>
      <c r="N44" s="68"/>
      <c r="O44" s="68"/>
      <c r="P44" s="68"/>
      <c r="Q44" s="68"/>
      <c r="R44" s="68"/>
      <c r="S44" s="68"/>
    </row>
    <row r="45" spans="2:19" x14ac:dyDescent="0.3">
      <c r="B45" s="68"/>
      <c r="C45" s="68"/>
      <c r="D45" s="68"/>
      <c r="E45" s="68"/>
      <c r="F45" s="68"/>
      <c r="G45" s="68"/>
      <c r="H45" s="68"/>
      <c r="I45" s="68"/>
      <c r="J45" s="68"/>
      <c r="K45" s="68"/>
      <c r="L45" s="68"/>
      <c r="M45" s="68"/>
      <c r="N45" s="68"/>
      <c r="O45" s="68"/>
      <c r="P45" s="68"/>
      <c r="Q45" s="68"/>
      <c r="R45" s="68"/>
      <c r="S45" s="68"/>
    </row>
    <row r="46" spans="2:19" x14ac:dyDescent="0.3">
      <c r="B46" s="68"/>
      <c r="C46" s="68"/>
      <c r="D46" s="68"/>
      <c r="E46" s="68"/>
      <c r="F46" s="68"/>
      <c r="G46" s="68"/>
      <c r="H46" s="68"/>
      <c r="I46" s="68"/>
      <c r="J46" s="68"/>
      <c r="K46" s="68"/>
      <c r="L46" s="68"/>
      <c r="M46" s="68"/>
      <c r="N46" s="68"/>
      <c r="O46" s="68"/>
      <c r="P46" s="68"/>
      <c r="Q46" s="68"/>
      <c r="R46" s="68"/>
      <c r="S46" s="68"/>
    </row>
    <row r="47" spans="2:19" x14ac:dyDescent="0.3">
      <c r="B47" s="68"/>
      <c r="C47" s="68"/>
      <c r="D47" s="68"/>
      <c r="E47" s="68"/>
      <c r="F47" s="68"/>
      <c r="G47" s="68"/>
      <c r="H47" s="68"/>
      <c r="I47" s="68"/>
      <c r="J47" s="68"/>
      <c r="K47" s="68"/>
      <c r="L47" s="68"/>
      <c r="M47" s="68"/>
      <c r="N47" s="68"/>
      <c r="O47" s="68"/>
      <c r="P47" s="68"/>
      <c r="Q47" s="68"/>
      <c r="R47" s="68"/>
      <c r="S47" s="68"/>
    </row>
    <row r="48" spans="2:19" x14ac:dyDescent="0.3">
      <c r="B48" s="68"/>
      <c r="C48" s="68"/>
      <c r="D48" s="68"/>
      <c r="E48" s="68"/>
      <c r="F48" s="68"/>
      <c r="G48" s="68"/>
      <c r="H48" s="68"/>
      <c r="I48" s="68"/>
      <c r="J48" s="68"/>
      <c r="K48" s="68"/>
      <c r="L48" s="68"/>
      <c r="M48" s="68"/>
      <c r="N48" s="68"/>
      <c r="O48" s="68"/>
      <c r="P48" s="68"/>
      <c r="Q48" s="68"/>
      <c r="R48" s="68"/>
      <c r="S48" s="68"/>
    </row>
    <row r="49" spans="2:19" x14ac:dyDescent="0.3">
      <c r="B49" s="68"/>
      <c r="C49" s="68"/>
      <c r="D49" s="68"/>
      <c r="E49" s="68"/>
      <c r="F49" s="68"/>
      <c r="G49" s="68"/>
      <c r="H49" s="68"/>
      <c r="I49" s="68"/>
      <c r="J49" s="68"/>
      <c r="K49" s="68"/>
      <c r="L49" s="68"/>
      <c r="M49" s="68"/>
      <c r="N49" s="68"/>
      <c r="O49" s="68"/>
      <c r="P49" s="68"/>
      <c r="Q49" s="68"/>
      <c r="R49" s="68"/>
      <c r="S49" s="68"/>
    </row>
    <row r="50" spans="2:19" x14ac:dyDescent="0.3">
      <c r="B50" s="68"/>
      <c r="C50" s="68"/>
      <c r="D50" s="68"/>
      <c r="E50" s="68"/>
      <c r="F50" s="68"/>
      <c r="G50" s="68"/>
      <c r="H50" s="68"/>
      <c r="I50" s="68"/>
      <c r="J50" s="68"/>
      <c r="K50" s="68"/>
      <c r="L50" s="68"/>
      <c r="M50" s="68"/>
      <c r="N50" s="68"/>
      <c r="O50" s="68"/>
      <c r="P50" s="68"/>
      <c r="Q50" s="68"/>
      <c r="R50" s="68"/>
      <c r="S50" s="68"/>
    </row>
    <row r="51" spans="2:19" x14ac:dyDescent="0.3">
      <c r="B51" s="68"/>
      <c r="C51" s="68"/>
      <c r="D51" s="68"/>
      <c r="E51" s="68"/>
      <c r="F51" s="68"/>
      <c r="G51" s="68"/>
      <c r="H51" s="68"/>
      <c r="I51" s="68"/>
      <c r="J51" s="68"/>
      <c r="K51" s="68"/>
      <c r="L51" s="68"/>
      <c r="M51" s="68"/>
      <c r="N51" s="68"/>
      <c r="O51" s="68"/>
      <c r="P51" s="68"/>
      <c r="Q51" s="68"/>
      <c r="R51" s="68"/>
      <c r="S51" s="68"/>
    </row>
    <row r="52" spans="2:19" x14ac:dyDescent="0.3">
      <c r="B52" s="68"/>
      <c r="C52" s="68"/>
      <c r="D52" s="68"/>
      <c r="E52" s="68"/>
      <c r="F52" s="68"/>
      <c r="G52" s="68"/>
      <c r="H52" s="68"/>
      <c r="I52" s="68"/>
      <c r="J52" s="68"/>
      <c r="K52" s="68"/>
      <c r="L52" s="68"/>
      <c r="M52" s="68"/>
      <c r="N52" s="68"/>
      <c r="O52" s="68"/>
      <c r="P52" s="68"/>
      <c r="Q52" s="68"/>
      <c r="R52" s="68"/>
      <c r="S52" s="68"/>
    </row>
    <row r="53" spans="2:19" x14ac:dyDescent="0.3">
      <c r="B53" s="68"/>
      <c r="C53" s="68"/>
      <c r="D53" s="68"/>
      <c r="E53" s="68"/>
      <c r="F53" s="68"/>
      <c r="G53" s="68"/>
      <c r="H53" s="68"/>
      <c r="I53" s="68"/>
      <c r="J53" s="68"/>
      <c r="K53" s="68"/>
      <c r="L53" s="68"/>
      <c r="M53" s="68"/>
      <c r="N53" s="68"/>
      <c r="O53" s="68"/>
      <c r="P53" s="68"/>
      <c r="Q53" s="68"/>
      <c r="R53" s="68"/>
      <c r="S53" s="68"/>
    </row>
    <row r="54" spans="2:19" x14ac:dyDescent="0.3">
      <c r="B54" s="68"/>
      <c r="C54" s="68"/>
      <c r="D54" s="68"/>
      <c r="E54" s="68"/>
      <c r="F54" s="68"/>
      <c r="G54" s="68"/>
      <c r="H54" s="68"/>
      <c r="I54" s="68"/>
      <c r="J54" s="68"/>
      <c r="K54" s="68"/>
      <c r="L54" s="68"/>
      <c r="M54" s="68"/>
      <c r="N54" s="68"/>
      <c r="O54" s="68"/>
      <c r="P54" s="68"/>
      <c r="Q54" s="68"/>
      <c r="R54" s="68"/>
      <c r="S54" s="68"/>
    </row>
    <row r="55" spans="2:19" x14ac:dyDescent="0.3">
      <c r="B55" s="68"/>
      <c r="C55" s="68"/>
      <c r="D55" s="68"/>
      <c r="E55" s="68"/>
      <c r="F55" s="68"/>
      <c r="G55" s="68"/>
      <c r="H55" s="68"/>
      <c r="I55" s="68"/>
      <c r="J55" s="68"/>
      <c r="K55" s="68"/>
      <c r="L55" s="68"/>
      <c r="M55" s="68"/>
      <c r="N55" s="68"/>
      <c r="O55" s="68"/>
      <c r="P55" s="68"/>
      <c r="Q55" s="68"/>
      <c r="R55" s="68"/>
      <c r="S55" s="68"/>
    </row>
    <row r="56" spans="2:19" x14ac:dyDescent="0.3">
      <c r="B56" s="68"/>
      <c r="C56" s="68"/>
      <c r="D56" s="68"/>
      <c r="E56" s="68"/>
      <c r="F56" s="68"/>
      <c r="G56" s="68"/>
      <c r="H56" s="68"/>
      <c r="I56" s="68"/>
      <c r="J56" s="68"/>
      <c r="K56" s="68"/>
      <c r="L56" s="68"/>
      <c r="M56" s="68"/>
      <c r="N56" s="68"/>
      <c r="O56" s="68"/>
      <c r="P56" s="68"/>
      <c r="Q56" s="68"/>
      <c r="R56" s="68"/>
      <c r="S56" s="68"/>
    </row>
    <row r="57" spans="2:19" x14ac:dyDescent="0.3">
      <c r="B57" s="68"/>
      <c r="C57" s="68"/>
      <c r="D57" s="68"/>
      <c r="E57" s="68"/>
      <c r="F57" s="68"/>
      <c r="G57" s="68"/>
      <c r="H57" s="68"/>
      <c r="I57" s="68"/>
      <c r="J57" s="68"/>
      <c r="K57" s="68"/>
      <c r="L57" s="68"/>
      <c r="M57" s="68"/>
      <c r="N57" s="68"/>
      <c r="O57" s="68"/>
      <c r="P57" s="68"/>
      <c r="Q57" s="68"/>
      <c r="R57" s="68"/>
      <c r="S57" s="68"/>
    </row>
    <row r="58" spans="2:19" x14ac:dyDescent="0.3">
      <c r="B58" s="68"/>
      <c r="C58" s="68"/>
      <c r="D58" s="68"/>
      <c r="E58" s="68"/>
      <c r="F58" s="68"/>
      <c r="G58" s="68"/>
      <c r="H58" s="68"/>
      <c r="I58" s="68"/>
      <c r="J58" s="68"/>
      <c r="K58" s="68"/>
      <c r="L58" s="68"/>
      <c r="M58" s="68"/>
      <c r="N58" s="68"/>
      <c r="O58" s="68"/>
      <c r="P58" s="68"/>
      <c r="Q58" s="68"/>
      <c r="R58" s="68"/>
      <c r="S58" s="68"/>
    </row>
    <row r="59" spans="2:19" x14ac:dyDescent="0.3">
      <c r="B59" s="68"/>
      <c r="C59" s="68"/>
      <c r="D59" s="68"/>
      <c r="E59" s="68"/>
      <c r="F59" s="68"/>
      <c r="G59" s="68"/>
      <c r="H59" s="68"/>
      <c r="I59" s="68"/>
      <c r="J59" s="68"/>
      <c r="K59" s="68"/>
      <c r="L59" s="68"/>
      <c r="M59" s="68"/>
      <c r="N59" s="68"/>
      <c r="O59" s="68"/>
      <c r="P59" s="68"/>
      <c r="Q59" s="68"/>
      <c r="R59" s="68"/>
      <c r="S59" s="68"/>
    </row>
    <row r="60" spans="2:19" x14ac:dyDescent="0.3">
      <c r="B60" s="68"/>
      <c r="C60" s="68"/>
      <c r="D60" s="68"/>
      <c r="E60" s="68"/>
      <c r="F60" s="68"/>
      <c r="G60" s="68"/>
      <c r="H60" s="68"/>
      <c r="I60" s="68"/>
      <c r="J60" s="68"/>
      <c r="K60" s="68"/>
      <c r="L60" s="68"/>
      <c r="M60" s="68"/>
      <c r="N60" s="68"/>
      <c r="O60" s="68"/>
      <c r="P60" s="68"/>
      <c r="Q60" s="68"/>
      <c r="R60" s="68"/>
      <c r="S60" s="68"/>
    </row>
    <row r="61" spans="2:19" x14ac:dyDescent="0.3">
      <c r="B61" s="68"/>
      <c r="C61" s="68"/>
      <c r="D61" s="68"/>
      <c r="E61" s="68"/>
      <c r="F61" s="68"/>
      <c r="G61" s="68"/>
      <c r="H61" s="68"/>
      <c r="I61" s="68"/>
      <c r="J61" s="68"/>
      <c r="K61" s="68"/>
      <c r="L61" s="68"/>
      <c r="M61" s="68"/>
      <c r="N61" s="68"/>
      <c r="O61" s="68"/>
      <c r="P61" s="68"/>
      <c r="Q61" s="68"/>
      <c r="R61" s="68"/>
      <c r="S61" s="68"/>
    </row>
    <row r="62" spans="2:19" x14ac:dyDescent="0.3">
      <c r="B62" s="68"/>
      <c r="C62" s="68"/>
      <c r="D62" s="68"/>
      <c r="E62" s="68"/>
      <c r="F62" s="68"/>
      <c r="G62" s="68"/>
      <c r="H62" s="68"/>
      <c r="I62" s="68"/>
      <c r="J62" s="68"/>
      <c r="K62" s="68"/>
      <c r="L62" s="68"/>
      <c r="M62" s="68"/>
      <c r="N62" s="68"/>
      <c r="O62" s="68"/>
      <c r="P62" s="68"/>
      <c r="Q62" s="68"/>
      <c r="R62" s="68"/>
      <c r="S62" s="68"/>
    </row>
    <row r="63" spans="2:19" x14ac:dyDescent="0.3">
      <c r="B63" s="68"/>
      <c r="C63" s="68"/>
      <c r="D63" s="68"/>
      <c r="E63" s="68"/>
      <c r="F63" s="68"/>
      <c r="G63" s="68"/>
      <c r="H63" s="68"/>
      <c r="I63" s="68"/>
      <c r="J63" s="68"/>
      <c r="K63" s="68"/>
      <c r="L63" s="68"/>
      <c r="M63" s="68"/>
      <c r="N63" s="68"/>
      <c r="O63" s="68"/>
      <c r="P63" s="68"/>
      <c r="Q63" s="68"/>
      <c r="R63" s="68"/>
      <c r="S63" s="68"/>
    </row>
    <row r="64" spans="2:19" x14ac:dyDescent="0.3">
      <c r="B64" s="68"/>
      <c r="C64" s="68"/>
      <c r="D64" s="68"/>
      <c r="E64" s="68"/>
      <c r="F64" s="68"/>
      <c r="G64" s="68"/>
      <c r="H64" s="68"/>
      <c r="I64" s="68"/>
      <c r="J64" s="68"/>
      <c r="K64" s="68"/>
      <c r="L64" s="68"/>
      <c r="M64" s="68"/>
      <c r="N64" s="68"/>
      <c r="O64" s="68"/>
      <c r="P64" s="68"/>
      <c r="Q64" s="68"/>
      <c r="R64" s="68"/>
      <c r="S64" s="68"/>
    </row>
    <row r="65" spans="2:19" x14ac:dyDescent="0.3">
      <c r="B65" s="68"/>
      <c r="C65" s="68"/>
      <c r="D65" s="68"/>
      <c r="E65" s="68"/>
      <c r="F65" s="68"/>
      <c r="G65" s="68"/>
      <c r="H65" s="68"/>
      <c r="I65" s="68"/>
      <c r="J65" s="68"/>
      <c r="K65" s="68"/>
      <c r="L65" s="68"/>
      <c r="M65" s="68"/>
      <c r="N65" s="68"/>
      <c r="O65" s="68"/>
      <c r="P65" s="68"/>
      <c r="Q65" s="68"/>
      <c r="R65" s="68"/>
      <c r="S65" s="68"/>
    </row>
    <row r="66" spans="2:19" x14ac:dyDescent="0.3">
      <c r="B66" s="68"/>
      <c r="C66" s="68"/>
      <c r="D66" s="68"/>
      <c r="E66" s="68"/>
      <c r="F66" s="68"/>
      <c r="G66" s="68"/>
      <c r="H66" s="68"/>
      <c r="I66" s="68"/>
      <c r="J66" s="68"/>
      <c r="K66" s="68"/>
      <c r="L66" s="68"/>
      <c r="M66" s="68"/>
      <c r="N66" s="68"/>
      <c r="O66" s="68"/>
      <c r="P66" s="68"/>
      <c r="Q66" s="68"/>
      <c r="R66" s="68"/>
      <c r="S66" s="68"/>
    </row>
    <row r="67" spans="2:19" x14ac:dyDescent="0.3">
      <c r="B67" s="68"/>
      <c r="C67" s="68"/>
      <c r="D67" s="68"/>
      <c r="E67" s="68"/>
      <c r="F67" s="68"/>
      <c r="G67" s="68"/>
      <c r="H67" s="68"/>
      <c r="I67" s="68"/>
      <c r="J67" s="68"/>
      <c r="K67" s="68"/>
      <c r="L67" s="68"/>
      <c r="M67" s="68"/>
      <c r="N67" s="68"/>
      <c r="O67" s="68"/>
      <c r="P67" s="68"/>
      <c r="Q67" s="68"/>
      <c r="R67" s="68"/>
      <c r="S67" s="68"/>
    </row>
    <row r="68" spans="2:19" x14ac:dyDescent="0.3">
      <c r="B68" s="68"/>
      <c r="C68" s="68"/>
      <c r="D68" s="68"/>
      <c r="E68" s="68"/>
      <c r="F68" s="68"/>
      <c r="G68" s="68"/>
      <c r="H68" s="68"/>
      <c r="I68" s="68"/>
      <c r="J68" s="68"/>
      <c r="K68" s="68"/>
      <c r="L68" s="68"/>
      <c r="M68" s="68"/>
      <c r="N68" s="68"/>
      <c r="O68" s="68"/>
      <c r="P68" s="68"/>
      <c r="Q68" s="68"/>
      <c r="R68" s="68"/>
      <c r="S68" s="68"/>
    </row>
    <row r="69" spans="2:19" x14ac:dyDescent="0.3">
      <c r="B69" s="68"/>
      <c r="C69" s="68"/>
      <c r="D69" s="68"/>
      <c r="E69" s="68"/>
      <c r="F69" s="68"/>
      <c r="G69" s="68"/>
      <c r="H69" s="68"/>
      <c r="I69" s="68"/>
      <c r="J69" s="68"/>
      <c r="K69" s="68"/>
      <c r="L69" s="68"/>
      <c r="M69" s="68"/>
      <c r="N69" s="68"/>
      <c r="O69" s="68"/>
      <c r="P69" s="68"/>
      <c r="Q69" s="68"/>
      <c r="R69" s="68"/>
      <c r="S69" s="68"/>
    </row>
    <row r="70" spans="2:19" x14ac:dyDescent="0.3">
      <c r="B70" s="68"/>
      <c r="C70" s="68"/>
      <c r="D70" s="68"/>
      <c r="E70" s="68"/>
      <c r="F70" s="68"/>
      <c r="G70" s="68"/>
      <c r="H70" s="68"/>
      <c r="I70" s="68"/>
      <c r="J70" s="68"/>
      <c r="K70" s="68"/>
      <c r="L70" s="68"/>
      <c r="M70" s="68"/>
      <c r="N70" s="68"/>
      <c r="O70" s="68"/>
      <c r="P70" s="68"/>
      <c r="Q70" s="68"/>
      <c r="R70" s="68"/>
      <c r="S70" s="68"/>
    </row>
    <row r="71" spans="2:19" x14ac:dyDescent="0.3">
      <c r="B71" s="68"/>
      <c r="C71" s="68"/>
      <c r="D71" s="68"/>
      <c r="E71" s="68"/>
      <c r="F71" s="68"/>
      <c r="G71" s="68"/>
      <c r="H71" s="68"/>
      <c r="I71" s="68"/>
      <c r="J71" s="68"/>
      <c r="K71" s="68"/>
      <c r="L71" s="68"/>
      <c r="M71" s="68"/>
      <c r="N71" s="68"/>
      <c r="O71" s="68"/>
      <c r="P71" s="68"/>
      <c r="Q71" s="68"/>
      <c r="R71" s="68"/>
      <c r="S71" s="68"/>
    </row>
    <row r="72" spans="2:19" x14ac:dyDescent="0.3">
      <c r="B72" s="68"/>
      <c r="C72" s="68"/>
      <c r="D72" s="68"/>
      <c r="E72" s="68"/>
      <c r="F72" s="68"/>
      <c r="G72" s="68"/>
      <c r="H72" s="68"/>
      <c r="I72" s="68"/>
      <c r="J72" s="68"/>
      <c r="K72" s="68"/>
      <c r="L72" s="68"/>
      <c r="M72" s="68"/>
      <c r="N72" s="68"/>
      <c r="O72" s="68"/>
      <c r="P72" s="68"/>
      <c r="Q72" s="68"/>
      <c r="R72" s="68"/>
      <c r="S72" s="68"/>
    </row>
    <row r="73" spans="2:19" x14ac:dyDescent="0.3">
      <c r="B73" s="68"/>
      <c r="C73" s="68"/>
      <c r="D73" s="68"/>
      <c r="E73" s="68"/>
      <c r="F73" s="68"/>
      <c r="G73" s="68"/>
      <c r="H73" s="68"/>
      <c r="I73" s="68"/>
      <c r="J73" s="68"/>
      <c r="K73" s="68"/>
      <c r="L73" s="68"/>
      <c r="M73" s="68"/>
      <c r="N73" s="68"/>
      <c r="O73" s="68"/>
      <c r="P73" s="68"/>
      <c r="Q73" s="68"/>
      <c r="R73" s="68"/>
      <c r="S73" s="68"/>
    </row>
    <row r="74" spans="2:19" x14ac:dyDescent="0.3">
      <c r="B74" s="68"/>
      <c r="C74" s="68"/>
      <c r="D74" s="68"/>
      <c r="E74" s="68"/>
      <c r="F74" s="68"/>
      <c r="G74" s="68"/>
      <c r="H74" s="68"/>
      <c r="I74" s="68"/>
      <c r="J74" s="68"/>
      <c r="K74" s="68"/>
      <c r="L74" s="68"/>
      <c r="M74" s="68"/>
      <c r="N74" s="68"/>
      <c r="O74" s="68"/>
      <c r="P74" s="68"/>
      <c r="Q74" s="68"/>
      <c r="R74" s="68"/>
      <c r="S74" s="68"/>
    </row>
    <row r="75" spans="2:19" x14ac:dyDescent="0.3">
      <c r="B75" s="68"/>
      <c r="C75" s="68"/>
      <c r="D75" s="68"/>
      <c r="E75" s="68"/>
      <c r="F75" s="68"/>
      <c r="G75" s="68"/>
      <c r="H75" s="68"/>
      <c r="I75" s="68"/>
      <c r="J75" s="68"/>
      <c r="K75" s="68"/>
      <c r="L75" s="68"/>
      <c r="M75" s="68"/>
      <c r="N75" s="68"/>
      <c r="O75" s="68"/>
      <c r="P75" s="68"/>
      <c r="Q75" s="68"/>
      <c r="R75" s="68"/>
      <c r="S75" s="68"/>
    </row>
    <row r="76" spans="2:19" x14ac:dyDescent="0.3">
      <c r="B76" s="68"/>
      <c r="C76" s="68"/>
      <c r="D76" s="68"/>
      <c r="E76" s="68"/>
      <c r="F76" s="68"/>
      <c r="G76" s="68"/>
      <c r="H76" s="68"/>
      <c r="I76" s="68"/>
      <c r="J76" s="68"/>
      <c r="K76" s="68"/>
      <c r="L76" s="68"/>
      <c r="M76" s="68"/>
      <c r="N76" s="68"/>
      <c r="O76" s="68"/>
      <c r="P76" s="68"/>
      <c r="Q76" s="68"/>
      <c r="R76" s="68"/>
      <c r="S76" s="68"/>
    </row>
    <row r="77" spans="2:19" x14ac:dyDescent="0.3">
      <c r="B77" s="68"/>
      <c r="C77" s="68"/>
      <c r="D77" s="68"/>
      <c r="E77" s="68"/>
      <c r="F77" s="68"/>
      <c r="G77" s="68"/>
      <c r="H77" s="68"/>
      <c r="I77" s="68"/>
      <c r="J77" s="68"/>
      <c r="K77" s="68"/>
      <c r="L77" s="68"/>
      <c r="M77" s="68"/>
      <c r="N77" s="68"/>
      <c r="O77" s="68"/>
      <c r="P77" s="68"/>
      <c r="Q77" s="68"/>
      <c r="R77" s="68"/>
      <c r="S77" s="68"/>
    </row>
    <row r="78" spans="2:19" x14ac:dyDescent="0.3">
      <c r="B78" s="68"/>
      <c r="C78" s="68"/>
      <c r="D78" s="68"/>
      <c r="E78" s="68"/>
      <c r="F78" s="68"/>
      <c r="G78" s="68"/>
      <c r="H78" s="68"/>
      <c r="I78" s="68"/>
      <c r="J78" s="68"/>
      <c r="K78" s="68"/>
      <c r="L78" s="68"/>
      <c r="M78" s="68"/>
      <c r="N78" s="68"/>
      <c r="O78" s="68"/>
      <c r="P78" s="68"/>
      <c r="Q78" s="68"/>
      <c r="R78" s="68"/>
      <c r="S78" s="68"/>
    </row>
    <row r="79" spans="2:19" x14ac:dyDescent="0.3">
      <c r="B79" s="68"/>
      <c r="C79" s="68"/>
      <c r="D79" s="68"/>
      <c r="E79" s="68"/>
      <c r="F79" s="68"/>
      <c r="G79" s="68"/>
      <c r="H79" s="68"/>
      <c r="I79" s="68"/>
      <c r="J79" s="68"/>
      <c r="K79" s="68"/>
      <c r="L79" s="68"/>
      <c r="M79" s="68"/>
      <c r="N79" s="68"/>
      <c r="O79" s="68"/>
      <c r="P79" s="68"/>
      <c r="Q79" s="68"/>
      <c r="R79" s="68"/>
      <c r="S79" s="68"/>
    </row>
    <row r="80" spans="2:19" x14ac:dyDescent="0.3">
      <c r="B80" s="68"/>
      <c r="C80" s="68"/>
      <c r="D80" s="68"/>
      <c r="E80" s="68"/>
      <c r="F80" s="68"/>
      <c r="G80" s="68"/>
      <c r="H80" s="68"/>
      <c r="I80" s="68"/>
      <c r="J80" s="68"/>
      <c r="K80" s="68"/>
      <c r="L80" s="68"/>
      <c r="M80" s="68"/>
      <c r="N80" s="68"/>
      <c r="O80" s="68"/>
      <c r="P80" s="68"/>
      <c r="Q80" s="68"/>
      <c r="R80" s="68"/>
      <c r="S80" s="68"/>
    </row>
    <row r="81" spans="2:19" x14ac:dyDescent="0.3">
      <c r="B81" s="68"/>
      <c r="C81" s="68"/>
      <c r="D81" s="68"/>
      <c r="E81" s="68"/>
      <c r="F81" s="68"/>
      <c r="G81" s="68"/>
      <c r="H81" s="68"/>
      <c r="I81" s="68"/>
      <c r="J81" s="68"/>
      <c r="K81" s="68"/>
      <c r="L81" s="68"/>
      <c r="M81" s="68"/>
      <c r="N81" s="68"/>
      <c r="O81" s="68"/>
      <c r="P81" s="68"/>
      <c r="Q81" s="68"/>
      <c r="R81" s="68"/>
      <c r="S81" s="68"/>
    </row>
    <row r="82" spans="2:19" x14ac:dyDescent="0.3">
      <c r="B82" s="68"/>
      <c r="C82" s="68"/>
      <c r="D82" s="68"/>
      <c r="E82" s="68"/>
      <c r="F82" s="68"/>
      <c r="G82" s="68"/>
      <c r="H82" s="68"/>
      <c r="I82" s="68"/>
      <c r="J82" s="68"/>
      <c r="K82" s="68"/>
      <c r="L82" s="68"/>
      <c r="M82" s="68"/>
      <c r="N82" s="68"/>
      <c r="O82" s="68"/>
      <c r="P82" s="68"/>
      <c r="Q82" s="68"/>
      <c r="R82" s="68"/>
      <c r="S82" s="68"/>
    </row>
    <row r="83" spans="2:19" x14ac:dyDescent="0.3">
      <c r="B83" s="68"/>
      <c r="C83" s="68"/>
      <c r="D83" s="68"/>
      <c r="E83" s="68"/>
      <c r="F83" s="68"/>
      <c r="G83" s="68"/>
      <c r="H83" s="68"/>
      <c r="I83" s="68"/>
      <c r="J83" s="68"/>
      <c r="K83" s="68"/>
      <c r="L83" s="68"/>
      <c r="M83" s="68"/>
      <c r="N83" s="68"/>
      <c r="O83" s="68"/>
      <c r="P83" s="68"/>
      <c r="Q83" s="68"/>
      <c r="R83" s="68"/>
      <c r="S83" s="68"/>
    </row>
    <row r="84" spans="2:19" x14ac:dyDescent="0.3">
      <c r="B84" s="68"/>
      <c r="C84" s="68"/>
      <c r="D84" s="68"/>
      <c r="E84" s="68"/>
      <c r="F84" s="68"/>
      <c r="G84" s="68"/>
      <c r="H84" s="68"/>
      <c r="I84" s="68"/>
      <c r="J84" s="68"/>
      <c r="K84" s="68"/>
      <c r="L84" s="68"/>
      <c r="M84" s="68"/>
      <c r="N84" s="68"/>
      <c r="O84" s="68"/>
      <c r="P84" s="68"/>
      <c r="Q84" s="68"/>
      <c r="R84" s="68"/>
      <c r="S84" s="68"/>
    </row>
    <row r="85" spans="2:19" x14ac:dyDescent="0.3">
      <c r="B85" s="68"/>
      <c r="C85" s="68"/>
      <c r="D85" s="68"/>
      <c r="E85" s="68"/>
      <c r="F85" s="68"/>
      <c r="G85" s="68"/>
      <c r="H85" s="68"/>
      <c r="I85" s="68"/>
      <c r="J85" s="68"/>
      <c r="K85" s="68"/>
      <c r="L85" s="68"/>
      <c r="M85" s="68"/>
      <c r="N85" s="68"/>
      <c r="O85" s="68"/>
      <c r="P85" s="68"/>
      <c r="Q85" s="68"/>
      <c r="R85" s="68"/>
      <c r="S85" s="68"/>
    </row>
    <row r="86" spans="2:19" x14ac:dyDescent="0.3">
      <c r="B86" s="68"/>
      <c r="C86" s="68"/>
      <c r="D86" s="68"/>
      <c r="E86" s="68"/>
      <c r="F86" s="68"/>
      <c r="G86" s="68"/>
      <c r="H86" s="68"/>
      <c r="I86" s="68"/>
      <c r="J86" s="68"/>
      <c r="K86" s="68"/>
      <c r="L86" s="68"/>
      <c r="M86" s="68"/>
      <c r="N86" s="68"/>
      <c r="O86" s="68"/>
      <c r="P86" s="68"/>
      <c r="Q86" s="68"/>
      <c r="R86" s="68"/>
      <c r="S86" s="68"/>
    </row>
    <row r="87" spans="2:19" x14ac:dyDescent="0.3">
      <c r="B87" s="68"/>
      <c r="C87" s="68"/>
      <c r="D87" s="68"/>
      <c r="E87" s="68"/>
      <c r="F87" s="68"/>
      <c r="G87" s="68"/>
      <c r="H87" s="68"/>
      <c r="I87" s="68"/>
      <c r="J87" s="68"/>
      <c r="K87" s="68"/>
      <c r="L87" s="68"/>
      <c r="M87" s="68"/>
      <c r="N87" s="68"/>
      <c r="O87" s="68"/>
      <c r="P87" s="68"/>
      <c r="Q87" s="68"/>
      <c r="R87" s="68"/>
      <c r="S87" s="68"/>
    </row>
    <row r="88" spans="2:19" x14ac:dyDescent="0.3">
      <c r="B88" s="68"/>
      <c r="C88" s="68"/>
      <c r="D88" s="68"/>
      <c r="E88" s="68"/>
      <c r="F88" s="68"/>
      <c r="G88" s="68"/>
      <c r="H88" s="68"/>
      <c r="I88" s="68"/>
      <c r="J88" s="68"/>
      <c r="K88" s="68"/>
      <c r="L88" s="68"/>
      <c r="M88" s="68"/>
      <c r="N88" s="68"/>
      <c r="O88" s="68"/>
      <c r="P88" s="68"/>
      <c r="Q88" s="68"/>
      <c r="R88" s="68"/>
      <c r="S88" s="68"/>
    </row>
    <row r="89" spans="2:19" x14ac:dyDescent="0.3">
      <c r="B89" s="68"/>
      <c r="C89" s="68"/>
      <c r="D89" s="68"/>
      <c r="E89" s="68"/>
      <c r="F89" s="68"/>
      <c r="G89" s="68"/>
      <c r="H89" s="68"/>
      <c r="I89" s="68"/>
      <c r="J89" s="68"/>
      <c r="K89" s="68"/>
      <c r="L89" s="68"/>
      <c r="M89" s="68"/>
      <c r="N89" s="68"/>
      <c r="O89" s="68"/>
      <c r="P89" s="68"/>
      <c r="Q89" s="68"/>
      <c r="R89" s="68"/>
      <c r="S89" s="68"/>
    </row>
    <row r="90" spans="2:19" x14ac:dyDescent="0.3">
      <c r="B90" s="68"/>
      <c r="C90" s="68"/>
      <c r="D90" s="68"/>
      <c r="E90" s="68"/>
      <c r="F90" s="68"/>
      <c r="G90" s="68"/>
      <c r="H90" s="68"/>
      <c r="I90" s="68"/>
      <c r="J90" s="68"/>
      <c r="K90" s="68"/>
      <c r="L90" s="68"/>
      <c r="M90" s="68"/>
      <c r="N90" s="68"/>
      <c r="O90" s="68"/>
      <c r="P90" s="68"/>
      <c r="Q90" s="68"/>
      <c r="R90" s="68"/>
      <c r="S90" s="68"/>
    </row>
    <row r="91" spans="2:19" x14ac:dyDescent="0.3">
      <c r="B91" s="68"/>
      <c r="C91" s="68"/>
      <c r="D91" s="68"/>
      <c r="E91" s="68"/>
      <c r="F91" s="68"/>
      <c r="G91" s="68"/>
      <c r="H91" s="68"/>
      <c r="I91" s="68"/>
      <c r="J91" s="68"/>
      <c r="K91" s="68"/>
      <c r="L91" s="68"/>
      <c r="M91" s="68"/>
      <c r="N91" s="68"/>
      <c r="O91" s="68"/>
      <c r="P91" s="68"/>
      <c r="Q91" s="68"/>
      <c r="R91" s="68"/>
      <c r="S91" s="68"/>
    </row>
    <row r="92" spans="2:19" x14ac:dyDescent="0.3">
      <c r="B92" s="68"/>
      <c r="C92" s="68"/>
      <c r="D92" s="68"/>
      <c r="E92" s="68"/>
      <c r="F92" s="68"/>
      <c r="G92" s="68"/>
      <c r="H92" s="68"/>
      <c r="I92" s="68"/>
      <c r="J92" s="68"/>
      <c r="K92" s="68"/>
      <c r="L92" s="68"/>
      <c r="M92" s="68"/>
      <c r="N92" s="68"/>
      <c r="O92" s="68"/>
      <c r="P92" s="68"/>
      <c r="Q92" s="68"/>
      <c r="R92" s="68"/>
      <c r="S92" s="68"/>
    </row>
    <row r="93" spans="2:19" x14ac:dyDescent="0.3">
      <c r="B93" s="68"/>
      <c r="C93" s="68"/>
      <c r="D93" s="68"/>
      <c r="E93" s="68"/>
      <c r="F93" s="68"/>
      <c r="G93" s="68"/>
      <c r="H93" s="68"/>
      <c r="I93" s="68"/>
      <c r="J93" s="68"/>
      <c r="K93" s="68"/>
      <c r="L93" s="68"/>
      <c r="M93" s="68"/>
      <c r="N93" s="68"/>
      <c r="O93" s="68"/>
      <c r="P93" s="68"/>
      <c r="Q93" s="68"/>
      <c r="R93" s="68"/>
      <c r="S93" s="68"/>
    </row>
    <row r="94" spans="2:19" x14ac:dyDescent="0.3">
      <c r="B94" s="68"/>
      <c r="C94" s="68"/>
      <c r="D94" s="68"/>
      <c r="E94" s="68"/>
      <c r="F94" s="68"/>
      <c r="G94" s="68"/>
      <c r="H94" s="68"/>
      <c r="I94" s="68"/>
      <c r="J94" s="68"/>
      <c r="K94" s="68"/>
      <c r="L94" s="68"/>
      <c r="M94" s="68"/>
      <c r="N94" s="68"/>
      <c r="O94" s="68"/>
      <c r="P94" s="68"/>
      <c r="Q94" s="68"/>
      <c r="R94" s="68"/>
      <c r="S94" s="68"/>
    </row>
    <row r="95" spans="2:19" x14ac:dyDescent="0.3">
      <c r="B95" s="68"/>
      <c r="C95" s="68"/>
      <c r="D95" s="68"/>
      <c r="E95" s="68"/>
      <c r="F95" s="68"/>
      <c r="G95" s="68"/>
      <c r="H95" s="68"/>
      <c r="I95" s="68"/>
      <c r="J95" s="68"/>
      <c r="K95" s="68"/>
      <c r="L95" s="68"/>
      <c r="M95" s="68"/>
      <c r="N95" s="68"/>
      <c r="O95" s="68"/>
      <c r="P95" s="68"/>
      <c r="Q95" s="68"/>
      <c r="R95" s="68"/>
      <c r="S95" s="68"/>
    </row>
    <row r="96" spans="2:19" x14ac:dyDescent="0.3">
      <c r="B96" s="68"/>
      <c r="C96" s="68"/>
      <c r="D96" s="68"/>
      <c r="E96" s="68"/>
      <c r="F96" s="68"/>
      <c r="G96" s="68"/>
      <c r="H96" s="68"/>
      <c r="I96" s="68"/>
      <c r="J96" s="68"/>
      <c r="K96" s="68"/>
      <c r="L96" s="68"/>
      <c r="M96" s="68"/>
      <c r="N96" s="68"/>
      <c r="O96" s="68"/>
      <c r="P96" s="68"/>
      <c r="Q96" s="68"/>
      <c r="R96" s="68"/>
      <c r="S96" s="68"/>
    </row>
    <row r="97" spans="2:19" x14ac:dyDescent="0.3">
      <c r="B97" s="68"/>
      <c r="C97" s="68"/>
      <c r="D97" s="68"/>
      <c r="E97" s="68"/>
      <c r="F97" s="68"/>
      <c r="G97" s="68"/>
      <c r="H97" s="68"/>
      <c r="I97" s="68"/>
      <c r="J97" s="68"/>
      <c r="K97" s="68"/>
      <c r="L97" s="68"/>
      <c r="M97" s="68"/>
      <c r="N97" s="68"/>
      <c r="O97" s="68"/>
      <c r="P97" s="68"/>
      <c r="Q97" s="68"/>
      <c r="R97" s="68"/>
      <c r="S97" s="68"/>
    </row>
    <row r="98" spans="2:19" x14ac:dyDescent="0.3">
      <c r="B98" s="68"/>
      <c r="C98" s="68"/>
      <c r="D98" s="68"/>
      <c r="E98" s="68"/>
      <c r="F98" s="68"/>
      <c r="G98" s="68"/>
      <c r="H98" s="68"/>
      <c r="I98" s="68"/>
      <c r="J98" s="68"/>
      <c r="K98" s="68"/>
      <c r="L98" s="68"/>
      <c r="M98" s="68"/>
      <c r="N98" s="68"/>
      <c r="O98" s="68"/>
      <c r="P98" s="68"/>
      <c r="Q98" s="68"/>
      <c r="R98" s="68"/>
      <c r="S98" s="68"/>
    </row>
    <row r="99" spans="2:19" x14ac:dyDescent="0.3">
      <c r="B99" s="68"/>
      <c r="C99" s="68"/>
      <c r="D99" s="68"/>
      <c r="E99" s="68"/>
      <c r="F99" s="68"/>
      <c r="G99" s="68"/>
      <c r="H99" s="68"/>
      <c r="I99" s="68"/>
      <c r="J99" s="68"/>
      <c r="K99" s="68"/>
      <c r="L99" s="68"/>
      <c r="M99" s="68"/>
      <c r="N99" s="68"/>
      <c r="O99" s="68"/>
      <c r="P99" s="68"/>
      <c r="Q99" s="68"/>
      <c r="R99" s="68"/>
      <c r="S99" s="68"/>
    </row>
    <row r="100" spans="2:19" x14ac:dyDescent="0.3">
      <c r="B100" s="68"/>
      <c r="C100" s="68"/>
      <c r="D100" s="68"/>
      <c r="E100" s="68"/>
      <c r="F100" s="68"/>
      <c r="G100" s="68"/>
      <c r="H100" s="68"/>
      <c r="I100" s="68"/>
      <c r="J100" s="68"/>
      <c r="K100" s="68"/>
      <c r="L100" s="68"/>
      <c r="M100" s="68"/>
      <c r="N100" s="68"/>
      <c r="O100" s="68"/>
      <c r="P100" s="68"/>
      <c r="Q100" s="68"/>
      <c r="R100" s="68"/>
      <c r="S100" s="68"/>
    </row>
    <row r="101" spans="2:19" x14ac:dyDescent="0.3">
      <c r="B101" s="68"/>
      <c r="C101" s="68"/>
      <c r="D101" s="68"/>
      <c r="E101" s="68"/>
      <c r="F101" s="68"/>
      <c r="G101" s="68"/>
      <c r="H101" s="68"/>
      <c r="I101" s="68"/>
      <c r="J101" s="68"/>
      <c r="K101" s="68"/>
      <c r="L101" s="68"/>
      <c r="M101" s="68"/>
      <c r="N101" s="68"/>
      <c r="O101" s="68"/>
      <c r="P101" s="68"/>
      <c r="Q101" s="68"/>
      <c r="R101" s="68"/>
      <c r="S101" s="68"/>
    </row>
    <row r="102" spans="2:19" x14ac:dyDescent="0.3">
      <c r="B102" s="68"/>
      <c r="C102" s="68"/>
      <c r="D102" s="68"/>
      <c r="E102" s="68"/>
      <c r="F102" s="68"/>
      <c r="G102" s="68"/>
      <c r="H102" s="68"/>
      <c r="I102" s="68"/>
      <c r="J102" s="68"/>
      <c r="K102" s="68"/>
      <c r="L102" s="68"/>
      <c r="M102" s="68"/>
      <c r="N102" s="68"/>
      <c r="O102" s="68"/>
      <c r="P102" s="68"/>
      <c r="Q102" s="68"/>
      <c r="R102" s="68"/>
      <c r="S102" s="68"/>
    </row>
    <row r="103" spans="2:19" x14ac:dyDescent="0.3">
      <c r="B103" s="68"/>
      <c r="C103" s="68"/>
      <c r="D103" s="68"/>
      <c r="E103" s="68"/>
      <c r="F103" s="68"/>
      <c r="G103" s="68"/>
      <c r="H103" s="68"/>
      <c r="I103" s="68"/>
      <c r="J103" s="68"/>
      <c r="K103" s="68"/>
      <c r="L103" s="68"/>
      <c r="M103" s="68"/>
      <c r="N103" s="68"/>
      <c r="O103" s="68"/>
      <c r="P103" s="68"/>
      <c r="Q103" s="68"/>
      <c r="R103" s="68"/>
      <c r="S103" s="68"/>
    </row>
    <row r="104" spans="2:19" x14ac:dyDescent="0.3">
      <c r="B104" s="68"/>
      <c r="C104" s="68"/>
      <c r="D104" s="68"/>
      <c r="E104" s="68"/>
      <c r="F104" s="68"/>
      <c r="G104" s="68"/>
      <c r="H104" s="68"/>
      <c r="I104" s="68"/>
      <c r="J104" s="68"/>
      <c r="K104" s="68"/>
      <c r="L104" s="68"/>
      <c r="M104" s="68"/>
      <c r="N104" s="68"/>
      <c r="O104" s="68"/>
      <c r="P104" s="68"/>
      <c r="Q104" s="68"/>
      <c r="R104" s="68"/>
      <c r="S104" s="68"/>
    </row>
    <row r="105" spans="2:19" x14ac:dyDescent="0.3">
      <c r="B105" s="68"/>
      <c r="C105" s="68"/>
      <c r="D105" s="68"/>
      <c r="E105" s="68"/>
      <c r="F105" s="68"/>
      <c r="G105" s="68"/>
      <c r="H105" s="68"/>
      <c r="I105" s="68"/>
      <c r="J105" s="68"/>
      <c r="K105" s="68"/>
      <c r="L105" s="68"/>
      <c r="M105" s="68"/>
      <c r="N105" s="68"/>
      <c r="O105" s="68"/>
      <c r="P105" s="68"/>
      <c r="Q105" s="68"/>
      <c r="R105" s="68"/>
      <c r="S105" s="68"/>
    </row>
    <row r="106" spans="2:19" x14ac:dyDescent="0.3">
      <c r="B106" s="68"/>
      <c r="C106" s="68"/>
      <c r="D106" s="68"/>
      <c r="E106" s="68"/>
      <c r="F106" s="68"/>
      <c r="G106" s="68"/>
      <c r="H106" s="68"/>
      <c r="I106" s="68"/>
      <c r="J106" s="68"/>
      <c r="K106" s="68"/>
      <c r="L106" s="68"/>
      <c r="M106" s="68"/>
      <c r="N106" s="68"/>
      <c r="O106" s="68"/>
      <c r="P106" s="68"/>
      <c r="Q106" s="68"/>
      <c r="R106" s="68"/>
      <c r="S106" s="68"/>
    </row>
    <row r="107" spans="2:19" x14ac:dyDescent="0.3">
      <c r="B107" s="68"/>
      <c r="C107" s="68"/>
      <c r="D107" s="68"/>
      <c r="E107" s="68"/>
      <c r="F107" s="68"/>
      <c r="G107" s="68"/>
      <c r="H107" s="68"/>
      <c r="I107" s="68"/>
      <c r="J107" s="68"/>
      <c r="K107" s="68"/>
      <c r="L107" s="68"/>
      <c r="M107" s="68"/>
      <c r="N107" s="68"/>
      <c r="O107" s="68"/>
      <c r="P107" s="68"/>
      <c r="Q107" s="68"/>
      <c r="R107" s="68"/>
      <c r="S107" s="68"/>
    </row>
    <row r="108" spans="2:19" x14ac:dyDescent="0.3">
      <c r="B108" s="68"/>
      <c r="C108" s="68"/>
      <c r="D108" s="68"/>
      <c r="E108" s="68"/>
      <c r="F108" s="68"/>
      <c r="G108" s="68"/>
      <c r="H108" s="68"/>
      <c r="I108" s="68"/>
      <c r="J108" s="68"/>
      <c r="K108" s="68"/>
      <c r="L108" s="68"/>
      <c r="M108" s="68"/>
      <c r="N108" s="68"/>
      <c r="O108" s="68"/>
      <c r="P108" s="68"/>
      <c r="Q108" s="68"/>
      <c r="R108" s="68"/>
      <c r="S108" s="68"/>
    </row>
    <row r="109" spans="2:19" x14ac:dyDescent="0.3">
      <c r="B109" s="68"/>
      <c r="C109" s="68"/>
      <c r="D109" s="68"/>
      <c r="E109" s="68"/>
      <c r="F109" s="68"/>
      <c r="G109" s="68"/>
      <c r="H109" s="68"/>
      <c r="I109" s="68"/>
      <c r="J109" s="68"/>
      <c r="K109" s="68"/>
      <c r="L109" s="68"/>
      <c r="M109" s="68"/>
      <c r="N109" s="68"/>
      <c r="O109" s="68"/>
      <c r="P109" s="68"/>
      <c r="Q109" s="68"/>
      <c r="R109" s="68"/>
      <c r="S109" s="68"/>
    </row>
    <row r="110" spans="2:19" x14ac:dyDescent="0.3">
      <c r="B110" s="68"/>
      <c r="C110" s="68"/>
      <c r="D110" s="68"/>
      <c r="E110" s="68"/>
      <c r="F110" s="68"/>
      <c r="G110" s="68"/>
      <c r="H110" s="68"/>
      <c r="I110" s="68"/>
      <c r="J110" s="68"/>
      <c r="K110" s="68"/>
      <c r="L110" s="68"/>
      <c r="M110" s="68"/>
      <c r="N110" s="68"/>
      <c r="O110" s="68"/>
      <c r="P110" s="68"/>
      <c r="Q110" s="68"/>
      <c r="R110" s="68"/>
      <c r="S110" s="68"/>
    </row>
    <row r="111" spans="2:19" x14ac:dyDescent="0.3">
      <c r="B111" s="68"/>
      <c r="C111" s="68"/>
      <c r="D111" s="68"/>
      <c r="E111" s="68"/>
      <c r="F111" s="68"/>
      <c r="G111" s="68"/>
      <c r="H111" s="68"/>
      <c r="I111" s="68"/>
      <c r="J111" s="68"/>
      <c r="K111" s="68"/>
      <c r="L111" s="68"/>
      <c r="M111" s="68"/>
      <c r="N111" s="68"/>
      <c r="O111" s="68"/>
      <c r="P111" s="68"/>
      <c r="Q111" s="68"/>
      <c r="R111" s="68"/>
      <c r="S111" s="68"/>
    </row>
    <row r="112" spans="2:19" x14ac:dyDescent="0.3">
      <c r="B112" s="68"/>
      <c r="C112" s="68"/>
      <c r="D112" s="68"/>
      <c r="E112" s="68"/>
      <c r="F112" s="68"/>
      <c r="G112" s="68"/>
      <c r="H112" s="68"/>
      <c r="I112" s="68"/>
      <c r="J112" s="68"/>
      <c r="K112" s="68"/>
      <c r="L112" s="68"/>
      <c r="M112" s="68"/>
      <c r="N112" s="68"/>
      <c r="O112" s="68"/>
      <c r="P112" s="68"/>
      <c r="Q112" s="68"/>
      <c r="R112" s="68"/>
      <c r="S112" s="68"/>
    </row>
    <row r="113" spans="2:19" x14ac:dyDescent="0.3">
      <c r="B113" s="68"/>
      <c r="C113" s="68"/>
      <c r="D113" s="68"/>
      <c r="E113" s="68"/>
      <c r="F113" s="68"/>
      <c r="G113" s="68"/>
      <c r="H113" s="68"/>
      <c r="I113" s="68"/>
      <c r="J113" s="68"/>
      <c r="K113" s="68"/>
      <c r="L113" s="68"/>
      <c r="M113" s="68"/>
      <c r="N113" s="68"/>
      <c r="O113" s="68"/>
      <c r="P113" s="68"/>
      <c r="Q113" s="68"/>
      <c r="R113" s="68"/>
      <c r="S113" s="68"/>
    </row>
    <row r="114" spans="2:19" x14ac:dyDescent="0.3">
      <c r="B114" s="68"/>
      <c r="C114" s="68"/>
      <c r="D114" s="68"/>
      <c r="E114" s="68"/>
      <c r="F114" s="68"/>
      <c r="G114" s="68"/>
      <c r="H114" s="68"/>
      <c r="I114" s="68"/>
      <c r="J114" s="68"/>
      <c r="K114" s="68"/>
      <c r="L114" s="68"/>
      <c r="M114" s="68"/>
      <c r="N114" s="68"/>
      <c r="O114" s="68"/>
      <c r="P114" s="68"/>
      <c r="Q114" s="68"/>
      <c r="R114" s="68"/>
      <c r="S114" s="68"/>
    </row>
    <row r="115" spans="2:19" x14ac:dyDescent="0.3">
      <c r="B115" s="68"/>
      <c r="C115" s="68"/>
      <c r="D115" s="68"/>
      <c r="E115" s="68"/>
      <c r="F115" s="68"/>
      <c r="G115" s="68"/>
      <c r="H115" s="68"/>
      <c r="I115" s="68"/>
      <c r="J115" s="68"/>
      <c r="K115" s="68"/>
      <c r="L115" s="68"/>
      <c r="M115" s="68"/>
      <c r="N115" s="68"/>
      <c r="O115" s="68"/>
      <c r="P115" s="68"/>
      <c r="Q115" s="68"/>
      <c r="R115" s="68"/>
      <c r="S115" s="68"/>
    </row>
    <row r="116" spans="2:19" x14ac:dyDescent="0.3">
      <c r="B116" s="68"/>
      <c r="C116" s="68"/>
      <c r="D116" s="68"/>
      <c r="E116" s="68"/>
      <c r="F116" s="68"/>
      <c r="G116" s="68"/>
      <c r="H116" s="68"/>
      <c r="I116" s="68"/>
      <c r="J116" s="68"/>
      <c r="K116" s="68"/>
      <c r="L116" s="68"/>
      <c r="M116" s="68"/>
      <c r="N116" s="68"/>
      <c r="O116" s="68"/>
      <c r="P116" s="68"/>
      <c r="Q116" s="68"/>
      <c r="R116" s="68"/>
      <c r="S116" s="68"/>
    </row>
    <row r="117" spans="2:19" x14ac:dyDescent="0.3">
      <c r="B117" s="68"/>
      <c r="C117" s="68"/>
      <c r="D117" s="68"/>
      <c r="E117" s="68"/>
      <c r="F117" s="68"/>
      <c r="G117" s="68"/>
      <c r="H117" s="68"/>
      <c r="I117" s="68"/>
      <c r="J117" s="68"/>
      <c r="K117" s="68"/>
      <c r="L117" s="68"/>
      <c r="M117" s="68"/>
      <c r="N117" s="68"/>
      <c r="O117" s="68"/>
      <c r="P117" s="68"/>
      <c r="Q117" s="68"/>
      <c r="R117" s="68"/>
      <c r="S117" s="68"/>
    </row>
    <row r="118" spans="2:19" x14ac:dyDescent="0.3">
      <c r="B118" s="68"/>
      <c r="C118" s="68"/>
      <c r="D118" s="68"/>
      <c r="E118" s="68"/>
      <c r="F118" s="68"/>
      <c r="G118" s="68"/>
      <c r="H118" s="68"/>
      <c r="I118" s="68"/>
      <c r="J118" s="68"/>
      <c r="K118" s="68"/>
      <c r="L118" s="68"/>
      <c r="M118" s="68"/>
      <c r="N118" s="68"/>
      <c r="O118" s="68"/>
      <c r="P118" s="68"/>
      <c r="Q118" s="68"/>
      <c r="R118" s="68"/>
      <c r="S118" s="68"/>
    </row>
    <row r="119" spans="2:19" x14ac:dyDescent="0.3">
      <c r="B119" s="68"/>
      <c r="C119" s="68"/>
      <c r="D119" s="68"/>
      <c r="E119" s="68"/>
      <c r="F119" s="68"/>
      <c r="G119" s="68"/>
      <c r="H119" s="68"/>
      <c r="I119" s="68"/>
      <c r="J119" s="68"/>
      <c r="K119" s="68"/>
      <c r="L119" s="68"/>
      <c r="M119" s="68"/>
      <c r="N119" s="68"/>
      <c r="O119" s="68"/>
      <c r="P119" s="68"/>
      <c r="Q119" s="68"/>
      <c r="R119" s="68"/>
      <c r="S119" s="68"/>
    </row>
    <row r="120" spans="2:19" x14ac:dyDescent="0.3">
      <c r="B120" s="68"/>
      <c r="C120" s="68"/>
      <c r="D120" s="68"/>
      <c r="E120" s="68"/>
      <c r="F120" s="68"/>
      <c r="G120" s="68"/>
      <c r="H120" s="68"/>
      <c r="I120" s="68"/>
      <c r="J120" s="68"/>
      <c r="K120" s="68"/>
      <c r="L120" s="68"/>
      <c r="M120" s="68"/>
      <c r="N120" s="68"/>
      <c r="O120" s="68"/>
      <c r="P120" s="68"/>
      <c r="Q120" s="68"/>
      <c r="R120" s="68"/>
      <c r="S120" s="68"/>
    </row>
    <row r="121" spans="2:19" x14ac:dyDescent="0.3">
      <c r="B121" s="68"/>
      <c r="C121" s="68"/>
      <c r="D121" s="68"/>
      <c r="E121" s="68"/>
      <c r="F121" s="68"/>
      <c r="G121" s="68"/>
      <c r="H121" s="68"/>
      <c r="I121" s="68"/>
      <c r="J121" s="68"/>
      <c r="K121" s="68"/>
      <c r="L121" s="68"/>
      <c r="M121" s="68"/>
      <c r="N121" s="68"/>
      <c r="O121" s="68"/>
      <c r="P121" s="68"/>
      <c r="Q121" s="68"/>
      <c r="R121" s="68"/>
      <c r="S121" s="68"/>
    </row>
    <row r="122" spans="2:19" x14ac:dyDescent="0.3">
      <c r="B122" s="68"/>
      <c r="C122" s="68"/>
      <c r="D122" s="68"/>
      <c r="E122" s="68"/>
      <c r="F122" s="68"/>
      <c r="G122" s="68"/>
      <c r="H122" s="68"/>
      <c r="I122" s="68"/>
      <c r="J122" s="68"/>
      <c r="K122" s="68"/>
      <c r="L122" s="68"/>
      <c r="M122" s="68"/>
      <c r="N122" s="68"/>
      <c r="O122" s="68"/>
      <c r="P122" s="68"/>
      <c r="Q122" s="68"/>
      <c r="R122" s="68"/>
      <c r="S122" s="68"/>
    </row>
    <row r="123" spans="2:19" x14ac:dyDescent="0.3">
      <c r="B123" s="68"/>
      <c r="C123" s="68"/>
      <c r="D123" s="68"/>
      <c r="E123" s="68"/>
      <c r="F123" s="68"/>
      <c r="G123" s="68"/>
      <c r="H123" s="68"/>
      <c r="I123" s="68"/>
      <c r="J123" s="68"/>
      <c r="K123" s="68"/>
      <c r="L123" s="68"/>
      <c r="M123" s="68"/>
      <c r="N123" s="68"/>
      <c r="O123" s="68"/>
      <c r="P123" s="68"/>
      <c r="Q123" s="68"/>
      <c r="R123" s="68"/>
      <c r="S123" s="68"/>
    </row>
    <row r="124" spans="2:19" x14ac:dyDescent="0.3">
      <c r="B124" s="68"/>
      <c r="C124" s="68"/>
      <c r="D124" s="68"/>
      <c r="E124" s="68"/>
      <c r="F124" s="68"/>
      <c r="G124" s="68"/>
      <c r="H124" s="68"/>
      <c r="I124" s="68"/>
      <c r="J124" s="68"/>
      <c r="K124" s="68"/>
      <c r="L124" s="68"/>
      <c r="M124" s="68"/>
      <c r="N124" s="68"/>
      <c r="O124" s="68"/>
      <c r="P124" s="68"/>
      <c r="Q124" s="68"/>
      <c r="R124" s="68"/>
      <c r="S124" s="68"/>
    </row>
    <row r="125" spans="2:19" x14ac:dyDescent="0.3">
      <c r="B125" s="68"/>
      <c r="C125" s="68"/>
      <c r="D125" s="68"/>
      <c r="E125" s="68"/>
      <c r="F125" s="68"/>
      <c r="G125" s="68"/>
      <c r="H125" s="68"/>
      <c r="I125" s="68"/>
      <c r="J125" s="68"/>
      <c r="K125" s="68"/>
      <c r="L125" s="68"/>
      <c r="M125" s="68"/>
      <c r="N125" s="68"/>
      <c r="O125" s="68"/>
      <c r="P125" s="68"/>
      <c r="Q125" s="68"/>
      <c r="R125" s="68"/>
      <c r="S125" s="68"/>
    </row>
    <row r="126" spans="2:19" x14ac:dyDescent="0.3">
      <c r="B126" s="68"/>
      <c r="C126" s="68"/>
      <c r="D126" s="68"/>
      <c r="E126" s="68"/>
      <c r="F126" s="68"/>
      <c r="G126" s="68"/>
      <c r="H126" s="68"/>
      <c r="I126" s="68"/>
      <c r="J126" s="68"/>
      <c r="K126" s="68"/>
      <c r="L126" s="68"/>
      <c r="M126" s="68"/>
      <c r="N126" s="68"/>
      <c r="O126" s="68"/>
      <c r="P126" s="68"/>
      <c r="Q126" s="68"/>
      <c r="R126" s="68"/>
      <c r="S126" s="68"/>
    </row>
    <row r="127" spans="2:19" x14ac:dyDescent="0.3">
      <c r="B127" s="68"/>
      <c r="C127" s="68"/>
      <c r="D127" s="68"/>
      <c r="E127" s="68"/>
      <c r="F127" s="68"/>
      <c r="G127" s="68"/>
      <c r="H127" s="68"/>
      <c r="I127" s="68"/>
      <c r="J127" s="68"/>
      <c r="K127" s="68"/>
      <c r="L127" s="68"/>
      <c r="M127" s="68"/>
      <c r="N127" s="68"/>
      <c r="O127" s="68"/>
      <c r="P127" s="68"/>
      <c r="Q127" s="68"/>
      <c r="R127" s="68"/>
      <c r="S127" s="68"/>
    </row>
    <row r="128" spans="2:19" x14ac:dyDescent="0.3">
      <c r="B128" s="68"/>
      <c r="C128" s="68"/>
      <c r="D128" s="68"/>
      <c r="E128" s="68"/>
      <c r="F128" s="68"/>
      <c r="G128" s="68"/>
      <c r="H128" s="68"/>
      <c r="I128" s="68"/>
      <c r="J128" s="68"/>
      <c r="K128" s="68"/>
      <c r="L128" s="68"/>
      <c r="M128" s="68"/>
      <c r="N128" s="68"/>
      <c r="O128" s="68"/>
      <c r="P128" s="68"/>
      <c r="Q128" s="68"/>
      <c r="R128" s="68"/>
      <c r="S128" s="68"/>
    </row>
    <row r="129" spans="2:19" x14ac:dyDescent="0.3">
      <c r="B129" s="68"/>
      <c r="C129" s="68"/>
      <c r="D129" s="68"/>
      <c r="E129" s="68"/>
      <c r="F129" s="68"/>
      <c r="G129" s="68"/>
      <c r="H129" s="68"/>
      <c r="I129" s="68"/>
      <c r="J129" s="68"/>
      <c r="K129" s="68"/>
      <c r="L129" s="68"/>
      <c r="M129" s="68"/>
      <c r="N129" s="68"/>
      <c r="O129" s="68"/>
      <c r="P129" s="68"/>
      <c r="Q129" s="68"/>
      <c r="R129" s="68"/>
      <c r="S129" s="68"/>
    </row>
    <row r="130" spans="2:19" x14ac:dyDescent="0.3">
      <c r="B130" s="68"/>
      <c r="C130" s="68"/>
      <c r="D130" s="68"/>
      <c r="E130" s="68"/>
      <c r="F130" s="68"/>
      <c r="G130" s="68"/>
      <c r="H130" s="68"/>
      <c r="I130" s="68"/>
      <c r="J130" s="68"/>
      <c r="K130" s="68"/>
      <c r="L130" s="68"/>
      <c r="M130" s="68"/>
      <c r="N130" s="68"/>
      <c r="O130" s="68"/>
      <c r="P130" s="68"/>
      <c r="Q130" s="68"/>
      <c r="R130" s="68"/>
      <c r="S130" s="68"/>
    </row>
    <row r="131" spans="2:19" x14ac:dyDescent="0.3">
      <c r="B131" s="68"/>
      <c r="C131" s="68"/>
      <c r="D131" s="68"/>
      <c r="E131" s="68"/>
      <c r="F131" s="68"/>
      <c r="G131" s="68"/>
      <c r="H131" s="68"/>
      <c r="I131" s="68"/>
      <c r="J131" s="68"/>
      <c r="K131" s="68"/>
      <c r="L131" s="68"/>
      <c r="M131" s="68"/>
      <c r="N131" s="68"/>
      <c r="O131" s="68"/>
      <c r="P131" s="68"/>
      <c r="Q131" s="68"/>
      <c r="R131" s="68"/>
      <c r="S131" s="68"/>
    </row>
    <row r="132" spans="2:19" x14ac:dyDescent="0.3">
      <c r="B132" s="68"/>
      <c r="C132" s="68"/>
      <c r="D132" s="68"/>
      <c r="E132" s="68"/>
      <c r="F132" s="68"/>
      <c r="G132" s="68"/>
      <c r="H132" s="68"/>
      <c r="I132" s="68"/>
      <c r="J132" s="68"/>
      <c r="K132" s="68"/>
      <c r="L132" s="68"/>
      <c r="M132" s="68"/>
      <c r="N132" s="68"/>
      <c r="O132" s="68"/>
      <c r="P132" s="68"/>
      <c r="Q132" s="68"/>
      <c r="R132" s="68"/>
      <c r="S132" s="68"/>
    </row>
    <row r="133" spans="2:19" x14ac:dyDescent="0.3">
      <c r="B133" s="68"/>
      <c r="C133" s="68"/>
      <c r="D133" s="68"/>
      <c r="E133" s="68"/>
      <c r="F133" s="68"/>
      <c r="G133" s="68"/>
      <c r="H133" s="68"/>
      <c r="I133" s="68"/>
      <c r="J133" s="68"/>
      <c r="K133" s="68"/>
      <c r="L133" s="68"/>
      <c r="M133" s="68"/>
      <c r="N133" s="68"/>
      <c r="O133" s="68"/>
      <c r="P133" s="68"/>
      <c r="Q133" s="68"/>
      <c r="R133" s="68"/>
      <c r="S133" s="68"/>
    </row>
    <row r="134" spans="2:19" x14ac:dyDescent="0.3">
      <c r="B134" s="68"/>
      <c r="C134" s="68"/>
      <c r="D134" s="68"/>
      <c r="E134" s="68"/>
      <c r="F134" s="68"/>
      <c r="G134" s="68"/>
      <c r="H134" s="68"/>
      <c r="I134" s="68"/>
      <c r="J134" s="68"/>
      <c r="K134" s="68"/>
      <c r="L134" s="68"/>
      <c r="M134" s="68"/>
      <c r="N134" s="68"/>
      <c r="O134" s="68"/>
      <c r="P134" s="68"/>
      <c r="Q134" s="68"/>
      <c r="R134" s="68"/>
      <c r="S134" s="68"/>
    </row>
    <row r="135" spans="2:19" x14ac:dyDescent="0.3">
      <c r="B135" s="68"/>
      <c r="C135" s="68"/>
      <c r="D135" s="68"/>
      <c r="E135" s="68"/>
      <c r="F135" s="68"/>
      <c r="G135" s="68"/>
      <c r="H135" s="68"/>
      <c r="I135" s="68"/>
      <c r="J135" s="68"/>
      <c r="K135" s="68"/>
      <c r="L135" s="68"/>
      <c r="M135" s="68"/>
      <c r="N135" s="68"/>
      <c r="O135" s="68"/>
      <c r="P135" s="68"/>
      <c r="Q135" s="68"/>
      <c r="R135" s="68"/>
      <c r="S135" s="68"/>
    </row>
    <row r="136" spans="2:19" x14ac:dyDescent="0.3">
      <c r="B136" s="68"/>
      <c r="C136" s="68"/>
      <c r="D136" s="68"/>
      <c r="E136" s="68"/>
      <c r="F136" s="68"/>
      <c r="G136" s="68"/>
      <c r="H136" s="68"/>
      <c r="I136" s="68"/>
      <c r="J136" s="68"/>
      <c r="K136" s="68"/>
      <c r="L136" s="68"/>
      <c r="M136" s="68"/>
      <c r="N136" s="68"/>
      <c r="O136" s="68"/>
      <c r="P136" s="68"/>
      <c r="Q136" s="68"/>
      <c r="R136" s="68"/>
      <c r="S136" s="68"/>
    </row>
    <row r="137" spans="2:19" x14ac:dyDescent="0.3">
      <c r="B137" s="68"/>
      <c r="C137" s="68"/>
      <c r="D137" s="68"/>
      <c r="E137" s="68"/>
      <c r="F137" s="68"/>
      <c r="G137" s="68"/>
      <c r="H137" s="68"/>
      <c r="I137" s="68"/>
      <c r="J137" s="68"/>
      <c r="K137" s="68"/>
      <c r="L137" s="68"/>
      <c r="M137" s="68"/>
      <c r="N137" s="68"/>
      <c r="O137" s="68"/>
      <c r="P137" s="68"/>
      <c r="Q137" s="68"/>
      <c r="R137" s="68"/>
      <c r="S137" s="68"/>
    </row>
    <row r="138" spans="2:19" x14ac:dyDescent="0.3">
      <c r="B138" s="68"/>
      <c r="C138" s="68"/>
      <c r="D138" s="68"/>
      <c r="E138" s="68"/>
      <c r="F138" s="68"/>
      <c r="G138" s="68"/>
      <c r="H138" s="68"/>
      <c r="I138" s="68"/>
      <c r="J138" s="68"/>
      <c r="K138" s="68"/>
      <c r="L138" s="68"/>
      <c r="M138" s="68"/>
      <c r="N138" s="68"/>
      <c r="O138" s="68"/>
      <c r="P138" s="68"/>
      <c r="Q138" s="68"/>
      <c r="R138" s="68"/>
      <c r="S138" s="68"/>
    </row>
    <row r="139" spans="2:19" x14ac:dyDescent="0.3">
      <c r="B139" s="68"/>
      <c r="C139" s="68"/>
      <c r="D139" s="68"/>
      <c r="E139" s="68"/>
      <c r="F139" s="68"/>
      <c r="G139" s="68"/>
      <c r="H139" s="68"/>
      <c r="I139" s="68"/>
      <c r="J139" s="68"/>
      <c r="K139" s="68"/>
      <c r="L139" s="68"/>
      <c r="M139" s="68"/>
      <c r="N139" s="68"/>
      <c r="O139" s="68"/>
      <c r="P139" s="68"/>
      <c r="Q139" s="68"/>
      <c r="R139" s="68"/>
      <c r="S139" s="68"/>
    </row>
    <row r="140" spans="2:19" x14ac:dyDescent="0.3">
      <c r="B140" s="68"/>
      <c r="C140" s="68"/>
      <c r="D140" s="68"/>
      <c r="E140" s="68"/>
      <c r="F140" s="68"/>
      <c r="G140" s="68"/>
      <c r="H140" s="68"/>
      <c r="I140" s="68"/>
      <c r="J140" s="68"/>
      <c r="K140" s="68"/>
      <c r="L140" s="68"/>
      <c r="M140" s="68"/>
      <c r="N140" s="68"/>
      <c r="O140" s="68"/>
      <c r="P140" s="68"/>
      <c r="Q140" s="68"/>
      <c r="R140" s="68"/>
      <c r="S140" s="68"/>
    </row>
    <row r="141" spans="2:19" x14ac:dyDescent="0.3">
      <c r="B141" s="68"/>
      <c r="C141" s="68"/>
      <c r="D141" s="68"/>
      <c r="E141" s="68"/>
      <c r="F141" s="68"/>
      <c r="G141" s="68"/>
      <c r="H141" s="68"/>
      <c r="I141" s="68"/>
      <c r="J141" s="68"/>
      <c r="K141" s="68"/>
      <c r="L141" s="68"/>
      <c r="M141" s="68"/>
      <c r="N141" s="68"/>
      <c r="O141" s="68"/>
      <c r="P141" s="68"/>
      <c r="Q141" s="68"/>
      <c r="R141" s="68"/>
      <c r="S141" s="68"/>
    </row>
    <row r="142" spans="2:19" x14ac:dyDescent="0.3">
      <c r="B142" s="68"/>
      <c r="C142" s="68"/>
      <c r="D142" s="68"/>
      <c r="E142" s="68"/>
      <c r="F142" s="68"/>
      <c r="G142" s="68"/>
      <c r="H142" s="68"/>
      <c r="I142" s="68"/>
      <c r="J142" s="68"/>
      <c r="K142" s="68"/>
      <c r="L142" s="68"/>
      <c r="M142" s="68"/>
      <c r="N142" s="68"/>
      <c r="O142" s="68"/>
      <c r="P142" s="68"/>
      <c r="Q142" s="68"/>
      <c r="R142" s="68"/>
      <c r="S142" s="68"/>
    </row>
    <row r="143" spans="2:19" x14ac:dyDescent="0.3">
      <c r="B143" s="68"/>
      <c r="C143" s="68"/>
      <c r="D143" s="68"/>
      <c r="E143" s="68"/>
      <c r="F143" s="68"/>
      <c r="G143" s="68"/>
      <c r="H143" s="68"/>
      <c r="I143" s="68"/>
      <c r="J143" s="68"/>
      <c r="K143" s="68"/>
      <c r="L143" s="68"/>
      <c r="M143" s="68"/>
      <c r="N143" s="68"/>
      <c r="O143" s="68"/>
      <c r="P143" s="68"/>
      <c r="Q143" s="68"/>
      <c r="R143" s="68"/>
      <c r="S143" s="68"/>
    </row>
    <row r="144" spans="2:19" x14ac:dyDescent="0.3">
      <c r="B144" s="68"/>
      <c r="C144" s="68"/>
      <c r="D144" s="68"/>
      <c r="E144" s="68"/>
      <c r="F144" s="68"/>
      <c r="G144" s="68"/>
      <c r="H144" s="68"/>
      <c r="I144" s="68"/>
      <c r="J144" s="68"/>
      <c r="K144" s="68"/>
      <c r="L144" s="68"/>
      <c r="M144" s="68"/>
      <c r="N144" s="68"/>
      <c r="O144" s="68"/>
      <c r="P144" s="68"/>
      <c r="Q144" s="68"/>
      <c r="R144" s="68"/>
      <c r="S144" s="68"/>
    </row>
    <row r="145" spans="2:19" x14ac:dyDescent="0.3">
      <c r="B145" s="68"/>
      <c r="C145" s="68"/>
      <c r="D145" s="68"/>
      <c r="E145" s="68"/>
      <c r="F145" s="68"/>
      <c r="G145" s="68"/>
      <c r="H145" s="68"/>
      <c r="I145" s="68"/>
      <c r="J145" s="68"/>
      <c r="K145" s="68"/>
      <c r="L145" s="68"/>
      <c r="M145" s="68"/>
      <c r="N145" s="68"/>
      <c r="O145" s="68"/>
      <c r="P145" s="68"/>
      <c r="Q145" s="68"/>
      <c r="R145" s="68"/>
      <c r="S145" s="68"/>
    </row>
    <row r="146" spans="2:19" x14ac:dyDescent="0.3">
      <c r="B146" s="68"/>
      <c r="C146" s="68"/>
      <c r="D146" s="68"/>
      <c r="E146" s="68"/>
      <c r="F146" s="68"/>
      <c r="G146" s="68"/>
      <c r="H146" s="68"/>
      <c r="I146" s="68"/>
      <c r="J146" s="68"/>
      <c r="K146" s="68"/>
      <c r="L146" s="68"/>
      <c r="M146" s="68"/>
      <c r="N146" s="68"/>
      <c r="O146" s="68"/>
      <c r="P146" s="68"/>
      <c r="Q146" s="68"/>
      <c r="R146" s="68"/>
      <c r="S146" s="68"/>
    </row>
    <row r="147" spans="2:19" x14ac:dyDescent="0.3">
      <c r="B147" s="68"/>
      <c r="C147" s="68"/>
      <c r="D147" s="68"/>
      <c r="E147" s="68"/>
      <c r="F147" s="68"/>
      <c r="G147" s="68"/>
      <c r="H147" s="68"/>
      <c r="I147" s="68"/>
      <c r="J147" s="68"/>
      <c r="K147" s="68"/>
      <c r="L147" s="68"/>
      <c r="M147" s="68"/>
      <c r="N147" s="68"/>
      <c r="O147" s="68"/>
      <c r="P147" s="68"/>
      <c r="Q147" s="68"/>
      <c r="R147" s="68"/>
      <c r="S147" s="68"/>
    </row>
    <row r="148" spans="2:19" x14ac:dyDescent="0.3">
      <c r="B148" s="68"/>
      <c r="C148" s="68"/>
      <c r="D148" s="68"/>
      <c r="E148" s="68"/>
      <c r="F148" s="68"/>
      <c r="G148" s="68"/>
      <c r="H148" s="68"/>
      <c r="I148" s="68"/>
      <c r="J148" s="68"/>
      <c r="K148" s="68"/>
      <c r="L148" s="68"/>
      <c r="M148" s="68"/>
      <c r="N148" s="68"/>
      <c r="O148" s="68"/>
      <c r="P148" s="68"/>
      <c r="Q148" s="68"/>
      <c r="R148" s="68"/>
      <c r="S148" s="68"/>
    </row>
    <row r="149" spans="2:19" x14ac:dyDescent="0.3">
      <c r="B149" s="68"/>
      <c r="C149" s="68"/>
      <c r="D149" s="68"/>
      <c r="E149" s="68"/>
      <c r="F149" s="68"/>
      <c r="G149" s="68"/>
      <c r="H149" s="68"/>
      <c r="I149" s="68"/>
      <c r="J149" s="68"/>
      <c r="K149" s="68"/>
      <c r="L149" s="68"/>
      <c r="M149" s="68"/>
      <c r="N149" s="68"/>
      <c r="O149" s="68"/>
      <c r="P149" s="68"/>
      <c r="Q149" s="68"/>
      <c r="R149" s="68"/>
      <c r="S149" s="68"/>
    </row>
    <row r="150" spans="2:19" x14ac:dyDescent="0.3">
      <c r="B150" s="68"/>
      <c r="C150" s="68"/>
      <c r="D150" s="68"/>
      <c r="E150" s="68"/>
      <c r="F150" s="68"/>
      <c r="G150" s="68"/>
      <c r="H150" s="68"/>
      <c r="I150" s="68"/>
      <c r="J150" s="68"/>
      <c r="K150" s="68"/>
      <c r="L150" s="68"/>
      <c r="M150" s="68"/>
      <c r="N150" s="68"/>
      <c r="O150" s="68"/>
      <c r="P150" s="68"/>
      <c r="Q150" s="68"/>
      <c r="R150" s="68"/>
      <c r="S150" s="68"/>
    </row>
    <row r="151" spans="2:19" x14ac:dyDescent="0.3">
      <c r="B151" s="68"/>
      <c r="C151" s="68"/>
      <c r="D151" s="68"/>
      <c r="E151" s="68"/>
      <c r="F151" s="68"/>
      <c r="G151" s="68"/>
      <c r="H151" s="68"/>
      <c r="I151" s="68"/>
      <c r="J151" s="68"/>
      <c r="K151" s="68"/>
      <c r="L151" s="68"/>
      <c r="M151" s="68"/>
      <c r="N151" s="68"/>
      <c r="O151" s="68"/>
      <c r="P151" s="68"/>
      <c r="Q151" s="68"/>
      <c r="R151" s="68"/>
      <c r="S151" s="68"/>
    </row>
    <row r="152" spans="2:19" x14ac:dyDescent="0.3">
      <c r="B152" s="68"/>
      <c r="C152" s="68"/>
      <c r="D152" s="68"/>
      <c r="E152" s="68"/>
      <c r="F152" s="68"/>
      <c r="G152" s="68"/>
      <c r="H152" s="68"/>
      <c r="I152" s="68"/>
      <c r="J152" s="68"/>
      <c r="K152" s="68"/>
      <c r="L152" s="68"/>
      <c r="M152" s="68"/>
      <c r="N152" s="68"/>
      <c r="O152" s="68"/>
      <c r="P152" s="68"/>
      <c r="Q152" s="68"/>
      <c r="R152" s="68"/>
      <c r="S152" s="68"/>
    </row>
    <row r="153" spans="2:19" x14ac:dyDescent="0.3">
      <c r="B153" s="68"/>
      <c r="C153" s="68"/>
      <c r="D153" s="68"/>
      <c r="E153" s="68"/>
      <c r="F153" s="68"/>
      <c r="G153" s="68"/>
      <c r="H153" s="68"/>
      <c r="I153" s="68"/>
      <c r="J153" s="68"/>
      <c r="K153" s="68"/>
      <c r="L153" s="68"/>
      <c r="M153" s="68"/>
      <c r="N153" s="68"/>
      <c r="O153" s="68"/>
      <c r="P153" s="68"/>
      <c r="Q153" s="68"/>
      <c r="R153" s="68"/>
      <c r="S153" s="68"/>
    </row>
    <row r="154" spans="2:19" x14ac:dyDescent="0.3">
      <c r="B154" s="68"/>
      <c r="C154" s="68"/>
      <c r="D154" s="68"/>
      <c r="E154" s="68"/>
      <c r="F154" s="68"/>
      <c r="G154" s="68"/>
      <c r="H154" s="68"/>
      <c r="I154" s="68"/>
      <c r="J154" s="68"/>
      <c r="K154" s="68"/>
      <c r="L154" s="68"/>
      <c r="M154" s="68"/>
      <c r="N154" s="68"/>
      <c r="O154" s="68"/>
      <c r="P154" s="68"/>
      <c r="Q154" s="68"/>
      <c r="R154" s="68"/>
      <c r="S154" s="68"/>
    </row>
    <row r="155" spans="2:19" x14ac:dyDescent="0.3">
      <c r="B155" s="68"/>
      <c r="C155" s="68"/>
      <c r="D155" s="68"/>
      <c r="E155" s="68"/>
      <c r="F155" s="68"/>
      <c r="G155" s="68"/>
      <c r="H155" s="68"/>
      <c r="I155" s="68"/>
      <c r="J155" s="68"/>
      <c r="K155" s="68"/>
      <c r="L155" s="68"/>
      <c r="M155" s="68"/>
      <c r="N155" s="68"/>
      <c r="O155" s="68"/>
      <c r="P155" s="68"/>
      <c r="Q155" s="68"/>
      <c r="R155" s="68"/>
      <c r="S155" s="68"/>
    </row>
    <row r="156" spans="2:19" x14ac:dyDescent="0.3">
      <c r="B156" s="68"/>
      <c r="C156" s="68"/>
      <c r="D156" s="68"/>
      <c r="E156" s="68"/>
      <c r="F156" s="68"/>
      <c r="G156" s="68"/>
      <c r="H156" s="68"/>
      <c r="I156" s="68"/>
      <c r="J156" s="68"/>
      <c r="K156" s="68"/>
      <c r="L156" s="68"/>
      <c r="M156" s="68"/>
      <c r="N156" s="68"/>
      <c r="O156" s="68"/>
      <c r="P156" s="68"/>
      <c r="Q156" s="68"/>
      <c r="R156" s="68"/>
      <c r="S156" s="68"/>
    </row>
    <row r="157" spans="2:19" x14ac:dyDescent="0.3">
      <c r="B157" s="68"/>
      <c r="C157" s="68"/>
      <c r="D157" s="68"/>
      <c r="E157" s="68"/>
      <c r="F157" s="68"/>
      <c r="G157" s="68"/>
      <c r="H157" s="68"/>
      <c r="I157" s="68"/>
      <c r="J157" s="68"/>
      <c r="K157" s="68"/>
      <c r="L157" s="68"/>
      <c r="M157" s="68"/>
      <c r="N157" s="68"/>
      <c r="O157" s="68"/>
      <c r="P157" s="68"/>
      <c r="Q157" s="68"/>
      <c r="R157" s="68"/>
      <c r="S157" s="68"/>
    </row>
    <row r="158" spans="2:19" x14ac:dyDescent="0.3">
      <c r="B158" s="68"/>
      <c r="C158" s="68"/>
      <c r="D158" s="68"/>
      <c r="E158" s="68"/>
      <c r="F158" s="68"/>
      <c r="G158" s="68"/>
      <c r="H158" s="68"/>
      <c r="I158" s="68"/>
      <c r="J158" s="68"/>
      <c r="K158" s="68"/>
      <c r="L158" s="68"/>
      <c r="M158" s="68"/>
      <c r="N158" s="68"/>
      <c r="O158" s="68"/>
      <c r="P158" s="68"/>
      <c r="Q158" s="68"/>
      <c r="R158" s="68"/>
      <c r="S158" s="68"/>
    </row>
    <row r="159" spans="2:19" x14ac:dyDescent="0.3">
      <c r="B159" s="68"/>
      <c r="C159" s="68"/>
      <c r="D159" s="68"/>
      <c r="E159" s="68"/>
      <c r="F159" s="68"/>
      <c r="G159" s="68"/>
      <c r="H159" s="68"/>
      <c r="I159" s="68"/>
      <c r="J159" s="68"/>
      <c r="K159" s="68"/>
      <c r="L159" s="68"/>
      <c r="M159" s="68"/>
      <c r="N159" s="68"/>
      <c r="O159" s="68"/>
      <c r="P159" s="68"/>
      <c r="Q159" s="68"/>
      <c r="R159" s="68"/>
      <c r="S159" s="68"/>
    </row>
    <row r="160" spans="2:19" x14ac:dyDescent="0.3">
      <c r="B160" s="68"/>
      <c r="C160" s="68"/>
      <c r="D160" s="68"/>
      <c r="E160" s="68"/>
      <c r="F160" s="68"/>
      <c r="G160" s="68"/>
      <c r="H160" s="68"/>
      <c r="I160" s="68"/>
      <c r="J160" s="68"/>
      <c r="K160" s="68"/>
      <c r="L160" s="68"/>
      <c r="M160" s="68"/>
      <c r="N160" s="68"/>
      <c r="O160" s="68"/>
      <c r="P160" s="68"/>
      <c r="Q160" s="68"/>
      <c r="R160" s="68"/>
      <c r="S160" s="68"/>
    </row>
    <row r="161" spans="2:19" x14ac:dyDescent="0.3">
      <c r="B161" s="68"/>
      <c r="C161" s="68"/>
      <c r="D161" s="68"/>
      <c r="E161" s="68"/>
      <c r="F161" s="68"/>
      <c r="G161" s="68"/>
      <c r="H161" s="68"/>
      <c r="I161" s="68"/>
      <c r="J161" s="68"/>
      <c r="K161" s="68"/>
      <c r="L161" s="68"/>
      <c r="M161" s="68"/>
      <c r="N161" s="68"/>
      <c r="O161" s="68"/>
      <c r="P161" s="68"/>
      <c r="Q161" s="68"/>
      <c r="R161" s="68"/>
      <c r="S161" s="68"/>
    </row>
    <row r="162" spans="2:19" x14ac:dyDescent="0.3">
      <c r="B162" s="68"/>
      <c r="C162" s="68"/>
      <c r="D162" s="68"/>
      <c r="E162" s="68"/>
      <c r="F162" s="68"/>
      <c r="G162" s="68"/>
      <c r="H162" s="68"/>
      <c r="I162" s="68"/>
      <c r="J162" s="68"/>
      <c r="K162" s="68"/>
      <c r="L162" s="68"/>
      <c r="M162" s="68"/>
      <c r="N162" s="68"/>
      <c r="O162" s="68"/>
      <c r="P162" s="68"/>
      <c r="Q162" s="68"/>
      <c r="R162" s="68"/>
      <c r="S162" s="68"/>
    </row>
    <row r="163" spans="2:19" x14ac:dyDescent="0.3">
      <c r="B163" s="68"/>
      <c r="C163" s="68"/>
      <c r="D163" s="68"/>
      <c r="E163" s="68"/>
      <c r="F163" s="68"/>
      <c r="G163" s="68"/>
      <c r="H163" s="68"/>
      <c r="I163" s="68"/>
      <c r="J163" s="68"/>
      <c r="K163" s="68"/>
      <c r="L163" s="68"/>
      <c r="M163" s="68"/>
      <c r="N163" s="68"/>
      <c r="O163" s="68"/>
      <c r="P163" s="68"/>
      <c r="Q163" s="68"/>
      <c r="R163" s="68"/>
      <c r="S163" s="68"/>
    </row>
    <row r="164" spans="2:19" x14ac:dyDescent="0.3">
      <c r="B164" s="68"/>
      <c r="C164" s="68"/>
      <c r="D164" s="68"/>
      <c r="E164" s="68"/>
      <c r="F164" s="68"/>
      <c r="G164" s="68"/>
      <c r="H164" s="68"/>
      <c r="I164" s="68"/>
      <c r="J164" s="68"/>
      <c r="K164" s="68"/>
      <c r="L164" s="68"/>
      <c r="M164" s="68"/>
      <c r="N164" s="68"/>
      <c r="O164" s="68"/>
      <c r="P164" s="68"/>
      <c r="Q164" s="68"/>
      <c r="R164" s="68"/>
      <c r="S164" s="68"/>
    </row>
    <row r="165" spans="2:19" x14ac:dyDescent="0.3">
      <c r="B165" s="68"/>
      <c r="C165" s="68"/>
      <c r="D165" s="68"/>
      <c r="E165" s="68"/>
      <c r="F165" s="68"/>
      <c r="G165" s="68"/>
      <c r="H165" s="68"/>
      <c r="I165" s="68"/>
      <c r="J165" s="68"/>
      <c r="K165" s="68"/>
      <c r="L165" s="68"/>
      <c r="M165" s="68"/>
      <c r="N165" s="68"/>
      <c r="O165" s="68"/>
      <c r="P165" s="68"/>
      <c r="Q165" s="68"/>
      <c r="R165" s="68"/>
      <c r="S165" s="68"/>
    </row>
    <row r="166" spans="2:19" x14ac:dyDescent="0.3">
      <c r="B166" s="68"/>
      <c r="C166" s="68"/>
      <c r="D166" s="68"/>
      <c r="E166" s="68"/>
      <c r="F166" s="68"/>
      <c r="G166" s="68"/>
      <c r="H166" s="68"/>
      <c r="I166" s="68"/>
      <c r="J166" s="68"/>
      <c r="K166" s="68"/>
      <c r="L166" s="68"/>
      <c r="M166" s="68"/>
      <c r="N166" s="68"/>
      <c r="O166" s="68"/>
      <c r="P166" s="68"/>
      <c r="Q166" s="68"/>
      <c r="R166" s="68"/>
      <c r="S166" s="68"/>
    </row>
    <row r="167" spans="2:19" x14ac:dyDescent="0.3">
      <c r="B167" s="68"/>
      <c r="C167" s="68"/>
      <c r="D167" s="68"/>
      <c r="E167" s="68"/>
      <c r="F167" s="68"/>
      <c r="G167" s="68"/>
      <c r="H167" s="68"/>
      <c r="I167" s="68"/>
      <c r="J167" s="68"/>
      <c r="K167" s="68"/>
      <c r="L167" s="68"/>
      <c r="M167" s="68"/>
      <c r="N167" s="68"/>
      <c r="O167" s="68"/>
      <c r="P167" s="68"/>
      <c r="Q167" s="68"/>
      <c r="R167" s="68"/>
      <c r="S167" s="68"/>
    </row>
    <row r="168" spans="2:19" x14ac:dyDescent="0.3">
      <c r="B168" s="68"/>
      <c r="C168" s="68"/>
      <c r="D168" s="68"/>
      <c r="E168" s="68"/>
      <c r="F168" s="68"/>
      <c r="G168" s="68"/>
      <c r="H168" s="68"/>
      <c r="I168" s="68"/>
      <c r="J168" s="68"/>
      <c r="K168" s="68"/>
      <c r="L168" s="68"/>
      <c r="M168" s="68"/>
      <c r="N168" s="68"/>
      <c r="O168" s="68"/>
      <c r="P168" s="68"/>
      <c r="Q168" s="68"/>
      <c r="R168" s="68"/>
      <c r="S168" s="68"/>
    </row>
    <row r="169" spans="2:19" x14ac:dyDescent="0.3">
      <c r="B169" s="68"/>
      <c r="C169" s="68"/>
      <c r="D169" s="68"/>
      <c r="E169" s="68"/>
      <c r="F169" s="68"/>
      <c r="G169" s="68"/>
      <c r="H169" s="68"/>
      <c r="I169" s="68"/>
      <c r="J169" s="68"/>
      <c r="K169" s="68"/>
      <c r="L169" s="68"/>
      <c r="M169" s="68"/>
      <c r="N169" s="68"/>
      <c r="O169" s="68"/>
      <c r="P169" s="68"/>
      <c r="Q169" s="68"/>
      <c r="R169" s="68"/>
      <c r="S169" s="68"/>
    </row>
    <row r="170" spans="2:19" x14ac:dyDescent="0.3">
      <c r="B170" s="68"/>
      <c r="C170" s="68"/>
      <c r="D170" s="68"/>
      <c r="E170" s="68"/>
      <c r="F170" s="68"/>
      <c r="G170" s="68"/>
      <c r="H170" s="68"/>
      <c r="I170" s="68"/>
      <c r="J170" s="68"/>
      <c r="K170" s="68"/>
      <c r="L170" s="68"/>
      <c r="M170" s="68"/>
      <c r="N170" s="68"/>
      <c r="O170" s="68"/>
      <c r="P170" s="68"/>
      <c r="Q170" s="68"/>
      <c r="R170" s="68"/>
      <c r="S170" s="68"/>
    </row>
    <row r="171" spans="2:19" x14ac:dyDescent="0.3">
      <c r="B171" s="68"/>
      <c r="C171" s="68"/>
      <c r="D171" s="68"/>
      <c r="E171" s="68"/>
      <c r="F171" s="68"/>
      <c r="G171" s="68"/>
      <c r="H171" s="68"/>
      <c r="I171" s="68"/>
      <c r="J171" s="68"/>
      <c r="K171" s="68"/>
      <c r="L171" s="68"/>
      <c r="M171" s="68"/>
      <c r="N171" s="68"/>
      <c r="O171" s="68"/>
      <c r="P171" s="68"/>
      <c r="Q171" s="68"/>
      <c r="R171" s="68"/>
      <c r="S171" s="68"/>
    </row>
    <row r="172" spans="2:19" x14ac:dyDescent="0.3">
      <c r="B172" s="68"/>
      <c r="C172" s="68"/>
      <c r="D172" s="68"/>
      <c r="E172" s="68"/>
      <c r="F172" s="68"/>
      <c r="G172" s="68"/>
      <c r="H172" s="68"/>
      <c r="I172" s="68"/>
      <c r="J172" s="68"/>
      <c r="K172" s="68"/>
      <c r="L172" s="68"/>
      <c r="M172" s="68"/>
      <c r="N172" s="68"/>
      <c r="O172" s="68"/>
      <c r="P172" s="68"/>
      <c r="Q172" s="68"/>
      <c r="R172" s="68"/>
      <c r="S172" s="68"/>
    </row>
    <row r="173" spans="2:19" x14ac:dyDescent="0.3">
      <c r="B173" s="68"/>
      <c r="C173" s="68"/>
      <c r="D173" s="68"/>
      <c r="E173" s="68"/>
      <c r="F173" s="68"/>
      <c r="G173" s="68"/>
      <c r="H173" s="68"/>
      <c r="I173" s="68"/>
      <c r="J173" s="68"/>
      <c r="K173" s="68"/>
      <c r="L173" s="68"/>
      <c r="M173" s="68"/>
      <c r="N173" s="68"/>
      <c r="O173" s="68"/>
      <c r="P173" s="68"/>
      <c r="Q173" s="68"/>
      <c r="R173" s="68"/>
      <c r="S173" s="68"/>
    </row>
    <row r="174" spans="2:19" x14ac:dyDescent="0.3">
      <c r="B174" s="68"/>
      <c r="C174" s="68"/>
      <c r="D174" s="68"/>
      <c r="E174" s="68"/>
      <c r="F174" s="68"/>
      <c r="G174" s="68"/>
      <c r="H174" s="68"/>
      <c r="I174" s="68"/>
      <c r="J174" s="68"/>
      <c r="K174" s="68"/>
      <c r="L174" s="68"/>
      <c r="M174" s="68"/>
      <c r="N174" s="68"/>
      <c r="O174" s="68"/>
      <c r="P174" s="68"/>
      <c r="Q174" s="68"/>
      <c r="R174" s="68"/>
      <c r="S174" s="68"/>
    </row>
    <row r="175" spans="2:19" x14ac:dyDescent="0.3">
      <c r="B175" s="68"/>
      <c r="C175" s="68"/>
      <c r="D175" s="68"/>
      <c r="E175" s="68"/>
      <c r="F175" s="68"/>
      <c r="G175" s="68"/>
      <c r="H175" s="68"/>
      <c r="I175" s="68"/>
      <c r="J175" s="68"/>
      <c r="K175" s="68"/>
      <c r="L175" s="68"/>
      <c r="M175" s="68"/>
      <c r="N175" s="68"/>
      <c r="O175" s="68"/>
      <c r="P175" s="68"/>
      <c r="Q175" s="68"/>
      <c r="R175" s="68"/>
      <c r="S175" s="68"/>
    </row>
    <row r="176" spans="2:19" x14ac:dyDescent="0.3">
      <c r="B176" s="68"/>
      <c r="C176" s="68"/>
      <c r="D176" s="68"/>
      <c r="E176" s="68"/>
      <c r="F176" s="68"/>
      <c r="G176" s="68"/>
      <c r="H176" s="68"/>
      <c r="I176" s="68"/>
      <c r="J176" s="68"/>
      <c r="K176" s="68"/>
      <c r="L176" s="68"/>
      <c r="M176" s="68"/>
      <c r="N176" s="68"/>
      <c r="O176" s="68"/>
      <c r="P176" s="68"/>
      <c r="Q176" s="68"/>
      <c r="R176" s="68"/>
      <c r="S176" s="68"/>
    </row>
    <row r="177" spans="2:19" x14ac:dyDescent="0.3">
      <c r="B177" s="68"/>
      <c r="C177" s="68"/>
      <c r="D177" s="68"/>
      <c r="E177" s="68"/>
      <c r="F177" s="68"/>
      <c r="G177" s="68"/>
      <c r="H177" s="68"/>
      <c r="I177" s="68"/>
      <c r="J177" s="68"/>
      <c r="K177" s="68"/>
      <c r="L177" s="68"/>
      <c r="M177" s="68"/>
      <c r="N177" s="68"/>
      <c r="O177" s="68"/>
      <c r="P177" s="68"/>
      <c r="Q177" s="68"/>
      <c r="R177" s="68"/>
      <c r="S177" s="68"/>
    </row>
    <row r="178" spans="2:19" x14ac:dyDescent="0.3">
      <c r="B178" s="68"/>
      <c r="C178" s="68"/>
      <c r="D178" s="68"/>
      <c r="E178" s="68"/>
      <c r="F178" s="68"/>
      <c r="G178" s="68"/>
      <c r="H178" s="68"/>
      <c r="I178" s="68"/>
      <c r="J178" s="68"/>
      <c r="K178" s="68"/>
      <c r="L178" s="68"/>
      <c r="M178" s="68"/>
      <c r="N178" s="68"/>
      <c r="O178" s="68"/>
      <c r="P178" s="68"/>
      <c r="Q178" s="68"/>
      <c r="R178" s="68"/>
      <c r="S178" s="68"/>
    </row>
    <row r="179" spans="2:19" x14ac:dyDescent="0.3">
      <c r="B179" s="68"/>
      <c r="C179" s="68"/>
      <c r="D179" s="68"/>
      <c r="E179" s="68"/>
      <c r="F179" s="68"/>
      <c r="G179" s="68"/>
      <c r="H179" s="68"/>
      <c r="I179" s="68"/>
      <c r="J179" s="68"/>
      <c r="K179" s="68"/>
      <c r="L179" s="68"/>
      <c r="M179" s="68"/>
      <c r="N179" s="68"/>
      <c r="O179" s="68"/>
      <c r="P179" s="68"/>
      <c r="Q179" s="68"/>
      <c r="R179" s="68"/>
      <c r="S179" s="68"/>
    </row>
    <row r="180" spans="2:19" x14ac:dyDescent="0.3">
      <c r="B180" s="68"/>
      <c r="C180" s="68"/>
      <c r="D180" s="68"/>
      <c r="E180" s="68"/>
      <c r="F180" s="68"/>
      <c r="G180" s="68"/>
      <c r="H180" s="68"/>
      <c r="I180" s="68"/>
      <c r="J180" s="68"/>
      <c r="K180" s="68"/>
      <c r="L180" s="68"/>
      <c r="M180" s="68"/>
      <c r="N180" s="68"/>
      <c r="O180" s="68"/>
      <c r="P180" s="68"/>
      <c r="Q180" s="68"/>
      <c r="R180" s="68"/>
      <c r="S180" s="68"/>
    </row>
    <row r="181" spans="2:19" x14ac:dyDescent="0.3">
      <c r="B181" s="68"/>
      <c r="C181" s="68"/>
      <c r="D181" s="68"/>
      <c r="E181" s="68"/>
      <c r="F181" s="68"/>
      <c r="G181" s="68"/>
      <c r="H181" s="68"/>
      <c r="I181" s="68"/>
      <c r="J181" s="68"/>
      <c r="K181" s="68"/>
      <c r="L181" s="68"/>
      <c r="M181" s="68"/>
      <c r="N181" s="68"/>
      <c r="O181" s="68"/>
      <c r="P181" s="68"/>
      <c r="Q181" s="68"/>
      <c r="R181" s="68"/>
      <c r="S181" s="68"/>
    </row>
    <row r="182" spans="2:19" x14ac:dyDescent="0.3">
      <c r="B182" s="68"/>
      <c r="C182" s="68"/>
      <c r="D182" s="68"/>
      <c r="E182" s="68"/>
      <c r="F182" s="68"/>
      <c r="G182" s="68"/>
      <c r="H182" s="68"/>
      <c r="I182" s="68"/>
      <c r="J182" s="68"/>
      <c r="K182" s="68"/>
      <c r="L182" s="68"/>
      <c r="M182" s="68"/>
      <c r="N182" s="68"/>
      <c r="O182" s="68"/>
      <c r="P182" s="68"/>
      <c r="Q182" s="68"/>
      <c r="R182" s="68"/>
      <c r="S182" s="68"/>
    </row>
    <row r="183" spans="2:19" x14ac:dyDescent="0.3">
      <c r="B183" s="68"/>
      <c r="C183" s="68"/>
      <c r="D183" s="68"/>
      <c r="E183" s="68"/>
      <c r="F183" s="68"/>
      <c r="G183" s="68"/>
      <c r="H183" s="68"/>
      <c r="I183" s="68"/>
      <c r="J183" s="68"/>
      <c r="K183" s="68"/>
      <c r="L183" s="68"/>
      <c r="M183" s="68"/>
      <c r="N183" s="68"/>
      <c r="O183" s="68"/>
      <c r="P183" s="68"/>
      <c r="Q183" s="68"/>
      <c r="R183" s="68"/>
      <c r="S183" s="68"/>
    </row>
    <row r="184" spans="2:19" x14ac:dyDescent="0.3">
      <c r="B184" s="68"/>
      <c r="C184" s="68"/>
      <c r="D184" s="68"/>
      <c r="E184" s="68"/>
      <c r="F184" s="68"/>
      <c r="G184" s="68"/>
      <c r="H184" s="68"/>
      <c r="I184" s="68"/>
      <c r="J184" s="68"/>
      <c r="K184" s="68"/>
      <c r="L184" s="68"/>
      <c r="M184" s="68"/>
      <c r="N184" s="68"/>
      <c r="O184" s="68"/>
      <c r="P184" s="68"/>
      <c r="Q184" s="68"/>
      <c r="R184" s="68"/>
      <c r="S184" s="68"/>
    </row>
    <row r="185" spans="2:19" x14ac:dyDescent="0.3">
      <c r="B185" s="68"/>
      <c r="C185" s="68"/>
      <c r="D185" s="68"/>
      <c r="E185" s="68"/>
      <c r="F185" s="68"/>
      <c r="G185" s="68"/>
      <c r="H185" s="68"/>
      <c r="I185" s="68"/>
      <c r="J185" s="68"/>
      <c r="K185" s="68"/>
      <c r="L185" s="68"/>
      <c r="M185" s="68"/>
      <c r="N185" s="68"/>
      <c r="O185" s="68"/>
      <c r="P185" s="68"/>
      <c r="Q185" s="68"/>
      <c r="R185" s="68"/>
      <c r="S185" s="68"/>
    </row>
    <row r="186" spans="2:19" x14ac:dyDescent="0.3">
      <c r="B186" s="68"/>
      <c r="C186" s="68"/>
      <c r="D186" s="68"/>
      <c r="E186" s="68"/>
      <c r="F186" s="68"/>
      <c r="G186" s="68"/>
      <c r="H186" s="68"/>
      <c r="I186" s="68"/>
      <c r="J186" s="68"/>
      <c r="K186" s="68"/>
      <c r="L186" s="68"/>
      <c r="M186" s="68"/>
      <c r="N186" s="68"/>
      <c r="O186" s="68"/>
      <c r="P186" s="68"/>
      <c r="Q186" s="68"/>
      <c r="R186" s="68"/>
      <c r="S186" s="68"/>
    </row>
    <row r="187" spans="2:19" x14ac:dyDescent="0.3">
      <c r="B187" s="68"/>
      <c r="C187" s="68"/>
      <c r="D187" s="68"/>
      <c r="E187" s="68"/>
      <c r="F187" s="68"/>
      <c r="G187" s="68"/>
      <c r="H187" s="68"/>
      <c r="I187" s="68"/>
      <c r="J187" s="68"/>
      <c r="K187" s="68"/>
      <c r="L187" s="68"/>
      <c r="M187" s="68"/>
      <c r="N187" s="68"/>
      <c r="O187" s="68"/>
      <c r="P187" s="68"/>
      <c r="Q187" s="68"/>
      <c r="R187" s="68"/>
      <c r="S187" s="68"/>
    </row>
    <row r="188" spans="2:19" x14ac:dyDescent="0.3">
      <c r="B188" s="68"/>
      <c r="C188" s="68"/>
      <c r="D188" s="68"/>
      <c r="E188" s="68"/>
      <c r="F188" s="68"/>
      <c r="G188" s="68"/>
      <c r="H188" s="68"/>
      <c r="I188" s="68"/>
      <c r="J188" s="68"/>
      <c r="K188" s="68"/>
      <c r="L188" s="68"/>
      <c r="M188" s="68"/>
      <c r="N188" s="68"/>
      <c r="O188" s="68"/>
      <c r="P188" s="68"/>
      <c r="Q188" s="68"/>
      <c r="R188" s="68"/>
      <c r="S188" s="68"/>
    </row>
    <row r="189" spans="2:19" x14ac:dyDescent="0.3">
      <c r="B189" s="68"/>
      <c r="C189" s="68"/>
      <c r="D189" s="68"/>
      <c r="E189" s="68"/>
      <c r="F189" s="68"/>
      <c r="G189" s="68"/>
      <c r="H189" s="68"/>
      <c r="I189" s="68"/>
      <c r="J189" s="68"/>
      <c r="K189" s="68"/>
      <c r="L189" s="68"/>
      <c r="M189" s="68"/>
      <c r="N189" s="68"/>
      <c r="O189" s="68"/>
      <c r="P189" s="68"/>
      <c r="Q189" s="68"/>
      <c r="R189" s="68"/>
      <c r="S189" s="68"/>
    </row>
    <row r="190" spans="2:19" x14ac:dyDescent="0.3">
      <c r="B190" s="68"/>
      <c r="C190" s="68"/>
      <c r="D190" s="68"/>
      <c r="E190" s="68"/>
      <c r="F190" s="68"/>
      <c r="G190" s="68"/>
      <c r="H190" s="68"/>
      <c r="I190" s="68"/>
      <c r="J190" s="68"/>
      <c r="K190" s="68"/>
      <c r="L190" s="68"/>
      <c r="M190" s="68"/>
      <c r="N190" s="68"/>
      <c r="O190" s="68"/>
      <c r="P190" s="68"/>
      <c r="Q190" s="68"/>
      <c r="R190" s="68"/>
      <c r="S190" s="68"/>
    </row>
    <row r="191" spans="2:19" x14ac:dyDescent="0.3">
      <c r="B191" s="68"/>
      <c r="C191" s="68"/>
      <c r="D191" s="68"/>
      <c r="E191" s="68"/>
      <c r="F191" s="68"/>
      <c r="G191" s="68"/>
      <c r="H191" s="68"/>
      <c r="I191" s="68"/>
      <c r="J191" s="68"/>
      <c r="K191" s="68"/>
      <c r="L191" s="68"/>
      <c r="M191" s="68"/>
      <c r="N191" s="68"/>
      <c r="O191" s="68"/>
      <c r="P191" s="68"/>
      <c r="Q191" s="68"/>
      <c r="R191" s="68"/>
      <c r="S191" s="68"/>
    </row>
    <row r="192" spans="2:19" x14ac:dyDescent="0.3">
      <c r="B192" s="68"/>
      <c r="C192" s="68"/>
      <c r="D192" s="68"/>
      <c r="E192" s="68"/>
      <c r="F192" s="68"/>
      <c r="G192" s="68"/>
      <c r="H192" s="68"/>
      <c r="I192" s="68"/>
      <c r="J192" s="68"/>
      <c r="K192" s="68"/>
      <c r="L192" s="68"/>
      <c r="M192" s="68"/>
      <c r="N192" s="68"/>
      <c r="O192" s="68"/>
      <c r="P192" s="68"/>
      <c r="Q192" s="68"/>
      <c r="R192" s="68"/>
      <c r="S192" s="68"/>
    </row>
    <row r="193" spans="2:19" x14ac:dyDescent="0.3">
      <c r="B193" s="68"/>
      <c r="C193" s="68"/>
      <c r="D193" s="68"/>
      <c r="E193" s="68"/>
      <c r="F193" s="68"/>
      <c r="G193" s="68"/>
      <c r="H193" s="68"/>
      <c r="I193" s="68"/>
      <c r="J193" s="68"/>
      <c r="K193" s="68"/>
      <c r="L193" s="68"/>
      <c r="M193" s="68"/>
      <c r="N193" s="68"/>
      <c r="O193" s="68"/>
      <c r="P193" s="68"/>
      <c r="Q193" s="68"/>
      <c r="R193" s="68"/>
      <c r="S193" s="68"/>
    </row>
    <row r="194" spans="2:19" x14ac:dyDescent="0.3">
      <c r="B194" s="68"/>
      <c r="C194" s="68"/>
      <c r="D194" s="68"/>
      <c r="E194" s="68"/>
      <c r="F194" s="68"/>
      <c r="G194" s="68"/>
      <c r="H194" s="68"/>
      <c r="I194" s="68"/>
      <c r="J194" s="68"/>
      <c r="K194" s="68"/>
      <c r="L194" s="68"/>
      <c r="M194" s="68"/>
      <c r="N194" s="68"/>
      <c r="O194" s="68"/>
      <c r="P194" s="68"/>
      <c r="Q194" s="68"/>
      <c r="R194" s="68"/>
      <c r="S194" s="68"/>
    </row>
    <row r="195" spans="2:19" x14ac:dyDescent="0.3">
      <c r="B195" s="68"/>
      <c r="C195" s="68"/>
      <c r="D195" s="68"/>
      <c r="E195" s="68"/>
      <c r="F195" s="68"/>
      <c r="G195" s="68"/>
      <c r="H195" s="68"/>
      <c r="I195" s="68"/>
      <c r="J195" s="68"/>
      <c r="K195" s="68"/>
      <c r="L195" s="68"/>
      <c r="M195" s="68"/>
      <c r="N195" s="68"/>
      <c r="O195" s="68"/>
      <c r="P195" s="68"/>
      <c r="Q195" s="68"/>
      <c r="R195" s="68"/>
      <c r="S195" s="68"/>
    </row>
    <row r="196" spans="2:19" x14ac:dyDescent="0.3">
      <c r="B196" s="68"/>
      <c r="C196" s="68"/>
      <c r="D196" s="68"/>
      <c r="E196" s="68"/>
      <c r="F196" s="68"/>
      <c r="G196" s="68"/>
      <c r="H196" s="68"/>
      <c r="I196" s="68"/>
      <c r="J196" s="68"/>
      <c r="K196" s="68"/>
      <c r="L196" s="68"/>
      <c r="M196" s="68"/>
      <c r="N196" s="68"/>
      <c r="O196" s="68"/>
      <c r="P196" s="68"/>
      <c r="Q196" s="68"/>
      <c r="R196" s="68"/>
      <c r="S196" s="68"/>
    </row>
    <row r="197" spans="2:19" x14ac:dyDescent="0.3">
      <c r="B197" s="68"/>
      <c r="C197" s="68"/>
      <c r="D197" s="68"/>
      <c r="E197" s="68"/>
      <c r="F197" s="68"/>
      <c r="G197" s="68"/>
      <c r="H197" s="68"/>
      <c r="I197" s="68"/>
      <c r="J197" s="68"/>
      <c r="K197" s="68"/>
      <c r="L197" s="68"/>
      <c r="M197" s="68"/>
      <c r="N197" s="68"/>
      <c r="O197" s="68"/>
      <c r="P197" s="68"/>
      <c r="Q197" s="68"/>
      <c r="R197" s="68"/>
      <c r="S197" s="68"/>
    </row>
    <row r="198" spans="2:19" x14ac:dyDescent="0.3">
      <c r="B198" s="68"/>
      <c r="C198" s="68"/>
      <c r="D198" s="68"/>
      <c r="E198" s="68"/>
      <c r="F198" s="68"/>
      <c r="G198" s="68"/>
      <c r="H198" s="68"/>
      <c r="I198" s="68"/>
      <c r="J198" s="68"/>
      <c r="K198" s="68"/>
      <c r="L198" s="68"/>
      <c r="M198" s="68"/>
      <c r="N198" s="68"/>
      <c r="O198" s="68"/>
      <c r="P198" s="68"/>
      <c r="Q198" s="68"/>
      <c r="R198" s="68"/>
      <c r="S198" s="68"/>
    </row>
    <row r="199" spans="2:19" x14ac:dyDescent="0.3">
      <c r="B199" s="68"/>
      <c r="C199" s="68"/>
      <c r="D199" s="68"/>
      <c r="E199" s="68"/>
      <c r="F199" s="68"/>
      <c r="G199" s="68"/>
      <c r="H199" s="68"/>
      <c r="I199" s="68"/>
      <c r="J199" s="68"/>
      <c r="K199" s="68"/>
      <c r="L199" s="68"/>
      <c r="M199" s="68"/>
      <c r="N199" s="68"/>
      <c r="O199" s="68"/>
      <c r="P199" s="68"/>
      <c r="Q199" s="68"/>
      <c r="R199" s="68"/>
      <c r="S199" s="68"/>
    </row>
    <row r="200" spans="2:19" x14ac:dyDescent="0.3">
      <c r="B200" s="68"/>
      <c r="C200" s="68"/>
      <c r="D200" s="68"/>
      <c r="E200" s="68"/>
      <c r="F200" s="68"/>
      <c r="G200" s="68"/>
      <c r="H200" s="68"/>
      <c r="I200" s="68"/>
      <c r="J200" s="68"/>
      <c r="K200" s="68"/>
      <c r="L200" s="68"/>
      <c r="M200" s="68"/>
      <c r="N200" s="68"/>
      <c r="O200" s="68"/>
      <c r="P200" s="68"/>
      <c r="Q200" s="68"/>
      <c r="R200" s="68"/>
      <c r="S200" s="68"/>
    </row>
    <row r="201" spans="2:19" x14ac:dyDescent="0.3">
      <c r="B201" s="68"/>
      <c r="C201" s="68"/>
      <c r="D201" s="68"/>
      <c r="E201" s="68"/>
      <c r="F201" s="68"/>
      <c r="G201" s="68"/>
      <c r="H201" s="68"/>
      <c r="I201" s="68"/>
      <c r="J201" s="68"/>
      <c r="K201" s="68"/>
      <c r="L201" s="68"/>
      <c r="M201" s="68"/>
      <c r="N201" s="68"/>
      <c r="O201" s="68"/>
      <c r="P201" s="68"/>
      <c r="Q201" s="68"/>
      <c r="R201" s="68"/>
      <c r="S201" s="68"/>
    </row>
    <row r="202" spans="2:19" x14ac:dyDescent="0.3">
      <c r="B202" s="68"/>
      <c r="C202" s="68"/>
      <c r="D202" s="68"/>
      <c r="E202" s="68"/>
      <c r="F202" s="68"/>
      <c r="G202" s="68"/>
      <c r="H202" s="68"/>
      <c r="I202" s="68"/>
      <c r="J202" s="68"/>
      <c r="K202" s="68"/>
      <c r="L202" s="68"/>
      <c r="M202" s="68"/>
      <c r="N202" s="68"/>
      <c r="O202" s="68"/>
      <c r="P202" s="68"/>
      <c r="Q202" s="68"/>
      <c r="R202" s="68"/>
      <c r="S202" s="68"/>
    </row>
    <row r="203" spans="2:19" x14ac:dyDescent="0.3">
      <c r="B203" s="68"/>
      <c r="C203" s="68"/>
      <c r="D203" s="68"/>
      <c r="E203" s="68"/>
      <c r="F203" s="68"/>
      <c r="G203" s="68"/>
      <c r="H203" s="68"/>
      <c r="I203" s="68"/>
      <c r="J203" s="68"/>
      <c r="K203" s="68"/>
      <c r="L203" s="68"/>
      <c r="M203" s="68"/>
      <c r="N203" s="68"/>
      <c r="O203" s="68"/>
      <c r="P203" s="68"/>
      <c r="Q203" s="68"/>
      <c r="R203" s="68"/>
      <c r="S203" s="68"/>
    </row>
    <row r="204" spans="2:19" x14ac:dyDescent="0.3">
      <c r="B204" s="68"/>
      <c r="C204" s="68"/>
      <c r="D204" s="68"/>
      <c r="E204" s="68"/>
      <c r="F204" s="68"/>
      <c r="G204" s="68"/>
      <c r="H204" s="68"/>
      <c r="I204" s="68"/>
      <c r="J204" s="68"/>
      <c r="K204" s="68"/>
      <c r="L204" s="68"/>
      <c r="M204" s="68"/>
      <c r="N204" s="68"/>
      <c r="O204" s="68"/>
      <c r="P204" s="68"/>
      <c r="Q204" s="68"/>
      <c r="R204" s="68"/>
      <c r="S204" s="68"/>
    </row>
    <row r="205" spans="2:19" x14ac:dyDescent="0.3">
      <c r="B205" s="68"/>
      <c r="C205" s="68"/>
      <c r="D205" s="68"/>
      <c r="E205" s="68"/>
      <c r="F205" s="68"/>
      <c r="G205" s="68"/>
      <c r="H205" s="68"/>
      <c r="I205" s="68"/>
      <c r="J205" s="68"/>
      <c r="K205" s="68"/>
      <c r="L205" s="68"/>
      <c r="M205" s="68"/>
      <c r="N205" s="68"/>
      <c r="O205" s="68"/>
      <c r="P205" s="68"/>
      <c r="Q205" s="68"/>
      <c r="R205" s="68"/>
      <c r="S205" s="68"/>
    </row>
    <row r="206" spans="2:19" x14ac:dyDescent="0.3">
      <c r="B206" s="68"/>
      <c r="C206" s="68"/>
      <c r="D206" s="68"/>
      <c r="E206" s="68"/>
      <c r="F206" s="68"/>
      <c r="G206" s="68"/>
      <c r="H206" s="68"/>
      <c r="I206" s="68"/>
      <c r="J206" s="68"/>
      <c r="K206" s="68"/>
      <c r="L206" s="68"/>
      <c r="M206" s="68"/>
      <c r="N206" s="68"/>
      <c r="O206" s="68"/>
      <c r="P206" s="68"/>
      <c r="Q206" s="68"/>
      <c r="R206" s="68"/>
      <c r="S206" s="68"/>
    </row>
    <row r="207" spans="2:19" x14ac:dyDescent="0.3">
      <c r="B207" s="68"/>
      <c r="C207" s="68"/>
      <c r="D207" s="68"/>
      <c r="E207" s="68"/>
      <c r="F207" s="68"/>
      <c r="G207" s="68"/>
      <c r="H207" s="68"/>
      <c r="I207" s="68"/>
      <c r="J207" s="68"/>
      <c r="K207" s="68"/>
      <c r="L207" s="68"/>
      <c r="M207" s="68"/>
      <c r="N207" s="68"/>
      <c r="O207" s="68"/>
      <c r="P207" s="68"/>
      <c r="Q207" s="68"/>
      <c r="R207" s="68"/>
      <c r="S207" s="68"/>
    </row>
    <row r="208" spans="2:19" x14ac:dyDescent="0.3">
      <c r="B208" s="68"/>
      <c r="C208" s="68"/>
      <c r="D208" s="68"/>
      <c r="E208" s="68"/>
      <c r="F208" s="68"/>
      <c r="G208" s="68"/>
      <c r="H208" s="68"/>
      <c r="I208" s="68"/>
      <c r="J208" s="68"/>
      <c r="K208" s="68"/>
      <c r="L208" s="68"/>
      <c r="M208" s="68"/>
      <c r="N208" s="68"/>
      <c r="O208" s="68"/>
      <c r="P208" s="68"/>
      <c r="Q208" s="68"/>
      <c r="R208" s="68"/>
      <c r="S208" s="68"/>
    </row>
    <row r="209" spans="2:19" x14ac:dyDescent="0.3">
      <c r="B209" s="68"/>
      <c r="C209" s="68"/>
      <c r="D209" s="68"/>
      <c r="E209" s="68"/>
      <c r="F209" s="68"/>
      <c r="G209" s="68"/>
      <c r="H209" s="68"/>
      <c r="I209" s="68"/>
      <c r="J209" s="68"/>
      <c r="K209" s="68"/>
      <c r="L209" s="68"/>
      <c r="M209" s="68"/>
      <c r="N209" s="68"/>
      <c r="O209" s="68"/>
      <c r="P209" s="68"/>
      <c r="Q209" s="68"/>
      <c r="R209" s="68"/>
      <c r="S209" s="68"/>
    </row>
    <row r="210" spans="2:19" x14ac:dyDescent="0.3">
      <c r="B210" s="68"/>
      <c r="C210" s="68"/>
      <c r="D210" s="68"/>
      <c r="E210" s="68"/>
      <c r="F210" s="68"/>
      <c r="G210" s="68"/>
      <c r="H210" s="68"/>
      <c r="I210" s="68"/>
      <c r="J210" s="68"/>
      <c r="K210" s="68"/>
      <c r="L210" s="68"/>
      <c r="M210" s="68"/>
      <c r="N210" s="68"/>
      <c r="O210" s="68"/>
      <c r="P210" s="68"/>
      <c r="Q210" s="68"/>
      <c r="R210" s="68"/>
      <c r="S210" s="68"/>
    </row>
    <row r="211" spans="2:19" x14ac:dyDescent="0.3">
      <c r="B211" s="68"/>
      <c r="C211" s="68"/>
      <c r="D211" s="68"/>
      <c r="E211" s="68"/>
      <c r="F211" s="68"/>
      <c r="G211" s="68"/>
      <c r="H211" s="68"/>
      <c r="I211" s="68"/>
      <c r="J211" s="68"/>
      <c r="K211" s="68"/>
      <c r="L211" s="68"/>
      <c r="M211" s="68"/>
      <c r="N211" s="68"/>
      <c r="O211" s="68"/>
      <c r="P211" s="68"/>
      <c r="Q211" s="68"/>
      <c r="R211" s="68"/>
      <c r="S211" s="68"/>
    </row>
    <row r="212" spans="2:19" x14ac:dyDescent="0.3">
      <c r="B212" s="68"/>
      <c r="C212" s="68"/>
      <c r="D212" s="68"/>
      <c r="E212" s="68"/>
      <c r="F212" s="68"/>
      <c r="G212" s="68"/>
      <c r="H212" s="68"/>
      <c r="I212" s="68"/>
      <c r="J212" s="68"/>
      <c r="K212" s="68"/>
      <c r="L212" s="68"/>
      <c r="M212" s="68"/>
      <c r="N212" s="68"/>
      <c r="O212" s="68"/>
      <c r="P212" s="68"/>
      <c r="Q212" s="68"/>
      <c r="R212" s="68"/>
      <c r="S212" s="68"/>
    </row>
    <row r="213" spans="2:19" x14ac:dyDescent="0.3">
      <c r="B213" s="68"/>
      <c r="C213" s="68"/>
      <c r="D213" s="68"/>
      <c r="E213" s="68"/>
      <c r="F213" s="68"/>
      <c r="G213" s="68"/>
      <c r="H213" s="68"/>
      <c r="I213" s="68"/>
      <c r="J213" s="68"/>
      <c r="K213" s="68"/>
      <c r="L213" s="68"/>
      <c r="M213" s="68"/>
      <c r="N213" s="68"/>
      <c r="O213" s="68"/>
      <c r="P213" s="68"/>
      <c r="Q213" s="68"/>
      <c r="R213" s="68"/>
      <c r="S213" s="68"/>
    </row>
    <row r="214" spans="2:19" x14ac:dyDescent="0.3">
      <c r="B214" s="68"/>
      <c r="C214" s="68"/>
      <c r="D214" s="68"/>
      <c r="E214" s="68"/>
      <c r="F214" s="68"/>
      <c r="G214" s="68"/>
      <c r="H214" s="68"/>
      <c r="I214" s="68"/>
      <c r="J214" s="68"/>
      <c r="K214" s="68"/>
      <c r="L214" s="68"/>
      <c r="M214" s="68"/>
      <c r="N214" s="68"/>
      <c r="O214" s="68"/>
      <c r="P214" s="68"/>
      <c r="Q214" s="68"/>
      <c r="R214" s="68"/>
      <c r="S214" s="68"/>
    </row>
    <row r="215" spans="2:19" x14ac:dyDescent="0.3">
      <c r="B215" s="68"/>
      <c r="C215" s="68"/>
      <c r="D215" s="68"/>
      <c r="E215" s="68"/>
      <c r="F215" s="68"/>
      <c r="G215" s="68"/>
      <c r="H215" s="68"/>
      <c r="I215" s="68"/>
      <c r="J215" s="68"/>
      <c r="K215" s="68"/>
      <c r="L215" s="68"/>
      <c r="M215" s="68"/>
      <c r="N215" s="68"/>
      <c r="O215" s="68"/>
      <c r="P215" s="68"/>
      <c r="Q215" s="68"/>
      <c r="R215" s="68"/>
      <c r="S215" s="68"/>
    </row>
    <row r="216" spans="2:19" x14ac:dyDescent="0.3">
      <c r="B216" s="68"/>
      <c r="C216" s="68"/>
      <c r="D216" s="68"/>
      <c r="E216" s="68"/>
      <c r="F216" s="68"/>
      <c r="G216" s="68"/>
      <c r="H216" s="68"/>
      <c r="I216" s="68"/>
      <c r="J216" s="68"/>
      <c r="K216" s="68"/>
      <c r="L216" s="68"/>
      <c r="M216" s="68"/>
      <c r="N216" s="68"/>
      <c r="O216" s="68"/>
      <c r="P216" s="68"/>
      <c r="Q216" s="68"/>
      <c r="R216" s="68"/>
      <c r="S216" s="68"/>
    </row>
    <row r="217" spans="2:19" x14ac:dyDescent="0.3">
      <c r="B217" s="68"/>
      <c r="C217" s="68"/>
      <c r="D217" s="68"/>
      <c r="E217" s="68"/>
      <c r="F217" s="68"/>
      <c r="G217" s="68"/>
      <c r="H217" s="68"/>
      <c r="I217" s="68"/>
      <c r="J217" s="68"/>
      <c r="K217" s="68"/>
      <c r="L217" s="68"/>
      <c r="M217" s="68"/>
      <c r="N217" s="68"/>
      <c r="O217" s="68"/>
      <c r="P217" s="68"/>
      <c r="Q217" s="68"/>
      <c r="R217" s="68"/>
      <c r="S217" s="68"/>
    </row>
    <row r="218" spans="2:19" x14ac:dyDescent="0.3">
      <c r="B218" s="68"/>
      <c r="C218" s="68"/>
      <c r="D218" s="68"/>
      <c r="E218" s="68"/>
      <c r="F218" s="68"/>
      <c r="G218" s="68"/>
      <c r="H218" s="68"/>
      <c r="I218" s="68"/>
      <c r="J218" s="68"/>
      <c r="K218" s="68"/>
      <c r="L218" s="68"/>
      <c r="M218" s="68"/>
      <c r="N218" s="68"/>
      <c r="O218" s="68"/>
      <c r="P218" s="68"/>
      <c r="Q218" s="68"/>
      <c r="R218" s="68"/>
      <c r="S218" s="68"/>
    </row>
    <row r="219" spans="2:19" x14ac:dyDescent="0.3">
      <c r="B219" s="68"/>
      <c r="C219" s="68"/>
      <c r="D219" s="68"/>
      <c r="E219" s="68"/>
      <c r="F219" s="68"/>
      <c r="G219" s="68"/>
      <c r="H219" s="68"/>
      <c r="I219" s="68"/>
      <c r="J219" s="68"/>
      <c r="K219" s="68"/>
      <c r="L219" s="68"/>
      <c r="M219" s="68"/>
      <c r="N219" s="68"/>
      <c r="O219" s="68"/>
      <c r="P219" s="68"/>
      <c r="Q219" s="68"/>
      <c r="R219" s="68"/>
      <c r="S219" s="68"/>
    </row>
    <row r="220" spans="2:19" x14ac:dyDescent="0.3">
      <c r="B220" s="68"/>
      <c r="C220" s="68"/>
      <c r="D220" s="68"/>
      <c r="E220" s="68"/>
      <c r="F220" s="68"/>
      <c r="G220" s="68"/>
      <c r="H220" s="68"/>
      <c r="I220" s="68"/>
      <c r="J220" s="68"/>
      <c r="K220" s="68"/>
      <c r="L220" s="68"/>
      <c r="M220" s="68"/>
      <c r="N220" s="68"/>
      <c r="O220" s="68"/>
      <c r="P220" s="68"/>
      <c r="Q220" s="68"/>
      <c r="R220" s="68"/>
      <c r="S220" s="68"/>
    </row>
    <row r="221" spans="2:19" x14ac:dyDescent="0.3">
      <c r="B221" s="68"/>
      <c r="C221" s="68"/>
      <c r="D221" s="68"/>
      <c r="E221" s="68"/>
      <c r="F221" s="68"/>
      <c r="G221" s="68"/>
      <c r="H221" s="68"/>
      <c r="I221" s="68"/>
      <c r="J221" s="68"/>
      <c r="K221" s="68"/>
      <c r="L221" s="68"/>
      <c r="M221" s="68"/>
      <c r="N221" s="68"/>
      <c r="O221" s="68"/>
      <c r="P221" s="68"/>
      <c r="Q221" s="68"/>
      <c r="R221" s="68"/>
      <c r="S221" s="68"/>
    </row>
    <row r="222" spans="2:19" x14ac:dyDescent="0.3">
      <c r="B222" s="68"/>
      <c r="C222" s="68"/>
      <c r="D222" s="68"/>
      <c r="E222" s="68"/>
      <c r="F222" s="68"/>
      <c r="G222" s="68"/>
      <c r="H222" s="68"/>
      <c r="I222" s="68"/>
      <c r="J222" s="68"/>
      <c r="K222" s="68"/>
      <c r="L222" s="68"/>
      <c r="M222" s="68"/>
      <c r="N222" s="68"/>
      <c r="O222" s="68"/>
      <c r="P222" s="68"/>
      <c r="Q222" s="68"/>
      <c r="R222" s="68"/>
      <c r="S222" s="68"/>
    </row>
    <row r="223" spans="2:19" x14ac:dyDescent="0.3">
      <c r="B223" s="68"/>
      <c r="C223" s="68"/>
      <c r="D223" s="68"/>
      <c r="E223" s="68"/>
      <c r="F223" s="68"/>
      <c r="G223" s="68"/>
      <c r="H223" s="68"/>
      <c r="I223" s="68"/>
      <c r="J223" s="68"/>
      <c r="K223" s="68"/>
      <c r="L223" s="68"/>
      <c r="M223" s="68"/>
      <c r="N223" s="68"/>
      <c r="O223" s="68"/>
      <c r="P223" s="68"/>
      <c r="Q223" s="68"/>
      <c r="R223" s="68"/>
      <c r="S223" s="68"/>
    </row>
    <row r="224" spans="2:19" x14ac:dyDescent="0.3">
      <c r="B224" s="68"/>
      <c r="C224" s="68"/>
      <c r="D224" s="68"/>
      <c r="E224" s="68"/>
      <c r="F224" s="68"/>
      <c r="G224" s="68"/>
      <c r="H224" s="68"/>
      <c r="I224" s="68"/>
      <c r="J224" s="68"/>
      <c r="K224" s="68"/>
      <c r="L224" s="68"/>
      <c r="M224" s="68"/>
      <c r="N224" s="68"/>
      <c r="O224" s="68"/>
      <c r="P224" s="68"/>
      <c r="Q224" s="68"/>
      <c r="R224" s="68"/>
      <c r="S224" s="68"/>
    </row>
    <row r="225" spans="2:19" x14ac:dyDescent="0.3">
      <c r="B225" s="68"/>
      <c r="C225" s="68"/>
      <c r="D225" s="68"/>
      <c r="E225" s="68"/>
      <c r="F225" s="68"/>
      <c r="G225" s="68"/>
      <c r="H225" s="68"/>
      <c r="I225" s="68"/>
      <c r="J225" s="68"/>
      <c r="K225" s="68"/>
      <c r="L225" s="68"/>
      <c r="M225" s="68"/>
      <c r="N225" s="68"/>
      <c r="O225" s="68"/>
      <c r="P225" s="68"/>
      <c r="Q225" s="68"/>
      <c r="R225" s="68"/>
      <c r="S225" s="68"/>
    </row>
    <row r="226" spans="2:19" x14ac:dyDescent="0.3">
      <c r="B226" s="68"/>
      <c r="C226" s="68"/>
      <c r="D226" s="68"/>
      <c r="E226" s="68"/>
      <c r="F226" s="68"/>
      <c r="G226" s="68"/>
      <c r="H226" s="68"/>
      <c r="I226" s="68"/>
      <c r="J226" s="68"/>
      <c r="K226" s="68"/>
      <c r="L226" s="68"/>
      <c r="M226" s="68"/>
      <c r="N226" s="68"/>
      <c r="O226" s="68"/>
      <c r="P226" s="68"/>
      <c r="Q226" s="68"/>
      <c r="R226" s="68"/>
      <c r="S226" s="68"/>
    </row>
    <row r="227" spans="2:19" x14ac:dyDescent="0.3">
      <c r="B227" s="68"/>
      <c r="C227" s="68"/>
      <c r="D227" s="68"/>
      <c r="E227" s="68"/>
      <c r="F227" s="68"/>
      <c r="G227" s="68"/>
      <c r="H227" s="68"/>
      <c r="I227" s="68"/>
      <c r="J227" s="68"/>
      <c r="K227" s="68"/>
      <c r="L227" s="68"/>
      <c r="M227" s="68"/>
      <c r="N227" s="68"/>
      <c r="O227" s="68"/>
      <c r="P227" s="68"/>
      <c r="Q227" s="68"/>
      <c r="R227" s="68"/>
      <c r="S227" s="68"/>
    </row>
    <row r="228" spans="2:19" x14ac:dyDescent="0.3">
      <c r="B228" s="68"/>
      <c r="C228" s="68"/>
      <c r="D228" s="68"/>
      <c r="E228" s="68"/>
      <c r="F228" s="68"/>
      <c r="G228" s="68"/>
      <c r="H228" s="68"/>
      <c r="I228" s="68"/>
      <c r="J228" s="68"/>
      <c r="K228" s="68"/>
      <c r="L228" s="68"/>
      <c r="M228" s="68"/>
      <c r="N228" s="68"/>
      <c r="O228" s="68"/>
      <c r="P228" s="68"/>
      <c r="Q228" s="68"/>
      <c r="R228" s="68"/>
      <c r="S228" s="68"/>
    </row>
    <row r="229" spans="2:19" x14ac:dyDescent="0.3">
      <c r="B229" s="68"/>
      <c r="C229" s="68"/>
      <c r="D229" s="68"/>
      <c r="E229" s="68"/>
      <c r="F229" s="68"/>
      <c r="G229" s="68"/>
      <c r="H229" s="68"/>
      <c r="I229" s="68"/>
      <c r="J229" s="68"/>
      <c r="K229" s="68"/>
      <c r="L229" s="68"/>
      <c r="M229" s="68"/>
      <c r="N229" s="68"/>
      <c r="O229" s="68"/>
      <c r="P229" s="68"/>
      <c r="Q229" s="68"/>
      <c r="R229" s="68"/>
      <c r="S229" s="68"/>
    </row>
    <row r="230" spans="2:19" x14ac:dyDescent="0.3">
      <c r="B230" s="68"/>
      <c r="C230" s="68"/>
      <c r="D230" s="68"/>
      <c r="E230" s="68"/>
      <c r="F230" s="68"/>
      <c r="G230" s="68"/>
      <c r="H230" s="68"/>
      <c r="I230" s="68"/>
      <c r="J230" s="68"/>
      <c r="K230" s="68"/>
      <c r="L230" s="68"/>
      <c r="M230" s="68"/>
      <c r="N230" s="68"/>
      <c r="O230" s="68"/>
      <c r="P230" s="68"/>
      <c r="Q230" s="68"/>
      <c r="R230" s="68"/>
      <c r="S230" s="68"/>
    </row>
    <row r="231" spans="2:19" x14ac:dyDescent="0.3">
      <c r="B231" s="68"/>
      <c r="C231" s="68"/>
      <c r="D231" s="68"/>
      <c r="E231" s="68"/>
      <c r="F231" s="68"/>
      <c r="G231" s="68"/>
      <c r="H231" s="68"/>
      <c r="I231" s="68"/>
      <c r="J231" s="68"/>
      <c r="K231" s="68"/>
      <c r="L231" s="68"/>
      <c r="M231" s="68"/>
      <c r="N231" s="68"/>
      <c r="O231" s="68"/>
      <c r="P231" s="68"/>
      <c r="Q231" s="68"/>
      <c r="R231" s="68"/>
      <c r="S231" s="68"/>
    </row>
    <row r="232" spans="2:19" x14ac:dyDescent="0.3">
      <c r="B232" s="68"/>
      <c r="C232" s="68"/>
      <c r="D232" s="68"/>
      <c r="E232" s="68"/>
      <c r="F232" s="68"/>
      <c r="G232" s="68"/>
      <c r="H232" s="68"/>
      <c r="I232" s="68"/>
      <c r="J232" s="68"/>
      <c r="K232" s="68"/>
      <c r="L232" s="68"/>
      <c r="M232" s="68"/>
      <c r="N232" s="68"/>
      <c r="O232" s="68"/>
      <c r="P232" s="68"/>
      <c r="Q232" s="68"/>
      <c r="R232" s="68"/>
      <c r="S232" s="68"/>
    </row>
    <row r="233" spans="2:19" x14ac:dyDescent="0.3">
      <c r="B233" s="68"/>
      <c r="C233" s="68"/>
      <c r="D233" s="68"/>
      <c r="E233" s="68"/>
      <c r="F233" s="68"/>
      <c r="G233" s="68"/>
      <c r="H233" s="68"/>
      <c r="I233" s="68"/>
      <c r="J233" s="68"/>
      <c r="K233" s="68"/>
      <c r="L233" s="68"/>
      <c r="M233" s="68"/>
      <c r="N233" s="68"/>
      <c r="O233" s="68"/>
      <c r="P233" s="68"/>
      <c r="Q233" s="68"/>
      <c r="R233" s="68"/>
      <c r="S233" s="68"/>
    </row>
    <row r="234" spans="2:19" x14ac:dyDescent="0.3">
      <c r="B234" s="68"/>
      <c r="C234" s="68"/>
      <c r="D234" s="68"/>
      <c r="E234" s="68"/>
      <c r="F234" s="68"/>
      <c r="G234" s="68"/>
      <c r="H234" s="68"/>
      <c r="I234" s="68"/>
      <c r="J234" s="68"/>
      <c r="K234" s="68"/>
      <c r="L234" s="68"/>
      <c r="M234" s="68"/>
      <c r="N234" s="68"/>
      <c r="O234" s="68"/>
      <c r="P234" s="68"/>
      <c r="Q234" s="68"/>
      <c r="R234" s="68"/>
      <c r="S234" s="68"/>
    </row>
    <row r="235" spans="2:19" x14ac:dyDescent="0.3">
      <c r="B235" s="68"/>
      <c r="C235" s="68"/>
      <c r="D235" s="68"/>
      <c r="E235" s="68"/>
      <c r="F235" s="68"/>
      <c r="G235" s="68"/>
      <c r="H235" s="68"/>
      <c r="I235" s="68"/>
      <c r="J235" s="68"/>
      <c r="K235" s="68"/>
      <c r="L235" s="68"/>
      <c r="M235" s="68"/>
      <c r="N235" s="68"/>
      <c r="O235" s="68"/>
      <c r="P235" s="68"/>
      <c r="Q235" s="68"/>
      <c r="R235" s="68"/>
      <c r="S235" s="68"/>
    </row>
    <row r="236" spans="2:19" x14ac:dyDescent="0.3">
      <c r="B236" s="68"/>
      <c r="C236" s="68"/>
      <c r="D236" s="68"/>
      <c r="E236" s="68"/>
      <c r="F236" s="68"/>
      <c r="G236" s="68"/>
      <c r="H236" s="68"/>
      <c r="I236" s="68"/>
      <c r="J236" s="68"/>
      <c r="K236" s="68"/>
      <c r="L236" s="68"/>
      <c r="M236" s="68"/>
      <c r="N236" s="68"/>
      <c r="O236" s="68"/>
      <c r="P236" s="68"/>
      <c r="Q236" s="68"/>
      <c r="R236" s="68"/>
      <c r="S236" s="68"/>
    </row>
    <row r="237" spans="2:19" x14ac:dyDescent="0.3">
      <c r="B237" s="68"/>
      <c r="C237" s="68"/>
      <c r="D237" s="68"/>
      <c r="E237" s="68"/>
      <c r="F237" s="68"/>
      <c r="G237" s="68"/>
      <c r="H237" s="68"/>
      <c r="I237" s="68"/>
      <c r="J237" s="68"/>
      <c r="K237" s="68"/>
      <c r="L237" s="68"/>
      <c r="M237" s="68"/>
      <c r="N237" s="68"/>
      <c r="O237" s="68"/>
      <c r="P237" s="68"/>
      <c r="Q237" s="68"/>
      <c r="R237" s="68"/>
      <c r="S237" s="68"/>
    </row>
    <row r="238" spans="2:19" x14ac:dyDescent="0.3">
      <c r="B238" s="68"/>
      <c r="C238" s="68"/>
      <c r="D238" s="68"/>
      <c r="E238" s="68"/>
      <c r="F238" s="68"/>
      <c r="G238" s="68"/>
      <c r="H238" s="68"/>
      <c r="I238" s="68"/>
      <c r="J238" s="68"/>
      <c r="K238" s="68"/>
      <c r="L238" s="68"/>
      <c r="M238" s="68"/>
      <c r="N238" s="68"/>
      <c r="O238" s="68"/>
      <c r="P238" s="68"/>
      <c r="Q238" s="68"/>
      <c r="R238" s="68"/>
      <c r="S238" s="68"/>
    </row>
    <row r="239" spans="2:19" x14ac:dyDescent="0.3">
      <c r="B239" s="68"/>
      <c r="C239" s="68"/>
      <c r="D239" s="68"/>
      <c r="E239" s="68"/>
      <c r="F239" s="68"/>
      <c r="G239" s="68"/>
      <c r="H239" s="68"/>
      <c r="I239" s="68"/>
      <c r="J239" s="68"/>
      <c r="K239" s="68"/>
      <c r="L239" s="68"/>
      <c r="M239" s="68"/>
      <c r="N239" s="68"/>
      <c r="O239" s="68"/>
      <c r="P239" s="68"/>
      <c r="Q239" s="68"/>
      <c r="R239" s="68"/>
      <c r="S239" s="68"/>
    </row>
    <row r="240" spans="2:19" x14ac:dyDescent="0.3">
      <c r="B240" s="68"/>
      <c r="C240" s="68"/>
      <c r="D240" s="68"/>
      <c r="E240" s="68"/>
      <c r="F240" s="68"/>
      <c r="G240" s="68"/>
      <c r="H240" s="68"/>
      <c r="I240" s="68"/>
      <c r="J240" s="68"/>
      <c r="K240" s="68"/>
      <c r="L240" s="68"/>
      <c r="M240" s="68"/>
      <c r="N240" s="68"/>
      <c r="O240" s="68"/>
      <c r="P240" s="68"/>
      <c r="Q240" s="68"/>
      <c r="R240" s="68"/>
      <c r="S240" s="68"/>
    </row>
    <row r="241" spans="2:19" x14ac:dyDescent="0.3">
      <c r="B241" s="68"/>
      <c r="C241" s="68"/>
      <c r="D241" s="68"/>
      <c r="E241" s="68"/>
      <c r="F241" s="68"/>
      <c r="G241" s="68"/>
      <c r="H241" s="68"/>
      <c r="I241" s="68"/>
      <c r="J241" s="68"/>
      <c r="K241" s="68"/>
      <c r="L241" s="68"/>
      <c r="M241" s="68"/>
      <c r="N241" s="68"/>
      <c r="O241" s="68"/>
      <c r="P241" s="68"/>
      <c r="Q241" s="68"/>
      <c r="R241" s="68"/>
      <c r="S241" s="68"/>
    </row>
    <row r="242" spans="2:19" x14ac:dyDescent="0.3">
      <c r="B242" s="68"/>
      <c r="C242" s="68"/>
      <c r="D242" s="68"/>
      <c r="E242" s="68"/>
      <c r="F242" s="68"/>
      <c r="G242" s="68"/>
      <c r="H242" s="68"/>
      <c r="I242" s="68"/>
      <c r="J242" s="68"/>
      <c r="K242" s="68"/>
      <c r="L242" s="68"/>
      <c r="M242" s="68"/>
      <c r="N242" s="68"/>
      <c r="O242" s="68"/>
      <c r="P242" s="68"/>
      <c r="Q242" s="68"/>
      <c r="R242" s="68"/>
      <c r="S242" s="68"/>
    </row>
    <row r="243" spans="2:19" x14ac:dyDescent="0.3">
      <c r="B243" s="68"/>
      <c r="C243" s="68"/>
      <c r="D243" s="68"/>
      <c r="E243" s="68"/>
      <c r="F243" s="68"/>
      <c r="G243" s="68"/>
      <c r="H243" s="68"/>
      <c r="I243" s="68"/>
      <c r="J243" s="68"/>
      <c r="K243" s="68"/>
      <c r="L243" s="68"/>
      <c r="M243" s="68"/>
      <c r="N243" s="68"/>
      <c r="O243" s="68"/>
      <c r="P243" s="68"/>
      <c r="Q243" s="68"/>
      <c r="R243" s="68"/>
      <c r="S243" s="68"/>
    </row>
    <row r="244" spans="2:19" x14ac:dyDescent="0.3">
      <c r="B244" s="68"/>
      <c r="C244" s="68"/>
      <c r="D244" s="68"/>
      <c r="E244" s="68"/>
      <c r="F244" s="68"/>
      <c r="G244" s="68"/>
      <c r="H244" s="68"/>
      <c r="I244" s="68"/>
      <c r="J244" s="68"/>
      <c r="K244" s="68"/>
      <c r="L244" s="68"/>
      <c r="M244" s="68"/>
      <c r="N244" s="68"/>
      <c r="O244" s="68"/>
      <c r="P244" s="68"/>
      <c r="Q244" s="68"/>
      <c r="R244" s="68"/>
      <c r="S244" s="68"/>
    </row>
  </sheetData>
  <sheetProtection sheet="1" objects="1" scenarios="1" selectLockedCells="1" selectUnlockedCells="1"/>
  <mergeCells count="5">
    <mergeCell ref="U4:U6"/>
    <mergeCell ref="A5:A6"/>
    <mergeCell ref="A2:S2"/>
    <mergeCell ref="B5:S5"/>
    <mergeCell ref="A1:XFD1"/>
  </mergeCells>
  <conditionalFormatting sqref="B4:S4">
    <cfRule type="colorScale" priority="1">
      <colorScale>
        <cfvo type="num" val="1"/>
        <cfvo type="percentile" val="50"/>
        <cfvo type="num" val="18"/>
        <color rgb="FF63BE7B"/>
        <color rgb="FFFFEB84"/>
        <color rgb="FFF8696B"/>
      </colorScale>
    </cfRule>
  </conditionalFormatting>
  <conditionalFormatting sqref="B7:S161">
    <cfRule type="colorScale" priority="2">
      <colorScale>
        <cfvo type="num" val="1"/>
        <cfvo type="percentile" val="50"/>
        <cfvo type="num" val="18"/>
        <color rgb="FF63BE7B"/>
        <color rgb="FFFFEB84"/>
        <color rgb="FFF8696B"/>
      </colorScale>
    </cfRule>
  </conditionalFormatting>
  <dataValidations count="1">
    <dataValidation type="list" allowBlank="1" showInputMessage="1" showErrorMessage="1" sqref="U4" xr:uid="{5444E018-D60D-4E35-9172-7BC8ED8A6C94}">
      <formula1>"World Error, Image Error"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2E66C0F-B8A6-443B-B2B0-6B5747037B48}">
          <x14:formula1>
            <xm:f>'Data-Lists'!$F$4:$F$101</xm:f>
          </x14:formula1>
          <xm:sqref>F1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8D3E-1EDC-4637-ACF0-9DA208AEC8CC}">
  <sheetPr>
    <tabColor theme="9" tint="0.39997558519241921"/>
  </sheetPr>
  <dimension ref="A1:W244"/>
  <sheetViews>
    <sheetView workbookViewId="0">
      <selection sqref="A1:XFD1"/>
    </sheetView>
  </sheetViews>
  <sheetFormatPr defaultRowHeight="14.4" x14ac:dyDescent="0.3"/>
  <cols>
    <col min="1" max="1" width="20.77734375" style="79" customWidth="1"/>
    <col min="2" max="19" width="6.77734375" style="67" customWidth="1"/>
    <col min="20" max="20" width="2.77734375" customWidth="1"/>
    <col min="21" max="21" width="5.77734375" customWidth="1"/>
    <col min="22" max="22" width="25.77734375" customWidth="1"/>
    <col min="23" max="23" width="20.77734375" customWidth="1"/>
  </cols>
  <sheetData>
    <row r="1" spans="1:23" s="359" customFormat="1" ht="24.6" thickTop="1" thickBot="1" x14ac:dyDescent="0.5">
      <c r="A1" s="358" t="s">
        <v>311</v>
      </c>
    </row>
    <row r="2" spans="1:23" ht="15" thickTop="1" x14ac:dyDescent="0.3">
      <c r="A2" s="347" t="s">
        <v>67</v>
      </c>
      <c r="B2" s="347"/>
      <c r="C2" s="347"/>
      <c r="D2" s="347"/>
      <c r="E2" s="347"/>
      <c r="F2" s="347"/>
      <c r="G2" s="347"/>
      <c r="H2" s="347"/>
      <c r="I2" s="347"/>
      <c r="J2" s="347"/>
      <c r="K2" s="347"/>
      <c r="L2" s="347"/>
      <c r="M2" s="347"/>
      <c r="N2" s="347"/>
      <c r="O2" s="347"/>
      <c r="P2" s="347"/>
      <c r="Q2" s="347"/>
      <c r="R2" s="347"/>
      <c r="S2" s="347"/>
    </row>
    <row r="3" spans="1:23" x14ac:dyDescent="0.3">
      <c r="A3" s="118" t="s">
        <v>71</v>
      </c>
      <c r="B3" s="85" cm="1">
        <f t="array" ref="B3">_xlfn.LET(_xlpm.total,COUNT(_xlfn.UNIQUE(_xlfn._xlws.FILTER(Log!$C:$C,(Log!$B:$B="n/a")*(Log!$D:$D=B$4)*(Log!$A:$A="Daily")))),_xlpm.errors,COUNTIF(B$7:B$10000,"&gt;0"),IF(_xlpm.errors&gt;0,_xlpm.errors/_xlpm.total,0))</f>
        <v>0.59090909090909094</v>
      </c>
      <c r="C3" s="85" cm="1">
        <f t="array" ref="C3">_xlfn.LET(_xlpm.total,COUNT(_xlfn.UNIQUE(_xlfn._xlws.FILTER(Log!$C:$C,(Log!$B:$B="n/a")*(Log!$D:$D=C$4)*(Log!$A:$A="Daily")))),_xlpm.errors,COUNTIF(C$7:C$10000,"&gt;0"),IF(_xlpm.errors&gt;0,_xlpm.errors/_xlpm.total,0))</f>
        <v>0.90909090909090906</v>
      </c>
      <c r="D3" s="85" cm="1">
        <f t="array" ref="D3">_xlfn.LET(_xlpm.total,COUNT(_xlfn.UNIQUE(_xlfn._xlws.FILTER(Log!$C:$C,(Log!$B:$B="n/a")*(Log!$D:$D=D$4)*(Log!$A:$A="Daily")))),_xlpm.errors,COUNTIF(D$7:D$10000,"&gt;0"),IF(_xlpm.errors&gt;0,_xlpm.errors/_xlpm.total,0))</f>
        <v>0.95454545454545459</v>
      </c>
      <c r="E3" s="85" cm="1">
        <f t="array" ref="E3">_xlfn.LET(_xlpm.total,COUNT(_xlfn.UNIQUE(_xlfn._xlws.FILTER(Log!$C:$C,(Log!$B:$B="n/a")*(Log!$D:$D=E$4)*(Log!$A:$A="Daily")))),_xlpm.errors,COUNTIF(E$7:E$10000,"&gt;0"),IF(_xlpm.errors&gt;0,_xlpm.errors/_xlpm.total,0))</f>
        <v>0.95454545454545459</v>
      </c>
      <c r="F3" s="85" cm="1">
        <f t="array" ref="F3">_xlfn.LET(_xlpm.total,COUNT(_xlfn.UNIQUE(_xlfn._xlws.FILTER(Log!$C:$C,(Log!$B:$B="n/a")*(Log!$D:$D=F$4)*(Log!$A:$A="Daily")))),_xlpm.errors,COUNTIF(F$7:F$10000,"&gt;0"),IF(_xlpm.errors&gt;0,_xlpm.errors/_xlpm.total,0))</f>
        <v>9.0909090909090912E-2</v>
      </c>
      <c r="G3" s="85" cm="1">
        <f t="array" ref="G3">_xlfn.LET(_xlpm.total,COUNT(_xlfn.UNIQUE(_xlfn._xlws.FILTER(Log!$C:$C,(Log!$B:$B="n/a")*(Log!$D:$D=G$4)*(Log!$A:$A="Daily")))),_xlpm.errors,COUNTIF(G$7:G$10000,"&gt;0"),IF(_xlpm.errors&gt;0,_xlpm.errors/_xlpm.total,0))</f>
        <v>0.86363636363636365</v>
      </c>
      <c r="H3" s="85" cm="1">
        <f t="array" ref="H3">_xlfn.LET(_xlpm.total,COUNT(_xlfn.UNIQUE(_xlfn._xlws.FILTER(Log!$C:$C,(Log!$B:$B="n/a")*(Log!$D:$D=H$4)*(Log!$A:$A="Daily")))),_xlpm.errors,COUNTIF(H$7:H$10000,"&gt;0"),IF(_xlpm.errors&gt;0,_xlpm.errors/_xlpm.total,0))</f>
        <v>0.90909090909090906</v>
      </c>
      <c r="I3" s="85" cm="1">
        <f t="array" ref="I3">_xlfn.LET(_xlpm.total,COUNT(_xlfn.UNIQUE(_xlfn._xlws.FILTER(Log!$C:$C,(Log!$B:$B="n/a")*(Log!$D:$D=I$4)*(Log!$A:$A="Daily")))),_xlpm.errors,COUNTIF(I$7:I$10000,"&gt;0"),IF(_xlpm.errors&gt;0,_xlpm.errors/_xlpm.total,0))</f>
        <v>9.5238095238095233E-2</v>
      </c>
      <c r="J3" s="85" cm="1">
        <f t="array" ref="J3">_xlfn.LET(_xlpm.total,COUNT(_xlfn.UNIQUE(_xlfn._xlws.FILTER(Log!$C:$C,(Log!$B:$B="n/a")*(Log!$D:$D=J$4)*(Log!$A:$A="Daily")))),_xlpm.errors,COUNTIF(J$7:J$10000,"&gt;0"),IF(_xlpm.errors&gt;0,_xlpm.errors/_xlpm.total,0))</f>
        <v>0.95454545454545459</v>
      </c>
      <c r="K3" s="85" cm="1">
        <f t="array" ref="K3">_xlfn.LET(_xlpm.total,COUNT(_xlfn.UNIQUE(_xlfn._xlws.FILTER(Log!$C:$C,(Log!$B:$B="n/a")*(Log!$D:$D=K$4)*(Log!$A:$A="Daily")))),_xlpm.errors,COUNTIF(K$7:K$10000,"&gt;0"),IF(_xlpm.errors&gt;0,_xlpm.errors/_xlpm.total,0))</f>
        <v>0.45454545454545453</v>
      </c>
      <c r="L3" s="85" cm="1">
        <f t="array" ref="L3">_xlfn.LET(_xlpm.total,COUNT(_xlfn.UNIQUE(_xlfn._xlws.FILTER(Log!$C:$C,(Log!$B:$B="n/a")*(Log!$D:$D=L$4)*(Log!$A:$A="Daily")))),_xlpm.errors,COUNTIF(L$7:L$10000,"&gt;0"),IF(_xlpm.errors&gt;0,_xlpm.errors/_xlpm.total,0))</f>
        <v>0.72727272727272729</v>
      </c>
      <c r="M3" s="85" cm="1">
        <f t="array" ref="M3">_xlfn.LET(_xlpm.total,COUNT(_xlfn.UNIQUE(_xlfn._xlws.FILTER(Log!$C:$C,(Log!$B:$B="n/a")*(Log!$D:$D=M$4)*(Log!$A:$A="Daily")))),_xlpm.errors,COUNTIF(M$7:M$10000,"&gt;0"),IF(_xlpm.errors&gt;0,_xlpm.errors/_xlpm.total,0))</f>
        <v>0.31818181818181818</v>
      </c>
      <c r="N3" s="85" cm="1">
        <f t="array" ref="N3">_xlfn.LET(_xlpm.total,COUNT(_xlfn.UNIQUE(_xlfn._xlws.FILTER(Log!$C:$C,(Log!$B:$B="n/a")*(Log!$D:$D=N$4)*(Log!$A:$A="Daily")))),_xlpm.errors,COUNTIF(N$7:N$10000,"&gt;0"),IF(_xlpm.errors&gt;0,_xlpm.errors/_xlpm.total,0))</f>
        <v>9.0909090909090912E-2</v>
      </c>
      <c r="O3" s="85" cm="1">
        <f t="array" ref="O3">_xlfn.LET(_xlpm.total,COUNT(_xlfn.UNIQUE(_xlfn._xlws.FILTER(Log!$C:$C,(Log!$B:$B="n/a")*(Log!$D:$D=O$4)*(Log!$A:$A="Daily")))),_xlpm.errors,COUNTIF(O$7:O$10000,"&gt;0"),IF(_xlpm.errors&gt;0,_xlpm.errors/_xlpm.total,0))</f>
        <v>0.13636363636363635</v>
      </c>
      <c r="P3" s="85" cm="1">
        <f t="array" ref="P3">_xlfn.LET(_xlpm.total,COUNT(_xlfn.UNIQUE(_xlfn._xlws.FILTER(Log!$C:$C,(Log!$B:$B="n/a")*(Log!$D:$D=P$4)*(Log!$A:$A="Daily")))),_xlpm.errors,COUNTIF(P$7:P$10000,"&gt;0"),IF(_xlpm.errors&gt;0,_xlpm.errors/_xlpm.total,0))</f>
        <v>0.72727272727272729</v>
      </c>
      <c r="Q3" s="85" cm="1">
        <f t="array" ref="Q3">_xlfn.LET(_xlpm.total,COUNT(_xlfn.UNIQUE(_xlfn._xlws.FILTER(Log!$C:$C,(Log!$B:$B="n/a")*(Log!$D:$D=Q$4)*(Log!$A:$A="Daily")))),_xlpm.errors,COUNTIF(Q$7:Q$10000,"&gt;0"),IF(_xlpm.errors&gt;0,_xlpm.errors/_xlpm.total,0))</f>
        <v>0.54545454545454541</v>
      </c>
      <c r="R3" s="85" cm="1">
        <f t="array" ref="R3">_xlfn.LET(_xlpm.total,COUNT(_xlfn.UNIQUE(_xlfn._xlws.FILTER(Log!$C:$C,(Log!$B:$B="n/a")*(Log!$D:$D=R$4)*(Log!$A:$A="Daily")))),_xlpm.errors,COUNTIF(R$7:R$10000,"&gt;0"),IF(_xlpm.errors&gt;0,_xlpm.errors/_xlpm.total,0))</f>
        <v>0.31818181818181818</v>
      </c>
      <c r="S3" s="85" cm="1">
        <f t="array" ref="S3">_xlfn.LET(_xlpm.total,COUNT(_xlfn.UNIQUE(_xlfn._xlws.FILTER(Log!$C:$C,(Log!$B:$B="n/a")*(Log!$D:$D=S$4)*(Log!$A:$A="Daily")))),_xlpm.errors,COUNTIF(S$7:S$10000,"&gt;0"),IF(_xlpm.errors&gt;0,_xlpm.errors/_xlpm.total,0))</f>
        <v>0.81818181818181823</v>
      </c>
    </row>
    <row r="4" spans="1:23" ht="43.2" hidden="1" customHeight="1" x14ac:dyDescent="0.3">
      <c r="A4" s="351" t="s">
        <v>31</v>
      </c>
      <c r="B4" s="69" t="str" cm="1">
        <f t="array" ref="B4:S4">TRANSPOSE('Data-Lists'!A4:A21)</f>
        <v>#1 (Vero v2.2)</v>
      </c>
      <c r="C4" s="70" t="str">
        <v>#2 (Vero v2.2)</v>
      </c>
      <c r="D4" s="70" t="str">
        <v>#3 (Vero v2.2)</v>
      </c>
      <c r="E4" s="70" t="str">
        <v>#4 (Vero v2.2)</v>
      </c>
      <c r="F4" s="70" t="str">
        <v>#5 (Vero v2.2)</v>
      </c>
      <c r="G4" s="70" t="str">
        <v>#6 (Vero v2.2)</v>
      </c>
      <c r="H4" s="70" t="str">
        <v>#7 (Vero v2.2)</v>
      </c>
      <c r="I4" s="70" t="str">
        <v>#8 (Vero v2.2)</v>
      </c>
      <c r="J4" s="70" t="str">
        <v>#9 (Vero v2.2)</v>
      </c>
      <c r="K4" s="70" t="str">
        <v>#10 (Vero v2.2)</v>
      </c>
      <c r="L4" s="70" t="str">
        <v>#11 (Vero v2.2)</v>
      </c>
      <c r="M4" s="70" t="str">
        <v>#12 (Vero v2.2)</v>
      </c>
      <c r="N4" s="70" t="str">
        <v>#13 (Vero v2.2)</v>
      </c>
      <c r="O4" s="70" t="str">
        <v>#14 (Vero v2.2)</v>
      </c>
      <c r="P4" s="70" t="str">
        <v>#15 (Vero v2.2)</v>
      </c>
      <c r="Q4" s="70" t="str">
        <v>#16 (Vero v2.2)</v>
      </c>
      <c r="R4" s="70" t="str">
        <v>#17 (Vero v2.2)</v>
      </c>
      <c r="S4" s="70" t="str">
        <v>#18 (Vero v2.2)</v>
      </c>
    </row>
    <row r="5" spans="1:23" ht="15.6" x14ac:dyDescent="0.3">
      <c r="A5" s="351"/>
      <c r="B5" s="348" t="s">
        <v>60</v>
      </c>
      <c r="C5" s="348"/>
      <c r="D5" s="348"/>
      <c r="E5" s="348"/>
      <c r="F5" s="348"/>
      <c r="G5" s="348"/>
      <c r="H5" s="348"/>
      <c r="I5" s="348"/>
      <c r="J5" s="348"/>
      <c r="K5" s="348"/>
      <c r="L5" s="348"/>
      <c r="M5" s="348"/>
      <c r="N5" s="348"/>
      <c r="O5" s="348"/>
      <c r="P5" s="348"/>
      <c r="Q5" s="348"/>
      <c r="R5" s="348"/>
      <c r="S5" s="348"/>
    </row>
    <row r="6" spans="1:23" x14ac:dyDescent="0.3">
      <c r="A6" s="351"/>
      <c r="B6" s="49" t="str">
        <f t="shared" ref="B6:S6" si="0">LEFT(B4, 3)</f>
        <v xml:space="preserve">#1 </v>
      </c>
      <c r="C6" s="49" t="str">
        <f t="shared" si="0"/>
        <v xml:space="preserve">#2 </v>
      </c>
      <c r="D6" s="49" t="str">
        <f t="shared" si="0"/>
        <v xml:space="preserve">#3 </v>
      </c>
      <c r="E6" s="49" t="str">
        <f t="shared" si="0"/>
        <v xml:space="preserve">#4 </v>
      </c>
      <c r="F6" s="49" t="str">
        <f t="shared" si="0"/>
        <v xml:space="preserve">#5 </v>
      </c>
      <c r="G6" s="49" t="str">
        <f t="shared" si="0"/>
        <v xml:space="preserve">#6 </v>
      </c>
      <c r="H6" s="49" t="str">
        <f t="shared" si="0"/>
        <v xml:space="preserve">#7 </v>
      </c>
      <c r="I6" s="49" t="str">
        <f t="shared" si="0"/>
        <v xml:space="preserve">#8 </v>
      </c>
      <c r="J6" s="49" t="str">
        <f t="shared" si="0"/>
        <v xml:space="preserve">#9 </v>
      </c>
      <c r="K6" s="49" t="str">
        <f t="shared" si="0"/>
        <v>#10</v>
      </c>
      <c r="L6" s="49" t="str">
        <f t="shared" si="0"/>
        <v>#11</v>
      </c>
      <c r="M6" s="49" t="str">
        <f t="shared" si="0"/>
        <v>#12</v>
      </c>
      <c r="N6" s="49" t="str">
        <f t="shared" si="0"/>
        <v>#13</v>
      </c>
      <c r="O6" s="49" t="str">
        <f t="shared" si="0"/>
        <v>#14</v>
      </c>
      <c r="P6" s="49" t="str">
        <f t="shared" si="0"/>
        <v>#15</v>
      </c>
      <c r="Q6" s="49" t="str">
        <f t="shared" si="0"/>
        <v>#16</v>
      </c>
      <c r="R6" s="49" t="str">
        <f t="shared" si="0"/>
        <v>#17</v>
      </c>
      <c r="S6" s="49" t="str">
        <f t="shared" si="0"/>
        <v>#18</v>
      </c>
      <c r="U6" s="352" t="s">
        <v>80</v>
      </c>
      <c r="V6" s="352"/>
      <c r="W6" s="352"/>
    </row>
    <row r="7" spans="1:23" x14ac:dyDescent="0.3">
      <c r="A7" s="80" cm="1">
        <f t="array" ref="A7:A28">_xlfn.UNIQUE(_xlfn._xlws.FILTER(Log!$C:$C, (Log!$B:B="n/a") * (Log!$A:$A="Daily")))</f>
        <v>46228</v>
      </c>
      <c r="B7" s="68">
        <f>IFERROR(
    _xlfn.LET(
        _xlpm.is_data_present, $A7&lt;&gt;0,
        _xlpm.is_camera_present, COUNTIFS(Log!$C:$C, $A7, Log!$D:$D, B$4, Log!$A:$A, "Daily", Log!$B:$B, "n/a"),
        _xlpm.we_camera_on_date, IFERROR(AVERAGEIFS(Log!$F:$F, Log!$D:$D,B$4, Log!$C:$C, $A7, Log!$A:$A, "Daily", Log!$B:$B, "n/a"), 0),
        _xlpm.ie_camera_on_date, IFERROR(AVERAGEIFS(Log!$G:$G, Log!$D:$D,B$4,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7" s="68">
        <f>IFERROR(
    _xlfn.LET(
        _xlpm.is_data_present, $A7&lt;&gt;0,
        _xlpm.is_camera_present, COUNTIFS(Log!$C:$C, $A7, Log!$D:$D, C$4, Log!$A:$A, "Daily", Log!$B:$B, "n/a"),
        _xlpm.we_camera_on_date, IFERROR(AVERAGEIFS(Log!$F:$F, Log!$D:$D,C$4, Log!$C:$C, $A7, Log!$A:$A, "Daily", Log!$B:$B, "n/a"), 0),
        _xlpm.ie_camera_on_date, IFERROR(AVERAGEIFS(Log!$G:$G, Log!$D:$D,C$4,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7" s="68">
        <f>IFERROR(
    _xlfn.LET(
        _xlpm.is_data_present, $A7&lt;&gt;0,
        _xlpm.is_camera_present, COUNTIFS(Log!$C:$C, $A7, Log!$D:$D, D$4, Log!$A:$A, "Daily", Log!$B:$B, "n/a"),
        _xlpm.we_camera_on_date, IFERROR(AVERAGEIFS(Log!$F:$F, Log!$D:$D,D$4, Log!$C:$C, $A7, Log!$A:$A, "Daily", Log!$B:$B, "n/a"), 0),
        _xlpm.ie_camera_on_date, IFERROR(AVERAGEIFS(Log!$G:$G, Log!$D:$D,D$4,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7" s="68">
        <f>IFERROR(
    _xlfn.LET(
        _xlpm.is_data_present, $A7&lt;&gt;0,
        _xlpm.is_camera_present, COUNTIFS(Log!$C:$C, $A7, Log!$D:$D, E$4, Log!$A:$A, "Daily", Log!$B:$B, "n/a"),
        _xlpm.we_camera_on_date, IFERROR(AVERAGEIFS(Log!$F:$F, Log!$D:$D,E$4, Log!$C:$C, $A7, Log!$A:$A, "Daily", Log!$B:$B, "n/a"), 0),
        _xlpm.ie_camera_on_date, IFERROR(AVERAGEIFS(Log!$G:$G, Log!$D:$D,E$4,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7" s="68">
        <f>IFERROR(
    _xlfn.LET(
        _xlpm.is_data_present, $A7&lt;&gt;0,
        _xlpm.is_camera_present, COUNTIFS(Log!$C:$C, $A7, Log!$D:$D, F$4, Log!$A:$A, "Daily", Log!$B:$B, "n/a"),
        _xlpm.we_camera_on_date, IFERROR(AVERAGEIFS(Log!$F:$F, Log!$D:$D,F$4, Log!$C:$C, $A7, Log!$A:$A, "Daily", Log!$B:$B, "n/a"), 0),
        _xlpm.ie_camera_on_date, IFERROR(AVERAGEIFS(Log!$G:$G, Log!$D:$D,F$4,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7" s="68">
        <f>IFERROR(
    _xlfn.LET(
        _xlpm.is_data_present, $A7&lt;&gt;0,
        _xlpm.is_camera_present, COUNTIFS(Log!$C:$C, $A7, Log!$D:$D, G$4, Log!$A:$A, "Daily", Log!$B:$B, "n/a"),
        _xlpm.we_camera_on_date, IFERROR(AVERAGEIFS(Log!$F:$F, Log!$D:$D,G$4, Log!$C:$C, $A7, Log!$A:$A, "Daily", Log!$B:$B, "n/a"), 0),
        _xlpm.ie_camera_on_date, IFERROR(AVERAGEIFS(Log!$G:$G, Log!$D:$D,G$4,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7" s="68">
        <f>IFERROR(
    _xlfn.LET(
        _xlpm.is_data_present, $A7&lt;&gt;0,
        _xlpm.is_camera_present, COUNTIFS(Log!$C:$C, $A7, Log!$D:$D, H$4, Log!$A:$A, "Daily", Log!$B:$B, "n/a"),
        _xlpm.we_camera_on_date, IFERROR(AVERAGEIFS(Log!$F:$F, Log!$D:$D,H$4, Log!$C:$C, $A7, Log!$A:$A, "Daily", Log!$B:$B, "n/a"), 0),
        _xlpm.ie_camera_on_date, IFERROR(AVERAGEIFS(Log!$G:$G, Log!$D:$D,H$4,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7" s="173" t="str">
        <f>IFERROR(
    _xlfn.LET(
        _xlpm.is_data_present, $A7&lt;&gt;0,
        _xlpm.is_camera_present, COUNTIFS(Log!$C:$C, $A7, Log!$D:$D, I$4, Log!$A:$A, "Daily", Log!$B:$B, "n/a"),
        _xlpm.we_camera_on_date, IFERROR(AVERAGEIFS(Log!$F:$F, Log!$D:$D,I$4, Log!$C:$C, $A7, Log!$A:$A, "Daily", Log!$B:$B, "n/a"), 0),
        _xlpm.ie_camera_on_date, IFERROR(AVERAGEIFS(Log!$G:$G, Log!$D:$D,I$4,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n/a</v>
      </c>
      <c r="J7" s="68">
        <f>IFERROR(
    _xlfn.LET(
        _xlpm.is_data_present, $A7&lt;&gt;0,
        _xlpm.is_camera_present, COUNTIFS(Log!$C:$C, $A7, Log!$D:$D, J$4, Log!$A:$A, "Daily", Log!$B:$B, "n/a"),
        _xlpm.we_camera_on_date, IFERROR(AVERAGEIFS(Log!$F:$F, Log!$D:$D,J$4, Log!$C:$C, $A7, Log!$A:$A, "Daily", Log!$B:$B, "n/a"), 0),
        _xlpm.ie_camera_on_date, IFERROR(AVERAGEIFS(Log!$G:$G, Log!$D:$D,J$4,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7" s="68">
        <f>IFERROR(
    _xlfn.LET(
        _xlpm.is_data_present, $A7&lt;&gt;0,
        _xlpm.is_camera_present, COUNTIFS(Log!$C:$C, $A7, Log!$D:$D, K$4, Log!$A:$A, "Daily", Log!$B:$B, "n/a"),
        _xlpm.we_camera_on_date, IFERROR(AVERAGEIFS(Log!$F:$F, Log!$D:$D,K$4, Log!$C:$C, $A7, Log!$A:$A, "Daily", Log!$B:$B, "n/a"), 0),
        _xlpm.ie_camera_on_date, IFERROR(AVERAGEIFS(Log!$G:$G, Log!$D:$D,K$4,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7" s="68">
        <f>IFERROR(
    _xlfn.LET(
        _xlpm.is_data_present, $A7&lt;&gt;0,
        _xlpm.is_camera_present, COUNTIFS(Log!$C:$C, $A7, Log!$D:$D, L$4, Log!$A:$A, "Daily", Log!$B:$B, "n/a"),
        _xlpm.we_camera_on_date, IFERROR(AVERAGEIFS(Log!$F:$F, Log!$D:$D,L$4, Log!$C:$C, $A7, Log!$A:$A, "Daily", Log!$B:$B, "n/a"), 0),
        _xlpm.ie_camera_on_date, IFERROR(AVERAGEIFS(Log!$G:$G, Log!$D:$D,L$4,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7" s="68">
        <f>IFERROR(
    _xlfn.LET(
        _xlpm.is_data_present, $A7&lt;&gt;0,
        _xlpm.is_camera_present, COUNTIFS(Log!$C:$C, $A7, Log!$D:$D, M$4, Log!$A:$A, "Daily", Log!$B:$B, "n/a"),
        _xlpm.we_camera_on_date, IFERROR(AVERAGEIFS(Log!$F:$F, Log!$D:$D,M$4, Log!$C:$C, $A7, Log!$A:$A, "Daily", Log!$B:$B, "n/a"), 0),
        _xlpm.ie_camera_on_date, IFERROR(AVERAGEIFS(Log!$G:$G, Log!$D:$D,M$4,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7" s="68">
        <f>IFERROR(
    _xlfn.LET(
        _xlpm.is_data_present, $A7&lt;&gt;0,
        _xlpm.is_camera_present, COUNTIFS(Log!$C:$C, $A7, Log!$D:$D, N$4, Log!$A:$A, "Daily", Log!$B:$B, "n/a"),
        _xlpm.we_camera_on_date, IFERROR(AVERAGEIFS(Log!$F:$F, Log!$D:$D,N$4, Log!$C:$C, $A7, Log!$A:$A, "Daily", Log!$B:$B, "n/a"), 0),
        _xlpm.ie_camera_on_date, IFERROR(AVERAGEIFS(Log!$G:$G, Log!$D:$D,N$4,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7" s="68">
        <f>IFERROR(
    _xlfn.LET(
        _xlpm.is_data_present, $A7&lt;&gt;0,
        _xlpm.is_camera_present, COUNTIFS(Log!$C:$C, $A7, Log!$D:$D, O$4, Log!$A:$A, "Daily", Log!$B:$B, "n/a"),
        _xlpm.we_camera_on_date, IFERROR(AVERAGEIFS(Log!$F:$F, Log!$D:$D,O$4, Log!$C:$C, $A7, Log!$A:$A, "Daily", Log!$B:$B, "n/a"), 0),
        _xlpm.ie_camera_on_date, IFERROR(AVERAGEIFS(Log!$G:$G, Log!$D:$D,O$4,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7" s="68">
        <f>IFERROR(
    _xlfn.LET(
        _xlpm.is_data_present, $A7&lt;&gt;0,
        _xlpm.is_camera_present, COUNTIFS(Log!$C:$C, $A7, Log!$D:$D, P$4, Log!$A:$A, "Daily", Log!$B:$B, "n/a"),
        _xlpm.we_camera_on_date, IFERROR(AVERAGEIFS(Log!$F:$F, Log!$D:$D,P$4, Log!$C:$C, $A7, Log!$A:$A, "Daily", Log!$B:$B, "n/a"), 0),
        _xlpm.ie_camera_on_date, IFERROR(AVERAGEIFS(Log!$G:$G, Log!$D:$D,P$4,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7" s="68">
        <f>IFERROR(
    _xlfn.LET(
        _xlpm.is_data_present, $A7&lt;&gt;0,
        _xlpm.is_camera_present, COUNTIFS(Log!$C:$C, $A7, Log!$D:$D, Q$4, Log!$A:$A, "Daily", Log!$B:$B, "n/a"),
        _xlpm.we_camera_on_date, IFERROR(AVERAGEIFS(Log!$F:$F, Log!$D:$D,Q$4, Log!$C:$C, $A7, Log!$A:$A, "Daily", Log!$B:$B, "n/a"), 0),
        _xlpm.ie_camera_on_date, IFERROR(AVERAGEIFS(Log!$G:$G, Log!$D:$D,Q$4,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7" s="68">
        <f>IFERROR(
    _xlfn.LET(
        _xlpm.is_data_present, $A7&lt;&gt;0,
        _xlpm.is_camera_present, COUNTIFS(Log!$C:$C, $A7, Log!$D:$D, R$4, Log!$A:$A, "Daily", Log!$B:$B, "n/a"),
        _xlpm.we_camera_on_date, IFERROR(AVERAGEIFS(Log!$F:$F, Log!$D:$D,R$4, Log!$C:$C, $A7, Log!$A:$A, "Daily", Log!$B:$B, "n/a"), 0),
        _xlpm.ie_camera_on_date, IFERROR(AVERAGEIFS(Log!$G:$G, Log!$D:$D,R$4,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7" s="68">
        <f>IFERROR(
    _xlfn.LET(
        _xlpm.is_data_present, $A7&lt;&gt;0,
        _xlpm.is_camera_present, COUNTIFS(Log!$C:$C, $A7, Log!$D:$D, S$4, Log!$A:$A, "Daily", Log!$B:$B, "n/a"),
        _xlpm.we_camera_on_date, IFERROR(AVERAGEIFS(Log!$F:$F, Log!$D:$D,S$4, Log!$C:$C, $A7, Log!$A:$A, "Daily", Log!$B:$B, "n/a"), 0),
        _xlpm.ie_camera_on_date, IFERROR(AVERAGEIFS(Log!$G:$G, Log!$D:$D,S$4, Log!$C:$C, $A7, Log!$A:$A, "Daily", Log!$B:$B, "n/a"), 0),
        _xlpm.we_avg, IFERROR(AVERAGEIFS(Log!$F:$F,Log!$C:$C,$A7, Log!$A:$A, "Daily", Log!$B:$B, "n/a"),0),
        _xlpm.ie_avg, IFERROR(AVERAGEIFS(Log!$G:$G,Log!$C:$C,$A7,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8" spans="1:23" x14ac:dyDescent="0.3">
      <c r="A8" s="39">
        <v>46230</v>
      </c>
      <c r="B8" s="68">
        <f>IFERROR(
    _xlfn.LET(
        _xlpm.is_data_present, $A8&lt;&gt;0,
        _xlpm.is_camera_present, COUNTIFS(Log!$C:$C, $A8, Log!$D:$D, B$4, Log!$A:$A, "Daily", Log!$B:$B, "n/a"),
        _xlpm.we_camera_on_date, IFERROR(AVERAGEIFS(Log!$F:$F, Log!$D:$D,B$4, Log!$C:$C, $A8, Log!$A:$A, "Daily", Log!$B:$B, "n/a"), 0),
        _xlpm.ie_camera_on_date, IFERROR(AVERAGEIFS(Log!$G:$G, Log!$D:$D,B$4,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8" s="68">
        <f>IFERROR(
    _xlfn.LET(
        _xlpm.is_data_present, $A8&lt;&gt;0,
        _xlpm.is_camera_present, COUNTIFS(Log!$C:$C, $A8, Log!$D:$D, C$4, Log!$A:$A, "Daily", Log!$B:$B, "n/a"),
        _xlpm.we_camera_on_date, IFERROR(AVERAGEIFS(Log!$F:$F, Log!$D:$D,C$4, Log!$C:$C, $A8, Log!$A:$A, "Daily", Log!$B:$B, "n/a"), 0),
        _xlpm.ie_camera_on_date, IFERROR(AVERAGEIFS(Log!$G:$G, Log!$D:$D,C$4,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8" s="68">
        <f>IFERROR(
    _xlfn.LET(
        _xlpm.is_data_present, $A8&lt;&gt;0,
        _xlpm.is_camera_present, COUNTIFS(Log!$C:$C, $A8, Log!$D:$D, D$4, Log!$A:$A, "Daily", Log!$B:$B, "n/a"),
        _xlpm.we_camera_on_date, IFERROR(AVERAGEIFS(Log!$F:$F, Log!$D:$D,D$4, Log!$C:$C, $A8, Log!$A:$A, "Daily", Log!$B:$B, "n/a"), 0),
        _xlpm.ie_camera_on_date, IFERROR(AVERAGEIFS(Log!$G:$G, Log!$D:$D,D$4,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8" s="68">
        <f>IFERROR(
    _xlfn.LET(
        _xlpm.is_data_present, $A8&lt;&gt;0,
        _xlpm.is_camera_present, COUNTIFS(Log!$C:$C, $A8, Log!$D:$D, E$4, Log!$A:$A, "Daily", Log!$B:$B, "n/a"),
        _xlpm.we_camera_on_date, IFERROR(AVERAGEIFS(Log!$F:$F, Log!$D:$D,E$4, Log!$C:$C, $A8, Log!$A:$A, "Daily", Log!$B:$B, "n/a"), 0),
        _xlpm.ie_camera_on_date, IFERROR(AVERAGEIFS(Log!$G:$G, Log!$D:$D,E$4,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8" s="68">
        <f>IFERROR(
    _xlfn.LET(
        _xlpm.is_data_present, $A8&lt;&gt;0,
        _xlpm.is_camera_present, COUNTIFS(Log!$C:$C, $A8, Log!$D:$D, F$4, Log!$A:$A, "Daily", Log!$B:$B, "n/a"),
        _xlpm.we_camera_on_date, IFERROR(AVERAGEIFS(Log!$F:$F, Log!$D:$D,F$4, Log!$C:$C, $A8, Log!$A:$A, "Daily", Log!$B:$B, "n/a"), 0),
        _xlpm.ie_camera_on_date, IFERROR(AVERAGEIFS(Log!$G:$G, Log!$D:$D,F$4,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8" s="68">
        <f>IFERROR(
    _xlfn.LET(
        _xlpm.is_data_present, $A8&lt;&gt;0,
        _xlpm.is_camera_present, COUNTIFS(Log!$C:$C, $A8, Log!$D:$D, G$4, Log!$A:$A, "Daily", Log!$B:$B, "n/a"),
        _xlpm.we_camera_on_date, IFERROR(AVERAGEIFS(Log!$F:$F, Log!$D:$D,G$4, Log!$C:$C, $A8, Log!$A:$A, "Daily", Log!$B:$B, "n/a"), 0),
        _xlpm.ie_camera_on_date, IFERROR(AVERAGEIFS(Log!$G:$G, Log!$D:$D,G$4,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8" s="68">
        <f>IFERROR(
    _xlfn.LET(
        _xlpm.is_data_present, $A8&lt;&gt;0,
        _xlpm.is_camera_present, COUNTIFS(Log!$C:$C, $A8, Log!$D:$D, H$4, Log!$A:$A, "Daily", Log!$B:$B, "n/a"),
        _xlpm.we_camera_on_date, IFERROR(AVERAGEIFS(Log!$F:$F, Log!$D:$D,H$4, Log!$C:$C, $A8, Log!$A:$A, "Daily", Log!$B:$B, "n/a"), 0),
        _xlpm.ie_camera_on_date, IFERROR(AVERAGEIFS(Log!$G:$G, Log!$D:$D,H$4,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I8" s="68">
        <f>IFERROR(
    _xlfn.LET(
        _xlpm.is_data_present, $A8&lt;&gt;0,
        _xlpm.is_camera_present, COUNTIFS(Log!$C:$C, $A8, Log!$D:$D, I$4, Log!$A:$A, "Daily", Log!$B:$B, "n/a"),
        _xlpm.we_camera_on_date, IFERROR(AVERAGEIFS(Log!$F:$F, Log!$D:$D,I$4, Log!$C:$C, $A8, Log!$A:$A, "Daily", Log!$B:$B, "n/a"), 0),
        _xlpm.ie_camera_on_date, IFERROR(AVERAGEIFS(Log!$G:$G, Log!$D:$D,I$4,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8" s="68">
        <f>IFERROR(
    _xlfn.LET(
        _xlpm.is_data_present, $A8&lt;&gt;0,
        _xlpm.is_camera_present, COUNTIFS(Log!$C:$C, $A8, Log!$D:$D, J$4, Log!$A:$A, "Daily", Log!$B:$B, "n/a"),
        _xlpm.we_camera_on_date, IFERROR(AVERAGEIFS(Log!$F:$F, Log!$D:$D,J$4, Log!$C:$C, $A8, Log!$A:$A, "Daily", Log!$B:$B, "n/a"), 0),
        _xlpm.ie_camera_on_date, IFERROR(AVERAGEIFS(Log!$G:$G, Log!$D:$D,J$4,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8" s="68">
        <f>IFERROR(
    _xlfn.LET(
        _xlpm.is_data_present, $A8&lt;&gt;0,
        _xlpm.is_camera_present, COUNTIFS(Log!$C:$C, $A8, Log!$D:$D, K$4, Log!$A:$A, "Daily", Log!$B:$B, "n/a"),
        _xlpm.we_camera_on_date, IFERROR(AVERAGEIFS(Log!$F:$F, Log!$D:$D,K$4, Log!$C:$C, $A8, Log!$A:$A, "Daily", Log!$B:$B, "n/a"), 0),
        _xlpm.ie_camera_on_date, IFERROR(AVERAGEIFS(Log!$G:$G, Log!$D:$D,K$4,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8" s="68">
        <f>IFERROR(
    _xlfn.LET(
        _xlpm.is_data_present, $A8&lt;&gt;0,
        _xlpm.is_camera_present, COUNTIFS(Log!$C:$C, $A8, Log!$D:$D, L$4, Log!$A:$A, "Daily", Log!$B:$B, "n/a"),
        _xlpm.we_camera_on_date, IFERROR(AVERAGEIFS(Log!$F:$F, Log!$D:$D,L$4, Log!$C:$C, $A8, Log!$A:$A, "Daily", Log!$B:$B, "n/a"), 0),
        _xlpm.ie_camera_on_date, IFERROR(AVERAGEIFS(Log!$G:$G, Log!$D:$D,L$4,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8" s="68">
        <f>IFERROR(
    _xlfn.LET(
        _xlpm.is_data_present, $A8&lt;&gt;0,
        _xlpm.is_camera_present, COUNTIFS(Log!$C:$C, $A8, Log!$D:$D, M$4, Log!$A:$A, "Daily", Log!$B:$B, "n/a"),
        _xlpm.we_camera_on_date, IFERROR(AVERAGEIFS(Log!$F:$F, Log!$D:$D,M$4, Log!$C:$C, $A8, Log!$A:$A, "Daily", Log!$B:$B, "n/a"), 0),
        _xlpm.ie_camera_on_date, IFERROR(AVERAGEIFS(Log!$G:$G, Log!$D:$D,M$4,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8" s="68">
        <f>IFERROR(
    _xlfn.LET(
        _xlpm.is_data_present, $A8&lt;&gt;0,
        _xlpm.is_camera_present, COUNTIFS(Log!$C:$C, $A8, Log!$D:$D, N$4, Log!$A:$A, "Daily", Log!$B:$B, "n/a"),
        _xlpm.we_camera_on_date, IFERROR(AVERAGEIFS(Log!$F:$F, Log!$D:$D,N$4, Log!$C:$C, $A8, Log!$A:$A, "Daily", Log!$B:$B, "n/a"), 0),
        _xlpm.ie_camera_on_date, IFERROR(AVERAGEIFS(Log!$G:$G, Log!$D:$D,N$4,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8" s="68">
        <f>IFERROR(
    _xlfn.LET(
        _xlpm.is_data_present, $A8&lt;&gt;0,
        _xlpm.is_camera_present, COUNTIFS(Log!$C:$C, $A8, Log!$D:$D, O$4, Log!$A:$A, "Daily", Log!$B:$B, "n/a"),
        _xlpm.we_camera_on_date, IFERROR(AVERAGEIFS(Log!$F:$F, Log!$D:$D,O$4, Log!$C:$C, $A8, Log!$A:$A, "Daily", Log!$B:$B, "n/a"), 0),
        _xlpm.ie_camera_on_date, IFERROR(AVERAGEIFS(Log!$G:$G, Log!$D:$D,O$4,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8" s="68">
        <f>IFERROR(
    _xlfn.LET(
        _xlpm.is_data_present, $A8&lt;&gt;0,
        _xlpm.is_camera_present, COUNTIFS(Log!$C:$C, $A8, Log!$D:$D, P$4, Log!$A:$A, "Daily", Log!$B:$B, "n/a"),
        _xlpm.we_camera_on_date, IFERROR(AVERAGEIFS(Log!$F:$F, Log!$D:$D,P$4, Log!$C:$C, $A8, Log!$A:$A, "Daily", Log!$B:$B, "n/a"), 0),
        _xlpm.ie_camera_on_date, IFERROR(AVERAGEIFS(Log!$G:$G, Log!$D:$D,P$4,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8" s="68">
        <f>IFERROR(
    _xlfn.LET(
        _xlpm.is_data_present, $A8&lt;&gt;0,
        _xlpm.is_camera_present, COUNTIFS(Log!$C:$C, $A8, Log!$D:$D, Q$4, Log!$A:$A, "Daily", Log!$B:$B, "n/a"),
        _xlpm.we_camera_on_date, IFERROR(AVERAGEIFS(Log!$F:$F, Log!$D:$D,Q$4, Log!$C:$C, $A8, Log!$A:$A, "Daily", Log!$B:$B, "n/a"), 0),
        _xlpm.ie_camera_on_date, IFERROR(AVERAGEIFS(Log!$G:$G, Log!$D:$D,Q$4,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8" s="68">
        <f>IFERROR(
    _xlfn.LET(
        _xlpm.is_data_present, $A8&lt;&gt;0,
        _xlpm.is_camera_present, COUNTIFS(Log!$C:$C, $A8, Log!$D:$D, R$4, Log!$A:$A, "Daily", Log!$B:$B, "n/a"),
        _xlpm.we_camera_on_date, IFERROR(AVERAGEIFS(Log!$F:$F, Log!$D:$D,R$4, Log!$C:$C, $A8, Log!$A:$A, "Daily", Log!$B:$B, "n/a"), 0),
        _xlpm.ie_camera_on_date, IFERROR(AVERAGEIFS(Log!$G:$G, Log!$D:$D,R$4,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8" s="68">
        <f>IFERROR(
    _xlfn.LET(
        _xlpm.is_data_present, $A8&lt;&gt;0,
        _xlpm.is_camera_present, COUNTIFS(Log!$C:$C, $A8, Log!$D:$D, S$4, Log!$A:$A, "Daily", Log!$B:$B, "n/a"),
        _xlpm.we_camera_on_date, IFERROR(AVERAGEIFS(Log!$F:$F, Log!$D:$D,S$4, Log!$C:$C, $A8, Log!$A:$A, "Daily", Log!$B:$B, "n/a"), 0),
        _xlpm.ie_camera_on_date, IFERROR(AVERAGEIFS(Log!$G:$G, Log!$D:$D,S$4, Log!$C:$C, $A8, Log!$A:$A, "Daily", Log!$B:$B, "n/a"), 0),
        _xlpm.we_avg, IFERROR(AVERAGEIFS(Log!$F:$F,Log!$C:$C,$A8, Log!$A:$A, "Daily", Log!$B:$B, "n/a"),0),
        _xlpm.ie_avg, IFERROR(AVERAGEIFS(Log!$G:$G,Log!$C:$C,$A8,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8" s="66"/>
      <c r="V8" s="52"/>
    </row>
    <row r="9" spans="1:23" x14ac:dyDescent="0.3">
      <c r="A9" s="39">
        <v>46231</v>
      </c>
      <c r="B9" s="68">
        <f>IFERROR(
    _xlfn.LET(
        _xlpm.is_data_present, $A9&lt;&gt;0,
        _xlpm.is_camera_present, COUNTIFS(Log!$C:$C, $A9, Log!$D:$D, B$4, Log!$A:$A, "Daily", Log!$B:$B, "n/a"),
        _xlpm.we_camera_on_date, IFERROR(AVERAGEIFS(Log!$F:$F, Log!$D:$D,B$4, Log!$C:$C, $A9, Log!$A:$A, "Daily", Log!$B:$B, "n/a"), 0),
        _xlpm.ie_camera_on_date, IFERROR(AVERAGEIFS(Log!$G:$G, Log!$D:$D,B$4,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9" s="68">
        <f>IFERROR(
    _xlfn.LET(
        _xlpm.is_data_present, $A9&lt;&gt;0,
        _xlpm.is_camera_present, COUNTIFS(Log!$C:$C, $A9, Log!$D:$D, C$4, Log!$A:$A, "Daily", Log!$B:$B, "n/a"),
        _xlpm.we_camera_on_date, IFERROR(AVERAGEIFS(Log!$F:$F, Log!$D:$D,C$4, Log!$C:$C, $A9, Log!$A:$A, "Daily", Log!$B:$B, "n/a"), 0),
        _xlpm.ie_camera_on_date, IFERROR(AVERAGEIFS(Log!$G:$G, Log!$D:$D,C$4,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9" s="68">
        <f>IFERROR(
    _xlfn.LET(
        _xlpm.is_data_present, $A9&lt;&gt;0,
        _xlpm.is_camera_present, COUNTIFS(Log!$C:$C, $A9, Log!$D:$D, D$4, Log!$A:$A, "Daily", Log!$B:$B, "n/a"),
        _xlpm.we_camera_on_date, IFERROR(AVERAGEIFS(Log!$F:$F, Log!$D:$D,D$4, Log!$C:$C, $A9, Log!$A:$A, "Daily", Log!$B:$B, "n/a"), 0),
        _xlpm.ie_camera_on_date, IFERROR(AVERAGEIFS(Log!$G:$G, Log!$D:$D,D$4,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E9" s="68">
        <f>IFERROR(
    _xlfn.LET(
        _xlpm.is_data_present, $A9&lt;&gt;0,
        _xlpm.is_camera_present, COUNTIFS(Log!$C:$C, $A9, Log!$D:$D, E$4, Log!$A:$A, "Daily", Log!$B:$B, "n/a"),
        _xlpm.we_camera_on_date, IFERROR(AVERAGEIFS(Log!$F:$F, Log!$D:$D,E$4, Log!$C:$C, $A9, Log!$A:$A, "Daily", Log!$B:$B, "n/a"), 0),
        _xlpm.ie_camera_on_date, IFERROR(AVERAGEIFS(Log!$G:$G, Log!$D:$D,E$4,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9" s="68">
        <f>IFERROR(
    _xlfn.LET(
        _xlpm.is_data_present, $A9&lt;&gt;0,
        _xlpm.is_camera_present, COUNTIFS(Log!$C:$C, $A9, Log!$D:$D, F$4, Log!$A:$A, "Daily", Log!$B:$B, "n/a"),
        _xlpm.we_camera_on_date, IFERROR(AVERAGEIFS(Log!$F:$F, Log!$D:$D,F$4, Log!$C:$C, $A9, Log!$A:$A, "Daily", Log!$B:$B, "n/a"), 0),
        _xlpm.ie_camera_on_date, IFERROR(AVERAGEIFS(Log!$G:$G, Log!$D:$D,F$4,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9" s="68">
        <f>IFERROR(
    _xlfn.LET(
        _xlpm.is_data_present, $A9&lt;&gt;0,
        _xlpm.is_camera_present, COUNTIFS(Log!$C:$C, $A9, Log!$D:$D, G$4, Log!$A:$A, "Daily", Log!$B:$B, "n/a"),
        _xlpm.we_camera_on_date, IFERROR(AVERAGEIFS(Log!$F:$F, Log!$D:$D,G$4, Log!$C:$C, $A9, Log!$A:$A, "Daily", Log!$B:$B, "n/a"), 0),
        _xlpm.ie_camera_on_date, IFERROR(AVERAGEIFS(Log!$G:$G, Log!$D:$D,G$4,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9" s="68">
        <f>IFERROR(
    _xlfn.LET(
        _xlpm.is_data_present, $A9&lt;&gt;0,
        _xlpm.is_camera_present, COUNTIFS(Log!$C:$C, $A9, Log!$D:$D, H$4, Log!$A:$A, "Daily", Log!$B:$B, "n/a"),
        _xlpm.we_camera_on_date, IFERROR(AVERAGEIFS(Log!$F:$F, Log!$D:$D,H$4, Log!$C:$C, $A9, Log!$A:$A, "Daily", Log!$B:$B, "n/a"), 0),
        _xlpm.ie_camera_on_date, IFERROR(AVERAGEIFS(Log!$G:$G, Log!$D:$D,H$4,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9" s="68">
        <f>IFERROR(
    _xlfn.LET(
        _xlpm.is_data_present, $A9&lt;&gt;0,
        _xlpm.is_camera_present, COUNTIFS(Log!$C:$C, $A9, Log!$D:$D, I$4, Log!$A:$A, "Daily", Log!$B:$B, "n/a"),
        _xlpm.we_camera_on_date, IFERROR(AVERAGEIFS(Log!$F:$F, Log!$D:$D,I$4, Log!$C:$C, $A9, Log!$A:$A, "Daily", Log!$B:$B, "n/a"), 0),
        _xlpm.ie_camera_on_date, IFERROR(AVERAGEIFS(Log!$G:$G, Log!$D:$D,I$4,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9" s="68">
        <f>IFERROR(
    _xlfn.LET(
        _xlpm.is_data_present, $A9&lt;&gt;0,
        _xlpm.is_camera_present, COUNTIFS(Log!$C:$C, $A9, Log!$D:$D, J$4, Log!$A:$A, "Daily", Log!$B:$B, "n/a"),
        _xlpm.we_camera_on_date, IFERROR(AVERAGEIFS(Log!$F:$F, Log!$D:$D,J$4, Log!$C:$C, $A9, Log!$A:$A, "Daily", Log!$B:$B, "n/a"), 0),
        _xlpm.ie_camera_on_date, IFERROR(AVERAGEIFS(Log!$G:$G, Log!$D:$D,J$4,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9" s="68">
        <f>IFERROR(
    _xlfn.LET(
        _xlpm.is_data_present, $A9&lt;&gt;0,
        _xlpm.is_camera_present, COUNTIFS(Log!$C:$C, $A9, Log!$D:$D, K$4, Log!$A:$A, "Daily", Log!$B:$B, "n/a"),
        _xlpm.we_camera_on_date, IFERROR(AVERAGEIFS(Log!$F:$F, Log!$D:$D,K$4, Log!$C:$C, $A9, Log!$A:$A, "Daily", Log!$B:$B, "n/a"), 0),
        _xlpm.ie_camera_on_date, IFERROR(AVERAGEIFS(Log!$G:$G, Log!$D:$D,K$4,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9" s="68">
        <f>IFERROR(
    _xlfn.LET(
        _xlpm.is_data_present, $A9&lt;&gt;0,
        _xlpm.is_camera_present, COUNTIFS(Log!$C:$C, $A9, Log!$D:$D, L$4, Log!$A:$A, "Daily", Log!$B:$B, "n/a"),
        _xlpm.we_camera_on_date, IFERROR(AVERAGEIFS(Log!$F:$F, Log!$D:$D,L$4, Log!$C:$C, $A9, Log!$A:$A, "Daily", Log!$B:$B, "n/a"), 0),
        _xlpm.ie_camera_on_date, IFERROR(AVERAGEIFS(Log!$G:$G, Log!$D:$D,L$4,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9" s="68">
        <f>IFERROR(
    _xlfn.LET(
        _xlpm.is_data_present, $A9&lt;&gt;0,
        _xlpm.is_camera_present, COUNTIFS(Log!$C:$C, $A9, Log!$D:$D, M$4, Log!$A:$A, "Daily", Log!$B:$B, "n/a"),
        _xlpm.we_camera_on_date, IFERROR(AVERAGEIFS(Log!$F:$F, Log!$D:$D,M$4, Log!$C:$C, $A9, Log!$A:$A, "Daily", Log!$B:$B, "n/a"), 0),
        _xlpm.ie_camera_on_date, IFERROR(AVERAGEIFS(Log!$G:$G, Log!$D:$D,M$4,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9" s="68">
        <f>IFERROR(
    _xlfn.LET(
        _xlpm.is_data_present, $A9&lt;&gt;0,
        _xlpm.is_camera_present, COUNTIFS(Log!$C:$C, $A9, Log!$D:$D, N$4, Log!$A:$A, "Daily", Log!$B:$B, "n/a"),
        _xlpm.we_camera_on_date, IFERROR(AVERAGEIFS(Log!$F:$F, Log!$D:$D,N$4, Log!$C:$C, $A9, Log!$A:$A, "Daily", Log!$B:$B, "n/a"), 0),
        _xlpm.ie_camera_on_date, IFERROR(AVERAGEIFS(Log!$G:$G, Log!$D:$D,N$4,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9" s="68">
        <f>IFERROR(
    _xlfn.LET(
        _xlpm.is_data_present, $A9&lt;&gt;0,
        _xlpm.is_camera_present, COUNTIFS(Log!$C:$C, $A9, Log!$D:$D, O$4, Log!$A:$A, "Daily", Log!$B:$B, "n/a"),
        _xlpm.we_camera_on_date, IFERROR(AVERAGEIFS(Log!$F:$F, Log!$D:$D,O$4, Log!$C:$C, $A9, Log!$A:$A, "Daily", Log!$B:$B, "n/a"), 0),
        _xlpm.ie_camera_on_date, IFERROR(AVERAGEIFS(Log!$G:$G, Log!$D:$D,O$4,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9" s="68">
        <f>IFERROR(
    _xlfn.LET(
        _xlpm.is_data_present, $A9&lt;&gt;0,
        _xlpm.is_camera_present, COUNTIFS(Log!$C:$C, $A9, Log!$D:$D, P$4, Log!$A:$A, "Daily", Log!$B:$B, "n/a"),
        _xlpm.we_camera_on_date, IFERROR(AVERAGEIFS(Log!$F:$F, Log!$D:$D,P$4, Log!$C:$C, $A9, Log!$A:$A, "Daily", Log!$B:$B, "n/a"), 0),
        _xlpm.ie_camera_on_date, IFERROR(AVERAGEIFS(Log!$G:$G, Log!$D:$D,P$4,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9" s="68">
        <f>IFERROR(
    _xlfn.LET(
        _xlpm.is_data_present, $A9&lt;&gt;0,
        _xlpm.is_camera_present, COUNTIFS(Log!$C:$C, $A9, Log!$D:$D, Q$4, Log!$A:$A, "Daily", Log!$B:$B, "n/a"),
        _xlpm.we_camera_on_date, IFERROR(AVERAGEIFS(Log!$F:$F, Log!$D:$D,Q$4, Log!$C:$C, $A9, Log!$A:$A, "Daily", Log!$B:$B, "n/a"), 0),
        _xlpm.ie_camera_on_date, IFERROR(AVERAGEIFS(Log!$G:$G, Log!$D:$D,Q$4,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9" s="68">
        <f>IFERROR(
    _xlfn.LET(
        _xlpm.is_data_present, $A9&lt;&gt;0,
        _xlpm.is_camera_present, COUNTIFS(Log!$C:$C, $A9, Log!$D:$D, R$4, Log!$A:$A, "Daily", Log!$B:$B, "n/a"),
        _xlpm.we_camera_on_date, IFERROR(AVERAGEIFS(Log!$F:$F, Log!$D:$D,R$4, Log!$C:$C, $A9, Log!$A:$A, "Daily", Log!$B:$B, "n/a"), 0),
        _xlpm.ie_camera_on_date, IFERROR(AVERAGEIFS(Log!$G:$G, Log!$D:$D,R$4,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9" s="68">
        <f>IFERROR(
    _xlfn.LET(
        _xlpm.is_data_present, $A9&lt;&gt;0,
        _xlpm.is_camera_present, COUNTIFS(Log!$C:$C, $A9, Log!$D:$D, S$4, Log!$A:$A, "Daily", Log!$B:$B, "n/a"),
        _xlpm.we_camera_on_date, IFERROR(AVERAGEIFS(Log!$F:$F, Log!$D:$D,S$4, Log!$C:$C, $A9, Log!$A:$A, "Daily", Log!$B:$B, "n/a"), 0),
        _xlpm.ie_camera_on_date, IFERROR(AVERAGEIFS(Log!$G:$G, Log!$D:$D,S$4, Log!$C:$C, $A9, Log!$A:$A, "Daily", Log!$B:$B, "n/a"), 0),
        _xlpm.we_avg, IFERROR(AVERAGEIFS(Log!$F:$F,Log!$C:$C,$A9, Log!$A:$A, "Daily", Log!$B:$B, "n/a"),0),
        _xlpm.ie_avg, IFERROR(AVERAGEIFS(Log!$G:$G,Log!$C:$C,$A9,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9" s="350" t="s">
        <v>51</v>
      </c>
      <c r="V9" s="350"/>
      <c r="W9" s="350"/>
    </row>
    <row r="10" spans="1:23" x14ac:dyDescent="0.3">
      <c r="A10" s="39">
        <v>46232</v>
      </c>
      <c r="B10" s="68">
        <f>IFERROR(
    _xlfn.LET(
        _xlpm.is_data_present, $A10&lt;&gt;0,
        _xlpm.is_camera_present, COUNTIFS(Log!$C:$C, $A10, Log!$D:$D, B$4, Log!$A:$A, "Daily", Log!$B:$B, "n/a"),
        _xlpm.we_camera_on_date, IFERROR(AVERAGEIFS(Log!$F:$F, Log!$D:$D,B$4, Log!$C:$C, $A10, Log!$A:$A, "Daily", Log!$B:$B, "n/a"), 0),
        _xlpm.ie_camera_on_date, IFERROR(AVERAGEIFS(Log!$G:$G, Log!$D:$D,B$4,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0" s="68">
        <f>IFERROR(
    _xlfn.LET(
        _xlpm.is_data_present, $A10&lt;&gt;0,
        _xlpm.is_camera_present, COUNTIFS(Log!$C:$C, $A10, Log!$D:$D, C$4, Log!$A:$A, "Daily", Log!$B:$B, "n/a"),
        _xlpm.we_camera_on_date, IFERROR(AVERAGEIFS(Log!$F:$F, Log!$D:$D,C$4, Log!$C:$C, $A10, Log!$A:$A, "Daily", Log!$B:$B, "n/a"), 0),
        _xlpm.ie_camera_on_date, IFERROR(AVERAGEIFS(Log!$G:$G, Log!$D:$D,C$4,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0" s="68">
        <f>IFERROR(
    _xlfn.LET(
        _xlpm.is_data_present, $A10&lt;&gt;0,
        _xlpm.is_camera_present, COUNTIFS(Log!$C:$C, $A10, Log!$D:$D, D$4, Log!$A:$A, "Daily", Log!$B:$B, "n/a"),
        _xlpm.we_camera_on_date, IFERROR(AVERAGEIFS(Log!$F:$F, Log!$D:$D,D$4, Log!$C:$C, $A10, Log!$A:$A, "Daily", Log!$B:$B, "n/a"), 0),
        _xlpm.ie_camera_on_date, IFERROR(AVERAGEIFS(Log!$G:$G, Log!$D:$D,D$4,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0" s="68">
        <f>IFERROR(
    _xlfn.LET(
        _xlpm.is_data_present, $A10&lt;&gt;0,
        _xlpm.is_camera_present, COUNTIFS(Log!$C:$C, $A10, Log!$D:$D, E$4, Log!$A:$A, "Daily", Log!$B:$B, "n/a"),
        _xlpm.we_camera_on_date, IFERROR(AVERAGEIFS(Log!$F:$F, Log!$D:$D,E$4, Log!$C:$C, $A10, Log!$A:$A, "Daily", Log!$B:$B, "n/a"), 0),
        _xlpm.ie_camera_on_date, IFERROR(AVERAGEIFS(Log!$G:$G, Log!$D:$D,E$4,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0" s="68">
        <f>IFERROR(
    _xlfn.LET(
        _xlpm.is_data_present, $A10&lt;&gt;0,
        _xlpm.is_camera_present, COUNTIFS(Log!$C:$C, $A10, Log!$D:$D, F$4, Log!$A:$A, "Daily", Log!$B:$B, "n/a"),
        _xlpm.we_camera_on_date, IFERROR(AVERAGEIFS(Log!$F:$F, Log!$D:$D,F$4, Log!$C:$C, $A10, Log!$A:$A, "Daily", Log!$B:$B, "n/a"), 0),
        _xlpm.ie_camera_on_date, IFERROR(AVERAGEIFS(Log!$G:$G, Log!$D:$D,F$4,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0" s="68">
        <f>IFERROR(
    _xlfn.LET(
        _xlpm.is_data_present, $A10&lt;&gt;0,
        _xlpm.is_camera_present, COUNTIFS(Log!$C:$C, $A10, Log!$D:$D, G$4, Log!$A:$A, "Daily", Log!$B:$B, "n/a"),
        _xlpm.we_camera_on_date, IFERROR(AVERAGEIFS(Log!$F:$F, Log!$D:$D,G$4, Log!$C:$C, $A10, Log!$A:$A, "Daily", Log!$B:$B, "n/a"), 0),
        _xlpm.ie_camera_on_date, IFERROR(AVERAGEIFS(Log!$G:$G, Log!$D:$D,G$4,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10" s="68">
        <f>IFERROR(
    _xlfn.LET(
        _xlpm.is_data_present, $A10&lt;&gt;0,
        _xlpm.is_camera_present, COUNTIFS(Log!$C:$C, $A10, Log!$D:$D, H$4, Log!$A:$A, "Daily", Log!$B:$B, "n/a"),
        _xlpm.we_camera_on_date, IFERROR(AVERAGEIFS(Log!$F:$F, Log!$D:$D,H$4, Log!$C:$C, $A10, Log!$A:$A, "Daily", Log!$B:$B, "n/a"), 0),
        _xlpm.ie_camera_on_date, IFERROR(AVERAGEIFS(Log!$G:$G, Log!$D:$D,H$4,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10" s="68">
        <f>IFERROR(
    _xlfn.LET(
        _xlpm.is_data_present, $A10&lt;&gt;0,
        _xlpm.is_camera_present, COUNTIFS(Log!$C:$C, $A10, Log!$D:$D, I$4, Log!$A:$A, "Daily", Log!$B:$B, "n/a"),
        _xlpm.we_camera_on_date, IFERROR(AVERAGEIFS(Log!$F:$F, Log!$D:$D,I$4, Log!$C:$C, $A10, Log!$A:$A, "Daily", Log!$B:$B, "n/a"), 0),
        _xlpm.ie_camera_on_date, IFERROR(AVERAGEIFS(Log!$G:$G, Log!$D:$D,I$4,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0" s="68">
        <f>IFERROR(
    _xlfn.LET(
        _xlpm.is_data_present, $A10&lt;&gt;0,
        _xlpm.is_camera_present, COUNTIFS(Log!$C:$C, $A10, Log!$D:$D, J$4, Log!$A:$A, "Daily", Log!$B:$B, "n/a"),
        _xlpm.we_camera_on_date, IFERROR(AVERAGEIFS(Log!$F:$F, Log!$D:$D,J$4, Log!$C:$C, $A10, Log!$A:$A, "Daily", Log!$B:$B, "n/a"), 0),
        _xlpm.ie_camera_on_date, IFERROR(AVERAGEIFS(Log!$G:$G, Log!$D:$D,J$4,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0" s="68">
        <f>IFERROR(
    _xlfn.LET(
        _xlpm.is_data_present, $A10&lt;&gt;0,
        _xlpm.is_camera_present, COUNTIFS(Log!$C:$C, $A10, Log!$D:$D, K$4, Log!$A:$A, "Daily", Log!$B:$B, "n/a"),
        _xlpm.we_camera_on_date, IFERROR(AVERAGEIFS(Log!$F:$F, Log!$D:$D,K$4, Log!$C:$C, $A10, Log!$A:$A, "Daily", Log!$B:$B, "n/a"), 0),
        _xlpm.ie_camera_on_date, IFERROR(AVERAGEIFS(Log!$G:$G, Log!$D:$D,K$4,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10" s="68">
        <f>IFERROR(
    _xlfn.LET(
        _xlpm.is_data_present, $A10&lt;&gt;0,
        _xlpm.is_camera_present, COUNTIFS(Log!$C:$C, $A10, Log!$D:$D, L$4, Log!$A:$A, "Daily", Log!$B:$B, "n/a"),
        _xlpm.we_camera_on_date, IFERROR(AVERAGEIFS(Log!$F:$F, Log!$D:$D,L$4, Log!$C:$C, $A10, Log!$A:$A, "Daily", Log!$B:$B, "n/a"), 0),
        _xlpm.ie_camera_on_date, IFERROR(AVERAGEIFS(Log!$G:$G, Log!$D:$D,L$4,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0" s="68">
        <f>IFERROR(
    _xlfn.LET(
        _xlpm.is_data_present, $A10&lt;&gt;0,
        _xlpm.is_camera_present, COUNTIFS(Log!$C:$C, $A10, Log!$D:$D, M$4, Log!$A:$A, "Daily", Log!$B:$B, "n/a"),
        _xlpm.we_camera_on_date, IFERROR(AVERAGEIFS(Log!$F:$F, Log!$D:$D,M$4, Log!$C:$C, $A10, Log!$A:$A, "Daily", Log!$B:$B, "n/a"), 0),
        _xlpm.ie_camera_on_date, IFERROR(AVERAGEIFS(Log!$G:$G, Log!$D:$D,M$4,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0" s="68">
        <f>IFERROR(
    _xlfn.LET(
        _xlpm.is_data_present, $A10&lt;&gt;0,
        _xlpm.is_camera_present, COUNTIFS(Log!$C:$C, $A10, Log!$D:$D, N$4, Log!$A:$A, "Daily", Log!$B:$B, "n/a"),
        _xlpm.we_camera_on_date, IFERROR(AVERAGEIFS(Log!$F:$F, Log!$D:$D,N$4, Log!$C:$C, $A10, Log!$A:$A, "Daily", Log!$B:$B, "n/a"), 0),
        _xlpm.ie_camera_on_date, IFERROR(AVERAGEIFS(Log!$G:$G, Log!$D:$D,N$4,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0" s="68">
        <f>IFERROR(
    _xlfn.LET(
        _xlpm.is_data_present, $A10&lt;&gt;0,
        _xlpm.is_camera_present, COUNTIFS(Log!$C:$C, $A10, Log!$D:$D, O$4, Log!$A:$A, "Daily", Log!$B:$B, "n/a"),
        _xlpm.we_camera_on_date, IFERROR(AVERAGEIFS(Log!$F:$F, Log!$D:$D,O$4, Log!$C:$C, $A10, Log!$A:$A, "Daily", Log!$B:$B, "n/a"), 0),
        _xlpm.ie_camera_on_date, IFERROR(AVERAGEIFS(Log!$G:$G, Log!$D:$D,O$4,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0" s="68">
        <f>IFERROR(
    _xlfn.LET(
        _xlpm.is_data_present, $A10&lt;&gt;0,
        _xlpm.is_camera_present, COUNTIFS(Log!$C:$C, $A10, Log!$D:$D, P$4, Log!$A:$A, "Daily", Log!$B:$B, "n/a"),
        _xlpm.we_camera_on_date, IFERROR(AVERAGEIFS(Log!$F:$F, Log!$D:$D,P$4, Log!$C:$C, $A10, Log!$A:$A, "Daily", Log!$B:$B, "n/a"), 0),
        _xlpm.ie_camera_on_date, IFERROR(AVERAGEIFS(Log!$G:$G, Log!$D:$D,P$4,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0" s="68">
        <f>IFERROR(
    _xlfn.LET(
        _xlpm.is_data_present, $A10&lt;&gt;0,
        _xlpm.is_camera_present, COUNTIFS(Log!$C:$C, $A10, Log!$D:$D, Q$4, Log!$A:$A, "Daily", Log!$B:$B, "n/a"),
        _xlpm.we_camera_on_date, IFERROR(AVERAGEIFS(Log!$F:$F, Log!$D:$D,Q$4, Log!$C:$C, $A10, Log!$A:$A, "Daily", Log!$B:$B, "n/a"), 0),
        _xlpm.ie_camera_on_date, IFERROR(AVERAGEIFS(Log!$G:$G, Log!$D:$D,Q$4,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0" s="68">
        <f>IFERROR(
    _xlfn.LET(
        _xlpm.is_data_present, $A10&lt;&gt;0,
        _xlpm.is_camera_present, COUNTIFS(Log!$C:$C, $A10, Log!$D:$D, R$4, Log!$A:$A, "Daily", Log!$B:$B, "n/a"),
        _xlpm.we_camera_on_date, IFERROR(AVERAGEIFS(Log!$F:$F, Log!$D:$D,R$4, Log!$C:$C, $A10, Log!$A:$A, "Daily", Log!$B:$B, "n/a"), 0),
        _xlpm.ie_camera_on_date, IFERROR(AVERAGEIFS(Log!$G:$G, Log!$D:$D,R$4,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0" s="68">
        <f>IFERROR(
    _xlfn.LET(
        _xlpm.is_data_present, $A10&lt;&gt;0,
        _xlpm.is_camera_present, COUNTIFS(Log!$C:$C, $A10, Log!$D:$D, S$4, Log!$A:$A, "Daily", Log!$B:$B, "n/a"),
        _xlpm.we_camera_on_date, IFERROR(AVERAGEIFS(Log!$F:$F, Log!$D:$D,S$4, Log!$C:$C, $A10, Log!$A:$A, "Daily", Log!$B:$B, "n/a"), 0),
        _xlpm.ie_camera_on_date, IFERROR(AVERAGEIFS(Log!$G:$G, Log!$D:$D,S$4, Log!$C:$C, $A10, Log!$A:$A, "Daily", Log!$B:$B, "n/a"), 0),
        _xlpm.we_avg, IFERROR(AVERAGEIFS(Log!$F:$F,Log!$C:$C,$A10, Log!$A:$A, "Daily", Log!$B:$B, "n/a"),0),
        _xlpm.ie_avg, IFERROR(AVERAGEIFS(Log!$G:$G,Log!$C:$C,$A10,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0" s="71"/>
      <c r="V10" s="349" t="s">
        <v>68</v>
      </c>
      <c r="W10" s="349"/>
    </row>
    <row r="11" spans="1:23" x14ac:dyDescent="0.3">
      <c r="A11" s="39">
        <v>46233</v>
      </c>
      <c r="B11" s="68">
        <f>IFERROR(
    _xlfn.LET(
        _xlpm.is_data_present, $A11&lt;&gt;0,
        _xlpm.is_camera_present, COUNTIFS(Log!$C:$C, $A11, Log!$D:$D, B$4, Log!$A:$A, "Daily", Log!$B:$B, "n/a"),
        _xlpm.we_camera_on_date, IFERROR(AVERAGEIFS(Log!$F:$F, Log!$D:$D,B$4, Log!$C:$C, $A11, Log!$A:$A, "Daily", Log!$B:$B, "n/a"), 0),
        _xlpm.ie_camera_on_date, IFERROR(AVERAGEIFS(Log!$G:$G, Log!$D:$D,B$4,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1" s="68">
        <f>IFERROR(
    _xlfn.LET(
        _xlpm.is_data_present, $A11&lt;&gt;0,
        _xlpm.is_camera_present, COUNTIFS(Log!$C:$C, $A11, Log!$D:$D, C$4, Log!$A:$A, "Daily", Log!$B:$B, "n/a"),
        _xlpm.we_camera_on_date, IFERROR(AVERAGEIFS(Log!$F:$F, Log!$D:$D,C$4, Log!$C:$C, $A11, Log!$A:$A, "Daily", Log!$B:$B, "n/a"), 0),
        _xlpm.ie_camera_on_date, IFERROR(AVERAGEIFS(Log!$G:$G, Log!$D:$D,C$4,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1" s="68">
        <f>IFERROR(
    _xlfn.LET(
        _xlpm.is_data_present, $A11&lt;&gt;0,
        _xlpm.is_camera_present, COUNTIFS(Log!$C:$C, $A11, Log!$D:$D, D$4, Log!$A:$A, "Daily", Log!$B:$B, "n/a"),
        _xlpm.we_camera_on_date, IFERROR(AVERAGEIFS(Log!$F:$F, Log!$D:$D,D$4, Log!$C:$C, $A11, Log!$A:$A, "Daily", Log!$B:$B, "n/a"), 0),
        _xlpm.ie_camera_on_date, IFERROR(AVERAGEIFS(Log!$G:$G, Log!$D:$D,D$4,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1" s="68">
        <f>IFERROR(
    _xlfn.LET(
        _xlpm.is_data_present, $A11&lt;&gt;0,
        _xlpm.is_camera_present, COUNTIFS(Log!$C:$C, $A11, Log!$D:$D, E$4, Log!$A:$A, "Daily", Log!$B:$B, "n/a"),
        _xlpm.we_camera_on_date, IFERROR(AVERAGEIFS(Log!$F:$F, Log!$D:$D,E$4, Log!$C:$C, $A11, Log!$A:$A, "Daily", Log!$B:$B, "n/a"), 0),
        _xlpm.ie_camera_on_date, IFERROR(AVERAGEIFS(Log!$G:$G, Log!$D:$D,E$4,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1" s="68">
        <f>IFERROR(
    _xlfn.LET(
        _xlpm.is_data_present, $A11&lt;&gt;0,
        _xlpm.is_camera_present, COUNTIFS(Log!$C:$C, $A11, Log!$D:$D, F$4, Log!$A:$A, "Daily", Log!$B:$B, "n/a"),
        _xlpm.we_camera_on_date, IFERROR(AVERAGEIFS(Log!$F:$F, Log!$D:$D,F$4, Log!$C:$C, $A11, Log!$A:$A, "Daily", Log!$B:$B, "n/a"), 0),
        _xlpm.ie_camera_on_date, IFERROR(AVERAGEIFS(Log!$G:$G, Log!$D:$D,F$4,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1" s="68">
        <f>IFERROR(
    _xlfn.LET(
        _xlpm.is_data_present, $A11&lt;&gt;0,
        _xlpm.is_camera_present, COUNTIFS(Log!$C:$C, $A11, Log!$D:$D, G$4, Log!$A:$A, "Daily", Log!$B:$B, "n/a"),
        _xlpm.we_camera_on_date, IFERROR(AVERAGEIFS(Log!$F:$F, Log!$D:$D,G$4, Log!$C:$C, $A11, Log!$A:$A, "Daily", Log!$B:$B, "n/a"), 0),
        _xlpm.ie_camera_on_date, IFERROR(AVERAGEIFS(Log!$G:$G, Log!$D:$D,G$4,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11" s="68">
        <f>IFERROR(
    _xlfn.LET(
        _xlpm.is_data_present, $A11&lt;&gt;0,
        _xlpm.is_camera_present, COUNTIFS(Log!$C:$C, $A11, Log!$D:$D, H$4, Log!$A:$A, "Daily", Log!$B:$B, "n/a"),
        _xlpm.we_camera_on_date, IFERROR(AVERAGEIFS(Log!$F:$F, Log!$D:$D,H$4, Log!$C:$C, $A11, Log!$A:$A, "Daily", Log!$B:$B, "n/a"), 0),
        _xlpm.ie_camera_on_date, IFERROR(AVERAGEIFS(Log!$G:$G, Log!$D:$D,H$4,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1" s="68">
        <f>IFERROR(
    _xlfn.LET(
        _xlpm.is_data_present, $A11&lt;&gt;0,
        _xlpm.is_camera_present, COUNTIFS(Log!$C:$C, $A11, Log!$D:$D, I$4, Log!$A:$A, "Daily", Log!$B:$B, "n/a"),
        _xlpm.we_camera_on_date, IFERROR(AVERAGEIFS(Log!$F:$F, Log!$D:$D,I$4, Log!$C:$C, $A11, Log!$A:$A, "Daily", Log!$B:$B, "n/a"), 0),
        _xlpm.ie_camera_on_date, IFERROR(AVERAGEIFS(Log!$G:$G, Log!$D:$D,I$4,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1" s="68">
        <f>IFERROR(
    _xlfn.LET(
        _xlpm.is_data_present, $A11&lt;&gt;0,
        _xlpm.is_camera_present, COUNTIFS(Log!$C:$C, $A11, Log!$D:$D, J$4, Log!$A:$A, "Daily", Log!$B:$B, "n/a"),
        _xlpm.we_camera_on_date, IFERROR(AVERAGEIFS(Log!$F:$F, Log!$D:$D,J$4, Log!$C:$C, $A11, Log!$A:$A, "Daily", Log!$B:$B, "n/a"), 0),
        _xlpm.ie_camera_on_date, IFERROR(AVERAGEIFS(Log!$G:$G, Log!$D:$D,J$4,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1" s="68">
        <f>IFERROR(
    _xlfn.LET(
        _xlpm.is_data_present, $A11&lt;&gt;0,
        _xlpm.is_camera_present, COUNTIFS(Log!$C:$C, $A11, Log!$D:$D, K$4, Log!$A:$A, "Daily", Log!$B:$B, "n/a"),
        _xlpm.we_camera_on_date, IFERROR(AVERAGEIFS(Log!$F:$F, Log!$D:$D,K$4, Log!$C:$C, $A11, Log!$A:$A, "Daily", Log!$B:$B, "n/a"), 0),
        _xlpm.ie_camera_on_date, IFERROR(AVERAGEIFS(Log!$G:$G, Log!$D:$D,K$4,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1" s="68">
        <f>IFERROR(
    _xlfn.LET(
        _xlpm.is_data_present, $A11&lt;&gt;0,
        _xlpm.is_camera_present, COUNTIFS(Log!$C:$C, $A11, Log!$D:$D, L$4, Log!$A:$A, "Daily", Log!$B:$B, "n/a"),
        _xlpm.we_camera_on_date, IFERROR(AVERAGEIFS(Log!$F:$F, Log!$D:$D,L$4, Log!$C:$C, $A11, Log!$A:$A, "Daily", Log!$B:$B, "n/a"), 0),
        _xlpm.ie_camera_on_date, IFERROR(AVERAGEIFS(Log!$G:$G, Log!$D:$D,L$4,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1" s="68">
        <f>IFERROR(
    _xlfn.LET(
        _xlpm.is_data_present, $A11&lt;&gt;0,
        _xlpm.is_camera_present, COUNTIFS(Log!$C:$C, $A11, Log!$D:$D, M$4, Log!$A:$A, "Daily", Log!$B:$B, "n/a"),
        _xlpm.we_camera_on_date, IFERROR(AVERAGEIFS(Log!$F:$F, Log!$D:$D,M$4, Log!$C:$C, $A11, Log!$A:$A, "Daily", Log!$B:$B, "n/a"), 0),
        _xlpm.ie_camera_on_date, IFERROR(AVERAGEIFS(Log!$G:$G, Log!$D:$D,M$4,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11" s="68">
        <f>IFERROR(
    _xlfn.LET(
        _xlpm.is_data_present, $A11&lt;&gt;0,
        _xlpm.is_camera_present, COUNTIFS(Log!$C:$C, $A11, Log!$D:$D, N$4, Log!$A:$A, "Daily", Log!$B:$B, "n/a"),
        _xlpm.we_camera_on_date, IFERROR(AVERAGEIFS(Log!$F:$F, Log!$D:$D,N$4, Log!$C:$C, $A11, Log!$A:$A, "Daily", Log!$B:$B, "n/a"), 0),
        _xlpm.ie_camera_on_date, IFERROR(AVERAGEIFS(Log!$G:$G, Log!$D:$D,N$4,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1" s="68">
        <f>IFERROR(
    _xlfn.LET(
        _xlpm.is_data_present, $A11&lt;&gt;0,
        _xlpm.is_camera_present, COUNTIFS(Log!$C:$C, $A11, Log!$D:$D, O$4, Log!$A:$A, "Daily", Log!$B:$B, "n/a"),
        _xlpm.we_camera_on_date, IFERROR(AVERAGEIFS(Log!$F:$F, Log!$D:$D,O$4, Log!$C:$C, $A11, Log!$A:$A, "Daily", Log!$B:$B, "n/a"), 0),
        _xlpm.ie_camera_on_date, IFERROR(AVERAGEIFS(Log!$G:$G, Log!$D:$D,O$4,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1" s="68">
        <f>IFERROR(
    _xlfn.LET(
        _xlpm.is_data_present, $A11&lt;&gt;0,
        _xlpm.is_camera_present, COUNTIFS(Log!$C:$C, $A11, Log!$D:$D, P$4, Log!$A:$A, "Daily", Log!$B:$B, "n/a"),
        _xlpm.we_camera_on_date, IFERROR(AVERAGEIFS(Log!$F:$F, Log!$D:$D,P$4, Log!$C:$C, $A11, Log!$A:$A, "Daily", Log!$B:$B, "n/a"), 0),
        _xlpm.ie_camera_on_date, IFERROR(AVERAGEIFS(Log!$G:$G, Log!$D:$D,P$4,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1" s="68">
        <f>IFERROR(
    _xlfn.LET(
        _xlpm.is_data_present, $A11&lt;&gt;0,
        _xlpm.is_camera_present, COUNTIFS(Log!$C:$C, $A11, Log!$D:$D, Q$4, Log!$A:$A, "Daily", Log!$B:$B, "n/a"),
        _xlpm.we_camera_on_date, IFERROR(AVERAGEIFS(Log!$F:$F, Log!$D:$D,Q$4, Log!$C:$C, $A11, Log!$A:$A, "Daily", Log!$B:$B, "n/a"), 0),
        _xlpm.ie_camera_on_date, IFERROR(AVERAGEIFS(Log!$G:$G, Log!$D:$D,Q$4,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11" s="68">
        <f>IFERROR(
    _xlfn.LET(
        _xlpm.is_data_present, $A11&lt;&gt;0,
        _xlpm.is_camera_present, COUNTIFS(Log!$C:$C, $A11, Log!$D:$D, R$4, Log!$A:$A, "Daily", Log!$B:$B, "n/a"),
        _xlpm.we_camera_on_date, IFERROR(AVERAGEIFS(Log!$F:$F, Log!$D:$D,R$4, Log!$C:$C, $A11, Log!$A:$A, "Daily", Log!$B:$B, "n/a"), 0),
        _xlpm.ie_camera_on_date, IFERROR(AVERAGEIFS(Log!$G:$G, Log!$D:$D,R$4,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1" s="68">
        <f>IFERROR(
    _xlfn.LET(
        _xlpm.is_data_present, $A11&lt;&gt;0,
        _xlpm.is_camera_present, COUNTIFS(Log!$C:$C, $A11, Log!$D:$D, S$4, Log!$A:$A, "Daily", Log!$B:$B, "n/a"),
        _xlpm.we_camera_on_date, IFERROR(AVERAGEIFS(Log!$F:$F, Log!$D:$D,S$4, Log!$C:$C, $A11, Log!$A:$A, "Daily", Log!$B:$B, "n/a"), 0),
        _xlpm.ie_camera_on_date, IFERROR(AVERAGEIFS(Log!$G:$G, Log!$D:$D,S$4, Log!$C:$C, $A11, Log!$A:$A, "Daily", Log!$B:$B, "n/a"), 0),
        _xlpm.we_avg, IFERROR(AVERAGEIFS(Log!$F:$F,Log!$C:$C,$A11, Log!$A:$A, "Daily", Log!$B:$B, "n/a"),0),
        _xlpm.ie_avg, IFERROR(AVERAGEIFS(Log!$G:$G,Log!$C:$C,$A11,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1" s="72"/>
      <c r="V11" s="349" t="s">
        <v>69</v>
      </c>
      <c r="W11" s="349"/>
    </row>
    <row r="12" spans="1:23" x14ac:dyDescent="0.3">
      <c r="A12" s="39">
        <v>46234</v>
      </c>
      <c r="B12" s="68">
        <f>IFERROR(
    _xlfn.LET(
        _xlpm.is_data_present, $A12&lt;&gt;0,
        _xlpm.is_camera_present, COUNTIFS(Log!$C:$C, $A12, Log!$D:$D, B$4, Log!$A:$A, "Daily", Log!$B:$B, "n/a"),
        _xlpm.we_camera_on_date, IFERROR(AVERAGEIFS(Log!$F:$F, Log!$D:$D,B$4, Log!$C:$C, $A12, Log!$A:$A, "Daily", Log!$B:$B, "n/a"), 0),
        _xlpm.ie_camera_on_date, IFERROR(AVERAGEIFS(Log!$G:$G, Log!$D:$D,B$4,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2" s="68">
        <f>IFERROR(
    _xlfn.LET(
        _xlpm.is_data_present, $A12&lt;&gt;0,
        _xlpm.is_camera_present, COUNTIFS(Log!$C:$C, $A12, Log!$D:$D, C$4, Log!$A:$A, "Daily", Log!$B:$B, "n/a"),
        _xlpm.we_camera_on_date, IFERROR(AVERAGEIFS(Log!$F:$F, Log!$D:$D,C$4, Log!$C:$C, $A12, Log!$A:$A, "Daily", Log!$B:$B, "n/a"), 0),
        _xlpm.ie_camera_on_date, IFERROR(AVERAGEIFS(Log!$G:$G, Log!$D:$D,C$4,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2" s="68">
        <f>IFERROR(
    _xlfn.LET(
        _xlpm.is_data_present, $A12&lt;&gt;0,
        _xlpm.is_camera_present, COUNTIFS(Log!$C:$C, $A12, Log!$D:$D, D$4, Log!$A:$A, "Daily", Log!$B:$B, "n/a"),
        _xlpm.we_camera_on_date, IFERROR(AVERAGEIFS(Log!$F:$F, Log!$D:$D,D$4, Log!$C:$C, $A12, Log!$A:$A, "Daily", Log!$B:$B, "n/a"), 0),
        _xlpm.ie_camera_on_date, IFERROR(AVERAGEIFS(Log!$G:$G, Log!$D:$D,D$4,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E12" s="68">
        <f>IFERROR(
    _xlfn.LET(
        _xlpm.is_data_present, $A12&lt;&gt;0,
        _xlpm.is_camera_present, COUNTIFS(Log!$C:$C, $A12, Log!$D:$D, E$4, Log!$A:$A, "Daily", Log!$B:$B, "n/a"),
        _xlpm.we_camera_on_date, IFERROR(AVERAGEIFS(Log!$F:$F, Log!$D:$D,E$4, Log!$C:$C, $A12, Log!$A:$A, "Daily", Log!$B:$B, "n/a"), 0),
        _xlpm.ie_camera_on_date, IFERROR(AVERAGEIFS(Log!$G:$G, Log!$D:$D,E$4,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2" s="68">
        <f>IFERROR(
    _xlfn.LET(
        _xlpm.is_data_present, $A12&lt;&gt;0,
        _xlpm.is_camera_present, COUNTIFS(Log!$C:$C, $A12, Log!$D:$D, F$4, Log!$A:$A, "Daily", Log!$B:$B, "n/a"),
        _xlpm.we_camera_on_date, IFERROR(AVERAGEIFS(Log!$F:$F, Log!$D:$D,F$4, Log!$C:$C, $A12, Log!$A:$A, "Daily", Log!$B:$B, "n/a"), 0),
        _xlpm.ie_camera_on_date, IFERROR(AVERAGEIFS(Log!$G:$G, Log!$D:$D,F$4,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2" s="68">
        <f>IFERROR(
    _xlfn.LET(
        _xlpm.is_data_present, $A12&lt;&gt;0,
        _xlpm.is_camera_present, COUNTIFS(Log!$C:$C, $A12, Log!$D:$D, G$4, Log!$A:$A, "Daily", Log!$B:$B, "n/a"),
        _xlpm.we_camera_on_date, IFERROR(AVERAGEIFS(Log!$F:$F, Log!$D:$D,G$4, Log!$C:$C, $A12, Log!$A:$A, "Daily", Log!$B:$B, "n/a"), 0),
        _xlpm.ie_camera_on_date, IFERROR(AVERAGEIFS(Log!$G:$G, Log!$D:$D,G$4,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12" s="68">
        <f>IFERROR(
    _xlfn.LET(
        _xlpm.is_data_present, $A12&lt;&gt;0,
        _xlpm.is_camera_present, COUNTIFS(Log!$C:$C, $A12, Log!$D:$D, H$4, Log!$A:$A, "Daily", Log!$B:$B, "n/a"),
        _xlpm.we_camera_on_date, IFERROR(AVERAGEIFS(Log!$F:$F, Log!$D:$D,H$4, Log!$C:$C, $A12, Log!$A:$A, "Daily", Log!$B:$B, "n/a"), 0),
        _xlpm.ie_camera_on_date, IFERROR(AVERAGEIFS(Log!$G:$G, Log!$D:$D,H$4,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I12" s="68">
        <f>IFERROR(
    _xlfn.LET(
        _xlpm.is_data_present, $A12&lt;&gt;0,
        _xlpm.is_camera_present, COUNTIFS(Log!$C:$C, $A12, Log!$D:$D, I$4, Log!$A:$A, "Daily", Log!$B:$B, "n/a"),
        _xlpm.we_camera_on_date, IFERROR(AVERAGEIFS(Log!$F:$F, Log!$D:$D,I$4, Log!$C:$C, $A12, Log!$A:$A, "Daily", Log!$B:$B, "n/a"), 0),
        _xlpm.ie_camera_on_date, IFERROR(AVERAGEIFS(Log!$G:$G, Log!$D:$D,I$4,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2" s="68">
        <f>IFERROR(
    _xlfn.LET(
        _xlpm.is_data_present, $A12&lt;&gt;0,
        _xlpm.is_camera_present, COUNTIFS(Log!$C:$C, $A12, Log!$D:$D, J$4, Log!$A:$A, "Daily", Log!$B:$B, "n/a"),
        _xlpm.we_camera_on_date, IFERROR(AVERAGEIFS(Log!$F:$F, Log!$D:$D,J$4, Log!$C:$C, $A12, Log!$A:$A, "Daily", Log!$B:$B, "n/a"), 0),
        _xlpm.ie_camera_on_date, IFERROR(AVERAGEIFS(Log!$G:$G, Log!$D:$D,J$4,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2" s="68">
        <f>IFERROR(
    _xlfn.LET(
        _xlpm.is_data_present, $A12&lt;&gt;0,
        _xlpm.is_camera_present, COUNTIFS(Log!$C:$C, $A12, Log!$D:$D, K$4, Log!$A:$A, "Daily", Log!$B:$B, "n/a"),
        _xlpm.we_camera_on_date, IFERROR(AVERAGEIFS(Log!$F:$F, Log!$D:$D,K$4, Log!$C:$C, $A12, Log!$A:$A, "Daily", Log!$B:$B, "n/a"), 0),
        _xlpm.ie_camera_on_date, IFERROR(AVERAGEIFS(Log!$G:$G, Log!$D:$D,K$4,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12" s="68">
        <f>IFERROR(
    _xlfn.LET(
        _xlpm.is_data_present, $A12&lt;&gt;0,
        _xlpm.is_camera_present, COUNTIFS(Log!$C:$C, $A12, Log!$D:$D, L$4, Log!$A:$A, "Daily", Log!$B:$B, "n/a"),
        _xlpm.we_camera_on_date, IFERROR(AVERAGEIFS(Log!$F:$F, Log!$D:$D,L$4, Log!$C:$C, $A12, Log!$A:$A, "Daily", Log!$B:$B, "n/a"), 0),
        _xlpm.ie_camera_on_date, IFERROR(AVERAGEIFS(Log!$G:$G, Log!$D:$D,L$4,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2" s="68">
        <f>IFERROR(
    _xlfn.LET(
        _xlpm.is_data_present, $A12&lt;&gt;0,
        _xlpm.is_camera_present, COUNTIFS(Log!$C:$C, $A12, Log!$D:$D, M$4, Log!$A:$A, "Daily", Log!$B:$B, "n/a"),
        _xlpm.we_camera_on_date, IFERROR(AVERAGEIFS(Log!$F:$F, Log!$D:$D,M$4, Log!$C:$C, $A12, Log!$A:$A, "Daily", Log!$B:$B, "n/a"), 0),
        _xlpm.ie_camera_on_date, IFERROR(AVERAGEIFS(Log!$G:$G, Log!$D:$D,M$4,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2" s="68">
        <f>IFERROR(
    _xlfn.LET(
        _xlpm.is_data_present, $A12&lt;&gt;0,
        _xlpm.is_camera_present, COUNTIFS(Log!$C:$C, $A12, Log!$D:$D, N$4, Log!$A:$A, "Daily", Log!$B:$B, "n/a"),
        _xlpm.we_camera_on_date, IFERROR(AVERAGEIFS(Log!$F:$F, Log!$D:$D,N$4, Log!$C:$C, $A12, Log!$A:$A, "Daily", Log!$B:$B, "n/a"), 0),
        _xlpm.ie_camera_on_date, IFERROR(AVERAGEIFS(Log!$G:$G, Log!$D:$D,N$4,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2" s="68">
        <f>IFERROR(
    _xlfn.LET(
        _xlpm.is_data_present, $A12&lt;&gt;0,
        _xlpm.is_camera_present, COUNTIFS(Log!$C:$C, $A12, Log!$D:$D, O$4, Log!$A:$A, "Daily", Log!$B:$B, "n/a"),
        _xlpm.we_camera_on_date, IFERROR(AVERAGEIFS(Log!$F:$F, Log!$D:$D,O$4, Log!$C:$C, $A12, Log!$A:$A, "Daily", Log!$B:$B, "n/a"), 0),
        _xlpm.ie_camera_on_date, IFERROR(AVERAGEIFS(Log!$G:$G, Log!$D:$D,O$4,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2" s="68">
        <f>IFERROR(
    _xlfn.LET(
        _xlpm.is_data_present, $A12&lt;&gt;0,
        _xlpm.is_camera_present, COUNTIFS(Log!$C:$C, $A12, Log!$D:$D, P$4, Log!$A:$A, "Daily", Log!$B:$B, "n/a"),
        _xlpm.we_camera_on_date, IFERROR(AVERAGEIFS(Log!$F:$F, Log!$D:$D,P$4, Log!$C:$C, $A12, Log!$A:$A, "Daily", Log!$B:$B, "n/a"), 0),
        _xlpm.ie_camera_on_date, IFERROR(AVERAGEIFS(Log!$G:$G, Log!$D:$D,P$4,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2" s="68">
        <f>IFERROR(
    _xlfn.LET(
        _xlpm.is_data_present, $A12&lt;&gt;0,
        _xlpm.is_camera_present, COUNTIFS(Log!$C:$C, $A12, Log!$D:$D, Q$4, Log!$A:$A, "Daily", Log!$B:$B, "n/a"),
        _xlpm.we_camera_on_date, IFERROR(AVERAGEIFS(Log!$F:$F, Log!$D:$D,Q$4, Log!$C:$C, $A12, Log!$A:$A, "Daily", Log!$B:$B, "n/a"), 0),
        _xlpm.ie_camera_on_date, IFERROR(AVERAGEIFS(Log!$G:$G, Log!$D:$D,Q$4,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2" s="68">
        <f>IFERROR(
    _xlfn.LET(
        _xlpm.is_data_present, $A12&lt;&gt;0,
        _xlpm.is_camera_present, COUNTIFS(Log!$C:$C, $A12, Log!$D:$D, R$4, Log!$A:$A, "Daily", Log!$B:$B, "n/a"),
        _xlpm.we_camera_on_date, IFERROR(AVERAGEIFS(Log!$F:$F, Log!$D:$D,R$4, Log!$C:$C, $A12, Log!$A:$A, "Daily", Log!$B:$B, "n/a"), 0),
        _xlpm.ie_camera_on_date, IFERROR(AVERAGEIFS(Log!$G:$G, Log!$D:$D,R$4,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2" s="68">
        <f>IFERROR(
    _xlfn.LET(
        _xlpm.is_data_present, $A12&lt;&gt;0,
        _xlpm.is_camera_present, COUNTIFS(Log!$C:$C, $A12, Log!$D:$D, S$4, Log!$A:$A, "Daily", Log!$B:$B, "n/a"),
        _xlpm.we_camera_on_date, IFERROR(AVERAGEIFS(Log!$F:$F, Log!$D:$D,S$4, Log!$C:$C, $A12, Log!$A:$A, "Daily", Log!$B:$B, "n/a"), 0),
        _xlpm.ie_camera_on_date, IFERROR(AVERAGEIFS(Log!$G:$G, Log!$D:$D,S$4, Log!$C:$C, $A12, Log!$A:$A, "Daily", Log!$B:$B, "n/a"), 0),
        _xlpm.we_avg, IFERROR(AVERAGEIFS(Log!$F:$F,Log!$C:$C,$A12, Log!$A:$A, "Daily", Log!$B:$B, "n/a"),0),
        _xlpm.ie_avg, IFERROR(AVERAGEIFS(Log!$G:$G,Log!$C:$C,$A12,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2" s="73"/>
      <c r="V12" s="349" t="s">
        <v>70</v>
      </c>
      <c r="W12" s="349"/>
    </row>
    <row r="13" spans="1:23" x14ac:dyDescent="0.3">
      <c r="A13" s="39">
        <v>46235</v>
      </c>
      <c r="B13" s="68">
        <f>IFERROR(
    _xlfn.LET(
        _xlpm.is_data_present, $A13&lt;&gt;0,
        _xlpm.is_camera_present, COUNTIFS(Log!$C:$C, $A13, Log!$D:$D, B$4, Log!$A:$A, "Daily", Log!$B:$B, "n/a"),
        _xlpm.we_camera_on_date, IFERROR(AVERAGEIFS(Log!$F:$F, Log!$D:$D,B$4, Log!$C:$C, $A13, Log!$A:$A, "Daily", Log!$B:$B, "n/a"), 0),
        _xlpm.ie_camera_on_date, IFERROR(AVERAGEIFS(Log!$G:$G, Log!$D:$D,B$4,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3" s="68">
        <f>IFERROR(
    _xlfn.LET(
        _xlpm.is_data_present, $A13&lt;&gt;0,
        _xlpm.is_camera_present, COUNTIFS(Log!$C:$C, $A13, Log!$D:$D, C$4, Log!$A:$A, "Daily", Log!$B:$B, "n/a"),
        _xlpm.we_camera_on_date, IFERROR(AVERAGEIFS(Log!$F:$F, Log!$D:$D,C$4, Log!$C:$C, $A13, Log!$A:$A, "Daily", Log!$B:$B, "n/a"), 0),
        _xlpm.ie_camera_on_date, IFERROR(AVERAGEIFS(Log!$G:$G, Log!$D:$D,C$4,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13" s="68">
        <f>IFERROR(
    _xlfn.LET(
        _xlpm.is_data_present, $A13&lt;&gt;0,
        _xlpm.is_camera_present, COUNTIFS(Log!$C:$C, $A13, Log!$D:$D, D$4, Log!$A:$A, "Daily", Log!$B:$B, "n/a"),
        _xlpm.we_camera_on_date, IFERROR(AVERAGEIFS(Log!$F:$F, Log!$D:$D,D$4, Log!$C:$C, $A13, Log!$A:$A, "Daily", Log!$B:$B, "n/a"), 0),
        _xlpm.ie_camera_on_date, IFERROR(AVERAGEIFS(Log!$G:$G, Log!$D:$D,D$4,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E13" s="68">
        <f>IFERROR(
    _xlfn.LET(
        _xlpm.is_data_present, $A13&lt;&gt;0,
        _xlpm.is_camera_present, COUNTIFS(Log!$C:$C, $A13, Log!$D:$D, E$4, Log!$A:$A, "Daily", Log!$B:$B, "n/a"),
        _xlpm.we_camera_on_date, IFERROR(AVERAGEIFS(Log!$F:$F, Log!$D:$D,E$4, Log!$C:$C, $A13, Log!$A:$A, "Daily", Log!$B:$B, "n/a"), 0),
        _xlpm.ie_camera_on_date, IFERROR(AVERAGEIFS(Log!$G:$G, Log!$D:$D,E$4,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F13" s="68">
        <f>IFERROR(
    _xlfn.LET(
        _xlpm.is_data_present, $A13&lt;&gt;0,
        _xlpm.is_camera_present, COUNTIFS(Log!$C:$C, $A13, Log!$D:$D, F$4, Log!$A:$A, "Daily", Log!$B:$B, "n/a"),
        _xlpm.we_camera_on_date, IFERROR(AVERAGEIFS(Log!$F:$F, Log!$D:$D,F$4, Log!$C:$C, $A13, Log!$A:$A, "Daily", Log!$B:$B, "n/a"), 0),
        _xlpm.ie_camera_on_date, IFERROR(AVERAGEIFS(Log!$G:$G, Log!$D:$D,F$4,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3" s="68">
        <f>IFERROR(
    _xlfn.LET(
        _xlpm.is_data_present, $A13&lt;&gt;0,
        _xlpm.is_camera_present, COUNTIFS(Log!$C:$C, $A13, Log!$D:$D, G$4, Log!$A:$A, "Daily", Log!$B:$B, "n/a"),
        _xlpm.we_camera_on_date, IFERROR(AVERAGEIFS(Log!$F:$F, Log!$D:$D,G$4, Log!$C:$C, $A13, Log!$A:$A, "Daily", Log!$B:$B, "n/a"), 0),
        _xlpm.ie_camera_on_date, IFERROR(AVERAGEIFS(Log!$G:$G, Log!$D:$D,G$4,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3" s="68">
        <f>IFERROR(
    _xlfn.LET(
        _xlpm.is_data_present, $A13&lt;&gt;0,
        _xlpm.is_camera_present, COUNTIFS(Log!$C:$C, $A13, Log!$D:$D, H$4, Log!$A:$A, "Daily", Log!$B:$B, "n/a"),
        _xlpm.we_camera_on_date, IFERROR(AVERAGEIFS(Log!$F:$F, Log!$D:$D,H$4, Log!$C:$C, $A13, Log!$A:$A, "Daily", Log!$B:$B, "n/a"), 0),
        _xlpm.ie_camera_on_date, IFERROR(AVERAGEIFS(Log!$G:$G, Log!$D:$D,H$4,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3" s="68">
        <f>IFERROR(
    _xlfn.LET(
        _xlpm.is_data_present, $A13&lt;&gt;0,
        _xlpm.is_camera_present, COUNTIFS(Log!$C:$C, $A13, Log!$D:$D, I$4, Log!$A:$A, "Daily", Log!$B:$B, "n/a"),
        _xlpm.we_camera_on_date, IFERROR(AVERAGEIFS(Log!$F:$F, Log!$D:$D,I$4, Log!$C:$C, $A13, Log!$A:$A, "Daily", Log!$B:$B, "n/a"), 0),
        _xlpm.ie_camera_on_date, IFERROR(AVERAGEIFS(Log!$G:$G, Log!$D:$D,I$4,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3" s="68">
        <f>IFERROR(
    _xlfn.LET(
        _xlpm.is_data_present, $A13&lt;&gt;0,
        _xlpm.is_camera_present, COUNTIFS(Log!$C:$C, $A13, Log!$D:$D, J$4, Log!$A:$A, "Daily", Log!$B:$B, "n/a"),
        _xlpm.we_camera_on_date, IFERROR(AVERAGEIFS(Log!$F:$F, Log!$D:$D,J$4, Log!$C:$C, $A13, Log!$A:$A, "Daily", Log!$B:$B, "n/a"), 0),
        _xlpm.ie_camera_on_date, IFERROR(AVERAGEIFS(Log!$G:$G, Log!$D:$D,J$4,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3" s="68">
        <f>IFERROR(
    _xlfn.LET(
        _xlpm.is_data_present, $A13&lt;&gt;0,
        _xlpm.is_camera_present, COUNTIFS(Log!$C:$C, $A13, Log!$D:$D, K$4, Log!$A:$A, "Daily", Log!$B:$B, "n/a"),
        _xlpm.we_camera_on_date, IFERROR(AVERAGEIFS(Log!$F:$F, Log!$D:$D,K$4, Log!$C:$C, $A13, Log!$A:$A, "Daily", Log!$B:$B, "n/a"), 0),
        _xlpm.ie_camera_on_date, IFERROR(AVERAGEIFS(Log!$G:$G, Log!$D:$D,K$4,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3" s="68">
        <f>IFERROR(
    _xlfn.LET(
        _xlpm.is_data_present, $A13&lt;&gt;0,
        _xlpm.is_camera_present, COUNTIFS(Log!$C:$C, $A13, Log!$D:$D, L$4, Log!$A:$A, "Daily", Log!$B:$B, "n/a"),
        _xlpm.we_camera_on_date, IFERROR(AVERAGEIFS(Log!$F:$F, Log!$D:$D,L$4, Log!$C:$C, $A13, Log!$A:$A, "Daily", Log!$B:$B, "n/a"), 0),
        _xlpm.ie_camera_on_date, IFERROR(AVERAGEIFS(Log!$G:$G, Log!$D:$D,L$4,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13" s="68">
        <f>IFERROR(
    _xlfn.LET(
        _xlpm.is_data_present, $A13&lt;&gt;0,
        _xlpm.is_camera_present, COUNTIFS(Log!$C:$C, $A13, Log!$D:$D, M$4, Log!$A:$A, "Daily", Log!$B:$B, "n/a"),
        _xlpm.we_camera_on_date, IFERROR(AVERAGEIFS(Log!$F:$F, Log!$D:$D,M$4, Log!$C:$C, $A13, Log!$A:$A, "Daily", Log!$B:$B, "n/a"), 0),
        _xlpm.ie_camera_on_date, IFERROR(AVERAGEIFS(Log!$G:$G, Log!$D:$D,M$4,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3" s="68">
        <f>IFERROR(
    _xlfn.LET(
        _xlpm.is_data_present, $A13&lt;&gt;0,
        _xlpm.is_camera_present, COUNTIFS(Log!$C:$C, $A13, Log!$D:$D, N$4, Log!$A:$A, "Daily", Log!$B:$B, "n/a"),
        _xlpm.we_camera_on_date, IFERROR(AVERAGEIFS(Log!$F:$F, Log!$D:$D,N$4, Log!$C:$C, $A13, Log!$A:$A, "Daily", Log!$B:$B, "n/a"), 0),
        _xlpm.ie_camera_on_date, IFERROR(AVERAGEIFS(Log!$G:$G, Log!$D:$D,N$4,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3" s="68">
        <f>IFERROR(
    _xlfn.LET(
        _xlpm.is_data_present, $A13&lt;&gt;0,
        _xlpm.is_camera_present, COUNTIFS(Log!$C:$C, $A13, Log!$D:$D, O$4, Log!$A:$A, "Daily", Log!$B:$B, "n/a"),
        _xlpm.we_camera_on_date, IFERROR(AVERAGEIFS(Log!$F:$F, Log!$D:$D,O$4, Log!$C:$C, $A13, Log!$A:$A, "Daily", Log!$B:$B, "n/a"), 0),
        _xlpm.ie_camera_on_date, IFERROR(AVERAGEIFS(Log!$G:$G, Log!$D:$D,O$4,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3" s="68">
        <f>IFERROR(
    _xlfn.LET(
        _xlpm.is_data_present, $A13&lt;&gt;0,
        _xlpm.is_camera_present, COUNTIFS(Log!$C:$C, $A13, Log!$D:$D, P$4, Log!$A:$A, "Daily", Log!$B:$B, "n/a"),
        _xlpm.we_camera_on_date, IFERROR(AVERAGEIFS(Log!$F:$F, Log!$D:$D,P$4, Log!$C:$C, $A13, Log!$A:$A, "Daily", Log!$B:$B, "n/a"), 0),
        _xlpm.ie_camera_on_date, IFERROR(AVERAGEIFS(Log!$G:$G, Log!$D:$D,P$4,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3" s="68">
        <f>IFERROR(
    _xlfn.LET(
        _xlpm.is_data_present, $A13&lt;&gt;0,
        _xlpm.is_camera_present, COUNTIFS(Log!$C:$C, $A13, Log!$D:$D, Q$4, Log!$A:$A, "Daily", Log!$B:$B, "n/a"),
        _xlpm.we_camera_on_date, IFERROR(AVERAGEIFS(Log!$F:$F, Log!$D:$D,Q$4, Log!$C:$C, $A13, Log!$A:$A, "Daily", Log!$B:$B, "n/a"), 0),
        _xlpm.ie_camera_on_date, IFERROR(AVERAGEIFS(Log!$G:$G, Log!$D:$D,Q$4,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3" s="68">
        <f>IFERROR(
    _xlfn.LET(
        _xlpm.is_data_present, $A13&lt;&gt;0,
        _xlpm.is_camera_present, COUNTIFS(Log!$C:$C, $A13, Log!$D:$D, R$4, Log!$A:$A, "Daily", Log!$B:$B, "n/a"),
        _xlpm.we_camera_on_date, IFERROR(AVERAGEIFS(Log!$F:$F, Log!$D:$D,R$4, Log!$C:$C, $A13, Log!$A:$A, "Daily", Log!$B:$B, "n/a"), 0),
        _xlpm.ie_camera_on_date, IFERROR(AVERAGEIFS(Log!$G:$G, Log!$D:$D,R$4,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13" s="68">
        <f>IFERROR(
    _xlfn.LET(
        _xlpm.is_data_present, $A13&lt;&gt;0,
        _xlpm.is_camera_present, COUNTIFS(Log!$C:$C, $A13, Log!$D:$D, S$4, Log!$A:$A, "Daily", Log!$B:$B, "n/a"),
        _xlpm.we_camera_on_date, IFERROR(AVERAGEIFS(Log!$F:$F, Log!$D:$D,S$4, Log!$C:$C, $A13, Log!$A:$A, "Daily", Log!$B:$B, "n/a"), 0),
        _xlpm.ie_camera_on_date, IFERROR(AVERAGEIFS(Log!$G:$G, Log!$D:$D,S$4, Log!$C:$C, $A13, Log!$A:$A, "Daily", Log!$B:$B, "n/a"), 0),
        _xlpm.we_avg, IFERROR(AVERAGEIFS(Log!$F:$F,Log!$C:$C,$A13, Log!$A:$A, "Daily", Log!$B:$B, "n/a"),0),
        _xlpm.ie_avg, IFERROR(AVERAGEIFS(Log!$G:$G,Log!$C:$C,$A13,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U13" s="52"/>
      <c r="V13" s="52"/>
    </row>
    <row r="14" spans="1:23" x14ac:dyDescent="0.3">
      <c r="A14" s="39">
        <v>46237</v>
      </c>
      <c r="B14" s="68">
        <f>IFERROR(
    _xlfn.LET(
        _xlpm.is_data_present, $A14&lt;&gt;0,
        _xlpm.is_camera_present, COUNTIFS(Log!$C:$C, $A14, Log!$D:$D, B$4, Log!$A:$A, "Daily", Log!$B:$B, "n/a"),
        _xlpm.we_camera_on_date, IFERROR(AVERAGEIFS(Log!$F:$F, Log!$D:$D,B$4, Log!$C:$C, $A14, Log!$A:$A, "Daily", Log!$B:$B, "n/a"), 0),
        _xlpm.ie_camera_on_date, IFERROR(AVERAGEIFS(Log!$G:$G, Log!$D:$D,B$4,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14" s="68">
        <f>IFERROR(
    _xlfn.LET(
        _xlpm.is_data_present, $A14&lt;&gt;0,
        _xlpm.is_camera_present, COUNTIFS(Log!$C:$C, $A14, Log!$D:$D, C$4, Log!$A:$A, "Daily", Log!$B:$B, "n/a"),
        _xlpm.we_camera_on_date, IFERROR(AVERAGEIFS(Log!$F:$F, Log!$D:$D,C$4, Log!$C:$C, $A14, Log!$A:$A, "Daily", Log!$B:$B, "n/a"), 0),
        _xlpm.ie_camera_on_date, IFERROR(AVERAGEIFS(Log!$G:$G, Log!$D:$D,C$4,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4" s="68">
        <f>IFERROR(
    _xlfn.LET(
        _xlpm.is_data_present, $A14&lt;&gt;0,
        _xlpm.is_camera_present, COUNTIFS(Log!$C:$C, $A14, Log!$D:$D, D$4, Log!$A:$A, "Daily", Log!$B:$B, "n/a"),
        _xlpm.we_camera_on_date, IFERROR(AVERAGEIFS(Log!$F:$F, Log!$D:$D,D$4, Log!$C:$C, $A14, Log!$A:$A, "Daily", Log!$B:$B, "n/a"), 0),
        _xlpm.ie_camera_on_date, IFERROR(AVERAGEIFS(Log!$G:$G, Log!$D:$D,D$4,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4" s="68">
        <f>IFERROR(
    _xlfn.LET(
        _xlpm.is_data_present, $A14&lt;&gt;0,
        _xlpm.is_camera_present, COUNTIFS(Log!$C:$C, $A14, Log!$D:$D, E$4, Log!$A:$A, "Daily", Log!$B:$B, "n/a"),
        _xlpm.we_camera_on_date, IFERROR(AVERAGEIFS(Log!$F:$F, Log!$D:$D,E$4, Log!$C:$C, $A14, Log!$A:$A, "Daily", Log!$B:$B, "n/a"), 0),
        _xlpm.ie_camera_on_date, IFERROR(AVERAGEIFS(Log!$G:$G, Log!$D:$D,E$4,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4" s="68">
        <f>IFERROR(
    _xlfn.LET(
        _xlpm.is_data_present, $A14&lt;&gt;0,
        _xlpm.is_camera_present, COUNTIFS(Log!$C:$C, $A14, Log!$D:$D, F$4, Log!$A:$A, "Daily", Log!$B:$B, "n/a"),
        _xlpm.we_camera_on_date, IFERROR(AVERAGEIFS(Log!$F:$F, Log!$D:$D,F$4, Log!$C:$C, $A14, Log!$A:$A, "Daily", Log!$B:$B, "n/a"), 0),
        _xlpm.ie_camera_on_date, IFERROR(AVERAGEIFS(Log!$G:$G, Log!$D:$D,F$4,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4" s="68">
        <f>IFERROR(
    _xlfn.LET(
        _xlpm.is_data_present, $A14&lt;&gt;0,
        _xlpm.is_camera_present, COUNTIFS(Log!$C:$C, $A14, Log!$D:$D, G$4, Log!$A:$A, "Daily", Log!$B:$B, "n/a"),
        _xlpm.we_camera_on_date, IFERROR(AVERAGEIFS(Log!$F:$F, Log!$D:$D,G$4, Log!$C:$C, $A14, Log!$A:$A, "Daily", Log!$B:$B, "n/a"), 0),
        _xlpm.ie_camera_on_date, IFERROR(AVERAGEIFS(Log!$G:$G, Log!$D:$D,G$4,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4" s="68">
        <f>IFERROR(
    _xlfn.LET(
        _xlpm.is_data_present, $A14&lt;&gt;0,
        _xlpm.is_camera_present, COUNTIFS(Log!$C:$C, $A14, Log!$D:$D, H$4, Log!$A:$A, "Daily", Log!$B:$B, "n/a"),
        _xlpm.we_camera_on_date, IFERROR(AVERAGEIFS(Log!$F:$F, Log!$D:$D,H$4, Log!$C:$C, $A14, Log!$A:$A, "Daily", Log!$B:$B, "n/a"), 0),
        _xlpm.ie_camera_on_date, IFERROR(AVERAGEIFS(Log!$G:$G, Log!$D:$D,H$4,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4" s="68">
        <f>IFERROR(
    _xlfn.LET(
        _xlpm.is_data_present, $A14&lt;&gt;0,
        _xlpm.is_camera_present, COUNTIFS(Log!$C:$C, $A14, Log!$D:$D, I$4, Log!$A:$A, "Daily", Log!$B:$B, "n/a"),
        _xlpm.we_camera_on_date, IFERROR(AVERAGEIFS(Log!$F:$F, Log!$D:$D,I$4, Log!$C:$C, $A14, Log!$A:$A, "Daily", Log!$B:$B, "n/a"), 0),
        _xlpm.ie_camera_on_date, IFERROR(AVERAGEIFS(Log!$G:$G, Log!$D:$D,I$4,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4" s="68">
        <f>IFERROR(
    _xlfn.LET(
        _xlpm.is_data_present, $A14&lt;&gt;0,
        _xlpm.is_camera_present, COUNTIFS(Log!$C:$C, $A14, Log!$D:$D, J$4, Log!$A:$A, "Daily", Log!$B:$B, "n/a"),
        _xlpm.we_camera_on_date, IFERROR(AVERAGEIFS(Log!$F:$F, Log!$D:$D,J$4, Log!$C:$C, $A14, Log!$A:$A, "Daily", Log!$B:$B, "n/a"), 0),
        _xlpm.ie_camera_on_date, IFERROR(AVERAGEIFS(Log!$G:$G, Log!$D:$D,J$4,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4" s="68">
        <f>IFERROR(
    _xlfn.LET(
        _xlpm.is_data_present, $A14&lt;&gt;0,
        _xlpm.is_camera_present, COUNTIFS(Log!$C:$C, $A14, Log!$D:$D, K$4, Log!$A:$A, "Daily", Log!$B:$B, "n/a"),
        _xlpm.we_camera_on_date, IFERROR(AVERAGEIFS(Log!$F:$F, Log!$D:$D,K$4, Log!$C:$C, $A14, Log!$A:$A, "Daily", Log!$B:$B, "n/a"), 0),
        _xlpm.ie_camera_on_date, IFERROR(AVERAGEIFS(Log!$G:$G, Log!$D:$D,K$4,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4" s="68">
        <f>IFERROR(
    _xlfn.LET(
        _xlpm.is_data_present, $A14&lt;&gt;0,
        _xlpm.is_camera_present, COUNTIFS(Log!$C:$C, $A14, Log!$D:$D, L$4, Log!$A:$A, "Daily", Log!$B:$B, "n/a"),
        _xlpm.we_camera_on_date, IFERROR(AVERAGEIFS(Log!$F:$F, Log!$D:$D,L$4, Log!$C:$C, $A14, Log!$A:$A, "Daily", Log!$B:$B, "n/a"), 0),
        _xlpm.ie_camera_on_date, IFERROR(AVERAGEIFS(Log!$G:$G, Log!$D:$D,L$4,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4" s="68">
        <f>IFERROR(
    _xlfn.LET(
        _xlpm.is_data_present, $A14&lt;&gt;0,
        _xlpm.is_camera_present, COUNTIFS(Log!$C:$C, $A14, Log!$D:$D, M$4, Log!$A:$A, "Daily", Log!$B:$B, "n/a"),
        _xlpm.we_camera_on_date, IFERROR(AVERAGEIFS(Log!$F:$F, Log!$D:$D,M$4, Log!$C:$C, $A14, Log!$A:$A, "Daily", Log!$B:$B, "n/a"), 0),
        _xlpm.ie_camera_on_date, IFERROR(AVERAGEIFS(Log!$G:$G, Log!$D:$D,M$4,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14" s="68">
        <f>IFERROR(
    _xlfn.LET(
        _xlpm.is_data_present, $A14&lt;&gt;0,
        _xlpm.is_camera_present, COUNTIFS(Log!$C:$C, $A14, Log!$D:$D, N$4, Log!$A:$A, "Daily", Log!$B:$B, "n/a"),
        _xlpm.we_camera_on_date, IFERROR(AVERAGEIFS(Log!$F:$F, Log!$D:$D,N$4, Log!$C:$C, $A14, Log!$A:$A, "Daily", Log!$B:$B, "n/a"), 0),
        _xlpm.ie_camera_on_date, IFERROR(AVERAGEIFS(Log!$G:$G, Log!$D:$D,N$4,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4" s="68">
        <f>IFERROR(
    _xlfn.LET(
        _xlpm.is_data_present, $A14&lt;&gt;0,
        _xlpm.is_camera_present, COUNTIFS(Log!$C:$C, $A14, Log!$D:$D, O$4, Log!$A:$A, "Daily", Log!$B:$B, "n/a"),
        _xlpm.we_camera_on_date, IFERROR(AVERAGEIFS(Log!$F:$F, Log!$D:$D,O$4, Log!$C:$C, $A14, Log!$A:$A, "Daily", Log!$B:$B, "n/a"), 0),
        _xlpm.ie_camera_on_date, IFERROR(AVERAGEIFS(Log!$G:$G, Log!$D:$D,O$4,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4" s="68">
        <f>IFERROR(
    _xlfn.LET(
        _xlpm.is_data_present, $A14&lt;&gt;0,
        _xlpm.is_camera_present, COUNTIFS(Log!$C:$C, $A14, Log!$D:$D, P$4, Log!$A:$A, "Daily", Log!$B:$B, "n/a"),
        _xlpm.we_camera_on_date, IFERROR(AVERAGEIFS(Log!$F:$F, Log!$D:$D,P$4, Log!$C:$C, $A14, Log!$A:$A, "Daily", Log!$B:$B, "n/a"), 0),
        _xlpm.ie_camera_on_date, IFERROR(AVERAGEIFS(Log!$G:$G, Log!$D:$D,P$4,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Q14" s="68">
        <f>IFERROR(
    _xlfn.LET(
        _xlpm.is_data_present, $A14&lt;&gt;0,
        _xlpm.is_camera_present, COUNTIFS(Log!$C:$C, $A14, Log!$D:$D, Q$4, Log!$A:$A, "Daily", Log!$B:$B, "n/a"),
        _xlpm.we_camera_on_date, IFERROR(AVERAGEIFS(Log!$F:$F, Log!$D:$D,Q$4, Log!$C:$C, $A14, Log!$A:$A, "Daily", Log!$B:$B, "n/a"), 0),
        _xlpm.ie_camera_on_date, IFERROR(AVERAGEIFS(Log!$G:$G, Log!$D:$D,Q$4,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4" s="68">
        <f>IFERROR(
    _xlfn.LET(
        _xlpm.is_data_present, $A14&lt;&gt;0,
        _xlpm.is_camera_present, COUNTIFS(Log!$C:$C, $A14, Log!$D:$D, R$4, Log!$A:$A, "Daily", Log!$B:$B, "n/a"),
        _xlpm.we_camera_on_date, IFERROR(AVERAGEIFS(Log!$F:$F, Log!$D:$D,R$4, Log!$C:$C, $A14, Log!$A:$A, "Daily", Log!$B:$B, "n/a"), 0),
        _xlpm.ie_camera_on_date, IFERROR(AVERAGEIFS(Log!$G:$G, Log!$D:$D,R$4,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4" s="68">
        <f>IFERROR(
    _xlfn.LET(
        _xlpm.is_data_present, $A14&lt;&gt;0,
        _xlpm.is_camera_present, COUNTIFS(Log!$C:$C, $A14, Log!$D:$D, S$4, Log!$A:$A, "Daily", Log!$B:$B, "n/a"),
        _xlpm.we_camera_on_date, IFERROR(AVERAGEIFS(Log!$F:$F, Log!$D:$D,S$4, Log!$C:$C, $A14, Log!$A:$A, "Daily", Log!$B:$B, "n/a"), 0),
        _xlpm.ie_camera_on_date, IFERROR(AVERAGEIFS(Log!$G:$G, Log!$D:$D,S$4, Log!$C:$C, $A14, Log!$A:$A, "Daily", Log!$B:$B, "n/a"), 0),
        _xlpm.we_avg, IFERROR(AVERAGEIFS(Log!$F:$F,Log!$C:$C,$A14, Log!$A:$A, "Daily", Log!$B:$B, "n/a"),0),
        _xlpm.ie_avg, IFERROR(AVERAGEIFS(Log!$G:$G,Log!$C:$C,$A14,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4" s="52"/>
      <c r="V14" s="52"/>
    </row>
    <row r="15" spans="1:23" x14ac:dyDescent="0.3">
      <c r="A15" s="39">
        <v>46238</v>
      </c>
      <c r="B15" s="68">
        <f>IFERROR(
    _xlfn.LET(
        _xlpm.is_data_present, $A15&lt;&gt;0,
        _xlpm.is_camera_present, COUNTIFS(Log!$C:$C, $A15, Log!$D:$D, B$4, Log!$A:$A, "Daily", Log!$B:$B, "n/a"),
        _xlpm.we_camera_on_date, IFERROR(AVERAGEIFS(Log!$F:$F, Log!$D:$D,B$4, Log!$C:$C, $A15, Log!$A:$A, "Daily", Log!$B:$B, "n/a"), 0),
        _xlpm.ie_camera_on_date, IFERROR(AVERAGEIFS(Log!$G:$G, Log!$D:$D,B$4,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5" s="68">
        <f>IFERROR(
    _xlfn.LET(
        _xlpm.is_data_present, $A15&lt;&gt;0,
        _xlpm.is_camera_present, COUNTIFS(Log!$C:$C, $A15, Log!$D:$D, C$4, Log!$A:$A, "Daily", Log!$B:$B, "n/a"),
        _xlpm.we_camera_on_date, IFERROR(AVERAGEIFS(Log!$F:$F, Log!$D:$D,C$4, Log!$C:$C, $A15, Log!$A:$A, "Daily", Log!$B:$B, "n/a"), 0),
        _xlpm.ie_camera_on_date, IFERROR(AVERAGEIFS(Log!$G:$G, Log!$D:$D,C$4,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5" s="68">
        <f>IFERROR(
    _xlfn.LET(
        _xlpm.is_data_present, $A15&lt;&gt;0,
        _xlpm.is_camera_present, COUNTIFS(Log!$C:$C, $A15, Log!$D:$D, D$4, Log!$A:$A, "Daily", Log!$B:$B, "n/a"),
        _xlpm.we_camera_on_date, IFERROR(AVERAGEIFS(Log!$F:$F, Log!$D:$D,D$4, Log!$C:$C, $A15, Log!$A:$A, "Daily", Log!$B:$B, "n/a"), 0),
        _xlpm.ie_camera_on_date, IFERROR(AVERAGEIFS(Log!$G:$G, Log!$D:$D,D$4,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5" s="68">
        <f>IFERROR(
    _xlfn.LET(
        _xlpm.is_data_present, $A15&lt;&gt;0,
        _xlpm.is_camera_present, COUNTIFS(Log!$C:$C, $A15, Log!$D:$D, E$4, Log!$A:$A, "Daily", Log!$B:$B, "n/a"),
        _xlpm.we_camera_on_date, IFERROR(AVERAGEIFS(Log!$F:$F, Log!$D:$D,E$4, Log!$C:$C, $A15, Log!$A:$A, "Daily", Log!$B:$B, "n/a"), 0),
        _xlpm.ie_camera_on_date, IFERROR(AVERAGEIFS(Log!$G:$G, Log!$D:$D,E$4,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5" s="68">
        <f>IFERROR(
    _xlfn.LET(
        _xlpm.is_data_present, $A15&lt;&gt;0,
        _xlpm.is_camera_present, COUNTIFS(Log!$C:$C, $A15, Log!$D:$D, F$4, Log!$A:$A, "Daily", Log!$B:$B, "n/a"),
        _xlpm.we_camera_on_date, IFERROR(AVERAGEIFS(Log!$F:$F, Log!$D:$D,F$4, Log!$C:$C, $A15, Log!$A:$A, "Daily", Log!$B:$B, "n/a"), 0),
        _xlpm.ie_camera_on_date, IFERROR(AVERAGEIFS(Log!$G:$G, Log!$D:$D,F$4,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5" s="68">
        <f>IFERROR(
    _xlfn.LET(
        _xlpm.is_data_present, $A15&lt;&gt;0,
        _xlpm.is_camera_present, COUNTIFS(Log!$C:$C, $A15, Log!$D:$D, G$4, Log!$A:$A, "Daily", Log!$B:$B, "n/a"),
        _xlpm.we_camera_on_date, IFERROR(AVERAGEIFS(Log!$F:$F, Log!$D:$D,G$4, Log!$C:$C, $A15, Log!$A:$A, "Daily", Log!$B:$B, "n/a"), 0),
        _xlpm.ie_camera_on_date, IFERROR(AVERAGEIFS(Log!$G:$G, Log!$D:$D,G$4,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5" s="68">
        <f>IFERROR(
    _xlfn.LET(
        _xlpm.is_data_present, $A15&lt;&gt;0,
        _xlpm.is_camera_present, COUNTIFS(Log!$C:$C, $A15, Log!$D:$D, H$4, Log!$A:$A, "Daily", Log!$B:$B, "n/a"),
        _xlpm.we_camera_on_date, IFERROR(AVERAGEIFS(Log!$F:$F, Log!$D:$D,H$4, Log!$C:$C, $A15, Log!$A:$A, "Daily", Log!$B:$B, "n/a"), 0),
        _xlpm.ie_camera_on_date, IFERROR(AVERAGEIFS(Log!$G:$G, Log!$D:$D,H$4,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5" s="68">
        <f>IFERROR(
    _xlfn.LET(
        _xlpm.is_data_present, $A15&lt;&gt;0,
        _xlpm.is_camera_present, COUNTIFS(Log!$C:$C, $A15, Log!$D:$D, I$4, Log!$A:$A, "Daily", Log!$B:$B, "n/a"),
        _xlpm.we_camera_on_date, IFERROR(AVERAGEIFS(Log!$F:$F, Log!$D:$D,I$4, Log!$C:$C, $A15, Log!$A:$A, "Daily", Log!$B:$B, "n/a"), 0),
        _xlpm.ie_camera_on_date, IFERROR(AVERAGEIFS(Log!$G:$G, Log!$D:$D,I$4,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5" s="68">
        <f>IFERROR(
    _xlfn.LET(
        _xlpm.is_data_present, $A15&lt;&gt;0,
        _xlpm.is_camera_present, COUNTIFS(Log!$C:$C, $A15, Log!$D:$D, J$4, Log!$A:$A, "Daily", Log!$B:$B, "n/a"),
        _xlpm.we_camera_on_date, IFERROR(AVERAGEIFS(Log!$F:$F, Log!$D:$D,J$4, Log!$C:$C, $A15, Log!$A:$A, "Daily", Log!$B:$B, "n/a"), 0),
        _xlpm.ie_camera_on_date, IFERROR(AVERAGEIFS(Log!$G:$G, Log!$D:$D,J$4,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5" s="68">
        <f>IFERROR(
    _xlfn.LET(
        _xlpm.is_data_present, $A15&lt;&gt;0,
        _xlpm.is_camera_present, COUNTIFS(Log!$C:$C, $A15, Log!$D:$D, K$4, Log!$A:$A, "Daily", Log!$B:$B, "n/a"),
        _xlpm.we_camera_on_date, IFERROR(AVERAGEIFS(Log!$F:$F, Log!$D:$D,K$4, Log!$C:$C, $A15, Log!$A:$A, "Daily", Log!$B:$B, "n/a"), 0),
        _xlpm.ie_camera_on_date, IFERROR(AVERAGEIFS(Log!$G:$G, Log!$D:$D,K$4,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5" s="68">
        <f>IFERROR(
    _xlfn.LET(
        _xlpm.is_data_present, $A15&lt;&gt;0,
        _xlpm.is_camera_present, COUNTIFS(Log!$C:$C, $A15, Log!$D:$D, L$4, Log!$A:$A, "Daily", Log!$B:$B, "n/a"),
        _xlpm.we_camera_on_date, IFERROR(AVERAGEIFS(Log!$F:$F, Log!$D:$D,L$4, Log!$C:$C, $A15, Log!$A:$A, "Daily", Log!$B:$B, "n/a"), 0),
        _xlpm.ie_camera_on_date, IFERROR(AVERAGEIFS(Log!$G:$G, Log!$D:$D,L$4,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5" s="68">
        <f>IFERROR(
    _xlfn.LET(
        _xlpm.is_data_present, $A15&lt;&gt;0,
        _xlpm.is_camera_present, COUNTIFS(Log!$C:$C, $A15, Log!$D:$D, M$4, Log!$A:$A, "Daily", Log!$B:$B, "n/a"),
        _xlpm.we_camera_on_date, IFERROR(AVERAGEIFS(Log!$F:$F, Log!$D:$D,M$4, Log!$C:$C, $A15, Log!$A:$A, "Daily", Log!$B:$B, "n/a"), 0),
        _xlpm.ie_camera_on_date, IFERROR(AVERAGEIFS(Log!$G:$G, Log!$D:$D,M$4,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5" s="68">
        <f>IFERROR(
    _xlfn.LET(
        _xlpm.is_data_present, $A15&lt;&gt;0,
        _xlpm.is_camera_present, COUNTIFS(Log!$C:$C, $A15, Log!$D:$D, N$4, Log!$A:$A, "Daily", Log!$B:$B, "n/a"),
        _xlpm.we_camera_on_date, IFERROR(AVERAGEIFS(Log!$F:$F, Log!$D:$D,N$4, Log!$C:$C, $A15, Log!$A:$A, "Daily", Log!$B:$B, "n/a"), 0),
        _xlpm.ie_camera_on_date, IFERROR(AVERAGEIFS(Log!$G:$G, Log!$D:$D,N$4,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5" s="68">
        <f>IFERROR(
    _xlfn.LET(
        _xlpm.is_data_present, $A15&lt;&gt;0,
        _xlpm.is_camera_present, COUNTIFS(Log!$C:$C, $A15, Log!$D:$D, O$4, Log!$A:$A, "Daily", Log!$B:$B, "n/a"),
        _xlpm.we_camera_on_date, IFERROR(AVERAGEIFS(Log!$F:$F, Log!$D:$D,O$4, Log!$C:$C, $A15, Log!$A:$A, "Daily", Log!$B:$B, "n/a"), 0),
        _xlpm.ie_camera_on_date, IFERROR(AVERAGEIFS(Log!$G:$G, Log!$D:$D,O$4,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5" s="68">
        <f>IFERROR(
    _xlfn.LET(
        _xlpm.is_data_present, $A15&lt;&gt;0,
        _xlpm.is_camera_present, COUNTIFS(Log!$C:$C, $A15, Log!$D:$D, P$4, Log!$A:$A, "Daily", Log!$B:$B, "n/a"),
        _xlpm.we_camera_on_date, IFERROR(AVERAGEIFS(Log!$F:$F, Log!$D:$D,P$4, Log!$C:$C, $A15, Log!$A:$A, "Daily", Log!$B:$B, "n/a"), 0),
        _xlpm.ie_camera_on_date, IFERROR(AVERAGEIFS(Log!$G:$G, Log!$D:$D,P$4,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5" s="68">
        <f>IFERROR(
    _xlfn.LET(
        _xlpm.is_data_present, $A15&lt;&gt;0,
        _xlpm.is_camera_present, COUNTIFS(Log!$C:$C, $A15, Log!$D:$D, Q$4, Log!$A:$A, "Daily", Log!$B:$B, "n/a"),
        _xlpm.we_camera_on_date, IFERROR(AVERAGEIFS(Log!$F:$F, Log!$D:$D,Q$4, Log!$C:$C, $A15, Log!$A:$A, "Daily", Log!$B:$B, "n/a"), 0),
        _xlpm.ie_camera_on_date, IFERROR(AVERAGEIFS(Log!$G:$G, Log!$D:$D,Q$4,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5" s="68">
        <f>IFERROR(
    _xlfn.LET(
        _xlpm.is_data_present, $A15&lt;&gt;0,
        _xlpm.is_camera_present, COUNTIFS(Log!$C:$C, $A15, Log!$D:$D, R$4, Log!$A:$A, "Daily", Log!$B:$B, "n/a"),
        _xlpm.we_camera_on_date, IFERROR(AVERAGEIFS(Log!$F:$F, Log!$D:$D,R$4, Log!$C:$C, $A15, Log!$A:$A, "Daily", Log!$B:$B, "n/a"), 0),
        _xlpm.ie_camera_on_date, IFERROR(AVERAGEIFS(Log!$G:$G, Log!$D:$D,R$4,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5" s="68">
        <f>IFERROR(
    _xlfn.LET(
        _xlpm.is_data_present, $A15&lt;&gt;0,
        _xlpm.is_camera_present, COUNTIFS(Log!$C:$C, $A15, Log!$D:$D, S$4, Log!$A:$A, "Daily", Log!$B:$B, "n/a"),
        _xlpm.we_camera_on_date, IFERROR(AVERAGEIFS(Log!$F:$F, Log!$D:$D,S$4, Log!$C:$C, $A15, Log!$A:$A, "Daily", Log!$B:$B, "n/a"), 0),
        _xlpm.ie_camera_on_date, IFERROR(AVERAGEIFS(Log!$G:$G, Log!$D:$D,S$4, Log!$C:$C, $A15, Log!$A:$A, "Daily", Log!$B:$B, "n/a"), 0),
        _xlpm.we_avg, IFERROR(AVERAGEIFS(Log!$F:$F,Log!$C:$C,$A15, Log!$A:$A, "Daily", Log!$B:$B, "n/a"),0),
        _xlpm.ie_avg, IFERROR(AVERAGEIFS(Log!$G:$G,Log!$C:$C,$A15,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U15" s="52"/>
      <c r="V15" s="52"/>
    </row>
    <row r="16" spans="1:23" x14ac:dyDescent="0.3">
      <c r="A16" s="79">
        <v>46239</v>
      </c>
      <c r="B16" s="68">
        <f>IFERROR(
    _xlfn.LET(
        _xlpm.is_data_present, $A16&lt;&gt;0,
        _xlpm.is_camera_present, COUNTIFS(Log!$C:$C, $A16, Log!$D:$D, B$4, Log!$A:$A, "Daily", Log!$B:$B, "n/a"),
        _xlpm.we_camera_on_date, IFERROR(AVERAGEIFS(Log!$F:$F, Log!$D:$D,B$4, Log!$C:$C, $A16, Log!$A:$A, "Daily", Log!$B:$B, "n/a"), 0),
        _xlpm.ie_camera_on_date, IFERROR(AVERAGEIFS(Log!$G:$G, Log!$D:$D,B$4,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6" s="68">
        <f>IFERROR(
    _xlfn.LET(
        _xlpm.is_data_present, $A16&lt;&gt;0,
        _xlpm.is_camera_present, COUNTIFS(Log!$C:$C, $A16, Log!$D:$D, C$4, Log!$A:$A, "Daily", Log!$B:$B, "n/a"),
        _xlpm.we_camera_on_date, IFERROR(AVERAGEIFS(Log!$F:$F, Log!$D:$D,C$4, Log!$C:$C, $A16, Log!$A:$A, "Daily", Log!$B:$B, "n/a"), 0),
        _xlpm.ie_camera_on_date, IFERROR(AVERAGEIFS(Log!$G:$G, Log!$D:$D,C$4,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6" s="68">
        <f>IFERROR(
    _xlfn.LET(
        _xlpm.is_data_present, $A16&lt;&gt;0,
        _xlpm.is_camera_present, COUNTIFS(Log!$C:$C, $A16, Log!$D:$D, D$4, Log!$A:$A, "Daily", Log!$B:$B, "n/a"),
        _xlpm.we_camera_on_date, IFERROR(AVERAGEIFS(Log!$F:$F, Log!$D:$D,D$4, Log!$C:$C, $A16, Log!$A:$A, "Daily", Log!$B:$B, "n/a"), 0),
        _xlpm.ie_camera_on_date, IFERROR(AVERAGEIFS(Log!$G:$G, Log!$D:$D,D$4,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6" s="68">
        <f>IFERROR(
    _xlfn.LET(
        _xlpm.is_data_present, $A16&lt;&gt;0,
        _xlpm.is_camera_present, COUNTIFS(Log!$C:$C, $A16, Log!$D:$D, E$4, Log!$A:$A, "Daily", Log!$B:$B, "n/a"),
        _xlpm.we_camera_on_date, IFERROR(AVERAGEIFS(Log!$F:$F, Log!$D:$D,E$4, Log!$C:$C, $A16, Log!$A:$A, "Daily", Log!$B:$B, "n/a"), 0),
        _xlpm.ie_camera_on_date, IFERROR(AVERAGEIFS(Log!$G:$G, Log!$D:$D,E$4,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6" s="68">
        <f>IFERROR(
    _xlfn.LET(
        _xlpm.is_data_present, $A16&lt;&gt;0,
        _xlpm.is_camera_present, COUNTIFS(Log!$C:$C, $A16, Log!$D:$D, F$4, Log!$A:$A, "Daily", Log!$B:$B, "n/a"),
        _xlpm.we_camera_on_date, IFERROR(AVERAGEIFS(Log!$F:$F, Log!$D:$D,F$4, Log!$C:$C, $A16, Log!$A:$A, "Daily", Log!$B:$B, "n/a"), 0),
        _xlpm.ie_camera_on_date, IFERROR(AVERAGEIFS(Log!$G:$G, Log!$D:$D,F$4,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6" s="68">
        <f>IFERROR(
    _xlfn.LET(
        _xlpm.is_data_present, $A16&lt;&gt;0,
        _xlpm.is_camera_present, COUNTIFS(Log!$C:$C, $A16, Log!$D:$D, G$4, Log!$A:$A, "Daily", Log!$B:$B, "n/a"),
        _xlpm.we_camera_on_date, IFERROR(AVERAGEIFS(Log!$F:$F, Log!$D:$D,G$4, Log!$C:$C, $A16, Log!$A:$A, "Daily", Log!$B:$B, "n/a"), 0),
        _xlpm.ie_camera_on_date, IFERROR(AVERAGEIFS(Log!$G:$G, Log!$D:$D,G$4,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6" s="68">
        <f>IFERROR(
    _xlfn.LET(
        _xlpm.is_data_present, $A16&lt;&gt;0,
        _xlpm.is_camera_present, COUNTIFS(Log!$C:$C, $A16, Log!$D:$D, H$4, Log!$A:$A, "Daily", Log!$B:$B, "n/a"),
        _xlpm.we_camera_on_date, IFERROR(AVERAGEIFS(Log!$F:$F, Log!$D:$D,H$4, Log!$C:$C, $A16, Log!$A:$A, "Daily", Log!$B:$B, "n/a"), 0),
        _xlpm.ie_camera_on_date, IFERROR(AVERAGEIFS(Log!$G:$G, Log!$D:$D,H$4,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6" s="68">
        <f>IFERROR(
    _xlfn.LET(
        _xlpm.is_data_present, $A16&lt;&gt;0,
        _xlpm.is_camera_present, COUNTIFS(Log!$C:$C, $A16, Log!$D:$D, I$4, Log!$A:$A, "Daily", Log!$B:$B, "n/a"),
        _xlpm.we_camera_on_date, IFERROR(AVERAGEIFS(Log!$F:$F, Log!$D:$D,I$4, Log!$C:$C, $A16, Log!$A:$A, "Daily", Log!$B:$B, "n/a"), 0),
        _xlpm.ie_camera_on_date, IFERROR(AVERAGEIFS(Log!$G:$G, Log!$D:$D,I$4,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6" s="68">
        <f>IFERROR(
    _xlfn.LET(
        _xlpm.is_data_present, $A16&lt;&gt;0,
        _xlpm.is_camera_present, COUNTIFS(Log!$C:$C, $A16, Log!$D:$D, J$4, Log!$A:$A, "Daily", Log!$B:$B, "n/a"),
        _xlpm.we_camera_on_date, IFERROR(AVERAGEIFS(Log!$F:$F, Log!$D:$D,J$4, Log!$C:$C, $A16, Log!$A:$A, "Daily", Log!$B:$B, "n/a"), 0),
        _xlpm.ie_camera_on_date, IFERROR(AVERAGEIFS(Log!$G:$G, Log!$D:$D,J$4,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6" s="68">
        <f>IFERROR(
    _xlfn.LET(
        _xlpm.is_data_present, $A16&lt;&gt;0,
        _xlpm.is_camera_present, COUNTIFS(Log!$C:$C, $A16, Log!$D:$D, K$4, Log!$A:$A, "Daily", Log!$B:$B, "n/a"),
        _xlpm.we_camera_on_date, IFERROR(AVERAGEIFS(Log!$F:$F, Log!$D:$D,K$4, Log!$C:$C, $A16, Log!$A:$A, "Daily", Log!$B:$B, "n/a"), 0),
        _xlpm.ie_camera_on_date, IFERROR(AVERAGEIFS(Log!$G:$G, Log!$D:$D,K$4,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16" s="68">
        <f>IFERROR(
    _xlfn.LET(
        _xlpm.is_data_present, $A16&lt;&gt;0,
        _xlpm.is_camera_present, COUNTIFS(Log!$C:$C, $A16, Log!$D:$D, L$4, Log!$A:$A, "Daily", Log!$B:$B, "n/a"),
        _xlpm.we_camera_on_date, IFERROR(AVERAGEIFS(Log!$F:$F, Log!$D:$D,L$4, Log!$C:$C, $A16, Log!$A:$A, "Daily", Log!$B:$B, "n/a"), 0),
        _xlpm.ie_camera_on_date, IFERROR(AVERAGEIFS(Log!$G:$G, Log!$D:$D,L$4,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6" s="68">
        <f>IFERROR(
    _xlfn.LET(
        _xlpm.is_data_present, $A16&lt;&gt;0,
        _xlpm.is_camera_present, COUNTIFS(Log!$C:$C, $A16, Log!$D:$D, M$4, Log!$A:$A, "Daily", Log!$B:$B, "n/a"),
        _xlpm.we_camera_on_date, IFERROR(AVERAGEIFS(Log!$F:$F, Log!$D:$D,M$4, Log!$C:$C, $A16, Log!$A:$A, "Daily", Log!$B:$B, "n/a"), 0),
        _xlpm.ie_camera_on_date, IFERROR(AVERAGEIFS(Log!$G:$G, Log!$D:$D,M$4,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6" s="68">
        <f>IFERROR(
    _xlfn.LET(
        _xlpm.is_data_present, $A16&lt;&gt;0,
        _xlpm.is_camera_present, COUNTIFS(Log!$C:$C, $A16, Log!$D:$D, N$4, Log!$A:$A, "Daily", Log!$B:$B, "n/a"),
        _xlpm.we_camera_on_date, IFERROR(AVERAGEIFS(Log!$F:$F, Log!$D:$D,N$4, Log!$C:$C, $A16, Log!$A:$A, "Daily", Log!$B:$B, "n/a"), 0),
        _xlpm.ie_camera_on_date, IFERROR(AVERAGEIFS(Log!$G:$G, Log!$D:$D,N$4,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6" s="68">
        <f>IFERROR(
    _xlfn.LET(
        _xlpm.is_data_present, $A16&lt;&gt;0,
        _xlpm.is_camera_present, COUNTIFS(Log!$C:$C, $A16, Log!$D:$D, O$4, Log!$A:$A, "Daily", Log!$B:$B, "n/a"),
        _xlpm.we_camera_on_date, IFERROR(AVERAGEIFS(Log!$F:$F, Log!$D:$D,O$4, Log!$C:$C, $A16, Log!$A:$A, "Daily", Log!$B:$B, "n/a"), 0),
        _xlpm.ie_camera_on_date, IFERROR(AVERAGEIFS(Log!$G:$G, Log!$D:$D,O$4,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6" s="68">
        <f>IFERROR(
    _xlfn.LET(
        _xlpm.is_data_present, $A16&lt;&gt;0,
        _xlpm.is_camera_present, COUNTIFS(Log!$C:$C, $A16, Log!$D:$D, P$4, Log!$A:$A, "Daily", Log!$B:$B, "n/a"),
        _xlpm.we_camera_on_date, IFERROR(AVERAGEIFS(Log!$F:$F, Log!$D:$D,P$4, Log!$C:$C, $A16, Log!$A:$A, "Daily", Log!$B:$B, "n/a"), 0),
        _xlpm.ie_camera_on_date, IFERROR(AVERAGEIFS(Log!$G:$G, Log!$D:$D,P$4,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16" s="68">
        <f>IFERROR(
    _xlfn.LET(
        _xlpm.is_data_present, $A16&lt;&gt;0,
        _xlpm.is_camera_present, COUNTIFS(Log!$C:$C, $A16, Log!$D:$D, Q$4, Log!$A:$A, "Daily", Log!$B:$B, "n/a"),
        _xlpm.we_camera_on_date, IFERROR(AVERAGEIFS(Log!$F:$F, Log!$D:$D,Q$4, Log!$C:$C, $A16, Log!$A:$A, "Daily", Log!$B:$B, "n/a"), 0),
        _xlpm.ie_camera_on_date, IFERROR(AVERAGEIFS(Log!$G:$G, Log!$D:$D,Q$4,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6" s="68">
        <f>IFERROR(
    _xlfn.LET(
        _xlpm.is_data_present, $A16&lt;&gt;0,
        _xlpm.is_camera_present, COUNTIFS(Log!$C:$C, $A16, Log!$D:$D, R$4, Log!$A:$A, "Daily", Log!$B:$B, "n/a"),
        _xlpm.we_camera_on_date, IFERROR(AVERAGEIFS(Log!$F:$F, Log!$D:$D,R$4, Log!$C:$C, $A16, Log!$A:$A, "Daily", Log!$B:$B, "n/a"), 0),
        _xlpm.ie_camera_on_date, IFERROR(AVERAGEIFS(Log!$G:$G, Log!$D:$D,R$4,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6" s="68">
        <f>IFERROR(
    _xlfn.LET(
        _xlpm.is_data_present, $A16&lt;&gt;0,
        _xlpm.is_camera_present, COUNTIFS(Log!$C:$C, $A16, Log!$D:$D, S$4, Log!$A:$A, "Daily", Log!$B:$B, "n/a"),
        _xlpm.we_camera_on_date, IFERROR(AVERAGEIFS(Log!$F:$F, Log!$D:$D,S$4, Log!$C:$C, $A16, Log!$A:$A, "Daily", Log!$B:$B, "n/a"), 0),
        _xlpm.ie_camera_on_date, IFERROR(AVERAGEIFS(Log!$G:$G, Log!$D:$D,S$4, Log!$C:$C, $A16, Log!$A:$A, "Daily", Log!$B:$B, "n/a"), 0),
        _xlpm.we_avg, IFERROR(AVERAGEIFS(Log!$F:$F,Log!$C:$C,$A16, Log!$A:$A, "Daily", Log!$B:$B, "n/a"),0),
        _xlpm.ie_avg, IFERROR(AVERAGEIFS(Log!$G:$G,Log!$C:$C,$A16,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7" spans="1:19" x14ac:dyDescent="0.3">
      <c r="A17" s="79">
        <v>46240</v>
      </c>
      <c r="B17" s="68">
        <f>IFERROR(
    _xlfn.LET(
        _xlpm.is_data_present, $A17&lt;&gt;0,
        _xlpm.is_camera_present, COUNTIFS(Log!$C:$C, $A17, Log!$D:$D, B$4, Log!$A:$A, "Daily", Log!$B:$B, "n/a"),
        _xlpm.we_camera_on_date, IFERROR(AVERAGEIFS(Log!$F:$F, Log!$D:$D,B$4, Log!$C:$C, $A17, Log!$A:$A, "Daily", Log!$B:$B, "n/a"), 0),
        _xlpm.ie_camera_on_date, IFERROR(AVERAGEIFS(Log!$G:$G, Log!$D:$D,B$4,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7" s="68">
        <f>IFERROR(
    _xlfn.LET(
        _xlpm.is_data_present, $A17&lt;&gt;0,
        _xlpm.is_camera_present, COUNTIFS(Log!$C:$C, $A17, Log!$D:$D, C$4, Log!$A:$A, "Daily", Log!$B:$B, "n/a"),
        _xlpm.we_camera_on_date, IFERROR(AVERAGEIFS(Log!$F:$F, Log!$D:$D,C$4, Log!$C:$C, $A17, Log!$A:$A, "Daily", Log!$B:$B, "n/a"), 0),
        _xlpm.ie_camera_on_date, IFERROR(AVERAGEIFS(Log!$G:$G, Log!$D:$D,C$4,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7" s="68">
        <f>IFERROR(
    _xlfn.LET(
        _xlpm.is_data_present, $A17&lt;&gt;0,
        _xlpm.is_camera_present, COUNTIFS(Log!$C:$C, $A17, Log!$D:$D, D$4, Log!$A:$A, "Daily", Log!$B:$B, "n/a"),
        _xlpm.we_camera_on_date, IFERROR(AVERAGEIFS(Log!$F:$F, Log!$D:$D,D$4, Log!$C:$C, $A17, Log!$A:$A, "Daily", Log!$B:$B, "n/a"), 0),
        _xlpm.ie_camera_on_date, IFERROR(AVERAGEIFS(Log!$G:$G, Log!$D:$D,D$4,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7" s="68">
        <f>IFERROR(
    _xlfn.LET(
        _xlpm.is_data_present, $A17&lt;&gt;0,
        _xlpm.is_camera_present, COUNTIFS(Log!$C:$C, $A17, Log!$D:$D, E$4, Log!$A:$A, "Daily", Log!$B:$B, "n/a"),
        _xlpm.we_camera_on_date, IFERROR(AVERAGEIFS(Log!$F:$F, Log!$D:$D,E$4, Log!$C:$C, $A17, Log!$A:$A, "Daily", Log!$B:$B, "n/a"), 0),
        _xlpm.ie_camera_on_date, IFERROR(AVERAGEIFS(Log!$G:$G, Log!$D:$D,E$4,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7" s="68">
        <f>IFERROR(
    _xlfn.LET(
        _xlpm.is_data_present, $A17&lt;&gt;0,
        _xlpm.is_camera_present, COUNTIFS(Log!$C:$C, $A17, Log!$D:$D, F$4, Log!$A:$A, "Daily", Log!$B:$B, "n/a"),
        _xlpm.we_camera_on_date, IFERROR(AVERAGEIFS(Log!$F:$F, Log!$D:$D,F$4, Log!$C:$C, $A17, Log!$A:$A, "Daily", Log!$B:$B, "n/a"), 0),
        _xlpm.ie_camera_on_date, IFERROR(AVERAGEIFS(Log!$G:$G, Log!$D:$D,F$4,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7" s="68">
        <f>IFERROR(
    _xlfn.LET(
        _xlpm.is_data_present, $A17&lt;&gt;0,
        _xlpm.is_camera_present, COUNTIFS(Log!$C:$C, $A17, Log!$D:$D, G$4, Log!$A:$A, "Daily", Log!$B:$B, "n/a"),
        _xlpm.we_camera_on_date, IFERROR(AVERAGEIFS(Log!$F:$F, Log!$D:$D,G$4, Log!$C:$C, $A17, Log!$A:$A, "Daily", Log!$B:$B, "n/a"), 0),
        _xlpm.ie_camera_on_date, IFERROR(AVERAGEIFS(Log!$G:$G, Log!$D:$D,G$4,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7" s="68">
        <f>IFERROR(
    _xlfn.LET(
        _xlpm.is_data_present, $A17&lt;&gt;0,
        _xlpm.is_camera_present, COUNTIFS(Log!$C:$C, $A17, Log!$D:$D, H$4, Log!$A:$A, "Daily", Log!$B:$B, "n/a"),
        _xlpm.we_camera_on_date, IFERROR(AVERAGEIFS(Log!$F:$F, Log!$D:$D,H$4, Log!$C:$C, $A17, Log!$A:$A, "Daily", Log!$B:$B, "n/a"), 0),
        _xlpm.ie_camera_on_date, IFERROR(AVERAGEIFS(Log!$G:$G, Log!$D:$D,H$4,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7" s="68">
        <f>IFERROR(
    _xlfn.LET(
        _xlpm.is_data_present, $A17&lt;&gt;0,
        _xlpm.is_camera_present, COUNTIFS(Log!$C:$C, $A17, Log!$D:$D, I$4, Log!$A:$A, "Daily", Log!$B:$B, "n/a"),
        _xlpm.we_camera_on_date, IFERROR(AVERAGEIFS(Log!$F:$F, Log!$D:$D,I$4, Log!$C:$C, $A17, Log!$A:$A, "Daily", Log!$B:$B, "n/a"), 0),
        _xlpm.ie_camera_on_date, IFERROR(AVERAGEIFS(Log!$G:$G, Log!$D:$D,I$4,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7" s="68">
        <f>IFERROR(
    _xlfn.LET(
        _xlpm.is_data_present, $A17&lt;&gt;0,
        _xlpm.is_camera_present, COUNTIFS(Log!$C:$C, $A17, Log!$D:$D, J$4, Log!$A:$A, "Daily", Log!$B:$B, "n/a"),
        _xlpm.we_camera_on_date, IFERROR(AVERAGEIFS(Log!$F:$F, Log!$D:$D,J$4, Log!$C:$C, $A17, Log!$A:$A, "Daily", Log!$B:$B, "n/a"), 0),
        _xlpm.ie_camera_on_date, IFERROR(AVERAGEIFS(Log!$G:$G, Log!$D:$D,J$4,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7" s="68">
        <f>IFERROR(
    _xlfn.LET(
        _xlpm.is_data_present, $A17&lt;&gt;0,
        _xlpm.is_camera_present, COUNTIFS(Log!$C:$C, $A17, Log!$D:$D, K$4, Log!$A:$A, "Daily", Log!$B:$B, "n/a"),
        _xlpm.we_camera_on_date, IFERROR(AVERAGEIFS(Log!$F:$F, Log!$D:$D,K$4, Log!$C:$C, $A17, Log!$A:$A, "Daily", Log!$B:$B, "n/a"), 0),
        _xlpm.ie_camera_on_date, IFERROR(AVERAGEIFS(Log!$G:$G, Log!$D:$D,K$4,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17" s="68">
        <f>IFERROR(
    _xlfn.LET(
        _xlpm.is_data_present, $A17&lt;&gt;0,
        _xlpm.is_camera_present, COUNTIFS(Log!$C:$C, $A17, Log!$D:$D, L$4, Log!$A:$A, "Daily", Log!$B:$B, "n/a"),
        _xlpm.we_camera_on_date, IFERROR(AVERAGEIFS(Log!$F:$F, Log!$D:$D,L$4, Log!$C:$C, $A17, Log!$A:$A, "Daily", Log!$B:$B, "n/a"), 0),
        _xlpm.ie_camera_on_date, IFERROR(AVERAGEIFS(Log!$G:$G, Log!$D:$D,L$4,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17" s="68">
        <f>IFERROR(
    _xlfn.LET(
        _xlpm.is_data_present, $A17&lt;&gt;0,
        _xlpm.is_camera_present, COUNTIFS(Log!$C:$C, $A17, Log!$D:$D, M$4, Log!$A:$A, "Daily", Log!$B:$B, "n/a"),
        _xlpm.we_camera_on_date, IFERROR(AVERAGEIFS(Log!$F:$F, Log!$D:$D,M$4, Log!$C:$C, $A17, Log!$A:$A, "Daily", Log!$B:$B, "n/a"), 0),
        _xlpm.ie_camera_on_date, IFERROR(AVERAGEIFS(Log!$G:$G, Log!$D:$D,M$4,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7" s="68">
        <f>IFERROR(
    _xlfn.LET(
        _xlpm.is_data_present, $A17&lt;&gt;0,
        _xlpm.is_camera_present, COUNTIFS(Log!$C:$C, $A17, Log!$D:$D, N$4, Log!$A:$A, "Daily", Log!$B:$B, "n/a"),
        _xlpm.we_camera_on_date, IFERROR(AVERAGEIFS(Log!$F:$F, Log!$D:$D,N$4, Log!$C:$C, $A17, Log!$A:$A, "Daily", Log!$B:$B, "n/a"), 0),
        _xlpm.ie_camera_on_date, IFERROR(AVERAGEIFS(Log!$G:$G, Log!$D:$D,N$4,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7" s="68">
        <f>IFERROR(
    _xlfn.LET(
        _xlpm.is_data_present, $A17&lt;&gt;0,
        _xlpm.is_camera_present, COUNTIFS(Log!$C:$C, $A17, Log!$D:$D, O$4, Log!$A:$A, "Daily", Log!$B:$B, "n/a"),
        _xlpm.we_camera_on_date, IFERROR(AVERAGEIFS(Log!$F:$F, Log!$D:$D,O$4, Log!$C:$C, $A17, Log!$A:$A, "Daily", Log!$B:$B, "n/a"), 0),
        _xlpm.ie_camera_on_date, IFERROR(AVERAGEIFS(Log!$G:$G, Log!$D:$D,O$4,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17" s="68">
        <f>IFERROR(
    _xlfn.LET(
        _xlpm.is_data_present, $A17&lt;&gt;0,
        _xlpm.is_camera_present, COUNTIFS(Log!$C:$C, $A17, Log!$D:$D, P$4, Log!$A:$A, "Daily", Log!$B:$B, "n/a"),
        _xlpm.we_camera_on_date, IFERROR(AVERAGEIFS(Log!$F:$F, Log!$D:$D,P$4, Log!$C:$C, $A17, Log!$A:$A, "Daily", Log!$B:$B, "n/a"), 0),
        _xlpm.ie_camera_on_date, IFERROR(AVERAGEIFS(Log!$G:$G, Log!$D:$D,P$4,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7" s="68">
        <f>IFERROR(
    _xlfn.LET(
        _xlpm.is_data_present, $A17&lt;&gt;0,
        _xlpm.is_camera_present, COUNTIFS(Log!$C:$C, $A17, Log!$D:$D, Q$4, Log!$A:$A, "Daily", Log!$B:$B, "n/a"),
        _xlpm.we_camera_on_date, IFERROR(AVERAGEIFS(Log!$F:$F, Log!$D:$D,Q$4, Log!$C:$C, $A17, Log!$A:$A, "Daily", Log!$B:$B, "n/a"), 0),
        _xlpm.ie_camera_on_date, IFERROR(AVERAGEIFS(Log!$G:$G, Log!$D:$D,Q$4,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17" s="68">
        <f>IFERROR(
    _xlfn.LET(
        _xlpm.is_data_present, $A17&lt;&gt;0,
        _xlpm.is_camera_present, COUNTIFS(Log!$C:$C, $A17, Log!$D:$D, R$4, Log!$A:$A, "Daily", Log!$B:$B, "n/a"),
        _xlpm.we_camera_on_date, IFERROR(AVERAGEIFS(Log!$F:$F, Log!$D:$D,R$4, Log!$C:$C, $A17, Log!$A:$A, "Daily", Log!$B:$B, "n/a"), 0),
        _xlpm.ie_camera_on_date, IFERROR(AVERAGEIFS(Log!$G:$G, Log!$D:$D,R$4,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17" s="68">
        <f>IFERROR(
    _xlfn.LET(
        _xlpm.is_data_present, $A17&lt;&gt;0,
        _xlpm.is_camera_present, COUNTIFS(Log!$C:$C, $A17, Log!$D:$D, S$4, Log!$A:$A, "Daily", Log!$B:$B, "n/a"),
        _xlpm.we_camera_on_date, IFERROR(AVERAGEIFS(Log!$F:$F, Log!$D:$D,S$4, Log!$C:$C, $A17, Log!$A:$A, "Daily", Log!$B:$B, "n/a"), 0),
        _xlpm.ie_camera_on_date, IFERROR(AVERAGEIFS(Log!$G:$G, Log!$D:$D,S$4, Log!$C:$C, $A17, Log!$A:$A, "Daily", Log!$B:$B, "n/a"), 0),
        _xlpm.we_avg, IFERROR(AVERAGEIFS(Log!$F:$F,Log!$C:$C,$A17, Log!$A:$A, "Daily", Log!$B:$B, "n/a"),0),
        _xlpm.ie_avg, IFERROR(AVERAGEIFS(Log!$G:$G,Log!$C:$C,$A17,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8" spans="1:19" x14ac:dyDescent="0.3">
      <c r="A18" s="79">
        <v>46242</v>
      </c>
      <c r="B18" s="68">
        <f>IFERROR(
    _xlfn.LET(
        _xlpm.is_data_present, $A18&lt;&gt;0,
        _xlpm.is_camera_present, COUNTIFS(Log!$C:$C, $A18, Log!$D:$D, B$4, Log!$A:$A, "Daily", Log!$B:$B, "n/a"),
        _xlpm.we_camera_on_date, IFERROR(AVERAGEIFS(Log!$F:$F, Log!$D:$D,B$4, Log!$C:$C, $A18, Log!$A:$A, "Daily", Log!$B:$B, "n/a"), 0),
        _xlpm.ie_camera_on_date, IFERROR(AVERAGEIFS(Log!$G:$G, Log!$D:$D,B$4,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8" s="68">
        <f>IFERROR(
    _xlfn.LET(
        _xlpm.is_data_present, $A18&lt;&gt;0,
        _xlpm.is_camera_present, COUNTIFS(Log!$C:$C, $A18, Log!$D:$D, C$4, Log!$A:$A, "Daily", Log!$B:$B, "n/a"),
        _xlpm.we_camera_on_date, IFERROR(AVERAGEIFS(Log!$F:$F, Log!$D:$D,C$4, Log!$C:$C, $A18, Log!$A:$A, "Daily", Log!$B:$B, "n/a"), 0),
        _xlpm.ie_camera_on_date, IFERROR(AVERAGEIFS(Log!$G:$G, Log!$D:$D,C$4,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8" s="68">
        <f>IFERROR(
    _xlfn.LET(
        _xlpm.is_data_present, $A18&lt;&gt;0,
        _xlpm.is_camera_present, COUNTIFS(Log!$C:$C, $A18, Log!$D:$D, D$4, Log!$A:$A, "Daily", Log!$B:$B, "n/a"),
        _xlpm.we_camera_on_date, IFERROR(AVERAGEIFS(Log!$F:$F, Log!$D:$D,D$4, Log!$C:$C, $A18, Log!$A:$A, "Daily", Log!$B:$B, "n/a"), 0),
        _xlpm.ie_camera_on_date, IFERROR(AVERAGEIFS(Log!$G:$G, Log!$D:$D,D$4,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8" s="68">
        <f>IFERROR(
    _xlfn.LET(
        _xlpm.is_data_present, $A18&lt;&gt;0,
        _xlpm.is_camera_present, COUNTIFS(Log!$C:$C, $A18, Log!$D:$D, E$4, Log!$A:$A, "Daily", Log!$B:$B, "n/a"),
        _xlpm.we_camera_on_date, IFERROR(AVERAGEIFS(Log!$F:$F, Log!$D:$D,E$4, Log!$C:$C, $A18, Log!$A:$A, "Daily", Log!$B:$B, "n/a"), 0),
        _xlpm.ie_camera_on_date, IFERROR(AVERAGEIFS(Log!$G:$G, Log!$D:$D,E$4,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18" s="68">
        <f>IFERROR(
    _xlfn.LET(
        _xlpm.is_data_present, $A18&lt;&gt;0,
        _xlpm.is_camera_present, COUNTIFS(Log!$C:$C, $A18, Log!$D:$D, F$4, Log!$A:$A, "Daily", Log!$B:$B, "n/a"),
        _xlpm.we_camera_on_date, IFERROR(AVERAGEIFS(Log!$F:$F, Log!$D:$D,F$4, Log!$C:$C, $A18, Log!$A:$A, "Daily", Log!$B:$B, "n/a"), 0),
        _xlpm.ie_camera_on_date, IFERROR(AVERAGEIFS(Log!$G:$G, Log!$D:$D,F$4,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8" s="68">
        <f>IFERROR(
    _xlfn.LET(
        _xlpm.is_data_present, $A18&lt;&gt;0,
        _xlpm.is_camera_present, COUNTIFS(Log!$C:$C, $A18, Log!$D:$D, G$4, Log!$A:$A, "Daily", Log!$B:$B, "n/a"),
        _xlpm.we_camera_on_date, IFERROR(AVERAGEIFS(Log!$F:$F, Log!$D:$D,G$4, Log!$C:$C, $A18, Log!$A:$A, "Daily", Log!$B:$B, "n/a"), 0),
        _xlpm.ie_camera_on_date, IFERROR(AVERAGEIFS(Log!$G:$G, Log!$D:$D,G$4,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18" s="68">
        <f>IFERROR(
    _xlfn.LET(
        _xlpm.is_data_present, $A18&lt;&gt;0,
        _xlpm.is_camera_present, COUNTIFS(Log!$C:$C, $A18, Log!$D:$D, H$4, Log!$A:$A, "Daily", Log!$B:$B, "n/a"),
        _xlpm.we_camera_on_date, IFERROR(AVERAGEIFS(Log!$F:$F, Log!$D:$D,H$4, Log!$C:$C, $A18, Log!$A:$A, "Daily", Log!$B:$B, "n/a"), 0),
        _xlpm.ie_camera_on_date, IFERROR(AVERAGEIFS(Log!$G:$G, Log!$D:$D,H$4,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18" s="68">
        <f>IFERROR(
    _xlfn.LET(
        _xlpm.is_data_present, $A18&lt;&gt;0,
        _xlpm.is_camera_present, COUNTIFS(Log!$C:$C, $A18, Log!$D:$D, I$4, Log!$A:$A, "Daily", Log!$B:$B, "n/a"),
        _xlpm.we_camera_on_date, IFERROR(AVERAGEIFS(Log!$F:$F, Log!$D:$D,I$4, Log!$C:$C, $A18, Log!$A:$A, "Daily", Log!$B:$B, "n/a"), 0),
        _xlpm.ie_camera_on_date, IFERROR(AVERAGEIFS(Log!$G:$G, Log!$D:$D,I$4,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8" s="68">
        <f>IFERROR(
    _xlfn.LET(
        _xlpm.is_data_present, $A18&lt;&gt;0,
        _xlpm.is_camera_present, COUNTIFS(Log!$C:$C, $A18, Log!$D:$D, J$4, Log!$A:$A, "Daily", Log!$B:$B, "n/a"),
        _xlpm.we_camera_on_date, IFERROR(AVERAGEIFS(Log!$F:$F, Log!$D:$D,J$4, Log!$C:$C, $A18, Log!$A:$A, "Daily", Log!$B:$B, "n/a"), 0),
        _xlpm.ie_camera_on_date, IFERROR(AVERAGEIFS(Log!$G:$G, Log!$D:$D,J$4,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18" s="68">
        <f>IFERROR(
    _xlfn.LET(
        _xlpm.is_data_present, $A18&lt;&gt;0,
        _xlpm.is_camera_present, COUNTIFS(Log!$C:$C, $A18, Log!$D:$D, K$4, Log!$A:$A, "Daily", Log!$B:$B, "n/a"),
        _xlpm.we_camera_on_date, IFERROR(AVERAGEIFS(Log!$F:$F, Log!$D:$D,K$4, Log!$C:$C, $A18, Log!$A:$A, "Daily", Log!$B:$B, "n/a"), 0),
        _xlpm.ie_camera_on_date, IFERROR(AVERAGEIFS(Log!$G:$G, Log!$D:$D,K$4,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8" s="68">
        <f>IFERROR(
    _xlfn.LET(
        _xlpm.is_data_present, $A18&lt;&gt;0,
        _xlpm.is_camera_present, COUNTIFS(Log!$C:$C, $A18, Log!$D:$D, L$4, Log!$A:$A, "Daily", Log!$B:$B, "n/a"),
        _xlpm.we_camera_on_date, IFERROR(AVERAGEIFS(Log!$F:$F, Log!$D:$D,L$4, Log!$C:$C, $A18, Log!$A:$A, "Daily", Log!$B:$B, "n/a"), 0),
        _xlpm.ie_camera_on_date, IFERROR(AVERAGEIFS(Log!$G:$G, Log!$D:$D,L$4,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18" s="68">
        <f>IFERROR(
    _xlfn.LET(
        _xlpm.is_data_present, $A18&lt;&gt;0,
        _xlpm.is_camera_present, COUNTIFS(Log!$C:$C, $A18, Log!$D:$D, M$4, Log!$A:$A, "Daily", Log!$B:$B, "n/a"),
        _xlpm.we_camera_on_date, IFERROR(AVERAGEIFS(Log!$F:$F, Log!$D:$D,M$4, Log!$C:$C, $A18, Log!$A:$A, "Daily", Log!$B:$B, "n/a"), 0),
        _xlpm.ie_camera_on_date, IFERROR(AVERAGEIFS(Log!$G:$G, Log!$D:$D,M$4,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18" s="68">
        <f>IFERROR(
    _xlfn.LET(
        _xlpm.is_data_present, $A18&lt;&gt;0,
        _xlpm.is_camera_present, COUNTIFS(Log!$C:$C, $A18, Log!$D:$D, N$4, Log!$A:$A, "Daily", Log!$B:$B, "n/a"),
        _xlpm.we_camera_on_date, IFERROR(AVERAGEIFS(Log!$F:$F, Log!$D:$D,N$4, Log!$C:$C, $A18, Log!$A:$A, "Daily", Log!$B:$B, "n/a"), 0),
        _xlpm.ie_camera_on_date, IFERROR(AVERAGEIFS(Log!$G:$G, Log!$D:$D,N$4,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8" s="68">
        <f>IFERROR(
    _xlfn.LET(
        _xlpm.is_data_present, $A18&lt;&gt;0,
        _xlpm.is_camera_present, COUNTIFS(Log!$C:$C, $A18, Log!$D:$D, O$4, Log!$A:$A, "Daily", Log!$B:$B, "n/a"),
        _xlpm.we_camera_on_date, IFERROR(AVERAGEIFS(Log!$F:$F, Log!$D:$D,O$4, Log!$C:$C, $A18, Log!$A:$A, "Daily", Log!$B:$B, "n/a"), 0),
        _xlpm.ie_camera_on_date, IFERROR(AVERAGEIFS(Log!$G:$G, Log!$D:$D,O$4,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8" s="68">
        <f>IFERROR(
    _xlfn.LET(
        _xlpm.is_data_present, $A18&lt;&gt;0,
        _xlpm.is_camera_present, COUNTIFS(Log!$C:$C, $A18, Log!$D:$D, P$4, Log!$A:$A, "Daily", Log!$B:$B, "n/a"),
        _xlpm.we_camera_on_date, IFERROR(AVERAGEIFS(Log!$F:$F, Log!$D:$D,P$4, Log!$C:$C, $A18, Log!$A:$A, "Daily", Log!$B:$B, "n/a"), 0),
        _xlpm.ie_camera_on_date, IFERROR(AVERAGEIFS(Log!$G:$G, Log!$D:$D,P$4,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18" s="68">
        <f>IFERROR(
    _xlfn.LET(
        _xlpm.is_data_present, $A18&lt;&gt;0,
        _xlpm.is_camera_present, COUNTIFS(Log!$C:$C, $A18, Log!$D:$D, Q$4, Log!$A:$A, "Daily", Log!$B:$B, "n/a"),
        _xlpm.we_camera_on_date, IFERROR(AVERAGEIFS(Log!$F:$F, Log!$D:$D,Q$4, Log!$C:$C, $A18, Log!$A:$A, "Daily", Log!$B:$B, "n/a"), 0),
        _xlpm.ie_camera_on_date, IFERROR(AVERAGEIFS(Log!$G:$G, Log!$D:$D,Q$4,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18" s="68">
        <f>IFERROR(
    _xlfn.LET(
        _xlpm.is_data_present, $A18&lt;&gt;0,
        _xlpm.is_camera_present, COUNTIFS(Log!$C:$C, $A18, Log!$D:$D, R$4, Log!$A:$A, "Daily", Log!$B:$B, "n/a"),
        _xlpm.we_camera_on_date, IFERROR(AVERAGEIFS(Log!$F:$F, Log!$D:$D,R$4, Log!$C:$C, $A18, Log!$A:$A, "Daily", Log!$B:$B, "n/a"), 0),
        _xlpm.ie_camera_on_date, IFERROR(AVERAGEIFS(Log!$G:$G, Log!$D:$D,R$4,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8" s="68">
        <f>IFERROR(
    _xlfn.LET(
        _xlpm.is_data_present, $A18&lt;&gt;0,
        _xlpm.is_camera_present, COUNTIFS(Log!$C:$C, $A18, Log!$D:$D, S$4, Log!$A:$A, "Daily", Log!$B:$B, "n/a"),
        _xlpm.we_camera_on_date, IFERROR(AVERAGEIFS(Log!$F:$F, Log!$D:$D,S$4, Log!$C:$C, $A18, Log!$A:$A, "Daily", Log!$B:$B, "n/a"), 0),
        _xlpm.ie_camera_on_date, IFERROR(AVERAGEIFS(Log!$G:$G, Log!$D:$D,S$4, Log!$C:$C, $A18, Log!$A:$A, "Daily", Log!$B:$B, "n/a"), 0),
        _xlpm.we_avg, IFERROR(AVERAGEIFS(Log!$F:$F,Log!$C:$C,$A18, Log!$A:$A, "Daily", Log!$B:$B, "n/a"),0),
        _xlpm.ie_avg, IFERROR(AVERAGEIFS(Log!$G:$G,Log!$C:$C,$A18,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19" spans="1:19" x14ac:dyDescent="0.3">
      <c r="A19" s="79">
        <v>46244</v>
      </c>
      <c r="B19" s="68">
        <f>IFERROR(
    _xlfn.LET(
        _xlpm.is_data_present, $A19&lt;&gt;0,
        _xlpm.is_camera_present, COUNTIFS(Log!$C:$C, $A19, Log!$D:$D, B$4, Log!$A:$A, "Daily", Log!$B:$B, "n/a"),
        _xlpm.we_camera_on_date, IFERROR(AVERAGEIFS(Log!$F:$F, Log!$D:$D,B$4, Log!$C:$C, $A19, Log!$A:$A, "Daily", Log!$B:$B, "n/a"), 0),
        _xlpm.ie_camera_on_date, IFERROR(AVERAGEIFS(Log!$G:$G, Log!$D:$D,B$4,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19" s="68">
        <f>IFERROR(
    _xlfn.LET(
        _xlpm.is_data_present, $A19&lt;&gt;0,
        _xlpm.is_camera_present, COUNTIFS(Log!$C:$C, $A19, Log!$D:$D, C$4, Log!$A:$A, "Daily", Log!$B:$B, "n/a"),
        _xlpm.we_camera_on_date, IFERROR(AVERAGEIFS(Log!$F:$F, Log!$D:$D,C$4, Log!$C:$C, $A19, Log!$A:$A, "Daily", Log!$B:$B, "n/a"), 0),
        _xlpm.ie_camera_on_date, IFERROR(AVERAGEIFS(Log!$G:$G, Log!$D:$D,C$4,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19" s="68">
        <f>IFERROR(
    _xlfn.LET(
        _xlpm.is_data_present, $A19&lt;&gt;0,
        _xlpm.is_camera_present, COUNTIFS(Log!$C:$C, $A19, Log!$D:$D, D$4, Log!$A:$A, "Daily", Log!$B:$B, "n/a"),
        _xlpm.we_camera_on_date, IFERROR(AVERAGEIFS(Log!$F:$F, Log!$D:$D,D$4, Log!$C:$C, $A19, Log!$A:$A, "Daily", Log!$B:$B, "n/a"), 0),
        _xlpm.ie_camera_on_date, IFERROR(AVERAGEIFS(Log!$G:$G, Log!$D:$D,D$4,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19" s="68">
        <f>IFERROR(
    _xlfn.LET(
        _xlpm.is_data_present, $A19&lt;&gt;0,
        _xlpm.is_camera_present, COUNTIFS(Log!$C:$C, $A19, Log!$D:$D, E$4, Log!$A:$A, "Daily", Log!$B:$B, "n/a"),
        _xlpm.we_camera_on_date, IFERROR(AVERAGEIFS(Log!$F:$F, Log!$D:$D,E$4, Log!$C:$C, $A19, Log!$A:$A, "Daily", Log!$B:$B, "n/a"), 0),
        _xlpm.ie_camera_on_date, IFERROR(AVERAGEIFS(Log!$G:$G, Log!$D:$D,E$4,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F19" s="68">
        <f>IFERROR(
    _xlfn.LET(
        _xlpm.is_data_present, $A19&lt;&gt;0,
        _xlpm.is_camera_present, COUNTIFS(Log!$C:$C, $A19, Log!$D:$D, F$4, Log!$A:$A, "Daily", Log!$B:$B, "n/a"),
        _xlpm.we_camera_on_date, IFERROR(AVERAGEIFS(Log!$F:$F, Log!$D:$D,F$4, Log!$C:$C, $A19, Log!$A:$A, "Daily", Log!$B:$B, "n/a"), 0),
        _xlpm.ie_camera_on_date, IFERROR(AVERAGEIFS(Log!$G:$G, Log!$D:$D,F$4,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19" s="68">
        <f>IFERROR(
    _xlfn.LET(
        _xlpm.is_data_present, $A19&lt;&gt;0,
        _xlpm.is_camera_present, COUNTIFS(Log!$C:$C, $A19, Log!$D:$D, G$4, Log!$A:$A, "Daily", Log!$B:$B, "n/a"),
        _xlpm.we_camera_on_date, IFERROR(AVERAGEIFS(Log!$F:$F, Log!$D:$D,G$4, Log!$C:$C, $A19, Log!$A:$A, "Daily", Log!$B:$B, "n/a"), 0),
        _xlpm.ie_camera_on_date, IFERROR(AVERAGEIFS(Log!$G:$G, Log!$D:$D,G$4,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19" s="68">
        <f>IFERROR(
    _xlfn.LET(
        _xlpm.is_data_present, $A19&lt;&gt;0,
        _xlpm.is_camera_present, COUNTIFS(Log!$C:$C, $A19, Log!$D:$D, H$4, Log!$A:$A, "Daily", Log!$B:$B, "n/a"),
        _xlpm.we_camera_on_date, IFERROR(AVERAGEIFS(Log!$F:$F, Log!$D:$D,H$4, Log!$C:$C, $A19, Log!$A:$A, "Daily", Log!$B:$B, "n/a"), 0),
        _xlpm.ie_camera_on_date, IFERROR(AVERAGEIFS(Log!$G:$G, Log!$D:$D,H$4,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19" s="68">
        <f>IFERROR(
    _xlfn.LET(
        _xlpm.is_data_present, $A19&lt;&gt;0,
        _xlpm.is_camera_present, COUNTIFS(Log!$C:$C, $A19, Log!$D:$D, I$4, Log!$A:$A, "Daily", Log!$B:$B, "n/a"),
        _xlpm.we_camera_on_date, IFERROR(AVERAGEIFS(Log!$F:$F, Log!$D:$D,I$4, Log!$C:$C, $A19, Log!$A:$A, "Daily", Log!$B:$B, "n/a"), 0),
        _xlpm.ie_camera_on_date, IFERROR(AVERAGEIFS(Log!$G:$G, Log!$D:$D,I$4,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19" s="68">
        <f>IFERROR(
    _xlfn.LET(
        _xlpm.is_data_present, $A19&lt;&gt;0,
        _xlpm.is_camera_present, COUNTIFS(Log!$C:$C, $A19, Log!$D:$D, J$4, Log!$A:$A, "Daily", Log!$B:$B, "n/a"),
        _xlpm.we_camera_on_date, IFERROR(AVERAGEIFS(Log!$F:$F, Log!$D:$D,J$4, Log!$C:$C, $A19, Log!$A:$A, "Daily", Log!$B:$B, "n/a"), 0),
        _xlpm.ie_camera_on_date, IFERROR(AVERAGEIFS(Log!$G:$G, Log!$D:$D,J$4,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19" s="68">
        <f>IFERROR(
    _xlfn.LET(
        _xlpm.is_data_present, $A19&lt;&gt;0,
        _xlpm.is_camera_present, COUNTIFS(Log!$C:$C, $A19, Log!$D:$D, K$4, Log!$A:$A, "Daily", Log!$B:$B, "n/a"),
        _xlpm.we_camera_on_date, IFERROR(AVERAGEIFS(Log!$F:$F, Log!$D:$D,K$4, Log!$C:$C, $A19, Log!$A:$A, "Daily", Log!$B:$B, "n/a"), 0),
        _xlpm.ie_camera_on_date, IFERROR(AVERAGEIFS(Log!$G:$G, Log!$D:$D,K$4,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L19" s="68">
        <f>IFERROR(
    _xlfn.LET(
        _xlpm.is_data_present, $A19&lt;&gt;0,
        _xlpm.is_camera_present, COUNTIFS(Log!$C:$C, $A19, Log!$D:$D, L$4, Log!$A:$A, "Daily", Log!$B:$B, "n/a"),
        _xlpm.we_camera_on_date, IFERROR(AVERAGEIFS(Log!$F:$F, Log!$D:$D,L$4, Log!$C:$C, $A19, Log!$A:$A, "Daily", Log!$B:$B, "n/a"), 0),
        _xlpm.ie_camera_on_date, IFERROR(AVERAGEIFS(Log!$G:$G, Log!$D:$D,L$4,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19" s="68">
        <f>IFERROR(
    _xlfn.LET(
        _xlpm.is_data_present, $A19&lt;&gt;0,
        _xlpm.is_camera_present, COUNTIFS(Log!$C:$C, $A19, Log!$D:$D, M$4, Log!$A:$A, "Daily", Log!$B:$B, "n/a"),
        _xlpm.we_camera_on_date, IFERROR(AVERAGEIFS(Log!$F:$F, Log!$D:$D,M$4, Log!$C:$C, $A19, Log!$A:$A, "Daily", Log!$B:$B, "n/a"), 0),
        _xlpm.ie_camera_on_date, IFERROR(AVERAGEIFS(Log!$G:$G, Log!$D:$D,M$4,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19" s="68">
        <f>IFERROR(
    _xlfn.LET(
        _xlpm.is_data_present, $A19&lt;&gt;0,
        _xlpm.is_camera_present, COUNTIFS(Log!$C:$C, $A19, Log!$D:$D, N$4, Log!$A:$A, "Daily", Log!$B:$B, "n/a"),
        _xlpm.we_camera_on_date, IFERROR(AVERAGEIFS(Log!$F:$F, Log!$D:$D,N$4, Log!$C:$C, $A19, Log!$A:$A, "Daily", Log!$B:$B, "n/a"), 0),
        _xlpm.ie_camera_on_date, IFERROR(AVERAGEIFS(Log!$G:$G, Log!$D:$D,N$4,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19" s="68">
        <f>IFERROR(
    _xlfn.LET(
        _xlpm.is_data_present, $A19&lt;&gt;0,
        _xlpm.is_camera_present, COUNTIFS(Log!$C:$C, $A19, Log!$D:$D, O$4, Log!$A:$A, "Daily", Log!$B:$B, "n/a"),
        _xlpm.we_camera_on_date, IFERROR(AVERAGEIFS(Log!$F:$F, Log!$D:$D,O$4, Log!$C:$C, $A19, Log!$A:$A, "Daily", Log!$B:$B, "n/a"), 0),
        _xlpm.ie_camera_on_date, IFERROR(AVERAGEIFS(Log!$G:$G, Log!$D:$D,O$4,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19" s="68">
        <f>IFERROR(
    _xlfn.LET(
        _xlpm.is_data_present, $A19&lt;&gt;0,
        _xlpm.is_camera_present, COUNTIFS(Log!$C:$C, $A19, Log!$D:$D, P$4, Log!$A:$A, "Daily", Log!$B:$B, "n/a"),
        _xlpm.we_camera_on_date, IFERROR(AVERAGEIFS(Log!$F:$F, Log!$D:$D,P$4, Log!$C:$C, $A19, Log!$A:$A, "Daily", Log!$B:$B, "n/a"), 0),
        _xlpm.ie_camera_on_date, IFERROR(AVERAGEIFS(Log!$G:$G, Log!$D:$D,P$4,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19" s="68">
        <f>IFERROR(
    _xlfn.LET(
        _xlpm.is_data_present, $A19&lt;&gt;0,
        _xlpm.is_camera_present, COUNTIFS(Log!$C:$C, $A19, Log!$D:$D, Q$4, Log!$A:$A, "Daily", Log!$B:$B, "n/a"),
        _xlpm.we_camera_on_date, IFERROR(AVERAGEIFS(Log!$F:$F, Log!$D:$D,Q$4, Log!$C:$C, $A19, Log!$A:$A, "Daily", Log!$B:$B, "n/a"), 0),
        _xlpm.ie_camera_on_date, IFERROR(AVERAGEIFS(Log!$G:$G, Log!$D:$D,Q$4,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19" s="68">
        <f>IFERROR(
    _xlfn.LET(
        _xlpm.is_data_present, $A19&lt;&gt;0,
        _xlpm.is_camera_present, COUNTIFS(Log!$C:$C, $A19, Log!$D:$D, R$4, Log!$A:$A, "Daily", Log!$B:$B, "n/a"),
        _xlpm.we_camera_on_date, IFERROR(AVERAGEIFS(Log!$F:$F, Log!$D:$D,R$4, Log!$C:$C, $A19, Log!$A:$A, "Daily", Log!$B:$B, "n/a"), 0),
        _xlpm.ie_camera_on_date, IFERROR(AVERAGEIFS(Log!$G:$G, Log!$D:$D,R$4,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S19" s="68">
        <f>IFERROR(
    _xlfn.LET(
        _xlpm.is_data_present, $A19&lt;&gt;0,
        _xlpm.is_camera_present, COUNTIFS(Log!$C:$C, $A19, Log!$D:$D, S$4, Log!$A:$A, "Daily", Log!$B:$B, "n/a"),
        _xlpm.we_camera_on_date, IFERROR(AVERAGEIFS(Log!$F:$F, Log!$D:$D,S$4, Log!$C:$C, $A19, Log!$A:$A, "Daily", Log!$B:$B, "n/a"), 0),
        _xlpm.ie_camera_on_date, IFERROR(AVERAGEIFS(Log!$G:$G, Log!$D:$D,S$4, Log!$C:$C, $A19, Log!$A:$A, "Daily", Log!$B:$B, "n/a"), 0),
        _xlpm.we_avg, IFERROR(AVERAGEIFS(Log!$F:$F,Log!$C:$C,$A19, Log!$A:$A, "Daily", Log!$B:$B, "n/a"),0),
        _xlpm.ie_avg, IFERROR(AVERAGEIFS(Log!$G:$G,Log!$C:$C,$A19,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20" spans="1:19" x14ac:dyDescent="0.3">
      <c r="A20" s="79">
        <v>46245</v>
      </c>
      <c r="B20" s="68">
        <f>IFERROR(
    _xlfn.LET(
        _xlpm.is_data_present, $A20&lt;&gt;0,
        _xlpm.is_camera_present, COUNTIFS(Log!$C:$C, $A20, Log!$D:$D, B$4, Log!$A:$A, "Daily", Log!$B:$B, "n/a"),
        _xlpm.we_camera_on_date, IFERROR(AVERAGEIFS(Log!$F:$F, Log!$D:$D,B$4, Log!$C:$C, $A20, Log!$A:$A, "Daily", Log!$B:$B, "n/a"), 0),
        _xlpm.ie_camera_on_date, IFERROR(AVERAGEIFS(Log!$G:$G, Log!$D:$D,B$4,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0" s="68">
        <f>IFERROR(
    _xlfn.LET(
        _xlpm.is_data_present, $A20&lt;&gt;0,
        _xlpm.is_camera_present, COUNTIFS(Log!$C:$C, $A20, Log!$D:$D, C$4, Log!$A:$A, "Daily", Log!$B:$B, "n/a"),
        _xlpm.we_camera_on_date, IFERROR(AVERAGEIFS(Log!$F:$F, Log!$D:$D,C$4, Log!$C:$C, $A20, Log!$A:$A, "Daily", Log!$B:$B, "n/a"), 0),
        _xlpm.ie_camera_on_date, IFERROR(AVERAGEIFS(Log!$G:$G, Log!$D:$D,C$4,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0" s="68">
        <f>IFERROR(
    _xlfn.LET(
        _xlpm.is_data_present, $A20&lt;&gt;0,
        _xlpm.is_camera_present, COUNTIFS(Log!$C:$C, $A20, Log!$D:$D, D$4, Log!$A:$A, "Daily", Log!$B:$B, "n/a"),
        _xlpm.we_camera_on_date, IFERROR(AVERAGEIFS(Log!$F:$F, Log!$D:$D,D$4, Log!$C:$C, $A20, Log!$A:$A, "Daily", Log!$B:$B, "n/a"), 0),
        _xlpm.ie_camera_on_date, IFERROR(AVERAGEIFS(Log!$G:$G, Log!$D:$D,D$4,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0" s="68">
        <f>IFERROR(
    _xlfn.LET(
        _xlpm.is_data_present, $A20&lt;&gt;0,
        _xlpm.is_camera_present, COUNTIFS(Log!$C:$C, $A20, Log!$D:$D, E$4, Log!$A:$A, "Daily", Log!$B:$B, "n/a"),
        _xlpm.we_camera_on_date, IFERROR(AVERAGEIFS(Log!$F:$F, Log!$D:$D,E$4, Log!$C:$C, $A20, Log!$A:$A, "Daily", Log!$B:$B, "n/a"), 0),
        _xlpm.ie_camera_on_date, IFERROR(AVERAGEIFS(Log!$G:$G, Log!$D:$D,E$4,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0" s="68">
        <f>IFERROR(
    _xlfn.LET(
        _xlpm.is_data_present, $A20&lt;&gt;0,
        _xlpm.is_camera_present, COUNTIFS(Log!$C:$C, $A20, Log!$D:$D, F$4, Log!$A:$A, "Daily", Log!$B:$B, "n/a"),
        _xlpm.we_camera_on_date, IFERROR(AVERAGEIFS(Log!$F:$F, Log!$D:$D,F$4, Log!$C:$C, $A20, Log!$A:$A, "Daily", Log!$B:$B, "n/a"), 0),
        _xlpm.ie_camera_on_date, IFERROR(AVERAGEIFS(Log!$G:$G, Log!$D:$D,F$4,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0" s="68">
        <f>IFERROR(
    _xlfn.LET(
        _xlpm.is_data_present, $A20&lt;&gt;0,
        _xlpm.is_camera_present, COUNTIFS(Log!$C:$C, $A20, Log!$D:$D, G$4, Log!$A:$A, "Daily", Log!$B:$B, "n/a"),
        _xlpm.we_camera_on_date, IFERROR(AVERAGEIFS(Log!$F:$F, Log!$D:$D,G$4, Log!$C:$C, $A20, Log!$A:$A, "Daily", Log!$B:$B, "n/a"), 0),
        _xlpm.ie_camera_on_date, IFERROR(AVERAGEIFS(Log!$G:$G, Log!$D:$D,G$4,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H20" s="68">
        <f>IFERROR(
    _xlfn.LET(
        _xlpm.is_data_present, $A20&lt;&gt;0,
        _xlpm.is_camera_present, COUNTIFS(Log!$C:$C, $A20, Log!$D:$D, H$4, Log!$A:$A, "Daily", Log!$B:$B, "n/a"),
        _xlpm.we_camera_on_date, IFERROR(AVERAGEIFS(Log!$F:$F, Log!$D:$D,H$4, Log!$C:$C, $A20, Log!$A:$A, "Daily", Log!$B:$B, "n/a"), 0),
        _xlpm.ie_camera_on_date, IFERROR(AVERAGEIFS(Log!$G:$G, Log!$D:$D,H$4,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20" s="68">
        <f>IFERROR(
    _xlfn.LET(
        _xlpm.is_data_present, $A20&lt;&gt;0,
        _xlpm.is_camera_present, COUNTIFS(Log!$C:$C, $A20, Log!$D:$D, I$4, Log!$A:$A, "Daily", Log!$B:$B, "n/a"),
        _xlpm.we_camera_on_date, IFERROR(AVERAGEIFS(Log!$F:$F, Log!$D:$D,I$4, Log!$C:$C, $A20, Log!$A:$A, "Daily", Log!$B:$B, "n/a"), 0),
        _xlpm.ie_camera_on_date, IFERROR(AVERAGEIFS(Log!$G:$G, Log!$D:$D,I$4,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0" s="68">
        <f>IFERROR(
    _xlfn.LET(
        _xlpm.is_data_present, $A20&lt;&gt;0,
        _xlpm.is_camera_present, COUNTIFS(Log!$C:$C, $A20, Log!$D:$D, J$4, Log!$A:$A, "Daily", Log!$B:$B, "n/a"),
        _xlpm.we_camera_on_date, IFERROR(AVERAGEIFS(Log!$F:$F, Log!$D:$D,J$4, Log!$C:$C, $A20, Log!$A:$A, "Daily", Log!$B:$B, "n/a"), 0),
        _xlpm.ie_camera_on_date, IFERROR(AVERAGEIFS(Log!$G:$G, Log!$D:$D,J$4,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20" s="68">
        <f>IFERROR(
    _xlfn.LET(
        _xlpm.is_data_present, $A20&lt;&gt;0,
        _xlpm.is_camera_present, COUNTIFS(Log!$C:$C, $A20, Log!$D:$D, K$4, Log!$A:$A, "Daily", Log!$B:$B, "n/a"),
        _xlpm.we_camera_on_date, IFERROR(AVERAGEIFS(Log!$F:$F, Log!$D:$D,K$4, Log!$C:$C, $A20, Log!$A:$A, "Daily", Log!$B:$B, "n/a"), 0),
        _xlpm.ie_camera_on_date, IFERROR(AVERAGEIFS(Log!$G:$G, Log!$D:$D,K$4,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0" s="68">
        <f>IFERROR(
    _xlfn.LET(
        _xlpm.is_data_present, $A20&lt;&gt;0,
        _xlpm.is_camera_present, COUNTIFS(Log!$C:$C, $A20, Log!$D:$D, L$4, Log!$A:$A, "Daily", Log!$B:$B, "n/a"),
        _xlpm.we_camera_on_date, IFERROR(AVERAGEIFS(Log!$F:$F, Log!$D:$D,L$4, Log!$C:$C, $A20, Log!$A:$A, "Daily", Log!$B:$B, "n/a"), 0),
        _xlpm.ie_camera_on_date, IFERROR(AVERAGEIFS(Log!$G:$G, Log!$D:$D,L$4,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20" s="68">
        <f>IFERROR(
    _xlfn.LET(
        _xlpm.is_data_present, $A20&lt;&gt;0,
        _xlpm.is_camera_present, COUNTIFS(Log!$C:$C, $A20, Log!$D:$D, M$4, Log!$A:$A, "Daily", Log!$B:$B, "n/a"),
        _xlpm.we_camera_on_date, IFERROR(AVERAGEIFS(Log!$F:$F, Log!$D:$D,M$4, Log!$C:$C, $A20, Log!$A:$A, "Daily", Log!$B:$B, "n/a"), 0),
        _xlpm.ie_camera_on_date, IFERROR(AVERAGEIFS(Log!$G:$G, Log!$D:$D,M$4,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N20" s="68">
        <f>IFERROR(
    _xlfn.LET(
        _xlpm.is_data_present, $A20&lt;&gt;0,
        _xlpm.is_camera_present, COUNTIFS(Log!$C:$C, $A20, Log!$D:$D, N$4, Log!$A:$A, "Daily", Log!$B:$B, "n/a"),
        _xlpm.we_camera_on_date, IFERROR(AVERAGEIFS(Log!$F:$F, Log!$D:$D,N$4, Log!$C:$C, $A20, Log!$A:$A, "Daily", Log!$B:$B, "n/a"), 0),
        _xlpm.ie_camera_on_date, IFERROR(AVERAGEIFS(Log!$G:$G, Log!$D:$D,N$4,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0" s="68">
        <f>IFERROR(
    _xlfn.LET(
        _xlpm.is_data_present, $A20&lt;&gt;0,
        _xlpm.is_camera_present, COUNTIFS(Log!$C:$C, $A20, Log!$D:$D, O$4, Log!$A:$A, "Daily", Log!$B:$B, "n/a"),
        _xlpm.we_camera_on_date, IFERROR(AVERAGEIFS(Log!$F:$F, Log!$D:$D,O$4, Log!$C:$C, $A20, Log!$A:$A, "Daily", Log!$B:$B, "n/a"), 0),
        _xlpm.ie_camera_on_date, IFERROR(AVERAGEIFS(Log!$G:$G, Log!$D:$D,O$4,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0" s="68">
        <f>IFERROR(
    _xlfn.LET(
        _xlpm.is_data_present, $A20&lt;&gt;0,
        _xlpm.is_camera_present, COUNTIFS(Log!$C:$C, $A20, Log!$D:$D, P$4, Log!$A:$A, "Daily", Log!$B:$B, "n/a"),
        _xlpm.we_camera_on_date, IFERROR(AVERAGEIFS(Log!$F:$F, Log!$D:$D,P$4, Log!$C:$C, $A20, Log!$A:$A, "Daily", Log!$B:$B, "n/a"), 0),
        _xlpm.ie_camera_on_date, IFERROR(AVERAGEIFS(Log!$G:$G, Log!$D:$D,P$4,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0" s="68">
        <f>IFERROR(
    _xlfn.LET(
        _xlpm.is_data_present, $A20&lt;&gt;0,
        _xlpm.is_camera_present, COUNTIFS(Log!$C:$C, $A20, Log!$D:$D, Q$4, Log!$A:$A, "Daily", Log!$B:$B, "n/a"),
        _xlpm.we_camera_on_date, IFERROR(AVERAGEIFS(Log!$F:$F, Log!$D:$D,Q$4, Log!$C:$C, $A20, Log!$A:$A, "Daily", Log!$B:$B, "n/a"), 0),
        _xlpm.ie_camera_on_date, IFERROR(AVERAGEIFS(Log!$G:$G, Log!$D:$D,Q$4,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0" s="68">
        <f>IFERROR(
    _xlfn.LET(
        _xlpm.is_data_present, $A20&lt;&gt;0,
        _xlpm.is_camera_present, COUNTIFS(Log!$C:$C, $A20, Log!$D:$D, R$4, Log!$A:$A, "Daily", Log!$B:$B, "n/a"),
        _xlpm.we_camera_on_date, IFERROR(AVERAGEIFS(Log!$F:$F, Log!$D:$D,R$4, Log!$C:$C, $A20, Log!$A:$A, "Daily", Log!$B:$B, "n/a"), 0),
        _xlpm.ie_camera_on_date, IFERROR(AVERAGEIFS(Log!$G:$G, Log!$D:$D,R$4,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0" s="68">
        <f>IFERROR(
    _xlfn.LET(
        _xlpm.is_data_present, $A20&lt;&gt;0,
        _xlpm.is_camera_present, COUNTIFS(Log!$C:$C, $A20, Log!$D:$D, S$4, Log!$A:$A, "Daily", Log!$B:$B, "n/a"),
        _xlpm.we_camera_on_date, IFERROR(AVERAGEIFS(Log!$F:$F, Log!$D:$D,S$4, Log!$C:$C, $A20, Log!$A:$A, "Daily", Log!$B:$B, "n/a"), 0),
        _xlpm.ie_camera_on_date, IFERROR(AVERAGEIFS(Log!$G:$G, Log!$D:$D,S$4, Log!$C:$C, $A20, Log!$A:$A, "Daily", Log!$B:$B, "n/a"), 0),
        _xlpm.we_avg, IFERROR(AVERAGEIFS(Log!$F:$F,Log!$C:$C,$A20, Log!$A:$A, "Daily", Log!$B:$B, "n/a"),0),
        _xlpm.ie_avg, IFERROR(AVERAGEIFS(Log!$G:$G,Log!$C:$C,$A20,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21" spans="1:19" x14ac:dyDescent="0.3">
      <c r="A21" s="79">
        <v>46246</v>
      </c>
      <c r="B21" s="68">
        <f>IFERROR(
    _xlfn.LET(
        _xlpm.is_data_present, $A21&lt;&gt;0,
        _xlpm.is_camera_present, COUNTIFS(Log!$C:$C, $A21, Log!$D:$D, B$4, Log!$A:$A, "Daily", Log!$B:$B, "n/a"),
        _xlpm.we_camera_on_date, IFERROR(AVERAGEIFS(Log!$F:$F, Log!$D:$D,B$4, Log!$C:$C, $A21, Log!$A:$A, "Daily", Log!$B:$B, "n/a"), 0),
        _xlpm.ie_camera_on_date, IFERROR(AVERAGEIFS(Log!$G:$G, Log!$D:$D,B$4,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1" s="68">
        <f>IFERROR(
    _xlfn.LET(
        _xlpm.is_data_present, $A21&lt;&gt;0,
        _xlpm.is_camera_present, COUNTIFS(Log!$C:$C, $A21, Log!$D:$D, C$4, Log!$A:$A, "Daily", Log!$B:$B, "n/a"),
        _xlpm.we_camera_on_date, IFERROR(AVERAGEIFS(Log!$F:$F, Log!$D:$D,C$4, Log!$C:$C, $A21, Log!$A:$A, "Daily", Log!$B:$B, "n/a"), 0),
        _xlpm.ie_camera_on_date, IFERROR(AVERAGEIFS(Log!$G:$G, Log!$D:$D,C$4,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D21" s="68">
        <f>IFERROR(
    _xlfn.LET(
        _xlpm.is_data_present, $A21&lt;&gt;0,
        _xlpm.is_camera_present, COUNTIFS(Log!$C:$C, $A21, Log!$D:$D, D$4, Log!$A:$A, "Daily", Log!$B:$B, "n/a"),
        _xlpm.we_camera_on_date, IFERROR(AVERAGEIFS(Log!$F:$F, Log!$D:$D,D$4, Log!$C:$C, $A21, Log!$A:$A, "Daily", Log!$B:$B, "n/a"), 0),
        _xlpm.ie_camera_on_date, IFERROR(AVERAGEIFS(Log!$G:$G, Log!$D:$D,D$4,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1" s="68">
        <f>IFERROR(
    _xlfn.LET(
        _xlpm.is_data_present, $A21&lt;&gt;0,
        _xlpm.is_camera_present, COUNTIFS(Log!$C:$C, $A21, Log!$D:$D, E$4, Log!$A:$A, "Daily", Log!$B:$B, "n/a"),
        _xlpm.we_camera_on_date, IFERROR(AVERAGEIFS(Log!$F:$F, Log!$D:$D,E$4, Log!$C:$C, $A21, Log!$A:$A, "Daily", Log!$B:$B, "n/a"), 0),
        _xlpm.ie_camera_on_date, IFERROR(AVERAGEIFS(Log!$G:$G, Log!$D:$D,E$4,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1" s="68">
        <f>IFERROR(
    _xlfn.LET(
        _xlpm.is_data_present, $A21&lt;&gt;0,
        _xlpm.is_camera_present, COUNTIFS(Log!$C:$C, $A21, Log!$D:$D, F$4, Log!$A:$A, "Daily", Log!$B:$B, "n/a"),
        _xlpm.we_camera_on_date, IFERROR(AVERAGEIFS(Log!$F:$F, Log!$D:$D,F$4, Log!$C:$C, $A21, Log!$A:$A, "Daily", Log!$B:$B, "n/a"), 0),
        _xlpm.ie_camera_on_date, IFERROR(AVERAGEIFS(Log!$G:$G, Log!$D:$D,F$4,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G21" s="68">
        <f>IFERROR(
    _xlfn.LET(
        _xlpm.is_data_present, $A21&lt;&gt;0,
        _xlpm.is_camera_present, COUNTIFS(Log!$C:$C, $A21, Log!$D:$D, G$4, Log!$A:$A, "Daily", Log!$B:$B, "n/a"),
        _xlpm.we_camera_on_date, IFERROR(AVERAGEIFS(Log!$F:$F, Log!$D:$D,G$4, Log!$C:$C, $A21, Log!$A:$A, "Daily", Log!$B:$B, "n/a"), 0),
        _xlpm.ie_camera_on_date, IFERROR(AVERAGEIFS(Log!$G:$G, Log!$D:$D,G$4,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1" s="68">
        <f>IFERROR(
    _xlfn.LET(
        _xlpm.is_data_present, $A21&lt;&gt;0,
        _xlpm.is_camera_present, COUNTIFS(Log!$C:$C, $A21, Log!$D:$D, H$4, Log!$A:$A, "Daily", Log!$B:$B, "n/a"),
        _xlpm.we_camera_on_date, IFERROR(AVERAGEIFS(Log!$F:$F, Log!$D:$D,H$4, Log!$C:$C, $A21, Log!$A:$A, "Daily", Log!$B:$B, "n/a"), 0),
        _xlpm.ie_camera_on_date, IFERROR(AVERAGEIFS(Log!$G:$G, Log!$D:$D,H$4,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1" s="68">
        <f>IFERROR(
    _xlfn.LET(
        _xlpm.is_data_present, $A21&lt;&gt;0,
        _xlpm.is_camera_present, COUNTIFS(Log!$C:$C, $A21, Log!$D:$D, I$4, Log!$A:$A, "Daily", Log!$B:$B, "n/a"),
        _xlpm.we_camera_on_date, IFERROR(AVERAGEIFS(Log!$F:$F, Log!$D:$D,I$4, Log!$C:$C, $A21, Log!$A:$A, "Daily", Log!$B:$B, "n/a"), 0),
        _xlpm.ie_camera_on_date, IFERROR(AVERAGEIFS(Log!$G:$G, Log!$D:$D,I$4,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J21" s="68">
        <f>IFERROR(
    _xlfn.LET(
        _xlpm.is_data_present, $A21&lt;&gt;0,
        _xlpm.is_camera_present, COUNTIFS(Log!$C:$C, $A21, Log!$D:$D, J$4, Log!$A:$A, "Daily", Log!$B:$B, "n/a"),
        _xlpm.we_camera_on_date, IFERROR(AVERAGEIFS(Log!$F:$F, Log!$D:$D,J$4, Log!$C:$C, $A21, Log!$A:$A, "Daily", Log!$B:$B, "n/a"), 0),
        _xlpm.ie_camera_on_date, IFERROR(AVERAGEIFS(Log!$G:$G, Log!$D:$D,J$4,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1" s="68">
        <f>IFERROR(
    _xlfn.LET(
        _xlpm.is_data_present, $A21&lt;&gt;0,
        _xlpm.is_camera_present, COUNTIFS(Log!$C:$C, $A21, Log!$D:$D, K$4, Log!$A:$A, "Daily", Log!$B:$B, "n/a"),
        _xlpm.we_camera_on_date, IFERROR(AVERAGEIFS(Log!$F:$F, Log!$D:$D,K$4, Log!$C:$C, $A21, Log!$A:$A, "Daily", Log!$B:$B, "n/a"), 0),
        _xlpm.ie_camera_on_date, IFERROR(AVERAGEIFS(Log!$G:$G, Log!$D:$D,K$4,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1" s="68">
        <f>IFERROR(
    _xlfn.LET(
        _xlpm.is_data_present, $A21&lt;&gt;0,
        _xlpm.is_camera_present, COUNTIFS(Log!$C:$C, $A21, Log!$D:$D, L$4, Log!$A:$A, "Daily", Log!$B:$B, "n/a"),
        _xlpm.we_camera_on_date, IFERROR(AVERAGEIFS(Log!$F:$F, Log!$D:$D,L$4, Log!$C:$C, $A21, Log!$A:$A, "Daily", Log!$B:$B, "n/a"), 0),
        _xlpm.ie_camera_on_date, IFERROR(AVERAGEIFS(Log!$G:$G, Log!$D:$D,L$4,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21" s="68">
        <f>IFERROR(
    _xlfn.LET(
        _xlpm.is_data_present, $A21&lt;&gt;0,
        _xlpm.is_camera_present, COUNTIFS(Log!$C:$C, $A21, Log!$D:$D, M$4, Log!$A:$A, "Daily", Log!$B:$B, "n/a"),
        _xlpm.we_camera_on_date, IFERROR(AVERAGEIFS(Log!$F:$F, Log!$D:$D,M$4, Log!$C:$C, $A21, Log!$A:$A, "Daily", Log!$B:$B, "n/a"), 0),
        _xlpm.ie_camera_on_date, IFERROR(AVERAGEIFS(Log!$G:$G, Log!$D:$D,M$4,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1" s="68">
        <f>IFERROR(
    _xlfn.LET(
        _xlpm.is_data_present, $A21&lt;&gt;0,
        _xlpm.is_camera_present, COUNTIFS(Log!$C:$C, $A21, Log!$D:$D, N$4, Log!$A:$A, "Daily", Log!$B:$B, "n/a"),
        _xlpm.we_camera_on_date, IFERROR(AVERAGEIFS(Log!$F:$F, Log!$D:$D,N$4, Log!$C:$C, $A21, Log!$A:$A, "Daily", Log!$B:$B, "n/a"), 0),
        _xlpm.ie_camera_on_date, IFERROR(AVERAGEIFS(Log!$G:$G, Log!$D:$D,N$4,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1" s="68">
        <f>IFERROR(
    _xlfn.LET(
        _xlpm.is_data_present, $A21&lt;&gt;0,
        _xlpm.is_camera_present, COUNTIFS(Log!$C:$C, $A21, Log!$D:$D, O$4, Log!$A:$A, "Daily", Log!$B:$B, "n/a"),
        _xlpm.we_camera_on_date, IFERROR(AVERAGEIFS(Log!$F:$F, Log!$D:$D,O$4, Log!$C:$C, $A21, Log!$A:$A, "Daily", Log!$B:$B, "n/a"), 0),
        _xlpm.ie_camera_on_date, IFERROR(AVERAGEIFS(Log!$G:$G, Log!$D:$D,O$4,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1" s="68">
        <f>IFERROR(
    _xlfn.LET(
        _xlpm.is_data_present, $A21&lt;&gt;0,
        _xlpm.is_camera_present, COUNTIFS(Log!$C:$C, $A21, Log!$D:$D, P$4, Log!$A:$A, "Daily", Log!$B:$B, "n/a"),
        _xlpm.we_camera_on_date, IFERROR(AVERAGEIFS(Log!$F:$F, Log!$D:$D,P$4, Log!$C:$C, $A21, Log!$A:$A, "Daily", Log!$B:$B, "n/a"), 0),
        _xlpm.ie_camera_on_date, IFERROR(AVERAGEIFS(Log!$G:$G, Log!$D:$D,P$4,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1" s="68">
        <f>IFERROR(
    _xlfn.LET(
        _xlpm.is_data_present, $A21&lt;&gt;0,
        _xlpm.is_camera_present, COUNTIFS(Log!$C:$C, $A21, Log!$D:$D, Q$4, Log!$A:$A, "Daily", Log!$B:$B, "n/a"),
        _xlpm.we_camera_on_date, IFERROR(AVERAGEIFS(Log!$F:$F, Log!$D:$D,Q$4, Log!$C:$C, $A21, Log!$A:$A, "Daily", Log!$B:$B, "n/a"), 0),
        _xlpm.ie_camera_on_date, IFERROR(AVERAGEIFS(Log!$G:$G, Log!$D:$D,Q$4,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1" s="68">
        <f>IFERROR(
    _xlfn.LET(
        _xlpm.is_data_present, $A21&lt;&gt;0,
        _xlpm.is_camera_present, COUNTIFS(Log!$C:$C, $A21, Log!$D:$D, R$4, Log!$A:$A, "Daily", Log!$B:$B, "n/a"),
        _xlpm.we_camera_on_date, IFERROR(AVERAGEIFS(Log!$F:$F, Log!$D:$D,R$4, Log!$C:$C, $A21, Log!$A:$A, "Daily", Log!$B:$B, "n/a"), 0),
        _xlpm.ie_camera_on_date, IFERROR(AVERAGEIFS(Log!$G:$G, Log!$D:$D,R$4,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21" s="68">
        <f>IFERROR(
    _xlfn.LET(
        _xlpm.is_data_present, $A21&lt;&gt;0,
        _xlpm.is_camera_present, COUNTIFS(Log!$C:$C, $A21, Log!$D:$D, S$4, Log!$A:$A, "Daily", Log!$B:$B, "n/a"),
        _xlpm.we_camera_on_date, IFERROR(AVERAGEIFS(Log!$F:$F, Log!$D:$D,S$4, Log!$C:$C, $A21, Log!$A:$A, "Daily", Log!$B:$B, "n/a"), 0),
        _xlpm.ie_camera_on_date, IFERROR(AVERAGEIFS(Log!$G:$G, Log!$D:$D,S$4, Log!$C:$C, $A21, Log!$A:$A, "Daily", Log!$B:$B, "n/a"), 0),
        _xlpm.we_avg, IFERROR(AVERAGEIFS(Log!$F:$F,Log!$C:$C,$A21, Log!$A:$A, "Daily", Log!$B:$B, "n/a"),0),
        _xlpm.ie_avg, IFERROR(AVERAGEIFS(Log!$G:$G,Log!$C:$C,$A21,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row>
    <row r="22" spans="1:19" x14ac:dyDescent="0.3">
      <c r="A22" s="79">
        <v>46247</v>
      </c>
      <c r="B22" s="68">
        <f>IFERROR(
    _xlfn.LET(
        _xlpm.is_data_present, $A22&lt;&gt;0,
        _xlpm.is_camera_present, COUNTIFS(Log!$C:$C, $A22, Log!$D:$D, B$4, Log!$A:$A, "Daily", Log!$B:$B, "n/a"),
        _xlpm.we_camera_on_date, IFERROR(AVERAGEIFS(Log!$F:$F, Log!$D:$D,B$4, Log!$C:$C, $A22, Log!$A:$A, "Daily", Log!$B:$B, "n/a"), 0),
        _xlpm.ie_camera_on_date, IFERROR(AVERAGEIFS(Log!$G:$G, Log!$D:$D,B$4,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22" s="68">
        <f>IFERROR(
    _xlfn.LET(
        _xlpm.is_data_present, $A22&lt;&gt;0,
        _xlpm.is_camera_present, COUNTIFS(Log!$C:$C, $A22, Log!$D:$D, C$4, Log!$A:$A, "Daily", Log!$B:$B, "n/a"),
        _xlpm.we_camera_on_date, IFERROR(AVERAGEIFS(Log!$F:$F, Log!$D:$D,C$4, Log!$C:$C, $A22, Log!$A:$A, "Daily", Log!$B:$B, "n/a"), 0),
        _xlpm.ie_camera_on_date, IFERROR(AVERAGEIFS(Log!$G:$G, Log!$D:$D,C$4,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2" s="68">
        <f>IFERROR(
    _xlfn.LET(
        _xlpm.is_data_present, $A22&lt;&gt;0,
        _xlpm.is_camera_present, COUNTIFS(Log!$C:$C, $A22, Log!$D:$D, D$4, Log!$A:$A, "Daily", Log!$B:$B, "n/a"),
        _xlpm.we_camera_on_date, IFERROR(AVERAGEIFS(Log!$F:$F, Log!$D:$D,D$4, Log!$C:$C, $A22, Log!$A:$A, "Daily", Log!$B:$B, "n/a"), 0),
        _xlpm.ie_camera_on_date, IFERROR(AVERAGEIFS(Log!$G:$G, Log!$D:$D,D$4,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2" s="68">
        <f>IFERROR(
    _xlfn.LET(
        _xlpm.is_data_present, $A22&lt;&gt;0,
        _xlpm.is_camera_present, COUNTIFS(Log!$C:$C, $A22, Log!$D:$D, E$4, Log!$A:$A, "Daily", Log!$B:$B, "n/a"),
        _xlpm.we_camera_on_date, IFERROR(AVERAGEIFS(Log!$F:$F, Log!$D:$D,E$4, Log!$C:$C, $A22, Log!$A:$A, "Daily", Log!$B:$B, "n/a"), 0),
        _xlpm.ie_camera_on_date, IFERROR(AVERAGEIFS(Log!$G:$G, Log!$D:$D,E$4,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2" s="68">
        <f>IFERROR(
    _xlfn.LET(
        _xlpm.is_data_present, $A22&lt;&gt;0,
        _xlpm.is_camera_present, COUNTIFS(Log!$C:$C, $A22, Log!$D:$D, F$4, Log!$A:$A, "Daily", Log!$B:$B, "n/a"),
        _xlpm.we_camera_on_date, IFERROR(AVERAGEIFS(Log!$F:$F, Log!$D:$D,F$4, Log!$C:$C, $A22, Log!$A:$A, "Daily", Log!$B:$B, "n/a"), 0),
        _xlpm.ie_camera_on_date, IFERROR(AVERAGEIFS(Log!$G:$G, Log!$D:$D,F$4,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2" s="68">
        <f>IFERROR(
    _xlfn.LET(
        _xlpm.is_data_present, $A22&lt;&gt;0,
        _xlpm.is_camera_present, COUNTIFS(Log!$C:$C, $A22, Log!$D:$D, G$4, Log!$A:$A, "Daily", Log!$B:$B, "n/a"),
        _xlpm.we_camera_on_date, IFERROR(AVERAGEIFS(Log!$F:$F, Log!$D:$D,G$4, Log!$C:$C, $A22, Log!$A:$A, "Daily", Log!$B:$B, "n/a"), 0),
        _xlpm.ie_camera_on_date, IFERROR(AVERAGEIFS(Log!$G:$G, Log!$D:$D,G$4,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H22" s="68">
        <f>IFERROR(
    _xlfn.LET(
        _xlpm.is_data_present, $A22&lt;&gt;0,
        _xlpm.is_camera_present, COUNTIFS(Log!$C:$C, $A22, Log!$D:$D, H$4, Log!$A:$A, "Daily", Log!$B:$B, "n/a"),
        _xlpm.we_camera_on_date, IFERROR(AVERAGEIFS(Log!$F:$F, Log!$D:$D,H$4, Log!$C:$C, $A22, Log!$A:$A, "Daily", Log!$B:$B, "n/a"), 0),
        _xlpm.ie_camera_on_date, IFERROR(AVERAGEIFS(Log!$G:$G, Log!$D:$D,H$4,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I22" s="68">
        <f>IFERROR(
    _xlfn.LET(
        _xlpm.is_data_present, $A22&lt;&gt;0,
        _xlpm.is_camera_present, COUNTIFS(Log!$C:$C, $A22, Log!$D:$D, I$4, Log!$A:$A, "Daily", Log!$B:$B, "n/a"),
        _xlpm.we_camera_on_date, IFERROR(AVERAGEIFS(Log!$F:$F, Log!$D:$D,I$4, Log!$C:$C, $A22, Log!$A:$A, "Daily", Log!$B:$B, "n/a"), 0),
        _xlpm.ie_camera_on_date, IFERROR(AVERAGEIFS(Log!$G:$G, Log!$D:$D,I$4,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2" s="68">
        <f>IFERROR(
    _xlfn.LET(
        _xlpm.is_data_present, $A22&lt;&gt;0,
        _xlpm.is_camera_present, COUNTIFS(Log!$C:$C, $A22, Log!$D:$D, J$4, Log!$A:$A, "Daily", Log!$B:$B, "n/a"),
        _xlpm.we_camera_on_date, IFERROR(AVERAGEIFS(Log!$F:$F, Log!$D:$D,J$4, Log!$C:$C, $A22, Log!$A:$A, "Daily", Log!$B:$B, "n/a"), 0),
        _xlpm.ie_camera_on_date, IFERROR(AVERAGEIFS(Log!$G:$G, Log!$D:$D,J$4,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K22" s="68">
        <f>IFERROR(
    _xlfn.LET(
        _xlpm.is_data_present, $A22&lt;&gt;0,
        _xlpm.is_camera_present, COUNTIFS(Log!$C:$C, $A22, Log!$D:$D, K$4, Log!$A:$A, "Daily", Log!$B:$B, "n/a"),
        _xlpm.we_camera_on_date, IFERROR(AVERAGEIFS(Log!$F:$F, Log!$D:$D,K$4, Log!$C:$C, $A22, Log!$A:$A, "Daily", Log!$B:$B, "n/a"), 0),
        _xlpm.ie_camera_on_date, IFERROR(AVERAGEIFS(Log!$G:$G, Log!$D:$D,K$4,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L22" s="68">
        <f>IFERROR(
    _xlfn.LET(
        _xlpm.is_data_present, $A22&lt;&gt;0,
        _xlpm.is_camera_present, COUNTIFS(Log!$C:$C, $A22, Log!$D:$D, L$4, Log!$A:$A, "Daily", Log!$B:$B, "n/a"),
        _xlpm.we_camera_on_date, IFERROR(AVERAGEIFS(Log!$F:$F, Log!$D:$D,L$4, Log!$C:$C, $A22, Log!$A:$A, "Daily", Log!$B:$B, "n/a"), 0),
        _xlpm.ie_camera_on_date, IFERROR(AVERAGEIFS(Log!$G:$G, Log!$D:$D,L$4,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22" s="68">
        <f>IFERROR(
    _xlfn.LET(
        _xlpm.is_data_present, $A22&lt;&gt;0,
        _xlpm.is_camera_present, COUNTIFS(Log!$C:$C, $A22, Log!$D:$D, M$4, Log!$A:$A, "Daily", Log!$B:$B, "n/a"),
        _xlpm.we_camera_on_date, IFERROR(AVERAGEIFS(Log!$F:$F, Log!$D:$D,M$4, Log!$C:$C, $A22, Log!$A:$A, "Daily", Log!$B:$B, "n/a"), 0),
        _xlpm.ie_camera_on_date, IFERROR(AVERAGEIFS(Log!$G:$G, Log!$D:$D,M$4,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2" s="68">
        <f>IFERROR(
    _xlfn.LET(
        _xlpm.is_data_present, $A22&lt;&gt;0,
        _xlpm.is_camera_present, COUNTIFS(Log!$C:$C, $A22, Log!$D:$D, N$4, Log!$A:$A, "Daily", Log!$B:$B, "n/a"),
        _xlpm.we_camera_on_date, IFERROR(AVERAGEIFS(Log!$F:$F, Log!$D:$D,N$4, Log!$C:$C, $A22, Log!$A:$A, "Daily", Log!$B:$B, "n/a"), 0),
        _xlpm.ie_camera_on_date, IFERROR(AVERAGEIFS(Log!$G:$G, Log!$D:$D,N$4,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O22" s="68">
        <f>IFERROR(
    _xlfn.LET(
        _xlpm.is_data_present, $A22&lt;&gt;0,
        _xlpm.is_camera_present, COUNTIFS(Log!$C:$C, $A22, Log!$D:$D, O$4, Log!$A:$A, "Daily", Log!$B:$B, "n/a"),
        _xlpm.we_camera_on_date, IFERROR(AVERAGEIFS(Log!$F:$F, Log!$D:$D,O$4, Log!$C:$C, $A22, Log!$A:$A, "Daily", Log!$B:$B, "n/a"), 0),
        _xlpm.ie_camera_on_date, IFERROR(AVERAGEIFS(Log!$G:$G, Log!$D:$D,O$4,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2" s="68">
        <f>IFERROR(
    _xlfn.LET(
        _xlpm.is_data_present, $A22&lt;&gt;0,
        _xlpm.is_camera_present, COUNTIFS(Log!$C:$C, $A22, Log!$D:$D, P$4, Log!$A:$A, "Daily", Log!$B:$B, "n/a"),
        _xlpm.we_camera_on_date, IFERROR(AVERAGEIFS(Log!$F:$F, Log!$D:$D,P$4, Log!$C:$C, $A22, Log!$A:$A, "Daily", Log!$B:$B, "n/a"), 0),
        _xlpm.ie_camera_on_date, IFERROR(AVERAGEIFS(Log!$G:$G, Log!$D:$D,P$4,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2" s="68">
        <f>IFERROR(
    _xlfn.LET(
        _xlpm.is_data_present, $A22&lt;&gt;0,
        _xlpm.is_camera_present, COUNTIFS(Log!$C:$C, $A22, Log!$D:$D, Q$4, Log!$A:$A, "Daily", Log!$B:$B, "n/a"),
        _xlpm.we_camera_on_date, IFERROR(AVERAGEIFS(Log!$F:$F, Log!$D:$D,Q$4, Log!$C:$C, $A22, Log!$A:$A, "Daily", Log!$B:$B, "n/a"), 0),
        _xlpm.ie_camera_on_date, IFERROR(AVERAGEIFS(Log!$G:$G, Log!$D:$D,Q$4,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2" s="68">
        <f>IFERROR(
    _xlfn.LET(
        _xlpm.is_data_present, $A22&lt;&gt;0,
        _xlpm.is_camera_present, COUNTIFS(Log!$C:$C, $A22, Log!$D:$D, R$4, Log!$A:$A, "Daily", Log!$B:$B, "n/a"),
        _xlpm.we_camera_on_date, IFERROR(AVERAGEIFS(Log!$F:$F, Log!$D:$D,R$4, Log!$C:$C, $A22, Log!$A:$A, "Daily", Log!$B:$B, "n/a"), 0),
        _xlpm.ie_camera_on_date, IFERROR(AVERAGEIFS(Log!$G:$G, Log!$D:$D,R$4,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2" s="68">
        <f>IFERROR(
    _xlfn.LET(
        _xlpm.is_data_present, $A22&lt;&gt;0,
        _xlpm.is_camera_present, COUNTIFS(Log!$C:$C, $A22, Log!$D:$D, S$4, Log!$A:$A, "Daily", Log!$B:$B, "n/a"),
        _xlpm.we_camera_on_date, IFERROR(AVERAGEIFS(Log!$F:$F, Log!$D:$D,S$4, Log!$C:$C, $A22, Log!$A:$A, "Daily", Log!$B:$B, "n/a"), 0),
        _xlpm.ie_camera_on_date, IFERROR(AVERAGEIFS(Log!$G:$G, Log!$D:$D,S$4, Log!$C:$C, $A22, Log!$A:$A, "Daily", Log!$B:$B, "n/a"), 0),
        _xlpm.we_avg, IFERROR(AVERAGEIFS(Log!$F:$F,Log!$C:$C,$A22, Log!$A:$A, "Daily", Log!$B:$B, "n/a"),0),
        _xlpm.ie_avg, IFERROR(AVERAGEIFS(Log!$G:$G,Log!$C:$C,$A22,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3" spans="1:19" x14ac:dyDescent="0.3">
      <c r="A23" s="79">
        <v>46248</v>
      </c>
      <c r="B23" s="68">
        <f>IFERROR(
    _xlfn.LET(
        _xlpm.is_data_present, $A23&lt;&gt;0,
        _xlpm.is_camera_present, COUNTIFS(Log!$C:$C, $A23, Log!$D:$D, B$4, Log!$A:$A, "Daily", Log!$B:$B, "n/a"),
        _xlpm.we_camera_on_date, IFERROR(AVERAGEIFS(Log!$F:$F, Log!$D:$D,B$4, Log!$C:$C, $A23, Log!$A:$A, "Daily", Log!$B:$B, "n/a"), 0),
        _xlpm.ie_camera_on_date, IFERROR(AVERAGEIFS(Log!$G:$G, Log!$D:$D,B$4,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C23" s="68">
        <f>IFERROR(
    _xlfn.LET(
        _xlpm.is_data_present, $A23&lt;&gt;0,
        _xlpm.is_camera_present, COUNTIFS(Log!$C:$C, $A23, Log!$D:$D, C$4, Log!$A:$A, "Daily", Log!$B:$B, "n/a"),
        _xlpm.we_camera_on_date, IFERROR(AVERAGEIFS(Log!$F:$F, Log!$D:$D,C$4, Log!$C:$C, $A23, Log!$A:$A, "Daily", Log!$B:$B, "n/a"), 0),
        _xlpm.ie_camera_on_date, IFERROR(AVERAGEIFS(Log!$G:$G, Log!$D:$D,C$4,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3" s="68">
        <f>IFERROR(
    _xlfn.LET(
        _xlpm.is_data_present, $A23&lt;&gt;0,
        _xlpm.is_camera_present, COUNTIFS(Log!$C:$C, $A23, Log!$D:$D, D$4, Log!$A:$A, "Daily", Log!$B:$B, "n/a"),
        _xlpm.we_camera_on_date, IFERROR(AVERAGEIFS(Log!$F:$F, Log!$D:$D,D$4, Log!$C:$C, $A23, Log!$A:$A, "Daily", Log!$B:$B, "n/a"), 0),
        _xlpm.ie_camera_on_date, IFERROR(AVERAGEIFS(Log!$G:$G, Log!$D:$D,D$4,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3" s="68">
        <f>IFERROR(
    _xlfn.LET(
        _xlpm.is_data_present, $A23&lt;&gt;0,
        _xlpm.is_camera_present, COUNTIFS(Log!$C:$C, $A23, Log!$D:$D, E$4, Log!$A:$A, "Daily", Log!$B:$B, "n/a"),
        _xlpm.we_camera_on_date, IFERROR(AVERAGEIFS(Log!$F:$F, Log!$D:$D,E$4, Log!$C:$C, $A23, Log!$A:$A, "Daily", Log!$B:$B, "n/a"), 0),
        _xlpm.ie_camera_on_date, IFERROR(AVERAGEIFS(Log!$G:$G, Log!$D:$D,E$4,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F23" s="68">
        <f>IFERROR(
    _xlfn.LET(
        _xlpm.is_data_present, $A23&lt;&gt;0,
        _xlpm.is_camera_present, COUNTIFS(Log!$C:$C, $A23, Log!$D:$D, F$4, Log!$A:$A, "Daily", Log!$B:$B, "n/a"),
        _xlpm.we_camera_on_date, IFERROR(AVERAGEIFS(Log!$F:$F, Log!$D:$D,F$4, Log!$C:$C, $A23, Log!$A:$A, "Daily", Log!$B:$B, "n/a"), 0),
        _xlpm.ie_camera_on_date, IFERROR(AVERAGEIFS(Log!$G:$G, Log!$D:$D,F$4,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3" s="68">
        <f>IFERROR(
    _xlfn.LET(
        _xlpm.is_data_present, $A23&lt;&gt;0,
        _xlpm.is_camera_present, COUNTIFS(Log!$C:$C, $A23, Log!$D:$D, G$4, Log!$A:$A, "Daily", Log!$B:$B, "n/a"),
        _xlpm.we_camera_on_date, IFERROR(AVERAGEIFS(Log!$F:$F, Log!$D:$D,G$4, Log!$C:$C, $A23, Log!$A:$A, "Daily", Log!$B:$B, "n/a"), 0),
        _xlpm.ie_camera_on_date, IFERROR(AVERAGEIFS(Log!$G:$G, Log!$D:$D,G$4,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3" s="68">
        <f>IFERROR(
    _xlfn.LET(
        _xlpm.is_data_present, $A23&lt;&gt;0,
        _xlpm.is_camera_present, COUNTIFS(Log!$C:$C, $A23, Log!$D:$D, H$4, Log!$A:$A, "Daily", Log!$B:$B, "n/a"),
        _xlpm.we_camera_on_date, IFERROR(AVERAGEIFS(Log!$F:$F, Log!$D:$D,H$4, Log!$C:$C, $A23, Log!$A:$A, "Daily", Log!$B:$B, "n/a"), 0),
        _xlpm.ie_camera_on_date, IFERROR(AVERAGEIFS(Log!$G:$G, Log!$D:$D,H$4,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3" s="68">
        <f>IFERROR(
    _xlfn.LET(
        _xlpm.is_data_present, $A23&lt;&gt;0,
        _xlpm.is_camera_present, COUNTIFS(Log!$C:$C, $A23, Log!$D:$D, I$4, Log!$A:$A, "Daily", Log!$B:$B, "n/a"),
        _xlpm.we_camera_on_date, IFERROR(AVERAGEIFS(Log!$F:$F, Log!$D:$D,I$4, Log!$C:$C, $A23, Log!$A:$A, "Daily", Log!$B:$B, "n/a"), 0),
        _xlpm.ie_camera_on_date, IFERROR(AVERAGEIFS(Log!$G:$G, Log!$D:$D,I$4,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3" s="68">
        <f>IFERROR(
    _xlfn.LET(
        _xlpm.is_data_present, $A23&lt;&gt;0,
        _xlpm.is_camera_present, COUNTIFS(Log!$C:$C, $A23, Log!$D:$D, J$4, Log!$A:$A, "Daily", Log!$B:$B, "n/a"),
        _xlpm.we_camera_on_date, IFERROR(AVERAGEIFS(Log!$F:$F, Log!$D:$D,J$4, Log!$C:$C, $A23, Log!$A:$A, "Daily", Log!$B:$B, "n/a"), 0),
        _xlpm.ie_camera_on_date, IFERROR(AVERAGEIFS(Log!$G:$G, Log!$D:$D,J$4,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3" s="68">
        <f>IFERROR(
    _xlfn.LET(
        _xlpm.is_data_present, $A23&lt;&gt;0,
        _xlpm.is_camera_present, COUNTIFS(Log!$C:$C, $A23, Log!$D:$D, K$4, Log!$A:$A, "Daily", Log!$B:$B, "n/a"),
        _xlpm.we_camera_on_date, IFERROR(AVERAGEIFS(Log!$F:$F, Log!$D:$D,K$4, Log!$C:$C, $A23, Log!$A:$A, "Daily", Log!$B:$B, "n/a"), 0),
        _xlpm.ie_camera_on_date, IFERROR(AVERAGEIFS(Log!$G:$G, Log!$D:$D,K$4,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3" s="68">
        <f>IFERROR(
    _xlfn.LET(
        _xlpm.is_data_present, $A23&lt;&gt;0,
        _xlpm.is_camera_present, COUNTIFS(Log!$C:$C, $A23, Log!$D:$D, L$4, Log!$A:$A, "Daily", Log!$B:$B, "n/a"),
        _xlpm.we_camera_on_date, IFERROR(AVERAGEIFS(Log!$F:$F, Log!$D:$D,L$4, Log!$C:$C, $A23, Log!$A:$A, "Daily", Log!$B:$B, "n/a"), 0),
        _xlpm.ie_camera_on_date, IFERROR(AVERAGEIFS(Log!$G:$G, Log!$D:$D,L$4,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3" s="68">
        <f>IFERROR(
    _xlfn.LET(
        _xlpm.is_data_present, $A23&lt;&gt;0,
        _xlpm.is_camera_present, COUNTIFS(Log!$C:$C, $A23, Log!$D:$D, M$4, Log!$A:$A, "Daily", Log!$B:$B, "n/a"),
        _xlpm.we_camera_on_date, IFERROR(AVERAGEIFS(Log!$F:$F, Log!$D:$D,M$4, Log!$C:$C, $A23, Log!$A:$A, "Daily", Log!$B:$B, "n/a"), 0),
        _xlpm.ie_camera_on_date, IFERROR(AVERAGEIFS(Log!$G:$G, Log!$D:$D,M$4,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3" s="68">
        <f>IFERROR(
    _xlfn.LET(
        _xlpm.is_data_present, $A23&lt;&gt;0,
        _xlpm.is_camera_present, COUNTIFS(Log!$C:$C, $A23, Log!$D:$D, N$4, Log!$A:$A, "Daily", Log!$B:$B, "n/a"),
        _xlpm.we_camera_on_date, IFERROR(AVERAGEIFS(Log!$F:$F, Log!$D:$D,N$4, Log!$C:$C, $A23, Log!$A:$A, "Daily", Log!$B:$B, "n/a"), 0),
        _xlpm.ie_camera_on_date, IFERROR(AVERAGEIFS(Log!$G:$G, Log!$D:$D,N$4,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3" s="68">
        <f>IFERROR(
    _xlfn.LET(
        _xlpm.is_data_present, $A23&lt;&gt;0,
        _xlpm.is_camera_present, COUNTIFS(Log!$C:$C, $A23, Log!$D:$D, O$4, Log!$A:$A, "Daily", Log!$B:$B, "n/a"),
        _xlpm.we_camera_on_date, IFERROR(AVERAGEIFS(Log!$F:$F, Log!$D:$D,O$4, Log!$C:$C, $A23, Log!$A:$A, "Daily", Log!$B:$B, "n/a"), 0),
        _xlpm.ie_camera_on_date, IFERROR(AVERAGEIFS(Log!$G:$G, Log!$D:$D,O$4,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23" s="68">
        <f>IFERROR(
    _xlfn.LET(
        _xlpm.is_data_present, $A23&lt;&gt;0,
        _xlpm.is_camera_present, COUNTIFS(Log!$C:$C, $A23, Log!$D:$D, P$4, Log!$A:$A, "Daily", Log!$B:$B, "n/a"),
        _xlpm.we_camera_on_date, IFERROR(AVERAGEIFS(Log!$F:$F, Log!$D:$D,P$4, Log!$C:$C, $A23, Log!$A:$A, "Daily", Log!$B:$B, "n/a"), 0),
        _xlpm.ie_camera_on_date, IFERROR(AVERAGEIFS(Log!$G:$G, Log!$D:$D,P$4,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3" s="68">
        <f>IFERROR(
    _xlfn.LET(
        _xlpm.is_data_present, $A23&lt;&gt;0,
        _xlpm.is_camera_present, COUNTIFS(Log!$C:$C, $A23, Log!$D:$D, Q$4, Log!$A:$A, "Daily", Log!$B:$B, "n/a"),
        _xlpm.we_camera_on_date, IFERROR(AVERAGEIFS(Log!$F:$F, Log!$D:$D,Q$4, Log!$C:$C, $A23, Log!$A:$A, "Daily", Log!$B:$B, "n/a"), 0),
        _xlpm.ie_camera_on_date, IFERROR(AVERAGEIFS(Log!$G:$G, Log!$D:$D,Q$4,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3" s="68">
        <f>IFERROR(
    _xlfn.LET(
        _xlpm.is_data_present, $A23&lt;&gt;0,
        _xlpm.is_camera_present, COUNTIFS(Log!$C:$C, $A23, Log!$D:$D, R$4, Log!$A:$A, "Daily", Log!$B:$B, "n/a"),
        _xlpm.we_camera_on_date, IFERROR(AVERAGEIFS(Log!$F:$F, Log!$D:$D,R$4, Log!$C:$C, $A23, Log!$A:$A, "Daily", Log!$B:$B, "n/a"), 0),
        _xlpm.ie_camera_on_date, IFERROR(AVERAGEIFS(Log!$G:$G, Log!$D:$D,R$4,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3" s="68">
        <f>IFERROR(
    _xlfn.LET(
        _xlpm.is_data_present, $A23&lt;&gt;0,
        _xlpm.is_camera_present, COUNTIFS(Log!$C:$C, $A23, Log!$D:$D, S$4, Log!$A:$A, "Daily", Log!$B:$B, "n/a"),
        _xlpm.we_camera_on_date, IFERROR(AVERAGEIFS(Log!$F:$F, Log!$D:$D,S$4, Log!$C:$C, $A23, Log!$A:$A, "Daily", Log!$B:$B, "n/a"), 0),
        _xlpm.ie_camera_on_date, IFERROR(AVERAGEIFS(Log!$G:$G, Log!$D:$D,S$4, Log!$C:$C, $A23, Log!$A:$A, "Daily", Log!$B:$B, "n/a"), 0),
        _xlpm.we_avg, IFERROR(AVERAGEIFS(Log!$F:$F,Log!$C:$C,$A23, Log!$A:$A, "Daily", Log!$B:$B, "n/a"),0),
        _xlpm.ie_avg, IFERROR(AVERAGEIFS(Log!$G:$G,Log!$C:$C,$A23,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4" spans="1:19" x14ac:dyDescent="0.3">
      <c r="A24" s="79">
        <v>46251</v>
      </c>
      <c r="B24" s="68">
        <f>IFERROR(
    _xlfn.LET(
        _xlpm.is_data_present, $A24&lt;&gt;0,
        _xlpm.is_camera_present, COUNTIFS(Log!$C:$C, $A24, Log!$D:$D, B$4, Log!$A:$A, "Daily", Log!$B:$B, "n/a"),
        _xlpm.we_camera_on_date, IFERROR(AVERAGEIFS(Log!$F:$F, Log!$D:$D,B$4, Log!$C:$C, $A24, Log!$A:$A, "Daily", Log!$B:$B, "n/a"), 0),
        _xlpm.ie_camera_on_date, IFERROR(AVERAGEIFS(Log!$G:$G, Log!$D:$D,B$4,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4" s="68">
        <f>IFERROR(
    _xlfn.LET(
        _xlpm.is_data_present, $A24&lt;&gt;0,
        _xlpm.is_camera_present, COUNTIFS(Log!$C:$C, $A24, Log!$D:$D, C$4, Log!$A:$A, "Daily", Log!$B:$B, "n/a"),
        _xlpm.we_camera_on_date, IFERROR(AVERAGEIFS(Log!$F:$F, Log!$D:$D,C$4, Log!$C:$C, $A24, Log!$A:$A, "Daily", Log!$B:$B, "n/a"), 0),
        _xlpm.ie_camera_on_date, IFERROR(AVERAGEIFS(Log!$G:$G, Log!$D:$D,C$4,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D24" s="68">
        <f>IFERROR(
    _xlfn.LET(
        _xlpm.is_data_present, $A24&lt;&gt;0,
        _xlpm.is_camera_present, COUNTIFS(Log!$C:$C, $A24, Log!$D:$D, D$4, Log!$A:$A, "Daily", Log!$B:$B, "n/a"),
        _xlpm.we_camera_on_date, IFERROR(AVERAGEIFS(Log!$F:$F, Log!$D:$D,D$4, Log!$C:$C, $A24, Log!$A:$A, "Daily", Log!$B:$B, "n/a"), 0),
        _xlpm.ie_camera_on_date, IFERROR(AVERAGEIFS(Log!$G:$G, Log!$D:$D,D$4,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4" s="68">
        <f>IFERROR(
    _xlfn.LET(
        _xlpm.is_data_present, $A24&lt;&gt;0,
        _xlpm.is_camera_present, COUNTIFS(Log!$C:$C, $A24, Log!$D:$D, E$4, Log!$A:$A, "Daily", Log!$B:$B, "n/a"),
        _xlpm.we_camera_on_date, IFERROR(AVERAGEIFS(Log!$F:$F, Log!$D:$D,E$4, Log!$C:$C, $A24, Log!$A:$A, "Daily", Log!$B:$B, "n/a"), 0),
        _xlpm.ie_camera_on_date, IFERROR(AVERAGEIFS(Log!$G:$G, Log!$D:$D,E$4,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4" s="68">
        <f>IFERROR(
    _xlfn.LET(
        _xlpm.is_data_present, $A24&lt;&gt;0,
        _xlpm.is_camera_present, COUNTIFS(Log!$C:$C, $A24, Log!$D:$D, F$4, Log!$A:$A, "Daily", Log!$B:$B, "n/a"),
        _xlpm.we_camera_on_date, IFERROR(AVERAGEIFS(Log!$F:$F, Log!$D:$D,F$4, Log!$C:$C, $A24, Log!$A:$A, "Daily", Log!$B:$B, "n/a"), 0),
        _xlpm.ie_camera_on_date, IFERROR(AVERAGEIFS(Log!$G:$G, Log!$D:$D,F$4,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4" s="68">
        <f>IFERROR(
    _xlfn.LET(
        _xlpm.is_data_present, $A24&lt;&gt;0,
        _xlpm.is_camera_present, COUNTIFS(Log!$C:$C, $A24, Log!$D:$D, G$4, Log!$A:$A, "Daily", Log!$B:$B, "n/a"),
        _xlpm.we_camera_on_date, IFERROR(AVERAGEIFS(Log!$F:$F, Log!$D:$D,G$4, Log!$C:$C, $A24, Log!$A:$A, "Daily", Log!$B:$B, "n/a"), 0),
        _xlpm.ie_camera_on_date, IFERROR(AVERAGEIFS(Log!$G:$G, Log!$D:$D,G$4,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4" s="68">
        <f>IFERROR(
    _xlfn.LET(
        _xlpm.is_data_present, $A24&lt;&gt;0,
        _xlpm.is_camera_present, COUNTIFS(Log!$C:$C, $A24, Log!$D:$D, H$4, Log!$A:$A, "Daily", Log!$B:$B, "n/a"),
        _xlpm.we_camera_on_date, IFERROR(AVERAGEIFS(Log!$F:$F, Log!$D:$D,H$4, Log!$C:$C, $A24, Log!$A:$A, "Daily", Log!$B:$B, "n/a"), 0),
        _xlpm.ie_camera_on_date, IFERROR(AVERAGEIFS(Log!$G:$G, Log!$D:$D,H$4,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4" s="68">
        <f>IFERROR(
    _xlfn.LET(
        _xlpm.is_data_present, $A24&lt;&gt;0,
        _xlpm.is_camera_present, COUNTIFS(Log!$C:$C, $A24, Log!$D:$D, I$4, Log!$A:$A, "Daily", Log!$B:$B, "n/a"),
        _xlpm.we_camera_on_date, IFERROR(AVERAGEIFS(Log!$F:$F, Log!$D:$D,I$4, Log!$C:$C, $A24, Log!$A:$A, "Daily", Log!$B:$B, "n/a"), 0),
        _xlpm.ie_camera_on_date, IFERROR(AVERAGEIFS(Log!$G:$G, Log!$D:$D,I$4,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4" s="68">
        <f>IFERROR(
    _xlfn.LET(
        _xlpm.is_data_present, $A24&lt;&gt;0,
        _xlpm.is_camera_present, COUNTIFS(Log!$C:$C, $A24, Log!$D:$D, J$4, Log!$A:$A, "Daily", Log!$B:$B, "n/a"),
        _xlpm.we_camera_on_date, IFERROR(AVERAGEIFS(Log!$F:$F, Log!$D:$D,J$4, Log!$C:$C, $A24, Log!$A:$A, "Daily", Log!$B:$B, "n/a"), 0),
        _xlpm.ie_camera_on_date, IFERROR(AVERAGEIFS(Log!$G:$G, Log!$D:$D,J$4,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4" s="68">
        <f>IFERROR(
    _xlfn.LET(
        _xlpm.is_data_present, $A24&lt;&gt;0,
        _xlpm.is_camera_present, COUNTIFS(Log!$C:$C, $A24, Log!$D:$D, K$4, Log!$A:$A, "Daily", Log!$B:$B, "n/a"),
        _xlpm.we_camera_on_date, IFERROR(AVERAGEIFS(Log!$F:$F, Log!$D:$D,K$4, Log!$C:$C, $A24, Log!$A:$A, "Daily", Log!$B:$B, "n/a"), 0),
        _xlpm.ie_camera_on_date, IFERROR(AVERAGEIFS(Log!$G:$G, Log!$D:$D,K$4,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4" s="68">
        <f>IFERROR(
    _xlfn.LET(
        _xlpm.is_data_present, $A24&lt;&gt;0,
        _xlpm.is_camera_present, COUNTIFS(Log!$C:$C, $A24, Log!$D:$D, L$4, Log!$A:$A, "Daily", Log!$B:$B, "n/a"),
        _xlpm.we_camera_on_date, IFERROR(AVERAGEIFS(Log!$F:$F, Log!$D:$D,L$4, Log!$C:$C, $A24, Log!$A:$A, "Daily", Log!$B:$B, "n/a"), 0),
        _xlpm.ie_camera_on_date, IFERROR(AVERAGEIFS(Log!$G:$G, Log!$D:$D,L$4,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4" s="68">
        <f>IFERROR(
    _xlfn.LET(
        _xlpm.is_data_present, $A24&lt;&gt;0,
        _xlpm.is_camera_present, COUNTIFS(Log!$C:$C, $A24, Log!$D:$D, M$4, Log!$A:$A, "Daily", Log!$B:$B, "n/a"),
        _xlpm.we_camera_on_date, IFERROR(AVERAGEIFS(Log!$F:$F, Log!$D:$D,M$4, Log!$C:$C, $A24, Log!$A:$A, "Daily", Log!$B:$B, "n/a"), 0),
        _xlpm.ie_camera_on_date, IFERROR(AVERAGEIFS(Log!$G:$G, Log!$D:$D,M$4,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4" s="68">
        <f>IFERROR(
    _xlfn.LET(
        _xlpm.is_data_present, $A24&lt;&gt;0,
        _xlpm.is_camera_present, COUNTIFS(Log!$C:$C, $A24, Log!$D:$D, N$4, Log!$A:$A, "Daily", Log!$B:$B, "n/a"),
        _xlpm.we_camera_on_date, IFERROR(AVERAGEIFS(Log!$F:$F, Log!$D:$D,N$4, Log!$C:$C, $A24, Log!$A:$A, "Daily", Log!$B:$B, "n/a"), 0),
        _xlpm.ie_camera_on_date, IFERROR(AVERAGEIFS(Log!$G:$G, Log!$D:$D,N$4,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4" s="68">
        <f>IFERROR(
    _xlfn.LET(
        _xlpm.is_data_present, $A24&lt;&gt;0,
        _xlpm.is_camera_present, COUNTIFS(Log!$C:$C, $A24, Log!$D:$D, O$4, Log!$A:$A, "Daily", Log!$B:$B, "n/a"),
        _xlpm.we_camera_on_date, IFERROR(AVERAGEIFS(Log!$F:$F, Log!$D:$D,O$4, Log!$C:$C, $A24, Log!$A:$A, "Daily", Log!$B:$B, "n/a"), 0),
        _xlpm.ie_camera_on_date, IFERROR(AVERAGEIFS(Log!$G:$G, Log!$D:$D,O$4,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4" s="68">
        <f>IFERROR(
    _xlfn.LET(
        _xlpm.is_data_present, $A24&lt;&gt;0,
        _xlpm.is_camera_present, COUNTIFS(Log!$C:$C, $A24, Log!$D:$D, P$4, Log!$A:$A, "Daily", Log!$B:$B, "n/a"),
        _xlpm.we_camera_on_date, IFERROR(AVERAGEIFS(Log!$F:$F, Log!$D:$D,P$4, Log!$C:$C, $A24, Log!$A:$A, "Daily", Log!$B:$B, "n/a"), 0),
        _xlpm.ie_camera_on_date, IFERROR(AVERAGEIFS(Log!$G:$G, Log!$D:$D,P$4,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4" s="68">
        <f>IFERROR(
    _xlfn.LET(
        _xlpm.is_data_present, $A24&lt;&gt;0,
        _xlpm.is_camera_present, COUNTIFS(Log!$C:$C, $A24, Log!$D:$D, Q$4, Log!$A:$A, "Daily", Log!$B:$B, "n/a"),
        _xlpm.we_camera_on_date, IFERROR(AVERAGEIFS(Log!$F:$F, Log!$D:$D,Q$4, Log!$C:$C, $A24, Log!$A:$A, "Daily", Log!$B:$B, "n/a"), 0),
        _xlpm.ie_camera_on_date, IFERROR(AVERAGEIFS(Log!$G:$G, Log!$D:$D,Q$4,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24" s="68">
        <f>IFERROR(
    _xlfn.LET(
        _xlpm.is_data_present, $A24&lt;&gt;0,
        _xlpm.is_camera_present, COUNTIFS(Log!$C:$C, $A24, Log!$D:$D, R$4, Log!$A:$A, "Daily", Log!$B:$B, "n/a"),
        _xlpm.we_camera_on_date, IFERROR(AVERAGEIFS(Log!$F:$F, Log!$D:$D,R$4, Log!$C:$C, $A24, Log!$A:$A, "Daily", Log!$B:$B, "n/a"), 0),
        _xlpm.ie_camera_on_date, IFERROR(AVERAGEIFS(Log!$G:$G, Log!$D:$D,R$4,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4" s="68">
        <f>IFERROR(
    _xlfn.LET(
        _xlpm.is_data_present, $A24&lt;&gt;0,
        _xlpm.is_camera_present, COUNTIFS(Log!$C:$C, $A24, Log!$D:$D, S$4, Log!$A:$A, "Daily", Log!$B:$B, "n/a"),
        _xlpm.we_camera_on_date, IFERROR(AVERAGEIFS(Log!$F:$F, Log!$D:$D,S$4, Log!$C:$C, $A24, Log!$A:$A, "Daily", Log!$B:$B, "n/a"), 0),
        _xlpm.ie_camera_on_date, IFERROR(AVERAGEIFS(Log!$G:$G, Log!$D:$D,S$4, Log!$C:$C, $A24, Log!$A:$A, "Daily", Log!$B:$B, "n/a"), 0),
        _xlpm.we_avg, IFERROR(AVERAGEIFS(Log!$F:$F,Log!$C:$C,$A24, Log!$A:$A, "Daily", Log!$B:$B, "n/a"),0),
        _xlpm.ie_avg, IFERROR(AVERAGEIFS(Log!$G:$G,Log!$C:$C,$A24,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5" spans="1:19" x14ac:dyDescent="0.3">
      <c r="A25" s="79">
        <v>46252</v>
      </c>
      <c r="B25" s="68">
        <f>IFERROR(
    _xlfn.LET(
        _xlpm.is_data_present, $A25&lt;&gt;0,
        _xlpm.is_camera_present, COUNTIFS(Log!$C:$C, $A25, Log!$D:$D, B$4, Log!$A:$A, "Daily", Log!$B:$B, "n/a"),
        _xlpm.we_camera_on_date, IFERROR(AVERAGEIFS(Log!$F:$F, Log!$D:$D,B$4, Log!$C:$C, $A25, Log!$A:$A, "Daily", Log!$B:$B, "n/a"), 0),
        _xlpm.ie_camera_on_date, IFERROR(AVERAGEIFS(Log!$G:$G, Log!$D:$D,B$4,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5" s="68">
        <f>IFERROR(
    _xlfn.LET(
        _xlpm.is_data_present, $A25&lt;&gt;0,
        _xlpm.is_camera_present, COUNTIFS(Log!$C:$C, $A25, Log!$D:$D, C$4, Log!$A:$A, "Daily", Log!$B:$B, "n/a"),
        _xlpm.we_camera_on_date, IFERROR(AVERAGEIFS(Log!$F:$F, Log!$D:$D,C$4, Log!$C:$C, $A25, Log!$A:$A, "Daily", Log!$B:$B, "n/a"), 0),
        _xlpm.ie_camera_on_date, IFERROR(AVERAGEIFS(Log!$G:$G, Log!$D:$D,C$4,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5" s="68">
        <f>IFERROR(
    _xlfn.LET(
        _xlpm.is_data_present, $A25&lt;&gt;0,
        _xlpm.is_camera_present, COUNTIFS(Log!$C:$C, $A25, Log!$D:$D, D$4, Log!$A:$A, "Daily", Log!$B:$B, "n/a"),
        _xlpm.we_camera_on_date, IFERROR(AVERAGEIFS(Log!$F:$F, Log!$D:$D,D$4, Log!$C:$C, $A25, Log!$A:$A, "Daily", Log!$B:$B, "n/a"), 0),
        _xlpm.ie_camera_on_date, IFERROR(AVERAGEIFS(Log!$G:$G, Log!$D:$D,D$4,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5" s="68">
        <f>IFERROR(
    _xlfn.LET(
        _xlpm.is_data_present, $A25&lt;&gt;0,
        _xlpm.is_camera_present, COUNTIFS(Log!$C:$C, $A25, Log!$D:$D, E$4, Log!$A:$A, "Daily", Log!$B:$B, "n/a"),
        _xlpm.we_camera_on_date, IFERROR(AVERAGEIFS(Log!$F:$F, Log!$D:$D,E$4, Log!$C:$C, $A25, Log!$A:$A, "Daily", Log!$B:$B, "n/a"), 0),
        _xlpm.ie_camera_on_date, IFERROR(AVERAGEIFS(Log!$G:$G, Log!$D:$D,E$4,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5" s="68">
        <f>IFERROR(
    _xlfn.LET(
        _xlpm.is_data_present, $A25&lt;&gt;0,
        _xlpm.is_camera_present, COUNTIFS(Log!$C:$C, $A25, Log!$D:$D, F$4, Log!$A:$A, "Daily", Log!$B:$B, "n/a"),
        _xlpm.we_camera_on_date, IFERROR(AVERAGEIFS(Log!$F:$F, Log!$D:$D,F$4, Log!$C:$C, $A25, Log!$A:$A, "Daily", Log!$B:$B, "n/a"), 0),
        _xlpm.ie_camera_on_date, IFERROR(AVERAGEIFS(Log!$G:$G, Log!$D:$D,F$4,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5" s="68">
        <f>IFERROR(
    _xlfn.LET(
        _xlpm.is_data_present, $A25&lt;&gt;0,
        _xlpm.is_camera_present, COUNTIFS(Log!$C:$C, $A25, Log!$D:$D, G$4, Log!$A:$A, "Daily", Log!$B:$B, "n/a"),
        _xlpm.we_camera_on_date, IFERROR(AVERAGEIFS(Log!$F:$F, Log!$D:$D,G$4, Log!$C:$C, $A25, Log!$A:$A, "Daily", Log!$B:$B, "n/a"), 0),
        _xlpm.ie_camera_on_date, IFERROR(AVERAGEIFS(Log!$G:$G, Log!$D:$D,G$4,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5" s="68">
        <f>IFERROR(
    _xlfn.LET(
        _xlpm.is_data_present, $A25&lt;&gt;0,
        _xlpm.is_camera_present, COUNTIFS(Log!$C:$C, $A25, Log!$D:$D, H$4, Log!$A:$A, "Daily", Log!$B:$B, "n/a"),
        _xlpm.we_camera_on_date, IFERROR(AVERAGEIFS(Log!$F:$F, Log!$D:$D,H$4, Log!$C:$C, $A25, Log!$A:$A, "Daily", Log!$B:$B, "n/a"), 0),
        _xlpm.ie_camera_on_date, IFERROR(AVERAGEIFS(Log!$G:$G, Log!$D:$D,H$4,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5" s="68">
        <f>IFERROR(
    _xlfn.LET(
        _xlpm.is_data_present, $A25&lt;&gt;0,
        _xlpm.is_camera_present, COUNTIFS(Log!$C:$C, $A25, Log!$D:$D, I$4, Log!$A:$A, "Daily", Log!$B:$B, "n/a"),
        _xlpm.we_camera_on_date, IFERROR(AVERAGEIFS(Log!$F:$F, Log!$D:$D,I$4, Log!$C:$C, $A25, Log!$A:$A, "Daily", Log!$B:$B, "n/a"), 0),
        _xlpm.ie_camera_on_date, IFERROR(AVERAGEIFS(Log!$G:$G, Log!$D:$D,I$4,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5" s="68">
        <f>IFERROR(
    _xlfn.LET(
        _xlpm.is_data_present, $A25&lt;&gt;0,
        _xlpm.is_camera_present, COUNTIFS(Log!$C:$C, $A25, Log!$D:$D, J$4, Log!$A:$A, "Daily", Log!$B:$B, "n/a"),
        _xlpm.we_camera_on_date, IFERROR(AVERAGEIFS(Log!$F:$F, Log!$D:$D,J$4, Log!$C:$C, $A25, Log!$A:$A, "Daily", Log!$B:$B, "n/a"), 0),
        _xlpm.ie_camera_on_date, IFERROR(AVERAGEIFS(Log!$G:$G, Log!$D:$D,J$4,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5" s="68">
        <f>IFERROR(
    _xlfn.LET(
        _xlpm.is_data_present, $A25&lt;&gt;0,
        _xlpm.is_camera_present, COUNTIFS(Log!$C:$C, $A25, Log!$D:$D, K$4, Log!$A:$A, "Daily", Log!$B:$B, "n/a"),
        _xlpm.we_camera_on_date, IFERROR(AVERAGEIFS(Log!$F:$F, Log!$D:$D,K$4, Log!$C:$C, $A25, Log!$A:$A, "Daily", Log!$B:$B, "n/a"), 0),
        _xlpm.ie_camera_on_date, IFERROR(AVERAGEIFS(Log!$G:$G, Log!$D:$D,K$4,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5" s="68">
        <f>IFERROR(
    _xlfn.LET(
        _xlpm.is_data_present, $A25&lt;&gt;0,
        _xlpm.is_camera_present, COUNTIFS(Log!$C:$C, $A25, Log!$D:$D, L$4, Log!$A:$A, "Daily", Log!$B:$B, "n/a"),
        _xlpm.we_camera_on_date, IFERROR(AVERAGEIFS(Log!$F:$F, Log!$D:$D,L$4, Log!$C:$C, $A25, Log!$A:$A, "Daily", Log!$B:$B, "n/a"), 0),
        _xlpm.ie_camera_on_date, IFERROR(AVERAGEIFS(Log!$G:$G, Log!$D:$D,L$4,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5" s="68">
        <f>IFERROR(
    _xlfn.LET(
        _xlpm.is_data_present, $A25&lt;&gt;0,
        _xlpm.is_camera_present, COUNTIFS(Log!$C:$C, $A25, Log!$D:$D, M$4, Log!$A:$A, "Daily", Log!$B:$B, "n/a"),
        _xlpm.we_camera_on_date, IFERROR(AVERAGEIFS(Log!$F:$F, Log!$D:$D,M$4, Log!$C:$C, $A25, Log!$A:$A, "Daily", Log!$B:$B, "n/a"), 0),
        _xlpm.ie_camera_on_date, IFERROR(AVERAGEIFS(Log!$G:$G, Log!$D:$D,M$4,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5" s="68">
        <f>IFERROR(
    _xlfn.LET(
        _xlpm.is_data_present, $A25&lt;&gt;0,
        _xlpm.is_camera_present, COUNTIFS(Log!$C:$C, $A25, Log!$D:$D, N$4, Log!$A:$A, "Daily", Log!$B:$B, "n/a"),
        _xlpm.we_camera_on_date, IFERROR(AVERAGEIFS(Log!$F:$F, Log!$D:$D,N$4, Log!$C:$C, $A25, Log!$A:$A, "Daily", Log!$B:$B, "n/a"), 0),
        _xlpm.ie_camera_on_date, IFERROR(AVERAGEIFS(Log!$G:$G, Log!$D:$D,N$4,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5" s="68">
        <f>IFERROR(
    _xlfn.LET(
        _xlpm.is_data_present, $A25&lt;&gt;0,
        _xlpm.is_camera_present, COUNTIFS(Log!$C:$C, $A25, Log!$D:$D, O$4, Log!$A:$A, "Daily", Log!$B:$B, "n/a"),
        _xlpm.we_camera_on_date, IFERROR(AVERAGEIFS(Log!$F:$F, Log!$D:$D,O$4, Log!$C:$C, $A25, Log!$A:$A, "Daily", Log!$B:$B, "n/a"), 0),
        _xlpm.ie_camera_on_date, IFERROR(AVERAGEIFS(Log!$G:$G, Log!$D:$D,O$4,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5" s="68">
        <f>IFERROR(
    _xlfn.LET(
        _xlpm.is_data_present, $A25&lt;&gt;0,
        _xlpm.is_camera_present, COUNTIFS(Log!$C:$C, $A25, Log!$D:$D, P$4, Log!$A:$A, "Daily", Log!$B:$B, "n/a"),
        _xlpm.we_camera_on_date, IFERROR(AVERAGEIFS(Log!$F:$F, Log!$D:$D,P$4, Log!$C:$C, $A25, Log!$A:$A, "Daily", Log!$B:$B, "n/a"), 0),
        _xlpm.ie_camera_on_date, IFERROR(AVERAGEIFS(Log!$G:$G, Log!$D:$D,P$4,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5" s="68">
        <f>IFERROR(
    _xlfn.LET(
        _xlpm.is_data_present, $A25&lt;&gt;0,
        _xlpm.is_camera_present, COUNTIFS(Log!$C:$C, $A25, Log!$D:$D, Q$4, Log!$A:$A, "Daily", Log!$B:$B, "n/a"),
        _xlpm.we_camera_on_date, IFERROR(AVERAGEIFS(Log!$F:$F, Log!$D:$D,Q$4, Log!$C:$C, $A25, Log!$A:$A, "Daily", Log!$B:$B, "n/a"), 0),
        _xlpm.ie_camera_on_date, IFERROR(AVERAGEIFS(Log!$G:$G, Log!$D:$D,Q$4,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5" s="68">
        <f>IFERROR(
    _xlfn.LET(
        _xlpm.is_data_present, $A25&lt;&gt;0,
        _xlpm.is_camera_present, COUNTIFS(Log!$C:$C, $A25, Log!$D:$D, R$4, Log!$A:$A, "Daily", Log!$B:$B, "n/a"),
        _xlpm.we_camera_on_date, IFERROR(AVERAGEIFS(Log!$F:$F, Log!$D:$D,R$4, Log!$C:$C, $A25, Log!$A:$A, "Daily", Log!$B:$B, "n/a"), 0),
        _xlpm.ie_camera_on_date, IFERROR(AVERAGEIFS(Log!$G:$G, Log!$D:$D,R$4,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5" s="68">
        <f>IFERROR(
    _xlfn.LET(
        _xlpm.is_data_present, $A25&lt;&gt;0,
        _xlpm.is_camera_present, COUNTIFS(Log!$C:$C, $A25, Log!$D:$D, S$4, Log!$A:$A, "Daily", Log!$B:$B, "n/a"),
        _xlpm.we_camera_on_date, IFERROR(AVERAGEIFS(Log!$F:$F, Log!$D:$D,S$4, Log!$C:$C, $A25, Log!$A:$A, "Daily", Log!$B:$B, "n/a"), 0),
        _xlpm.ie_camera_on_date, IFERROR(AVERAGEIFS(Log!$G:$G, Log!$D:$D,S$4, Log!$C:$C, $A25, Log!$A:$A, "Daily", Log!$B:$B, "n/a"), 0),
        _xlpm.we_avg, IFERROR(AVERAGEIFS(Log!$F:$F,Log!$C:$C,$A25, Log!$A:$A, "Daily", Log!$B:$B, "n/a"),0),
        _xlpm.ie_avg, IFERROR(AVERAGEIFS(Log!$G:$G,Log!$C:$C,$A25,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6" spans="1:19" x14ac:dyDescent="0.3">
      <c r="A26" s="79">
        <v>46253</v>
      </c>
      <c r="B26" s="68">
        <f>IFERROR(
    _xlfn.LET(
        _xlpm.is_data_present, $A26&lt;&gt;0,
        _xlpm.is_camera_present, COUNTIFS(Log!$C:$C, $A26, Log!$D:$D, B$4, Log!$A:$A, "Daily", Log!$B:$B, "n/a"),
        _xlpm.we_camera_on_date, IFERROR(AVERAGEIFS(Log!$F:$F, Log!$D:$D,B$4, Log!$C:$C, $A26, Log!$A:$A, "Daily", Log!$B:$B, "n/a"), 0),
        _xlpm.ie_camera_on_date, IFERROR(AVERAGEIFS(Log!$G:$G, Log!$D:$D,B$4,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6" s="68">
        <f>IFERROR(
    _xlfn.LET(
        _xlpm.is_data_present, $A26&lt;&gt;0,
        _xlpm.is_camera_present, COUNTIFS(Log!$C:$C, $A26, Log!$D:$D, C$4, Log!$A:$A, "Daily", Log!$B:$B, "n/a"),
        _xlpm.we_camera_on_date, IFERROR(AVERAGEIFS(Log!$F:$F, Log!$D:$D,C$4, Log!$C:$C, $A26, Log!$A:$A, "Daily", Log!$B:$B, "n/a"), 0),
        _xlpm.ie_camera_on_date, IFERROR(AVERAGEIFS(Log!$G:$G, Log!$D:$D,C$4,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D26" s="68">
        <f>IFERROR(
    _xlfn.LET(
        _xlpm.is_data_present, $A26&lt;&gt;0,
        _xlpm.is_camera_present, COUNTIFS(Log!$C:$C, $A26, Log!$D:$D, D$4, Log!$A:$A, "Daily", Log!$B:$B, "n/a"),
        _xlpm.we_camera_on_date, IFERROR(AVERAGEIFS(Log!$F:$F, Log!$D:$D,D$4, Log!$C:$C, $A26, Log!$A:$A, "Daily", Log!$B:$B, "n/a"), 0),
        _xlpm.ie_camera_on_date, IFERROR(AVERAGEIFS(Log!$G:$G, Log!$D:$D,D$4,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6" s="68">
        <f>IFERROR(
    _xlfn.LET(
        _xlpm.is_data_present, $A26&lt;&gt;0,
        _xlpm.is_camera_present, COUNTIFS(Log!$C:$C, $A26, Log!$D:$D, E$4, Log!$A:$A, "Daily", Log!$B:$B, "n/a"),
        _xlpm.we_camera_on_date, IFERROR(AVERAGEIFS(Log!$F:$F, Log!$D:$D,E$4, Log!$C:$C, $A26, Log!$A:$A, "Daily", Log!$B:$B, "n/a"), 0),
        _xlpm.ie_camera_on_date, IFERROR(AVERAGEIFS(Log!$G:$G, Log!$D:$D,E$4,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6" s="68">
        <f>IFERROR(
    _xlfn.LET(
        _xlpm.is_data_present, $A26&lt;&gt;0,
        _xlpm.is_camera_present, COUNTIFS(Log!$C:$C, $A26, Log!$D:$D, F$4, Log!$A:$A, "Daily", Log!$B:$B, "n/a"),
        _xlpm.we_camera_on_date, IFERROR(AVERAGEIFS(Log!$F:$F, Log!$D:$D,F$4, Log!$C:$C, $A26, Log!$A:$A, "Daily", Log!$B:$B, "n/a"), 0),
        _xlpm.ie_camera_on_date, IFERROR(AVERAGEIFS(Log!$G:$G, Log!$D:$D,F$4,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G26" s="68">
        <f>IFERROR(
    _xlfn.LET(
        _xlpm.is_data_present, $A26&lt;&gt;0,
        _xlpm.is_camera_present, COUNTIFS(Log!$C:$C, $A26, Log!$D:$D, G$4, Log!$A:$A, "Daily", Log!$B:$B, "n/a"),
        _xlpm.we_camera_on_date, IFERROR(AVERAGEIFS(Log!$F:$F, Log!$D:$D,G$4, Log!$C:$C, $A26, Log!$A:$A, "Daily", Log!$B:$B, "n/a"), 0),
        _xlpm.ie_camera_on_date, IFERROR(AVERAGEIFS(Log!$G:$G, Log!$D:$D,G$4,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6" s="68">
        <f>IFERROR(
    _xlfn.LET(
        _xlpm.is_data_present, $A26&lt;&gt;0,
        _xlpm.is_camera_present, COUNTIFS(Log!$C:$C, $A26, Log!$D:$D, H$4, Log!$A:$A, "Daily", Log!$B:$B, "n/a"),
        _xlpm.we_camera_on_date, IFERROR(AVERAGEIFS(Log!$F:$F, Log!$D:$D,H$4, Log!$C:$C, $A26, Log!$A:$A, "Daily", Log!$B:$B, "n/a"), 0),
        _xlpm.ie_camera_on_date, IFERROR(AVERAGEIFS(Log!$G:$G, Log!$D:$D,H$4,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6" s="68">
        <f>IFERROR(
    _xlfn.LET(
        _xlpm.is_data_present, $A26&lt;&gt;0,
        _xlpm.is_camera_present, COUNTIFS(Log!$C:$C, $A26, Log!$D:$D, I$4, Log!$A:$A, "Daily", Log!$B:$B, "n/a"),
        _xlpm.we_camera_on_date, IFERROR(AVERAGEIFS(Log!$F:$F, Log!$D:$D,I$4, Log!$C:$C, $A26, Log!$A:$A, "Daily", Log!$B:$B, "n/a"), 0),
        _xlpm.ie_camera_on_date, IFERROR(AVERAGEIFS(Log!$G:$G, Log!$D:$D,I$4,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6" s="68">
        <f>IFERROR(
    _xlfn.LET(
        _xlpm.is_data_present, $A26&lt;&gt;0,
        _xlpm.is_camera_present, COUNTIFS(Log!$C:$C, $A26, Log!$D:$D, J$4, Log!$A:$A, "Daily", Log!$B:$B, "n/a"),
        _xlpm.we_camera_on_date, IFERROR(AVERAGEIFS(Log!$F:$F, Log!$D:$D,J$4, Log!$C:$C, $A26, Log!$A:$A, "Daily", Log!$B:$B, "n/a"), 0),
        _xlpm.ie_camera_on_date, IFERROR(AVERAGEIFS(Log!$G:$G, Log!$D:$D,J$4,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K26" s="68">
        <f>IFERROR(
    _xlfn.LET(
        _xlpm.is_data_present, $A26&lt;&gt;0,
        _xlpm.is_camera_present, COUNTIFS(Log!$C:$C, $A26, Log!$D:$D, K$4, Log!$A:$A, "Daily", Log!$B:$B, "n/a"),
        _xlpm.we_camera_on_date, IFERROR(AVERAGEIFS(Log!$F:$F, Log!$D:$D,K$4, Log!$C:$C, $A26, Log!$A:$A, "Daily", Log!$B:$B, "n/a"), 0),
        _xlpm.ie_camera_on_date, IFERROR(AVERAGEIFS(Log!$G:$G, Log!$D:$D,K$4,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6" s="68">
        <f>IFERROR(
    _xlfn.LET(
        _xlpm.is_data_present, $A26&lt;&gt;0,
        _xlpm.is_camera_present, COUNTIFS(Log!$C:$C, $A26, Log!$D:$D, L$4, Log!$A:$A, "Daily", Log!$B:$B, "n/a"),
        _xlpm.we_camera_on_date, IFERROR(AVERAGEIFS(Log!$F:$F, Log!$D:$D,L$4, Log!$C:$C, $A26, Log!$A:$A, "Daily", Log!$B:$B, "n/a"), 0),
        _xlpm.ie_camera_on_date, IFERROR(AVERAGEIFS(Log!$G:$G, Log!$D:$D,L$4,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M26" s="68">
        <f>IFERROR(
    _xlfn.LET(
        _xlpm.is_data_present, $A26&lt;&gt;0,
        _xlpm.is_camera_present, COUNTIFS(Log!$C:$C, $A26, Log!$D:$D, M$4, Log!$A:$A, "Daily", Log!$B:$B, "n/a"),
        _xlpm.we_camera_on_date, IFERROR(AVERAGEIFS(Log!$F:$F, Log!$D:$D,M$4, Log!$C:$C, $A26, Log!$A:$A, "Daily", Log!$B:$B, "n/a"), 0),
        _xlpm.ie_camera_on_date, IFERROR(AVERAGEIFS(Log!$G:$G, Log!$D:$D,M$4,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6" s="68">
        <f>IFERROR(
    _xlfn.LET(
        _xlpm.is_data_present, $A26&lt;&gt;0,
        _xlpm.is_camera_present, COUNTIFS(Log!$C:$C, $A26, Log!$D:$D, N$4, Log!$A:$A, "Daily", Log!$B:$B, "n/a"),
        _xlpm.we_camera_on_date, IFERROR(AVERAGEIFS(Log!$F:$F, Log!$D:$D,N$4, Log!$C:$C, $A26, Log!$A:$A, "Daily", Log!$B:$B, "n/a"), 0),
        _xlpm.ie_camera_on_date, IFERROR(AVERAGEIFS(Log!$G:$G, Log!$D:$D,N$4,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6" s="68">
        <f>IFERROR(
    _xlfn.LET(
        _xlpm.is_data_present, $A26&lt;&gt;0,
        _xlpm.is_camera_present, COUNTIFS(Log!$C:$C, $A26, Log!$D:$D, O$4, Log!$A:$A, "Daily", Log!$B:$B, "n/a"),
        _xlpm.we_camera_on_date, IFERROR(AVERAGEIFS(Log!$F:$F, Log!$D:$D,O$4, Log!$C:$C, $A26, Log!$A:$A, "Daily", Log!$B:$B, "n/a"), 0),
        _xlpm.ie_camera_on_date, IFERROR(AVERAGEIFS(Log!$G:$G, Log!$D:$D,O$4,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6" s="68">
        <f>IFERROR(
    _xlfn.LET(
        _xlpm.is_data_present, $A26&lt;&gt;0,
        _xlpm.is_camera_present, COUNTIFS(Log!$C:$C, $A26, Log!$D:$D, P$4, Log!$A:$A, "Daily", Log!$B:$B, "n/a"),
        _xlpm.we_camera_on_date, IFERROR(AVERAGEIFS(Log!$F:$F, Log!$D:$D,P$4, Log!$C:$C, $A26, Log!$A:$A, "Daily", Log!$B:$B, "n/a"), 0),
        _xlpm.ie_camera_on_date, IFERROR(AVERAGEIFS(Log!$G:$G, Log!$D:$D,P$4,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Q26" s="68">
        <f>IFERROR(
    _xlfn.LET(
        _xlpm.is_data_present, $A26&lt;&gt;0,
        _xlpm.is_camera_present, COUNTIFS(Log!$C:$C, $A26, Log!$D:$D, Q$4, Log!$A:$A, "Daily", Log!$B:$B, "n/a"),
        _xlpm.we_camera_on_date, IFERROR(AVERAGEIFS(Log!$F:$F, Log!$D:$D,Q$4, Log!$C:$C, $A26, Log!$A:$A, "Daily", Log!$B:$B, "n/a"), 0),
        _xlpm.ie_camera_on_date, IFERROR(AVERAGEIFS(Log!$G:$G, Log!$D:$D,Q$4,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R26" s="68">
        <f>IFERROR(
    _xlfn.LET(
        _xlpm.is_data_present, $A26&lt;&gt;0,
        _xlpm.is_camera_present, COUNTIFS(Log!$C:$C, $A26, Log!$D:$D, R$4, Log!$A:$A, "Daily", Log!$B:$B, "n/a"),
        _xlpm.we_camera_on_date, IFERROR(AVERAGEIFS(Log!$F:$F, Log!$D:$D,R$4, Log!$C:$C, $A26, Log!$A:$A, "Daily", Log!$B:$B, "n/a"), 0),
        _xlpm.ie_camera_on_date, IFERROR(AVERAGEIFS(Log!$G:$G, Log!$D:$D,R$4,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S26" s="68">
        <f>IFERROR(
    _xlfn.LET(
        _xlpm.is_data_present, $A26&lt;&gt;0,
        _xlpm.is_camera_present, COUNTIFS(Log!$C:$C, $A26, Log!$D:$D, S$4, Log!$A:$A, "Daily", Log!$B:$B, "n/a"),
        _xlpm.we_camera_on_date, IFERROR(AVERAGEIFS(Log!$F:$F, Log!$D:$D,S$4, Log!$C:$C, $A26, Log!$A:$A, "Daily", Log!$B:$B, "n/a"), 0),
        _xlpm.ie_camera_on_date, IFERROR(AVERAGEIFS(Log!$G:$G, Log!$D:$D,S$4, Log!$C:$C, $A26, Log!$A:$A, "Daily", Log!$B:$B, "n/a"), 0),
        _xlpm.we_avg, IFERROR(AVERAGEIFS(Log!$F:$F,Log!$C:$C,$A26, Log!$A:$A, "Daily", Log!$B:$B, "n/a"),0),
        _xlpm.ie_avg, IFERROR(AVERAGEIFS(Log!$G:$G,Log!$C:$C,$A26,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row>
    <row r="27" spans="1:19" x14ac:dyDescent="0.3">
      <c r="A27" s="79">
        <v>46254</v>
      </c>
      <c r="B27" s="68">
        <f>IFERROR(
    _xlfn.LET(
        _xlpm.is_data_present, $A27&lt;&gt;0,
        _xlpm.is_camera_present, COUNTIFS(Log!$C:$C, $A27, Log!$D:$D, B$4, Log!$A:$A, "Daily", Log!$B:$B, "n/a"),
        _xlpm.we_camera_on_date, IFERROR(AVERAGEIFS(Log!$F:$F, Log!$D:$D,B$4, Log!$C:$C, $A27, Log!$A:$A, "Daily", Log!$B:$B, "n/a"), 0),
        _xlpm.ie_camera_on_date, IFERROR(AVERAGEIFS(Log!$G:$G, Log!$D:$D,B$4,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C27" s="68">
        <f>IFERROR(
    _xlfn.LET(
        _xlpm.is_data_present, $A27&lt;&gt;0,
        _xlpm.is_camera_present, COUNTIFS(Log!$C:$C, $A27, Log!$D:$D, C$4, Log!$A:$A, "Daily", Log!$B:$B, "n/a"),
        _xlpm.we_camera_on_date, IFERROR(AVERAGEIFS(Log!$F:$F, Log!$D:$D,C$4, Log!$C:$C, $A27, Log!$A:$A, "Daily", Log!$B:$B, "n/a"), 0),
        _xlpm.ie_camera_on_date, IFERROR(AVERAGEIFS(Log!$G:$G, Log!$D:$D,C$4,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7" s="68">
        <f>IFERROR(
    _xlfn.LET(
        _xlpm.is_data_present, $A27&lt;&gt;0,
        _xlpm.is_camera_present, COUNTIFS(Log!$C:$C, $A27, Log!$D:$D, D$4, Log!$A:$A, "Daily", Log!$B:$B, "n/a"),
        _xlpm.we_camera_on_date, IFERROR(AVERAGEIFS(Log!$F:$F, Log!$D:$D,D$4, Log!$C:$C, $A27, Log!$A:$A, "Daily", Log!$B:$B, "n/a"), 0),
        _xlpm.ie_camera_on_date, IFERROR(AVERAGEIFS(Log!$G:$G, Log!$D:$D,D$4,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7" s="68">
        <f>IFERROR(
    _xlfn.LET(
        _xlpm.is_data_present, $A27&lt;&gt;0,
        _xlpm.is_camera_present, COUNTIFS(Log!$C:$C, $A27, Log!$D:$D, E$4, Log!$A:$A, "Daily", Log!$B:$B, "n/a"),
        _xlpm.we_camera_on_date, IFERROR(AVERAGEIFS(Log!$F:$F, Log!$D:$D,E$4, Log!$C:$C, $A27, Log!$A:$A, "Daily", Log!$B:$B, "n/a"), 0),
        _xlpm.ie_camera_on_date, IFERROR(AVERAGEIFS(Log!$G:$G, Log!$D:$D,E$4,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7" s="68">
        <f>IFERROR(
    _xlfn.LET(
        _xlpm.is_data_present, $A27&lt;&gt;0,
        _xlpm.is_camera_present, COUNTIFS(Log!$C:$C, $A27, Log!$D:$D, F$4, Log!$A:$A, "Daily", Log!$B:$B, "n/a"),
        _xlpm.we_camera_on_date, IFERROR(AVERAGEIFS(Log!$F:$F, Log!$D:$D,F$4, Log!$C:$C, $A27, Log!$A:$A, "Daily", Log!$B:$B, "n/a"), 0),
        _xlpm.ie_camera_on_date, IFERROR(AVERAGEIFS(Log!$G:$G, Log!$D:$D,F$4,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7" s="68">
        <f>IFERROR(
    _xlfn.LET(
        _xlpm.is_data_present, $A27&lt;&gt;0,
        _xlpm.is_camera_present, COUNTIFS(Log!$C:$C, $A27, Log!$D:$D, G$4, Log!$A:$A, "Daily", Log!$B:$B, "n/a"),
        _xlpm.we_camera_on_date, IFERROR(AVERAGEIFS(Log!$F:$F, Log!$D:$D,G$4, Log!$C:$C, $A27, Log!$A:$A, "Daily", Log!$B:$B, "n/a"), 0),
        _xlpm.ie_camera_on_date, IFERROR(AVERAGEIFS(Log!$G:$G, Log!$D:$D,G$4,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7" s="68">
        <f>IFERROR(
    _xlfn.LET(
        _xlpm.is_data_present, $A27&lt;&gt;0,
        _xlpm.is_camera_present, COUNTIFS(Log!$C:$C, $A27, Log!$D:$D, H$4, Log!$A:$A, "Daily", Log!$B:$B, "n/a"),
        _xlpm.we_camera_on_date, IFERROR(AVERAGEIFS(Log!$F:$F, Log!$D:$D,H$4, Log!$C:$C, $A27, Log!$A:$A, "Daily", Log!$B:$B, "n/a"), 0),
        _xlpm.ie_camera_on_date, IFERROR(AVERAGEIFS(Log!$G:$G, Log!$D:$D,H$4,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7" s="68">
        <f>IFERROR(
    _xlfn.LET(
        _xlpm.is_data_present, $A27&lt;&gt;0,
        _xlpm.is_camera_present, COUNTIFS(Log!$C:$C, $A27, Log!$D:$D, I$4, Log!$A:$A, "Daily", Log!$B:$B, "n/a"),
        _xlpm.we_camera_on_date, IFERROR(AVERAGEIFS(Log!$F:$F, Log!$D:$D,I$4, Log!$C:$C, $A27, Log!$A:$A, "Daily", Log!$B:$B, "n/a"), 0),
        _xlpm.ie_camera_on_date, IFERROR(AVERAGEIFS(Log!$G:$G, Log!$D:$D,I$4,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J27" s="68">
        <f>IFERROR(
    _xlfn.LET(
        _xlpm.is_data_present, $A27&lt;&gt;0,
        _xlpm.is_camera_present, COUNTIFS(Log!$C:$C, $A27, Log!$D:$D, J$4, Log!$A:$A, "Daily", Log!$B:$B, "n/a"),
        _xlpm.we_camera_on_date, IFERROR(AVERAGEIFS(Log!$F:$F, Log!$D:$D,J$4, Log!$C:$C, $A27, Log!$A:$A, "Daily", Log!$B:$B, "n/a"), 0),
        _xlpm.ie_camera_on_date, IFERROR(AVERAGEIFS(Log!$G:$G, Log!$D:$D,J$4,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7" s="68">
        <f>IFERROR(
    _xlfn.LET(
        _xlpm.is_data_present, $A27&lt;&gt;0,
        _xlpm.is_camera_present, COUNTIFS(Log!$C:$C, $A27, Log!$D:$D, K$4, Log!$A:$A, "Daily", Log!$B:$B, "n/a"),
        _xlpm.we_camera_on_date, IFERROR(AVERAGEIFS(Log!$F:$F, Log!$D:$D,K$4, Log!$C:$C, $A27, Log!$A:$A, "Daily", Log!$B:$B, "n/a"), 0),
        _xlpm.ie_camera_on_date, IFERROR(AVERAGEIFS(Log!$G:$G, Log!$D:$D,K$4,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7" s="68">
        <f>IFERROR(
    _xlfn.LET(
        _xlpm.is_data_present, $A27&lt;&gt;0,
        _xlpm.is_camera_present, COUNTIFS(Log!$C:$C, $A27, Log!$D:$D, L$4, Log!$A:$A, "Daily", Log!$B:$B, "n/a"),
        _xlpm.we_camera_on_date, IFERROR(AVERAGEIFS(Log!$F:$F, Log!$D:$D,L$4, Log!$C:$C, $A27, Log!$A:$A, "Daily", Log!$B:$B, "n/a"), 0),
        _xlpm.ie_camera_on_date, IFERROR(AVERAGEIFS(Log!$G:$G, Log!$D:$D,L$4,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M27" s="68">
        <f>IFERROR(
    _xlfn.LET(
        _xlpm.is_data_present, $A27&lt;&gt;0,
        _xlpm.is_camera_present, COUNTIFS(Log!$C:$C, $A27, Log!$D:$D, M$4, Log!$A:$A, "Daily", Log!$B:$B, "n/a"),
        _xlpm.we_camera_on_date, IFERROR(AVERAGEIFS(Log!$F:$F, Log!$D:$D,M$4, Log!$C:$C, $A27, Log!$A:$A, "Daily", Log!$B:$B, "n/a"), 0),
        _xlpm.ie_camera_on_date, IFERROR(AVERAGEIFS(Log!$G:$G, Log!$D:$D,M$4,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N27" s="68">
        <f>IFERROR(
    _xlfn.LET(
        _xlpm.is_data_present, $A27&lt;&gt;0,
        _xlpm.is_camera_present, COUNTIFS(Log!$C:$C, $A27, Log!$D:$D, N$4, Log!$A:$A, "Daily", Log!$B:$B, "n/a"),
        _xlpm.we_camera_on_date, IFERROR(AVERAGEIFS(Log!$F:$F, Log!$D:$D,N$4, Log!$C:$C, $A27, Log!$A:$A, "Daily", Log!$B:$B, "n/a"), 0),
        _xlpm.ie_camera_on_date, IFERROR(AVERAGEIFS(Log!$G:$G, Log!$D:$D,N$4,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O27" s="68">
        <f>IFERROR(
    _xlfn.LET(
        _xlpm.is_data_present, $A27&lt;&gt;0,
        _xlpm.is_camera_present, COUNTIFS(Log!$C:$C, $A27, Log!$D:$D, O$4, Log!$A:$A, "Daily", Log!$B:$B, "n/a"),
        _xlpm.we_camera_on_date, IFERROR(AVERAGEIFS(Log!$F:$F, Log!$D:$D,O$4, Log!$C:$C, $A27, Log!$A:$A, "Daily", Log!$B:$B, "n/a"), 0),
        _xlpm.ie_camera_on_date, IFERROR(AVERAGEIFS(Log!$G:$G, Log!$D:$D,O$4,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P27" s="68">
        <f>IFERROR(
    _xlfn.LET(
        _xlpm.is_data_present, $A27&lt;&gt;0,
        _xlpm.is_camera_present, COUNTIFS(Log!$C:$C, $A27, Log!$D:$D, P$4, Log!$A:$A, "Daily", Log!$B:$B, "n/a"),
        _xlpm.we_camera_on_date, IFERROR(AVERAGEIFS(Log!$F:$F, Log!$D:$D,P$4, Log!$C:$C, $A27, Log!$A:$A, "Daily", Log!$B:$B, "n/a"), 0),
        _xlpm.ie_camera_on_date, IFERROR(AVERAGEIFS(Log!$G:$G, Log!$D:$D,P$4,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7" s="68">
        <f>IFERROR(
    _xlfn.LET(
        _xlpm.is_data_present, $A27&lt;&gt;0,
        _xlpm.is_camera_present, COUNTIFS(Log!$C:$C, $A27, Log!$D:$D, Q$4, Log!$A:$A, "Daily", Log!$B:$B, "n/a"),
        _xlpm.we_camera_on_date, IFERROR(AVERAGEIFS(Log!$F:$F, Log!$D:$D,Q$4, Log!$C:$C, $A27, Log!$A:$A, "Daily", Log!$B:$B, "n/a"), 0),
        _xlpm.ie_camera_on_date, IFERROR(AVERAGEIFS(Log!$G:$G, Log!$D:$D,Q$4,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R27" s="68">
        <f>IFERROR(
    _xlfn.LET(
        _xlpm.is_data_present, $A27&lt;&gt;0,
        _xlpm.is_camera_present, COUNTIFS(Log!$C:$C, $A27, Log!$D:$D, R$4, Log!$A:$A, "Daily", Log!$B:$B, "n/a"),
        _xlpm.we_camera_on_date, IFERROR(AVERAGEIFS(Log!$F:$F, Log!$D:$D,R$4, Log!$C:$C, $A27, Log!$A:$A, "Daily", Log!$B:$B, "n/a"), 0),
        _xlpm.ie_camera_on_date, IFERROR(AVERAGEIFS(Log!$G:$G, Log!$D:$D,R$4,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7" s="68">
        <f>IFERROR(
    _xlfn.LET(
        _xlpm.is_data_present, $A27&lt;&gt;0,
        _xlpm.is_camera_present, COUNTIFS(Log!$C:$C, $A27, Log!$D:$D, S$4, Log!$A:$A, "Daily", Log!$B:$B, "n/a"),
        _xlpm.we_camera_on_date, IFERROR(AVERAGEIFS(Log!$F:$F, Log!$D:$D,S$4, Log!$C:$C, $A27, Log!$A:$A, "Daily", Log!$B:$B, "n/a"), 0),
        _xlpm.ie_camera_on_date, IFERROR(AVERAGEIFS(Log!$G:$G, Log!$D:$D,S$4, Log!$C:$C, $A27, Log!$A:$A, "Daily", Log!$B:$B, "n/a"), 0),
        _xlpm.we_avg, IFERROR(AVERAGEIFS(Log!$F:$F,Log!$C:$C,$A27, Log!$A:$A, "Daily", Log!$B:$B, "n/a"),0),
        _xlpm.ie_avg, IFERROR(AVERAGEIFS(Log!$G:$G,Log!$C:$C,$A27,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8" spans="1:19" x14ac:dyDescent="0.3">
      <c r="A28" s="79">
        <v>46255</v>
      </c>
      <c r="B28" s="68">
        <f>IFERROR(
    _xlfn.LET(
        _xlpm.is_data_present, $A28&lt;&gt;0,
        _xlpm.is_camera_present, COUNTIFS(Log!$C:$C, $A28, Log!$D:$D, B$4, Log!$A:$A, "Daily", Log!$B:$B, "n/a"),
        _xlpm.we_camera_on_date, IFERROR(AVERAGEIFS(Log!$F:$F, Log!$D:$D,B$4, Log!$C:$C, $A28, Log!$A:$A, "Daily", Log!$B:$B, "n/a"), 0),
        _xlpm.ie_camera_on_date, IFERROR(AVERAGEIFS(Log!$G:$G, Log!$D:$D,B$4,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C28" s="68">
        <f>IFERROR(
    _xlfn.LET(
        _xlpm.is_data_present, $A28&lt;&gt;0,
        _xlpm.is_camera_present, COUNTIFS(Log!$C:$C, $A28, Log!$D:$D, C$4, Log!$A:$A, "Daily", Log!$B:$B, "n/a"),
        _xlpm.we_camera_on_date, IFERROR(AVERAGEIFS(Log!$F:$F, Log!$D:$D,C$4, Log!$C:$C, $A28, Log!$A:$A, "Daily", Log!$B:$B, "n/a"), 0),
        _xlpm.ie_camera_on_date, IFERROR(AVERAGEIFS(Log!$G:$G, Log!$D:$D,C$4,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D28" s="68">
        <f>IFERROR(
    _xlfn.LET(
        _xlpm.is_data_present, $A28&lt;&gt;0,
        _xlpm.is_camera_present, COUNTIFS(Log!$C:$C, $A28, Log!$D:$D, D$4, Log!$A:$A, "Daily", Log!$B:$B, "n/a"),
        _xlpm.we_camera_on_date, IFERROR(AVERAGEIFS(Log!$F:$F, Log!$D:$D,D$4, Log!$C:$C, $A28, Log!$A:$A, "Daily", Log!$B:$B, "n/a"), 0),
        _xlpm.ie_camera_on_date, IFERROR(AVERAGEIFS(Log!$G:$G, Log!$D:$D,D$4,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E28" s="68">
        <f>IFERROR(
    _xlfn.LET(
        _xlpm.is_data_present, $A28&lt;&gt;0,
        _xlpm.is_camera_present, COUNTIFS(Log!$C:$C, $A28, Log!$D:$D, E$4, Log!$A:$A, "Daily", Log!$B:$B, "n/a"),
        _xlpm.we_camera_on_date, IFERROR(AVERAGEIFS(Log!$F:$F, Log!$D:$D,E$4, Log!$C:$C, $A28, Log!$A:$A, "Daily", Log!$B:$B, "n/a"), 0),
        _xlpm.ie_camera_on_date, IFERROR(AVERAGEIFS(Log!$G:$G, Log!$D:$D,E$4,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F28" s="68">
        <f>IFERROR(
    _xlfn.LET(
        _xlpm.is_data_present, $A28&lt;&gt;0,
        _xlpm.is_camera_present, COUNTIFS(Log!$C:$C, $A28, Log!$D:$D, F$4, Log!$A:$A, "Daily", Log!$B:$B, "n/a"),
        _xlpm.we_camera_on_date, IFERROR(AVERAGEIFS(Log!$F:$F, Log!$D:$D,F$4, Log!$C:$C, $A28, Log!$A:$A, "Daily", Log!$B:$B, "n/a"), 0),
        _xlpm.ie_camera_on_date, IFERROR(AVERAGEIFS(Log!$G:$G, Log!$D:$D,F$4,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G28" s="68">
        <f>IFERROR(
    _xlfn.LET(
        _xlpm.is_data_present, $A28&lt;&gt;0,
        _xlpm.is_camera_present, COUNTIFS(Log!$C:$C, $A28, Log!$D:$D, G$4, Log!$A:$A, "Daily", Log!$B:$B, "n/a"),
        _xlpm.we_camera_on_date, IFERROR(AVERAGEIFS(Log!$F:$F, Log!$D:$D,G$4, Log!$C:$C, $A28, Log!$A:$A, "Daily", Log!$B:$B, "n/a"), 0),
        _xlpm.ie_camera_on_date, IFERROR(AVERAGEIFS(Log!$G:$G, Log!$D:$D,G$4,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H28" s="68">
        <f>IFERROR(
    _xlfn.LET(
        _xlpm.is_data_present, $A28&lt;&gt;0,
        _xlpm.is_camera_present, COUNTIFS(Log!$C:$C, $A28, Log!$D:$D, H$4, Log!$A:$A, "Daily", Log!$B:$B, "n/a"),
        _xlpm.we_camera_on_date, IFERROR(AVERAGEIFS(Log!$F:$F, Log!$D:$D,H$4, Log!$C:$C, $A28, Log!$A:$A, "Daily", Log!$B:$B, "n/a"), 0),
        _xlpm.ie_camera_on_date, IFERROR(AVERAGEIFS(Log!$G:$G, Log!$D:$D,H$4,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I28" s="68">
        <f>IFERROR(
    _xlfn.LET(
        _xlpm.is_data_present, $A28&lt;&gt;0,
        _xlpm.is_camera_present, COUNTIFS(Log!$C:$C, $A28, Log!$D:$D, I$4, Log!$A:$A, "Daily", Log!$B:$B, "n/a"),
        _xlpm.we_camera_on_date, IFERROR(AVERAGEIFS(Log!$F:$F, Log!$D:$D,I$4, Log!$C:$C, $A28, Log!$A:$A, "Daily", Log!$B:$B, "n/a"), 0),
        _xlpm.ie_camera_on_date, IFERROR(AVERAGEIFS(Log!$G:$G, Log!$D:$D,I$4,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J28" s="68">
        <f>IFERROR(
    _xlfn.LET(
        _xlpm.is_data_present, $A28&lt;&gt;0,
        _xlpm.is_camera_present, COUNTIFS(Log!$C:$C, $A28, Log!$D:$D, J$4, Log!$A:$A, "Daily", Log!$B:$B, "n/a"),
        _xlpm.we_camera_on_date, IFERROR(AVERAGEIFS(Log!$F:$F, Log!$D:$D,J$4, Log!$C:$C, $A28, Log!$A:$A, "Daily", Log!$B:$B, "n/a"), 0),
        _xlpm.ie_camera_on_date, IFERROR(AVERAGEIFS(Log!$G:$G, Log!$D:$D,J$4,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K28" s="68">
        <f>IFERROR(
    _xlfn.LET(
        _xlpm.is_data_present, $A28&lt;&gt;0,
        _xlpm.is_camera_present, COUNTIFS(Log!$C:$C, $A28, Log!$D:$D, K$4, Log!$A:$A, "Daily", Log!$B:$B, "n/a"),
        _xlpm.we_camera_on_date, IFERROR(AVERAGEIFS(Log!$F:$F, Log!$D:$D,K$4, Log!$C:$C, $A28, Log!$A:$A, "Daily", Log!$B:$B, "n/a"), 0),
        _xlpm.ie_camera_on_date, IFERROR(AVERAGEIFS(Log!$G:$G, Log!$D:$D,K$4,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L28" s="68">
        <f>IFERROR(
    _xlfn.LET(
        _xlpm.is_data_present, $A28&lt;&gt;0,
        _xlpm.is_camera_present, COUNTIFS(Log!$C:$C, $A28, Log!$D:$D, L$4, Log!$A:$A, "Daily", Log!$B:$B, "n/a"),
        _xlpm.we_camera_on_date, IFERROR(AVERAGEIFS(Log!$F:$F, Log!$D:$D,L$4, Log!$C:$C, $A28, Log!$A:$A, "Daily", Log!$B:$B, "n/a"), 0),
        _xlpm.ie_camera_on_date, IFERROR(AVERAGEIFS(Log!$G:$G, Log!$D:$D,L$4,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M28" s="68">
        <f>IFERROR(
    _xlfn.LET(
        _xlpm.is_data_present, $A28&lt;&gt;0,
        _xlpm.is_camera_present, COUNTIFS(Log!$C:$C, $A28, Log!$D:$D, M$4, Log!$A:$A, "Daily", Log!$B:$B, "n/a"),
        _xlpm.we_camera_on_date, IFERROR(AVERAGEIFS(Log!$F:$F, Log!$D:$D,M$4, Log!$C:$C, $A28, Log!$A:$A, "Daily", Log!$B:$B, "n/a"), 0),
        _xlpm.ie_camera_on_date, IFERROR(AVERAGEIFS(Log!$G:$G, Log!$D:$D,M$4,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N28" s="68">
        <f>IFERROR(
    _xlfn.LET(
        _xlpm.is_data_present, $A28&lt;&gt;0,
        _xlpm.is_camera_present, COUNTIFS(Log!$C:$C, $A28, Log!$D:$D, N$4, Log!$A:$A, "Daily", Log!$B:$B, "n/a"),
        _xlpm.we_camera_on_date, IFERROR(AVERAGEIFS(Log!$F:$F, Log!$D:$D,N$4, Log!$C:$C, $A28, Log!$A:$A, "Daily", Log!$B:$B, "n/a"), 0),
        _xlpm.ie_camera_on_date, IFERROR(AVERAGEIFS(Log!$G:$G, Log!$D:$D,N$4,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O28" s="68">
        <f>IFERROR(
    _xlfn.LET(
        _xlpm.is_data_present, $A28&lt;&gt;0,
        _xlpm.is_camera_present, COUNTIFS(Log!$C:$C, $A28, Log!$D:$D, O$4, Log!$A:$A, "Daily", Log!$B:$B, "n/a"),
        _xlpm.we_camera_on_date, IFERROR(AVERAGEIFS(Log!$F:$F, Log!$D:$D,O$4, Log!$C:$C, $A28, Log!$A:$A, "Daily", Log!$B:$B, "n/a"), 0),
        _xlpm.ie_camera_on_date, IFERROR(AVERAGEIFS(Log!$G:$G, Log!$D:$D,O$4,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P28" s="68">
        <f>IFERROR(
    _xlfn.LET(
        _xlpm.is_data_present, $A28&lt;&gt;0,
        _xlpm.is_camera_present, COUNTIFS(Log!$C:$C, $A28, Log!$D:$D, P$4, Log!$A:$A, "Daily", Log!$B:$B, "n/a"),
        _xlpm.we_camera_on_date, IFERROR(AVERAGEIFS(Log!$F:$F, Log!$D:$D,P$4, Log!$C:$C, $A28, Log!$A:$A, "Daily", Log!$B:$B, "n/a"), 0),
        _xlpm.ie_camera_on_date, IFERROR(AVERAGEIFS(Log!$G:$G, Log!$D:$D,P$4,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2</v>
      </c>
      <c r="Q28" s="68">
        <f>IFERROR(
    _xlfn.LET(
        _xlpm.is_data_present, $A28&lt;&gt;0,
        _xlpm.is_camera_present, COUNTIFS(Log!$C:$C, $A28, Log!$D:$D, Q$4, Log!$A:$A, "Daily", Log!$B:$B, "n/a"),
        _xlpm.we_camera_on_date, IFERROR(AVERAGEIFS(Log!$F:$F, Log!$D:$D,Q$4, Log!$C:$C, $A28, Log!$A:$A, "Daily", Log!$B:$B, "n/a"), 0),
        _xlpm.ie_camera_on_date, IFERROR(AVERAGEIFS(Log!$G:$G, Log!$D:$D,Q$4,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c r="R28" s="68">
        <f>IFERROR(
    _xlfn.LET(
        _xlpm.is_data_present, $A28&lt;&gt;0,
        _xlpm.is_camera_present, COUNTIFS(Log!$C:$C, $A28, Log!$D:$D, R$4, Log!$A:$A, "Daily", Log!$B:$B, "n/a"),
        _xlpm.we_camera_on_date, IFERROR(AVERAGEIFS(Log!$F:$F, Log!$D:$D,R$4, Log!$C:$C, $A28, Log!$A:$A, "Daily", Log!$B:$B, "n/a"), 0),
        _xlpm.ie_camera_on_date, IFERROR(AVERAGEIFS(Log!$G:$G, Log!$D:$D,R$4,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0</v>
      </c>
      <c r="S28" s="68">
        <f>IFERROR(
    _xlfn.LET(
        _xlpm.is_data_present, $A28&lt;&gt;0,
        _xlpm.is_camera_present, COUNTIFS(Log!$C:$C, $A28, Log!$D:$D, S$4, Log!$A:$A, "Daily", Log!$B:$B, "n/a"),
        _xlpm.we_camera_on_date, IFERROR(AVERAGEIFS(Log!$F:$F, Log!$D:$D,S$4, Log!$C:$C, $A28, Log!$A:$A, "Daily", Log!$B:$B, "n/a"), 0),
        _xlpm.ie_camera_on_date, IFERROR(AVERAGEIFS(Log!$G:$G, Log!$D:$D,S$4, Log!$C:$C, $A28, Log!$A:$A, "Daily", Log!$B:$B, "n/a"), 0),
        _xlpm.we_avg, IFERROR(AVERAGEIFS(Log!$F:$F,Log!$C:$C,$A28, Log!$A:$A, "Daily", Log!$B:$B, "n/a"),0),
        _xlpm.ie_avg, IFERROR(AVERAGEIFS(Log!$G:$G,Log!$C:$C,$A28,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1</v>
      </c>
    </row>
    <row r="29" spans="1:19" x14ac:dyDescent="0.3">
      <c r="B29" s="68" t="str">
        <f>IFERROR(
    _xlfn.LET(
        _xlpm.is_data_present, $A29&lt;&gt;0,
        _xlpm.is_camera_present, COUNTIFS(Log!$C:$C, $A29, Log!$D:$D, B$4, Log!$A:$A, "Daily", Log!$B:$B, "n/a"),
        _xlpm.we_camera_on_date, IFERROR(AVERAGEIFS(Log!$F:$F, Log!$D:$D,B$4, Log!$C:$C, $A29, Log!$A:$A, "Daily", Log!$B:$B, "n/a"), 0),
        _xlpm.ie_camera_on_date, IFERROR(AVERAGEIFS(Log!$G:$G, Log!$D:$D,B$4,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9" s="68" t="str">
        <f>IFERROR(
    _xlfn.LET(
        _xlpm.is_data_present, $A29&lt;&gt;0,
        _xlpm.is_camera_present, COUNTIFS(Log!$C:$C, $A29, Log!$D:$D, C$4, Log!$A:$A, "Daily", Log!$B:$B, "n/a"),
        _xlpm.we_camera_on_date, IFERROR(AVERAGEIFS(Log!$F:$F, Log!$D:$D,C$4, Log!$C:$C, $A29, Log!$A:$A, "Daily", Log!$B:$B, "n/a"), 0),
        _xlpm.ie_camera_on_date, IFERROR(AVERAGEIFS(Log!$G:$G, Log!$D:$D,C$4,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9" s="68" t="str">
        <f>IFERROR(
    _xlfn.LET(
        _xlpm.is_data_present, $A29&lt;&gt;0,
        _xlpm.is_camera_present, COUNTIFS(Log!$C:$C, $A29, Log!$D:$D, D$4, Log!$A:$A, "Daily", Log!$B:$B, "n/a"),
        _xlpm.we_camera_on_date, IFERROR(AVERAGEIFS(Log!$F:$F, Log!$D:$D,D$4, Log!$C:$C, $A29, Log!$A:$A, "Daily", Log!$B:$B, "n/a"), 0),
        _xlpm.ie_camera_on_date, IFERROR(AVERAGEIFS(Log!$G:$G, Log!$D:$D,D$4,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9" s="68" t="str">
        <f>IFERROR(
    _xlfn.LET(
        _xlpm.is_data_present, $A29&lt;&gt;0,
        _xlpm.is_camera_present, COUNTIFS(Log!$C:$C, $A29, Log!$D:$D, E$4, Log!$A:$A, "Daily", Log!$B:$B, "n/a"),
        _xlpm.we_camera_on_date, IFERROR(AVERAGEIFS(Log!$F:$F, Log!$D:$D,E$4, Log!$C:$C, $A29, Log!$A:$A, "Daily", Log!$B:$B, "n/a"), 0),
        _xlpm.ie_camera_on_date, IFERROR(AVERAGEIFS(Log!$G:$G, Log!$D:$D,E$4,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9" s="68" t="str">
        <f>IFERROR(
    _xlfn.LET(
        _xlpm.is_data_present, $A29&lt;&gt;0,
        _xlpm.is_camera_present, COUNTIFS(Log!$C:$C, $A29, Log!$D:$D, F$4, Log!$A:$A, "Daily", Log!$B:$B, "n/a"),
        _xlpm.we_camera_on_date, IFERROR(AVERAGEIFS(Log!$F:$F, Log!$D:$D,F$4, Log!$C:$C, $A29, Log!$A:$A, "Daily", Log!$B:$B, "n/a"), 0),
        _xlpm.ie_camera_on_date, IFERROR(AVERAGEIFS(Log!$G:$G, Log!$D:$D,F$4,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9" s="68" t="str">
        <f>IFERROR(
    _xlfn.LET(
        _xlpm.is_data_present, $A29&lt;&gt;0,
        _xlpm.is_camera_present, COUNTIFS(Log!$C:$C, $A29, Log!$D:$D, G$4, Log!$A:$A, "Daily", Log!$B:$B, "n/a"),
        _xlpm.we_camera_on_date, IFERROR(AVERAGEIFS(Log!$F:$F, Log!$D:$D,G$4, Log!$C:$C, $A29, Log!$A:$A, "Daily", Log!$B:$B, "n/a"), 0),
        _xlpm.ie_camera_on_date, IFERROR(AVERAGEIFS(Log!$G:$G, Log!$D:$D,G$4,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9" s="68" t="str">
        <f>IFERROR(
    _xlfn.LET(
        _xlpm.is_data_present, $A29&lt;&gt;0,
        _xlpm.is_camera_present, COUNTIFS(Log!$C:$C, $A29, Log!$D:$D, H$4, Log!$A:$A, "Daily", Log!$B:$B, "n/a"),
        _xlpm.we_camera_on_date, IFERROR(AVERAGEIFS(Log!$F:$F, Log!$D:$D,H$4, Log!$C:$C, $A29, Log!$A:$A, "Daily", Log!$B:$B, "n/a"), 0),
        _xlpm.ie_camera_on_date, IFERROR(AVERAGEIFS(Log!$G:$G, Log!$D:$D,H$4,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9" s="68" t="str">
        <f>IFERROR(
    _xlfn.LET(
        _xlpm.is_data_present, $A29&lt;&gt;0,
        _xlpm.is_camera_present, COUNTIFS(Log!$C:$C, $A29, Log!$D:$D, I$4, Log!$A:$A, "Daily", Log!$B:$B, "n/a"),
        _xlpm.we_camera_on_date, IFERROR(AVERAGEIFS(Log!$F:$F, Log!$D:$D,I$4, Log!$C:$C, $A29, Log!$A:$A, "Daily", Log!$B:$B, "n/a"), 0),
        _xlpm.ie_camera_on_date, IFERROR(AVERAGEIFS(Log!$G:$G, Log!$D:$D,I$4,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9" s="68" t="str">
        <f>IFERROR(
    _xlfn.LET(
        _xlpm.is_data_present, $A29&lt;&gt;0,
        _xlpm.is_camera_present, COUNTIFS(Log!$C:$C, $A29, Log!$D:$D, J$4, Log!$A:$A, "Daily", Log!$B:$B, "n/a"),
        _xlpm.we_camera_on_date, IFERROR(AVERAGEIFS(Log!$F:$F, Log!$D:$D,J$4, Log!$C:$C, $A29, Log!$A:$A, "Daily", Log!$B:$B, "n/a"), 0),
        _xlpm.ie_camera_on_date, IFERROR(AVERAGEIFS(Log!$G:$G, Log!$D:$D,J$4,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9" s="68" t="str">
        <f>IFERROR(
    _xlfn.LET(
        _xlpm.is_data_present, $A29&lt;&gt;0,
        _xlpm.is_camera_present, COUNTIFS(Log!$C:$C, $A29, Log!$D:$D, K$4, Log!$A:$A, "Daily", Log!$B:$B, "n/a"),
        _xlpm.we_camera_on_date, IFERROR(AVERAGEIFS(Log!$F:$F, Log!$D:$D,K$4, Log!$C:$C, $A29, Log!$A:$A, "Daily", Log!$B:$B, "n/a"), 0),
        _xlpm.ie_camera_on_date, IFERROR(AVERAGEIFS(Log!$G:$G, Log!$D:$D,K$4,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9" s="68" t="str">
        <f>IFERROR(
    _xlfn.LET(
        _xlpm.is_data_present, $A29&lt;&gt;0,
        _xlpm.is_camera_present, COUNTIFS(Log!$C:$C, $A29, Log!$D:$D, L$4, Log!$A:$A, "Daily", Log!$B:$B, "n/a"),
        _xlpm.we_camera_on_date, IFERROR(AVERAGEIFS(Log!$F:$F, Log!$D:$D,L$4, Log!$C:$C, $A29, Log!$A:$A, "Daily", Log!$B:$B, "n/a"), 0),
        _xlpm.ie_camera_on_date, IFERROR(AVERAGEIFS(Log!$G:$G, Log!$D:$D,L$4,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9" s="68" t="str">
        <f>IFERROR(
    _xlfn.LET(
        _xlpm.is_data_present, $A29&lt;&gt;0,
        _xlpm.is_camera_present, COUNTIFS(Log!$C:$C, $A29, Log!$D:$D, M$4, Log!$A:$A, "Daily", Log!$B:$B, "n/a"),
        _xlpm.we_camera_on_date, IFERROR(AVERAGEIFS(Log!$F:$F, Log!$D:$D,M$4, Log!$C:$C, $A29, Log!$A:$A, "Daily", Log!$B:$B, "n/a"), 0),
        _xlpm.ie_camera_on_date, IFERROR(AVERAGEIFS(Log!$G:$G, Log!$D:$D,M$4,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9" s="68" t="str">
        <f>IFERROR(
    _xlfn.LET(
        _xlpm.is_data_present, $A29&lt;&gt;0,
        _xlpm.is_camera_present, COUNTIFS(Log!$C:$C, $A29, Log!$D:$D, N$4, Log!$A:$A, "Daily", Log!$B:$B, "n/a"),
        _xlpm.we_camera_on_date, IFERROR(AVERAGEIFS(Log!$F:$F, Log!$D:$D,N$4, Log!$C:$C, $A29, Log!$A:$A, "Daily", Log!$B:$B, "n/a"), 0),
        _xlpm.ie_camera_on_date, IFERROR(AVERAGEIFS(Log!$G:$G, Log!$D:$D,N$4,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9" s="68" t="str">
        <f>IFERROR(
    _xlfn.LET(
        _xlpm.is_data_present, $A29&lt;&gt;0,
        _xlpm.is_camera_present, COUNTIFS(Log!$C:$C, $A29, Log!$D:$D, O$4, Log!$A:$A, "Daily", Log!$B:$B, "n/a"),
        _xlpm.we_camera_on_date, IFERROR(AVERAGEIFS(Log!$F:$F, Log!$D:$D,O$4, Log!$C:$C, $A29, Log!$A:$A, "Daily", Log!$B:$B, "n/a"), 0),
        _xlpm.ie_camera_on_date, IFERROR(AVERAGEIFS(Log!$G:$G, Log!$D:$D,O$4,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9" s="68" t="str">
        <f>IFERROR(
    _xlfn.LET(
        _xlpm.is_data_present, $A29&lt;&gt;0,
        _xlpm.is_camera_present, COUNTIFS(Log!$C:$C, $A29, Log!$D:$D, P$4, Log!$A:$A, "Daily", Log!$B:$B, "n/a"),
        _xlpm.we_camera_on_date, IFERROR(AVERAGEIFS(Log!$F:$F, Log!$D:$D,P$4, Log!$C:$C, $A29, Log!$A:$A, "Daily", Log!$B:$B, "n/a"), 0),
        _xlpm.ie_camera_on_date, IFERROR(AVERAGEIFS(Log!$G:$G, Log!$D:$D,P$4,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9" s="68" t="str">
        <f>IFERROR(
    _xlfn.LET(
        _xlpm.is_data_present, $A29&lt;&gt;0,
        _xlpm.is_camera_present, COUNTIFS(Log!$C:$C, $A29, Log!$D:$D, Q$4, Log!$A:$A, "Daily", Log!$B:$B, "n/a"),
        _xlpm.we_camera_on_date, IFERROR(AVERAGEIFS(Log!$F:$F, Log!$D:$D,Q$4, Log!$C:$C, $A29, Log!$A:$A, "Daily", Log!$B:$B, "n/a"), 0),
        _xlpm.ie_camera_on_date, IFERROR(AVERAGEIFS(Log!$G:$G, Log!$D:$D,Q$4,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9" s="68" t="str">
        <f>IFERROR(
    _xlfn.LET(
        _xlpm.is_data_present, $A29&lt;&gt;0,
        _xlpm.is_camera_present, COUNTIFS(Log!$C:$C, $A29, Log!$D:$D, R$4, Log!$A:$A, "Daily", Log!$B:$B, "n/a"),
        _xlpm.we_camera_on_date, IFERROR(AVERAGEIFS(Log!$F:$F, Log!$D:$D,R$4, Log!$C:$C, $A29, Log!$A:$A, "Daily", Log!$B:$B, "n/a"), 0),
        _xlpm.ie_camera_on_date, IFERROR(AVERAGEIFS(Log!$G:$G, Log!$D:$D,R$4,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9" s="68" t="str">
        <f>IFERROR(
    _xlfn.LET(
        _xlpm.is_data_present, $A29&lt;&gt;0,
        _xlpm.is_camera_present, COUNTIFS(Log!$C:$C, $A29, Log!$D:$D, S$4, Log!$A:$A, "Daily", Log!$B:$B, "n/a"),
        _xlpm.we_camera_on_date, IFERROR(AVERAGEIFS(Log!$F:$F, Log!$D:$D,S$4, Log!$C:$C, $A29, Log!$A:$A, "Daily", Log!$B:$B, "n/a"), 0),
        _xlpm.ie_camera_on_date, IFERROR(AVERAGEIFS(Log!$G:$G, Log!$D:$D,S$4, Log!$C:$C, $A29, Log!$A:$A, "Daily", Log!$B:$B, "n/a"), 0),
        _xlpm.we_avg, IFERROR(AVERAGEIFS(Log!$F:$F,Log!$C:$C,$A29, Log!$A:$A, "Daily", Log!$B:$B, "n/a"),0),
        _xlpm.ie_avg, IFERROR(AVERAGEIFS(Log!$G:$G,Log!$C:$C,$A29,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0" spans="1:19" x14ac:dyDescent="0.3">
      <c r="B30" s="68" t="str">
        <f>IFERROR(
    _xlfn.LET(
        _xlpm.is_data_present, $A30&lt;&gt;0,
        _xlpm.is_camera_present, COUNTIFS(Log!$C:$C, $A30, Log!$D:$D, B$4, Log!$A:$A, "Daily", Log!$B:$B, "n/a"),
        _xlpm.we_camera_on_date, IFERROR(AVERAGEIFS(Log!$F:$F, Log!$D:$D,B$4, Log!$C:$C, $A30, Log!$A:$A, "Daily", Log!$B:$B, "n/a"), 0),
        _xlpm.ie_camera_on_date, IFERROR(AVERAGEIFS(Log!$G:$G, Log!$D:$D,B$4,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0" s="68" t="str">
        <f>IFERROR(
    _xlfn.LET(
        _xlpm.is_data_present, $A30&lt;&gt;0,
        _xlpm.is_camera_present, COUNTIFS(Log!$C:$C, $A30, Log!$D:$D, C$4, Log!$A:$A, "Daily", Log!$B:$B, "n/a"),
        _xlpm.we_camera_on_date, IFERROR(AVERAGEIFS(Log!$F:$F, Log!$D:$D,C$4, Log!$C:$C, $A30, Log!$A:$A, "Daily", Log!$B:$B, "n/a"), 0),
        _xlpm.ie_camera_on_date, IFERROR(AVERAGEIFS(Log!$G:$G, Log!$D:$D,C$4,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0" s="68" t="str">
        <f>IFERROR(
    _xlfn.LET(
        _xlpm.is_data_present, $A30&lt;&gt;0,
        _xlpm.is_camera_present, COUNTIFS(Log!$C:$C, $A30, Log!$D:$D, D$4, Log!$A:$A, "Daily", Log!$B:$B, "n/a"),
        _xlpm.we_camera_on_date, IFERROR(AVERAGEIFS(Log!$F:$F, Log!$D:$D,D$4, Log!$C:$C, $A30, Log!$A:$A, "Daily", Log!$B:$B, "n/a"), 0),
        _xlpm.ie_camera_on_date, IFERROR(AVERAGEIFS(Log!$G:$G, Log!$D:$D,D$4,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0" s="68" t="str">
        <f>IFERROR(
    _xlfn.LET(
        _xlpm.is_data_present, $A30&lt;&gt;0,
        _xlpm.is_camera_present, COUNTIFS(Log!$C:$C, $A30, Log!$D:$D, E$4, Log!$A:$A, "Daily", Log!$B:$B, "n/a"),
        _xlpm.we_camera_on_date, IFERROR(AVERAGEIFS(Log!$F:$F, Log!$D:$D,E$4, Log!$C:$C, $A30, Log!$A:$A, "Daily", Log!$B:$B, "n/a"), 0),
        _xlpm.ie_camera_on_date, IFERROR(AVERAGEIFS(Log!$G:$G, Log!$D:$D,E$4,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0" s="68" t="str">
        <f>IFERROR(
    _xlfn.LET(
        _xlpm.is_data_present, $A30&lt;&gt;0,
        _xlpm.is_camera_present, COUNTIFS(Log!$C:$C, $A30, Log!$D:$D, F$4, Log!$A:$A, "Daily", Log!$B:$B, "n/a"),
        _xlpm.we_camera_on_date, IFERROR(AVERAGEIFS(Log!$F:$F, Log!$D:$D,F$4, Log!$C:$C, $A30, Log!$A:$A, "Daily", Log!$B:$B, "n/a"), 0),
        _xlpm.ie_camera_on_date, IFERROR(AVERAGEIFS(Log!$G:$G, Log!$D:$D,F$4,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0" s="68" t="str">
        <f>IFERROR(
    _xlfn.LET(
        _xlpm.is_data_present, $A30&lt;&gt;0,
        _xlpm.is_camera_present, COUNTIFS(Log!$C:$C, $A30, Log!$D:$D, G$4, Log!$A:$A, "Daily", Log!$B:$B, "n/a"),
        _xlpm.we_camera_on_date, IFERROR(AVERAGEIFS(Log!$F:$F, Log!$D:$D,G$4, Log!$C:$C, $A30, Log!$A:$A, "Daily", Log!$B:$B, "n/a"), 0),
        _xlpm.ie_camera_on_date, IFERROR(AVERAGEIFS(Log!$G:$G, Log!$D:$D,G$4,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0" s="68" t="str">
        <f>IFERROR(
    _xlfn.LET(
        _xlpm.is_data_present, $A30&lt;&gt;0,
        _xlpm.is_camera_present, COUNTIFS(Log!$C:$C, $A30, Log!$D:$D, H$4, Log!$A:$A, "Daily", Log!$B:$B, "n/a"),
        _xlpm.we_camera_on_date, IFERROR(AVERAGEIFS(Log!$F:$F, Log!$D:$D,H$4, Log!$C:$C, $A30, Log!$A:$A, "Daily", Log!$B:$B, "n/a"), 0),
        _xlpm.ie_camera_on_date, IFERROR(AVERAGEIFS(Log!$G:$G, Log!$D:$D,H$4,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0" s="68" t="str">
        <f>IFERROR(
    _xlfn.LET(
        _xlpm.is_data_present, $A30&lt;&gt;0,
        _xlpm.is_camera_present, COUNTIFS(Log!$C:$C, $A30, Log!$D:$D, I$4, Log!$A:$A, "Daily", Log!$B:$B, "n/a"),
        _xlpm.we_camera_on_date, IFERROR(AVERAGEIFS(Log!$F:$F, Log!$D:$D,I$4, Log!$C:$C, $A30, Log!$A:$A, "Daily", Log!$B:$B, "n/a"), 0),
        _xlpm.ie_camera_on_date, IFERROR(AVERAGEIFS(Log!$G:$G, Log!$D:$D,I$4,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0" s="68" t="str">
        <f>IFERROR(
    _xlfn.LET(
        _xlpm.is_data_present, $A30&lt;&gt;0,
        _xlpm.is_camera_present, COUNTIFS(Log!$C:$C, $A30, Log!$D:$D, J$4, Log!$A:$A, "Daily", Log!$B:$B, "n/a"),
        _xlpm.we_camera_on_date, IFERROR(AVERAGEIFS(Log!$F:$F, Log!$D:$D,J$4, Log!$C:$C, $A30, Log!$A:$A, "Daily", Log!$B:$B, "n/a"), 0),
        _xlpm.ie_camera_on_date, IFERROR(AVERAGEIFS(Log!$G:$G, Log!$D:$D,J$4,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0" s="68" t="str">
        <f>IFERROR(
    _xlfn.LET(
        _xlpm.is_data_present, $A30&lt;&gt;0,
        _xlpm.is_camera_present, COUNTIFS(Log!$C:$C, $A30, Log!$D:$D, K$4, Log!$A:$A, "Daily", Log!$B:$B, "n/a"),
        _xlpm.we_camera_on_date, IFERROR(AVERAGEIFS(Log!$F:$F, Log!$D:$D,K$4, Log!$C:$C, $A30, Log!$A:$A, "Daily", Log!$B:$B, "n/a"), 0),
        _xlpm.ie_camera_on_date, IFERROR(AVERAGEIFS(Log!$G:$G, Log!$D:$D,K$4,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0" s="68" t="str">
        <f>IFERROR(
    _xlfn.LET(
        _xlpm.is_data_present, $A30&lt;&gt;0,
        _xlpm.is_camera_present, COUNTIFS(Log!$C:$C, $A30, Log!$D:$D, L$4, Log!$A:$A, "Daily", Log!$B:$B, "n/a"),
        _xlpm.we_camera_on_date, IFERROR(AVERAGEIFS(Log!$F:$F, Log!$D:$D,L$4, Log!$C:$C, $A30, Log!$A:$A, "Daily", Log!$B:$B, "n/a"), 0),
        _xlpm.ie_camera_on_date, IFERROR(AVERAGEIFS(Log!$G:$G, Log!$D:$D,L$4,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0" s="68" t="str">
        <f>IFERROR(
    _xlfn.LET(
        _xlpm.is_data_present, $A30&lt;&gt;0,
        _xlpm.is_camera_present, COUNTIFS(Log!$C:$C, $A30, Log!$D:$D, M$4, Log!$A:$A, "Daily", Log!$B:$B, "n/a"),
        _xlpm.we_camera_on_date, IFERROR(AVERAGEIFS(Log!$F:$F, Log!$D:$D,M$4, Log!$C:$C, $A30, Log!$A:$A, "Daily", Log!$B:$B, "n/a"), 0),
        _xlpm.ie_camera_on_date, IFERROR(AVERAGEIFS(Log!$G:$G, Log!$D:$D,M$4,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0" s="68" t="str">
        <f>IFERROR(
    _xlfn.LET(
        _xlpm.is_data_present, $A30&lt;&gt;0,
        _xlpm.is_camera_present, COUNTIFS(Log!$C:$C, $A30, Log!$D:$D, N$4, Log!$A:$A, "Daily", Log!$B:$B, "n/a"),
        _xlpm.we_camera_on_date, IFERROR(AVERAGEIFS(Log!$F:$F, Log!$D:$D,N$4, Log!$C:$C, $A30, Log!$A:$A, "Daily", Log!$B:$B, "n/a"), 0),
        _xlpm.ie_camera_on_date, IFERROR(AVERAGEIFS(Log!$G:$G, Log!$D:$D,N$4,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0" s="68" t="str">
        <f>IFERROR(
    _xlfn.LET(
        _xlpm.is_data_present, $A30&lt;&gt;0,
        _xlpm.is_camera_present, COUNTIFS(Log!$C:$C, $A30, Log!$D:$D, O$4, Log!$A:$A, "Daily", Log!$B:$B, "n/a"),
        _xlpm.we_camera_on_date, IFERROR(AVERAGEIFS(Log!$F:$F, Log!$D:$D,O$4, Log!$C:$C, $A30, Log!$A:$A, "Daily", Log!$B:$B, "n/a"), 0),
        _xlpm.ie_camera_on_date, IFERROR(AVERAGEIFS(Log!$G:$G, Log!$D:$D,O$4,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0" s="68" t="str">
        <f>IFERROR(
    _xlfn.LET(
        _xlpm.is_data_present, $A30&lt;&gt;0,
        _xlpm.is_camera_present, COUNTIFS(Log!$C:$C, $A30, Log!$D:$D, P$4, Log!$A:$A, "Daily", Log!$B:$B, "n/a"),
        _xlpm.we_camera_on_date, IFERROR(AVERAGEIFS(Log!$F:$F, Log!$D:$D,P$4, Log!$C:$C, $A30, Log!$A:$A, "Daily", Log!$B:$B, "n/a"), 0),
        _xlpm.ie_camera_on_date, IFERROR(AVERAGEIFS(Log!$G:$G, Log!$D:$D,P$4,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0" s="68" t="str">
        <f>IFERROR(
    _xlfn.LET(
        _xlpm.is_data_present, $A30&lt;&gt;0,
        _xlpm.is_camera_present, COUNTIFS(Log!$C:$C, $A30, Log!$D:$D, Q$4, Log!$A:$A, "Daily", Log!$B:$B, "n/a"),
        _xlpm.we_camera_on_date, IFERROR(AVERAGEIFS(Log!$F:$F, Log!$D:$D,Q$4, Log!$C:$C, $A30, Log!$A:$A, "Daily", Log!$B:$B, "n/a"), 0),
        _xlpm.ie_camera_on_date, IFERROR(AVERAGEIFS(Log!$G:$G, Log!$D:$D,Q$4,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0" s="68" t="str">
        <f>IFERROR(
    _xlfn.LET(
        _xlpm.is_data_present, $A30&lt;&gt;0,
        _xlpm.is_camera_present, COUNTIFS(Log!$C:$C, $A30, Log!$D:$D, R$4, Log!$A:$A, "Daily", Log!$B:$B, "n/a"),
        _xlpm.we_camera_on_date, IFERROR(AVERAGEIFS(Log!$F:$F, Log!$D:$D,R$4, Log!$C:$C, $A30, Log!$A:$A, "Daily", Log!$B:$B, "n/a"), 0),
        _xlpm.ie_camera_on_date, IFERROR(AVERAGEIFS(Log!$G:$G, Log!$D:$D,R$4,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0" s="68" t="str">
        <f>IFERROR(
    _xlfn.LET(
        _xlpm.is_data_present, $A30&lt;&gt;0,
        _xlpm.is_camera_present, COUNTIFS(Log!$C:$C, $A30, Log!$D:$D, S$4, Log!$A:$A, "Daily", Log!$B:$B, "n/a"),
        _xlpm.we_camera_on_date, IFERROR(AVERAGEIFS(Log!$F:$F, Log!$D:$D,S$4, Log!$C:$C, $A30, Log!$A:$A, "Daily", Log!$B:$B, "n/a"), 0),
        _xlpm.ie_camera_on_date, IFERROR(AVERAGEIFS(Log!$G:$G, Log!$D:$D,S$4, Log!$C:$C, $A30, Log!$A:$A, "Daily", Log!$B:$B, "n/a"), 0),
        _xlpm.we_avg, IFERROR(AVERAGEIFS(Log!$F:$F,Log!$C:$C,$A30, Log!$A:$A, "Daily", Log!$B:$B, "n/a"),0),
        _xlpm.ie_avg, IFERROR(AVERAGEIFS(Log!$G:$G,Log!$C:$C,$A30,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1" spans="1:19" x14ac:dyDescent="0.3">
      <c r="B31" s="68" t="str">
        <f>IFERROR(
    _xlfn.LET(
        _xlpm.is_data_present, $A31&lt;&gt;0,
        _xlpm.is_camera_present, COUNTIFS(Log!$C:$C, $A31, Log!$D:$D, B$4, Log!$A:$A, "Daily", Log!$B:$B, "n/a"),
        _xlpm.we_camera_on_date, IFERROR(AVERAGEIFS(Log!$F:$F, Log!$D:$D,B$4, Log!$C:$C, $A31, Log!$A:$A, "Daily", Log!$B:$B, "n/a"), 0),
        _xlpm.ie_camera_on_date, IFERROR(AVERAGEIFS(Log!$G:$G, Log!$D:$D,B$4,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1" s="68" t="str">
        <f>IFERROR(
    _xlfn.LET(
        _xlpm.is_data_present, $A31&lt;&gt;0,
        _xlpm.is_camera_present, COUNTIFS(Log!$C:$C, $A31, Log!$D:$D, C$4, Log!$A:$A, "Daily", Log!$B:$B, "n/a"),
        _xlpm.we_camera_on_date, IFERROR(AVERAGEIFS(Log!$F:$F, Log!$D:$D,C$4, Log!$C:$C, $A31, Log!$A:$A, "Daily", Log!$B:$B, "n/a"), 0),
        _xlpm.ie_camera_on_date, IFERROR(AVERAGEIFS(Log!$G:$G, Log!$D:$D,C$4,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1" s="68" t="str">
        <f>IFERROR(
    _xlfn.LET(
        _xlpm.is_data_present, $A31&lt;&gt;0,
        _xlpm.is_camera_present, COUNTIFS(Log!$C:$C, $A31, Log!$D:$D, D$4, Log!$A:$A, "Daily", Log!$B:$B, "n/a"),
        _xlpm.we_camera_on_date, IFERROR(AVERAGEIFS(Log!$F:$F, Log!$D:$D,D$4, Log!$C:$C, $A31, Log!$A:$A, "Daily", Log!$B:$B, "n/a"), 0),
        _xlpm.ie_camera_on_date, IFERROR(AVERAGEIFS(Log!$G:$G, Log!$D:$D,D$4,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1" s="68" t="str">
        <f>IFERROR(
    _xlfn.LET(
        _xlpm.is_data_present, $A31&lt;&gt;0,
        _xlpm.is_camera_present, COUNTIFS(Log!$C:$C, $A31, Log!$D:$D, E$4, Log!$A:$A, "Daily", Log!$B:$B, "n/a"),
        _xlpm.we_camera_on_date, IFERROR(AVERAGEIFS(Log!$F:$F, Log!$D:$D,E$4, Log!$C:$C, $A31, Log!$A:$A, "Daily", Log!$B:$B, "n/a"), 0),
        _xlpm.ie_camera_on_date, IFERROR(AVERAGEIFS(Log!$G:$G, Log!$D:$D,E$4,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1" s="68" t="str">
        <f>IFERROR(
    _xlfn.LET(
        _xlpm.is_data_present, $A31&lt;&gt;0,
        _xlpm.is_camera_present, COUNTIFS(Log!$C:$C, $A31, Log!$D:$D, F$4, Log!$A:$A, "Daily", Log!$B:$B, "n/a"),
        _xlpm.we_camera_on_date, IFERROR(AVERAGEIFS(Log!$F:$F, Log!$D:$D,F$4, Log!$C:$C, $A31, Log!$A:$A, "Daily", Log!$B:$B, "n/a"), 0),
        _xlpm.ie_camera_on_date, IFERROR(AVERAGEIFS(Log!$G:$G, Log!$D:$D,F$4,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1" s="68" t="str">
        <f>IFERROR(
    _xlfn.LET(
        _xlpm.is_data_present, $A31&lt;&gt;0,
        _xlpm.is_camera_present, COUNTIFS(Log!$C:$C, $A31, Log!$D:$D, G$4, Log!$A:$A, "Daily", Log!$B:$B, "n/a"),
        _xlpm.we_camera_on_date, IFERROR(AVERAGEIFS(Log!$F:$F, Log!$D:$D,G$4, Log!$C:$C, $A31, Log!$A:$A, "Daily", Log!$B:$B, "n/a"), 0),
        _xlpm.ie_camera_on_date, IFERROR(AVERAGEIFS(Log!$G:$G, Log!$D:$D,G$4,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1" s="68" t="str">
        <f>IFERROR(
    _xlfn.LET(
        _xlpm.is_data_present, $A31&lt;&gt;0,
        _xlpm.is_camera_present, COUNTIFS(Log!$C:$C, $A31, Log!$D:$D, H$4, Log!$A:$A, "Daily", Log!$B:$B, "n/a"),
        _xlpm.we_camera_on_date, IFERROR(AVERAGEIFS(Log!$F:$F, Log!$D:$D,H$4, Log!$C:$C, $A31, Log!$A:$A, "Daily", Log!$B:$B, "n/a"), 0),
        _xlpm.ie_camera_on_date, IFERROR(AVERAGEIFS(Log!$G:$G, Log!$D:$D,H$4,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1" s="68" t="str">
        <f>IFERROR(
    _xlfn.LET(
        _xlpm.is_data_present, $A31&lt;&gt;0,
        _xlpm.is_camera_present, COUNTIFS(Log!$C:$C, $A31, Log!$D:$D, I$4, Log!$A:$A, "Daily", Log!$B:$B, "n/a"),
        _xlpm.we_camera_on_date, IFERROR(AVERAGEIFS(Log!$F:$F, Log!$D:$D,I$4, Log!$C:$C, $A31, Log!$A:$A, "Daily", Log!$B:$B, "n/a"), 0),
        _xlpm.ie_camera_on_date, IFERROR(AVERAGEIFS(Log!$G:$G, Log!$D:$D,I$4,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1" s="68" t="str">
        <f>IFERROR(
    _xlfn.LET(
        _xlpm.is_data_present, $A31&lt;&gt;0,
        _xlpm.is_camera_present, COUNTIFS(Log!$C:$C, $A31, Log!$D:$D, J$4, Log!$A:$A, "Daily", Log!$B:$B, "n/a"),
        _xlpm.we_camera_on_date, IFERROR(AVERAGEIFS(Log!$F:$F, Log!$D:$D,J$4, Log!$C:$C, $A31, Log!$A:$A, "Daily", Log!$B:$B, "n/a"), 0),
        _xlpm.ie_camera_on_date, IFERROR(AVERAGEIFS(Log!$G:$G, Log!$D:$D,J$4,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1" s="68" t="str">
        <f>IFERROR(
    _xlfn.LET(
        _xlpm.is_data_present, $A31&lt;&gt;0,
        _xlpm.is_camera_present, COUNTIFS(Log!$C:$C, $A31, Log!$D:$D, K$4, Log!$A:$A, "Daily", Log!$B:$B, "n/a"),
        _xlpm.we_camera_on_date, IFERROR(AVERAGEIFS(Log!$F:$F, Log!$D:$D,K$4, Log!$C:$C, $A31, Log!$A:$A, "Daily", Log!$B:$B, "n/a"), 0),
        _xlpm.ie_camera_on_date, IFERROR(AVERAGEIFS(Log!$G:$G, Log!$D:$D,K$4,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1" s="68" t="str">
        <f>IFERROR(
    _xlfn.LET(
        _xlpm.is_data_present, $A31&lt;&gt;0,
        _xlpm.is_camera_present, COUNTIFS(Log!$C:$C, $A31, Log!$D:$D, L$4, Log!$A:$A, "Daily", Log!$B:$B, "n/a"),
        _xlpm.we_camera_on_date, IFERROR(AVERAGEIFS(Log!$F:$F, Log!$D:$D,L$4, Log!$C:$C, $A31, Log!$A:$A, "Daily", Log!$B:$B, "n/a"), 0),
        _xlpm.ie_camera_on_date, IFERROR(AVERAGEIFS(Log!$G:$G, Log!$D:$D,L$4,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1" s="68" t="str">
        <f>IFERROR(
    _xlfn.LET(
        _xlpm.is_data_present, $A31&lt;&gt;0,
        _xlpm.is_camera_present, COUNTIFS(Log!$C:$C, $A31, Log!$D:$D, M$4, Log!$A:$A, "Daily", Log!$B:$B, "n/a"),
        _xlpm.we_camera_on_date, IFERROR(AVERAGEIFS(Log!$F:$F, Log!$D:$D,M$4, Log!$C:$C, $A31, Log!$A:$A, "Daily", Log!$B:$B, "n/a"), 0),
        _xlpm.ie_camera_on_date, IFERROR(AVERAGEIFS(Log!$G:$G, Log!$D:$D,M$4,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1" s="68" t="str">
        <f>IFERROR(
    _xlfn.LET(
        _xlpm.is_data_present, $A31&lt;&gt;0,
        _xlpm.is_camera_present, COUNTIFS(Log!$C:$C, $A31, Log!$D:$D, N$4, Log!$A:$A, "Daily", Log!$B:$B, "n/a"),
        _xlpm.we_camera_on_date, IFERROR(AVERAGEIFS(Log!$F:$F, Log!$D:$D,N$4, Log!$C:$C, $A31, Log!$A:$A, "Daily", Log!$B:$B, "n/a"), 0),
        _xlpm.ie_camera_on_date, IFERROR(AVERAGEIFS(Log!$G:$G, Log!$D:$D,N$4,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1" s="68" t="str">
        <f>IFERROR(
    _xlfn.LET(
        _xlpm.is_data_present, $A31&lt;&gt;0,
        _xlpm.is_camera_present, COUNTIFS(Log!$C:$C, $A31, Log!$D:$D, O$4, Log!$A:$A, "Daily", Log!$B:$B, "n/a"),
        _xlpm.we_camera_on_date, IFERROR(AVERAGEIFS(Log!$F:$F, Log!$D:$D,O$4, Log!$C:$C, $A31, Log!$A:$A, "Daily", Log!$B:$B, "n/a"), 0),
        _xlpm.ie_camera_on_date, IFERROR(AVERAGEIFS(Log!$G:$G, Log!$D:$D,O$4,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1" s="68" t="str">
        <f>IFERROR(
    _xlfn.LET(
        _xlpm.is_data_present, $A31&lt;&gt;0,
        _xlpm.is_camera_present, COUNTIFS(Log!$C:$C, $A31, Log!$D:$D, P$4, Log!$A:$A, "Daily", Log!$B:$B, "n/a"),
        _xlpm.we_camera_on_date, IFERROR(AVERAGEIFS(Log!$F:$F, Log!$D:$D,P$4, Log!$C:$C, $A31, Log!$A:$A, "Daily", Log!$B:$B, "n/a"), 0),
        _xlpm.ie_camera_on_date, IFERROR(AVERAGEIFS(Log!$G:$G, Log!$D:$D,P$4,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1" s="68" t="str">
        <f>IFERROR(
    _xlfn.LET(
        _xlpm.is_data_present, $A31&lt;&gt;0,
        _xlpm.is_camera_present, COUNTIFS(Log!$C:$C, $A31, Log!$D:$D, Q$4, Log!$A:$A, "Daily", Log!$B:$B, "n/a"),
        _xlpm.we_camera_on_date, IFERROR(AVERAGEIFS(Log!$F:$F, Log!$D:$D,Q$4, Log!$C:$C, $A31, Log!$A:$A, "Daily", Log!$B:$B, "n/a"), 0),
        _xlpm.ie_camera_on_date, IFERROR(AVERAGEIFS(Log!$G:$G, Log!$D:$D,Q$4,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1" s="68" t="str">
        <f>IFERROR(
    _xlfn.LET(
        _xlpm.is_data_present, $A31&lt;&gt;0,
        _xlpm.is_camera_present, COUNTIFS(Log!$C:$C, $A31, Log!$D:$D, R$4, Log!$A:$A, "Daily", Log!$B:$B, "n/a"),
        _xlpm.we_camera_on_date, IFERROR(AVERAGEIFS(Log!$F:$F, Log!$D:$D,R$4, Log!$C:$C, $A31, Log!$A:$A, "Daily", Log!$B:$B, "n/a"), 0),
        _xlpm.ie_camera_on_date, IFERROR(AVERAGEIFS(Log!$G:$G, Log!$D:$D,R$4,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1" s="68" t="str">
        <f>IFERROR(
    _xlfn.LET(
        _xlpm.is_data_present, $A31&lt;&gt;0,
        _xlpm.is_camera_present, COUNTIFS(Log!$C:$C, $A31, Log!$D:$D, S$4, Log!$A:$A, "Daily", Log!$B:$B, "n/a"),
        _xlpm.we_camera_on_date, IFERROR(AVERAGEIFS(Log!$F:$F, Log!$D:$D,S$4, Log!$C:$C, $A31, Log!$A:$A, "Daily", Log!$B:$B, "n/a"), 0),
        _xlpm.ie_camera_on_date, IFERROR(AVERAGEIFS(Log!$G:$G, Log!$D:$D,S$4, Log!$C:$C, $A31, Log!$A:$A, "Daily", Log!$B:$B, "n/a"), 0),
        _xlpm.we_avg, IFERROR(AVERAGEIFS(Log!$F:$F,Log!$C:$C,$A31, Log!$A:$A, "Daily", Log!$B:$B, "n/a"),0),
        _xlpm.ie_avg, IFERROR(AVERAGEIFS(Log!$G:$G,Log!$C:$C,$A31,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2" spans="1:19" x14ac:dyDescent="0.3">
      <c r="B32" s="68" t="str">
        <f>IFERROR(
    _xlfn.LET(
        _xlpm.is_data_present, $A32&lt;&gt;0,
        _xlpm.is_camera_present, COUNTIFS(Log!$C:$C, $A32, Log!$D:$D, B$4, Log!$A:$A, "Daily", Log!$B:$B, "n/a"),
        _xlpm.we_camera_on_date, IFERROR(AVERAGEIFS(Log!$F:$F, Log!$D:$D,B$4, Log!$C:$C, $A32, Log!$A:$A, "Daily", Log!$B:$B, "n/a"), 0),
        _xlpm.ie_camera_on_date, IFERROR(AVERAGEIFS(Log!$G:$G, Log!$D:$D,B$4,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2" s="68" t="str">
        <f>IFERROR(
    _xlfn.LET(
        _xlpm.is_data_present, $A32&lt;&gt;0,
        _xlpm.is_camera_present, COUNTIFS(Log!$C:$C, $A32, Log!$D:$D, C$4, Log!$A:$A, "Daily", Log!$B:$B, "n/a"),
        _xlpm.we_camera_on_date, IFERROR(AVERAGEIFS(Log!$F:$F, Log!$D:$D,C$4, Log!$C:$C, $A32, Log!$A:$A, "Daily", Log!$B:$B, "n/a"), 0),
        _xlpm.ie_camera_on_date, IFERROR(AVERAGEIFS(Log!$G:$G, Log!$D:$D,C$4,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2" s="68" t="str">
        <f>IFERROR(
    _xlfn.LET(
        _xlpm.is_data_present, $A32&lt;&gt;0,
        _xlpm.is_camera_present, COUNTIFS(Log!$C:$C, $A32, Log!$D:$D, D$4, Log!$A:$A, "Daily", Log!$B:$B, "n/a"),
        _xlpm.we_camera_on_date, IFERROR(AVERAGEIFS(Log!$F:$F, Log!$D:$D,D$4, Log!$C:$C, $A32, Log!$A:$A, "Daily", Log!$B:$B, "n/a"), 0),
        _xlpm.ie_camera_on_date, IFERROR(AVERAGEIFS(Log!$G:$G, Log!$D:$D,D$4,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2" s="68" t="str">
        <f>IFERROR(
    _xlfn.LET(
        _xlpm.is_data_present, $A32&lt;&gt;0,
        _xlpm.is_camera_present, COUNTIFS(Log!$C:$C, $A32, Log!$D:$D, E$4, Log!$A:$A, "Daily", Log!$B:$B, "n/a"),
        _xlpm.we_camera_on_date, IFERROR(AVERAGEIFS(Log!$F:$F, Log!$D:$D,E$4, Log!$C:$C, $A32, Log!$A:$A, "Daily", Log!$B:$B, "n/a"), 0),
        _xlpm.ie_camera_on_date, IFERROR(AVERAGEIFS(Log!$G:$G, Log!$D:$D,E$4,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2" s="68" t="str">
        <f>IFERROR(
    _xlfn.LET(
        _xlpm.is_data_present, $A32&lt;&gt;0,
        _xlpm.is_camera_present, COUNTIFS(Log!$C:$C, $A32, Log!$D:$D, F$4, Log!$A:$A, "Daily", Log!$B:$B, "n/a"),
        _xlpm.we_camera_on_date, IFERROR(AVERAGEIFS(Log!$F:$F, Log!$D:$D,F$4, Log!$C:$C, $A32, Log!$A:$A, "Daily", Log!$B:$B, "n/a"), 0),
        _xlpm.ie_camera_on_date, IFERROR(AVERAGEIFS(Log!$G:$G, Log!$D:$D,F$4,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2" s="68" t="str">
        <f>IFERROR(
    _xlfn.LET(
        _xlpm.is_data_present, $A32&lt;&gt;0,
        _xlpm.is_camera_present, COUNTIFS(Log!$C:$C, $A32, Log!$D:$D, G$4, Log!$A:$A, "Daily", Log!$B:$B, "n/a"),
        _xlpm.we_camera_on_date, IFERROR(AVERAGEIFS(Log!$F:$F, Log!$D:$D,G$4, Log!$C:$C, $A32, Log!$A:$A, "Daily", Log!$B:$B, "n/a"), 0),
        _xlpm.ie_camera_on_date, IFERROR(AVERAGEIFS(Log!$G:$G, Log!$D:$D,G$4,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2" s="68" t="str">
        <f>IFERROR(
    _xlfn.LET(
        _xlpm.is_data_present, $A32&lt;&gt;0,
        _xlpm.is_camera_present, COUNTIFS(Log!$C:$C, $A32, Log!$D:$D, H$4, Log!$A:$A, "Daily", Log!$B:$B, "n/a"),
        _xlpm.we_camera_on_date, IFERROR(AVERAGEIFS(Log!$F:$F, Log!$D:$D,H$4, Log!$C:$C, $A32, Log!$A:$A, "Daily", Log!$B:$B, "n/a"), 0),
        _xlpm.ie_camera_on_date, IFERROR(AVERAGEIFS(Log!$G:$G, Log!$D:$D,H$4,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2" s="68" t="str">
        <f>IFERROR(
    _xlfn.LET(
        _xlpm.is_data_present, $A32&lt;&gt;0,
        _xlpm.is_camera_present, COUNTIFS(Log!$C:$C, $A32, Log!$D:$D, I$4, Log!$A:$A, "Daily", Log!$B:$B, "n/a"),
        _xlpm.we_camera_on_date, IFERROR(AVERAGEIFS(Log!$F:$F, Log!$D:$D,I$4, Log!$C:$C, $A32, Log!$A:$A, "Daily", Log!$B:$B, "n/a"), 0),
        _xlpm.ie_camera_on_date, IFERROR(AVERAGEIFS(Log!$G:$G, Log!$D:$D,I$4,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2" s="68" t="str">
        <f>IFERROR(
    _xlfn.LET(
        _xlpm.is_data_present, $A32&lt;&gt;0,
        _xlpm.is_camera_present, COUNTIFS(Log!$C:$C, $A32, Log!$D:$D, J$4, Log!$A:$A, "Daily", Log!$B:$B, "n/a"),
        _xlpm.we_camera_on_date, IFERROR(AVERAGEIFS(Log!$F:$F, Log!$D:$D,J$4, Log!$C:$C, $A32, Log!$A:$A, "Daily", Log!$B:$B, "n/a"), 0),
        _xlpm.ie_camera_on_date, IFERROR(AVERAGEIFS(Log!$G:$G, Log!$D:$D,J$4,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2" s="68" t="str">
        <f>IFERROR(
    _xlfn.LET(
        _xlpm.is_data_present, $A32&lt;&gt;0,
        _xlpm.is_camera_present, COUNTIFS(Log!$C:$C, $A32, Log!$D:$D, K$4, Log!$A:$A, "Daily", Log!$B:$B, "n/a"),
        _xlpm.we_camera_on_date, IFERROR(AVERAGEIFS(Log!$F:$F, Log!$D:$D,K$4, Log!$C:$C, $A32, Log!$A:$A, "Daily", Log!$B:$B, "n/a"), 0),
        _xlpm.ie_camera_on_date, IFERROR(AVERAGEIFS(Log!$G:$G, Log!$D:$D,K$4,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2" s="68" t="str">
        <f>IFERROR(
    _xlfn.LET(
        _xlpm.is_data_present, $A32&lt;&gt;0,
        _xlpm.is_camera_present, COUNTIFS(Log!$C:$C, $A32, Log!$D:$D, L$4, Log!$A:$A, "Daily", Log!$B:$B, "n/a"),
        _xlpm.we_camera_on_date, IFERROR(AVERAGEIFS(Log!$F:$F, Log!$D:$D,L$4, Log!$C:$C, $A32, Log!$A:$A, "Daily", Log!$B:$B, "n/a"), 0),
        _xlpm.ie_camera_on_date, IFERROR(AVERAGEIFS(Log!$G:$G, Log!$D:$D,L$4,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2" s="68" t="str">
        <f>IFERROR(
    _xlfn.LET(
        _xlpm.is_data_present, $A32&lt;&gt;0,
        _xlpm.is_camera_present, COUNTIFS(Log!$C:$C, $A32, Log!$D:$D, M$4, Log!$A:$A, "Daily", Log!$B:$B, "n/a"),
        _xlpm.we_camera_on_date, IFERROR(AVERAGEIFS(Log!$F:$F, Log!$D:$D,M$4, Log!$C:$C, $A32, Log!$A:$A, "Daily", Log!$B:$B, "n/a"), 0),
        _xlpm.ie_camera_on_date, IFERROR(AVERAGEIFS(Log!$G:$G, Log!$D:$D,M$4,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2" s="68" t="str">
        <f>IFERROR(
    _xlfn.LET(
        _xlpm.is_data_present, $A32&lt;&gt;0,
        _xlpm.is_camera_present, COUNTIFS(Log!$C:$C, $A32, Log!$D:$D, N$4, Log!$A:$A, "Daily", Log!$B:$B, "n/a"),
        _xlpm.we_camera_on_date, IFERROR(AVERAGEIFS(Log!$F:$F, Log!$D:$D,N$4, Log!$C:$C, $A32, Log!$A:$A, "Daily", Log!$B:$B, "n/a"), 0),
        _xlpm.ie_camera_on_date, IFERROR(AVERAGEIFS(Log!$G:$G, Log!$D:$D,N$4,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2" s="68" t="str">
        <f>IFERROR(
    _xlfn.LET(
        _xlpm.is_data_present, $A32&lt;&gt;0,
        _xlpm.is_camera_present, COUNTIFS(Log!$C:$C, $A32, Log!$D:$D, O$4, Log!$A:$A, "Daily", Log!$B:$B, "n/a"),
        _xlpm.we_camera_on_date, IFERROR(AVERAGEIFS(Log!$F:$F, Log!$D:$D,O$4, Log!$C:$C, $A32, Log!$A:$A, "Daily", Log!$B:$B, "n/a"), 0),
        _xlpm.ie_camera_on_date, IFERROR(AVERAGEIFS(Log!$G:$G, Log!$D:$D,O$4,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2" s="68" t="str">
        <f>IFERROR(
    _xlfn.LET(
        _xlpm.is_data_present, $A32&lt;&gt;0,
        _xlpm.is_camera_present, COUNTIFS(Log!$C:$C, $A32, Log!$D:$D, P$4, Log!$A:$A, "Daily", Log!$B:$B, "n/a"),
        _xlpm.we_camera_on_date, IFERROR(AVERAGEIFS(Log!$F:$F, Log!$D:$D,P$4, Log!$C:$C, $A32, Log!$A:$A, "Daily", Log!$B:$B, "n/a"), 0),
        _xlpm.ie_camera_on_date, IFERROR(AVERAGEIFS(Log!$G:$G, Log!$D:$D,P$4,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2" s="68" t="str">
        <f>IFERROR(
    _xlfn.LET(
        _xlpm.is_data_present, $A32&lt;&gt;0,
        _xlpm.is_camera_present, COUNTIFS(Log!$C:$C, $A32, Log!$D:$D, Q$4, Log!$A:$A, "Daily", Log!$B:$B, "n/a"),
        _xlpm.we_camera_on_date, IFERROR(AVERAGEIFS(Log!$F:$F, Log!$D:$D,Q$4, Log!$C:$C, $A32, Log!$A:$A, "Daily", Log!$B:$B, "n/a"), 0),
        _xlpm.ie_camera_on_date, IFERROR(AVERAGEIFS(Log!$G:$G, Log!$D:$D,Q$4,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2" s="68" t="str">
        <f>IFERROR(
    _xlfn.LET(
        _xlpm.is_data_present, $A32&lt;&gt;0,
        _xlpm.is_camera_present, COUNTIFS(Log!$C:$C, $A32, Log!$D:$D, R$4, Log!$A:$A, "Daily", Log!$B:$B, "n/a"),
        _xlpm.we_camera_on_date, IFERROR(AVERAGEIFS(Log!$F:$F, Log!$D:$D,R$4, Log!$C:$C, $A32, Log!$A:$A, "Daily", Log!$B:$B, "n/a"), 0),
        _xlpm.ie_camera_on_date, IFERROR(AVERAGEIFS(Log!$G:$G, Log!$D:$D,R$4,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2" s="68" t="str">
        <f>IFERROR(
    _xlfn.LET(
        _xlpm.is_data_present, $A32&lt;&gt;0,
        _xlpm.is_camera_present, COUNTIFS(Log!$C:$C, $A32, Log!$D:$D, S$4, Log!$A:$A, "Daily", Log!$B:$B, "n/a"),
        _xlpm.we_camera_on_date, IFERROR(AVERAGEIFS(Log!$F:$F, Log!$D:$D,S$4, Log!$C:$C, $A32, Log!$A:$A, "Daily", Log!$B:$B, "n/a"), 0),
        _xlpm.ie_camera_on_date, IFERROR(AVERAGEIFS(Log!$G:$G, Log!$D:$D,S$4, Log!$C:$C, $A32, Log!$A:$A, "Daily", Log!$B:$B, "n/a"), 0),
        _xlpm.we_avg, IFERROR(AVERAGEIFS(Log!$F:$F,Log!$C:$C,$A32, Log!$A:$A, "Daily", Log!$B:$B, "n/a"),0),
        _xlpm.ie_avg, IFERROR(AVERAGEIFS(Log!$G:$G,Log!$C:$C,$A32,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3" spans="2:19" x14ac:dyDescent="0.3">
      <c r="B33" s="68" t="str">
        <f>IFERROR(
    _xlfn.LET(
        _xlpm.is_data_present, $A33&lt;&gt;0,
        _xlpm.is_camera_present, COUNTIFS(Log!$C:$C, $A33, Log!$D:$D, B$4, Log!$A:$A, "Daily", Log!$B:$B, "n/a"),
        _xlpm.we_camera_on_date, IFERROR(AVERAGEIFS(Log!$F:$F, Log!$D:$D,B$4, Log!$C:$C, $A33, Log!$A:$A, "Daily", Log!$B:$B, "n/a"), 0),
        _xlpm.ie_camera_on_date, IFERROR(AVERAGEIFS(Log!$G:$G, Log!$D:$D,B$4,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3" s="68" t="str">
        <f>IFERROR(
    _xlfn.LET(
        _xlpm.is_data_present, $A33&lt;&gt;0,
        _xlpm.is_camera_present, COUNTIFS(Log!$C:$C, $A33, Log!$D:$D, C$4, Log!$A:$A, "Daily", Log!$B:$B, "n/a"),
        _xlpm.we_camera_on_date, IFERROR(AVERAGEIFS(Log!$F:$F, Log!$D:$D,C$4, Log!$C:$C, $A33, Log!$A:$A, "Daily", Log!$B:$B, "n/a"), 0),
        _xlpm.ie_camera_on_date, IFERROR(AVERAGEIFS(Log!$G:$G, Log!$D:$D,C$4,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3" s="68" t="str">
        <f>IFERROR(
    _xlfn.LET(
        _xlpm.is_data_present, $A33&lt;&gt;0,
        _xlpm.is_camera_present, COUNTIFS(Log!$C:$C, $A33, Log!$D:$D, D$4, Log!$A:$A, "Daily", Log!$B:$B, "n/a"),
        _xlpm.we_camera_on_date, IFERROR(AVERAGEIFS(Log!$F:$F, Log!$D:$D,D$4, Log!$C:$C, $A33, Log!$A:$A, "Daily", Log!$B:$B, "n/a"), 0),
        _xlpm.ie_camera_on_date, IFERROR(AVERAGEIFS(Log!$G:$G, Log!$D:$D,D$4,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3" s="68" t="str">
        <f>IFERROR(
    _xlfn.LET(
        _xlpm.is_data_present, $A33&lt;&gt;0,
        _xlpm.is_camera_present, COUNTIFS(Log!$C:$C, $A33, Log!$D:$D, E$4, Log!$A:$A, "Daily", Log!$B:$B, "n/a"),
        _xlpm.we_camera_on_date, IFERROR(AVERAGEIFS(Log!$F:$F, Log!$D:$D,E$4, Log!$C:$C, $A33, Log!$A:$A, "Daily", Log!$B:$B, "n/a"), 0),
        _xlpm.ie_camera_on_date, IFERROR(AVERAGEIFS(Log!$G:$G, Log!$D:$D,E$4,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3" s="68" t="str">
        <f>IFERROR(
    _xlfn.LET(
        _xlpm.is_data_present, $A33&lt;&gt;0,
        _xlpm.is_camera_present, COUNTIFS(Log!$C:$C, $A33, Log!$D:$D, F$4, Log!$A:$A, "Daily", Log!$B:$B, "n/a"),
        _xlpm.we_camera_on_date, IFERROR(AVERAGEIFS(Log!$F:$F, Log!$D:$D,F$4, Log!$C:$C, $A33, Log!$A:$A, "Daily", Log!$B:$B, "n/a"), 0),
        _xlpm.ie_camera_on_date, IFERROR(AVERAGEIFS(Log!$G:$G, Log!$D:$D,F$4,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3" s="68" t="str">
        <f>IFERROR(
    _xlfn.LET(
        _xlpm.is_data_present, $A33&lt;&gt;0,
        _xlpm.is_camera_present, COUNTIFS(Log!$C:$C, $A33, Log!$D:$D, G$4, Log!$A:$A, "Daily", Log!$B:$B, "n/a"),
        _xlpm.we_camera_on_date, IFERROR(AVERAGEIFS(Log!$F:$F, Log!$D:$D,G$4, Log!$C:$C, $A33, Log!$A:$A, "Daily", Log!$B:$B, "n/a"), 0),
        _xlpm.ie_camera_on_date, IFERROR(AVERAGEIFS(Log!$G:$G, Log!$D:$D,G$4,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3" s="68" t="str">
        <f>IFERROR(
    _xlfn.LET(
        _xlpm.is_data_present, $A33&lt;&gt;0,
        _xlpm.is_camera_present, COUNTIFS(Log!$C:$C, $A33, Log!$D:$D, H$4, Log!$A:$A, "Daily", Log!$B:$B, "n/a"),
        _xlpm.we_camera_on_date, IFERROR(AVERAGEIFS(Log!$F:$F, Log!$D:$D,H$4, Log!$C:$C, $A33, Log!$A:$A, "Daily", Log!$B:$B, "n/a"), 0),
        _xlpm.ie_camera_on_date, IFERROR(AVERAGEIFS(Log!$G:$G, Log!$D:$D,H$4,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3" s="68" t="str">
        <f>IFERROR(
    _xlfn.LET(
        _xlpm.is_data_present, $A33&lt;&gt;0,
        _xlpm.is_camera_present, COUNTIFS(Log!$C:$C, $A33, Log!$D:$D, I$4, Log!$A:$A, "Daily", Log!$B:$B, "n/a"),
        _xlpm.we_camera_on_date, IFERROR(AVERAGEIFS(Log!$F:$F, Log!$D:$D,I$4, Log!$C:$C, $A33, Log!$A:$A, "Daily", Log!$B:$B, "n/a"), 0),
        _xlpm.ie_camera_on_date, IFERROR(AVERAGEIFS(Log!$G:$G, Log!$D:$D,I$4,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3" s="68" t="str">
        <f>IFERROR(
    _xlfn.LET(
        _xlpm.is_data_present, $A33&lt;&gt;0,
        _xlpm.is_camera_present, COUNTIFS(Log!$C:$C, $A33, Log!$D:$D, J$4, Log!$A:$A, "Daily", Log!$B:$B, "n/a"),
        _xlpm.we_camera_on_date, IFERROR(AVERAGEIFS(Log!$F:$F, Log!$D:$D,J$4, Log!$C:$C, $A33, Log!$A:$A, "Daily", Log!$B:$B, "n/a"), 0),
        _xlpm.ie_camera_on_date, IFERROR(AVERAGEIFS(Log!$G:$G, Log!$D:$D,J$4,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3" s="68" t="str">
        <f>IFERROR(
    _xlfn.LET(
        _xlpm.is_data_present, $A33&lt;&gt;0,
        _xlpm.is_camera_present, COUNTIFS(Log!$C:$C, $A33, Log!$D:$D, K$4, Log!$A:$A, "Daily", Log!$B:$B, "n/a"),
        _xlpm.we_camera_on_date, IFERROR(AVERAGEIFS(Log!$F:$F, Log!$D:$D,K$4, Log!$C:$C, $A33, Log!$A:$A, "Daily", Log!$B:$B, "n/a"), 0),
        _xlpm.ie_camera_on_date, IFERROR(AVERAGEIFS(Log!$G:$G, Log!$D:$D,K$4,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3" s="68" t="str">
        <f>IFERROR(
    _xlfn.LET(
        _xlpm.is_data_present, $A33&lt;&gt;0,
        _xlpm.is_camera_present, COUNTIFS(Log!$C:$C, $A33, Log!$D:$D, L$4, Log!$A:$A, "Daily", Log!$B:$B, "n/a"),
        _xlpm.we_camera_on_date, IFERROR(AVERAGEIFS(Log!$F:$F, Log!$D:$D,L$4, Log!$C:$C, $A33, Log!$A:$A, "Daily", Log!$B:$B, "n/a"), 0),
        _xlpm.ie_camera_on_date, IFERROR(AVERAGEIFS(Log!$G:$G, Log!$D:$D,L$4,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3" s="68" t="str">
        <f>IFERROR(
    _xlfn.LET(
        _xlpm.is_data_present, $A33&lt;&gt;0,
        _xlpm.is_camera_present, COUNTIFS(Log!$C:$C, $A33, Log!$D:$D, M$4, Log!$A:$A, "Daily", Log!$B:$B, "n/a"),
        _xlpm.we_camera_on_date, IFERROR(AVERAGEIFS(Log!$F:$F, Log!$D:$D,M$4, Log!$C:$C, $A33, Log!$A:$A, "Daily", Log!$B:$B, "n/a"), 0),
        _xlpm.ie_camera_on_date, IFERROR(AVERAGEIFS(Log!$G:$G, Log!$D:$D,M$4,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3" s="68" t="str">
        <f>IFERROR(
    _xlfn.LET(
        _xlpm.is_data_present, $A33&lt;&gt;0,
        _xlpm.is_camera_present, COUNTIFS(Log!$C:$C, $A33, Log!$D:$D, N$4, Log!$A:$A, "Daily", Log!$B:$B, "n/a"),
        _xlpm.we_camera_on_date, IFERROR(AVERAGEIFS(Log!$F:$F, Log!$D:$D,N$4, Log!$C:$C, $A33, Log!$A:$A, "Daily", Log!$B:$B, "n/a"), 0),
        _xlpm.ie_camera_on_date, IFERROR(AVERAGEIFS(Log!$G:$G, Log!$D:$D,N$4,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3" s="68" t="str">
        <f>IFERROR(
    _xlfn.LET(
        _xlpm.is_data_present, $A33&lt;&gt;0,
        _xlpm.is_camera_present, COUNTIFS(Log!$C:$C, $A33, Log!$D:$D, O$4, Log!$A:$A, "Daily", Log!$B:$B, "n/a"),
        _xlpm.we_camera_on_date, IFERROR(AVERAGEIFS(Log!$F:$F, Log!$D:$D,O$4, Log!$C:$C, $A33, Log!$A:$A, "Daily", Log!$B:$B, "n/a"), 0),
        _xlpm.ie_camera_on_date, IFERROR(AVERAGEIFS(Log!$G:$G, Log!$D:$D,O$4,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3" s="68" t="str">
        <f>IFERROR(
    _xlfn.LET(
        _xlpm.is_data_present, $A33&lt;&gt;0,
        _xlpm.is_camera_present, COUNTIFS(Log!$C:$C, $A33, Log!$D:$D, P$4, Log!$A:$A, "Daily", Log!$B:$B, "n/a"),
        _xlpm.we_camera_on_date, IFERROR(AVERAGEIFS(Log!$F:$F, Log!$D:$D,P$4, Log!$C:$C, $A33, Log!$A:$A, "Daily", Log!$B:$B, "n/a"), 0),
        _xlpm.ie_camera_on_date, IFERROR(AVERAGEIFS(Log!$G:$G, Log!$D:$D,P$4,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3" s="68" t="str">
        <f>IFERROR(
    _xlfn.LET(
        _xlpm.is_data_present, $A33&lt;&gt;0,
        _xlpm.is_camera_present, COUNTIFS(Log!$C:$C, $A33, Log!$D:$D, Q$4, Log!$A:$A, "Daily", Log!$B:$B, "n/a"),
        _xlpm.we_camera_on_date, IFERROR(AVERAGEIFS(Log!$F:$F, Log!$D:$D,Q$4, Log!$C:$C, $A33, Log!$A:$A, "Daily", Log!$B:$B, "n/a"), 0),
        _xlpm.ie_camera_on_date, IFERROR(AVERAGEIFS(Log!$G:$G, Log!$D:$D,Q$4,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3" s="68" t="str">
        <f>IFERROR(
    _xlfn.LET(
        _xlpm.is_data_present, $A33&lt;&gt;0,
        _xlpm.is_camera_present, COUNTIFS(Log!$C:$C, $A33, Log!$D:$D, R$4, Log!$A:$A, "Daily", Log!$B:$B, "n/a"),
        _xlpm.we_camera_on_date, IFERROR(AVERAGEIFS(Log!$F:$F, Log!$D:$D,R$4, Log!$C:$C, $A33, Log!$A:$A, "Daily", Log!$B:$B, "n/a"), 0),
        _xlpm.ie_camera_on_date, IFERROR(AVERAGEIFS(Log!$G:$G, Log!$D:$D,R$4,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3" s="68" t="str">
        <f>IFERROR(
    _xlfn.LET(
        _xlpm.is_data_present, $A33&lt;&gt;0,
        _xlpm.is_camera_present, COUNTIFS(Log!$C:$C, $A33, Log!$D:$D, S$4, Log!$A:$A, "Daily", Log!$B:$B, "n/a"),
        _xlpm.we_camera_on_date, IFERROR(AVERAGEIFS(Log!$F:$F, Log!$D:$D,S$4, Log!$C:$C, $A33, Log!$A:$A, "Daily", Log!$B:$B, "n/a"), 0),
        _xlpm.ie_camera_on_date, IFERROR(AVERAGEIFS(Log!$G:$G, Log!$D:$D,S$4, Log!$C:$C, $A33, Log!$A:$A, "Daily", Log!$B:$B, "n/a"), 0),
        _xlpm.we_avg, IFERROR(AVERAGEIFS(Log!$F:$F,Log!$C:$C,$A33, Log!$A:$A, "Daily", Log!$B:$B, "n/a"),0),
        _xlpm.ie_avg, IFERROR(AVERAGEIFS(Log!$G:$G,Log!$C:$C,$A33,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4" spans="2:19" x14ac:dyDescent="0.3">
      <c r="B34" s="68" t="str">
        <f>IFERROR(
    _xlfn.LET(
        _xlpm.is_data_present, $A34&lt;&gt;0,
        _xlpm.is_camera_present, COUNTIFS(Log!$C:$C, $A34, Log!$D:$D, B$4, Log!$A:$A, "Daily", Log!$B:$B, "n/a"),
        _xlpm.we_camera_on_date, IFERROR(AVERAGEIFS(Log!$F:$F, Log!$D:$D,B$4, Log!$C:$C, $A34, Log!$A:$A, "Daily", Log!$B:$B, "n/a"), 0),
        _xlpm.ie_camera_on_date, IFERROR(AVERAGEIFS(Log!$G:$G, Log!$D:$D,B$4,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4" s="68" t="str">
        <f>IFERROR(
    _xlfn.LET(
        _xlpm.is_data_present, $A34&lt;&gt;0,
        _xlpm.is_camera_present, COUNTIFS(Log!$C:$C, $A34, Log!$D:$D, C$4, Log!$A:$A, "Daily", Log!$B:$B, "n/a"),
        _xlpm.we_camera_on_date, IFERROR(AVERAGEIFS(Log!$F:$F, Log!$D:$D,C$4, Log!$C:$C, $A34, Log!$A:$A, "Daily", Log!$B:$B, "n/a"), 0),
        _xlpm.ie_camera_on_date, IFERROR(AVERAGEIFS(Log!$G:$G, Log!$D:$D,C$4,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4" s="68" t="str">
        <f>IFERROR(
    _xlfn.LET(
        _xlpm.is_data_present, $A34&lt;&gt;0,
        _xlpm.is_camera_present, COUNTIFS(Log!$C:$C, $A34, Log!$D:$D, D$4, Log!$A:$A, "Daily", Log!$B:$B, "n/a"),
        _xlpm.we_camera_on_date, IFERROR(AVERAGEIFS(Log!$F:$F, Log!$D:$D,D$4, Log!$C:$C, $A34, Log!$A:$A, "Daily", Log!$B:$B, "n/a"), 0),
        _xlpm.ie_camera_on_date, IFERROR(AVERAGEIFS(Log!$G:$G, Log!$D:$D,D$4,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4" s="68" t="str">
        <f>IFERROR(
    _xlfn.LET(
        _xlpm.is_data_present, $A34&lt;&gt;0,
        _xlpm.is_camera_present, COUNTIFS(Log!$C:$C, $A34, Log!$D:$D, E$4, Log!$A:$A, "Daily", Log!$B:$B, "n/a"),
        _xlpm.we_camera_on_date, IFERROR(AVERAGEIFS(Log!$F:$F, Log!$D:$D,E$4, Log!$C:$C, $A34, Log!$A:$A, "Daily", Log!$B:$B, "n/a"), 0),
        _xlpm.ie_camera_on_date, IFERROR(AVERAGEIFS(Log!$G:$G, Log!$D:$D,E$4,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4" s="68" t="str">
        <f>IFERROR(
    _xlfn.LET(
        _xlpm.is_data_present, $A34&lt;&gt;0,
        _xlpm.is_camera_present, COUNTIFS(Log!$C:$C, $A34, Log!$D:$D, F$4, Log!$A:$A, "Daily", Log!$B:$B, "n/a"),
        _xlpm.we_camera_on_date, IFERROR(AVERAGEIFS(Log!$F:$F, Log!$D:$D,F$4, Log!$C:$C, $A34, Log!$A:$A, "Daily", Log!$B:$B, "n/a"), 0),
        _xlpm.ie_camera_on_date, IFERROR(AVERAGEIFS(Log!$G:$G, Log!$D:$D,F$4,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4" s="68" t="str">
        <f>IFERROR(
    _xlfn.LET(
        _xlpm.is_data_present, $A34&lt;&gt;0,
        _xlpm.is_camera_present, COUNTIFS(Log!$C:$C, $A34, Log!$D:$D, G$4, Log!$A:$A, "Daily", Log!$B:$B, "n/a"),
        _xlpm.we_camera_on_date, IFERROR(AVERAGEIFS(Log!$F:$F, Log!$D:$D,G$4, Log!$C:$C, $A34, Log!$A:$A, "Daily", Log!$B:$B, "n/a"), 0),
        _xlpm.ie_camera_on_date, IFERROR(AVERAGEIFS(Log!$G:$G, Log!$D:$D,G$4,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4" s="68" t="str">
        <f>IFERROR(
    _xlfn.LET(
        _xlpm.is_data_present, $A34&lt;&gt;0,
        _xlpm.is_camera_present, COUNTIFS(Log!$C:$C, $A34, Log!$D:$D, H$4, Log!$A:$A, "Daily", Log!$B:$B, "n/a"),
        _xlpm.we_camera_on_date, IFERROR(AVERAGEIFS(Log!$F:$F, Log!$D:$D,H$4, Log!$C:$C, $A34, Log!$A:$A, "Daily", Log!$B:$B, "n/a"), 0),
        _xlpm.ie_camera_on_date, IFERROR(AVERAGEIFS(Log!$G:$G, Log!$D:$D,H$4,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4" s="68" t="str">
        <f>IFERROR(
    _xlfn.LET(
        _xlpm.is_data_present, $A34&lt;&gt;0,
        _xlpm.is_camera_present, COUNTIFS(Log!$C:$C, $A34, Log!$D:$D, I$4, Log!$A:$A, "Daily", Log!$B:$B, "n/a"),
        _xlpm.we_camera_on_date, IFERROR(AVERAGEIFS(Log!$F:$F, Log!$D:$D,I$4, Log!$C:$C, $A34, Log!$A:$A, "Daily", Log!$B:$B, "n/a"), 0),
        _xlpm.ie_camera_on_date, IFERROR(AVERAGEIFS(Log!$G:$G, Log!$D:$D,I$4,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4" s="68" t="str">
        <f>IFERROR(
    _xlfn.LET(
        _xlpm.is_data_present, $A34&lt;&gt;0,
        _xlpm.is_camera_present, COUNTIFS(Log!$C:$C, $A34, Log!$D:$D, J$4, Log!$A:$A, "Daily", Log!$B:$B, "n/a"),
        _xlpm.we_camera_on_date, IFERROR(AVERAGEIFS(Log!$F:$F, Log!$D:$D,J$4, Log!$C:$C, $A34, Log!$A:$A, "Daily", Log!$B:$B, "n/a"), 0),
        _xlpm.ie_camera_on_date, IFERROR(AVERAGEIFS(Log!$G:$G, Log!$D:$D,J$4,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4" s="68" t="str">
        <f>IFERROR(
    _xlfn.LET(
        _xlpm.is_data_present, $A34&lt;&gt;0,
        _xlpm.is_camera_present, COUNTIFS(Log!$C:$C, $A34, Log!$D:$D, K$4, Log!$A:$A, "Daily", Log!$B:$B, "n/a"),
        _xlpm.we_camera_on_date, IFERROR(AVERAGEIFS(Log!$F:$F, Log!$D:$D,K$4, Log!$C:$C, $A34, Log!$A:$A, "Daily", Log!$B:$B, "n/a"), 0),
        _xlpm.ie_camera_on_date, IFERROR(AVERAGEIFS(Log!$G:$G, Log!$D:$D,K$4,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4" s="68" t="str">
        <f>IFERROR(
    _xlfn.LET(
        _xlpm.is_data_present, $A34&lt;&gt;0,
        _xlpm.is_camera_present, COUNTIFS(Log!$C:$C, $A34, Log!$D:$D, L$4, Log!$A:$A, "Daily", Log!$B:$B, "n/a"),
        _xlpm.we_camera_on_date, IFERROR(AVERAGEIFS(Log!$F:$F, Log!$D:$D,L$4, Log!$C:$C, $A34, Log!$A:$A, "Daily", Log!$B:$B, "n/a"), 0),
        _xlpm.ie_camera_on_date, IFERROR(AVERAGEIFS(Log!$G:$G, Log!$D:$D,L$4,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4" s="68" t="str">
        <f>IFERROR(
    _xlfn.LET(
        _xlpm.is_data_present, $A34&lt;&gt;0,
        _xlpm.is_camera_present, COUNTIFS(Log!$C:$C, $A34, Log!$D:$D, M$4, Log!$A:$A, "Daily", Log!$B:$B, "n/a"),
        _xlpm.we_camera_on_date, IFERROR(AVERAGEIFS(Log!$F:$F, Log!$D:$D,M$4, Log!$C:$C, $A34, Log!$A:$A, "Daily", Log!$B:$B, "n/a"), 0),
        _xlpm.ie_camera_on_date, IFERROR(AVERAGEIFS(Log!$G:$G, Log!$D:$D,M$4,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4" s="68" t="str">
        <f>IFERROR(
    _xlfn.LET(
        _xlpm.is_data_present, $A34&lt;&gt;0,
        _xlpm.is_camera_present, COUNTIFS(Log!$C:$C, $A34, Log!$D:$D, N$4, Log!$A:$A, "Daily", Log!$B:$B, "n/a"),
        _xlpm.we_camera_on_date, IFERROR(AVERAGEIFS(Log!$F:$F, Log!$D:$D,N$4, Log!$C:$C, $A34, Log!$A:$A, "Daily", Log!$B:$B, "n/a"), 0),
        _xlpm.ie_camera_on_date, IFERROR(AVERAGEIFS(Log!$G:$G, Log!$D:$D,N$4,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4" s="68" t="str">
        <f>IFERROR(
    _xlfn.LET(
        _xlpm.is_data_present, $A34&lt;&gt;0,
        _xlpm.is_camera_present, COUNTIFS(Log!$C:$C, $A34, Log!$D:$D, O$4, Log!$A:$A, "Daily", Log!$B:$B, "n/a"),
        _xlpm.we_camera_on_date, IFERROR(AVERAGEIFS(Log!$F:$F, Log!$D:$D,O$4, Log!$C:$C, $A34, Log!$A:$A, "Daily", Log!$B:$B, "n/a"), 0),
        _xlpm.ie_camera_on_date, IFERROR(AVERAGEIFS(Log!$G:$G, Log!$D:$D,O$4,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4" s="68" t="str">
        <f>IFERROR(
    _xlfn.LET(
        _xlpm.is_data_present, $A34&lt;&gt;0,
        _xlpm.is_camera_present, COUNTIFS(Log!$C:$C, $A34, Log!$D:$D, P$4, Log!$A:$A, "Daily", Log!$B:$B, "n/a"),
        _xlpm.we_camera_on_date, IFERROR(AVERAGEIFS(Log!$F:$F, Log!$D:$D,P$4, Log!$C:$C, $A34, Log!$A:$A, "Daily", Log!$B:$B, "n/a"), 0),
        _xlpm.ie_camera_on_date, IFERROR(AVERAGEIFS(Log!$G:$G, Log!$D:$D,P$4,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4" s="68" t="str">
        <f>IFERROR(
    _xlfn.LET(
        _xlpm.is_data_present, $A34&lt;&gt;0,
        _xlpm.is_camera_present, COUNTIFS(Log!$C:$C, $A34, Log!$D:$D, Q$4, Log!$A:$A, "Daily", Log!$B:$B, "n/a"),
        _xlpm.we_camera_on_date, IFERROR(AVERAGEIFS(Log!$F:$F, Log!$D:$D,Q$4, Log!$C:$C, $A34, Log!$A:$A, "Daily", Log!$B:$B, "n/a"), 0),
        _xlpm.ie_camera_on_date, IFERROR(AVERAGEIFS(Log!$G:$G, Log!$D:$D,Q$4,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4" s="68" t="str">
        <f>IFERROR(
    _xlfn.LET(
        _xlpm.is_data_present, $A34&lt;&gt;0,
        _xlpm.is_camera_present, COUNTIFS(Log!$C:$C, $A34, Log!$D:$D, R$4, Log!$A:$A, "Daily", Log!$B:$B, "n/a"),
        _xlpm.we_camera_on_date, IFERROR(AVERAGEIFS(Log!$F:$F, Log!$D:$D,R$4, Log!$C:$C, $A34, Log!$A:$A, "Daily", Log!$B:$B, "n/a"), 0),
        _xlpm.ie_camera_on_date, IFERROR(AVERAGEIFS(Log!$G:$G, Log!$D:$D,R$4,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4" s="68" t="str">
        <f>IFERROR(
    _xlfn.LET(
        _xlpm.is_data_present, $A34&lt;&gt;0,
        _xlpm.is_camera_present, COUNTIFS(Log!$C:$C, $A34, Log!$D:$D, S$4, Log!$A:$A, "Daily", Log!$B:$B, "n/a"),
        _xlpm.we_camera_on_date, IFERROR(AVERAGEIFS(Log!$F:$F, Log!$D:$D,S$4, Log!$C:$C, $A34, Log!$A:$A, "Daily", Log!$B:$B, "n/a"), 0),
        _xlpm.ie_camera_on_date, IFERROR(AVERAGEIFS(Log!$G:$G, Log!$D:$D,S$4, Log!$C:$C, $A34, Log!$A:$A, "Daily", Log!$B:$B, "n/a"), 0),
        _xlpm.we_avg, IFERROR(AVERAGEIFS(Log!$F:$F,Log!$C:$C,$A34, Log!$A:$A, "Daily", Log!$B:$B, "n/a"),0),
        _xlpm.ie_avg, IFERROR(AVERAGEIFS(Log!$G:$G,Log!$C:$C,$A34,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5" spans="2:19" x14ac:dyDescent="0.3">
      <c r="B35" s="68" t="str">
        <f>IFERROR(
    _xlfn.LET(
        _xlpm.is_data_present, $A35&lt;&gt;0,
        _xlpm.is_camera_present, COUNTIFS(Log!$C:$C, $A35, Log!$D:$D, B$4, Log!$A:$A, "Daily", Log!$B:$B, "n/a"),
        _xlpm.we_camera_on_date, IFERROR(AVERAGEIFS(Log!$F:$F, Log!$D:$D,B$4, Log!$C:$C, $A35, Log!$A:$A, "Daily", Log!$B:$B, "n/a"), 0),
        _xlpm.ie_camera_on_date, IFERROR(AVERAGEIFS(Log!$G:$G, Log!$D:$D,B$4,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5" s="68" t="str">
        <f>IFERROR(
    _xlfn.LET(
        _xlpm.is_data_present, $A35&lt;&gt;0,
        _xlpm.is_camera_present, COUNTIFS(Log!$C:$C, $A35, Log!$D:$D, C$4, Log!$A:$A, "Daily", Log!$B:$B, "n/a"),
        _xlpm.we_camera_on_date, IFERROR(AVERAGEIFS(Log!$F:$F, Log!$D:$D,C$4, Log!$C:$C, $A35, Log!$A:$A, "Daily", Log!$B:$B, "n/a"), 0),
        _xlpm.ie_camera_on_date, IFERROR(AVERAGEIFS(Log!$G:$G, Log!$D:$D,C$4,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5" s="68" t="str">
        <f>IFERROR(
    _xlfn.LET(
        _xlpm.is_data_present, $A35&lt;&gt;0,
        _xlpm.is_camera_present, COUNTIFS(Log!$C:$C, $A35, Log!$D:$D, D$4, Log!$A:$A, "Daily", Log!$B:$B, "n/a"),
        _xlpm.we_camera_on_date, IFERROR(AVERAGEIFS(Log!$F:$F, Log!$D:$D,D$4, Log!$C:$C, $A35, Log!$A:$A, "Daily", Log!$B:$B, "n/a"), 0),
        _xlpm.ie_camera_on_date, IFERROR(AVERAGEIFS(Log!$G:$G, Log!$D:$D,D$4,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5" s="68" t="str">
        <f>IFERROR(
    _xlfn.LET(
        _xlpm.is_data_present, $A35&lt;&gt;0,
        _xlpm.is_camera_present, COUNTIFS(Log!$C:$C, $A35, Log!$D:$D, E$4, Log!$A:$A, "Daily", Log!$B:$B, "n/a"),
        _xlpm.we_camera_on_date, IFERROR(AVERAGEIFS(Log!$F:$F, Log!$D:$D,E$4, Log!$C:$C, $A35, Log!$A:$A, "Daily", Log!$B:$B, "n/a"), 0),
        _xlpm.ie_camera_on_date, IFERROR(AVERAGEIFS(Log!$G:$G, Log!$D:$D,E$4,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5" s="68" t="str">
        <f>IFERROR(
    _xlfn.LET(
        _xlpm.is_data_present, $A35&lt;&gt;0,
        _xlpm.is_camera_present, COUNTIFS(Log!$C:$C, $A35, Log!$D:$D, F$4, Log!$A:$A, "Daily", Log!$B:$B, "n/a"),
        _xlpm.we_camera_on_date, IFERROR(AVERAGEIFS(Log!$F:$F, Log!$D:$D,F$4, Log!$C:$C, $A35, Log!$A:$A, "Daily", Log!$B:$B, "n/a"), 0),
        _xlpm.ie_camera_on_date, IFERROR(AVERAGEIFS(Log!$G:$G, Log!$D:$D,F$4,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5" s="68" t="str">
        <f>IFERROR(
    _xlfn.LET(
        _xlpm.is_data_present, $A35&lt;&gt;0,
        _xlpm.is_camera_present, COUNTIFS(Log!$C:$C, $A35, Log!$D:$D, G$4, Log!$A:$A, "Daily", Log!$B:$B, "n/a"),
        _xlpm.we_camera_on_date, IFERROR(AVERAGEIFS(Log!$F:$F, Log!$D:$D,G$4, Log!$C:$C, $A35, Log!$A:$A, "Daily", Log!$B:$B, "n/a"), 0),
        _xlpm.ie_camera_on_date, IFERROR(AVERAGEIFS(Log!$G:$G, Log!$D:$D,G$4,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5" s="68" t="str">
        <f>IFERROR(
    _xlfn.LET(
        _xlpm.is_data_present, $A35&lt;&gt;0,
        _xlpm.is_camera_present, COUNTIFS(Log!$C:$C, $A35, Log!$D:$D, H$4, Log!$A:$A, "Daily", Log!$B:$B, "n/a"),
        _xlpm.we_camera_on_date, IFERROR(AVERAGEIFS(Log!$F:$F, Log!$D:$D,H$4, Log!$C:$C, $A35, Log!$A:$A, "Daily", Log!$B:$B, "n/a"), 0),
        _xlpm.ie_camera_on_date, IFERROR(AVERAGEIFS(Log!$G:$G, Log!$D:$D,H$4,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5" s="68" t="str">
        <f>IFERROR(
    _xlfn.LET(
        _xlpm.is_data_present, $A35&lt;&gt;0,
        _xlpm.is_camera_present, COUNTIFS(Log!$C:$C, $A35, Log!$D:$D, I$4, Log!$A:$A, "Daily", Log!$B:$B, "n/a"),
        _xlpm.we_camera_on_date, IFERROR(AVERAGEIFS(Log!$F:$F, Log!$D:$D,I$4, Log!$C:$C, $A35, Log!$A:$A, "Daily", Log!$B:$B, "n/a"), 0),
        _xlpm.ie_camera_on_date, IFERROR(AVERAGEIFS(Log!$G:$G, Log!$D:$D,I$4,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5" s="68" t="str">
        <f>IFERROR(
    _xlfn.LET(
        _xlpm.is_data_present, $A35&lt;&gt;0,
        _xlpm.is_camera_present, COUNTIFS(Log!$C:$C, $A35, Log!$D:$D, J$4, Log!$A:$A, "Daily", Log!$B:$B, "n/a"),
        _xlpm.we_camera_on_date, IFERROR(AVERAGEIFS(Log!$F:$F, Log!$D:$D,J$4, Log!$C:$C, $A35, Log!$A:$A, "Daily", Log!$B:$B, "n/a"), 0),
        _xlpm.ie_camera_on_date, IFERROR(AVERAGEIFS(Log!$G:$G, Log!$D:$D,J$4,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5" s="68" t="str">
        <f>IFERROR(
    _xlfn.LET(
        _xlpm.is_data_present, $A35&lt;&gt;0,
        _xlpm.is_camera_present, COUNTIFS(Log!$C:$C, $A35, Log!$D:$D, K$4, Log!$A:$A, "Daily", Log!$B:$B, "n/a"),
        _xlpm.we_camera_on_date, IFERROR(AVERAGEIFS(Log!$F:$F, Log!$D:$D,K$4, Log!$C:$C, $A35, Log!$A:$A, "Daily", Log!$B:$B, "n/a"), 0),
        _xlpm.ie_camera_on_date, IFERROR(AVERAGEIFS(Log!$G:$G, Log!$D:$D,K$4,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5" s="68" t="str">
        <f>IFERROR(
    _xlfn.LET(
        _xlpm.is_data_present, $A35&lt;&gt;0,
        _xlpm.is_camera_present, COUNTIFS(Log!$C:$C, $A35, Log!$D:$D, L$4, Log!$A:$A, "Daily", Log!$B:$B, "n/a"),
        _xlpm.we_camera_on_date, IFERROR(AVERAGEIFS(Log!$F:$F, Log!$D:$D,L$4, Log!$C:$C, $A35, Log!$A:$A, "Daily", Log!$B:$B, "n/a"), 0),
        _xlpm.ie_camera_on_date, IFERROR(AVERAGEIFS(Log!$G:$G, Log!$D:$D,L$4,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5" s="68" t="str">
        <f>IFERROR(
    _xlfn.LET(
        _xlpm.is_data_present, $A35&lt;&gt;0,
        _xlpm.is_camera_present, COUNTIFS(Log!$C:$C, $A35, Log!$D:$D, M$4, Log!$A:$A, "Daily", Log!$B:$B, "n/a"),
        _xlpm.we_camera_on_date, IFERROR(AVERAGEIFS(Log!$F:$F, Log!$D:$D,M$4, Log!$C:$C, $A35, Log!$A:$A, "Daily", Log!$B:$B, "n/a"), 0),
        _xlpm.ie_camera_on_date, IFERROR(AVERAGEIFS(Log!$G:$G, Log!$D:$D,M$4,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5" s="68" t="str">
        <f>IFERROR(
    _xlfn.LET(
        _xlpm.is_data_present, $A35&lt;&gt;0,
        _xlpm.is_camera_present, COUNTIFS(Log!$C:$C, $A35, Log!$D:$D, N$4, Log!$A:$A, "Daily", Log!$B:$B, "n/a"),
        _xlpm.we_camera_on_date, IFERROR(AVERAGEIFS(Log!$F:$F, Log!$D:$D,N$4, Log!$C:$C, $A35, Log!$A:$A, "Daily", Log!$B:$B, "n/a"), 0),
        _xlpm.ie_camera_on_date, IFERROR(AVERAGEIFS(Log!$G:$G, Log!$D:$D,N$4,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5" s="68" t="str">
        <f>IFERROR(
    _xlfn.LET(
        _xlpm.is_data_present, $A35&lt;&gt;0,
        _xlpm.is_camera_present, COUNTIFS(Log!$C:$C, $A35, Log!$D:$D, O$4, Log!$A:$A, "Daily", Log!$B:$B, "n/a"),
        _xlpm.we_camera_on_date, IFERROR(AVERAGEIFS(Log!$F:$F, Log!$D:$D,O$4, Log!$C:$C, $A35, Log!$A:$A, "Daily", Log!$B:$B, "n/a"), 0),
        _xlpm.ie_camera_on_date, IFERROR(AVERAGEIFS(Log!$G:$G, Log!$D:$D,O$4,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5" s="68" t="str">
        <f>IFERROR(
    _xlfn.LET(
        _xlpm.is_data_present, $A35&lt;&gt;0,
        _xlpm.is_camera_present, COUNTIFS(Log!$C:$C, $A35, Log!$D:$D, P$4, Log!$A:$A, "Daily", Log!$B:$B, "n/a"),
        _xlpm.we_camera_on_date, IFERROR(AVERAGEIFS(Log!$F:$F, Log!$D:$D,P$4, Log!$C:$C, $A35, Log!$A:$A, "Daily", Log!$B:$B, "n/a"), 0),
        _xlpm.ie_camera_on_date, IFERROR(AVERAGEIFS(Log!$G:$G, Log!$D:$D,P$4,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5" s="68" t="str">
        <f>IFERROR(
    _xlfn.LET(
        _xlpm.is_data_present, $A35&lt;&gt;0,
        _xlpm.is_camera_present, COUNTIFS(Log!$C:$C, $A35, Log!$D:$D, Q$4, Log!$A:$A, "Daily", Log!$B:$B, "n/a"),
        _xlpm.we_camera_on_date, IFERROR(AVERAGEIFS(Log!$F:$F, Log!$D:$D,Q$4, Log!$C:$C, $A35, Log!$A:$A, "Daily", Log!$B:$B, "n/a"), 0),
        _xlpm.ie_camera_on_date, IFERROR(AVERAGEIFS(Log!$G:$G, Log!$D:$D,Q$4,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5" s="68" t="str">
        <f>IFERROR(
    _xlfn.LET(
        _xlpm.is_data_present, $A35&lt;&gt;0,
        _xlpm.is_camera_present, COUNTIFS(Log!$C:$C, $A35, Log!$D:$D, R$4, Log!$A:$A, "Daily", Log!$B:$B, "n/a"),
        _xlpm.we_camera_on_date, IFERROR(AVERAGEIFS(Log!$F:$F, Log!$D:$D,R$4, Log!$C:$C, $A35, Log!$A:$A, "Daily", Log!$B:$B, "n/a"), 0),
        _xlpm.ie_camera_on_date, IFERROR(AVERAGEIFS(Log!$G:$G, Log!$D:$D,R$4,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5" s="68" t="str">
        <f>IFERROR(
    _xlfn.LET(
        _xlpm.is_data_present, $A35&lt;&gt;0,
        _xlpm.is_camera_present, COUNTIFS(Log!$C:$C, $A35, Log!$D:$D, S$4, Log!$A:$A, "Daily", Log!$B:$B, "n/a"),
        _xlpm.we_camera_on_date, IFERROR(AVERAGEIFS(Log!$F:$F, Log!$D:$D,S$4, Log!$C:$C, $A35, Log!$A:$A, "Daily", Log!$B:$B, "n/a"), 0),
        _xlpm.ie_camera_on_date, IFERROR(AVERAGEIFS(Log!$G:$G, Log!$D:$D,S$4, Log!$C:$C, $A35, Log!$A:$A, "Daily", Log!$B:$B, "n/a"), 0),
        _xlpm.we_avg, IFERROR(AVERAGEIFS(Log!$F:$F,Log!$C:$C,$A35, Log!$A:$A, "Daily", Log!$B:$B, "n/a"),0),
        _xlpm.ie_avg, IFERROR(AVERAGEIFS(Log!$G:$G,Log!$C:$C,$A35,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6" spans="2:19" x14ac:dyDescent="0.3">
      <c r="B36" s="68" t="str">
        <f>IFERROR(
    _xlfn.LET(
        _xlpm.is_data_present, $A36&lt;&gt;0,
        _xlpm.is_camera_present, COUNTIFS(Log!$C:$C, $A36, Log!$D:$D, B$4, Log!$A:$A, "Daily", Log!$B:$B, "n/a"),
        _xlpm.we_camera_on_date, IFERROR(AVERAGEIFS(Log!$F:$F, Log!$D:$D,B$4, Log!$C:$C, $A36, Log!$A:$A, "Daily", Log!$B:$B, "n/a"), 0),
        _xlpm.ie_camera_on_date, IFERROR(AVERAGEIFS(Log!$G:$G, Log!$D:$D,B$4,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6" s="68" t="str">
        <f>IFERROR(
    _xlfn.LET(
        _xlpm.is_data_present, $A36&lt;&gt;0,
        _xlpm.is_camera_present, COUNTIFS(Log!$C:$C, $A36, Log!$D:$D, C$4, Log!$A:$A, "Daily", Log!$B:$B, "n/a"),
        _xlpm.we_camera_on_date, IFERROR(AVERAGEIFS(Log!$F:$F, Log!$D:$D,C$4, Log!$C:$C, $A36, Log!$A:$A, "Daily", Log!$B:$B, "n/a"), 0),
        _xlpm.ie_camera_on_date, IFERROR(AVERAGEIFS(Log!$G:$G, Log!$D:$D,C$4,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6" s="68" t="str">
        <f>IFERROR(
    _xlfn.LET(
        _xlpm.is_data_present, $A36&lt;&gt;0,
        _xlpm.is_camera_present, COUNTIFS(Log!$C:$C, $A36, Log!$D:$D, D$4, Log!$A:$A, "Daily", Log!$B:$B, "n/a"),
        _xlpm.we_camera_on_date, IFERROR(AVERAGEIFS(Log!$F:$F, Log!$D:$D,D$4, Log!$C:$C, $A36, Log!$A:$A, "Daily", Log!$B:$B, "n/a"), 0),
        _xlpm.ie_camera_on_date, IFERROR(AVERAGEIFS(Log!$G:$G, Log!$D:$D,D$4,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6" s="68" t="str">
        <f>IFERROR(
    _xlfn.LET(
        _xlpm.is_data_present, $A36&lt;&gt;0,
        _xlpm.is_camera_present, COUNTIFS(Log!$C:$C, $A36, Log!$D:$D, E$4, Log!$A:$A, "Daily", Log!$B:$B, "n/a"),
        _xlpm.we_camera_on_date, IFERROR(AVERAGEIFS(Log!$F:$F, Log!$D:$D,E$4, Log!$C:$C, $A36, Log!$A:$A, "Daily", Log!$B:$B, "n/a"), 0),
        _xlpm.ie_camera_on_date, IFERROR(AVERAGEIFS(Log!$G:$G, Log!$D:$D,E$4,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6" s="68" t="str">
        <f>IFERROR(
    _xlfn.LET(
        _xlpm.is_data_present, $A36&lt;&gt;0,
        _xlpm.is_camera_present, COUNTIFS(Log!$C:$C, $A36, Log!$D:$D, F$4, Log!$A:$A, "Daily", Log!$B:$B, "n/a"),
        _xlpm.we_camera_on_date, IFERROR(AVERAGEIFS(Log!$F:$F, Log!$D:$D,F$4, Log!$C:$C, $A36, Log!$A:$A, "Daily", Log!$B:$B, "n/a"), 0),
        _xlpm.ie_camera_on_date, IFERROR(AVERAGEIFS(Log!$G:$G, Log!$D:$D,F$4,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6" s="68" t="str">
        <f>IFERROR(
    _xlfn.LET(
        _xlpm.is_data_present, $A36&lt;&gt;0,
        _xlpm.is_camera_present, COUNTIFS(Log!$C:$C, $A36, Log!$D:$D, G$4, Log!$A:$A, "Daily", Log!$B:$B, "n/a"),
        _xlpm.we_camera_on_date, IFERROR(AVERAGEIFS(Log!$F:$F, Log!$D:$D,G$4, Log!$C:$C, $A36, Log!$A:$A, "Daily", Log!$B:$B, "n/a"), 0),
        _xlpm.ie_camera_on_date, IFERROR(AVERAGEIFS(Log!$G:$G, Log!$D:$D,G$4,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6" s="68" t="str">
        <f>IFERROR(
    _xlfn.LET(
        _xlpm.is_data_present, $A36&lt;&gt;0,
        _xlpm.is_camera_present, COUNTIFS(Log!$C:$C, $A36, Log!$D:$D, H$4, Log!$A:$A, "Daily", Log!$B:$B, "n/a"),
        _xlpm.we_camera_on_date, IFERROR(AVERAGEIFS(Log!$F:$F, Log!$D:$D,H$4, Log!$C:$C, $A36, Log!$A:$A, "Daily", Log!$B:$B, "n/a"), 0),
        _xlpm.ie_camera_on_date, IFERROR(AVERAGEIFS(Log!$G:$G, Log!$D:$D,H$4,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6" s="68" t="str">
        <f>IFERROR(
    _xlfn.LET(
        _xlpm.is_data_present, $A36&lt;&gt;0,
        _xlpm.is_camera_present, COUNTIFS(Log!$C:$C, $A36, Log!$D:$D, I$4, Log!$A:$A, "Daily", Log!$B:$B, "n/a"),
        _xlpm.we_camera_on_date, IFERROR(AVERAGEIFS(Log!$F:$F, Log!$D:$D,I$4, Log!$C:$C, $A36, Log!$A:$A, "Daily", Log!$B:$B, "n/a"), 0),
        _xlpm.ie_camera_on_date, IFERROR(AVERAGEIFS(Log!$G:$G, Log!$D:$D,I$4,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6" s="68" t="str">
        <f>IFERROR(
    _xlfn.LET(
        _xlpm.is_data_present, $A36&lt;&gt;0,
        _xlpm.is_camera_present, COUNTIFS(Log!$C:$C, $A36, Log!$D:$D, J$4, Log!$A:$A, "Daily", Log!$B:$B, "n/a"),
        _xlpm.we_camera_on_date, IFERROR(AVERAGEIFS(Log!$F:$F, Log!$D:$D,J$4, Log!$C:$C, $A36, Log!$A:$A, "Daily", Log!$B:$B, "n/a"), 0),
        _xlpm.ie_camera_on_date, IFERROR(AVERAGEIFS(Log!$G:$G, Log!$D:$D,J$4,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6" s="68" t="str">
        <f>IFERROR(
    _xlfn.LET(
        _xlpm.is_data_present, $A36&lt;&gt;0,
        _xlpm.is_camera_present, COUNTIFS(Log!$C:$C, $A36, Log!$D:$D, K$4, Log!$A:$A, "Daily", Log!$B:$B, "n/a"),
        _xlpm.we_camera_on_date, IFERROR(AVERAGEIFS(Log!$F:$F, Log!$D:$D,K$4, Log!$C:$C, $A36, Log!$A:$A, "Daily", Log!$B:$B, "n/a"), 0),
        _xlpm.ie_camera_on_date, IFERROR(AVERAGEIFS(Log!$G:$G, Log!$D:$D,K$4,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6" s="68" t="str">
        <f>IFERROR(
    _xlfn.LET(
        _xlpm.is_data_present, $A36&lt;&gt;0,
        _xlpm.is_camera_present, COUNTIFS(Log!$C:$C, $A36, Log!$D:$D, L$4, Log!$A:$A, "Daily", Log!$B:$B, "n/a"),
        _xlpm.we_camera_on_date, IFERROR(AVERAGEIFS(Log!$F:$F, Log!$D:$D,L$4, Log!$C:$C, $A36, Log!$A:$A, "Daily", Log!$B:$B, "n/a"), 0),
        _xlpm.ie_camera_on_date, IFERROR(AVERAGEIFS(Log!$G:$G, Log!$D:$D,L$4,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6" s="68" t="str">
        <f>IFERROR(
    _xlfn.LET(
        _xlpm.is_data_present, $A36&lt;&gt;0,
        _xlpm.is_camera_present, COUNTIFS(Log!$C:$C, $A36, Log!$D:$D, M$4, Log!$A:$A, "Daily", Log!$B:$B, "n/a"),
        _xlpm.we_camera_on_date, IFERROR(AVERAGEIFS(Log!$F:$F, Log!$D:$D,M$4, Log!$C:$C, $A36, Log!$A:$A, "Daily", Log!$B:$B, "n/a"), 0),
        _xlpm.ie_camera_on_date, IFERROR(AVERAGEIFS(Log!$G:$G, Log!$D:$D,M$4,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6" s="68" t="str">
        <f>IFERROR(
    _xlfn.LET(
        _xlpm.is_data_present, $A36&lt;&gt;0,
        _xlpm.is_camera_present, COUNTIFS(Log!$C:$C, $A36, Log!$D:$D, N$4, Log!$A:$A, "Daily", Log!$B:$B, "n/a"),
        _xlpm.we_camera_on_date, IFERROR(AVERAGEIFS(Log!$F:$F, Log!$D:$D,N$4, Log!$C:$C, $A36, Log!$A:$A, "Daily", Log!$B:$B, "n/a"), 0),
        _xlpm.ie_camera_on_date, IFERROR(AVERAGEIFS(Log!$G:$G, Log!$D:$D,N$4,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6" s="68" t="str">
        <f>IFERROR(
    _xlfn.LET(
        _xlpm.is_data_present, $A36&lt;&gt;0,
        _xlpm.is_camera_present, COUNTIFS(Log!$C:$C, $A36, Log!$D:$D, O$4, Log!$A:$A, "Daily", Log!$B:$B, "n/a"),
        _xlpm.we_camera_on_date, IFERROR(AVERAGEIFS(Log!$F:$F, Log!$D:$D,O$4, Log!$C:$C, $A36, Log!$A:$A, "Daily", Log!$B:$B, "n/a"), 0),
        _xlpm.ie_camera_on_date, IFERROR(AVERAGEIFS(Log!$G:$G, Log!$D:$D,O$4,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6" s="68" t="str">
        <f>IFERROR(
    _xlfn.LET(
        _xlpm.is_data_present, $A36&lt;&gt;0,
        _xlpm.is_camera_present, COUNTIFS(Log!$C:$C, $A36, Log!$D:$D, P$4, Log!$A:$A, "Daily", Log!$B:$B, "n/a"),
        _xlpm.we_camera_on_date, IFERROR(AVERAGEIFS(Log!$F:$F, Log!$D:$D,P$4, Log!$C:$C, $A36, Log!$A:$A, "Daily", Log!$B:$B, "n/a"), 0),
        _xlpm.ie_camera_on_date, IFERROR(AVERAGEIFS(Log!$G:$G, Log!$D:$D,P$4,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6" s="68" t="str">
        <f>IFERROR(
    _xlfn.LET(
        _xlpm.is_data_present, $A36&lt;&gt;0,
        _xlpm.is_camera_present, COUNTIFS(Log!$C:$C, $A36, Log!$D:$D, Q$4, Log!$A:$A, "Daily", Log!$B:$B, "n/a"),
        _xlpm.we_camera_on_date, IFERROR(AVERAGEIFS(Log!$F:$F, Log!$D:$D,Q$4, Log!$C:$C, $A36, Log!$A:$A, "Daily", Log!$B:$B, "n/a"), 0),
        _xlpm.ie_camera_on_date, IFERROR(AVERAGEIFS(Log!$G:$G, Log!$D:$D,Q$4,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6" s="68" t="str">
        <f>IFERROR(
    _xlfn.LET(
        _xlpm.is_data_present, $A36&lt;&gt;0,
        _xlpm.is_camera_present, COUNTIFS(Log!$C:$C, $A36, Log!$D:$D, R$4, Log!$A:$A, "Daily", Log!$B:$B, "n/a"),
        _xlpm.we_camera_on_date, IFERROR(AVERAGEIFS(Log!$F:$F, Log!$D:$D,R$4, Log!$C:$C, $A36, Log!$A:$A, "Daily", Log!$B:$B, "n/a"), 0),
        _xlpm.ie_camera_on_date, IFERROR(AVERAGEIFS(Log!$G:$G, Log!$D:$D,R$4,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6" s="68" t="str">
        <f>IFERROR(
    _xlfn.LET(
        _xlpm.is_data_present, $A36&lt;&gt;0,
        _xlpm.is_camera_present, COUNTIFS(Log!$C:$C, $A36, Log!$D:$D, S$4, Log!$A:$A, "Daily", Log!$B:$B, "n/a"),
        _xlpm.we_camera_on_date, IFERROR(AVERAGEIFS(Log!$F:$F, Log!$D:$D,S$4, Log!$C:$C, $A36, Log!$A:$A, "Daily", Log!$B:$B, "n/a"), 0),
        _xlpm.ie_camera_on_date, IFERROR(AVERAGEIFS(Log!$G:$G, Log!$D:$D,S$4, Log!$C:$C, $A36, Log!$A:$A, "Daily", Log!$B:$B, "n/a"), 0),
        _xlpm.we_avg, IFERROR(AVERAGEIFS(Log!$F:$F,Log!$C:$C,$A36, Log!$A:$A, "Daily", Log!$B:$B, "n/a"),0),
        _xlpm.ie_avg, IFERROR(AVERAGEIFS(Log!$G:$G,Log!$C:$C,$A36,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7" spans="2:19" x14ac:dyDescent="0.3">
      <c r="B37" s="68" t="str">
        <f>IFERROR(
    _xlfn.LET(
        _xlpm.is_data_present, $A37&lt;&gt;0,
        _xlpm.is_camera_present, COUNTIFS(Log!$C:$C, $A37, Log!$D:$D, B$4, Log!$A:$A, "Daily", Log!$B:$B, "n/a"),
        _xlpm.we_camera_on_date, IFERROR(AVERAGEIFS(Log!$F:$F, Log!$D:$D,B$4, Log!$C:$C, $A37, Log!$A:$A, "Daily", Log!$B:$B, "n/a"), 0),
        _xlpm.ie_camera_on_date, IFERROR(AVERAGEIFS(Log!$G:$G, Log!$D:$D,B$4,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7" s="68" t="str">
        <f>IFERROR(
    _xlfn.LET(
        _xlpm.is_data_present, $A37&lt;&gt;0,
        _xlpm.is_camera_present, COUNTIFS(Log!$C:$C, $A37, Log!$D:$D, C$4, Log!$A:$A, "Daily", Log!$B:$B, "n/a"),
        _xlpm.we_camera_on_date, IFERROR(AVERAGEIFS(Log!$F:$F, Log!$D:$D,C$4, Log!$C:$C, $A37, Log!$A:$A, "Daily", Log!$B:$B, "n/a"), 0),
        _xlpm.ie_camera_on_date, IFERROR(AVERAGEIFS(Log!$G:$G, Log!$D:$D,C$4,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7" s="68" t="str">
        <f>IFERROR(
    _xlfn.LET(
        _xlpm.is_data_present, $A37&lt;&gt;0,
        _xlpm.is_camera_present, COUNTIFS(Log!$C:$C, $A37, Log!$D:$D, D$4, Log!$A:$A, "Daily", Log!$B:$B, "n/a"),
        _xlpm.we_camera_on_date, IFERROR(AVERAGEIFS(Log!$F:$F, Log!$D:$D,D$4, Log!$C:$C, $A37, Log!$A:$A, "Daily", Log!$B:$B, "n/a"), 0),
        _xlpm.ie_camera_on_date, IFERROR(AVERAGEIFS(Log!$G:$G, Log!$D:$D,D$4,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7" s="68" t="str">
        <f>IFERROR(
    _xlfn.LET(
        _xlpm.is_data_present, $A37&lt;&gt;0,
        _xlpm.is_camera_present, COUNTIFS(Log!$C:$C, $A37, Log!$D:$D, E$4, Log!$A:$A, "Daily", Log!$B:$B, "n/a"),
        _xlpm.we_camera_on_date, IFERROR(AVERAGEIFS(Log!$F:$F, Log!$D:$D,E$4, Log!$C:$C, $A37, Log!$A:$A, "Daily", Log!$B:$B, "n/a"), 0),
        _xlpm.ie_camera_on_date, IFERROR(AVERAGEIFS(Log!$G:$G, Log!$D:$D,E$4,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7" s="68" t="str">
        <f>IFERROR(
    _xlfn.LET(
        _xlpm.is_data_present, $A37&lt;&gt;0,
        _xlpm.is_camera_present, COUNTIFS(Log!$C:$C, $A37, Log!$D:$D, F$4, Log!$A:$A, "Daily", Log!$B:$B, "n/a"),
        _xlpm.we_camera_on_date, IFERROR(AVERAGEIFS(Log!$F:$F, Log!$D:$D,F$4, Log!$C:$C, $A37, Log!$A:$A, "Daily", Log!$B:$B, "n/a"), 0),
        _xlpm.ie_camera_on_date, IFERROR(AVERAGEIFS(Log!$G:$G, Log!$D:$D,F$4,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7" s="68" t="str">
        <f>IFERROR(
    _xlfn.LET(
        _xlpm.is_data_present, $A37&lt;&gt;0,
        _xlpm.is_camera_present, COUNTIFS(Log!$C:$C, $A37, Log!$D:$D, G$4, Log!$A:$A, "Daily", Log!$B:$B, "n/a"),
        _xlpm.we_camera_on_date, IFERROR(AVERAGEIFS(Log!$F:$F, Log!$D:$D,G$4, Log!$C:$C, $A37, Log!$A:$A, "Daily", Log!$B:$B, "n/a"), 0),
        _xlpm.ie_camera_on_date, IFERROR(AVERAGEIFS(Log!$G:$G, Log!$D:$D,G$4,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7" s="68" t="str">
        <f>IFERROR(
    _xlfn.LET(
        _xlpm.is_data_present, $A37&lt;&gt;0,
        _xlpm.is_camera_present, COUNTIFS(Log!$C:$C, $A37, Log!$D:$D, H$4, Log!$A:$A, "Daily", Log!$B:$B, "n/a"),
        _xlpm.we_camera_on_date, IFERROR(AVERAGEIFS(Log!$F:$F, Log!$D:$D,H$4, Log!$C:$C, $A37, Log!$A:$A, "Daily", Log!$B:$B, "n/a"), 0),
        _xlpm.ie_camera_on_date, IFERROR(AVERAGEIFS(Log!$G:$G, Log!$D:$D,H$4,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7" s="68" t="str">
        <f>IFERROR(
    _xlfn.LET(
        _xlpm.is_data_present, $A37&lt;&gt;0,
        _xlpm.is_camera_present, COUNTIFS(Log!$C:$C, $A37, Log!$D:$D, I$4, Log!$A:$A, "Daily", Log!$B:$B, "n/a"),
        _xlpm.we_camera_on_date, IFERROR(AVERAGEIFS(Log!$F:$F, Log!$D:$D,I$4, Log!$C:$C, $A37, Log!$A:$A, "Daily", Log!$B:$B, "n/a"), 0),
        _xlpm.ie_camera_on_date, IFERROR(AVERAGEIFS(Log!$G:$G, Log!$D:$D,I$4,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7" s="68" t="str">
        <f>IFERROR(
    _xlfn.LET(
        _xlpm.is_data_present, $A37&lt;&gt;0,
        _xlpm.is_camera_present, COUNTIFS(Log!$C:$C, $A37, Log!$D:$D, J$4, Log!$A:$A, "Daily", Log!$B:$B, "n/a"),
        _xlpm.we_camera_on_date, IFERROR(AVERAGEIFS(Log!$F:$F, Log!$D:$D,J$4, Log!$C:$C, $A37, Log!$A:$A, "Daily", Log!$B:$B, "n/a"), 0),
        _xlpm.ie_camera_on_date, IFERROR(AVERAGEIFS(Log!$G:$G, Log!$D:$D,J$4,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7" s="68" t="str">
        <f>IFERROR(
    _xlfn.LET(
        _xlpm.is_data_present, $A37&lt;&gt;0,
        _xlpm.is_camera_present, COUNTIFS(Log!$C:$C, $A37, Log!$D:$D, K$4, Log!$A:$A, "Daily", Log!$B:$B, "n/a"),
        _xlpm.we_camera_on_date, IFERROR(AVERAGEIFS(Log!$F:$F, Log!$D:$D,K$4, Log!$C:$C, $A37, Log!$A:$A, "Daily", Log!$B:$B, "n/a"), 0),
        _xlpm.ie_camera_on_date, IFERROR(AVERAGEIFS(Log!$G:$G, Log!$D:$D,K$4,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7" s="68" t="str">
        <f>IFERROR(
    _xlfn.LET(
        _xlpm.is_data_present, $A37&lt;&gt;0,
        _xlpm.is_camera_present, COUNTIFS(Log!$C:$C, $A37, Log!$D:$D, L$4, Log!$A:$A, "Daily", Log!$B:$B, "n/a"),
        _xlpm.we_camera_on_date, IFERROR(AVERAGEIFS(Log!$F:$F, Log!$D:$D,L$4, Log!$C:$C, $A37, Log!$A:$A, "Daily", Log!$B:$B, "n/a"), 0),
        _xlpm.ie_camera_on_date, IFERROR(AVERAGEIFS(Log!$G:$G, Log!$D:$D,L$4,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7" s="68" t="str">
        <f>IFERROR(
    _xlfn.LET(
        _xlpm.is_data_present, $A37&lt;&gt;0,
        _xlpm.is_camera_present, COUNTIFS(Log!$C:$C, $A37, Log!$D:$D, M$4, Log!$A:$A, "Daily", Log!$B:$B, "n/a"),
        _xlpm.we_camera_on_date, IFERROR(AVERAGEIFS(Log!$F:$F, Log!$D:$D,M$4, Log!$C:$C, $A37, Log!$A:$A, "Daily", Log!$B:$B, "n/a"), 0),
        _xlpm.ie_camera_on_date, IFERROR(AVERAGEIFS(Log!$G:$G, Log!$D:$D,M$4,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7" s="68" t="str">
        <f>IFERROR(
    _xlfn.LET(
        _xlpm.is_data_present, $A37&lt;&gt;0,
        _xlpm.is_camera_present, COUNTIFS(Log!$C:$C, $A37, Log!$D:$D, N$4, Log!$A:$A, "Daily", Log!$B:$B, "n/a"),
        _xlpm.we_camera_on_date, IFERROR(AVERAGEIFS(Log!$F:$F, Log!$D:$D,N$4, Log!$C:$C, $A37, Log!$A:$A, "Daily", Log!$B:$B, "n/a"), 0),
        _xlpm.ie_camera_on_date, IFERROR(AVERAGEIFS(Log!$G:$G, Log!$D:$D,N$4,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7" s="68" t="str">
        <f>IFERROR(
    _xlfn.LET(
        _xlpm.is_data_present, $A37&lt;&gt;0,
        _xlpm.is_camera_present, COUNTIFS(Log!$C:$C, $A37, Log!$D:$D, O$4, Log!$A:$A, "Daily", Log!$B:$B, "n/a"),
        _xlpm.we_camera_on_date, IFERROR(AVERAGEIFS(Log!$F:$F, Log!$D:$D,O$4, Log!$C:$C, $A37, Log!$A:$A, "Daily", Log!$B:$B, "n/a"), 0),
        _xlpm.ie_camera_on_date, IFERROR(AVERAGEIFS(Log!$G:$G, Log!$D:$D,O$4,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7" s="68" t="str">
        <f>IFERROR(
    _xlfn.LET(
        _xlpm.is_data_present, $A37&lt;&gt;0,
        _xlpm.is_camera_present, COUNTIFS(Log!$C:$C, $A37, Log!$D:$D, P$4, Log!$A:$A, "Daily", Log!$B:$B, "n/a"),
        _xlpm.we_camera_on_date, IFERROR(AVERAGEIFS(Log!$F:$F, Log!$D:$D,P$4, Log!$C:$C, $A37, Log!$A:$A, "Daily", Log!$B:$B, "n/a"), 0),
        _xlpm.ie_camera_on_date, IFERROR(AVERAGEIFS(Log!$G:$G, Log!$D:$D,P$4,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7" s="68" t="str">
        <f>IFERROR(
    _xlfn.LET(
        _xlpm.is_data_present, $A37&lt;&gt;0,
        _xlpm.is_camera_present, COUNTIFS(Log!$C:$C, $A37, Log!$D:$D, Q$4, Log!$A:$A, "Daily", Log!$B:$B, "n/a"),
        _xlpm.we_camera_on_date, IFERROR(AVERAGEIFS(Log!$F:$F, Log!$D:$D,Q$4, Log!$C:$C, $A37, Log!$A:$A, "Daily", Log!$B:$B, "n/a"), 0),
        _xlpm.ie_camera_on_date, IFERROR(AVERAGEIFS(Log!$G:$G, Log!$D:$D,Q$4,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7" s="68" t="str">
        <f>IFERROR(
    _xlfn.LET(
        _xlpm.is_data_present, $A37&lt;&gt;0,
        _xlpm.is_camera_present, COUNTIFS(Log!$C:$C, $A37, Log!$D:$D, R$4, Log!$A:$A, "Daily", Log!$B:$B, "n/a"),
        _xlpm.we_camera_on_date, IFERROR(AVERAGEIFS(Log!$F:$F, Log!$D:$D,R$4, Log!$C:$C, $A37, Log!$A:$A, "Daily", Log!$B:$B, "n/a"), 0),
        _xlpm.ie_camera_on_date, IFERROR(AVERAGEIFS(Log!$G:$G, Log!$D:$D,R$4,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7" s="68" t="str">
        <f>IFERROR(
    _xlfn.LET(
        _xlpm.is_data_present, $A37&lt;&gt;0,
        _xlpm.is_camera_present, COUNTIFS(Log!$C:$C, $A37, Log!$D:$D, S$4, Log!$A:$A, "Daily", Log!$B:$B, "n/a"),
        _xlpm.we_camera_on_date, IFERROR(AVERAGEIFS(Log!$F:$F, Log!$D:$D,S$4, Log!$C:$C, $A37, Log!$A:$A, "Daily", Log!$B:$B, "n/a"), 0),
        _xlpm.ie_camera_on_date, IFERROR(AVERAGEIFS(Log!$G:$G, Log!$D:$D,S$4, Log!$C:$C, $A37, Log!$A:$A, "Daily", Log!$B:$B, "n/a"), 0),
        _xlpm.we_avg, IFERROR(AVERAGEIFS(Log!$F:$F,Log!$C:$C,$A37, Log!$A:$A, "Daily", Log!$B:$B, "n/a"),0),
        _xlpm.ie_avg, IFERROR(AVERAGEIFS(Log!$G:$G,Log!$C:$C,$A37,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8" spans="2:19" x14ac:dyDescent="0.3">
      <c r="B38" s="68" t="str">
        <f>IFERROR(
    _xlfn.LET(
        _xlpm.is_data_present, $A38&lt;&gt;0,
        _xlpm.is_camera_present, COUNTIFS(Log!$C:$C, $A38, Log!$D:$D, B$4, Log!$A:$A, "Daily", Log!$B:$B, "n/a"),
        _xlpm.we_camera_on_date, IFERROR(AVERAGEIFS(Log!$F:$F, Log!$D:$D,B$4, Log!$C:$C, $A38, Log!$A:$A, "Daily", Log!$B:$B, "n/a"), 0),
        _xlpm.ie_camera_on_date, IFERROR(AVERAGEIFS(Log!$G:$G, Log!$D:$D,B$4,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8" s="68" t="str">
        <f>IFERROR(
    _xlfn.LET(
        _xlpm.is_data_present, $A38&lt;&gt;0,
        _xlpm.is_camera_present, COUNTIFS(Log!$C:$C, $A38, Log!$D:$D, C$4, Log!$A:$A, "Daily", Log!$B:$B, "n/a"),
        _xlpm.we_camera_on_date, IFERROR(AVERAGEIFS(Log!$F:$F, Log!$D:$D,C$4, Log!$C:$C, $A38, Log!$A:$A, "Daily", Log!$B:$B, "n/a"), 0),
        _xlpm.ie_camera_on_date, IFERROR(AVERAGEIFS(Log!$G:$G, Log!$D:$D,C$4,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8" s="68" t="str">
        <f>IFERROR(
    _xlfn.LET(
        _xlpm.is_data_present, $A38&lt;&gt;0,
        _xlpm.is_camera_present, COUNTIFS(Log!$C:$C, $A38, Log!$D:$D, D$4, Log!$A:$A, "Daily", Log!$B:$B, "n/a"),
        _xlpm.we_camera_on_date, IFERROR(AVERAGEIFS(Log!$F:$F, Log!$D:$D,D$4, Log!$C:$C, $A38, Log!$A:$A, "Daily", Log!$B:$B, "n/a"), 0),
        _xlpm.ie_camera_on_date, IFERROR(AVERAGEIFS(Log!$G:$G, Log!$D:$D,D$4,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8" s="68" t="str">
        <f>IFERROR(
    _xlfn.LET(
        _xlpm.is_data_present, $A38&lt;&gt;0,
        _xlpm.is_camera_present, COUNTIFS(Log!$C:$C, $A38, Log!$D:$D, E$4, Log!$A:$A, "Daily", Log!$B:$B, "n/a"),
        _xlpm.we_camera_on_date, IFERROR(AVERAGEIFS(Log!$F:$F, Log!$D:$D,E$4, Log!$C:$C, $A38, Log!$A:$A, "Daily", Log!$B:$B, "n/a"), 0),
        _xlpm.ie_camera_on_date, IFERROR(AVERAGEIFS(Log!$G:$G, Log!$D:$D,E$4,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8" s="68" t="str">
        <f>IFERROR(
    _xlfn.LET(
        _xlpm.is_data_present, $A38&lt;&gt;0,
        _xlpm.is_camera_present, COUNTIFS(Log!$C:$C, $A38, Log!$D:$D, F$4, Log!$A:$A, "Daily", Log!$B:$B, "n/a"),
        _xlpm.we_camera_on_date, IFERROR(AVERAGEIFS(Log!$F:$F, Log!$D:$D,F$4, Log!$C:$C, $A38, Log!$A:$A, "Daily", Log!$B:$B, "n/a"), 0),
        _xlpm.ie_camera_on_date, IFERROR(AVERAGEIFS(Log!$G:$G, Log!$D:$D,F$4,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8" s="68" t="str">
        <f>IFERROR(
    _xlfn.LET(
        _xlpm.is_data_present, $A38&lt;&gt;0,
        _xlpm.is_camera_present, COUNTIFS(Log!$C:$C, $A38, Log!$D:$D, G$4, Log!$A:$A, "Daily", Log!$B:$B, "n/a"),
        _xlpm.we_camera_on_date, IFERROR(AVERAGEIFS(Log!$F:$F, Log!$D:$D,G$4, Log!$C:$C, $A38, Log!$A:$A, "Daily", Log!$B:$B, "n/a"), 0),
        _xlpm.ie_camera_on_date, IFERROR(AVERAGEIFS(Log!$G:$G, Log!$D:$D,G$4,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8" s="68" t="str">
        <f>IFERROR(
    _xlfn.LET(
        _xlpm.is_data_present, $A38&lt;&gt;0,
        _xlpm.is_camera_present, COUNTIFS(Log!$C:$C, $A38, Log!$D:$D, H$4, Log!$A:$A, "Daily", Log!$B:$B, "n/a"),
        _xlpm.we_camera_on_date, IFERROR(AVERAGEIFS(Log!$F:$F, Log!$D:$D,H$4, Log!$C:$C, $A38, Log!$A:$A, "Daily", Log!$B:$B, "n/a"), 0),
        _xlpm.ie_camera_on_date, IFERROR(AVERAGEIFS(Log!$G:$G, Log!$D:$D,H$4,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8" s="68" t="str">
        <f>IFERROR(
    _xlfn.LET(
        _xlpm.is_data_present, $A38&lt;&gt;0,
        _xlpm.is_camera_present, COUNTIFS(Log!$C:$C, $A38, Log!$D:$D, I$4, Log!$A:$A, "Daily", Log!$B:$B, "n/a"),
        _xlpm.we_camera_on_date, IFERROR(AVERAGEIFS(Log!$F:$F, Log!$D:$D,I$4, Log!$C:$C, $A38, Log!$A:$A, "Daily", Log!$B:$B, "n/a"), 0),
        _xlpm.ie_camera_on_date, IFERROR(AVERAGEIFS(Log!$G:$G, Log!$D:$D,I$4,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8" s="68" t="str">
        <f>IFERROR(
    _xlfn.LET(
        _xlpm.is_data_present, $A38&lt;&gt;0,
        _xlpm.is_camera_present, COUNTIFS(Log!$C:$C, $A38, Log!$D:$D, J$4, Log!$A:$A, "Daily", Log!$B:$B, "n/a"),
        _xlpm.we_camera_on_date, IFERROR(AVERAGEIFS(Log!$F:$F, Log!$D:$D,J$4, Log!$C:$C, $A38, Log!$A:$A, "Daily", Log!$B:$B, "n/a"), 0),
        _xlpm.ie_camera_on_date, IFERROR(AVERAGEIFS(Log!$G:$G, Log!$D:$D,J$4,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8" s="68" t="str">
        <f>IFERROR(
    _xlfn.LET(
        _xlpm.is_data_present, $A38&lt;&gt;0,
        _xlpm.is_camera_present, COUNTIFS(Log!$C:$C, $A38, Log!$D:$D, K$4, Log!$A:$A, "Daily", Log!$B:$B, "n/a"),
        _xlpm.we_camera_on_date, IFERROR(AVERAGEIFS(Log!$F:$F, Log!$D:$D,K$4, Log!$C:$C, $A38, Log!$A:$A, "Daily", Log!$B:$B, "n/a"), 0),
        _xlpm.ie_camera_on_date, IFERROR(AVERAGEIFS(Log!$G:$G, Log!$D:$D,K$4,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8" s="68" t="str">
        <f>IFERROR(
    _xlfn.LET(
        _xlpm.is_data_present, $A38&lt;&gt;0,
        _xlpm.is_camera_present, COUNTIFS(Log!$C:$C, $A38, Log!$D:$D, L$4, Log!$A:$A, "Daily", Log!$B:$B, "n/a"),
        _xlpm.we_camera_on_date, IFERROR(AVERAGEIFS(Log!$F:$F, Log!$D:$D,L$4, Log!$C:$C, $A38, Log!$A:$A, "Daily", Log!$B:$B, "n/a"), 0),
        _xlpm.ie_camera_on_date, IFERROR(AVERAGEIFS(Log!$G:$G, Log!$D:$D,L$4,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8" s="68" t="str">
        <f>IFERROR(
    _xlfn.LET(
        _xlpm.is_data_present, $A38&lt;&gt;0,
        _xlpm.is_camera_present, COUNTIFS(Log!$C:$C, $A38, Log!$D:$D, M$4, Log!$A:$A, "Daily", Log!$B:$B, "n/a"),
        _xlpm.we_camera_on_date, IFERROR(AVERAGEIFS(Log!$F:$F, Log!$D:$D,M$4, Log!$C:$C, $A38, Log!$A:$A, "Daily", Log!$B:$B, "n/a"), 0),
        _xlpm.ie_camera_on_date, IFERROR(AVERAGEIFS(Log!$G:$G, Log!$D:$D,M$4,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8" s="68" t="str">
        <f>IFERROR(
    _xlfn.LET(
        _xlpm.is_data_present, $A38&lt;&gt;0,
        _xlpm.is_camera_present, COUNTIFS(Log!$C:$C, $A38, Log!$D:$D, N$4, Log!$A:$A, "Daily", Log!$B:$B, "n/a"),
        _xlpm.we_camera_on_date, IFERROR(AVERAGEIFS(Log!$F:$F, Log!$D:$D,N$4, Log!$C:$C, $A38, Log!$A:$A, "Daily", Log!$B:$B, "n/a"), 0),
        _xlpm.ie_camera_on_date, IFERROR(AVERAGEIFS(Log!$G:$G, Log!$D:$D,N$4,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8" s="68" t="str">
        <f>IFERROR(
    _xlfn.LET(
        _xlpm.is_data_present, $A38&lt;&gt;0,
        _xlpm.is_camera_present, COUNTIFS(Log!$C:$C, $A38, Log!$D:$D, O$4, Log!$A:$A, "Daily", Log!$B:$B, "n/a"),
        _xlpm.we_camera_on_date, IFERROR(AVERAGEIFS(Log!$F:$F, Log!$D:$D,O$4, Log!$C:$C, $A38, Log!$A:$A, "Daily", Log!$B:$B, "n/a"), 0),
        _xlpm.ie_camera_on_date, IFERROR(AVERAGEIFS(Log!$G:$G, Log!$D:$D,O$4,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8" s="68" t="str">
        <f>IFERROR(
    _xlfn.LET(
        _xlpm.is_data_present, $A38&lt;&gt;0,
        _xlpm.is_camera_present, COUNTIFS(Log!$C:$C, $A38, Log!$D:$D, P$4, Log!$A:$A, "Daily", Log!$B:$B, "n/a"),
        _xlpm.we_camera_on_date, IFERROR(AVERAGEIFS(Log!$F:$F, Log!$D:$D,P$4, Log!$C:$C, $A38, Log!$A:$A, "Daily", Log!$B:$B, "n/a"), 0),
        _xlpm.ie_camera_on_date, IFERROR(AVERAGEIFS(Log!$G:$G, Log!$D:$D,P$4,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8" s="68" t="str">
        <f>IFERROR(
    _xlfn.LET(
        _xlpm.is_data_present, $A38&lt;&gt;0,
        _xlpm.is_camera_present, COUNTIFS(Log!$C:$C, $A38, Log!$D:$D, Q$4, Log!$A:$A, "Daily", Log!$B:$B, "n/a"),
        _xlpm.we_camera_on_date, IFERROR(AVERAGEIFS(Log!$F:$F, Log!$D:$D,Q$4, Log!$C:$C, $A38, Log!$A:$A, "Daily", Log!$B:$B, "n/a"), 0),
        _xlpm.ie_camera_on_date, IFERROR(AVERAGEIFS(Log!$G:$G, Log!$D:$D,Q$4,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8" s="68" t="str">
        <f>IFERROR(
    _xlfn.LET(
        _xlpm.is_data_present, $A38&lt;&gt;0,
        _xlpm.is_camera_present, COUNTIFS(Log!$C:$C, $A38, Log!$D:$D, R$4, Log!$A:$A, "Daily", Log!$B:$B, "n/a"),
        _xlpm.we_camera_on_date, IFERROR(AVERAGEIFS(Log!$F:$F, Log!$D:$D,R$4, Log!$C:$C, $A38, Log!$A:$A, "Daily", Log!$B:$B, "n/a"), 0),
        _xlpm.ie_camera_on_date, IFERROR(AVERAGEIFS(Log!$G:$G, Log!$D:$D,R$4,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8" s="68" t="str">
        <f>IFERROR(
    _xlfn.LET(
        _xlpm.is_data_present, $A38&lt;&gt;0,
        _xlpm.is_camera_present, COUNTIFS(Log!$C:$C, $A38, Log!$D:$D, S$4, Log!$A:$A, "Daily", Log!$B:$B, "n/a"),
        _xlpm.we_camera_on_date, IFERROR(AVERAGEIFS(Log!$F:$F, Log!$D:$D,S$4, Log!$C:$C, $A38, Log!$A:$A, "Daily", Log!$B:$B, "n/a"), 0),
        _xlpm.ie_camera_on_date, IFERROR(AVERAGEIFS(Log!$G:$G, Log!$D:$D,S$4, Log!$C:$C, $A38, Log!$A:$A, "Daily", Log!$B:$B, "n/a"), 0),
        _xlpm.we_avg, IFERROR(AVERAGEIFS(Log!$F:$F,Log!$C:$C,$A38, Log!$A:$A, "Daily", Log!$B:$B, "n/a"),0),
        _xlpm.ie_avg, IFERROR(AVERAGEIFS(Log!$G:$G,Log!$C:$C,$A38,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39" spans="2:19" x14ac:dyDescent="0.3">
      <c r="B39" s="68" t="str">
        <f>IFERROR(
    _xlfn.LET(
        _xlpm.is_data_present, $A39&lt;&gt;0,
        _xlpm.is_camera_present, COUNTIFS(Log!$C:$C, $A39, Log!$D:$D, B$4, Log!$A:$A, "Daily", Log!$B:$B, "n/a"),
        _xlpm.we_camera_on_date, IFERROR(AVERAGEIFS(Log!$F:$F, Log!$D:$D,B$4, Log!$C:$C, $A39, Log!$A:$A, "Daily", Log!$B:$B, "n/a"), 0),
        _xlpm.ie_camera_on_date, IFERROR(AVERAGEIFS(Log!$G:$G, Log!$D:$D,B$4,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39" s="68" t="str">
        <f>IFERROR(
    _xlfn.LET(
        _xlpm.is_data_present, $A39&lt;&gt;0,
        _xlpm.is_camera_present, COUNTIFS(Log!$C:$C, $A39, Log!$D:$D, C$4, Log!$A:$A, "Daily", Log!$B:$B, "n/a"),
        _xlpm.we_camera_on_date, IFERROR(AVERAGEIFS(Log!$F:$F, Log!$D:$D,C$4, Log!$C:$C, $A39, Log!$A:$A, "Daily", Log!$B:$B, "n/a"), 0),
        _xlpm.ie_camera_on_date, IFERROR(AVERAGEIFS(Log!$G:$G, Log!$D:$D,C$4,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39" s="68" t="str">
        <f>IFERROR(
    _xlfn.LET(
        _xlpm.is_data_present, $A39&lt;&gt;0,
        _xlpm.is_camera_present, COUNTIFS(Log!$C:$C, $A39, Log!$D:$D, D$4, Log!$A:$A, "Daily", Log!$B:$B, "n/a"),
        _xlpm.we_camera_on_date, IFERROR(AVERAGEIFS(Log!$F:$F, Log!$D:$D,D$4, Log!$C:$C, $A39, Log!$A:$A, "Daily", Log!$B:$B, "n/a"), 0),
        _xlpm.ie_camera_on_date, IFERROR(AVERAGEIFS(Log!$G:$G, Log!$D:$D,D$4,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39" s="68" t="str">
        <f>IFERROR(
    _xlfn.LET(
        _xlpm.is_data_present, $A39&lt;&gt;0,
        _xlpm.is_camera_present, COUNTIFS(Log!$C:$C, $A39, Log!$D:$D, E$4, Log!$A:$A, "Daily", Log!$B:$B, "n/a"),
        _xlpm.we_camera_on_date, IFERROR(AVERAGEIFS(Log!$F:$F, Log!$D:$D,E$4, Log!$C:$C, $A39, Log!$A:$A, "Daily", Log!$B:$B, "n/a"), 0),
        _xlpm.ie_camera_on_date, IFERROR(AVERAGEIFS(Log!$G:$G, Log!$D:$D,E$4,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39" s="68" t="str">
        <f>IFERROR(
    _xlfn.LET(
        _xlpm.is_data_present, $A39&lt;&gt;0,
        _xlpm.is_camera_present, COUNTIFS(Log!$C:$C, $A39, Log!$D:$D, F$4, Log!$A:$A, "Daily", Log!$B:$B, "n/a"),
        _xlpm.we_camera_on_date, IFERROR(AVERAGEIFS(Log!$F:$F, Log!$D:$D,F$4, Log!$C:$C, $A39, Log!$A:$A, "Daily", Log!$B:$B, "n/a"), 0),
        _xlpm.ie_camera_on_date, IFERROR(AVERAGEIFS(Log!$G:$G, Log!$D:$D,F$4,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39" s="68" t="str">
        <f>IFERROR(
    _xlfn.LET(
        _xlpm.is_data_present, $A39&lt;&gt;0,
        _xlpm.is_camera_present, COUNTIFS(Log!$C:$C, $A39, Log!$D:$D, G$4, Log!$A:$A, "Daily", Log!$B:$B, "n/a"),
        _xlpm.we_camera_on_date, IFERROR(AVERAGEIFS(Log!$F:$F, Log!$D:$D,G$4, Log!$C:$C, $A39, Log!$A:$A, "Daily", Log!$B:$B, "n/a"), 0),
        _xlpm.ie_camera_on_date, IFERROR(AVERAGEIFS(Log!$G:$G, Log!$D:$D,G$4,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39" s="68" t="str">
        <f>IFERROR(
    _xlfn.LET(
        _xlpm.is_data_present, $A39&lt;&gt;0,
        _xlpm.is_camera_present, COUNTIFS(Log!$C:$C, $A39, Log!$D:$D, H$4, Log!$A:$A, "Daily", Log!$B:$B, "n/a"),
        _xlpm.we_camera_on_date, IFERROR(AVERAGEIFS(Log!$F:$F, Log!$D:$D,H$4, Log!$C:$C, $A39, Log!$A:$A, "Daily", Log!$B:$B, "n/a"), 0),
        _xlpm.ie_camera_on_date, IFERROR(AVERAGEIFS(Log!$G:$G, Log!$D:$D,H$4,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39" s="68" t="str">
        <f>IFERROR(
    _xlfn.LET(
        _xlpm.is_data_present, $A39&lt;&gt;0,
        _xlpm.is_camera_present, COUNTIFS(Log!$C:$C, $A39, Log!$D:$D, I$4, Log!$A:$A, "Daily", Log!$B:$B, "n/a"),
        _xlpm.we_camera_on_date, IFERROR(AVERAGEIFS(Log!$F:$F, Log!$D:$D,I$4, Log!$C:$C, $A39, Log!$A:$A, "Daily", Log!$B:$B, "n/a"), 0),
        _xlpm.ie_camera_on_date, IFERROR(AVERAGEIFS(Log!$G:$G, Log!$D:$D,I$4,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39" s="68" t="str">
        <f>IFERROR(
    _xlfn.LET(
        _xlpm.is_data_present, $A39&lt;&gt;0,
        _xlpm.is_camera_present, COUNTIFS(Log!$C:$C, $A39, Log!$D:$D, J$4, Log!$A:$A, "Daily", Log!$B:$B, "n/a"),
        _xlpm.we_camera_on_date, IFERROR(AVERAGEIFS(Log!$F:$F, Log!$D:$D,J$4, Log!$C:$C, $A39, Log!$A:$A, "Daily", Log!$B:$B, "n/a"), 0),
        _xlpm.ie_camera_on_date, IFERROR(AVERAGEIFS(Log!$G:$G, Log!$D:$D,J$4,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39" s="68" t="str">
        <f>IFERROR(
    _xlfn.LET(
        _xlpm.is_data_present, $A39&lt;&gt;0,
        _xlpm.is_camera_present, COUNTIFS(Log!$C:$C, $A39, Log!$D:$D, K$4, Log!$A:$A, "Daily", Log!$B:$B, "n/a"),
        _xlpm.we_camera_on_date, IFERROR(AVERAGEIFS(Log!$F:$F, Log!$D:$D,K$4, Log!$C:$C, $A39, Log!$A:$A, "Daily", Log!$B:$B, "n/a"), 0),
        _xlpm.ie_camera_on_date, IFERROR(AVERAGEIFS(Log!$G:$G, Log!$D:$D,K$4,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39" s="68" t="str">
        <f>IFERROR(
    _xlfn.LET(
        _xlpm.is_data_present, $A39&lt;&gt;0,
        _xlpm.is_camera_present, COUNTIFS(Log!$C:$C, $A39, Log!$D:$D, L$4, Log!$A:$A, "Daily", Log!$B:$B, "n/a"),
        _xlpm.we_camera_on_date, IFERROR(AVERAGEIFS(Log!$F:$F, Log!$D:$D,L$4, Log!$C:$C, $A39, Log!$A:$A, "Daily", Log!$B:$B, "n/a"), 0),
        _xlpm.ie_camera_on_date, IFERROR(AVERAGEIFS(Log!$G:$G, Log!$D:$D,L$4,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39" s="68" t="str">
        <f>IFERROR(
    _xlfn.LET(
        _xlpm.is_data_present, $A39&lt;&gt;0,
        _xlpm.is_camera_present, COUNTIFS(Log!$C:$C, $A39, Log!$D:$D, M$4, Log!$A:$A, "Daily", Log!$B:$B, "n/a"),
        _xlpm.we_camera_on_date, IFERROR(AVERAGEIFS(Log!$F:$F, Log!$D:$D,M$4, Log!$C:$C, $A39, Log!$A:$A, "Daily", Log!$B:$B, "n/a"), 0),
        _xlpm.ie_camera_on_date, IFERROR(AVERAGEIFS(Log!$G:$G, Log!$D:$D,M$4,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39" s="68" t="str">
        <f>IFERROR(
    _xlfn.LET(
        _xlpm.is_data_present, $A39&lt;&gt;0,
        _xlpm.is_camera_present, COUNTIFS(Log!$C:$C, $A39, Log!$D:$D, N$4, Log!$A:$A, "Daily", Log!$B:$B, "n/a"),
        _xlpm.we_camera_on_date, IFERROR(AVERAGEIFS(Log!$F:$F, Log!$D:$D,N$4, Log!$C:$C, $A39, Log!$A:$A, "Daily", Log!$B:$B, "n/a"), 0),
        _xlpm.ie_camera_on_date, IFERROR(AVERAGEIFS(Log!$G:$G, Log!$D:$D,N$4,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39" s="68" t="str">
        <f>IFERROR(
    _xlfn.LET(
        _xlpm.is_data_present, $A39&lt;&gt;0,
        _xlpm.is_camera_present, COUNTIFS(Log!$C:$C, $A39, Log!$D:$D, O$4, Log!$A:$A, "Daily", Log!$B:$B, "n/a"),
        _xlpm.we_camera_on_date, IFERROR(AVERAGEIFS(Log!$F:$F, Log!$D:$D,O$4, Log!$C:$C, $A39, Log!$A:$A, "Daily", Log!$B:$B, "n/a"), 0),
        _xlpm.ie_camera_on_date, IFERROR(AVERAGEIFS(Log!$G:$G, Log!$D:$D,O$4,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39" s="68" t="str">
        <f>IFERROR(
    _xlfn.LET(
        _xlpm.is_data_present, $A39&lt;&gt;0,
        _xlpm.is_camera_present, COUNTIFS(Log!$C:$C, $A39, Log!$D:$D, P$4, Log!$A:$A, "Daily", Log!$B:$B, "n/a"),
        _xlpm.we_camera_on_date, IFERROR(AVERAGEIFS(Log!$F:$F, Log!$D:$D,P$4, Log!$C:$C, $A39, Log!$A:$A, "Daily", Log!$B:$B, "n/a"), 0),
        _xlpm.ie_camera_on_date, IFERROR(AVERAGEIFS(Log!$G:$G, Log!$D:$D,P$4,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39" s="68" t="str">
        <f>IFERROR(
    _xlfn.LET(
        _xlpm.is_data_present, $A39&lt;&gt;0,
        _xlpm.is_camera_present, COUNTIFS(Log!$C:$C, $A39, Log!$D:$D, Q$4, Log!$A:$A, "Daily", Log!$B:$B, "n/a"),
        _xlpm.we_camera_on_date, IFERROR(AVERAGEIFS(Log!$F:$F, Log!$D:$D,Q$4, Log!$C:$C, $A39, Log!$A:$A, "Daily", Log!$B:$B, "n/a"), 0),
        _xlpm.ie_camera_on_date, IFERROR(AVERAGEIFS(Log!$G:$G, Log!$D:$D,Q$4,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39" s="68" t="str">
        <f>IFERROR(
    _xlfn.LET(
        _xlpm.is_data_present, $A39&lt;&gt;0,
        _xlpm.is_camera_present, COUNTIFS(Log!$C:$C, $A39, Log!$D:$D, R$4, Log!$A:$A, "Daily", Log!$B:$B, "n/a"),
        _xlpm.we_camera_on_date, IFERROR(AVERAGEIFS(Log!$F:$F, Log!$D:$D,R$4, Log!$C:$C, $A39, Log!$A:$A, "Daily", Log!$B:$B, "n/a"), 0),
        _xlpm.ie_camera_on_date, IFERROR(AVERAGEIFS(Log!$G:$G, Log!$D:$D,R$4,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39" s="68" t="str">
        <f>IFERROR(
    _xlfn.LET(
        _xlpm.is_data_present, $A39&lt;&gt;0,
        _xlpm.is_camera_present, COUNTIFS(Log!$C:$C, $A39, Log!$D:$D, S$4, Log!$A:$A, "Daily", Log!$B:$B, "n/a"),
        _xlpm.we_camera_on_date, IFERROR(AVERAGEIFS(Log!$F:$F, Log!$D:$D,S$4, Log!$C:$C, $A39, Log!$A:$A, "Daily", Log!$B:$B, "n/a"), 0),
        _xlpm.ie_camera_on_date, IFERROR(AVERAGEIFS(Log!$G:$G, Log!$D:$D,S$4, Log!$C:$C, $A39, Log!$A:$A, "Daily", Log!$B:$B, "n/a"), 0),
        _xlpm.we_avg, IFERROR(AVERAGEIFS(Log!$F:$F,Log!$C:$C,$A39, Log!$A:$A, "Daily", Log!$B:$B, "n/a"),0),
        _xlpm.ie_avg, IFERROR(AVERAGEIFS(Log!$G:$G,Log!$C:$C,$A39,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0" spans="2:19" x14ac:dyDescent="0.3">
      <c r="B40" s="68" t="str">
        <f>IFERROR(
    _xlfn.LET(
        _xlpm.is_data_present, $A40&lt;&gt;0,
        _xlpm.is_camera_present, COUNTIFS(Log!$C:$C, $A40, Log!$D:$D, B$4, Log!$A:$A, "Daily", Log!$B:$B, "n/a"),
        _xlpm.we_camera_on_date, IFERROR(AVERAGEIFS(Log!$F:$F, Log!$D:$D,B$4, Log!$C:$C, $A40, Log!$A:$A, "Daily", Log!$B:$B, "n/a"), 0),
        _xlpm.ie_camera_on_date, IFERROR(AVERAGEIFS(Log!$G:$G, Log!$D:$D,B$4,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0" s="68" t="str">
        <f>IFERROR(
    _xlfn.LET(
        _xlpm.is_data_present, $A40&lt;&gt;0,
        _xlpm.is_camera_present, COUNTIFS(Log!$C:$C, $A40, Log!$D:$D, C$4, Log!$A:$A, "Daily", Log!$B:$B, "n/a"),
        _xlpm.we_camera_on_date, IFERROR(AVERAGEIFS(Log!$F:$F, Log!$D:$D,C$4, Log!$C:$C, $A40, Log!$A:$A, "Daily", Log!$B:$B, "n/a"), 0),
        _xlpm.ie_camera_on_date, IFERROR(AVERAGEIFS(Log!$G:$G, Log!$D:$D,C$4,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0" s="68" t="str">
        <f>IFERROR(
    _xlfn.LET(
        _xlpm.is_data_present, $A40&lt;&gt;0,
        _xlpm.is_camera_present, COUNTIFS(Log!$C:$C, $A40, Log!$D:$D, D$4, Log!$A:$A, "Daily", Log!$B:$B, "n/a"),
        _xlpm.we_camera_on_date, IFERROR(AVERAGEIFS(Log!$F:$F, Log!$D:$D,D$4, Log!$C:$C, $A40, Log!$A:$A, "Daily", Log!$B:$B, "n/a"), 0),
        _xlpm.ie_camera_on_date, IFERROR(AVERAGEIFS(Log!$G:$G, Log!$D:$D,D$4,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0" s="68" t="str">
        <f>IFERROR(
    _xlfn.LET(
        _xlpm.is_data_present, $A40&lt;&gt;0,
        _xlpm.is_camera_present, COUNTIFS(Log!$C:$C, $A40, Log!$D:$D, E$4, Log!$A:$A, "Daily", Log!$B:$B, "n/a"),
        _xlpm.we_camera_on_date, IFERROR(AVERAGEIFS(Log!$F:$F, Log!$D:$D,E$4, Log!$C:$C, $A40, Log!$A:$A, "Daily", Log!$B:$B, "n/a"), 0),
        _xlpm.ie_camera_on_date, IFERROR(AVERAGEIFS(Log!$G:$G, Log!$D:$D,E$4,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0" s="68" t="str">
        <f>IFERROR(
    _xlfn.LET(
        _xlpm.is_data_present, $A40&lt;&gt;0,
        _xlpm.is_camera_present, COUNTIFS(Log!$C:$C, $A40, Log!$D:$D, F$4, Log!$A:$A, "Daily", Log!$B:$B, "n/a"),
        _xlpm.we_camera_on_date, IFERROR(AVERAGEIFS(Log!$F:$F, Log!$D:$D,F$4, Log!$C:$C, $A40, Log!$A:$A, "Daily", Log!$B:$B, "n/a"), 0),
        _xlpm.ie_camera_on_date, IFERROR(AVERAGEIFS(Log!$G:$G, Log!$D:$D,F$4,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0" s="68" t="str">
        <f>IFERROR(
    _xlfn.LET(
        _xlpm.is_data_present, $A40&lt;&gt;0,
        _xlpm.is_camera_present, COUNTIFS(Log!$C:$C, $A40, Log!$D:$D, G$4, Log!$A:$A, "Daily", Log!$B:$B, "n/a"),
        _xlpm.we_camera_on_date, IFERROR(AVERAGEIFS(Log!$F:$F, Log!$D:$D,G$4, Log!$C:$C, $A40, Log!$A:$A, "Daily", Log!$B:$B, "n/a"), 0),
        _xlpm.ie_camera_on_date, IFERROR(AVERAGEIFS(Log!$G:$G, Log!$D:$D,G$4,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0" s="68" t="str">
        <f>IFERROR(
    _xlfn.LET(
        _xlpm.is_data_present, $A40&lt;&gt;0,
        _xlpm.is_camera_present, COUNTIFS(Log!$C:$C, $A40, Log!$D:$D, H$4, Log!$A:$A, "Daily", Log!$B:$B, "n/a"),
        _xlpm.we_camera_on_date, IFERROR(AVERAGEIFS(Log!$F:$F, Log!$D:$D,H$4, Log!$C:$C, $A40, Log!$A:$A, "Daily", Log!$B:$B, "n/a"), 0),
        _xlpm.ie_camera_on_date, IFERROR(AVERAGEIFS(Log!$G:$G, Log!$D:$D,H$4,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0" s="68" t="str">
        <f>IFERROR(
    _xlfn.LET(
        _xlpm.is_data_present, $A40&lt;&gt;0,
        _xlpm.is_camera_present, COUNTIFS(Log!$C:$C, $A40, Log!$D:$D, I$4, Log!$A:$A, "Daily", Log!$B:$B, "n/a"),
        _xlpm.we_camera_on_date, IFERROR(AVERAGEIFS(Log!$F:$F, Log!$D:$D,I$4, Log!$C:$C, $A40, Log!$A:$A, "Daily", Log!$B:$B, "n/a"), 0),
        _xlpm.ie_camera_on_date, IFERROR(AVERAGEIFS(Log!$G:$G, Log!$D:$D,I$4,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0" s="68" t="str">
        <f>IFERROR(
    _xlfn.LET(
        _xlpm.is_data_present, $A40&lt;&gt;0,
        _xlpm.is_camera_present, COUNTIFS(Log!$C:$C, $A40, Log!$D:$D, J$4, Log!$A:$A, "Daily", Log!$B:$B, "n/a"),
        _xlpm.we_camera_on_date, IFERROR(AVERAGEIFS(Log!$F:$F, Log!$D:$D,J$4, Log!$C:$C, $A40, Log!$A:$A, "Daily", Log!$B:$B, "n/a"), 0),
        _xlpm.ie_camera_on_date, IFERROR(AVERAGEIFS(Log!$G:$G, Log!$D:$D,J$4,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0" s="68" t="str">
        <f>IFERROR(
    _xlfn.LET(
        _xlpm.is_data_present, $A40&lt;&gt;0,
        _xlpm.is_camera_present, COUNTIFS(Log!$C:$C, $A40, Log!$D:$D, K$4, Log!$A:$A, "Daily", Log!$B:$B, "n/a"),
        _xlpm.we_camera_on_date, IFERROR(AVERAGEIFS(Log!$F:$F, Log!$D:$D,K$4, Log!$C:$C, $A40, Log!$A:$A, "Daily", Log!$B:$B, "n/a"), 0),
        _xlpm.ie_camera_on_date, IFERROR(AVERAGEIFS(Log!$G:$G, Log!$D:$D,K$4,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0" s="68" t="str">
        <f>IFERROR(
    _xlfn.LET(
        _xlpm.is_data_present, $A40&lt;&gt;0,
        _xlpm.is_camera_present, COUNTIFS(Log!$C:$C, $A40, Log!$D:$D, L$4, Log!$A:$A, "Daily", Log!$B:$B, "n/a"),
        _xlpm.we_camera_on_date, IFERROR(AVERAGEIFS(Log!$F:$F, Log!$D:$D,L$4, Log!$C:$C, $A40, Log!$A:$A, "Daily", Log!$B:$B, "n/a"), 0),
        _xlpm.ie_camera_on_date, IFERROR(AVERAGEIFS(Log!$G:$G, Log!$D:$D,L$4,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0" s="68" t="str">
        <f>IFERROR(
    _xlfn.LET(
        _xlpm.is_data_present, $A40&lt;&gt;0,
        _xlpm.is_camera_present, COUNTIFS(Log!$C:$C, $A40, Log!$D:$D, M$4, Log!$A:$A, "Daily", Log!$B:$B, "n/a"),
        _xlpm.we_camera_on_date, IFERROR(AVERAGEIFS(Log!$F:$F, Log!$D:$D,M$4, Log!$C:$C, $A40, Log!$A:$A, "Daily", Log!$B:$B, "n/a"), 0),
        _xlpm.ie_camera_on_date, IFERROR(AVERAGEIFS(Log!$G:$G, Log!$D:$D,M$4,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0" s="68" t="str">
        <f>IFERROR(
    _xlfn.LET(
        _xlpm.is_data_present, $A40&lt;&gt;0,
        _xlpm.is_camera_present, COUNTIFS(Log!$C:$C, $A40, Log!$D:$D, N$4, Log!$A:$A, "Daily", Log!$B:$B, "n/a"),
        _xlpm.we_camera_on_date, IFERROR(AVERAGEIFS(Log!$F:$F, Log!$D:$D,N$4, Log!$C:$C, $A40, Log!$A:$A, "Daily", Log!$B:$B, "n/a"), 0),
        _xlpm.ie_camera_on_date, IFERROR(AVERAGEIFS(Log!$G:$G, Log!$D:$D,N$4,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0" s="68" t="str">
        <f>IFERROR(
    _xlfn.LET(
        _xlpm.is_data_present, $A40&lt;&gt;0,
        _xlpm.is_camera_present, COUNTIFS(Log!$C:$C, $A40, Log!$D:$D, O$4, Log!$A:$A, "Daily", Log!$B:$B, "n/a"),
        _xlpm.we_camera_on_date, IFERROR(AVERAGEIFS(Log!$F:$F, Log!$D:$D,O$4, Log!$C:$C, $A40, Log!$A:$A, "Daily", Log!$B:$B, "n/a"), 0),
        _xlpm.ie_camera_on_date, IFERROR(AVERAGEIFS(Log!$G:$G, Log!$D:$D,O$4,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0" s="68" t="str">
        <f>IFERROR(
    _xlfn.LET(
        _xlpm.is_data_present, $A40&lt;&gt;0,
        _xlpm.is_camera_present, COUNTIFS(Log!$C:$C, $A40, Log!$D:$D, P$4, Log!$A:$A, "Daily", Log!$B:$B, "n/a"),
        _xlpm.we_camera_on_date, IFERROR(AVERAGEIFS(Log!$F:$F, Log!$D:$D,P$4, Log!$C:$C, $A40, Log!$A:$A, "Daily", Log!$B:$B, "n/a"), 0),
        _xlpm.ie_camera_on_date, IFERROR(AVERAGEIFS(Log!$G:$G, Log!$D:$D,P$4,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0" s="68" t="str">
        <f>IFERROR(
    _xlfn.LET(
        _xlpm.is_data_present, $A40&lt;&gt;0,
        _xlpm.is_camera_present, COUNTIFS(Log!$C:$C, $A40, Log!$D:$D, Q$4, Log!$A:$A, "Daily", Log!$B:$B, "n/a"),
        _xlpm.we_camera_on_date, IFERROR(AVERAGEIFS(Log!$F:$F, Log!$D:$D,Q$4, Log!$C:$C, $A40, Log!$A:$A, "Daily", Log!$B:$B, "n/a"), 0),
        _xlpm.ie_camera_on_date, IFERROR(AVERAGEIFS(Log!$G:$G, Log!$D:$D,Q$4,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0" s="68" t="str">
        <f>IFERROR(
    _xlfn.LET(
        _xlpm.is_data_present, $A40&lt;&gt;0,
        _xlpm.is_camera_present, COUNTIFS(Log!$C:$C, $A40, Log!$D:$D, R$4, Log!$A:$A, "Daily", Log!$B:$B, "n/a"),
        _xlpm.we_camera_on_date, IFERROR(AVERAGEIFS(Log!$F:$F, Log!$D:$D,R$4, Log!$C:$C, $A40, Log!$A:$A, "Daily", Log!$B:$B, "n/a"), 0),
        _xlpm.ie_camera_on_date, IFERROR(AVERAGEIFS(Log!$G:$G, Log!$D:$D,R$4,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0" s="68" t="str">
        <f>IFERROR(
    _xlfn.LET(
        _xlpm.is_data_present, $A40&lt;&gt;0,
        _xlpm.is_camera_present, COUNTIFS(Log!$C:$C, $A40, Log!$D:$D, S$4, Log!$A:$A, "Daily", Log!$B:$B, "n/a"),
        _xlpm.we_camera_on_date, IFERROR(AVERAGEIFS(Log!$F:$F, Log!$D:$D,S$4, Log!$C:$C, $A40, Log!$A:$A, "Daily", Log!$B:$B, "n/a"), 0),
        _xlpm.ie_camera_on_date, IFERROR(AVERAGEIFS(Log!$G:$G, Log!$D:$D,S$4, Log!$C:$C, $A40, Log!$A:$A, "Daily", Log!$B:$B, "n/a"), 0),
        _xlpm.we_avg, IFERROR(AVERAGEIFS(Log!$F:$F,Log!$C:$C,$A40, Log!$A:$A, "Daily", Log!$B:$B, "n/a"),0),
        _xlpm.ie_avg, IFERROR(AVERAGEIFS(Log!$G:$G,Log!$C:$C,$A40,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1" spans="2:19" x14ac:dyDescent="0.3">
      <c r="B41" s="68" t="str">
        <f>IFERROR(
    _xlfn.LET(
        _xlpm.is_data_present, $A41&lt;&gt;0,
        _xlpm.is_camera_present, COUNTIFS(Log!$C:$C, $A41, Log!$D:$D, B$4, Log!$A:$A, "Daily", Log!$B:$B, "n/a"),
        _xlpm.we_camera_on_date, IFERROR(AVERAGEIFS(Log!$F:$F, Log!$D:$D,B$4, Log!$C:$C, $A41, Log!$A:$A, "Daily", Log!$B:$B, "n/a"), 0),
        _xlpm.ie_camera_on_date, IFERROR(AVERAGEIFS(Log!$G:$G, Log!$D:$D,B$4,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1" s="68" t="str">
        <f>IFERROR(
    _xlfn.LET(
        _xlpm.is_data_present, $A41&lt;&gt;0,
        _xlpm.is_camera_present, COUNTIFS(Log!$C:$C, $A41, Log!$D:$D, C$4, Log!$A:$A, "Daily", Log!$B:$B, "n/a"),
        _xlpm.we_camera_on_date, IFERROR(AVERAGEIFS(Log!$F:$F, Log!$D:$D,C$4, Log!$C:$C, $A41, Log!$A:$A, "Daily", Log!$B:$B, "n/a"), 0),
        _xlpm.ie_camera_on_date, IFERROR(AVERAGEIFS(Log!$G:$G, Log!$D:$D,C$4,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1" s="68" t="str">
        <f>IFERROR(
    _xlfn.LET(
        _xlpm.is_data_present, $A41&lt;&gt;0,
        _xlpm.is_camera_present, COUNTIFS(Log!$C:$C, $A41, Log!$D:$D, D$4, Log!$A:$A, "Daily", Log!$B:$B, "n/a"),
        _xlpm.we_camera_on_date, IFERROR(AVERAGEIFS(Log!$F:$F, Log!$D:$D,D$4, Log!$C:$C, $A41, Log!$A:$A, "Daily", Log!$B:$B, "n/a"), 0),
        _xlpm.ie_camera_on_date, IFERROR(AVERAGEIFS(Log!$G:$G, Log!$D:$D,D$4,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1" s="68" t="str">
        <f>IFERROR(
    _xlfn.LET(
        _xlpm.is_data_present, $A41&lt;&gt;0,
        _xlpm.is_camera_present, COUNTIFS(Log!$C:$C, $A41, Log!$D:$D, E$4, Log!$A:$A, "Daily", Log!$B:$B, "n/a"),
        _xlpm.we_camera_on_date, IFERROR(AVERAGEIFS(Log!$F:$F, Log!$D:$D,E$4, Log!$C:$C, $A41, Log!$A:$A, "Daily", Log!$B:$B, "n/a"), 0),
        _xlpm.ie_camera_on_date, IFERROR(AVERAGEIFS(Log!$G:$G, Log!$D:$D,E$4,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1" s="68" t="str">
        <f>IFERROR(
    _xlfn.LET(
        _xlpm.is_data_present, $A41&lt;&gt;0,
        _xlpm.is_camera_present, COUNTIFS(Log!$C:$C, $A41, Log!$D:$D, F$4, Log!$A:$A, "Daily", Log!$B:$B, "n/a"),
        _xlpm.we_camera_on_date, IFERROR(AVERAGEIFS(Log!$F:$F, Log!$D:$D,F$4, Log!$C:$C, $A41, Log!$A:$A, "Daily", Log!$B:$B, "n/a"), 0),
        _xlpm.ie_camera_on_date, IFERROR(AVERAGEIFS(Log!$G:$G, Log!$D:$D,F$4,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1" s="68" t="str">
        <f>IFERROR(
    _xlfn.LET(
        _xlpm.is_data_present, $A41&lt;&gt;0,
        _xlpm.is_camera_present, COUNTIFS(Log!$C:$C, $A41, Log!$D:$D, G$4, Log!$A:$A, "Daily", Log!$B:$B, "n/a"),
        _xlpm.we_camera_on_date, IFERROR(AVERAGEIFS(Log!$F:$F, Log!$D:$D,G$4, Log!$C:$C, $A41, Log!$A:$A, "Daily", Log!$B:$B, "n/a"), 0),
        _xlpm.ie_camera_on_date, IFERROR(AVERAGEIFS(Log!$G:$G, Log!$D:$D,G$4,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1" s="68" t="str">
        <f>IFERROR(
    _xlfn.LET(
        _xlpm.is_data_present, $A41&lt;&gt;0,
        _xlpm.is_camera_present, COUNTIFS(Log!$C:$C, $A41, Log!$D:$D, H$4, Log!$A:$A, "Daily", Log!$B:$B, "n/a"),
        _xlpm.we_camera_on_date, IFERROR(AVERAGEIFS(Log!$F:$F, Log!$D:$D,H$4, Log!$C:$C, $A41, Log!$A:$A, "Daily", Log!$B:$B, "n/a"), 0),
        _xlpm.ie_camera_on_date, IFERROR(AVERAGEIFS(Log!$G:$G, Log!$D:$D,H$4,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1" s="68" t="str">
        <f>IFERROR(
    _xlfn.LET(
        _xlpm.is_data_present, $A41&lt;&gt;0,
        _xlpm.is_camera_present, COUNTIFS(Log!$C:$C, $A41, Log!$D:$D, I$4, Log!$A:$A, "Daily", Log!$B:$B, "n/a"),
        _xlpm.we_camera_on_date, IFERROR(AVERAGEIFS(Log!$F:$F, Log!$D:$D,I$4, Log!$C:$C, $A41, Log!$A:$A, "Daily", Log!$B:$B, "n/a"), 0),
        _xlpm.ie_camera_on_date, IFERROR(AVERAGEIFS(Log!$G:$G, Log!$D:$D,I$4,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1" s="68" t="str">
        <f>IFERROR(
    _xlfn.LET(
        _xlpm.is_data_present, $A41&lt;&gt;0,
        _xlpm.is_camera_present, COUNTIFS(Log!$C:$C, $A41, Log!$D:$D, J$4, Log!$A:$A, "Daily", Log!$B:$B, "n/a"),
        _xlpm.we_camera_on_date, IFERROR(AVERAGEIFS(Log!$F:$F, Log!$D:$D,J$4, Log!$C:$C, $A41, Log!$A:$A, "Daily", Log!$B:$B, "n/a"), 0),
        _xlpm.ie_camera_on_date, IFERROR(AVERAGEIFS(Log!$G:$G, Log!$D:$D,J$4,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1" s="68" t="str">
        <f>IFERROR(
    _xlfn.LET(
        _xlpm.is_data_present, $A41&lt;&gt;0,
        _xlpm.is_camera_present, COUNTIFS(Log!$C:$C, $A41, Log!$D:$D, K$4, Log!$A:$A, "Daily", Log!$B:$B, "n/a"),
        _xlpm.we_camera_on_date, IFERROR(AVERAGEIFS(Log!$F:$F, Log!$D:$D,K$4, Log!$C:$C, $A41, Log!$A:$A, "Daily", Log!$B:$B, "n/a"), 0),
        _xlpm.ie_camera_on_date, IFERROR(AVERAGEIFS(Log!$G:$G, Log!$D:$D,K$4,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1" s="68" t="str">
        <f>IFERROR(
    _xlfn.LET(
        _xlpm.is_data_present, $A41&lt;&gt;0,
        _xlpm.is_camera_present, COUNTIFS(Log!$C:$C, $A41, Log!$D:$D, L$4, Log!$A:$A, "Daily", Log!$B:$B, "n/a"),
        _xlpm.we_camera_on_date, IFERROR(AVERAGEIFS(Log!$F:$F, Log!$D:$D,L$4, Log!$C:$C, $A41, Log!$A:$A, "Daily", Log!$B:$B, "n/a"), 0),
        _xlpm.ie_camera_on_date, IFERROR(AVERAGEIFS(Log!$G:$G, Log!$D:$D,L$4,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1" s="68" t="str">
        <f>IFERROR(
    _xlfn.LET(
        _xlpm.is_data_present, $A41&lt;&gt;0,
        _xlpm.is_camera_present, COUNTIFS(Log!$C:$C, $A41, Log!$D:$D, M$4, Log!$A:$A, "Daily", Log!$B:$B, "n/a"),
        _xlpm.we_camera_on_date, IFERROR(AVERAGEIFS(Log!$F:$F, Log!$D:$D,M$4, Log!$C:$C, $A41, Log!$A:$A, "Daily", Log!$B:$B, "n/a"), 0),
        _xlpm.ie_camera_on_date, IFERROR(AVERAGEIFS(Log!$G:$G, Log!$D:$D,M$4,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1" s="68" t="str">
        <f>IFERROR(
    _xlfn.LET(
        _xlpm.is_data_present, $A41&lt;&gt;0,
        _xlpm.is_camera_present, COUNTIFS(Log!$C:$C, $A41, Log!$D:$D, N$4, Log!$A:$A, "Daily", Log!$B:$B, "n/a"),
        _xlpm.we_camera_on_date, IFERROR(AVERAGEIFS(Log!$F:$F, Log!$D:$D,N$4, Log!$C:$C, $A41, Log!$A:$A, "Daily", Log!$B:$B, "n/a"), 0),
        _xlpm.ie_camera_on_date, IFERROR(AVERAGEIFS(Log!$G:$G, Log!$D:$D,N$4,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1" s="68" t="str">
        <f>IFERROR(
    _xlfn.LET(
        _xlpm.is_data_present, $A41&lt;&gt;0,
        _xlpm.is_camera_present, COUNTIFS(Log!$C:$C, $A41, Log!$D:$D, O$4, Log!$A:$A, "Daily", Log!$B:$B, "n/a"),
        _xlpm.we_camera_on_date, IFERROR(AVERAGEIFS(Log!$F:$F, Log!$D:$D,O$4, Log!$C:$C, $A41, Log!$A:$A, "Daily", Log!$B:$B, "n/a"), 0),
        _xlpm.ie_camera_on_date, IFERROR(AVERAGEIFS(Log!$G:$G, Log!$D:$D,O$4,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1" s="68" t="str">
        <f>IFERROR(
    _xlfn.LET(
        _xlpm.is_data_present, $A41&lt;&gt;0,
        _xlpm.is_camera_present, COUNTIFS(Log!$C:$C, $A41, Log!$D:$D, P$4, Log!$A:$A, "Daily", Log!$B:$B, "n/a"),
        _xlpm.we_camera_on_date, IFERROR(AVERAGEIFS(Log!$F:$F, Log!$D:$D,P$4, Log!$C:$C, $A41, Log!$A:$A, "Daily", Log!$B:$B, "n/a"), 0),
        _xlpm.ie_camera_on_date, IFERROR(AVERAGEIFS(Log!$G:$G, Log!$D:$D,P$4,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1" s="68" t="str">
        <f>IFERROR(
    _xlfn.LET(
        _xlpm.is_data_present, $A41&lt;&gt;0,
        _xlpm.is_camera_present, COUNTIFS(Log!$C:$C, $A41, Log!$D:$D, Q$4, Log!$A:$A, "Daily", Log!$B:$B, "n/a"),
        _xlpm.we_camera_on_date, IFERROR(AVERAGEIFS(Log!$F:$F, Log!$D:$D,Q$4, Log!$C:$C, $A41, Log!$A:$A, "Daily", Log!$B:$B, "n/a"), 0),
        _xlpm.ie_camera_on_date, IFERROR(AVERAGEIFS(Log!$G:$G, Log!$D:$D,Q$4,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1" s="68" t="str">
        <f>IFERROR(
    _xlfn.LET(
        _xlpm.is_data_present, $A41&lt;&gt;0,
        _xlpm.is_camera_present, COUNTIFS(Log!$C:$C, $A41, Log!$D:$D, R$4, Log!$A:$A, "Daily", Log!$B:$B, "n/a"),
        _xlpm.we_camera_on_date, IFERROR(AVERAGEIFS(Log!$F:$F, Log!$D:$D,R$4, Log!$C:$C, $A41, Log!$A:$A, "Daily", Log!$B:$B, "n/a"), 0),
        _xlpm.ie_camera_on_date, IFERROR(AVERAGEIFS(Log!$G:$G, Log!$D:$D,R$4,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1" s="68" t="str">
        <f>IFERROR(
    _xlfn.LET(
        _xlpm.is_data_present, $A41&lt;&gt;0,
        _xlpm.is_camera_present, COUNTIFS(Log!$C:$C, $A41, Log!$D:$D, S$4, Log!$A:$A, "Daily", Log!$B:$B, "n/a"),
        _xlpm.we_camera_on_date, IFERROR(AVERAGEIFS(Log!$F:$F, Log!$D:$D,S$4, Log!$C:$C, $A41, Log!$A:$A, "Daily", Log!$B:$B, "n/a"), 0),
        _xlpm.ie_camera_on_date, IFERROR(AVERAGEIFS(Log!$G:$G, Log!$D:$D,S$4, Log!$C:$C, $A41, Log!$A:$A, "Daily", Log!$B:$B, "n/a"), 0),
        _xlpm.we_avg, IFERROR(AVERAGEIFS(Log!$F:$F,Log!$C:$C,$A41, Log!$A:$A, "Daily", Log!$B:$B, "n/a"),0),
        _xlpm.ie_avg, IFERROR(AVERAGEIFS(Log!$G:$G,Log!$C:$C,$A41,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2" spans="2:19" x14ac:dyDescent="0.3">
      <c r="B42" s="68" t="str">
        <f>IFERROR(
    _xlfn.LET(
        _xlpm.is_data_present, $A42&lt;&gt;0,
        _xlpm.is_camera_present, COUNTIFS(Log!$C:$C, $A42, Log!$D:$D, B$4, Log!$A:$A, "Daily", Log!$B:$B, "n/a"),
        _xlpm.we_camera_on_date, IFERROR(AVERAGEIFS(Log!$F:$F, Log!$D:$D,B$4, Log!$C:$C, $A42, Log!$A:$A, "Daily", Log!$B:$B, "n/a"), 0),
        _xlpm.ie_camera_on_date, IFERROR(AVERAGEIFS(Log!$G:$G, Log!$D:$D,B$4,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2" s="68" t="str">
        <f>IFERROR(
    _xlfn.LET(
        _xlpm.is_data_present, $A42&lt;&gt;0,
        _xlpm.is_camera_present, COUNTIFS(Log!$C:$C, $A42, Log!$D:$D, C$4, Log!$A:$A, "Daily", Log!$B:$B, "n/a"),
        _xlpm.we_camera_on_date, IFERROR(AVERAGEIFS(Log!$F:$F, Log!$D:$D,C$4, Log!$C:$C, $A42, Log!$A:$A, "Daily", Log!$B:$B, "n/a"), 0),
        _xlpm.ie_camera_on_date, IFERROR(AVERAGEIFS(Log!$G:$G, Log!$D:$D,C$4,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2" s="68" t="str">
        <f>IFERROR(
    _xlfn.LET(
        _xlpm.is_data_present, $A42&lt;&gt;0,
        _xlpm.is_camera_present, COUNTIFS(Log!$C:$C, $A42, Log!$D:$D, D$4, Log!$A:$A, "Daily", Log!$B:$B, "n/a"),
        _xlpm.we_camera_on_date, IFERROR(AVERAGEIFS(Log!$F:$F, Log!$D:$D,D$4, Log!$C:$C, $A42, Log!$A:$A, "Daily", Log!$B:$B, "n/a"), 0),
        _xlpm.ie_camera_on_date, IFERROR(AVERAGEIFS(Log!$G:$G, Log!$D:$D,D$4,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2" s="68" t="str">
        <f>IFERROR(
    _xlfn.LET(
        _xlpm.is_data_present, $A42&lt;&gt;0,
        _xlpm.is_camera_present, COUNTIFS(Log!$C:$C, $A42, Log!$D:$D, E$4, Log!$A:$A, "Daily", Log!$B:$B, "n/a"),
        _xlpm.we_camera_on_date, IFERROR(AVERAGEIFS(Log!$F:$F, Log!$D:$D,E$4, Log!$C:$C, $A42, Log!$A:$A, "Daily", Log!$B:$B, "n/a"), 0),
        _xlpm.ie_camera_on_date, IFERROR(AVERAGEIFS(Log!$G:$G, Log!$D:$D,E$4,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2" s="68" t="str">
        <f>IFERROR(
    _xlfn.LET(
        _xlpm.is_data_present, $A42&lt;&gt;0,
        _xlpm.is_camera_present, COUNTIFS(Log!$C:$C, $A42, Log!$D:$D, F$4, Log!$A:$A, "Daily", Log!$B:$B, "n/a"),
        _xlpm.we_camera_on_date, IFERROR(AVERAGEIFS(Log!$F:$F, Log!$D:$D,F$4, Log!$C:$C, $A42, Log!$A:$A, "Daily", Log!$B:$B, "n/a"), 0),
        _xlpm.ie_camera_on_date, IFERROR(AVERAGEIFS(Log!$G:$G, Log!$D:$D,F$4,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2" s="68" t="str">
        <f>IFERROR(
    _xlfn.LET(
        _xlpm.is_data_present, $A42&lt;&gt;0,
        _xlpm.is_camera_present, COUNTIFS(Log!$C:$C, $A42, Log!$D:$D, G$4, Log!$A:$A, "Daily", Log!$B:$B, "n/a"),
        _xlpm.we_camera_on_date, IFERROR(AVERAGEIFS(Log!$F:$F, Log!$D:$D,G$4, Log!$C:$C, $A42, Log!$A:$A, "Daily", Log!$B:$B, "n/a"), 0),
        _xlpm.ie_camera_on_date, IFERROR(AVERAGEIFS(Log!$G:$G, Log!$D:$D,G$4,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2" s="68" t="str">
        <f>IFERROR(
    _xlfn.LET(
        _xlpm.is_data_present, $A42&lt;&gt;0,
        _xlpm.is_camera_present, COUNTIFS(Log!$C:$C, $A42, Log!$D:$D, H$4, Log!$A:$A, "Daily", Log!$B:$B, "n/a"),
        _xlpm.we_camera_on_date, IFERROR(AVERAGEIFS(Log!$F:$F, Log!$D:$D,H$4, Log!$C:$C, $A42, Log!$A:$A, "Daily", Log!$B:$B, "n/a"), 0),
        _xlpm.ie_camera_on_date, IFERROR(AVERAGEIFS(Log!$G:$G, Log!$D:$D,H$4,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2" s="68" t="str">
        <f>IFERROR(
    _xlfn.LET(
        _xlpm.is_data_present, $A42&lt;&gt;0,
        _xlpm.is_camera_present, COUNTIFS(Log!$C:$C, $A42, Log!$D:$D, I$4, Log!$A:$A, "Daily", Log!$B:$B, "n/a"),
        _xlpm.we_camera_on_date, IFERROR(AVERAGEIFS(Log!$F:$F, Log!$D:$D,I$4, Log!$C:$C, $A42, Log!$A:$A, "Daily", Log!$B:$B, "n/a"), 0),
        _xlpm.ie_camera_on_date, IFERROR(AVERAGEIFS(Log!$G:$G, Log!$D:$D,I$4,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2" s="68" t="str">
        <f>IFERROR(
    _xlfn.LET(
        _xlpm.is_data_present, $A42&lt;&gt;0,
        _xlpm.is_camera_present, COUNTIFS(Log!$C:$C, $A42, Log!$D:$D, J$4, Log!$A:$A, "Daily", Log!$B:$B, "n/a"),
        _xlpm.we_camera_on_date, IFERROR(AVERAGEIFS(Log!$F:$F, Log!$D:$D,J$4, Log!$C:$C, $A42, Log!$A:$A, "Daily", Log!$B:$B, "n/a"), 0),
        _xlpm.ie_camera_on_date, IFERROR(AVERAGEIFS(Log!$G:$G, Log!$D:$D,J$4,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2" s="68" t="str">
        <f>IFERROR(
    _xlfn.LET(
        _xlpm.is_data_present, $A42&lt;&gt;0,
        _xlpm.is_camera_present, COUNTIFS(Log!$C:$C, $A42, Log!$D:$D, K$4, Log!$A:$A, "Daily", Log!$B:$B, "n/a"),
        _xlpm.we_camera_on_date, IFERROR(AVERAGEIFS(Log!$F:$F, Log!$D:$D,K$4, Log!$C:$C, $A42, Log!$A:$A, "Daily", Log!$B:$B, "n/a"), 0),
        _xlpm.ie_camera_on_date, IFERROR(AVERAGEIFS(Log!$G:$G, Log!$D:$D,K$4,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2" s="68" t="str">
        <f>IFERROR(
    _xlfn.LET(
        _xlpm.is_data_present, $A42&lt;&gt;0,
        _xlpm.is_camera_present, COUNTIFS(Log!$C:$C, $A42, Log!$D:$D, L$4, Log!$A:$A, "Daily", Log!$B:$B, "n/a"),
        _xlpm.we_camera_on_date, IFERROR(AVERAGEIFS(Log!$F:$F, Log!$D:$D,L$4, Log!$C:$C, $A42, Log!$A:$A, "Daily", Log!$B:$B, "n/a"), 0),
        _xlpm.ie_camera_on_date, IFERROR(AVERAGEIFS(Log!$G:$G, Log!$D:$D,L$4,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2" s="68" t="str">
        <f>IFERROR(
    _xlfn.LET(
        _xlpm.is_data_present, $A42&lt;&gt;0,
        _xlpm.is_camera_present, COUNTIFS(Log!$C:$C, $A42, Log!$D:$D, M$4, Log!$A:$A, "Daily", Log!$B:$B, "n/a"),
        _xlpm.we_camera_on_date, IFERROR(AVERAGEIFS(Log!$F:$F, Log!$D:$D,M$4, Log!$C:$C, $A42, Log!$A:$A, "Daily", Log!$B:$B, "n/a"), 0),
        _xlpm.ie_camera_on_date, IFERROR(AVERAGEIFS(Log!$G:$G, Log!$D:$D,M$4,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2" s="68" t="str">
        <f>IFERROR(
    _xlfn.LET(
        _xlpm.is_data_present, $A42&lt;&gt;0,
        _xlpm.is_camera_present, COUNTIFS(Log!$C:$C, $A42, Log!$D:$D, N$4, Log!$A:$A, "Daily", Log!$B:$B, "n/a"),
        _xlpm.we_camera_on_date, IFERROR(AVERAGEIFS(Log!$F:$F, Log!$D:$D,N$4, Log!$C:$C, $A42, Log!$A:$A, "Daily", Log!$B:$B, "n/a"), 0),
        _xlpm.ie_camera_on_date, IFERROR(AVERAGEIFS(Log!$G:$G, Log!$D:$D,N$4,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2" s="68" t="str">
        <f>IFERROR(
    _xlfn.LET(
        _xlpm.is_data_present, $A42&lt;&gt;0,
        _xlpm.is_camera_present, COUNTIFS(Log!$C:$C, $A42, Log!$D:$D, O$4, Log!$A:$A, "Daily", Log!$B:$B, "n/a"),
        _xlpm.we_camera_on_date, IFERROR(AVERAGEIFS(Log!$F:$F, Log!$D:$D,O$4, Log!$C:$C, $A42, Log!$A:$A, "Daily", Log!$B:$B, "n/a"), 0),
        _xlpm.ie_camera_on_date, IFERROR(AVERAGEIFS(Log!$G:$G, Log!$D:$D,O$4,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2" s="68" t="str">
        <f>IFERROR(
    _xlfn.LET(
        _xlpm.is_data_present, $A42&lt;&gt;0,
        _xlpm.is_camera_present, COUNTIFS(Log!$C:$C, $A42, Log!$D:$D, P$4, Log!$A:$A, "Daily", Log!$B:$B, "n/a"),
        _xlpm.we_camera_on_date, IFERROR(AVERAGEIFS(Log!$F:$F, Log!$D:$D,P$4, Log!$C:$C, $A42, Log!$A:$A, "Daily", Log!$B:$B, "n/a"), 0),
        _xlpm.ie_camera_on_date, IFERROR(AVERAGEIFS(Log!$G:$G, Log!$D:$D,P$4,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2" s="68" t="str">
        <f>IFERROR(
    _xlfn.LET(
        _xlpm.is_data_present, $A42&lt;&gt;0,
        _xlpm.is_camera_present, COUNTIFS(Log!$C:$C, $A42, Log!$D:$D, Q$4, Log!$A:$A, "Daily", Log!$B:$B, "n/a"),
        _xlpm.we_camera_on_date, IFERROR(AVERAGEIFS(Log!$F:$F, Log!$D:$D,Q$4, Log!$C:$C, $A42, Log!$A:$A, "Daily", Log!$B:$B, "n/a"), 0),
        _xlpm.ie_camera_on_date, IFERROR(AVERAGEIFS(Log!$G:$G, Log!$D:$D,Q$4,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2" s="68" t="str">
        <f>IFERROR(
    _xlfn.LET(
        _xlpm.is_data_present, $A42&lt;&gt;0,
        _xlpm.is_camera_present, COUNTIFS(Log!$C:$C, $A42, Log!$D:$D, R$4, Log!$A:$A, "Daily", Log!$B:$B, "n/a"),
        _xlpm.we_camera_on_date, IFERROR(AVERAGEIFS(Log!$F:$F, Log!$D:$D,R$4, Log!$C:$C, $A42, Log!$A:$A, "Daily", Log!$B:$B, "n/a"), 0),
        _xlpm.ie_camera_on_date, IFERROR(AVERAGEIFS(Log!$G:$G, Log!$D:$D,R$4,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2" s="68" t="str">
        <f>IFERROR(
    _xlfn.LET(
        _xlpm.is_data_present, $A42&lt;&gt;0,
        _xlpm.is_camera_present, COUNTIFS(Log!$C:$C, $A42, Log!$D:$D, S$4, Log!$A:$A, "Daily", Log!$B:$B, "n/a"),
        _xlpm.we_camera_on_date, IFERROR(AVERAGEIFS(Log!$F:$F, Log!$D:$D,S$4, Log!$C:$C, $A42, Log!$A:$A, "Daily", Log!$B:$B, "n/a"), 0),
        _xlpm.ie_camera_on_date, IFERROR(AVERAGEIFS(Log!$G:$G, Log!$D:$D,S$4, Log!$C:$C, $A42, Log!$A:$A, "Daily", Log!$B:$B, "n/a"), 0),
        _xlpm.we_avg, IFERROR(AVERAGEIFS(Log!$F:$F,Log!$C:$C,$A42, Log!$A:$A, "Daily", Log!$B:$B, "n/a"),0),
        _xlpm.ie_avg, IFERROR(AVERAGEIFS(Log!$G:$G,Log!$C:$C,$A42,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3" spans="2:19" x14ac:dyDescent="0.3">
      <c r="B43" s="68" t="str">
        <f>IFERROR(
    _xlfn.LET(
        _xlpm.is_data_present, $A43&lt;&gt;0,
        _xlpm.is_camera_present, COUNTIFS(Log!$C:$C, $A43, Log!$D:$D, B$4, Log!$A:$A, "Daily", Log!$B:$B, "n/a"),
        _xlpm.we_camera_on_date, IFERROR(AVERAGEIFS(Log!$F:$F, Log!$D:$D,B$4, Log!$C:$C, $A43, Log!$A:$A, "Daily", Log!$B:$B, "n/a"), 0),
        _xlpm.ie_camera_on_date, IFERROR(AVERAGEIFS(Log!$G:$G, Log!$D:$D,B$4,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3" s="68" t="str">
        <f>IFERROR(
    _xlfn.LET(
        _xlpm.is_data_present, $A43&lt;&gt;0,
        _xlpm.is_camera_present, COUNTIFS(Log!$C:$C, $A43, Log!$D:$D, C$4, Log!$A:$A, "Daily", Log!$B:$B, "n/a"),
        _xlpm.we_camera_on_date, IFERROR(AVERAGEIFS(Log!$F:$F, Log!$D:$D,C$4, Log!$C:$C, $A43, Log!$A:$A, "Daily", Log!$B:$B, "n/a"), 0),
        _xlpm.ie_camera_on_date, IFERROR(AVERAGEIFS(Log!$G:$G, Log!$D:$D,C$4,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3" s="68" t="str">
        <f>IFERROR(
    _xlfn.LET(
        _xlpm.is_data_present, $A43&lt;&gt;0,
        _xlpm.is_camera_present, COUNTIFS(Log!$C:$C, $A43, Log!$D:$D, D$4, Log!$A:$A, "Daily", Log!$B:$B, "n/a"),
        _xlpm.we_camera_on_date, IFERROR(AVERAGEIFS(Log!$F:$F, Log!$D:$D,D$4, Log!$C:$C, $A43, Log!$A:$A, "Daily", Log!$B:$B, "n/a"), 0),
        _xlpm.ie_camera_on_date, IFERROR(AVERAGEIFS(Log!$G:$G, Log!$D:$D,D$4,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3" s="68" t="str">
        <f>IFERROR(
    _xlfn.LET(
        _xlpm.is_data_present, $A43&lt;&gt;0,
        _xlpm.is_camera_present, COUNTIFS(Log!$C:$C, $A43, Log!$D:$D, E$4, Log!$A:$A, "Daily", Log!$B:$B, "n/a"),
        _xlpm.we_camera_on_date, IFERROR(AVERAGEIFS(Log!$F:$F, Log!$D:$D,E$4, Log!$C:$C, $A43, Log!$A:$A, "Daily", Log!$B:$B, "n/a"), 0),
        _xlpm.ie_camera_on_date, IFERROR(AVERAGEIFS(Log!$G:$G, Log!$D:$D,E$4,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3" s="68" t="str">
        <f>IFERROR(
    _xlfn.LET(
        _xlpm.is_data_present, $A43&lt;&gt;0,
        _xlpm.is_camera_present, COUNTIFS(Log!$C:$C, $A43, Log!$D:$D, F$4, Log!$A:$A, "Daily", Log!$B:$B, "n/a"),
        _xlpm.we_camera_on_date, IFERROR(AVERAGEIFS(Log!$F:$F, Log!$D:$D,F$4, Log!$C:$C, $A43, Log!$A:$A, "Daily", Log!$B:$B, "n/a"), 0),
        _xlpm.ie_camera_on_date, IFERROR(AVERAGEIFS(Log!$G:$G, Log!$D:$D,F$4,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3" s="68" t="str">
        <f>IFERROR(
    _xlfn.LET(
        _xlpm.is_data_present, $A43&lt;&gt;0,
        _xlpm.is_camera_present, COUNTIFS(Log!$C:$C, $A43, Log!$D:$D, G$4, Log!$A:$A, "Daily", Log!$B:$B, "n/a"),
        _xlpm.we_camera_on_date, IFERROR(AVERAGEIFS(Log!$F:$F, Log!$D:$D,G$4, Log!$C:$C, $A43, Log!$A:$A, "Daily", Log!$B:$B, "n/a"), 0),
        _xlpm.ie_camera_on_date, IFERROR(AVERAGEIFS(Log!$G:$G, Log!$D:$D,G$4,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3" s="68" t="str">
        <f>IFERROR(
    _xlfn.LET(
        _xlpm.is_data_present, $A43&lt;&gt;0,
        _xlpm.is_camera_present, COUNTIFS(Log!$C:$C, $A43, Log!$D:$D, H$4, Log!$A:$A, "Daily", Log!$B:$B, "n/a"),
        _xlpm.we_camera_on_date, IFERROR(AVERAGEIFS(Log!$F:$F, Log!$D:$D,H$4, Log!$C:$C, $A43, Log!$A:$A, "Daily", Log!$B:$B, "n/a"), 0),
        _xlpm.ie_camera_on_date, IFERROR(AVERAGEIFS(Log!$G:$G, Log!$D:$D,H$4,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3" s="68" t="str">
        <f>IFERROR(
    _xlfn.LET(
        _xlpm.is_data_present, $A43&lt;&gt;0,
        _xlpm.is_camera_present, COUNTIFS(Log!$C:$C, $A43, Log!$D:$D, I$4, Log!$A:$A, "Daily", Log!$B:$B, "n/a"),
        _xlpm.we_camera_on_date, IFERROR(AVERAGEIFS(Log!$F:$F, Log!$D:$D,I$4, Log!$C:$C, $A43, Log!$A:$A, "Daily", Log!$B:$B, "n/a"), 0),
        _xlpm.ie_camera_on_date, IFERROR(AVERAGEIFS(Log!$G:$G, Log!$D:$D,I$4,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3" s="68" t="str">
        <f>IFERROR(
    _xlfn.LET(
        _xlpm.is_data_present, $A43&lt;&gt;0,
        _xlpm.is_camera_present, COUNTIFS(Log!$C:$C, $A43, Log!$D:$D, J$4, Log!$A:$A, "Daily", Log!$B:$B, "n/a"),
        _xlpm.we_camera_on_date, IFERROR(AVERAGEIFS(Log!$F:$F, Log!$D:$D,J$4, Log!$C:$C, $A43, Log!$A:$A, "Daily", Log!$B:$B, "n/a"), 0),
        _xlpm.ie_camera_on_date, IFERROR(AVERAGEIFS(Log!$G:$G, Log!$D:$D,J$4,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3" s="68" t="str">
        <f>IFERROR(
    _xlfn.LET(
        _xlpm.is_data_present, $A43&lt;&gt;0,
        _xlpm.is_camera_present, COUNTIFS(Log!$C:$C, $A43, Log!$D:$D, K$4, Log!$A:$A, "Daily", Log!$B:$B, "n/a"),
        _xlpm.we_camera_on_date, IFERROR(AVERAGEIFS(Log!$F:$F, Log!$D:$D,K$4, Log!$C:$C, $A43, Log!$A:$A, "Daily", Log!$B:$B, "n/a"), 0),
        _xlpm.ie_camera_on_date, IFERROR(AVERAGEIFS(Log!$G:$G, Log!$D:$D,K$4,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3" s="68" t="str">
        <f>IFERROR(
    _xlfn.LET(
        _xlpm.is_data_present, $A43&lt;&gt;0,
        _xlpm.is_camera_present, COUNTIFS(Log!$C:$C, $A43, Log!$D:$D, L$4, Log!$A:$A, "Daily", Log!$B:$B, "n/a"),
        _xlpm.we_camera_on_date, IFERROR(AVERAGEIFS(Log!$F:$F, Log!$D:$D,L$4, Log!$C:$C, $A43, Log!$A:$A, "Daily", Log!$B:$B, "n/a"), 0),
        _xlpm.ie_camera_on_date, IFERROR(AVERAGEIFS(Log!$G:$G, Log!$D:$D,L$4,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3" s="68" t="str">
        <f>IFERROR(
    _xlfn.LET(
        _xlpm.is_data_present, $A43&lt;&gt;0,
        _xlpm.is_camera_present, COUNTIFS(Log!$C:$C, $A43, Log!$D:$D, M$4, Log!$A:$A, "Daily", Log!$B:$B, "n/a"),
        _xlpm.we_camera_on_date, IFERROR(AVERAGEIFS(Log!$F:$F, Log!$D:$D,M$4, Log!$C:$C, $A43, Log!$A:$A, "Daily", Log!$B:$B, "n/a"), 0),
        _xlpm.ie_camera_on_date, IFERROR(AVERAGEIFS(Log!$G:$G, Log!$D:$D,M$4,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3" s="68" t="str">
        <f>IFERROR(
    _xlfn.LET(
        _xlpm.is_data_present, $A43&lt;&gt;0,
        _xlpm.is_camera_present, COUNTIFS(Log!$C:$C, $A43, Log!$D:$D, N$4, Log!$A:$A, "Daily", Log!$B:$B, "n/a"),
        _xlpm.we_camera_on_date, IFERROR(AVERAGEIFS(Log!$F:$F, Log!$D:$D,N$4, Log!$C:$C, $A43, Log!$A:$A, "Daily", Log!$B:$B, "n/a"), 0),
        _xlpm.ie_camera_on_date, IFERROR(AVERAGEIFS(Log!$G:$G, Log!$D:$D,N$4,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3" s="68" t="str">
        <f>IFERROR(
    _xlfn.LET(
        _xlpm.is_data_present, $A43&lt;&gt;0,
        _xlpm.is_camera_present, COUNTIFS(Log!$C:$C, $A43, Log!$D:$D, O$4, Log!$A:$A, "Daily", Log!$B:$B, "n/a"),
        _xlpm.we_camera_on_date, IFERROR(AVERAGEIFS(Log!$F:$F, Log!$D:$D,O$4, Log!$C:$C, $A43, Log!$A:$A, "Daily", Log!$B:$B, "n/a"), 0),
        _xlpm.ie_camera_on_date, IFERROR(AVERAGEIFS(Log!$G:$G, Log!$D:$D,O$4,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3" s="68" t="str">
        <f>IFERROR(
    _xlfn.LET(
        _xlpm.is_data_present, $A43&lt;&gt;0,
        _xlpm.is_camera_present, COUNTIFS(Log!$C:$C, $A43, Log!$D:$D, P$4, Log!$A:$A, "Daily", Log!$B:$B, "n/a"),
        _xlpm.we_camera_on_date, IFERROR(AVERAGEIFS(Log!$F:$F, Log!$D:$D,P$4, Log!$C:$C, $A43, Log!$A:$A, "Daily", Log!$B:$B, "n/a"), 0),
        _xlpm.ie_camera_on_date, IFERROR(AVERAGEIFS(Log!$G:$G, Log!$D:$D,P$4,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3" s="68" t="str">
        <f>IFERROR(
    _xlfn.LET(
        _xlpm.is_data_present, $A43&lt;&gt;0,
        _xlpm.is_camera_present, COUNTIFS(Log!$C:$C, $A43, Log!$D:$D, Q$4, Log!$A:$A, "Daily", Log!$B:$B, "n/a"),
        _xlpm.we_camera_on_date, IFERROR(AVERAGEIFS(Log!$F:$F, Log!$D:$D,Q$4, Log!$C:$C, $A43, Log!$A:$A, "Daily", Log!$B:$B, "n/a"), 0),
        _xlpm.ie_camera_on_date, IFERROR(AVERAGEIFS(Log!$G:$G, Log!$D:$D,Q$4,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3" s="68" t="str">
        <f>IFERROR(
    _xlfn.LET(
        _xlpm.is_data_present, $A43&lt;&gt;0,
        _xlpm.is_camera_present, COUNTIFS(Log!$C:$C, $A43, Log!$D:$D, R$4, Log!$A:$A, "Daily", Log!$B:$B, "n/a"),
        _xlpm.we_camera_on_date, IFERROR(AVERAGEIFS(Log!$F:$F, Log!$D:$D,R$4, Log!$C:$C, $A43, Log!$A:$A, "Daily", Log!$B:$B, "n/a"), 0),
        _xlpm.ie_camera_on_date, IFERROR(AVERAGEIFS(Log!$G:$G, Log!$D:$D,R$4,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3" s="68" t="str">
        <f>IFERROR(
    _xlfn.LET(
        _xlpm.is_data_present, $A43&lt;&gt;0,
        _xlpm.is_camera_present, COUNTIFS(Log!$C:$C, $A43, Log!$D:$D, S$4, Log!$A:$A, "Daily", Log!$B:$B, "n/a"),
        _xlpm.we_camera_on_date, IFERROR(AVERAGEIFS(Log!$F:$F, Log!$D:$D,S$4, Log!$C:$C, $A43, Log!$A:$A, "Daily", Log!$B:$B, "n/a"), 0),
        _xlpm.ie_camera_on_date, IFERROR(AVERAGEIFS(Log!$G:$G, Log!$D:$D,S$4, Log!$C:$C, $A43, Log!$A:$A, "Daily", Log!$B:$B, "n/a"), 0),
        _xlpm.we_avg, IFERROR(AVERAGEIFS(Log!$F:$F,Log!$C:$C,$A43, Log!$A:$A, "Daily", Log!$B:$B, "n/a"),0),
        _xlpm.ie_avg, IFERROR(AVERAGEIFS(Log!$G:$G,Log!$C:$C,$A43,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4" spans="2:19" x14ac:dyDescent="0.3">
      <c r="B44" s="68" t="str">
        <f>IFERROR(
    _xlfn.LET(
        _xlpm.is_data_present, $A44&lt;&gt;0,
        _xlpm.is_camera_present, COUNTIFS(Log!$C:$C, $A44, Log!$D:$D, B$4, Log!$A:$A, "Daily", Log!$B:$B, "n/a"),
        _xlpm.we_camera_on_date, IFERROR(AVERAGEIFS(Log!$F:$F, Log!$D:$D,B$4, Log!$C:$C, $A44, Log!$A:$A, "Daily", Log!$B:$B, "n/a"), 0),
        _xlpm.ie_camera_on_date, IFERROR(AVERAGEIFS(Log!$G:$G, Log!$D:$D,B$4,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4" s="68" t="str">
        <f>IFERROR(
    _xlfn.LET(
        _xlpm.is_data_present, $A44&lt;&gt;0,
        _xlpm.is_camera_present, COUNTIFS(Log!$C:$C, $A44, Log!$D:$D, C$4, Log!$A:$A, "Daily", Log!$B:$B, "n/a"),
        _xlpm.we_camera_on_date, IFERROR(AVERAGEIFS(Log!$F:$F, Log!$D:$D,C$4, Log!$C:$C, $A44, Log!$A:$A, "Daily", Log!$B:$B, "n/a"), 0),
        _xlpm.ie_camera_on_date, IFERROR(AVERAGEIFS(Log!$G:$G, Log!$D:$D,C$4,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4" s="68" t="str">
        <f>IFERROR(
    _xlfn.LET(
        _xlpm.is_data_present, $A44&lt;&gt;0,
        _xlpm.is_camera_present, COUNTIFS(Log!$C:$C, $A44, Log!$D:$D, D$4, Log!$A:$A, "Daily", Log!$B:$B, "n/a"),
        _xlpm.we_camera_on_date, IFERROR(AVERAGEIFS(Log!$F:$F, Log!$D:$D,D$4, Log!$C:$C, $A44, Log!$A:$A, "Daily", Log!$B:$B, "n/a"), 0),
        _xlpm.ie_camera_on_date, IFERROR(AVERAGEIFS(Log!$G:$G, Log!$D:$D,D$4,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4" s="68" t="str">
        <f>IFERROR(
    _xlfn.LET(
        _xlpm.is_data_present, $A44&lt;&gt;0,
        _xlpm.is_camera_present, COUNTIFS(Log!$C:$C, $A44, Log!$D:$D, E$4, Log!$A:$A, "Daily", Log!$B:$B, "n/a"),
        _xlpm.we_camera_on_date, IFERROR(AVERAGEIFS(Log!$F:$F, Log!$D:$D,E$4, Log!$C:$C, $A44, Log!$A:$A, "Daily", Log!$B:$B, "n/a"), 0),
        _xlpm.ie_camera_on_date, IFERROR(AVERAGEIFS(Log!$G:$G, Log!$D:$D,E$4,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4" s="68" t="str">
        <f>IFERROR(
    _xlfn.LET(
        _xlpm.is_data_present, $A44&lt;&gt;0,
        _xlpm.is_camera_present, COUNTIFS(Log!$C:$C, $A44, Log!$D:$D, F$4, Log!$A:$A, "Daily", Log!$B:$B, "n/a"),
        _xlpm.we_camera_on_date, IFERROR(AVERAGEIFS(Log!$F:$F, Log!$D:$D,F$4, Log!$C:$C, $A44, Log!$A:$A, "Daily", Log!$B:$B, "n/a"), 0),
        _xlpm.ie_camera_on_date, IFERROR(AVERAGEIFS(Log!$G:$G, Log!$D:$D,F$4,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4" s="68" t="str">
        <f>IFERROR(
    _xlfn.LET(
        _xlpm.is_data_present, $A44&lt;&gt;0,
        _xlpm.is_camera_present, COUNTIFS(Log!$C:$C, $A44, Log!$D:$D, G$4, Log!$A:$A, "Daily", Log!$B:$B, "n/a"),
        _xlpm.we_camera_on_date, IFERROR(AVERAGEIFS(Log!$F:$F, Log!$D:$D,G$4, Log!$C:$C, $A44, Log!$A:$A, "Daily", Log!$B:$B, "n/a"), 0),
        _xlpm.ie_camera_on_date, IFERROR(AVERAGEIFS(Log!$G:$G, Log!$D:$D,G$4,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4" s="68" t="str">
        <f>IFERROR(
    _xlfn.LET(
        _xlpm.is_data_present, $A44&lt;&gt;0,
        _xlpm.is_camera_present, COUNTIFS(Log!$C:$C, $A44, Log!$D:$D, H$4, Log!$A:$A, "Daily", Log!$B:$B, "n/a"),
        _xlpm.we_camera_on_date, IFERROR(AVERAGEIFS(Log!$F:$F, Log!$D:$D,H$4, Log!$C:$C, $A44, Log!$A:$A, "Daily", Log!$B:$B, "n/a"), 0),
        _xlpm.ie_camera_on_date, IFERROR(AVERAGEIFS(Log!$G:$G, Log!$D:$D,H$4,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4" s="68" t="str">
        <f>IFERROR(
    _xlfn.LET(
        _xlpm.is_data_present, $A44&lt;&gt;0,
        _xlpm.is_camera_present, COUNTIFS(Log!$C:$C, $A44, Log!$D:$D, I$4, Log!$A:$A, "Daily", Log!$B:$B, "n/a"),
        _xlpm.we_camera_on_date, IFERROR(AVERAGEIFS(Log!$F:$F, Log!$D:$D,I$4, Log!$C:$C, $A44, Log!$A:$A, "Daily", Log!$B:$B, "n/a"), 0),
        _xlpm.ie_camera_on_date, IFERROR(AVERAGEIFS(Log!$G:$G, Log!$D:$D,I$4,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4" s="68" t="str">
        <f>IFERROR(
    _xlfn.LET(
        _xlpm.is_data_present, $A44&lt;&gt;0,
        _xlpm.is_camera_present, COUNTIFS(Log!$C:$C, $A44, Log!$D:$D, J$4, Log!$A:$A, "Daily", Log!$B:$B, "n/a"),
        _xlpm.we_camera_on_date, IFERROR(AVERAGEIFS(Log!$F:$F, Log!$D:$D,J$4, Log!$C:$C, $A44, Log!$A:$A, "Daily", Log!$B:$B, "n/a"), 0),
        _xlpm.ie_camera_on_date, IFERROR(AVERAGEIFS(Log!$G:$G, Log!$D:$D,J$4,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4" s="68" t="str">
        <f>IFERROR(
    _xlfn.LET(
        _xlpm.is_data_present, $A44&lt;&gt;0,
        _xlpm.is_camera_present, COUNTIFS(Log!$C:$C, $A44, Log!$D:$D, K$4, Log!$A:$A, "Daily", Log!$B:$B, "n/a"),
        _xlpm.we_camera_on_date, IFERROR(AVERAGEIFS(Log!$F:$F, Log!$D:$D,K$4, Log!$C:$C, $A44, Log!$A:$A, "Daily", Log!$B:$B, "n/a"), 0),
        _xlpm.ie_camera_on_date, IFERROR(AVERAGEIFS(Log!$G:$G, Log!$D:$D,K$4,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4" s="68" t="str">
        <f>IFERROR(
    _xlfn.LET(
        _xlpm.is_data_present, $A44&lt;&gt;0,
        _xlpm.is_camera_present, COUNTIFS(Log!$C:$C, $A44, Log!$D:$D, L$4, Log!$A:$A, "Daily", Log!$B:$B, "n/a"),
        _xlpm.we_camera_on_date, IFERROR(AVERAGEIFS(Log!$F:$F, Log!$D:$D,L$4, Log!$C:$C, $A44, Log!$A:$A, "Daily", Log!$B:$B, "n/a"), 0),
        _xlpm.ie_camera_on_date, IFERROR(AVERAGEIFS(Log!$G:$G, Log!$D:$D,L$4,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4" s="68" t="str">
        <f>IFERROR(
    _xlfn.LET(
        _xlpm.is_data_present, $A44&lt;&gt;0,
        _xlpm.is_camera_present, COUNTIFS(Log!$C:$C, $A44, Log!$D:$D, M$4, Log!$A:$A, "Daily", Log!$B:$B, "n/a"),
        _xlpm.we_camera_on_date, IFERROR(AVERAGEIFS(Log!$F:$F, Log!$D:$D,M$4, Log!$C:$C, $A44, Log!$A:$A, "Daily", Log!$B:$B, "n/a"), 0),
        _xlpm.ie_camera_on_date, IFERROR(AVERAGEIFS(Log!$G:$G, Log!$D:$D,M$4,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4" s="68" t="str">
        <f>IFERROR(
    _xlfn.LET(
        _xlpm.is_data_present, $A44&lt;&gt;0,
        _xlpm.is_camera_present, COUNTIFS(Log!$C:$C, $A44, Log!$D:$D, N$4, Log!$A:$A, "Daily", Log!$B:$B, "n/a"),
        _xlpm.we_camera_on_date, IFERROR(AVERAGEIFS(Log!$F:$F, Log!$D:$D,N$4, Log!$C:$C, $A44, Log!$A:$A, "Daily", Log!$B:$B, "n/a"), 0),
        _xlpm.ie_camera_on_date, IFERROR(AVERAGEIFS(Log!$G:$G, Log!$D:$D,N$4,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4" s="68" t="str">
        <f>IFERROR(
    _xlfn.LET(
        _xlpm.is_data_present, $A44&lt;&gt;0,
        _xlpm.is_camera_present, COUNTIFS(Log!$C:$C, $A44, Log!$D:$D, O$4, Log!$A:$A, "Daily", Log!$B:$B, "n/a"),
        _xlpm.we_camera_on_date, IFERROR(AVERAGEIFS(Log!$F:$F, Log!$D:$D,O$4, Log!$C:$C, $A44, Log!$A:$A, "Daily", Log!$B:$B, "n/a"), 0),
        _xlpm.ie_camera_on_date, IFERROR(AVERAGEIFS(Log!$G:$G, Log!$D:$D,O$4,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4" s="68" t="str">
        <f>IFERROR(
    _xlfn.LET(
        _xlpm.is_data_present, $A44&lt;&gt;0,
        _xlpm.is_camera_present, COUNTIFS(Log!$C:$C, $A44, Log!$D:$D, P$4, Log!$A:$A, "Daily", Log!$B:$B, "n/a"),
        _xlpm.we_camera_on_date, IFERROR(AVERAGEIFS(Log!$F:$F, Log!$D:$D,P$4, Log!$C:$C, $A44, Log!$A:$A, "Daily", Log!$B:$B, "n/a"), 0),
        _xlpm.ie_camera_on_date, IFERROR(AVERAGEIFS(Log!$G:$G, Log!$D:$D,P$4,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4" s="68" t="str">
        <f>IFERROR(
    _xlfn.LET(
        _xlpm.is_data_present, $A44&lt;&gt;0,
        _xlpm.is_camera_present, COUNTIFS(Log!$C:$C, $A44, Log!$D:$D, Q$4, Log!$A:$A, "Daily", Log!$B:$B, "n/a"),
        _xlpm.we_camera_on_date, IFERROR(AVERAGEIFS(Log!$F:$F, Log!$D:$D,Q$4, Log!$C:$C, $A44, Log!$A:$A, "Daily", Log!$B:$B, "n/a"), 0),
        _xlpm.ie_camera_on_date, IFERROR(AVERAGEIFS(Log!$G:$G, Log!$D:$D,Q$4,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4" s="68" t="str">
        <f>IFERROR(
    _xlfn.LET(
        _xlpm.is_data_present, $A44&lt;&gt;0,
        _xlpm.is_camera_present, COUNTIFS(Log!$C:$C, $A44, Log!$D:$D, R$4, Log!$A:$A, "Daily", Log!$B:$B, "n/a"),
        _xlpm.we_camera_on_date, IFERROR(AVERAGEIFS(Log!$F:$F, Log!$D:$D,R$4, Log!$C:$C, $A44, Log!$A:$A, "Daily", Log!$B:$B, "n/a"), 0),
        _xlpm.ie_camera_on_date, IFERROR(AVERAGEIFS(Log!$G:$G, Log!$D:$D,R$4,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4" s="68" t="str">
        <f>IFERROR(
    _xlfn.LET(
        _xlpm.is_data_present, $A44&lt;&gt;0,
        _xlpm.is_camera_present, COUNTIFS(Log!$C:$C, $A44, Log!$D:$D, S$4, Log!$A:$A, "Daily", Log!$B:$B, "n/a"),
        _xlpm.we_camera_on_date, IFERROR(AVERAGEIFS(Log!$F:$F, Log!$D:$D,S$4, Log!$C:$C, $A44, Log!$A:$A, "Daily", Log!$B:$B, "n/a"), 0),
        _xlpm.ie_camera_on_date, IFERROR(AVERAGEIFS(Log!$G:$G, Log!$D:$D,S$4, Log!$C:$C, $A44, Log!$A:$A, "Daily", Log!$B:$B, "n/a"), 0),
        _xlpm.we_avg, IFERROR(AVERAGEIFS(Log!$F:$F,Log!$C:$C,$A44, Log!$A:$A, "Daily", Log!$B:$B, "n/a"),0),
        _xlpm.ie_avg, IFERROR(AVERAGEIFS(Log!$G:$G,Log!$C:$C,$A44,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5" spans="2:19" x14ac:dyDescent="0.3">
      <c r="B45" s="68" t="str">
        <f>IFERROR(
    _xlfn.LET(
        _xlpm.is_data_present, $A45&lt;&gt;0,
        _xlpm.is_camera_present, COUNTIFS(Log!$C:$C, $A45, Log!$D:$D, B$4, Log!$A:$A, "Daily", Log!$B:$B, "n/a"),
        _xlpm.we_camera_on_date, IFERROR(AVERAGEIFS(Log!$F:$F, Log!$D:$D,B$4, Log!$C:$C, $A45, Log!$A:$A, "Daily", Log!$B:$B, "n/a"), 0),
        _xlpm.ie_camera_on_date, IFERROR(AVERAGEIFS(Log!$G:$G, Log!$D:$D,B$4,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5" s="68" t="str">
        <f>IFERROR(
    _xlfn.LET(
        _xlpm.is_data_present, $A45&lt;&gt;0,
        _xlpm.is_camera_present, COUNTIFS(Log!$C:$C, $A45, Log!$D:$D, C$4, Log!$A:$A, "Daily", Log!$B:$B, "n/a"),
        _xlpm.we_camera_on_date, IFERROR(AVERAGEIFS(Log!$F:$F, Log!$D:$D,C$4, Log!$C:$C, $A45, Log!$A:$A, "Daily", Log!$B:$B, "n/a"), 0),
        _xlpm.ie_camera_on_date, IFERROR(AVERAGEIFS(Log!$G:$G, Log!$D:$D,C$4,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5" s="68" t="str">
        <f>IFERROR(
    _xlfn.LET(
        _xlpm.is_data_present, $A45&lt;&gt;0,
        _xlpm.is_camera_present, COUNTIFS(Log!$C:$C, $A45, Log!$D:$D, D$4, Log!$A:$A, "Daily", Log!$B:$B, "n/a"),
        _xlpm.we_camera_on_date, IFERROR(AVERAGEIFS(Log!$F:$F, Log!$D:$D,D$4, Log!$C:$C, $A45, Log!$A:$A, "Daily", Log!$B:$B, "n/a"), 0),
        _xlpm.ie_camera_on_date, IFERROR(AVERAGEIFS(Log!$G:$G, Log!$D:$D,D$4,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5" s="68" t="str">
        <f>IFERROR(
    _xlfn.LET(
        _xlpm.is_data_present, $A45&lt;&gt;0,
        _xlpm.is_camera_present, COUNTIFS(Log!$C:$C, $A45, Log!$D:$D, E$4, Log!$A:$A, "Daily", Log!$B:$B, "n/a"),
        _xlpm.we_camera_on_date, IFERROR(AVERAGEIFS(Log!$F:$F, Log!$D:$D,E$4, Log!$C:$C, $A45, Log!$A:$A, "Daily", Log!$B:$B, "n/a"), 0),
        _xlpm.ie_camera_on_date, IFERROR(AVERAGEIFS(Log!$G:$G, Log!$D:$D,E$4,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5" s="68" t="str">
        <f>IFERROR(
    _xlfn.LET(
        _xlpm.is_data_present, $A45&lt;&gt;0,
        _xlpm.is_camera_present, COUNTIFS(Log!$C:$C, $A45, Log!$D:$D, F$4, Log!$A:$A, "Daily", Log!$B:$B, "n/a"),
        _xlpm.we_camera_on_date, IFERROR(AVERAGEIFS(Log!$F:$F, Log!$D:$D,F$4, Log!$C:$C, $A45, Log!$A:$A, "Daily", Log!$B:$B, "n/a"), 0),
        _xlpm.ie_camera_on_date, IFERROR(AVERAGEIFS(Log!$G:$G, Log!$D:$D,F$4,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5" s="68" t="str">
        <f>IFERROR(
    _xlfn.LET(
        _xlpm.is_data_present, $A45&lt;&gt;0,
        _xlpm.is_camera_present, COUNTIFS(Log!$C:$C, $A45, Log!$D:$D, G$4, Log!$A:$A, "Daily", Log!$B:$B, "n/a"),
        _xlpm.we_camera_on_date, IFERROR(AVERAGEIFS(Log!$F:$F, Log!$D:$D,G$4, Log!$C:$C, $A45, Log!$A:$A, "Daily", Log!$B:$B, "n/a"), 0),
        _xlpm.ie_camera_on_date, IFERROR(AVERAGEIFS(Log!$G:$G, Log!$D:$D,G$4,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5" s="68" t="str">
        <f>IFERROR(
    _xlfn.LET(
        _xlpm.is_data_present, $A45&lt;&gt;0,
        _xlpm.is_camera_present, COUNTIFS(Log!$C:$C, $A45, Log!$D:$D, H$4, Log!$A:$A, "Daily", Log!$B:$B, "n/a"),
        _xlpm.we_camera_on_date, IFERROR(AVERAGEIFS(Log!$F:$F, Log!$D:$D,H$4, Log!$C:$C, $A45, Log!$A:$A, "Daily", Log!$B:$B, "n/a"), 0),
        _xlpm.ie_camera_on_date, IFERROR(AVERAGEIFS(Log!$G:$G, Log!$D:$D,H$4,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5" s="68" t="str">
        <f>IFERROR(
    _xlfn.LET(
        _xlpm.is_data_present, $A45&lt;&gt;0,
        _xlpm.is_camera_present, COUNTIFS(Log!$C:$C, $A45, Log!$D:$D, I$4, Log!$A:$A, "Daily", Log!$B:$B, "n/a"),
        _xlpm.we_camera_on_date, IFERROR(AVERAGEIFS(Log!$F:$F, Log!$D:$D,I$4, Log!$C:$C, $A45, Log!$A:$A, "Daily", Log!$B:$B, "n/a"), 0),
        _xlpm.ie_camera_on_date, IFERROR(AVERAGEIFS(Log!$G:$G, Log!$D:$D,I$4,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5" s="68" t="str">
        <f>IFERROR(
    _xlfn.LET(
        _xlpm.is_data_present, $A45&lt;&gt;0,
        _xlpm.is_camera_present, COUNTIFS(Log!$C:$C, $A45, Log!$D:$D, J$4, Log!$A:$A, "Daily", Log!$B:$B, "n/a"),
        _xlpm.we_camera_on_date, IFERROR(AVERAGEIFS(Log!$F:$F, Log!$D:$D,J$4, Log!$C:$C, $A45, Log!$A:$A, "Daily", Log!$B:$B, "n/a"), 0),
        _xlpm.ie_camera_on_date, IFERROR(AVERAGEIFS(Log!$G:$G, Log!$D:$D,J$4,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5" s="68" t="str">
        <f>IFERROR(
    _xlfn.LET(
        _xlpm.is_data_present, $A45&lt;&gt;0,
        _xlpm.is_camera_present, COUNTIFS(Log!$C:$C, $A45, Log!$D:$D, K$4, Log!$A:$A, "Daily", Log!$B:$B, "n/a"),
        _xlpm.we_camera_on_date, IFERROR(AVERAGEIFS(Log!$F:$F, Log!$D:$D,K$4, Log!$C:$C, $A45, Log!$A:$A, "Daily", Log!$B:$B, "n/a"), 0),
        _xlpm.ie_camera_on_date, IFERROR(AVERAGEIFS(Log!$G:$G, Log!$D:$D,K$4,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5" s="68" t="str">
        <f>IFERROR(
    _xlfn.LET(
        _xlpm.is_data_present, $A45&lt;&gt;0,
        _xlpm.is_camera_present, COUNTIFS(Log!$C:$C, $A45, Log!$D:$D, L$4, Log!$A:$A, "Daily", Log!$B:$B, "n/a"),
        _xlpm.we_camera_on_date, IFERROR(AVERAGEIFS(Log!$F:$F, Log!$D:$D,L$4, Log!$C:$C, $A45, Log!$A:$A, "Daily", Log!$B:$B, "n/a"), 0),
        _xlpm.ie_camera_on_date, IFERROR(AVERAGEIFS(Log!$G:$G, Log!$D:$D,L$4,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5" s="68" t="str">
        <f>IFERROR(
    _xlfn.LET(
        _xlpm.is_data_present, $A45&lt;&gt;0,
        _xlpm.is_camera_present, COUNTIFS(Log!$C:$C, $A45, Log!$D:$D, M$4, Log!$A:$A, "Daily", Log!$B:$B, "n/a"),
        _xlpm.we_camera_on_date, IFERROR(AVERAGEIFS(Log!$F:$F, Log!$D:$D,M$4, Log!$C:$C, $A45, Log!$A:$A, "Daily", Log!$B:$B, "n/a"), 0),
        _xlpm.ie_camera_on_date, IFERROR(AVERAGEIFS(Log!$G:$G, Log!$D:$D,M$4,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5" s="68" t="str">
        <f>IFERROR(
    _xlfn.LET(
        _xlpm.is_data_present, $A45&lt;&gt;0,
        _xlpm.is_camera_present, COUNTIFS(Log!$C:$C, $A45, Log!$D:$D, N$4, Log!$A:$A, "Daily", Log!$B:$B, "n/a"),
        _xlpm.we_camera_on_date, IFERROR(AVERAGEIFS(Log!$F:$F, Log!$D:$D,N$4, Log!$C:$C, $A45, Log!$A:$A, "Daily", Log!$B:$B, "n/a"), 0),
        _xlpm.ie_camera_on_date, IFERROR(AVERAGEIFS(Log!$G:$G, Log!$D:$D,N$4,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5" s="68" t="str">
        <f>IFERROR(
    _xlfn.LET(
        _xlpm.is_data_present, $A45&lt;&gt;0,
        _xlpm.is_camera_present, COUNTIFS(Log!$C:$C, $A45, Log!$D:$D, O$4, Log!$A:$A, "Daily", Log!$B:$B, "n/a"),
        _xlpm.we_camera_on_date, IFERROR(AVERAGEIFS(Log!$F:$F, Log!$D:$D,O$4, Log!$C:$C, $A45, Log!$A:$A, "Daily", Log!$B:$B, "n/a"), 0),
        _xlpm.ie_camera_on_date, IFERROR(AVERAGEIFS(Log!$G:$G, Log!$D:$D,O$4,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5" s="68" t="str">
        <f>IFERROR(
    _xlfn.LET(
        _xlpm.is_data_present, $A45&lt;&gt;0,
        _xlpm.is_camera_present, COUNTIFS(Log!$C:$C, $A45, Log!$D:$D, P$4, Log!$A:$A, "Daily", Log!$B:$B, "n/a"),
        _xlpm.we_camera_on_date, IFERROR(AVERAGEIFS(Log!$F:$F, Log!$D:$D,P$4, Log!$C:$C, $A45, Log!$A:$A, "Daily", Log!$B:$B, "n/a"), 0),
        _xlpm.ie_camera_on_date, IFERROR(AVERAGEIFS(Log!$G:$G, Log!$D:$D,P$4,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5" s="68" t="str">
        <f>IFERROR(
    _xlfn.LET(
        _xlpm.is_data_present, $A45&lt;&gt;0,
        _xlpm.is_camera_present, COUNTIFS(Log!$C:$C, $A45, Log!$D:$D, Q$4, Log!$A:$A, "Daily", Log!$B:$B, "n/a"),
        _xlpm.we_camera_on_date, IFERROR(AVERAGEIFS(Log!$F:$F, Log!$D:$D,Q$4, Log!$C:$C, $A45, Log!$A:$A, "Daily", Log!$B:$B, "n/a"), 0),
        _xlpm.ie_camera_on_date, IFERROR(AVERAGEIFS(Log!$G:$G, Log!$D:$D,Q$4,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5" s="68" t="str">
        <f>IFERROR(
    _xlfn.LET(
        _xlpm.is_data_present, $A45&lt;&gt;0,
        _xlpm.is_camera_present, COUNTIFS(Log!$C:$C, $A45, Log!$D:$D, R$4, Log!$A:$A, "Daily", Log!$B:$B, "n/a"),
        _xlpm.we_camera_on_date, IFERROR(AVERAGEIFS(Log!$F:$F, Log!$D:$D,R$4, Log!$C:$C, $A45, Log!$A:$A, "Daily", Log!$B:$B, "n/a"), 0),
        _xlpm.ie_camera_on_date, IFERROR(AVERAGEIFS(Log!$G:$G, Log!$D:$D,R$4,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5" s="68" t="str">
        <f>IFERROR(
    _xlfn.LET(
        _xlpm.is_data_present, $A45&lt;&gt;0,
        _xlpm.is_camera_present, COUNTIFS(Log!$C:$C, $A45, Log!$D:$D, S$4, Log!$A:$A, "Daily", Log!$B:$B, "n/a"),
        _xlpm.we_camera_on_date, IFERROR(AVERAGEIFS(Log!$F:$F, Log!$D:$D,S$4, Log!$C:$C, $A45, Log!$A:$A, "Daily", Log!$B:$B, "n/a"), 0),
        _xlpm.ie_camera_on_date, IFERROR(AVERAGEIFS(Log!$G:$G, Log!$D:$D,S$4, Log!$C:$C, $A45, Log!$A:$A, "Daily", Log!$B:$B, "n/a"), 0),
        _xlpm.we_avg, IFERROR(AVERAGEIFS(Log!$F:$F,Log!$C:$C,$A45, Log!$A:$A, "Daily", Log!$B:$B, "n/a"),0),
        _xlpm.ie_avg, IFERROR(AVERAGEIFS(Log!$G:$G,Log!$C:$C,$A45,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6" spans="2:19" x14ac:dyDescent="0.3">
      <c r="B46" s="68" t="str">
        <f>IFERROR(
    _xlfn.LET(
        _xlpm.is_data_present, $A46&lt;&gt;0,
        _xlpm.is_camera_present, COUNTIFS(Log!$C:$C, $A46, Log!$D:$D, B$4, Log!$A:$A, "Daily", Log!$B:$B, "n/a"),
        _xlpm.we_camera_on_date, IFERROR(AVERAGEIFS(Log!$F:$F, Log!$D:$D,B$4, Log!$C:$C, $A46, Log!$A:$A, "Daily", Log!$B:$B, "n/a"), 0),
        _xlpm.ie_camera_on_date, IFERROR(AVERAGEIFS(Log!$G:$G, Log!$D:$D,B$4,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6" s="68" t="str">
        <f>IFERROR(
    _xlfn.LET(
        _xlpm.is_data_present, $A46&lt;&gt;0,
        _xlpm.is_camera_present, COUNTIFS(Log!$C:$C, $A46, Log!$D:$D, C$4, Log!$A:$A, "Daily", Log!$B:$B, "n/a"),
        _xlpm.we_camera_on_date, IFERROR(AVERAGEIFS(Log!$F:$F, Log!$D:$D,C$4, Log!$C:$C, $A46, Log!$A:$A, "Daily", Log!$B:$B, "n/a"), 0),
        _xlpm.ie_camera_on_date, IFERROR(AVERAGEIFS(Log!$G:$G, Log!$D:$D,C$4,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6" s="68" t="str">
        <f>IFERROR(
    _xlfn.LET(
        _xlpm.is_data_present, $A46&lt;&gt;0,
        _xlpm.is_camera_present, COUNTIFS(Log!$C:$C, $A46, Log!$D:$D, D$4, Log!$A:$A, "Daily", Log!$B:$B, "n/a"),
        _xlpm.we_camera_on_date, IFERROR(AVERAGEIFS(Log!$F:$F, Log!$D:$D,D$4, Log!$C:$C, $A46, Log!$A:$A, "Daily", Log!$B:$B, "n/a"), 0),
        _xlpm.ie_camera_on_date, IFERROR(AVERAGEIFS(Log!$G:$G, Log!$D:$D,D$4,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6" s="68" t="str">
        <f>IFERROR(
    _xlfn.LET(
        _xlpm.is_data_present, $A46&lt;&gt;0,
        _xlpm.is_camera_present, COUNTIFS(Log!$C:$C, $A46, Log!$D:$D, E$4, Log!$A:$A, "Daily", Log!$B:$B, "n/a"),
        _xlpm.we_camera_on_date, IFERROR(AVERAGEIFS(Log!$F:$F, Log!$D:$D,E$4, Log!$C:$C, $A46, Log!$A:$A, "Daily", Log!$B:$B, "n/a"), 0),
        _xlpm.ie_camera_on_date, IFERROR(AVERAGEIFS(Log!$G:$G, Log!$D:$D,E$4,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6" s="68" t="str">
        <f>IFERROR(
    _xlfn.LET(
        _xlpm.is_data_present, $A46&lt;&gt;0,
        _xlpm.is_camera_present, COUNTIFS(Log!$C:$C, $A46, Log!$D:$D, F$4, Log!$A:$A, "Daily", Log!$B:$B, "n/a"),
        _xlpm.we_camera_on_date, IFERROR(AVERAGEIFS(Log!$F:$F, Log!$D:$D,F$4, Log!$C:$C, $A46, Log!$A:$A, "Daily", Log!$B:$B, "n/a"), 0),
        _xlpm.ie_camera_on_date, IFERROR(AVERAGEIFS(Log!$G:$G, Log!$D:$D,F$4,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6" s="68" t="str">
        <f>IFERROR(
    _xlfn.LET(
        _xlpm.is_data_present, $A46&lt;&gt;0,
        _xlpm.is_camera_present, COUNTIFS(Log!$C:$C, $A46, Log!$D:$D, G$4, Log!$A:$A, "Daily", Log!$B:$B, "n/a"),
        _xlpm.we_camera_on_date, IFERROR(AVERAGEIFS(Log!$F:$F, Log!$D:$D,G$4, Log!$C:$C, $A46, Log!$A:$A, "Daily", Log!$B:$B, "n/a"), 0),
        _xlpm.ie_camera_on_date, IFERROR(AVERAGEIFS(Log!$G:$G, Log!$D:$D,G$4,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6" s="68" t="str">
        <f>IFERROR(
    _xlfn.LET(
        _xlpm.is_data_present, $A46&lt;&gt;0,
        _xlpm.is_camera_present, COUNTIFS(Log!$C:$C, $A46, Log!$D:$D, H$4, Log!$A:$A, "Daily", Log!$B:$B, "n/a"),
        _xlpm.we_camera_on_date, IFERROR(AVERAGEIFS(Log!$F:$F, Log!$D:$D,H$4, Log!$C:$C, $A46, Log!$A:$A, "Daily", Log!$B:$B, "n/a"), 0),
        _xlpm.ie_camera_on_date, IFERROR(AVERAGEIFS(Log!$G:$G, Log!$D:$D,H$4,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6" s="68" t="str">
        <f>IFERROR(
    _xlfn.LET(
        _xlpm.is_data_present, $A46&lt;&gt;0,
        _xlpm.is_camera_present, COUNTIFS(Log!$C:$C, $A46, Log!$D:$D, I$4, Log!$A:$A, "Daily", Log!$B:$B, "n/a"),
        _xlpm.we_camera_on_date, IFERROR(AVERAGEIFS(Log!$F:$F, Log!$D:$D,I$4, Log!$C:$C, $A46, Log!$A:$A, "Daily", Log!$B:$B, "n/a"), 0),
        _xlpm.ie_camera_on_date, IFERROR(AVERAGEIFS(Log!$G:$G, Log!$D:$D,I$4,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6" s="68" t="str">
        <f>IFERROR(
    _xlfn.LET(
        _xlpm.is_data_present, $A46&lt;&gt;0,
        _xlpm.is_camera_present, COUNTIFS(Log!$C:$C, $A46, Log!$D:$D, J$4, Log!$A:$A, "Daily", Log!$B:$B, "n/a"),
        _xlpm.we_camera_on_date, IFERROR(AVERAGEIFS(Log!$F:$F, Log!$D:$D,J$4, Log!$C:$C, $A46, Log!$A:$A, "Daily", Log!$B:$B, "n/a"), 0),
        _xlpm.ie_camera_on_date, IFERROR(AVERAGEIFS(Log!$G:$G, Log!$D:$D,J$4,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6" s="68" t="str">
        <f>IFERROR(
    _xlfn.LET(
        _xlpm.is_data_present, $A46&lt;&gt;0,
        _xlpm.is_camera_present, COUNTIFS(Log!$C:$C, $A46, Log!$D:$D, K$4, Log!$A:$A, "Daily", Log!$B:$B, "n/a"),
        _xlpm.we_camera_on_date, IFERROR(AVERAGEIFS(Log!$F:$F, Log!$D:$D,K$4, Log!$C:$C, $A46, Log!$A:$A, "Daily", Log!$B:$B, "n/a"), 0),
        _xlpm.ie_camera_on_date, IFERROR(AVERAGEIFS(Log!$G:$G, Log!$D:$D,K$4,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6" s="68" t="str">
        <f>IFERROR(
    _xlfn.LET(
        _xlpm.is_data_present, $A46&lt;&gt;0,
        _xlpm.is_camera_present, COUNTIFS(Log!$C:$C, $A46, Log!$D:$D, L$4, Log!$A:$A, "Daily", Log!$B:$B, "n/a"),
        _xlpm.we_camera_on_date, IFERROR(AVERAGEIFS(Log!$F:$F, Log!$D:$D,L$4, Log!$C:$C, $A46, Log!$A:$A, "Daily", Log!$B:$B, "n/a"), 0),
        _xlpm.ie_camera_on_date, IFERROR(AVERAGEIFS(Log!$G:$G, Log!$D:$D,L$4,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6" s="68" t="str">
        <f>IFERROR(
    _xlfn.LET(
        _xlpm.is_data_present, $A46&lt;&gt;0,
        _xlpm.is_camera_present, COUNTIFS(Log!$C:$C, $A46, Log!$D:$D, M$4, Log!$A:$A, "Daily", Log!$B:$B, "n/a"),
        _xlpm.we_camera_on_date, IFERROR(AVERAGEIFS(Log!$F:$F, Log!$D:$D,M$4, Log!$C:$C, $A46, Log!$A:$A, "Daily", Log!$B:$B, "n/a"), 0),
        _xlpm.ie_camera_on_date, IFERROR(AVERAGEIFS(Log!$G:$G, Log!$D:$D,M$4,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6" s="68" t="str">
        <f>IFERROR(
    _xlfn.LET(
        _xlpm.is_data_present, $A46&lt;&gt;0,
        _xlpm.is_camera_present, COUNTIFS(Log!$C:$C, $A46, Log!$D:$D, N$4, Log!$A:$A, "Daily", Log!$B:$B, "n/a"),
        _xlpm.we_camera_on_date, IFERROR(AVERAGEIFS(Log!$F:$F, Log!$D:$D,N$4, Log!$C:$C, $A46, Log!$A:$A, "Daily", Log!$B:$B, "n/a"), 0),
        _xlpm.ie_camera_on_date, IFERROR(AVERAGEIFS(Log!$G:$G, Log!$D:$D,N$4,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6" s="68" t="str">
        <f>IFERROR(
    _xlfn.LET(
        _xlpm.is_data_present, $A46&lt;&gt;0,
        _xlpm.is_camera_present, COUNTIFS(Log!$C:$C, $A46, Log!$D:$D, O$4, Log!$A:$A, "Daily", Log!$B:$B, "n/a"),
        _xlpm.we_camera_on_date, IFERROR(AVERAGEIFS(Log!$F:$F, Log!$D:$D,O$4, Log!$C:$C, $A46, Log!$A:$A, "Daily", Log!$B:$B, "n/a"), 0),
        _xlpm.ie_camera_on_date, IFERROR(AVERAGEIFS(Log!$G:$G, Log!$D:$D,O$4,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6" s="68" t="str">
        <f>IFERROR(
    _xlfn.LET(
        _xlpm.is_data_present, $A46&lt;&gt;0,
        _xlpm.is_camera_present, COUNTIFS(Log!$C:$C, $A46, Log!$D:$D, P$4, Log!$A:$A, "Daily", Log!$B:$B, "n/a"),
        _xlpm.we_camera_on_date, IFERROR(AVERAGEIFS(Log!$F:$F, Log!$D:$D,P$4, Log!$C:$C, $A46, Log!$A:$A, "Daily", Log!$B:$B, "n/a"), 0),
        _xlpm.ie_camera_on_date, IFERROR(AVERAGEIFS(Log!$G:$G, Log!$D:$D,P$4,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6" s="68" t="str">
        <f>IFERROR(
    _xlfn.LET(
        _xlpm.is_data_present, $A46&lt;&gt;0,
        _xlpm.is_camera_present, COUNTIFS(Log!$C:$C, $A46, Log!$D:$D, Q$4, Log!$A:$A, "Daily", Log!$B:$B, "n/a"),
        _xlpm.we_camera_on_date, IFERROR(AVERAGEIFS(Log!$F:$F, Log!$D:$D,Q$4, Log!$C:$C, $A46, Log!$A:$A, "Daily", Log!$B:$B, "n/a"), 0),
        _xlpm.ie_camera_on_date, IFERROR(AVERAGEIFS(Log!$G:$G, Log!$D:$D,Q$4,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6" s="68" t="str">
        <f>IFERROR(
    _xlfn.LET(
        _xlpm.is_data_present, $A46&lt;&gt;0,
        _xlpm.is_camera_present, COUNTIFS(Log!$C:$C, $A46, Log!$D:$D, R$4, Log!$A:$A, "Daily", Log!$B:$B, "n/a"),
        _xlpm.we_camera_on_date, IFERROR(AVERAGEIFS(Log!$F:$F, Log!$D:$D,R$4, Log!$C:$C, $A46, Log!$A:$A, "Daily", Log!$B:$B, "n/a"), 0),
        _xlpm.ie_camera_on_date, IFERROR(AVERAGEIFS(Log!$G:$G, Log!$D:$D,R$4,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6" s="68" t="str">
        <f>IFERROR(
    _xlfn.LET(
        _xlpm.is_data_present, $A46&lt;&gt;0,
        _xlpm.is_camera_present, COUNTIFS(Log!$C:$C, $A46, Log!$D:$D, S$4, Log!$A:$A, "Daily", Log!$B:$B, "n/a"),
        _xlpm.we_camera_on_date, IFERROR(AVERAGEIFS(Log!$F:$F, Log!$D:$D,S$4, Log!$C:$C, $A46, Log!$A:$A, "Daily", Log!$B:$B, "n/a"), 0),
        _xlpm.ie_camera_on_date, IFERROR(AVERAGEIFS(Log!$G:$G, Log!$D:$D,S$4, Log!$C:$C, $A46, Log!$A:$A, "Daily", Log!$B:$B, "n/a"), 0),
        _xlpm.we_avg, IFERROR(AVERAGEIFS(Log!$F:$F,Log!$C:$C,$A46, Log!$A:$A, "Daily", Log!$B:$B, "n/a"),0),
        _xlpm.ie_avg, IFERROR(AVERAGEIFS(Log!$G:$G,Log!$C:$C,$A46,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7" spans="2:19" x14ac:dyDescent="0.3">
      <c r="B47" s="68" t="str">
        <f>IFERROR(
    _xlfn.LET(
        _xlpm.is_data_present, $A47&lt;&gt;0,
        _xlpm.is_camera_present, COUNTIFS(Log!$C:$C, $A47, Log!$D:$D, B$4, Log!$A:$A, "Daily", Log!$B:$B, "n/a"),
        _xlpm.we_camera_on_date, IFERROR(AVERAGEIFS(Log!$F:$F, Log!$D:$D,B$4, Log!$C:$C, $A47, Log!$A:$A, "Daily", Log!$B:$B, "n/a"), 0),
        _xlpm.ie_camera_on_date, IFERROR(AVERAGEIFS(Log!$G:$G, Log!$D:$D,B$4,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7" s="68" t="str">
        <f>IFERROR(
    _xlfn.LET(
        _xlpm.is_data_present, $A47&lt;&gt;0,
        _xlpm.is_camera_present, COUNTIFS(Log!$C:$C, $A47, Log!$D:$D, C$4, Log!$A:$A, "Daily", Log!$B:$B, "n/a"),
        _xlpm.we_camera_on_date, IFERROR(AVERAGEIFS(Log!$F:$F, Log!$D:$D,C$4, Log!$C:$C, $A47, Log!$A:$A, "Daily", Log!$B:$B, "n/a"), 0),
        _xlpm.ie_camera_on_date, IFERROR(AVERAGEIFS(Log!$G:$G, Log!$D:$D,C$4,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7" s="68" t="str">
        <f>IFERROR(
    _xlfn.LET(
        _xlpm.is_data_present, $A47&lt;&gt;0,
        _xlpm.is_camera_present, COUNTIFS(Log!$C:$C, $A47, Log!$D:$D, D$4, Log!$A:$A, "Daily", Log!$B:$B, "n/a"),
        _xlpm.we_camera_on_date, IFERROR(AVERAGEIFS(Log!$F:$F, Log!$D:$D,D$4, Log!$C:$C, $A47, Log!$A:$A, "Daily", Log!$B:$B, "n/a"), 0),
        _xlpm.ie_camera_on_date, IFERROR(AVERAGEIFS(Log!$G:$G, Log!$D:$D,D$4,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7" s="68" t="str">
        <f>IFERROR(
    _xlfn.LET(
        _xlpm.is_data_present, $A47&lt;&gt;0,
        _xlpm.is_camera_present, COUNTIFS(Log!$C:$C, $A47, Log!$D:$D, E$4, Log!$A:$A, "Daily", Log!$B:$B, "n/a"),
        _xlpm.we_camera_on_date, IFERROR(AVERAGEIFS(Log!$F:$F, Log!$D:$D,E$4, Log!$C:$C, $A47, Log!$A:$A, "Daily", Log!$B:$B, "n/a"), 0),
        _xlpm.ie_camera_on_date, IFERROR(AVERAGEIFS(Log!$G:$G, Log!$D:$D,E$4,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7" s="68" t="str">
        <f>IFERROR(
    _xlfn.LET(
        _xlpm.is_data_present, $A47&lt;&gt;0,
        _xlpm.is_camera_present, COUNTIFS(Log!$C:$C, $A47, Log!$D:$D, F$4, Log!$A:$A, "Daily", Log!$B:$B, "n/a"),
        _xlpm.we_camera_on_date, IFERROR(AVERAGEIFS(Log!$F:$F, Log!$D:$D,F$4, Log!$C:$C, $A47, Log!$A:$A, "Daily", Log!$B:$B, "n/a"), 0),
        _xlpm.ie_camera_on_date, IFERROR(AVERAGEIFS(Log!$G:$G, Log!$D:$D,F$4,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7" s="68" t="str">
        <f>IFERROR(
    _xlfn.LET(
        _xlpm.is_data_present, $A47&lt;&gt;0,
        _xlpm.is_camera_present, COUNTIFS(Log!$C:$C, $A47, Log!$D:$D, G$4, Log!$A:$A, "Daily", Log!$B:$B, "n/a"),
        _xlpm.we_camera_on_date, IFERROR(AVERAGEIFS(Log!$F:$F, Log!$D:$D,G$4, Log!$C:$C, $A47, Log!$A:$A, "Daily", Log!$B:$B, "n/a"), 0),
        _xlpm.ie_camera_on_date, IFERROR(AVERAGEIFS(Log!$G:$G, Log!$D:$D,G$4,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7" s="68" t="str">
        <f>IFERROR(
    _xlfn.LET(
        _xlpm.is_data_present, $A47&lt;&gt;0,
        _xlpm.is_camera_present, COUNTIFS(Log!$C:$C, $A47, Log!$D:$D, H$4, Log!$A:$A, "Daily", Log!$B:$B, "n/a"),
        _xlpm.we_camera_on_date, IFERROR(AVERAGEIFS(Log!$F:$F, Log!$D:$D,H$4, Log!$C:$C, $A47, Log!$A:$A, "Daily", Log!$B:$B, "n/a"), 0),
        _xlpm.ie_camera_on_date, IFERROR(AVERAGEIFS(Log!$G:$G, Log!$D:$D,H$4,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7" s="68" t="str">
        <f>IFERROR(
    _xlfn.LET(
        _xlpm.is_data_present, $A47&lt;&gt;0,
        _xlpm.is_camera_present, COUNTIFS(Log!$C:$C, $A47, Log!$D:$D, I$4, Log!$A:$A, "Daily", Log!$B:$B, "n/a"),
        _xlpm.we_camera_on_date, IFERROR(AVERAGEIFS(Log!$F:$F, Log!$D:$D,I$4, Log!$C:$C, $A47, Log!$A:$A, "Daily", Log!$B:$B, "n/a"), 0),
        _xlpm.ie_camera_on_date, IFERROR(AVERAGEIFS(Log!$G:$G, Log!$D:$D,I$4,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7" s="68" t="str">
        <f>IFERROR(
    _xlfn.LET(
        _xlpm.is_data_present, $A47&lt;&gt;0,
        _xlpm.is_camera_present, COUNTIFS(Log!$C:$C, $A47, Log!$D:$D, J$4, Log!$A:$A, "Daily", Log!$B:$B, "n/a"),
        _xlpm.we_camera_on_date, IFERROR(AVERAGEIFS(Log!$F:$F, Log!$D:$D,J$4, Log!$C:$C, $A47, Log!$A:$A, "Daily", Log!$B:$B, "n/a"), 0),
        _xlpm.ie_camera_on_date, IFERROR(AVERAGEIFS(Log!$G:$G, Log!$D:$D,J$4,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7" s="68" t="str">
        <f>IFERROR(
    _xlfn.LET(
        _xlpm.is_data_present, $A47&lt;&gt;0,
        _xlpm.is_camera_present, COUNTIFS(Log!$C:$C, $A47, Log!$D:$D, K$4, Log!$A:$A, "Daily", Log!$B:$B, "n/a"),
        _xlpm.we_camera_on_date, IFERROR(AVERAGEIFS(Log!$F:$F, Log!$D:$D,K$4, Log!$C:$C, $A47, Log!$A:$A, "Daily", Log!$B:$B, "n/a"), 0),
        _xlpm.ie_camera_on_date, IFERROR(AVERAGEIFS(Log!$G:$G, Log!$D:$D,K$4,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7" s="68" t="str">
        <f>IFERROR(
    _xlfn.LET(
        _xlpm.is_data_present, $A47&lt;&gt;0,
        _xlpm.is_camera_present, COUNTIFS(Log!$C:$C, $A47, Log!$D:$D, L$4, Log!$A:$A, "Daily", Log!$B:$B, "n/a"),
        _xlpm.we_camera_on_date, IFERROR(AVERAGEIFS(Log!$F:$F, Log!$D:$D,L$4, Log!$C:$C, $A47, Log!$A:$A, "Daily", Log!$B:$B, "n/a"), 0),
        _xlpm.ie_camera_on_date, IFERROR(AVERAGEIFS(Log!$G:$G, Log!$D:$D,L$4,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7" s="68" t="str">
        <f>IFERROR(
    _xlfn.LET(
        _xlpm.is_data_present, $A47&lt;&gt;0,
        _xlpm.is_camera_present, COUNTIFS(Log!$C:$C, $A47, Log!$D:$D, M$4, Log!$A:$A, "Daily", Log!$B:$B, "n/a"),
        _xlpm.we_camera_on_date, IFERROR(AVERAGEIFS(Log!$F:$F, Log!$D:$D,M$4, Log!$C:$C, $A47, Log!$A:$A, "Daily", Log!$B:$B, "n/a"), 0),
        _xlpm.ie_camera_on_date, IFERROR(AVERAGEIFS(Log!$G:$G, Log!$D:$D,M$4,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7" s="68" t="str">
        <f>IFERROR(
    _xlfn.LET(
        _xlpm.is_data_present, $A47&lt;&gt;0,
        _xlpm.is_camera_present, COUNTIFS(Log!$C:$C, $A47, Log!$D:$D, N$4, Log!$A:$A, "Daily", Log!$B:$B, "n/a"),
        _xlpm.we_camera_on_date, IFERROR(AVERAGEIFS(Log!$F:$F, Log!$D:$D,N$4, Log!$C:$C, $A47, Log!$A:$A, "Daily", Log!$B:$B, "n/a"), 0),
        _xlpm.ie_camera_on_date, IFERROR(AVERAGEIFS(Log!$G:$G, Log!$D:$D,N$4,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7" s="68" t="str">
        <f>IFERROR(
    _xlfn.LET(
        _xlpm.is_data_present, $A47&lt;&gt;0,
        _xlpm.is_camera_present, COUNTIFS(Log!$C:$C, $A47, Log!$D:$D, O$4, Log!$A:$A, "Daily", Log!$B:$B, "n/a"),
        _xlpm.we_camera_on_date, IFERROR(AVERAGEIFS(Log!$F:$F, Log!$D:$D,O$4, Log!$C:$C, $A47, Log!$A:$A, "Daily", Log!$B:$B, "n/a"), 0),
        _xlpm.ie_camera_on_date, IFERROR(AVERAGEIFS(Log!$G:$G, Log!$D:$D,O$4,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7" s="68" t="str">
        <f>IFERROR(
    _xlfn.LET(
        _xlpm.is_data_present, $A47&lt;&gt;0,
        _xlpm.is_camera_present, COUNTIFS(Log!$C:$C, $A47, Log!$D:$D, P$4, Log!$A:$A, "Daily", Log!$B:$B, "n/a"),
        _xlpm.we_camera_on_date, IFERROR(AVERAGEIFS(Log!$F:$F, Log!$D:$D,P$4, Log!$C:$C, $A47, Log!$A:$A, "Daily", Log!$B:$B, "n/a"), 0),
        _xlpm.ie_camera_on_date, IFERROR(AVERAGEIFS(Log!$G:$G, Log!$D:$D,P$4,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7" s="68" t="str">
        <f>IFERROR(
    _xlfn.LET(
        _xlpm.is_data_present, $A47&lt;&gt;0,
        _xlpm.is_camera_present, COUNTIFS(Log!$C:$C, $A47, Log!$D:$D, Q$4, Log!$A:$A, "Daily", Log!$B:$B, "n/a"),
        _xlpm.we_camera_on_date, IFERROR(AVERAGEIFS(Log!$F:$F, Log!$D:$D,Q$4, Log!$C:$C, $A47, Log!$A:$A, "Daily", Log!$B:$B, "n/a"), 0),
        _xlpm.ie_camera_on_date, IFERROR(AVERAGEIFS(Log!$G:$G, Log!$D:$D,Q$4,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7" s="68" t="str">
        <f>IFERROR(
    _xlfn.LET(
        _xlpm.is_data_present, $A47&lt;&gt;0,
        _xlpm.is_camera_present, COUNTIFS(Log!$C:$C, $A47, Log!$D:$D, R$4, Log!$A:$A, "Daily", Log!$B:$B, "n/a"),
        _xlpm.we_camera_on_date, IFERROR(AVERAGEIFS(Log!$F:$F, Log!$D:$D,R$4, Log!$C:$C, $A47, Log!$A:$A, "Daily", Log!$B:$B, "n/a"), 0),
        _xlpm.ie_camera_on_date, IFERROR(AVERAGEIFS(Log!$G:$G, Log!$D:$D,R$4,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7" s="68" t="str">
        <f>IFERROR(
    _xlfn.LET(
        _xlpm.is_data_present, $A47&lt;&gt;0,
        _xlpm.is_camera_present, COUNTIFS(Log!$C:$C, $A47, Log!$D:$D, S$4, Log!$A:$A, "Daily", Log!$B:$B, "n/a"),
        _xlpm.we_camera_on_date, IFERROR(AVERAGEIFS(Log!$F:$F, Log!$D:$D,S$4, Log!$C:$C, $A47, Log!$A:$A, "Daily", Log!$B:$B, "n/a"), 0),
        _xlpm.ie_camera_on_date, IFERROR(AVERAGEIFS(Log!$G:$G, Log!$D:$D,S$4, Log!$C:$C, $A47, Log!$A:$A, "Daily", Log!$B:$B, "n/a"), 0),
        _xlpm.we_avg, IFERROR(AVERAGEIFS(Log!$F:$F,Log!$C:$C,$A47, Log!$A:$A, "Daily", Log!$B:$B, "n/a"),0),
        _xlpm.ie_avg, IFERROR(AVERAGEIFS(Log!$G:$G,Log!$C:$C,$A47,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8" spans="2:19" x14ac:dyDescent="0.3">
      <c r="B48" s="68" t="str">
        <f>IFERROR(
    _xlfn.LET(
        _xlpm.is_data_present, $A48&lt;&gt;0,
        _xlpm.is_camera_present, COUNTIFS(Log!$C:$C, $A48, Log!$D:$D, B$4, Log!$A:$A, "Daily", Log!$B:$B, "n/a"),
        _xlpm.we_camera_on_date, IFERROR(AVERAGEIFS(Log!$F:$F, Log!$D:$D,B$4, Log!$C:$C, $A48, Log!$A:$A, "Daily", Log!$B:$B, "n/a"), 0),
        _xlpm.ie_camera_on_date, IFERROR(AVERAGEIFS(Log!$G:$G, Log!$D:$D,B$4,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8" s="68" t="str">
        <f>IFERROR(
    _xlfn.LET(
        _xlpm.is_data_present, $A48&lt;&gt;0,
        _xlpm.is_camera_present, COUNTIFS(Log!$C:$C, $A48, Log!$D:$D, C$4, Log!$A:$A, "Daily", Log!$B:$B, "n/a"),
        _xlpm.we_camera_on_date, IFERROR(AVERAGEIFS(Log!$F:$F, Log!$D:$D,C$4, Log!$C:$C, $A48, Log!$A:$A, "Daily", Log!$B:$B, "n/a"), 0),
        _xlpm.ie_camera_on_date, IFERROR(AVERAGEIFS(Log!$G:$G, Log!$D:$D,C$4,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8" s="68" t="str">
        <f>IFERROR(
    _xlfn.LET(
        _xlpm.is_data_present, $A48&lt;&gt;0,
        _xlpm.is_camera_present, COUNTIFS(Log!$C:$C, $A48, Log!$D:$D, D$4, Log!$A:$A, "Daily", Log!$B:$B, "n/a"),
        _xlpm.we_camera_on_date, IFERROR(AVERAGEIFS(Log!$F:$F, Log!$D:$D,D$4, Log!$C:$C, $A48, Log!$A:$A, "Daily", Log!$B:$B, "n/a"), 0),
        _xlpm.ie_camera_on_date, IFERROR(AVERAGEIFS(Log!$G:$G, Log!$D:$D,D$4,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8" s="68" t="str">
        <f>IFERROR(
    _xlfn.LET(
        _xlpm.is_data_present, $A48&lt;&gt;0,
        _xlpm.is_camera_present, COUNTIFS(Log!$C:$C, $A48, Log!$D:$D, E$4, Log!$A:$A, "Daily", Log!$B:$B, "n/a"),
        _xlpm.we_camera_on_date, IFERROR(AVERAGEIFS(Log!$F:$F, Log!$D:$D,E$4, Log!$C:$C, $A48, Log!$A:$A, "Daily", Log!$B:$B, "n/a"), 0),
        _xlpm.ie_camera_on_date, IFERROR(AVERAGEIFS(Log!$G:$G, Log!$D:$D,E$4,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8" s="68" t="str">
        <f>IFERROR(
    _xlfn.LET(
        _xlpm.is_data_present, $A48&lt;&gt;0,
        _xlpm.is_camera_present, COUNTIFS(Log!$C:$C, $A48, Log!$D:$D, F$4, Log!$A:$A, "Daily", Log!$B:$B, "n/a"),
        _xlpm.we_camera_on_date, IFERROR(AVERAGEIFS(Log!$F:$F, Log!$D:$D,F$4, Log!$C:$C, $A48, Log!$A:$A, "Daily", Log!$B:$B, "n/a"), 0),
        _xlpm.ie_camera_on_date, IFERROR(AVERAGEIFS(Log!$G:$G, Log!$D:$D,F$4,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8" s="68" t="str">
        <f>IFERROR(
    _xlfn.LET(
        _xlpm.is_data_present, $A48&lt;&gt;0,
        _xlpm.is_camera_present, COUNTIFS(Log!$C:$C, $A48, Log!$D:$D, G$4, Log!$A:$A, "Daily", Log!$B:$B, "n/a"),
        _xlpm.we_camera_on_date, IFERROR(AVERAGEIFS(Log!$F:$F, Log!$D:$D,G$4, Log!$C:$C, $A48, Log!$A:$A, "Daily", Log!$B:$B, "n/a"), 0),
        _xlpm.ie_camera_on_date, IFERROR(AVERAGEIFS(Log!$G:$G, Log!$D:$D,G$4,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8" s="68" t="str">
        <f>IFERROR(
    _xlfn.LET(
        _xlpm.is_data_present, $A48&lt;&gt;0,
        _xlpm.is_camera_present, COUNTIFS(Log!$C:$C, $A48, Log!$D:$D, H$4, Log!$A:$A, "Daily", Log!$B:$B, "n/a"),
        _xlpm.we_camera_on_date, IFERROR(AVERAGEIFS(Log!$F:$F, Log!$D:$D,H$4, Log!$C:$C, $A48, Log!$A:$A, "Daily", Log!$B:$B, "n/a"), 0),
        _xlpm.ie_camera_on_date, IFERROR(AVERAGEIFS(Log!$G:$G, Log!$D:$D,H$4,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8" s="68" t="str">
        <f>IFERROR(
    _xlfn.LET(
        _xlpm.is_data_present, $A48&lt;&gt;0,
        _xlpm.is_camera_present, COUNTIFS(Log!$C:$C, $A48, Log!$D:$D, I$4, Log!$A:$A, "Daily", Log!$B:$B, "n/a"),
        _xlpm.we_camera_on_date, IFERROR(AVERAGEIFS(Log!$F:$F, Log!$D:$D,I$4, Log!$C:$C, $A48, Log!$A:$A, "Daily", Log!$B:$B, "n/a"), 0),
        _xlpm.ie_camera_on_date, IFERROR(AVERAGEIFS(Log!$G:$G, Log!$D:$D,I$4,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8" s="68" t="str">
        <f>IFERROR(
    _xlfn.LET(
        _xlpm.is_data_present, $A48&lt;&gt;0,
        _xlpm.is_camera_present, COUNTIFS(Log!$C:$C, $A48, Log!$D:$D, J$4, Log!$A:$A, "Daily", Log!$B:$B, "n/a"),
        _xlpm.we_camera_on_date, IFERROR(AVERAGEIFS(Log!$F:$F, Log!$D:$D,J$4, Log!$C:$C, $A48, Log!$A:$A, "Daily", Log!$B:$B, "n/a"), 0),
        _xlpm.ie_camera_on_date, IFERROR(AVERAGEIFS(Log!$G:$G, Log!$D:$D,J$4,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8" s="68" t="str">
        <f>IFERROR(
    _xlfn.LET(
        _xlpm.is_data_present, $A48&lt;&gt;0,
        _xlpm.is_camera_present, COUNTIFS(Log!$C:$C, $A48, Log!$D:$D, K$4, Log!$A:$A, "Daily", Log!$B:$B, "n/a"),
        _xlpm.we_camera_on_date, IFERROR(AVERAGEIFS(Log!$F:$F, Log!$D:$D,K$4, Log!$C:$C, $A48, Log!$A:$A, "Daily", Log!$B:$B, "n/a"), 0),
        _xlpm.ie_camera_on_date, IFERROR(AVERAGEIFS(Log!$G:$G, Log!$D:$D,K$4,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8" s="68" t="str">
        <f>IFERROR(
    _xlfn.LET(
        _xlpm.is_data_present, $A48&lt;&gt;0,
        _xlpm.is_camera_present, COUNTIFS(Log!$C:$C, $A48, Log!$D:$D, L$4, Log!$A:$A, "Daily", Log!$B:$B, "n/a"),
        _xlpm.we_camera_on_date, IFERROR(AVERAGEIFS(Log!$F:$F, Log!$D:$D,L$4, Log!$C:$C, $A48, Log!$A:$A, "Daily", Log!$B:$B, "n/a"), 0),
        _xlpm.ie_camera_on_date, IFERROR(AVERAGEIFS(Log!$G:$G, Log!$D:$D,L$4,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8" s="68" t="str">
        <f>IFERROR(
    _xlfn.LET(
        _xlpm.is_data_present, $A48&lt;&gt;0,
        _xlpm.is_camera_present, COUNTIFS(Log!$C:$C, $A48, Log!$D:$D, M$4, Log!$A:$A, "Daily", Log!$B:$B, "n/a"),
        _xlpm.we_camera_on_date, IFERROR(AVERAGEIFS(Log!$F:$F, Log!$D:$D,M$4, Log!$C:$C, $A48, Log!$A:$A, "Daily", Log!$B:$B, "n/a"), 0),
        _xlpm.ie_camera_on_date, IFERROR(AVERAGEIFS(Log!$G:$G, Log!$D:$D,M$4,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8" s="68" t="str">
        <f>IFERROR(
    _xlfn.LET(
        _xlpm.is_data_present, $A48&lt;&gt;0,
        _xlpm.is_camera_present, COUNTIFS(Log!$C:$C, $A48, Log!$D:$D, N$4, Log!$A:$A, "Daily", Log!$B:$B, "n/a"),
        _xlpm.we_camera_on_date, IFERROR(AVERAGEIFS(Log!$F:$F, Log!$D:$D,N$4, Log!$C:$C, $A48, Log!$A:$A, "Daily", Log!$B:$B, "n/a"), 0),
        _xlpm.ie_camera_on_date, IFERROR(AVERAGEIFS(Log!$G:$G, Log!$D:$D,N$4,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8" s="68" t="str">
        <f>IFERROR(
    _xlfn.LET(
        _xlpm.is_data_present, $A48&lt;&gt;0,
        _xlpm.is_camera_present, COUNTIFS(Log!$C:$C, $A48, Log!$D:$D, O$4, Log!$A:$A, "Daily", Log!$B:$B, "n/a"),
        _xlpm.we_camera_on_date, IFERROR(AVERAGEIFS(Log!$F:$F, Log!$D:$D,O$4, Log!$C:$C, $A48, Log!$A:$A, "Daily", Log!$B:$B, "n/a"), 0),
        _xlpm.ie_camera_on_date, IFERROR(AVERAGEIFS(Log!$G:$G, Log!$D:$D,O$4,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8" s="68" t="str">
        <f>IFERROR(
    _xlfn.LET(
        _xlpm.is_data_present, $A48&lt;&gt;0,
        _xlpm.is_camera_present, COUNTIFS(Log!$C:$C, $A48, Log!$D:$D, P$4, Log!$A:$A, "Daily", Log!$B:$B, "n/a"),
        _xlpm.we_camera_on_date, IFERROR(AVERAGEIFS(Log!$F:$F, Log!$D:$D,P$4, Log!$C:$C, $A48, Log!$A:$A, "Daily", Log!$B:$B, "n/a"), 0),
        _xlpm.ie_camera_on_date, IFERROR(AVERAGEIFS(Log!$G:$G, Log!$D:$D,P$4,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8" s="68" t="str">
        <f>IFERROR(
    _xlfn.LET(
        _xlpm.is_data_present, $A48&lt;&gt;0,
        _xlpm.is_camera_present, COUNTIFS(Log!$C:$C, $A48, Log!$D:$D, Q$4, Log!$A:$A, "Daily", Log!$B:$B, "n/a"),
        _xlpm.we_camera_on_date, IFERROR(AVERAGEIFS(Log!$F:$F, Log!$D:$D,Q$4, Log!$C:$C, $A48, Log!$A:$A, "Daily", Log!$B:$B, "n/a"), 0),
        _xlpm.ie_camera_on_date, IFERROR(AVERAGEIFS(Log!$G:$G, Log!$D:$D,Q$4,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8" s="68" t="str">
        <f>IFERROR(
    _xlfn.LET(
        _xlpm.is_data_present, $A48&lt;&gt;0,
        _xlpm.is_camera_present, COUNTIFS(Log!$C:$C, $A48, Log!$D:$D, R$4, Log!$A:$A, "Daily", Log!$B:$B, "n/a"),
        _xlpm.we_camera_on_date, IFERROR(AVERAGEIFS(Log!$F:$F, Log!$D:$D,R$4, Log!$C:$C, $A48, Log!$A:$A, "Daily", Log!$B:$B, "n/a"), 0),
        _xlpm.ie_camera_on_date, IFERROR(AVERAGEIFS(Log!$G:$G, Log!$D:$D,R$4,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8" s="68" t="str">
        <f>IFERROR(
    _xlfn.LET(
        _xlpm.is_data_present, $A48&lt;&gt;0,
        _xlpm.is_camera_present, COUNTIFS(Log!$C:$C, $A48, Log!$D:$D, S$4, Log!$A:$A, "Daily", Log!$B:$B, "n/a"),
        _xlpm.we_camera_on_date, IFERROR(AVERAGEIFS(Log!$F:$F, Log!$D:$D,S$4, Log!$C:$C, $A48, Log!$A:$A, "Daily", Log!$B:$B, "n/a"), 0),
        _xlpm.ie_camera_on_date, IFERROR(AVERAGEIFS(Log!$G:$G, Log!$D:$D,S$4, Log!$C:$C, $A48, Log!$A:$A, "Daily", Log!$B:$B, "n/a"), 0),
        _xlpm.we_avg, IFERROR(AVERAGEIFS(Log!$F:$F,Log!$C:$C,$A48, Log!$A:$A, "Daily", Log!$B:$B, "n/a"),0),
        _xlpm.ie_avg, IFERROR(AVERAGEIFS(Log!$G:$G,Log!$C:$C,$A48,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49" spans="2:19" x14ac:dyDescent="0.3">
      <c r="B49" s="68" t="str">
        <f>IFERROR(
    _xlfn.LET(
        _xlpm.is_data_present, $A49&lt;&gt;0,
        _xlpm.is_camera_present, COUNTIFS(Log!$C:$C, $A49, Log!$D:$D, B$4, Log!$A:$A, "Daily", Log!$B:$B, "n/a"),
        _xlpm.we_camera_on_date, IFERROR(AVERAGEIFS(Log!$F:$F, Log!$D:$D,B$4, Log!$C:$C, $A49, Log!$A:$A, "Daily", Log!$B:$B, "n/a"), 0),
        _xlpm.ie_camera_on_date, IFERROR(AVERAGEIFS(Log!$G:$G, Log!$D:$D,B$4,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49" s="68" t="str">
        <f>IFERROR(
    _xlfn.LET(
        _xlpm.is_data_present, $A49&lt;&gt;0,
        _xlpm.is_camera_present, COUNTIFS(Log!$C:$C, $A49, Log!$D:$D, C$4, Log!$A:$A, "Daily", Log!$B:$B, "n/a"),
        _xlpm.we_camera_on_date, IFERROR(AVERAGEIFS(Log!$F:$F, Log!$D:$D,C$4, Log!$C:$C, $A49, Log!$A:$A, "Daily", Log!$B:$B, "n/a"), 0),
        _xlpm.ie_camera_on_date, IFERROR(AVERAGEIFS(Log!$G:$G, Log!$D:$D,C$4,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49" s="68" t="str">
        <f>IFERROR(
    _xlfn.LET(
        _xlpm.is_data_present, $A49&lt;&gt;0,
        _xlpm.is_camera_present, COUNTIFS(Log!$C:$C, $A49, Log!$D:$D, D$4, Log!$A:$A, "Daily", Log!$B:$B, "n/a"),
        _xlpm.we_camera_on_date, IFERROR(AVERAGEIFS(Log!$F:$F, Log!$D:$D,D$4, Log!$C:$C, $A49, Log!$A:$A, "Daily", Log!$B:$B, "n/a"), 0),
        _xlpm.ie_camera_on_date, IFERROR(AVERAGEIFS(Log!$G:$G, Log!$D:$D,D$4,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49" s="68" t="str">
        <f>IFERROR(
    _xlfn.LET(
        _xlpm.is_data_present, $A49&lt;&gt;0,
        _xlpm.is_camera_present, COUNTIFS(Log!$C:$C, $A49, Log!$D:$D, E$4, Log!$A:$A, "Daily", Log!$B:$B, "n/a"),
        _xlpm.we_camera_on_date, IFERROR(AVERAGEIFS(Log!$F:$F, Log!$D:$D,E$4, Log!$C:$C, $A49, Log!$A:$A, "Daily", Log!$B:$B, "n/a"), 0),
        _xlpm.ie_camera_on_date, IFERROR(AVERAGEIFS(Log!$G:$G, Log!$D:$D,E$4,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49" s="68" t="str">
        <f>IFERROR(
    _xlfn.LET(
        _xlpm.is_data_present, $A49&lt;&gt;0,
        _xlpm.is_camera_present, COUNTIFS(Log!$C:$C, $A49, Log!$D:$D, F$4, Log!$A:$A, "Daily", Log!$B:$B, "n/a"),
        _xlpm.we_camera_on_date, IFERROR(AVERAGEIFS(Log!$F:$F, Log!$D:$D,F$4, Log!$C:$C, $A49, Log!$A:$A, "Daily", Log!$B:$B, "n/a"), 0),
        _xlpm.ie_camera_on_date, IFERROR(AVERAGEIFS(Log!$G:$G, Log!$D:$D,F$4,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49" s="68" t="str">
        <f>IFERROR(
    _xlfn.LET(
        _xlpm.is_data_present, $A49&lt;&gt;0,
        _xlpm.is_camera_present, COUNTIFS(Log!$C:$C, $A49, Log!$D:$D, G$4, Log!$A:$A, "Daily", Log!$B:$B, "n/a"),
        _xlpm.we_camera_on_date, IFERROR(AVERAGEIFS(Log!$F:$F, Log!$D:$D,G$4, Log!$C:$C, $A49, Log!$A:$A, "Daily", Log!$B:$B, "n/a"), 0),
        _xlpm.ie_camera_on_date, IFERROR(AVERAGEIFS(Log!$G:$G, Log!$D:$D,G$4,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49" s="68" t="str">
        <f>IFERROR(
    _xlfn.LET(
        _xlpm.is_data_present, $A49&lt;&gt;0,
        _xlpm.is_camera_present, COUNTIFS(Log!$C:$C, $A49, Log!$D:$D, H$4, Log!$A:$A, "Daily", Log!$B:$B, "n/a"),
        _xlpm.we_camera_on_date, IFERROR(AVERAGEIFS(Log!$F:$F, Log!$D:$D,H$4, Log!$C:$C, $A49, Log!$A:$A, "Daily", Log!$B:$B, "n/a"), 0),
        _xlpm.ie_camera_on_date, IFERROR(AVERAGEIFS(Log!$G:$G, Log!$D:$D,H$4,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49" s="68" t="str">
        <f>IFERROR(
    _xlfn.LET(
        _xlpm.is_data_present, $A49&lt;&gt;0,
        _xlpm.is_camera_present, COUNTIFS(Log!$C:$C, $A49, Log!$D:$D, I$4, Log!$A:$A, "Daily", Log!$B:$B, "n/a"),
        _xlpm.we_camera_on_date, IFERROR(AVERAGEIFS(Log!$F:$F, Log!$D:$D,I$4, Log!$C:$C, $A49, Log!$A:$A, "Daily", Log!$B:$B, "n/a"), 0),
        _xlpm.ie_camera_on_date, IFERROR(AVERAGEIFS(Log!$G:$G, Log!$D:$D,I$4,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49" s="68" t="str">
        <f>IFERROR(
    _xlfn.LET(
        _xlpm.is_data_present, $A49&lt;&gt;0,
        _xlpm.is_camera_present, COUNTIFS(Log!$C:$C, $A49, Log!$D:$D, J$4, Log!$A:$A, "Daily", Log!$B:$B, "n/a"),
        _xlpm.we_camera_on_date, IFERROR(AVERAGEIFS(Log!$F:$F, Log!$D:$D,J$4, Log!$C:$C, $A49, Log!$A:$A, "Daily", Log!$B:$B, "n/a"), 0),
        _xlpm.ie_camera_on_date, IFERROR(AVERAGEIFS(Log!$G:$G, Log!$D:$D,J$4,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49" s="68" t="str">
        <f>IFERROR(
    _xlfn.LET(
        _xlpm.is_data_present, $A49&lt;&gt;0,
        _xlpm.is_camera_present, COUNTIFS(Log!$C:$C, $A49, Log!$D:$D, K$4, Log!$A:$A, "Daily", Log!$B:$B, "n/a"),
        _xlpm.we_camera_on_date, IFERROR(AVERAGEIFS(Log!$F:$F, Log!$D:$D,K$4, Log!$C:$C, $A49, Log!$A:$A, "Daily", Log!$B:$B, "n/a"), 0),
        _xlpm.ie_camera_on_date, IFERROR(AVERAGEIFS(Log!$G:$G, Log!$D:$D,K$4,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49" s="68" t="str">
        <f>IFERROR(
    _xlfn.LET(
        _xlpm.is_data_present, $A49&lt;&gt;0,
        _xlpm.is_camera_present, COUNTIFS(Log!$C:$C, $A49, Log!$D:$D, L$4, Log!$A:$A, "Daily", Log!$B:$B, "n/a"),
        _xlpm.we_camera_on_date, IFERROR(AVERAGEIFS(Log!$F:$F, Log!$D:$D,L$4, Log!$C:$C, $A49, Log!$A:$A, "Daily", Log!$B:$B, "n/a"), 0),
        _xlpm.ie_camera_on_date, IFERROR(AVERAGEIFS(Log!$G:$G, Log!$D:$D,L$4,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49" s="68" t="str">
        <f>IFERROR(
    _xlfn.LET(
        _xlpm.is_data_present, $A49&lt;&gt;0,
        _xlpm.is_camera_present, COUNTIFS(Log!$C:$C, $A49, Log!$D:$D, M$4, Log!$A:$A, "Daily", Log!$B:$B, "n/a"),
        _xlpm.we_camera_on_date, IFERROR(AVERAGEIFS(Log!$F:$F, Log!$D:$D,M$4, Log!$C:$C, $A49, Log!$A:$A, "Daily", Log!$B:$B, "n/a"), 0),
        _xlpm.ie_camera_on_date, IFERROR(AVERAGEIFS(Log!$G:$G, Log!$D:$D,M$4,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49" s="68" t="str">
        <f>IFERROR(
    _xlfn.LET(
        _xlpm.is_data_present, $A49&lt;&gt;0,
        _xlpm.is_camera_present, COUNTIFS(Log!$C:$C, $A49, Log!$D:$D, N$4, Log!$A:$A, "Daily", Log!$B:$B, "n/a"),
        _xlpm.we_camera_on_date, IFERROR(AVERAGEIFS(Log!$F:$F, Log!$D:$D,N$4, Log!$C:$C, $A49, Log!$A:$A, "Daily", Log!$B:$B, "n/a"), 0),
        _xlpm.ie_camera_on_date, IFERROR(AVERAGEIFS(Log!$G:$G, Log!$D:$D,N$4,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49" s="68" t="str">
        <f>IFERROR(
    _xlfn.LET(
        _xlpm.is_data_present, $A49&lt;&gt;0,
        _xlpm.is_camera_present, COUNTIFS(Log!$C:$C, $A49, Log!$D:$D, O$4, Log!$A:$A, "Daily", Log!$B:$B, "n/a"),
        _xlpm.we_camera_on_date, IFERROR(AVERAGEIFS(Log!$F:$F, Log!$D:$D,O$4, Log!$C:$C, $A49, Log!$A:$A, "Daily", Log!$B:$B, "n/a"), 0),
        _xlpm.ie_camera_on_date, IFERROR(AVERAGEIFS(Log!$G:$G, Log!$D:$D,O$4,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49" s="68" t="str">
        <f>IFERROR(
    _xlfn.LET(
        _xlpm.is_data_present, $A49&lt;&gt;0,
        _xlpm.is_camera_present, COUNTIFS(Log!$C:$C, $A49, Log!$D:$D, P$4, Log!$A:$A, "Daily", Log!$B:$B, "n/a"),
        _xlpm.we_camera_on_date, IFERROR(AVERAGEIFS(Log!$F:$F, Log!$D:$D,P$4, Log!$C:$C, $A49, Log!$A:$A, "Daily", Log!$B:$B, "n/a"), 0),
        _xlpm.ie_camera_on_date, IFERROR(AVERAGEIFS(Log!$G:$G, Log!$D:$D,P$4,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49" s="68" t="str">
        <f>IFERROR(
    _xlfn.LET(
        _xlpm.is_data_present, $A49&lt;&gt;0,
        _xlpm.is_camera_present, COUNTIFS(Log!$C:$C, $A49, Log!$D:$D, Q$4, Log!$A:$A, "Daily", Log!$B:$B, "n/a"),
        _xlpm.we_camera_on_date, IFERROR(AVERAGEIFS(Log!$F:$F, Log!$D:$D,Q$4, Log!$C:$C, $A49, Log!$A:$A, "Daily", Log!$B:$B, "n/a"), 0),
        _xlpm.ie_camera_on_date, IFERROR(AVERAGEIFS(Log!$G:$G, Log!$D:$D,Q$4,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49" s="68" t="str">
        <f>IFERROR(
    _xlfn.LET(
        _xlpm.is_data_present, $A49&lt;&gt;0,
        _xlpm.is_camera_present, COUNTIFS(Log!$C:$C, $A49, Log!$D:$D, R$4, Log!$A:$A, "Daily", Log!$B:$B, "n/a"),
        _xlpm.we_camera_on_date, IFERROR(AVERAGEIFS(Log!$F:$F, Log!$D:$D,R$4, Log!$C:$C, $A49, Log!$A:$A, "Daily", Log!$B:$B, "n/a"), 0),
        _xlpm.ie_camera_on_date, IFERROR(AVERAGEIFS(Log!$G:$G, Log!$D:$D,R$4,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49" s="68" t="str">
        <f>IFERROR(
    _xlfn.LET(
        _xlpm.is_data_present, $A49&lt;&gt;0,
        _xlpm.is_camera_present, COUNTIFS(Log!$C:$C, $A49, Log!$D:$D, S$4, Log!$A:$A, "Daily", Log!$B:$B, "n/a"),
        _xlpm.we_camera_on_date, IFERROR(AVERAGEIFS(Log!$F:$F, Log!$D:$D,S$4, Log!$C:$C, $A49, Log!$A:$A, "Daily", Log!$B:$B, "n/a"), 0),
        _xlpm.ie_camera_on_date, IFERROR(AVERAGEIFS(Log!$G:$G, Log!$D:$D,S$4, Log!$C:$C, $A49, Log!$A:$A, "Daily", Log!$B:$B, "n/a"), 0),
        _xlpm.we_avg, IFERROR(AVERAGEIFS(Log!$F:$F,Log!$C:$C,$A49, Log!$A:$A, "Daily", Log!$B:$B, "n/a"),0),
        _xlpm.ie_avg, IFERROR(AVERAGEIFS(Log!$G:$G,Log!$C:$C,$A49,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0" spans="2:19" x14ac:dyDescent="0.3">
      <c r="B50" s="68" t="str">
        <f>IFERROR(
    _xlfn.LET(
        _xlpm.is_data_present, $A50&lt;&gt;0,
        _xlpm.is_camera_present, COUNTIFS(Log!$C:$C, $A50, Log!$D:$D, B$4, Log!$A:$A, "Daily", Log!$B:$B, "n/a"),
        _xlpm.we_camera_on_date, IFERROR(AVERAGEIFS(Log!$F:$F, Log!$D:$D,B$4, Log!$C:$C, $A50, Log!$A:$A, "Daily", Log!$B:$B, "n/a"), 0),
        _xlpm.ie_camera_on_date, IFERROR(AVERAGEIFS(Log!$G:$G, Log!$D:$D,B$4,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0" s="68" t="str">
        <f>IFERROR(
    _xlfn.LET(
        _xlpm.is_data_present, $A50&lt;&gt;0,
        _xlpm.is_camera_present, COUNTIFS(Log!$C:$C, $A50, Log!$D:$D, C$4, Log!$A:$A, "Daily", Log!$B:$B, "n/a"),
        _xlpm.we_camera_on_date, IFERROR(AVERAGEIFS(Log!$F:$F, Log!$D:$D,C$4, Log!$C:$C, $A50, Log!$A:$A, "Daily", Log!$B:$B, "n/a"), 0),
        _xlpm.ie_camera_on_date, IFERROR(AVERAGEIFS(Log!$G:$G, Log!$D:$D,C$4,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0" s="68" t="str">
        <f>IFERROR(
    _xlfn.LET(
        _xlpm.is_data_present, $A50&lt;&gt;0,
        _xlpm.is_camera_present, COUNTIFS(Log!$C:$C, $A50, Log!$D:$D, D$4, Log!$A:$A, "Daily", Log!$B:$B, "n/a"),
        _xlpm.we_camera_on_date, IFERROR(AVERAGEIFS(Log!$F:$F, Log!$D:$D,D$4, Log!$C:$C, $A50, Log!$A:$A, "Daily", Log!$B:$B, "n/a"), 0),
        _xlpm.ie_camera_on_date, IFERROR(AVERAGEIFS(Log!$G:$G, Log!$D:$D,D$4,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0" s="68" t="str">
        <f>IFERROR(
    _xlfn.LET(
        _xlpm.is_data_present, $A50&lt;&gt;0,
        _xlpm.is_camera_present, COUNTIFS(Log!$C:$C, $A50, Log!$D:$D, E$4, Log!$A:$A, "Daily", Log!$B:$B, "n/a"),
        _xlpm.we_camera_on_date, IFERROR(AVERAGEIFS(Log!$F:$F, Log!$D:$D,E$4, Log!$C:$C, $A50, Log!$A:$A, "Daily", Log!$B:$B, "n/a"), 0),
        _xlpm.ie_camera_on_date, IFERROR(AVERAGEIFS(Log!$G:$G, Log!$D:$D,E$4,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0" s="68" t="str">
        <f>IFERROR(
    _xlfn.LET(
        _xlpm.is_data_present, $A50&lt;&gt;0,
        _xlpm.is_camera_present, COUNTIFS(Log!$C:$C, $A50, Log!$D:$D, F$4, Log!$A:$A, "Daily", Log!$B:$B, "n/a"),
        _xlpm.we_camera_on_date, IFERROR(AVERAGEIFS(Log!$F:$F, Log!$D:$D,F$4, Log!$C:$C, $A50, Log!$A:$A, "Daily", Log!$B:$B, "n/a"), 0),
        _xlpm.ie_camera_on_date, IFERROR(AVERAGEIFS(Log!$G:$G, Log!$D:$D,F$4,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0" s="68" t="str">
        <f>IFERROR(
    _xlfn.LET(
        _xlpm.is_data_present, $A50&lt;&gt;0,
        _xlpm.is_camera_present, COUNTIFS(Log!$C:$C, $A50, Log!$D:$D, G$4, Log!$A:$A, "Daily", Log!$B:$B, "n/a"),
        _xlpm.we_camera_on_date, IFERROR(AVERAGEIFS(Log!$F:$F, Log!$D:$D,G$4, Log!$C:$C, $A50, Log!$A:$A, "Daily", Log!$B:$B, "n/a"), 0),
        _xlpm.ie_camera_on_date, IFERROR(AVERAGEIFS(Log!$G:$G, Log!$D:$D,G$4,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0" s="68" t="str">
        <f>IFERROR(
    _xlfn.LET(
        _xlpm.is_data_present, $A50&lt;&gt;0,
        _xlpm.is_camera_present, COUNTIFS(Log!$C:$C, $A50, Log!$D:$D, H$4, Log!$A:$A, "Daily", Log!$B:$B, "n/a"),
        _xlpm.we_camera_on_date, IFERROR(AVERAGEIFS(Log!$F:$F, Log!$D:$D,H$4, Log!$C:$C, $A50, Log!$A:$A, "Daily", Log!$B:$B, "n/a"), 0),
        _xlpm.ie_camera_on_date, IFERROR(AVERAGEIFS(Log!$G:$G, Log!$D:$D,H$4,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0" s="68" t="str">
        <f>IFERROR(
    _xlfn.LET(
        _xlpm.is_data_present, $A50&lt;&gt;0,
        _xlpm.is_camera_present, COUNTIFS(Log!$C:$C, $A50, Log!$D:$D, I$4, Log!$A:$A, "Daily", Log!$B:$B, "n/a"),
        _xlpm.we_camera_on_date, IFERROR(AVERAGEIFS(Log!$F:$F, Log!$D:$D,I$4, Log!$C:$C, $A50, Log!$A:$A, "Daily", Log!$B:$B, "n/a"), 0),
        _xlpm.ie_camera_on_date, IFERROR(AVERAGEIFS(Log!$G:$G, Log!$D:$D,I$4,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0" s="68" t="str">
        <f>IFERROR(
    _xlfn.LET(
        _xlpm.is_data_present, $A50&lt;&gt;0,
        _xlpm.is_camera_present, COUNTIFS(Log!$C:$C, $A50, Log!$D:$D, J$4, Log!$A:$A, "Daily", Log!$B:$B, "n/a"),
        _xlpm.we_camera_on_date, IFERROR(AVERAGEIFS(Log!$F:$F, Log!$D:$D,J$4, Log!$C:$C, $A50, Log!$A:$A, "Daily", Log!$B:$B, "n/a"), 0),
        _xlpm.ie_camera_on_date, IFERROR(AVERAGEIFS(Log!$G:$G, Log!$D:$D,J$4,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0" s="68" t="str">
        <f>IFERROR(
    _xlfn.LET(
        _xlpm.is_data_present, $A50&lt;&gt;0,
        _xlpm.is_camera_present, COUNTIFS(Log!$C:$C, $A50, Log!$D:$D, K$4, Log!$A:$A, "Daily", Log!$B:$B, "n/a"),
        _xlpm.we_camera_on_date, IFERROR(AVERAGEIFS(Log!$F:$F, Log!$D:$D,K$4, Log!$C:$C, $A50, Log!$A:$A, "Daily", Log!$B:$B, "n/a"), 0),
        _xlpm.ie_camera_on_date, IFERROR(AVERAGEIFS(Log!$G:$G, Log!$D:$D,K$4,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0" s="68" t="str">
        <f>IFERROR(
    _xlfn.LET(
        _xlpm.is_data_present, $A50&lt;&gt;0,
        _xlpm.is_camera_present, COUNTIFS(Log!$C:$C, $A50, Log!$D:$D, L$4, Log!$A:$A, "Daily", Log!$B:$B, "n/a"),
        _xlpm.we_camera_on_date, IFERROR(AVERAGEIFS(Log!$F:$F, Log!$D:$D,L$4, Log!$C:$C, $A50, Log!$A:$A, "Daily", Log!$B:$B, "n/a"), 0),
        _xlpm.ie_camera_on_date, IFERROR(AVERAGEIFS(Log!$G:$G, Log!$D:$D,L$4,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0" s="68" t="str">
        <f>IFERROR(
    _xlfn.LET(
        _xlpm.is_data_present, $A50&lt;&gt;0,
        _xlpm.is_camera_present, COUNTIFS(Log!$C:$C, $A50, Log!$D:$D, M$4, Log!$A:$A, "Daily", Log!$B:$B, "n/a"),
        _xlpm.we_camera_on_date, IFERROR(AVERAGEIFS(Log!$F:$F, Log!$D:$D,M$4, Log!$C:$C, $A50, Log!$A:$A, "Daily", Log!$B:$B, "n/a"), 0),
        _xlpm.ie_camera_on_date, IFERROR(AVERAGEIFS(Log!$G:$G, Log!$D:$D,M$4,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0" s="68" t="str">
        <f>IFERROR(
    _xlfn.LET(
        _xlpm.is_data_present, $A50&lt;&gt;0,
        _xlpm.is_camera_present, COUNTIFS(Log!$C:$C, $A50, Log!$D:$D, N$4, Log!$A:$A, "Daily", Log!$B:$B, "n/a"),
        _xlpm.we_camera_on_date, IFERROR(AVERAGEIFS(Log!$F:$F, Log!$D:$D,N$4, Log!$C:$C, $A50, Log!$A:$A, "Daily", Log!$B:$B, "n/a"), 0),
        _xlpm.ie_camera_on_date, IFERROR(AVERAGEIFS(Log!$G:$G, Log!$D:$D,N$4,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0" s="68" t="str">
        <f>IFERROR(
    _xlfn.LET(
        _xlpm.is_data_present, $A50&lt;&gt;0,
        _xlpm.is_camera_present, COUNTIFS(Log!$C:$C, $A50, Log!$D:$D, O$4, Log!$A:$A, "Daily", Log!$B:$B, "n/a"),
        _xlpm.we_camera_on_date, IFERROR(AVERAGEIFS(Log!$F:$F, Log!$D:$D,O$4, Log!$C:$C, $A50, Log!$A:$A, "Daily", Log!$B:$B, "n/a"), 0),
        _xlpm.ie_camera_on_date, IFERROR(AVERAGEIFS(Log!$G:$G, Log!$D:$D,O$4,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0" s="68" t="str">
        <f>IFERROR(
    _xlfn.LET(
        _xlpm.is_data_present, $A50&lt;&gt;0,
        _xlpm.is_camera_present, COUNTIFS(Log!$C:$C, $A50, Log!$D:$D, P$4, Log!$A:$A, "Daily", Log!$B:$B, "n/a"),
        _xlpm.we_camera_on_date, IFERROR(AVERAGEIFS(Log!$F:$F, Log!$D:$D,P$4, Log!$C:$C, $A50, Log!$A:$A, "Daily", Log!$B:$B, "n/a"), 0),
        _xlpm.ie_camera_on_date, IFERROR(AVERAGEIFS(Log!$G:$G, Log!$D:$D,P$4,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0" s="68" t="str">
        <f>IFERROR(
    _xlfn.LET(
        _xlpm.is_data_present, $A50&lt;&gt;0,
        _xlpm.is_camera_present, COUNTIFS(Log!$C:$C, $A50, Log!$D:$D, Q$4, Log!$A:$A, "Daily", Log!$B:$B, "n/a"),
        _xlpm.we_camera_on_date, IFERROR(AVERAGEIFS(Log!$F:$F, Log!$D:$D,Q$4, Log!$C:$C, $A50, Log!$A:$A, "Daily", Log!$B:$B, "n/a"), 0),
        _xlpm.ie_camera_on_date, IFERROR(AVERAGEIFS(Log!$G:$G, Log!$D:$D,Q$4,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0" s="68" t="str">
        <f>IFERROR(
    _xlfn.LET(
        _xlpm.is_data_present, $A50&lt;&gt;0,
        _xlpm.is_camera_present, COUNTIFS(Log!$C:$C, $A50, Log!$D:$D, R$4, Log!$A:$A, "Daily", Log!$B:$B, "n/a"),
        _xlpm.we_camera_on_date, IFERROR(AVERAGEIFS(Log!$F:$F, Log!$D:$D,R$4, Log!$C:$C, $A50, Log!$A:$A, "Daily", Log!$B:$B, "n/a"), 0),
        _xlpm.ie_camera_on_date, IFERROR(AVERAGEIFS(Log!$G:$G, Log!$D:$D,R$4,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0" s="68" t="str">
        <f>IFERROR(
    _xlfn.LET(
        _xlpm.is_data_present, $A50&lt;&gt;0,
        _xlpm.is_camera_present, COUNTIFS(Log!$C:$C, $A50, Log!$D:$D, S$4, Log!$A:$A, "Daily", Log!$B:$B, "n/a"),
        _xlpm.we_camera_on_date, IFERROR(AVERAGEIFS(Log!$F:$F, Log!$D:$D,S$4, Log!$C:$C, $A50, Log!$A:$A, "Daily", Log!$B:$B, "n/a"), 0),
        _xlpm.ie_camera_on_date, IFERROR(AVERAGEIFS(Log!$G:$G, Log!$D:$D,S$4, Log!$C:$C, $A50, Log!$A:$A, "Daily", Log!$B:$B, "n/a"), 0),
        _xlpm.we_avg, IFERROR(AVERAGEIFS(Log!$F:$F,Log!$C:$C,$A50, Log!$A:$A, "Daily", Log!$B:$B, "n/a"),0),
        _xlpm.ie_avg, IFERROR(AVERAGEIFS(Log!$G:$G,Log!$C:$C,$A50,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1" spans="2:19" x14ac:dyDescent="0.3">
      <c r="B51" s="68" t="str">
        <f>IFERROR(
    _xlfn.LET(
        _xlpm.is_data_present, $A51&lt;&gt;0,
        _xlpm.is_camera_present, COUNTIFS(Log!$C:$C, $A51, Log!$D:$D, B$4, Log!$A:$A, "Daily", Log!$B:$B, "n/a"),
        _xlpm.we_camera_on_date, IFERROR(AVERAGEIFS(Log!$F:$F, Log!$D:$D,B$4, Log!$C:$C, $A51, Log!$A:$A, "Daily", Log!$B:$B, "n/a"), 0),
        _xlpm.ie_camera_on_date, IFERROR(AVERAGEIFS(Log!$G:$G, Log!$D:$D,B$4,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1" s="68" t="str">
        <f>IFERROR(
    _xlfn.LET(
        _xlpm.is_data_present, $A51&lt;&gt;0,
        _xlpm.is_camera_present, COUNTIFS(Log!$C:$C, $A51, Log!$D:$D, C$4, Log!$A:$A, "Daily", Log!$B:$B, "n/a"),
        _xlpm.we_camera_on_date, IFERROR(AVERAGEIFS(Log!$F:$F, Log!$D:$D,C$4, Log!$C:$C, $A51, Log!$A:$A, "Daily", Log!$B:$B, "n/a"), 0),
        _xlpm.ie_camera_on_date, IFERROR(AVERAGEIFS(Log!$G:$G, Log!$D:$D,C$4,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1" s="68" t="str">
        <f>IFERROR(
    _xlfn.LET(
        _xlpm.is_data_present, $A51&lt;&gt;0,
        _xlpm.is_camera_present, COUNTIFS(Log!$C:$C, $A51, Log!$D:$D, D$4, Log!$A:$A, "Daily", Log!$B:$B, "n/a"),
        _xlpm.we_camera_on_date, IFERROR(AVERAGEIFS(Log!$F:$F, Log!$D:$D,D$4, Log!$C:$C, $A51, Log!$A:$A, "Daily", Log!$B:$B, "n/a"), 0),
        _xlpm.ie_camera_on_date, IFERROR(AVERAGEIFS(Log!$G:$G, Log!$D:$D,D$4,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1" s="68" t="str">
        <f>IFERROR(
    _xlfn.LET(
        _xlpm.is_data_present, $A51&lt;&gt;0,
        _xlpm.is_camera_present, COUNTIFS(Log!$C:$C, $A51, Log!$D:$D, E$4, Log!$A:$A, "Daily", Log!$B:$B, "n/a"),
        _xlpm.we_camera_on_date, IFERROR(AVERAGEIFS(Log!$F:$F, Log!$D:$D,E$4, Log!$C:$C, $A51, Log!$A:$A, "Daily", Log!$B:$B, "n/a"), 0),
        _xlpm.ie_camera_on_date, IFERROR(AVERAGEIFS(Log!$G:$G, Log!$D:$D,E$4,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1" s="68" t="str">
        <f>IFERROR(
    _xlfn.LET(
        _xlpm.is_data_present, $A51&lt;&gt;0,
        _xlpm.is_camera_present, COUNTIFS(Log!$C:$C, $A51, Log!$D:$D, F$4, Log!$A:$A, "Daily", Log!$B:$B, "n/a"),
        _xlpm.we_camera_on_date, IFERROR(AVERAGEIFS(Log!$F:$F, Log!$D:$D,F$4, Log!$C:$C, $A51, Log!$A:$A, "Daily", Log!$B:$B, "n/a"), 0),
        _xlpm.ie_camera_on_date, IFERROR(AVERAGEIFS(Log!$G:$G, Log!$D:$D,F$4,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1" s="68" t="str">
        <f>IFERROR(
    _xlfn.LET(
        _xlpm.is_data_present, $A51&lt;&gt;0,
        _xlpm.is_camera_present, COUNTIFS(Log!$C:$C, $A51, Log!$D:$D, G$4, Log!$A:$A, "Daily", Log!$B:$B, "n/a"),
        _xlpm.we_camera_on_date, IFERROR(AVERAGEIFS(Log!$F:$F, Log!$D:$D,G$4, Log!$C:$C, $A51, Log!$A:$A, "Daily", Log!$B:$B, "n/a"), 0),
        _xlpm.ie_camera_on_date, IFERROR(AVERAGEIFS(Log!$G:$G, Log!$D:$D,G$4,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1" s="68" t="str">
        <f>IFERROR(
    _xlfn.LET(
        _xlpm.is_data_present, $A51&lt;&gt;0,
        _xlpm.is_camera_present, COUNTIFS(Log!$C:$C, $A51, Log!$D:$D, H$4, Log!$A:$A, "Daily", Log!$B:$B, "n/a"),
        _xlpm.we_camera_on_date, IFERROR(AVERAGEIFS(Log!$F:$F, Log!$D:$D,H$4, Log!$C:$C, $A51, Log!$A:$A, "Daily", Log!$B:$B, "n/a"), 0),
        _xlpm.ie_camera_on_date, IFERROR(AVERAGEIFS(Log!$G:$G, Log!$D:$D,H$4,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1" s="68" t="str">
        <f>IFERROR(
    _xlfn.LET(
        _xlpm.is_data_present, $A51&lt;&gt;0,
        _xlpm.is_camera_present, COUNTIFS(Log!$C:$C, $A51, Log!$D:$D, I$4, Log!$A:$A, "Daily", Log!$B:$B, "n/a"),
        _xlpm.we_camera_on_date, IFERROR(AVERAGEIFS(Log!$F:$F, Log!$D:$D,I$4, Log!$C:$C, $A51, Log!$A:$A, "Daily", Log!$B:$B, "n/a"), 0),
        _xlpm.ie_camera_on_date, IFERROR(AVERAGEIFS(Log!$G:$G, Log!$D:$D,I$4,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1" s="68" t="str">
        <f>IFERROR(
    _xlfn.LET(
        _xlpm.is_data_present, $A51&lt;&gt;0,
        _xlpm.is_camera_present, COUNTIFS(Log!$C:$C, $A51, Log!$D:$D, J$4, Log!$A:$A, "Daily", Log!$B:$B, "n/a"),
        _xlpm.we_camera_on_date, IFERROR(AVERAGEIFS(Log!$F:$F, Log!$D:$D,J$4, Log!$C:$C, $A51, Log!$A:$A, "Daily", Log!$B:$B, "n/a"), 0),
        _xlpm.ie_camera_on_date, IFERROR(AVERAGEIFS(Log!$G:$G, Log!$D:$D,J$4,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1" s="68" t="str">
        <f>IFERROR(
    _xlfn.LET(
        _xlpm.is_data_present, $A51&lt;&gt;0,
        _xlpm.is_camera_present, COUNTIFS(Log!$C:$C, $A51, Log!$D:$D, K$4, Log!$A:$A, "Daily", Log!$B:$B, "n/a"),
        _xlpm.we_camera_on_date, IFERROR(AVERAGEIFS(Log!$F:$F, Log!$D:$D,K$4, Log!$C:$C, $A51, Log!$A:$A, "Daily", Log!$B:$B, "n/a"), 0),
        _xlpm.ie_camera_on_date, IFERROR(AVERAGEIFS(Log!$G:$G, Log!$D:$D,K$4,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1" s="68" t="str">
        <f>IFERROR(
    _xlfn.LET(
        _xlpm.is_data_present, $A51&lt;&gt;0,
        _xlpm.is_camera_present, COUNTIFS(Log!$C:$C, $A51, Log!$D:$D, L$4, Log!$A:$A, "Daily", Log!$B:$B, "n/a"),
        _xlpm.we_camera_on_date, IFERROR(AVERAGEIFS(Log!$F:$F, Log!$D:$D,L$4, Log!$C:$C, $A51, Log!$A:$A, "Daily", Log!$B:$B, "n/a"), 0),
        _xlpm.ie_camera_on_date, IFERROR(AVERAGEIFS(Log!$G:$G, Log!$D:$D,L$4,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1" s="68" t="str">
        <f>IFERROR(
    _xlfn.LET(
        _xlpm.is_data_present, $A51&lt;&gt;0,
        _xlpm.is_camera_present, COUNTIFS(Log!$C:$C, $A51, Log!$D:$D, M$4, Log!$A:$A, "Daily", Log!$B:$B, "n/a"),
        _xlpm.we_camera_on_date, IFERROR(AVERAGEIFS(Log!$F:$F, Log!$D:$D,M$4, Log!$C:$C, $A51, Log!$A:$A, "Daily", Log!$B:$B, "n/a"), 0),
        _xlpm.ie_camera_on_date, IFERROR(AVERAGEIFS(Log!$G:$G, Log!$D:$D,M$4,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1" s="68" t="str">
        <f>IFERROR(
    _xlfn.LET(
        _xlpm.is_data_present, $A51&lt;&gt;0,
        _xlpm.is_camera_present, COUNTIFS(Log!$C:$C, $A51, Log!$D:$D, N$4, Log!$A:$A, "Daily", Log!$B:$B, "n/a"),
        _xlpm.we_camera_on_date, IFERROR(AVERAGEIFS(Log!$F:$F, Log!$D:$D,N$4, Log!$C:$C, $A51, Log!$A:$A, "Daily", Log!$B:$B, "n/a"), 0),
        _xlpm.ie_camera_on_date, IFERROR(AVERAGEIFS(Log!$G:$G, Log!$D:$D,N$4,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1" s="68" t="str">
        <f>IFERROR(
    _xlfn.LET(
        _xlpm.is_data_present, $A51&lt;&gt;0,
        _xlpm.is_camera_present, COUNTIFS(Log!$C:$C, $A51, Log!$D:$D, O$4, Log!$A:$A, "Daily", Log!$B:$B, "n/a"),
        _xlpm.we_camera_on_date, IFERROR(AVERAGEIFS(Log!$F:$F, Log!$D:$D,O$4, Log!$C:$C, $A51, Log!$A:$A, "Daily", Log!$B:$B, "n/a"), 0),
        _xlpm.ie_camera_on_date, IFERROR(AVERAGEIFS(Log!$G:$G, Log!$D:$D,O$4,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1" s="68" t="str">
        <f>IFERROR(
    _xlfn.LET(
        _xlpm.is_data_present, $A51&lt;&gt;0,
        _xlpm.is_camera_present, COUNTIFS(Log!$C:$C, $A51, Log!$D:$D, P$4, Log!$A:$A, "Daily", Log!$B:$B, "n/a"),
        _xlpm.we_camera_on_date, IFERROR(AVERAGEIFS(Log!$F:$F, Log!$D:$D,P$4, Log!$C:$C, $A51, Log!$A:$A, "Daily", Log!$B:$B, "n/a"), 0),
        _xlpm.ie_camera_on_date, IFERROR(AVERAGEIFS(Log!$G:$G, Log!$D:$D,P$4,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1" s="68" t="str">
        <f>IFERROR(
    _xlfn.LET(
        _xlpm.is_data_present, $A51&lt;&gt;0,
        _xlpm.is_camera_present, COUNTIFS(Log!$C:$C, $A51, Log!$D:$D, Q$4, Log!$A:$A, "Daily", Log!$B:$B, "n/a"),
        _xlpm.we_camera_on_date, IFERROR(AVERAGEIFS(Log!$F:$F, Log!$D:$D,Q$4, Log!$C:$C, $A51, Log!$A:$A, "Daily", Log!$B:$B, "n/a"), 0),
        _xlpm.ie_camera_on_date, IFERROR(AVERAGEIFS(Log!$G:$G, Log!$D:$D,Q$4,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1" s="68" t="str">
        <f>IFERROR(
    _xlfn.LET(
        _xlpm.is_data_present, $A51&lt;&gt;0,
        _xlpm.is_camera_present, COUNTIFS(Log!$C:$C, $A51, Log!$D:$D, R$4, Log!$A:$A, "Daily", Log!$B:$B, "n/a"),
        _xlpm.we_camera_on_date, IFERROR(AVERAGEIFS(Log!$F:$F, Log!$D:$D,R$4, Log!$C:$C, $A51, Log!$A:$A, "Daily", Log!$B:$B, "n/a"), 0),
        _xlpm.ie_camera_on_date, IFERROR(AVERAGEIFS(Log!$G:$G, Log!$D:$D,R$4,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1" s="68" t="str">
        <f>IFERROR(
    _xlfn.LET(
        _xlpm.is_data_present, $A51&lt;&gt;0,
        _xlpm.is_camera_present, COUNTIFS(Log!$C:$C, $A51, Log!$D:$D, S$4, Log!$A:$A, "Daily", Log!$B:$B, "n/a"),
        _xlpm.we_camera_on_date, IFERROR(AVERAGEIFS(Log!$F:$F, Log!$D:$D,S$4, Log!$C:$C, $A51, Log!$A:$A, "Daily", Log!$B:$B, "n/a"), 0),
        _xlpm.ie_camera_on_date, IFERROR(AVERAGEIFS(Log!$G:$G, Log!$D:$D,S$4, Log!$C:$C, $A51, Log!$A:$A, "Daily", Log!$B:$B, "n/a"), 0),
        _xlpm.we_avg, IFERROR(AVERAGEIFS(Log!$F:$F,Log!$C:$C,$A51, Log!$A:$A, "Daily", Log!$B:$B, "n/a"),0),
        _xlpm.ie_avg, IFERROR(AVERAGEIFS(Log!$G:$G,Log!$C:$C,$A51,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2" spans="2:19" x14ac:dyDescent="0.3">
      <c r="B52" s="68" t="str">
        <f>IFERROR(
    _xlfn.LET(
        _xlpm.is_data_present, $A52&lt;&gt;0,
        _xlpm.is_camera_present, COUNTIFS(Log!$C:$C, $A52, Log!$D:$D, B$4, Log!$A:$A, "Daily", Log!$B:$B, "n/a"),
        _xlpm.we_camera_on_date, IFERROR(AVERAGEIFS(Log!$F:$F, Log!$D:$D,B$4, Log!$C:$C, $A52, Log!$A:$A, "Daily", Log!$B:$B, "n/a"), 0),
        _xlpm.ie_camera_on_date, IFERROR(AVERAGEIFS(Log!$G:$G, Log!$D:$D,B$4,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2" s="68" t="str">
        <f>IFERROR(
    _xlfn.LET(
        _xlpm.is_data_present, $A52&lt;&gt;0,
        _xlpm.is_camera_present, COUNTIFS(Log!$C:$C, $A52, Log!$D:$D, C$4, Log!$A:$A, "Daily", Log!$B:$B, "n/a"),
        _xlpm.we_camera_on_date, IFERROR(AVERAGEIFS(Log!$F:$F, Log!$D:$D,C$4, Log!$C:$C, $A52, Log!$A:$A, "Daily", Log!$B:$B, "n/a"), 0),
        _xlpm.ie_camera_on_date, IFERROR(AVERAGEIFS(Log!$G:$G, Log!$D:$D,C$4,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2" s="68" t="str">
        <f>IFERROR(
    _xlfn.LET(
        _xlpm.is_data_present, $A52&lt;&gt;0,
        _xlpm.is_camera_present, COUNTIFS(Log!$C:$C, $A52, Log!$D:$D, D$4, Log!$A:$A, "Daily", Log!$B:$B, "n/a"),
        _xlpm.we_camera_on_date, IFERROR(AVERAGEIFS(Log!$F:$F, Log!$D:$D,D$4, Log!$C:$C, $A52, Log!$A:$A, "Daily", Log!$B:$B, "n/a"), 0),
        _xlpm.ie_camera_on_date, IFERROR(AVERAGEIFS(Log!$G:$G, Log!$D:$D,D$4,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2" s="68" t="str">
        <f>IFERROR(
    _xlfn.LET(
        _xlpm.is_data_present, $A52&lt;&gt;0,
        _xlpm.is_camera_present, COUNTIFS(Log!$C:$C, $A52, Log!$D:$D, E$4, Log!$A:$A, "Daily", Log!$B:$B, "n/a"),
        _xlpm.we_camera_on_date, IFERROR(AVERAGEIFS(Log!$F:$F, Log!$D:$D,E$4, Log!$C:$C, $A52, Log!$A:$A, "Daily", Log!$B:$B, "n/a"), 0),
        _xlpm.ie_camera_on_date, IFERROR(AVERAGEIFS(Log!$G:$G, Log!$D:$D,E$4,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2" s="68" t="str">
        <f>IFERROR(
    _xlfn.LET(
        _xlpm.is_data_present, $A52&lt;&gt;0,
        _xlpm.is_camera_present, COUNTIFS(Log!$C:$C, $A52, Log!$D:$D, F$4, Log!$A:$A, "Daily", Log!$B:$B, "n/a"),
        _xlpm.we_camera_on_date, IFERROR(AVERAGEIFS(Log!$F:$F, Log!$D:$D,F$4, Log!$C:$C, $A52, Log!$A:$A, "Daily", Log!$B:$B, "n/a"), 0),
        _xlpm.ie_camera_on_date, IFERROR(AVERAGEIFS(Log!$G:$G, Log!$D:$D,F$4,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2" s="68" t="str">
        <f>IFERROR(
    _xlfn.LET(
        _xlpm.is_data_present, $A52&lt;&gt;0,
        _xlpm.is_camera_present, COUNTIFS(Log!$C:$C, $A52, Log!$D:$D, G$4, Log!$A:$A, "Daily", Log!$B:$B, "n/a"),
        _xlpm.we_camera_on_date, IFERROR(AVERAGEIFS(Log!$F:$F, Log!$D:$D,G$4, Log!$C:$C, $A52, Log!$A:$A, "Daily", Log!$B:$B, "n/a"), 0),
        _xlpm.ie_camera_on_date, IFERROR(AVERAGEIFS(Log!$G:$G, Log!$D:$D,G$4,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2" s="68" t="str">
        <f>IFERROR(
    _xlfn.LET(
        _xlpm.is_data_present, $A52&lt;&gt;0,
        _xlpm.is_camera_present, COUNTIFS(Log!$C:$C, $A52, Log!$D:$D, H$4, Log!$A:$A, "Daily", Log!$B:$B, "n/a"),
        _xlpm.we_camera_on_date, IFERROR(AVERAGEIFS(Log!$F:$F, Log!$D:$D,H$4, Log!$C:$C, $A52, Log!$A:$A, "Daily", Log!$B:$B, "n/a"), 0),
        _xlpm.ie_camera_on_date, IFERROR(AVERAGEIFS(Log!$G:$G, Log!$D:$D,H$4,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2" s="68" t="str">
        <f>IFERROR(
    _xlfn.LET(
        _xlpm.is_data_present, $A52&lt;&gt;0,
        _xlpm.is_camera_present, COUNTIFS(Log!$C:$C, $A52, Log!$D:$D, I$4, Log!$A:$A, "Daily", Log!$B:$B, "n/a"),
        _xlpm.we_camera_on_date, IFERROR(AVERAGEIFS(Log!$F:$F, Log!$D:$D,I$4, Log!$C:$C, $A52, Log!$A:$A, "Daily", Log!$B:$B, "n/a"), 0),
        _xlpm.ie_camera_on_date, IFERROR(AVERAGEIFS(Log!$G:$G, Log!$D:$D,I$4,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2" s="68" t="str">
        <f>IFERROR(
    _xlfn.LET(
        _xlpm.is_data_present, $A52&lt;&gt;0,
        _xlpm.is_camera_present, COUNTIFS(Log!$C:$C, $A52, Log!$D:$D, J$4, Log!$A:$A, "Daily", Log!$B:$B, "n/a"),
        _xlpm.we_camera_on_date, IFERROR(AVERAGEIFS(Log!$F:$F, Log!$D:$D,J$4, Log!$C:$C, $A52, Log!$A:$A, "Daily", Log!$B:$B, "n/a"), 0),
        _xlpm.ie_camera_on_date, IFERROR(AVERAGEIFS(Log!$G:$G, Log!$D:$D,J$4,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2" s="68" t="str">
        <f>IFERROR(
    _xlfn.LET(
        _xlpm.is_data_present, $A52&lt;&gt;0,
        _xlpm.is_camera_present, COUNTIFS(Log!$C:$C, $A52, Log!$D:$D, K$4, Log!$A:$A, "Daily", Log!$B:$B, "n/a"),
        _xlpm.we_camera_on_date, IFERROR(AVERAGEIFS(Log!$F:$F, Log!$D:$D,K$4, Log!$C:$C, $A52, Log!$A:$A, "Daily", Log!$B:$B, "n/a"), 0),
        _xlpm.ie_camera_on_date, IFERROR(AVERAGEIFS(Log!$G:$G, Log!$D:$D,K$4,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2" s="68" t="str">
        <f>IFERROR(
    _xlfn.LET(
        _xlpm.is_data_present, $A52&lt;&gt;0,
        _xlpm.is_camera_present, COUNTIFS(Log!$C:$C, $A52, Log!$D:$D, L$4, Log!$A:$A, "Daily", Log!$B:$B, "n/a"),
        _xlpm.we_camera_on_date, IFERROR(AVERAGEIFS(Log!$F:$F, Log!$D:$D,L$4, Log!$C:$C, $A52, Log!$A:$A, "Daily", Log!$B:$B, "n/a"), 0),
        _xlpm.ie_camera_on_date, IFERROR(AVERAGEIFS(Log!$G:$G, Log!$D:$D,L$4,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2" s="68" t="str">
        <f>IFERROR(
    _xlfn.LET(
        _xlpm.is_data_present, $A52&lt;&gt;0,
        _xlpm.is_camera_present, COUNTIFS(Log!$C:$C, $A52, Log!$D:$D, M$4, Log!$A:$A, "Daily", Log!$B:$B, "n/a"),
        _xlpm.we_camera_on_date, IFERROR(AVERAGEIFS(Log!$F:$F, Log!$D:$D,M$4, Log!$C:$C, $A52, Log!$A:$A, "Daily", Log!$B:$B, "n/a"), 0),
        _xlpm.ie_camera_on_date, IFERROR(AVERAGEIFS(Log!$G:$G, Log!$D:$D,M$4,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2" s="68" t="str">
        <f>IFERROR(
    _xlfn.LET(
        _xlpm.is_data_present, $A52&lt;&gt;0,
        _xlpm.is_camera_present, COUNTIFS(Log!$C:$C, $A52, Log!$D:$D, N$4, Log!$A:$A, "Daily", Log!$B:$B, "n/a"),
        _xlpm.we_camera_on_date, IFERROR(AVERAGEIFS(Log!$F:$F, Log!$D:$D,N$4, Log!$C:$C, $A52, Log!$A:$A, "Daily", Log!$B:$B, "n/a"), 0),
        _xlpm.ie_camera_on_date, IFERROR(AVERAGEIFS(Log!$G:$G, Log!$D:$D,N$4,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2" s="68" t="str">
        <f>IFERROR(
    _xlfn.LET(
        _xlpm.is_data_present, $A52&lt;&gt;0,
        _xlpm.is_camera_present, COUNTIFS(Log!$C:$C, $A52, Log!$D:$D, O$4, Log!$A:$A, "Daily", Log!$B:$B, "n/a"),
        _xlpm.we_camera_on_date, IFERROR(AVERAGEIFS(Log!$F:$F, Log!$D:$D,O$4, Log!$C:$C, $A52, Log!$A:$A, "Daily", Log!$B:$B, "n/a"), 0),
        _xlpm.ie_camera_on_date, IFERROR(AVERAGEIFS(Log!$G:$G, Log!$D:$D,O$4,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2" s="68" t="str">
        <f>IFERROR(
    _xlfn.LET(
        _xlpm.is_data_present, $A52&lt;&gt;0,
        _xlpm.is_camera_present, COUNTIFS(Log!$C:$C, $A52, Log!$D:$D, P$4, Log!$A:$A, "Daily", Log!$B:$B, "n/a"),
        _xlpm.we_camera_on_date, IFERROR(AVERAGEIFS(Log!$F:$F, Log!$D:$D,P$4, Log!$C:$C, $A52, Log!$A:$A, "Daily", Log!$B:$B, "n/a"), 0),
        _xlpm.ie_camera_on_date, IFERROR(AVERAGEIFS(Log!$G:$G, Log!$D:$D,P$4,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2" s="68" t="str">
        <f>IFERROR(
    _xlfn.LET(
        _xlpm.is_data_present, $A52&lt;&gt;0,
        _xlpm.is_camera_present, COUNTIFS(Log!$C:$C, $A52, Log!$D:$D, Q$4, Log!$A:$A, "Daily", Log!$B:$B, "n/a"),
        _xlpm.we_camera_on_date, IFERROR(AVERAGEIFS(Log!$F:$F, Log!$D:$D,Q$4, Log!$C:$C, $A52, Log!$A:$A, "Daily", Log!$B:$B, "n/a"), 0),
        _xlpm.ie_camera_on_date, IFERROR(AVERAGEIFS(Log!$G:$G, Log!$D:$D,Q$4,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2" s="68" t="str">
        <f>IFERROR(
    _xlfn.LET(
        _xlpm.is_data_present, $A52&lt;&gt;0,
        _xlpm.is_camera_present, COUNTIFS(Log!$C:$C, $A52, Log!$D:$D, R$4, Log!$A:$A, "Daily", Log!$B:$B, "n/a"),
        _xlpm.we_camera_on_date, IFERROR(AVERAGEIFS(Log!$F:$F, Log!$D:$D,R$4, Log!$C:$C, $A52, Log!$A:$A, "Daily", Log!$B:$B, "n/a"), 0),
        _xlpm.ie_camera_on_date, IFERROR(AVERAGEIFS(Log!$G:$G, Log!$D:$D,R$4,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2" s="68" t="str">
        <f>IFERROR(
    _xlfn.LET(
        _xlpm.is_data_present, $A52&lt;&gt;0,
        _xlpm.is_camera_present, COUNTIFS(Log!$C:$C, $A52, Log!$D:$D, S$4, Log!$A:$A, "Daily", Log!$B:$B, "n/a"),
        _xlpm.we_camera_on_date, IFERROR(AVERAGEIFS(Log!$F:$F, Log!$D:$D,S$4, Log!$C:$C, $A52, Log!$A:$A, "Daily", Log!$B:$B, "n/a"), 0),
        _xlpm.ie_camera_on_date, IFERROR(AVERAGEIFS(Log!$G:$G, Log!$D:$D,S$4, Log!$C:$C, $A52, Log!$A:$A, "Daily", Log!$B:$B, "n/a"), 0),
        _xlpm.we_avg, IFERROR(AVERAGEIFS(Log!$F:$F,Log!$C:$C,$A52, Log!$A:$A, "Daily", Log!$B:$B, "n/a"),0),
        _xlpm.ie_avg, IFERROR(AVERAGEIFS(Log!$G:$G,Log!$C:$C,$A52,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3" spans="2:19" x14ac:dyDescent="0.3">
      <c r="B53" s="68" t="str">
        <f>IFERROR(
    _xlfn.LET(
        _xlpm.is_data_present, $A53&lt;&gt;0,
        _xlpm.is_camera_present, COUNTIFS(Log!$C:$C, $A53, Log!$D:$D, B$4, Log!$A:$A, "Daily", Log!$B:$B, "n/a"),
        _xlpm.we_camera_on_date, IFERROR(AVERAGEIFS(Log!$F:$F, Log!$D:$D,B$4, Log!$C:$C, $A53, Log!$A:$A, "Daily", Log!$B:$B, "n/a"), 0),
        _xlpm.ie_camera_on_date, IFERROR(AVERAGEIFS(Log!$G:$G, Log!$D:$D,B$4,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3" s="68" t="str">
        <f>IFERROR(
    _xlfn.LET(
        _xlpm.is_data_present, $A53&lt;&gt;0,
        _xlpm.is_camera_present, COUNTIFS(Log!$C:$C, $A53, Log!$D:$D, C$4, Log!$A:$A, "Daily", Log!$B:$B, "n/a"),
        _xlpm.we_camera_on_date, IFERROR(AVERAGEIFS(Log!$F:$F, Log!$D:$D,C$4, Log!$C:$C, $A53, Log!$A:$A, "Daily", Log!$B:$B, "n/a"), 0),
        _xlpm.ie_camera_on_date, IFERROR(AVERAGEIFS(Log!$G:$G, Log!$D:$D,C$4,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3" s="68" t="str">
        <f>IFERROR(
    _xlfn.LET(
        _xlpm.is_data_present, $A53&lt;&gt;0,
        _xlpm.is_camera_present, COUNTIFS(Log!$C:$C, $A53, Log!$D:$D, D$4, Log!$A:$A, "Daily", Log!$B:$B, "n/a"),
        _xlpm.we_camera_on_date, IFERROR(AVERAGEIFS(Log!$F:$F, Log!$D:$D,D$4, Log!$C:$C, $A53, Log!$A:$A, "Daily", Log!$B:$B, "n/a"), 0),
        _xlpm.ie_camera_on_date, IFERROR(AVERAGEIFS(Log!$G:$G, Log!$D:$D,D$4,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3" s="68" t="str">
        <f>IFERROR(
    _xlfn.LET(
        _xlpm.is_data_present, $A53&lt;&gt;0,
        _xlpm.is_camera_present, COUNTIFS(Log!$C:$C, $A53, Log!$D:$D, E$4, Log!$A:$A, "Daily", Log!$B:$B, "n/a"),
        _xlpm.we_camera_on_date, IFERROR(AVERAGEIFS(Log!$F:$F, Log!$D:$D,E$4, Log!$C:$C, $A53, Log!$A:$A, "Daily", Log!$B:$B, "n/a"), 0),
        _xlpm.ie_camera_on_date, IFERROR(AVERAGEIFS(Log!$G:$G, Log!$D:$D,E$4,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3" s="68" t="str">
        <f>IFERROR(
    _xlfn.LET(
        _xlpm.is_data_present, $A53&lt;&gt;0,
        _xlpm.is_camera_present, COUNTIFS(Log!$C:$C, $A53, Log!$D:$D, F$4, Log!$A:$A, "Daily", Log!$B:$B, "n/a"),
        _xlpm.we_camera_on_date, IFERROR(AVERAGEIFS(Log!$F:$F, Log!$D:$D,F$4, Log!$C:$C, $A53, Log!$A:$A, "Daily", Log!$B:$B, "n/a"), 0),
        _xlpm.ie_camera_on_date, IFERROR(AVERAGEIFS(Log!$G:$G, Log!$D:$D,F$4,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3" s="68" t="str">
        <f>IFERROR(
    _xlfn.LET(
        _xlpm.is_data_present, $A53&lt;&gt;0,
        _xlpm.is_camera_present, COUNTIFS(Log!$C:$C, $A53, Log!$D:$D, G$4, Log!$A:$A, "Daily", Log!$B:$B, "n/a"),
        _xlpm.we_camera_on_date, IFERROR(AVERAGEIFS(Log!$F:$F, Log!$D:$D,G$4, Log!$C:$C, $A53, Log!$A:$A, "Daily", Log!$B:$B, "n/a"), 0),
        _xlpm.ie_camera_on_date, IFERROR(AVERAGEIFS(Log!$G:$G, Log!$D:$D,G$4,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3" s="68" t="str">
        <f>IFERROR(
    _xlfn.LET(
        _xlpm.is_data_present, $A53&lt;&gt;0,
        _xlpm.is_camera_present, COUNTIFS(Log!$C:$C, $A53, Log!$D:$D, H$4, Log!$A:$A, "Daily", Log!$B:$B, "n/a"),
        _xlpm.we_camera_on_date, IFERROR(AVERAGEIFS(Log!$F:$F, Log!$D:$D,H$4, Log!$C:$C, $A53, Log!$A:$A, "Daily", Log!$B:$B, "n/a"), 0),
        _xlpm.ie_camera_on_date, IFERROR(AVERAGEIFS(Log!$G:$G, Log!$D:$D,H$4,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3" s="68" t="str">
        <f>IFERROR(
    _xlfn.LET(
        _xlpm.is_data_present, $A53&lt;&gt;0,
        _xlpm.is_camera_present, COUNTIFS(Log!$C:$C, $A53, Log!$D:$D, I$4, Log!$A:$A, "Daily", Log!$B:$B, "n/a"),
        _xlpm.we_camera_on_date, IFERROR(AVERAGEIFS(Log!$F:$F, Log!$D:$D,I$4, Log!$C:$C, $A53, Log!$A:$A, "Daily", Log!$B:$B, "n/a"), 0),
        _xlpm.ie_camera_on_date, IFERROR(AVERAGEIFS(Log!$G:$G, Log!$D:$D,I$4,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3" s="68" t="str">
        <f>IFERROR(
    _xlfn.LET(
        _xlpm.is_data_present, $A53&lt;&gt;0,
        _xlpm.is_camera_present, COUNTIFS(Log!$C:$C, $A53, Log!$D:$D, J$4, Log!$A:$A, "Daily", Log!$B:$B, "n/a"),
        _xlpm.we_camera_on_date, IFERROR(AVERAGEIFS(Log!$F:$F, Log!$D:$D,J$4, Log!$C:$C, $A53, Log!$A:$A, "Daily", Log!$B:$B, "n/a"), 0),
        _xlpm.ie_camera_on_date, IFERROR(AVERAGEIFS(Log!$G:$G, Log!$D:$D,J$4,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3" s="68" t="str">
        <f>IFERROR(
    _xlfn.LET(
        _xlpm.is_data_present, $A53&lt;&gt;0,
        _xlpm.is_camera_present, COUNTIFS(Log!$C:$C, $A53, Log!$D:$D, K$4, Log!$A:$A, "Daily", Log!$B:$B, "n/a"),
        _xlpm.we_camera_on_date, IFERROR(AVERAGEIFS(Log!$F:$F, Log!$D:$D,K$4, Log!$C:$C, $A53, Log!$A:$A, "Daily", Log!$B:$B, "n/a"), 0),
        _xlpm.ie_camera_on_date, IFERROR(AVERAGEIFS(Log!$G:$G, Log!$D:$D,K$4,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3" s="68" t="str">
        <f>IFERROR(
    _xlfn.LET(
        _xlpm.is_data_present, $A53&lt;&gt;0,
        _xlpm.is_camera_present, COUNTIFS(Log!$C:$C, $A53, Log!$D:$D, L$4, Log!$A:$A, "Daily", Log!$B:$B, "n/a"),
        _xlpm.we_camera_on_date, IFERROR(AVERAGEIFS(Log!$F:$F, Log!$D:$D,L$4, Log!$C:$C, $A53, Log!$A:$A, "Daily", Log!$B:$B, "n/a"), 0),
        _xlpm.ie_camera_on_date, IFERROR(AVERAGEIFS(Log!$G:$G, Log!$D:$D,L$4,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3" s="68" t="str">
        <f>IFERROR(
    _xlfn.LET(
        _xlpm.is_data_present, $A53&lt;&gt;0,
        _xlpm.is_camera_present, COUNTIFS(Log!$C:$C, $A53, Log!$D:$D, M$4, Log!$A:$A, "Daily", Log!$B:$B, "n/a"),
        _xlpm.we_camera_on_date, IFERROR(AVERAGEIFS(Log!$F:$F, Log!$D:$D,M$4, Log!$C:$C, $A53, Log!$A:$A, "Daily", Log!$B:$B, "n/a"), 0),
        _xlpm.ie_camera_on_date, IFERROR(AVERAGEIFS(Log!$G:$G, Log!$D:$D,M$4,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3" s="68" t="str">
        <f>IFERROR(
    _xlfn.LET(
        _xlpm.is_data_present, $A53&lt;&gt;0,
        _xlpm.is_camera_present, COUNTIFS(Log!$C:$C, $A53, Log!$D:$D, N$4, Log!$A:$A, "Daily", Log!$B:$B, "n/a"),
        _xlpm.we_camera_on_date, IFERROR(AVERAGEIFS(Log!$F:$F, Log!$D:$D,N$4, Log!$C:$C, $A53, Log!$A:$A, "Daily", Log!$B:$B, "n/a"), 0),
        _xlpm.ie_camera_on_date, IFERROR(AVERAGEIFS(Log!$G:$G, Log!$D:$D,N$4,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3" s="68" t="str">
        <f>IFERROR(
    _xlfn.LET(
        _xlpm.is_data_present, $A53&lt;&gt;0,
        _xlpm.is_camera_present, COUNTIFS(Log!$C:$C, $A53, Log!$D:$D, O$4, Log!$A:$A, "Daily", Log!$B:$B, "n/a"),
        _xlpm.we_camera_on_date, IFERROR(AVERAGEIFS(Log!$F:$F, Log!$D:$D,O$4, Log!$C:$C, $A53, Log!$A:$A, "Daily", Log!$B:$B, "n/a"), 0),
        _xlpm.ie_camera_on_date, IFERROR(AVERAGEIFS(Log!$G:$G, Log!$D:$D,O$4,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3" s="68" t="str">
        <f>IFERROR(
    _xlfn.LET(
        _xlpm.is_data_present, $A53&lt;&gt;0,
        _xlpm.is_camera_present, COUNTIFS(Log!$C:$C, $A53, Log!$D:$D, P$4, Log!$A:$A, "Daily", Log!$B:$B, "n/a"),
        _xlpm.we_camera_on_date, IFERROR(AVERAGEIFS(Log!$F:$F, Log!$D:$D,P$4, Log!$C:$C, $A53, Log!$A:$A, "Daily", Log!$B:$B, "n/a"), 0),
        _xlpm.ie_camera_on_date, IFERROR(AVERAGEIFS(Log!$G:$G, Log!$D:$D,P$4,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3" s="68" t="str">
        <f>IFERROR(
    _xlfn.LET(
        _xlpm.is_data_present, $A53&lt;&gt;0,
        _xlpm.is_camera_present, COUNTIFS(Log!$C:$C, $A53, Log!$D:$D, Q$4, Log!$A:$A, "Daily", Log!$B:$B, "n/a"),
        _xlpm.we_camera_on_date, IFERROR(AVERAGEIFS(Log!$F:$F, Log!$D:$D,Q$4, Log!$C:$C, $A53, Log!$A:$A, "Daily", Log!$B:$B, "n/a"), 0),
        _xlpm.ie_camera_on_date, IFERROR(AVERAGEIFS(Log!$G:$G, Log!$D:$D,Q$4,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3" s="68" t="str">
        <f>IFERROR(
    _xlfn.LET(
        _xlpm.is_data_present, $A53&lt;&gt;0,
        _xlpm.is_camera_present, COUNTIFS(Log!$C:$C, $A53, Log!$D:$D, R$4, Log!$A:$A, "Daily", Log!$B:$B, "n/a"),
        _xlpm.we_camera_on_date, IFERROR(AVERAGEIFS(Log!$F:$F, Log!$D:$D,R$4, Log!$C:$C, $A53, Log!$A:$A, "Daily", Log!$B:$B, "n/a"), 0),
        _xlpm.ie_camera_on_date, IFERROR(AVERAGEIFS(Log!$G:$G, Log!$D:$D,R$4,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3" s="68" t="str">
        <f>IFERROR(
    _xlfn.LET(
        _xlpm.is_data_present, $A53&lt;&gt;0,
        _xlpm.is_camera_present, COUNTIFS(Log!$C:$C, $A53, Log!$D:$D, S$4, Log!$A:$A, "Daily", Log!$B:$B, "n/a"),
        _xlpm.we_camera_on_date, IFERROR(AVERAGEIFS(Log!$F:$F, Log!$D:$D,S$4, Log!$C:$C, $A53, Log!$A:$A, "Daily", Log!$B:$B, "n/a"), 0),
        _xlpm.ie_camera_on_date, IFERROR(AVERAGEIFS(Log!$G:$G, Log!$D:$D,S$4, Log!$C:$C, $A53, Log!$A:$A, "Daily", Log!$B:$B, "n/a"), 0),
        _xlpm.we_avg, IFERROR(AVERAGEIFS(Log!$F:$F,Log!$C:$C,$A53, Log!$A:$A, "Daily", Log!$B:$B, "n/a"),0),
        _xlpm.ie_avg, IFERROR(AVERAGEIFS(Log!$G:$G,Log!$C:$C,$A53,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4" spans="2:19" x14ac:dyDescent="0.3">
      <c r="B54" s="68" t="str">
        <f>IFERROR(
    _xlfn.LET(
        _xlpm.is_data_present, $A54&lt;&gt;0,
        _xlpm.is_camera_present, COUNTIFS(Log!$C:$C, $A54, Log!$D:$D, B$4, Log!$A:$A, "Daily", Log!$B:$B, "n/a"),
        _xlpm.we_camera_on_date, IFERROR(AVERAGEIFS(Log!$F:$F, Log!$D:$D,B$4, Log!$C:$C, $A54, Log!$A:$A, "Daily", Log!$B:$B, "n/a"), 0),
        _xlpm.ie_camera_on_date, IFERROR(AVERAGEIFS(Log!$G:$G, Log!$D:$D,B$4,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4" s="68" t="str">
        <f>IFERROR(
    _xlfn.LET(
        _xlpm.is_data_present, $A54&lt;&gt;0,
        _xlpm.is_camera_present, COUNTIFS(Log!$C:$C, $A54, Log!$D:$D, C$4, Log!$A:$A, "Daily", Log!$B:$B, "n/a"),
        _xlpm.we_camera_on_date, IFERROR(AVERAGEIFS(Log!$F:$F, Log!$D:$D,C$4, Log!$C:$C, $A54, Log!$A:$A, "Daily", Log!$B:$B, "n/a"), 0),
        _xlpm.ie_camera_on_date, IFERROR(AVERAGEIFS(Log!$G:$G, Log!$D:$D,C$4,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4" s="68" t="str">
        <f>IFERROR(
    _xlfn.LET(
        _xlpm.is_data_present, $A54&lt;&gt;0,
        _xlpm.is_camera_present, COUNTIFS(Log!$C:$C, $A54, Log!$D:$D, D$4, Log!$A:$A, "Daily", Log!$B:$B, "n/a"),
        _xlpm.we_camera_on_date, IFERROR(AVERAGEIFS(Log!$F:$F, Log!$D:$D,D$4, Log!$C:$C, $A54, Log!$A:$A, "Daily", Log!$B:$B, "n/a"), 0),
        _xlpm.ie_camera_on_date, IFERROR(AVERAGEIFS(Log!$G:$G, Log!$D:$D,D$4,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4" s="68" t="str">
        <f>IFERROR(
    _xlfn.LET(
        _xlpm.is_data_present, $A54&lt;&gt;0,
        _xlpm.is_camera_present, COUNTIFS(Log!$C:$C, $A54, Log!$D:$D, E$4, Log!$A:$A, "Daily", Log!$B:$B, "n/a"),
        _xlpm.we_camera_on_date, IFERROR(AVERAGEIFS(Log!$F:$F, Log!$D:$D,E$4, Log!$C:$C, $A54, Log!$A:$A, "Daily", Log!$B:$B, "n/a"), 0),
        _xlpm.ie_camera_on_date, IFERROR(AVERAGEIFS(Log!$G:$G, Log!$D:$D,E$4,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4" s="68" t="str">
        <f>IFERROR(
    _xlfn.LET(
        _xlpm.is_data_present, $A54&lt;&gt;0,
        _xlpm.is_camera_present, COUNTIFS(Log!$C:$C, $A54, Log!$D:$D, F$4, Log!$A:$A, "Daily", Log!$B:$B, "n/a"),
        _xlpm.we_camera_on_date, IFERROR(AVERAGEIFS(Log!$F:$F, Log!$D:$D,F$4, Log!$C:$C, $A54, Log!$A:$A, "Daily", Log!$B:$B, "n/a"), 0),
        _xlpm.ie_camera_on_date, IFERROR(AVERAGEIFS(Log!$G:$G, Log!$D:$D,F$4,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4" s="68" t="str">
        <f>IFERROR(
    _xlfn.LET(
        _xlpm.is_data_present, $A54&lt;&gt;0,
        _xlpm.is_camera_present, COUNTIFS(Log!$C:$C, $A54, Log!$D:$D, G$4, Log!$A:$A, "Daily", Log!$B:$B, "n/a"),
        _xlpm.we_camera_on_date, IFERROR(AVERAGEIFS(Log!$F:$F, Log!$D:$D,G$4, Log!$C:$C, $A54, Log!$A:$A, "Daily", Log!$B:$B, "n/a"), 0),
        _xlpm.ie_camera_on_date, IFERROR(AVERAGEIFS(Log!$G:$G, Log!$D:$D,G$4,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4" s="68" t="str">
        <f>IFERROR(
    _xlfn.LET(
        _xlpm.is_data_present, $A54&lt;&gt;0,
        _xlpm.is_camera_present, COUNTIFS(Log!$C:$C, $A54, Log!$D:$D, H$4, Log!$A:$A, "Daily", Log!$B:$B, "n/a"),
        _xlpm.we_camera_on_date, IFERROR(AVERAGEIFS(Log!$F:$F, Log!$D:$D,H$4, Log!$C:$C, $A54, Log!$A:$A, "Daily", Log!$B:$B, "n/a"), 0),
        _xlpm.ie_camera_on_date, IFERROR(AVERAGEIFS(Log!$G:$G, Log!$D:$D,H$4,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4" s="68" t="str">
        <f>IFERROR(
    _xlfn.LET(
        _xlpm.is_data_present, $A54&lt;&gt;0,
        _xlpm.is_camera_present, COUNTIFS(Log!$C:$C, $A54, Log!$D:$D, I$4, Log!$A:$A, "Daily", Log!$B:$B, "n/a"),
        _xlpm.we_camera_on_date, IFERROR(AVERAGEIFS(Log!$F:$F, Log!$D:$D,I$4, Log!$C:$C, $A54, Log!$A:$A, "Daily", Log!$B:$B, "n/a"), 0),
        _xlpm.ie_camera_on_date, IFERROR(AVERAGEIFS(Log!$G:$G, Log!$D:$D,I$4,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4" s="68" t="str">
        <f>IFERROR(
    _xlfn.LET(
        _xlpm.is_data_present, $A54&lt;&gt;0,
        _xlpm.is_camera_present, COUNTIFS(Log!$C:$C, $A54, Log!$D:$D, J$4, Log!$A:$A, "Daily", Log!$B:$B, "n/a"),
        _xlpm.we_camera_on_date, IFERROR(AVERAGEIFS(Log!$F:$F, Log!$D:$D,J$4, Log!$C:$C, $A54, Log!$A:$A, "Daily", Log!$B:$B, "n/a"), 0),
        _xlpm.ie_camera_on_date, IFERROR(AVERAGEIFS(Log!$G:$G, Log!$D:$D,J$4,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4" s="68" t="str">
        <f>IFERROR(
    _xlfn.LET(
        _xlpm.is_data_present, $A54&lt;&gt;0,
        _xlpm.is_camera_present, COUNTIFS(Log!$C:$C, $A54, Log!$D:$D, K$4, Log!$A:$A, "Daily", Log!$B:$B, "n/a"),
        _xlpm.we_camera_on_date, IFERROR(AVERAGEIFS(Log!$F:$F, Log!$D:$D,K$4, Log!$C:$C, $A54, Log!$A:$A, "Daily", Log!$B:$B, "n/a"), 0),
        _xlpm.ie_camera_on_date, IFERROR(AVERAGEIFS(Log!$G:$G, Log!$D:$D,K$4,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4" s="68" t="str">
        <f>IFERROR(
    _xlfn.LET(
        _xlpm.is_data_present, $A54&lt;&gt;0,
        _xlpm.is_camera_present, COUNTIFS(Log!$C:$C, $A54, Log!$D:$D, L$4, Log!$A:$A, "Daily", Log!$B:$B, "n/a"),
        _xlpm.we_camera_on_date, IFERROR(AVERAGEIFS(Log!$F:$F, Log!$D:$D,L$4, Log!$C:$C, $A54, Log!$A:$A, "Daily", Log!$B:$B, "n/a"), 0),
        _xlpm.ie_camera_on_date, IFERROR(AVERAGEIFS(Log!$G:$G, Log!$D:$D,L$4,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4" s="68" t="str">
        <f>IFERROR(
    _xlfn.LET(
        _xlpm.is_data_present, $A54&lt;&gt;0,
        _xlpm.is_camera_present, COUNTIFS(Log!$C:$C, $A54, Log!$D:$D, M$4, Log!$A:$A, "Daily", Log!$B:$B, "n/a"),
        _xlpm.we_camera_on_date, IFERROR(AVERAGEIFS(Log!$F:$F, Log!$D:$D,M$4, Log!$C:$C, $A54, Log!$A:$A, "Daily", Log!$B:$B, "n/a"), 0),
        _xlpm.ie_camera_on_date, IFERROR(AVERAGEIFS(Log!$G:$G, Log!$D:$D,M$4,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4" s="68" t="str">
        <f>IFERROR(
    _xlfn.LET(
        _xlpm.is_data_present, $A54&lt;&gt;0,
        _xlpm.is_camera_present, COUNTIFS(Log!$C:$C, $A54, Log!$D:$D, N$4, Log!$A:$A, "Daily", Log!$B:$B, "n/a"),
        _xlpm.we_camera_on_date, IFERROR(AVERAGEIFS(Log!$F:$F, Log!$D:$D,N$4, Log!$C:$C, $A54, Log!$A:$A, "Daily", Log!$B:$B, "n/a"), 0),
        _xlpm.ie_camera_on_date, IFERROR(AVERAGEIFS(Log!$G:$G, Log!$D:$D,N$4,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4" s="68" t="str">
        <f>IFERROR(
    _xlfn.LET(
        _xlpm.is_data_present, $A54&lt;&gt;0,
        _xlpm.is_camera_present, COUNTIFS(Log!$C:$C, $A54, Log!$D:$D, O$4, Log!$A:$A, "Daily", Log!$B:$B, "n/a"),
        _xlpm.we_camera_on_date, IFERROR(AVERAGEIFS(Log!$F:$F, Log!$D:$D,O$4, Log!$C:$C, $A54, Log!$A:$A, "Daily", Log!$B:$B, "n/a"), 0),
        _xlpm.ie_camera_on_date, IFERROR(AVERAGEIFS(Log!$G:$G, Log!$D:$D,O$4,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4" s="68" t="str">
        <f>IFERROR(
    _xlfn.LET(
        _xlpm.is_data_present, $A54&lt;&gt;0,
        _xlpm.is_camera_present, COUNTIFS(Log!$C:$C, $A54, Log!$D:$D, P$4, Log!$A:$A, "Daily", Log!$B:$B, "n/a"),
        _xlpm.we_camera_on_date, IFERROR(AVERAGEIFS(Log!$F:$F, Log!$D:$D,P$4, Log!$C:$C, $A54, Log!$A:$A, "Daily", Log!$B:$B, "n/a"), 0),
        _xlpm.ie_camera_on_date, IFERROR(AVERAGEIFS(Log!$G:$G, Log!$D:$D,P$4,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4" s="68" t="str">
        <f>IFERROR(
    _xlfn.LET(
        _xlpm.is_data_present, $A54&lt;&gt;0,
        _xlpm.is_camera_present, COUNTIFS(Log!$C:$C, $A54, Log!$D:$D, Q$4, Log!$A:$A, "Daily", Log!$B:$B, "n/a"),
        _xlpm.we_camera_on_date, IFERROR(AVERAGEIFS(Log!$F:$F, Log!$D:$D,Q$4, Log!$C:$C, $A54, Log!$A:$A, "Daily", Log!$B:$B, "n/a"), 0),
        _xlpm.ie_camera_on_date, IFERROR(AVERAGEIFS(Log!$G:$G, Log!$D:$D,Q$4,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4" s="68" t="str">
        <f>IFERROR(
    _xlfn.LET(
        _xlpm.is_data_present, $A54&lt;&gt;0,
        _xlpm.is_camera_present, COUNTIFS(Log!$C:$C, $A54, Log!$D:$D, R$4, Log!$A:$A, "Daily", Log!$B:$B, "n/a"),
        _xlpm.we_camera_on_date, IFERROR(AVERAGEIFS(Log!$F:$F, Log!$D:$D,R$4, Log!$C:$C, $A54, Log!$A:$A, "Daily", Log!$B:$B, "n/a"), 0),
        _xlpm.ie_camera_on_date, IFERROR(AVERAGEIFS(Log!$G:$G, Log!$D:$D,R$4,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4" s="68" t="str">
        <f>IFERROR(
    _xlfn.LET(
        _xlpm.is_data_present, $A54&lt;&gt;0,
        _xlpm.is_camera_present, COUNTIFS(Log!$C:$C, $A54, Log!$D:$D, S$4, Log!$A:$A, "Daily", Log!$B:$B, "n/a"),
        _xlpm.we_camera_on_date, IFERROR(AVERAGEIFS(Log!$F:$F, Log!$D:$D,S$4, Log!$C:$C, $A54, Log!$A:$A, "Daily", Log!$B:$B, "n/a"), 0),
        _xlpm.ie_camera_on_date, IFERROR(AVERAGEIFS(Log!$G:$G, Log!$D:$D,S$4, Log!$C:$C, $A54, Log!$A:$A, "Daily", Log!$B:$B, "n/a"), 0),
        _xlpm.we_avg, IFERROR(AVERAGEIFS(Log!$F:$F,Log!$C:$C,$A54, Log!$A:$A, "Daily", Log!$B:$B, "n/a"),0),
        _xlpm.ie_avg, IFERROR(AVERAGEIFS(Log!$G:$G,Log!$C:$C,$A54,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5" spans="2:19" x14ac:dyDescent="0.3">
      <c r="B55" s="68" t="str">
        <f>IFERROR(
    _xlfn.LET(
        _xlpm.is_data_present, $A55&lt;&gt;0,
        _xlpm.is_camera_present, COUNTIFS(Log!$C:$C, $A55, Log!$D:$D, B$4, Log!$A:$A, "Daily", Log!$B:$B, "n/a"),
        _xlpm.we_camera_on_date, IFERROR(AVERAGEIFS(Log!$F:$F, Log!$D:$D,B$4, Log!$C:$C, $A55, Log!$A:$A, "Daily", Log!$B:$B, "n/a"), 0),
        _xlpm.ie_camera_on_date, IFERROR(AVERAGEIFS(Log!$G:$G, Log!$D:$D,B$4,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5" s="68" t="str">
        <f>IFERROR(
    _xlfn.LET(
        _xlpm.is_data_present, $A55&lt;&gt;0,
        _xlpm.is_camera_present, COUNTIFS(Log!$C:$C, $A55, Log!$D:$D, C$4, Log!$A:$A, "Daily", Log!$B:$B, "n/a"),
        _xlpm.we_camera_on_date, IFERROR(AVERAGEIFS(Log!$F:$F, Log!$D:$D,C$4, Log!$C:$C, $A55, Log!$A:$A, "Daily", Log!$B:$B, "n/a"), 0),
        _xlpm.ie_camera_on_date, IFERROR(AVERAGEIFS(Log!$G:$G, Log!$D:$D,C$4,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5" s="68" t="str">
        <f>IFERROR(
    _xlfn.LET(
        _xlpm.is_data_present, $A55&lt;&gt;0,
        _xlpm.is_camera_present, COUNTIFS(Log!$C:$C, $A55, Log!$D:$D, D$4, Log!$A:$A, "Daily", Log!$B:$B, "n/a"),
        _xlpm.we_camera_on_date, IFERROR(AVERAGEIFS(Log!$F:$F, Log!$D:$D,D$4, Log!$C:$C, $A55, Log!$A:$A, "Daily", Log!$B:$B, "n/a"), 0),
        _xlpm.ie_camera_on_date, IFERROR(AVERAGEIFS(Log!$G:$G, Log!$D:$D,D$4,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5" s="68" t="str">
        <f>IFERROR(
    _xlfn.LET(
        _xlpm.is_data_present, $A55&lt;&gt;0,
        _xlpm.is_camera_present, COUNTIFS(Log!$C:$C, $A55, Log!$D:$D, E$4, Log!$A:$A, "Daily", Log!$B:$B, "n/a"),
        _xlpm.we_camera_on_date, IFERROR(AVERAGEIFS(Log!$F:$F, Log!$D:$D,E$4, Log!$C:$C, $A55, Log!$A:$A, "Daily", Log!$B:$B, "n/a"), 0),
        _xlpm.ie_camera_on_date, IFERROR(AVERAGEIFS(Log!$G:$G, Log!$D:$D,E$4,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5" s="68" t="str">
        <f>IFERROR(
    _xlfn.LET(
        _xlpm.is_data_present, $A55&lt;&gt;0,
        _xlpm.is_camera_present, COUNTIFS(Log!$C:$C, $A55, Log!$D:$D, F$4, Log!$A:$A, "Daily", Log!$B:$B, "n/a"),
        _xlpm.we_camera_on_date, IFERROR(AVERAGEIFS(Log!$F:$F, Log!$D:$D,F$4, Log!$C:$C, $A55, Log!$A:$A, "Daily", Log!$B:$B, "n/a"), 0),
        _xlpm.ie_camera_on_date, IFERROR(AVERAGEIFS(Log!$G:$G, Log!$D:$D,F$4,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5" s="68" t="str">
        <f>IFERROR(
    _xlfn.LET(
        _xlpm.is_data_present, $A55&lt;&gt;0,
        _xlpm.is_camera_present, COUNTIFS(Log!$C:$C, $A55, Log!$D:$D, G$4, Log!$A:$A, "Daily", Log!$B:$B, "n/a"),
        _xlpm.we_camera_on_date, IFERROR(AVERAGEIFS(Log!$F:$F, Log!$D:$D,G$4, Log!$C:$C, $A55, Log!$A:$A, "Daily", Log!$B:$B, "n/a"), 0),
        _xlpm.ie_camera_on_date, IFERROR(AVERAGEIFS(Log!$G:$G, Log!$D:$D,G$4,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5" s="68" t="str">
        <f>IFERROR(
    _xlfn.LET(
        _xlpm.is_data_present, $A55&lt;&gt;0,
        _xlpm.is_camera_present, COUNTIFS(Log!$C:$C, $A55, Log!$D:$D, H$4, Log!$A:$A, "Daily", Log!$B:$B, "n/a"),
        _xlpm.we_camera_on_date, IFERROR(AVERAGEIFS(Log!$F:$F, Log!$D:$D,H$4, Log!$C:$C, $A55, Log!$A:$A, "Daily", Log!$B:$B, "n/a"), 0),
        _xlpm.ie_camera_on_date, IFERROR(AVERAGEIFS(Log!$G:$G, Log!$D:$D,H$4,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5" s="68" t="str">
        <f>IFERROR(
    _xlfn.LET(
        _xlpm.is_data_present, $A55&lt;&gt;0,
        _xlpm.is_camera_present, COUNTIFS(Log!$C:$C, $A55, Log!$D:$D, I$4, Log!$A:$A, "Daily", Log!$B:$B, "n/a"),
        _xlpm.we_camera_on_date, IFERROR(AVERAGEIFS(Log!$F:$F, Log!$D:$D,I$4, Log!$C:$C, $A55, Log!$A:$A, "Daily", Log!$B:$B, "n/a"), 0),
        _xlpm.ie_camera_on_date, IFERROR(AVERAGEIFS(Log!$G:$G, Log!$D:$D,I$4,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5" s="68" t="str">
        <f>IFERROR(
    _xlfn.LET(
        _xlpm.is_data_present, $A55&lt;&gt;0,
        _xlpm.is_camera_present, COUNTIFS(Log!$C:$C, $A55, Log!$D:$D, J$4, Log!$A:$A, "Daily", Log!$B:$B, "n/a"),
        _xlpm.we_camera_on_date, IFERROR(AVERAGEIFS(Log!$F:$F, Log!$D:$D,J$4, Log!$C:$C, $A55, Log!$A:$A, "Daily", Log!$B:$B, "n/a"), 0),
        _xlpm.ie_camera_on_date, IFERROR(AVERAGEIFS(Log!$G:$G, Log!$D:$D,J$4,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5" s="68" t="str">
        <f>IFERROR(
    _xlfn.LET(
        _xlpm.is_data_present, $A55&lt;&gt;0,
        _xlpm.is_camera_present, COUNTIFS(Log!$C:$C, $A55, Log!$D:$D, K$4, Log!$A:$A, "Daily", Log!$B:$B, "n/a"),
        _xlpm.we_camera_on_date, IFERROR(AVERAGEIFS(Log!$F:$F, Log!$D:$D,K$4, Log!$C:$C, $A55, Log!$A:$A, "Daily", Log!$B:$B, "n/a"), 0),
        _xlpm.ie_camera_on_date, IFERROR(AVERAGEIFS(Log!$G:$G, Log!$D:$D,K$4,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5" s="68" t="str">
        <f>IFERROR(
    _xlfn.LET(
        _xlpm.is_data_present, $A55&lt;&gt;0,
        _xlpm.is_camera_present, COUNTIFS(Log!$C:$C, $A55, Log!$D:$D, L$4, Log!$A:$A, "Daily", Log!$B:$B, "n/a"),
        _xlpm.we_camera_on_date, IFERROR(AVERAGEIFS(Log!$F:$F, Log!$D:$D,L$4, Log!$C:$C, $A55, Log!$A:$A, "Daily", Log!$B:$B, "n/a"), 0),
        _xlpm.ie_camera_on_date, IFERROR(AVERAGEIFS(Log!$G:$G, Log!$D:$D,L$4,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5" s="68" t="str">
        <f>IFERROR(
    _xlfn.LET(
        _xlpm.is_data_present, $A55&lt;&gt;0,
        _xlpm.is_camera_present, COUNTIFS(Log!$C:$C, $A55, Log!$D:$D, M$4, Log!$A:$A, "Daily", Log!$B:$B, "n/a"),
        _xlpm.we_camera_on_date, IFERROR(AVERAGEIFS(Log!$F:$F, Log!$D:$D,M$4, Log!$C:$C, $A55, Log!$A:$A, "Daily", Log!$B:$B, "n/a"), 0),
        _xlpm.ie_camera_on_date, IFERROR(AVERAGEIFS(Log!$G:$G, Log!$D:$D,M$4,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5" s="68" t="str">
        <f>IFERROR(
    _xlfn.LET(
        _xlpm.is_data_present, $A55&lt;&gt;0,
        _xlpm.is_camera_present, COUNTIFS(Log!$C:$C, $A55, Log!$D:$D, N$4, Log!$A:$A, "Daily", Log!$B:$B, "n/a"),
        _xlpm.we_camera_on_date, IFERROR(AVERAGEIFS(Log!$F:$F, Log!$D:$D,N$4, Log!$C:$C, $A55, Log!$A:$A, "Daily", Log!$B:$B, "n/a"), 0),
        _xlpm.ie_camera_on_date, IFERROR(AVERAGEIFS(Log!$G:$G, Log!$D:$D,N$4,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5" s="68" t="str">
        <f>IFERROR(
    _xlfn.LET(
        _xlpm.is_data_present, $A55&lt;&gt;0,
        _xlpm.is_camera_present, COUNTIFS(Log!$C:$C, $A55, Log!$D:$D, O$4, Log!$A:$A, "Daily", Log!$B:$B, "n/a"),
        _xlpm.we_camera_on_date, IFERROR(AVERAGEIFS(Log!$F:$F, Log!$D:$D,O$4, Log!$C:$C, $A55, Log!$A:$A, "Daily", Log!$B:$B, "n/a"), 0),
        _xlpm.ie_camera_on_date, IFERROR(AVERAGEIFS(Log!$G:$G, Log!$D:$D,O$4,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5" s="68" t="str">
        <f>IFERROR(
    _xlfn.LET(
        _xlpm.is_data_present, $A55&lt;&gt;0,
        _xlpm.is_camera_present, COUNTIFS(Log!$C:$C, $A55, Log!$D:$D, P$4, Log!$A:$A, "Daily", Log!$B:$B, "n/a"),
        _xlpm.we_camera_on_date, IFERROR(AVERAGEIFS(Log!$F:$F, Log!$D:$D,P$4, Log!$C:$C, $A55, Log!$A:$A, "Daily", Log!$B:$B, "n/a"), 0),
        _xlpm.ie_camera_on_date, IFERROR(AVERAGEIFS(Log!$G:$G, Log!$D:$D,P$4,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5" s="68" t="str">
        <f>IFERROR(
    _xlfn.LET(
        _xlpm.is_data_present, $A55&lt;&gt;0,
        _xlpm.is_camera_present, COUNTIFS(Log!$C:$C, $A55, Log!$D:$D, Q$4, Log!$A:$A, "Daily", Log!$B:$B, "n/a"),
        _xlpm.we_camera_on_date, IFERROR(AVERAGEIFS(Log!$F:$F, Log!$D:$D,Q$4, Log!$C:$C, $A55, Log!$A:$A, "Daily", Log!$B:$B, "n/a"), 0),
        _xlpm.ie_camera_on_date, IFERROR(AVERAGEIFS(Log!$G:$G, Log!$D:$D,Q$4,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5" s="68" t="str">
        <f>IFERROR(
    _xlfn.LET(
        _xlpm.is_data_present, $A55&lt;&gt;0,
        _xlpm.is_camera_present, COUNTIFS(Log!$C:$C, $A55, Log!$D:$D, R$4, Log!$A:$A, "Daily", Log!$B:$B, "n/a"),
        _xlpm.we_camera_on_date, IFERROR(AVERAGEIFS(Log!$F:$F, Log!$D:$D,R$4, Log!$C:$C, $A55, Log!$A:$A, "Daily", Log!$B:$B, "n/a"), 0),
        _xlpm.ie_camera_on_date, IFERROR(AVERAGEIFS(Log!$G:$G, Log!$D:$D,R$4,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5" s="68" t="str">
        <f>IFERROR(
    _xlfn.LET(
        _xlpm.is_data_present, $A55&lt;&gt;0,
        _xlpm.is_camera_present, COUNTIFS(Log!$C:$C, $A55, Log!$D:$D, S$4, Log!$A:$A, "Daily", Log!$B:$B, "n/a"),
        _xlpm.we_camera_on_date, IFERROR(AVERAGEIFS(Log!$F:$F, Log!$D:$D,S$4, Log!$C:$C, $A55, Log!$A:$A, "Daily", Log!$B:$B, "n/a"), 0),
        _xlpm.ie_camera_on_date, IFERROR(AVERAGEIFS(Log!$G:$G, Log!$D:$D,S$4, Log!$C:$C, $A55, Log!$A:$A, "Daily", Log!$B:$B, "n/a"), 0),
        _xlpm.we_avg, IFERROR(AVERAGEIFS(Log!$F:$F,Log!$C:$C,$A55, Log!$A:$A, "Daily", Log!$B:$B, "n/a"),0),
        _xlpm.ie_avg, IFERROR(AVERAGEIFS(Log!$G:$G,Log!$C:$C,$A55,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6" spans="2:19" x14ac:dyDescent="0.3">
      <c r="B56" s="68" t="str">
        <f>IFERROR(
    _xlfn.LET(
        _xlpm.is_data_present, $A56&lt;&gt;0,
        _xlpm.is_camera_present, COUNTIFS(Log!$C:$C, $A56, Log!$D:$D, B$4, Log!$A:$A, "Daily", Log!$B:$B, "n/a"),
        _xlpm.we_camera_on_date, IFERROR(AVERAGEIFS(Log!$F:$F, Log!$D:$D,B$4, Log!$C:$C, $A56, Log!$A:$A, "Daily", Log!$B:$B, "n/a"), 0),
        _xlpm.ie_camera_on_date, IFERROR(AVERAGEIFS(Log!$G:$G, Log!$D:$D,B$4,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6" s="68" t="str">
        <f>IFERROR(
    _xlfn.LET(
        _xlpm.is_data_present, $A56&lt;&gt;0,
        _xlpm.is_camera_present, COUNTIFS(Log!$C:$C, $A56, Log!$D:$D, C$4, Log!$A:$A, "Daily", Log!$B:$B, "n/a"),
        _xlpm.we_camera_on_date, IFERROR(AVERAGEIFS(Log!$F:$F, Log!$D:$D,C$4, Log!$C:$C, $A56, Log!$A:$A, "Daily", Log!$B:$B, "n/a"), 0),
        _xlpm.ie_camera_on_date, IFERROR(AVERAGEIFS(Log!$G:$G, Log!$D:$D,C$4,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6" s="68" t="str">
        <f>IFERROR(
    _xlfn.LET(
        _xlpm.is_data_present, $A56&lt;&gt;0,
        _xlpm.is_camera_present, COUNTIFS(Log!$C:$C, $A56, Log!$D:$D, D$4, Log!$A:$A, "Daily", Log!$B:$B, "n/a"),
        _xlpm.we_camera_on_date, IFERROR(AVERAGEIFS(Log!$F:$F, Log!$D:$D,D$4, Log!$C:$C, $A56, Log!$A:$A, "Daily", Log!$B:$B, "n/a"), 0),
        _xlpm.ie_camera_on_date, IFERROR(AVERAGEIFS(Log!$G:$G, Log!$D:$D,D$4,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6" s="68" t="str">
        <f>IFERROR(
    _xlfn.LET(
        _xlpm.is_data_present, $A56&lt;&gt;0,
        _xlpm.is_camera_present, COUNTIFS(Log!$C:$C, $A56, Log!$D:$D, E$4, Log!$A:$A, "Daily", Log!$B:$B, "n/a"),
        _xlpm.we_camera_on_date, IFERROR(AVERAGEIFS(Log!$F:$F, Log!$D:$D,E$4, Log!$C:$C, $A56, Log!$A:$A, "Daily", Log!$B:$B, "n/a"), 0),
        _xlpm.ie_camera_on_date, IFERROR(AVERAGEIFS(Log!$G:$G, Log!$D:$D,E$4,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6" s="68" t="str">
        <f>IFERROR(
    _xlfn.LET(
        _xlpm.is_data_present, $A56&lt;&gt;0,
        _xlpm.is_camera_present, COUNTIFS(Log!$C:$C, $A56, Log!$D:$D, F$4, Log!$A:$A, "Daily", Log!$B:$B, "n/a"),
        _xlpm.we_camera_on_date, IFERROR(AVERAGEIFS(Log!$F:$F, Log!$D:$D,F$4, Log!$C:$C, $A56, Log!$A:$A, "Daily", Log!$B:$B, "n/a"), 0),
        _xlpm.ie_camera_on_date, IFERROR(AVERAGEIFS(Log!$G:$G, Log!$D:$D,F$4,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6" s="68" t="str">
        <f>IFERROR(
    _xlfn.LET(
        _xlpm.is_data_present, $A56&lt;&gt;0,
        _xlpm.is_camera_present, COUNTIFS(Log!$C:$C, $A56, Log!$D:$D, G$4, Log!$A:$A, "Daily", Log!$B:$B, "n/a"),
        _xlpm.we_camera_on_date, IFERROR(AVERAGEIFS(Log!$F:$F, Log!$D:$D,G$4, Log!$C:$C, $A56, Log!$A:$A, "Daily", Log!$B:$B, "n/a"), 0),
        _xlpm.ie_camera_on_date, IFERROR(AVERAGEIFS(Log!$G:$G, Log!$D:$D,G$4,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6" s="68" t="str">
        <f>IFERROR(
    _xlfn.LET(
        _xlpm.is_data_present, $A56&lt;&gt;0,
        _xlpm.is_camera_present, COUNTIFS(Log!$C:$C, $A56, Log!$D:$D, H$4, Log!$A:$A, "Daily", Log!$B:$B, "n/a"),
        _xlpm.we_camera_on_date, IFERROR(AVERAGEIFS(Log!$F:$F, Log!$D:$D,H$4, Log!$C:$C, $A56, Log!$A:$A, "Daily", Log!$B:$B, "n/a"), 0),
        _xlpm.ie_camera_on_date, IFERROR(AVERAGEIFS(Log!$G:$G, Log!$D:$D,H$4,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6" s="68" t="str">
        <f>IFERROR(
    _xlfn.LET(
        _xlpm.is_data_present, $A56&lt;&gt;0,
        _xlpm.is_camera_present, COUNTIFS(Log!$C:$C, $A56, Log!$D:$D, I$4, Log!$A:$A, "Daily", Log!$B:$B, "n/a"),
        _xlpm.we_camera_on_date, IFERROR(AVERAGEIFS(Log!$F:$F, Log!$D:$D,I$4, Log!$C:$C, $A56, Log!$A:$A, "Daily", Log!$B:$B, "n/a"), 0),
        _xlpm.ie_camera_on_date, IFERROR(AVERAGEIFS(Log!$G:$G, Log!$D:$D,I$4,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6" s="68" t="str">
        <f>IFERROR(
    _xlfn.LET(
        _xlpm.is_data_present, $A56&lt;&gt;0,
        _xlpm.is_camera_present, COUNTIFS(Log!$C:$C, $A56, Log!$D:$D, J$4, Log!$A:$A, "Daily", Log!$B:$B, "n/a"),
        _xlpm.we_camera_on_date, IFERROR(AVERAGEIFS(Log!$F:$F, Log!$D:$D,J$4, Log!$C:$C, $A56, Log!$A:$A, "Daily", Log!$B:$B, "n/a"), 0),
        _xlpm.ie_camera_on_date, IFERROR(AVERAGEIFS(Log!$G:$G, Log!$D:$D,J$4,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6" s="68" t="str">
        <f>IFERROR(
    _xlfn.LET(
        _xlpm.is_data_present, $A56&lt;&gt;0,
        _xlpm.is_camera_present, COUNTIFS(Log!$C:$C, $A56, Log!$D:$D, K$4, Log!$A:$A, "Daily", Log!$B:$B, "n/a"),
        _xlpm.we_camera_on_date, IFERROR(AVERAGEIFS(Log!$F:$F, Log!$D:$D,K$4, Log!$C:$C, $A56, Log!$A:$A, "Daily", Log!$B:$B, "n/a"), 0),
        _xlpm.ie_camera_on_date, IFERROR(AVERAGEIFS(Log!$G:$G, Log!$D:$D,K$4,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6" s="68" t="str">
        <f>IFERROR(
    _xlfn.LET(
        _xlpm.is_data_present, $A56&lt;&gt;0,
        _xlpm.is_camera_present, COUNTIFS(Log!$C:$C, $A56, Log!$D:$D, L$4, Log!$A:$A, "Daily", Log!$B:$B, "n/a"),
        _xlpm.we_camera_on_date, IFERROR(AVERAGEIFS(Log!$F:$F, Log!$D:$D,L$4, Log!$C:$C, $A56, Log!$A:$A, "Daily", Log!$B:$B, "n/a"), 0),
        _xlpm.ie_camera_on_date, IFERROR(AVERAGEIFS(Log!$G:$G, Log!$D:$D,L$4,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6" s="68" t="str">
        <f>IFERROR(
    _xlfn.LET(
        _xlpm.is_data_present, $A56&lt;&gt;0,
        _xlpm.is_camera_present, COUNTIFS(Log!$C:$C, $A56, Log!$D:$D, M$4, Log!$A:$A, "Daily", Log!$B:$B, "n/a"),
        _xlpm.we_camera_on_date, IFERROR(AVERAGEIFS(Log!$F:$F, Log!$D:$D,M$4, Log!$C:$C, $A56, Log!$A:$A, "Daily", Log!$B:$B, "n/a"), 0),
        _xlpm.ie_camera_on_date, IFERROR(AVERAGEIFS(Log!$G:$G, Log!$D:$D,M$4,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6" s="68" t="str">
        <f>IFERROR(
    _xlfn.LET(
        _xlpm.is_data_present, $A56&lt;&gt;0,
        _xlpm.is_camera_present, COUNTIFS(Log!$C:$C, $A56, Log!$D:$D, N$4, Log!$A:$A, "Daily", Log!$B:$B, "n/a"),
        _xlpm.we_camera_on_date, IFERROR(AVERAGEIFS(Log!$F:$F, Log!$D:$D,N$4, Log!$C:$C, $A56, Log!$A:$A, "Daily", Log!$B:$B, "n/a"), 0),
        _xlpm.ie_camera_on_date, IFERROR(AVERAGEIFS(Log!$G:$G, Log!$D:$D,N$4,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6" s="68" t="str">
        <f>IFERROR(
    _xlfn.LET(
        _xlpm.is_data_present, $A56&lt;&gt;0,
        _xlpm.is_camera_present, COUNTIFS(Log!$C:$C, $A56, Log!$D:$D, O$4, Log!$A:$A, "Daily", Log!$B:$B, "n/a"),
        _xlpm.we_camera_on_date, IFERROR(AVERAGEIFS(Log!$F:$F, Log!$D:$D,O$4, Log!$C:$C, $A56, Log!$A:$A, "Daily", Log!$B:$B, "n/a"), 0),
        _xlpm.ie_camera_on_date, IFERROR(AVERAGEIFS(Log!$G:$G, Log!$D:$D,O$4,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6" s="68" t="str">
        <f>IFERROR(
    _xlfn.LET(
        _xlpm.is_data_present, $A56&lt;&gt;0,
        _xlpm.is_camera_present, COUNTIFS(Log!$C:$C, $A56, Log!$D:$D, P$4, Log!$A:$A, "Daily", Log!$B:$B, "n/a"),
        _xlpm.we_camera_on_date, IFERROR(AVERAGEIFS(Log!$F:$F, Log!$D:$D,P$4, Log!$C:$C, $A56, Log!$A:$A, "Daily", Log!$B:$B, "n/a"), 0),
        _xlpm.ie_camera_on_date, IFERROR(AVERAGEIFS(Log!$G:$G, Log!$D:$D,P$4,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6" s="68" t="str">
        <f>IFERROR(
    _xlfn.LET(
        _xlpm.is_data_present, $A56&lt;&gt;0,
        _xlpm.is_camera_present, COUNTIFS(Log!$C:$C, $A56, Log!$D:$D, Q$4, Log!$A:$A, "Daily", Log!$B:$B, "n/a"),
        _xlpm.we_camera_on_date, IFERROR(AVERAGEIFS(Log!$F:$F, Log!$D:$D,Q$4, Log!$C:$C, $A56, Log!$A:$A, "Daily", Log!$B:$B, "n/a"), 0),
        _xlpm.ie_camera_on_date, IFERROR(AVERAGEIFS(Log!$G:$G, Log!$D:$D,Q$4,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6" s="68" t="str">
        <f>IFERROR(
    _xlfn.LET(
        _xlpm.is_data_present, $A56&lt;&gt;0,
        _xlpm.is_camera_present, COUNTIFS(Log!$C:$C, $A56, Log!$D:$D, R$4, Log!$A:$A, "Daily", Log!$B:$B, "n/a"),
        _xlpm.we_camera_on_date, IFERROR(AVERAGEIFS(Log!$F:$F, Log!$D:$D,R$4, Log!$C:$C, $A56, Log!$A:$A, "Daily", Log!$B:$B, "n/a"), 0),
        _xlpm.ie_camera_on_date, IFERROR(AVERAGEIFS(Log!$G:$G, Log!$D:$D,R$4,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6" s="68" t="str">
        <f>IFERROR(
    _xlfn.LET(
        _xlpm.is_data_present, $A56&lt;&gt;0,
        _xlpm.is_camera_present, COUNTIFS(Log!$C:$C, $A56, Log!$D:$D, S$4, Log!$A:$A, "Daily", Log!$B:$B, "n/a"),
        _xlpm.we_camera_on_date, IFERROR(AVERAGEIFS(Log!$F:$F, Log!$D:$D,S$4, Log!$C:$C, $A56, Log!$A:$A, "Daily", Log!$B:$B, "n/a"), 0),
        _xlpm.ie_camera_on_date, IFERROR(AVERAGEIFS(Log!$G:$G, Log!$D:$D,S$4, Log!$C:$C, $A56, Log!$A:$A, "Daily", Log!$B:$B, "n/a"), 0),
        _xlpm.we_avg, IFERROR(AVERAGEIFS(Log!$F:$F,Log!$C:$C,$A56, Log!$A:$A, "Daily", Log!$B:$B, "n/a"),0),
        _xlpm.ie_avg, IFERROR(AVERAGEIFS(Log!$G:$G,Log!$C:$C,$A56,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7" spans="2:19" x14ac:dyDescent="0.3">
      <c r="B57" s="68" t="str">
        <f>IFERROR(
    _xlfn.LET(
        _xlpm.is_data_present, $A57&lt;&gt;0,
        _xlpm.is_camera_present, COUNTIFS(Log!$C:$C, $A57, Log!$D:$D, B$4, Log!$A:$A, "Daily", Log!$B:$B, "n/a"),
        _xlpm.we_camera_on_date, IFERROR(AVERAGEIFS(Log!$F:$F, Log!$D:$D,B$4, Log!$C:$C, $A57, Log!$A:$A, "Daily", Log!$B:$B, "n/a"), 0),
        _xlpm.ie_camera_on_date, IFERROR(AVERAGEIFS(Log!$G:$G, Log!$D:$D,B$4,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7" s="68" t="str">
        <f>IFERROR(
    _xlfn.LET(
        _xlpm.is_data_present, $A57&lt;&gt;0,
        _xlpm.is_camera_present, COUNTIFS(Log!$C:$C, $A57, Log!$D:$D, C$4, Log!$A:$A, "Daily", Log!$B:$B, "n/a"),
        _xlpm.we_camera_on_date, IFERROR(AVERAGEIFS(Log!$F:$F, Log!$D:$D,C$4, Log!$C:$C, $A57, Log!$A:$A, "Daily", Log!$B:$B, "n/a"), 0),
        _xlpm.ie_camera_on_date, IFERROR(AVERAGEIFS(Log!$G:$G, Log!$D:$D,C$4,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7" s="68" t="str">
        <f>IFERROR(
    _xlfn.LET(
        _xlpm.is_data_present, $A57&lt;&gt;0,
        _xlpm.is_camera_present, COUNTIFS(Log!$C:$C, $A57, Log!$D:$D, D$4, Log!$A:$A, "Daily", Log!$B:$B, "n/a"),
        _xlpm.we_camera_on_date, IFERROR(AVERAGEIFS(Log!$F:$F, Log!$D:$D,D$4, Log!$C:$C, $A57, Log!$A:$A, "Daily", Log!$B:$B, "n/a"), 0),
        _xlpm.ie_camera_on_date, IFERROR(AVERAGEIFS(Log!$G:$G, Log!$D:$D,D$4,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7" s="68" t="str">
        <f>IFERROR(
    _xlfn.LET(
        _xlpm.is_data_present, $A57&lt;&gt;0,
        _xlpm.is_camera_present, COUNTIFS(Log!$C:$C, $A57, Log!$D:$D, E$4, Log!$A:$A, "Daily", Log!$B:$B, "n/a"),
        _xlpm.we_camera_on_date, IFERROR(AVERAGEIFS(Log!$F:$F, Log!$D:$D,E$4, Log!$C:$C, $A57, Log!$A:$A, "Daily", Log!$B:$B, "n/a"), 0),
        _xlpm.ie_camera_on_date, IFERROR(AVERAGEIFS(Log!$G:$G, Log!$D:$D,E$4,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7" s="68" t="str">
        <f>IFERROR(
    _xlfn.LET(
        _xlpm.is_data_present, $A57&lt;&gt;0,
        _xlpm.is_camera_present, COUNTIFS(Log!$C:$C, $A57, Log!$D:$D, F$4, Log!$A:$A, "Daily", Log!$B:$B, "n/a"),
        _xlpm.we_camera_on_date, IFERROR(AVERAGEIFS(Log!$F:$F, Log!$D:$D,F$4, Log!$C:$C, $A57, Log!$A:$A, "Daily", Log!$B:$B, "n/a"), 0),
        _xlpm.ie_camera_on_date, IFERROR(AVERAGEIFS(Log!$G:$G, Log!$D:$D,F$4,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7" s="68" t="str">
        <f>IFERROR(
    _xlfn.LET(
        _xlpm.is_data_present, $A57&lt;&gt;0,
        _xlpm.is_camera_present, COUNTIFS(Log!$C:$C, $A57, Log!$D:$D, G$4, Log!$A:$A, "Daily", Log!$B:$B, "n/a"),
        _xlpm.we_camera_on_date, IFERROR(AVERAGEIFS(Log!$F:$F, Log!$D:$D,G$4, Log!$C:$C, $A57, Log!$A:$A, "Daily", Log!$B:$B, "n/a"), 0),
        _xlpm.ie_camera_on_date, IFERROR(AVERAGEIFS(Log!$G:$G, Log!$D:$D,G$4,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7" s="68" t="str">
        <f>IFERROR(
    _xlfn.LET(
        _xlpm.is_data_present, $A57&lt;&gt;0,
        _xlpm.is_camera_present, COUNTIFS(Log!$C:$C, $A57, Log!$D:$D, H$4, Log!$A:$A, "Daily", Log!$B:$B, "n/a"),
        _xlpm.we_camera_on_date, IFERROR(AVERAGEIFS(Log!$F:$F, Log!$D:$D,H$4, Log!$C:$C, $A57, Log!$A:$A, "Daily", Log!$B:$B, "n/a"), 0),
        _xlpm.ie_camera_on_date, IFERROR(AVERAGEIFS(Log!$G:$G, Log!$D:$D,H$4,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7" s="68" t="str">
        <f>IFERROR(
    _xlfn.LET(
        _xlpm.is_data_present, $A57&lt;&gt;0,
        _xlpm.is_camera_present, COUNTIFS(Log!$C:$C, $A57, Log!$D:$D, I$4, Log!$A:$A, "Daily", Log!$B:$B, "n/a"),
        _xlpm.we_camera_on_date, IFERROR(AVERAGEIFS(Log!$F:$F, Log!$D:$D,I$4, Log!$C:$C, $A57, Log!$A:$A, "Daily", Log!$B:$B, "n/a"), 0),
        _xlpm.ie_camera_on_date, IFERROR(AVERAGEIFS(Log!$G:$G, Log!$D:$D,I$4,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7" s="68" t="str">
        <f>IFERROR(
    _xlfn.LET(
        _xlpm.is_data_present, $A57&lt;&gt;0,
        _xlpm.is_camera_present, COUNTIFS(Log!$C:$C, $A57, Log!$D:$D, J$4, Log!$A:$A, "Daily", Log!$B:$B, "n/a"),
        _xlpm.we_camera_on_date, IFERROR(AVERAGEIFS(Log!$F:$F, Log!$D:$D,J$4, Log!$C:$C, $A57, Log!$A:$A, "Daily", Log!$B:$B, "n/a"), 0),
        _xlpm.ie_camera_on_date, IFERROR(AVERAGEIFS(Log!$G:$G, Log!$D:$D,J$4,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7" s="68" t="str">
        <f>IFERROR(
    _xlfn.LET(
        _xlpm.is_data_present, $A57&lt;&gt;0,
        _xlpm.is_camera_present, COUNTIFS(Log!$C:$C, $A57, Log!$D:$D, K$4, Log!$A:$A, "Daily", Log!$B:$B, "n/a"),
        _xlpm.we_camera_on_date, IFERROR(AVERAGEIFS(Log!$F:$F, Log!$D:$D,K$4, Log!$C:$C, $A57, Log!$A:$A, "Daily", Log!$B:$B, "n/a"), 0),
        _xlpm.ie_camera_on_date, IFERROR(AVERAGEIFS(Log!$G:$G, Log!$D:$D,K$4,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7" s="68" t="str">
        <f>IFERROR(
    _xlfn.LET(
        _xlpm.is_data_present, $A57&lt;&gt;0,
        _xlpm.is_camera_present, COUNTIFS(Log!$C:$C, $A57, Log!$D:$D, L$4, Log!$A:$A, "Daily", Log!$B:$B, "n/a"),
        _xlpm.we_camera_on_date, IFERROR(AVERAGEIFS(Log!$F:$F, Log!$D:$D,L$4, Log!$C:$C, $A57, Log!$A:$A, "Daily", Log!$B:$B, "n/a"), 0),
        _xlpm.ie_camera_on_date, IFERROR(AVERAGEIFS(Log!$G:$G, Log!$D:$D,L$4,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7" s="68" t="str">
        <f>IFERROR(
    _xlfn.LET(
        _xlpm.is_data_present, $A57&lt;&gt;0,
        _xlpm.is_camera_present, COUNTIFS(Log!$C:$C, $A57, Log!$D:$D, M$4, Log!$A:$A, "Daily", Log!$B:$B, "n/a"),
        _xlpm.we_camera_on_date, IFERROR(AVERAGEIFS(Log!$F:$F, Log!$D:$D,M$4, Log!$C:$C, $A57, Log!$A:$A, "Daily", Log!$B:$B, "n/a"), 0),
        _xlpm.ie_camera_on_date, IFERROR(AVERAGEIFS(Log!$G:$G, Log!$D:$D,M$4,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7" s="68" t="str">
        <f>IFERROR(
    _xlfn.LET(
        _xlpm.is_data_present, $A57&lt;&gt;0,
        _xlpm.is_camera_present, COUNTIFS(Log!$C:$C, $A57, Log!$D:$D, N$4, Log!$A:$A, "Daily", Log!$B:$B, "n/a"),
        _xlpm.we_camera_on_date, IFERROR(AVERAGEIFS(Log!$F:$F, Log!$D:$D,N$4, Log!$C:$C, $A57, Log!$A:$A, "Daily", Log!$B:$B, "n/a"), 0),
        _xlpm.ie_camera_on_date, IFERROR(AVERAGEIFS(Log!$G:$G, Log!$D:$D,N$4,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7" s="68" t="str">
        <f>IFERROR(
    _xlfn.LET(
        _xlpm.is_data_present, $A57&lt;&gt;0,
        _xlpm.is_camera_present, COUNTIFS(Log!$C:$C, $A57, Log!$D:$D, O$4, Log!$A:$A, "Daily", Log!$B:$B, "n/a"),
        _xlpm.we_camera_on_date, IFERROR(AVERAGEIFS(Log!$F:$F, Log!$D:$D,O$4, Log!$C:$C, $A57, Log!$A:$A, "Daily", Log!$B:$B, "n/a"), 0),
        _xlpm.ie_camera_on_date, IFERROR(AVERAGEIFS(Log!$G:$G, Log!$D:$D,O$4,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7" s="68" t="str">
        <f>IFERROR(
    _xlfn.LET(
        _xlpm.is_data_present, $A57&lt;&gt;0,
        _xlpm.is_camera_present, COUNTIFS(Log!$C:$C, $A57, Log!$D:$D, P$4, Log!$A:$A, "Daily", Log!$B:$B, "n/a"),
        _xlpm.we_camera_on_date, IFERROR(AVERAGEIFS(Log!$F:$F, Log!$D:$D,P$4, Log!$C:$C, $A57, Log!$A:$A, "Daily", Log!$B:$B, "n/a"), 0),
        _xlpm.ie_camera_on_date, IFERROR(AVERAGEIFS(Log!$G:$G, Log!$D:$D,P$4,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7" s="68" t="str">
        <f>IFERROR(
    _xlfn.LET(
        _xlpm.is_data_present, $A57&lt;&gt;0,
        _xlpm.is_camera_present, COUNTIFS(Log!$C:$C, $A57, Log!$D:$D, Q$4, Log!$A:$A, "Daily", Log!$B:$B, "n/a"),
        _xlpm.we_camera_on_date, IFERROR(AVERAGEIFS(Log!$F:$F, Log!$D:$D,Q$4, Log!$C:$C, $A57, Log!$A:$A, "Daily", Log!$B:$B, "n/a"), 0),
        _xlpm.ie_camera_on_date, IFERROR(AVERAGEIFS(Log!$G:$G, Log!$D:$D,Q$4,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7" s="68" t="str">
        <f>IFERROR(
    _xlfn.LET(
        _xlpm.is_data_present, $A57&lt;&gt;0,
        _xlpm.is_camera_present, COUNTIFS(Log!$C:$C, $A57, Log!$D:$D, R$4, Log!$A:$A, "Daily", Log!$B:$B, "n/a"),
        _xlpm.we_camera_on_date, IFERROR(AVERAGEIFS(Log!$F:$F, Log!$D:$D,R$4, Log!$C:$C, $A57, Log!$A:$A, "Daily", Log!$B:$B, "n/a"), 0),
        _xlpm.ie_camera_on_date, IFERROR(AVERAGEIFS(Log!$G:$G, Log!$D:$D,R$4,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7" s="68" t="str">
        <f>IFERROR(
    _xlfn.LET(
        _xlpm.is_data_present, $A57&lt;&gt;0,
        _xlpm.is_camera_present, COUNTIFS(Log!$C:$C, $A57, Log!$D:$D, S$4, Log!$A:$A, "Daily", Log!$B:$B, "n/a"),
        _xlpm.we_camera_on_date, IFERROR(AVERAGEIFS(Log!$F:$F, Log!$D:$D,S$4, Log!$C:$C, $A57, Log!$A:$A, "Daily", Log!$B:$B, "n/a"), 0),
        _xlpm.ie_camera_on_date, IFERROR(AVERAGEIFS(Log!$G:$G, Log!$D:$D,S$4, Log!$C:$C, $A57, Log!$A:$A, "Daily", Log!$B:$B, "n/a"), 0),
        _xlpm.we_avg, IFERROR(AVERAGEIFS(Log!$F:$F,Log!$C:$C,$A57, Log!$A:$A, "Daily", Log!$B:$B, "n/a"),0),
        _xlpm.ie_avg, IFERROR(AVERAGEIFS(Log!$G:$G,Log!$C:$C,$A57,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8" spans="2:19" x14ac:dyDescent="0.3">
      <c r="B58" s="68" t="str">
        <f>IFERROR(
    _xlfn.LET(
        _xlpm.is_data_present, $A58&lt;&gt;0,
        _xlpm.is_camera_present, COUNTIFS(Log!$C:$C, $A58, Log!$D:$D, B$4, Log!$A:$A, "Daily", Log!$B:$B, "n/a"),
        _xlpm.we_camera_on_date, IFERROR(AVERAGEIFS(Log!$F:$F, Log!$D:$D,B$4, Log!$C:$C, $A58, Log!$A:$A, "Daily", Log!$B:$B, "n/a"), 0),
        _xlpm.ie_camera_on_date, IFERROR(AVERAGEIFS(Log!$G:$G, Log!$D:$D,B$4,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8" s="68" t="str">
        <f>IFERROR(
    _xlfn.LET(
        _xlpm.is_data_present, $A58&lt;&gt;0,
        _xlpm.is_camera_present, COUNTIFS(Log!$C:$C, $A58, Log!$D:$D, C$4, Log!$A:$A, "Daily", Log!$B:$B, "n/a"),
        _xlpm.we_camera_on_date, IFERROR(AVERAGEIFS(Log!$F:$F, Log!$D:$D,C$4, Log!$C:$C, $A58, Log!$A:$A, "Daily", Log!$B:$B, "n/a"), 0),
        _xlpm.ie_camera_on_date, IFERROR(AVERAGEIFS(Log!$G:$G, Log!$D:$D,C$4,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8" s="68" t="str">
        <f>IFERROR(
    _xlfn.LET(
        _xlpm.is_data_present, $A58&lt;&gt;0,
        _xlpm.is_camera_present, COUNTIFS(Log!$C:$C, $A58, Log!$D:$D, D$4, Log!$A:$A, "Daily", Log!$B:$B, "n/a"),
        _xlpm.we_camera_on_date, IFERROR(AVERAGEIFS(Log!$F:$F, Log!$D:$D,D$4, Log!$C:$C, $A58, Log!$A:$A, "Daily", Log!$B:$B, "n/a"), 0),
        _xlpm.ie_camera_on_date, IFERROR(AVERAGEIFS(Log!$G:$G, Log!$D:$D,D$4,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8" s="68" t="str">
        <f>IFERROR(
    _xlfn.LET(
        _xlpm.is_data_present, $A58&lt;&gt;0,
        _xlpm.is_camera_present, COUNTIFS(Log!$C:$C, $A58, Log!$D:$D, E$4, Log!$A:$A, "Daily", Log!$B:$B, "n/a"),
        _xlpm.we_camera_on_date, IFERROR(AVERAGEIFS(Log!$F:$F, Log!$D:$D,E$4, Log!$C:$C, $A58, Log!$A:$A, "Daily", Log!$B:$B, "n/a"), 0),
        _xlpm.ie_camera_on_date, IFERROR(AVERAGEIFS(Log!$G:$G, Log!$D:$D,E$4,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8" s="68" t="str">
        <f>IFERROR(
    _xlfn.LET(
        _xlpm.is_data_present, $A58&lt;&gt;0,
        _xlpm.is_camera_present, COUNTIFS(Log!$C:$C, $A58, Log!$D:$D, F$4, Log!$A:$A, "Daily", Log!$B:$B, "n/a"),
        _xlpm.we_camera_on_date, IFERROR(AVERAGEIFS(Log!$F:$F, Log!$D:$D,F$4, Log!$C:$C, $A58, Log!$A:$A, "Daily", Log!$B:$B, "n/a"), 0),
        _xlpm.ie_camera_on_date, IFERROR(AVERAGEIFS(Log!$G:$G, Log!$D:$D,F$4,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8" s="68" t="str">
        <f>IFERROR(
    _xlfn.LET(
        _xlpm.is_data_present, $A58&lt;&gt;0,
        _xlpm.is_camera_present, COUNTIFS(Log!$C:$C, $A58, Log!$D:$D, G$4, Log!$A:$A, "Daily", Log!$B:$B, "n/a"),
        _xlpm.we_camera_on_date, IFERROR(AVERAGEIFS(Log!$F:$F, Log!$D:$D,G$4, Log!$C:$C, $A58, Log!$A:$A, "Daily", Log!$B:$B, "n/a"), 0),
        _xlpm.ie_camera_on_date, IFERROR(AVERAGEIFS(Log!$G:$G, Log!$D:$D,G$4,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8" s="68" t="str">
        <f>IFERROR(
    _xlfn.LET(
        _xlpm.is_data_present, $A58&lt;&gt;0,
        _xlpm.is_camera_present, COUNTIFS(Log!$C:$C, $A58, Log!$D:$D, H$4, Log!$A:$A, "Daily", Log!$B:$B, "n/a"),
        _xlpm.we_camera_on_date, IFERROR(AVERAGEIFS(Log!$F:$F, Log!$D:$D,H$4, Log!$C:$C, $A58, Log!$A:$A, "Daily", Log!$B:$B, "n/a"), 0),
        _xlpm.ie_camera_on_date, IFERROR(AVERAGEIFS(Log!$G:$G, Log!$D:$D,H$4,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8" s="68" t="str">
        <f>IFERROR(
    _xlfn.LET(
        _xlpm.is_data_present, $A58&lt;&gt;0,
        _xlpm.is_camera_present, COUNTIFS(Log!$C:$C, $A58, Log!$D:$D, I$4, Log!$A:$A, "Daily", Log!$B:$B, "n/a"),
        _xlpm.we_camera_on_date, IFERROR(AVERAGEIFS(Log!$F:$F, Log!$D:$D,I$4, Log!$C:$C, $A58, Log!$A:$A, "Daily", Log!$B:$B, "n/a"), 0),
        _xlpm.ie_camera_on_date, IFERROR(AVERAGEIFS(Log!$G:$G, Log!$D:$D,I$4,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8" s="68" t="str">
        <f>IFERROR(
    _xlfn.LET(
        _xlpm.is_data_present, $A58&lt;&gt;0,
        _xlpm.is_camera_present, COUNTIFS(Log!$C:$C, $A58, Log!$D:$D, J$4, Log!$A:$A, "Daily", Log!$B:$B, "n/a"),
        _xlpm.we_camera_on_date, IFERROR(AVERAGEIFS(Log!$F:$F, Log!$D:$D,J$4, Log!$C:$C, $A58, Log!$A:$A, "Daily", Log!$B:$B, "n/a"), 0),
        _xlpm.ie_camera_on_date, IFERROR(AVERAGEIFS(Log!$G:$G, Log!$D:$D,J$4,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8" s="68" t="str">
        <f>IFERROR(
    _xlfn.LET(
        _xlpm.is_data_present, $A58&lt;&gt;0,
        _xlpm.is_camera_present, COUNTIFS(Log!$C:$C, $A58, Log!$D:$D, K$4, Log!$A:$A, "Daily", Log!$B:$B, "n/a"),
        _xlpm.we_camera_on_date, IFERROR(AVERAGEIFS(Log!$F:$F, Log!$D:$D,K$4, Log!$C:$C, $A58, Log!$A:$A, "Daily", Log!$B:$B, "n/a"), 0),
        _xlpm.ie_camera_on_date, IFERROR(AVERAGEIFS(Log!$G:$G, Log!$D:$D,K$4,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8" s="68" t="str">
        <f>IFERROR(
    _xlfn.LET(
        _xlpm.is_data_present, $A58&lt;&gt;0,
        _xlpm.is_camera_present, COUNTIFS(Log!$C:$C, $A58, Log!$D:$D, L$4, Log!$A:$A, "Daily", Log!$B:$B, "n/a"),
        _xlpm.we_camera_on_date, IFERROR(AVERAGEIFS(Log!$F:$F, Log!$D:$D,L$4, Log!$C:$C, $A58, Log!$A:$A, "Daily", Log!$B:$B, "n/a"), 0),
        _xlpm.ie_camera_on_date, IFERROR(AVERAGEIFS(Log!$G:$G, Log!$D:$D,L$4,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8" s="68" t="str">
        <f>IFERROR(
    _xlfn.LET(
        _xlpm.is_data_present, $A58&lt;&gt;0,
        _xlpm.is_camera_present, COUNTIFS(Log!$C:$C, $A58, Log!$D:$D, M$4, Log!$A:$A, "Daily", Log!$B:$B, "n/a"),
        _xlpm.we_camera_on_date, IFERROR(AVERAGEIFS(Log!$F:$F, Log!$D:$D,M$4, Log!$C:$C, $A58, Log!$A:$A, "Daily", Log!$B:$B, "n/a"), 0),
        _xlpm.ie_camera_on_date, IFERROR(AVERAGEIFS(Log!$G:$G, Log!$D:$D,M$4,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8" s="68" t="str">
        <f>IFERROR(
    _xlfn.LET(
        _xlpm.is_data_present, $A58&lt;&gt;0,
        _xlpm.is_camera_present, COUNTIFS(Log!$C:$C, $A58, Log!$D:$D, N$4, Log!$A:$A, "Daily", Log!$B:$B, "n/a"),
        _xlpm.we_camera_on_date, IFERROR(AVERAGEIFS(Log!$F:$F, Log!$D:$D,N$4, Log!$C:$C, $A58, Log!$A:$A, "Daily", Log!$B:$B, "n/a"), 0),
        _xlpm.ie_camera_on_date, IFERROR(AVERAGEIFS(Log!$G:$G, Log!$D:$D,N$4,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8" s="68" t="str">
        <f>IFERROR(
    _xlfn.LET(
        _xlpm.is_data_present, $A58&lt;&gt;0,
        _xlpm.is_camera_present, COUNTIFS(Log!$C:$C, $A58, Log!$D:$D, O$4, Log!$A:$A, "Daily", Log!$B:$B, "n/a"),
        _xlpm.we_camera_on_date, IFERROR(AVERAGEIFS(Log!$F:$F, Log!$D:$D,O$4, Log!$C:$C, $A58, Log!$A:$A, "Daily", Log!$B:$B, "n/a"), 0),
        _xlpm.ie_camera_on_date, IFERROR(AVERAGEIFS(Log!$G:$G, Log!$D:$D,O$4,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8" s="68" t="str">
        <f>IFERROR(
    _xlfn.LET(
        _xlpm.is_data_present, $A58&lt;&gt;0,
        _xlpm.is_camera_present, COUNTIFS(Log!$C:$C, $A58, Log!$D:$D, P$4, Log!$A:$A, "Daily", Log!$B:$B, "n/a"),
        _xlpm.we_camera_on_date, IFERROR(AVERAGEIFS(Log!$F:$F, Log!$D:$D,P$4, Log!$C:$C, $A58, Log!$A:$A, "Daily", Log!$B:$B, "n/a"), 0),
        _xlpm.ie_camera_on_date, IFERROR(AVERAGEIFS(Log!$G:$G, Log!$D:$D,P$4,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8" s="68" t="str">
        <f>IFERROR(
    _xlfn.LET(
        _xlpm.is_data_present, $A58&lt;&gt;0,
        _xlpm.is_camera_present, COUNTIFS(Log!$C:$C, $A58, Log!$D:$D, Q$4, Log!$A:$A, "Daily", Log!$B:$B, "n/a"),
        _xlpm.we_camera_on_date, IFERROR(AVERAGEIFS(Log!$F:$F, Log!$D:$D,Q$4, Log!$C:$C, $A58, Log!$A:$A, "Daily", Log!$B:$B, "n/a"), 0),
        _xlpm.ie_camera_on_date, IFERROR(AVERAGEIFS(Log!$G:$G, Log!$D:$D,Q$4,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8" s="68" t="str">
        <f>IFERROR(
    _xlfn.LET(
        _xlpm.is_data_present, $A58&lt;&gt;0,
        _xlpm.is_camera_present, COUNTIFS(Log!$C:$C, $A58, Log!$D:$D, R$4, Log!$A:$A, "Daily", Log!$B:$B, "n/a"),
        _xlpm.we_camera_on_date, IFERROR(AVERAGEIFS(Log!$F:$F, Log!$D:$D,R$4, Log!$C:$C, $A58, Log!$A:$A, "Daily", Log!$B:$B, "n/a"), 0),
        _xlpm.ie_camera_on_date, IFERROR(AVERAGEIFS(Log!$G:$G, Log!$D:$D,R$4,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8" s="68" t="str">
        <f>IFERROR(
    _xlfn.LET(
        _xlpm.is_data_present, $A58&lt;&gt;0,
        _xlpm.is_camera_present, COUNTIFS(Log!$C:$C, $A58, Log!$D:$D, S$4, Log!$A:$A, "Daily", Log!$B:$B, "n/a"),
        _xlpm.we_camera_on_date, IFERROR(AVERAGEIFS(Log!$F:$F, Log!$D:$D,S$4, Log!$C:$C, $A58, Log!$A:$A, "Daily", Log!$B:$B, "n/a"), 0),
        _xlpm.ie_camera_on_date, IFERROR(AVERAGEIFS(Log!$G:$G, Log!$D:$D,S$4, Log!$C:$C, $A58, Log!$A:$A, "Daily", Log!$B:$B, "n/a"), 0),
        _xlpm.we_avg, IFERROR(AVERAGEIFS(Log!$F:$F,Log!$C:$C,$A58, Log!$A:$A, "Daily", Log!$B:$B, "n/a"),0),
        _xlpm.ie_avg, IFERROR(AVERAGEIFS(Log!$G:$G,Log!$C:$C,$A58,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59" spans="2:19" x14ac:dyDescent="0.3">
      <c r="B59" s="68" t="str">
        <f>IFERROR(
    _xlfn.LET(
        _xlpm.is_data_present, $A59&lt;&gt;0,
        _xlpm.is_camera_present, COUNTIFS(Log!$C:$C, $A59, Log!$D:$D, B$4, Log!$A:$A, "Daily", Log!$B:$B, "n/a"),
        _xlpm.we_camera_on_date, IFERROR(AVERAGEIFS(Log!$F:$F, Log!$D:$D,B$4, Log!$C:$C, $A59, Log!$A:$A, "Daily", Log!$B:$B, "n/a"), 0),
        _xlpm.ie_camera_on_date, IFERROR(AVERAGEIFS(Log!$G:$G, Log!$D:$D,B$4,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59" s="68" t="str">
        <f>IFERROR(
    _xlfn.LET(
        _xlpm.is_data_present, $A59&lt;&gt;0,
        _xlpm.is_camera_present, COUNTIFS(Log!$C:$C, $A59, Log!$D:$D, C$4, Log!$A:$A, "Daily", Log!$B:$B, "n/a"),
        _xlpm.we_camera_on_date, IFERROR(AVERAGEIFS(Log!$F:$F, Log!$D:$D,C$4, Log!$C:$C, $A59, Log!$A:$A, "Daily", Log!$B:$B, "n/a"), 0),
        _xlpm.ie_camera_on_date, IFERROR(AVERAGEIFS(Log!$G:$G, Log!$D:$D,C$4,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59" s="68" t="str">
        <f>IFERROR(
    _xlfn.LET(
        _xlpm.is_data_present, $A59&lt;&gt;0,
        _xlpm.is_camera_present, COUNTIFS(Log!$C:$C, $A59, Log!$D:$D, D$4, Log!$A:$A, "Daily", Log!$B:$B, "n/a"),
        _xlpm.we_camera_on_date, IFERROR(AVERAGEIFS(Log!$F:$F, Log!$D:$D,D$4, Log!$C:$C, $A59, Log!$A:$A, "Daily", Log!$B:$B, "n/a"), 0),
        _xlpm.ie_camera_on_date, IFERROR(AVERAGEIFS(Log!$G:$G, Log!$D:$D,D$4,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59" s="68" t="str">
        <f>IFERROR(
    _xlfn.LET(
        _xlpm.is_data_present, $A59&lt;&gt;0,
        _xlpm.is_camera_present, COUNTIFS(Log!$C:$C, $A59, Log!$D:$D, E$4, Log!$A:$A, "Daily", Log!$B:$B, "n/a"),
        _xlpm.we_camera_on_date, IFERROR(AVERAGEIFS(Log!$F:$F, Log!$D:$D,E$4, Log!$C:$C, $A59, Log!$A:$A, "Daily", Log!$B:$B, "n/a"), 0),
        _xlpm.ie_camera_on_date, IFERROR(AVERAGEIFS(Log!$G:$G, Log!$D:$D,E$4,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59" s="68" t="str">
        <f>IFERROR(
    _xlfn.LET(
        _xlpm.is_data_present, $A59&lt;&gt;0,
        _xlpm.is_camera_present, COUNTIFS(Log!$C:$C, $A59, Log!$D:$D, F$4, Log!$A:$A, "Daily", Log!$B:$B, "n/a"),
        _xlpm.we_camera_on_date, IFERROR(AVERAGEIFS(Log!$F:$F, Log!$D:$D,F$4, Log!$C:$C, $A59, Log!$A:$A, "Daily", Log!$B:$B, "n/a"), 0),
        _xlpm.ie_camera_on_date, IFERROR(AVERAGEIFS(Log!$G:$G, Log!$D:$D,F$4,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59" s="68" t="str">
        <f>IFERROR(
    _xlfn.LET(
        _xlpm.is_data_present, $A59&lt;&gt;0,
        _xlpm.is_camera_present, COUNTIFS(Log!$C:$C, $A59, Log!$D:$D, G$4, Log!$A:$A, "Daily", Log!$B:$B, "n/a"),
        _xlpm.we_camera_on_date, IFERROR(AVERAGEIFS(Log!$F:$F, Log!$D:$D,G$4, Log!$C:$C, $A59, Log!$A:$A, "Daily", Log!$B:$B, "n/a"), 0),
        _xlpm.ie_camera_on_date, IFERROR(AVERAGEIFS(Log!$G:$G, Log!$D:$D,G$4,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59" s="68" t="str">
        <f>IFERROR(
    _xlfn.LET(
        _xlpm.is_data_present, $A59&lt;&gt;0,
        _xlpm.is_camera_present, COUNTIFS(Log!$C:$C, $A59, Log!$D:$D, H$4, Log!$A:$A, "Daily", Log!$B:$B, "n/a"),
        _xlpm.we_camera_on_date, IFERROR(AVERAGEIFS(Log!$F:$F, Log!$D:$D,H$4, Log!$C:$C, $A59, Log!$A:$A, "Daily", Log!$B:$B, "n/a"), 0),
        _xlpm.ie_camera_on_date, IFERROR(AVERAGEIFS(Log!$G:$G, Log!$D:$D,H$4,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59" s="68" t="str">
        <f>IFERROR(
    _xlfn.LET(
        _xlpm.is_data_present, $A59&lt;&gt;0,
        _xlpm.is_camera_present, COUNTIFS(Log!$C:$C, $A59, Log!$D:$D, I$4, Log!$A:$A, "Daily", Log!$B:$B, "n/a"),
        _xlpm.we_camera_on_date, IFERROR(AVERAGEIFS(Log!$F:$F, Log!$D:$D,I$4, Log!$C:$C, $A59, Log!$A:$A, "Daily", Log!$B:$B, "n/a"), 0),
        _xlpm.ie_camera_on_date, IFERROR(AVERAGEIFS(Log!$G:$G, Log!$D:$D,I$4,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59" s="68" t="str">
        <f>IFERROR(
    _xlfn.LET(
        _xlpm.is_data_present, $A59&lt;&gt;0,
        _xlpm.is_camera_present, COUNTIFS(Log!$C:$C, $A59, Log!$D:$D, J$4, Log!$A:$A, "Daily", Log!$B:$B, "n/a"),
        _xlpm.we_camera_on_date, IFERROR(AVERAGEIFS(Log!$F:$F, Log!$D:$D,J$4, Log!$C:$C, $A59, Log!$A:$A, "Daily", Log!$B:$B, "n/a"), 0),
        _xlpm.ie_camera_on_date, IFERROR(AVERAGEIFS(Log!$G:$G, Log!$D:$D,J$4,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59" s="68" t="str">
        <f>IFERROR(
    _xlfn.LET(
        _xlpm.is_data_present, $A59&lt;&gt;0,
        _xlpm.is_camera_present, COUNTIFS(Log!$C:$C, $A59, Log!$D:$D, K$4, Log!$A:$A, "Daily", Log!$B:$B, "n/a"),
        _xlpm.we_camera_on_date, IFERROR(AVERAGEIFS(Log!$F:$F, Log!$D:$D,K$4, Log!$C:$C, $A59, Log!$A:$A, "Daily", Log!$B:$B, "n/a"), 0),
        _xlpm.ie_camera_on_date, IFERROR(AVERAGEIFS(Log!$G:$G, Log!$D:$D,K$4,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59" s="68" t="str">
        <f>IFERROR(
    _xlfn.LET(
        _xlpm.is_data_present, $A59&lt;&gt;0,
        _xlpm.is_camera_present, COUNTIFS(Log!$C:$C, $A59, Log!$D:$D, L$4, Log!$A:$A, "Daily", Log!$B:$B, "n/a"),
        _xlpm.we_camera_on_date, IFERROR(AVERAGEIFS(Log!$F:$F, Log!$D:$D,L$4, Log!$C:$C, $A59, Log!$A:$A, "Daily", Log!$B:$B, "n/a"), 0),
        _xlpm.ie_camera_on_date, IFERROR(AVERAGEIFS(Log!$G:$G, Log!$D:$D,L$4,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59" s="68" t="str">
        <f>IFERROR(
    _xlfn.LET(
        _xlpm.is_data_present, $A59&lt;&gt;0,
        _xlpm.is_camera_present, COUNTIFS(Log!$C:$C, $A59, Log!$D:$D, M$4, Log!$A:$A, "Daily", Log!$B:$B, "n/a"),
        _xlpm.we_camera_on_date, IFERROR(AVERAGEIFS(Log!$F:$F, Log!$D:$D,M$4, Log!$C:$C, $A59, Log!$A:$A, "Daily", Log!$B:$B, "n/a"), 0),
        _xlpm.ie_camera_on_date, IFERROR(AVERAGEIFS(Log!$G:$G, Log!$D:$D,M$4,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59" s="68" t="str">
        <f>IFERROR(
    _xlfn.LET(
        _xlpm.is_data_present, $A59&lt;&gt;0,
        _xlpm.is_camera_present, COUNTIFS(Log!$C:$C, $A59, Log!$D:$D, N$4, Log!$A:$A, "Daily", Log!$B:$B, "n/a"),
        _xlpm.we_camera_on_date, IFERROR(AVERAGEIFS(Log!$F:$F, Log!$D:$D,N$4, Log!$C:$C, $A59, Log!$A:$A, "Daily", Log!$B:$B, "n/a"), 0),
        _xlpm.ie_camera_on_date, IFERROR(AVERAGEIFS(Log!$G:$G, Log!$D:$D,N$4,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59" s="68" t="str">
        <f>IFERROR(
    _xlfn.LET(
        _xlpm.is_data_present, $A59&lt;&gt;0,
        _xlpm.is_camera_present, COUNTIFS(Log!$C:$C, $A59, Log!$D:$D, O$4, Log!$A:$A, "Daily", Log!$B:$B, "n/a"),
        _xlpm.we_camera_on_date, IFERROR(AVERAGEIFS(Log!$F:$F, Log!$D:$D,O$4, Log!$C:$C, $A59, Log!$A:$A, "Daily", Log!$B:$B, "n/a"), 0),
        _xlpm.ie_camera_on_date, IFERROR(AVERAGEIFS(Log!$G:$G, Log!$D:$D,O$4,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59" s="68" t="str">
        <f>IFERROR(
    _xlfn.LET(
        _xlpm.is_data_present, $A59&lt;&gt;0,
        _xlpm.is_camera_present, COUNTIFS(Log!$C:$C, $A59, Log!$D:$D, P$4, Log!$A:$A, "Daily", Log!$B:$B, "n/a"),
        _xlpm.we_camera_on_date, IFERROR(AVERAGEIFS(Log!$F:$F, Log!$D:$D,P$4, Log!$C:$C, $A59, Log!$A:$A, "Daily", Log!$B:$B, "n/a"), 0),
        _xlpm.ie_camera_on_date, IFERROR(AVERAGEIFS(Log!$G:$G, Log!$D:$D,P$4,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59" s="68" t="str">
        <f>IFERROR(
    _xlfn.LET(
        _xlpm.is_data_present, $A59&lt;&gt;0,
        _xlpm.is_camera_present, COUNTIFS(Log!$C:$C, $A59, Log!$D:$D, Q$4, Log!$A:$A, "Daily", Log!$B:$B, "n/a"),
        _xlpm.we_camera_on_date, IFERROR(AVERAGEIFS(Log!$F:$F, Log!$D:$D,Q$4, Log!$C:$C, $A59, Log!$A:$A, "Daily", Log!$B:$B, "n/a"), 0),
        _xlpm.ie_camera_on_date, IFERROR(AVERAGEIFS(Log!$G:$G, Log!$D:$D,Q$4,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59" s="68" t="str">
        <f>IFERROR(
    _xlfn.LET(
        _xlpm.is_data_present, $A59&lt;&gt;0,
        _xlpm.is_camera_present, COUNTIFS(Log!$C:$C, $A59, Log!$D:$D, R$4, Log!$A:$A, "Daily", Log!$B:$B, "n/a"),
        _xlpm.we_camera_on_date, IFERROR(AVERAGEIFS(Log!$F:$F, Log!$D:$D,R$4, Log!$C:$C, $A59, Log!$A:$A, "Daily", Log!$B:$B, "n/a"), 0),
        _xlpm.ie_camera_on_date, IFERROR(AVERAGEIFS(Log!$G:$G, Log!$D:$D,R$4,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59" s="68" t="str">
        <f>IFERROR(
    _xlfn.LET(
        _xlpm.is_data_present, $A59&lt;&gt;0,
        _xlpm.is_camera_present, COUNTIFS(Log!$C:$C, $A59, Log!$D:$D, S$4, Log!$A:$A, "Daily", Log!$B:$B, "n/a"),
        _xlpm.we_camera_on_date, IFERROR(AVERAGEIFS(Log!$F:$F, Log!$D:$D,S$4, Log!$C:$C, $A59, Log!$A:$A, "Daily", Log!$B:$B, "n/a"), 0),
        _xlpm.ie_camera_on_date, IFERROR(AVERAGEIFS(Log!$G:$G, Log!$D:$D,S$4, Log!$C:$C, $A59, Log!$A:$A, "Daily", Log!$B:$B, "n/a"), 0),
        _xlpm.we_avg, IFERROR(AVERAGEIFS(Log!$F:$F,Log!$C:$C,$A59, Log!$A:$A, "Daily", Log!$B:$B, "n/a"),0),
        _xlpm.ie_avg, IFERROR(AVERAGEIFS(Log!$G:$G,Log!$C:$C,$A59,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0" spans="2:19" x14ac:dyDescent="0.3">
      <c r="B60" s="68" t="str">
        <f>IFERROR(
    _xlfn.LET(
        _xlpm.is_data_present, $A60&lt;&gt;0,
        _xlpm.is_camera_present, COUNTIFS(Log!$C:$C, $A60, Log!$D:$D, B$4, Log!$A:$A, "Daily", Log!$B:$B, "n/a"),
        _xlpm.we_camera_on_date, IFERROR(AVERAGEIFS(Log!$F:$F, Log!$D:$D,B$4, Log!$C:$C, $A60, Log!$A:$A, "Daily", Log!$B:$B, "n/a"), 0),
        _xlpm.ie_camera_on_date, IFERROR(AVERAGEIFS(Log!$G:$G, Log!$D:$D,B$4,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0" s="68" t="str">
        <f>IFERROR(
    _xlfn.LET(
        _xlpm.is_data_present, $A60&lt;&gt;0,
        _xlpm.is_camera_present, COUNTIFS(Log!$C:$C, $A60, Log!$D:$D, C$4, Log!$A:$A, "Daily", Log!$B:$B, "n/a"),
        _xlpm.we_camera_on_date, IFERROR(AVERAGEIFS(Log!$F:$F, Log!$D:$D,C$4, Log!$C:$C, $A60, Log!$A:$A, "Daily", Log!$B:$B, "n/a"), 0),
        _xlpm.ie_camera_on_date, IFERROR(AVERAGEIFS(Log!$G:$G, Log!$D:$D,C$4,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0" s="68" t="str">
        <f>IFERROR(
    _xlfn.LET(
        _xlpm.is_data_present, $A60&lt;&gt;0,
        _xlpm.is_camera_present, COUNTIFS(Log!$C:$C, $A60, Log!$D:$D, D$4, Log!$A:$A, "Daily", Log!$B:$B, "n/a"),
        _xlpm.we_camera_on_date, IFERROR(AVERAGEIFS(Log!$F:$F, Log!$D:$D,D$4, Log!$C:$C, $A60, Log!$A:$A, "Daily", Log!$B:$B, "n/a"), 0),
        _xlpm.ie_camera_on_date, IFERROR(AVERAGEIFS(Log!$G:$G, Log!$D:$D,D$4,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0" s="68" t="str">
        <f>IFERROR(
    _xlfn.LET(
        _xlpm.is_data_present, $A60&lt;&gt;0,
        _xlpm.is_camera_present, COUNTIFS(Log!$C:$C, $A60, Log!$D:$D, E$4, Log!$A:$A, "Daily", Log!$B:$B, "n/a"),
        _xlpm.we_camera_on_date, IFERROR(AVERAGEIFS(Log!$F:$F, Log!$D:$D,E$4, Log!$C:$C, $A60, Log!$A:$A, "Daily", Log!$B:$B, "n/a"), 0),
        _xlpm.ie_camera_on_date, IFERROR(AVERAGEIFS(Log!$G:$G, Log!$D:$D,E$4,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0" s="68" t="str">
        <f>IFERROR(
    _xlfn.LET(
        _xlpm.is_data_present, $A60&lt;&gt;0,
        _xlpm.is_camera_present, COUNTIFS(Log!$C:$C, $A60, Log!$D:$D, F$4, Log!$A:$A, "Daily", Log!$B:$B, "n/a"),
        _xlpm.we_camera_on_date, IFERROR(AVERAGEIFS(Log!$F:$F, Log!$D:$D,F$4, Log!$C:$C, $A60, Log!$A:$A, "Daily", Log!$B:$B, "n/a"), 0),
        _xlpm.ie_camera_on_date, IFERROR(AVERAGEIFS(Log!$G:$G, Log!$D:$D,F$4,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0" s="68" t="str">
        <f>IFERROR(
    _xlfn.LET(
        _xlpm.is_data_present, $A60&lt;&gt;0,
        _xlpm.is_camera_present, COUNTIFS(Log!$C:$C, $A60, Log!$D:$D, G$4, Log!$A:$A, "Daily", Log!$B:$B, "n/a"),
        _xlpm.we_camera_on_date, IFERROR(AVERAGEIFS(Log!$F:$F, Log!$D:$D,G$4, Log!$C:$C, $A60, Log!$A:$A, "Daily", Log!$B:$B, "n/a"), 0),
        _xlpm.ie_camera_on_date, IFERROR(AVERAGEIFS(Log!$G:$G, Log!$D:$D,G$4,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0" s="68" t="str">
        <f>IFERROR(
    _xlfn.LET(
        _xlpm.is_data_present, $A60&lt;&gt;0,
        _xlpm.is_camera_present, COUNTIFS(Log!$C:$C, $A60, Log!$D:$D, H$4, Log!$A:$A, "Daily", Log!$B:$B, "n/a"),
        _xlpm.we_camera_on_date, IFERROR(AVERAGEIFS(Log!$F:$F, Log!$D:$D,H$4, Log!$C:$C, $A60, Log!$A:$A, "Daily", Log!$B:$B, "n/a"), 0),
        _xlpm.ie_camera_on_date, IFERROR(AVERAGEIFS(Log!$G:$G, Log!$D:$D,H$4,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0" s="68" t="str">
        <f>IFERROR(
    _xlfn.LET(
        _xlpm.is_data_present, $A60&lt;&gt;0,
        _xlpm.is_camera_present, COUNTIFS(Log!$C:$C, $A60, Log!$D:$D, I$4, Log!$A:$A, "Daily", Log!$B:$B, "n/a"),
        _xlpm.we_camera_on_date, IFERROR(AVERAGEIFS(Log!$F:$F, Log!$D:$D,I$4, Log!$C:$C, $A60, Log!$A:$A, "Daily", Log!$B:$B, "n/a"), 0),
        _xlpm.ie_camera_on_date, IFERROR(AVERAGEIFS(Log!$G:$G, Log!$D:$D,I$4,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0" s="68" t="str">
        <f>IFERROR(
    _xlfn.LET(
        _xlpm.is_data_present, $A60&lt;&gt;0,
        _xlpm.is_camera_present, COUNTIFS(Log!$C:$C, $A60, Log!$D:$D, J$4, Log!$A:$A, "Daily", Log!$B:$B, "n/a"),
        _xlpm.we_camera_on_date, IFERROR(AVERAGEIFS(Log!$F:$F, Log!$D:$D,J$4, Log!$C:$C, $A60, Log!$A:$A, "Daily", Log!$B:$B, "n/a"), 0),
        _xlpm.ie_camera_on_date, IFERROR(AVERAGEIFS(Log!$G:$G, Log!$D:$D,J$4,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0" s="68" t="str">
        <f>IFERROR(
    _xlfn.LET(
        _xlpm.is_data_present, $A60&lt;&gt;0,
        _xlpm.is_camera_present, COUNTIFS(Log!$C:$C, $A60, Log!$D:$D, K$4, Log!$A:$A, "Daily", Log!$B:$B, "n/a"),
        _xlpm.we_camera_on_date, IFERROR(AVERAGEIFS(Log!$F:$F, Log!$D:$D,K$4, Log!$C:$C, $A60, Log!$A:$A, "Daily", Log!$B:$B, "n/a"), 0),
        _xlpm.ie_camera_on_date, IFERROR(AVERAGEIFS(Log!$G:$G, Log!$D:$D,K$4,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0" s="68" t="str">
        <f>IFERROR(
    _xlfn.LET(
        _xlpm.is_data_present, $A60&lt;&gt;0,
        _xlpm.is_camera_present, COUNTIFS(Log!$C:$C, $A60, Log!$D:$D, L$4, Log!$A:$A, "Daily", Log!$B:$B, "n/a"),
        _xlpm.we_camera_on_date, IFERROR(AVERAGEIFS(Log!$F:$F, Log!$D:$D,L$4, Log!$C:$C, $A60, Log!$A:$A, "Daily", Log!$B:$B, "n/a"), 0),
        _xlpm.ie_camera_on_date, IFERROR(AVERAGEIFS(Log!$G:$G, Log!$D:$D,L$4,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0" s="68" t="str">
        <f>IFERROR(
    _xlfn.LET(
        _xlpm.is_data_present, $A60&lt;&gt;0,
        _xlpm.is_camera_present, COUNTIFS(Log!$C:$C, $A60, Log!$D:$D, M$4, Log!$A:$A, "Daily", Log!$B:$B, "n/a"),
        _xlpm.we_camera_on_date, IFERROR(AVERAGEIFS(Log!$F:$F, Log!$D:$D,M$4, Log!$C:$C, $A60, Log!$A:$A, "Daily", Log!$B:$B, "n/a"), 0),
        _xlpm.ie_camera_on_date, IFERROR(AVERAGEIFS(Log!$G:$G, Log!$D:$D,M$4,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0" s="68" t="str">
        <f>IFERROR(
    _xlfn.LET(
        _xlpm.is_data_present, $A60&lt;&gt;0,
        _xlpm.is_camera_present, COUNTIFS(Log!$C:$C, $A60, Log!$D:$D, N$4, Log!$A:$A, "Daily", Log!$B:$B, "n/a"),
        _xlpm.we_camera_on_date, IFERROR(AVERAGEIFS(Log!$F:$F, Log!$D:$D,N$4, Log!$C:$C, $A60, Log!$A:$A, "Daily", Log!$B:$B, "n/a"), 0),
        _xlpm.ie_camera_on_date, IFERROR(AVERAGEIFS(Log!$G:$G, Log!$D:$D,N$4,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0" s="68" t="str">
        <f>IFERROR(
    _xlfn.LET(
        _xlpm.is_data_present, $A60&lt;&gt;0,
        _xlpm.is_camera_present, COUNTIFS(Log!$C:$C, $A60, Log!$D:$D, O$4, Log!$A:$A, "Daily", Log!$B:$B, "n/a"),
        _xlpm.we_camera_on_date, IFERROR(AVERAGEIFS(Log!$F:$F, Log!$D:$D,O$4, Log!$C:$C, $A60, Log!$A:$A, "Daily", Log!$B:$B, "n/a"), 0),
        _xlpm.ie_camera_on_date, IFERROR(AVERAGEIFS(Log!$G:$G, Log!$D:$D,O$4,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0" s="68" t="str">
        <f>IFERROR(
    _xlfn.LET(
        _xlpm.is_data_present, $A60&lt;&gt;0,
        _xlpm.is_camera_present, COUNTIFS(Log!$C:$C, $A60, Log!$D:$D, P$4, Log!$A:$A, "Daily", Log!$B:$B, "n/a"),
        _xlpm.we_camera_on_date, IFERROR(AVERAGEIFS(Log!$F:$F, Log!$D:$D,P$4, Log!$C:$C, $A60, Log!$A:$A, "Daily", Log!$B:$B, "n/a"), 0),
        _xlpm.ie_camera_on_date, IFERROR(AVERAGEIFS(Log!$G:$G, Log!$D:$D,P$4,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0" s="68" t="str">
        <f>IFERROR(
    _xlfn.LET(
        _xlpm.is_data_present, $A60&lt;&gt;0,
        _xlpm.is_camera_present, COUNTIFS(Log!$C:$C, $A60, Log!$D:$D, Q$4, Log!$A:$A, "Daily", Log!$B:$B, "n/a"),
        _xlpm.we_camera_on_date, IFERROR(AVERAGEIFS(Log!$F:$F, Log!$D:$D,Q$4, Log!$C:$C, $A60, Log!$A:$A, "Daily", Log!$B:$B, "n/a"), 0),
        _xlpm.ie_camera_on_date, IFERROR(AVERAGEIFS(Log!$G:$G, Log!$D:$D,Q$4,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0" s="68" t="str">
        <f>IFERROR(
    _xlfn.LET(
        _xlpm.is_data_present, $A60&lt;&gt;0,
        _xlpm.is_camera_present, COUNTIFS(Log!$C:$C, $A60, Log!$D:$D, R$4, Log!$A:$A, "Daily", Log!$B:$B, "n/a"),
        _xlpm.we_camera_on_date, IFERROR(AVERAGEIFS(Log!$F:$F, Log!$D:$D,R$4, Log!$C:$C, $A60, Log!$A:$A, "Daily", Log!$B:$B, "n/a"), 0),
        _xlpm.ie_camera_on_date, IFERROR(AVERAGEIFS(Log!$G:$G, Log!$D:$D,R$4,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0" s="68" t="str">
        <f>IFERROR(
    _xlfn.LET(
        _xlpm.is_data_present, $A60&lt;&gt;0,
        _xlpm.is_camera_present, COUNTIFS(Log!$C:$C, $A60, Log!$D:$D, S$4, Log!$A:$A, "Daily", Log!$B:$B, "n/a"),
        _xlpm.we_camera_on_date, IFERROR(AVERAGEIFS(Log!$F:$F, Log!$D:$D,S$4, Log!$C:$C, $A60, Log!$A:$A, "Daily", Log!$B:$B, "n/a"), 0),
        _xlpm.ie_camera_on_date, IFERROR(AVERAGEIFS(Log!$G:$G, Log!$D:$D,S$4, Log!$C:$C, $A60, Log!$A:$A, "Daily", Log!$B:$B, "n/a"), 0),
        _xlpm.we_avg, IFERROR(AVERAGEIFS(Log!$F:$F,Log!$C:$C,$A60, Log!$A:$A, "Daily", Log!$B:$B, "n/a"),0),
        _xlpm.ie_avg, IFERROR(AVERAGEIFS(Log!$G:$G,Log!$C:$C,$A60,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1" spans="2:19" x14ac:dyDescent="0.3">
      <c r="B61" s="68" t="str">
        <f>IFERROR(
    _xlfn.LET(
        _xlpm.is_data_present, $A61&lt;&gt;0,
        _xlpm.is_camera_present, COUNTIFS(Log!$C:$C, $A61, Log!$D:$D, B$4, Log!$A:$A, "Daily", Log!$B:$B, "n/a"),
        _xlpm.we_camera_on_date, IFERROR(AVERAGEIFS(Log!$F:$F, Log!$D:$D,B$4, Log!$C:$C, $A61, Log!$A:$A, "Daily", Log!$B:$B, "n/a"), 0),
        _xlpm.ie_camera_on_date, IFERROR(AVERAGEIFS(Log!$G:$G, Log!$D:$D,B$4,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1" s="68" t="str">
        <f>IFERROR(
    _xlfn.LET(
        _xlpm.is_data_present, $A61&lt;&gt;0,
        _xlpm.is_camera_present, COUNTIFS(Log!$C:$C, $A61, Log!$D:$D, C$4, Log!$A:$A, "Daily", Log!$B:$B, "n/a"),
        _xlpm.we_camera_on_date, IFERROR(AVERAGEIFS(Log!$F:$F, Log!$D:$D,C$4, Log!$C:$C, $A61, Log!$A:$A, "Daily", Log!$B:$B, "n/a"), 0),
        _xlpm.ie_camera_on_date, IFERROR(AVERAGEIFS(Log!$G:$G, Log!$D:$D,C$4,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1" s="68" t="str">
        <f>IFERROR(
    _xlfn.LET(
        _xlpm.is_data_present, $A61&lt;&gt;0,
        _xlpm.is_camera_present, COUNTIFS(Log!$C:$C, $A61, Log!$D:$D, D$4, Log!$A:$A, "Daily", Log!$B:$B, "n/a"),
        _xlpm.we_camera_on_date, IFERROR(AVERAGEIFS(Log!$F:$F, Log!$D:$D,D$4, Log!$C:$C, $A61, Log!$A:$A, "Daily", Log!$B:$B, "n/a"), 0),
        _xlpm.ie_camera_on_date, IFERROR(AVERAGEIFS(Log!$G:$G, Log!$D:$D,D$4,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1" s="68" t="str">
        <f>IFERROR(
    _xlfn.LET(
        _xlpm.is_data_present, $A61&lt;&gt;0,
        _xlpm.is_camera_present, COUNTIFS(Log!$C:$C, $A61, Log!$D:$D, E$4, Log!$A:$A, "Daily", Log!$B:$B, "n/a"),
        _xlpm.we_camera_on_date, IFERROR(AVERAGEIFS(Log!$F:$F, Log!$D:$D,E$4, Log!$C:$C, $A61, Log!$A:$A, "Daily", Log!$B:$B, "n/a"), 0),
        _xlpm.ie_camera_on_date, IFERROR(AVERAGEIFS(Log!$G:$G, Log!$D:$D,E$4,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1" s="68" t="str">
        <f>IFERROR(
    _xlfn.LET(
        _xlpm.is_data_present, $A61&lt;&gt;0,
        _xlpm.is_camera_present, COUNTIFS(Log!$C:$C, $A61, Log!$D:$D, F$4, Log!$A:$A, "Daily", Log!$B:$B, "n/a"),
        _xlpm.we_camera_on_date, IFERROR(AVERAGEIFS(Log!$F:$F, Log!$D:$D,F$4, Log!$C:$C, $A61, Log!$A:$A, "Daily", Log!$B:$B, "n/a"), 0),
        _xlpm.ie_camera_on_date, IFERROR(AVERAGEIFS(Log!$G:$G, Log!$D:$D,F$4,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1" s="68" t="str">
        <f>IFERROR(
    _xlfn.LET(
        _xlpm.is_data_present, $A61&lt;&gt;0,
        _xlpm.is_camera_present, COUNTIFS(Log!$C:$C, $A61, Log!$D:$D, G$4, Log!$A:$A, "Daily", Log!$B:$B, "n/a"),
        _xlpm.we_camera_on_date, IFERROR(AVERAGEIFS(Log!$F:$F, Log!$D:$D,G$4, Log!$C:$C, $A61, Log!$A:$A, "Daily", Log!$B:$B, "n/a"), 0),
        _xlpm.ie_camera_on_date, IFERROR(AVERAGEIFS(Log!$G:$G, Log!$D:$D,G$4,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1" s="68" t="str">
        <f>IFERROR(
    _xlfn.LET(
        _xlpm.is_data_present, $A61&lt;&gt;0,
        _xlpm.is_camera_present, COUNTIFS(Log!$C:$C, $A61, Log!$D:$D, H$4, Log!$A:$A, "Daily", Log!$B:$B, "n/a"),
        _xlpm.we_camera_on_date, IFERROR(AVERAGEIFS(Log!$F:$F, Log!$D:$D,H$4, Log!$C:$C, $A61, Log!$A:$A, "Daily", Log!$B:$B, "n/a"), 0),
        _xlpm.ie_camera_on_date, IFERROR(AVERAGEIFS(Log!$G:$G, Log!$D:$D,H$4,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1" s="68" t="str">
        <f>IFERROR(
    _xlfn.LET(
        _xlpm.is_data_present, $A61&lt;&gt;0,
        _xlpm.is_camera_present, COUNTIFS(Log!$C:$C, $A61, Log!$D:$D, I$4, Log!$A:$A, "Daily", Log!$B:$B, "n/a"),
        _xlpm.we_camera_on_date, IFERROR(AVERAGEIFS(Log!$F:$F, Log!$D:$D,I$4, Log!$C:$C, $A61, Log!$A:$A, "Daily", Log!$B:$B, "n/a"), 0),
        _xlpm.ie_camera_on_date, IFERROR(AVERAGEIFS(Log!$G:$G, Log!$D:$D,I$4,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1" s="68" t="str">
        <f>IFERROR(
    _xlfn.LET(
        _xlpm.is_data_present, $A61&lt;&gt;0,
        _xlpm.is_camera_present, COUNTIFS(Log!$C:$C, $A61, Log!$D:$D, J$4, Log!$A:$A, "Daily", Log!$B:$B, "n/a"),
        _xlpm.we_camera_on_date, IFERROR(AVERAGEIFS(Log!$F:$F, Log!$D:$D,J$4, Log!$C:$C, $A61, Log!$A:$A, "Daily", Log!$B:$B, "n/a"), 0),
        _xlpm.ie_camera_on_date, IFERROR(AVERAGEIFS(Log!$G:$G, Log!$D:$D,J$4,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1" s="68" t="str">
        <f>IFERROR(
    _xlfn.LET(
        _xlpm.is_data_present, $A61&lt;&gt;0,
        _xlpm.is_camera_present, COUNTIFS(Log!$C:$C, $A61, Log!$D:$D, K$4, Log!$A:$A, "Daily", Log!$B:$B, "n/a"),
        _xlpm.we_camera_on_date, IFERROR(AVERAGEIFS(Log!$F:$F, Log!$D:$D,K$4, Log!$C:$C, $A61, Log!$A:$A, "Daily", Log!$B:$B, "n/a"), 0),
        _xlpm.ie_camera_on_date, IFERROR(AVERAGEIFS(Log!$G:$G, Log!$D:$D,K$4,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1" s="68" t="str">
        <f>IFERROR(
    _xlfn.LET(
        _xlpm.is_data_present, $A61&lt;&gt;0,
        _xlpm.is_camera_present, COUNTIFS(Log!$C:$C, $A61, Log!$D:$D, L$4, Log!$A:$A, "Daily", Log!$B:$B, "n/a"),
        _xlpm.we_camera_on_date, IFERROR(AVERAGEIFS(Log!$F:$F, Log!$D:$D,L$4, Log!$C:$C, $A61, Log!$A:$A, "Daily", Log!$B:$B, "n/a"), 0),
        _xlpm.ie_camera_on_date, IFERROR(AVERAGEIFS(Log!$G:$G, Log!$D:$D,L$4,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1" s="68" t="str">
        <f>IFERROR(
    _xlfn.LET(
        _xlpm.is_data_present, $A61&lt;&gt;0,
        _xlpm.is_camera_present, COUNTIFS(Log!$C:$C, $A61, Log!$D:$D, M$4, Log!$A:$A, "Daily", Log!$B:$B, "n/a"),
        _xlpm.we_camera_on_date, IFERROR(AVERAGEIFS(Log!$F:$F, Log!$D:$D,M$4, Log!$C:$C, $A61, Log!$A:$A, "Daily", Log!$B:$B, "n/a"), 0),
        _xlpm.ie_camera_on_date, IFERROR(AVERAGEIFS(Log!$G:$G, Log!$D:$D,M$4,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1" s="68" t="str">
        <f>IFERROR(
    _xlfn.LET(
        _xlpm.is_data_present, $A61&lt;&gt;0,
        _xlpm.is_camera_present, COUNTIFS(Log!$C:$C, $A61, Log!$D:$D, N$4, Log!$A:$A, "Daily", Log!$B:$B, "n/a"),
        _xlpm.we_camera_on_date, IFERROR(AVERAGEIFS(Log!$F:$F, Log!$D:$D,N$4, Log!$C:$C, $A61, Log!$A:$A, "Daily", Log!$B:$B, "n/a"), 0),
        _xlpm.ie_camera_on_date, IFERROR(AVERAGEIFS(Log!$G:$G, Log!$D:$D,N$4,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1" s="68" t="str">
        <f>IFERROR(
    _xlfn.LET(
        _xlpm.is_data_present, $A61&lt;&gt;0,
        _xlpm.is_camera_present, COUNTIFS(Log!$C:$C, $A61, Log!$D:$D, O$4, Log!$A:$A, "Daily", Log!$B:$B, "n/a"),
        _xlpm.we_camera_on_date, IFERROR(AVERAGEIFS(Log!$F:$F, Log!$D:$D,O$4, Log!$C:$C, $A61, Log!$A:$A, "Daily", Log!$B:$B, "n/a"), 0),
        _xlpm.ie_camera_on_date, IFERROR(AVERAGEIFS(Log!$G:$G, Log!$D:$D,O$4,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1" s="68" t="str">
        <f>IFERROR(
    _xlfn.LET(
        _xlpm.is_data_present, $A61&lt;&gt;0,
        _xlpm.is_camera_present, COUNTIFS(Log!$C:$C, $A61, Log!$D:$D, P$4, Log!$A:$A, "Daily", Log!$B:$B, "n/a"),
        _xlpm.we_camera_on_date, IFERROR(AVERAGEIFS(Log!$F:$F, Log!$D:$D,P$4, Log!$C:$C, $A61, Log!$A:$A, "Daily", Log!$B:$B, "n/a"), 0),
        _xlpm.ie_camera_on_date, IFERROR(AVERAGEIFS(Log!$G:$G, Log!$D:$D,P$4,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1" s="68" t="str">
        <f>IFERROR(
    _xlfn.LET(
        _xlpm.is_data_present, $A61&lt;&gt;0,
        _xlpm.is_camera_present, COUNTIFS(Log!$C:$C, $A61, Log!$D:$D, Q$4, Log!$A:$A, "Daily", Log!$B:$B, "n/a"),
        _xlpm.we_camera_on_date, IFERROR(AVERAGEIFS(Log!$F:$F, Log!$D:$D,Q$4, Log!$C:$C, $A61, Log!$A:$A, "Daily", Log!$B:$B, "n/a"), 0),
        _xlpm.ie_camera_on_date, IFERROR(AVERAGEIFS(Log!$G:$G, Log!$D:$D,Q$4,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1" s="68" t="str">
        <f>IFERROR(
    _xlfn.LET(
        _xlpm.is_data_present, $A61&lt;&gt;0,
        _xlpm.is_camera_present, COUNTIFS(Log!$C:$C, $A61, Log!$D:$D, R$4, Log!$A:$A, "Daily", Log!$B:$B, "n/a"),
        _xlpm.we_camera_on_date, IFERROR(AVERAGEIFS(Log!$F:$F, Log!$D:$D,R$4, Log!$C:$C, $A61, Log!$A:$A, "Daily", Log!$B:$B, "n/a"), 0),
        _xlpm.ie_camera_on_date, IFERROR(AVERAGEIFS(Log!$G:$G, Log!$D:$D,R$4,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1" s="68" t="str">
        <f>IFERROR(
    _xlfn.LET(
        _xlpm.is_data_present, $A61&lt;&gt;0,
        _xlpm.is_camera_present, COUNTIFS(Log!$C:$C, $A61, Log!$D:$D, S$4, Log!$A:$A, "Daily", Log!$B:$B, "n/a"),
        _xlpm.we_camera_on_date, IFERROR(AVERAGEIFS(Log!$F:$F, Log!$D:$D,S$4, Log!$C:$C, $A61, Log!$A:$A, "Daily", Log!$B:$B, "n/a"), 0),
        _xlpm.ie_camera_on_date, IFERROR(AVERAGEIFS(Log!$G:$G, Log!$D:$D,S$4, Log!$C:$C, $A61, Log!$A:$A, "Daily", Log!$B:$B, "n/a"), 0),
        _xlpm.we_avg, IFERROR(AVERAGEIFS(Log!$F:$F,Log!$C:$C,$A61, Log!$A:$A, "Daily", Log!$B:$B, "n/a"),0),
        _xlpm.ie_avg, IFERROR(AVERAGEIFS(Log!$G:$G,Log!$C:$C,$A61,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2" spans="2:19" x14ac:dyDescent="0.3">
      <c r="B62" s="68" t="str">
        <f>IFERROR(
    _xlfn.LET(
        _xlpm.is_data_present, $A62&lt;&gt;0,
        _xlpm.is_camera_present, COUNTIFS(Log!$C:$C, $A62, Log!$D:$D, B$4, Log!$A:$A, "Daily", Log!$B:$B, "n/a"),
        _xlpm.we_camera_on_date, IFERROR(AVERAGEIFS(Log!$F:$F, Log!$D:$D,B$4, Log!$C:$C, $A62, Log!$A:$A, "Daily", Log!$B:$B, "n/a"), 0),
        _xlpm.ie_camera_on_date, IFERROR(AVERAGEIFS(Log!$G:$G, Log!$D:$D,B$4,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2" s="68" t="str">
        <f>IFERROR(
    _xlfn.LET(
        _xlpm.is_data_present, $A62&lt;&gt;0,
        _xlpm.is_camera_present, COUNTIFS(Log!$C:$C, $A62, Log!$D:$D, C$4, Log!$A:$A, "Daily", Log!$B:$B, "n/a"),
        _xlpm.we_camera_on_date, IFERROR(AVERAGEIFS(Log!$F:$F, Log!$D:$D,C$4, Log!$C:$C, $A62, Log!$A:$A, "Daily", Log!$B:$B, "n/a"), 0),
        _xlpm.ie_camera_on_date, IFERROR(AVERAGEIFS(Log!$G:$G, Log!$D:$D,C$4,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2" s="68" t="str">
        <f>IFERROR(
    _xlfn.LET(
        _xlpm.is_data_present, $A62&lt;&gt;0,
        _xlpm.is_camera_present, COUNTIFS(Log!$C:$C, $A62, Log!$D:$D, D$4, Log!$A:$A, "Daily", Log!$B:$B, "n/a"),
        _xlpm.we_camera_on_date, IFERROR(AVERAGEIFS(Log!$F:$F, Log!$D:$D,D$4, Log!$C:$C, $A62, Log!$A:$A, "Daily", Log!$B:$B, "n/a"), 0),
        _xlpm.ie_camera_on_date, IFERROR(AVERAGEIFS(Log!$G:$G, Log!$D:$D,D$4,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2" s="68" t="str">
        <f>IFERROR(
    _xlfn.LET(
        _xlpm.is_data_present, $A62&lt;&gt;0,
        _xlpm.is_camera_present, COUNTIFS(Log!$C:$C, $A62, Log!$D:$D, E$4, Log!$A:$A, "Daily", Log!$B:$B, "n/a"),
        _xlpm.we_camera_on_date, IFERROR(AVERAGEIFS(Log!$F:$F, Log!$D:$D,E$4, Log!$C:$C, $A62, Log!$A:$A, "Daily", Log!$B:$B, "n/a"), 0),
        _xlpm.ie_camera_on_date, IFERROR(AVERAGEIFS(Log!$G:$G, Log!$D:$D,E$4,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2" s="68" t="str">
        <f>IFERROR(
    _xlfn.LET(
        _xlpm.is_data_present, $A62&lt;&gt;0,
        _xlpm.is_camera_present, COUNTIFS(Log!$C:$C, $A62, Log!$D:$D, F$4, Log!$A:$A, "Daily", Log!$B:$B, "n/a"),
        _xlpm.we_camera_on_date, IFERROR(AVERAGEIFS(Log!$F:$F, Log!$D:$D,F$4, Log!$C:$C, $A62, Log!$A:$A, "Daily", Log!$B:$B, "n/a"), 0),
        _xlpm.ie_camera_on_date, IFERROR(AVERAGEIFS(Log!$G:$G, Log!$D:$D,F$4,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2" s="68" t="str">
        <f>IFERROR(
    _xlfn.LET(
        _xlpm.is_data_present, $A62&lt;&gt;0,
        _xlpm.is_camera_present, COUNTIFS(Log!$C:$C, $A62, Log!$D:$D, G$4, Log!$A:$A, "Daily", Log!$B:$B, "n/a"),
        _xlpm.we_camera_on_date, IFERROR(AVERAGEIFS(Log!$F:$F, Log!$D:$D,G$4, Log!$C:$C, $A62, Log!$A:$A, "Daily", Log!$B:$B, "n/a"), 0),
        _xlpm.ie_camera_on_date, IFERROR(AVERAGEIFS(Log!$G:$G, Log!$D:$D,G$4,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2" s="68" t="str">
        <f>IFERROR(
    _xlfn.LET(
        _xlpm.is_data_present, $A62&lt;&gt;0,
        _xlpm.is_camera_present, COUNTIFS(Log!$C:$C, $A62, Log!$D:$D, H$4, Log!$A:$A, "Daily", Log!$B:$B, "n/a"),
        _xlpm.we_camera_on_date, IFERROR(AVERAGEIFS(Log!$F:$F, Log!$D:$D,H$4, Log!$C:$C, $A62, Log!$A:$A, "Daily", Log!$B:$B, "n/a"), 0),
        _xlpm.ie_camera_on_date, IFERROR(AVERAGEIFS(Log!$G:$G, Log!$D:$D,H$4,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2" s="68" t="str">
        <f>IFERROR(
    _xlfn.LET(
        _xlpm.is_data_present, $A62&lt;&gt;0,
        _xlpm.is_camera_present, COUNTIFS(Log!$C:$C, $A62, Log!$D:$D, I$4, Log!$A:$A, "Daily", Log!$B:$B, "n/a"),
        _xlpm.we_camera_on_date, IFERROR(AVERAGEIFS(Log!$F:$F, Log!$D:$D,I$4, Log!$C:$C, $A62, Log!$A:$A, "Daily", Log!$B:$B, "n/a"), 0),
        _xlpm.ie_camera_on_date, IFERROR(AVERAGEIFS(Log!$G:$G, Log!$D:$D,I$4,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2" s="68" t="str">
        <f>IFERROR(
    _xlfn.LET(
        _xlpm.is_data_present, $A62&lt;&gt;0,
        _xlpm.is_camera_present, COUNTIFS(Log!$C:$C, $A62, Log!$D:$D, J$4, Log!$A:$A, "Daily", Log!$B:$B, "n/a"),
        _xlpm.we_camera_on_date, IFERROR(AVERAGEIFS(Log!$F:$F, Log!$D:$D,J$4, Log!$C:$C, $A62, Log!$A:$A, "Daily", Log!$B:$B, "n/a"), 0),
        _xlpm.ie_camera_on_date, IFERROR(AVERAGEIFS(Log!$G:$G, Log!$D:$D,J$4,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2" s="68" t="str">
        <f>IFERROR(
    _xlfn.LET(
        _xlpm.is_data_present, $A62&lt;&gt;0,
        _xlpm.is_camera_present, COUNTIFS(Log!$C:$C, $A62, Log!$D:$D, K$4, Log!$A:$A, "Daily", Log!$B:$B, "n/a"),
        _xlpm.we_camera_on_date, IFERROR(AVERAGEIFS(Log!$F:$F, Log!$D:$D,K$4, Log!$C:$C, $A62, Log!$A:$A, "Daily", Log!$B:$B, "n/a"), 0),
        _xlpm.ie_camera_on_date, IFERROR(AVERAGEIFS(Log!$G:$G, Log!$D:$D,K$4,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2" s="68" t="str">
        <f>IFERROR(
    _xlfn.LET(
        _xlpm.is_data_present, $A62&lt;&gt;0,
        _xlpm.is_camera_present, COUNTIFS(Log!$C:$C, $A62, Log!$D:$D, L$4, Log!$A:$A, "Daily", Log!$B:$B, "n/a"),
        _xlpm.we_camera_on_date, IFERROR(AVERAGEIFS(Log!$F:$F, Log!$D:$D,L$4, Log!$C:$C, $A62, Log!$A:$A, "Daily", Log!$B:$B, "n/a"), 0),
        _xlpm.ie_camera_on_date, IFERROR(AVERAGEIFS(Log!$G:$G, Log!$D:$D,L$4,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2" s="68" t="str">
        <f>IFERROR(
    _xlfn.LET(
        _xlpm.is_data_present, $A62&lt;&gt;0,
        _xlpm.is_camera_present, COUNTIFS(Log!$C:$C, $A62, Log!$D:$D, M$4, Log!$A:$A, "Daily", Log!$B:$B, "n/a"),
        _xlpm.we_camera_on_date, IFERROR(AVERAGEIFS(Log!$F:$F, Log!$D:$D,M$4, Log!$C:$C, $A62, Log!$A:$A, "Daily", Log!$B:$B, "n/a"), 0),
        _xlpm.ie_camera_on_date, IFERROR(AVERAGEIFS(Log!$G:$G, Log!$D:$D,M$4,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2" s="68" t="str">
        <f>IFERROR(
    _xlfn.LET(
        _xlpm.is_data_present, $A62&lt;&gt;0,
        _xlpm.is_camera_present, COUNTIFS(Log!$C:$C, $A62, Log!$D:$D, N$4, Log!$A:$A, "Daily", Log!$B:$B, "n/a"),
        _xlpm.we_camera_on_date, IFERROR(AVERAGEIFS(Log!$F:$F, Log!$D:$D,N$4, Log!$C:$C, $A62, Log!$A:$A, "Daily", Log!$B:$B, "n/a"), 0),
        _xlpm.ie_camera_on_date, IFERROR(AVERAGEIFS(Log!$G:$G, Log!$D:$D,N$4,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2" s="68" t="str">
        <f>IFERROR(
    _xlfn.LET(
        _xlpm.is_data_present, $A62&lt;&gt;0,
        _xlpm.is_camera_present, COUNTIFS(Log!$C:$C, $A62, Log!$D:$D, O$4, Log!$A:$A, "Daily", Log!$B:$B, "n/a"),
        _xlpm.we_camera_on_date, IFERROR(AVERAGEIFS(Log!$F:$F, Log!$D:$D,O$4, Log!$C:$C, $A62, Log!$A:$A, "Daily", Log!$B:$B, "n/a"), 0),
        _xlpm.ie_camera_on_date, IFERROR(AVERAGEIFS(Log!$G:$G, Log!$D:$D,O$4,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2" s="68" t="str">
        <f>IFERROR(
    _xlfn.LET(
        _xlpm.is_data_present, $A62&lt;&gt;0,
        _xlpm.is_camera_present, COUNTIFS(Log!$C:$C, $A62, Log!$D:$D, P$4, Log!$A:$A, "Daily", Log!$B:$B, "n/a"),
        _xlpm.we_camera_on_date, IFERROR(AVERAGEIFS(Log!$F:$F, Log!$D:$D,P$4, Log!$C:$C, $A62, Log!$A:$A, "Daily", Log!$B:$B, "n/a"), 0),
        _xlpm.ie_camera_on_date, IFERROR(AVERAGEIFS(Log!$G:$G, Log!$D:$D,P$4,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2" s="68" t="str">
        <f>IFERROR(
    _xlfn.LET(
        _xlpm.is_data_present, $A62&lt;&gt;0,
        _xlpm.is_camera_present, COUNTIFS(Log!$C:$C, $A62, Log!$D:$D, Q$4, Log!$A:$A, "Daily", Log!$B:$B, "n/a"),
        _xlpm.we_camera_on_date, IFERROR(AVERAGEIFS(Log!$F:$F, Log!$D:$D,Q$4, Log!$C:$C, $A62, Log!$A:$A, "Daily", Log!$B:$B, "n/a"), 0),
        _xlpm.ie_camera_on_date, IFERROR(AVERAGEIFS(Log!$G:$G, Log!$D:$D,Q$4,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2" s="68" t="str">
        <f>IFERROR(
    _xlfn.LET(
        _xlpm.is_data_present, $A62&lt;&gt;0,
        _xlpm.is_camera_present, COUNTIFS(Log!$C:$C, $A62, Log!$D:$D, R$4, Log!$A:$A, "Daily", Log!$B:$B, "n/a"),
        _xlpm.we_camera_on_date, IFERROR(AVERAGEIFS(Log!$F:$F, Log!$D:$D,R$4, Log!$C:$C, $A62, Log!$A:$A, "Daily", Log!$B:$B, "n/a"), 0),
        _xlpm.ie_camera_on_date, IFERROR(AVERAGEIFS(Log!$G:$G, Log!$D:$D,R$4,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2" s="68" t="str">
        <f>IFERROR(
    _xlfn.LET(
        _xlpm.is_data_present, $A62&lt;&gt;0,
        _xlpm.is_camera_present, COUNTIFS(Log!$C:$C, $A62, Log!$D:$D, S$4, Log!$A:$A, "Daily", Log!$B:$B, "n/a"),
        _xlpm.we_camera_on_date, IFERROR(AVERAGEIFS(Log!$F:$F, Log!$D:$D,S$4, Log!$C:$C, $A62, Log!$A:$A, "Daily", Log!$B:$B, "n/a"), 0),
        _xlpm.ie_camera_on_date, IFERROR(AVERAGEIFS(Log!$G:$G, Log!$D:$D,S$4, Log!$C:$C, $A62, Log!$A:$A, "Daily", Log!$B:$B, "n/a"), 0),
        _xlpm.we_avg, IFERROR(AVERAGEIFS(Log!$F:$F,Log!$C:$C,$A62, Log!$A:$A, "Daily", Log!$B:$B, "n/a"),0),
        _xlpm.ie_avg, IFERROR(AVERAGEIFS(Log!$G:$G,Log!$C:$C,$A62,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3" spans="2:19" x14ac:dyDescent="0.3">
      <c r="B63" s="68" t="str">
        <f>IFERROR(
    _xlfn.LET(
        _xlpm.is_data_present, $A63&lt;&gt;0,
        _xlpm.is_camera_present, COUNTIFS(Log!$C:$C, $A63, Log!$D:$D, B$4, Log!$A:$A, "Daily", Log!$B:$B, "n/a"),
        _xlpm.we_camera_on_date, IFERROR(AVERAGEIFS(Log!$F:$F, Log!$D:$D,B$4, Log!$C:$C, $A63, Log!$A:$A, "Daily", Log!$B:$B, "n/a"), 0),
        _xlpm.ie_camera_on_date, IFERROR(AVERAGEIFS(Log!$G:$G, Log!$D:$D,B$4,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3" s="68" t="str">
        <f>IFERROR(
    _xlfn.LET(
        _xlpm.is_data_present, $A63&lt;&gt;0,
        _xlpm.is_camera_present, COUNTIFS(Log!$C:$C, $A63, Log!$D:$D, C$4, Log!$A:$A, "Daily", Log!$B:$B, "n/a"),
        _xlpm.we_camera_on_date, IFERROR(AVERAGEIFS(Log!$F:$F, Log!$D:$D,C$4, Log!$C:$C, $A63, Log!$A:$A, "Daily", Log!$B:$B, "n/a"), 0),
        _xlpm.ie_camera_on_date, IFERROR(AVERAGEIFS(Log!$G:$G, Log!$D:$D,C$4,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3" s="68" t="str">
        <f>IFERROR(
    _xlfn.LET(
        _xlpm.is_data_present, $A63&lt;&gt;0,
        _xlpm.is_camera_present, COUNTIFS(Log!$C:$C, $A63, Log!$D:$D, D$4, Log!$A:$A, "Daily", Log!$B:$B, "n/a"),
        _xlpm.we_camera_on_date, IFERROR(AVERAGEIFS(Log!$F:$F, Log!$D:$D,D$4, Log!$C:$C, $A63, Log!$A:$A, "Daily", Log!$B:$B, "n/a"), 0),
        _xlpm.ie_camera_on_date, IFERROR(AVERAGEIFS(Log!$G:$G, Log!$D:$D,D$4,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3" s="68" t="str">
        <f>IFERROR(
    _xlfn.LET(
        _xlpm.is_data_present, $A63&lt;&gt;0,
        _xlpm.is_camera_present, COUNTIFS(Log!$C:$C, $A63, Log!$D:$D, E$4, Log!$A:$A, "Daily", Log!$B:$B, "n/a"),
        _xlpm.we_camera_on_date, IFERROR(AVERAGEIFS(Log!$F:$F, Log!$D:$D,E$4, Log!$C:$C, $A63, Log!$A:$A, "Daily", Log!$B:$B, "n/a"), 0),
        _xlpm.ie_camera_on_date, IFERROR(AVERAGEIFS(Log!$G:$G, Log!$D:$D,E$4,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3" s="68" t="str">
        <f>IFERROR(
    _xlfn.LET(
        _xlpm.is_data_present, $A63&lt;&gt;0,
        _xlpm.is_camera_present, COUNTIFS(Log!$C:$C, $A63, Log!$D:$D, F$4, Log!$A:$A, "Daily", Log!$B:$B, "n/a"),
        _xlpm.we_camera_on_date, IFERROR(AVERAGEIFS(Log!$F:$F, Log!$D:$D,F$4, Log!$C:$C, $A63, Log!$A:$A, "Daily", Log!$B:$B, "n/a"), 0),
        _xlpm.ie_camera_on_date, IFERROR(AVERAGEIFS(Log!$G:$G, Log!$D:$D,F$4,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3" s="68" t="str">
        <f>IFERROR(
    _xlfn.LET(
        _xlpm.is_data_present, $A63&lt;&gt;0,
        _xlpm.is_camera_present, COUNTIFS(Log!$C:$C, $A63, Log!$D:$D, G$4, Log!$A:$A, "Daily", Log!$B:$B, "n/a"),
        _xlpm.we_camera_on_date, IFERROR(AVERAGEIFS(Log!$F:$F, Log!$D:$D,G$4, Log!$C:$C, $A63, Log!$A:$A, "Daily", Log!$B:$B, "n/a"), 0),
        _xlpm.ie_camera_on_date, IFERROR(AVERAGEIFS(Log!$G:$G, Log!$D:$D,G$4,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3" s="68" t="str">
        <f>IFERROR(
    _xlfn.LET(
        _xlpm.is_data_present, $A63&lt;&gt;0,
        _xlpm.is_camera_present, COUNTIFS(Log!$C:$C, $A63, Log!$D:$D, H$4, Log!$A:$A, "Daily", Log!$B:$B, "n/a"),
        _xlpm.we_camera_on_date, IFERROR(AVERAGEIFS(Log!$F:$F, Log!$D:$D,H$4, Log!$C:$C, $A63, Log!$A:$A, "Daily", Log!$B:$B, "n/a"), 0),
        _xlpm.ie_camera_on_date, IFERROR(AVERAGEIFS(Log!$G:$G, Log!$D:$D,H$4,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3" s="68" t="str">
        <f>IFERROR(
    _xlfn.LET(
        _xlpm.is_data_present, $A63&lt;&gt;0,
        _xlpm.is_camera_present, COUNTIFS(Log!$C:$C, $A63, Log!$D:$D, I$4, Log!$A:$A, "Daily", Log!$B:$B, "n/a"),
        _xlpm.we_camera_on_date, IFERROR(AVERAGEIFS(Log!$F:$F, Log!$D:$D,I$4, Log!$C:$C, $A63, Log!$A:$A, "Daily", Log!$B:$B, "n/a"), 0),
        _xlpm.ie_camera_on_date, IFERROR(AVERAGEIFS(Log!$G:$G, Log!$D:$D,I$4,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3" s="68" t="str">
        <f>IFERROR(
    _xlfn.LET(
        _xlpm.is_data_present, $A63&lt;&gt;0,
        _xlpm.is_camera_present, COUNTIFS(Log!$C:$C, $A63, Log!$D:$D, J$4, Log!$A:$A, "Daily", Log!$B:$B, "n/a"),
        _xlpm.we_camera_on_date, IFERROR(AVERAGEIFS(Log!$F:$F, Log!$D:$D,J$4, Log!$C:$C, $A63, Log!$A:$A, "Daily", Log!$B:$B, "n/a"), 0),
        _xlpm.ie_camera_on_date, IFERROR(AVERAGEIFS(Log!$G:$G, Log!$D:$D,J$4,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3" s="68" t="str">
        <f>IFERROR(
    _xlfn.LET(
        _xlpm.is_data_present, $A63&lt;&gt;0,
        _xlpm.is_camera_present, COUNTIFS(Log!$C:$C, $A63, Log!$D:$D, K$4, Log!$A:$A, "Daily", Log!$B:$B, "n/a"),
        _xlpm.we_camera_on_date, IFERROR(AVERAGEIFS(Log!$F:$F, Log!$D:$D,K$4, Log!$C:$C, $A63, Log!$A:$A, "Daily", Log!$B:$B, "n/a"), 0),
        _xlpm.ie_camera_on_date, IFERROR(AVERAGEIFS(Log!$G:$G, Log!$D:$D,K$4,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3" s="68" t="str">
        <f>IFERROR(
    _xlfn.LET(
        _xlpm.is_data_present, $A63&lt;&gt;0,
        _xlpm.is_camera_present, COUNTIFS(Log!$C:$C, $A63, Log!$D:$D, L$4, Log!$A:$A, "Daily", Log!$B:$B, "n/a"),
        _xlpm.we_camera_on_date, IFERROR(AVERAGEIFS(Log!$F:$F, Log!$D:$D,L$4, Log!$C:$C, $A63, Log!$A:$A, "Daily", Log!$B:$B, "n/a"), 0),
        _xlpm.ie_camera_on_date, IFERROR(AVERAGEIFS(Log!$G:$G, Log!$D:$D,L$4,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3" s="68" t="str">
        <f>IFERROR(
    _xlfn.LET(
        _xlpm.is_data_present, $A63&lt;&gt;0,
        _xlpm.is_camera_present, COUNTIFS(Log!$C:$C, $A63, Log!$D:$D, M$4, Log!$A:$A, "Daily", Log!$B:$B, "n/a"),
        _xlpm.we_camera_on_date, IFERROR(AVERAGEIFS(Log!$F:$F, Log!$D:$D,M$4, Log!$C:$C, $A63, Log!$A:$A, "Daily", Log!$B:$B, "n/a"), 0),
        _xlpm.ie_camera_on_date, IFERROR(AVERAGEIFS(Log!$G:$G, Log!$D:$D,M$4,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3" s="68" t="str">
        <f>IFERROR(
    _xlfn.LET(
        _xlpm.is_data_present, $A63&lt;&gt;0,
        _xlpm.is_camera_present, COUNTIFS(Log!$C:$C, $A63, Log!$D:$D, N$4, Log!$A:$A, "Daily", Log!$B:$B, "n/a"),
        _xlpm.we_camera_on_date, IFERROR(AVERAGEIFS(Log!$F:$F, Log!$D:$D,N$4, Log!$C:$C, $A63, Log!$A:$A, "Daily", Log!$B:$B, "n/a"), 0),
        _xlpm.ie_camera_on_date, IFERROR(AVERAGEIFS(Log!$G:$G, Log!$D:$D,N$4,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3" s="68" t="str">
        <f>IFERROR(
    _xlfn.LET(
        _xlpm.is_data_present, $A63&lt;&gt;0,
        _xlpm.is_camera_present, COUNTIFS(Log!$C:$C, $A63, Log!$D:$D, O$4, Log!$A:$A, "Daily", Log!$B:$B, "n/a"),
        _xlpm.we_camera_on_date, IFERROR(AVERAGEIFS(Log!$F:$F, Log!$D:$D,O$4, Log!$C:$C, $A63, Log!$A:$A, "Daily", Log!$B:$B, "n/a"), 0),
        _xlpm.ie_camera_on_date, IFERROR(AVERAGEIFS(Log!$G:$G, Log!$D:$D,O$4,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3" s="68" t="str">
        <f>IFERROR(
    _xlfn.LET(
        _xlpm.is_data_present, $A63&lt;&gt;0,
        _xlpm.is_camera_present, COUNTIFS(Log!$C:$C, $A63, Log!$D:$D, P$4, Log!$A:$A, "Daily", Log!$B:$B, "n/a"),
        _xlpm.we_camera_on_date, IFERROR(AVERAGEIFS(Log!$F:$F, Log!$D:$D,P$4, Log!$C:$C, $A63, Log!$A:$A, "Daily", Log!$B:$B, "n/a"), 0),
        _xlpm.ie_camera_on_date, IFERROR(AVERAGEIFS(Log!$G:$G, Log!$D:$D,P$4,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3" s="68" t="str">
        <f>IFERROR(
    _xlfn.LET(
        _xlpm.is_data_present, $A63&lt;&gt;0,
        _xlpm.is_camera_present, COUNTIFS(Log!$C:$C, $A63, Log!$D:$D, Q$4, Log!$A:$A, "Daily", Log!$B:$B, "n/a"),
        _xlpm.we_camera_on_date, IFERROR(AVERAGEIFS(Log!$F:$F, Log!$D:$D,Q$4, Log!$C:$C, $A63, Log!$A:$A, "Daily", Log!$B:$B, "n/a"), 0),
        _xlpm.ie_camera_on_date, IFERROR(AVERAGEIFS(Log!$G:$G, Log!$D:$D,Q$4,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3" s="68" t="str">
        <f>IFERROR(
    _xlfn.LET(
        _xlpm.is_data_present, $A63&lt;&gt;0,
        _xlpm.is_camera_present, COUNTIFS(Log!$C:$C, $A63, Log!$D:$D, R$4, Log!$A:$A, "Daily", Log!$B:$B, "n/a"),
        _xlpm.we_camera_on_date, IFERROR(AVERAGEIFS(Log!$F:$F, Log!$D:$D,R$4, Log!$C:$C, $A63, Log!$A:$A, "Daily", Log!$B:$B, "n/a"), 0),
        _xlpm.ie_camera_on_date, IFERROR(AVERAGEIFS(Log!$G:$G, Log!$D:$D,R$4,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3" s="68" t="str">
        <f>IFERROR(
    _xlfn.LET(
        _xlpm.is_data_present, $A63&lt;&gt;0,
        _xlpm.is_camera_present, COUNTIFS(Log!$C:$C, $A63, Log!$D:$D, S$4, Log!$A:$A, "Daily", Log!$B:$B, "n/a"),
        _xlpm.we_camera_on_date, IFERROR(AVERAGEIFS(Log!$F:$F, Log!$D:$D,S$4, Log!$C:$C, $A63, Log!$A:$A, "Daily", Log!$B:$B, "n/a"), 0),
        _xlpm.ie_camera_on_date, IFERROR(AVERAGEIFS(Log!$G:$G, Log!$D:$D,S$4, Log!$C:$C, $A63, Log!$A:$A, "Daily", Log!$B:$B, "n/a"), 0),
        _xlpm.we_avg, IFERROR(AVERAGEIFS(Log!$F:$F,Log!$C:$C,$A63, Log!$A:$A, "Daily", Log!$B:$B, "n/a"),0),
        _xlpm.ie_avg, IFERROR(AVERAGEIFS(Log!$G:$G,Log!$C:$C,$A63,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4" spans="2:19" x14ac:dyDescent="0.3">
      <c r="B64" s="68" t="str">
        <f>IFERROR(
    _xlfn.LET(
        _xlpm.is_data_present, $A64&lt;&gt;0,
        _xlpm.is_camera_present, COUNTIFS(Log!$C:$C, $A64, Log!$D:$D, B$4, Log!$A:$A, "Daily", Log!$B:$B, "n/a"),
        _xlpm.we_camera_on_date, IFERROR(AVERAGEIFS(Log!$F:$F, Log!$D:$D,B$4, Log!$C:$C, $A64, Log!$A:$A, "Daily", Log!$B:$B, "n/a"), 0),
        _xlpm.ie_camera_on_date, IFERROR(AVERAGEIFS(Log!$G:$G, Log!$D:$D,B$4,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4" s="68" t="str">
        <f>IFERROR(
    _xlfn.LET(
        _xlpm.is_data_present, $A64&lt;&gt;0,
        _xlpm.is_camera_present, COUNTIFS(Log!$C:$C, $A64, Log!$D:$D, C$4, Log!$A:$A, "Daily", Log!$B:$B, "n/a"),
        _xlpm.we_camera_on_date, IFERROR(AVERAGEIFS(Log!$F:$F, Log!$D:$D,C$4, Log!$C:$C, $A64, Log!$A:$A, "Daily", Log!$B:$B, "n/a"), 0),
        _xlpm.ie_camera_on_date, IFERROR(AVERAGEIFS(Log!$G:$G, Log!$D:$D,C$4,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4" s="68" t="str">
        <f>IFERROR(
    _xlfn.LET(
        _xlpm.is_data_present, $A64&lt;&gt;0,
        _xlpm.is_camera_present, COUNTIFS(Log!$C:$C, $A64, Log!$D:$D, D$4, Log!$A:$A, "Daily", Log!$B:$B, "n/a"),
        _xlpm.we_camera_on_date, IFERROR(AVERAGEIFS(Log!$F:$F, Log!$D:$D,D$4, Log!$C:$C, $A64, Log!$A:$A, "Daily", Log!$B:$B, "n/a"), 0),
        _xlpm.ie_camera_on_date, IFERROR(AVERAGEIFS(Log!$G:$G, Log!$D:$D,D$4,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4" s="68" t="str">
        <f>IFERROR(
    _xlfn.LET(
        _xlpm.is_data_present, $A64&lt;&gt;0,
        _xlpm.is_camera_present, COUNTIFS(Log!$C:$C, $A64, Log!$D:$D, E$4, Log!$A:$A, "Daily", Log!$B:$B, "n/a"),
        _xlpm.we_camera_on_date, IFERROR(AVERAGEIFS(Log!$F:$F, Log!$D:$D,E$4, Log!$C:$C, $A64, Log!$A:$A, "Daily", Log!$B:$B, "n/a"), 0),
        _xlpm.ie_camera_on_date, IFERROR(AVERAGEIFS(Log!$G:$G, Log!$D:$D,E$4,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4" s="68" t="str">
        <f>IFERROR(
    _xlfn.LET(
        _xlpm.is_data_present, $A64&lt;&gt;0,
        _xlpm.is_camera_present, COUNTIFS(Log!$C:$C, $A64, Log!$D:$D, F$4, Log!$A:$A, "Daily", Log!$B:$B, "n/a"),
        _xlpm.we_camera_on_date, IFERROR(AVERAGEIFS(Log!$F:$F, Log!$D:$D,F$4, Log!$C:$C, $A64, Log!$A:$A, "Daily", Log!$B:$B, "n/a"), 0),
        _xlpm.ie_camera_on_date, IFERROR(AVERAGEIFS(Log!$G:$G, Log!$D:$D,F$4,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4" s="68" t="str">
        <f>IFERROR(
    _xlfn.LET(
        _xlpm.is_data_present, $A64&lt;&gt;0,
        _xlpm.is_camera_present, COUNTIFS(Log!$C:$C, $A64, Log!$D:$D, G$4, Log!$A:$A, "Daily", Log!$B:$B, "n/a"),
        _xlpm.we_camera_on_date, IFERROR(AVERAGEIFS(Log!$F:$F, Log!$D:$D,G$4, Log!$C:$C, $A64, Log!$A:$A, "Daily", Log!$B:$B, "n/a"), 0),
        _xlpm.ie_camera_on_date, IFERROR(AVERAGEIFS(Log!$G:$G, Log!$D:$D,G$4,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4" s="68" t="str">
        <f>IFERROR(
    _xlfn.LET(
        _xlpm.is_data_present, $A64&lt;&gt;0,
        _xlpm.is_camera_present, COUNTIFS(Log!$C:$C, $A64, Log!$D:$D, H$4, Log!$A:$A, "Daily", Log!$B:$B, "n/a"),
        _xlpm.we_camera_on_date, IFERROR(AVERAGEIFS(Log!$F:$F, Log!$D:$D,H$4, Log!$C:$C, $A64, Log!$A:$A, "Daily", Log!$B:$B, "n/a"), 0),
        _xlpm.ie_camera_on_date, IFERROR(AVERAGEIFS(Log!$G:$G, Log!$D:$D,H$4,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4" s="68" t="str">
        <f>IFERROR(
    _xlfn.LET(
        _xlpm.is_data_present, $A64&lt;&gt;0,
        _xlpm.is_camera_present, COUNTIFS(Log!$C:$C, $A64, Log!$D:$D, I$4, Log!$A:$A, "Daily", Log!$B:$B, "n/a"),
        _xlpm.we_camera_on_date, IFERROR(AVERAGEIFS(Log!$F:$F, Log!$D:$D,I$4, Log!$C:$C, $A64, Log!$A:$A, "Daily", Log!$B:$B, "n/a"), 0),
        _xlpm.ie_camera_on_date, IFERROR(AVERAGEIFS(Log!$G:$G, Log!$D:$D,I$4,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4" s="68" t="str">
        <f>IFERROR(
    _xlfn.LET(
        _xlpm.is_data_present, $A64&lt;&gt;0,
        _xlpm.is_camera_present, COUNTIFS(Log!$C:$C, $A64, Log!$D:$D, J$4, Log!$A:$A, "Daily", Log!$B:$B, "n/a"),
        _xlpm.we_camera_on_date, IFERROR(AVERAGEIFS(Log!$F:$F, Log!$D:$D,J$4, Log!$C:$C, $A64, Log!$A:$A, "Daily", Log!$B:$B, "n/a"), 0),
        _xlpm.ie_camera_on_date, IFERROR(AVERAGEIFS(Log!$G:$G, Log!$D:$D,J$4,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4" s="68" t="str">
        <f>IFERROR(
    _xlfn.LET(
        _xlpm.is_data_present, $A64&lt;&gt;0,
        _xlpm.is_camera_present, COUNTIFS(Log!$C:$C, $A64, Log!$D:$D, K$4, Log!$A:$A, "Daily", Log!$B:$B, "n/a"),
        _xlpm.we_camera_on_date, IFERROR(AVERAGEIFS(Log!$F:$F, Log!$D:$D,K$4, Log!$C:$C, $A64, Log!$A:$A, "Daily", Log!$B:$B, "n/a"), 0),
        _xlpm.ie_camera_on_date, IFERROR(AVERAGEIFS(Log!$G:$G, Log!$D:$D,K$4,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4" s="68" t="str">
        <f>IFERROR(
    _xlfn.LET(
        _xlpm.is_data_present, $A64&lt;&gt;0,
        _xlpm.is_camera_present, COUNTIFS(Log!$C:$C, $A64, Log!$D:$D, L$4, Log!$A:$A, "Daily", Log!$B:$B, "n/a"),
        _xlpm.we_camera_on_date, IFERROR(AVERAGEIFS(Log!$F:$F, Log!$D:$D,L$4, Log!$C:$C, $A64, Log!$A:$A, "Daily", Log!$B:$B, "n/a"), 0),
        _xlpm.ie_camera_on_date, IFERROR(AVERAGEIFS(Log!$G:$G, Log!$D:$D,L$4,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4" s="68" t="str">
        <f>IFERROR(
    _xlfn.LET(
        _xlpm.is_data_present, $A64&lt;&gt;0,
        _xlpm.is_camera_present, COUNTIFS(Log!$C:$C, $A64, Log!$D:$D, M$4, Log!$A:$A, "Daily", Log!$B:$B, "n/a"),
        _xlpm.we_camera_on_date, IFERROR(AVERAGEIFS(Log!$F:$F, Log!$D:$D,M$4, Log!$C:$C, $A64, Log!$A:$A, "Daily", Log!$B:$B, "n/a"), 0),
        _xlpm.ie_camera_on_date, IFERROR(AVERAGEIFS(Log!$G:$G, Log!$D:$D,M$4,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4" s="68" t="str">
        <f>IFERROR(
    _xlfn.LET(
        _xlpm.is_data_present, $A64&lt;&gt;0,
        _xlpm.is_camera_present, COUNTIFS(Log!$C:$C, $A64, Log!$D:$D, N$4, Log!$A:$A, "Daily", Log!$B:$B, "n/a"),
        _xlpm.we_camera_on_date, IFERROR(AVERAGEIFS(Log!$F:$F, Log!$D:$D,N$4, Log!$C:$C, $A64, Log!$A:$A, "Daily", Log!$B:$B, "n/a"), 0),
        _xlpm.ie_camera_on_date, IFERROR(AVERAGEIFS(Log!$G:$G, Log!$D:$D,N$4,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4" s="68" t="str">
        <f>IFERROR(
    _xlfn.LET(
        _xlpm.is_data_present, $A64&lt;&gt;0,
        _xlpm.is_camera_present, COUNTIFS(Log!$C:$C, $A64, Log!$D:$D, O$4, Log!$A:$A, "Daily", Log!$B:$B, "n/a"),
        _xlpm.we_camera_on_date, IFERROR(AVERAGEIFS(Log!$F:$F, Log!$D:$D,O$4, Log!$C:$C, $A64, Log!$A:$A, "Daily", Log!$B:$B, "n/a"), 0),
        _xlpm.ie_camera_on_date, IFERROR(AVERAGEIFS(Log!$G:$G, Log!$D:$D,O$4,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4" s="68" t="str">
        <f>IFERROR(
    _xlfn.LET(
        _xlpm.is_data_present, $A64&lt;&gt;0,
        _xlpm.is_camera_present, COUNTIFS(Log!$C:$C, $A64, Log!$D:$D, P$4, Log!$A:$A, "Daily", Log!$B:$B, "n/a"),
        _xlpm.we_camera_on_date, IFERROR(AVERAGEIFS(Log!$F:$F, Log!$D:$D,P$4, Log!$C:$C, $A64, Log!$A:$A, "Daily", Log!$B:$B, "n/a"), 0),
        _xlpm.ie_camera_on_date, IFERROR(AVERAGEIFS(Log!$G:$G, Log!$D:$D,P$4,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4" s="68" t="str">
        <f>IFERROR(
    _xlfn.LET(
        _xlpm.is_data_present, $A64&lt;&gt;0,
        _xlpm.is_camera_present, COUNTIFS(Log!$C:$C, $A64, Log!$D:$D, Q$4, Log!$A:$A, "Daily", Log!$B:$B, "n/a"),
        _xlpm.we_camera_on_date, IFERROR(AVERAGEIFS(Log!$F:$F, Log!$D:$D,Q$4, Log!$C:$C, $A64, Log!$A:$A, "Daily", Log!$B:$B, "n/a"), 0),
        _xlpm.ie_camera_on_date, IFERROR(AVERAGEIFS(Log!$G:$G, Log!$D:$D,Q$4,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4" s="68" t="str">
        <f>IFERROR(
    _xlfn.LET(
        _xlpm.is_data_present, $A64&lt;&gt;0,
        _xlpm.is_camera_present, COUNTIFS(Log!$C:$C, $A64, Log!$D:$D, R$4, Log!$A:$A, "Daily", Log!$B:$B, "n/a"),
        _xlpm.we_camera_on_date, IFERROR(AVERAGEIFS(Log!$F:$F, Log!$D:$D,R$4, Log!$C:$C, $A64, Log!$A:$A, "Daily", Log!$B:$B, "n/a"), 0),
        _xlpm.ie_camera_on_date, IFERROR(AVERAGEIFS(Log!$G:$G, Log!$D:$D,R$4,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4" s="68" t="str">
        <f>IFERROR(
    _xlfn.LET(
        _xlpm.is_data_present, $A64&lt;&gt;0,
        _xlpm.is_camera_present, COUNTIFS(Log!$C:$C, $A64, Log!$D:$D, S$4, Log!$A:$A, "Daily", Log!$B:$B, "n/a"),
        _xlpm.we_camera_on_date, IFERROR(AVERAGEIFS(Log!$F:$F, Log!$D:$D,S$4, Log!$C:$C, $A64, Log!$A:$A, "Daily", Log!$B:$B, "n/a"), 0),
        _xlpm.ie_camera_on_date, IFERROR(AVERAGEIFS(Log!$G:$G, Log!$D:$D,S$4, Log!$C:$C, $A64, Log!$A:$A, "Daily", Log!$B:$B, "n/a"), 0),
        _xlpm.we_avg, IFERROR(AVERAGEIFS(Log!$F:$F,Log!$C:$C,$A64, Log!$A:$A, "Daily", Log!$B:$B, "n/a"),0),
        _xlpm.ie_avg, IFERROR(AVERAGEIFS(Log!$G:$G,Log!$C:$C,$A64,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5" spans="2:19" x14ac:dyDescent="0.3">
      <c r="B65" s="68" t="str">
        <f>IFERROR(
    _xlfn.LET(
        _xlpm.is_data_present, $A65&lt;&gt;0,
        _xlpm.is_camera_present, COUNTIFS(Log!$C:$C, $A65, Log!$D:$D, B$4, Log!$A:$A, "Daily", Log!$B:$B, "n/a"),
        _xlpm.we_camera_on_date, IFERROR(AVERAGEIFS(Log!$F:$F, Log!$D:$D,B$4, Log!$C:$C, $A65, Log!$A:$A, "Daily", Log!$B:$B, "n/a"), 0),
        _xlpm.ie_camera_on_date, IFERROR(AVERAGEIFS(Log!$G:$G, Log!$D:$D,B$4,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5" s="68" t="str">
        <f>IFERROR(
    _xlfn.LET(
        _xlpm.is_data_present, $A65&lt;&gt;0,
        _xlpm.is_camera_present, COUNTIFS(Log!$C:$C, $A65, Log!$D:$D, C$4, Log!$A:$A, "Daily", Log!$B:$B, "n/a"),
        _xlpm.we_camera_on_date, IFERROR(AVERAGEIFS(Log!$F:$F, Log!$D:$D,C$4, Log!$C:$C, $A65, Log!$A:$A, "Daily", Log!$B:$B, "n/a"), 0),
        _xlpm.ie_camera_on_date, IFERROR(AVERAGEIFS(Log!$G:$G, Log!$D:$D,C$4,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5" s="68" t="str">
        <f>IFERROR(
    _xlfn.LET(
        _xlpm.is_data_present, $A65&lt;&gt;0,
        _xlpm.is_camera_present, COUNTIFS(Log!$C:$C, $A65, Log!$D:$D, D$4, Log!$A:$A, "Daily", Log!$B:$B, "n/a"),
        _xlpm.we_camera_on_date, IFERROR(AVERAGEIFS(Log!$F:$F, Log!$D:$D,D$4, Log!$C:$C, $A65, Log!$A:$A, "Daily", Log!$B:$B, "n/a"), 0),
        _xlpm.ie_camera_on_date, IFERROR(AVERAGEIFS(Log!$G:$G, Log!$D:$D,D$4,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5" s="68" t="str">
        <f>IFERROR(
    _xlfn.LET(
        _xlpm.is_data_present, $A65&lt;&gt;0,
        _xlpm.is_camera_present, COUNTIFS(Log!$C:$C, $A65, Log!$D:$D, E$4, Log!$A:$A, "Daily", Log!$B:$B, "n/a"),
        _xlpm.we_camera_on_date, IFERROR(AVERAGEIFS(Log!$F:$F, Log!$D:$D,E$4, Log!$C:$C, $A65, Log!$A:$A, "Daily", Log!$B:$B, "n/a"), 0),
        _xlpm.ie_camera_on_date, IFERROR(AVERAGEIFS(Log!$G:$G, Log!$D:$D,E$4,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5" s="68" t="str">
        <f>IFERROR(
    _xlfn.LET(
        _xlpm.is_data_present, $A65&lt;&gt;0,
        _xlpm.is_camera_present, COUNTIFS(Log!$C:$C, $A65, Log!$D:$D, F$4, Log!$A:$A, "Daily", Log!$B:$B, "n/a"),
        _xlpm.we_camera_on_date, IFERROR(AVERAGEIFS(Log!$F:$F, Log!$D:$D,F$4, Log!$C:$C, $A65, Log!$A:$A, "Daily", Log!$B:$B, "n/a"), 0),
        _xlpm.ie_camera_on_date, IFERROR(AVERAGEIFS(Log!$G:$G, Log!$D:$D,F$4,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5" s="68" t="str">
        <f>IFERROR(
    _xlfn.LET(
        _xlpm.is_data_present, $A65&lt;&gt;0,
        _xlpm.is_camera_present, COUNTIFS(Log!$C:$C, $A65, Log!$D:$D, G$4, Log!$A:$A, "Daily", Log!$B:$B, "n/a"),
        _xlpm.we_camera_on_date, IFERROR(AVERAGEIFS(Log!$F:$F, Log!$D:$D,G$4, Log!$C:$C, $A65, Log!$A:$A, "Daily", Log!$B:$B, "n/a"), 0),
        _xlpm.ie_camera_on_date, IFERROR(AVERAGEIFS(Log!$G:$G, Log!$D:$D,G$4,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5" s="68" t="str">
        <f>IFERROR(
    _xlfn.LET(
        _xlpm.is_data_present, $A65&lt;&gt;0,
        _xlpm.is_camera_present, COUNTIFS(Log!$C:$C, $A65, Log!$D:$D, H$4, Log!$A:$A, "Daily", Log!$B:$B, "n/a"),
        _xlpm.we_camera_on_date, IFERROR(AVERAGEIFS(Log!$F:$F, Log!$D:$D,H$4, Log!$C:$C, $A65, Log!$A:$A, "Daily", Log!$B:$B, "n/a"), 0),
        _xlpm.ie_camera_on_date, IFERROR(AVERAGEIFS(Log!$G:$G, Log!$D:$D,H$4,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5" s="68" t="str">
        <f>IFERROR(
    _xlfn.LET(
        _xlpm.is_data_present, $A65&lt;&gt;0,
        _xlpm.is_camera_present, COUNTIFS(Log!$C:$C, $A65, Log!$D:$D, I$4, Log!$A:$A, "Daily", Log!$B:$B, "n/a"),
        _xlpm.we_camera_on_date, IFERROR(AVERAGEIFS(Log!$F:$F, Log!$D:$D,I$4, Log!$C:$C, $A65, Log!$A:$A, "Daily", Log!$B:$B, "n/a"), 0),
        _xlpm.ie_camera_on_date, IFERROR(AVERAGEIFS(Log!$G:$G, Log!$D:$D,I$4,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5" s="68" t="str">
        <f>IFERROR(
    _xlfn.LET(
        _xlpm.is_data_present, $A65&lt;&gt;0,
        _xlpm.is_camera_present, COUNTIFS(Log!$C:$C, $A65, Log!$D:$D, J$4, Log!$A:$A, "Daily", Log!$B:$B, "n/a"),
        _xlpm.we_camera_on_date, IFERROR(AVERAGEIFS(Log!$F:$F, Log!$D:$D,J$4, Log!$C:$C, $A65, Log!$A:$A, "Daily", Log!$B:$B, "n/a"), 0),
        _xlpm.ie_camera_on_date, IFERROR(AVERAGEIFS(Log!$G:$G, Log!$D:$D,J$4,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5" s="68" t="str">
        <f>IFERROR(
    _xlfn.LET(
        _xlpm.is_data_present, $A65&lt;&gt;0,
        _xlpm.is_camera_present, COUNTIFS(Log!$C:$C, $A65, Log!$D:$D, K$4, Log!$A:$A, "Daily", Log!$B:$B, "n/a"),
        _xlpm.we_camera_on_date, IFERROR(AVERAGEIFS(Log!$F:$F, Log!$D:$D,K$4, Log!$C:$C, $A65, Log!$A:$A, "Daily", Log!$B:$B, "n/a"), 0),
        _xlpm.ie_camera_on_date, IFERROR(AVERAGEIFS(Log!$G:$G, Log!$D:$D,K$4,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5" s="68" t="str">
        <f>IFERROR(
    _xlfn.LET(
        _xlpm.is_data_present, $A65&lt;&gt;0,
        _xlpm.is_camera_present, COUNTIFS(Log!$C:$C, $A65, Log!$D:$D, L$4, Log!$A:$A, "Daily", Log!$B:$B, "n/a"),
        _xlpm.we_camera_on_date, IFERROR(AVERAGEIFS(Log!$F:$F, Log!$D:$D,L$4, Log!$C:$C, $A65, Log!$A:$A, "Daily", Log!$B:$B, "n/a"), 0),
        _xlpm.ie_camera_on_date, IFERROR(AVERAGEIFS(Log!$G:$G, Log!$D:$D,L$4,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5" s="68" t="str">
        <f>IFERROR(
    _xlfn.LET(
        _xlpm.is_data_present, $A65&lt;&gt;0,
        _xlpm.is_camera_present, COUNTIFS(Log!$C:$C, $A65, Log!$D:$D, M$4, Log!$A:$A, "Daily", Log!$B:$B, "n/a"),
        _xlpm.we_camera_on_date, IFERROR(AVERAGEIFS(Log!$F:$F, Log!$D:$D,M$4, Log!$C:$C, $A65, Log!$A:$A, "Daily", Log!$B:$B, "n/a"), 0),
        _xlpm.ie_camera_on_date, IFERROR(AVERAGEIFS(Log!$G:$G, Log!$D:$D,M$4,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5" s="68" t="str">
        <f>IFERROR(
    _xlfn.LET(
        _xlpm.is_data_present, $A65&lt;&gt;0,
        _xlpm.is_camera_present, COUNTIFS(Log!$C:$C, $A65, Log!$D:$D, N$4, Log!$A:$A, "Daily", Log!$B:$B, "n/a"),
        _xlpm.we_camera_on_date, IFERROR(AVERAGEIFS(Log!$F:$F, Log!$D:$D,N$4, Log!$C:$C, $A65, Log!$A:$A, "Daily", Log!$B:$B, "n/a"), 0),
        _xlpm.ie_camera_on_date, IFERROR(AVERAGEIFS(Log!$G:$G, Log!$D:$D,N$4,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5" s="68" t="str">
        <f>IFERROR(
    _xlfn.LET(
        _xlpm.is_data_present, $A65&lt;&gt;0,
        _xlpm.is_camera_present, COUNTIFS(Log!$C:$C, $A65, Log!$D:$D, O$4, Log!$A:$A, "Daily", Log!$B:$B, "n/a"),
        _xlpm.we_camera_on_date, IFERROR(AVERAGEIFS(Log!$F:$F, Log!$D:$D,O$4, Log!$C:$C, $A65, Log!$A:$A, "Daily", Log!$B:$B, "n/a"), 0),
        _xlpm.ie_camera_on_date, IFERROR(AVERAGEIFS(Log!$G:$G, Log!$D:$D,O$4,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5" s="68" t="str">
        <f>IFERROR(
    _xlfn.LET(
        _xlpm.is_data_present, $A65&lt;&gt;0,
        _xlpm.is_camera_present, COUNTIFS(Log!$C:$C, $A65, Log!$D:$D, P$4, Log!$A:$A, "Daily", Log!$B:$B, "n/a"),
        _xlpm.we_camera_on_date, IFERROR(AVERAGEIFS(Log!$F:$F, Log!$D:$D,P$4, Log!$C:$C, $A65, Log!$A:$A, "Daily", Log!$B:$B, "n/a"), 0),
        _xlpm.ie_camera_on_date, IFERROR(AVERAGEIFS(Log!$G:$G, Log!$D:$D,P$4,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5" s="68" t="str">
        <f>IFERROR(
    _xlfn.LET(
        _xlpm.is_data_present, $A65&lt;&gt;0,
        _xlpm.is_camera_present, COUNTIFS(Log!$C:$C, $A65, Log!$D:$D, Q$4, Log!$A:$A, "Daily", Log!$B:$B, "n/a"),
        _xlpm.we_camera_on_date, IFERROR(AVERAGEIFS(Log!$F:$F, Log!$D:$D,Q$4, Log!$C:$C, $A65, Log!$A:$A, "Daily", Log!$B:$B, "n/a"), 0),
        _xlpm.ie_camera_on_date, IFERROR(AVERAGEIFS(Log!$G:$G, Log!$D:$D,Q$4,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5" s="68" t="str">
        <f>IFERROR(
    _xlfn.LET(
        _xlpm.is_data_present, $A65&lt;&gt;0,
        _xlpm.is_camera_present, COUNTIFS(Log!$C:$C, $A65, Log!$D:$D, R$4, Log!$A:$A, "Daily", Log!$B:$B, "n/a"),
        _xlpm.we_camera_on_date, IFERROR(AVERAGEIFS(Log!$F:$F, Log!$D:$D,R$4, Log!$C:$C, $A65, Log!$A:$A, "Daily", Log!$B:$B, "n/a"), 0),
        _xlpm.ie_camera_on_date, IFERROR(AVERAGEIFS(Log!$G:$G, Log!$D:$D,R$4,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5" s="68" t="str">
        <f>IFERROR(
    _xlfn.LET(
        _xlpm.is_data_present, $A65&lt;&gt;0,
        _xlpm.is_camera_present, COUNTIFS(Log!$C:$C, $A65, Log!$D:$D, S$4, Log!$A:$A, "Daily", Log!$B:$B, "n/a"),
        _xlpm.we_camera_on_date, IFERROR(AVERAGEIFS(Log!$F:$F, Log!$D:$D,S$4, Log!$C:$C, $A65, Log!$A:$A, "Daily", Log!$B:$B, "n/a"), 0),
        _xlpm.ie_camera_on_date, IFERROR(AVERAGEIFS(Log!$G:$G, Log!$D:$D,S$4, Log!$C:$C, $A65, Log!$A:$A, "Daily", Log!$B:$B, "n/a"), 0),
        _xlpm.we_avg, IFERROR(AVERAGEIFS(Log!$F:$F,Log!$C:$C,$A65, Log!$A:$A, "Daily", Log!$B:$B, "n/a"),0),
        _xlpm.ie_avg, IFERROR(AVERAGEIFS(Log!$G:$G,Log!$C:$C,$A65,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6" spans="2:19" x14ac:dyDescent="0.3">
      <c r="B66" s="68" t="str">
        <f>IFERROR(
    _xlfn.LET(
        _xlpm.is_data_present, $A66&lt;&gt;0,
        _xlpm.is_camera_present, COUNTIFS(Log!$C:$C, $A66, Log!$D:$D, B$4, Log!$A:$A, "Daily", Log!$B:$B, "n/a"),
        _xlpm.we_camera_on_date, IFERROR(AVERAGEIFS(Log!$F:$F, Log!$D:$D,B$4, Log!$C:$C, $A66, Log!$A:$A, "Daily", Log!$B:$B, "n/a"), 0),
        _xlpm.ie_camera_on_date, IFERROR(AVERAGEIFS(Log!$G:$G, Log!$D:$D,B$4,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6" s="68" t="str">
        <f>IFERROR(
    _xlfn.LET(
        _xlpm.is_data_present, $A66&lt;&gt;0,
        _xlpm.is_camera_present, COUNTIFS(Log!$C:$C, $A66, Log!$D:$D, C$4, Log!$A:$A, "Daily", Log!$B:$B, "n/a"),
        _xlpm.we_camera_on_date, IFERROR(AVERAGEIFS(Log!$F:$F, Log!$D:$D,C$4, Log!$C:$C, $A66, Log!$A:$A, "Daily", Log!$B:$B, "n/a"), 0),
        _xlpm.ie_camera_on_date, IFERROR(AVERAGEIFS(Log!$G:$G, Log!$D:$D,C$4,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6" s="68" t="str">
        <f>IFERROR(
    _xlfn.LET(
        _xlpm.is_data_present, $A66&lt;&gt;0,
        _xlpm.is_camera_present, COUNTIFS(Log!$C:$C, $A66, Log!$D:$D, D$4, Log!$A:$A, "Daily", Log!$B:$B, "n/a"),
        _xlpm.we_camera_on_date, IFERROR(AVERAGEIFS(Log!$F:$F, Log!$D:$D,D$4, Log!$C:$C, $A66, Log!$A:$A, "Daily", Log!$B:$B, "n/a"), 0),
        _xlpm.ie_camera_on_date, IFERROR(AVERAGEIFS(Log!$G:$G, Log!$D:$D,D$4,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6" s="68" t="str">
        <f>IFERROR(
    _xlfn.LET(
        _xlpm.is_data_present, $A66&lt;&gt;0,
        _xlpm.is_camera_present, COUNTIFS(Log!$C:$C, $A66, Log!$D:$D, E$4, Log!$A:$A, "Daily", Log!$B:$B, "n/a"),
        _xlpm.we_camera_on_date, IFERROR(AVERAGEIFS(Log!$F:$F, Log!$D:$D,E$4, Log!$C:$C, $A66, Log!$A:$A, "Daily", Log!$B:$B, "n/a"), 0),
        _xlpm.ie_camera_on_date, IFERROR(AVERAGEIFS(Log!$G:$G, Log!$D:$D,E$4,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6" s="68" t="str">
        <f>IFERROR(
    _xlfn.LET(
        _xlpm.is_data_present, $A66&lt;&gt;0,
        _xlpm.is_camera_present, COUNTIFS(Log!$C:$C, $A66, Log!$D:$D, F$4, Log!$A:$A, "Daily", Log!$B:$B, "n/a"),
        _xlpm.we_camera_on_date, IFERROR(AVERAGEIFS(Log!$F:$F, Log!$D:$D,F$4, Log!$C:$C, $A66, Log!$A:$A, "Daily", Log!$B:$B, "n/a"), 0),
        _xlpm.ie_camera_on_date, IFERROR(AVERAGEIFS(Log!$G:$G, Log!$D:$D,F$4,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6" s="68" t="str">
        <f>IFERROR(
    _xlfn.LET(
        _xlpm.is_data_present, $A66&lt;&gt;0,
        _xlpm.is_camera_present, COUNTIFS(Log!$C:$C, $A66, Log!$D:$D, G$4, Log!$A:$A, "Daily", Log!$B:$B, "n/a"),
        _xlpm.we_camera_on_date, IFERROR(AVERAGEIFS(Log!$F:$F, Log!$D:$D,G$4, Log!$C:$C, $A66, Log!$A:$A, "Daily", Log!$B:$B, "n/a"), 0),
        _xlpm.ie_camera_on_date, IFERROR(AVERAGEIFS(Log!$G:$G, Log!$D:$D,G$4,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6" s="68" t="str">
        <f>IFERROR(
    _xlfn.LET(
        _xlpm.is_data_present, $A66&lt;&gt;0,
        _xlpm.is_camera_present, COUNTIFS(Log!$C:$C, $A66, Log!$D:$D, H$4, Log!$A:$A, "Daily", Log!$B:$B, "n/a"),
        _xlpm.we_camera_on_date, IFERROR(AVERAGEIFS(Log!$F:$F, Log!$D:$D,H$4, Log!$C:$C, $A66, Log!$A:$A, "Daily", Log!$B:$B, "n/a"), 0),
        _xlpm.ie_camera_on_date, IFERROR(AVERAGEIFS(Log!$G:$G, Log!$D:$D,H$4,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6" s="68" t="str">
        <f>IFERROR(
    _xlfn.LET(
        _xlpm.is_data_present, $A66&lt;&gt;0,
        _xlpm.is_camera_present, COUNTIFS(Log!$C:$C, $A66, Log!$D:$D, I$4, Log!$A:$A, "Daily", Log!$B:$B, "n/a"),
        _xlpm.we_camera_on_date, IFERROR(AVERAGEIFS(Log!$F:$F, Log!$D:$D,I$4, Log!$C:$C, $A66, Log!$A:$A, "Daily", Log!$B:$B, "n/a"), 0),
        _xlpm.ie_camera_on_date, IFERROR(AVERAGEIFS(Log!$G:$G, Log!$D:$D,I$4,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6" s="68" t="str">
        <f>IFERROR(
    _xlfn.LET(
        _xlpm.is_data_present, $A66&lt;&gt;0,
        _xlpm.is_camera_present, COUNTIFS(Log!$C:$C, $A66, Log!$D:$D, J$4, Log!$A:$A, "Daily", Log!$B:$B, "n/a"),
        _xlpm.we_camera_on_date, IFERROR(AVERAGEIFS(Log!$F:$F, Log!$D:$D,J$4, Log!$C:$C, $A66, Log!$A:$A, "Daily", Log!$B:$B, "n/a"), 0),
        _xlpm.ie_camera_on_date, IFERROR(AVERAGEIFS(Log!$G:$G, Log!$D:$D,J$4,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6" s="68" t="str">
        <f>IFERROR(
    _xlfn.LET(
        _xlpm.is_data_present, $A66&lt;&gt;0,
        _xlpm.is_camera_present, COUNTIFS(Log!$C:$C, $A66, Log!$D:$D, K$4, Log!$A:$A, "Daily", Log!$B:$B, "n/a"),
        _xlpm.we_camera_on_date, IFERROR(AVERAGEIFS(Log!$F:$F, Log!$D:$D,K$4, Log!$C:$C, $A66, Log!$A:$A, "Daily", Log!$B:$B, "n/a"), 0),
        _xlpm.ie_camera_on_date, IFERROR(AVERAGEIFS(Log!$G:$G, Log!$D:$D,K$4,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6" s="68" t="str">
        <f>IFERROR(
    _xlfn.LET(
        _xlpm.is_data_present, $A66&lt;&gt;0,
        _xlpm.is_camera_present, COUNTIFS(Log!$C:$C, $A66, Log!$D:$D, L$4, Log!$A:$A, "Daily", Log!$B:$B, "n/a"),
        _xlpm.we_camera_on_date, IFERROR(AVERAGEIFS(Log!$F:$F, Log!$D:$D,L$4, Log!$C:$C, $A66, Log!$A:$A, "Daily", Log!$B:$B, "n/a"), 0),
        _xlpm.ie_camera_on_date, IFERROR(AVERAGEIFS(Log!$G:$G, Log!$D:$D,L$4,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6" s="68" t="str">
        <f>IFERROR(
    _xlfn.LET(
        _xlpm.is_data_present, $A66&lt;&gt;0,
        _xlpm.is_camera_present, COUNTIFS(Log!$C:$C, $A66, Log!$D:$D, M$4, Log!$A:$A, "Daily", Log!$B:$B, "n/a"),
        _xlpm.we_camera_on_date, IFERROR(AVERAGEIFS(Log!$F:$F, Log!$D:$D,M$4, Log!$C:$C, $A66, Log!$A:$A, "Daily", Log!$B:$B, "n/a"), 0),
        _xlpm.ie_camera_on_date, IFERROR(AVERAGEIFS(Log!$G:$G, Log!$D:$D,M$4,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6" s="68" t="str">
        <f>IFERROR(
    _xlfn.LET(
        _xlpm.is_data_present, $A66&lt;&gt;0,
        _xlpm.is_camera_present, COUNTIFS(Log!$C:$C, $A66, Log!$D:$D, N$4, Log!$A:$A, "Daily", Log!$B:$B, "n/a"),
        _xlpm.we_camera_on_date, IFERROR(AVERAGEIFS(Log!$F:$F, Log!$D:$D,N$4, Log!$C:$C, $A66, Log!$A:$A, "Daily", Log!$B:$B, "n/a"), 0),
        _xlpm.ie_camera_on_date, IFERROR(AVERAGEIFS(Log!$G:$G, Log!$D:$D,N$4,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6" s="68" t="str">
        <f>IFERROR(
    _xlfn.LET(
        _xlpm.is_data_present, $A66&lt;&gt;0,
        _xlpm.is_camera_present, COUNTIFS(Log!$C:$C, $A66, Log!$D:$D, O$4, Log!$A:$A, "Daily", Log!$B:$B, "n/a"),
        _xlpm.we_camera_on_date, IFERROR(AVERAGEIFS(Log!$F:$F, Log!$D:$D,O$4, Log!$C:$C, $A66, Log!$A:$A, "Daily", Log!$B:$B, "n/a"), 0),
        _xlpm.ie_camera_on_date, IFERROR(AVERAGEIFS(Log!$G:$G, Log!$D:$D,O$4,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6" s="68" t="str">
        <f>IFERROR(
    _xlfn.LET(
        _xlpm.is_data_present, $A66&lt;&gt;0,
        _xlpm.is_camera_present, COUNTIFS(Log!$C:$C, $A66, Log!$D:$D, P$4, Log!$A:$A, "Daily", Log!$B:$B, "n/a"),
        _xlpm.we_camera_on_date, IFERROR(AVERAGEIFS(Log!$F:$F, Log!$D:$D,P$4, Log!$C:$C, $A66, Log!$A:$A, "Daily", Log!$B:$B, "n/a"), 0),
        _xlpm.ie_camera_on_date, IFERROR(AVERAGEIFS(Log!$G:$G, Log!$D:$D,P$4,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6" s="68" t="str">
        <f>IFERROR(
    _xlfn.LET(
        _xlpm.is_data_present, $A66&lt;&gt;0,
        _xlpm.is_camera_present, COUNTIFS(Log!$C:$C, $A66, Log!$D:$D, Q$4, Log!$A:$A, "Daily", Log!$B:$B, "n/a"),
        _xlpm.we_camera_on_date, IFERROR(AVERAGEIFS(Log!$F:$F, Log!$D:$D,Q$4, Log!$C:$C, $A66, Log!$A:$A, "Daily", Log!$B:$B, "n/a"), 0),
        _xlpm.ie_camera_on_date, IFERROR(AVERAGEIFS(Log!$G:$G, Log!$D:$D,Q$4,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6" s="68" t="str">
        <f>IFERROR(
    _xlfn.LET(
        _xlpm.is_data_present, $A66&lt;&gt;0,
        _xlpm.is_camera_present, COUNTIFS(Log!$C:$C, $A66, Log!$D:$D, R$4, Log!$A:$A, "Daily", Log!$B:$B, "n/a"),
        _xlpm.we_camera_on_date, IFERROR(AVERAGEIFS(Log!$F:$F, Log!$D:$D,R$4, Log!$C:$C, $A66, Log!$A:$A, "Daily", Log!$B:$B, "n/a"), 0),
        _xlpm.ie_camera_on_date, IFERROR(AVERAGEIFS(Log!$G:$G, Log!$D:$D,R$4,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6" s="68" t="str">
        <f>IFERROR(
    _xlfn.LET(
        _xlpm.is_data_present, $A66&lt;&gt;0,
        _xlpm.is_camera_present, COUNTIFS(Log!$C:$C, $A66, Log!$D:$D, S$4, Log!$A:$A, "Daily", Log!$B:$B, "n/a"),
        _xlpm.we_camera_on_date, IFERROR(AVERAGEIFS(Log!$F:$F, Log!$D:$D,S$4, Log!$C:$C, $A66, Log!$A:$A, "Daily", Log!$B:$B, "n/a"), 0),
        _xlpm.ie_camera_on_date, IFERROR(AVERAGEIFS(Log!$G:$G, Log!$D:$D,S$4, Log!$C:$C, $A66, Log!$A:$A, "Daily", Log!$B:$B, "n/a"), 0),
        _xlpm.we_avg, IFERROR(AVERAGEIFS(Log!$F:$F,Log!$C:$C,$A66, Log!$A:$A, "Daily", Log!$B:$B, "n/a"),0),
        _xlpm.ie_avg, IFERROR(AVERAGEIFS(Log!$G:$G,Log!$C:$C,$A66,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7" spans="2:19" x14ac:dyDescent="0.3">
      <c r="B67" s="68" t="str">
        <f>IFERROR(
    _xlfn.LET(
        _xlpm.is_data_present, $A67&lt;&gt;0,
        _xlpm.is_camera_present, COUNTIFS(Log!$C:$C, $A67, Log!$D:$D, B$4, Log!$A:$A, "Daily", Log!$B:$B, "n/a"),
        _xlpm.we_camera_on_date, IFERROR(AVERAGEIFS(Log!$F:$F, Log!$D:$D,B$4, Log!$C:$C, $A67, Log!$A:$A, "Daily", Log!$B:$B, "n/a"), 0),
        _xlpm.ie_camera_on_date, IFERROR(AVERAGEIFS(Log!$G:$G, Log!$D:$D,B$4,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7" s="68" t="str">
        <f>IFERROR(
    _xlfn.LET(
        _xlpm.is_data_present, $A67&lt;&gt;0,
        _xlpm.is_camera_present, COUNTIFS(Log!$C:$C, $A67, Log!$D:$D, C$4, Log!$A:$A, "Daily", Log!$B:$B, "n/a"),
        _xlpm.we_camera_on_date, IFERROR(AVERAGEIFS(Log!$F:$F, Log!$D:$D,C$4, Log!$C:$C, $A67, Log!$A:$A, "Daily", Log!$B:$B, "n/a"), 0),
        _xlpm.ie_camera_on_date, IFERROR(AVERAGEIFS(Log!$G:$G, Log!$D:$D,C$4,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7" s="68" t="str">
        <f>IFERROR(
    _xlfn.LET(
        _xlpm.is_data_present, $A67&lt;&gt;0,
        _xlpm.is_camera_present, COUNTIFS(Log!$C:$C, $A67, Log!$D:$D, D$4, Log!$A:$A, "Daily", Log!$B:$B, "n/a"),
        _xlpm.we_camera_on_date, IFERROR(AVERAGEIFS(Log!$F:$F, Log!$D:$D,D$4, Log!$C:$C, $A67, Log!$A:$A, "Daily", Log!$B:$B, "n/a"), 0),
        _xlpm.ie_camera_on_date, IFERROR(AVERAGEIFS(Log!$G:$G, Log!$D:$D,D$4,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7" s="68" t="str">
        <f>IFERROR(
    _xlfn.LET(
        _xlpm.is_data_present, $A67&lt;&gt;0,
        _xlpm.is_camera_present, COUNTIFS(Log!$C:$C, $A67, Log!$D:$D, E$4, Log!$A:$A, "Daily", Log!$B:$B, "n/a"),
        _xlpm.we_camera_on_date, IFERROR(AVERAGEIFS(Log!$F:$F, Log!$D:$D,E$4, Log!$C:$C, $A67, Log!$A:$A, "Daily", Log!$B:$B, "n/a"), 0),
        _xlpm.ie_camera_on_date, IFERROR(AVERAGEIFS(Log!$G:$G, Log!$D:$D,E$4,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7" s="68" t="str">
        <f>IFERROR(
    _xlfn.LET(
        _xlpm.is_data_present, $A67&lt;&gt;0,
        _xlpm.is_camera_present, COUNTIFS(Log!$C:$C, $A67, Log!$D:$D, F$4, Log!$A:$A, "Daily", Log!$B:$B, "n/a"),
        _xlpm.we_camera_on_date, IFERROR(AVERAGEIFS(Log!$F:$F, Log!$D:$D,F$4, Log!$C:$C, $A67, Log!$A:$A, "Daily", Log!$B:$B, "n/a"), 0),
        _xlpm.ie_camera_on_date, IFERROR(AVERAGEIFS(Log!$G:$G, Log!$D:$D,F$4,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7" s="68" t="str">
        <f>IFERROR(
    _xlfn.LET(
        _xlpm.is_data_present, $A67&lt;&gt;0,
        _xlpm.is_camera_present, COUNTIFS(Log!$C:$C, $A67, Log!$D:$D, G$4, Log!$A:$A, "Daily", Log!$B:$B, "n/a"),
        _xlpm.we_camera_on_date, IFERROR(AVERAGEIFS(Log!$F:$F, Log!$D:$D,G$4, Log!$C:$C, $A67, Log!$A:$A, "Daily", Log!$B:$B, "n/a"), 0),
        _xlpm.ie_camera_on_date, IFERROR(AVERAGEIFS(Log!$G:$G, Log!$D:$D,G$4,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7" s="68" t="str">
        <f>IFERROR(
    _xlfn.LET(
        _xlpm.is_data_present, $A67&lt;&gt;0,
        _xlpm.is_camera_present, COUNTIFS(Log!$C:$C, $A67, Log!$D:$D, H$4, Log!$A:$A, "Daily", Log!$B:$B, "n/a"),
        _xlpm.we_camera_on_date, IFERROR(AVERAGEIFS(Log!$F:$F, Log!$D:$D,H$4, Log!$C:$C, $A67, Log!$A:$A, "Daily", Log!$B:$B, "n/a"), 0),
        _xlpm.ie_camera_on_date, IFERROR(AVERAGEIFS(Log!$G:$G, Log!$D:$D,H$4,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7" s="68" t="str">
        <f>IFERROR(
    _xlfn.LET(
        _xlpm.is_data_present, $A67&lt;&gt;0,
        _xlpm.is_camera_present, COUNTIFS(Log!$C:$C, $A67, Log!$D:$D, I$4, Log!$A:$A, "Daily", Log!$B:$B, "n/a"),
        _xlpm.we_camera_on_date, IFERROR(AVERAGEIFS(Log!$F:$F, Log!$D:$D,I$4, Log!$C:$C, $A67, Log!$A:$A, "Daily", Log!$B:$B, "n/a"), 0),
        _xlpm.ie_camera_on_date, IFERROR(AVERAGEIFS(Log!$G:$G, Log!$D:$D,I$4,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7" s="68" t="str">
        <f>IFERROR(
    _xlfn.LET(
        _xlpm.is_data_present, $A67&lt;&gt;0,
        _xlpm.is_camera_present, COUNTIFS(Log!$C:$C, $A67, Log!$D:$D, J$4, Log!$A:$A, "Daily", Log!$B:$B, "n/a"),
        _xlpm.we_camera_on_date, IFERROR(AVERAGEIFS(Log!$F:$F, Log!$D:$D,J$4, Log!$C:$C, $A67, Log!$A:$A, "Daily", Log!$B:$B, "n/a"), 0),
        _xlpm.ie_camera_on_date, IFERROR(AVERAGEIFS(Log!$G:$G, Log!$D:$D,J$4,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7" s="68" t="str">
        <f>IFERROR(
    _xlfn.LET(
        _xlpm.is_data_present, $A67&lt;&gt;0,
        _xlpm.is_camera_present, COUNTIFS(Log!$C:$C, $A67, Log!$D:$D, K$4, Log!$A:$A, "Daily", Log!$B:$B, "n/a"),
        _xlpm.we_camera_on_date, IFERROR(AVERAGEIFS(Log!$F:$F, Log!$D:$D,K$4, Log!$C:$C, $A67, Log!$A:$A, "Daily", Log!$B:$B, "n/a"), 0),
        _xlpm.ie_camera_on_date, IFERROR(AVERAGEIFS(Log!$G:$G, Log!$D:$D,K$4,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7" s="68" t="str">
        <f>IFERROR(
    _xlfn.LET(
        _xlpm.is_data_present, $A67&lt;&gt;0,
        _xlpm.is_camera_present, COUNTIFS(Log!$C:$C, $A67, Log!$D:$D, L$4, Log!$A:$A, "Daily", Log!$B:$B, "n/a"),
        _xlpm.we_camera_on_date, IFERROR(AVERAGEIFS(Log!$F:$F, Log!$D:$D,L$4, Log!$C:$C, $A67, Log!$A:$A, "Daily", Log!$B:$B, "n/a"), 0),
        _xlpm.ie_camera_on_date, IFERROR(AVERAGEIFS(Log!$G:$G, Log!$D:$D,L$4,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7" s="68" t="str">
        <f>IFERROR(
    _xlfn.LET(
        _xlpm.is_data_present, $A67&lt;&gt;0,
        _xlpm.is_camera_present, COUNTIFS(Log!$C:$C, $A67, Log!$D:$D, M$4, Log!$A:$A, "Daily", Log!$B:$B, "n/a"),
        _xlpm.we_camera_on_date, IFERROR(AVERAGEIFS(Log!$F:$F, Log!$D:$D,M$4, Log!$C:$C, $A67, Log!$A:$A, "Daily", Log!$B:$B, "n/a"), 0),
        _xlpm.ie_camera_on_date, IFERROR(AVERAGEIFS(Log!$G:$G, Log!$D:$D,M$4,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7" s="68" t="str">
        <f>IFERROR(
    _xlfn.LET(
        _xlpm.is_data_present, $A67&lt;&gt;0,
        _xlpm.is_camera_present, COUNTIFS(Log!$C:$C, $A67, Log!$D:$D, N$4, Log!$A:$A, "Daily", Log!$B:$B, "n/a"),
        _xlpm.we_camera_on_date, IFERROR(AVERAGEIFS(Log!$F:$F, Log!$D:$D,N$4, Log!$C:$C, $A67, Log!$A:$A, "Daily", Log!$B:$B, "n/a"), 0),
        _xlpm.ie_camera_on_date, IFERROR(AVERAGEIFS(Log!$G:$G, Log!$D:$D,N$4,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7" s="68" t="str">
        <f>IFERROR(
    _xlfn.LET(
        _xlpm.is_data_present, $A67&lt;&gt;0,
        _xlpm.is_camera_present, COUNTIFS(Log!$C:$C, $A67, Log!$D:$D, O$4, Log!$A:$A, "Daily", Log!$B:$B, "n/a"),
        _xlpm.we_camera_on_date, IFERROR(AVERAGEIFS(Log!$F:$F, Log!$D:$D,O$4, Log!$C:$C, $A67, Log!$A:$A, "Daily", Log!$B:$B, "n/a"), 0),
        _xlpm.ie_camera_on_date, IFERROR(AVERAGEIFS(Log!$G:$G, Log!$D:$D,O$4,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7" s="68" t="str">
        <f>IFERROR(
    _xlfn.LET(
        _xlpm.is_data_present, $A67&lt;&gt;0,
        _xlpm.is_camera_present, COUNTIFS(Log!$C:$C, $A67, Log!$D:$D, P$4, Log!$A:$A, "Daily", Log!$B:$B, "n/a"),
        _xlpm.we_camera_on_date, IFERROR(AVERAGEIFS(Log!$F:$F, Log!$D:$D,P$4, Log!$C:$C, $A67, Log!$A:$A, "Daily", Log!$B:$B, "n/a"), 0),
        _xlpm.ie_camera_on_date, IFERROR(AVERAGEIFS(Log!$G:$G, Log!$D:$D,P$4,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7" s="68" t="str">
        <f>IFERROR(
    _xlfn.LET(
        _xlpm.is_data_present, $A67&lt;&gt;0,
        _xlpm.is_camera_present, COUNTIFS(Log!$C:$C, $A67, Log!$D:$D, Q$4, Log!$A:$A, "Daily", Log!$B:$B, "n/a"),
        _xlpm.we_camera_on_date, IFERROR(AVERAGEIFS(Log!$F:$F, Log!$D:$D,Q$4, Log!$C:$C, $A67, Log!$A:$A, "Daily", Log!$B:$B, "n/a"), 0),
        _xlpm.ie_camera_on_date, IFERROR(AVERAGEIFS(Log!$G:$G, Log!$D:$D,Q$4,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7" s="68" t="str">
        <f>IFERROR(
    _xlfn.LET(
        _xlpm.is_data_present, $A67&lt;&gt;0,
        _xlpm.is_camera_present, COUNTIFS(Log!$C:$C, $A67, Log!$D:$D, R$4, Log!$A:$A, "Daily", Log!$B:$B, "n/a"),
        _xlpm.we_camera_on_date, IFERROR(AVERAGEIFS(Log!$F:$F, Log!$D:$D,R$4, Log!$C:$C, $A67, Log!$A:$A, "Daily", Log!$B:$B, "n/a"), 0),
        _xlpm.ie_camera_on_date, IFERROR(AVERAGEIFS(Log!$G:$G, Log!$D:$D,R$4,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7" s="68" t="str">
        <f>IFERROR(
    _xlfn.LET(
        _xlpm.is_data_present, $A67&lt;&gt;0,
        _xlpm.is_camera_present, COUNTIFS(Log!$C:$C, $A67, Log!$D:$D, S$4, Log!$A:$A, "Daily", Log!$B:$B, "n/a"),
        _xlpm.we_camera_on_date, IFERROR(AVERAGEIFS(Log!$F:$F, Log!$D:$D,S$4, Log!$C:$C, $A67, Log!$A:$A, "Daily", Log!$B:$B, "n/a"), 0),
        _xlpm.ie_camera_on_date, IFERROR(AVERAGEIFS(Log!$G:$G, Log!$D:$D,S$4, Log!$C:$C, $A67, Log!$A:$A, "Daily", Log!$B:$B, "n/a"), 0),
        _xlpm.we_avg, IFERROR(AVERAGEIFS(Log!$F:$F,Log!$C:$C,$A67, Log!$A:$A, "Daily", Log!$B:$B, "n/a"),0),
        _xlpm.ie_avg, IFERROR(AVERAGEIFS(Log!$G:$G,Log!$C:$C,$A67,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8" spans="2:19" x14ac:dyDescent="0.3">
      <c r="B68" s="68" t="str">
        <f>IFERROR(
    _xlfn.LET(
        _xlpm.is_data_present, $A68&lt;&gt;0,
        _xlpm.is_camera_present, COUNTIFS(Log!$C:$C, $A68, Log!$D:$D, B$4, Log!$A:$A, "Daily", Log!$B:$B, "n/a"),
        _xlpm.we_camera_on_date, IFERROR(AVERAGEIFS(Log!$F:$F, Log!$D:$D,B$4, Log!$C:$C, $A68, Log!$A:$A, "Daily", Log!$B:$B, "n/a"), 0),
        _xlpm.ie_camera_on_date, IFERROR(AVERAGEIFS(Log!$G:$G, Log!$D:$D,B$4,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8" s="68" t="str">
        <f>IFERROR(
    _xlfn.LET(
        _xlpm.is_data_present, $A68&lt;&gt;0,
        _xlpm.is_camera_present, COUNTIFS(Log!$C:$C, $A68, Log!$D:$D, C$4, Log!$A:$A, "Daily", Log!$B:$B, "n/a"),
        _xlpm.we_camera_on_date, IFERROR(AVERAGEIFS(Log!$F:$F, Log!$D:$D,C$4, Log!$C:$C, $A68, Log!$A:$A, "Daily", Log!$B:$B, "n/a"), 0),
        _xlpm.ie_camera_on_date, IFERROR(AVERAGEIFS(Log!$G:$G, Log!$D:$D,C$4,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8" s="68" t="str">
        <f>IFERROR(
    _xlfn.LET(
        _xlpm.is_data_present, $A68&lt;&gt;0,
        _xlpm.is_camera_present, COUNTIFS(Log!$C:$C, $A68, Log!$D:$D, D$4, Log!$A:$A, "Daily", Log!$B:$B, "n/a"),
        _xlpm.we_camera_on_date, IFERROR(AVERAGEIFS(Log!$F:$F, Log!$D:$D,D$4, Log!$C:$C, $A68, Log!$A:$A, "Daily", Log!$B:$B, "n/a"), 0),
        _xlpm.ie_camera_on_date, IFERROR(AVERAGEIFS(Log!$G:$G, Log!$D:$D,D$4,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8" s="68" t="str">
        <f>IFERROR(
    _xlfn.LET(
        _xlpm.is_data_present, $A68&lt;&gt;0,
        _xlpm.is_camera_present, COUNTIFS(Log!$C:$C, $A68, Log!$D:$D, E$4, Log!$A:$A, "Daily", Log!$B:$B, "n/a"),
        _xlpm.we_camera_on_date, IFERROR(AVERAGEIFS(Log!$F:$F, Log!$D:$D,E$4, Log!$C:$C, $A68, Log!$A:$A, "Daily", Log!$B:$B, "n/a"), 0),
        _xlpm.ie_camera_on_date, IFERROR(AVERAGEIFS(Log!$G:$G, Log!$D:$D,E$4,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8" s="68" t="str">
        <f>IFERROR(
    _xlfn.LET(
        _xlpm.is_data_present, $A68&lt;&gt;0,
        _xlpm.is_camera_present, COUNTIFS(Log!$C:$C, $A68, Log!$D:$D, F$4, Log!$A:$A, "Daily", Log!$B:$B, "n/a"),
        _xlpm.we_camera_on_date, IFERROR(AVERAGEIFS(Log!$F:$F, Log!$D:$D,F$4, Log!$C:$C, $A68, Log!$A:$A, "Daily", Log!$B:$B, "n/a"), 0),
        _xlpm.ie_camera_on_date, IFERROR(AVERAGEIFS(Log!$G:$G, Log!$D:$D,F$4,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8" s="68" t="str">
        <f>IFERROR(
    _xlfn.LET(
        _xlpm.is_data_present, $A68&lt;&gt;0,
        _xlpm.is_camera_present, COUNTIFS(Log!$C:$C, $A68, Log!$D:$D, G$4, Log!$A:$A, "Daily", Log!$B:$B, "n/a"),
        _xlpm.we_camera_on_date, IFERROR(AVERAGEIFS(Log!$F:$F, Log!$D:$D,G$4, Log!$C:$C, $A68, Log!$A:$A, "Daily", Log!$B:$B, "n/a"), 0),
        _xlpm.ie_camera_on_date, IFERROR(AVERAGEIFS(Log!$G:$G, Log!$D:$D,G$4,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8" s="68" t="str">
        <f>IFERROR(
    _xlfn.LET(
        _xlpm.is_data_present, $A68&lt;&gt;0,
        _xlpm.is_camera_present, COUNTIFS(Log!$C:$C, $A68, Log!$D:$D, H$4, Log!$A:$A, "Daily", Log!$B:$B, "n/a"),
        _xlpm.we_camera_on_date, IFERROR(AVERAGEIFS(Log!$F:$F, Log!$D:$D,H$4, Log!$C:$C, $A68, Log!$A:$A, "Daily", Log!$B:$B, "n/a"), 0),
        _xlpm.ie_camera_on_date, IFERROR(AVERAGEIFS(Log!$G:$G, Log!$D:$D,H$4,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8" s="68" t="str">
        <f>IFERROR(
    _xlfn.LET(
        _xlpm.is_data_present, $A68&lt;&gt;0,
        _xlpm.is_camera_present, COUNTIFS(Log!$C:$C, $A68, Log!$D:$D, I$4, Log!$A:$A, "Daily", Log!$B:$B, "n/a"),
        _xlpm.we_camera_on_date, IFERROR(AVERAGEIFS(Log!$F:$F, Log!$D:$D,I$4, Log!$C:$C, $A68, Log!$A:$A, "Daily", Log!$B:$B, "n/a"), 0),
        _xlpm.ie_camera_on_date, IFERROR(AVERAGEIFS(Log!$G:$G, Log!$D:$D,I$4,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8" s="68" t="str">
        <f>IFERROR(
    _xlfn.LET(
        _xlpm.is_data_present, $A68&lt;&gt;0,
        _xlpm.is_camera_present, COUNTIFS(Log!$C:$C, $A68, Log!$D:$D, J$4, Log!$A:$A, "Daily", Log!$B:$B, "n/a"),
        _xlpm.we_camera_on_date, IFERROR(AVERAGEIFS(Log!$F:$F, Log!$D:$D,J$4, Log!$C:$C, $A68, Log!$A:$A, "Daily", Log!$B:$B, "n/a"), 0),
        _xlpm.ie_camera_on_date, IFERROR(AVERAGEIFS(Log!$G:$G, Log!$D:$D,J$4,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8" s="68" t="str">
        <f>IFERROR(
    _xlfn.LET(
        _xlpm.is_data_present, $A68&lt;&gt;0,
        _xlpm.is_camera_present, COUNTIFS(Log!$C:$C, $A68, Log!$D:$D, K$4, Log!$A:$A, "Daily", Log!$B:$B, "n/a"),
        _xlpm.we_camera_on_date, IFERROR(AVERAGEIFS(Log!$F:$F, Log!$D:$D,K$4, Log!$C:$C, $A68, Log!$A:$A, "Daily", Log!$B:$B, "n/a"), 0),
        _xlpm.ie_camera_on_date, IFERROR(AVERAGEIFS(Log!$G:$G, Log!$D:$D,K$4,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8" s="68" t="str">
        <f>IFERROR(
    _xlfn.LET(
        _xlpm.is_data_present, $A68&lt;&gt;0,
        _xlpm.is_camera_present, COUNTIFS(Log!$C:$C, $A68, Log!$D:$D, L$4, Log!$A:$A, "Daily", Log!$B:$B, "n/a"),
        _xlpm.we_camera_on_date, IFERROR(AVERAGEIFS(Log!$F:$F, Log!$D:$D,L$4, Log!$C:$C, $A68, Log!$A:$A, "Daily", Log!$B:$B, "n/a"), 0),
        _xlpm.ie_camera_on_date, IFERROR(AVERAGEIFS(Log!$G:$G, Log!$D:$D,L$4,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8" s="68" t="str">
        <f>IFERROR(
    _xlfn.LET(
        _xlpm.is_data_present, $A68&lt;&gt;0,
        _xlpm.is_camera_present, COUNTIFS(Log!$C:$C, $A68, Log!$D:$D, M$4, Log!$A:$A, "Daily", Log!$B:$B, "n/a"),
        _xlpm.we_camera_on_date, IFERROR(AVERAGEIFS(Log!$F:$F, Log!$D:$D,M$4, Log!$C:$C, $A68, Log!$A:$A, "Daily", Log!$B:$B, "n/a"), 0),
        _xlpm.ie_camera_on_date, IFERROR(AVERAGEIFS(Log!$G:$G, Log!$D:$D,M$4,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8" s="68" t="str">
        <f>IFERROR(
    _xlfn.LET(
        _xlpm.is_data_present, $A68&lt;&gt;0,
        _xlpm.is_camera_present, COUNTIFS(Log!$C:$C, $A68, Log!$D:$D, N$4, Log!$A:$A, "Daily", Log!$B:$B, "n/a"),
        _xlpm.we_camera_on_date, IFERROR(AVERAGEIFS(Log!$F:$F, Log!$D:$D,N$4, Log!$C:$C, $A68, Log!$A:$A, "Daily", Log!$B:$B, "n/a"), 0),
        _xlpm.ie_camera_on_date, IFERROR(AVERAGEIFS(Log!$G:$G, Log!$D:$D,N$4,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8" s="68" t="str">
        <f>IFERROR(
    _xlfn.LET(
        _xlpm.is_data_present, $A68&lt;&gt;0,
        _xlpm.is_camera_present, COUNTIFS(Log!$C:$C, $A68, Log!$D:$D, O$4, Log!$A:$A, "Daily", Log!$B:$B, "n/a"),
        _xlpm.we_camera_on_date, IFERROR(AVERAGEIFS(Log!$F:$F, Log!$D:$D,O$4, Log!$C:$C, $A68, Log!$A:$A, "Daily", Log!$B:$B, "n/a"), 0),
        _xlpm.ie_camera_on_date, IFERROR(AVERAGEIFS(Log!$G:$G, Log!$D:$D,O$4,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8" s="68" t="str">
        <f>IFERROR(
    _xlfn.LET(
        _xlpm.is_data_present, $A68&lt;&gt;0,
        _xlpm.is_camera_present, COUNTIFS(Log!$C:$C, $A68, Log!$D:$D, P$4, Log!$A:$A, "Daily", Log!$B:$B, "n/a"),
        _xlpm.we_camera_on_date, IFERROR(AVERAGEIFS(Log!$F:$F, Log!$D:$D,P$4, Log!$C:$C, $A68, Log!$A:$A, "Daily", Log!$B:$B, "n/a"), 0),
        _xlpm.ie_camera_on_date, IFERROR(AVERAGEIFS(Log!$G:$G, Log!$D:$D,P$4,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8" s="68" t="str">
        <f>IFERROR(
    _xlfn.LET(
        _xlpm.is_data_present, $A68&lt;&gt;0,
        _xlpm.is_camera_present, COUNTIFS(Log!$C:$C, $A68, Log!$D:$D, Q$4, Log!$A:$A, "Daily", Log!$B:$B, "n/a"),
        _xlpm.we_camera_on_date, IFERROR(AVERAGEIFS(Log!$F:$F, Log!$D:$D,Q$4, Log!$C:$C, $A68, Log!$A:$A, "Daily", Log!$B:$B, "n/a"), 0),
        _xlpm.ie_camera_on_date, IFERROR(AVERAGEIFS(Log!$G:$G, Log!$D:$D,Q$4,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8" s="68" t="str">
        <f>IFERROR(
    _xlfn.LET(
        _xlpm.is_data_present, $A68&lt;&gt;0,
        _xlpm.is_camera_present, COUNTIFS(Log!$C:$C, $A68, Log!$D:$D, R$4, Log!$A:$A, "Daily", Log!$B:$B, "n/a"),
        _xlpm.we_camera_on_date, IFERROR(AVERAGEIFS(Log!$F:$F, Log!$D:$D,R$4, Log!$C:$C, $A68, Log!$A:$A, "Daily", Log!$B:$B, "n/a"), 0),
        _xlpm.ie_camera_on_date, IFERROR(AVERAGEIFS(Log!$G:$G, Log!$D:$D,R$4,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8" s="68" t="str">
        <f>IFERROR(
    _xlfn.LET(
        _xlpm.is_data_present, $A68&lt;&gt;0,
        _xlpm.is_camera_present, COUNTIFS(Log!$C:$C, $A68, Log!$D:$D, S$4, Log!$A:$A, "Daily", Log!$B:$B, "n/a"),
        _xlpm.we_camera_on_date, IFERROR(AVERAGEIFS(Log!$F:$F, Log!$D:$D,S$4, Log!$C:$C, $A68, Log!$A:$A, "Daily", Log!$B:$B, "n/a"), 0),
        _xlpm.ie_camera_on_date, IFERROR(AVERAGEIFS(Log!$G:$G, Log!$D:$D,S$4, Log!$C:$C, $A68, Log!$A:$A, "Daily", Log!$B:$B, "n/a"), 0),
        _xlpm.we_avg, IFERROR(AVERAGEIFS(Log!$F:$F,Log!$C:$C,$A68, Log!$A:$A, "Daily", Log!$B:$B, "n/a"),0),
        _xlpm.ie_avg, IFERROR(AVERAGEIFS(Log!$G:$G,Log!$C:$C,$A68,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69" spans="2:19" x14ac:dyDescent="0.3">
      <c r="B69" s="68" t="str">
        <f>IFERROR(
    _xlfn.LET(
        _xlpm.is_data_present, $A69&lt;&gt;0,
        _xlpm.is_camera_present, COUNTIFS(Log!$C:$C, $A69, Log!$D:$D, B$4, Log!$A:$A, "Daily", Log!$B:$B, "n/a"),
        _xlpm.we_camera_on_date, IFERROR(AVERAGEIFS(Log!$F:$F, Log!$D:$D,B$4, Log!$C:$C, $A69, Log!$A:$A, "Daily", Log!$B:$B, "n/a"), 0),
        _xlpm.ie_camera_on_date, IFERROR(AVERAGEIFS(Log!$G:$G, Log!$D:$D,B$4,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69" s="68" t="str">
        <f>IFERROR(
    _xlfn.LET(
        _xlpm.is_data_present, $A69&lt;&gt;0,
        _xlpm.is_camera_present, COUNTIFS(Log!$C:$C, $A69, Log!$D:$D, C$4, Log!$A:$A, "Daily", Log!$B:$B, "n/a"),
        _xlpm.we_camera_on_date, IFERROR(AVERAGEIFS(Log!$F:$F, Log!$D:$D,C$4, Log!$C:$C, $A69, Log!$A:$A, "Daily", Log!$B:$B, "n/a"), 0),
        _xlpm.ie_camera_on_date, IFERROR(AVERAGEIFS(Log!$G:$G, Log!$D:$D,C$4,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69" s="68" t="str">
        <f>IFERROR(
    _xlfn.LET(
        _xlpm.is_data_present, $A69&lt;&gt;0,
        _xlpm.is_camera_present, COUNTIFS(Log!$C:$C, $A69, Log!$D:$D, D$4, Log!$A:$A, "Daily", Log!$B:$B, "n/a"),
        _xlpm.we_camera_on_date, IFERROR(AVERAGEIFS(Log!$F:$F, Log!$D:$D,D$4, Log!$C:$C, $A69, Log!$A:$A, "Daily", Log!$B:$B, "n/a"), 0),
        _xlpm.ie_camera_on_date, IFERROR(AVERAGEIFS(Log!$G:$G, Log!$D:$D,D$4,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69" s="68" t="str">
        <f>IFERROR(
    _xlfn.LET(
        _xlpm.is_data_present, $A69&lt;&gt;0,
        _xlpm.is_camera_present, COUNTIFS(Log!$C:$C, $A69, Log!$D:$D, E$4, Log!$A:$A, "Daily", Log!$B:$B, "n/a"),
        _xlpm.we_camera_on_date, IFERROR(AVERAGEIFS(Log!$F:$F, Log!$D:$D,E$4, Log!$C:$C, $A69, Log!$A:$A, "Daily", Log!$B:$B, "n/a"), 0),
        _xlpm.ie_camera_on_date, IFERROR(AVERAGEIFS(Log!$G:$G, Log!$D:$D,E$4,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69" s="68" t="str">
        <f>IFERROR(
    _xlfn.LET(
        _xlpm.is_data_present, $A69&lt;&gt;0,
        _xlpm.is_camera_present, COUNTIFS(Log!$C:$C, $A69, Log!$D:$D, F$4, Log!$A:$A, "Daily", Log!$B:$B, "n/a"),
        _xlpm.we_camera_on_date, IFERROR(AVERAGEIFS(Log!$F:$F, Log!$D:$D,F$4, Log!$C:$C, $A69, Log!$A:$A, "Daily", Log!$B:$B, "n/a"), 0),
        _xlpm.ie_camera_on_date, IFERROR(AVERAGEIFS(Log!$G:$G, Log!$D:$D,F$4,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69" s="68" t="str">
        <f>IFERROR(
    _xlfn.LET(
        _xlpm.is_data_present, $A69&lt;&gt;0,
        _xlpm.is_camera_present, COUNTIFS(Log!$C:$C, $A69, Log!$D:$D, G$4, Log!$A:$A, "Daily", Log!$B:$B, "n/a"),
        _xlpm.we_camera_on_date, IFERROR(AVERAGEIFS(Log!$F:$F, Log!$D:$D,G$4, Log!$C:$C, $A69, Log!$A:$A, "Daily", Log!$B:$B, "n/a"), 0),
        _xlpm.ie_camera_on_date, IFERROR(AVERAGEIFS(Log!$G:$G, Log!$D:$D,G$4,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69" s="68" t="str">
        <f>IFERROR(
    _xlfn.LET(
        _xlpm.is_data_present, $A69&lt;&gt;0,
        _xlpm.is_camera_present, COUNTIFS(Log!$C:$C, $A69, Log!$D:$D, H$4, Log!$A:$A, "Daily", Log!$B:$B, "n/a"),
        _xlpm.we_camera_on_date, IFERROR(AVERAGEIFS(Log!$F:$F, Log!$D:$D,H$4, Log!$C:$C, $A69, Log!$A:$A, "Daily", Log!$B:$B, "n/a"), 0),
        _xlpm.ie_camera_on_date, IFERROR(AVERAGEIFS(Log!$G:$G, Log!$D:$D,H$4,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69" s="68" t="str">
        <f>IFERROR(
    _xlfn.LET(
        _xlpm.is_data_present, $A69&lt;&gt;0,
        _xlpm.is_camera_present, COUNTIFS(Log!$C:$C, $A69, Log!$D:$D, I$4, Log!$A:$A, "Daily", Log!$B:$B, "n/a"),
        _xlpm.we_camera_on_date, IFERROR(AVERAGEIFS(Log!$F:$F, Log!$D:$D,I$4, Log!$C:$C, $A69, Log!$A:$A, "Daily", Log!$B:$B, "n/a"), 0),
        _xlpm.ie_camera_on_date, IFERROR(AVERAGEIFS(Log!$G:$G, Log!$D:$D,I$4,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69" s="68" t="str">
        <f>IFERROR(
    _xlfn.LET(
        _xlpm.is_data_present, $A69&lt;&gt;0,
        _xlpm.is_camera_present, COUNTIFS(Log!$C:$C, $A69, Log!$D:$D, J$4, Log!$A:$A, "Daily", Log!$B:$B, "n/a"),
        _xlpm.we_camera_on_date, IFERROR(AVERAGEIFS(Log!$F:$F, Log!$D:$D,J$4, Log!$C:$C, $A69, Log!$A:$A, "Daily", Log!$B:$B, "n/a"), 0),
        _xlpm.ie_camera_on_date, IFERROR(AVERAGEIFS(Log!$G:$G, Log!$D:$D,J$4,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69" s="68" t="str">
        <f>IFERROR(
    _xlfn.LET(
        _xlpm.is_data_present, $A69&lt;&gt;0,
        _xlpm.is_camera_present, COUNTIFS(Log!$C:$C, $A69, Log!$D:$D, K$4, Log!$A:$A, "Daily", Log!$B:$B, "n/a"),
        _xlpm.we_camera_on_date, IFERROR(AVERAGEIFS(Log!$F:$F, Log!$D:$D,K$4, Log!$C:$C, $A69, Log!$A:$A, "Daily", Log!$B:$B, "n/a"), 0),
        _xlpm.ie_camera_on_date, IFERROR(AVERAGEIFS(Log!$G:$G, Log!$D:$D,K$4,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69" s="68" t="str">
        <f>IFERROR(
    _xlfn.LET(
        _xlpm.is_data_present, $A69&lt;&gt;0,
        _xlpm.is_camera_present, COUNTIFS(Log!$C:$C, $A69, Log!$D:$D, L$4, Log!$A:$A, "Daily", Log!$B:$B, "n/a"),
        _xlpm.we_camera_on_date, IFERROR(AVERAGEIFS(Log!$F:$F, Log!$D:$D,L$4, Log!$C:$C, $A69, Log!$A:$A, "Daily", Log!$B:$B, "n/a"), 0),
        _xlpm.ie_camera_on_date, IFERROR(AVERAGEIFS(Log!$G:$G, Log!$D:$D,L$4,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69" s="68" t="str">
        <f>IFERROR(
    _xlfn.LET(
        _xlpm.is_data_present, $A69&lt;&gt;0,
        _xlpm.is_camera_present, COUNTIFS(Log!$C:$C, $A69, Log!$D:$D, M$4, Log!$A:$A, "Daily", Log!$B:$B, "n/a"),
        _xlpm.we_camera_on_date, IFERROR(AVERAGEIFS(Log!$F:$F, Log!$D:$D,M$4, Log!$C:$C, $A69, Log!$A:$A, "Daily", Log!$B:$B, "n/a"), 0),
        _xlpm.ie_camera_on_date, IFERROR(AVERAGEIFS(Log!$G:$G, Log!$D:$D,M$4,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69" s="68" t="str">
        <f>IFERROR(
    _xlfn.LET(
        _xlpm.is_data_present, $A69&lt;&gt;0,
        _xlpm.is_camera_present, COUNTIFS(Log!$C:$C, $A69, Log!$D:$D, N$4, Log!$A:$A, "Daily", Log!$B:$B, "n/a"),
        _xlpm.we_camera_on_date, IFERROR(AVERAGEIFS(Log!$F:$F, Log!$D:$D,N$4, Log!$C:$C, $A69, Log!$A:$A, "Daily", Log!$B:$B, "n/a"), 0),
        _xlpm.ie_camera_on_date, IFERROR(AVERAGEIFS(Log!$G:$G, Log!$D:$D,N$4,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69" s="68" t="str">
        <f>IFERROR(
    _xlfn.LET(
        _xlpm.is_data_present, $A69&lt;&gt;0,
        _xlpm.is_camera_present, COUNTIFS(Log!$C:$C, $A69, Log!$D:$D, O$4, Log!$A:$A, "Daily", Log!$B:$B, "n/a"),
        _xlpm.we_camera_on_date, IFERROR(AVERAGEIFS(Log!$F:$F, Log!$D:$D,O$4, Log!$C:$C, $A69, Log!$A:$A, "Daily", Log!$B:$B, "n/a"), 0),
        _xlpm.ie_camera_on_date, IFERROR(AVERAGEIFS(Log!$G:$G, Log!$D:$D,O$4,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69" s="68" t="str">
        <f>IFERROR(
    _xlfn.LET(
        _xlpm.is_data_present, $A69&lt;&gt;0,
        _xlpm.is_camera_present, COUNTIFS(Log!$C:$C, $A69, Log!$D:$D, P$4, Log!$A:$A, "Daily", Log!$B:$B, "n/a"),
        _xlpm.we_camera_on_date, IFERROR(AVERAGEIFS(Log!$F:$F, Log!$D:$D,P$4, Log!$C:$C, $A69, Log!$A:$A, "Daily", Log!$B:$B, "n/a"), 0),
        _xlpm.ie_camera_on_date, IFERROR(AVERAGEIFS(Log!$G:$G, Log!$D:$D,P$4,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69" s="68" t="str">
        <f>IFERROR(
    _xlfn.LET(
        _xlpm.is_data_present, $A69&lt;&gt;0,
        _xlpm.is_camera_present, COUNTIFS(Log!$C:$C, $A69, Log!$D:$D, Q$4, Log!$A:$A, "Daily", Log!$B:$B, "n/a"),
        _xlpm.we_camera_on_date, IFERROR(AVERAGEIFS(Log!$F:$F, Log!$D:$D,Q$4, Log!$C:$C, $A69, Log!$A:$A, "Daily", Log!$B:$B, "n/a"), 0),
        _xlpm.ie_camera_on_date, IFERROR(AVERAGEIFS(Log!$G:$G, Log!$D:$D,Q$4,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69" s="68" t="str">
        <f>IFERROR(
    _xlfn.LET(
        _xlpm.is_data_present, $A69&lt;&gt;0,
        _xlpm.is_camera_present, COUNTIFS(Log!$C:$C, $A69, Log!$D:$D, R$4, Log!$A:$A, "Daily", Log!$B:$B, "n/a"),
        _xlpm.we_camera_on_date, IFERROR(AVERAGEIFS(Log!$F:$F, Log!$D:$D,R$4, Log!$C:$C, $A69, Log!$A:$A, "Daily", Log!$B:$B, "n/a"), 0),
        _xlpm.ie_camera_on_date, IFERROR(AVERAGEIFS(Log!$G:$G, Log!$D:$D,R$4,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69" s="68" t="str">
        <f>IFERROR(
    _xlfn.LET(
        _xlpm.is_data_present, $A69&lt;&gt;0,
        _xlpm.is_camera_present, COUNTIFS(Log!$C:$C, $A69, Log!$D:$D, S$4, Log!$A:$A, "Daily", Log!$B:$B, "n/a"),
        _xlpm.we_camera_on_date, IFERROR(AVERAGEIFS(Log!$F:$F, Log!$D:$D,S$4, Log!$C:$C, $A69, Log!$A:$A, "Daily", Log!$B:$B, "n/a"), 0),
        _xlpm.ie_camera_on_date, IFERROR(AVERAGEIFS(Log!$G:$G, Log!$D:$D,S$4, Log!$C:$C, $A69, Log!$A:$A, "Daily", Log!$B:$B, "n/a"), 0),
        _xlpm.we_avg, IFERROR(AVERAGEIFS(Log!$F:$F,Log!$C:$C,$A69, Log!$A:$A, "Daily", Log!$B:$B, "n/a"),0),
        _xlpm.ie_avg, IFERROR(AVERAGEIFS(Log!$G:$G,Log!$C:$C,$A69,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0" spans="2:19" x14ac:dyDescent="0.3">
      <c r="B70" s="68" t="str">
        <f>IFERROR(
    _xlfn.LET(
        _xlpm.is_data_present, $A70&lt;&gt;0,
        _xlpm.is_camera_present, COUNTIFS(Log!$C:$C, $A70, Log!$D:$D, B$4, Log!$A:$A, "Daily", Log!$B:$B, "n/a"),
        _xlpm.we_camera_on_date, IFERROR(AVERAGEIFS(Log!$F:$F, Log!$D:$D,B$4, Log!$C:$C, $A70, Log!$A:$A, "Daily", Log!$B:$B, "n/a"), 0),
        _xlpm.ie_camera_on_date, IFERROR(AVERAGEIFS(Log!$G:$G, Log!$D:$D,B$4,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0" s="68" t="str">
        <f>IFERROR(
    _xlfn.LET(
        _xlpm.is_data_present, $A70&lt;&gt;0,
        _xlpm.is_camera_present, COUNTIFS(Log!$C:$C, $A70, Log!$D:$D, C$4, Log!$A:$A, "Daily", Log!$B:$B, "n/a"),
        _xlpm.we_camera_on_date, IFERROR(AVERAGEIFS(Log!$F:$F, Log!$D:$D,C$4, Log!$C:$C, $A70, Log!$A:$A, "Daily", Log!$B:$B, "n/a"), 0),
        _xlpm.ie_camera_on_date, IFERROR(AVERAGEIFS(Log!$G:$G, Log!$D:$D,C$4,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0" s="68" t="str">
        <f>IFERROR(
    _xlfn.LET(
        _xlpm.is_data_present, $A70&lt;&gt;0,
        _xlpm.is_camera_present, COUNTIFS(Log!$C:$C, $A70, Log!$D:$D, D$4, Log!$A:$A, "Daily", Log!$B:$B, "n/a"),
        _xlpm.we_camera_on_date, IFERROR(AVERAGEIFS(Log!$F:$F, Log!$D:$D,D$4, Log!$C:$C, $A70, Log!$A:$A, "Daily", Log!$B:$B, "n/a"), 0),
        _xlpm.ie_camera_on_date, IFERROR(AVERAGEIFS(Log!$G:$G, Log!$D:$D,D$4,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0" s="68" t="str">
        <f>IFERROR(
    _xlfn.LET(
        _xlpm.is_data_present, $A70&lt;&gt;0,
        _xlpm.is_camera_present, COUNTIFS(Log!$C:$C, $A70, Log!$D:$D, E$4, Log!$A:$A, "Daily", Log!$B:$B, "n/a"),
        _xlpm.we_camera_on_date, IFERROR(AVERAGEIFS(Log!$F:$F, Log!$D:$D,E$4, Log!$C:$C, $A70, Log!$A:$A, "Daily", Log!$B:$B, "n/a"), 0),
        _xlpm.ie_camera_on_date, IFERROR(AVERAGEIFS(Log!$G:$G, Log!$D:$D,E$4,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0" s="68" t="str">
        <f>IFERROR(
    _xlfn.LET(
        _xlpm.is_data_present, $A70&lt;&gt;0,
        _xlpm.is_camera_present, COUNTIFS(Log!$C:$C, $A70, Log!$D:$D, F$4, Log!$A:$A, "Daily", Log!$B:$B, "n/a"),
        _xlpm.we_camera_on_date, IFERROR(AVERAGEIFS(Log!$F:$F, Log!$D:$D,F$4, Log!$C:$C, $A70, Log!$A:$A, "Daily", Log!$B:$B, "n/a"), 0),
        _xlpm.ie_camera_on_date, IFERROR(AVERAGEIFS(Log!$G:$G, Log!$D:$D,F$4,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0" s="68" t="str">
        <f>IFERROR(
    _xlfn.LET(
        _xlpm.is_data_present, $A70&lt;&gt;0,
        _xlpm.is_camera_present, COUNTIFS(Log!$C:$C, $A70, Log!$D:$D, G$4, Log!$A:$A, "Daily", Log!$B:$B, "n/a"),
        _xlpm.we_camera_on_date, IFERROR(AVERAGEIFS(Log!$F:$F, Log!$D:$D,G$4, Log!$C:$C, $A70, Log!$A:$A, "Daily", Log!$B:$B, "n/a"), 0),
        _xlpm.ie_camera_on_date, IFERROR(AVERAGEIFS(Log!$G:$G, Log!$D:$D,G$4,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0" s="68" t="str">
        <f>IFERROR(
    _xlfn.LET(
        _xlpm.is_data_present, $A70&lt;&gt;0,
        _xlpm.is_camera_present, COUNTIFS(Log!$C:$C, $A70, Log!$D:$D, H$4, Log!$A:$A, "Daily", Log!$B:$B, "n/a"),
        _xlpm.we_camera_on_date, IFERROR(AVERAGEIFS(Log!$F:$F, Log!$D:$D,H$4, Log!$C:$C, $A70, Log!$A:$A, "Daily", Log!$B:$B, "n/a"), 0),
        _xlpm.ie_camera_on_date, IFERROR(AVERAGEIFS(Log!$G:$G, Log!$D:$D,H$4,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0" s="68" t="str">
        <f>IFERROR(
    _xlfn.LET(
        _xlpm.is_data_present, $A70&lt;&gt;0,
        _xlpm.is_camera_present, COUNTIFS(Log!$C:$C, $A70, Log!$D:$D, I$4, Log!$A:$A, "Daily", Log!$B:$B, "n/a"),
        _xlpm.we_camera_on_date, IFERROR(AVERAGEIFS(Log!$F:$F, Log!$D:$D,I$4, Log!$C:$C, $A70, Log!$A:$A, "Daily", Log!$B:$B, "n/a"), 0),
        _xlpm.ie_camera_on_date, IFERROR(AVERAGEIFS(Log!$G:$G, Log!$D:$D,I$4,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0" s="68" t="str">
        <f>IFERROR(
    _xlfn.LET(
        _xlpm.is_data_present, $A70&lt;&gt;0,
        _xlpm.is_camera_present, COUNTIFS(Log!$C:$C, $A70, Log!$D:$D, J$4, Log!$A:$A, "Daily", Log!$B:$B, "n/a"),
        _xlpm.we_camera_on_date, IFERROR(AVERAGEIFS(Log!$F:$F, Log!$D:$D,J$4, Log!$C:$C, $A70, Log!$A:$A, "Daily", Log!$B:$B, "n/a"), 0),
        _xlpm.ie_camera_on_date, IFERROR(AVERAGEIFS(Log!$G:$G, Log!$D:$D,J$4,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0" s="68" t="str">
        <f>IFERROR(
    _xlfn.LET(
        _xlpm.is_data_present, $A70&lt;&gt;0,
        _xlpm.is_camera_present, COUNTIFS(Log!$C:$C, $A70, Log!$D:$D, K$4, Log!$A:$A, "Daily", Log!$B:$B, "n/a"),
        _xlpm.we_camera_on_date, IFERROR(AVERAGEIFS(Log!$F:$F, Log!$D:$D,K$4, Log!$C:$C, $A70, Log!$A:$A, "Daily", Log!$B:$B, "n/a"), 0),
        _xlpm.ie_camera_on_date, IFERROR(AVERAGEIFS(Log!$G:$G, Log!$D:$D,K$4,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0" s="68" t="str">
        <f>IFERROR(
    _xlfn.LET(
        _xlpm.is_data_present, $A70&lt;&gt;0,
        _xlpm.is_camera_present, COUNTIFS(Log!$C:$C, $A70, Log!$D:$D, L$4, Log!$A:$A, "Daily", Log!$B:$B, "n/a"),
        _xlpm.we_camera_on_date, IFERROR(AVERAGEIFS(Log!$F:$F, Log!$D:$D,L$4, Log!$C:$C, $A70, Log!$A:$A, "Daily", Log!$B:$B, "n/a"), 0),
        _xlpm.ie_camera_on_date, IFERROR(AVERAGEIFS(Log!$G:$G, Log!$D:$D,L$4,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0" s="68" t="str">
        <f>IFERROR(
    _xlfn.LET(
        _xlpm.is_data_present, $A70&lt;&gt;0,
        _xlpm.is_camera_present, COUNTIFS(Log!$C:$C, $A70, Log!$D:$D, M$4, Log!$A:$A, "Daily", Log!$B:$B, "n/a"),
        _xlpm.we_camera_on_date, IFERROR(AVERAGEIFS(Log!$F:$F, Log!$D:$D,M$4, Log!$C:$C, $A70, Log!$A:$A, "Daily", Log!$B:$B, "n/a"), 0),
        _xlpm.ie_camera_on_date, IFERROR(AVERAGEIFS(Log!$G:$G, Log!$D:$D,M$4,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0" s="68" t="str">
        <f>IFERROR(
    _xlfn.LET(
        _xlpm.is_data_present, $A70&lt;&gt;0,
        _xlpm.is_camera_present, COUNTIFS(Log!$C:$C, $A70, Log!$D:$D, N$4, Log!$A:$A, "Daily", Log!$B:$B, "n/a"),
        _xlpm.we_camera_on_date, IFERROR(AVERAGEIFS(Log!$F:$F, Log!$D:$D,N$4, Log!$C:$C, $A70, Log!$A:$A, "Daily", Log!$B:$B, "n/a"), 0),
        _xlpm.ie_camera_on_date, IFERROR(AVERAGEIFS(Log!$G:$G, Log!$D:$D,N$4,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0" s="68" t="str">
        <f>IFERROR(
    _xlfn.LET(
        _xlpm.is_data_present, $A70&lt;&gt;0,
        _xlpm.is_camera_present, COUNTIFS(Log!$C:$C, $A70, Log!$D:$D, O$4, Log!$A:$A, "Daily", Log!$B:$B, "n/a"),
        _xlpm.we_camera_on_date, IFERROR(AVERAGEIFS(Log!$F:$F, Log!$D:$D,O$4, Log!$C:$C, $A70, Log!$A:$A, "Daily", Log!$B:$B, "n/a"), 0),
        _xlpm.ie_camera_on_date, IFERROR(AVERAGEIFS(Log!$G:$G, Log!$D:$D,O$4,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0" s="68" t="str">
        <f>IFERROR(
    _xlfn.LET(
        _xlpm.is_data_present, $A70&lt;&gt;0,
        _xlpm.is_camera_present, COUNTIFS(Log!$C:$C, $A70, Log!$D:$D, P$4, Log!$A:$A, "Daily", Log!$B:$B, "n/a"),
        _xlpm.we_camera_on_date, IFERROR(AVERAGEIFS(Log!$F:$F, Log!$D:$D,P$4, Log!$C:$C, $A70, Log!$A:$A, "Daily", Log!$B:$B, "n/a"), 0),
        _xlpm.ie_camera_on_date, IFERROR(AVERAGEIFS(Log!$G:$G, Log!$D:$D,P$4,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0" s="68" t="str">
        <f>IFERROR(
    _xlfn.LET(
        _xlpm.is_data_present, $A70&lt;&gt;0,
        _xlpm.is_camera_present, COUNTIFS(Log!$C:$C, $A70, Log!$D:$D, Q$4, Log!$A:$A, "Daily", Log!$B:$B, "n/a"),
        _xlpm.we_camera_on_date, IFERROR(AVERAGEIFS(Log!$F:$F, Log!$D:$D,Q$4, Log!$C:$C, $A70, Log!$A:$A, "Daily", Log!$B:$B, "n/a"), 0),
        _xlpm.ie_camera_on_date, IFERROR(AVERAGEIFS(Log!$G:$G, Log!$D:$D,Q$4,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0" s="68" t="str">
        <f>IFERROR(
    _xlfn.LET(
        _xlpm.is_data_present, $A70&lt;&gt;0,
        _xlpm.is_camera_present, COUNTIFS(Log!$C:$C, $A70, Log!$D:$D, R$4, Log!$A:$A, "Daily", Log!$B:$B, "n/a"),
        _xlpm.we_camera_on_date, IFERROR(AVERAGEIFS(Log!$F:$F, Log!$D:$D,R$4, Log!$C:$C, $A70, Log!$A:$A, "Daily", Log!$B:$B, "n/a"), 0),
        _xlpm.ie_camera_on_date, IFERROR(AVERAGEIFS(Log!$G:$G, Log!$D:$D,R$4,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0" s="68" t="str">
        <f>IFERROR(
    _xlfn.LET(
        _xlpm.is_data_present, $A70&lt;&gt;0,
        _xlpm.is_camera_present, COUNTIFS(Log!$C:$C, $A70, Log!$D:$D, S$4, Log!$A:$A, "Daily", Log!$B:$B, "n/a"),
        _xlpm.we_camera_on_date, IFERROR(AVERAGEIFS(Log!$F:$F, Log!$D:$D,S$4, Log!$C:$C, $A70, Log!$A:$A, "Daily", Log!$B:$B, "n/a"), 0),
        _xlpm.ie_camera_on_date, IFERROR(AVERAGEIFS(Log!$G:$G, Log!$D:$D,S$4, Log!$C:$C, $A70, Log!$A:$A, "Daily", Log!$B:$B, "n/a"), 0),
        _xlpm.we_avg, IFERROR(AVERAGEIFS(Log!$F:$F,Log!$C:$C,$A70, Log!$A:$A, "Daily", Log!$B:$B, "n/a"),0),
        _xlpm.ie_avg, IFERROR(AVERAGEIFS(Log!$G:$G,Log!$C:$C,$A70,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1" spans="2:19" x14ac:dyDescent="0.3">
      <c r="B71" s="68" t="str">
        <f>IFERROR(
    _xlfn.LET(
        _xlpm.is_data_present, $A71&lt;&gt;0,
        _xlpm.is_camera_present, COUNTIFS(Log!$C:$C, $A71, Log!$D:$D, B$4, Log!$A:$A, "Daily", Log!$B:$B, "n/a"),
        _xlpm.we_camera_on_date, IFERROR(AVERAGEIFS(Log!$F:$F, Log!$D:$D,B$4, Log!$C:$C, $A71, Log!$A:$A, "Daily", Log!$B:$B, "n/a"), 0),
        _xlpm.ie_camera_on_date, IFERROR(AVERAGEIFS(Log!$G:$G, Log!$D:$D,B$4,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1" s="68" t="str">
        <f>IFERROR(
    _xlfn.LET(
        _xlpm.is_data_present, $A71&lt;&gt;0,
        _xlpm.is_camera_present, COUNTIFS(Log!$C:$C, $A71, Log!$D:$D, C$4, Log!$A:$A, "Daily", Log!$B:$B, "n/a"),
        _xlpm.we_camera_on_date, IFERROR(AVERAGEIFS(Log!$F:$F, Log!$D:$D,C$4, Log!$C:$C, $A71, Log!$A:$A, "Daily", Log!$B:$B, "n/a"), 0),
        _xlpm.ie_camera_on_date, IFERROR(AVERAGEIFS(Log!$G:$G, Log!$D:$D,C$4,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1" s="68" t="str">
        <f>IFERROR(
    _xlfn.LET(
        _xlpm.is_data_present, $A71&lt;&gt;0,
        _xlpm.is_camera_present, COUNTIFS(Log!$C:$C, $A71, Log!$D:$D, D$4, Log!$A:$A, "Daily", Log!$B:$B, "n/a"),
        _xlpm.we_camera_on_date, IFERROR(AVERAGEIFS(Log!$F:$F, Log!$D:$D,D$4, Log!$C:$C, $A71, Log!$A:$A, "Daily", Log!$B:$B, "n/a"), 0),
        _xlpm.ie_camera_on_date, IFERROR(AVERAGEIFS(Log!$G:$G, Log!$D:$D,D$4,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1" s="68" t="str">
        <f>IFERROR(
    _xlfn.LET(
        _xlpm.is_data_present, $A71&lt;&gt;0,
        _xlpm.is_camera_present, COUNTIFS(Log!$C:$C, $A71, Log!$D:$D, E$4, Log!$A:$A, "Daily", Log!$B:$B, "n/a"),
        _xlpm.we_camera_on_date, IFERROR(AVERAGEIFS(Log!$F:$F, Log!$D:$D,E$4, Log!$C:$C, $A71, Log!$A:$A, "Daily", Log!$B:$B, "n/a"), 0),
        _xlpm.ie_camera_on_date, IFERROR(AVERAGEIFS(Log!$G:$G, Log!$D:$D,E$4,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1" s="68" t="str">
        <f>IFERROR(
    _xlfn.LET(
        _xlpm.is_data_present, $A71&lt;&gt;0,
        _xlpm.is_camera_present, COUNTIFS(Log!$C:$C, $A71, Log!$D:$D, F$4, Log!$A:$A, "Daily", Log!$B:$B, "n/a"),
        _xlpm.we_camera_on_date, IFERROR(AVERAGEIFS(Log!$F:$F, Log!$D:$D,F$4, Log!$C:$C, $A71, Log!$A:$A, "Daily", Log!$B:$B, "n/a"), 0),
        _xlpm.ie_camera_on_date, IFERROR(AVERAGEIFS(Log!$G:$G, Log!$D:$D,F$4,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1" s="68" t="str">
        <f>IFERROR(
    _xlfn.LET(
        _xlpm.is_data_present, $A71&lt;&gt;0,
        _xlpm.is_camera_present, COUNTIFS(Log!$C:$C, $A71, Log!$D:$D, G$4, Log!$A:$A, "Daily", Log!$B:$B, "n/a"),
        _xlpm.we_camera_on_date, IFERROR(AVERAGEIFS(Log!$F:$F, Log!$D:$D,G$4, Log!$C:$C, $A71, Log!$A:$A, "Daily", Log!$B:$B, "n/a"), 0),
        _xlpm.ie_camera_on_date, IFERROR(AVERAGEIFS(Log!$G:$G, Log!$D:$D,G$4,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1" s="68" t="str">
        <f>IFERROR(
    _xlfn.LET(
        _xlpm.is_data_present, $A71&lt;&gt;0,
        _xlpm.is_camera_present, COUNTIFS(Log!$C:$C, $A71, Log!$D:$D, H$4, Log!$A:$A, "Daily", Log!$B:$B, "n/a"),
        _xlpm.we_camera_on_date, IFERROR(AVERAGEIFS(Log!$F:$F, Log!$D:$D,H$4, Log!$C:$C, $A71, Log!$A:$A, "Daily", Log!$B:$B, "n/a"), 0),
        _xlpm.ie_camera_on_date, IFERROR(AVERAGEIFS(Log!$G:$G, Log!$D:$D,H$4,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1" s="68" t="str">
        <f>IFERROR(
    _xlfn.LET(
        _xlpm.is_data_present, $A71&lt;&gt;0,
        _xlpm.is_camera_present, COUNTIFS(Log!$C:$C, $A71, Log!$D:$D, I$4, Log!$A:$A, "Daily", Log!$B:$B, "n/a"),
        _xlpm.we_camera_on_date, IFERROR(AVERAGEIFS(Log!$F:$F, Log!$D:$D,I$4, Log!$C:$C, $A71, Log!$A:$A, "Daily", Log!$B:$B, "n/a"), 0),
        _xlpm.ie_camera_on_date, IFERROR(AVERAGEIFS(Log!$G:$G, Log!$D:$D,I$4,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1" s="68" t="str">
        <f>IFERROR(
    _xlfn.LET(
        _xlpm.is_data_present, $A71&lt;&gt;0,
        _xlpm.is_camera_present, COUNTIFS(Log!$C:$C, $A71, Log!$D:$D, J$4, Log!$A:$A, "Daily", Log!$B:$B, "n/a"),
        _xlpm.we_camera_on_date, IFERROR(AVERAGEIFS(Log!$F:$F, Log!$D:$D,J$4, Log!$C:$C, $A71, Log!$A:$A, "Daily", Log!$B:$B, "n/a"), 0),
        _xlpm.ie_camera_on_date, IFERROR(AVERAGEIFS(Log!$G:$G, Log!$D:$D,J$4,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1" s="68" t="str">
        <f>IFERROR(
    _xlfn.LET(
        _xlpm.is_data_present, $A71&lt;&gt;0,
        _xlpm.is_camera_present, COUNTIFS(Log!$C:$C, $A71, Log!$D:$D, K$4, Log!$A:$A, "Daily", Log!$B:$B, "n/a"),
        _xlpm.we_camera_on_date, IFERROR(AVERAGEIFS(Log!$F:$F, Log!$D:$D,K$4, Log!$C:$C, $A71, Log!$A:$A, "Daily", Log!$B:$B, "n/a"), 0),
        _xlpm.ie_camera_on_date, IFERROR(AVERAGEIFS(Log!$G:$G, Log!$D:$D,K$4,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1" s="68" t="str">
        <f>IFERROR(
    _xlfn.LET(
        _xlpm.is_data_present, $A71&lt;&gt;0,
        _xlpm.is_camera_present, COUNTIFS(Log!$C:$C, $A71, Log!$D:$D, L$4, Log!$A:$A, "Daily", Log!$B:$B, "n/a"),
        _xlpm.we_camera_on_date, IFERROR(AVERAGEIFS(Log!$F:$F, Log!$D:$D,L$4, Log!$C:$C, $A71, Log!$A:$A, "Daily", Log!$B:$B, "n/a"), 0),
        _xlpm.ie_camera_on_date, IFERROR(AVERAGEIFS(Log!$G:$G, Log!$D:$D,L$4,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1" s="68" t="str">
        <f>IFERROR(
    _xlfn.LET(
        _xlpm.is_data_present, $A71&lt;&gt;0,
        _xlpm.is_camera_present, COUNTIFS(Log!$C:$C, $A71, Log!$D:$D, M$4, Log!$A:$A, "Daily", Log!$B:$B, "n/a"),
        _xlpm.we_camera_on_date, IFERROR(AVERAGEIFS(Log!$F:$F, Log!$D:$D,M$4, Log!$C:$C, $A71, Log!$A:$A, "Daily", Log!$B:$B, "n/a"), 0),
        _xlpm.ie_camera_on_date, IFERROR(AVERAGEIFS(Log!$G:$G, Log!$D:$D,M$4,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1" s="68" t="str">
        <f>IFERROR(
    _xlfn.LET(
        _xlpm.is_data_present, $A71&lt;&gt;0,
        _xlpm.is_camera_present, COUNTIFS(Log!$C:$C, $A71, Log!$D:$D, N$4, Log!$A:$A, "Daily", Log!$B:$B, "n/a"),
        _xlpm.we_camera_on_date, IFERROR(AVERAGEIFS(Log!$F:$F, Log!$D:$D,N$4, Log!$C:$C, $A71, Log!$A:$A, "Daily", Log!$B:$B, "n/a"), 0),
        _xlpm.ie_camera_on_date, IFERROR(AVERAGEIFS(Log!$G:$G, Log!$D:$D,N$4,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1" s="68" t="str">
        <f>IFERROR(
    _xlfn.LET(
        _xlpm.is_data_present, $A71&lt;&gt;0,
        _xlpm.is_camera_present, COUNTIFS(Log!$C:$C, $A71, Log!$D:$D, O$4, Log!$A:$A, "Daily", Log!$B:$B, "n/a"),
        _xlpm.we_camera_on_date, IFERROR(AVERAGEIFS(Log!$F:$F, Log!$D:$D,O$4, Log!$C:$C, $A71, Log!$A:$A, "Daily", Log!$B:$B, "n/a"), 0),
        _xlpm.ie_camera_on_date, IFERROR(AVERAGEIFS(Log!$G:$G, Log!$D:$D,O$4,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1" s="68" t="str">
        <f>IFERROR(
    _xlfn.LET(
        _xlpm.is_data_present, $A71&lt;&gt;0,
        _xlpm.is_camera_present, COUNTIFS(Log!$C:$C, $A71, Log!$D:$D, P$4, Log!$A:$A, "Daily", Log!$B:$B, "n/a"),
        _xlpm.we_camera_on_date, IFERROR(AVERAGEIFS(Log!$F:$F, Log!$D:$D,P$4, Log!$C:$C, $A71, Log!$A:$A, "Daily", Log!$B:$B, "n/a"), 0),
        _xlpm.ie_camera_on_date, IFERROR(AVERAGEIFS(Log!$G:$G, Log!$D:$D,P$4,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1" s="68" t="str">
        <f>IFERROR(
    _xlfn.LET(
        _xlpm.is_data_present, $A71&lt;&gt;0,
        _xlpm.is_camera_present, COUNTIFS(Log!$C:$C, $A71, Log!$D:$D, Q$4, Log!$A:$A, "Daily", Log!$B:$B, "n/a"),
        _xlpm.we_camera_on_date, IFERROR(AVERAGEIFS(Log!$F:$F, Log!$D:$D,Q$4, Log!$C:$C, $A71, Log!$A:$A, "Daily", Log!$B:$B, "n/a"), 0),
        _xlpm.ie_camera_on_date, IFERROR(AVERAGEIFS(Log!$G:$G, Log!$D:$D,Q$4,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1" s="68" t="str">
        <f>IFERROR(
    _xlfn.LET(
        _xlpm.is_data_present, $A71&lt;&gt;0,
        _xlpm.is_camera_present, COUNTIFS(Log!$C:$C, $A71, Log!$D:$D, R$4, Log!$A:$A, "Daily", Log!$B:$B, "n/a"),
        _xlpm.we_camera_on_date, IFERROR(AVERAGEIFS(Log!$F:$F, Log!$D:$D,R$4, Log!$C:$C, $A71, Log!$A:$A, "Daily", Log!$B:$B, "n/a"), 0),
        _xlpm.ie_camera_on_date, IFERROR(AVERAGEIFS(Log!$G:$G, Log!$D:$D,R$4,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1" s="68" t="str">
        <f>IFERROR(
    _xlfn.LET(
        _xlpm.is_data_present, $A71&lt;&gt;0,
        _xlpm.is_camera_present, COUNTIFS(Log!$C:$C, $A71, Log!$D:$D, S$4, Log!$A:$A, "Daily", Log!$B:$B, "n/a"),
        _xlpm.we_camera_on_date, IFERROR(AVERAGEIFS(Log!$F:$F, Log!$D:$D,S$4, Log!$C:$C, $A71, Log!$A:$A, "Daily", Log!$B:$B, "n/a"), 0),
        _xlpm.ie_camera_on_date, IFERROR(AVERAGEIFS(Log!$G:$G, Log!$D:$D,S$4, Log!$C:$C, $A71, Log!$A:$A, "Daily", Log!$B:$B, "n/a"), 0),
        _xlpm.we_avg, IFERROR(AVERAGEIFS(Log!$F:$F,Log!$C:$C,$A71, Log!$A:$A, "Daily", Log!$B:$B, "n/a"),0),
        _xlpm.ie_avg, IFERROR(AVERAGEIFS(Log!$G:$G,Log!$C:$C,$A71,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2" spans="2:19" x14ac:dyDescent="0.3">
      <c r="B72" s="68" t="str">
        <f>IFERROR(
    _xlfn.LET(
        _xlpm.is_data_present, $A72&lt;&gt;0,
        _xlpm.is_camera_present, COUNTIFS(Log!$C:$C, $A72, Log!$D:$D, B$4, Log!$A:$A, "Daily", Log!$B:$B, "n/a"),
        _xlpm.we_camera_on_date, IFERROR(AVERAGEIFS(Log!$F:$F, Log!$D:$D,B$4, Log!$C:$C, $A72, Log!$A:$A, "Daily", Log!$B:$B, "n/a"), 0),
        _xlpm.ie_camera_on_date, IFERROR(AVERAGEIFS(Log!$G:$G, Log!$D:$D,B$4,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2" s="68" t="str">
        <f>IFERROR(
    _xlfn.LET(
        _xlpm.is_data_present, $A72&lt;&gt;0,
        _xlpm.is_camera_present, COUNTIFS(Log!$C:$C, $A72, Log!$D:$D, C$4, Log!$A:$A, "Daily", Log!$B:$B, "n/a"),
        _xlpm.we_camera_on_date, IFERROR(AVERAGEIFS(Log!$F:$F, Log!$D:$D,C$4, Log!$C:$C, $A72, Log!$A:$A, "Daily", Log!$B:$B, "n/a"), 0),
        _xlpm.ie_camera_on_date, IFERROR(AVERAGEIFS(Log!$G:$G, Log!$D:$D,C$4,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2" s="68" t="str">
        <f>IFERROR(
    _xlfn.LET(
        _xlpm.is_data_present, $A72&lt;&gt;0,
        _xlpm.is_camera_present, COUNTIFS(Log!$C:$C, $A72, Log!$D:$D, D$4, Log!$A:$A, "Daily", Log!$B:$B, "n/a"),
        _xlpm.we_camera_on_date, IFERROR(AVERAGEIFS(Log!$F:$F, Log!$D:$D,D$4, Log!$C:$C, $A72, Log!$A:$A, "Daily", Log!$B:$B, "n/a"), 0),
        _xlpm.ie_camera_on_date, IFERROR(AVERAGEIFS(Log!$G:$G, Log!$D:$D,D$4,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2" s="68" t="str">
        <f>IFERROR(
    _xlfn.LET(
        _xlpm.is_data_present, $A72&lt;&gt;0,
        _xlpm.is_camera_present, COUNTIFS(Log!$C:$C, $A72, Log!$D:$D, E$4, Log!$A:$A, "Daily", Log!$B:$B, "n/a"),
        _xlpm.we_camera_on_date, IFERROR(AVERAGEIFS(Log!$F:$F, Log!$D:$D,E$4, Log!$C:$C, $A72, Log!$A:$A, "Daily", Log!$B:$B, "n/a"), 0),
        _xlpm.ie_camera_on_date, IFERROR(AVERAGEIFS(Log!$G:$G, Log!$D:$D,E$4,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2" s="68" t="str">
        <f>IFERROR(
    _xlfn.LET(
        _xlpm.is_data_present, $A72&lt;&gt;0,
        _xlpm.is_camera_present, COUNTIFS(Log!$C:$C, $A72, Log!$D:$D, F$4, Log!$A:$A, "Daily", Log!$B:$B, "n/a"),
        _xlpm.we_camera_on_date, IFERROR(AVERAGEIFS(Log!$F:$F, Log!$D:$D,F$4, Log!$C:$C, $A72, Log!$A:$A, "Daily", Log!$B:$B, "n/a"), 0),
        _xlpm.ie_camera_on_date, IFERROR(AVERAGEIFS(Log!$G:$G, Log!$D:$D,F$4,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2" s="68" t="str">
        <f>IFERROR(
    _xlfn.LET(
        _xlpm.is_data_present, $A72&lt;&gt;0,
        _xlpm.is_camera_present, COUNTIFS(Log!$C:$C, $A72, Log!$D:$D, G$4, Log!$A:$A, "Daily", Log!$B:$B, "n/a"),
        _xlpm.we_camera_on_date, IFERROR(AVERAGEIFS(Log!$F:$F, Log!$D:$D,G$4, Log!$C:$C, $A72, Log!$A:$A, "Daily", Log!$B:$B, "n/a"), 0),
        _xlpm.ie_camera_on_date, IFERROR(AVERAGEIFS(Log!$G:$G, Log!$D:$D,G$4,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2" s="68" t="str">
        <f>IFERROR(
    _xlfn.LET(
        _xlpm.is_data_present, $A72&lt;&gt;0,
        _xlpm.is_camera_present, COUNTIFS(Log!$C:$C, $A72, Log!$D:$D, H$4, Log!$A:$A, "Daily", Log!$B:$B, "n/a"),
        _xlpm.we_camera_on_date, IFERROR(AVERAGEIFS(Log!$F:$F, Log!$D:$D,H$4, Log!$C:$C, $A72, Log!$A:$A, "Daily", Log!$B:$B, "n/a"), 0),
        _xlpm.ie_camera_on_date, IFERROR(AVERAGEIFS(Log!$G:$G, Log!$D:$D,H$4,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2" s="68" t="str">
        <f>IFERROR(
    _xlfn.LET(
        _xlpm.is_data_present, $A72&lt;&gt;0,
        _xlpm.is_camera_present, COUNTIFS(Log!$C:$C, $A72, Log!$D:$D, I$4, Log!$A:$A, "Daily", Log!$B:$B, "n/a"),
        _xlpm.we_camera_on_date, IFERROR(AVERAGEIFS(Log!$F:$F, Log!$D:$D,I$4, Log!$C:$C, $A72, Log!$A:$A, "Daily", Log!$B:$B, "n/a"), 0),
        _xlpm.ie_camera_on_date, IFERROR(AVERAGEIFS(Log!$G:$G, Log!$D:$D,I$4,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2" s="68" t="str">
        <f>IFERROR(
    _xlfn.LET(
        _xlpm.is_data_present, $A72&lt;&gt;0,
        _xlpm.is_camera_present, COUNTIFS(Log!$C:$C, $A72, Log!$D:$D, J$4, Log!$A:$A, "Daily", Log!$B:$B, "n/a"),
        _xlpm.we_camera_on_date, IFERROR(AVERAGEIFS(Log!$F:$F, Log!$D:$D,J$4, Log!$C:$C, $A72, Log!$A:$A, "Daily", Log!$B:$B, "n/a"), 0),
        _xlpm.ie_camera_on_date, IFERROR(AVERAGEIFS(Log!$G:$G, Log!$D:$D,J$4,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2" s="68" t="str">
        <f>IFERROR(
    _xlfn.LET(
        _xlpm.is_data_present, $A72&lt;&gt;0,
        _xlpm.is_camera_present, COUNTIFS(Log!$C:$C, $A72, Log!$D:$D, K$4, Log!$A:$A, "Daily", Log!$B:$B, "n/a"),
        _xlpm.we_camera_on_date, IFERROR(AVERAGEIFS(Log!$F:$F, Log!$D:$D,K$4, Log!$C:$C, $A72, Log!$A:$A, "Daily", Log!$B:$B, "n/a"), 0),
        _xlpm.ie_camera_on_date, IFERROR(AVERAGEIFS(Log!$G:$G, Log!$D:$D,K$4,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2" s="68" t="str">
        <f>IFERROR(
    _xlfn.LET(
        _xlpm.is_data_present, $A72&lt;&gt;0,
        _xlpm.is_camera_present, COUNTIFS(Log!$C:$C, $A72, Log!$D:$D, L$4, Log!$A:$A, "Daily", Log!$B:$B, "n/a"),
        _xlpm.we_camera_on_date, IFERROR(AVERAGEIFS(Log!$F:$F, Log!$D:$D,L$4, Log!$C:$C, $A72, Log!$A:$A, "Daily", Log!$B:$B, "n/a"), 0),
        _xlpm.ie_camera_on_date, IFERROR(AVERAGEIFS(Log!$G:$G, Log!$D:$D,L$4,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2" s="68" t="str">
        <f>IFERROR(
    _xlfn.LET(
        _xlpm.is_data_present, $A72&lt;&gt;0,
        _xlpm.is_camera_present, COUNTIFS(Log!$C:$C, $A72, Log!$D:$D, M$4, Log!$A:$A, "Daily", Log!$B:$B, "n/a"),
        _xlpm.we_camera_on_date, IFERROR(AVERAGEIFS(Log!$F:$F, Log!$D:$D,M$4, Log!$C:$C, $A72, Log!$A:$A, "Daily", Log!$B:$B, "n/a"), 0),
        _xlpm.ie_camera_on_date, IFERROR(AVERAGEIFS(Log!$G:$G, Log!$D:$D,M$4,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2" s="68" t="str">
        <f>IFERROR(
    _xlfn.LET(
        _xlpm.is_data_present, $A72&lt;&gt;0,
        _xlpm.is_camera_present, COUNTIFS(Log!$C:$C, $A72, Log!$D:$D, N$4, Log!$A:$A, "Daily", Log!$B:$B, "n/a"),
        _xlpm.we_camera_on_date, IFERROR(AVERAGEIFS(Log!$F:$F, Log!$D:$D,N$4, Log!$C:$C, $A72, Log!$A:$A, "Daily", Log!$B:$B, "n/a"), 0),
        _xlpm.ie_camera_on_date, IFERROR(AVERAGEIFS(Log!$G:$G, Log!$D:$D,N$4,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2" s="68" t="str">
        <f>IFERROR(
    _xlfn.LET(
        _xlpm.is_data_present, $A72&lt;&gt;0,
        _xlpm.is_camera_present, COUNTIFS(Log!$C:$C, $A72, Log!$D:$D, O$4, Log!$A:$A, "Daily", Log!$B:$B, "n/a"),
        _xlpm.we_camera_on_date, IFERROR(AVERAGEIFS(Log!$F:$F, Log!$D:$D,O$4, Log!$C:$C, $A72, Log!$A:$A, "Daily", Log!$B:$B, "n/a"), 0),
        _xlpm.ie_camera_on_date, IFERROR(AVERAGEIFS(Log!$G:$G, Log!$D:$D,O$4,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2" s="68" t="str">
        <f>IFERROR(
    _xlfn.LET(
        _xlpm.is_data_present, $A72&lt;&gt;0,
        _xlpm.is_camera_present, COUNTIFS(Log!$C:$C, $A72, Log!$D:$D, P$4, Log!$A:$A, "Daily", Log!$B:$B, "n/a"),
        _xlpm.we_camera_on_date, IFERROR(AVERAGEIFS(Log!$F:$F, Log!$D:$D,P$4, Log!$C:$C, $A72, Log!$A:$A, "Daily", Log!$B:$B, "n/a"), 0),
        _xlpm.ie_camera_on_date, IFERROR(AVERAGEIFS(Log!$G:$G, Log!$D:$D,P$4,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2" s="68" t="str">
        <f>IFERROR(
    _xlfn.LET(
        _xlpm.is_data_present, $A72&lt;&gt;0,
        _xlpm.is_camera_present, COUNTIFS(Log!$C:$C, $A72, Log!$D:$D, Q$4, Log!$A:$A, "Daily", Log!$B:$B, "n/a"),
        _xlpm.we_camera_on_date, IFERROR(AVERAGEIFS(Log!$F:$F, Log!$D:$D,Q$4, Log!$C:$C, $A72, Log!$A:$A, "Daily", Log!$B:$B, "n/a"), 0),
        _xlpm.ie_camera_on_date, IFERROR(AVERAGEIFS(Log!$G:$G, Log!$D:$D,Q$4,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2" s="68" t="str">
        <f>IFERROR(
    _xlfn.LET(
        _xlpm.is_data_present, $A72&lt;&gt;0,
        _xlpm.is_camera_present, COUNTIFS(Log!$C:$C, $A72, Log!$D:$D, R$4, Log!$A:$A, "Daily", Log!$B:$B, "n/a"),
        _xlpm.we_camera_on_date, IFERROR(AVERAGEIFS(Log!$F:$F, Log!$D:$D,R$4, Log!$C:$C, $A72, Log!$A:$A, "Daily", Log!$B:$B, "n/a"), 0),
        _xlpm.ie_camera_on_date, IFERROR(AVERAGEIFS(Log!$G:$G, Log!$D:$D,R$4,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2" s="68" t="str">
        <f>IFERROR(
    _xlfn.LET(
        _xlpm.is_data_present, $A72&lt;&gt;0,
        _xlpm.is_camera_present, COUNTIFS(Log!$C:$C, $A72, Log!$D:$D, S$4, Log!$A:$A, "Daily", Log!$B:$B, "n/a"),
        _xlpm.we_camera_on_date, IFERROR(AVERAGEIFS(Log!$F:$F, Log!$D:$D,S$4, Log!$C:$C, $A72, Log!$A:$A, "Daily", Log!$B:$B, "n/a"), 0),
        _xlpm.ie_camera_on_date, IFERROR(AVERAGEIFS(Log!$G:$G, Log!$D:$D,S$4, Log!$C:$C, $A72, Log!$A:$A, "Daily", Log!$B:$B, "n/a"), 0),
        _xlpm.we_avg, IFERROR(AVERAGEIFS(Log!$F:$F,Log!$C:$C,$A72, Log!$A:$A, "Daily", Log!$B:$B, "n/a"),0),
        _xlpm.ie_avg, IFERROR(AVERAGEIFS(Log!$G:$G,Log!$C:$C,$A72,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3" spans="2:19" x14ac:dyDescent="0.3">
      <c r="B73" s="68" t="str">
        <f>IFERROR(
    _xlfn.LET(
        _xlpm.is_data_present, $A73&lt;&gt;0,
        _xlpm.is_camera_present, COUNTIFS(Log!$C:$C, $A73, Log!$D:$D, B$4, Log!$A:$A, "Daily", Log!$B:$B, "n/a"),
        _xlpm.we_camera_on_date, IFERROR(AVERAGEIFS(Log!$F:$F, Log!$D:$D,B$4, Log!$C:$C, $A73, Log!$A:$A, "Daily", Log!$B:$B, "n/a"), 0),
        _xlpm.ie_camera_on_date, IFERROR(AVERAGEIFS(Log!$G:$G, Log!$D:$D,B$4,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3" s="68" t="str">
        <f>IFERROR(
    _xlfn.LET(
        _xlpm.is_data_present, $A73&lt;&gt;0,
        _xlpm.is_camera_present, COUNTIFS(Log!$C:$C, $A73, Log!$D:$D, C$4, Log!$A:$A, "Daily", Log!$B:$B, "n/a"),
        _xlpm.we_camera_on_date, IFERROR(AVERAGEIFS(Log!$F:$F, Log!$D:$D,C$4, Log!$C:$C, $A73, Log!$A:$A, "Daily", Log!$B:$B, "n/a"), 0),
        _xlpm.ie_camera_on_date, IFERROR(AVERAGEIFS(Log!$G:$G, Log!$D:$D,C$4,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3" s="68" t="str">
        <f>IFERROR(
    _xlfn.LET(
        _xlpm.is_data_present, $A73&lt;&gt;0,
        _xlpm.is_camera_present, COUNTIFS(Log!$C:$C, $A73, Log!$D:$D, D$4, Log!$A:$A, "Daily", Log!$B:$B, "n/a"),
        _xlpm.we_camera_on_date, IFERROR(AVERAGEIFS(Log!$F:$F, Log!$D:$D,D$4, Log!$C:$C, $A73, Log!$A:$A, "Daily", Log!$B:$B, "n/a"), 0),
        _xlpm.ie_camera_on_date, IFERROR(AVERAGEIFS(Log!$G:$G, Log!$D:$D,D$4,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3" s="68" t="str">
        <f>IFERROR(
    _xlfn.LET(
        _xlpm.is_data_present, $A73&lt;&gt;0,
        _xlpm.is_camera_present, COUNTIFS(Log!$C:$C, $A73, Log!$D:$D, E$4, Log!$A:$A, "Daily", Log!$B:$B, "n/a"),
        _xlpm.we_camera_on_date, IFERROR(AVERAGEIFS(Log!$F:$F, Log!$D:$D,E$4, Log!$C:$C, $A73, Log!$A:$A, "Daily", Log!$B:$B, "n/a"), 0),
        _xlpm.ie_camera_on_date, IFERROR(AVERAGEIFS(Log!$G:$G, Log!$D:$D,E$4,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3" s="68" t="str">
        <f>IFERROR(
    _xlfn.LET(
        _xlpm.is_data_present, $A73&lt;&gt;0,
        _xlpm.is_camera_present, COUNTIFS(Log!$C:$C, $A73, Log!$D:$D, F$4, Log!$A:$A, "Daily", Log!$B:$B, "n/a"),
        _xlpm.we_camera_on_date, IFERROR(AVERAGEIFS(Log!$F:$F, Log!$D:$D,F$4, Log!$C:$C, $A73, Log!$A:$A, "Daily", Log!$B:$B, "n/a"), 0),
        _xlpm.ie_camera_on_date, IFERROR(AVERAGEIFS(Log!$G:$G, Log!$D:$D,F$4,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3" s="68" t="str">
        <f>IFERROR(
    _xlfn.LET(
        _xlpm.is_data_present, $A73&lt;&gt;0,
        _xlpm.is_camera_present, COUNTIFS(Log!$C:$C, $A73, Log!$D:$D, G$4, Log!$A:$A, "Daily", Log!$B:$B, "n/a"),
        _xlpm.we_camera_on_date, IFERROR(AVERAGEIFS(Log!$F:$F, Log!$D:$D,G$4, Log!$C:$C, $A73, Log!$A:$A, "Daily", Log!$B:$B, "n/a"), 0),
        _xlpm.ie_camera_on_date, IFERROR(AVERAGEIFS(Log!$G:$G, Log!$D:$D,G$4,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3" s="68" t="str">
        <f>IFERROR(
    _xlfn.LET(
        _xlpm.is_data_present, $A73&lt;&gt;0,
        _xlpm.is_camera_present, COUNTIFS(Log!$C:$C, $A73, Log!$D:$D, H$4, Log!$A:$A, "Daily", Log!$B:$B, "n/a"),
        _xlpm.we_camera_on_date, IFERROR(AVERAGEIFS(Log!$F:$F, Log!$D:$D,H$4, Log!$C:$C, $A73, Log!$A:$A, "Daily", Log!$B:$B, "n/a"), 0),
        _xlpm.ie_camera_on_date, IFERROR(AVERAGEIFS(Log!$G:$G, Log!$D:$D,H$4,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3" s="68" t="str">
        <f>IFERROR(
    _xlfn.LET(
        _xlpm.is_data_present, $A73&lt;&gt;0,
        _xlpm.is_camera_present, COUNTIFS(Log!$C:$C, $A73, Log!$D:$D, I$4, Log!$A:$A, "Daily", Log!$B:$B, "n/a"),
        _xlpm.we_camera_on_date, IFERROR(AVERAGEIFS(Log!$F:$F, Log!$D:$D,I$4, Log!$C:$C, $A73, Log!$A:$A, "Daily", Log!$B:$B, "n/a"), 0),
        _xlpm.ie_camera_on_date, IFERROR(AVERAGEIFS(Log!$G:$G, Log!$D:$D,I$4,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3" s="68" t="str">
        <f>IFERROR(
    _xlfn.LET(
        _xlpm.is_data_present, $A73&lt;&gt;0,
        _xlpm.is_camera_present, COUNTIFS(Log!$C:$C, $A73, Log!$D:$D, J$4, Log!$A:$A, "Daily", Log!$B:$B, "n/a"),
        _xlpm.we_camera_on_date, IFERROR(AVERAGEIFS(Log!$F:$F, Log!$D:$D,J$4, Log!$C:$C, $A73, Log!$A:$A, "Daily", Log!$B:$B, "n/a"), 0),
        _xlpm.ie_camera_on_date, IFERROR(AVERAGEIFS(Log!$G:$G, Log!$D:$D,J$4,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3" s="68" t="str">
        <f>IFERROR(
    _xlfn.LET(
        _xlpm.is_data_present, $A73&lt;&gt;0,
        _xlpm.is_camera_present, COUNTIFS(Log!$C:$C, $A73, Log!$D:$D, K$4, Log!$A:$A, "Daily", Log!$B:$B, "n/a"),
        _xlpm.we_camera_on_date, IFERROR(AVERAGEIFS(Log!$F:$F, Log!$D:$D,K$4, Log!$C:$C, $A73, Log!$A:$A, "Daily", Log!$B:$B, "n/a"), 0),
        _xlpm.ie_camera_on_date, IFERROR(AVERAGEIFS(Log!$G:$G, Log!$D:$D,K$4,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3" s="68" t="str">
        <f>IFERROR(
    _xlfn.LET(
        _xlpm.is_data_present, $A73&lt;&gt;0,
        _xlpm.is_camera_present, COUNTIFS(Log!$C:$C, $A73, Log!$D:$D, L$4, Log!$A:$A, "Daily", Log!$B:$B, "n/a"),
        _xlpm.we_camera_on_date, IFERROR(AVERAGEIFS(Log!$F:$F, Log!$D:$D,L$4, Log!$C:$C, $A73, Log!$A:$A, "Daily", Log!$B:$B, "n/a"), 0),
        _xlpm.ie_camera_on_date, IFERROR(AVERAGEIFS(Log!$G:$G, Log!$D:$D,L$4,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3" s="68" t="str">
        <f>IFERROR(
    _xlfn.LET(
        _xlpm.is_data_present, $A73&lt;&gt;0,
        _xlpm.is_camera_present, COUNTIFS(Log!$C:$C, $A73, Log!$D:$D, M$4, Log!$A:$A, "Daily", Log!$B:$B, "n/a"),
        _xlpm.we_camera_on_date, IFERROR(AVERAGEIFS(Log!$F:$F, Log!$D:$D,M$4, Log!$C:$C, $A73, Log!$A:$A, "Daily", Log!$B:$B, "n/a"), 0),
        _xlpm.ie_camera_on_date, IFERROR(AVERAGEIFS(Log!$G:$G, Log!$D:$D,M$4,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3" s="68" t="str">
        <f>IFERROR(
    _xlfn.LET(
        _xlpm.is_data_present, $A73&lt;&gt;0,
        _xlpm.is_camera_present, COUNTIFS(Log!$C:$C, $A73, Log!$D:$D, N$4, Log!$A:$A, "Daily", Log!$B:$B, "n/a"),
        _xlpm.we_camera_on_date, IFERROR(AVERAGEIFS(Log!$F:$F, Log!$D:$D,N$4, Log!$C:$C, $A73, Log!$A:$A, "Daily", Log!$B:$B, "n/a"), 0),
        _xlpm.ie_camera_on_date, IFERROR(AVERAGEIFS(Log!$G:$G, Log!$D:$D,N$4,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3" s="68" t="str">
        <f>IFERROR(
    _xlfn.LET(
        _xlpm.is_data_present, $A73&lt;&gt;0,
        _xlpm.is_camera_present, COUNTIFS(Log!$C:$C, $A73, Log!$D:$D, O$4, Log!$A:$A, "Daily", Log!$B:$B, "n/a"),
        _xlpm.we_camera_on_date, IFERROR(AVERAGEIFS(Log!$F:$F, Log!$D:$D,O$4, Log!$C:$C, $A73, Log!$A:$A, "Daily", Log!$B:$B, "n/a"), 0),
        _xlpm.ie_camera_on_date, IFERROR(AVERAGEIFS(Log!$G:$G, Log!$D:$D,O$4,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3" s="68" t="str">
        <f>IFERROR(
    _xlfn.LET(
        _xlpm.is_data_present, $A73&lt;&gt;0,
        _xlpm.is_camera_present, COUNTIFS(Log!$C:$C, $A73, Log!$D:$D, P$4, Log!$A:$A, "Daily", Log!$B:$B, "n/a"),
        _xlpm.we_camera_on_date, IFERROR(AVERAGEIFS(Log!$F:$F, Log!$D:$D,P$4, Log!$C:$C, $A73, Log!$A:$A, "Daily", Log!$B:$B, "n/a"), 0),
        _xlpm.ie_camera_on_date, IFERROR(AVERAGEIFS(Log!$G:$G, Log!$D:$D,P$4,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3" s="68" t="str">
        <f>IFERROR(
    _xlfn.LET(
        _xlpm.is_data_present, $A73&lt;&gt;0,
        _xlpm.is_camera_present, COUNTIFS(Log!$C:$C, $A73, Log!$D:$D, Q$4, Log!$A:$A, "Daily", Log!$B:$B, "n/a"),
        _xlpm.we_camera_on_date, IFERROR(AVERAGEIFS(Log!$F:$F, Log!$D:$D,Q$4, Log!$C:$C, $A73, Log!$A:$A, "Daily", Log!$B:$B, "n/a"), 0),
        _xlpm.ie_camera_on_date, IFERROR(AVERAGEIFS(Log!$G:$G, Log!$D:$D,Q$4,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3" s="68" t="str">
        <f>IFERROR(
    _xlfn.LET(
        _xlpm.is_data_present, $A73&lt;&gt;0,
        _xlpm.is_camera_present, COUNTIFS(Log!$C:$C, $A73, Log!$D:$D, R$4, Log!$A:$A, "Daily", Log!$B:$B, "n/a"),
        _xlpm.we_camera_on_date, IFERROR(AVERAGEIFS(Log!$F:$F, Log!$D:$D,R$4, Log!$C:$C, $A73, Log!$A:$A, "Daily", Log!$B:$B, "n/a"), 0),
        _xlpm.ie_camera_on_date, IFERROR(AVERAGEIFS(Log!$G:$G, Log!$D:$D,R$4,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3" s="68" t="str">
        <f>IFERROR(
    _xlfn.LET(
        _xlpm.is_data_present, $A73&lt;&gt;0,
        _xlpm.is_camera_present, COUNTIFS(Log!$C:$C, $A73, Log!$D:$D, S$4, Log!$A:$A, "Daily", Log!$B:$B, "n/a"),
        _xlpm.we_camera_on_date, IFERROR(AVERAGEIFS(Log!$F:$F, Log!$D:$D,S$4, Log!$C:$C, $A73, Log!$A:$A, "Daily", Log!$B:$B, "n/a"), 0),
        _xlpm.ie_camera_on_date, IFERROR(AVERAGEIFS(Log!$G:$G, Log!$D:$D,S$4, Log!$C:$C, $A73, Log!$A:$A, "Daily", Log!$B:$B, "n/a"), 0),
        _xlpm.we_avg, IFERROR(AVERAGEIFS(Log!$F:$F,Log!$C:$C,$A73, Log!$A:$A, "Daily", Log!$B:$B, "n/a"),0),
        _xlpm.ie_avg, IFERROR(AVERAGEIFS(Log!$G:$G,Log!$C:$C,$A73,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4" spans="2:19" x14ac:dyDescent="0.3">
      <c r="B74" s="68" t="str">
        <f>IFERROR(
    _xlfn.LET(
        _xlpm.is_data_present, $A74&lt;&gt;0,
        _xlpm.is_camera_present, COUNTIFS(Log!$C:$C, $A74, Log!$D:$D, B$4, Log!$A:$A, "Daily", Log!$B:$B, "n/a"),
        _xlpm.we_camera_on_date, IFERROR(AVERAGEIFS(Log!$F:$F, Log!$D:$D,B$4, Log!$C:$C, $A74, Log!$A:$A, "Daily", Log!$B:$B, "n/a"), 0),
        _xlpm.ie_camera_on_date, IFERROR(AVERAGEIFS(Log!$G:$G, Log!$D:$D,B$4,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4" s="68" t="str">
        <f>IFERROR(
    _xlfn.LET(
        _xlpm.is_data_present, $A74&lt;&gt;0,
        _xlpm.is_camera_present, COUNTIFS(Log!$C:$C, $A74, Log!$D:$D, C$4, Log!$A:$A, "Daily", Log!$B:$B, "n/a"),
        _xlpm.we_camera_on_date, IFERROR(AVERAGEIFS(Log!$F:$F, Log!$D:$D,C$4, Log!$C:$C, $A74, Log!$A:$A, "Daily", Log!$B:$B, "n/a"), 0),
        _xlpm.ie_camera_on_date, IFERROR(AVERAGEIFS(Log!$G:$G, Log!$D:$D,C$4,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4" s="68" t="str">
        <f>IFERROR(
    _xlfn.LET(
        _xlpm.is_data_present, $A74&lt;&gt;0,
        _xlpm.is_camera_present, COUNTIFS(Log!$C:$C, $A74, Log!$D:$D, D$4, Log!$A:$A, "Daily", Log!$B:$B, "n/a"),
        _xlpm.we_camera_on_date, IFERROR(AVERAGEIFS(Log!$F:$F, Log!$D:$D,D$4, Log!$C:$C, $A74, Log!$A:$A, "Daily", Log!$B:$B, "n/a"), 0),
        _xlpm.ie_camera_on_date, IFERROR(AVERAGEIFS(Log!$G:$G, Log!$D:$D,D$4,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4" s="68" t="str">
        <f>IFERROR(
    _xlfn.LET(
        _xlpm.is_data_present, $A74&lt;&gt;0,
        _xlpm.is_camera_present, COUNTIFS(Log!$C:$C, $A74, Log!$D:$D, E$4, Log!$A:$A, "Daily", Log!$B:$B, "n/a"),
        _xlpm.we_camera_on_date, IFERROR(AVERAGEIFS(Log!$F:$F, Log!$D:$D,E$4, Log!$C:$C, $A74, Log!$A:$A, "Daily", Log!$B:$B, "n/a"), 0),
        _xlpm.ie_camera_on_date, IFERROR(AVERAGEIFS(Log!$G:$G, Log!$D:$D,E$4,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4" s="68" t="str">
        <f>IFERROR(
    _xlfn.LET(
        _xlpm.is_data_present, $A74&lt;&gt;0,
        _xlpm.is_camera_present, COUNTIFS(Log!$C:$C, $A74, Log!$D:$D, F$4, Log!$A:$A, "Daily", Log!$B:$B, "n/a"),
        _xlpm.we_camera_on_date, IFERROR(AVERAGEIFS(Log!$F:$F, Log!$D:$D,F$4, Log!$C:$C, $A74, Log!$A:$A, "Daily", Log!$B:$B, "n/a"), 0),
        _xlpm.ie_camera_on_date, IFERROR(AVERAGEIFS(Log!$G:$G, Log!$D:$D,F$4,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4" s="68" t="str">
        <f>IFERROR(
    _xlfn.LET(
        _xlpm.is_data_present, $A74&lt;&gt;0,
        _xlpm.is_camera_present, COUNTIFS(Log!$C:$C, $A74, Log!$D:$D, G$4, Log!$A:$A, "Daily", Log!$B:$B, "n/a"),
        _xlpm.we_camera_on_date, IFERROR(AVERAGEIFS(Log!$F:$F, Log!$D:$D,G$4, Log!$C:$C, $A74, Log!$A:$A, "Daily", Log!$B:$B, "n/a"), 0),
        _xlpm.ie_camera_on_date, IFERROR(AVERAGEIFS(Log!$G:$G, Log!$D:$D,G$4,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4" s="68" t="str">
        <f>IFERROR(
    _xlfn.LET(
        _xlpm.is_data_present, $A74&lt;&gt;0,
        _xlpm.is_camera_present, COUNTIFS(Log!$C:$C, $A74, Log!$D:$D, H$4, Log!$A:$A, "Daily", Log!$B:$B, "n/a"),
        _xlpm.we_camera_on_date, IFERROR(AVERAGEIFS(Log!$F:$F, Log!$D:$D,H$4, Log!$C:$C, $A74, Log!$A:$A, "Daily", Log!$B:$B, "n/a"), 0),
        _xlpm.ie_camera_on_date, IFERROR(AVERAGEIFS(Log!$G:$G, Log!$D:$D,H$4,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4" s="68" t="str">
        <f>IFERROR(
    _xlfn.LET(
        _xlpm.is_data_present, $A74&lt;&gt;0,
        _xlpm.is_camera_present, COUNTIFS(Log!$C:$C, $A74, Log!$D:$D, I$4, Log!$A:$A, "Daily", Log!$B:$B, "n/a"),
        _xlpm.we_camera_on_date, IFERROR(AVERAGEIFS(Log!$F:$F, Log!$D:$D,I$4, Log!$C:$C, $A74, Log!$A:$A, "Daily", Log!$B:$B, "n/a"), 0),
        _xlpm.ie_camera_on_date, IFERROR(AVERAGEIFS(Log!$G:$G, Log!$D:$D,I$4,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4" s="68" t="str">
        <f>IFERROR(
    _xlfn.LET(
        _xlpm.is_data_present, $A74&lt;&gt;0,
        _xlpm.is_camera_present, COUNTIFS(Log!$C:$C, $A74, Log!$D:$D, J$4, Log!$A:$A, "Daily", Log!$B:$B, "n/a"),
        _xlpm.we_camera_on_date, IFERROR(AVERAGEIFS(Log!$F:$F, Log!$D:$D,J$4, Log!$C:$C, $A74, Log!$A:$A, "Daily", Log!$B:$B, "n/a"), 0),
        _xlpm.ie_camera_on_date, IFERROR(AVERAGEIFS(Log!$G:$G, Log!$D:$D,J$4,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4" s="68" t="str">
        <f>IFERROR(
    _xlfn.LET(
        _xlpm.is_data_present, $A74&lt;&gt;0,
        _xlpm.is_camera_present, COUNTIFS(Log!$C:$C, $A74, Log!$D:$D, K$4, Log!$A:$A, "Daily", Log!$B:$B, "n/a"),
        _xlpm.we_camera_on_date, IFERROR(AVERAGEIFS(Log!$F:$F, Log!$D:$D,K$4, Log!$C:$C, $A74, Log!$A:$A, "Daily", Log!$B:$B, "n/a"), 0),
        _xlpm.ie_camera_on_date, IFERROR(AVERAGEIFS(Log!$G:$G, Log!$D:$D,K$4,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4" s="68" t="str">
        <f>IFERROR(
    _xlfn.LET(
        _xlpm.is_data_present, $A74&lt;&gt;0,
        _xlpm.is_camera_present, COUNTIFS(Log!$C:$C, $A74, Log!$D:$D, L$4, Log!$A:$A, "Daily", Log!$B:$B, "n/a"),
        _xlpm.we_camera_on_date, IFERROR(AVERAGEIFS(Log!$F:$F, Log!$D:$D,L$4, Log!$C:$C, $A74, Log!$A:$A, "Daily", Log!$B:$B, "n/a"), 0),
        _xlpm.ie_camera_on_date, IFERROR(AVERAGEIFS(Log!$G:$G, Log!$D:$D,L$4,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4" s="68" t="str">
        <f>IFERROR(
    _xlfn.LET(
        _xlpm.is_data_present, $A74&lt;&gt;0,
        _xlpm.is_camera_present, COUNTIFS(Log!$C:$C, $A74, Log!$D:$D, M$4, Log!$A:$A, "Daily", Log!$B:$B, "n/a"),
        _xlpm.we_camera_on_date, IFERROR(AVERAGEIFS(Log!$F:$F, Log!$D:$D,M$4, Log!$C:$C, $A74, Log!$A:$A, "Daily", Log!$B:$B, "n/a"), 0),
        _xlpm.ie_camera_on_date, IFERROR(AVERAGEIFS(Log!$G:$G, Log!$D:$D,M$4,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4" s="68" t="str">
        <f>IFERROR(
    _xlfn.LET(
        _xlpm.is_data_present, $A74&lt;&gt;0,
        _xlpm.is_camera_present, COUNTIFS(Log!$C:$C, $A74, Log!$D:$D, N$4, Log!$A:$A, "Daily", Log!$B:$B, "n/a"),
        _xlpm.we_camera_on_date, IFERROR(AVERAGEIFS(Log!$F:$F, Log!$D:$D,N$4, Log!$C:$C, $A74, Log!$A:$A, "Daily", Log!$B:$B, "n/a"), 0),
        _xlpm.ie_camera_on_date, IFERROR(AVERAGEIFS(Log!$G:$G, Log!$D:$D,N$4,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4" s="68" t="str">
        <f>IFERROR(
    _xlfn.LET(
        _xlpm.is_data_present, $A74&lt;&gt;0,
        _xlpm.is_camera_present, COUNTIFS(Log!$C:$C, $A74, Log!$D:$D, O$4, Log!$A:$A, "Daily", Log!$B:$B, "n/a"),
        _xlpm.we_camera_on_date, IFERROR(AVERAGEIFS(Log!$F:$F, Log!$D:$D,O$4, Log!$C:$C, $A74, Log!$A:$A, "Daily", Log!$B:$B, "n/a"), 0),
        _xlpm.ie_camera_on_date, IFERROR(AVERAGEIFS(Log!$G:$G, Log!$D:$D,O$4,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4" s="68" t="str">
        <f>IFERROR(
    _xlfn.LET(
        _xlpm.is_data_present, $A74&lt;&gt;0,
        _xlpm.is_camera_present, COUNTIFS(Log!$C:$C, $A74, Log!$D:$D, P$4, Log!$A:$A, "Daily", Log!$B:$B, "n/a"),
        _xlpm.we_camera_on_date, IFERROR(AVERAGEIFS(Log!$F:$F, Log!$D:$D,P$4, Log!$C:$C, $A74, Log!$A:$A, "Daily", Log!$B:$B, "n/a"), 0),
        _xlpm.ie_camera_on_date, IFERROR(AVERAGEIFS(Log!$G:$G, Log!$D:$D,P$4,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4" s="68" t="str">
        <f>IFERROR(
    _xlfn.LET(
        _xlpm.is_data_present, $A74&lt;&gt;0,
        _xlpm.is_camera_present, COUNTIFS(Log!$C:$C, $A74, Log!$D:$D, Q$4, Log!$A:$A, "Daily", Log!$B:$B, "n/a"),
        _xlpm.we_camera_on_date, IFERROR(AVERAGEIFS(Log!$F:$F, Log!$D:$D,Q$4, Log!$C:$C, $A74, Log!$A:$A, "Daily", Log!$B:$B, "n/a"), 0),
        _xlpm.ie_camera_on_date, IFERROR(AVERAGEIFS(Log!$G:$G, Log!$D:$D,Q$4,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4" s="68" t="str">
        <f>IFERROR(
    _xlfn.LET(
        _xlpm.is_data_present, $A74&lt;&gt;0,
        _xlpm.is_camera_present, COUNTIFS(Log!$C:$C, $A74, Log!$D:$D, R$4, Log!$A:$A, "Daily", Log!$B:$B, "n/a"),
        _xlpm.we_camera_on_date, IFERROR(AVERAGEIFS(Log!$F:$F, Log!$D:$D,R$4, Log!$C:$C, $A74, Log!$A:$A, "Daily", Log!$B:$B, "n/a"), 0),
        _xlpm.ie_camera_on_date, IFERROR(AVERAGEIFS(Log!$G:$G, Log!$D:$D,R$4,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4" s="68" t="str">
        <f>IFERROR(
    _xlfn.LET(
        _xlpm.is_data_present, $A74&lt;&gt;0,
        _xlpm.is_camera_present, COUNTIFS(Log!$C:$C, $A74, Log!$D:$D, S$4, Log!$A:$A, "Daily", Log!$B:$B, "n/a"),
        _xlpm.we_camera_on_date, IFERROR(AVERAGEIFS(Log!$F:$F, Log!$D:$D,S$4, Log!$C:$C, $A74, Log!$A:$A, "Daily", Log!$B:$B, "n/a"), 0),
        _xlpm.ie_camera_on_date, IFERROR(AVERAGEIFS(Log!$G:$G, Log!$D:$D,S$4, Log!$C:$C, $A74, Log!$A:$A, "Daily", Log!$B:$B, "n/a"), 0),
        _xlpm.we_avg, IFERROR(AVERAGEIFS(Log!$F:$F,Log!$C:$C,$A74, Log!$A:$A, "Daily", Log!$B:$B, "n/a"),0),
        _xlpm.ie_avg, IFERROR(AVERAGEIFS(Log!$G:$G,Log!$C:$C,$A74,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5" spans="2:19" x14ac:dyDescent="0.3">
      <c r="B75" s="68" t="str">
        <f>IFERROR(
    _xlfn.LET(
        _xlpm.is_data_present, $A75&lt;&gt;0,
        _xlpm.is_camera_present, COUNTIFS(Log!$C:$C, $A75, Log!$D:$D, B$4, Log!$A:$A, "Daily", Log!$B:$B, "n/a"),
        _xlpm.we_camera_on_date, IFERROR(AVERAGEIFS(Log!$F:$F, Log!$D:$D,B$4, Log!$C:$C, $A75, Log!$A:$A, "Daily", Log!$B:$B, "n/a"), 0),
        _xlpm.ie_camera_on_date, IFERROR(AVERAGEIFS(Log!$G:$G, Log!$D:$D,B$4,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5" s="68" t="str">
        <f>IFERROR(
    _xlfn.LET(
        _xlpm.is_data_present, $A75&lt;&gt;0,
        _xlpm.is_camera_present, COUNTIFS(Log!$C:$C, $A75, Log!$D:$D, C$4, Log!$A:$A, "Daily", Log!$B:$B, "n/a"),
        _xlpm.we_camera_on_date, IFERROR(AVERAGEIFS(Log!$F:$F, Log!$D:$D,C$4, Log!$C:$C, $A75, Log!$A:$A, "Daily", Log!$B:$B, "n/a"), 0),
        _xlpm.ie_camera_on_date, IFERROR(AVERAGEIFS(Log!$G:$G, Log!$D:$D,C$4,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5" s="68" t="str">
        <f>IFERROR(
    _xlfn.LET(
        _xlpm.is_data_present, $A75&lt;&gt;0,
        _xlpm.is_camera_present, COUNTIFS(Log!$C:$C, $A75, Log!$D:$D, D$4, Log!$A:$A, "Daily", Log!$B:$B, "n/a"),
        _xlpm.we_camera_on_date, IFERROR(AVERAGEIFS(Log!$F:$F, Log!$D:$D,D$4, Log!$C:$C, $A75, Log!$A:$A, "Daily", Log!$B:$B, "n/a"), 0),
        _xlpm.ie_camera_on_date, IFERROR(AVERAGEIFS(Log!$G:$G, Log!$D:$D,D$4,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5" s="68" t="str">
        <f>IFERROR(
    _xlfn.LET(
        _xlpm.is_data_present, $A75&lt;&gt;0,
        _xlpm.is_camera_present, COUNTIFS(Log!$C:$C, $A75, Log!$D:$D, E$4, Log!$A:$A, "Daily", Log!$B:$B, "n/a"),
        _xlpm.we_camera_on_date, IFERROR(AVERAGEIFS(Log!$F:$F, Log!$D:$D,E$4, Log!$C:$C, $A75, Log!$A:$A, "Daily", Log!$B:$B, "n/a"), 0),
        _xlpm.ie_camera_on_date, IFERROR(AVERAGEIFS(Log!$G:$G, Log!$D:$D,E$4,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5" s="68" t="str">
        <f>IFERROR(
    _xlfn.LET(
        _xlpm.is_data_present, $A75&lt;&gt;0,
        _xlpm.is_camera_present, COUNTIFS(Log!$C:$C, $A75, Log!$D:$D, F$4, Log!$A:$A, "Daily", Log!$B:$B, "n/a"),
        _xlpm.we_camera_on_date, IFERROR(AVERAGEIFS(Log!$F:$F, Log!$D:$D,F$4, Log!$C:$C, $A75, Log!$A:$A, "Daily", Log!$B:$B, "n/a"), 0),
        _xlpm.ie_camera_on_date, IFERROR(AVERAGEIFS(Log!$G:$G, Log!$D:$D,F$4,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5" s="68" t="str">
        <f>IFERROR(
    _xlfn.LET(
        _xlpm.is_data_present, $A75&lt;&gt;0,
        _xlpm.is_camera_present, COUNTIFS(Log!$C:$C, $A75, Log!$D:$D, G$4, Log!$A:$A, "Daily", Log!$B:$B, "n/a"),
        _xlpm.we_camera_on_date, IFERROR(AVERAGEIFS(Log!$F:$F, Log!$D:$D,G$4, Log!$C:$C, $A75, Log!$A:$A, "Daily", Log!$B:$B, "n/a"), 0),
        _xlpm.ie_camera_on_date, IFERROR(AVERAGEIFS(Log!$G:$G, Log!$D:$D,G$4,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5" s="68" t="str">
        <f>IFERROR(
    _xlfn.LET(
        _xlpm.is_data_present, $A75&lt;&gt;0,
        _xlpm.is_camera_present, COUNTIFS(Log!$C:$C, $A75, Log!$D:$D, H$4, Log!$A:$A, "Daily", Log!$B:$B, "n/a"),
        _xlpm.we_camera_on_date, IFERROR(AVERAGEIFS(Log!$F:$F, Log!$D:$D,H$4, Log!$C:$C, $A75, Log!$A:$A, "Daily", Log!$B:$B, "n/a"), 0),
        _xlpm.ie_camera_on_date, IFERROR(AVERAGEIFS(Log!$G:$G, Log!$D:$D,H$4,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5" s="68" t="str">
        <f>IFERROR(
    _xlfn.LET(
        _xlpm.is_data_present, $A75&lt;&gt;0,
        _xlpm.is_camera_present, COUNTIFS(Log!$C:$C, $A75, Log!$D:$D, I$4, Log!$A:$A, "Daily", Log!$B:$B, "n/a"),
        _xlpm.we_camera_on_date, IFERROR(AVERAGEIFS(Log!$F:$F, Log!$D:$D,I$4, Log!$C:$C, $A75, Log!$A:$A, "Daily", Log!$B:$B, "n/a"), 0),
        _xlpm.ie_camera_on_date, IFERROR(AVERAGEIFS(Log!$G:$G, Log!$D:$D,I$4,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5" s="68" t="str">
        <f>IFERROR(
    _xlfn.LET(
        _xlpm.is_data_present, $A75&lt;&gt;0,
        _xlpm.is_camera_present, COUNTIFS(Log!$C:$C, $A75, Log!$D:$D, J$4, Log!$A:$A, "Daily", Log!$B:$B, "n/a"),
        _xlpm.we_camera_on_date, IFERROR(AVERAGEIFS(Log!$F:$F, Log!$D:$D,J$4, Log!$C:$C, $A75, Log!$A:$A, "Daily", Log!$B:$B, "n/a"), 0),
        _xlpm.ie_camera_on_date, IFERROR(AVERAGEIFS(Log!$G:$G, Log!$D:$D,J$4,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5" s="68" t="str">
        <f>IFERROR(
    _xlfn.LET(
        _xlpm.is_data_present, $A75&lt;&gt;0,
        _xlpm.is_camera_present, COUNTIFS(Log!$C:$C, $A75, Log!$D:$D, K$4, Log!$A:$A, "Daily", Log!$B:$B, "n/a"),
        _xlpm.we_camera_on_date, IFERROR(AVERAGEIFS(Log!$F:$F, Log!$D:$D,K$4, Log!$C:$C, $A75, Log!$A:$A, "Daily", Log!$B:$B, "n/a"), 0),
        _xlpm.ie_camera_on_date, IFERROR(AVERAGEIFS(Log!$G:$G, Log!$D:$D,K$4,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5" s="68" t="str">
        <f>IFERROR(
    _xlfn.LET(
        _xlpm.is_data_present, $A75&lt;&gt;0,
        _xlpm.is_camera_present, COUNTIFS(Log!$C:$C, $A75, Log!$D:$D, L$4, Log!$A:$A, "Daily", Log!$B:$B, "n/a"),
        _xlpm.we_camera_on_date, IFERROR(AVERAGEIFS(Log!$F:$F, Log!$D:$D,L$4, Log!$C:$C, $A75, Log!$A:$A, "Daily", Log!$B:$B, "n/a"), 0),
        _xlpm.ie_camera_on_date, IFERROR(AVERAGEIFS(Log!$G:$G, Log!$D:$D,L$4,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5" s="68" t="str">
        <f>IFERROR(
    _xlfn.LET(
        _xlpm.is_data_present, $A75&lt;&gt;0,
        _xlpm.is_camera_present, COUNTIFS(Log!$C:$C, $A75, Log!$D:$D, M$4, Log!$A:$A, "Daily", Log!$B:$B, "n/a"),
        _xlpm.we_camera_on_date, IFERROR(AVERAGEIFS(Log!$F:$F, Log!$D:$D,M$4, Log!$C:$C, $A75, Log!$A:$A, "Daily", Log!$B:$B, "n/a"), 0),
        _xlpm.ie_camera_on_date, IFERROR(AVERAGEIFS(Log!$G:$G, Log!$D:$D,M$4,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5" s="68" t="str">
        <f>IFERROR(
    _xlfn.LET(
        _xlpm.is_data_present, $A75&lt;&gt;0,
        _xlpm.is_camera_present, COUNTIFS(Log!$C:$C, $A75, Log!$D:$D, N$4, Log!$A:$A, "Daily", Log!$B:$B, "n/a"),
        _xlpm.we_camera_on_date, IFERROR(AVERAGEIFS(Log!$F:$F, Log!$D:$D,N$4, Log!$C:$C, $A75, Log!$A:$A, "Daily", Log!$B:$B, "n/a"), 0),
        _xlpm.ie_camera_on_date, IFERROR(AVERAGEIFS(Log!$G:$G, Log!$D:$D,N$4,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5" s="68" t="str">
        <f>IFERROR(
    _xlfn.LET(
        _xlpm.is_data_present, $A75&lt;&gt;0,
        _xlpm.is_camera_present, COUNTIFS(Log!$C:$C, $A75, Log!$D:$D, O$4, Log!$A:$A, "Daily", Log!$B:$B, "n/a"),
        _xlpm.we_camera_on_date, IFERROR(AVERAGEIFS(Log!$F:$F, Log!$D:$D,O$4, Log!$C:$C, $A75, Log!$A:$A, "Daily", Log!$B:$B, "n/a"), 0),
        _xlpm.ie_camera_on_date, IFERROR(AVERAGEIFS(Log!$G:$G, Log!$D:$D,O$4,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5" s="68" t="str">
        <f>IFERROR(
    _xlfn.LET(
        _xlpm.is_data_present, $A75&lt;&gt;0,
        _xlpm.is_camera_present, COUNTIFS(Log!$C:$C, $A75, Log!$D:$D, P$4, Log!$A:$A, "Daily", Log!$B:$B, "n/a"),
        _xlpm.we_camera_on_date, IFERROR(AVERAGEIFS(Log!$F:$F, Log!$D:$D,P$4, Log!$C:$C, $A75, Log!$A:$A, "Daily", Log!$B:$B, "n/a"), 0),
        _xlpm.ie_camera_on_date, IFERROR(AVERAGEIFS(Log!$G:$G, Log!$D:$D,P$4,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5" s="68" t="str">
        <f>IFERROR(
    _xlfn.LET(
        _xlpm.is_data_present, $A75&lt;&gt;0,
        _xlpm.is_camera_present, COUNTIFS(Log!$C:$C, $A75, Log!$D:$D, Q$4, Log!$A:$A, "Daily", Log!$B:$B, "n/a"),
        _xlpm.we_camera_on_date, IFERROR(AVERAGEIFS(Log!$F:$F, Log!$D:$D,Q$4, Log!$C:$C, $A75, Log!$A:$A, "Daily", Log!$B:$B, "n/a"), 0),
        _xlpm.ie_camera_on_date, IFERROR(AVERAGEIFS(Log!$G:$G, Log!$D:$D,Q$4,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5" s="68" t="str">
        <f>IFERROR(
    _xlfn.LET(
        _xlpm.is_data_present, $A75&lt;&gt;0,
        _xlpm.is_camera_present, COUNTIFS(Log!$C:$C, $A75, Log!$D:$D, R$4, Log!$A:$A, "Daily", Log!$B:$B, "n/a"),
        _xlpm.we_camera_on_date, IFERROR(AVERAGEIFS(Log!$F:$F, Log!$D:$D,R$4, Log!$C:$C, $A75, Log!$A:$A, "Daily", Log!$B:$B, "n/a"), 0),
        _xlpm.ie_camera_on_date, IFERROR(AVERAGEIFS(Log!$G:$G, Log!$D:$D,R$4,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5" s="68" t="str">
        <f>IFERROR(
    _xlfn.LET(
        _xlpm.is_data_present, $A75&lt;&gt;0,
        _xlpm.is_camera_present, COUNTIFS(Log!$C:$C, $A75, Log!$D:$D, S$4, Log!$A:$A, "Daily", Log!$B:$B, "n/a"),
        _xlpm.we_camera_on_date, IFERROR(AVERAGEIFS(Log!$F:$F, Log!$D:$D,S$4, Log!$C:$C, $A75, Log!$A:$A, "Daily", Log!$B:$B, "n/a"), 0),
        _xlpm.ie_camera_on_date, IFERROR(AVERAGEIFS(Log!$G:$G, Log!$D:$D,S$4, Log!$C:$C, $A75, Log!$A:$A, "Daily", Log!$B:$B, "n/a"), 0),
        _xlpm.we_avg, IFERROR(AVERAGEIFS(Log!$F:$F,Log!$C:$C,$A75, Log!$A:$A, "Daily", Log!$B:$B, "n/a"),0),
        _xlpm.ie_avg, IFERROR(AVERAGEIFS(Log!$G:$G,Log!$C:$C,$A75,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6" spans="2:19" x14ac:dyDescent="0.3">
      <c r="B76" s="68" t="str">
        <f>IFERROR(
    _xlfn.LET(
        _xlpm.is_data_present, $A76&lt;&gt;0,
        _xlpm.is_camera_present, COUNTIFS(Log!$C:$C, $A76, Log!$D:$D, B$4, Log!$A:$A, "Daily", Log!$B:$B, "n/a"),
        _xlpm.we_camera_on_date, IFERROR(AVERAGEIFS(Log!$F:$F, Log!$D:$D,B$4, Log!$C:$C, $A76, Log!$A:$A, "Daily", Log!$B:$B, "n/a"), 0),
        _xlpm.ie_camera_on_date, IFERROR(AVERAGEIFS(Log!$G:$G, Log!$D:$D,B$4,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6" s="68" t="str">
        <f>IFERROR(
    _xlfn.LET(
        _xlpm.is_data_present, $A76&lt;&gt;0,
        _xlpm.is_camera_present, COUNTIFS(Log!$C:$C, $A76, Log!$D:$D, C$4, Log!$A:$A, "Daily", Log!$B:$B, "n/a"),
        _xlpm.we_camera_on_date, IFERROR(AVERAGEIFS(Log!$F:$F, Log!$D:$D,C$4, Log!$C:$C, $A76, Log!$A:$A, "Daily", Log!$B:$B, "n/a"), 0),
        _xlpm.ie_camera_on_date, IFERROR(AVERAGEIFS(Log!$G:$G, Log!$D:$D,C$4,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6" s="68" t="str">
        <f>IFERROR(
    _xlfn.LET(
        _xlpm.is_data_present, $A76&lt;&gt;0,
        _xlpm.is_camera_present, COUNTIFS(Log!$C:$C, $A76, Log!$D:$D, D$4, Log!$A:$A, "Daily", Log!$B:$B, "n/a"),
        _xlpm.we_camera_on_date, IFERROR(AVERAGEIFS(Log!$F:$F, Log!$D:$D,D$4, Log!$C:$C, $A76, Log!$A:$A, "Daily", Log!$B:$B, "n/a"), 0),
        _xlpm.ie_camera_on_date, IFERROR(AVERAGEIFS(Log!$G:$G, Log!$D:$D,D$4,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6" s="68" t="str">
        <f>IFERROR(
    _xlfn.LET(
        _xlpm.is_data_present, $A76&lt;&gt;0,
        _xlpm.is_camera_present, COUNTIFS(Log!$C:$C, $A76, Log!$D:$D, E$4, Log!$A:$A, "Daily", Log!$B:$B, "n/a"),
        _xlpm.we_camera_on_date, IFERROR(AVERAGEIFS(Log!$F:$F, Log!$D:$D,E$4, Log!$C:$C, $A76, Log!$A:$A, "Daily", Log!$B:$B, "n/a"), 0),
        _xlpm.ie_camera_on_date, IFERROR(AVERAGEIFS(Log!$G:$G, Log!$D:$D,E$4,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6" s="68" t="str">
        <f>IFERROR(
    _xlfn.LET(
        _xlpm.is_data_present, $A76&lt;&gt;0,
        _xlpm.is_camera_present, COUNTIFS(Log!$C:$C, $A76, Log!$D:$D, F$4, Log!$A:$A, "Daily", Log!$B:$B, "n/a"),
        _xlpm.we_camera_on_date, IFERROR(AVERAGEIFS(Log!$F:$F, Log!$D:$D,F$4, Log!$C:$C, $A76, Log!$A:$A, "Daily", Log!$B:$B, "n/a"), 0),
        _xlpm.ie_camera_on_date, IFERROR(AVERAGEIFS(Log!$G:$G, Log!$D:$D,F$4,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6" s="68" t="str">
        <f>IFERROR(
    _xlfn.LET(
        _xlpm.is_data_present, $A76&lt;&gt;0,
        _xlpm.is_camera_present, COUNTIFS(Log!$C:$C, $A76, Log!$D:$D, G$4, Log!$A:$A, "Daily", Log!$B:$B, "n/a"),
        _xlpm.we_camera_on_date, IFERROR(AVERAGEIFS(Log!$F:$F, Log!$D:$D,G$4, Log!$C:$C, $A76, Log!$A:$A, "Daily", Log!$B:$B, "n/a"), 0),
        _xlpm.ie_camera_on_date, IFERROR(AVERAGEIFS(Log!$G:$G, Log!$D:$D,G$4,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6" s="68" t="str">
        <f>IFERROR(
    _xlfn.LET(
        _xlpm.is_data_present, $A76&lt;&gt;0,
        _xlpm.is_camera_present, COUNTIFS(Log!$C:$C, $A76, Log!$D:$D, H$4, Log!$A:$A, "Daily", Log!$B:$B, "n/a"),
        _xlpm.we_camera_on_date, IFERROR(AVERAGEIFS(Log!$F:$F, Log!$D:$D,H$4, Log!$C:$C, $A76, Log!$A:$A, "Daily", Log!$B:$B, "n/a"), 0),
        _xlpm.ie_camera_on_date, IFERROR(AVERAGEIFS(Log!$G:$G, Log!$D:$D,H$4,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6" s="68" t="str">
        <f>IFERROR(
    _xlfn.LET(
        _xlpm.is_data_present, $A76&lt;&gt;0,
        _xlpm.is_camera_present, COUNTIFS(Log!$C:$C, $A76, Log!$D:$D, I$4, Log!$A:$A, "Daily", Log!$B:$B, "n/a"),
        _xlpm.we_camera_on_date, IFERROR(AVERAGEIFS(Log!$F:$F, Log!$D:$D,I$4, Log!$C:$C, $A76, Log!$A:$A, "Daily", Log!$B:$B, "n/a"), 0),
        _xlpm.ie_camera_on_date, IFERROR(AVERAGEIFS(Log!$G:$G, Log!$D:$D,I$4,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6" s="68" t="str">
        <f>IFERROR(
    _xlfn.LET(
        _xlpm.is_data_present, $A76&lt;&gt;0,
        _xlpm.is_camera_present, COUNTIFS(Log!$C:$C, $A76, Log!$D:$D, J$4, Log!$A:$A, "Daily", Log!$B:$B, "n/a"),
        _xlpm.we_camera_on_date, IFERROR(AVERAGEIFS(Log!$F:$F, Log!$D:$D,J$4, Log!$C:$C, $A76, Log!$A:$A, "Daily", Log!$B:$B, "n/a"), 0),
        _xlpm.ie_camera_on_date, IFERROR(AVERAGEIFS(Log!$G:$G, Log!$D:$D,J$4,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6" s="68" t="str">
        <f>IFERROR(
    _xlfn.LET(
        _xlpm.is_data_present, $A76&lt;&gt;0,
        _xlpm.is_camera_present, COUNTIFS(Log!$C:$C, $A76, Log!$D:$D, K$4, Log!$A:$A, "Daily", Log!$B:$B, "n/a"),
        _xlpm.we_camera_on_date, IFERROR(AVERAGEIFS(Log!$F:$F, Log!$D:$D,K$4, Log!$C:$C, $A76, Log!$A:$A, "Daily", Log!$B:$B, "n/a"), 0),
        _xlpm.ie_camera_on_date, IFERROR(AVERAGEIFS(Log!$G:$G, Log!$D:$D,K$4,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6" s="68" t="str">
        <f>IFERROR(
    _xlfn.LET(
        _xlpm.is_data_present, $A76&lt;&gt;0,
        _xlpm.is_camera_present, COUNTIFS(Log!$C:$C, $A76, Log!$D:$D, L$4, Log!$A:$A, "Daily", Log!$B:$B, "n/a"),
        _xlpm.we_camera_on_date, IFERROR(AVERAGEIFS(Log!$F:$F, Log!$D:$D,L$4, Log!$C:$C, $A76, Log!$A:$A, "Daily", Log!$B:$B, "n/a"), 0),
        _xlpm.ie_camera_on_date, IFERROR(AVERAGEIFS(Log!$G:$G, Log!$D:$D,L$4,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6" s="68" t="str">
        <f>IFERROR(
    _xlfn.LET(
        _xlpm.is_data_present, $A76&lt;&gt;0,
        _xlpm.is_camera_present, COUNTIFS(Log!$C:$C, $A76, Log!$D:$D, M$4, Log!$A:$A, "Daily", Log!$B:$B, "n/a"),
        _xlpm.we_camera_on_date, IFERROR(AVERAGEIFS(Log!$F:$F, Log!$D:$D,M$4, Log!$C:$C, $A76, Log!$A:$A, "Daily", Log!$B:$B, "n/a"), 0),
        _xlpm.ie_camera_on_date, IFERROR(AVERAGEIFS(Log!$G:$G, Log!$D:$D,M$4,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6" s="68" t="str">
        <f>IFERROR(
    _xlfn.LET(
        _xlpm.is_data_present, $A76&lt;&gt;0,
        _xlpm.is_camera_present, COUNTIFS(Log!$C:$C, $A76, Log!$D:$D, N$4, Log!$A:$A, "Daily", Log!$B:$B, "n/a"),
        _xlpm.we_camera_on_date, IFERROR(AVERAGEIFS(Log!$F:$F, Log!$D:$D,N$4, Log!$C:$C, $A76, Log!$A:$A, "Daily", Log!$B:$B, "n/a"), 0),
        _xlpm.ie_camera_on_date, IFERROR(AVERAGEIFS(Log!$G:$G, Log!$D:$D,N$4,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6" s="68" t="str">
        <f>IFERROR(
    _xlfn.LET(
        _xlpm.is_data_present, $A76&lt;&gt;0,
        _xlpm.is_camera_present, COUNTIFS(Log!$C:$C, $A76, Log!$D:$D, O$4, Log!$A:$A, "Daily", Log!$B:$B, "n/a"),
        _xlpm.we_camera_on_date, IFERROR(AVERAGEIFS(Log!$F:$F, Log!$D:$D,O$4, Log!$C:$C, $A76, Log!$A:$A, "Daily", Log!$B:$B, "n/a"), 0),
        _xlpm.ie_camera_on_date, IFERROR(AVERAGEIFS(Log!$G:$G, Log!$D:$D,O$4,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6" s="68" t="str">
        <f>IFERROR(
    _xlfn.LET(
        _xlpm.is_data_present, $A76&lt;&gt;0,
        _xlpm.is_camera_present, COUNTIFS(Log!$C:$C, $A76, Log!$D:$D, P$4, Log!$A:$A, "Daily", Log!$B:$B, "n/a"),
        _xlpm.we_camera_on_date, IFERROR(AVERAGEIFS(Log!$F:$F, Log!$D:$D,P$4, Log!$C:$C, $A76, Log!$A:$A, "Daily", Log!$B:$B, "n/a"), 0),
        _xlpm.ie_camera_on_date, IFERROR(AVERAGEIFS(Log!$G:$G, Log!$D:$D,P$4,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6" s="68" t="str">
        <f>IFERROR(
    _xlfn.LET(
        _xlpm.is_data_present, $A76&lt;&gt;0,
        _xlpm.is_camera_present, COUNTIFS(Log!$C:$C, $A76, Log!$D:$D, Q$4, Log!$A:$A, "Daily", Log!$B:$B, "n/a"),
        _xlpm.we_camera_on_date, IFERROR(AVERAGEIFS(Log!$F:$F, Log!$D:$D,Q$4, Log!$C:$C, $A76, Log!$A:$A, "Daily", Log!$B:$B, "n/a"), 0),
        _xlpm.ie_camera_on_date, IFERROR(AVERAGEIFS(Log!$G:$G, Log!$D:$D,Q$4,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6" s="68" t="str">
        <f>IFERROR(
    _xlfn.LET(
        _xlpm.is_data_present, $A76&lt;&gt;0,
        _xlpm.is_camera_present, COUNTIFS(Log!$C:$C, $A76, Log!$D:$D, R$4, Log!$A:$A, "Daily", Log!$B:$B, "n/a"),
        _xlpm.we_camera_on_date, IFERROR(AVERAGEIFS(Log!$F:$F, Log!$D:$D,R$4, Log!$C:$C, $A76, Log!$A:$A, "Daily", Log!$B:$B, "n/a"), 0),
        _xlpm.ie_camera_on_date, IFERROR(AVERAGEIFS(Log!$G:$G, Log!$D:$D,R$4,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6" s="68" t="str">
        <f>IFERROR(
    _xlfn.LET(
        _xlpm.is_data_present, $A76&lt;&gt;0,
        _xlpm.is_camera_present, COUNTIFS(Log!$C:$C, $A76, Log!$D:$D, S$4, Log!$A:$A, "Daily", Log!$B:$B, "n/a"),
        _xlpm.we_camera_on_date, IFERROR(AVERAGEIFS(Log!$F:$F, Log!$D:$D,S$4, Log!$C:$C, $A76, Log!$A:$A, "Daily", Log!$B:$B, "n/a"), 0),
        _xlpm.ie_camera_on_date, IFERROR(AVERAGEIFS(Log!$G:$G, Log!$D:$D,S$4, Log!$C:$C, $A76, Log!$A:$A, "Daily", Log!$B:$B, "n/a"), 0),
        _xlpm.we_avg, IFERROR(AVERAGEIFS(Log!$F:$F,Log!$C:$C,$A76, Log!$A:$A, "Daily", Log!$B:$B, "n/a"),0),
        _xlpm.ie_avg, IFERROR(AVERAGEIFS(Log!$G:$G,Log!$C:$C,$A76,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7" spans="2:19" x14ac:dyDescent="0.3">
      <c r="B77" s="68" t="str">
        <f>IFERROR(
    _xlfn.LET(
        _xlpm.is_data_present, $A77&lt;&gt;0,
        _xlpm.is_camera_present, COUNTIFS(Log!$C:$C, $A77, Log!$D:$D, B$4, Log!$A:$A, "Daily", Log!$B:$B, "n/a"),
        _xlpm.we_camera_on_date, IFERROR(AVERAGEIFS(Log!$F:$F, Log!$D:$D,B$4, Log!$C:$C, $A77, Log!$A:$A, "Daily", Log!$B:$B, "n/a"), 0),
        _xlpm.ie_camera_on_date, IFERROR(AVERAGEIFS(Log!$G:$G, Log!$D:$D,B$4,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7" s="68" t="str">
        <f>IFERROR(
    _xlfn.LET(
        _xlpm.is_data_present, $A77&lt;&gt;0,
        _xlpm.is_camera_present, COUNTIFS(Log!$C:$C, $A77, Log!$D:$D, C$4, Log!$A:$A, "Daily", Log!$B:$B, "n/a"),
        _xlpm.we_camera_on_date, IFERROR(AVERAGEIFS(Log!$F:$F, Log!$D:$D,C$4, Log!$C:$C, $A77, Log!$A:$A, "Daily", Log!$B:$B, "n/a"), 0),
        _xlpm.ie_camera_on_date, IFERROR(AVERAGEIFS(Log!$G:$G, Log!$D:$D,C$4,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7" s="68" t="str">
        <f>IFERROR(
    _xlfn.LET(
        _xlpm.is_data_present, $A77&lt;&gt;0,
        _xlpm.is_camera_present, COUNTIFS(Log!$C:$C, $A77, Log!$D:$D, D$4, Log!$A:$A, "Daily", Log!$B:$B, "n/a"),
        _xlpm.we_camera_on_date, IFERROR(AVERAGEIFS(Log!$F:$F, Log!$D:$D,D$4, Log!$C:$C, $A77, Log!$A:$A, "Daily", Log!$B:$B, "n/a"), 0),
        _xlpm.ie_camera_on_date, IFERROR(AVERAGEIFS(Log!$G:$G, Log!$D:$D,D$4,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7" s="68" t="str">
        <f>IFERROR(
    _xlfn.LET(
        _xlpm.is_data_present, $A77&lt;&gt;0,
        _xlpm.is_camera_present, COUNTIFS(Log!$C:$C, $A77, Log!$D:$D, E$4, Log!$A:$A, "Daily", Log!$B:$B, "n/a"),
        _xlpm.we_camera_on_date, IFERROR(AVERAGEIFS(Log!$F:$F, Log!$D:$D,E$4, Log!$C:$C, $A77, Log!$A:$A, "Daily", Log!$B:$B, "n/a"), 0),
        _xlpm.ie_camera_on_date, IFERROR(AVERAGEIFS(Log!$G:$G, Log!$D:$D,E$4,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7" s="68" t="str">
        <f>IFERROR(
    _xlfn.LET(
        _xlpm.is_data_present, $A77&lt;&gt;0,
        _xlpm.is_camera_present, COUNTIFS(Log!$C:$C, $A77, Log!$D:$D, F$4, Log!$A:$A, "Daily", Log!$B:$B, "n/a"),
        _xlpm.we_camera_on_date, IFERROR(AVERAGEIFS(Log!$F:$F, Log!$D:$D,F$4, Log!$C:$C, $A77, Log!$A:$A, "Daily", Log!$B:$B, "n/a"), 0),
        _xlpm.ie_camera_on_date, IFERROR(AVERAGEIFS(Log!$G:$G, Log!$D:$D,F$4,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7" s="68" t="str">
        <f>IFERROR(
    _xlfn.LET(
        _xlpm.is_data_present, $A77&lt;&gt;0,
        _xlpm.is_camera_present, COUNTIFS(Log!$C:$C, $A77, Log!$D:$D, G$4, Log!$A:$A, "Daily", Log!$B:$B, "n/a"),
        _xlpm.we_camera_on_date, IFERROR(AVERAGEIFS(Log!$F:$F, Log!$D:$D,G$4, Log!$C:$C, $A77, Log!$A:$A, "Daily", Log!$B:$B, "n/a"), 0),
        _xlpm.ie_camera_on_date, IFERROR(AVERAGEIFS(Log!$G:$G, Log!$D:$D,G$4,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7" s="68" t="str">
        <f>IFERROR(
    _xlfn.LET(
        _xlpm.is_data_present, $A77&lt;&gt;0,
        _xlpm.is_camera_present, COUNTIFS(Log!$C:$C, $A77, Log!$D:$D, H$4, Log!$A:$A, "Daily", Log!$B:$B, "n/a"),
        _xlpm.we_camera_on_date, IFERROR(AVERAGEIFS(Log!$F:$F, Log!$D:$D,H$4, Log!$C:$C, $A77, Log!$A:$A, "Daily", Log!$B:$B, "n/a"), 0),
        _xlpm.ie_camera_on_date, IFERROR(AVERAGEIFS(Log!$G:$G, Log!$D:$D,H$4,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7" s="68" t="str">
        <f>IFERROR(
    _xlfn.LET(
        _xlpm.is_data_present, $A77&lt;&gt;0,
        _xlpm.is_camera_present, COUNTIFS(Log!$C:$C, $A77, Log!$D:$D, I$4, Log!$A:$A, "Daily", Log!$B:$B, "n/a"),
        _xlpm.we_camera_on_date, IFERROR(AVERAGEIFS(Log!$F:$F, Log!$D:$D,I$4, Log!$C:$C, $A77, Log!$A:$A, "Daily", Log!$B:$B, "n/a"), 0),
        _xlpm.ie_camera_on_date, IFERROR(AVERAGEIFS(Log!$G:$G, Log!$D:$D,I$4,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7" s="68" t="str">
        <f>IFERROR(
    _xlfn.LET(
        _xlpm.is_data_present, $A77&lt;&gt;0,
        _xlpm.is_camera_present, COUNTIFS(Log!$C:$C, $A77, Log!$D:$D, J$4, Log!$A:$A, "Daily", Log!$B:$B, "n/a"),
        _xlpm.we_camera_on_date, IFERROR(AVERAGEIFS(Log!$F:$F, Log!$D:$D,J$4, Log!$C:$C, $A77, Log!$A:$A, "Daily", Log!$B:$B, "n/a"), 0),
        _xlpm.ie_camera_on_date, IFERROR(AVERAGEIFS(Log!$G:$G, Log!$D:$D,J$4,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7" s="68" t="str">
        <f>IFERROR(
    _xlfn.LET(
        _xlpm.is_data_present, $A77&lt;&gt;0,
        _xlpm.is_camera_present, COUNTIFS(Log!$C:$C, $A77, Log!$D:$D, K$4, Log!$A:$A, "Daily", Log!$B:$B, "n/a"),
        _xlpm.we_camera_on_date, IFERROR(AVERAGEIFS(Log!$F:$F, Log!$D:$D,K$4, Log!$C:$C, $A77, Log!$A:$A, "Daily", Log!$B:$B, "n/a"), 0),
        _xlpm.ie_camera_on_date, IFERROR(AVERAGEIFS(Log!$G:$G, Log!$D:$D,K$4,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7" s="68" t="str">
        <f>IFERROR(
    _xlfn.LET(
        _xlpm.is_data_present, $A77&lt;&gt;0,
        _xlpm.is_camera_present, COUNTIFS(Log!$C:$C, $A77, Log!$D:$D, L$4, Log!$A:$A, "Daily", Log!$B:$B, "n/a"),
        _xlpm.we_camera_on_date, IFERROR(AVERAGEIFS(Log!$F:$F, Log!$D:$D,L$4, Log!$C:$C, $A77, Log!$A:$A, "Daily", Log!$B:$B, "n/a"), 0),
        _xlpm.ie_camera_on_date, IFERROR(AVERAGEIFS(Log!$G:$G, Log!$D:$D,L$4,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7" s="68" t="str">
        <f>IFERROR(
    _xlfn.LET(
        _xlpm.is_data_present, $A77&lt;&gt;0,
        _xlpm.is_camera_present, COUNTIFS(Log!$C:$C, $A77, Log!$D:$D, M$4, Log!$A:$A, "Daily", Log!$B:$B, "n/a"),
        _xlpm.we_camera_on_date, IFERROR(AVERAGEIFS(Log!$F:$F, Log!$D:$D,M$4, Log!$C:$C, $A77, Log!$A:$A, "Daily", Log!$B:$B, "n/a"), 0),
        _xlpm.ie_camera_on_date, IFERROR(AVERAGEIFS(Log!$G:$G, Log!$D:$D,M$4,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7" s="68" t="str">
        <f>IFERROR(
    _xlfn.LET(
        _xlpm.is_data_present, $A77&lt;&gt;0,
        _xlpm.is_camera_present, COUNTIFS(Log!$C:$C, $A77, Log!$D:$D, N$4, Log!$A:$A, "Daily", Log!$B:$B, "n/a"),
        _xlpm.we_camera_on_date, IFERROR(AVERAGEIFS(Log!$F:$F, Log!$D:$D,N$4, Log!$C:$C, $A77, Log!$A:$A, "Daily", Log!$B:$B, "n/a"), 0),
        _xlpm.ie_camera_on_date, IFERROR(AVERAGEIFS(Log!$G:$G, Log!$D:$D,N$4,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7" s="68" t="str">
        <f>IFERROR(
    _xlfn.LET(
        _xlpm.is_data_present, $A77&lt;&gt;0,
        _xlpm.is_camera_present, COUNTIFS(Log!$C:$C, $A77, Log!$D:$D, O$4, Log!$A:$A, "Daily", Log!$B:$B, "n/a"),
        _xlpm.we_camera_on_date, IFERROR(AVERAGEIFS(Log!$F:$F, Log!$D:$D,O$4, Log!$C:$C, $A77, Log!$A:$A, "Daily", Log!$B:$B, "n/a"), 0),
        _xlpm.ie_camera_on_date, IFERROR(AVERAGEIFS(Log!$G:$G, Log!$D:$D,O$4,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7" s="68" t="str">
        <f>IFERROR(
    _xlfn.LET(
        _xlpm.is_data_present, $A77&lt;&gt;0,
        _xlpm.is_camera_present, COUNTIFS(Log!$C:$C, $A77, Log!$D:$D, P$4, Log!$A:$A, "Daily", Log!$B:$B, "n/a"),
        _xlpm.we_camera_on_date, IFERROR(AVERAGEIFS(Log!$F:$F, Log!$D:$D,P$4, Log!$C:$C, $A77, Log!$A:$A, "Daily", Log!$B:$B, "n/a"), 0),
        _xlpm.ie_camera_on_date, IFERROR(AVERAGEIFS(Log!$G:$G, Log!$D:$D,P$4,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7" s="68" t="str">
        <f>IFERROR(
    _xlfn.LET(
        _xlpm.is_data_present, $A77&lt;&gt;0,
        _xlpm.is_camera_present, COUNTIFS(Log!$C:$C, $A77, Log!$D:$D, Q$4, Log!$A:$A, "Daily", Log!$B:$B, "n/a"),
        _xlpm.we_camera_on_date, IFERROR(AVERAGEIFS(Log!$F:$F, Log!$D:$D,Q$4, Log!$C:$C, $A77, Log!$A:$A, "Daily", Log!$B:$B, "n/a"), 0),
        _xlpm.ie_camera_on_date, IFERROR(AVERAGEIFS(Log!$G:$G, Log!$D:$D,Q$4,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7" s="68" t="str">
        <f>IFERROR(
    _xlfn.LET(
        _xlpm.is_data_present, $A77&lt;&gt;0,
        _xlpm.is_camera_present, COUNTIFS(Log!$C:$C, $A77, Log!$D:$D, R$4, Log!$A:$A, "Daily", Log!$B:$B, "n/a"),
        _xlpm.we_camera_on_date, IFERROR(AVERAGEIFS(Log!$F:$F, Log!$D:$D,R$4, Log!$C:$C, $A77, Log!$A:$A, "Daily", Log!$B:$B, "n/a"), 0),
        _xlpm.ie_camera_on_date, IFERROR(AVERAGEIFS(Log!$G:$G, Log!$D:$D,R$4,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7" s="68" t="str">
        <f>IFERROR(
    _xlfn.LET(
        _xlpm.is_data_present, $A77&lt;&gt;0,
        _xlpm.is_camera_present, COUNTIFS(Log!$C:$C, $A77, Log!$D:$D, S$4, Log!$A:$A, "Daily", Log!$B:$B, "n/a"),
        _xlpm.we_camera_on_date, IFERROR(AVERAGEIFS(Log!$F:$F, Log!$D:$D,S$4, Log!$C:$C, $A77, Log!$A:$A, "Daily", Log!$B:$B, "n/a"), 0),
        _xlpm.ie_camera_on_date, IFERROR(AVERAGEIFS(Log!$G:$G, Log!$D:$D,S$4, Log!$C:$C, $A77, Log!$A:$A, "Daily", Log!$B:$B, "n/a"), 0),
        _xlpm.we_avg, IFERROR(AVERAGEIFS(Log!$F:$F,Log!$C:$C,$A77, Log!$A:$A, "Daily", Log!$B:$B, "n/a"),0),
        _xlpm.ie_avg, IFERROR(AVERAGEIFS(Log!$G:$G,Log!$C:$C,$A77,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8" spans="2:19" x14ac:dyDescent="0.3">
      <c r="B78" s="68" t="str">
        <f>IFERROR(
    _xlfn.LET(
        _xlpm.is_data_present, $A78&lt;&gt;0,
        _xlpm.is_camera_present, COUNTIFS(Log!$C:$C, $A78, Log!$D:$D, B$4, Log!$A:$A, "Daily", Log!$B:$B, "n/a"),
        _xlpm.we_camera_on_date, IFERROR(AVERAGEIFS(Log!$F:$F, Log!$D:$D,B$4, Log!$C:$C, $A78, Log!$A:$A, "Daily", Log!$B:$B, "n/a"), 0),
        _xlpm.ie_camera_on_date, IFERROR(AVERAGEIFS(Log!$G:$G, Log!$D:$D,B$4,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8" s="68" t="str">
        <f>IFERROR(
    _xlfn.LET(
        _xlpm.is_data_present, $A78&lt;&gt;0,
        _xlpm.is_camera_present, COUNTIFS(Log!$C:$C, $A78, Log!$D:$D, C$4, Log!$A:$A, "Daily", Log!$B:$B, "n/a"),
        _xlpm.we_camera_on_date, IFERROR(AVERAGEIFS(Log!$F:$F, Log!$D:$D,C$4, Log!$C:$C, $A78, Log!$A:$A, "Daily", Log!$B:$B, "n/a"), 0),
        _xlpm.ie_camera_on_date, IFERROR(AVERAGEIFS(Log!$G:$G, Log!$D:$D,C$4,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8" s="68" t="str">
        <f>IFERROR(
    _xlfn.LET(
        _xlpm.is_data_present, $A78&lt;&gt;0,
        _xlpm.is_camera_present, COUNTIFS(Log!$C:$C, $A78, Log!$D:$D, D$4, Log!$A:$A, "Daily", Log!$B:$B, "n/a"),
        _xlpm.we_camera_on_date, IFERROR(AVERAGEIFS(Log!$F:$F, Log!$D:$D,D$4, Log!$C:$C, $A78, Log!$A:$A, "Daily", Log!$B:$B, "n/a"), 0),
        _xlpm.ie_camera_on_date, IFERROR(AVERAGEIFS(Log!$G:$G, Log!$D:$D,D$4,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8" s="68" t="str">
        <f>IFERROR(
    _xlfn.LET(
        _xlpm.is_data_present, $A78&lt;&gt;0,
        _xlpm.is_camera_present, COUNTIFS(Log!$C:$C, $A78, Log!$D:$D, E$4, Log!$A:$A, "Daily", Log!$B:$B, "n/a"),
        _xlpm.we_camera_on_date, IFERROR(AVERAGEIFS(Log!$F:$F, Log!$D:$D,E$4, Log!$C:$C, $A78, Log!$A:$A, "Daily", Log!$B:$B, "n/a"), 0),
        _xlpm.ie_camera_on_date, IFERROR(AVERAGEIFS(Log!$G:$G, Log!$D:$D,E$4,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8" s="68" t="str">
        <f>IFERROR(
    _xlfn.LET(
        _xlpm.is_data_present, $A78&lt;&gt;0,
        _xlpm.is_camera_present, COUNTIFS(Log!$C:$C, $A78, Log!$D:$D, F$4, Log!$A:$A, "Daily", Log!$B:$B, "n/a"),
        _xlpm.we_camera_on_date, IFERROR(AVERAGEIFS(Log!$F:$F, Log!$D:$D,F$4, Log!$C:$C, $A78, Log!$A:$A, "Daily", Log!$B:$B, "n/a"), 0),
        _xlpm.ie_camera_on_date, IFERROR(AVERAGEIFS(Log!$G:$G, Log!$D:$D,F$4,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8" s="68" t="str">
        <f>IFERROR(
    _xlfn.LET(
        _xlpm.is_data_present, $A78&lt;&gt;0,
        _xlpm.is_camera_present, COUNTIFS(Log!$C:$C, $A78, Log!$D:$D, G$4, Log!$A:$A, "Daily", Log!$B:$B, "n/a"),
        _xlpm.we_camera_on_date, IFERROR(AVERAGEIFS(Log!$F:$F, Log!$D:$D,G$4, Log!$C:$C, $A78, Log!$A:$A, "Daily", Log!$B:$B, "n/a"), 0),
        _xlpm.ie_camera_on_date, IFERROR(AVERAGEIFS(Log!$G:$G, Log!$D:$D,G$4,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8" s="68" t="str">
        <f>IFERROR(
    _xlfn.LET(
        _xlpm.is_data_present, $A78&lt;&gt;0,
        _xlpm.is_camera_present, COUNTIFS(Log!$C:$C, $A78, Log!$D:$D, H$4, Log!$A:$A, "Daily", Log!$B:$B, "n/a"),
        _xlpm.we_camera_on_date, IFERROR(AVERAGEIFS(Log!$F:$F, Log!$D:$D,H$4, Log!$C:$C, $A78, Log!$A:$A, "Daily", Log!$B:$B, "n/a"), 0),
        _xlpm.ie_camera_on_date, IFERROR(AVERAGEIFS(Log!$G:$G, Log!$D:$D,H$4,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8" s="68" t="str">
        <f>IFERROR(
    _xlfn.LET(
        _xlpm.is_data_present, $A78&lt;&gt;0,
        _xlpm.is_camera_present, COUNTIFS(Log!$C:$C, $A78, Log!$D:$D, I$4, Log!$A:$A, "Daily", Log!$B:$B, "n/a"),
        _xlpm.we_camera_on_date, IFERROR(AVERAGEIFS(Log!$F:$F, Log!$D:$D,I$4, Log!$C:$C, $A78, Log!$A:$A, "Daily", Log!$B:$B, "n/a"), 0),
        _xlpm.ie_camera_on_date, IFERROR(AVERAGEIFS(Log!$G:$G, Log!$D:$D,I$4,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8" s="68" t="str">
        <f>IFERROR(
    _xlfn.LET(
        _xlpm.is_data_present, $A78&lt;&gt;0,
        _xlpm.is_camera_present, COUNTIFS(Log!$C:$C, $A78, Log!$D:$D, J$4, Log!$A:$A, "Daily", Log!$B:$B, "n/a"),
        _xlpm.we_camera_on_date, IFERROR(AVERAGEIFS(Log!$F:$F, Log!$D:$D,J$4, Log!$C:$C, $A78, Log!$A:$A, "Daily", Log!$B:$B, "n/a"), 0),
        _xlpm.ie_camera_on_date, IFERROR(AVERAGEIFS(Log!$G:$G, Log!$D:$D,J$4,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8" s="68" t="str">
        <f>IFERROR(
    _xlfn.LET(
        _xlpm.is_data_present, $A78&lt;&gt;0,
        _xlpm.is_camera_present, COUNTIFS(Log!$C:$C, $A78, Log!$D:$D, K$4, Log!$A:$A, "Daily", Log!$B:$B, "n/a"),
        _xlpm.we_camera_on_date, IFERROR(AVERAGEIFS(Log!$F:$F, Log!$D:$D,K$4, Log!$C:$C, $A78, Log!$A:$A, "Daily", Log!$B:$B, "n/a"), 0),
        _xlpm.ie_camera_on_date, IFERROR(AVERAGEIFS(Log!$G:$G, Log!$D:$D,K$4,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8" s="68" t="str">
        <f>IFERROR(
    _xlfn.LET(
        _xlpm.is_data_present, $A78&lt;&gt;0,
        _xlpm.is_camera_present, COUNTIFS(Log!$C:$C, $A78, Log!$D:$D, L$4, Log!$A:$A, "Daily", Log!$B:$B, "n/a"),
        _xlpm.we_camera_on_date, IFERROR(AVERAGEIFS(Log!$F:$F, Log!$D:$D,L$4, Log!$C:$C, $A78, Log!$A:$A, "Daily", Log!$B:$B, "n/a"), 0),
        _xlpm.ie_camera_on_date, IFERROR(AVERAGEIFS(Log!$G:$G, Log!$D:$D,L$4,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8" s="68" t="str">
        <f>IFERROR(
    _xlfn.LET(
        _xlpm.is_data_present, $A78&lt;&gt;0,
        _xlpm.is_camera_present, COUNTIFS(Log!$C:$C, $A78, Log!$D:$D, M$4, Log!$A:$A, "Daily", Log!$B:$B, "n/a"),
        _xlpm.we_camera_on_date, IFERROR(AVERAGEIFS(Log!$F:$F, Log!$D:$D,M$4, Log!$C:$C, $A78, Log!$A:$A, "Daily", Log!$B:$B, "n/a"), 0),
        _xlpm.ie_camera_on_date, IFERROR(AVERAGEIFS(Log!$G:$G, Log!$D:$D,M$4,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8" s="68" t="str">
        <f>IFERROR(
    _xlfn.LET(
        _xlpm.is_data_present, $A78&lt;&gt;0,
        _xlpm.is_camera_present, COUNTIFS(Log!$C:$C, $A78, Log!$D:$D, N$4, Log!$A:$A, "Daily", Log!$B:$B, "n/a"),
        _xlpm.we_camera_on_date, IFERROR(AVERAGEIFS(Log!$F:$F, Log!$D:$D,N$4, Log!$C:$C, $A78, Log!$A:$A, "Daily", Log!$B:$B, "n/a"), 0),
        _xlpm.ie_camera_on_date, IFERROR(AVERAGEIFS(Log!$G:$G, Log!$D:$D,N$4,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8" s="68" t="str">
        <f>IFERROR(
    _xlfn.LET(
        _xlpm.is_data_present, $A78&lt;&gt;0,
        _xlpm.is_camera_present, COUNTIFS(Log!$C:$C, $A78, Log!$D:$D, O$4, Log!$A:$A, "Daily", Log!$B:$B, "n/a"),
        _xlpm.we_camera_on_date, IFERROR(AVERAGEIFS(Log!$F:$F, Log!$D:$D,O$4, Log!$C:$C, $A78, Log!$A:$A, "Daily", Log!$B:$B, "n/a"), 0),
        _xlpm.ie_camera_on_date, IFERROR(AVERAGEIFS(Log!$G:$G, Log!$D:$D,O$4,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8" s="68" t="str">
        <f>IFERROR(
    _xlfn.LET(
        _xlpm.is_data_present, $A78&lt;&gt;0,
        _xlpm.is_camera_present, COUNTIFS(Log!$C:$C, $A78, Log!$D:$D, P$4, Log!$A:$A, "Daily", Log!$B:$B, "n/a"),
        _xlpm.we_camera_on_date, IFERROR(AVERAGEIFS(Log!$F:$F, Log!$D:$D,P$4, Log!$C:$C, $A78, Log!$A:$A, "Daily", Log!$B:$B, "n/a"), 0),
        _xlpm.ie_camera_on_date, IFERROR(AVERAGEIFS(Log!$G:$G, Log!$D:$D,P$4,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8" s="68" t="str">
        <f>IFERROR(
    _xlfn.LET(
        _xlpm.is_data_present, $A78&lt;&gt;0,
        _xlpm.is_camera_present, COUNTIFS(Log!$C:$C, $A78, Log!$D:$D, Q$4, Log!$A:$A, "Daily", Log!$B:$B, "n/a"),
        _xlpm.we_camera_on_date, IFERROR(AVERAGEIFS(Log!$F:$F, Log!$D:$D,Q$4, Log!$C:$C, $A78, Log!$A:$A, "Daily", Log!$B:$B, "n/a"), 0),
        _xlpm.ie_camera_on_date, IFERROR(AVERAGEIFS(Log!$G:$G, Log!$D:$D,Q$4,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8" s="68" t="str">
        <f>IFERROR(
    _xlfn.LET(
        _xlpm.is_data_present, $A78&lt;&gt;0,
        _xlpm.is_camera_present, COUNTIFS(Log!$C:$C, $A78, Log!$D:$D, R$4, Log!$A:$A, "Daily", Log!$B:$B, "n/a"),
        _xlpm.we_camera_on_date, IFERROR(AVERAGEIFS(Log!$F:$F, Log!$D:$D,R$4, Log!$C:$C, $A78, Log!$A:$A, "Daily", Log!$B:$B, "n/a"), 0),
        _xlpm.ie_camera_on_date, IFERROR(AVERAGEIFS(Log!$G:$G, Log!$D:$D,R$4,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8" s="68" t="str">
        <f>IFERROR(
    _xlfn.LET(
        _xlpm.is_data_present, $A78&lt;&gt;0,
        _xlpm.is_camera_present, COUNTIFS(Log!$C:$C, $A78, Log!$D:$D, S$4, Log!$A:$A, "Daily", Log!$B:$B, "n/a"),
        _xlpm.we_camera_on_date, IFERROR(AVERAGEIFS(Log!$F:$F, Log!$D:$D,S$4, Log!$C:$C, $A78, Log!$A:$A, "Daily", Log!$B:$B, "n/a"), 0),
        _xlpm.ie_camera_on_date, IFERROR(AVERAGEIFS(Log!$G:$G, Log!$D:$D,S$4, Log!$C:$C, $A78, Log!$A:$A, "Daily", Log!$B:$B, "n/a"), 0),
        _xlpm.we_avg, IFERROR(AVERAGEIFS(Log!$F:$F,Log!$C:$C,$A78, Log!$A:$A, "Daily", Log!$B:$B, "n/a"),0),
        _xlpm.ie_avg, IFERROR(AVERAGEIFS(Log!$G:$G,Log!$C:$C,$A78,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79" spans="2:19" x14ac:dyDescent="0.3">
      <c r="B79" s="68" t="str">
        <f>IFERROR(
    _xlfn.LET(
        _xlpm.is_data_present, $A79&lt;&gt;0,
        _xlpm.is_camera_present, COUNTIFS(Log!$C:$C, $A79, Log!$D:$D, B$4, Log!$A:$A, "Daily", Log!$B:$B, "n/a"),
        _xlpm.we_camera_on_date, IFERROR(AVERAGEIFS(Log!$F:$F, Log!$D:$D,B$4, Log!$C:$C, $A79, Log!$A:$A, "Daily", Log!$B:$B, "n/a"), 0),
        _xlpm.ie_camera_on_date, IFERROR(AVERAGEIFS(Log!$G:$G, Log!$D:$D,B$4,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79" s="68" t="str">
        <f>IFERROR(
    _xlfn.LET(
        _xlpm.is_data_present, $A79&lt;&gt;0,
        _xlpm.is_camera_present, COUNTIFS(Log!$C:$C, $A79, Log!$D:$D, C$4, Log!$A:$A, "Daily", Log!$B:$B, "n/a"),
        _xlpm.we_camera_on_date, IFERROR(AVERAGEIFS(Log!$F:$F, Log!$D:$D,C$4, Log!$C:$C, $A79, Log!$A:$A, "Daily", Log!$B:$B, "n/a"), 0),
        _xlpm.ie_camera_on_date, IFERROR(AVERAGEIFS(Log!$G:$G, Log!$D:$D,C$4,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79" s="68" t="str">
        <f>IFERROR(
    _xlfn.LET(
        _xlpm.is_data_present, $A79&lt;&gt;0,
        _xlpm.is_camera_present, COUNTIFS(Log!$C:$C, $A79, Log!$D:$D, D$4, Log!$A:$A, "Daily", Log!$B:$B, "n/a"),
        _xlpm.we_camera_on_date, IFERROR(AVERAGEIFS(Log!$F:$F, Log!$D:$D,D$4, Log!$C:$C, $A79, Log!$A:$A, "Daily", Log!$B:$B, "n/a"), 0),
        _xlpm.ie_camera_on_date, IFERROR(AVERAGEIFS(Log!$G:$G, Log!$D:$D,D$4,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79" s="68" t="str">
        <f>IFERROR(
    _xlfn.LET(
        _xlpm.is_data_present, $A79&lt;&gt;0,
        _xlpm.is_camera_present, COUNTIFS(Log!$C:$C, $A79, Log!$D:$D, E$4, Log!$A:$A, "Daily", Log!$B:$B, "n/a"),
        _xlpm.we_camera_on_date, IFERROR(AVERAGEIFS(Log!$F:$F, Log!$D:$D,E$4, Log!$C:$C, $A79, Log!$A:$A, "Daily", Log!$B:$B, "n/a"), 0),
        _xlpm.ie_camera_on_date, IFERROR(AVERAGEIFS(Log!$G:$G, Log!$D:$D,E$4,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79" s="68" t="str">
        <f>IFERROR(
    _xlfn.LET(
        _xlpm.is_data_present, $A79&lt;&gt;0,
        _xlpm.is_camera_present, COUNTIFS(Log!$C:$C, $A79, Log!$D:$D, F$4, Log!$A:$A, "Daily", Log!$B:$B, "n/a"),
        _xlpm.we_camera_on_date, IFERROR(AVERAGEIFS(Log!$F:$F, Log!$D:$D,F$4, Log!$C:$C, $A79, Log!$A:$A, "Daily", Log!$B:$B, "n/a"), 0),
        _xlpm.ie_camera_on_date, IFERROR(AVERAGEIFS(Log!$G:$G, Log!$D:$D,F$4,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79" s="68" t="str">
        <f>IFERROR(
    _xlfn.LET(
        _xlpm.is_data_present, $A79&lt;&gt;0,
        _xlpm.is_camera_present, COUNTIFS(Log!$C:$C, $A79, Log!$D:$D, G$4, Log!$A:$A, "Daily", Log!$B:$B, "n/a"),
        _xlpm.we_camera_on_date, IFERROR(AVERAGEIFS(Log!$F:$F, Log!$D:$D,G$4, Log!$C:$C, $A79, Log!$A:$A, "Daily", Log!$B:$B, "n/a"), 0),
        _xlpm.ie_camera_on_date, IFERROR(AVERAGEIFS(Log!$G:$G, Log!$D:$D,G$4,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79" s="68" t="str">
        <f>IFERROR(
    _xlfn.LET(
        _xlpm.is_data_present, $A79&lt;&gt;0,
        _xlpm.is_camera_present, COUNTIFS(Log!$C:$C, $A79, Log!$D:$D, H$4, Log!$A:$A, "Daily", Log!$B:$B, "n/a"),
        _xlpm.we_camera_on_date, IFERROR(AVERAGEIFS(Log!$F:$F, Log!$D:$D,H$4, Log!$C:$C, $A79, Log!$A:$A, "Daily", Log!$B:$B, "n/a"), 0),
        _xlpm.ie_camera_on_date, IFERROR(AVERAGEIFS(Log!$G:$G, Log!$D:$D,H$4,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79" s="68" t="str">
        <f>IFERROR(
    _xlfn.LET(
        _xlpm.is_data_present, $A79&lt;&gt;0,
        _xlpm.is_camera_present, COUNTIFS(Log!$C:$C, $A79, Log!$D:$D, I$4, Log!$A:$A, "Daily", Log!$B:$B, "n/a"),
        _xlpm.we_camera_on_date, IFERROR(AVERAGEIFS(Log!$F:$F, Log!$D:$D,I$4, Log!$C:$C, $A79, Log!$A:$A, "Daily", Log!$B:$B, "n/a"), 0),
        _xlpm.ie_camera_on_date, IFERROR(AVERAGEIFS(Log!$G:$G, Log!$D:$D,I$4,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79" s="68" t="str">
        <f>IFERROR(
    _xlfn.LET(
        _xlpm.is_data_present, $A79&lt;&gt;0,
        _xlpm.is_camera_present, COUNTIFS(Log!$C:$C, $A79, Log!$D:$D, J$4, Log!$A:$A, "Daily", Log!$B:$B, "n/a"),
        _xlpm.we_camera_on_date, IFERROR(AVERAGEIFS(Log!$F:$F, Log!$D:$D,J$4, Log!$C:$C, $A79, Log!$A:$A, "Daily", Log!$B:$B, "n/a"), 0),
        _xlpm.ie_camera_on_date, IFERROR(AVERAGEIFS(Log!$G:$G, Log!$D:$D,J$4,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79" s="68" t="str">
        <f>IFERROR(
    _xlfn.LET(
        _xlpm.is_data_present, $A79&lt;&gt;0,
        _xlpm.is_camera_present, COUNTIFS(Log!$C:$C, $A79, Log!$D:$D, K$4, Log!$A:$A, "Daily", Log!$B:$B, "n/a"),
        _xlpm.we_camera_on_date, IFERROR(AVERAGEIFS(Log!$F:$F, Log!$D:$D,K$4, Log!$C:$C, $A79, Log!$A:$A, "Daily", Log!$B:$B, "n/a"), 0),
        _xlpm.ie_camera_on_date, IFERROR(AVERAGEIFS(Log!$G:$G, Log!$D:$D,K$4,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79" s="68" t="str">
        <f>IFERROR(
    _xlfn.LET(
        _xlpm.is_data_present, $A79&lt;&gt;0,
        _xlpm.is_camera_present, COUNTIFS(Log!$C:$C, $A79, Log!$D:$D, L$4, Log!$A:$A, "Daily", Log!$B:$B, "n/a"),
        _xlpm.we_camera_on_date, IFERROR(AVERAGEIFS(Log!$F:$F, Log!$D:$D,L$4, Log!$C:$C, $A79, Log!$A:$A, "Daily", Log!$B:$B, "n/a"), 0),
        _xlpm.ie_camera_on_date, IFERROR(AVERAGEIFS(Log!$G:$G, Log!$D:$D,L$4,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79" s="68" t="str">
        <f>IFERROR(
    _xlfn.LET(
        _xlpm.is_data_present, $A79&lt;&gt;0,
        _xlpm.is_camera_present, COUNTIFS(Log!$C:$C, $A79, Log!$D:$D, M$4, Log!$A:$A, "Daily", Log!$B:$B, "n/a"),
        _xlpm.we_camera_on_date, IFERROR(AVERAGEIFS(Log!$F:$F, Log!$D:$D,M$4, Log!$C:$C, $A79, Log!$A:$A, "Daily", Log!$B:$B, "n/a"), 0),
        _xlpm.ie_camera_on_date, IFERROR(AVERAGEIFS(Log!$G:$G, Log!$D:$D,M$4,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79" s="68" t="str">
        <f>IFERROR(
    _xlfn.LET(
        _xlpm.is_data_present, $A79&lt;&gt;0,
        _xlpm.is_camera_present, COUNTIFS(Log!$C:$C, $A79, Log!$D:$D, N$4, Log!$A:$A, "Daily", Log!$B:$B, "n/a"),
        _xlpm.we_camera_on_date, IFERROR(AVERAGEIFS(Log!$F:$F, Log!$D:$D,N$4, Log!$C:$C, $A79, Log!$A:$A, "Daily", Log!$B:$B, "n/a"), 0),
        _xlpm.ie_camera_on_date, IFERROR(AVERAGEIFS(Log!$G:$G, Log!$D:$D,N$4,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79" s="68" t="str">
        <f>IFERROR(
    _xlfn.LET(
        _xlpm.is_data_present, $A79&lt;&gt;0,
        _xlpm.is_camera_present, COUNTIFS(Log!$C:$C, $A79, Log!$D:$D, O$4, Log!$A:$A, "Daily", Log!$B:$B, "n/a"),
        _xlpm.we_camera_on_date, IFERROR(AVERAGEIFS(Log!$F:$F, Log!$D:$D,O$4, Log!$C:$C, $A79, Log!$A:$A, "Daily", Log!$B:$B, "n/a"), 0),
        _xlpm.ie_camera_on_date, IFERROR(AVERAGEIFS(Log!$G:$G, Log!$D:$D,O$4,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79" s="68" t="str">
        <f>IFERROR(
    _xlfn.LET(
        _xlpm.is_data_present, $A79&lt;&gt;0,
        _xlpm.is_camera_present, COUNTIFS(Log!$C:$C, $A79, Log!$D:$D, P$4, Log!$A:$A, "Daily", Log!$B:$B, "n/a"),
        _xlpm.we_camera_on_date, IFERROR(AVERAGEIFS(Log!$F:$F, Log!$D:$D,P$4, Log!$C:$C, $A79, Log!$A:$A, "Daily", Log!$B:$B, "n/a"), 0),
        _xlpm.ie_camera_on_date, IFERROR(AVERAGEIFS(Log!$G:$G, Log!$D:$D,P$4,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79" s="68" t="str">
        <f>IFERROR(
    _xlfn.LET(
        _xlpm.is_data_present, $A79&lt;&gt;0,
        _xlpm.is_camera_present, COUNTIFS(Log!$C:$C, $A79, Log!$D:$D, Q$4, Log!$A:$A, "Daily", Log!$B:$B, "n/a"),
        _xlpm.we_camera_on_date, IFERROR(AVERAGEIFS(Log!$F:$F, Log!$D:$D,Q$4, Log!$C:$C, $A79, Log!$A:$A, "Daily", Log!$B:$B, "n/a"), 0),
        _xlpm.ie_camera_on_date, IFERROR(AVERAGEIFS(Log!$G:$G, Log!$D:$D,Q$4,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79" s="68" t="str">
        <f>IFERROR(
    _xlfn.LET(
        _xlpm.is_data_present, $A79&lt;&gt;0,
        _xlpm.is_camera_present, COUNTIFS(Log!$C:$C, $A79, Log!$D:$D, R$4, Log!$A:$A, "Daily", Log!$B:$B, "n/a"),
        _xlpm.we_camera_on_date, IFERROR(AVERAGEIFS(Log!$F:$F, Log!$D:$D,R$4, Log!$C:$C, $A79, Log!$A:$A, "Daily", Log!$B:$B, "n/a"), 0),
        _xlpm.ie_camera_on_date, IFERROR(AVERAGEIFS(Log!$G:$G, Log!$D:$D,R$4,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79" s="68" t="str">
        <f>IFERROR(
    _xlfn.LET(
        _xlpm.is_data_present, $A79&lt;&gt;0,
        _xlpm.is_camera_present, COUNTIFS(Log!$C:$C, $A79, Log!$D:$D, S$4, Log!$A:$A, "Daily", Log!$B:$B, "n/a"),
        _xlpm.we_camera_on_date, IFERROR(AVERAGEIFS(Log!$F:$F, Log!$D:$D,S$4, Log!$C:$C, $A79, Log!$A:$A, "Daily", Log!$B:$B, "n/a"), 0),
        _xlpm.ie_camera_on_date, IFERROR(AVERAGEIFS(Log!$G:$G, Log!$D:$D,S$4, Log!$C:$C, $A79, Log!$A:$A, "Daily", Log!$B:$B, "n/a"), 0),
        _xlpm.we_avg, IFERROR(AVERAGEIFS(Log!$F:$F,Log!$C:$C,$A79, Log!$A:$A, "Daily", Log!$B:$B, "n/a"),0),
        _xlpm.ie_avg, IFERROR(AVERAGEIFS(Log!$G:$G,Log!$C:$C,$A79,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0" spans="2:19" x14ac:dyDescent="0.3">
      <c r="B80" s="68" t="str">
        <f>IFERROR(
    _xlfn.LET(
        _xlpm.is_data_present, $A80&lt;&gt;0,
        _xlpm.is_camera_present, COUNTIFS(Log!$C:$C, $A80, Log!$D:$D, B$4, Log!$A:$A, "Daily", Log!$B:$B, "n/a"),
        _xlpm.we_camera_on_date, IFERROR(AVERAGEIFS(Log!$F:$F, Log!$D:$D,B$4, Log!$C:$C, $A80, Log!$A:$A, "Daily", Log!$B:$B, "n/a"), 0),
        _xlpm.ie_camera_on_date, IFERROR(AVERAGEIFS(Log!$G:$G, Log!$D:$D,B$4,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0" s="68" t="str">
        <f>IFERROR(
    _xlfn.LET(
        _xlpm.is_data_present, $A80&lt;&gt;0,
        _xlpm.is_camera_present, COUNTIFS(Log!$C:$C, $A80, Log!$D:$D, C$4, Log!$A:$A, "Daily", Log!$B:$B, "n/a"),
        _xlpm.we_camera_on_date, IFERROR(AVERAGEIFS(Log!$F:$F, Log!$D:$D,C$4, Log!$C:$C, $A80, Log!$A:$A, "Daily", Log!$B:$B, "n/a"), 0),
        _xlpm.ie_camera_on_date, IFERROR(AVERAGEIFS(Log!$G:$G, Log!$D:$D,C$4,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0" s="68" t="str">
        <f>IFERROR(
    _xlfn.LET(
        _xlpm.is_data_present, $A80&lt;&gt;0,
        _xlpm.is_camera_present, COUNTIFS(Log!$C:$C, $A80, Log!$D:$D, D$4, Log!$A:$A, "Daily", Log!$B:$B, "n/a"),
        _xlpm.we_camera_on_date, IFERROR(AVERAGEIFS(Log!$F:$F, Log!$D:$D,D$4, Log!$C:$C, $A80, Log!$A:$A, "Daily", Log!$B:$B, "n/a"), 0),
        _xlpm.ie_camera_on_date, IFERROR(AVERAGEIFS(Log!$G:$G, Log!$D:$D,D$4,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0" s="68" t="str">
        <f>IFERROR(
    _xlfn.LET(
        _xlpm.is_data_present, $A80&lt;&gt;0,
        _xlpm.is_camera_present, COUNTIFS(Log!$C:$C, $A80, Log!$D:$D, E$4, Log!$A:$A, "Daily", Log!$B:$B, "n/a"),
        _xlpm.we_camera_on_date, IFERROR(AVERAGEIFS(Log!$F:$F, Log!$D:$D,E$4, Log!$C:$C, $A80, Log!$A:$A, "Daily", Log!$B:$B, "n/a"), 0),
        _xlpm.ie_camera_on_date, IFERROR(AVERAGEIFS(Log!$G:$G, Log!$D:$D,E$4,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0" s="68" t="str">
        <f>IFERROR(
    _xlfn.LET(
        _xlpm.is_data_present, $A80&lt;&gt;0,
        _xlpm.is_camera_present, COUNTIFS(Log!$C:$C, $A80, Log!$D:$D, F$4, Log!$A:$A, "Daily", Log!$B:$B, "n/a"),
        _xlpm.we_camera_on_date, IFERROR(AVERAGEIFS(Log!$F:$F, Log!$D:$D,F$4, Log!$C:$C, $A80, Log!$A:$A, "Daily", Log!$B:$B, "n/a"), 0),
        _xlpm.ie_camera_on_date, IFERROR(AVERAGEIFS(Log!$G:$G, Log!$D:$D,F$4,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0" s="68" t="str">
        <f>IFERROR(
    _xlfn.LET(
        _xlpm.is_data_present, $A80&lt;&gt;0,
        _xlpm.is_camera_present, COUNTIFS(Log!$C:$C, $A80, Log!$D:$D, G$4, Log!$A:$A, "Daily", Log!$B:$B, "n/a"),
        _xlpm.we_camera_on_date, IFERROR(AVERAGEIFS(Log!$F:$F, Log!$D:$D,G$4, Log!$C:$C, $A80, Log!$A:$A, "Daily", Log!$B:$B, "n/a"), 0),
        _xlpm.ie_camera_on_date, IFERROR(AVERAGEIFS(Log!$G:$G, Log!$D:$D,G$4,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0" s="68" t="str">
        <f>IFERROR(
    _xlfn.LET(
        _xlpm.is_data_present, $A80&lt;&gt;0,
        _xlpm.is_camera_present, COUNTIFS(Log!$C:$C, $A80, Log!$D:$D, H$4, Log!$A:$A, "Daily", Log!$B:$B, "n/a"),
        _xlpm.we_camera_on_date, IFERROR(AVERAGEIFS(Log!$F:$F, Log!$D:$D,H$4, Log!$C:$C, $A80, Log!$A:$A, "Daily", Log!$B:$B, "n/a"), 0),
        _xlpm.ie_camera_on_date, IFERROR(AVERAGEIFS(Log!$G:$G, Log!$D:$D,H$4,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0" s="68" t="str">
        <f>IFERROR(
    _xlfn.LET(
        _xlpm.is_data_present, $A80&lt;&gt;0,
        _xlpm.is_camera_present, COUNTIFS(Log!$C:$C, $A80, Log!$D:$D, I$4, Log!$A:$A, "Daily", Log!$B:$B, "n/a"),
        _xlpm.we_camera_on_date, IFERROR(AVERAGEIFS(Log!$F:$F, Log!$D:$D,I$4, Log!$C:$C, $A80, Log!$A:$A, "Daily", Log!$B:$B, "n/a"), 0),
        _xlpm.ie_camera_on_date, IFERROR(AVERAGEIFS(Log!$G:$G, Log!$D:$D,I$4,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0" s="68" t="str">
        <f>IFERROR(
    _xlfn.LET(
        _xlpm.is_data_present, $A80&lt;&gt;0,
        _xlpm.is_camera_present, COUNTIFS(Log!$C:$C, $A80, Log!$D:$D, J$4, Log!$A:$A, "Daily", Log!$B:$B, "n/a"),
        _xlpm.we_camera_on_date, IFERROR(AVERAGEIFS(Log!$F:$F, Log!$D:$D,J$4, Log!$C:$C, $A80, Log!$A:$A, "Daily", Log!$B:$B, "n/a"), 0),
        _xlpm.ie_camera_on_date, IFERROR(AVERAGEIFS(Log!$G:$G, Log!$D:$D,J$4,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0" s="68" t="str">
        <f>IFERROR(
    _xlfn.LET(
        _xlpm.is_data_present, $A80&lt;&gt;0,
        _xlpm.is_camera_present, COUNTIFS(Log!$C:$C, $A80, Log!$D:$D, K$4, Log!$A:$A, "Daily", Log!$B:$B, "n/a"),
        _xlpm.we_camera_on_date, IFERROR(AVERAGEIFS(Log!$F:$F, Log!$D:$D,K$4, Log!$C:$C, $A80, Log!$A:$A, "Daily", Log!$B:$B, "n/a"), 0),
        _xlpm.ie_camera_on_date, IFERROR(AVERAGEIFS(Log!$G:$G, Log!$D:$D,K$4,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0" s="68" t="str">
        <f>IFERROR(
    _xlfn.LET(
        _xlpm.is_data_present, $A80&lt;&gt;0,
        _xlpm.is_camera_present, COUNTIFS(Log!$C:$C, $A80, Log!$D:$D, L$4, Log!$A:$A, "Daily", Log!$B:$B, "n/a"),
        _xlpm.we_camera_on_date, IFERROR(AVERAGEIFS(Log!$F:$F, Log!$D:$D,L$4, Log!$C:$C, $A80, Log!$A:$A, "Daily", Log!$B:$B, "n/a"), 0),
        _xlpm.ie_camera_on_date, IFERROR(AVERAGEIFS(Log!$G:$G, Log!$D:$D,L$4,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0" s="68" t="str">
        <f>IFERROR(
    _xlfn.LET(
        _xlpm.is_data_present, $A80&lt;&gt;0,
        _xlpm.is_camera_present, COUNTIFS(Log!$C:$C, $A80, Log!$D:$D, M$4, Log!$A:$A, "Daily", Log!$B:$B, "n/a"),
        _xlpm.we_camera_on_date, IFERROR(AVERAGEIFS(Log!$F:$F, Log!$D:$D,M$4, Log!$C:$C, $A80, Log!$A:$A, "Daily", Log!$B:$B, "n/a"), 0),
        _xlpm.ie_camera_on_date, IFERROR(AVERAGEIFS(Log!$G:$G, Log!$D:$D,M$4,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0" s="68" t="str">
        <f>IFERROR(
    _xlfn.LET(
        _xlpm.is_data_present, $A80&lt;&gt;0,
        _xlpm.is_camera_present, COUNTIFS(Log!$C:$C, $A80, Log!$D:$D, N$4, Log!$A:$A, "Daily", Log!$B:$B, "n/a"),
        _xlpm.we_camera_on_date, IFERROR(AVERAGEIFS(Log!$F:$F, Log!$D:$D,N$4, Log!$C:$C, $A80, Log!$A:$A, "Daily", Log!$B:$B, "n/a"), 0),
        _xlpm.ie_camera_on_date, IFERROR(AVERAGEIFS(Log!$G:$G, Log!$D:$D,N$4,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0" s="68" t="str">
        <f>IFERROR(
    _xlfn.LET(
        _xlpm.is_data_present, $A80&lt;&gt;0,
        _xlpm.is_camera_present, COUNTIFS(Log!$C:$C, $A80, Log!$D:$D, O$4, Log!$A:$A, "Daily", Log!$B:$B, "n/a"),
        _xlpm.we_camera_on_date, IFERROR(AVERAGEIFS(Log!$F:$F, Log!$D:$D,O$4, Log!$C:$C, $A80, Log!$A:$A, "Daily", Log!$B:$B, "n/a"), 0),
        _xlpm.ie_camera_on_date, IFERROR(AVERAGEIFS(Log!$G:$G, Log!$D:$D,O$4,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0" s="68" t="str">
        <f>IFERROR(
    _xlfn.LET(
        _xlpm.is_data_present, $A80&lt;&gt;0,
        _xlpm.is_camera_present, COUNTIFS(Log!$C:$C, $A80, Log!$D:$D, P$4, Log!$A:$A, "Daily", Log!$B:$B, "n/a"),
        _xlpm.we_camera_on_date, IFERROR(AVERAGEIFS(Log!$F:$F, Log!$D:$D,P$4, Log!$C:$C, $A80, Log!$A:$A, "Daily", Log!$B:$B, "n/a"), 0),
        _xlpm.ie_camera_on_date, IFERROR(AVERAGEIFS(Log!$G:$G, Log!$D:$D,P$4,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0" s="68" t="str">
        <f>IFERROR(
    _xlfn.LET(
        _xlpm.is_data_present, $A80&lt;&gt;0,
        _xlpm.is_camera_present, COUNTIFS(Log!$C:$C, $A80, Log!$D:$D, Q$4, Log!$A:$A, "Daily", Log!$B:$B, "n/a"),
        _xlpm.we_camera_on_date, IFERROR(AVERAGEIFS(Log!$F:$F, Log!$D:$D,Q$4, Log!$C:$C, $A80, Log!$A:$A, "Daily", Log!$B:$B, "n/a"), 0),
        _xlpm.ie_camera_on_date, IFERROR(AVERAGEIFS(Log!$G:$G, Log!$D:$D,Q$4,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0" s="68" t="str">
        <f>IFERROR(
    _xlfn.LET(
        _xlpm.is_data_present, $A80&lt;&gt;0,
        _xlpm.is_camera_present, COUNTIFS(Log!$C:$C, $A80, Log!$D:$D, R$4, Log!$A:$A, "Daily", Log!$B:$B, "n/a"),
        _xlpm.we_camera_on_date, IFERROR(AVERAGEIFS(Log!$F:$F, Log!$D:$D,R$4, Log!$C:$C, $A80, Log!$A:$A, "Daily", Log!$B:$B, "n/a"), 0),
        _xlpm.ie_camera_on_date, IFERROR(AVERAGEIFS(Log!$G:$G, Log!$D:$D,R$4,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0" s="68" t="str">
        <f>IFERROR(
    _xlfn.LET(
        _xlpm.is_data_present, $A80&lt;&gt;0,
        _xlpm.is_camera_present, COUNTIFS(Log!$C:$C, $A80, Log!$D:$D, S$4, Log!$A:$A, "Daily", Log!$B:$B, "n/a"),
        _xlpm.we_camera_on_date, IFERROR(AVERAGEIFS(Log!$F:$F, Log!$D:$D,S$4, Log!$C:$C, $A80, Log!$A:$A, "Daily", Log!$B:$B, "n/a"), 0),
        _xlpm.ie_camera_on_date, IFERROR(AVERAGEIFS(Log!$G:$G, Log!$D:$D,S$4, Log!$C:$C, $A80, Log!$A:$A, "Daily", Log!$B:$B, "n/a"), 0),
        _xlpm.we_avg, IFERROR(AVERAGEIFS(Log!$F:$F,Log!$C:$C,$A80, Log!$A:$A, "Daily", Log!$B:$B, "n/a"),0),
        _xlpm.ie_avg, IFERROR(AVERAGEIFS(Log!$G:$G,Log!$C:$C,$A80,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1" spans="2:19" x14ac:dyDescent="0.3">
      <c r="B81" s="68" t="str">
        <f>IFERROR(
    _xlfn.LET(
        _xlpm.is_data_present, $A81&lt;&gt;0,
        _xlpm.is_camera_present, COUNTIFS(Log!$C:$C, $A81, Log!$D:$D, B$4, Log!$A:$A, "Daily", Log!$B:$B, "n/a"),
        _xlpm.we_camera_on_date, IFERROR(AVERAGEIFS(Log!$F:$F, Log!$D:$D,B$4, Log!$C:$C, $A81, Log!$A:$A, "Daily", Log!$B:$B, "n/a"), 0),
        _xlpm.ie_camera_on_date, IFERROR(AVERAGEIFS(Log!$G:$G, Log!$D:$D,B$4,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1" s="68" t="str">
        <f>IFERROR(
    _xlfn.LET(
        _xlpm.is_data_present, $A81&lt;&gt;0,
        _xlpm.is_camera_present, COUNTIFS(Log!$C:$C, $A81, Log!$D:$D, C$4, Log!$A:$A, "Daily", Log!$B:$B, "n/a"),
        _xlpm.we_camera_on_date, IFERROR(AVERAGEIFS(Log!$F:$F, Log!$D:$D,C$4, Log!$C:$C, $A81, Log!$A:$A, "Daily", Log!$B:$B, "n/a"), 0),
        _xlpm.ie_camera_on_date, IFERROR(AVERAGEIFS(Log!$G:$G, Log!$D:$D,C$4,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1" s="68" t="str">
        <f>IFERROR(
    _xlfn.LET(
        _xlpm.is_data_present, $A81&lt;&gt;0,
        _xlpm.is_camera_present, COUNTIFS(Log!$C:$C, $A81, Log!$D:$D, D$4, Log!$A:$A, "Daily", Log!$B:$B, "n/a"),
        _xlpm.we_camera_on_date, IFERROR(AVERAGEIFS(Log!$F:$F, Log!$D:$D,D$4, Log!$C:$C, $A81, Log!$A:$A, "Daily", Log!$B:$B, "n/a"), 0),
        _xlpm.ie_camera_on_date, IFERROR(AVERAGEIFS(Log!$G:$G, Log!$D:$D,D$4,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1" s="68" t="str">
        <f>IFERROR(
    _xlfn.LET(
        _xlpm.is_data_present, $A81&lt;&gt;0,
        _xlpm.is_camera_present, COUNTIFS(Log!$C:$C, $A81, Log!$D:$D, E$4, Log!$A:$A, "Daily", Log!$B:$B, "n/a"),
        _xlpm.we_camera_on_date, IFERROR(AVERAGEIFS(Log!$F:$F, Log!$D:$D,E$4, Log!$C:$C, $A81, Log!$A:$A, "Daily", Log!$B:$B, "n/a"), 0),
        _xlpm.ie_camera_on_date, IFERROR(AVERAGEIFS(Log!$G:$G, Log!$D:$D,E$4,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1" s="68" t="str">
        <f>IFERROR(
    _xlfn.LET(
        _xlpm.is_data_present, $A81&lt;&gt;0,
        _xlpm.is_camera_present, COUNTIFS(Log!$C:$C, $A81, Log!$D:$D, F$4, Log!$A:$A, "Daily", Log!$B:$B, "n/a"),
        _xlpm.we_camera_on_date, IFERROR(AVERAGEIFS(Log!$F:$F, Log!$D:$D,F$4, Log!$C:$C, $A81, Log!$A:$A, "Daily", Log!$B:$B, "n/a"), 0),
        _xlpm.ie_camera_on_date, IFERROR(AVERAGEIFS(Log!$G:$G, Log!$D:$D,F$4,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1" s="68" t="str">
        <f>IFERROR(
    _xlfn.LET(
        _xlpm.is_data_present, $A81&lt;&gt;0,
        _xlpm.is_camera_present, COUNTIFS(Log!$C:$C, $A81, Log!$D:$D, G$4, Log!$A:$A, "Daily", Log!$B:$B, "n/a"),
        _xlpm.we_camera_on_date, IFERROR(AVERAGEIFS(Log!$F:$F, Log!$D:$D,G$4, Log!$C:$C, $A81, Log!$A:$A, "Daily", Log!$B:$B, "n/a"), 0),
        _xlpm.ie_camera_on_date, IFERROR(AVERAGEIFS(Log!$G:$G, Log!$D:$D,G$4,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1" s="68" t="str">
        <f>IFERROR(
    _xlfn.LET(
        _xlpm.is_data_present, $A81&lt;&gt;0,
        _xlpm.is_camera_present, COUNTIFS(Log!$C:$C, $A81, Log!$D:$D, H$4, Log!$A:$A, "Daily", Log!$B:$B, "n/a"),
        _xlpm.we_camera_on_date, IFERROR(AVERAGEIFS(Log!$F:$F, Log!$D:$D,H$4, Log!$C:$C, $A81, Log!$A:$A, "Daily", Log!$B:$B, "n/a"), 0),
        _xlpm.ie_camera_on_date, IFERROR(AVERAGEIFS(Log!$G:$G, Log!$D:$D,H$4,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1" s="68" t="str">
        <f>IFERROR(
    _xlfn.LET(
        _xlpm.is_data_present, $A81&lt;&gt;0,
        _xlpm.is_camera_present, COUNTIFS(Log!$C:$C, $A81, Log!$D:$D, I$4, Log!$A:$A, "Daily", Log!$B:$B, "n/a"),
        _xlpm.we_camera_on_date, IFERROR(AVERAGEIFS(Log!$F:$F, Log!$D:$D,I$4, Log!$C:$C, $A81, Log!$A:$A, "Daily", Log!$B:$B, "n/a"), 0),
        _xlpm.ie_camera_on_date, IFERROR(AVERAGEIFS(Log!$G:$G, Log!$D:$D,I$4,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1" s="68" t="str">
        <f>IFERROR(
    _xlfn.LET(
        _xlpm.is_data_present, $A81&lt;&gt;0,
        _xlpm.is_camera_present, COUNTIFS(Log!$C:$C, $A81, Log!$D:$D, J$4, Log!$A:$A, "Daily", Log!$B:$B, "n/a"),
        _xlpm.we_camera_on_date, IFERROR(AVERAGEIFS(Log!$F:$F, Log!$D:$D,J$4, Log!$C:$C, $A81, Log!$A:$A, "Daily", Log!$B:$B, "n/a"), 0),
        _xlpm.ie_camera_on_date, IFERROR(AVERAGEIFS(Log!$G:$G, Log!$D:$D,J$4,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1" s="68" t="str">
        <f>IFERROR(
    _xlfn.LET(
        _xlpm.is_data_present, $A81&lt;&gt;0,
        _xlpm.is_camera_present, COUNTIFS(Log!$C:$C, $A81, Log!$D:$D, K$4, Log!$A:$A, "Daily", Log!$B:$B, "n/a"),
        _xlpm.we_camera_on_date, IFERROR(AVERAGEIFS(Log!$F:$F, Log!$D:$D,K$4, Log!$C:$C, $A81, Log!$A:$A, "Daily", Log!$B:$B, "n/a"), 0),
        _xlpm.ie_camera_on_date, IFERROR(AVERAGEIFS(Log!$G:$G, Log!$D:$D,K$4,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1" s="68" t="str">
        <f>IFERROR(
    _xlfn.LET(
        _xlpm.is_data_present, $A81&lt;&gt;0,
        _xlpm.is_camera_present, COUNTIFS(Log!$C:$C, $A81, Log!$D:$D, L$4, Log!$A:$A, "Daily", Log!$B:$B, "n/a"),
        _xlpm.we_camera_on_date, IFERROR(AVERAGEIFS(Log!$F:$F, Log!$D:$D,L$4, Log!$C:$C, $A81, Log!$A:$A, "Daily", Log!$B:$B, "n/a"), 0),
        _xlpm.ie_camera_on_date, IFERROR(AVERAGEIFS(Log!$G:$G, Log!$D:$D,L$4,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1" s="68" t="str">
        <f>IFERROR(
    _xlfn.LET(
        _xlpm.is_data_present, $A81&lt;&gt;0,
        _xlpm.is_camera_present, COUNTIFS(Log!$C:$C, $A81, Log!$D:$D, M$4, Log!$A:$A, "Daily", Log!$B:$B, "n/a"),
        _xlpm.we_camera_on_date, IFERROR(AVERAGEIFS(Log!$F:$F, Log!$D:$D,M$4, Log!$C:$C, $A81, Log!$A:$A, "Daily", Log!$B:$B, "n/a"), 0),
        _xlpm.ie_camera_on_date, IFERROR(AVERAGEIFS(Log!$G:$G, Log!$D:$D,M$4,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1" s="68" t="str">
        <f>IFERROR(
    _xlfn.LET(
        _xlpm.is_data_present, $A81&lt;&gt;0,
        _xlpm.is_camera_present, COUNTIFS(Log!$C:$C, $A81, Log!$D:$D, N$4, Log!$A:$A, "Daily", Log!$B:$B, "n/a"),
        _xlpm.we_camera_on_date, IFERROR(AVERAGEIFS(Log!$F:$F, Log!$D:$D,N$4, Log!$C:$C, $A81, Log!$A:$A, "Daily", Log!$B:$B, "n/a"), 0),
        _xlpm.ie_camera_on_date, IFERROR(AVERAGEIFS(Log!$G:$G, Log!$D:$D,N$4,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1" s="68" t="str">
        <f>IFERROR(
    _xlfn.LET(
        _xlpm.is_data_present, $A81&lt;&gt;0,
        _xlpm.is_camera_present, COUNTIFS(Log!$C:$C, $A81, Log!$D:$D, O$4, Log!$A:$A, "Daily", Log!$B:$B, "n/a"),
        _xlpm.we_camera_on_date, IFERROR(AVERAGEIFS(Log!$F:$F, Log!$D:$D,O$4, Log!$C:$C, $A81, Log!$A:$A, "Daily", Log!$B:$B, "n/a"), 0),
        _xlpm.ie_camera_on_date, IFERROR(AVERAGEIFS(Log!$G:$G, Log!$D:$D,O$4,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1" s="68" t="str">
        <f>IFERROR(
    _xlfn.LET(
        _xlpm.is_data_present, $A81&lt;&gt;0,
        _xlpm.is_camera_present, COUNTIFS(Log!$C:$C, $A81, Log!$D:$D, P$4, Log!$A:$A, "Daily", Log!$B:$B, "n/a"),
        _xlpm.we_camera_on_date, IFERROR(AVERAGEIFS(Log!$F:$F, Log!$D:$D,P$4, Log!$C:$C, $A81, Log!$A:$A, "Daily", Log!$B:$B, "n/a"), 0),
        _xlpm.ie_camera_on_date, IFERROR(AVERAGEIFS(Log!$G:$G, Log!$D:$D,P$4,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1" s="68" t="str">
        <f>IFERROR(
    _xlfn.LET(
        _xlpm.is_data_present, $A81&lt;&gt;0,
        _xlpm.is_camera_present, COUNTIFS(Log!$C:$C, $A81, Log!$D:$D, Q$4, Log!$A:$A, "Daily", Log!$B:$B, "n/a"),
        _xlpm.we_camera_on_date, IFERROR(AVERAGEIFS(Log!$F:$F, Log!$D:$D,Q$4, Log!$C:$C, $A81, Log!$A:$A, "Daily", Log!$B:$B, "n/a"), 0),
        _xlpm.ie_camera_on_date, IFERROR(AVERAGEIFS(Log!$G:$G, Log!$D:$D,Q$4,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1" s="68" t="str">
        <f>IFERROR(
    _xlfn.LET(
        _xlpm.is_data_present, $A81&lt;&gt;0,
        _xlpm.is_camera_present, COUNTIFS(Log!$C:$C, $A81, Log!$D:$D, R$4, Log!$A:$A, "Daily", Log!$B:$B, "n/a"),
        _xlpm.we_camera_on_date, IFERROR(AVERAGEIFS(Log!$F:$F, Log!$D:$D,R$4, Log!$C:$C, $A81, Log!$A:$A, "Daily", Log!$B:$B, "n/a"), 0),
        _xlpm.ie_camera_on_date, IFERROR(AVERAGEIFS(Log!$G:$G, Log!$D:$D,R$4,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1" s="68" t="str">
        <f>IFERROR(
    _xlfn.LET(
        _xlpm.is_data_present, $A81&lt;&gt;0,
        _xlpm.is_camera_present, COUNTIFS(Log!$C:$C, $A81, Log!$D:$D, S$4, Log!$A:$A, "Daily", Log!$B:$B, "n/a"),
        _xlpm.we_camera_on_date, IFERROR(AVERAGEIFS(Log!$F:$F, Log!$D:$D,S$4, Log!$C:$C, $A81, Log!$A:$A, "Daily", Log!$B:$B, "n/a"), 0),
        _xlpm.ie_camera_on_date, IFERROR(AVERAGEIFS(Log!$G:$G, Log!$D:$D,S$4, Log!$C:$C, $A81, Log!$A:$A, "Daily", Log!$B:$B, "n/a"), 0),
        _xlpm.we_avg, IFERROR(AVERAGEIFS(Log!$F:$F,Log!$C:$C,$A81, Log!$A:$A, "Daily", Log!$B:$B, "n/a"),0),
        _xlpm.ie_avg, IFERROR(AVERAGEIFS(Log!$G:$G,Log!$C:$C,$A81,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2" spans="2:19" x14ac:dyDescent="0.3">
      <c r="B82" s="68" t="str">
        <f>IFERROR(
    _xlfn.LET(
        _xlpm.is_data_present, $A82&lt;&gt;0,
        _xlpm.is_camera_present, COUNTIFS(Log!$C:$C, $A82, Log!$D:$D, B$4, Log!$A:$A, "Daily", Log!$B:$B, "n/a"),
        _xlpm.we_camera_on_date, IFERROR(AVERAGEIFS(Log!$F:$F, Log!$D:$D,B$4, Log!$C:$C, $A82, Log!$A:$A, "Daily", Log!$B:$B, "n/a"), 0),
        _xlpm.ie_camera_on_date, IFERROR(AVERAGEIFS(Log!$G:$G, Log!$D:$D,B$4,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2" s="68" t="str">
        <f>IFERROR(
    _xlfn.LET(
        _xlpm.is_data_present, $A82&lt;&gt;0,
        _xlpm.is_camera_present, COUNTIFS(Log!$C:$C, $A82, Log!$D:$D, C$4, Log!$A:$A, "Daily", Log!$B:$B, "n/a"),
        _xlpm.we_camera_on_date, IFERROR(AVERAGEIFS(Log!$F:$F, Log!$D:$D,C$4, Log!$C:$C, $A82, Log!$A:$A, "Daily", Log!$B:$B, "n/a"), 0),
        _xlpm.ie_camera_on_date, IFERROR(AVERAGEIFS(Log!$G:$G, Log!$D:$D,C$4,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2" s="68" t="str">
        <f>IFERROR(
    _xlfn.LET(
        _xlpm.is_data_present, $A82&lt;&gt;0,
        _xlpm.is_camera_present, COUNTIFS(Log!$C:$C, $A82, Log!$D:$D, D$4, Log!$A:$A, "Daily", Log!$B:$B, "n/a"),
        _xlpm.we_camera_on_date, IFERROR(AVERAGEIFS(Log!$F:$F, Log!$D:$D,D$4, Log!$C:$C, $A82, Log!$A:$A, "Daily", Log!$B:$B, "n/a"), 0),
        _xlpm.ie_camera_on_date, IFERROR(AVERAGEIFS(Log!$G:$G, Log!$D:$D,D$4,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2" s="68" t="str">
        <f>IFERROR(
    _xlfn.LET(
        _xlpm.is_data_present, $A82&lt;&gt;0,
        _xlpm.is_camera_present, COUNTIFS(Log!$C:$C, $A82, Log!$D:$D, E$4, Log!$A:$A, "Daily", Log!$B:$B, "n/a"),
        _xlpm.we_camera_on_date, IFERROR(AVERAGEIFS(Log!$F:$F, Log!$D:$D,E$4, Log!$C:$C, $A82, Log!$A:$A, "Daily", Log!$B:$B, "n/a"), 0),
        _xlpm.ie_camera_on_date, IFERROR(AVERAGEIFS(Log!$G:$G, Log!$D:$D,E$4,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2" s="68" t="str">
        <f>IFERROR(
    _xlfn.LET(
        _xlpm.is_data_present, $A82&lt;&gt;0,
        _xlpm.is_camera_present, COUNTIFS(Log!$C:$C, $A82, Log!$D:$D, F$4, Log!$A:$A, "Daily", Log!$B:$B, "n/a"),
        _xlpm.we_camera_on_date, IFERROR(AVERAGEIFS(Log!$F:$F, Log!$D:$D,F$4, Log!$C:$C, $A82, Log!$A:$A, "Daily", Log!$B:$B, "n/a"), 0),
        _xlpm.ie_camera_on_date, IFERROR(AVERAGEIFS(Log!$G:$G, Log!$D:$D,F$4,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2" s="68" t="str">
        <f>IFERROR(
    _xlfn.LET(
        _xlpm.is_data_present, $A82&lt;&gt;0,
        _xlpm.is_camera_present, COUNTIFS(Log!$C:$C, $A82, Log!$D:$D, G$4, Log!$A:$A, "Daily", Log!$B:$B, "n/a"),
        _xlpm.we_camera_on_date, IFERROR(AVERAGEIFS(Log!$F:$F, Log!$D:$D,G$4, Log!$C:$C, $A82, Log!$A:$A, "Daily", Log!$B:$B, "n/a"), 0),
        _xlpm.ie_camera_on_date, IFERROR(AVERAGEIFS(Log!$G:$G, Log!$D:$D,G$4,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2" s="68" t="str">
        <f>IFERROR(
    _xlfn.LET(
        _xlpm.is_data_present, $A82&lt;&gt;0,
        _xlpm.is_camera_present, COUNTIFS(Log!$C:$C, $A82, Log!$D:$D, H$4, Log!$A:$A, "Daily", Log!$B:$B, "n/a"),
        _xlpm.we_camera_on_date, IFERROR(AVERAGEIFS(Log!$F:$F, Log!$D:$D,H$4, Log!$C:$C, $A82, Log!$A:$A, "Daily", Log!$B:$B, "n/a"), 0),
        _xlpm.ie_camera_on_date, IFERROR(AVERAGEIFS(Log!$G:$G, Log!$D:$D,H$4,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2" s="68" t="str">
        <f>IFERROR(
    _xlfn.LET(
        _xlpm.is_data_present, $A82&lt;&gt;0,
        _xlpm.is_camera_present, COUNTIFS(Log!$C:$C, $A82, Log!$D:$D, I$4, Log!$A:$A, "Daily", Log!$B:$B, "n/a"),
        _xlpm.we_camera_on_date, IFERROR(AVERAGEIFS(Log!$F:$F, Log!$D:$D,I$4, Log!$C:$C, $A82, Log!$A:$A, "Daily", Log!$B:$B, "n/a"), 0),
        _xlpm.ie_camera_on_date, IFERROR(AVERAGEIFS(Log!$G:$G, Log!$D:$D,I$4,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2" s="68" t="str">
        <f>IFERROR(
    _xlfn.LET(
        _xlpm.is_data_present, $A82&lt;&gt;0,
        _xlpm.is_camera_present, COUNTIFS(Log!$C:$C, $A82, Log!$D:$D, J$4, Log!$A:$A, "Daily", Log!$B:$B, "n/a"),
        _xlpm.we_camera_on_date, IFERROR(AVERAGEIFS(Log!$F:$F, Log!$D:$D,J$4, Log!$C:$C, $A82, Log!$A:$A, "Daily", Log!$B:$B, "n/a"), 0),
        _xlpm.ie_camera_on_date, IFERROR(AVERAGEIFS(Log!$G:$G, Log!$D:$D,J$4,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2" s="68" t="str">
        <f>IFERROR(
    _xlfn.LET(
        _xlpm.is_data_present, $A82&lt;&gt;0,
        _xlpm.is_camera_present, COUNTIFS(Log!$C:$C, $A82, Log!$D:$D, K$4, Log!$A:$A, "Daily", Log!$B:$B, "n/a"),
        _xlpm.we_camera_on_date, IFERROR(AVERAGEIFS(Log!$F:$F, Log!$D:$D,K$4, Log!$C:$C, $A82, Log!$A:$A, "Daily", Log!$B:$B, "n/a"), 0),
        _xlpm.ie_camera_on_date, IFERROR(AVERAGEIFS(Log!$G:$G, Log!$D:$D,K$4,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2" s="68" t="str">
        <f>IFERROR(
    _xlfn.LET(
        _xlpm.is_data_present, $A82&lt;&gt;0,
        _xlpm.is_camera_present, COUNTIFS(Log!$C:$C, $A82, Log!$D:$D, L$4, Log!$A:$A, "Daily", Log!$B:$B, "n/a"),
        _xlpm.we_camera_on_date, IFERROR(AVERAGEIFS(Log!$F:$F, Log!$D:$D,L$4, Log!$C:$C, $A82, Log!$A:$A, "Daily", Log!$B:$B, "n/a"), 0),
        _xlpm.ie_camera_on_date, IFERROR(AVERAGEIFS(Log!$G:$G, Log!$D:$D,L$4,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2" s="68" t="str">
        <f>IFERROR(
    _xlfn.LET(
        _xlpm.is_data_present, $A82&lt;&gt;0,
        _xlpm.is_camera_present, COUNTIFS(Log!$C:$C, $A82, Log!$D:$D, M$4, Log!$A:$A, "Daily", Log!$B:$B, "n/a"),
        _xlpm.we_camera_on_date, IFERROR(AVERAGEIFS(Log!$F:$F, Log!$D:$D,M$4, Log!$C:$C, $A82, Log!$A:$A, "Daily", Log!$B:$B, "n/a"), 0),
        _xlpm.ie_camera_on_date, IFERROR(AVERAGEIFS(Log!$G:$G, Log!$D:$D,M$4,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2" s="68" t="str">
        <f>IFERROR(
    _xlfn.LET(
        _xlpm.is_data_present, $A82&lt;&gt;0,
        _xlpm.is_camera_present, COUNTIFS(Log!$C:$C, $A82, Log!$D:$D, N$4, Log!$A:$A, "Daily", Log!$B:$B, "n/a"),
        _xlpm.we_camera_on_date, IFERROR(AVERAGEIFS(Log!$F:$F, Log!$D:$D,N$4, Log!$C:$C, $A82, Log!$A:$A, "Daily", Log!$B:$B, "n/a"), 0),
        _xlpm.ie_camera_on_date, IFERROR(AVERAGEIFS(Log!$G:$G, Log!$D:$D,N$4,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2" s="68" t="str">
        <f>IFERROR(
    _xlfn.LET(
        _xlpm.is_data_present, $A82&lt;&gt;0,
        _xlpm.is_camera_present, COUNTIFS(Log!$C:$C, $A82, Log!$D:$D, O$4, Log!$A:$A, "Daily", Log!$B:$B, "n/a"),
        _xlpm.we_camera_on_date, IFERROR(AVERAGEIFS(Log!$F:$F, Log!$D:$D,O$4, Log!$C:$C, $A82, Log!$A:$A, "Daily", Log!$B:$B, "n/a"), 0),
        _xlpm.ie_camera_on_date, IFERROR(AVERAGEIFS(Log!$G:$G, Log!$D:$D,O$4,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2" s="68" t="str">
        <f>IFERROR(
    _xlfn.LET(
        _xlpm.is_data_present, $A82&lt;&gt;0,
        _xlpm.is_camera_present, COUNTIFS(Log!$C:$C, $A82, Log!$D:$D, P$4, Log!$A:$A, "Daily", Log!$B:$B, "n/a"),
        _xlpm.we_camera_on_date, IFERROR(AVERAGEIFS(Log!$F:$F, Log!$D:$D,P$4, Log!$C:$C, $A82, Log!$A:$A, "Daily", Log!$B:$B, "n/a"), 0),
        _xlpm.ie_camera_on_date, IFERROR(AVERAGEIFS(Log!$G:$G, Log!$D:$D,P$4,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2" s="68" t="str">
        <f>IFERROR(
    _xlfn.LET(
        _xlpm.is_data_present, $A82&lt;&gt;0,
        _xlpm.is_camera_present, COUNTIFS(Log!$C:$C, $A82, Log!$D:$D, Q$4, Log!$A:$A, "Daily", Log!$B:$B, "n/a"),
        _xlpm.we_camera_on_date, IFERROR(AVERAGEIFS(Log!$F:$F, Log!$D:$D,Q$4, Log!$C:$C, $A82, Log!$A:$A, "Daily", Log!$B:$B, "n/a"), 0),
        _xlpm.ie_camera_on_date, IFERROR(AVERAGEIFS(Log!$G:$G, Log!$D:$D,Q$4,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2" s="68" t="str">
        <f>IFERROR(
    _xlfn.LET(
        _xlpm.is_data_present, $A82&lt;&gt;0,
        _xlpm.is_camera_present, COUNTIFS(Log!$C:$C, $A82, Log!$D:$D, R$4, Log!$A:$A, "Daily", Log!$B:$B, "n/a"),
        _xlpm.we_camera_on_date, IFERROR(AVERAGEIFS(Log!$F:$F, Log!$D:$D,R$4, Log!$C:$C, $A82, Log!$A:$A, "Daily", Log!$B:$B, "n/a"), 0),
        _xlpm.ie_camera_on_date, IFERROR(AVERAGEIFS(Log!$G:$G, Log!$D:$D,R$4,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2" s="68" t="str">
        <f>IFERROR(
    _xlfn.LET(
        _xlpm.is_data_present, $A82&lt;&gt;0,
        _xlpm.is_camera_present, COUNTIFS(Log!$C:$C, $A82, Log!$D:$D, S$4, Log!$A:$A, "Daily", Log!$B:$B, "n/a"),
        _xlpm.we_camera_on_date, IFERROR(AVERAGEIFS(Log!$F:$F, Log!$D:$D,S$4, Log!$C:$C, $A82, Log!$A:$A, "Daily", Log!$B:$B, "n/a"), 0),
        _xlpm.ie_camera_on_date, IFERROR(AVERAGEIFS(Log!$G:$G, Log!$D:$D,S$4, Log!$C:$C, $A82, Log!$A:$A, "Daily", Log!$B:$B, "n/a"), 0),
        _xlpm.we_avg, IFERROR(AVERAGEIFS(Log!$F:$F,Log!$C:$C,$A82, Log!$A:$A, "Daily", Log!$B:$B, "n/a"),0),
        _xlpm.ie_avg, IFERROR(AVERAGEIFS(Log!$G:$G,Log!$C:$C,$A82,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3" spans="2:19" x14ac:dyDescent="0.3">
      <c r="B83" s="68" t="str">
        <f>IFERROR(
    _xlfn.LET(
        _xlpm.is_data_present, $A83&lt;&gt;0,
        _xlpm.is_camera_present, COUNTIFS(Log!$C:$C, $A83, Log!$D:$D, B$4, Log!$A:$A, "Daily", Log!$B:$B, "n/a"),
        _xlpm.we_camera_on_date, IFERROR(AVERAGEIFS(Log!$F:$F, Log!$D:$D,B$4, Log!$C:$C, $A83, Log!$A:$A, "Daily", Log!$B:$B, "n/a"), 0),
        _xlpm.ie_camera_on_date, IFERROR(AVERAGEIFS(Log!$G:$G, Log!$D:$D,B$4,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3" s="68" t="str">
        <f>IFERROR(
    _xlfn.LET(
        _xlpm.is_data_present, $A83&lt;&gt;0,
        _xlpm.is_camera_present, COUNTIFS(Log!$C:$C, $A83, Log!$D:$D, C$4, Log!$A:$A, "Daily", Log!$B:$B, "n/a"),
        _xlpm.we_camera_on_date, IFERROR(AVERAGEIFS(Log!$F:$F, Log!$D:$D,C$4, Log!$C:$C, $A83, Log!$A:$A, "Daily", Log!$B:$B, "n/a"), 0),
        _xlpm.ie_camera_on_date, IFERROR(AVERAGEIFS(Log!$G:$G, Log!$D:$D,C$4,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3" s="68" t="str">
        <f>IFERROR(
    _xlfn.LET(
        _xlpm.is_data_present, $A83&lt;&gt;0,
        _xlpm.is_camera_present, COUNTIFS(Log!$C:$C, $A83, Log!$D:$D, D$4, Log!$A:$A, "Daily", Log!$B:$B, "n/a"),
        _xlpm.we_camera_on_date, IFERROR(AVERAGEIFS(Log!$F:$F, Log!$D:$D,D$4, Log!$C:$C, $A83, Log!$A:$A, "Daily", Log!$B:$B, "n/a"), 0),
        _xlpm.ie_camera_on_date, IFERROR(AVERAGEIFS(Log!$G:$G, Log!$D:$D,D$4,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3" s="68" t="str">
        <f>IFERROR(
    _xlfn.LET(
        _xlpm.is_data_present, $A83&lt;&gt;0,
        _xlpm.is_camera_present, COUNTIFS(Log!$C:$C, $A83, Log!$D:$D, E$4, Log!$A:$A, "Daily", Log!$B:$B, "n/a"),
        _xlpm.we_camera_on_date, IFERROR(AVERAGEIFS(Log!$F:$F, Log!$D:$D,E$4, Log!$C:$C, $A83, Log!$A:$A, "Daily", Log!$B:$B, "n/a"), 0),
        _xlpm.ie_camera_on_date, IFERROR(AVERAGEIFS(Log!$G:$G, Log!$D:$D,E$4,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3" s="68" t="str">
        <f>IFERROR(
    _xlfn.LET(
        _xlpm.is_data_present, $A83&lt;&gt;0,
        _xlpm.is_camera_present, COUNTIFS(Log!$C:$C, $A83, Log!$D:$D, F$4, Log!$A:$A, "Daily", Log!$B:$B, "n/a"),
        _xlpm.we_camera_on_date, IFERROR(AVERAGEIFS(Log!$F:$F, Log!$D:$D,F$4, Log!$C:$C, $A83, Log!$A:$A, "Daily", Log!$B:$B, "n/a"), 0),
        _xlpm.ie_camera_on_date, IFERROR(AVERAGEIFS(Log!$G:$G, Log!$D:$D,F$4,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3" s="68" t="str">
        <f>IFERROR(
    _xlfn.LET(
        _xlpm.is_data_present, $A83&lt;&gt;0,
        _xlpm.is_camera_present, COUNTIFS(Log!$C:$C, $A83, Log!$D:$D, G$4, Log!$A:$A, "Daily", Log!$B:$B, "n/a"),
        _xlpm.we_camera_on_date, IFERROR(AVERAGEIFS(Log!$F:$F, Log!$D:$D,G$4, Log!$C:$C, $A83, Log!$A:$A, "Daily", Log!$B:$B, "n/a"), 0),
        _xlpm.ie_camera_on_date, IFERROR(AVERAGEIFS(Log!$G:$G, Log!$D:$D,G$4,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3" s="68" t="str">
        <f>IFERROR(
    _xlfn.LET(
        _xlpm.is_data_present, $A83&lt;&gt;0,
        _xlpm.is_camera_present, COUNTIFS(Log!$C:$C, $A83, Log!$D:$D, H$4, Log!$A:$A, "Daily", Log!$B:$B, "n/a"),
        _xlpm.we_camera_on_date, IFERROR(AVERAGEIFS(Log!$F:$F, Log!$D:$D,H$4, Log!$C:$C, $A83, Log!$A:$A, "Daily", Log!$B:$B, "n/a"), 0),
        _xlpm.ie_camera_on_date, IFERROR(AVERAGEIFS(Log!$G:$G, Log!$D:$D,H$4,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3" s="68" t="str">
        <f>IFERROR(
    _xlfn.LET(
        _xlpm.is_data_present, $A83&lt;&gt;0,
        _xlpm.is_camera_present, COUNTIFS(Log!$C:$C, $A83, Log!$D:$D, I$4, Log!$A:$A, "Daily", Log!$B:$B, "n/a"),
        _xlpm.we_camera_on_date, IFERROR(AVERAGEIFS(Log!$F:$F, Log!$D:$D,I$4, Log!$C:$C, $A83, Log!$A:$A, "Daily", Log!$B:$B, "n/a"), 0),
        _xlpm.ie_camera_on_date, IFERROR(AVERAGEIFS(Log!$G:$G, Log!$D:$D,I$4,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3" s="68" t="str">
        <f>IFERROR(
    _xlfn.LET(
        _xlpm.is_data_present, $A83&lt;&gt;0,
        _xlpm.is_camera_present, COUNTIFS(Log!$C:$C, $A83, Log!$D:$D, J$4, Log!$A:$A, "Daily", Log!$B:$B, "n/a"),
        _xlpm.we_camera_on_date, IFERROR(AVERAGEIFS(Log!$F:$F, Log!$D:$D,J$4, Log!$C:$C, $A83, Log!$A:$A, "Daily", Log!$B:$B, "n/a"), 0),
        _xlpm.ie_camera_on_date, IFERROR(AVERAGEIFS(Log!$G:$G, Log!$D:$D,J$4,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3" s="68" t="str">
        <f>IFERROR(
    _xlfn.LET(
        _xlpm.is_data_present, $A83&lt;&gt;0,
        _xlpm.is_camera_present, COUNTIFS(Log!$C:$C, $A83, Log!$D:$D, K$4, Log!$A:$A, "Daily", Log!$B:$B, "n/a"),
        _xlpm.we_camera_on_date, IFERROR(AVERAGEIFS(Log!$F:$F, Log!$D:$D,K$4, Log!$C:$C, $A83, Log!$A:$A, "Daily", Log!$B:$B, "n/a"), 0),
        _xlpm.ie_camera_on_date, IFERROR(AVERAGEIFS(Log!$G:$G, Log!$D:$D,K$4,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3" s="68" t="str">
        <f>IFERROR(
    _xlfn.LET(
        _xlpm.is_data_present, $A83&lt;&gt;0,
        _xlpm.is_camera_present, COUNTIFS(Log!$C:$C, $A83, Log!$D:$D, L$4, Log!$A:$A, "Daily", Log!$B:$B, "n/a"),
        _xlpm.we_camera_on_date, IFERROR(AVERAGEIFS(Log!$F:$F, Log!$D:$D,L$4, Log!$C:$C, $A83, Log!$A:$A, "Daily", Log!$B:$B, "n/a"), 0),
        _xlpm.ie_camera_on_date, IFERROR(AVERAGEIFS(Log!$G:$G, Log!$D:$D,L$4,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3" s="68" t="str">
        <f>IFERROR(
    _xlfn.LET(
        _xlpm.is_data_present, $A83&lt;&gt;0,
        _xlpm.is_camera_present, COUNTIFS(Log!$C:$C, $A83, Log!$D:$D, M$4, Log!$A:$A, "Daily", Log!$B:$B, "n/a"),
        _xlpm.we_camera_on_date, IFERROR(AVERAGEIFS(Log!$F:$F, Log!$D:$D,M$4, Log!$C:$C, $A83, Log!$A:$A, "Daily", Log!$B:$B, "n/a"), 0),
        _xlpm.ie_camera_on_date, IFERROR(AVERAGEIFS(Log!$G:$G, Log!$D:$D,M$4,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3" s="68" t="str">
        <f>IFERROR(
    _xlfn.LET(
        _xlpm.is_data_present, $A83&lt;&gt;0,
        _xlpm.is_camera_present, COUNTIFS(Log!$C:$C, $A83, Log!$D:$D, N$4, Log!$A:$A, "Daily", Log!$B:$B, "n/a"),
        _xlpm.we_camera_on_date, IFERROR(AVERAGEIFS(Log!$F:$F, Log!$D:$D,N$4, Log!$C:$C, $A83, Log!$A:$A, "Daily", Log!$B:$B, "n/a"), 0),
        _xlpm.ie_camera_on_date, IFERROR(AVERAGEIFS(Log!$G:$G, Log!$D:$D,N$4,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3" s="68" t="str">
        <f>IFERROR(
    _xlfn.LET(
        _xlpm.is_data_present, $A83&lt;&gt;0,
        _xlpm.is_camera_present, COUNTIFS(Log!$C:$C, $A83, Log!$D:$D, O$4, Log!$A:$A, "Daily", Log!$B:$B, "n/a"),
        _xlpm.we_camera_on_date, IFERROR(AVERAGEIFS(Log!$F:$F, Log!$D:$D,O$4, Log!$C:$C, $A83, Log!$A:$A, "Daily", Log!$B:$B, "n/a"), 0),
        _xlpm.ie_camera_on_date, IFERROR(AVERAGEIFS(Log!$G:$G, Log!$D:$D,O$4,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3" s="68" t="str">
        <f>IFERROR(
    _xlfn.LET(
        _xlpm.is_data_present, $A83&lt;&gt;0,
        _xlpm.is_camera_present, COUNTIFS(Log!$C:$C, $A83, Log!$D:$D, P$4, Log!$A:$A, "Daily", Log!$B:$B, "n/a"),
        _xlpm.we_camera_on_date, IFERROR(AVERAGEIFS(Log!$F:$F, Log!$D:$D,P$4, Log!$C:$C, $A83, Log!$A:$A, "Daily", Log!$B:$B, "n/a"), 0),
        _xlpm.ie_camera_on_date, IFERROR(AVERAGEIFS(Log!$G:$G, Log!$D:$D,P$4,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3" s="68" t="str">
        <f>IFERROR(
    _xlfn.LET(
        _xlpm.is_data_present, $A83&lt;&gt;0,
        _xlpm.is_camera_present, COUNTIFS(Log!$C:$C, $A83, Log!$D:$D, Q$4, Log!$A:$A, "Daily", Log!$B:$B, "n/a"),
        _xlpm.we_camera_on_date, IFERROR(AVERAGEIFS(Log!$F:$F, Log!$D:$D,Q$4, Log!$C:$C, $A83, Log!$A:$A, "Daily", Log!$B:$B, "n/a"), 0),
        _xlpm.ie_camera_on_date, IFERROR(AVERAGEIFS(Log!$G:$G, Log!$D:$D,Q$4,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3" s="68" t="str">
        <f>IFERROR(
    _xlfn.LET(
        _xlpm.is_data_present, $A83&lt;&gt;0,
        _xlpm.is_camera_present, COUNTIFS(Log!$C:$C, $A83, Log!$D:$D, R$4, Log!$A:$A, "Daily", Log!$B:$B, "n/a"),
        _xlpm.we_camera_on_date, IFERROR(AVERAGEIFS(Log!$F:$F, Log!$D:$D,R$4, Log!$C:$C, $A83, Log!$A:$A, "Daily", Log!$B:$B, "n/a"), 0),
        _xlpm.ie_camera_on_date, IFERROR(AVERAGEIFS(Log!$G:$G, Log!$D:$D,R$4,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3" s="68" t="str">
        <f>IFERROR(
    _xlfn.LET(
        _xlpm.is_data_present, $A83&lt;&gt;0,
        _xlpm.is_camera_present, COUNTIFS(Log!$C:$C, $A83, Log!$D:$D, S$4, Log!$A:$A, "Daily", Log!$B:$B, "n/a"),
        _xlpm.we_camera_on_date, IFERROR(AVERAGEIFS(Log!$F:$F, Log!$D:$D,S$4, Log!$C:$C, $A83, Log!$A:$A, "Daily", Log!$B:$B, "n/a"), 0),
        _xlpm.ie_camera_on_date, IFERROR(AVERAGEIFS(Log!$G:$G, Log!$D:$D,S$4, Log!$C:$C, $A83, Log!$A:$A, "Daily", Log!$B:$B, "n/a"), 0),
        _xlpm.we_avg, IFERROR(AVERAGEIFS(Log!$F:$F,Log!$C:$C,$A83, Log!$A:$A, "Daily", Log!$B:$B, "n/a"),0),
        _xlpm.ie_avg, IFERROR(AVERAGEIFS(Log!$G:$G,Log!$C:$C,$A83,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4" spans="2:19" x14ac:dyDescent="0.3">
      <c r="B84" s="68" t="str">
        <f>IFERROR(
    _xlfn.LET(
        _xlpm.is_data_present, $A84&lt;&gt;0,
        _xlpm.is_camera_present, COUNTIFS(Log!$C:$C, $A84, Log!$D:$D, B$4, Log!$A:$A, "Daily", Log!$B:$B, "n/a"),
        _xlpm.we_camera_on_date, IFERROR(AVERAGEIFS(Log!$F:$F, Log!$D:$D,B$4, Log!$C:$C, $A84, Log!$A:$A, "Daily", Log!$B:$B, "n/a"), 0),
        _xlpm.ie_camera_on_date, IFERROR(AVERAGEIFS(Log!$G:$G, Log!$D:$D,B$4,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4" s="68" t="str">
        <f>IFERROR(
    _xlfn.LET(
        _xlpm.is_data_present, $A84&lt;&gt;0,
        _xlpm.is_camera_present, COUNTIFS(Log!$C:$C, $A84, Log!$D:$D, C$4, Log!$A:$A, "Daily", Log!$B:$B, "n/a"),
        _xlpm.we_camera_on_date, IFERROR(AVERAGEIFS(Log!$F:$F, Log!$D:$D,C$4, Log!$C:$C, $A84, Log!$A:$A, "Daily", Log!$B:$B, "n/a"), 0),
        _xlpm.ie_camera_on_date, IFERROR(AVERAGEIFS(Log!$G:$G, Log!$D:$D,C$4,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4" s="68" t="str">
        <f>IFERROR(
    _xlfn.LET(
        _xlpm.is_data_present, $A84&lt;&gt;0,
        _xlpm.is_camera_present, COUNTIFS(Log!$C:$C, $A84, Log!$D:$D, D$4, Log!$A:$A, "Daily", Log!$B:$B, "n/a"),
        _xlpm.we_camera_on_date, IFERROR(AVERAGEIFS(Log!$F:$F, Log!$D:$D,D$4, Log!$C:$C, $A84, Log!$A:$A, "Daily", Log!$B:$B, "n/a"), 0),
        _xlpm.ie_camera_on_date, IFERROR(AVERAGEIFS(Log!$G:$G, Log!$D:$D,D$4,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4" s="68" t="str">
        <f>IFERROR(
    _xlfn.LET(
        _xlpm.is_data_present, $A84&lt;&gt;0,
        _xlpm.is_camera_present, COUNTIFS(Log!$C:$C, $A84, Log!$D:$D, E$4, Log!$A:$A, "Daily", Log!$B:$B, "n/a"),
        _xlpm.we_camera_on_date, IFERROR(AVERAGEIFS(Log!$F:$F, Log!$D:$D,E$4, Log!$C:$C, $A84, Log!$A:$A, "Daily", Log!$B:$B, "n/a"), 0),
        _xlpm.ie_camera_on_date, IFERROR(AVERAGEIFS(Log!$G:$G, Log!$D:$D,E$4,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4" s="68" t="str">
        <f>IFERROR(
    _xlfn.LET(
        _xlpm.is_data_present, $A84&lt;&gt;0,
        _xlpm.is_camera_present, COUNTIFS(Log!$C:$C, $A84, Log!$D:$D, F$4, Log!$A:$A, "Daily", Log!$B:$B, "n/a"),
        _xlpm.we_camera_on_date, IFERROR(AVERAGEIFS(Log!$F:$F, Log!$D:$D,F$4, Log!$C:$C, $A84, Log!$A:$A, "Daily", Log!$B:$B, "n/a"), 0),
        _xlpm.ie_camera_on_date, IFERROR(AVERAGEIFS(Log!$G:$G, Log!$D:$D,F$4,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4" s="68" t="str">
        <f>IFERROR(
    _xlfn.LET(
        _xlpm.is_data_present, $A84&lt;&gt;0,
        _xlpm.is_camera_present, COUNTIFS(Log!$C:$C, $A84, Log!$D:$D, G$4, Log!$A:$A, "Daily", Log!$B:$B, "n/a"),
        _xlpm.we_camera_on_date, IFERROR(AVERAGEIFS(Log!$F:$F, Log!$D:$D,G$4, Log!$C:$C, $A84, Log!$A:$A, "Daily", Log!$B:$B, "n/a"), 0),
        _xlpm.ie_camera_on_date, IFERROR(AVERAGEIFS(Log!$G:$G, Log!$D:$D,G$4,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4" s="68" t="str">
        <f>IFERROR(
    _xlfn.LET(
        _xlpm.is_data_present, $A84&lt;&gt;0,
        _xlpm.is_camera_present, COUNTIFS(Log!$C:$C, $A84, Log!$D:$D, H$4, Log!$A:$A, "Daily", Log!$B:$B, "n/a"),
        _xlpm.we_camera_on_date, IFERROR(AVERAGEIFS(Log!$F:$F, Log!$D:$D,H$4, Log!$C:$C, $A84, Log!$A:$A, "Daily", Log!$B:$B, "n/a"), 0),
        _xlpm.ie_camera_on_date, IFERROR(AVERAGEIFS(Log!$G:$G, Log!$D:$D,H$4,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4" s="68" t="str">
        <f>IFERROR(
    _xlfn.LET(
        _xlpm.is_data_present, $A84&lt;&gt;0,
        _xlpm.is_camera_present, COUNTIFS(Log!$C:$C, $A84, Log!$D:$D, I$4, Log!$A:$A, "Daily", Log!$B:$B, "n/a"),
        _xlpm.we_camera_on_date, IFERROR(AVERAGEIFS(Log!$F:$F, Log!$D:$D,I$4, Log!$C:$C, $A84, Log!$A:$A, "Daily", Log!$B:$B, "n/a"), 0),
        _xlpm.ie_camera_on_date, IFERROR(AVERAGEIFS(Log!$G:$G, Log!$D:$D,I$4,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4" s="68" t="str">
        <f>IFERROR(
    _xlfn.LET(
        _xlpm.is_data_present, $A84&lt;&gt;0,
        _xlpm.is_camera_present, COUNTIFS(Log!$C:$C, $A84, Log!$D:$D, J$4, Log!$A:$A, "Daily", Log!$B:$B, "n/a"),
        _xlpm.we_camera_on_date, IFERROR(AVERAGEIFS(Log!$F:$F, Log!$D:$D,J$4, Log!$C:$C, $A84, Log!$A:$A, "Daily", Log!$B:$B, "n/a"), 0),
        _xlpm.ie_camera_on_date, IFERROR(AVERAGEIFS(Log!$G:$G, Log!$D:$D,J$4,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4" s="68" t="str">
        <f>IFERROR(
    _xlfn.LET(
        _xlpm.is_data_present, $A84&lt;&gt;0,
        _xlpm.is_camera_present, COUNTIFS(Log!$C:$C, $A84, Log!$D:$D, K$4, Log!$A:$A, "Daily", Log!$B:$B, "n/a"),
        _xlpm.we_camera_on_date, IFERROR(AVERAGEIFS(Log!$F:$F, Log!$D:$D,K$4, Log!$C:$C, $A84, Log!$A:$A, "Daily", Log!$B:$B, "n/a"), 0),
        _xlpm.ie_camera_on_date, IFERROR(AVERAGEIFS(Log!$G:$G, Log!$D:$D,K$4,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4" s="68" t="str">
        <f>IFERROR(
    _xlfn.LET(
        _xlpm.is_data_present, $A84&lt;&gt;0,
        _xlpm.is_camera_present, COUNTIFS(Log!$C:$C, $A84, Log!$D:$D, L$4, Log!$A:$A, "Daily", Log!$B:$B, "n/a"),
        _xlpm.we_camera_on_date, IFERROR(AVERAGEIFS(Log!$F:$F, Log!$D:$D,L$4, Log!$C:$C, $A84, Log!$A:$A, "Daily", Log!$B:$B, "n/a"), 0),
        _xlpm.ie_camera_on_date, IFERROR(AVERAGEIFS(Log!$G:$G, Log!$D:$D,L$4,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4" s="68" t="str">
        <f>IFERROR(
    _xlfn.LET(
        _xlpm.is_data_present, $A84&lt;&gt;0,
        _xlpm.is_camera_present, COUNTIFS(Log!$C:$C, $A84, Log!$D:$D, M$4, Log!$A:$A, "Daily", Log!$B:$B, "n/a"),
        _xlpm.we_camera_on_date, IFERROR(AVERAGEIFS(Log!$F:$F, Log!$D:$D,M$4, Log!$C:$C, $A84, Log!$A:$A, "Daily", Log!$B:$B, "n/a"), 0),
        _xlpm.ie_camera_on_date, IFERROR(AVERAGEIFS(Log!$G:$G, Log!$D:$D,M$4,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4" s="68" t="str">
        <f>IFERROR(
    _xlfn.LET(
        _xlpm.is_data_present, $A84&lt;&gt;0,
        _xlpm.is_camera_present, COUNTIFS(Log!$C:$C, $A84, Log!$D:$D, N$4, Log!$A:$A, "Daily", Log!$B:$B, "n/a"),
        _xlpm.we_camera_on_date, IFERROR(AVERAGEIFS(Log!$F:$F, Log!$D:$D,N$4, Log!$C:$C, $A84, Log!$A:$A, "Daily", Log!$B:$B, "n/a"), 0),
        _xlpm.ie_camera_on_date, IFERROR(AVERAGEIFS(Log!$G:$G, Log!$D:$D,N$4,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4" s="68" t="str">
        <f>IFERROR(
    _xlfn.LET(
        _xlpm.is_data_present, $A84&lt;&gt;0,
        _xlpm.is_camera_present, COUNTIFS(Log!$C:$C, $A84, Log!$D:$D, O$4, Log!$A:$A, "Daily", Log!$B:$B, "n/a"),
        _xlpm.we_camera_on_date, IFERROR(AVERAGEIFS(Log!$F:$F, Log!$D:$D,O$4, Log!$C:$C, $A84, Log!$A:$A, "Daily", Log!$B:$B, "n/a"), 0),
        _xlpm.ie_camera_on_date, IFERROR(AVERAGEIFS(Log!$G:$G, Log!$D:$D,O$4,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4" s="68" t="str">
        <f>IFERROR(
    _xlfn.LET(
        _xlpm.is_data_present, $A84&lt;&gt;0,
        _xlpm.is_camera_present, COUNTIFS(Log!$C:$C, $A84, Log!$D:$D, P$4, Log!$A:$A, "Daily", Log!$B:$B, "n/a"),
        _xlpm.we_camera_on_date, IFERROR(AVERAGEIFS(Log!$F:$F, Log!$D:$D,P$4, Log!$C:$C, $A84, Log!$A:$A, "Daily", Log!$B:$B, "n/a"), 0),
        _xlpm.ie_camera_on_date, IFERROR(AVERAGEIFS(Log!$G:$G, Log!$D:$D,P$4,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4" s="68" t="str">
        <f>IFERROR(
    _xlfn.LET(
        _xlpm.is_data_present, $A84&lt;&gt;0,
        _xlpm.is_camera_present, COUNTIFS(Log!$C:$C, $A84, Log!$D:$D, Q$4, Log!$A:$A, "Daily", Log!$B:$B, "n/a"),
        _xlpm.we_camera_on_date, IFERROR(AVERAGEIFS(Log!$F:$F, Log!$D:$D,Q$4, Log!$C:$C, $A84, Log!$A:$A, "Daily", Log!$B:$B, "n/a"), 0),
        _xlpm.ie_camera_on_date, IFERROR(AVERAGEIFS(Log!$G:$G, Log!$D:$D,Q$4,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4" s="68" t="str">
        <f>IFERROR(
    _xlfn.LET(
        _xlpm.is_data_present, $A84&lt;&gt;0,
        _xlpm.is_camera_present, COUNTIFS(Log!$C:$C, $A84, Log!$D:$D, R$4, Log!$A:$A, "Daily", Log!$B:$B, "n/a"),
        _xlpm.we_camera_on_date, IFERROR(AVERAGEIFS(Log!$F:$F, Log!$D:$D,R$4, Log!$C:$C, $A84, Log!$A:$A, "Daily", Log!$B:$B, "n/a"), 0),
        _xlpm.ie_camera_on_date, IFERROR(AVERAGEIFS(Log!$G:$G, Log!$D:$D,R$4,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4" s="68" t="str">
        <f>IFERROR(
    _xlfn.LET(
        _xlpm.is_data_present, $A84&lt;&gt;0,
        _xlpm.is_camera_present, COUNTIFS(Log!$C:$C, $A84, Log!$D:$D, S$4, Log!$A:$A, "Daily", Log!$B:$B, "n/a"),
        _xlpm.we_camera_on_date, IFERROR(AVERAGEIFS(Log!$F:$F, Log!$D:$D,S$4, Log!$C:$C, $A84, Log!$A:$A, "Daily", Log!$B:$B, "n/a"), 0),
        _xlpm.ie_camera_on_date, IFERROR(AVERAGEIFS(Log!$G:$G, Log!$D:$D,S$4, Log!$C:$C, $A84, Log!$A:$A, "Daily", Log!$B:$B, "n/a"), 0),
        _xlpm.we_avg, IFERROR(AVERAGEIFS(Log!$F:$F,Log!$C:$C,$A84, Log!$A:$A, "Daily", Log!$B:$B, "n/a"),0),
        _xlpm.ie_avg, IFERROR(AVERAGEIFS(Log!$G:$G,Log!$C:$C,$A84,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5" spans="2:19" x14ac:dyDescent="0.3">
      <c r="B85" s="68" t="str">
        <f>IFERROR(
    _xlfn.LET(
        _xlpm.is_data_present, $A85&lt;&gt;0,
        _xlpm.is_camera_present, COUNTIFS(Log!$C:$C, $A85, Log!$D:$D, B$4, Log!$A:$A, "Daily", Log!$B:$B, "n/a"),
        _xlpm.we_camera_on_date, IFERROR(AVERAGEIFS(Log!$F:$F, Log!$D:$D,B$4, Log!$C:$C, $A85, Log!$A:$A, "Daily", Log!$B:$B, "n/a"), 0),
        _xlpm.ie_camera_on_date, IFERROR(AVERAGEIFS(Log!$G:$G, Log!$D:$D,B$4,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5" s="68" t="str">
        <f>IFERROR(
    _xlfn.LET(
        _xlpm.is_data_present, $A85&lt;&gt;0,
        _xlpm.is_camera_present, COUNTIFS(Log!$C:$C, $A85, Log!$D:$D, C$4, Log!$A:$A, "Daily", Log!$B:$B, "n/a"),
        _xlpm.we_camera_on_date, IFERROR(AVERAGEIFS(Log!$F:$F, Log!$D:$D,C$4, Log!$C:$C, $A85, Log!$A:$A, "Daily", Log!$B:$B, "n/a"), 0),
        _xlpm.ie_camera_on_date, IFERROR(AVERAGEIFS(Log!$G:$G, Log!$D:$D,C$4,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5" s="68" t="str">
        <f>IFERROR(
    _xlfn.LET(
        _xlpm.is_data_present, $A85&lt;&gt;0,
        _xlpm.is_camera_present, COUNTIFS(Log!$C:$C, $A85, Log!$D:$D, D$4, Log!$A:$A, "Daily", Log!$B:$B, "n/a"),
        _xlpm.we_camera_on_date, IFERROR(AVERAGEIFS(Log!$F:$F, Log!$D:$D,D$4, Log!$C:$C, $A85, Log!$A:$A, "Daily", Log!$B:$B, "n/a"), 0),
        _xlpm.ie_camera_on_date, IFERROR(AVERAGEIFS(Log!$G:$G, Log!$D:$D,D$4,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5" s="68" t="str">
        <f>IFERROR(
    _xlfn.LET(
        _xlpm.is_data_present, $A85&lt;&gt;0,
        _xlpm.is_camera_present, COUNTIFS(Log!$C:$C, $A85, Log!$D:$D, E$4, Log!$A:$A, "Daily", Log!$B:$B, "n/a"),
        _xlpm.we_camera_on_date, IFERROR(AVERAGEIFS(Log!$F:$F, Log!$D:$D,E$4, Log!$C:$C, $A85, Log!$A:$A, "Daily", Log!$B:$B, "n/a"), 0),
        _xlpm.ie_camera_on_date, IFERROR(AVERAGEIFS(Log!$G:$G, Log!$D:$D,E$4,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5" s="68" t="str">
        <f>IFERROR(
    _xlfn.LET(
        _xlpm.is_data_present, $A85&lt;&gt;0,
        _xlpm.is_camera_present, COUNTIFS(Log!$C:$C, $A85, Log!$D:$D, F$4, Log!$A:$A, "Daily", Log!$B:$B, "n/a"),
        _xlpm.we_camera_on_date, IFERROR(AVERAGEIFS(Log!$F:$F, Log!$D:$D,F$4, Log!$C:$C, $A85, Log!$A:$A, "Daily", Log!$B:$B, "n/a"), 0),
        _xlpm.ie_camera_on_date, IFERROR(AVERAGEIFS(Log!$G:$G, Log!$D:$D,F$4,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5" s="68" t="str">
        <f>IFERROR(
    _xlfn.LET(
        _xlpm.is_data_present, $A85&lt;&gt;0,
        _xlpm.is_camera_present, COUNTIFS(Log!$C:$C, $A85, Log!$D:$D, G$4, Log!$A:$A, "Daily", Log!$B:$B, "n/a"),
        _xlpm.we_camera_on_date, IFERROR(AVERAGEIFS(Log!$F:$F, Log!$D:$D,G$4, Log!$C:$C, $A85, Log!$A:$A, "Daily", Log!$B:$B, "n/a"), 0),
        _xlpm.ie_camera_on_date, IFERROR(AVERAGEIFS(Log!$G:$G, Log!$D:$D,G$4,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5" s="68" t="str">
        <f>IFERROR(
    _xlfn.LET(
        _xlpm.is_data_present, $A85&lt;&gt;0,
        _xlpm.is_camera_present, COUNTIFS(Log!$C:$C, $A85, Log!$D:$D, H$4, Log!$A:$A, "Daily", Log!$B:$B, "n/a"),
        _xlpm.we_camera_on_date, IFERROR(AVERAGEIFS(Log!$F:$F, Log!$D:$D,H$4, Log!$C:$C, $A85, Log!$A:$A, "Daily", Log!$B:$B, "n/a"), 0),
        _xlpm.ie_camera_on_date, IFERROR(AVERAGEIFS(Log!$G:$G, Log!$D:$D,H$4,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5" s="68" t="str">
        <f>IFERROR(
    _xlfn.LET(
        _xlpm.is_data_present, $A85&lt;&gt;0,
        _xlpm.is_camera_present, COUNTIFS(Log!$C:$C, $A85, Log!$D:$D, I$4, Log!$A:$A, "Daily", Log!$B:$B, "n/a"),
        _xlpm.we_camera_on_date, IFERROR(AVERAGEIFS(Log!$F:$F, Log!$D:$D,I$4, Log!$C:$C, $A85, Log!$A:$A, "Daily", Log!$B:$B, "n/a"), 0),
        _xlpm.ie_camera_on_date, IFERROR(AVERAGEIFS(Log!$G:$G, Log!$D:$D,I$4,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5" s="68" t="str">
        <f>IFERROR(
    _xlfn.LET(
        _xlpm.is_data_present, $A85&lt;&gt;0,
        _xlpm.is_camera_present, COUNTIFS(Log!$C:$C, $A85, Log!$D:$D, J$4, Log!$A:$A, "Daily", Log!$B:$B, "n/a"),
        _xlpm.we_camera_on_date, IFERROR(AVERAGEIFS(Log!$F:$F, Log!$D:$D,J$4, Log!$C:$C, $A85, Log!$A:$A, "Daily", Log!$B:$B, "n/a"), 0),
        _xlpm.ie_camera_on_date, IFERROR(AVERAGEIFS(Log!$G:$G, Log!$D:$D,J$4,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5" s="68" t="str">
        <f>IFERROR(
    _xlfn.LET(
        _xlpm.is_data_present, $A85&lt;&gt;0,
        _xlpm.is_camera_present, COUNTIFS(Log!$C:$C, $A85, Log!$D:$D, K$4, Log!$A:$A, "Daily", Log!$B:$B, "n/a"),
        _xlpm.we_camera_on_date, IFERROR(AVERAGEIFS(Log!$F:$F, Log!$D:$D,K$4, Log!$C:$C, $A85, Log!$A:$A, "Daily", Log!$B:$B, "n/a"), 0),
        _xlpm.ie_camera_on_date, IFERROR(AVERAGEIFS(Log!$G:$G, Log!$D:$D,K$4,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5" s="68" t="str">
        <f>IFERROR(
    _xlfn.LET(
        _xlpm.is_data_present, $A85&lt;&gt;0,
        _xlpm.is_camera_present, COUNTIFS(Log!$C:$C, $A85, Log!$D:$D, L$4, Log!$A:$A, "Daily", Log!$B:$B, "n/a"),
        _xlpm.we_camera_on_date, IFERROR(AVERAGEIFS(Log!$F:$F, Log!$D:$D,L$4, Log!$C:$C, $A85, Log!$A:$A, "Daily", Log!$B:$B, "n/a"), 0),
        _xlpm.ie_camera_on_date, IFERROR(AVERAGEIFS(Log!$G:$G, Log!$D:$D,L$4,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5" s="68" t="str">
        <f>IFERROR(
    _xlfn.LET(
        _xlpm.is_data_present, $A85&lt;&gt;0,
        _xlpm.is_camera_present, COUNTIFS(Log!$C:$C, $A85, Log!$D:$D, M$4, Log!$A:$A, "Daily", Log!$B:$B, "n/a"),
        _xlpm.we_camera_on_date, IFERROR(AVERAGEIFS(Log!$F:$F, Log!$D:$D,M$4, Log!$C:$C, $A85, Log!$A:$A, "Daily", Log!$B:$B, "n/a"), 0),
        _xlpm.ie_camera_on_date, IFERROR(AVERAGEIFS(Log!$G:$G, Log!$D:$D,M$4,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5" s="68" t="str">
        <f>IFERROR(
    _xlfn.LET(
        _xlpm.is_data_present, $A85&lt;&gt;0,
        _xlpm.is_camera_present, COUNTIFS(Log!$C:$C, $A85, Log!$D:$D, N$4, Log!$A:$A, "Daily", Log!$B:$B, "n/a"),
        _xlpm.we_camera_on_date, IFERROR(AVERAGEIFS(Log!$F:$F, Log!$D:$D,N$4, Log!$C:$C, $A85, Log!$A:$A, "Daily", Log!$B:$B, "n/a"), 0),
        _xlpm.ie_camera_on_date, IFERROR(AVERAGEIFS(Log!$G:$G, Log!$D:$D,N$4,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5" s="68" t="str">
        <f>IFERROR(
    _xlfn.LET(
        _xlpm.is_data_present, $A85&lt;&gt;0,
        _xlpm.is_camera_present, COUNTIFS(Log!$C:$C, $A85, Log!$D:$D, O$4, Log!$A:$A, "Daily", Log!$B:$B, "n/a"),
        _xlpm.we_camera_on_date, IFERROR(AVERAGEIFS(Log!$F:$F, Log!$D:$D,O$4, Log!$C:$C, $A85, Log!$A:$A, "Daily", Log!$B:$B, "n/a"), 0),
        _xlpm.ie_camera_on_date, IFERROR(AVERAGEIFS(Log!$G:$G, Log!$D:$D,O$4,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5" s="68" t="str">
        <f>IFERROR(
    _xlfn.LET(
        _xlpm.is_data_present, $A85&lt;&gt;0,
        _xlpm.is_camera_present, COUNTIFS(Log!$C:$C, $A85, Log!$D:$D, P$4, Log!$A:$A, "Daily", Log!$B:$B, "n/a"),
        _xlpm.we_camera_on_date, IFERROR(AVERAGEIFS(Log!$F:$F, Log!$D:$D,P$4, Log!$C:$C, $A85, Log!$A:$A, "Daily", Log!$B:$B, "n/a"), 0),
        _xlpm.ie_camera_on_date, IFERROR(AVERAGEIFS(Log!$G:$G, Log!$D:$D,P$4,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5" s="68" t="str">
        <f>IFERROR(
    _xlfn.LET(
        _xlpm.is_data_present, $A85&lt;&gt;0,
        _xlpm.is_camera_present, COUNTIFS(Log!$C:$C, $A85, Log!$D:$D, Q$4, Log!$A:$A, "Daily", Log!$B:$B, "n/a"),
        _xlpm.we_camera_on_date, IFERROR(AVERAGEIFS(Log!$F:$F, Log!$D:$D,Q$4, Log!$C:$C, $A85, Log!$A:$A, "Daily", Log!$B:$B, "n/a"), 0),
        _xlpm.ie_camera_on_date, IFERROR(AVERAGEIFS(Log!$G:$G, Log!$D:$D,Q$4,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5" s="68" t="str">
        <f>IFERROR(
    _xlfn.LET(
        _xlpm.is_data_present, $A85&lt;&gt;0,
        _xlpm.is_camera_present, COUNTIFS(Log!$C:$C, $A85, Log!$D:$D, R$4, Log!$A:$A, "Daily", Log!$B:$B, "n/a"),
        _xlpm.we_camera_on_date, IFERROR(AVERAGEIFS(Log!$F:$F, Log!$D:$D,R$4, Log!$C:$C, $A85, Log!$A:$A, "Daily", Log!$B:$B, "n/a"), 0),
        _xlpm.ie_camera_on_date, IFERROR(AVERAGEIFS(Log!$G:$G, Log!$D:$D,R$4,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5" s="68" t="str">
        <f>IFERROR(
    _xlfn.LET(
        _xlpm.is_data_present, $A85&lt;&gt;0,
        _xlpm.is_camera_present, COUNTIFS(Log!$C:$C, $A85, Log!$D:$D, S$4, Log!$A:$A, "Daily", Log!$B:$B, "n/a"),
        _xlpm.we_camera_on_date, IFERROR(AVERAGEIFS(Log!$F:$F, Log!$D:$D,S$4, Log!$C:$C, $A85, Log!$A:$A, "Daily", Log!$B:$B, "n/a"), 0),
        _xlpm.ie_camera_on_date, IFERROR(AVERAGEIFS(Log!$G:$G, Log!$D:$D,S$4, Log!$C:$C, $A85, Log!$A:$A, "Daily", Log!$B:$B, "n/a"), 0),
        _xlpm.we_avg, IFERROR(AVERAGEIFS(Log!$F:$F,Log!$C:$C,$A85, Log!$A:$A, "Daily", Log!$B:$B, "n/a"),0),
        _xlpm.ie_avg, IFERROR(AVERAGEIFS(Log!$G:$G,Log!$C:$C,$A85,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6" spans="2:19" x14ac:dyDescent="0.3">
      <c r="B86" s="68" t="str">
        <f>IFERROR(
    _xlfn.LET(
        _xlpm.is_data_present, $A86&lt;&gt;0,
        _xlpm.is_camera_present, COUNTIFS(Log!$C:$C, $A86, Log!$D:$D, B$4, Log!$A:$A, "Daily", Log!$B:$B, "n/a"),
        _xlpm.we_camera_on_date, IFERROR(AVERAGEIFS(Log!$F:$F, Log!$D:$D,B$4, Log!$C:$C, $A86, Log!$A:$A, "Daily", Log!$B:$B, "n/a"), 0),
        _xlpm.ie_camera_on_date, IFERROR(AVERAGEIFS(Log!$G:$G, Log!$D:$D,B$4,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6" s="68" t="str">
        <f>IFERROR(
    _xlfn.LET(
        _xlpm.is_data_present, $A86&lt;&gt;0,
        _xlpm.is_camera_present, COUNTIFS(Log!$C:$C, $A86, Log!$D:$D, C$4, Log!$A:$A, "Daily", Log!$B:$B, "n/a"),
        _xlpm.we_camera_on_date, IFERROR(AVERAGEIFS(Log!$F:$F, Log!$D:$D,C$4, Log!$C:$C, $A86, Log!$A:$A, "Daily", Log!$B:$B, "n/a"), 0),
        _xlpm.ie_camera_on_date, IFERROR(AVERAGEIFS(Log!$G:$G, Log!$D:$D,C$4,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6" s="68" t="str">
        <f>IFERROR(
    _xlfn.LET(
        _xlpm.is_data_present, $A86&lt;&gt;0,
        _xlpm.is_camera_present, COUNTIFS(Log!$C:$C, $A86, Log!$D:$D, D$4, Log!$A:$A, "Daily", Log!$B:$B, "n/a"),
        _xlpm.we_camera_on_date, IFERROR(AVERAGEIFS(Log!$F:$F, Log!$D:$D,D$4, Log!$C:$C, $A86, Log!$A:$A, "Daily", Log!$B:$B, "n/a"), 0),
        _xlpm.ie_camera_on_date, IFERROR(AVERAGEIFS(Log!$G:$G, Log!$D:$D,D$4,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6" s="68" t="str">
        <f>IFERROR(
    _xlfn.LET(
        _xlpm.is_data_present, $A86&lt;&gt;0,
        _xlpm.is_camera_present, COUNTIFS(Log!$C:$C, $A86, Log!$D:$D, E$4, Log!$A:$A, "Daily", Log!$B:$B, "n/a"),
        _xlpm.we_camera_on_date, IFERROR(AVERAGEIFS(Log!$F:$F, Log!$D:$D,E$4, Log!$C:$C, $A86, Log!$A:$A, "Daily", Log!$B:$B, "n/a"), 0),
        _xlpm.ie_camera_on_date, IFERROR(AVERAGEIFS(Log!$G:$G, Log!$D:$D,E$4,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6" s="68" t="str">
        <f>IFERROR(
    _xlfn.LET(
        _xlpm.is_data_present, $A86&lt;&gt;0,
        _xlpm.is_camera_present, COUNTIFS(Log!$C:$C, $A86, Log!$D:$D, F$4, Log!$A:$A, "Daily", Log!$B:$B, "n/a"),
        _xlpm.we_camera_on_date, IFERROR(AVERAGEIFS(Log!$F:$F, Log!$D:$D,F$4, Log!$C:$C, $A86, Log!$A:$A, "Daily", Log!$B:$B, "n/a"), 0),
        _xlpm.ie_camera_on_date, IFERROR(AVERAGEIFS(Log!$G:$G, Log!$D:$D,F$4,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6" s="68" t="str">
        <f>IFERROR(
    _xlfn.LET(
        _xlpm.is_data_present, $A86&lt;&gt;0,
        _xlpm.is_camera_present, COUNTIFS(Log!$C:$C, $A86, Log!$D:$D, G$4, Log!$A:$A, "Daily", Log!$B:$B, "n/a"),
        _xlpm.we_camera_on_date, IFERROR(AVERAGEIFS(Log!$F:$F, Log!$D:$D,G$4, Log!$C:$C, $A86, Log!$A:$A, "Daily", Log!$B:$B, "n/a"), 0),
        _xlpm.ie_camera_on_date, IFERROR(AVERAGEIFS(Log!$G:$G, Log!$D:$D,G$4,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6" s="68" t="str">
        <f>IFERROR(
    _xlfn.LET(
        _xlpm.is_data_present, $A86&lt;&gt;0,
        _xlpm.is_camera_present, COUNTIFS(Log!$C:$C, $A86, Log!$D:$D, H$4, Log!$A:$A, "Daily", Log!$B:$B, "n/a"),
        _xlpm.we_camera_on_date, IFERROR(AVERAGEIFS(Log!$F:$F, Log!$D:$D,H$4, Log!$C:$C, $A86, Log!$A:$A, "Daily", Log!$B:$B, "n/a"), 0),
        _xlpm.ie_camera_on_date, IFERROR(AVERAGEIFS(Log!$G:$G, Log!$D:$D,H$4,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6" s="68" t="str">
        <f>IFERROR(
    _xlfn.LET(
        _xlpm.is_data_present, $A86&lt;&gt;0,
        _xlpm.is_camera_present, COUNTIFS(Log!$C:$C, $A86, Log!$D:$D, I$4, Log!$A:$A, "Daily", Log!$B:$B, "n/a"),
        _xlpm.we_camera_on_date, IFERROR(AVERAGEIFS(Log!$F:$F, Log!$D:$D,I$4, Log!$C:$C, $A86, Log!$A:$A, "Daily", Log!$B:$B, "n/a"), 0),
        _xlpm.ie_camera_on_date, IFERROR(AVERAGEIFS(Log!$G:$G, Log!$D:$D,I$4,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6" s="68" t="str">
        <f>IFERROR(
    _xlfn.LET(
        _xlpm.is_data_present, $A86&lt;&gt;0,
        _xlpm.is_camera_present, COUNTIFS(Log!$C:$C, $A86, Log!$D:$D, J$4, Log!$A:$A, "Daily", Log!$B:$B, "n/a"),
        _xlpm.we_camera_on_date, IFERROR(AVERAGEIFS(Log!$F:$F, Log!$D:$D,J$4, Log!$C:$C, $A86, Log!$A:$A, "Daily", Log!$B:$B, "n/a"), 0),
        _xlpm.ie_camera_on_date, IFERROR(AVERAGEIFS(Log!$G:$G, Log!$D:$D,J$4,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6" s="68" t="str">
        <f>IFERROR(
    _xlfn.LET(
        _xlpm.is_data_present, $A86&lt;&gt;0,
        _xlpm.is_camera_present, COUNTIFS(Log!$C:$C, $A86, Log!$D:$D, K$4, Log!$A:$A, "Daily", Log!$B:$B, "n/a"),
        _xlpm.we_camera_on_date, IFERROR(AVERAGEIFS(Log!$F:$F, Log!$D:$D,K$4, Log!$C:$C, $A86, Log!$A:$A, "Daily", Log!$B:$B, "n/a"), 0),
        _xlpm.ie_camera_on_date, IFERROR(AVERAGEIFS(Log!$G:$G, Log!$D:$D,K$4,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6" s="68" t="str">
        <f>IFERROR(
    _xlfn.LET(
        _xlpm.is_data_present, $A86&lt;&gt;0,
        _xlpm.is_camera_present, COUNTIFS(Log!$C:$C, $A86, Log!$D:$D, L$4, Log!$A:$A, "Daily", Log!$B:$B, "n/a"),
        _xlpm.we_camera_on_date, IFERROR(AVERAGEIFS(Log!$F:$F, Log!$D:$D,L$4, Log!$C:$C, $A86, Log!$A:$A, "Daily", Log!$B:$B, "n/a"), 0),
        _xlpm.ie_camera_on_date, IFERROR(AVERAGEIFS(Log!$G:$G, Log!$D:$D,L$4,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6" s="68" t="str">
        <f>IFERROR(
    _xlfn.LET(
        _xlpm.is_data_present, $A86&lt;&gt;0,
        _xlpm.is_camera_present, COUNTIFS(Log!$C:$C, $A86, Log!$D:$D, M$4, Log!$A:$A, "Daily", Log!$B:$B, "n/a"),
        _xlpm.we_camera_on_date, IFERROR(AVERAGEIFS(Log!$F:$F, Log!$D:$D,M$4, Log!$C:$C, $A86, Log!$A:$A, "Daily", Log!$B:$B, "n/a"), 0),
        _xlpm.ie_camera_on_date, IFERROR(AVERAGEIFS(Log!$G:$G, Log!$D:$D,M$4,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6" s="68" t="str">
        <f>IFERROR(
    _xlfn.LET(
        _xlpm.is_data_present, $A86&lt;&gt;0,
        _xlpm.is_camera_present, COUNTIFS(Log!$C:$C, $A86, Log!$D:$D, N$4, Log!$A:$A, "Daily", Log!$B:$B, "n/a"),
        _xlpm.we_camera_on_date, IFERROR(AVERAGEIFS(Log!$F:$F, Log!$D:$D,N$4, Log!$C:$C, $A86, Log!$A:$A, "Daily", Log!$B:$B, "n/a"), 0),
        _xlpm.ie_camera_on_date, IFERROR(AVERAGEIFS(Log!$G:$G, Log!$D:$D,N$4,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6" s="68" t="str">
        <f>IFERROR(
    _xlfn.LET(
        _xlpm.is_data_present, $A86&lt;&gt;0,
        _xlpm.is_camera_present, COUNTIFS(Log!$C:$C, $A86, Log!$D:$D, O$4, Log!$A:$A, "Daily", Log!$B:$B, "n/a"),
        _xlpm.we_camera_on_date, IFERROR(AVERAGEIFS(Log!$F:$F, Log!$D:$D,O$4, Log!$C:$C, $A86, Log!$A:$A, "Daily", Log!$B:$B, "n/a"), 0),
        _xlpm.ie_camera_on_date, IFERROR(AVERAGEIFS(Log!$G:$G, Log!$D:$D,O$4,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6" s="68" t="str">
        <f>IFERROR(
    _xlfn.LET(
        _xlpm.is_data_present, $A86&lt;&gt;0,
        _xlpm.is_camera_present, COUNTIFS(Log!$C:$C, $A86, Log!$D:$D, P$4, Log!$A:$A, "Daily", Log!$B:$B, "n/a"),
        _xlpm.we_camera_on_date, IFERROR(AVERAGEIFS(Log!$F:$F, Log!$D:$D,P$4, Log!$C:$C, $A86, Log!$A:$A, "Daily", Log!$B:$B, "n/a"), 0),
        _xlpm.ie_camera_on_date, IFERROR(AVERAGEIFS(Log!$G:$G, Log!$D:$D,P$4,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6" s="68" t="str">
        <f>IFERROR(
    _xlfn.LET(
        _xlpm.is_data_present, $A86&lt;&gt;0,
        _xlpm.is_camera_present, COUNTIFS(Log!$C:$C, $A86, Log!$D:$D, Q$4, Log!$A:$A, "Daily", Log!$B:$B, "n/a"),
        _xlpm.we_camera_on_date, IFERROR(AVERAGEIFS(Log!$F:$F, Log!$D:$D,Q$4, Log!$C:$C, $A86, Log!$A:$A, "Daily", Log!$B:$B, "n/a"), 0),
        _xlpm.ie_camera_on_date, IFERROR(AVERAGEIFS(Log!$G:$G, Log!$D:$D,Q$4,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6" s="68" t="str">
        <f>IFERROR(
    _xlfn.LET(
        _xlpm.is_data_present, $A86&lt;&gt;0,
        _xlpm.is_camera_present, COUNTIFS(Log!$C:$C, $A86, Log!$D:$D, R$4, Log!$A:$A, "Daily", Log!$B:$B, "n/a"),
        _xlpm.we_camera_on_date, IFERROR(AVERAGEIFS(Log!$F:$F, Log!$D:$D,R$4, Log!$C:$C, $A86, Log!$A:$A, "Daily", Log!$B:$B, "n/a"), 0),
        _xlpm.ie_camera_on_date, IFERROR(AVERAGEIFS(Log!$G:$G, Log!$D:$D,R$4,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6" s="68" t="str">
        <f>IFERROR(
    _xlfn.LET(
        _xlpm.is_data_present, $A86&lt;&gt;0,
        _xlpm.is_camera_present, COUNTIFS(Log!$C:$C, $A86, Log!$D:$D, S$4, Log!$A:$A, "Daily", Log!$B:$B, "n/a"),
        _xlpm.we_camera_on_date, IFERROR(AVERAGEIFS(Log!$F:$F, Log!$D:$D,S$4, Log!$C:$C, $A86, Log!$A:$A, "Daily", Log!$B:$B, "n/a"), 0),
        _xlpm.ie_camera_on_date, IFERROR(AVERAGEIFS(Log!$G:$G, Log!$D:$D,S$4, Log!$C:$C, $A86, Log!$A:$A, "Daily", Log!$B:$B, "n/a"), 0),
        _xlpm.we_avg, IFERROR(AVERAGEIFS(Log!$F:$F,Log!$C:$C,$A86, Log!$A:$A, "Daily", Log!$B:$B, "n/a"),0),
        _xlpm.ie_avg, IFERROR(AVERAGEIFS(Log!$G:$G,Log!$C:$C,$A86,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7" spans="2:19" x14ac:dyDescent="0.3">
      <c r="B87" s="68" t="str">
        <f>IFERROR(
    _xlfn.LET(
        _xlpm.is_data_present, $A87&lt;&gt;0,
        _xlpm.is_camera_present, COUNTIFS(Log!$C:$C, $A87, Log!$D:$D, B$4, Log!$A:$A, "Daily", Log!$B:$B, "n/a"),
        _xlpm.we_camera_on_date, IFERROR(AVERAGEIFS(Log!$F:$F, Log!$D:$D,B$4, Log!$C:$C, $A87, Log!$A:$A, "Daily", Log!$B:$B, "n/a"), 0),
        _xlpm.ie_camera_on_date, IFERROR(AVERAGEIFS(Log!$G:$G, Log!$D:$D,B$4,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7" s="68" t="str">
        <f>IFERROR(
    _xlfn.LET(
        _xlpm.is_data_present, $A87&lt;&gt;0,
        _xlpm.is_camera_present, COUNTIFS(Log!$C:$C, $A87, Log!$D:$D, C$4, Log!$A:$A, "Daily", Log!$B:$B, "n/a"),
        _xlpm.we_camera_on_date, IFERROR(AVERAGEIFS(Log!$F:$F, Log!$D:$D,C$4, Log!$C:$C, $A87, Log!$A:$A, "Daily", Log!$B:$B, "n/a"), 0),
        _xlpm.ie_camera_on_date, IFERROR(AVERAGEIFS(Log!$G:$G, Log!$D:$D,C$4,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7" s="68" t="str">
        <f>IFERROR(
    _xlfn.LET(
        _xlpm.is_data_present, $A87&lt;&gt;0,
        _xlpm.is_camera_present, COUNTIFS(Log!$C:$C, $A87, Log!$D:$D, D$4, Log!$A:$A, "Daily", Log!$B:$B, "n/a"),
        _xlpm.we_camera_on_date, IFERROR(AVERAGEIFS(Log!$F:$F, Log!$D:$D,D$4, Log!$C:$C, $A87, Log!$A:$A, "Daily", Log!$B:$B, "n/a"), 0),
        _xlpm.ie_camera_on_date, IFERROR(AVERAGEIFS(Log!$G:$G, Log!$D:$D,D$4,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7" s="68" t="str">
        <f>IFERROR(
    _xlfn.LET(
        _xlpm.is_data_present, $A87&lt;&gt;0,
        _xlpm.is_camera_present, COUNTIFS(Log!$C:$C, $A87, Log!$D:$D, E$4, Log!$A:$A, "Daily", Log!$B:$B, "n/a"),
        _xlpm.we_camera_on_date, IFERROR(AVERAGEIFS(Log!$F:$F, Log!$D:$D,E$4, Log!$C:$C, $A87, Log!$A:$A, "Daily", Log!$B:$B, "n/a"), 0),
        _xlpm.ie_camera_on_date, IFERROR(AVERAGEIFS(Log!$G:$G, Log!$D:$D,E$4,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7" s="68" t="str">
        <f>IFERROR(
    _xlfn.LET(
        _xlpm.is_data_present, $A87&lt;&gt;0,
        _xlpm.is_camera_present, COUNTIFS(Log!$C:$C, $A87, Log!$D:$D, F$4, Log!$A:$A, "Daily", Log!$B:$B, "n/a"),
        _xlpm.we_camera_on_date, IFERROR(AVERAGEIFS(Log!$F:$F, Log!$D:$D,F$4, Log!$C:$C, $A87, Log!$A:$A, "Daily", Log!$B:$B, "n/a"), 0),
        _xlpm.ie_camera_on_date, IFERROR(AVERAGEIFS(Log!$G:$G, Log!$D:$D,F$4,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7" s="68" t="str">
        <f>IFERROR(
    _xlfn.LET(
        _xlpm.is_data_present, $A87&lt;&gt;0,
        _xlpm.is_camera_present, COUNTIFS(Log!$C:$C, $A87, Log!$D:$D, G$4, Log!$A:$A, "Daily", Log!$B:$B, "n/a"),
        _xlpm.we_camera_on_date, IFERROR(AVERAGEIFS(Log!$F:$F, Log!$D:$D,G$4, Log!$C:$C, $A87, Log!$A:$A, "Daily", Log!$B:$B, "n/a"), 0),
        _xlpm.ie_camera_on_date, IFERROR(AVERAGEIFS(Log!$G:$G, Log!$D:$D,G$4,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7" s="68" t="str">
        <f>IFERROR(
    _xlfn.LET(
        _xlpm.is_data_present, $A87&lt;&gt;0,
        _xlpm.is_camera_present, COUNTIFS(Log!$C:$C, $A87, Log!$D:$D, H$4, Log!$A:$A, "Daily", Log!$B:$B, "n/a"),
        _xlpm.we_camera_on_date, IFERROR(AVERAGEIFS(Log!$F:$F, Log!$D:$D,H$4, Log!$C:$C, $A87, Log!$A:$A, "Daily", Log!$B:$B, "n/a"), 0),
        _xlpm.ie_camera_on_date, IFERROR(AVERAGEIFS(Log!$G:$G, Log!$D:$D,H$4,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7" s="68" t="str">
        <f>IFERROR(
    _xlfn.LET(
        _xlpm.is_data_present, $A87&lt;&gt;0,
        _xlpm.is_camera_present, COUNTIFS(Log!$C:$C, $A87, Log!$D:$D, I$4, Log!$A:$A, "Daily", Log!$B:$B, "n/a"),
        _xlpm.we_camera_on_date, IFERROR(AVERAGEIFS(Log!$F:$F, Log!$D:$D,I$4, Log!$C:$C, $A87, Log!$A:$A, "Daily", Log!$B:$B, "n/a"), 0),
        _xlpm.ie_camera_on_date, IFERROR(AVERAGEIFS(Log!$G:$G, Log!$D:$D,I$4,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7" s="68" t="str">
        <f>IFERROR(
    _xlfn.LET(
        _xlpm.is_data_present, $A87&lt;&gt;0,
        _xlpm.is_camera_present, COUNTIFS(Log!$C:$C, $A87, Log!$D:$D, J$4, Log!$A:$A, "Daily", Log!$B:$B, "n/a"),
        _xlpm.we_camera_on_date, IFERROR(AVERAGEIFS(Log!$F:$F, Log!$D:$D,J$4, Log!$C:$C, $A87, Log!$A:$A, "Daily", Log!$B:$B, "n/a"), 0),
        _xlpm.ie_camera_on_date, IFERROR(AVERAGEIFS(Log!$G:$G, Log!$D:$D,J$4,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7" s="68" t="str">
        <f>IFERROR(
    _xlfn.LET(
        _xlpm.is_data_present, $A87&lt;&gt;0,
        _xlpm.is_camera_present, COUNTIFS(Log!$C:$C, $A87, Log!$D:$D, K$4, Log!$A:$A, "Daily", Log!$B:$B, "n/a"),
        _xlpm.we_camera_on_date, IFERROR(AVERAGEIFS(Log!$F:$F, Log!$D:$D,K$4, Log!$C:$C, $A87, Log!$A:$A, "Daily", Log!$B:$B, "n/a"), 0),
        _xlpm.ie_camera_on_date, IFERROR(AVERAGEIFS(Log!$G:$G, Log!$D:$D,K$4,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7" s="68" t="str">
        <f>IFERROR(
    _xlfn.LET(
        _xlpm.is_data_present, $A87&lt;&gt;0,
        _xlpm.is_camera_present, COUNTIFS(Log!$C:$C, $A87, Log!$D:$D, L$4, Log!$A:$A, "Daily", Log!$B:$B, "n/a"),
        _xlpm.we_camera_on_date, IFERROR(AVERAGEIFS(Log!$F:$F, Log!$D:$D,L$4, Log!$C:$C, $A87, Log!$A:$A, "Daily", Log!$B:$B, "n/a"), 0),
        _xlpm.ie_camera_on_date, IFERROR(AVERAGEIFS(Log!$G:$G, Log!$D:$D,L$4,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7" s="68" t="str">
        <f>IFERROR(
    _xlfn.LET(
        _xlpm.is_data_present, $A87&lt;&gt;0,
        _xlpm.is_camera_present, COUNTIFS(Log!$C:$C, $A87, Log!$D:$D, M$4, Log!$A:$A, "Daily", Log!$B:$B, "n/a"),
        _xlpm.we_camera_on_date, IFERROR(AVERAGEIFS(Log!$F:$F, Log!$D:$D,M$4, Log!$C:$C, $A87, Log!$A:$A, "Daily", Log!$B:$B, "n/a"), 0),
        _xlpm.ie_camera_on_date, IFERROR(AVERAGEIFS(Log!$G:$G, Log!$D:$D,M$4,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7" s="68" t="str">
        <f>IFERROR(
    _xlfn.LET(
        _xlpm.is_data_present, $A87&lt;&gt;0,
        _xlpm.is_camera_present, COUNTIFS(Log!$C:$C, $A87, Log!$D:$D, N$4, Log!$A:$A, "Daily", Log!$B:$B, "n/a"),
        _xlpm.we_camera_on_date, IFERROR(AVERAGEIFS(Log!$F:$F, Log!$D:$D,N$4, Log!$C:$C, $A87, Log!$A:$A, "Daily", Log!$B:$B, "n/a"), 0),
        _xlpm.ie_camera_on_date, IFERROR(AVERAGEIFS(Log!$G:$G, Log!$D:$D,N$4,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7" s="68" t="str">
        <f>IFERROR(
    _xlfn.LET(
        _xlpm.is_data_present, $A87&lt;&gt;0,
        _xlpm.is_camera_present, COUNTIFS(Log!$C:$C, $A87, Log!$D:$D, O$4, Log!$A:$A, "Daily", Log!$B:$B, "n/a"),
        _xlpm.we_camera_on_date, IFERROR(AVERAGEIFS(Log!$F:$F, Log!$D:$D,O$4, Log!$C:$C, $A87, Log!$A:$A, "Daily", Log!$B:$B, "n/a"), 0),
        _xlpm.ie_camera_on_date, IFERROR(AVERAGEIFS(Log!$G:$G, Log!$D:$D,O$4,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7" s="68" t="str">
        <f>IFERROR(
    _xlfn.LET(
        _xlpm.is_data_present, $A87&lt;&gt;0,
        _xlpm.is_camera_present, COUNTIFS(Log!$C:$C, $A87, Log!$D:$D, P$4, Log!$A:$A, "Daily", Log!$B:$B, "n/a"),
        _xlpm.we_camera_on_date, IFERROR(AVERAGEIFS(Log!$F:$F, Log!$D:$D,P$4, Log!$C:$C, $A87, Log!$A:$A, "Daily", Log!$B:$B, "n/a"), 0),
        _xlpm.ie_camera_on_date, IFERROR(AVERAGEIFS(Log!$G:$G, Log!$D:$D,P$4,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7" s="68" t="str">
        <f>IFERROR(
    _xlfn.LET(
        _xlpm.is_data_present, $A87&lt;&gt;0,
        _xlpm.is_camera_present, COUNTIFS(Log!$C:$C, $A87, Log!$D:$D, Q$4, Log!$A:$A, "Daily", Log!$B:$B, "n/a"),
        _xlpm.we_camera_on_date, IFERROR(AVERAGEIFS(Log!$F:$F, Log!$D:$D,Q$4, Log!$C:$C, $A87, Log!$A:$A, "Daily", Log!$B:$B, "n/a"), 0),
        _xlpm.ie_camera_on_date, IFERROR(AVERAGEIFS(Log!$G:$G, Log!$D:$D,Q$4,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7" s="68" t="str">
        <f>IFERROR(
    _xlfn.LET(
        _xlpm.is_data_present, $A87&lt;&gt;0,
        _xlpm.is_camera_present, COUNTIFS(Log!$C:$C, $A87, Log!$D:$D, R$4, Log!$A:$A, "Daily", Log!$B:$B, "n/a"),
        _xlpm.we_camera_on_date, IFERROR(AVERAGEIFS(Log!$F:$F, Log!$D:$D,R$4, Log!$C:$C, $A87, Log!$A:$A, "Daily", Log!$B:$B, "n/a"), 0),
        _xlpm.ie_camera_on_date, IFERROR(AVERAGEIFS(Log!$G:$G, Log!$D:$D,R$4,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7" s="68" t="str">
        <f>IFERROR(
    _xlfn.LET(
        _xlpm.is_data_present, $A87&lt;&gt;0,
        _xlpm.is_camera_present, COUNTIFS(Log!$C:$C, $A87, Log!$D:$D, S$4, Log!$A:$A, "Daily", Log!$B:$B, "n/a"),
        _xlpm.we_camera_on_date, IFERROR(AVERAGEIFS(Log!$F:$F, Log!$D:$D,S$4, Log!$C:$C, $A87, Log!$A:$A, "Daily", Log!$B:$B, "n/a"), 0),
        _xlpm.ie_camera_on_date, IFERROR(AVERAGEIFS(Log!$G:$G, Log!$D:$D,S$4, Log!$C:$C, $A87, Log!$A:$A, "Daily", Log!$B:$B, "n/a"), 0),
        _xlpm.we_avg, IFERROR(AVERAGEIFS(Log!$F:$F,Log!$C:$C,$A87, Log!$A:$A, "Daily", Log!$B:$B, "n/a"),0),
        _xlpm.ie_avg, IFERROR(AVERAGEIFS(Log!$G:$G,Log!$C:$C,$A87,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8" spans="2:19" x14ac:dyDescent="0.3">
      <c r="B88" s="68" t="str">
        <f>IFERROR(
    _xlfn.LET(
        _xlpm.is_data_present, $A88&lt;&gt;0,
        _xlpm.is_camera_present, COUNTIFS(Log!$C:$C, $A88, Log!$D:$D, B$4, Log!$A:$A, "Daily", Log!$B:$B, "n/a"),
        _xlpm.we_camera_on_date, IFERROR(AVERAGEIFS(Log!$F:$F, Log!$D:$D,B$4, Log!$C:$C, $A88, Log!$A:$A, "Daily", Log!$B:$B, "n/a"), 0),
        _xlpm.ie_camera_on_date, IFERROR(AVERAGEIFS(Log!$G:$G, Log!$D:$D,B$4,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8" s="68" t="str">
        <f>IFERROR(
    _xlfn.LET(
        _xlpm.is_data_present, $A88&lt;&gt;0,
        _xlpm.is_camera_present, COUNTIFS(Log!$C:$C, $A88, Log!$D:$D, C$4, Log!$A:$A, "Daily", Log!$B:$B, "n/a"),
        _xlpm.we_camera_on_date, IFERROR(AVERAGEIFS(Log!$F:$F, Log!$D:$D,C$4, Log!$C:$C, $A88, Log!$A:$A, "Daily", Log!$B:$B, "n/a"), 0),
        _xlpm.ie_camera_on_date, IFERROR(AVERAGEIFS(Log!$G:$G, Log!$D:$D,C$4,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8" s="68" t="str">
        <f>IFERROR(
    _xlfn.LET(
        _xlpm.is_data_present, $A88&lt;&gt;0,
        _xlpm.is_camera_present, COUNTIFS(Log!$C:$C, $A88, Log!$D:$D, D$4, Log!$A:$A, "Daily", Log!$B:$B, "n/a"),
        _xlpm.we_camera_on_date, IFERROR(AVERAGEIFS(Log!$F:$F, Log!$D:$D,D$4, Log!$C:$C, $A88, Log!$A:$A, "Daily", Log!$B:$B, "n/a"), 0),
        _xlpm.ie_camera_on_date, IFERROR(AVERAGEIFS(Log!$G:$G, Log!$D:$D,D$4,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8" s="68" t="str">
        <f>IFERROR(
    _xlfn.LET(
        _xlpm.is_data_present, $A88&lt;&gt;0,
        _xlpm.is_camera_present, COUNTIFS(Log!$C:$C, $A88, Log!$D:$D, E$4, Log!$A:$A, "Daily", Log!$B:$B, "n/a"),
        _xlpm.we_camera_on_date, IFERROR(AVERAGEIFS(Log!$F:$F, Log!$D:$D,E$4, Log!$C:$C, $A88, Log!$A:$A, "Daily", Log!$B:$B, "n/a"), 0),
        _xlpm.ie_camera_on_date, IFERROR(AVERAGEIFS(Log!$G:$G, Log!$D:$D,E$4,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8" s="68" t="str">
        <f>IFERROR(
    _xlfn.LET(
        _xlpm.is_data_present, $A88&lt;&gt;0,
        _xlpm.is_camera_present, COUNTIFS(Log!$C:$C, $A88, Log!$D:$D, F$4, Log!$A:$A, "Daily", Log!$B:$B, "n/a"),
        _xlpm.we_camera_on_date, IFERROR(AVERAGEIFS(Log!$F:$F, Log!$D:$D,F$4, Log!$C:$C, $A88, Log!$A:$A, "Daily", Log!$B:$B, "n/a"), 0),
        _xlpm.ie_camera_on_date, IFERROR(AVERAGEIFS(Log!$G:$G, Log!$D:$D,F$4,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8" s="68" t="str">
        <f>IFERROR(
    _xlfn.LET(
        _xlpm.is_data_present, $A88&lt;&gt;0,
        _xlpm.is_camera_present, COUNTIFS(Log!$C:$C, $A88, Log!$D:$D, G$4, Log!$A:$A, "Daily", Log!$B:$B, "n/a"),
        _xlpm.we_camera_on_date, IFERROR(AVERAGEIFS(Log!$F:$F, Log!$D:$D,G$4, Log!$C:$C, $A88, Log!$A:$A, "Daily", Log!$B:$B, "n/a"), 0),
        _xlpm.ie_camera_on_date, IFERROR(AVERAGEIFS(Log!$G:$G, Log!$D:$D,G$4,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8" s="68" t="str">
        <f>IFERROR(
    _xlfn.LET(
        _xlpm.is_data_present, $A88&lt;&gt;0,
        _xlpm.is_camera_present, COUNTIFS(Log!$C:$C, $A88, Log!$D:$D, H$4, Log!$A:$A, "Daily", Log!$B:$B, "n/a"),
        _xlpm.we_camera_on_date, IFERROR(AVERAGEIFS(Log!$F:$F, Log!$D:$D,H$4, Log!$C:$C, $A88, Log!$A:$A, "Daily", Log!$B:$B, "n/a"), 0),
        _xlpm.ie_camera_on_date, IFERROR(AVERAGEIFS(Log!$G:$G, Log!$D:$D,H$4,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8" s="68" t="str">
        <f>IFERROR(
    _xlfn.LET(
        _xlpm.is_data_present, $A88&lt;&gt;0,
        _xlpm.is_camera_present, COUNTIFS(Log!$C:$C, $A88, Log!$D:$D, I$4, Log!$A:$A, "Daily", Log!$B:$B, "n/a"),
        _xlpm.we_camera_on_date, IFERROR(AVERAGEIFS(Log!$F:$F, Log!$D:$D,I$4, Log!$C:$C, $A88, Log!$A:$A, "Daily", Log!$B:$B, "n/a"), 0),
        _xlpm.ie_camera_on_date, IFERROR(AVERAGEIFS(Log!$G:$G, Log!$D:$D,I$4,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8" s="68" t="str">
        <f>IFERROR(
    _xlfn.LET(
        _xlpm.is_data_present, $A88&lt;&gt;0,
        _xlpm.is_camera_present, COUNTIFS(Log!$C:$C, $A88, Log!$D:$D, J$4, Log!$A:$A, "Daily", Log!$B:$B, "n/a"),
        _xlpm.we_camera_on_date, IFERROR(AVERAGEIFS(Log!$F:$F, Log!$D:$D,J$4, Log!$C:$C, $A88, Log!$A:$A, "Daily", Log!$B:$B, "n/a"), 0),
        _xlpm.ie_camera_on_date, IFERROR(AVERAGEIFS(Log!$G:$G, Log!$D:$D,J$4,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8" s="68" t="str">
        <f>IFERROR(
    _xlfn.LET(
        _xlpm.is_data_present, $A88&lt;&gt;0,
        _xlpm.is_camera_present, COUNTIFS(Log!$C:$C, $A88, Log!$D:$D, K$4, Log!$A:$A, "Daily", Log!$B:$B, "n/a"),
        _xlpm.we_camera_on_date, IFERROR(AVERAGEIFS(Log!$F:$F, Log!$D:$D,K$4, Log!$C:$C, $A88, Log!$A:$A, "Daily", Log!$B:$B, "n/a"), 0),
        _xlpm.ie_camera_on_date, IFERROR(AVERAGEIFS(Log!$G:$G, Log!$D:$D,K$4,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8" s="68" t="str">
        <f>IFERROR(
    _xlfn.LET(
        _xlpm.is_data_present, $A88&lt;&gt;0,
        _xlpm.is_camera_present, COUNTIFS(Log!$C:$C, $A88, Log!$D:$D, L$4, Log!$A:$A, "Daily", Log!$B:$B, "n/a"),
        _xlpm.we_camera_on_date, IFERROR(AVERAGEIFS(Log!$F:$F, Log!$D:$D,L$4, Log!$C:$C, $A88, Log!$A:$A, "Daily", Log!$B:$B, "n/a"), 0),
        _xlpm.ie_camera_on_date, IFERROR(AVERAGEIFS(Log!$G:$G, Log!$D:$D,L$4,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8" s="68" t="str">
        <f>IFERROR(
    _xlfn.LET(
        _xlpm.is_data_present, $A88&lt;&gt;0,
        _xlpm.is_camera_present, COUNTIFS(Log!$C:$C, $A88, Log!$D:$D, M$4, Log!$A:$A, "Daily", Log!$B:$B, "n/a"),
        _xlpm.we_camera_on_date, IFERROR(AVERAGEIFS(Log!$F:$F, Log!$D:$D,M$4, Log!$C:$C, $A88, Log!$A:$A, "Daily", Log!$B:$B, "n/a"), 0),
        _xlpm.ie_camera_on_date, IFERROR(AVERAGEIFS(Log!$G:$G, Log!$D:$D,M$4,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8" s="68" t="str">
        <f>IFERROR(
    _xlfn.LET(
        _xlpm.is_data_present, $A88&lt;&gt;0,
        _xlpm.is_camera_present, COUNTIFS(Log!$C:$C, $A88, Log!$D:$D, N$4, Log!$A:$A, "Daily", Log!$B:$B, "n/a"),
        _xlpm.we_camera_on_date, IFERROR(AVERAGEIFS(Log!$F:$F, Log!$D:$D,N$4, Log!$C:$C, $A88, Log!$A:$A, "Daily", Log!$B:$B, "n/a"), 0),
        _xlpm.ie_camera_on_date, IFERROR(AVERAGEIFS(Log!$G:$G, Log!$D:$D,N$4,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8" s="68" t="str">
        <f>IFERROR(
    _xlfn.LET(
        _xlpm.is_data_present, $A88&lt;&gt;0,
        _xlpm.is_camera_present, COUNTIFS(Log!$C:$C, $A88, Log!$D:$D, O$4, Log!$A:$A, "Daily", Log!$B:$B, "n/a"),
        _xlpm.we_camera_on_date, IFERROR(AVERAGEIFS(Log!$F:$F, Log!$D:$D,O$4, Log!$C:$C, $A88, Log!$A:$A, "Daily", Log!$B:$B, "n/a"), 0),
        _xlpm.ie_camera_on_date, IFERROR(AVERAGEIFS(Log!$G:$G, Log!$D:$D,O$4,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8" s="68" t="str">
        <f>IFERROR(
    _xlfn.LET(
        _xlpm.is_data_present, $A88&lt;&gt;0,
        _xlpm.is_camera_present, COUNTIFS(Log!$C:$C, $A88, Log!$D:$D, P$4, Log!$A:$A, "Daily", Log!$B:$B, "n/a"),
        _xlpm.we_camera_on_date, IFERROR(AVERAGEIFS(Log!$F:$F, Log!$D:$D,P$4, Log!$C:$C, $A88, Log!$A:$A, "Daily", Log!$B:$B, "n/a"), 0),
        _xlpm.ie_camera_on_date, IFERROR(AVERAGEIFS(Log!$G:$G, Log!$D:$D,P$4,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8" s="68" t="str">
        <f>IFERROR(
    _xlfn.LET(
        _xlpm.is_data_present, $A88&lt;&gt;0,
        _xlpm.is_camera_present, COUNTIFS(Log!$C:$C, $A88, Log!$D:$D, Q$4, Log!$A:$A, "Daily", Log!$B:$B, "n/a"),
        _xlpm.we_camera_on_date, IFERROR(AVERAGEIFS(Log!$F:$F, Log!$D:$D,Q$4, Log!$C:$C, $A88, Log!$A:$A, "Daily", Log!$B:$B, "n/a"), 0),
        _xlpm.ie_camera_on_date, IFERROR(AVERAGEIFS(Log!$G:$G, Log!$D:$D,Q$4,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8" s="68" t="str">
        <f>IFERROR(
    _xlfn.LET(
        _xlpm.is_data_present, $A88&lt;&gt;0,
        _xlpm.is_camera_present, COUNTIFS(Log!$C:$C, $A88, Log!$D:$D, R$4, Log!$A:$A, "Daily", Log!$B:$B, "n/a"),
        _xlpm.we_camera_on_date, IFERROR(AVERAGEIFS(Log!$F:$F, Log!$D:$D,R$4, Log!$C:$C, $A88, Log!$A:$A, "Daily", Log!$B:$B, "n/a"), 0),
        _xlpm.ie_camera_on_date, IFERROR(AVERAGEIFS(Log!$G:$G, Log!$D:$D,R$4,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8" s="68" t="str">
        <f>IFERROR(
    _xlfn.LET(
        _xlpm.is_data_present, $A88&lt;&gt;0,
        _xlpm.is_camera_present, COUNTIFS(Log!$C:$C, $A88, Log!$D:$D, S$4, Log!$A:$A, "Daily", Log!$B:$B, "n/a"),
        _xlpm.we_camera_on_date, IFERROR(AVERAGEIFS(Log!$F:$F, Log!$D:$D,S$4, Log!$C:$C, $A88, Log!$A:$A, "Daily", Log!$B:$B, "n/a"), 0),
        _xlpm.ie_camera_on_date, IFERROR(AVERAGEIFS(Log!$G:$G, Log!$D:$D,S$4, Log!$C:$C, $A88, Log!$A:$A, "Daily", Log!$B:$B, "n/a"), 0),
        _xlpm.we_avg, IFERROR(AVERAGEIFS(Log!$F:$F,Log!$C:$C,$A88, Log!$A:$A, "Daily", Log!$B:$B, "n/a"),0),
        _xlpm.ie_avg, IFERROR(AVERAGEIFS(Log!$G:$G,Log!$C:$C,$A88,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89" spans="2:19" x14ac:dyDescent="0.3">
      <c r="B89" s="68" t="str">
        <f>IFERROR(
    _xlfn.LET(
        _xlpm.is_data_present, $A89&lt;&gt;0,
        _xlpm.is_camera_present, COUNTIFS(Log!$C:$C, $A89, Log!$D:$D, B$4, Log!$A:$A, "Daily", Log!$B:$B, "n/a"),
        _xlpm.we_camera_on_date, IFERROR(AVERAGEIFS(Log!$F:$F, Log!$D:$D,B$4, Log!$C:$C, $A89, Log!$A:$A, "Daily", Log!$B:$B, "n/a"), 0),
        _xlpm.ie_camera_on_date, IFERROR(AVERAGEIFS(Log!$G:$G, Log!$D:$D,B$4,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89" s="68" t="str">
        <f>IFERROR(
    _xlfn.LET(
        _xlpm.is_data_present, $A89&lt;&gt;0,
        _xlpm.is_camera_present, COUNTIFS(Log!$C:$C, $A89, Log!$D:$D, C$4, Log!$A:$A, "Daily", Log!$B:$B, "n/a"),
        _xlpm.we_camera_on_date, IFERROR(AVERAGEIFS(Log!$F:$F, Log!$D:$D,C$4, Log!$C:$C, $A89, Log!$A:$A, "Daily", Log!$B:$B, "n/a"), 0),
        _xlpm.ie_camera_on_date, IFERROR(AVERAGEIFS(Log!$G:$G, Log!$D:$D,C$4,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89" s="68" t="str">
        <f>IFERROR(
    _xlfn.LET(
        _xlpm.is_data_present, $A89&lt;&gt;0,
        _xlpm.is_camera_present, COUNTIFS(Log!$C:$C, $A89, Log!$D:$D, D$4, Log!$A:$A, "Daily", Log!$B:$B, "n/a"),
        _xlpm.we_camera_on_date, IFERROR(AVERAGEIFS(Log!$F:$F, Log!$D:$D,D$4, Log!$C:$C, $A89, Log!$A:$A, "Daily", Log!$B:$B, "n/a"), 0),
        _xlpm.ie_camera_on_date, IFERROR(AVERAGEIFS(Log!$G:$G, Log!$D:$D,D$4,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89" s="68" t="str">
        <f>IFERROR(
    _xlfn.LET(
        _xlpm.is_data_present, $A89&lt;&gt;0,
        _xlpm.is_camera_present, COUNTIFS(Log!$C:$C, $A89, Log!$D:$D, E$4, Log!$A:$A, "Daily", Log!$B:$B, "n/a"),
        _xlpm.we_camera_on_date, IFERROR(AVERAGEIFS(Log!$F:$F, Log!$D:$D,E$4, Log!$C:$C, $A89, Log!$A:$A, "Daily", Log!$B:$B, "n/a"), 0),
        _xlpm.ie_camera_on_date, IFERROR(AVERAGEIFS(Log!$G:$G, Log!$D:$D,E$4,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89" s="68" t="str">
        <f>IFERROR(
    _xlfn.LET(
        _xlpm.is_data_present, $A89&lt;&gt;0,
        _xlpm.is_camera_present, COUNTIFS(Log!$C:$C, $A89, Log!$D:$D, F$4, Log!$A:$A, "Daily", Log!$B:$B, "n/a"),
        _xlpm.we_camera_on_date, IFERROR(AVERAGEIFS(Log!$F:$F, Log!$D:$D,F$4, Log!$C:$C, $A89, Log!$A:$A, "Daily", Log!$B:$B, "n/a"), 0),
        _xlpm.ie_camera_on_date, IFERROR(AVERAGEIFS(Log!$G:$G, Log!$D:$D,F$4,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89" s="68" t="str">
        <f>IFERROR(
    _xlfn.LET(
        _xlpm.is_data_present, $A89&lt;&gt;0,
        _xlpm.is_camera_present, COUNTIFS(Log!$C:$C, $A89, Log!$D:$D, G$4, Log!$A:$A, "Daily", Log!$B:$B, "n/a"),
        _xlpm.we_camera_on_date, IFERROR(AVERAGEIFS(Log!$F:$F, Log!$D:$D,G$4, Log!$C:$C, $A89, Log!$A:$A, "Daily", Log!$B:$B, "n/a"), 0),
        _xlpm.ie_camera_on_date, IFERROR(AVERAGEIFS(Log!$G:$G, Log!$D:$D,G$4,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89" s="68" t="str">
        <f>IFERROR(
    _xlfn.LET(
        _xlpm.is_data_present, $A89&lt;&gt;0,
        _xlpm.is_camera_present, COUNTIFS(Log!$C:$C, $A89, Log!$D:$D, H$4, Log!$A:$A, "Daily", Log!$B:$B, "n/a"),
        _xlpm.we_camera_on_date, IFERROR(AVERAGEIFS(Log!$F:$F, Log!$D:$D,H$4, Log!$C:$C, $A89, Log!$A:$A, "Daily", Log!$B:$B, "n/a"), 0),
        _xlpm.ie_camera_on_date, IFERROR(AVERAGEIFS(Log!$G:$G, Log!$D:$D,H$4,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89" s="68" t="str">
        <f>IFERROR(
    _xlfn.LET(
        _xlpm.is_data_present, $A89&lt;&gt;0,
        _xlpm.is_camera_present, COUNTIFS(Log!$C:$C, $A89, Log!$D:$D, I$4, Log!$A:$A, "Daily", Log!$B:$B, "n/a"),
        _xlpm.we_camera_on_date, IFERROR(AVERAGEIFS(Log!$F:$F, Log!$D:$D,I$4, Log!$C:$C, $A89, Log!$A:$A, "Daily", Log!$B:$B, "n/a"), 0),
        _xlpm.ie_camera_on_date, IFERROR(AVERAGEIFS(Log!$G:$G, Log!$D:$D,I$4,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89" s="68" t="str">
        <f>IFERROR(
    _xlfn.LET(
        _xlpm.is_data_present, $A89&lt;&gt;0,
        _xlpm.is_camera_present, COUNTIFS(Log!$C:$C, $A89, Log!$D:$D, J$4, Log!$A:$A, "Daily", Log!$B:$B, "n/a"),
        _xlpm.we_camera_on_date, IFERROR(AVERAGEIFS(Log!$F:$F, Log!$D:$D,J$4, Log!$C:$C, $A89, Log!$A:$A, "Daily", Log!$B:$B, "n/a"), 0),
        _xlpm.ie_camera_on_date, IFERROR(AVERAGEIFS(Log!$G:$G, Log!$D:$D,J$4,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89" s="68" t="str">
        <f>IFERROR(
    _xlfn.LET(
        _xlpm.is_data_present, $A89&lt;&gt;0,
        _xlpm.is_camera_present, COUNTIFS(Log!$C:$C, $A89, Log!$D:$D, K$4, Log!$A:$A, "Daily", Log!$B:$B, "n/a"),
        _xlpm.we_camera_on_date, IFERROR(AVERAGEIFS(Log!$F:$F, Log!$D:$D,K$4, Log!$C:$C, $A89, Log!$A:$A, "Daily", Log!$B:$B, "n/a"), 0),
        _xlpm.ie_camera_on_date, IFERROR(AVERAGEIFS(Log!$G:$G, Log!$D:$D,K$4,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89" s="68" t="str">
        <f>IFERROR(
    _xlfn.LET(
        _xlpm.is_data_present, $A89&lt;&gt;0,
        _xlpm.is_camera_present, COUNTIFS(Log!$C:$C, $A89, Log!$D:$D, L$4, Log!$A:$A, "Daily", Log!$B:$B, "n/a"),
        _xlpm.we_camera_on_date, IFERROR(AVERAGEIFS(Log!$F:$F, Log!$D:$D,L$4, Log!$C:$C, $A89, Log!$A:$A, "Daily", Log!$B:$B, "n/a"), 0),
        _xlpm.ie_camera_on_date, IFERROR(AVERAGEIFS(Log!$G:$G, Log!$D:$D,L$4,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89" s="68" t="str">
        <f>IFERROR(
    _xlfn.LET(
        _xlpm.is_data_present, $A89&lt;&gt;0,
        _xlpm.is_camera_present, COUNTIFS(Log!$C:$C, $A89, Log!$D:$D, M$4, Log!$A:$A, "Daily", Log!$B:$B, "n/a"),
        _xlpm.we_camera_on_date, IFERROR(AVERAGEIFS(Log!$F:$F, Log!$D:$D,M$4, Log!$C:$C, $A89, Log!$A:$A, "Daily", Log!$B:$B, "n/a"), 0),
        _xlpm.ie_camera_on_date, IFERROR(AVERAGEIFS(Log!$G:$G, Log!$D:$D,M$4,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89" s="68" t="str">
        <f>IFERROR(
    _xlfn.LET(
        _xlpm.is_data_present, $A89&lt;&gt;0,
        _xlpm.is_camera_present, COUNTIFS(Log!$C:$C, $A89, Log!$D:$D, N$4, Log!$A:$A, "Daily", Log!$B:$B, "n/a"),
        _xlpm.we_camera_on_date, IFERROR(AVERAGEIFS(Log!$F:$F, Log!$D:$D,N$4, Log!$C:$C, $A89, Log!$A:$A, "Daily", Log!$B:$B, "n/a"), 0),
        _xlpm.ie_camera_on_date, IFERROR(AVERAGEIFS(Log!$G:$G, Log!$D:$D,N$4,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89" s="68" t="str">
        <f>IFERROR(
    _xlfn.LET(
        _xlpm.is_data_present, $A89&lt;&gt;0,
        _xlpm.is_camera_present, COUNTIFS(Log!$C:$C, $A89, Log!$D:$D, O$4, Log!$A:$A, "Daily", Log!$B:$B, "n/a"),
        _xlpm.we_camera_on_date, IFERROR(AVERAGEIFS(Log!$F:$F, Log!$D:$D,O$4, Log!$C:$C, $A89, Log!$A:$A, "Daily", Log!$B:$B, "n/a"), 0),
        _xlpm.ie_camera_on_date, IFERROR(AVERAGEIFS(Log!$G:$G, Log!$D:$D,O$4,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89" s="68" t="str">
        <f>IFERROR(
    _xlfn.LET(
        _xlpm.is_data_present, $A89&lt;&gt;0,
        _xlpm.is_camera_present, COUNTIFS(Log!$C:$C, $A89, Log!$D:$D, P$4, Log!$A:$A, "Daily", Log!$B:$B, "n/a"),
        _xlpm.we_camera_on_date, IFERROR(AVERAGEIFS(Log!$F:$F, Log!$D:$D,P$4, Log!$C:$C, $A89, Log!$A:$A, "Daily", Log!$B:$B, "n/a"), 0),
        _xlpm.ie_camera_on_date, IFERROR(AVERAGEIFS(Log!$G:$G, Log!$D:$D,P$4,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89" s="68" t="str">
        <f>IFERROR(
    _xlfn.LET(
        _xlpm.is_data_present, $A89&lt;&gt;0,
        _xlpm.is_camera_present, COUNTIFS(Log!$C:$C, $A89, Log!$D:$D, Q$4, Log!$A:$A, "Daily", Log!$B:$B, "n/a"),
        _xlpm.we_camera_on_date, IFERROR(AVERAGEIFS(Log!$F:$F, Log!$D:$D,Q$4, Log!$C:$C, $A89, Log!$A:$A, "Daily", Log!$B:$B, "n/a"), 0),
        _xlpm.ie_camera_on_date, IFERROR(AVERAGEIFS(Log!$G:$G, Log!$D:$D,Q$4,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89" s="68" t="str">
        <f>IFERROR(
    _xlfn.LET(
        _xlpm.is_data_present, $A89&lt;&gt;0,
        _xlpm.is_camera_present, COUNTIFS(Log!$C:$C, $A89, Log!$D:$D, R$4, Log!$A:$A, "Daily", Log!$B:$B, "n/a"),
        _xlpm.we_camera_on_date, IFERROR(AVERAGEIFS(Log!$F:$F, Log!$D:$D,R$4, Log!$C:$C, $A89, Log!$A:$A, "Daily", Log!$B:$B, "n/a"), 0),
        _xlpm.ie_camera_on_date, IFERROR(AVERAGEIFS(Log!$G:$G, Log!$D:$D,R$4,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89" s="68" t="str">
        <f>IFERROR(
    _xlfn.LET(
        _xlpm.is_data_present, $A89&lt;&gt;0,
        _xlpm.is_camera_present, COUNTIFS(Log!$C:$C, $A89, Log!$D:$D, S$4, Log!$A:$A, "Daily", Log!$B:$B, "n/a"),
        _xlpm.we_camera_on_date, IFERROR(AVERAGEIFS(Log!$F:$F, Log!$D:$D,S$4, Log!$C:$C, $A89, Log!$A:$A, "Daily", Log!$B:$B, "n/a"), 0),
        _xlpm.ie_camera_on_date, IFERROR(AVERAGEIFS(Log!$G:$G, Log!$D:$D,S$4, Log!$C:$C, $A89, Log!$A:$A, "Daily", Log!$B:$B, "n/a"), 0),
        _xlpm.we_avg, IFERROR(AVERAGEIFS(Log!$F:$F,Log!$C:$C,$A89, Log!$A:$A, "Daily", Log!$B:$B, "n/a"),0),
        _xlpm.ie_avg, IFERROR(AVERAGEIFS(Log!$G:$G,Log!$C:$C,$A89,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0" spans="2:19" x14ac:dyDescent="0.3">
      <c r="B90" s="68" t="str">
        <f>IFERROR(
    _xlfn.LET(
        _xlpm.is_data_present, $A90&lt;&gt;0,
        _xlpm.is_camera_present, COUNTIFS(Log!$C:$C, $A90, Log!$D:$D, B$4, Log!$A:$A, "Daily", Log!$B:$B, "n/a"),
        _xlpm.we_camera_on_date, IFERROR(AVERAGEIFS(Log!$F:$F, Log!$D:$D,B$4, Log!$C:$C, $A90, Log!$A:$A, "Daily", Log!$B:$B, "n/a"), 0),
        _xlpm.ie_camera_on_date, IFERROR(AVERAGEIFS(Log!$G:$G, Log!$D:$D,B$4,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0" s="68" t="str">
        <f>IFERROR(
    _xlfn.LET(
        _xlpm.is_data_present, $A90&lt;&gt;0,
        _xlpm.is_camera_present, COUNTIFS(Log!$C:$C, $A90, Log!$D:$D, C$4, Log!$A:$A, "Daily", Log!$B:$B, "n/a"),
        _xlpm.we_camera_on_date, IFERROR(AVERAGEIFS(Log!$F:$F, Log!$D:$D,C$4, Log!$C:$C, $A90, Log!$A:$A, "Daily", Log!$B:$B, "n/a"), 0),
        _xlpm.ie_camera_on_date, IFERROR(AVERAGEIFS(Log!$G:$G, Log!$D:$D,C$4,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0" s="68" t="str">
        <f>IFERROR(
    _xlfn.LET(
        _xlpm.is_data_present, $A90&lt;&gt;0,
        _xlpm.is_camera_present, COUNTIFS(Log!$C:$C, $A90, Log!$D:$D, D$4, Log!$A:$A, "Daily", Log!$B:$B, "n/a"),
        _xlpm.we_camera_on_date, IFERROR(AVERAGEIFS(Log!$F:$F, Log!$D:$D,D$4, Log!$C:$C, $A90, Log!$A:$A, "Daily", Log!$B:$B, "n/a"), 0),
        _xlpm.ie_camera_on_date, IFERROR(AVERAGEIFS(Log!$G:$G, Log!$D:$D,D$4,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0" s="68" t="str">
        <f>IFERROR(
    _xlfn.LET(
        _xlpm.is_data_present, $A90&lt;&gt;0,
        _xlpm.is_camera_present, COUNTIFS(Log!$C:$C, $A90, Log!$D:$D, E$4, Log!$A:$A, "Daily", Log!$B:$B, "n/a"),
        _xlpm.we_camera_on_date, IFERROR(AVERAGEIFS(Log!$F:$F, Log!$D:$D,E$4, Log!$C:$C, $A90, Log!$A:$A, "Daily", Log!$B:$B, "n/a"), 0),
        _xlpm.ie_camera_on_date, IFERROR(AVERAGEIFS(Log!$G:$G, Log!$D:$D,E$4,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0" s="68" t="str">
        <f>IFERROR(
    _xlfn.LET(
        _xlpm.is_data_present, $A90&lt;&gt;0,
        _xlpm.is_camera_present, COUNTIFS(Log!$C:$C, $A90, Log!$D:$D, F$4, Log!$A:$A, "Daily", Log!$B:$B, "n/a"),
        _xlpm.we_camera_on_date, IFERROR(AVERAGEIFS(Log!$F:$F, Log!$D:$D,F$4, Log!$C:$C, $A90, Log!$A:$A, "Daily", Log!$B:$B, "n/a"), 0),
        _xlpm.ie_camera_on_date, IFERROR(AVERAGEIFS(Log!$G:$G, Log!$D:$D,F$4,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0" s="68" t="str">
        <f>IFERROR(
    _xlfn.LET(
        _xlpm.is_data_present, $A90&lt;&gt;0,
        _xlpm.is_camera_present, COUNTIFS(Log!$C:$C, $A90, Log!$D:$D, G$4, Log!$A:$A, "Daily", Log!$B:$B, "n/a"),
        _xlpm.we_camera_on_date, IFERROR(AVERAGEIFS(Log!$F:$F, Log!$D:$D,G$4, Log!$C:$C, $A90, Log!$A:$A, "Daily", Log!$B:$B, "n/a"), 0),
        _xlpm.ie_camera_on_date, IFERROR(AVERAGEIFS(Log!$G:$G, Log!$D:$D,G$4,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0" s="68" t="str">
        <f>IFERROR(
    _xlfn.LET(
        _xlpm.is_data_present, $A90&lt;&gt;0,
        _xlpm.is_camera_present, COUNTIFS(Log!$C:$C, $A90, Log!$D:$D, H$4, Log!$A:$A, "Daily", Log!$B:$B, "n/a"),
        _xlpm.we_camera_on_date, IFERROR(AVERAGEIFS(Log!$F:$F, Log!$D:$D,H$4, Log!$C:$C, $A90, Log!$A:$A, "Daily", Log!$B:$B, "n/a"), 0),
        _xlpm.ie_camera_on_date, IFERROR(AVERAGEIFS(Log!$G:$G, Log!$D:$D,H$4,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0" s="68" t="str">
        <f>IFERROR(
    _xlfn.LET(
        _xlpm.is_data_present, $A90&lt;&gt;0,
        _xlpm.is_camera_present, COUNTIFS(Log!$C:$C, $A90, Log!$D:$D, I$4, Log!$A:$A, "Daily", Log!$B:$B, "n/a"),
        _xlpm.we_camera_on_date, IFERROR(AVERAGEIFS(Log!$F:$F, Log!$D:$D,I$4, Log!$C:$C, $A90, Log!$A:$A, "Daily", Log!$B:$B, "n/a"), 0),
        _xlpm.ie_camera_on_date, IFERROR(AVERAGEIFS(Log!$G:$G, Log!$D:$D,I$4,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0" s="68" t="str">
        <f>IFERROR(
    _xlfn.LET(
        _xlpm.is_data_present, $A90&lt;&gt;0,
        _xlpm.is_camera_present, COUNTIFS(Log!$C:$C, $A90, Log!$D:$D, J$4, Log!$A:$A, "Daily", Log!$B:$B, "n/a"),
        _xlpm.we_camera_on_date, IFERROR(AVERAGEIFS(Log!$F:$F, Log!$D:$D,J$4, Log!$C:$C, $A90, Log!$A:$A, "Daily", Log!$B:$B, "n/a"), 0),
        _xlpm.ie_camera_on_date, IFERROR(AVERAGEIFS(Log!$G:$G, Log!$D:$D,J$4,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0" s="68" t="str">
        <f>IFERROR(
    _xlfn.LET(
        _xlpm.is_data_present, $A90&lt;&gt;0,
        _xlpm.is_camera_present, COUNTIFS(Log!$C:$C, $A90, Log!$D:$D, K$4, Log!$A:$A, "Daily", Log!$B:$B, "n/a"),
        _xlpm.we_camera_on_date, IFERROR(AVERAGEIFS(Log!$F:$F, Log!$D:$D,K$4, Log!$C:$C, $A90, Log!$A:$A, "Daily", Log!$B:$B, "n/a"), 0),
        _xlpm.ie_camera_on_date, IFERROR(AVERAGEIFS(Log!$G:$G, Log!$D:$D,K$4,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0" s="68" t="str">
        <f>IFERROR(
    _xlfn.LET(
        _xlpm.is_data_present, $A90&lt;&gt;0,
        _xlpm.is_camera_present, COUNTIFS(Log!$C:$C, $A90, Log!$D:$D, L$4, Log!$A:$A, "Daily", Log!$B:$B, "n/a"),
        _xlpm.we_camera_on_date, IFERROR(AVERAGEIFS(Log!$F:$F, Log!$D:$D,L$4, Log!$C:$C, $A90, Log!$A:$A, "Daily", Log!$B:$B, "n/a"), 0),
        _xlpm.ie_camera_on_date, IFERROR(AVERAGEIFS(Log!$G:$G, Log!$D:$D,L$4,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0" s="68" t="str">
        <f>IFERROR(
    _xlfn.LET(
        _xlpm.is_data_present, $A90&lt;&gt;0,
        _xlpm.is_camera_present, COUNTIFS(Log!$C:$C, $A90, Log!$D:$D, M$4, Log!$A:$A, "Daily", Log!$B:$B, "n/a"),
        _xlpm.we_camera_on_date, IFERROR(AVERAGEIFS(Log!$F:$F, Log!$D:$D,M$4, Log!$C:$C, $A90, Log!$A:$A, "Daily", Log!$B:$B, "n/a"), 0),
        _xlpm.ie_camera_on_date, IFERROR(AVERAGEIFS(Log!$G:$G, Log!$D:$D,M$4,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0" s="68" t="str">
        <f>IFERROR(
    _xlfn.LET(
        _xlpm.is_data_present, $A90&lt;&gt;0,
        _xlpm.is_camera_present, COUNTIFS(Log!$C:$C, $A90, Log!$D:$D, N$4, Log!$A:$A, "Daily", Log!$B:$B, "n/a"),
        _xlpm.we_camera_on_date, IFERROR(AVERAGEIFS(Log!$F:$F, Log!$D:$D,N$4, Log!$C:$C, $A90, Log!$A:$A, "Daily", Log!$B:$B, "n/a"), 0),
        _xlpm.ie_camera_on_date, IFERROR(AVERAGEIFS(Log!$G:$G, Log!$D:$D,N$4,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0" s="68" t="str">
        <f>IFERROR(
    _xlfn.LET(
        _xlpm.is_data_present, $A90&lt;&gt;0,
        _xlpm.is_camera_present, COUNTIFS(Log!$C:$C, $A90, Log!$D:$D, O$4, Log!$A:$A, "Daily", Log!$B:$B, "n/a"),
        _xlpm.we_camera_on_date, IFERROR(AVERAGEIFS(Log!$F:$F, Log!$D:$D,O$4, Log!$C:$C, $A90, Log!$A:$A, "Daily", Log!$B:$B, "n/a"), 0),
        _xlpm.ie_camera_on_date, IFERROR(AVERAGEIFS(Log!$G:$G, Log!$D:$D,O$4,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0" s="68" t="str">
        <f>IFERROR(
    _xlfn.LET(
        _xlpm.is_data_present, $A90&lt;&gt;0,
        _xlpm.is_camera_present, COUNTIFS(Log!$C:$C, $A90, Log!$D:$D, P$4, Log!$A:$A, "Daily", Log!$B:$B, "n/a"),
        _xlpm.we_camera_on_date, IFERROR(AVERAGEIFS(Log!$F:$F, Log!$D:$D,P$4, Log!$C:$C, $A90, Log!$A:$A, "Daily", Log!$B:$B, "n/a"), 0),
        _xlpm.ie_camera_on_date, IFERROR(AVERAGEIFS(Log!$G:$G, Log!$D:$D,P$4,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0" s="68" t="str">
        <f>IFERROR(
    _xlfn.LET(
        _xlpm.is_data_present, $A90&lt;&gt;0,
        _xlpm.is_camera_present, COUNTIFS(Log!$C:$C, $A90, Log!$D:$D, Q$4, Log!$A:$A, "Daily", Log!$B:$B, "n/a"),
        _xlpm.we_camera_on_date, IFERROR(AVERAGEIFS(Log!$F:$F, Log!$D:$D,Q$4, Log!$C:$C, $A90, Log!$A:$A, "Daily", Log!$B:$B, "n/a"), 0),
        _xlpm.ie_camera_on_date, IFERROR(AVERAGEIFS(Log!$G:$G, Log!$D:$D,Q$4,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0" s="68" t="str">
        <f>IFERROR(
    _xlfn.LET(
        _xlpm.is_data_present, $A90&lt;&gt;0,
        _xlpm.is_camera_present, COUNTIFS(Log!$C:$C, $A90, Log!$D:$D, R$4, Log!$A:$A, "Daily", Log!$B:$B, "n/a"),
        _xlpm.we_camera_on_date, IFERROR(AVERAGEIFS(Log!$F:$F, Log!$D:$D,R$4, Log!$C:$C, $A90, Log!$A:$A, "Daily", Log!$B:$B, "n/a"), 0),
        _xlpm.ie_camera_on_date, IFERROR(AVERAGEIFS(Log!$G:$G, Log!$D:$D,R$4,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0" s="68" t="str">
        <f>IFERROR(
    _xlfn.LET(
        _xlpm.is_data_present, $A90&lt;&gt;0,
        _xlpm.is_camera_present, COUNTIFS(Log!$C:$C, $A90, Log!$D:$D, S$4, Log!$A:$A, "Daily", Log!$B:$B, "n/a"),
        _xlpm.we_camera_on_date, IFERROR(AVERAGEIFS(Log!$F:$F, Log!$D:$D,S$4, Log!$C:$C, $A90, Log!$A:$A, "Daily", Log!$B:$B, "n/a"), 0),
        _xlpm.ie_camera_on_date, IFERROR(AVERAGEIFS(Log!$G:$G, Log!$D:$D,S$4, Log!$C:$C, $A90, Log!$A:$A, "Daily", Log!$B:$B, "n/a"), 0),
        _xlpm.we_avg, IFERROR(AVERAGEIFS(Log!$F:$F,Log!$C:$C,$A90, Log!$A:$A, "Daily", Log!$B:$B, "n/a"),0),
        _xlpm.ie_avg, IFERROR(AVERAGEIFS(Log!$G:$G,Log!$C:$C,$A90,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1" spans="2:19" x14ac:dyDescent="0.3">
      <c r="B91" s="68" t="str">
        <f>IFERROR(
    _xlfn.LET(
        _xlpm.is_data_present, $A91&lt;&gt;0,
        _xlpm.is_camera_present, COUNTIFS(Log!$C:$C, $A91, Log!$D:$D, B$4, Log!$A:$A, "Daily", Log!$B:$B, "n/a"),
        _xlpm.we_camera_on_date, IFERROR(AVERAGEIFS(Log!$F:$F, Log!$D:$D,B$4, Log!$C:$C, $A91, Log!$A:$A, "Daily", Log!$B:$B, "n/a"), 0),
        _xlpm.ie_camera_on_date, IFERROR(AVERAGEIFS(Log!$G:$G, Log!$D:$D,B$4,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1" s="68" t="str">
        <f>IFERROR(
    _xlfn.LET(
        _xlpm.is_data_present, $A91&lt;&gt;0,
        _xlpm.is_camera_present, COUNTIFS(Log!$C:$C, $A91, Log!$D:$D, C$4, Log!$A:$A, "Daily", Log!$B:$B, "n/a"),
        _xlpm.we_camera_on_date, IFERROR(AVERAGEIFS(Log!$F:$F, Log!$D:$D,C$4, Log!$C:$C, $A91, Log!$A:$A, "Daily", Log!$B:$B, "n/a"), 0),
        _xlpm.ie_camera_on_date, IFERROR(AVERAGEIFS(Log!$G:$G, Log!$D:$D,C$4,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1" s="68" t="str">
        <f>IFERROR(
    _xlfn.LET(
        _xlpm.is_data_present, $A91&lt;&gt;0,
        _xlpm.is_camera_present, COUNTIFS(Log!$C:$C, $A91, Log!$D:$D, D$4, Log!$A:$A, "Daily", Log!$B:$B, "n/a"),
        _xlpm.we_camera_on_date, IFERROR(AVERAGEIFS(Log!$F:$F, Log!$D:$D,D$4, Log!$C:$C, $A91, Log!$A:$A, "Daily", Log!$B:$B, "n/a"), 0),
        _xlpm.ie_camera_on_date, IFERROR(AVERAGEIFS(Log!$G:$G, Log!$D:$D,D$4,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1" s="68" t="str">
        <f>IFERROR(
    _xlfn.LET(
        _xlpm.is_data_present, $A91&lt;&gt;0,
        _xlpm.is_camera_present, COUNTIFS(Log!$C:$C, $A91, Log!$D:$D, E$4, Log!$A:$A, "Daily", Log!$B:$B, "n/a"),
        _xlpm.we_camera_on_date, IFERROR(AVERAGEIFS(Log!$F:$F, Log!$D:$D,E$4, Log!$C:$C, $A91, Log!$A:$A, "Daily", Log!$B:$B, "n/a"), 0),
        _xlpm.ie_camera_on_date, IFERROR(AVERAGEIFS(Log!$G:$G, Log!$D:$D,E$4,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1" s="68" t="str">
        <f>IFERROR(
    _xlfn.LET(
        _xlpm.is_data_present, $A91&lt;&gt;0,
        _xlpm.is_camera_present, COUNTIFS(Log!$C:$C, $A91, Log!$D:$D, F$4, Log!$A:$A, "Daily", Log!$B:$B, "n/a"),
        _xlpm.we_camera_on_date, IFERROR(AVERAGEIFS(Log!$F:$F, Log!$D:$D,F$4, Log!$C:$C, $A91, Log!$A:$A, "Daily", Log!$B:$B, "n/a"), 0),
        _xlpm.ie_camera_on_date, IFERROR(AVERAGEIFS(Log!$G:$G, Log!$D:$D,F$4,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1" s="68" t="str">
        <f>IFERROR(
    _xlfn.LET(
        _xlpm.is_data_present, $A91&lt;&gt;0,
        _xlpm.is_camera_present, COUNTIFS(Log!$C:$C, $A91, Log!$D:$D, G$4, Log!$A:$A, "Daily", Log!$B:$B, "n/a"),
        _xlpm.we_camera_on_date, IFERROR(AVERAGEIFS(Log!$F:$F, Log!$D:$D,G$4, Log!$C:$C, $A91, Log!$A:$A, "Daily", Log!$B:$B, "n/a"), 0),
        _xlpm.ie_camera_on_date, IFERROR(AVERAGEIFS(Log!$G:$G, Log!$D:$D,G$4,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1" s="68" t="str">
        <f>IFERROR(
    _xlfn.LET(
        _xlpm.is_data_present, $A91&lt;&gt;0,
        _xlpm.is_camera_present, COUNTIFS(Log!$C:$C, $A91, Log!$D:$D, H$4, Log!$A:$A, "Daily", Log!$B:$B, "n/a"),
        _xlpm.we_camera_on_date, IFERROR(AVERAGEIFS(Log!$F:$F, Log!$D:$D,H$4, Log!$C:$C, $A91, Log!$A:$A, "Daily", Log!$B:$B, "n/a"), 0),
        _xlpm.ie_camera_on_date, IFERROR(AVERAGEIFS(Log!$G:$G, Log!$D:$D,H$4,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1" s="68" t="str">
        <f>IFERROR(
    _xlfn.LET(
        _xlpm.is_data_present, $A91&lt;&gt;0,
        _xlpm.is_camera_present, COUNTIFS(Log!$C:$C, $A91, Log!$D:$D, I$4, Log!$A:$A, "Daily", Log!$B:$B, "n/a"),
        _xlpm.we_camera_on_date, IFERROR(AVERAGEIFS(Log!$F:$F, Log!$D:$D,I$4, Log!$C:$C, $A91, Log!$A:$A, "Daily", Log!$B:$B, "n/a"), 0),
        _xlpm.ie_camera_on_date, IFERROR(AVERAGEIFS(Log!$G:$G, Log!$D:$D,I$4,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1" s="68" t="str">
        <f>IFERROR(
    _xlfn.LET(
        _xlpm.is_data_present, $A91&lt;&gt;0,
        _xlpm.is_camera_present, COUNTIFS(Log!$C:$C, $A91, Log!$D:$D, J$4, Log!$A:$A, "Daily", Log!$B:$B, "n/a"),
        _xlpm.we_camera_on_date, IFERROR(AVERAGEIFS(Log!$F:$F, Log!$D:$D,J$4, Log!$C:$C, $A91, Log!$A:$A, "Daily", Log!$B:$B, "n/a"), 0),
        _xlpm.ie_camera_on_date, IFERROR(AVERAGEIFS(Log!$G:$G, Log!$D:$D,J$4,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1" s="68" t="str">
        <f>IFERROR(
    _xlfn.LET(
        _xlpm.is_data_present, $A91&lt;&gt;0,
        _xlpm.is_camera_present, COUNTIFS(Log!$C:$C, $A91, Log!$D:$D, K$4, Log!$A:$A, "Daily", Log!$B:$B, "n/a"),
        _xlpm.we_camera_on_date, IFERROR(AVERAGEIFS(Log!$F:$F, Log!$D:$D,K$4, Log!$C:$C, $A91, Log!$A:$A, "Daily", Log!$B:$B, "n/a"), 0),
        _xlpm.ie_camera_on_date, IFERROR(AVERAGEIFS(Log!$G:$G, Log!$D:$D,K$4,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1" s="68" t="str">
        <f>IFERROR(
    _xlfn.LET(
        _xlpm.is_data_present, $A91&lt;&gt;0,
        _xlpm.is_camera_present, COUNTIFS(Log!$C:$C, $A91, Log!$D:$D, L$4, Log!$A:$A, "Daily", Log!$B:$B, "n/a"),
        _xlpm.we_camera_on_date, IFERROR(AVERAGEIFS(Log!$F:$F, Log!$D:$D,L$4, Log!$C:$C, $A91, Log!$A:$A, "Daily", Log!$B:$B, "n/a"), 0),
        _xlpm.ie_camera_on_date, IFERROR(AVERAGEIFS(Log!$G:$G, Log!$D:$D,L$4,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1" s="68" t="str">
        <f>IFERROR(
    _xlfn.LET(
        _xlpm.is_data_present, $A91&lt;&gt;0,
        _xlpm.is_camera_present, COUNTIFS(Log!$C:$C, $A91, Log!$D:$D, M$4, Log!$A:$A, "Daily", Log!$B:$B, "n/a"),
        _xlpm.we_camera_on_date, IFERROR(AVERAGEIFS(Log!$F:$F, Log!$D:$D,M$4, Log!$C:$C, $A91, Log!$A:$A, "Daily", Log!$B:$B, "n/a"), 0),
        _xlpm.ie_camera_on_date, IFERROR(AVERAGEIFS(Log!$G:$G, Log!$D:$D,M$4,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1" s="68" t="str">
        <f>IFERROR(
    _xlfn.LET(
        _xlpm.is_data_present, $A91&lt;&gt;0,
        _xlpm.is_camera_present, COUNTIFS(Log!$C:$C, $A91, Log!$D:$D, N$4, Log!$A:$A, "Daily", Log!$B:$B, "n/a"),
        _xlpm.we_camera_on_date, IFERROR(AVERAGEIFS(Log!$F:$F, Log!$D:$D,N$4, Log!$C:$C, $A91, Log!$A:$A, "Daily", Log!$B:$B, "n/a"), 0),
        _xlpm.ie_camera_on_date, IFERROR(AVERAGEIFS(Log!$G:$G, Log!$D:$D,N$4,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1" s="68" t="str">
        <f>IFERROR(
    _xlfn.LET(
        _xlpm.is_data_present, $A91&lt;&gt;0,
        _xlpm.is_camera_present, COUNTIFS(Log!$C:$C, $A91, Log!$D:$D, O$4, Log!$A:$A, "Daily", Log!$B:$B, "n/a"),
        _xlpm.we_camera_on_date, IFERROR(AVERAGEIFS(Log!$F:$F, Log!$D:$D,O$4, Log!$C:$C, $A91, Log!$A:$A, "Daily", Log!$B:$B, "n/a"), 0),
        _xlpm.ie_camera_on_date, IFERROR(AVERAGEIFS(Log!$G:$G, Log!$D:$D,O$4,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1" s="68" t="str">
        <f>IFERROR(
    _xlfn.LET(
        _xlpm.is_data_present, $A91&lt;&gt;0,
        _xlpm.is_camera_present, COUNTIFS(Log!$C:$C, $A91, Log!$D:$D, P$4, Log!$A:$A, "Daily", Log!$B:$B, "n/a"),
        _xlpm.we_camera_on_date, IFERROR(AVERAGEIFS(Log!$F:$F, Log!$D:$D,P$4, Log!$C:$C, $A91, Log!$A:$A, "Daily", Log!$B:$B, "n/a"), 0),
        _xlpm.ie_camera_on_date, IFERROR(AVERAGEIFS(Log!$G:$G, Log!$D:$D,P$4,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1" s="68" t="str">
        <f>IFERROR(
    _xlfn.LET(
        _xlpm.is_data_present, $A91&lt;&gt;0,
        _xlpm.is_camera_present, COUNTIFS(Log!$C:$C, $A91, Log!$D:$D, Q$4, Log!$A:$A, "Daily", Log!$B:$B, "n/a"),
        _xlpm.we_camera_on_date, IFERROR(AVERAGEIFS(Log!$F:$F, Log!$D:$D,Q$4, Log!$C:$C, $A91, Log!$A:$A, "Daily", Log!$B:$B, "n/a"), 0),
        _xlpm.ie_camera_on_date, IFERROR(AVERAGEIFS(Log!$G:$G, Log!$D:$D,Q$4,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1" s="68" t="str">
        <f>IFERROR(
    _xlfn.LET(
        _xlpm.is_data_present, $A91&lt;&gt;0,
        _xlpm.is_camera_present, COUNTIFS(Log!$C:$C, $A91, Log!$D:$D, R$4, Log!$A:$A, "Daily", Log!$B:$B, "n/a"),
        _xlpm.we_camera_on_date, IFERROR(AVERAGEIFS(Log!$F:$F, Log!$D:$D,R$4, Log!$C:$C, $A91, Log!$A:$A, "Daily", Log!$B:$B, "n/a"), 0),
        _xlpm.ie_camera_on_date, IFERROR(AVERAGEIFS(Log!$G:$G, Log!$D:$D,R$4,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1" s="68" t="str">
        <f>IFERROR(
    _xlfn.LET(
        _xlpm.is_data_present, $A91&lt;&gt;0,
        _xlpm.is_camera_present, COUNTIFS(Log!$C:$C, $A91, Log!$D:$D, S$4, Log!$A:$A, "Daily", Log!$B:$B, "n/a"),
        _xlpm.we_camera_on_date, IFERROR(AVERAGEIFS(Log!$F:$F, Log!$D:$D,S$4, Log!$C:$C, $A91, Log!$A:$A, "Daily", Log!$B:$B, "n/a"), 0),
        _xlpm.ie_camera_on_date, IFERROR(AVERAGEIFS(Log!$G:$G, Log!$D:$D,S$4, Log!$C:$C, $A91, Log!$A:$A, "Daily", Log!$B:$B, "n/a"), 0),
        _xlpm.we_avg, IFERROR(AVERAGEIFS(Log!$F:$F,Log!$C:$C,$A91, Log!$A:$A, "Daily", Log!$B:$B, "n/a"),0),
        _xlpm.ie_avg, IFERROR(AVERAGEIFS(Log!$G:$G,Log!$C:$C,$A91,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2" spans="2:19" x14ac:dyDescent="0.3">
      <c r="B92" s="68" t="str">
        <f>IFERROR(
    _xlfn.LET(
        _xlpm.is_data_present, $A92&lt;&gt;0,
        _xlpm.is_camera_present, COUNTIFS(Log!$C:$C, $A92, Log!$D:$D, B$4, Log!$A:$A, "Daily", Log!$B:$B, "n/a"),
        _xlpm.we_camera_on_date, IFERROR(AVERAGEIFS(Log!$F:$F, Log!$D:$D,B$4, Log!$C:$C, $A92, Log!$A:$A, "Daily", Log!$B:$B, "n/a"), 0),
        _xlpm.ie_camera_on_date, IFERROR(AVERAGEIFS(Log!$G:$G, Log!$D:$D,B$4,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2" s="68" t="str">
        <f>IFERROR(
    _xlfn.LET(
        _xlpm.is_data_present, $A92&lt;&gt;0,
        _xlpm.is_camera_present, COUNTIFS(Log!$C:$C, $A92, Log!$D:$D, C$4, Log!$A:$A, "Daily", Log!$B:$B, "n/a"),
        _xlpm.we_camera_on_date, IFERROR(AVERAGEIFS(Log!$F:$F, Log!$D:$D,C$4, Log!$C:$C, $A92, Log!$A:$A, "Daily", Log!$B:$B, "n/a"), 0),
        _xlpm.ie_camera_on_date, IFERROR(AVERAGEIFS(Log!$G:$G, Log!$D:$D,C$4,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2" s="68" t="str">
        <f>IFERROR(
    _xlfn.LET(
        _xlpm.is_data_present, $A92&lt;&gt;0,
        _xlpm.is_camera_present, COUNTIFS(Log!$C:$C, $A92, Log!$D:$D, D$4, Log!$A:$A, "Daily", Log!$B:$B, "n/a"),
        _xlpm.we_camera_on_date, IFERROR(AVERAGEIFS(Log!$F:$F, Log!$D:$D,D$4, Log!$C:$C, $A92, Log!$A:$A, "Daily", Log!$B:$B, "n/a"), 0),
        _xlpm.ie_camera_on_date, IFERROR(AVERAGEIFS(Log!$G:$G, Log!$D:$D,D$4,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2" s="68" t="str">
        <f>IFERROR(
    _xlfn.LET(
        _xlpm.is_data_present, $A92&lt;&gt;0,
        _xlpm.is_camera_present, COUNTIFS(Log!$C:$C, $A92, Log!$D:$D, E$4, Log!$A:$A, "Daily", Log!$B:$B, "n/a"),
        _xlpm.we_camera_on_date, IFERROR(AVERAGEIFS(Log!$F:$F, Log!$D:$D,E$4, Log!$C:$C, $A92, Log!$A:$A, "Daily", Log!$B:$B, "n/a"), 0),
        _xlpm.ie_camera_on_date, IFERROR(AVERAGEIFS(Log!$G:$G, Log!$D:$D,E$4,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2" s="68" t="str">
        <f>IFERROR(
    _xlfn.LET(
        _xlpm.is_data_present, $A92&lt;&gt;0,
        _xlpm.is_camera_present, COUNTIFS(Log!$C:$C, $A92, Log!$D:$D, F$4, Log!$A:$A, "Daily", Log!$B:$B, "n/a"),
        _xlpm.we_camera_on_date, IFERROR(AVERAGEIFS(Log!$F:$F, Log!$D:$D,F$4, Log!$C:$C, $A92, Log!$A:$A, "Daily", Log!$B:$B, "n/a"), 0),
        _xlpm.ie_camera_on_date, IFERROR(AVERAGEIFS(Log!$G:$G, Log!$D:$D,F$4,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2" s="68" t="str">
        <f>IFERROR(
    _xlfn.LET(
        _xlpm.is_data_present, $A92&lt;&gt;0,
        _xlpm.is_camera_present, COUNTIFS(Log!$C:$C, $A92, Log!$D:$D, G$4, Log!$A:$A, "Daily", Log!$B:$B, "n/a"),
        _xlpm.we_camera_on_date, IFERROR(AVERAGEIFS(Log!$F:$F, Log!$D:$D,G$4, Log!$C:$C, $A92, Log!$A:$A, "Daily", Log!$B:$B, "n/a"), 0),
        _xlpm.ie_camera_on_date, IFERROR(AVERAGEIFS(Log!$G:$G, Log!$D:$D,G$4,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2" s="68" t="str">
        <f>IFERROR(
    _xlfn.LET(
        _xlpm.is_data_present, $A92&lt;&gt;0,
        _xlpm.is_camera_present, COUNTIFS(Log!$C:$C, $A92, Log!$D:$D, H$4, Log!$A:$A, "Daily", Log!$B:$B, "n/a"),
        _xlpm.we_camera_on_date, IFERROR(AVERAGEIFS(Log!$F:$F, Log!$D:$D,H$4, Log!$C:$C, $A92, Log!$A:$A, "Daily", Log!$B:$B, "n/a"), 0),
        _xlpm.ie_camera_on_date, IFERROR(AVERAGEIFS(Log!$G:$G, Log!$D:$D,H$4,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2" s="68" t="str">
        <f>IFERROR(
    _xlfn.LET(
        _xlpm.is_data_present, $A92&lt;&gt;0,
        _xlpm.is_camera_present, COUNTIFS(Log!$C:$C, $A92, Log!$D:$D, I$4, Log!$A:$A, "Daily", Log!$B:$B, "n/a"),
        _xlpm.we_camera_on_date, IFERROR(AVERAGEIFS(Log!$F:$F, Log!$D:$D,I$4, Log!$C:$C, $A92, Log!$A:$A, "Daily", Log!$B:$B, "n/a"), 0),
        _xlpm.ie_camera_on_date, IFERROR(AVERAGEIFS(Log!$G:$G, Log!$D:$D,I$4,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2" s="68" t="str">
        <f>IFERROR(
    _xlfn.LET(
        _xlpm.is_data_present, $A92&lt;&gt;0,
        _xlpm.is_camera_present, COUNTIFS(Log!$C:$C, $A92, Log!$D:$D, J$4, Log!$A:$A, "Daily", Log!$B:$B, "n/a"),
        _xlpm.we_camera_on_date, IFERROR(AVERAGEIFS(Log!$F:$F, Log!$D:$D,J$4, Log!$C:$C, $A92, Log!$A:$A, "Daily", Log!$B:$B, "n/a"), 0),
        _xlpm.ie_camera_on_date, IFERROR(AVERAGEIFS(Log!$G:$G, Log!$D:$D,J$4,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2" s="68" t="str">
        <f>IFERROR(
    _xlfn.LET(
        _xlpm.is_data_present, $A92&lt;&gt;0,
        _xlpm.is_camera_present, COUNTIFS(Log!$C:$C, $A92, Log!$D:$D, K$4, Log!$A:$A, "Daily", Log!$B:$B, "n/a"),
        _xlpm.we_camera_on_date, IFERROR(AVERAGEIFS(Log!$F:$F, Log!$D:$D,K$4, Log!$C:$C, $A92, Log!$A:$A, "Daily", Log!$B:$B, "n/a"), 0),
        _xlpm.ie_camera_on_date, IFERROR(AVERAGEIFS(Log!$G:$G, Log!$D:$D,K$4,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2" s="68" t="str">
        <f>IFERROR(
    _xlfn.LET(
        _xlpm.is_data_present, $A92&lt;&gt;0,
        _xlpm.is_camera_present, COUNTIFS(Log!$C:$C, $A92, Log!$D:$D, L$4, Log!$A:$A, "Daily", Log!$B:$B, "n/a"),
        _xlpm.we_camera_on_date, IFERROR(AVERAGEIFS(Log!$F:$F, Log!$D:$D,L$4, Log!$C:$C, $A92, Log!$A:$A, "Daily", Log!$B:$B, "n/a"), 0),
        _xlpm.ie_camera_on_date, IFERROR(AVERAGEIFS(Log!$G:$G, Log!$D:$D,L$4,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2" s="68" t="str">
        <f>IFERROR(
    _xlfn.LET(
        _xlpm.is_data_present, $A92&lt;&gt;0,
        _xlpm.is_camera_present, COUNTIFS(Log!$C:$C, $A92, Log!$D:$D, M$4, Log!$A:$A, "Daily", Log!$B:$B, "n/a"),
        _xlpm.we_camera_on_date, IFERROR(AVERAGEIFS(Log!$F:$F, Log!$D:$D,M$4, Log!$C:$C, $A92, Log!$A:$A, "Daily", Log!$B:$B, "n/a"), 0),
        _xlpm.ie_camera_on_date, IFERROR(AVERAGEIFS(Log!$G:$G, Log!$D:$D,M$4,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2" s="68" t="str">
        <f>IFERROR(
    _xlfn.LET(
        _xlpm.is_data_present, $A92&lt;&gt;0,
        _xlpm.is_camera_present, COUNTIFS(Log!$C:$C, $A92, Log!$D:$D, N$4, Log!$A:$A, "Daily", Log!$B:$B, "n/a"),
        _xlpm.we_camera_on_date, IFERROR(AVERAGEIFS(Log!$F:$F, Log!$D:$D,N$4, Log!$C:$C, $A92, Log!$A:$A, "Daily", Log!$B:$B, "n/a"), 0),
        _xlpm.ie_camera_on_date, IFERROR(AVERAGEIFS(Log!$G:$G, Log!$D:$D,N$4,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2" s="68" t="str">
        <f>IFERROR(
    _xlfn.LET(
        _xlpm.is_data_present, $A92&lt;&gt;0,
        _xlpm.is_camera_present, COUNTIFS(Log!$C:$C, $A92, Log!$D:$D, O$4, Log!$A:$A, "Daily", Log!$B:$B, "n/a"),
        _xlpm.we_camera_on_date, IFERROR(AVERAGEIFS(Log!$F:$F, Log!$D:$D,O$4, Log!$C:$C, $A92, Log!$A:$A, "Daily", Log!$B:$B, "n/a"), 0),
        _xlpm.ie_camera_on_date, IFERROR(AVERAGEIFS(Log!$G:$G, Log!$D:$D,O$4,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2" s="68" t="str">
        <f>IFERROR(
    _xlfn.LET(
        _xlpm.is_data_present, $A92&lt;&gt;0,
        _xlpm.is_camera_present, COUNTIFS(Log!$C:$C, $A92, Log!$D:$D, P$4, Log!$A:$A, "Daily", Log!$B:$B, "n/a"),
        _xlpm.we_camera_on_date, IFERROR(AVERAGEIFS(Log!$F:$F, Log!$D:$D,P$4, Log!$C:$C, $A92, Log!$A:$A, "Daily", Log!$B:$B, "n/a"), 0),
        _xlpm.ie_camera_on_date, IFERROR(AVERAGEIFS(Log!$G:$G, Log!$D:$D,P$4,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2" s="68" t="str">
        <f>IFERROR(
    _xlfn.LET(
        _xlpm.is_data_present, $A92&lt;&gt;0,
        _xlpm.is_camera_present, COUNTIFS(Log!$C:$C, $A92, Log!$D:$D, Q$4, Log!$A:$A, "Daily", Log!$B:$B, "n/a"),
        _xlpm.we_camera_on_date, IFERROR(AVERAGEIFS(Log!$F:$F, Log!$D:$D,Q$4, Log!$C:$C, $A92, Log!$A:$A, "Daily", Log!$B:$B, "n/a"), 0),
        _xlpm.ie_camera_on_date, IFERROR(AVERAGEIFS(Log!$G:$G, Log!$D:$D,Q$4,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2" s="68" t="str">
        <f>IFERROR(
    _xlfn.LET(
        _xlpm.is_data_present, $A92&lt;&gt;0,
        _xlpm.is_camera_present, COUNTIFS(Log!$C:$C, $A92, Log!$D:$D, R$4, Log!$A:$A, "Daily", Log!$B:$B, "n/a"),
        _xlpm.we_camera_on_date, IFERROR(AVERAGEIFS(Log!$F:$F, Log!$D:$D,R$4, Log!$C:$C, $A92, Log!$A:$A, "Daily", Log!$B:$B, "n/a"), 0),
        _xlpm.ie_camera_on_date, IFERROR(AVERAGEIFS(Log!$G:$G, Log!$D:$D,R$4,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2" s="68" t="str">
        <f>IFERROR(
    _xlfn.LET(
        _xlpm.is_data_present, $A92&lt;&gt;0,
        _xlpm.is_camera_present, COUNTIFS(Log!$C:$C, $A92, Log!$D:$D, S$4, Log!$A:$A, "Daily", Log!$B:$B, "n/a"),
        _xlpm.we_camera_on_date, IFERROR(AVERAGEIFS(Log!$F:$F, Log!$D:$D,S$4, Log!$C:$C, $A92, Log!$A:$A, "Daily", Log!$B:$B, "n/a"), 0),
        _xlpm.ie_camera_on_date, IFERROR(AVERAGEIFS(Log!$G:$G, Log!$D:$D,S$4, Log!$C:$C, $A92, Log!$A:$A, "Daily", Log!$B:$B, "n/a"), 0),
        _xlpm.we_avg, IFERROR(AVERAGEIFS(Log!$F:$F,Log!$C:$C,$A92, Log!$A:$A, "Daily", Log!$B:$B, "n/a"),0),
        _xlpm.ie_avg, IFERROR(AVERAGEIFS(Log!$G:$G,Log!$C:$C,$A92,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3" spans="2:19" x14ac:dyDescent="0.3">
      <c r="B93" s="68" t="str">
        <f>IFERROR(
    _xlfn.LET(
        _xlpm.is_data_present, $A93&lt;&gt;0,
        _xlpm.is_camera_present, COUNTIFS(Log!$C:$C, $A93, Log!$D:$D, B$4, Log!$A:$A, "Daily", Log!$B:$B, "n/a"),
        _xlpm.we_camera_on_date, IFERROR(AVERAGEIFS(Log!$F:$F, Log!$D:$D,B$4, Log!$C:$C, $A93, Log!$A:$A, "Daily", Log!$B:$B, "n/a"), 0),
        _xlpm.ie_camera_on_date, IFERROR(AVERAGEIFS(Log!$G:$G, Log!$D:$D,B$4,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3" s="68" t="str">
        <f>IFERROR(
    _xlfn.LET(
        _xlpm.is_data_present, $A93&lt;&gt;0,
        _xlpm.is_camera_present, COUNTIFS(Log!$C:$C, $A93, Log!$D:$D, C$4, Log!$A:$A, "Daily", Log!$B:$B, "n/a"),
        _xlpm.we_camera_on_date, IFERROR(AVERAGEIFS(Log!$F:$F, Log!$D:$D,C$4, Log!$C:$C, $A93, Log!$A:$A, "Daily", Log!$B:$B, "n/a"), 0),
        _xlpm.ie_camera_on_date, IFERROR(AVERAGEIFS(Log!$G:$G, Log!$D:$D,C$4,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3" s="68" t="str">
        <f>IFERROR(
    _xlfn.LET(
        _xlpm.is_data_present, $A93&lt;&gt;0,
        _xlpm.is_camera_present, COUNTIFS(Log!$C:$C, $A93, Log!$D:$D, D$4, Log!$A:$A, "Daily", Log!$B:$B, "n/a"),
        _xlpm.we_camera_on_date, IFERROR(AVERAGEIFS(Log!$F:$F, Log!$D:$D,D$4, Log!$C:$C, $A93, Log!$A:$A, "Daily", Log!$B:$B, "n/a"), 0),
        _xlpm.ie_camera_on_date, IFERROR(AVERAGEIFS(Log!$G:$G, Log!$D:$D,D$4,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3" s="68" t="str">
        <f>IFERROR(
    _xlfn.LET(
        _xlpm.is_data_present, $A93&lt;&gt;0,
        _xlpm.is_camera_present, COUNTIFS(Log!$C:$C, $A93, Log!$D:$D, E$4, Log!$A:$A, "Daily", Log!$B:$B, "n/a"),
        _xlpm.we_camera_on_date, IFERROR(AVERAGEIFS(Log!$F:$F, Log!$D:$D,E$4, Log!$C:$C, $A93, Log!$A:$A, "Daily", Log!$B:$B, "n/a"), 0),
        _xlpm.ie_camera_on_date, IFERROR(AVERAGEIFS(Log!$G:$G, Log!$D:$D,E$4,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3" s="68" t="str">
        <f>IFERROR(
    _xlfn.LET(
        _xlpm.is_data_present, $A93&lt;&gt;0,
        _xlpm.is_camera_present, COUNTIFS(Log!$C:$C, $A93, Log!$D:$D, F$4, Log!$A:$A, "Daily", Log!$B:$B, "n/a"),
        _xlpm.we_camera_on_date, IFERROR(AVERAGEIFS(Log!$F:$F, Log!$D:$D,F$4, Log!$C:$C, $A93, Log!$A:$A, "Daily", Log!$B:$B, "n/a"), 0),
        _xlpm.ie_camera_on_date, IFERROR(AVERAGEIFS(Log!$G:$G, Log!$D:$D,F$4,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3" s="68" t="str">
        <f>IFERROR(
    _xlfn.LET(
        _xlpm.is_data_present, $A93&lt;&gt;0,
        _xlpm.is_camera_present, COUNTIFS(Log!$C:$C, $A93, Log!$D:$D, G$4, Log!$A:$A, "Daily", Log!$B:$B, "n/a"),
        _xlpm.we_camera_on_date, IFERROR(AVERAGEIFS(Log!$F:$F, Log!$D:$D,G$4, Log!$C:$C, $A93, Log!$A:$A, "Daily", Log!$B:$B, "n/a"), 0),
        _xlpm.ie_camera_on_date, IFERROR(AVERAGEIFS(Log!$G:$G, Log!$D:$D,G$4,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3" s="68" t="str">
        <f>IFERROR(
    _xlfn.LET(
        _xlpm.is_data_present, $A93&lt;&gt;0,
        _xlpm.is_camera_present, COUNTIFS(Log!$C:$C, $A93, Log!$D:$D, H$4, Log!$A:$A, "Daily", Log!$B:$B, "n/a"),
        _xlpm.we_camera_on_date, IFERROR(AVERAGEIFS(Log!$F:$F, Log!$D:$D,H$4, Log!$C:$C, $A93, Log!$A:$A, "Daily", Log!$B:$B, "n/a"), 0),
        _xlpm.ie_camera_on_date, IFERROR(AVERAGEIFS(Log!$G:$G, Log!$D:$D,H$4,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3" s="68" t="str">
        <f>IFERROR(
    _xlfn.LET(
        _xlpm.is_data_present, $A93&lt;&gt;0,
        _xlpm.is_camera_present, COUNTIFS(Log!$C:$C, $A93, Log!$D:$D, I$4, Log!$A:$A, "Daily", Log!$B:$B, "n/a"),
        _xlpm.we_camera_on_date, IFERROR(AVERAGEIFS(Log!$F:$F, Log!$D:$D,I$4, Log!$C:$C, $A93, Log!$A:$A, "Daily", Log!$B:$B, "n/a"), 0),
        _xlpm.ie_camera_on_date, IFERROR(AVERAGEIFS(Log!$G:$G, Log!$D:$D,I$4,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3" s="68" t="str">
        <f>IFERROR(
    _xlfn.LET(
        _xlpm.is_data_present, $A93&lt;&gt;0,
        _xlpm.is_camera_present, COUNTIFS(Log!$C:$C, $A93, Log!$D:$D, J$4, Log!$A:$A, "Daily", Log!$B:$B, "n/a"),
        _xlpm.we_camera_on_date, IFERROR(AVERAGEIFS(Log!$F:$F, Log!$D:$D,J$4, Log!$C:$C, $A93, Log!$A:$A, "Daily", Log!$B:$B, "n/a"), 0),
        _xlpm.ie_camera_on_date, IFERROR(AVERAGEIFS(Log!$G:$G, Log!$D:$D,J$4,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3" s="68" t="str">
        <f>IFERROR(
    _xlfn.LET(
        _xlpm.is_data_present, $A93&lt;&gt;0,
        _xlpm.is_camera_present, COUNTIFS(Log!$C:$C, $A93, Log!$D:$D, K$4, Log!$A:$A, "Daily", Log!$B:$B, "n/a"),
        _xlpm.we_camera_on_date, IFERROR(AVERAGEIFS(Log!$F:$F, Log!$D:$D,K$4, Log!$C:$C, $A93, Log!$A:$A, "Daily", Log!$B:$B, "n/a"), 0),
        _xlpm.ie_camera_on_date, IFERROR(AVERAGEIFS(Log!$G:$G, Log!$D:$D,K$4,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3" s="68" t="str">
        <f>IFERROR(
    _xlfn.LET(
        _xlpm.is_data_present, $A93&lt;&gt;0,
        _xlpm.is_camera_present, COUNTIFS(Log!$C:$C, $A93, Log!$D:$D, L$4, Log!$A:$A, "Daily", Log!$B:$B, "n/a"),
        _xlpm.we_camera_on_date, IFERROR(AVERAGEIFS(Log!$F:$F, Log!$D:$D,L$4, Log!$C:$C, $A93, Log!$A:$A, "Daily", Log!$B:$B, "n/a"), 0),
        _xlpm.ie_camera_on_date, IFERROR(AVERAGEIFS(Log!$G:$G, Log!$D:$D,L$4,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3" s="68" t="str">
        <f>IFERROR(
    _xlfn.LET(
        _xlpm.is_data_present, $A93&lt;&gt;0,
        _xlpm.is_camera_present, COUNTIFS(Log!$C:$C, $A93, Log!$D:$D, M$4, Log!$A:$A, "Daily", Log!$B:$B, "n/a"),
        _xlpm.we_camera_on_date, IFERROR(AVERAGEIFS(Log!$F:$F, Log!$D:$D,M$4, Log!$C:$C, $A93, Log!$A:$A, "Daily", Log!$B:$B, "n/a"), 0),
        _xlpm.ie_camera_on_date, IFERROR(AVERAGEIFS(Log!$G:$G, Log!$D:$D,M$4,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3" s="68" t="str">
        <f>IFERROR(
    _xlfn.LET(
        _xlpm.is_data_present, $A93&lt;&gt;0,
        _xlpm.is_camera_present, COUNTIFS(Log!$C:$C, $A93, Log!$D:$D, N$4, Log!$A:$A, "Daily", Log!$B:$B, "n/a"),
        _xlpm.we_camera_on_date, IFERROR(AVERAGEIFS(Log!$F:$F, Log!$D:$D,N$4, Log!$C:$C, $A93, Log!$A:$A, "Daily", Log!$B:$B, "n/a"), 0),
        _xlpm.ie_camera_on_date, IFERROR(AVERAGEIFS(Log!$G:$G, Log!$D:$D,N$4,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3" s="68" t="str">
        <f>IFERROR(
    _xlfn.LET(
        _xlpm.is_data_present, $A93&lt;&gt;0,
        _xlpm.is_camera_present, COUNTIFS(Log!$C:$C, $A93, Log!$D:$D, O$4, Log!$A:$A, "Daily", Log!$B:$B, "n/a"),
        _xlpm.we_camera_on_date, IFERROR(AVERAGEIFS(Log!$F:$F, Log!$D:$D,O$4, Log!$C:$C, $A93, Log!$A:$A, "Daily", Log!$B:$B, "n/a"), 0),
        _xlpm.ie_camera_on_date, IFERROR(AVERAGEIFS(Log!$G:$G, Log!$D:$D,O$4,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3" s="68" t="str">
        <f>IFERROR(
    _xlfn.LET(
        _xlpm.is_data_present, $A93&lt;&gt;0,
        _xlpm.is_camera_present, COUNTIFS(Log!$C:$C, $A93, Log!$D:$D, P$4, Log!$A:$A, "Daily", Log!$B:$B, "n/a"),
        _xlpm.we_camera_on_date, IFERROR(AVERAGEIFS(Log!$F:$F, Log!$D:$D,P$4, Log!$C:$C, $A93, Log!$A:$A, "Daily", Log!$B:$B, "n/a"), 0),
        _xlpm.ie_camera_on_date, IFERROR(AVERAGEIFS(Log!$G:$G, Log!$D:$D,P$4,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3" s="68" t="str">
        <f>IFERROR(
    _xlfn.LET(
        _xlpm.is_data_present, $A93&lt;&gt;0,
        _xlpm.is_camera_present, COUNTIFS(Log!$C:$C, $A93, Log!$D:$D, Q$4, Log!$A:$A, "Daily", Log!$B:$B, "n/a"),
        _xlpm.we_camera_on_date, IFERROR(AVERAGEIFS(Log!$F:$F, Log!$D:$D,Q$4, Log!$C:$C, $A93, Log!$A:$A, "Daily", Log!$B:$B, "n/a"), 0),
        _xlpm.ie_camera_on_date, IFERROR(AVERAGEIFS(Log!$G:$G, Log!$D:$D,Q$4,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3" s="68" t="str">
        <f>IFERROR(
    _xlfn.LET(
        _xlpm.is_data_present, $A93&lt;&gt;0,
        _xlpm.is_camera_present, COUNTIFS(Log!$C:$C, $A93, Log!$D:$D, R$4, Log!$A:$A, "Daily", Log!$B:$B, "n/a"),
        _xlpm.we_camera_on_date, IFERROR(AVERAGEIFS(Log!$F:$F, Log!$D:$D,R$4, Log!$C:$C, $A93, Log!$A:$A, "Daily", Log!$B:$B, "n/a"), 0),
        _xlpm.ie_camera_on_date, IFERROR(AVERAGEIFS(Log!$G:$G, Log!$D:$D,R$4,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3" s="68" t="str">
        <f>IFERROR(
    _xlfn.LET(
        _xlpm.is_data_present, $A93&lt;&gt;0,
        _xlpm.is_camera_present, COUNTIFS(Log!$C:$C, $A93, Log!$D:$D, S$4, Log!$A:$A, "Daily", Log!$B:$B, "n/a"),
        _xlpm.we_camera_on_date, IFERROR(AVERAGEIFS(Log!$F:$F, Log!$D:$D,S$4, Log!$C:$C, $A93, Log!$A:$A, "Daily", Log!$B:$B, "n/a"), 0),
        _xlpm.ie_camera_on_date, IFERROR(AVERAGEIFS(Log!$G:$G, Log!$D:$D,S$4, Log!$C:$C, $A93, Log!$A:$A, "Daily", Log!$B:$B, "n/a"), 0),
        _xlpm.we_avg, IFERROR(AVERAGEIFS(Log!$F:$F,Log!$C:$C,$A93, Log!$A:$A, "Daily", Log!$B:$B, "n/a"),0),
        _xlpm.ie_avg, IFERROR(AVERAGEIFS(Log!$G:$G,Log!$C:$C,$A93,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4" spans="2:19" x14ac:dyDescent="0.3">
      <c r="B94" s="68" t="str">
        <f>IFERROR(
    _xlfn.LET(
        _xlpm.is_data_present, $A94&lt;&gt;0,
        _xlpm.is_camera_present, COUNTIFS(Log!$C:$C, $A94, Log!$D:$D, B$4, Log!$A:$A, "Daily", Log!$B:$B, "n/a"),
        _xlpm.we_camera_on_date, IFERROR(AVERAGEIFS(Log!$F:$F, Log!$D:$D,B$4, Log!$C:$C, $A94, Log!$A:$A, "Daily", Log!$B:$B, "n/a"), 0),
        _xlpm.ie_camera_on_date, IFERROR(AVERAGEIFS(Log!$G:$G, Log!$D:$D,B$4,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4" s="68" t="str">
        <f>IFERROR(
    _xlfn.LET(
        _xlpm.is_data_present, $A94&lt;&gt;0,
        _xlpm.is_camera_present, COUNTIFS(Log!$C:$C, $A94, Log!$D:$D, C$4, Log!$A:$A, "Daily", Log!$B:$B, "n/a"),
        _xlpm.we_camera_on_date, IFERROR(AVERAGEIFS(Log!$F:$F, Log!$D:$D,C$4, Log!$C:$C, $A94, Log!$A:$A, "Daily", Log!$B:$B, "n/a"), 0),
        _xlpm.ie_camera_on_date, IFERROR(AVERAGEIFS(Log!$G:$G, Log!$D:$D,C$4,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4" s="68" t="str">
        <f>IFERROR(
    _xlfn.LET(
        _xlpm.is_data_present, $A94&lt;&gt;0,
        _xlpm.is_camera_present, COUNTIFS(Log!$C:$C, $A94, Log!$D:$D, D$4, Log!$A:$A, "Daily", Log!$B:$B, "n/a"),
        _xlpm.we_camera_on_date, IFERROR(AVERAGEIFS(Log!$F:$F, Log!$D:$D,D$4, Log!$C:$C, $A94, Log!$A:$A, "Daily", Log!$B:$B, "n/a"), 0),
        _xlpm.ie_camera_on_date, IFERROR(AVERAGEIFS(Log!$G:$G, Log!$D:$D,D$4,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4" s="68" t="str">
        <f>IFERROR(
    _xlfn.LET(
        _xlpm.is_data_present, $A94&lt;&gt;0,
        _xlpm.is_camera_present, COUNTIFS(Log!$C:$C, $A94, Log!$D:$D, E$4, Log!$A:$A, "Daily", Log!$B:$B, "n/a"),
        _xlpm.we_camera_on_date, IFERROR(AVERAGEIFS(Log!$F:$F, Log!$D:$D,E$4, Log!$C:$C, $A94, Log!$A:$A, "Daily", Log!$B:$B, "n/a"), 0),
        _xlpm.ie_camera_on_date, IFERROR(AVERAGEIFS(Log!$G:$G, Log!$D:$D,E$4,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4" s="68" t="str">
        <f>IFERROR(
    _xlfn.LET(
        _xlpm.is_data_present, $A94&lt;&gt;0,
        _xlpm.is_camera_present, COUNTIFS(Log!$C:$C, $A94, Log!$D:$D, F$4, Log!$A:$A, "Daily", Log!$B:$B, "n/a"),
        _xlpm.we_camera_on_date, IFERROR(AVERAGEIFS(Log!$F:$F, Log!$D:$D,F$4, Log!$C:$C, $A94, Log!$A:$A, "Daily", Log!$B:$B, "n/a"), 0),
        _xlpm.ie_camera_on_date, IFERROR(AVERAGEIFS(Log!$G:$G, Log!$D:$D,F$4,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4" s="68" t="str">
        <f>IFERROR(
    _xlfn.LET(
        _xlpm.is_data_present, $A94&lt;&gt;0,
        _xlpm.is_camera_present, COUNTIFS(Log!$C:$C, $A94, Log!$D:$D, G$4, Log!$A:$A, "Daily", Log!$B:$B, "n/a"),
        _xlpm.we_camera_on_date, IFERROR(AVERAGEIFS(Log!$F:$F, Log!$D:$D,G$4, Log!$C:$C, $A94, Log!$A:$A, "Daily", Log!$B:$B, "n/a"), 0),
        _xlpm.ie_camera_on_date, IFERROR(AVERAGEIFS(Log!$G:$G, Log!$D:$D,G$4,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4" s="68" t="str">
        <f>IFERROR(
    _xlfn.LET(
        _xlpm.is_data_present, $A94&lt;&gt;0,
        _xlpm.is_camera_present, COUNTIFS(Log!$C:$C, $A94, Log!$D:$D, H$4, Log!$A:$A, "Daily", Log!$B:$B, "n/a"),
        _xlpm.we_camera_on_date, IFERROR(AVERAGEIFS(Log!$F:$F, Log!$D:$D,H$4, Log!$C:$C, $A94, Log!$A:$A, "Daily", Log!$B:$B, "n/a"), 0),
        _xlpm.ie_camera_on_date, IFERROR(AVERAGEIFS(Log!$G:$G, Log!$D:$D,H$4,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4" s="68" t="str">
        <f>IFERROR(
    _xlfn.LET(
        _xlpm.is_data_present, $A94&lt;&gt;0,
        _xlpm.is_camera_present, COUNTIFS(Log!$C:$C, $A94, Log!$D:$D, I$4, Log!$A:$A, "Daily", Log!$B:$B, "n/a"),
        _xlpm.we_camera_on_date, IFERROR(AVERAGEIFS(Log!$F:$F, Log!$D:$D,I$4, Log!$C:$C, $A94, Log!$A:$A, "Daily", Log!$B:$B, "n/a"), 0),
        _xlpm.ie_camera_on_date, IFERROR(AVERAGEIFS(Log!$G:$G, Log!$D:$D,I$4,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4" s="68" t="str">
        <f>IFERROR(
    _xlfn.LET(
        _xlpm.is_data_present, $A94&lt;&gt;0,
        _xlpm.is_camera_present, COUNTIFS(Log!$C:$C, $A94, Log!$D:$D, J$4, Log!$A:$A, "Daily", Log!$B:$B, "n/a"),
        _xlpm.we_camera_on_date, IFERROR(AVERAGEIFS(Log!$F:$F, Log!$D:$D,J$4, Log!$C:$C, $A94, Log!$A:$A, "Daily", Log!$B:$B, "n/a"), 0),
        _xlpm.ie_camera_on_date, IFERROR(AVERAGEIFS(Log!$G:$G, Log!$D:$D,J$4,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4" s="68" t="str">
        <f>IFERROR(
    _xlfn.LET(
        _xlpm.is_data_present, $A94&lt;&gt;0,
        _xlpm.is_camera_present, COUNTIFS(Log!$C:$C, $A94, Log!$D:$D, K$4, Log!$A:$A, "Daily", Log!$B:$B, "n/a"),
        _xlpm.we_camera_on_date, IFERROR(AVERAGEIFS(Log!$F:$F, Log!$D:$D,K$4, Log!$C:$C, $A94, Log!$A:$A, "Daily", Log!$B:$B, "n/a"), 0),
        _xlpm.ie_camera_on_date, IFERROR(AVERAGEIFS(Log!$G:$G, Log!$D:$D,K$4,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4" s="68" t="str">
        <f>IFERROR(
    _xlfn.LET(
        _xlpm.is_data_present, $A94&lt;&gt;0,
        _xlpm.is_camera_present, COUNTIFS(Log!$C:$C, $A94, Log!$D:$D, L$4, Log!$A:$A, "Daily", Log!$B:$B, "n/a"),
        _xlpm.we_camera_on_date, IFERROR(AVERAGEIFS(Log!$F:$F, Log!$D:$D,L$4, Log!$C:$C, $A94, Log!$A:$A, "Daily", Log!$B:$B, "n/a"), 0),
        _xlpm.ie_camera_on_date, IFERROR(AVERAGEIFS(Log!$G:$G, Log!$D:$D,L$4,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4" s="68" t="str">
        <f>IFERROR(
    _xlfn.LET(
        _xlpm.is_data_present, $A94&lt;&gt;0,
        _xlpm.is_camera_present, COUNTIFS(Log!$C:$C, $A94, Log!$D:$D, M$4, Log!$A:$A, "Daily", Log!$B:$B, "n/a"),
        _xlpm.we_camera_on_date, IFERROR(AVERAGEIFS(Log!$F:$F, Log!$D:$D,M$4, Log!$C:$C, $A94, Log!$A:$A, "Daily", Log!$B:$B, "n/a"), 0),
        _xlpm.ie_camera_on_date, IFERROR(AVERAGEIFS(Log!$G:$G, Log!$D:$D,M$4,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4" s="68" t="str">
        <f>IFERROR(
    _xlfn.LET(
        _xlpm.is_data_present, $A94&lt;&gt;0,
        _xlpm.is_camera_present, COUNTIFS(Log!$C:$C, $A94, Log!$D:$D, N$4, Log!$A:$A, "Daily", Log!$B:$B, "n/a"),
        _xlpm.we_camera_on_date, IFERROR(AVERAGEIFS(Log!$F:$F, Log!$D:$D,N$4, Log!$C:$C, $A94, Log!$A:$A, "Daily", Log!$B:$B, "n/a"), 0),
        _xlpm.ie_camera_on_date, IFERROR(AVERAGEIFS(Log!$G:$G, Log!$D:$D,N$4,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4" s="68" t="str">
        <f>IFERROR(
    _xlfn.LET(
        _xlpm.is_data_present, $A94&lt;&gt;0,
        _xlpm.is_camera_present, COUNTIFS(Log!$C:$C, $A94, Log!$D:$D, O$4, Log!$A:$A, "Daily", Log!$B:$B, "n/a"),
        _xlpm.we_camera_on_date, IFERROR(AVERAGEIFS(Log!$F:$F, Log!$D:$D,O$4, Log!$C:$C, $A94, Log!$A:$A, "Daily", Log!$B:$B, "n/a"), 0),
        _xlpm.ie_camera_on_date, IFERROR(AVERAGEIFS(Log!$G:$G, Log!$D:$D,O$4,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4" s="68" t="str">
        <f>IFERROR(
    _xlfn.LET(
        _xlpm.is_data_present, $A94&lt;&gt;0,
        _xlpm.is_camera_present, COUNTIFS(Log!$C:$C, $A94, Log!$D:$D, P$4, Log!$A:$A, "Daily", Log!$B:$B, "n/a"),
        _xlpm.we_camera_on_date, IFERROR(AVERAGEIFS(Log!$F:$F, Log!$D:$D,P$4, Log!$C:$C, $A94, Log!$A:$A, "Daily", Log!$B:$B, "n/a"), 0),
        _xlpm.ie_camera_on_date, IFERROR(AVERAGEIFS(Log!$G:$G, Log!$D:$D,P$4,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4" s="68" t="str">
        <f>IFERROR(
    _xlfn.LET(
        _xlpm.is_data_present, $A94&lt;&gt;0,
        _xlpm.is_camera_present, COUNTIFS(Log!$C:$C, $A94, Log!$D:$D, Q$4, Log!$A:$A, "Daily", Log!$B:$B, "n/a"),
        _xlpm.we_camera_on_date, IFERROR(AVERAGEIFS(Log!$F:$F, Log!$D:$D,Q$4, Log!$C:$C, $A94, Log!$A:$A, "Daily", Log!$B:$B, "n/a"), 0),
        _xlpm.ie_camera_on_date, IFERROR(AVERAGEIFS(Log!$G:$G, Log!$D:$D,Q$4,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4" s="68" t="str">
        <f>IFERROR(
    _xlfn.LET(
        _xlpm.is_data_present, $A94&lt;&gt;0,
        _xlpm.is_camera_present, COUNTIFS(Log!$C:$C, $A94, Log!$D:$D, R$4, Log!$A:$A, "Daily", Log!$B:$B, "n/a"),
        _xlpm.we_camera_on_date, IFERROR(AVERAGEIFS(Log!$F:$F, Log!$D:$D,R$4, Log!$C:$C, $A94, Log!$A:$A, "Daily", Log!$B:$B, "n/a"), 0),
        _xlpm.ie_camera_on_date, IFERROR(AVERAGEIFS(Log!$G:$G, Log!$D:$D,R$4,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4" s="68" t="str">
        <f>IFERROR(
    _xlfn.LET(
        _xlpm.is_data_present, $A94&lt;&gt;0,
        _xlpm.is_camera_present, COUNTIFS(Log!$C:$C, $A94, Log!$D:$D, S$4, Log!$A:$A, "Daily", Log!$B:$B, "n/a"),
        _xlpm.we_camera_on_date, IFERROR(AVERAGEIFS(Log!$F:$F, Log!$D:$D,S$4, Log!$C:$C, $A94, Log!$A:$A, "Daily", Log!$B:$B, "n/a"), 0),
        _xlpm.ie_camera_on_date, IFERROR(AVERAGEIFS(Log!$G:$G, Log!$D:$D,S$4, Log!$C:$C, $A94, Log!$A:$A, "Daily", Log!$B:$B, "n/a"), 0),
        _xlpm.we_avg, IFERROR(AVERAGEIFS(Log!$F:$F,Log!$C:$C,$A94, Log!$A:$A, "Daily", Log!$B:$B, "n/a"),0),
        _xlpm.ie_avg, IFERROR(AVERAGEIFS(Log!$G:$G,Log!$C:$C,$A94,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5" spans="2:19" x14ac:dyDescent="0.3">
      <c r="B95" s="68" t="str">
        <f>IFERROR(
    _xlfn.LET(
        _xlpm.is_data_present, $A95&lt;&gt;0,
        _xlpm.is_camera_present, COUNTIFS(Log!$C:$C, $A95, Log!$D:$D, B$4, Log!$A:$A, "Daily", Log!$B:$B, "n/a"),
        _xlpm.we_camera_on_date, IFERROR(AVERAGEIFS(Log!$F:$F, Log!$D:$D,B$4, Log!$C:$C, $A95, Log!$A:$A, "Daily", Log!$B:$B, "n/a"), 0),
        _xlpm.ie_camera_on_date, IFERROR(AVERAGEIFS(Log!$G:$G, Log!$D:$D,B$4,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5" s="68" t="str">
        <f>IFERROR(
    _xlfn.LET(
        _xlpm.is_data_present, $A95&lt;&gt;0,
        _xlpm.is_camera_present, COUNTIFS(Log!$C:$C, $A95, Log!$D:$D, C$4, Log!$A:$A, "Daily", Log!$B:$B, "n/a"),
        _xlpm.we_camera_on_date, IFERROR(AVERAGEIFS(Log!$F:$F, Log!$D:$D,C$4, Log!$C:$C, $A95, Log!$A:$A, "Daily", Log!$B:$B, "n/a"), 0),
        _xlpm.ie_camera_on_date, IFERROR(AVERAGEIFS(Log!$G:$G, Log!$D:$D,C$4,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5" s="68" t="str">
        <f>IFERROR(
    _xlfn.LET(
        _xlpm.is_data_present, $A95&lt;&gt;0,
        _xlpm.is_camera_present, COUNTIFS(Log!$C:$C, $A95, Log!$D:$D, D$4, Log!$A:$A, "Daily", Log!$B:$B, "n/a"),
        _xlpm.we_camera_on_date, IFERROR(AVERAGEIFS(Log!$F:$F, Log!$D:$D,D$4, Log!$C:$C, $A95, Log!$A:$A, "Daily", Log!$B:$B, "n/a"), 0),
        _xlpm.ie_camera_on_date, IFERROR(AVERAGEIFS(Log!$G:$G, Log!$D:$D,D$4,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5" s="68" t="str">
        <f>IFERROR(
    _xlfn.LET(
        _xlpm.is_data_present, $A95&lt;&gt;0,
        _xlpm.is_camera_present, COUNTIFS(Log!$C:$C, $A95, Log!$D:$D, E$4, Log!$A:$A, "Daily", Log!$B:$B, "n/a"),
        _xlpm.we_camera_on_date, IFERROR(AVERAGEIFS(Log!$F:$F, Log!$D:$D,E$4, Log!$C:$C, $A95, Log!$A:$A, "Daily", Log!$B:$B, "n/a"), 0),
        _xlpm.ie_camera_on_date, IFERROR(AVERAGEIFS(Log!$G:$G, Log!$D:$D,E$4,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5" s="68" t="str">
        <f>IFERROR(
    _xlfn.LET(
        _xlpm.is_data_present, $A95&lt;&gt;0,
        _xlpm.is_camera_present, COUNTIFS(Log!$C:$C, $A95, Log!$D:$D, F$4, Log!$A:$A, "Daily", Log!$B:$B, "n/a"),
        _xlpm.we_camera_on_date, IFERROR(AVERAGEIFS(Log!$F:$F, Log!$D:$D,F$4, Log!$C:$C, $A95, Log!$A:$A, "Daily", Log!$B:$B, "n/a"), 0),
        _xlpm.ie_camera_on_date, IFERROR(AVERAGEIFS(Log!$G:$G, Log!$D:$D,F$4,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5" s="68" t="str">
        <f>IFERROR(
    _xlfn.LET(
        _xlpm.is_data_present, $A95&lt;&gt;0,
        _xlpm.is_camera_present, COUNTIFS(Log!$C:$C, $A95, Log!$D:$D, G$4, Log!$A:$A, "Daily", Log!$B:$B, "n/a"),
        _xlpm.we_camera_on_date, IFERROR(AVERAGEIFS(Log!$F:$F, Log!$D:$D,G$4, Log!$C:$C, $A95, Log!$A:$A, "Daily", Log!$B:$B, "n/a"), 0),
        _xlpm.ie_camera_on_date, IFERROR(AVERAGEIFS(Log!$G:$G, Log!$D:$D,G$4,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5" s="68" t="str">
        <f>IFERROR(
    _xlfn.LET(
        _xlpm.is_data_present, $A95&lt;&gt;0,
        _xlpm.is_camera_present, COUNTIFS(Log!$C:$C, $A95, Log!$D:$D, H$4, Log!$A:$A, "Daily", Log!$B:$B, "n/a"),
        _xlpm.we_camera_on_date, IFERROR(AVERAGEIFS(Log!$F:$F, Log!$D:$D,H$4, Log!$C:$C, $A95, Log!$A:$A, "Daily", Log!$B:$B, "n/a"), 0),
        _xlpm.ie_camera_on_date, IFERROR(AVERAGEIFS(Log!$G:$G, Log!$D:$D,H$4,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5" s="68" t="str">
        <f>IFERROR(
    _xlfn.LET(
        _xlpm.is_data_present, $A95&lt;&gt;0,
        _xlpm.is_camera_present, COUNTIFS(Log!$C:$C, $A95, Log!$D:$D, I$4, Log!$A:$A, "Daily", Log!$B:$B, "n/a"),
        _xlpm.we_camera_on_date, IFERROR(AVERAGEIFS(Log!$F:$F, Log!$D:$D,I$4, Log!$C:$C, $A95, Log!$A:$A, "Daily", Log!$B:$B, "n/a"), 0),
        _xlpm.ie_camera_on_date, IFERROR(AVERAGEIFS(Log!$G:$G, Log!$D:$D,I$4,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5" s="68" t="str">
        <f>IFERROR(
    _xlfn.LET(
        _xlpm.is_data_present, $A95&lt;&gt;0,
        _xlpm.is_camera_present, COUNTIFS(Log!$C:$C, $A95, Log!$D:$D, J$4, Log!$A:$A, "Daily", Log!$B:$B, "n/a"),
        _xlpm.we_camera_on_date, IFERROR(AVERAGEIFS(Log!$F:$F, Log!$D:$D,J$4, Log!$C:$C, $A95, Log!$A:$A, "Daily", Log!$B:$B, "n/a"), 0),
        _xlpm.ie_camera_on_date, IFERROR(AVERAGEIFS(Log!$G:$G, Log!$D:$D,J$4,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5" s="68" t="str">
        <f>IFERROR(
    _xlfn.LET(
        _xlpm.is_data_present, $A95&lt;&gt;0,
        _xlpm.is_camera_present, COUNTIFS(Log!$C:$C, $A95, Log!$D:$D, K$4, Log!$A:$A, "Daily", Log!$B:$B, "n/a"),
        _xlpm.we_camera_on_date, IFERROR(AVERAGEIFS(Log!$F:$F, Log!$D:$D,K$4, Log!$C:$C, $A95, Log!$A:$A, "Daily", Log!$B:$B, "n/a"), 0),
        _xlpm.ie_camera_on_date, IFERROR(AVERAGEIFS(Log!$G:$G, Log!$D:$D,K$4,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5" s="68" t="str">
        <f>IFERROR(
    _xlfn.LET(
        _xlpm.is_data_present, $A95&lt;&gt;0,
        _xlpm.is_camera_present, COUNTIFS(Log!$C:$C, $A95, Log!$D:$D, L$4, Log!$A:$A, "Daily", Log!$B:$B, "n/a"),
        _xlpm.we_camera_on_date, IFERROR(AVERAGEIFS(Log!$F:$F, Log!$D:$D,L$4, Log!$C:$C, $A95, Log!$A:$A, "Daily", Log!$B:$B, "n/a"), 0),
        _xlpm.ie_camera_on_date, IFERROR(AVERAGEIFS(Log!$G:$G, Log!$D:$D,L$4,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5" s="68" t="str">
        <f>IFERROR(
    _xlfn.LET(
        _xlpm.is_data_present, $A95&lt;&gt;0,
        _xlpm.is_camera_present, COUNTIFS(Log!$C:$C, $A95, Log!$D:$D, M$4, Log!$A:$A, "Daily", Log!$B:$B, "n/a"),
        _xlpm.we_camera_on_date, IFERROR(AVERAGEIFS(Log!$F:$F, Log!$D:$D,M$4, Log!$C:$C, $A95, Log!$A:$A, "Daily", Log!$B:$B, "n/a"), 0),
        _xlpm.ie_camera_on_date, IFERROR(AVERAGEIFS(Log!$G:$G, Log!$D:$D,M$4,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5" s="68" t="str">
        <f>IFERROR(
    _xlfn.LET(
        _xlpm.is_data_present, $A95&lt;&gt;0,
        _xlpm.is_camera_present, COUNTIFS(Log!$C:$C, $A95, Log!$D:$D, N$4, Log!$A:$A, "Daily", Log!$B:$B, "n/a"),
        _xlpm.we_camera_on_date, IFERROR(AVERAGEIFS(Log!$F:$F, Log!$D:$D,N$4, Log!$C:$C, $A95, Log!$A:$A, "Daily", Log!$B:$B, "n/a"), 0),
        _xlpm.ie_camera_on_date, IFERROR(AVERAGEIFS(Log!$G:$G, Log!$D:$D,N$4,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5" s="68" t="str">
        <f>IFERROR(
    _xlfn.LET(
        _xlpm.is_data_present, $A95&lt;&gt;0,
        _xlpm.is_camera_present, COUNTIFS(Log!$C:$C, $A95, Log!$D:$D, O$4, Log!$A:$A, "Daily", Log!$B:$B, "n/a"),
        _xlpm.we_camera_on_date, IFERROR(AVERAGEIFS(Log!$F:$F, Log!$D:$D,O$4, Log!$C:$C, $A95, Log!$A:$A, "Daily", Log!$B:$B, "n/a"), 0),
        _xlpm.ie_camera_on_date, IFERROR(AVERAGEIFS(Log!$G:$G, Log!$D:$D,O$4,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5" s="68" t="str">
        <f>IFERROR(
    _xlfn.LET(
        _xlpm.is_data_present, $A95&lt;&gt;0,
        _xlpm.is_camera_present, COUNTIFS(Log!$C:$C, $A95, Log!$D:$D, P$4, Log!$A:$A, "Daily", Log!$B:$B, "n/a"),
        _xlpm.we_camera_on_date, IFERROR(AVERAGEIFS(Log!$F:$F, Log!$D:$D,P$4, Log!$C:$C, $A95, Log!$A:$A, "Daily", Log!$B:$B, "n/a"), 0),
        _xlpm.ie_camera_on_date, IFERROR(AVERAGEIFS(Log!$G:$G, Log!$D:$D,P$4,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5" s="68" t="str">
        <f>IFERROR(
    _xlfn.LET(
        _xlpm.is_data_present, $A95&lt;&gt;0,
        _xlpm.is_camera_present, COUNTIFS(Log!$C:$C, $A95, Log!$D:$D, Q$4, Log!$A:$A, "Daily", Log!$B:$B, "n/a"),
        _xlpm.we_camera_on_date, IFERROR(AVERAGEIFS(Log!$F:$F, Log!$D:$D,Q$4, Log!$C:$C, $A95, Log!$A:$A, "Daily", Log!$B:$B, "n/a"), 0),
        _xlpm.ie_camera_on_date, IFERROR(AVERAGEIFS(Log!$G:$G, Log!$D:$D,Q$4,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5" s="68" t="str">
        <f>IFERROR(
    _xlfn.LET(
        _xlpm.is_data_present, $A95&lt;&gt;0,
        _xlpm.is_camera_present, COUNTIFS(Log!$C:$C, $A95, Log!$D:$D, R$4, Log!$A:$A, "Daily", Log!$B:$B, "n/a"),
        _xlpm.we_camera_on_date, IFERROR(AVERAGEIFS(Log!$F:$F, Log!$D:$D,R$4, Log!$C:$C, $A95, Log!$A:$A, "Daily", Log!$B:$B, "n/a"), 0),
        _xlpm.ie_camera_on_date, IFERROR(AVERAGEIFS(Log!$G:$G, Log!$D:$D,R$4,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5" s="68" t="str">
        <f>IFERROR(
    _xlfn.LET(
        _xlpm.is_data_present, $A95&lt;&gt;0,
        _xlpm.is_camera_present, COUNTIFS(Log!$C:$C, $A95, Log!$D:$D, S$4, Log!$A:$A, "Daily", Log!$B:$B, "n/a"),
        _xlpm.we_camera_on_date, IFERROR(AVERAGEIFS(Log!$F:$F, Log!$D:$D,S$4, Log!$C:$C, $A95, Log!$A:$A, "Daily", Log!$B:$B, "n/a"), 0),
        _xlpm.ie_camera_on_date, IFERROR(AVERAGEIFS(Log!$G:$G, Log!$D:$D,S$4, Log!$C:$C, $A95, Log!$A:$A, "Daily", Log!$B:$B, "n/a"), 0),
        _xlpm.we_avg, IFERROR(AVERAGEIFS(Log!$F:$F,Log!$C:$C,$A95, Log!$A:$A, "Daily", Log!$B:$B, "n/a"),0),
        _xlpm.ie_avg, IFERROR(AVERAGEIFS(Log!$G:$G,Log!$C:$C,$A95,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6" spans="2:19" x14ac:dyDescent="0.3">
      <c r="B96" s="68" t="str">
        <f>IFERROR(
    _xlfn.LET(
        _xlpm.is_data_present, $A96&lt;&gt;0,
        _xlpm.is_camera_present, COUNTIFS(Log!$C:$C, $A96, Log!$D:$D, B$4, Log!$A:$A, "Daily", Log!$B:$B, "n/a"),
        _xlpm.we_camera_on_date, IFERROR(AVERAGEIFS(Log!$F:$F, Log!$D:$D,B$4, Log!$C:$C, $A96, Log!$A:$A, "Daily", Log!$B:$B, "n/a"), 0),
        _xlpm.ie_camera_on_date, IFERROR(AVERAGEIFS(Log!$G:$G, Log!$D:$D,B$4,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6" s="68" t="str">
        <f>IFERROR(
    _xlfn.LET(
        _xlpm.is_data_present, $A96&lt;&gt;0,
        _xlpm.is_camera_present, COUNTIFS(Log!$C:$C, $A96, Log!$D:$D, C$4, Log!$A:$A, "Daily", Log!$B:$B, "n/a"),
        _xlpm.we_camera_on_date, IFERROR(AVERAGEIFS(Log!$F:$F, Log!$D:$D,C$4, Log!$C:$C, $A96, Log!$A:$A, "Daily", Log!$B:$B, "n/a"), 0),
        _xlpm.ie_camera_on_date, IFERROR(AVERAGEIFS(Log!$G:$G, Log!$D:$D,C$4,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6" s="68" t="str">
        <f>IFERROR(
    _xlfn.LET(
        _xlpm.is_data_present, $A96&lt;&gt;0,
        _xlpm.is_camera_present, COUNTIFS(Log!$C:$C, $A96, Log!$D:$D, D$4, Log!$A:$A, "Daily", Log!$B:$B, "n/a"),
        _xlpm.we_camera_on_date, IFERROR(AVERAGEIFS(Log!$F:$F, Log!$D:$D,D$4, Log!$C:$C, $A96, Log!$A:$A, "Daily", Log!$B:$B, "n/a"), 0),
        _xlpm.ie_camera_on_date, IFERROR(AVERAGEIFS(Log!$G:$G, Log!$D:$D,D$4,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6" s="68" t="str">
        <f>IFERROR(
    _xlfn.LET(
        _xlpm.is_data_present, $A96&lt;&gt;0,
        _xlpm.is_camera_present, COUNTIFS(Log!$C:$C, $A96, Log!$D:$D, E$4, Log!$A:$A, "Daily", Log!$B:$B, "n/a"),
        _xlpm.we_camera_on_date, IFERROR(AVERAGEIFS(Log!$F:$F, Log!$D:$D,E$4, Log!$C:$C, $A96, Log!$A:$A, "Daily", Log!$B:$B, "n/a"), 0),
        _xlpm.ie_camera_on_date, IFERROR(AVERAGEIFS(Log!$G:$G, Log!$D:$D,E$4,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6" s="68" t="str">
        <f>IFERROR(
    _xlfn.LET(
        _xlpm.is_data_present, $A96&lt;&gt;0,
        _xlpm.is_camera_present, COUNTIFS(Log!$C:$C, $A96, Log!$D:$D, F$4, Log!$A:$A, "Daily", Log!$B:$B, "n/a"),
        _xlpm.we_camera_on_date, IFERROR(AVERAGEIFS(Log!$F:$F, Log!$D:$D,F$4, Log!$C:$C, $A96, Log!$A:$A, "Daily", Log!$B:$B, "n/a"), 0),
        _xlpm.ie_camera_on_date, IFERROR(AVERAGEIFS(Log!$G:$G, Log!$D:$D,F$4,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6" s="68" t="str">
        <f>IFERROR(
    _xlfn.LET(
        _xlpm.is_data_present, $A96&lt;&gt;0,
        _xlpm.is_camera_present, COUNTIFS(Log!$C:$C, $A96, Log!$D:$D, G$4, Log!$A:$A, "Daily", Log!$B:$B, "n/a"),
        _xlpm.we_camera_on_date, IFERROR(AVERAGEIFS(Log!$F:$F, Log!$D:$D,G$4, Log!$C:$C, $A96, Log!$A:$A, "Daily", Log!$B:$B, "n/a"), 0),
        _xlpm.ie_camera_on_date, IFERROR(AVERAGEIFS(Log!$G:$G, Log!$D:$D,G$4,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6" s="68" t="str">
        <f>IFERROR(
    _xlfn.LET(
        _xlpm.is_data_present, $A96&lt;&gt;0,
        _xlpm.is_camera_present, COUNTIFS(Log!$C:$C, $A96, Log!$D:$D, H$4, Log!$A:$A, "Daily", Log!$B:$B, "n/a"),
        _xlpm.we_camera_on_date, IFERROR(AVERAGEIFS(Log!$F:$F, Log!$D:$D,H$4, Log!$C:$C, $A96, Log!$A:$A, "Daily", Log!$B:$B, "n/a"), 0),
        _xlpm.ie_camera_on_date, IFERROR(AVERAGEIFS(Log!$G:$G, Log!$D:$D,H$4,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6" s="68" t="str">
        <f>IFERROR(
    _xlfn.LET(
        _xlpm.is_data_present, $A96&lt;&gt;0,
        _xlpm.is_camera_present, COUNTIFS(Log!$C:$C, $A96, Log!$D:$D, I$4, Log!$A:$A, "Daily", Log!$B:$B, "n/a"),
        _xlpm.we_camera_on_date, IFERROR(AVERAGEIFS(Log!$F:$F, Log!$D:$D,I$4, Log!$C:$C, $A96, Log!$A:$A, "Daily", Log!$B:$B, "n/a"), 0),
        _xlpm.ie_camera_on_date, IFERROR(AVERAGEIFS(Log!$G:$G, Log!$D:$D,I$4,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6" s="68" t="str">
        <f>IFERROR(
    _xlfn.LET(
        _xlpm.is_data_present, $A96&lt;&gt;0,
        _xlpm.is_camera_present, COUNTIFS(Log!$C:$C, $A96, Log!$D:$D, J$4, Log!$A:$A, "Daily", Log!$B:$B, "n/a"),
        _xlpm.we_camera_on_date, IFERROR(AVERAGEIFS(Log!$F:$F, Log!$D:$D,J$4, Log!$C:$C, $A96, Log!$A:$A, "Daily", Log!$B:$B, "n/a"), 0),
        _xlpm.ie_camera_on_date, IFERROR(AVERAGEIFS(Log!$G:$G, Log!$D:$D,J$4,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6" s="68" t="str">
        <f>IFERROR(
    _xlfn.LET(
        _xlpm.is_data_present, $A96&lt;&gt;0,
        _xlpm.is_camera_present, COUNTIFS(Log!$C:$C, $A96, Log!$D:$D, K$4, Log!$A:$A, "Daily", Log!$B:$B, "n/a"),
        _xlpm.we_camera_on_date, IFERROR(AVERAGEIFS(Log!$F:$F, Log!$D:$D,K$4, Log!$C:$C, $A96, Log!$A:$A, "Daily", Log!$B:$B, "n/a"), 0),
        _xlpm.ie_camera_on_date, IFERROR(AVERAGEIFS(Log!$G:$G, Log!$D:$D,K$4,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6" s="68" t="str">
        <f>IFERROR(
    _xlfn.LET(
        _xlpm.is_data_present, $A96&lt;&gt;0,
        _xlpm.is_camera_present, COUNTIFS(Log!$C:$C, $A96, Log!$D:$D, L$4, Log!$A:$A, "Daily", Log!$B:$B, "n/a"),
        _xlpm.we_camera_on_date, IFERROR(AVERAGEIFS(Log!$F:$F, Log!$D:$D,L$4, Log!$C:$C, $A96, Log!$A:$A, "Daily", Log!$B:$B, "n/a"), 0),
        _xlpm.ie_camera_on_date, IFERROR(AVERAGEIFS(Log!$G:$G, Log!$D:$D,L$4,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6" s="68" t="str">
        <f>IFERROR(
    _xlfn.LET(
        _xlpm.is_data_present, $A96&lt;&gt;0,
        _xlpm.is_camera_present, COUNTIFS(Log!$C:$C, $A96, Log!$D:$D, M$4, Log!$A:$A, "Daily", Log!$B:$B, "n/a"),
        _xlpm.we_camera_on_date, IFERROR(AVERAGEIFS(Log!$F:$F, Log!$D:$D,M$4, Log!$C:$C, $A96, Log!$A:$A, "Daily", Log!$B:$B, "n/a"), 0),
        _xlpm.ie_camera_on_date, IFERROR(AVERAGEIFS(Log!$G:$G, Log!$D:$D,M$4,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6" s="68" t="str">
        <f>IFERROR(
    _xlfn.LET(
        _xlpm.is_data_present, $A96&lt;&gt;0,
        _xlpm.is_camera_present, COUNTIFS(Log!$C:$C, $A96, Log!$D:$D, N$4, Log!$A:$A, "Daily", Log!$B:$B, "n/a"),
        _xlpm.we_camera_on_date, IFERROR(AVERAGEIFS(Log!$F:$F, Log!$D:$D,N$4, Log!$C:$C, $A96, Log!$A:$A, "Daily", Log!$B:$B, "n/a"), 0),
        _xlpm.ie_camera_on_date, IFERROR(AVERAGEIFS(Log!$G:$G, Log!$D:$D,N$4,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6" s="68" t="str">
        <f>IFERROR(
    _xlfn.LET(
        _xlpm.is_data_present, $A96&lt;&gt;0,
        _xlpm.is_camera_present, COUNTIFS(Log!$C:$C, $A96, Log!$D:$D, O$4, Log!$A:$A, "Daily", Log!$B:$B, "n/a"),
        _xlpm.we_camera_on_date, IFERROR(AVERAGEIFS(Log!$F:$F, Log!$D:$D,O$4, Log!$C:$C, $A96, Log!$A:$A, "Daily", Log!$B:$B, "n/a"), 0),
        _xlpm.ie_camera_on_date, IFERROR(AVERAGEIFS(Log!$G:$G, Log!$D:$D,O$4,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6" s="68" t="str">
        <f>IFERROR(
    _xlfn.LET(
        _xlpm.is_data_present, $A96&lt;&gt;0,
        _xlpm.is_camera_present, COUNTIFS(Log!$C:$C, $A96, Log!$D:$D, P$4, Log!$A:$A, "Daily", Log!$B:$B, "n/a"),
        _xlpm.we_camera_on_date, IFERROR(AVERAGEIFS(Log!$F:$F, Log!$D:$D,P$4, Log!$C:$C, $A96, Log!$A:$A, "Daily", Log!$B:$B, "n/a"), 0),
        _xlpm.ie_camera_on_date, IFERROR(AVERAGEIFS(Log!$G:$G, Log!$D:$D,P$4,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6" s="68" t="str">
        <f>IFERROR(
    _xlfn.LET(
        _xlpm.is_data_present, $A96&lt;&gt;0,
        _xlpm.is_camera_present, COUNTIFS(Log!$C:$C, $A96, Log!$D:$D, Q$4, Log!$A:$A, "Daily", Log!$B:$B, "n/a"),
        _xlpm.we_camera_on_date, IFERROR(AVERAGEIFS(Log!$F:$F, Log!$D:$D,Q$4, Log!$C:$C, $A96, Log!$A:$A, "Daily", Log!$B:$B, "n/a"), 0),
        _xlpm.ie_camera_on_date, IFERROR(AVERAGEIFS(Log!$G:$G, Log!$D:$D,Q$4,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6" s="68" t="str">
        <f>IFERROR(
    _xlfn.LET(
        _xlpm.is_data_present, $A96&lt;&gt;0,
        _xlpm.is_camera_present, COUNTIFS(Log!$C:$C, $A96, Log!$D:$D, R$4, Log!$A:$A, "Daily", Log!$B:$B, "n/a"),
        _xlpm.we_camera_on_date, IFERROR(AVERAGEIFS(Log!$F:$F, Log!$D:$D,R$4, Log!$C:$C, $A96, Log!$A:$A, "Daily", Log!$B:$B, "n/a"), 0),
        _xlpm.ie_camera_on_date, IFERROR(AVERAGEIFS(Log!$G:$G, Log!$D:$D,R$4,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6" s="68" t="str">
        <f>IFERROR(
    _xlfn.LET(
        _xlpm.is_data_present, $A96&lt;&gt;0,
        _xlpm.is_camera_present, COUNTIFS(Log!$C:$C, $A96, Log!$D:$D, S$4, Log!$A:$A, "Daily", Log!$B:$B, "n/a"),
        _xlpm.we_camera_on_date, IFERROR(AVERAGEIFS(Log!$F:$F, Log!$D:$D,S$4, Log!$C:$C, $A96, Log!$A:$A, "Daily", Log!$B:$B, "n/a"), 0),
        _xlpm.ie_camera_on_date, IFERROR(AVERAGEIFS(Log!$G:$G, Log!$D:$D,S$4, Log!$C:$C, $A96, Log!$A:$A, "Daily", Log!$B:$B, "n/a"), 0),
        _xlpm.we_avg, IFERROR(AVERAGEIFS(Log!$F:$F,Log!$C:$C,$A96, Log!$A:$A, "Daily", Log!$B:$B, "n/a"),0),
        _xlpm.ie_avg, IFERROR(AVERAGEIFS(Log!$G:$G,Log!$C:$C,$A96,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7" spans="2:19" x14ac:dyDescent="0.3">
      <c r="B97" s="68" t="str">
        <f>IFERROR(
    _xlfn.LET(
        _xlpm.is_data_present, $A97&lt;&gt;0,
        _xlpm.is_camera_present, COUNTIFS(Log!$C:$C, $A97, Log!$D:$D, B$4, Log!$A:$A, "Daily", Log!$B:$B, "n/a"),
        _xlpm.we_camera_on_date, IFERROR(AVERAGEIFS(Log!$F:$F, Log!$D:$D,B$4, Log!$C:$C, $A97, Log!$A:$A, "Daily", Log!$B:$B, "n/a"), 0),
        _xlpm.ie_camera_on_date, IFERROR(AVERAGEIFS(Log!$G:$G, Log!$D:$D,B$4,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7" s="68" t="str">
        <f>IFERROR(
    _xlfn.LET(
        _xlpm.is_data_present, $A97&lt;&gt;0,
        _xlpm.is_camera_present, COUNTIFS(Log!$C:$C, $A97, Log!$D:$D, C$4, Log!$A:$A, "Daily", Log!$B:$B, "n/a"),
        _xlpm.we_camera_on_date, IFERROR(AVERAGEIFS(Log!$F:$F, Log!$D:$D,C$4, Log!$C:$C, $A97, Log!$A:$A, "Daily", Log!$B:$B, "n/a"), 0),
        _xlpm.ie_camera_on_date, IFERROR(AVERAGEIFS(Log!$G:$G, Log!$D:$D,C$4,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7" s="68" t="str">
        <f>IFERROR(
    _xlfn.LET(
        _xlpm.is_data_present, $A97&lt;&gt;0,
        _xlpm.is_camera_present, COUNTIFS(Log!$C:$C, $A97, Log!$D:$D, D$4, Log!$A:$A, "Daily", Log!$B:$B, "n/a"),
        _xlpm.we_camera_on_date, IFERROR(AVERAGEIFS(Log!$F:$F, Log!$D:$D,D$4, Log!$C:$C, $A97, Log!$A:$A, "Daily", Log!$B:$B, "n/a"), 0),
        _xlpm.ie_camera_on_date, IFERROR(AVERAGEIFS(Log!$G:$G, Log!$D:$D,D$4,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7" s="68" t="str">
        <f>IFERROR(
    _xlfn.LET(
        _xlpm.is_data_present, $A97&lt;&gt;0,
        _xlpm.is_camera_present, COUNTIFS(Log!$C:$C, $A97, Log!$D:$D, E$4, Log!$A:$A, "Daily", Log!$B:$B, "n/a"),
        _xlpm.we_camera_on_date, IFERROR(AVERAGEIFS(Log!$F:$F, Log!$D:$D,E$4, Log!$C:$C, $A97, Log!$A:$A, "Daily", Log!$B:$B, "n/a"), 0),
        _xlpm.ie_camera_on_date, IFERROR(AVERAGEIFS(Log!$G:$G, Log!$D:$D,E$4,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7" s="68" t="str">
        <f>IFERROR(
    _xlfn.LET(
        _xlpm.is_data_present, $A97&lt;&gt;0,
        _xlpm.is_camera_present, COUNTIFS(Log!$C:$C, $A97, Log!$D:$D, F$4, Log!$A:$A, "Daily", Log!$B:$B, "n/a"),
        _xlpm.we_camera_on_date, IFERROR(AVERAGEIFS(Log!$F:$F, Log!$D:$D,F$4, Log!$C:$C, $A97, Log!$A:$A, "Daily", Log!$B:$B, "n/a"), 0),
        _xlpm.ie_camera_on_date, IFERROR(AVERAGEIFS(Log!$G:$G, Log!$D:$D,F$4,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7" s="68" t="str">
        <f>IFERROR(
    _xlfn.LET(
        _xlpm.is_data_present, $A97&lt;&gt;0,
        _xlpm.is_camera_present, COUNTIFS(Log!$C:$C, $A97, Log!$D:$D, G$4, Log!$A:$A, "Daily", Log!$B:$B, "n/a"),
        _xlpm.we_camera_on_date, IFERROR(AVERAGEIFS(Log!$F:$F, Log!$D:$D,G$4, Log!$C:$C, $A97, Log!$A:$A, "Daily", Log!$B:$B, "n/a"), 0),
        _xlpm.ie_camera_on_date, IFERROR(AVERAGEIFS(Log!$G:$G, Log!$D:$D,G$4,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7" s="68" t="str">
        <f>IFERROR(
    _xlfn.LET(
        _xlpm.is_data_present, $A97&lt;&gt;0,
        _xlpm.is_camera_present, COUNTIFS(Log!$C:$C, $A97, Log!$D:$D, H$4, Log!$A:$A, "Daily", Log!$B:$B, "n/a"),
        _xlpm.we_camera_on_date, IFERROR(AVERAGEIFS(Log!$F:$F, Log!$D:$D,H$4, Log!$C:$C, $A97, Log!$A:$A, "Daily", Log!$B:$B, "n/a"), 0),
        _xlpm.ie_camera_on_date, IFERROR(AVERAGEIFS(Log!$G:$G, Log!$D:$D,H$4,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7" s="68" t="str">
        <f>IFERROR(
    _xlfn.LET(
        _xlpm.is_data_present, $A97&lt;&gt;0,
        _xlpm.is_camera_present, COUNTIFS(Log!$C:$C, $A97, Log!$D:$D, I$4, Log!$A:$A, "Daily", Log!$B:$B, "n/a"),
        _xlpm.we_camera_on_date, IFERROR(AVERAGEIFS(Log!$F:$F, Log!$D:$D,I$4, Log!$C:$C, $A97, Log!$A:$A, "Daily", Log!$B:$B, "n/a"), 0),
        _xlpm.ie_camera_on_date, IFERROR(AVERAGEIFS(Log!$G:$G, Log!$D:$D,I$4,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7" s="68" t="str">
        <f>IFERROR(
    _xlfn.LET(
        _xlpm.is_data_present, $A97&lt;&gt;0,
        _xlpm.is_camera_present, COUNTIFS(Log!$C:$C, $A97, Log!$D:$D, J$4, Log!$A:$A, "Daily", Log!$B:$B, "n/a"),
        _xlpm.we_camera_on_date, IFERROR(AVERAGEIFS(Log!$F:$F, Log!$D:$D,J$4, Log!$C:$C, $A97, Log!$A:$A, "Daily", Log!$B:$B, "n/a"), 0),
        _xlpm.ie_camera_on_date, IFERROR(AVERAGEIFS(Log!$G:$G, Log!$D:$D,J$4,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7" s="68" t="str">
        <f>IFERROR(
    _xlfn.LET(
        _xlpm.is_data_present, $A97&lt;&gt;0,
        _xlpm.is_camera_present, COUNTIFS(Log!$C:$C, $A97, Log!$D:$D, K$4, Log!$A:$A, "Daily", Log!$B:$B, "n/a"),
        _xlpm.we_camera_on_date, IFERROR(AVERAGEIFS(Log!$F:$F, Log!$D:$D,K$4, Log!$C:$C, $A97, Log!$A:$A, "Daily", Log!$B:$B, "n/a"), 0),
        _xlpm.ie_camera_on_date, IFERROR(AVERAGEIFS(Log!$G:$G, Log!$D:$D,K$4,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7" s="68" t="str">
        <f>IFERROR(
    _xlfn.LET(
        _xlpm.is_data_present, $A97&lt;&gt;0,
        _xlpm.is_camera_present, COUNTIFS(Log!$C:$C, $A97, Log!$D:$D, L$4, Log!$A:$A, "Daily", Log!$B:$B, "n/a"),
        _xlpm.we_camera_on_date, IFERROR(AVERAGEIFS(Log!$F:$F, Log!$D:$D,L$4, Log!$C:$C, $A97, Log!$A:$A, "Daily", Log!$B:$B, "n/a"), 0),
        _xlpm.ie_camera_on_date, IFERROR(AVERAGEIFS(Log!$G:$G, Log!$D:$D,L$4,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7" s="68" t="str">
        <f>IFERROR(
    _xlfn.LET(
        _xlpm.is_data_present, $A97&lt;&gt;0,
        _xlpm.is_camera_present, COUNTIFS(Log!$C:$C, $A97, Log!$D:$D, M$4, Log!$A:$A, "Daily", Log!$B:$B, "n/a"),
        _xlpm.we_camera_on_date, IFERROR(AVERAGEIFS(Log!$F:$F, Log!$D:$D,M$4, Log!$C:$C, $A97, Log!$A:$A, "Daily", Log!$B:$B, "n/a"), 0),
        _xlpm.ie_camera_on_date, IFERROR(AVERAGEIFS(Log!$G:$G, Log!$D:$D,M$4,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7" s="68" t="str">
        <f>IFERROR(
    _xlfn.LET(
        _xlpm.is_data_present, $A97&lt;&gt;0,
        _xlpm.is_camera_present, COUNTIFS(Log!$C:$C, $A97, Log!$D:$D, N$4, Log!$A:$A, "Daily", Log!$B:$B, "n/a"),
        _xlpm.we_camera_on_date, IFERROR(AVERAGEIFS(Log!$F:$F, Log!$D:$D,N$4, Log!$C:$C, $A97, Log!$A:$A, "Daily", Log!$B:$B, "n/a"), 0),
        _xlpm.ie_camera_on_date, IFERROR(AVERAGEIFS(Log!$G:$G, Log!$D:$D,N$4,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7" s="68" t="str">
        <f>IFERROR(
    _xlfn.LET(
        _xlpm.is_data_present, $A97&lt;&gt;0,
        _xlpm.is_camera_present, COUNTIFS(Log!$C:$C, $A97, Log!$D:$D, O$4, Log!$A:$A, "Daily", Log!$B:$B, "n/a"),
        _xlpm.we_camera_on_date, IFERROR(AVERAGEIFS(Log!$F:$F, Log!$D:$D,O$4, Log!$C:$C, $A97, Log!$A:$A, "Daily", Log!$B:$B, "n/a"), 0),
        _xlpm.ie_camera_on_date, IFERROR(AVERAGEIFS(Log!$G:$G, Log!$D:$D,O$4,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7" s="68" t="str">
        <f>IFERROR(
    _xlfn.LET(
        _xlpm.is_data_present, $A97&lt;&gt;0,
        _xlpm.is_camera_present, COUNTIFS(Log!$C:$C, $A97, Log!$D:$D, P$4, Log!$A:$A, "Daily", Log!$B:$B, "n/a"),
        _xlpm.we_camera_on_date, IFERROR(AVERAGEIFS(Log!$F:$F, Log!$D:$D,P$4, Log!$C:$C, $A97, Log!$A:$A, "Daily", Log!$B:$B, "n/a"), 0),
        _xlpm.ie_camera_on_date, IFERROR(AVERAGEIFS(Log!$G:$G, Log!$D:$D,P$4,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7" s="68" t="str">
        <f>IFERROR(
    _xlfn.LET(
        _xlpm.is_data_present, $A97&lt;&gt;0,
        _xlpm.is_camera_present, COUNTIFS(Log!$C:$C, $A97, Log!$D:$D, Q$4, Log!$A:$A, "Daily", Log!$B:$B, "n/a"),
        _xlpm.we_camera_on_date, IFERROR(AVERAGEIFS(Log!$F:$F, Log!$D:$D,Q$4, Log!$C:$C, $A97, Log!$A:$A, "Daily", Log!$B:$B, "n/a"), 0),
        _xlpm.ie_camera_on_date, IFERROR(AVERAGEIFS(Log!$G:$G, Log!$D:$D,Q$4,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7" s="68" t="str">
        <f>IFERROR(
    _xlfn.LET(
        _xlpm.is_data_present, $A97&lt;&gt;0,
        _xlpm.is_camera_present, COUNTIFS(Log!$C:$C, $A97, Log!$D:$D, R$4, Log!$A:$A, "Daily", Log!$B:$B, "n/a"),
        _xlpm.we_camera_on_date, IFERROR(AVERAGEIFS(Log!$F:$F, Log!$D:$D,R$4, Log!$C:$C, $A97, Log!$A:$A, "Daily", Log!$B:$B, "n/a"), 0),
        _xlpm.ie_camera_on_date, IFERROR(AVERAGEIFS(Log!$G:$G, Log!$D:$D,R$4,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7" s="68" t="str">
        <f>IFERROR(
    _xlfn.LET(
        _xlpm.is_data_present, $A97&lt;&gt;0,
        _xlpm.is_camera_present, COUNTIFS(Log!$C:$C, $A97, Log!$D:$D, S$4, Log!$A:$A, "Daily", Log!$B:$B, "n/a"),
        _xlpm.we_camera_on_date, IFERROR(AVERAGEIFS(Log!$F:$F, Log!$D:$D,S$4, Log!$C:$C, $A97, Log!$A:$A, "Daily", Log!$B:$B, "n/a"), 0),
        _xlpm.ie_camera_on_date, IFERROR(AVERAGEIFS(Log!$G:$G, Log!$D:$D,S$4, Log!$C:$C, $A97, Log!$A:$A, "Daily", Log!$B:$B, "n/a"), 0),
        _xlpm.we_avg, IFERROR(AVERAGEIFS(Log!$F:$F,Log!$C:$C,$A97, Log!$A:$A, "Daily", Log!$B:$B, "n/a"),0),
        _xlpm.ie_avg, IFERROR(AVERAGEIFS(Log!$G:$G,Log!$C:$C,$A97,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8" spans="2:19" x14ac:dyDescent="0.3">
      <c r="B98" s="68" t="str">
        <f>IFERROR(
    _xlfn.LET(
        _xlpm.is_data_present, $A98&lt;&gt;0,
        _xlpm.is_camera_present, COUNTIFS(Log!$C:$C, $A98, Log!$D:$D, B$4, Log!$A:$A, "Daily", Log!$B:$B, "n/a"),
        _xlpm.we_camera_on_date, IFERROR(AVERAGEIFS(Log!$F:$F, Log!$D:$D,B$4, Log!$C:$C, $A98, Log!$A:$A, "Daily", Log!$B:$B, "n/a"), 0),
        _xlpm.ie_camera_on_date, IFERROR(AVERAGEIFS(Log!$G:$G, Log!$D:$D,B$4,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8" s="68" t="str">
        <f>IFERROR(
    _xlfn.LET(
        _xlpm.is_data_present, $A98&lt;&gt;0,
        _xlpm.is_camera_present, COUNTIFS(Log!$C:$C, $A98, Log!$D:$D, C$4, Log!$A:$A, "Daily", Log!$B:$B, "n/a"),
        _xlpm.we_camera_on_date, IFERROR(AVERAGEIFS(Log!$F:$F, Log!$D:$D,C$4, Log!$C:$C, $A98, Log!$A:$A, "Daily", Log!$B:$B, "n/a"), 0),
        _xlpm.ie_camera_on_date, IFERROR(AVERAGEIFS(Log!$G:$G, Log!$D:$D,C$4,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8" s="68" t="str">
        <f>IFERROR(
    _xlfn.LET(
        _xlpm.is_data_present, $A98&lt;&gt;0,
        _xlpm.is_camera_present, COUNTIFS(Log!$C:$C, $A98, Log!$D:$D, D$4, Log!$A:$A, "Daily", Log!$B:$B, "n/a"),
        _xlpm.we_camera_on_date, IFERROR(AVERAGEIFS(Log!$F:$F, Log!$D:$D,D$4, Log!$C:$C, $A98, Log!$A:$A, "Daily", Log!$B:$B, "n/a"), 0),
        _xlpm.ie_camera_on_date, IFERROR(AVERAGEIFS(Log!$G:$G, Log!$D:$D,D$4,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8" s="68" t="str">
        <f>IFERROR(
    _xlfn.LET(
        _xlpm.is_data_present, $A98&lt;&gt;0,
        _xlpm.is_camera_present, COUNTIFS(Log!$C:$C, $A98, Log!$D:$D, E$4, Log!$A:$A, "Daily", Log!$B:$B, "n/a"),
        _xlpm.we_camera_on_date, IFERROR(AVERAGEIFS(Log!$F:$F, Log!$D:$D,E$4, Log!$C:$C, $A98, Log!$A:$A, "Daily", Log!$B:$B, "n/a"), 0),
        _xlpm.ie_camera_on_date, IFERROR(AVERAGEIFS(Log!$G:$G, Log!$D:$D,E$4,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8" s="68" t="str">
        <f>IFERROR(
    _xlfn.LET(
        _xlpm.is_data_present, $A98&lt;&gt;0,
        _xlpm.is_camera_present, COUNTIFS(Log!$C:$C, $A98, Log!$D:$D, F$4, Log!$A:$A, "Daily", Log!$B:$B, "n/a"),
        _xlpm.we_camera_on_date, IFERROR(AVERAGEIFS(Log!$F:$F, Log!$D:$D,F$4, Log!$C:$C, $A98, Log!$A:$A, "Daily", Log!$B:$B, "n/a"), 0),
        _xlpm.ie_camera_on_date, IFERROR(AVERAGEIFS(Log!$G:$G, Log!$D:$D,F$4,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8" s="68" t="str">
        <f>IFERROR(
    _xlfn.LET(
        _xlpm.is_data_present, $A98&lt;&gt;0,
        _xlpm.is_camera_present, COUNTIFS(Log!$C:$C, $A98, Log!$D:$D, G$4, Log!$A:$A, "Daily", Log!$B:$B, "n/a"),
        _xlpm.we_camera_on_date, IFERROR(AVERAGEIFS(Log!$F:$F, Log!$D:$D,G$4, Log!$C:$C, $A98, Log!$A:$A, "Daily", Log!$B:$B, "n/a"), 0),
        _xlpm.ie_camera_on_date, IFERROR(AVERAGEIFS(Log!$G:$G, Log!$D:$D,G$4,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8" s="68" t="str">
        <f>IFERROR(
    _xlfn.LET(
        _xlpm.is_data_present, $A98&lt;&gt;0,
        _xlpm.is_camera_present, COUNTIFS(Log!$C:$C, $A98, Log!$D:$D, H$4, Log!$A:$A, "Daily", Log!$B:$B, "n/a"),
        _xlpm.we_camera_on_date, IFERROR(AVERAGEIFS(Log!$F:$F, Log!$D:$D,H$4, Log!$C:$C, $A98, Log!$A:$A, "Daily", Log!$B:$B, "n/a"), 0),
        _xlpm.ie_camera_on_date, IFERROR(AVERAGEIFS(Log!$G:$G, Log!$D:$D,H$4,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8" s="68" t="str">
        <f>IFERROR(
    _xlfn.LET(
        _xlpm.is_data_present, $A98&lt;&gt;0,
        _xlpm.is_camera_present, COUNTIFS(Log!$C:$C, $A98, Log!$D:$D, I$4, Log!$A:$A, "Daily", Log!$B:$B, "n/a"),
        _xlpm.we_camera_on_date, IFERROR(AVERAGEIFS(Log!$F:$F, Log!$D:$D,I$4, Log!$C:$C, $A98, Log!$A:$A, "Daily", Log!$B:$B, "n/a"), 0),
        _xlpm.ie_camera_on_date, IFERROR(AVERAGEIFS(Log!$G:$G, Log!$D:$D,I$4,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8" s="68" t="str">
        <f>IFERROR(
    _xlfn.LET(
        _xlpm.is_data_present, $A98&lt;&gt;0,
        _xlpm.is_camera_present, COUNTIFS(Log!$C:$C, $A98, Log!$D:$D, J$4, Log!$A:$A, "Daily", Log!$B:$B, "n/a"),
        _xlpm.we_camera_on_date, IFERROR(AVERAGEIFS(Log!$F:$F, Log!$D:$D,J$4, Log!$C:$C, $A98, Log!$A:$A, "Daily", Log!$B:$B, "n/a"), 0),
        _xlpm.ie_camera_on_date, IFERROR(AVERAGEIFS(Log!$G:$G, Log!$D:$D,J$4,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8" s="68" t="str">
        <f>IFERROR(
    _xlfn.LET(
        _xlpm.is_data_present, $A98&lt;&gt;0,
        _xlpm.is_camera_present, COUNTIFS(Log!$C:$C, $A98, Log!$D:$D, K$4, Log!$A:$A, "Daily", Log!$B:$B, "n/a"),
        _xlpm.we_camera_on_date, IFERROR(AVERAGEIFS(Log!$F:$F, Log!$D:$D,K$4, Log!$C:$C, $A98, Log!$A:$A, "Daily", Log!$B:$B, "n/a"), 0),
        _xlpm.ie_camera_on_date, IFERROR(AVERAGEIFS(Log!$G:$G, Log!$D:$D,K$4,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8" s="68" t="str">
        <f>IFERROR(
    _xlfn.LET(
        _xlpm.is_data_present, $A98&lt;&gt;0,
        _xlpm.is_camera_present, COUNTIFS(Log!$C:$C, $A98, Log!$D:$D, L$4, Log!$A:$A, "Daily", Log!$B:$B, "n/a"),
        _xlpm.we_camera_on_date, IFERROR(AVERAGEIFS(Log!$F:$F, Log!$D:$D,L$4, Log!$C:$C, $A98, Log!$A:$A, "Daily", Log!$B:$B, "n/a"), 0),
        _xlpm.ie_camera_on_date, IFERROR(AVERAGEIFS(Log!$G:$G, Log!$D:$D,L$4,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8" s="68" t="str">
        <f>IFERROR(
    _xlfn.LET(
        _xlpm.is_data_present, $A98&lt;&gt;0,
        _xlpm.is_camera_present, COUNTIFS(Log!$C:$C, $A98, Log!$D:$D, M$4, Log!$A:$A, "Daily", Log!$B:$B, "n/a"),
        _xlpm.we_camera_on_date, IFERROR(AVERAGEIFS(Log!$F:$F, Log!$D:$D,M$4, Log!$C:$C, $A98, Log!$A:$A, "Daily", Log!$B:$B, "n/a"), 0),
        _xlpm.ie_camera_on_date, IFERROR(AVERAGEIFS(Log!$G:$G, Log!$D:$D,M$4,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8" s="68" t="str">
        <f>IFERROR(
    _xlfn.LET(
        _xlpm.is_data_present, $A98&lt;&gt;0,
        _xlpm.is_camera_present, COUNTIFS(Log!$C:$C, $A98, Log!$D:$D, N$4, Log!$A:$A, "Daily", Log!$B:$B, "n/a"),
        _xlpm.we_camera_on_date, IFERROR(AVERAGEIFS(Log!$F:$F, Log!$D:$D,N$4, Log!$C:$C, $A98, Log!$A:$A, "Daily", Log!$B:$B, "n/a"), 0),
        _xlpm.ie_camera_on_date, IFERROR(AVERAGEIFS(Log!$G:$G, Log!$D:$D,N$4,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8" s="68" t="str">
        <f>IFERROR(
    _xlfn.LET(
        _xlpm.is_data_present, $A98&lt;&gt;0,
        _xlpm.is_camera_present, COUNTIFS(Log!$C:$C, $A98, Log!$D:$D, O$4, Log!$A:$A, "Daily", Log!$B:$B, "n/a"),
        _xlpm.we_camera_on_date, IFERROR(AVERAGEIFS(Log!$F:$F, Log!$D:$D,O$4, Log!$C:$C, $A98, Log!$A:$A, "Daily", Log!$B:$B, "n/a"), 0),
        _xlpm.ie_camera_on_date, IFERROR(AVERAGEIFS(Log!$G:$G, Log!$D:$D,O$4,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8" s="68" t="str">
        <f>IFERROR(
    _xlfn.LET(
        _xlpm.is_data_present, $A98&lt;&gt;0,
        _xlpm.is_camera_present, COUNTIFS(Log!$C:$C, $A98, Log!$D:$D, P$4, Log!$A:$A, "Daily", Log!$B:$B, "n/a"),
        _xlpm.we_camera_on_date, IFERROR(AVERAGEIFS(Log!$F:$F, Log!$D:$D,P$4, Log!$C:$C, $A98, Log!$A:$A, "Daily", Log!$B:$B, "n/a"), 0),
        _xlpm.ie_camera_on_date, IFERROR(AVERAGEIFS(Log!$G:$G, Log!$D:$D,P$4,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8" s="68" t="str">
        <f>IFERROR(
    _xlfn.LET(
        _xlpm.is_data_present, $A98&lt;&gt;0,
        _xlpm.is_camera_present, COUNTIFS(Log!$C:$C, $A98, Log!$D:$D, Q$4, Log!$A:$A, "Daily", Log!$B:$B, "n/a"),
        _xlpm.we_camera_on_date, IFERROR(AVERAGEIFS(Log!$F:$F, Log!$D:$D,Q$4, Log!$C:$C, $A98, Log!$A:$A, "Daily", Log!$B:$B, "n/a"), 0),
        _xlpm.ie_camera_on_date, IFERROR(AVERAGEIFS(Log!$G:$G, Log!$D:$D,Q$4,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8" s="68" t="str">
        <f>IFERROR(
    _xlfn.LET(
        _xlpm.is_data_present, $A98&lt;&gt;0,
        _xlpm.is_camera_present, COUNTIFS(Log!$C:$C, $A98, Log!$D:$D, R$4, Log!$A:$A, "Daily", Log!$B:$B, "n/a"),
        _xlpm.we_camera_on_date, IFERROR(AVERAGEIFS(Log!$F:$F, Log!$D:$D,R$4, Log!$C:$C, $A98, Log!$A:$A, "Daily", Log!$B:$B, "n/a"), 0),
        _xlpm.ie_camera_on_date, IFERROR(AVERAGEIFS(Log!$G:$G, Log!$D:$D,R$4,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8" s="68" t="str">
        <f>IFERROR(
    _xlfn.LET(
        _xlpm.is_data_present, $A98&lt;&gt;0,
        _xlpm.is_camera_present, COUNTIFS(Log!$C:$C, $A98, Log!$D:$D, S$4, Log!$A:$A, "Daily", Log!$B:$B, "n/a"),
        _xlpm.we_camera_on_date, IFERROR(AVERAGEIFS(Log!$F:$F, Log!$D:$D,S$4, Log!$C:$C, $A98, Log!$A:$A, "Daily", Log!$B:$B, "n/a"), 0),
        _xlpm.ie_camera_on_date, IFERROR(AVERAGEIFS(Log!$G:$G, Log!$D:$D,S$4, Log!$C:$C, $A98, Log!$A:$A, "Daily", Log!$B:$B, "n/a"), 0),
        _xlpm.we_avg, IFERROR(AVERAGEIFS(Log!$F:$F,Log!$C:$C,$A98, Log!$A:$A, "Daily", Log!$B:$B, "n/a"),0),
        _xlpm.ie_avg, IFERROR(AVERAGEIFS(Log!$G:$G,Log!$C:$C,$A98,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99" spans="2:19" x14ac:dyDescent="0.3">
      <c r="B99" s="68" t="str">
        <f>IFERROR(
    _xlfn.LET(
        _xlpm.is_data_present, $A99&lt;&gt;0,
        _xlpm.is_camera_present, COUNTIFS(Log!$C:$C, $A99, Log!$D:$D, B$4, Log!$A:$A, "Daily", Log!$B:$B, "n/a"),
        _xlpm.we_camera_on_date, IFERROR(AVERAGEIFS(Log!$F:$F, Log!$D:$D,B$4, Log!$C:$C, $A99, Log!$A:$A, "Daily", Log!$B:$B, "n/a"), 0),
        _xlpm.ie_camera_on_date, IFERROR(AVERAGEIFS(Log!$G:$G, Log!$D:$D,B$4,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99" s="68" t="str">
        <f>IFERROR(
    _xlfn.LET(
        _xlpm.is_data_present, $A99&lt;&gt;0,
        _xlpm.is_camera_present, COUNTIFS(Log!$C:$C, $A99, Log!$D:$D, C$4, Log!$A:$A, "Daily", Log!$B:$B, "n/a"),
        _xlpm.we_camera_on_date, IFERROR(AVERAGEIFS(Log!$F:$F, Log!$D:$D,C$4, Log!$C:$C, $A99, Log!$A:$A, "Daily", Log!$B:$B, "n/a"), 0),
        _xlpm.ie_camera_on_date, IFERROR(AVERAGEIFS(Log!$G:$G, Log!$D:$D,C$4,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99" s="68" t="str">
        <f>IFERROR(
    _xlfn.LET(
        _xlpm.is_data_present, $A99&lt;&gt;0,
        _xlpm.is_camera_present, COUNTIFS(Log!$C:$C, $A99, Log!$D:$D, D$4, Log!$A:$A, "Daily", Log!$B:$B, "n/a"),
        _xlpm.we_camera_on_date, IFERROR(AVERAGEIFS(Log!$F:$F, Log!$D:$D,D$4, Log!$C:$C, $A99, Log!$A:$A, "Daily", Log!$B:$B, "n/a"), 0),
        _xlpm.ie_camera_on_date, IFERROR(AVERAGEIFS(Log!$G:$G, Log!$D:$D,D$4,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99" s="68" t="str">
        <f>IFERROR(
    _xlfn.LET(
        _xlpm.is_data_present, $A99&lt;&gt;0,
        _xlpm.is_camera_present, COUNTIFS(Log!$C:$C, $A99, Log!$D:$D, E$4, Log!$A:$A, "Daily", Log!$B:$B, "n/a"),
        _xlpm.we_camera_on_date, IFERROR(AVERAGEIFS(Log!$F:$F, Log!$D:$D,E$4, Log!$C:$C, $A99, Log!$A:$A, "Daily", Log!$B:$B, "n/a"), 0),
        _xlpm.ie_camera_on_date, IFERROR(AVERAGEIFS(Log!$G:$G, Log!$D:$D,E$4,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99" s="68" t="str">
        <f>IFERROR(
    _xlfn.LET(
        _xlpm.is_data_present, $A99&lt;&gt;0,
        _xlpm.is_camera_present, COUNTIFS(Log!$C:$C, $A99, Log!$D:$D, F$4, Log!$A:$A, "Daily", Log!$B:$B, "n/a"),
        _xlpm.we_camera_on_date, IFERROR(AVERAGEIFS(Log!$F:$F, Log!$D:$D,F$4, Log!$C:$C, $A99, Log!$A:$A, "Daily", Log!$B:$B, "n/a"), 0),
        _xlpm.ie_camera_on_date, IFERROR(AVERAGEIFS(Log!$G:$G, Log!$D:$D,F$4,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99" s="68" t="str">
        <f>IFERROR(
    _xlfn.LET(
        _xlpm.is_data_present, $A99&lt;&gt;0,
        _xlpm.is_camera_present, COUNTIFS(Log!$C:$C, $A99, Log!$D:$D, G$4, Log!$A:$A, "Daily", Log!$B:$B, "n/a"),
        _xlpm.we_camera_on_date, IFERROR(AVERAGEIFS(Log!$F:$F, Log!$D:$D,G$4, Log!$C:$C, $A99, Log!$A:$A, "Daily", Log!$B:$B, "n/a"), 0),
        _xlpm.ie_camera_on_date, IFERROR(AVERAGEIFS(Log!$G:$G, Log!$D:$D,G$4,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99" s="68" t="str">
        <f>IFERROR(
    _xlfn.LET(
        _xlpm.is_data_present, $A99&lt;&gt;0,
        _xlpm.is_camera_present, COUNTIFS(Log!$C:$C, $A99, Log!$D:$D, H$4, Log!$A:$A, "Daily", Log!$B:$B, "n/a"),
        _xlpm.we_camera_on_date, IFERROR(AVERAGEIFS(Log!$F:$F, Log!$D:$D,H$4, Log!$C:$C, $A99, Log!$A:$A, "Daily", Log!$B:$B, "n/a"), 0),
        _xlpm.ie_camera_on_date, IFERROR(AVERAGEIFS(Log!$G:$G, Log!$D:$D,H$4,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99" s="68" t="str">
        <f>IFERROR(
    _xlfn.LET(
        _xlpm.is_data_present, $A99&lt;&gt;0,
        _xlpm.is_camera_present, COUNTIFS(Log!$C:$C, $A99, Log!$D:$D, I$4, Log!$A:$A, "Daily", Log!$B:$B, "n/a"),
        _xlpm.we_camera_on_date, IFERROR(AVERAGEIFS(Log!$F:$F, Log!$D:$D,I$4, Log!$C:$C, $A99, Log!$A:$A, "Daily", Log!$B:$B, "n/a"), 0),
        _xlpm.ie_camera_on_date, IFERROR(AVERAGEIFS(Log!$G:$G, Log!$D:$D,I$4,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99" s="68" t="str">
        <f>IFERROR(
    _xlfn.LET(
        _xlpm.is_data_present, $A99&lt;&gt;0,
        _xlpm.is_camera_present, COUNTIFS(Log!$C:$C, $A99, Log!$D:$D, J$4, Log!$A:$A, "Daily", Log!$B:$B, "n/a"),
        _xlpm.we_camera_on_date, IFERROR(AVERAGEIFS(Log!$F:$F, Log!$D:$D,J$4, Log!$C:$C, $A99, Log!$A:$A, "Daily", Log!$B:$B, "n/a"), 0),
        _xlpm.ie_camera_on_date, IFERROR(AVERAGEIFS(Log!$G:$G, Log!$D:$D,J$4,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99" s="68" t="str">
        <f>IFERROR(
    _xlfn.LET(
        _xlpm.is_data_present, $A99&lt;&gt;0,
        _xlpm.is_camera_present, COUNTIFS(Log!$C:$C, $A99, Log!$D:$D, K$4, Log!$A:$A, "Daily", Log!$B:$B, "n/a"),
        _xlpm.we_camera_on_date, IFERROR(AVERAGEIFS(Log!$F:$F, Log!$D:$D,K$4, Log!$C:$C, $A99, Log!$A:$A, "Daily", Log!$B:$B, "n/a"), 0),
        _xlpm.ie_camera_on_date, IFERROR(AVERAGEIFS(Log!$G:$G, Log!$D:$D,K$4,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99" s="68" t="str">
        <f>IFERROR(
    _xlfn.LET(
        _xlpm.is_data_present, $A99&lt;&gt;0,
        _xlpm.is_camera_present, COUNTIFS(Log!$C:$C, $A99, Log!$D:$D, L$4, Log!$A:$A, "Daily", Log!$B:$B, "n/a"),
        _xlpm.we_camera_on_date, IFERROR(AVERAGEIFS(Log!$F:$F, Log!$D:$D,L$4, Log!$C:$C, $A99, Log!$A:$A, "Daily", Log!$B:$B, "n/a"), 0),
        _xlpm.ie_camera_on_date, IFERROR(AVERAGEIFS(Log!$G:$G, Log!$D:$D,L$4,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99" s="68" t="str">
        <f>IFERROR(
    _xlfn.LET(
        _xlpm.is_data_present, $A99&lt;&gt;0,
        _xlpm.is_camera_present, COUNTIFS(Log!$C:$C, $A99, Log!$D:$D, M$4, Log!$A:$A, "Daily", Log!$B:$B, "n/a"),
        _xlpm.we_camera_on_date, IFERROR(AVERAGEIFS(Log!$F:$F, Log!$D:$D,M$4, Log!$C:$C, $A99, Log!$A:$A, "Daily", Log!$B:$B, "n/a"), 0),
        _xlpm.ie_camera_on_date, IFERROR(AVERAGEIFS(Log!$G:$G, Log!$D:$D,M$4,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99" s="68" t="str">
        <f>IFERROR(
    _xlfn.LET(
        _xlpm.is_data_present, $A99&lt;&gt;0,
        _xlpm.is_camera_present, COUNTIFS(Log!$C:$C, $A99, Log!$D:$D, N$4, Log!$A:$A, "Daily", Log!$B:$B, "n/a"),
        _xlpm.we_camera_on_date, IFERROR(AVERAGEIFS(Log!$F:$F, Log!$D:$D,N$4, Log!$C:$C, $A99, Log!$A:$A, "Daily", Log!$B:$B, "n/a"), 0),
        _xlpm.ie_camera_on_date, IFERROR(AVERAGEIFS(Log!$G:$G, Log!$D:$D,N$4,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99" s="68" t="str">
        <f>IFERROR(
    _xlfn.LET(
        _xlpm.is_data_present, $A99&lt;&gt;0,
        _xlpm.is_camera_present, COUNTIFS(Log!$C:$C, $A99, Log!$D:$D, O$4, Log!$A:$A, "Daily", Log!$B:$B, "n/a"),
        _xlpm.we_camera_on_date, IFERROR(AVERAGEIFS(Log!$F:$F, Log!$D:$D,O$4, Log!$C:$C, $A99, Log!$A:$A, "Daily", Log!$B:$B, "n/a"), 0),
        _xlpm.ie_camera_on_date, IFERROR(AVERAGEIFS(Log!$G:$G, Log!$D:$D,O$4,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99" s="68" t="str">
        <f>IFERROR(
    _xlfn.LET(
        _xlpm.is_data_present, $A99&lt;&gt;0,
        _xlpm.is_camera_present, COUNTIFS(Log!$C:$C, $A99, Log!$D:$D, P$4, Log!$A:$A, "Daily", Log!$B:$B, "n/a"),
        _xlpm.we_camera_on_date, IFERROR(AVERAGEIFS(Log!$F:$F, Log!$D:$D,P$4, Log!$C:$C, $A99, Log!$A:$A, "Daily", Log!$B:$B, "n/a"), 0),
        _xlpm.ie_camera_on_date, IFERROR(AVERAGEIFS(Log!$G:$G, Log!$D:$D,P$4,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99" s="68" t="str">
        <f>IFERROR(
    _xlfn.LET(
        _xlpm.is_data_present, $A99&lt;&gt;0,
        _xlpm.is_camera_present, COUNTIFS(Log!$C:$C, $A99, Log!$D:$D, Q$4, Log!$A:$A, "Daily", Log!$B:$B, "n/a"),
        _xlpm.we_camera_on_date, IFERROR(AVERAGEIFS(Log!$F:$F, Log!$D:$D,Q$4, Log!$C:$C, $A99, Log!$A:$A, "Daily", Log!$B:$B, "n/a"), 0),
        _xlpm.ie_camera_on_date, IFERROR(AVERAGEIFS(Log!$G:$G, Log!$D:$D,Q$4,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99" s="68" t="str">
        <f>IFERROR(
    _xlfn.LET(
        _xlpm.is_data_present, $A99&lt;&gt;0,
        _xlpm.is_camera_present, COUNTIFS(Log!$C:$C, $A99, Log!$D:$D, R$4, Log!$A:$A, "Daily", Log!$B:$B, "n/a"),
        _xlpm.we_camera_on_date, IFERROR(AVERAGEIFS(Log!$F:$F, Log!$D:$D,R$4, Log!$C:$C, $A99, Log!$A:$A, "Daily", Log!$B:$B, "n/a"), 0),
        _xlpm.ie_camera_on_date, IFERROR(AVERAGEIFS(Log!$G:$G, Log!$D:$D,R$4,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99" s="68" t="str">
        <f>IFERROR(
    _xlfn.LET(
        _xlpm.is_data_present, $A99&lt;&gt;0,
        _xlpm.is_camera_present, COUNTIFS(Log!$C:$C, $A99, Log!$D:$D, S$4, Log!$A:$A, "Daily", Log!$B:$B, "n/a"),
        _xlpm.we_camera_on_date, IFERROR(AVERAGEIFS(Log!$F:$F, Log!$D:$D,S$4, Log!$C:$C, $A99, Log!$A:$A, "Daily", Log!$B:$B, "n/a"), 0),
        _xlpm.ie_camera_on_date, IFERROR(AVERAGEIFS(Log!$G:$G, Log!$D:$D,S$4, Log!$C:$C, $A99, Log!$A:$A, "Daily", Log!$B:$B, "n/a"), 0),
        _xlpm.we_avg, IFERROR(AVERAGEIFS(Log!$F:$F,Log!$C:$C,$A99, Log!$A:$A, "Daily", Log!$B:$B, "n/a"),0),
        _xlpm.ie_avg, IFERROR(AVERAGEIFS(Log!$G:$G,Log!$C:$C,$A99,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0" spans="2:19" x14ac:dyDescent="0.3">
      <c r="B100" s="68" t="str">
        <f>IFERROR(
    _xlfn.LET(
        _xlpm.is_data_present, $A100&lt;&gt;0,
        _xlpm.is_camera_present, COUNTIFS(Log!$C:$C, $A100, Log!$D:$D, B$4, Log!$A:$A, "Daily", Log!$B:$B, "n/a"),
        _xlpm.we_camera_on_date, IFERROR(AVERAGEIFS(Log!$F:$F, Log!$D:$D,B$4, Log!$C:$C, $A100, Log!$A:$A, "Daily", Log!$B:$B, "n/a"), 0),
        _xlpm.ie_camera_on_date, IFERROR(AVERAGEIFS(Log!$G:$G, Log!$D:$D,B$4,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0" s="68" t="str">
        <f>IFERROR(
    _xlfn.LET(
        _xlpm.is_data_present, $A100&lt;&gt;0,
        _xlpm.is_camera_present, COUNTIFS(Log!$C:$C, $A100, Log!$D:$D, C$4, Log!$A:$A, "Daily", Log!$B:$B, "n/a"),
        _xlpm.we_camera_on_date, IFERROR(AVERAGEIFS(Log!$F:$F, Log!$D:$D,C$4, Log!$C:$C, $A100, Log!$A:$A, "Daily", Log!$B:$B, "n/a"), 0),
        _xlpm.ie_camera_on_date, IFERROR(AVERAGEIFS(Log!$G:$G, Log!$D:$D,C$4,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0" s="68" t="str">
        <f>IFERROR(
    _xlfn.LET(
        _xlpm.is_data_present, $A100&lt;&gt;0,
        _xlpm.is_camera_present, COUNTIFS(Log!$C:$C, $A100, Log!$D:$D, D$4, Log!$A:$A, "Daily", Log!$B:$B, "n/a"),
        _xlpm.we_camera_on_date, IFERROR(AVERAGEIFS(Log!$F:$F, Log!$D:$D,D$4, Log!$C:$C, $A100, Log!$A:$A, "Daily", Log!$B:$B, "n/a"), 0),
        _xlpm.ie_camera_on_date, IFERROR(AVERAGEIFS(Log!$G:$G, Log!$D:$D,D$4,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0" s="68" t="str">
        <f>IFERROR(
    _xlfn.LET(
        _xlpm.is_data_present, $A100&lt;&gt;0,
        _xlpm.is_camera_present, COUNTIFS(Log!$C:$C, $A100, Log!$D:$D, E$4, Log!$A:$A, "Daily", Log!$B:$B, "n/a"),
        _xlpm.we_camera_on_date, IFERROR(AVERAGEIFS(Log!$F:$F, Log!$D:$D,E$4, Log!$C:$C, $A100, Log!$A:$A, "Daily", Log!$B:$B, "n/a"), 0),
        _xlpm.ie_camera_on_date, IFERROR(AVERAGEIFS(Log!$G:$G, Log!$D:$D,E$4,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0" s="68" t="str">
        <f>IFERROR(
    _xlfn.LET(
        _xlpm.is_data_present, $A100&lt;&gt;0,
        _xlpm.is_camera_present, COUNTIFS(Log!$C:$C, $A100, Log!$D:$D, F$4, Log!$A:$A, "Daily", Log!$B:$B, "n/a"),
        _xlpm.we_camera_on_date, IFERROR(AVERAGEIFS(Log!$F:$F, Log!$D:$D,F$4, Log!$C:$C, $A100, Log!$A:$A, "Daily", Log!$B:$B, "n/a"), 0),
        _xlpm.ie_camera_on_date, IFERROR(AVERAGEIFS(Log!$G:$G, Log!$D:$D,F$4,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0" s="68" t="str">
        <f>IFERROR(
    _xlfn.LET(
        _xlpm.is_data_present, $A100&lt;&gt;0,
        _xlpm.is_camera_present, COUNTIFS(Log!$C:$C, $A100, Log!$D:$D, G$4, Log!$A:$A, "Daily", Log!$B:$B, "n/a"),
        _xlpm.we_camera_on_date, IFERROR(AVERAGEIFS(Log!$F:$F, Log!$D:$D,G$4, Log!$C:$C, $A100, Log!$A:$A, "Daily", Log!$B:$B, "n/a"), 0),
        _xlpm.ie_camera_on_date, IFERROR(AVERAGEIFS(Log!$G:$G, Log!$D:$D,G$4,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0" s="68" t="str">
        <f>IFERROR(
    _xlfn.LET(
        _xlpm.is_data_present, $A100&lt;&gt;0,
        _xlpm.is_camera_present, COUNTIFS(Log!$C:$C, $A100, Log!$D:$D, H$4, Log!$A:$A, "Daily", Log!$B:$B, "n/a"),
        _xlpm.we_camera_on_date, IFERROR(AVERAGEIFS(Log!$F:$F, Log!$D:$D,H$4, Log!$C:$C, $A100, Log!$A:$A, "Daily", Log!$B:$B, "n/a"), 0),
        _xlpm.ie_camera_on_date, IFERROR(AVERAGEIFS(Log!$G:$G, Log!$D:$D,H$4,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0" s="68" t="str">
        <f>IFERROR(
    _xlfn.LET(
        _xlpm.is_data_present, $A100&lt;&gt;0,
        _xlpm.is_camera_present, COUNTIFS(Log!$C:$C, $A100, Log!$D:$D, I$4, Log!$A:$A, "Daily", Log!$B:$B, "n/a"),
        _xlpm.we_camera_on_date, IFERROR(AVERAGEIFS(Log!$F:$F, Log!$D:$D,I$4, Log!$C:$C, $A100, Log!$A:$A, "Daily", Log!$B:$B, "n/a"), 0),
        _xlpm.ie_camera_on_date, IFERROR(AVERAGEIFS(Log!$G:$G, Log!$D:$D,I$4,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0" s="68" t="str">
        <f>IFERROR(
    _xlfn.LET(
        _xlpm.is_data_present, $A100&lt;&gt;0,
        _xlpm.is_camera_present, COUNTIFS(Log!$C:$C, $A100, Log!$D:$D, J$4, Log!$A:$A, "Daily", Log!$B:$B, "n/a"),
        _xlpm.we_camera_on_date, IFERROR(AVERAGEIFS(Log!$F:$F, Log!$D:$D,J$4, Log!$C:$C, $A100, Log!$A:$A, "Daily", Log!$B:$B, "n/a"), 0),
        _xlpm.ie_camera_on_date, IFERROR(AVERAGEIFS(Log!$G:$G, Log!$D:$D,J$4,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0" s="68" t="str">
        <f>IFERROR(
    _xlfn.LET(
        _xlpm.is_data_present, $A100&lt;&gt;0,
        _xlpm.is_camera_present, COUNTIFS(Log!$C:$C, $A100, Log!$D:$D, K$4, Log!$A:$A, "Daily", Log!$B:$B, "n/a"),
        _xlpm.we_camera_on_date, IFERROR(AVERAGEIFS(Log!$F:$F, Log!$D:$D,K$4, Log!$C:$C, $A100, Log!$A:$A, "Daily", Log!$B:$B, "n/a"), 0),
        _xlpm.ie_camera_on_date, IFERROR(AVERAGEIFS(Log!$G:$G, Log!$D:$D,K$4,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0" s="68" t="str">
        <f>IFERROR(
    _xlfn.LET(
        _xlpm.is_data_present, $A100&lt;&gt;0,
        _xlpm.is_camera_present, COUNTIFS(Log!$C:$C, $A100, Log!$D:$D, L$4, Log!$A:$A, "Daily", Log!$B:$B, "n/a"),
        _xlpm.we_camera_on_date, IFERROR(AVERAGEIFS(Log!$F:$F, Log!$D:$D,L$4, Log!$C:$C, $A100, Log!$A:$A, "Daily", Log!$B:$B, "n/a"), 0),
        _xlpm.ie_camera_on_date, IFERROR(AVERAGEIFS(Log!$G:$G, Log!$D:$D,L$4,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0" s="68" t="str">
        <f>IFERROR(
    _xlfn.LET(
        _xlpm.is_data_present, $A100&lt;&gt;0,
        _xlpm.is_camera_present, COUNTIFS(Log!$C:$C, $A100, Log!$D:$D, M$4, Log!$A:$A, "Daily", Log!$B:$B, "n/a"),
        _xlpm.we_camera_on_date, IFERROR(AVERAGEIFS(Log!$F:$F, Log!$D:$D,M$4, Log!$C:$C, $A100, Log!$A:$A, "Daily", Log!$B:$B, "n/a"), 0),
        _xlpm.ie_camera_on_date, IFERROR(AVERAGEIFS(Log!$G:$G, Log!$D:$D,M$4,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0" s="68" t="str">
        <f>IFERROR(
    _xlfn.LET(
        _xlpm.is_data_present, $A100&lt;&gt;0,
        _xlpm.is_camera_present, COUNTIFS(Log!$C:$C, $A100, Log!$D:$D, N$4, Log!$A:$A, "Daily", Log!$B:$B, "n/a"),
        _xlpm.we_camera_on_date, IFERROR(AVERAGEIFS(Log!$F:$F, Log!$D:$D,N$4, Log!$C:$C, $A100, Log!$A:$A, "Daily", Log!$B:$B, "n/a"), 0),
        _xlpm.ie_camera_on_date, IFERROR(AVERAGEIFS(Log!$G:$G, Log!$D:$D,N$4,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0" s="68" t="str">
        <f>IFERROR(
    _xlfn.LET(
        _xlpm.is_data_present, $A100&lt;&gt;0,
        _xlpm.is_camera_present, COUNTIFS(Log!$C:$C, $A100, Log!$D:$D, O$4, Log!$A:$A, "Daily", Log!$B:$B, "n/a"),
        _xlpm.we_camera_on_date, IFERROR(AVERAGEIFS(Log!$F:$F, Log!$D:$D,O$4, Log!$C:$C, $A100, Log!$A:$A, "Daily", Log!$B:$B, "n/a"), 0),
        _xlpm.ie_camera_on_date, IFERROR(AVERAGEIFS(Log!$G:$G, Log!$D:$D,O$4,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0" s="68" t="str">
        <f>IFERROR(
    _xlfn.LET(
        _xlpm.is_data_present, $A100&lt;&gt;0,
        _xlpm.is_camera_present, COUNTIFS(Log!$C:$C, $A100, Log!$D:$D, P$4, Log!$A:$A, "Daily", Log!$B:$B, "n/a"),
        _xlpm.we_camera_on_date, IFERROR(AVERAGEIFS(Log!$F:$F, Log!$D:$D,P$4, Log!$C:$C, $A100, Log!$A:$A, "Daily", Log!$B:$B, "n/a"), 0),
        _xlpm.ie_camera_on_date, IFERROR(AVERAGEIFS(Log!$G:$G, Log!$D:$D,P$4,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0" s="68" t="str">
        <f>IFERROR(
    _xlfn.LET(
        _xlpm.is_data_present, $A100&lt;&gt;0,
        _xlpm.is_camera_present, COUNTIFS(Log!$C:$C, $A100, Log!$D:$D, Q$4, Log!$A:$A, "Daily", Log!$B:$B, "n/a"),
        _xlpm.we_camera_on_date, IFERROR(AVERAGEIFS(Log!$F:$F, Log!$D:$D,Q$4, Log!$C:$C, $A100, Log!$A:$A, "Daily", Log!$B:$B, "n/a"), 0),
        _xlpm.ie_camera_on_date, IFERROR(AVERAGEIFS(Log!$G:$G, Log!$D:$D,Q$4,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0" s="68" t="str">
        <f>IFERROR(
    _xlfn.LET(
        _xlpm.is_data_present, $A100&lt;&gt;0,
        _xlpm.is_camera_present, COUNTIFS(Log!$C:$C, $A100, Log!$D:$D, R$4, Log!$A:$A, "Daily", Log!$B:$B, "n/a"),
        _xlpm.we_camera_on_date, IFERROR(AVERAGEIFS(Log!$F:$F, Log!$D:$D,R$4, Log!$C:$C, $A100, Log!$A:$A, "Daily", Log!$B:$B, "n/a"), 0),
        _xlpm.ie_camera_on_date, IFERROR(AVERAGEIFS(Log!$G:$G, Log!$D:$D,R$4,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0" s="68" t="str">
        <f>IFERROR(
    _xlfn.LET(
        _xlpm.is_data_present, $A100&lt;&gt;0,
        _xlpm.is_camera_present, COUNTIFS(Log!$C:$C, $A100, Log!$D:$D, S$4, Log!$A:$A, "Daily", Log!$B:$B, "n/a"),
        _xlpm.we_camera_on_date, IFERROR(AVERAGEIFS(Log!$F:$F, Log!$D:$D,S$4, Log!$C:$C, $A100, Log!$A:$A, "Daily", Log!$B:$B, "n/a"), 0),
        _xlpm.ie_camera_on_date, IFERROR(AVERAGEIFS(Log!$G:$G, Log!$D:$D,S$4, Log!$C:$C, $A100, Log!$A:$A, "Daily", Log!$B:$B, "n/a"), 0),
        _xlpm.we_avg, IFERROR(AVERAGEIFS(Log!$F:$F,Log!$C:$C,$A100, Log!$A:$A, "Daily", Log!$B:$B, "n/a"),0),
        _xlpm.ie_avg, IFERROR(AVERAGEIFS(Log!$G:$G,Log!$C:$C,$A100,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1" spans="2:19" x14ac:dyDescent="0.3">
      <c r="B101" s="68" t="str">
        <f>IFERROR(
    _xlfn.LET(
        _xlpm.is_data_present, $A101&lt;&gt;0,
        _xlpm.is_camera_present, COUNTIFS(Log!$C:$C, $A101, Log!$D:$D, B$4, Log!$A:$A, "Daily", Log!$B:$B, "n/a"),
        _xlpm.we_camera_on_date, IFERROR(AVERAGEIFS(Log!$F:$F, Log!$D:$D,B$4, Log!$C:$C, $A101, Log!$A:$A, "Daily", Log!$B:$B, "n/a"), 0),
        _xlpm.ie_camera_on_date, IFERROR(AVERAGEIFS(Log!$G:$G, Log!$D:$D,B$4,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1" s="68" t="str">
        <f>IFERROR(
    _xlfn.LET(
        _xlpm.is_data_present, $A101&lt;&gt;0,
        _xlpm.is_camera_present, COUNTIFS(Log!$C:$C, $A101, Log!$D:$D, C$4, Log!$A:$A, "Daily", Log!$B:$B, "n/a"),
        _xlpm.we_camera_on_date, IFERROR(AVERAGEIFS(Log!$F:$F, Log!$D:$D,C$4, Log!$C:$C, $A101, Log!$A:$A, "Daily", Log!$B:$B, "n/a"), 0),
        _xlpm.ie_camera_on_date, IFERROR(AVERAGEIFS(Log!$G:$G, Log!$D:$D,C$4,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1" s="68" t="str">
        <f>IFERROR(
    _xlfn.LET(
        _xlpm.is_data_present, $A101&lt;&gt;0,
        _xlpm.is_camera_present, COUNTIFS(Log!$C:$C, $A101, Log!$D:$D, D$4, Log!$A:$A, "Daily", Log!$B:$B, "n/a"),
        _xlpm.we_camera_on_date, IFERROR(AVERAGEIFS(Log!$F:$F, Log!$D:$D,D$4, Log!$C:$C, $A101, Log!$A:$A, "Daily", Log!$B:$B, "n/a"), 0),
        _xlpm.ie_camera_on_date, IFERROR(AVERAGEIFS(Log!$G:$G, Log!$D:$D,D$4,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1" s="68" t="str">
        <f>IFERROR(
    _xlfn.LET(
        _xlpm.is_data_present, $A101&lt;&gt;0,
        _xlpm.is_camera_present, COUNTIFS(Log!$C:$C, $A101, Log!$D:$D, E$4, Log!$A:$A, "Daily", Log!$B:$B, "n/a"),
        _xlpm.we_camera_on_date, IFERROR(AVERAGEIFS(Log!$F:$F, Log!$D:$D,E$4, Log!$C:$C, $A101, Log!$A:$A, "Daily", Log!$B:$B, "n/a"), 0),
        _xlpm.ie_camera_on_date, IFERROR(AVERAGEIFS(Log!$G:$G, Log!$D:$D,E$4,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1" s="68" t="str">
        <f>IFERROR(
    _xlfn.LET(
        _xlpm.is_data_present, $A101&lt;&gt;0,
        _xlpm.is_camera_present, COUNTIFS(Log!$C:$C, $A101, Log!$D:$D, F$4, Log!$A:$A, "Daily", Log!$B:$B, "n/a"),
        _xlpm.we_camera_on_date, IFERROR(AVERAGEIFS(Log!$F:$F, Log!$D:$D,F$4, Log!$C:$C, $A101, Log!$A:$A, "Daily", Log!$B:$B, "n/a"), 0),
        _xlpm.ie_camera_on_date, IFERROR(AVERAGEIFS(Log!$G:$G, Log!$D:$D,F$4,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1" s="68" t="str">
        <f>IFERROR(
    _xlfn.LET(
        _xlpm.is_data_present, $A101&lt;&gt;0,
        _xlpm.is_camera_present, COUNTIFS(Log!$C:$C, $A101, Log!$D:$D, G$4, Log!$A:$A, "Daily", Log!$B:$B, "n/a"),
        _xlpm.we_camera_on_date, IFERROR(AVERAGEIFS(Log!$F:$F, Log!$D:$D,G$4, Log!$C:$C, $A101, Log!$A:$A, "Daily", Log!$B:$B, "n/a"), 0),
        _xlpm.ie_camera_on_date, IFERROR(AVERAGEIFS(Log!$G:$G, Log!$D:$D,G$4,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1" s="68" t="str">
        <f>IFERROR(
    _xlfn.LET(
        _xlpm.is_data_present, $A101&lt;&gt;0,
        _xlpm.is_camera_present, COUNTIFS(Log!$C:$C, $A101, Log!$D:$D, H$4, Log!$A:$A, "Daily", Log!$B:$B, "n/a"),
        _xlpm.we_camera_on_date, IFERROR(AVERAGEIFS(Log!$F:$F, Log!$D:$D,H$4, Log!$C:$C, $A101, Log!$A:$A, "Daily", Log!$B:$B, "n/a"), 0),
        _xlpm.ie_camera_on_date, IFERROR(AVERAGEIFS(Log!$G:$G, Log!$D:$D,H$4,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1" s="68" t="str">
        <f>IFERROR(
    _xlfn.LET(
        _xlpm.is_data_present, $A101&lt;&gt;0,
        _xlpm.is_camera_present, COUNTIFS(Log!$C:$C, $A101, Log!$D:$D, I$4, Log!$A:$A, "Daily", Log!$B:$B, "n/a"),
        _xlpm.we_camera_on_date, IFERROR(AVERAGEIFS(Log!$F:$F, Log!$D:$D,I$4, Log!$C:$C, $A101, Log!$A:$A, "Daily", Log!$B:$B, "n/a"), 0),
        _xlpm.ie_camera_on_date, IFERROR(AVERAGEIFS(Log!$G:$G, Log!$D:$D,I$4,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1" s="68" t="str">
        <f>IFERROR(
    _xlfn.LET(
        _xlpm.is_data_present, $A101&lt;&gt;0,
        _xlpm.is_camera_present, COUNTIFS(Log!$C:$C, $A101, Log!$D:$D, J$4, Log!$A:$A, "Daily", Log!$B:$B, "n/a"),
        _xlpm.we_camera_on_date, IFERROR(AVERAGEIFS(Log!$F:$F, Log!$D:$D,J$4, Log!$C:$C, $A101, Log!$A:$A, "Daily", Log!$B:$B, "n/a"), 0),
        _xlpm.ie_camera_on_date, IFERROR(AVERAGEIFS(Log!$G:$G, Log!$D:$D,J$4,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1" s="68" t="str">
        <f>IFERROR(
    _xlfn.LET(
        _xlpm.is_data_present, $A101&lt;&gt;0,
        _xlpm.is_camera_present, COUNTIFS(Log!$C:$C, $A101, Log!$D:$D, K$4, Log!$A:$A, "Daily", Log!$B:$B, "n/a"),
        _xlpm.we_camera_on_date, IFERROR(AVERAGEIFS(Log!$F:$F, Log!$D:$D,K$4, Log!$C:$C, $A101, Log!$A:$A, "Daily", Log!$B:$B, "n/a"), 0),
        _xlpm.ie_camera_on_date, IFERROR(AVERAGEIFS(Log!$G:$G, Log!$D:$D,K$4,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1" s="68" t="str">
        <f>IFERROR(
    _xlfn.LET(
        _xlpm.is_data_present, $A101&lt;&gt;0,
        _xlpm.is_camera_present, COUNTIFS(Log!$C:$C, $A101, Log!$D:$D, L$4, Log!$A:$A, "Daily", Log!$B:$B, "n/a"),
        _xlpm.we_camera_on_date, IFERROR(AVERAGEIFS(Log!$F:$F, Log!$D:$D,L$4, Log!$C:$C, $A101, Log!$A:$A, "Daily", Log!$B:$B, "n/a"), 0),
        _xlpm.ie_camera_on_date, IFERROR(AVERAGEIFS(Log!$G:$G, Log!$D:$D,L$4,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1" s="68" t="str">
        <f>IFERROR(
    _xlfn.LET(
        _xlpm.is_data_present, $A101&lt;&gt;0,
        _xlpm.is_camera_present, COUNTIFS(Log!$C:$C, $A101, Log!$D:$D, M$4, Log!$A:$A, "Daily", Log!$B:$B, "n/a"),
        _xlpm.we_camera_on_date, IFERROR(AVERAGEIFS(Log!$F:$F, Log!$D:$D,M$4, Log!$C:$C, $A101, Log!$A:$A, "Daily", Log!$B:$B, "n/a"), 0),
        _xlpm.ie_camera_on_date, IFERROR(AVERAGEIFS(Log!$G:$G, Log!$D:$D,M$4,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1" s="68" t="str">
        <f>IFERROR(
    _xlfn.LET(
        _xlpm.is_data_present, $A101&lt;&gt;0,
        _xlpm.is_camera_present, COUNTIFS(Log!$C:$C, $A101, Log!$D:$D, N$4, Log!$A:$A, "Daily", Log!$B:$B, "n/a"),
        _xlpm.we_camera_on_date, IFERROR(AVERAGEIFS(Log!$F:$F, Log!$D:$D,N$4, Log!$C:$C, $A101, Log!$A:$A, "Daily", Log!$B:$B, "n/a"), 0),
        _xlpm.ie_camera_on_date, IFERROR(AVERAGEIFS(Log!$G:$G, Log!$D:$D,N$4,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1" s="68" t="str">
        <f>IFERROR(
    _xlfn.LET(
        _xlpm.is_data_present, $A101&lt;&gt;0,
        _xlpm.is_camera_present, COUNTIFS(Log!$C:$C, $A101, Log!$D:$D, O$4, Log!$A:$A, "Daily", Log!$B:$B, "n/a"),
        _xlpm.we_camera_on_date, IFERROR(AVERAGEIFS(Log!$F:$F, Log!$D:$D,O$4, Log!$C:$C, $A101, Log!$A:$A, "Daily", Log!$B:$B, "n/a"), 0),
        _xlpm.ie_camera_on_date, IFERROR(AVERAGEIFS(Log!$G:$G, Log!$D:$D,O$4,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1" s="68" t="str">
        <f>IFERROR(
    _xlfn.LET(
        _xlpm.is_data_present, $A101&lt;&gt;0,
        _xlpm.is_camera_present, COUNTIFS(Log!$C:$C, $A101, Log!$D:$D, P$4, Log!$A:$A, "Daily", Log!$B:$B, "n/a"),
        _xlpm.we_camera_on_date, IFERROR(AVERAGEIFS(Log!$F:$F, Log!$D:$D,P$4, Log!$C:$C, $A101, Log!$A:$A, "Daily", Log!$B:$B, "n/a"), 0),
        _xlpm.ie_camera_on_date, IFERROR(AVERAGEIFS(Log!$G:$G, Log!$D:$D,P$4,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1" s="68" t="str">
        <f>IFERROR(
    _xlfn.LET(
        _xlpm.is_data_present, $A101&lt;&gt;0,
        _xlpm.is_camera_present, COUNTIFS(Log!$C:$C, $A101, Log!$D:$D, Q$4, Log!$A:$A, "Daily", Log!$B:$B, "n/a"),
        _xlpm.we_camera_on_date, IFERROR(AVERAGEIFS(Log!$F:$F, Log!$D:$D,Q$4, Log!$C:$C, $A101, Log!$A:$A, "Daily", Log!$B:$B, "n/a"), 0),
        _xlpm.ie_camera_on_date, IFERROR(AVERAGEIFS(Log!$G:$G, Log!$D:$D,Q$4,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1" s="68" t="str">
        <f>IFERROR(
    _xlfn.LET(
        _xlpm.is_data_present, $A101&lt;&gt;0,
        _xlpm.is_camera_present, COUNTIFS(Log!$C:$C, $A101, Log!$D:$D, R$4, Log!$A:$A, "Daily", Log!$B:$B, "n/a"),
        _xlpm.we_camera_on_date, IFERROR(AVERAGEIFS(Log!$F:$F, Log!$D:$D,R$4, Log!$C:$C, $A101, Log!$A:$A, "Daily", Log!$B:$B, "n/a"), 0),
        _xlpm.ie_camera_on_date, IFERROR(AVERAGEIFS(Log!$G:$G, Log!$D:$D,R$4,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1" s="68" t="str">
        <f>IFERROR(
    _xlfn.LET(
        _xlpm.is_data_present, $A101&lt;&gt;0,
        _xlpm.is_camera_present, COUNTIFS(Log!$C:$C, $A101, Log!$D:$D, S$4, Log!$A:$A, "Daily", Log!$B:$B, "n/a"),
        _xlpm.we_camera_on_date, IFERROR(AVERAGEIFS(Log!$F:$F, Log!$D:$D,S$4, Log!$C:$C, $A101, Log!$A:$A, "Daily", Log!$B:$B, "n/a"), 0),
        _xlpm.ie_camera_on_date, IFERROR(AVERAGEIFS(Log!$G:$G, Log!$D:$D,S$4, Log!$C:$C, $A101, Log!$A:$A, "Daily", Log!$B:$B, "n/a"), 0),
        _xlpm.we_avg, IFERROR(AVERAGEIFS(Log!$F:$F,Log!$C:$C,$A101, Log!$A:$A, "Daily", Log!$B:$B, "n/a"),0),
        _xlpm.ie_avg, IFERROR(AVERAGEIFS(Log!$G:$G,Log!$C:$C,$A101,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2" spans="2:19" x14ac:dyDescent="0.3">
      <c r="B102" s="68" t="str">
        <f>IFERROR(
    _xlfn.LET(
        _xlpm.is_data_present, $A102&lt;&gt;0,
        _xlpm.is_camera_present, COUNTIFS(Log!$C:$C, $A102, Log!$D:$D, B$4, Log!$A:$A, "Daily", Log!$B:$B, "n/a"),
        _xlpm.we_camera_on_date, IFERROR(AVERAGEIFS(Log!$F:$F, Log!$D:$D,B$4, Log!$C:$C, $A102, Log!$A:$A, "Daily", Log!$B:$B, "n/a"), 0),
        _xlpm.ie_camera_on_date, IFERROR(AVERAGEIFS(Log!$G:$G, Log!$D:$D,B$4,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2" s="68" t="str">
        <f>IFERROR(
    _xlfn.LET(
        _xlpm.is_data_present, $A102&lt;&gt;0,
        _xlpm.is_camera_present, COUNTIFS(Log!$C:$C, $A102, Log!$D:$D, C$4, Log!$A:$A, "Daily", Log!$B:$B, "n/a"),
        _xlpm.we_camera_on_date, IFERROR(AVERAGEIFS(Log!$F:$F, Log!$D:$D,C$4, Log!$C:$C, $A102, Log!$A:$A, "Daily", Log!$B:$B, "n/a"), 0),
        _xlpm.ie_camera_on_date, IFERROR(AVERAGEIFS(Log!$G:$G, Log!$D:$D,C$4,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2" s="68" t="str">
        <f>IFERROR(
    _xlfn.LET(
        _xlpm.is_data_present, $A102&lt;&gt;0,
        _xlpm.is_camera_present, COUNTIFS(Log!$C:$C, $A102, Log!$D:$D, D$4, Log!$A:$A, "Daily", Log!$B:$B, "n/a"),
        _xlpm.we_camera_on_date, IFERROR(AVERAGEIFS(Log!$F:$F, Log!$D:$D,D$4, Log!$C:$C, $A102, Log!$A:$A, "Daily", Log!$B:$B, "n/a"), 0),
        _xlpm.ie_camera_on_date, IFERROR(AVERAGEIFS(Log!$G:$G, Log!$D:$D,D$4,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2" s="68" t="str">
        <f>IFERROR(
    _xlfn.LET(
        _xlpm.is_data_present, $A102&lt;&gt;0,
        _xlpm.is_camera_present, COUNTIFS(Log!$C:$C, $A102, Log!$D:$D, E$4, Log!$A:$A, "Daily", Log!$B:$B, "n/a"),
        _xlpm.we_camera_on_date, IFERROR(AVERAGEIFS(Log!$F:$F, Log!$D:$D,E$4, Log!$C:$C, $A102, Log!$A:$A, "Daily", Log!$B:$B, "n/a"), 0),
        _xlpm.ie_camera_on_date, IFERROR(AVERAGEIFS(Log!$G:$G, Log!$D:$D,E$4,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2" s="68" t="str">
        <f>IFERROR(
    _xlfn.LET(
        _xlpm.is_data_present, $A102&lt;&gt;0,
        _xlpm.is_camera_present, COUNTIFS(Log!$C:$C, $A102, Log!$D:$D, F$4, Log!$A:$A, "Daily", Log!$B:$B, "n/a"),
        _xlpm.we_camera_on_date, IFERROR(AVERAGEIFS(Log!$F:$F, Log!$D:$D,F$4, Log!$C:$C, $A102, Log!$A:$A, "Daily", Log!$B:$B, "n/a"), 0),
        _xlpm.ie_camera_on_date, IFERROR(AVERAGEIFS(Log!$G:$G, Log!$D:$D,F$4,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2" s="68" t="str">
        <f>IFERROR(
    _xlfn.LET(
        _xlpm.is_data_present, $A102&lt;&gt;0,
        _xlpm.is_camera_present, COUNTIFS(Log!$C:$C, $A102, Log!$D:$D, G$4, Log!$A:$A, "Daily", Log!$B:$B, "n/a"),
        _xlpm.we_camera_on_date, IFERROR(AVERAGEIFS(Log!$F:$F, Log!$D:$D,G$4, Log!$C:$C, $A102, Log!$A:$A, "Daily", Log!$B:$B, "n/a"), 0),
        _xlpm.ie_camera_on_date, IFERROR(AVERAGEIFS(Log!$G:$G, Log!$D:$D,G$4,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2" s="68" t="str">
        <f>IFERROR(
    _xlfn.LET(
        _xlpm.is_data_present, $A102&lt;&gt;0,
        _xlpm.is_camera_present, COUNTIFS(Log!$C:$C, $A102, Log!$D:$D, H$4, Log!$A:$A, "Daily", Log!$B:$B, "n/a"),
        _xlpm.we_camera_on_date, IFERROR(AVERAGEIFS(Log!$F:$F, Log!$D:$D,H$4, Log!$C:$C, $A102, Log!$A:$A, "Daily", Log!$B:$B, "n/a"), 0),
        _xlpm.ie_camera_on_date, IFERROR(AVERAGEIFS(Log!$G:$G, Log!$D:$D,H$4,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2" s="68" t="str">
        <f>IFERROR(
    _xlfn.LET(
        _xlpm.is_data_present, $A102&lt;&gt;0,
        _xlpm.is_camera_present, COUNTIFS(Log!$C:$C, $A102, Log!$D:$D, I$4, Log!$A:$A, "Daily", Log!$B:$B, "n/a"),
        _xlpm.we_camera_on_date, IFERROR(AVERAGEIFS(Log!$F:$F, Log!$D:$D,I$4, Log!$C:$C, $A102, Log!$A:$A, "Daily", Log!$B:$B, "n/a"), 0),
        _xlpm.ie_camera_on_date, IFERROR(AVERAGEIFS(Log!$G:$G, Log!$D:$D,I$4,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2" s="68" t="str">
        <f>IFERROR(
    _xlfn.LET(
        _xlpm.is_data_present, $A102&lt;&gt;0,
        _xlpm.is_camera_present, COUNTIFS(Log!$C:$C, $A102, Log!$D:$D, J$4, Log!$A:$A, "Daily", Log!$B:$B, "n/a"),
        _xlpm.we_camera_on_date, IFERROR(AVERAGEIFS(Log!$F:$F, Log!$D:$D,J$4, Log!$C:$C, $A102, Log!$A:$A, "Daily", Log!$B:$B, "n/a"), 0),
        _xlpm.ie_camera_on_date, IFERROR(AVERAGEIFS(Log!$G:$G, Log!$D:$D,J$4,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2" s="68" t="str">
        <f>IFERROR(
    _xlfn.LET(
        _xlpm.is_data_present, $A102&lt;&gt;0,
        _xlpm.is_camera_present, COUNTIFS(Log!$C:$C, $A102, Log!$D:$D, K$4, Log!$A:$A, "Daily", Log!$B:$B, "n/a"),
        _xlpm.we_camera_on_date, IFERROR(AVERAGEIFS(Log!$F:$F, Log!$D:$D,K$4, Log!$C:$C, $A102, Log!$A:$A, "Daily", Log!$B:$B, "n/a"), 0),
        _xlpm.ie_camera_on_date, IFERROR(AVERAGEIFS(Log!$G:$G, Log!$D:$D,K$4,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2" s="68" t="str">
        <f>IFERROR(
    _xlfn.LET(
        _xlpm.is_data_present, $A102&lt;&gt;0,
        _xlpm.is_camera_present, COUNTIFS(Log!$C:$C, $A102, Log!$D:$D, L$4, Log!$A:$A, "Daily", Log!$B:$B, "n/a"),
        _xlpm.we_camera_on_date, IFERROR(AVERAGEIFS(Log!$F:$F, Log!$D:$D,L$4, Log!$C:$C, $A102, Log!$A:$A, "Daily", Log!$B:$B, "n/a"), 0),
        _xlpm.ie_camera_on_date, IFERROR(AVERAGEIFS(Log!$G:$G, Log!$D:$D,L$4,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2" s="68" t="str">
        <f>IFERROR(
    _xlfn.LET(
        _xlpm.is_data_present, $A102&lt;&gt;0,
        _xlpm.is_camera_present, COUNTIFS(Log!$C:$C, $A102, Log!$D:$D, M$4, Log!$A:$A, "Daily", Log!$B:$B, "n/a"),
        _xlpm.we_camera_on_date, IFERROR(AVERAGEIFS(Log!$F:$F, Log!$D:$D,M$4, Log!$C:$C, $A102, Log!$A:$A, "Daily", Log!$B:$B, "n/a"), 0),
        _xlpm.ie_camera_on_date, IFERROR(AVERAGEIFS(Log!$G:$G, Log!$D:$D,M$4,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2" s="68" t="str">
        <f>IFERROR(
    _xlfn.LET(
        _xlpm.is_data_present, $A102&lt;&gt;0,
        _xlpm.is_camera_present, COUNTIFS(Log!$C:$C, $A102, Log!$D:$D, N$4, Log!$A:$A, "Daily", Log!$B:$B, "n/a"),
        _xlpm.we_camera_on_date, IFERROR(AVERAGEIFS(Log!$F:$F, Log!$D:$D,N$4, Log!$C:$C, $A102, Log!$A:$A, "Daily", Log!$B:$B, "n/a"), 0),
        _xlpm.ie_camera_on_date, IFERROR(AVERAGEIFS(Log!$G:$G, Log!$D:$D,N$4,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2" s="68" t="str">
        <f>IFERROR(
    _xlfn.LET(
        _xlpm.is_data_present, $A102&lt;&gt;0,
        _xlpm.is_camera_present, COUNTIFS(Log!$C:$C, $A102, Log!$D:$D, O$4, Log!$A:$A, "Daily", Log!$B:$B, "n/a"),
        _xlpm.we_camera_on_date, IFERROR(AVERAGEIFS(Log!$F:$F, Log!$D:$D,O$4, Log!$C:$C, $A102, Log!$A:$A, "Daily", Log!$B:$B, "n/a"), 0),
        _xlpm.ie_camera_on_date, IFERROR(AVERAGEIFS(Log!$G:$G, Log!$D:$D,O$4,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2" s="68" t="str">
        <f>IFERROR(
    _xlfn.LET(
        _xlpm.is_data_present, $A102&lt;&gt;0,
        _xlpm.is_camera_present, COUNTIFS(Log!$C:$C, $A102, Log!$D:$D, P$4, Log!$A:$A, "Daily", Log!$B:$B, "n/a"),
        _xlpm.we_camera_on_date, IFERROR(AVERAGEIFS(Log!$F:$F, Log!$D:$D,P$4, Log!$C:$C, $A102, Log!$A:$A, "Daily", Log!$B:$B, "n/a"), 0),
        _xlpm.ie_camera_on_date, IFERROR(AVERAGEIFS(Log!$G:$G, Log!$D:$D,P$4,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2" s="68" t="str">
        <f>IFERROR(
    _xlfn.LET(
        _xlpm.is_data_present, $A102&lt;&gt;0,
        _xlpm.is_camera_present, COUNTIFS(Log!$C:$C, $A102, Log!$D:$D, Q$4, Log!$A:$A, "Daily", Log!$B:$B, "n/a"),
        _xlpm.we_camera_on_date, IFERROR(AVERAGEIFS(Log!$F:$F, Log!$D:$D,Q$4, Log!$C:$C, $A102, Log!$A:$A, "Daily", Log!$B:$B, "n/a"), 0),
        _xlpm.ie_camera_on_date, IFERROR(AVERAGEIFS(Log!$G:$G, Log!$D:$D,Q$4,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2" s="68" t="str">
        <f>IFERROR(
    _xlfn.LET(
        _xlpm.is_data_present, $A102&lt;&gt;0,
        _xlpm.is_camera_present, COUNTIFS(Log!$C:$C, $A102, Log!$D:$D, R$4, Log!$A:$A, "Daily", Log!$B:$B, "n/a"),
        _xlpm.we_camera_on_date, IFERROR(AVERAGEIFS(Log!$F:$F, Log!$D:$D,R$4, Log!$C:$C, $A102, Log!$A:$A, "Daily", Log!$B:$B, "n/a"), 0),
        _xlpm.ie_camera_on_date, IFERROR(AVERAGEIFS(Log!$G:$G, Log!$D:$D,R$4,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2" s="68" t="str">
        <f>IFERROR(
    _xlfn.LET(
        _xlpm.is_data_present, $A102&lt;&gt;0,
        _xlpm.is_camera_present, COUNTIFS(Log!$C:$C, $A102, Log!$D:$D, S$4, Log!$A:$A, "Daily", Log!$B:$B, "n/a"),
        _xlpm.we_camera_on_date, IFERROR(AVERAGEIFS(Log!$F:$F, Log!$D:$D,S$4, Log!$C:$C, $A102, Log!$A:$A, "Daily", Log!$B:$B, "n/a"), 0),
        _xlpm.ie_camera_on_date, IFERROR(AVERAGEIFS(Log!$G:$G, Log!$D:$D,S$4, Log!$C:$C, $A102, Log!$A:$A, "Daily", Log!$B:$B, "n/a"), 0),
        _xlpm.we_avg, IFERROR(AVERAGEIFS(Log!$F:$F,Log!$C:$C,$A102, Log!$A:$A, "Daily", Log!$B:$B, "n/a"),0),
        _xlpm.ie_avg, IFERROR(AVERAGEIFS(Log!$G:$G,Log!$C:$C,$A102,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3" spans="2:19" x14ac:dyDescent="0.3">
      <c r="B103" s="68" t="str">
        <f>IFERROR(
    _xlfn.LET(
        _xlpm.is_data_present, $A103&lt;&gt;0,
        _xlpm.is_camera_present, COUNTIFS(Log!$C:$C, $A103, Log!$D:$D, B$4, Log!$A:$A, "Daily", Log!$B:$B, "n/a"),
        _xlpm.we_camera_on_date, IFERROR(AVERAGEIFS(Log!$F:$F, Log!$D:$D,B$4, Log!$C:$C, $A103, Log!$A:$A, "Daily", Log!$B:$B, "n/a"), 0),
        _xlpm.ie_camera_on_date, IFERROR(AVERAGEIFS(Log!$G:$G, Log!$D:$D,B$4,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3" s="68" t="str">
        <f>IFERROR(
    _xlfn.LET(
        _xlpm.is_data_present, $A103&lt;&gt;0,
        _xlpm.is_camera_present, COUNTIFS(Log!$C:$C, $A103, Log!$D:$D, C$4, Log!$A:$A, "Daily", Log!$B:$B, "n/a"),
        _xlpm.we_camera_on_date, IFERROR(AVERAGEIFS(Log!$F:$F, Log!$D:$D,C$4, Log!$C:$C, $A103, Log!$A:$A, "Daily", Log!$B:$B, "n/a"), 0),
        _xlpm.ie_camera_on_date, IFERROR(AVERAGEIFS(Log!$G:$G, Log!$D:$D,C$4,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3" s="68" t="str">
        <f>IFERROR(
    _xlfn.LET(
        _xlpm.is_data_present, $A103&lt;&gt;0,
        _xlpm.is_camera_present, COUNTIFS(Log!$C:$C, $A103, Log!$D:$D, D$4, Log!$A:$A, "Daily", Log!$B:$B, "n/a"),
        _xlpm.we_camera_on_date, IFERROR(AVERAGEIFS(Log!$F:$F, Log!$D:$D,D$4, Log!$C:$C, $A103, Log!$A:$A, "Daily", Log!$B:$B, "n/a"), 0),
        _xlpm.ie_camera_on_date, IFERROR(AVERAGEIFS(Log!$G:$G, Log!$D:$D,D$4,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3" s="68" t="str">
        <f>IFERROR(
    _xlfn.LET(
        _xlpm.is_data_present, $A103&lt;&gt;0,
        _xlpm.is_camera_present, COUNTIFS(Log!$C:$C, $A103, Log!$D:$D, E$4, Log!$A:$A, "Daily", Log!$B:$B, "n/a"),
        _xlpm.we_camera_on_date, IFERROR(AVERAGEIFS(Log!$F:$F, Log!$D:$D,E$4, Log!$C:$C, $A103, Log!$A:$A, "Daily", Log!$B:$B, "n/a"), 0),
        _xlpm.ie_camera_on_date, IFERROR(AVERAGEIFS(Log!$G:$G, Log!$D:$D,E$4,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3" s="68" t="str">
        <f>IFERROR(
    _xlfn.LET(
        _xlpm.is_data_present, $A103&lt;&gt;0,
        _xlpm.is_camera_present, COUNTIFS(Log!$C:$C, $A103, Log!$D:$D, F$4, Log!$A:$A, "Daily", Log!$B:$B, "n/a"),
        _xlpm.we_camera_on_date, IFERROR(AVERAGEIFS(Log!$F:$F, Log!$D:$D,F$4, Log!$C:$C, $A103, Log!$A:$A, "Daily", Log!$B:$B, "n/a"), 0),
        _xlpm.ie_camera_on_date, IFERROR(AVERAGEIFS(Log!$G:$G, Log!$D:$D,F$4,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3" s="68" t="str">
        <f>IFERROR(
    _xlfn.LET(
        _xlpm.is_data_present, $A103&lt;&gt;0,
        _xlpm.is_camera_present, COUNTIFS(Log!$C:$C, $A103, Log!$D:$D, G$4, Log!$A:$A, "Daily", Log!$B:$B, "n/a"),
        _xlpm.we_camera_on_date, IFERROR(AVERAGEIFS(Log!$F:$F, Log!$D:$D,G$4, Log!$C:$C, $A103, Log!$A:$A, "Daily", Log!$B:$B, "n/a"), 0),
        _xlpm.ie_camera_on_date, IFERROR(AVERAGEIFS(Log!$G:$G, Log!$D:$D,G$4,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3" s="68" t="str">
        <f>IFERROR(
    _xlfn.LET(
        _xlpm.is_data_present, $A103&lt;&gt;0,
        _xlpm.is_camera_present, COUNTIFS(Log!$C:$C, $A103, Log!$D:$D, H$4, Log!$A:$A, "Daily", Log!$B:$B, "n/a"),
        _xlpm.we_camera_on_date, IFERROR(AVERAGEIFS(Log!$F:$F, Log!$D:$D,H$4, Log!$C:$C, $A103, Log!$A:$A, "Daily", Log!$B:$B, "n/a"), 0),
        _xlpm.ie_camera_on_date, IFERROR(AVERAGEIFS(Log!$G:$G, Log!$D:$D,H$4,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3" s="68" t="str">
        <f>IFERROR(
    _xlfn.LET(
        _xlpm.is_data_present, $A103&lt;&gt;0,
        _xlpm.is_camera_present, COUNTIFS(Log!$C:$C, $A103, Log!$D:$D, I$4, Log!$A:$A, "Daily", Log!$B:$B, "n/a"),
        _xlpm.we_camera_on_date, IFERROR(AVERAGEIFS(Log!$F:$F, Log!$D:$D,I$4, Log!$C:$C, $A103, Log!$A:$A, "Daily", Log!$B:$B, "n/a"), 0),
        _xlpm.ie_camera_on_date, IFERROR(AVERAGEIFS(Log!$G:$G, Log!$D:$D,I$4,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3" s="68" t="str">
        <f>IFERROR(
    _xlfn.LET(
        _xlpm.is_data_present, $A103&lt;&gt;0,
        _xlpm.is_camera_present, COUNTIFS(Log!$C:$C, $A103, Log!$D:$D, J$4, Log!$A:$A, "Daily", Log!$B:$B, "n/a"),
        _xlpm.we_camera_on_date, IFERROR(AVERAGEIFS(Log!$F:$F, Log!$D:$D,J$4, Log!$C:$C, $A103, Log!$A:$A, "Daily", Log!$B:$B, "n/a"), 0),
        _xlpm.ie_camera_on_date, IFERROR(AVERAGEIFS(Log!$G:$G, Log!$D:$D,J$4,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3" s="68" t="str">
        <f>IFERROR(
    _xlfn.LET(
        _xlpm.is_data_present, $A103&lt;&gt;0,
        _xlpm.is_camera_present, COUNTIFS(Log!$C:$C, $A103, Log!$D:$D, K$4, Log!$A:$A, "Daily", Log!$B:$B, "n/a"),
        _xlpm.we_camera_on_date, IFERROR(AVERAGEIFS(Log!$F:$F, Log!$D:$D,K$4, Log!$C:$C, $A103, Log!$A:$A, "Daily", Log!$B:$B, "n/a"), 0),
        _xlpm.ie_camera_on_date, IFERROR(AVERAGEIFS(Log!$G:$G, Log!$D:$D,K$4,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3" s="68" t="str">
        <f>IFERROR(
    _xlfn.LET(
        _xlpm.is_data_present, $A103&lt;&gt;0,
        _xlpm.is_camera_present, COUNTIFS(Log!$C:$C, $A103, Log!$D:$D, L$4, Log!$A:$A, "Daily", Log!$B:$B, "n/a"),
        _xlpm.we_camera_on_date, IFERROR(AVERAGEIFS(Log!$F:$F, Log!$D:$D,L$4, Log!$C:$C, $A103, Log!$A:$A, "Daily", Log!$B:$B, "n/a"), 0),
        _xlpm.ie_camera_on_date, IFERROR(AVERAGEIFS(Log!$G:$G, Log!$D:$D,L$4,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3" s="68" t="str">
        <f>IFERROR(
    _xlfn.LET(
        _xlpm.is_data_present, $A103&lt;&gt;0,
        _xlpm.is_camera_present, COUNTIFS(Log!$C:$C, $A103, Log!$D:$D, M$4, Log!$A:$A, "Daily", Log!$B:$B, "n/a"),
        _xlpm.we_camera_on_date, IFERROR(AVERAGEIFS(Log!$F:$F, Log!$D:$D,M$4, Log!$C:$C, $A103, Log!$A:$A, "Daily", Log!$B:$B, "n/a"), 0),
        _xlpm.ie_camera_on_date, IFERROR(AVERAGEIFS(Log!$G:$G, Log!$D:$D,M$4,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3" s="68" t="str">
        <f>IFERROR(
    _xlfn.LET(
        _xlpm.is_data_present, $A103&lt;&gt;0,
        _xlpm.is_camera_present, COUNTIFS(Log!$C:$C, $A103, Log!$D:$D, N$4, Log!$A:$A, "Daily", Log!$B:$B, "n/a"),
        _xlpm.we_camera_on_date, IFERROR(AVERAGEIFS(Log!$F:$F, Log!$D:$D,N$4, Log!$C:$C, $A103, Log!$A:$A, "Daily", Log!$B:$B, "n/a"), 0),
        _xlpm.ie_camera_on_date, IFERROR(AVERAGEIFS(Log!$G:$G, Log!$D:$D,N$4,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3" s="68" t="str">
        <f>IFERROR(
    _xlfn.LET(
        _xlpm.is_data_present, $A103&lt;&gt;0,
        _xlpm.is_camera_present, COUNTIFS(Log!$C:$C, $A103, Log!$D:$D, O$4, Log!$A:$A, "Daily", Log!$B:$B, "n/a"),
        _xlpm.we_camera_on_date, IFERROR(AVERAGEIFS(Log!$F:$F, Log!$D:$D,O$4, Log!$C:$C, $A103, Log!$A:$A, "Daily", Log!$B:$B, "n/a"), 0),
        _xlpm.ie_camera_on_date, IFERROR(AVERAGEIFS(Log!$G:$G, Log!$D:$D,O$4,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3" s="68" t="str">
        <f>IFERROR(
    _xlfn.LET(
        _xlpm.is_data_present, $A103&lt;&gt;0,
        _xlpm.is_camera_present, COUNTIFS(Log!$C:$C, $A103, Log!$D:$D, P$4, Log!$A:$A, "Daily", Log!$B:$B, "n/a"),
        _xlpm.we_camera_on_date, IFERROR(AVERAGEIFS(Log!$F:$F, Log!$D:$D,P$4, Log!$C:$C, $A103, Log!$A:$A, "Daily", Log!$B:$B, "n/a"), 0),
        _xlpm.ie_camera_on_date, IFERROR(AVERAGEIFS(Log!$G:$G, Log!$D:$D,P$4,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3" s="68" t="str">
        <f>IFERROR(
    _xlfn.LET(
        _xlpm.is_data_present, $A103&lt;&gt;0,
        _xlpm.is_camera_present, COUNTIFS(Log!$C:$C, $A103, Log!$D:$D, Q$4, Log!$A:$A, "Daily", Log!$B:$B, "n/a"),
        _xlpm.we_camera_on_date, IFERROR(AVERAGEIFS(Log!$F:$F, Log!$D:$D,Q$4, Log!$C:$C, $A103, Log!$A:$A, "Daily", Log!$B:$B, "n/a"), 0),
        _xlpm.ie_camera_on_date, IFERROR(AVERAGEIFS(Log!$G:$G, Log!$D:$D,Q$4,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3" s="68" t="str">
        <f>IFERROR(
    _xlfn.LET(
        _xlpm.is_data_present, $A103&lt;&gt;0,
        _xlpm.is_camera_present, COUNTIFS(Log!$C:$C, $A103, Log!$D:$D, R$4, Log!$A:$A, "Daily", Log!$B:$B, "n/a"),
        _xlpm.we_camera_on_date, IFERROR(AVERAGEIFS(Log!$F:$F, Log!$D:$D,R$4, Log!$C:$C, $A103, Log!$A:$A, "Daily", Log!$B:$B, "n/a"), 0),
        _xlpm.ie_camera_on_date, IFERROR(AVERAGEIFS(Log!$G:$G, Log!$D:$D,R$4,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3" s="68" t="str">
        <f>IFERROR(
    _xlfn.LET(
        _xlpm.is_data_present, $A103&lt;&gt;0,
        _xlpm.is_camera_present, COUNTIFS(Log!$C:$C, $A103, Log!$D:$D, S$4, Log!$A:$A, "Daily", Log!$B:$B, "n/a"),
        _xlpm.we_camera_on_date, IFERROR(AVERAGEIFS(Log!$F:$F, Log!$D:$D,S$4, Log!$C:$C, $A103, Log!$A:$A, "Daily", Log!$B:$B, "n/a"), 0),
        _xlpm.ie_camera_on_date, IFERROR(AVERAGEIFS(Log!$G:$G, Log!$D:$D,S$4, Log!$C:$C, $A103, Log!$A:$A, "Daily", Log!$B:$B, "n/a"), 0),
        _xlpm.we_avg, IFERROR(AVERAGEIFS(Log!$F:$F,Log!$C:$C,$A103, Log!$A:$A, "Daily", Log!$B:$B, "n/a"),0),
        _xlpm.ie_avg, IFERROR(AVERAGEIFS(Log!$G:$G,Log!$C:$C,$A103,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4" spans="2:19" x14ac:dyDescent="0.3">
      <c r="B104" s="68" t="str">
        <f>IFERROR(
    _xlfn.LET(
        _xlpm.is_data_present, $A104&lt;&gt;0,
        _xlpm.is_camera_present, COUNTIFS(Log!$C:$C, $A104, Log!$D:$D, B$4, Log!$A:$A, "Daily", Log!$B:$B, "n/a"),
        _xlpm.we_camera_on_date, IFERROR(AVERAGEIFS(Log!$F:$F, Log!$D:$D,B$4, Log!$C:$C, $A104, Log!$A:$A, "Daily", Log!$B:$B, "n/a"), 0),
        _xlpm.ie_camera_on_date, IFERROR(AVERAGEIFS(Log!$G:$G, Log!$D:$D,B$4,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4" s="68" t="str">
        <f>IFERROR(
    _xlfn.LET(
        _xlpm.is_data_present, $A104&lt;&gt;0,
        _xlpm.is_camera_present, COUNTIFS(Log!$C:$C, $A104, Log!$D:$D, C$4, Log!$A:$A, "Daily", Log!$B:$B, "n/a"),
        _xlpm.we_camera_on_date, IFERROR(AVERAGEIFS(Log!$F:$F, Log!$D:$D,C$4, Log!$C:$C, $A104, Log!$A:$A, "Daily", Log!$B:$B, "n/a"), 0),
        _xlpm.ie_camera_on_date, IFERROR(AVERAGEIFS(Log!$G:$G, Log!$D:$D,C$4,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4" s="68" t="str">
        <f>IFERROR(
    _xlfn.LET(
        _xlpm.is_data_present, $A104&lt;&gt;0,
        _xlpm.is_camera_present, COUNTIFS(Log!$C:$C, $A104, Log!$D:$D, D$4, Log!$A:$A, "Daily", Log!$B:$B, "n/a"),
        _xlpm.we_camera_on_date, IFERROR(AVERAGEIFS(Log!$F:$F, Log!$D:$D,D$4, Log!$C:$C, $A104, Log!$A:$A, "Daily", Log!$B:$B, "n/a"), 0),
        _xlpm.ie_camera_on_date, IFERROR(AVERAGEIFS(Log!$G:$G, Log!$D:$D,D$4,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4" s="68" t="str">
        <f>IFERROR(
    _xlfn.LET(
        _xlpm.is_data_present, $A104&lt;&gt;0,
        _xlpm.is_camera_present, COUNTIFS(Log!$C:$C, $A104, Log!$D:$D, E$4, Log!$A:$A, "Daily", Log!$B:$B, "n/a"),
        _xlpm.we_camera_on_date, IFERROR(AVERAGEIFS(Log!$F:$F, Log!$D:$D,E$4, Log!$C:$C, $A104, Log!$A:$A, "Daily", Log!$B:$B, "n/a"), 0),
        _xlpm.ie_camera_on_date, IFERROR(AVERAGEIFS(Log!$G:$G, Log!$D:$D,E$4,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4" s="68" t="str">
        <f>IFERROR(
    _xlfn.LET(
        _xlpm.is_data_present, $A104&lt;&gt;0,
        _xlpm.is_camera_present, COUNTIFS(Log!$C:$C, $A104, Log!$D:$D, F$4, Log!$A:$A, "Daily", Log!$B:$B, "n/a"),
        _xlpm.we_camera_on_date, IFERROR(AVERAGEIFS(Log!$F:$F, Log!$D:$D,F$4, Log!$C:$C, $A104, Log!$A:$A, "Daily", Log!$B:$B, "n/a"), 0),
        _xlpm.ie_camera_on_date, IFERROR(AVERAGEIFS(Log!$G:$G, Log!$D:$D,F$4,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4" s="68" t="str">
        <f>IFERROR(
    _xlfn.LET(
        _xlpm.is_data_present, $A104&lt;&gt;0,
        _xlpm.is_camera_present, COUNTIFS(Log!$C:$C, $A104, Log!$D:$D, G$4, Log!$A:$A, "Daily", Log!$B:$B, "n/a"),
        _xlpm.we_camera_on_date, IFERROR(AVERAGEIFS(Log!$F:$F, Log!$D:$D,G$4, Log!$C:$C, $A104, Log!$A:$A, "Daily", Log!$B:$B, "n/a"), 0),
        _xlpm.ie_camera_on_date, IFERROR(AVERAGEIFS(Log!$G:$G, Log!$D:$D,G$4,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4" s="68" t="str">
        <f>IFERROR(
    _xlfn.LET(
        _xlpm.is_data_present, $A104&lt;&gt;0,
        _xlpm.is_camera_present, COUNTIFS(Log!$C:$C, $A104, Log!$D:$D, H$4, Log!$A:$A, "Daily", Log!$B:$B, "n/a"),
        _xlpm.we_camera_on_date, IFERROR(AVERAGEIFS(Log!$F:$F, Log!$D:$D,H$4, Log!$C:$C, $A104, Log!$A:$A, "Daily", Log!$B:$B, "n/a"), 0),
        _xlpm.ie_camera_on_date, IFERROR(AVERAGEIFS(Log!$G:$G, Log!$D:$D,H$4,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4" s="68" t="str">
        <f>IFERROR(
    _xlfn.LET(
        _xlpm.is_data_present, $A104&lt;&gt;0,
        _xlpm.is_camera_present, COUNTIFS(Log!$C:$C, $A104, Log!$D:$D, I$4, Log!$A:$A, "Daily", Log!$B:$B, "n/a"),
        _xlpm.we_camera_on_date, IFERROR(AVERAGEIFS(Log!$F:$F, Log!$D:$D,I$4, Log!$C:$C, $A104, Log!$A:$A, "Daily", Log!$B:$B, "n/a"), 0),
        _xlpm.ie_camera_on_date, IFERROR(AVERAGEIFS(Log!$G:$G, Log!$D:$D,I$4,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4" s="68" t="str">
        <f>IFERROR(
    _xlfn.LET(
        _xlpm.is_data_present, $A104&lt;&gt;0,
        _xlpm.is_camera_present, COUNTIFS(Log!$C:$C, $A104, Log!$D:$D, J$4, Log!$A:$A, "Daily", Log!$B:$B, "n/a"),
        _xlpm.we_camera_on_date, IFERROR(AVERAGEIFS(Log!$F:$F, Log!$D:$D,J$4, Log!$C:$C, $A104, Log!$A:$A, "Daily", Log!$B:$B, "n/a"), 0),
        _xlpm.ie_camera_on_date, IFERROR(AVERAGEIFS(Log!$G:$G, Log!$D:$D,J$4,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4" s="68" t="str">
        <f>IFERROR(
    _xlfn.LET(
        _xlpm.is_data_present, $A104&lt;&gt;0,
        _xlpm.is_camera_present, COUNTIFS(Log!$C:$C, $A104, Log!$D:$D, K$4, Log!$A:$A, "Daily", Log!$B:$B, "n/a"),
        _xlpm.we_camera_on_date, IFERROR(AVERAGEIFS(Log!$F:$F, Log!$D:$D,K$4, Log!$C:$C, $A104, Log!$A:$A, "Daily", Log!$B:$B, "n/a"), 0),
        _xlpm.ie_camera_on_date, IFERROR(AVERAGEIFS(Log!$G:$G, Log!$D:$D,K$4,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4" s="68" t="str">
        <f>IFERROR(
    _xlfn.LET(
        _xlpm.is_data_present, $A104&lt;&gt;0,
        _xlpm.is_camera_present, COUNTIFS(Log!$C:$C, $A104, Log!$D:$D, L$4, Log!$A:$A, "Daily", Log!$B:$B, "n/a"),
        _xlpm.we_camera_on_date, IFERROR(AVERAGEIFS(Log!$F:$F, Log!$D:$D,L$4, Log!$C:$C, $A104, Log!$A:$A, "Daily", Log!$B:$B, "n/a"), 0),
        _xlpm.ie_camera_on_date, IFERROR(AVERAGEIFS(Log!$G:$G, Log!$D:$D,L$4,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4" s="68" t="str">
        <f>IFERROR(
    _xlfn.LET(
        _xlpm.is_data_present, $A104&lt;&gt;0,
        _xlpm.is_camera_present, COUNTIFS(Log!$C:$C, $A104, Log!$D:$D, M$4, Log!$A:$A, "Daily", Log!$B:$B, "n/a"),
        _xlpm.we_camera_on_date, IFERROR(AVERAGEIFS(Log!$F:$F, Log!$D:$D,M$4, Log!$C:$C, $A104, Log!$A:$A, "Daily", Log!$B:$B, "n/a"), 0),
        _xlpm.ie_camera_on_date, IFERROR(AVERAGEIFS(Log!$G:$G, Log!$D:$D,M$4,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4" s="68" t="str">
        <f>IFERROR(
    _xlfn.LET(
        _xlpm.is_data_present, $A104&lt;&gt;0,
        _xlpm.is_camera_present, COUNTIFS(Log!$C:$C, $A104, Log!$D:$D, N$4, Log!$A:$A, "Daily", Log!$B:$B, "n/a"),
        _xlpm.we_camera_on_date, IFERROR(AVERAGEIFS(Log!$F:$F, Log!$D:$D,N$4, Log!$C:$C, $A104, Log!$A:$A, "Daily", Log!$B:$B, "n/a"), 0),
        _xlpm.ie_camera_on_date, IFERROR(AVERAGEIFS(Log!$G:$G, Log!$D:$D,N$4,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4" s="68" t="str">
        <f>IFERROR(
    _xlfn.LET(
        _xlpm.is_data_present, $A104&lt;&gt;0,
        _xlpm.is_camera_present, COUNTIFS(Log!$C:$C, $A104, Log!$D:$D, O$4, Log!$A:$A, "Daily", Log!$B:$B, "n/a"),
        _xlpm.we_camera_on_date, IFERROR(AVERAGEIFS(Log!$F:$F, Log!$D:$D,O$4, Log!$C:$C, $A104, Log!$A:$A, "Daily", Log!$B:$B, "n/a"), 0),
        _xlpm.ie_camera_on_date, IFERROR(AVERAGEIFS(Log!$G:$G, Log!$D:$D,O$4,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4" s="68" t="str">
        <f>IFERROR(
    _xlfn.LET(
        _xlpm.is_data_present, $A104&lt;&gt;0,
        _xlpm.is_camera_present, COUNTIFS(Log!$C:$C, $A104, Log!$D:$D, P$4, Log!$A:$A, "Daily", Log!$B:$B, "n/a"),
        _xlpm.we_camera_on_date, IFERROR(AVERAGEIFS(Log!$F:$F, Log!$D:$D,P$4, Log!$C:$C, $A104, Log!$A:$A, "Daily", Log!$B:$B, "n/a"), 0),
        _xlpm.ie_camera_on_date, IFERROR(AVERAGEIFS(Log!$G:$G, Log!$D:$D,P$4,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4" s="68" t="str">
        <f>IFERROR(
    _xlfn.LET(
        _xlpm.is_data_present, $A104&lt;&gt;0,
        _xlpm.is_camera_present, COUNTIFS(Log!$C:$C, $A104, Log!$D:$D, Q$4, Log!$A:$A, "Daily", Log!$B:$B, "n/a"),
        _xlpm.we_camera_on_date, IFERROR(AVERAGEIFS(Log!$F:$F, Log!$D:$D,Q$4, Log!$C:$C, $A104, Log!$A:$A, "Daily", Log!$B:$B, "n/a"), 0),
        _xlpm.ie_camera_on_date, IFERROR(AVERAGEIFS(Log!$G:$G, Log!$D:$D,Q$4,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4" s="68" t="str">
        <f>IFERROR(
    _xlfn.LET(
        _xlpm.is_data_present, $A104&lt;&gt;0,
        _xlpm.is_camera_present, COUNTIFS(Log!$C:$C, $A104, Log!$D:$D, R$4, Log!$A:$A, "Daily", Log!$B:$B, "n/a"),
        _xlpm.we_camera_on_date, IFERROR(AVERAGEIFS(Log!$F:$F, Log!$D:$D,R$4, Log!$C:$C, $A104, Log!$A:$A, "Daily", Log!$B:$B, "n/a"), 0),
        _xlpm.ie_camera_on_date, IFERROR(AVERAGEIFS(Log!$G:$G, Log!$D:$D,R$4,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4" s="68" t="str">
        <f>IFERROR(
    _xlfn.LET(
        _xlpm.is_data_present, $A104&lt;&gt;0,
        _xlpm.is_camera_present, COUNTIFS(Log!$C:$C, $A104, Log!$D:$D, S$4, Log!$A:$A, "Daily", Log!$B:$B, "n/a"),
        _xlpm.we_camera_on_date, IFERROR(AVERAGEIFS(Log!$F:$F, Log!$D:$D,S$4, Log!$C:$C, $A104, Log!$A:$A, "Daily", Log!$B:$B, "n/a"), 0),
        _xlpm.ie_camera_on_date, IFERROR(AVERAGEIFS(Log!$G:$G, Log!$D:$D,S$4, Log!$C:$C, $A104, Log!$A:$A, "Daily", Log!$B:$B, "n/a"), 0),
        _xlpm.we_avg, IFERROR(AVERAGEIFS(Log!$F:$F,Log!$C:$C,$A104, Log!$A:$A, "Daily", Log!$B:$B, "n/a"),0),
        _xlpm.ie_avg, IFERROR(AVERAGEIFS(Log!$G:$G,Log!$C:$C,$A104,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5" spans="2:19" x14ac:dyDescent="0.3">
      <c r="B105" s="68" t="str">
        <f>IFERROR(
    _xlfn.LET(
        _xlpm.is_data_present, $A105&lt;&gt;0,
        _xlpm.is_camera_present, COUNTIFS(Log!$C:$C, $A105, Log!$D:$D, B$4, Log!$A:$A, "Daily", Log!$B:$B, "n/a"),
        _xlpm.we_camera_on_date, IFERROR(AVERAGEIFS(Log!$F:$F, Log!$D:$D,B$4, Log!$C:$C, $A105, Log!$A:$A, "Daily", Log!$B:$B, "n/a"), 0),
        _xlpm.ie_camera_on_date, IFERROR(AVERAGEIFS(Log!$G:$G, Log!$D:$D,B$4,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5" s="68" t="str">
        <f>IFERROR(
    _xlfn.LET(
        _xlpm.is_data_present, $A105&lt;&gt;0,
        _xlpm.is_camera_present, COUNTIFS(Log!$C:$C, $A105, Log!$D:$D, C$4, Log!$A:$A, "Daily", Log!$B:$B, "n/a"),
        _xlpm.we_camera_on_date, IFERROR(AVERAGEIFS(Log!$F:$F, Log!$D:$D,C$4, Log!$C:$C, $A105, Log!$A:$A, "Daily", Log!$B:$B, "n/a"), 0),
        _xlpm.ie_camera_on_date, IFERROR(AVERAGEIFS(Log!$G:$G, Log!$D:$D,C$4,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5" s="68" t="str">
        <f>IFERROR(
    _xlfn.LET(
        _xlpm.is_data_present, $A105&lt;&gt;0,
        _xlpm.is_camera_present, COUNTIFS(Log!$C:$C, $A105, Log!$D:$D, D$4, Log!$A:$A, "Daily", Log!$B:$B, "n/a"),
        _xlpm.we_camera_on_date, IFERROR(AVERAGEIFS(Log!$F:$F, Log!$D:$D,D$4, Log!$C:$C, $A105, Log!$A:$A, "Daily", Log!$B:$B, "n/a"), 0),
        _xlpm.ie_camera_on_date, IFERROR(AVERAGEIFS(Log!$G:$G, Log!$D:$D,D$4,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5" s="68" t="str">
        <f>IFERROR(
    _xlfn.LET(
        _xlpm.is_data_present, $A105&lt;&gt;0,
        _xlpm.is_camera_present, COUNTIFS(Log!$C:$C, $A105, Log!$D:$D, E$4, Log!$A:$A, "Daily", Log!$B:$B, "n/a"),
        _xlpm.we_camera_on_date, IFERROR(AVERAGEIFS(Log!$F:$F, Log!$D:$D,E$4, Log!$C:$C, $A105, Log!$A:$A, "Daily", Log!$B:$B, "n/a"), 0),
        _xlpm.ie_camera_on_date, IFERROR(AVERAGEIFS(Log!$G:$G, Log!$D:$D,E$4,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5" s="68" t="str">
        <f>IFERROR(
    _xlfn.LET(
        _xlpm.is_data_present, $A105&lt;&gt;0,
        _xlpm.is_camera_present, COUNTIFS(Log!$C:$C, $A105, Log!$D:$D, F$4, Log!$A:$A, "Daily", Log!$B:$B, "n/a"),
        _xlpm.we_camera_on_date, IFERROR(AVERAGEIFS(Log!$F:$F, Log!$D:$D,F$4, Log!$C:$C, $A105, Log!$A:$A, "Daily", Log!$B:$B, "n/a"), 0),
        _xlpm.ie_camera_on_date, IFERROR(AVERAGEIFS(Log!$G:$G, Log!$D:$D,F$4,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5" s="68" t="str">
        <f>IFERROR(
    _xlfn.LET(
        _xlpm.is_data_present, $A105&lt;&gt;0,
        _xlpm.is_camera_present, COUNTIFS(Log!$C:$C, $A105, Log!$D:$D, G$4, Log!$A:$A, "Daily", Log!$B:$B, "n/a"),
        _xlpm.we_camera_on_date, IFERROR(AVERAGEIFS(Log!$F:$F, Log!$D:$D,G$4, Log!$C:$C, $A105, Log!$A:$A, "Daily", Log!$B:$B, "n/a"), 0),
        _xlpm.ie_camera_on_date, IFERROR(AVERAGEIFS(Log!$G:$G, Log!$D:$D,G$4,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5" s="68" t="str">
        <f>IFERROR(
    _xlfn.LET(
        _xlpm.is_data_present, $A105&lt;&gt;0,
        _xlpm.is_camera_present, COUNTIFS(Log!$C:$C, $A105, Log!$D:$D, H$4, Log!$A:$A, "Daily", Log!$B:$B, "n/a"),
        _xlpm.we_camera_on_date, IFERROR(AVERAGEIFS(Log!$F:$F, Log!$D:$D,H$4, Log!$C:$C, $A105, Log!$A:$A, "Daily", Log!$B:$B, "n/a"), 0),
        _xlpm.ie_camera_on_date, IFERROR(AVERAGEIFS(Log!$G:$G, Log!$D:$D,H$4,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5" s="68" t="str">
        <f>IFERROR(
    _xlfn.LET(
        _xlpm.is_data_present, $A105&lt;&gt;0,
        _xlpm.is_camera_present, COUNTIFS(Log!$C:$C, $A105, Log!$D:$D, I$4, Log!$A:$A, "Daily", Log!$B:$B, "n/a"),
        _xlpm.we_camera_on_date, IFERROR(AVERAGEIFS(Log!$F:$F, Log!$D:$D,I$4, Log!$C:$C, $A105, Log!$A:$A, "Daily", Log!$B:$B, "n/a"), 0),
        _xlpm.ie_camera_on_date, IFERROR(AVERAGEIFS(Log!$G:$G, Log!$D:$D,I$4,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5" s="68" t="str">
        <f>IFERROR(
    _xlfn.LET(
        _xlpm.is_data_present, $A105&lt;&gt;0,
        _xlpm.is_camera_present, COUNTIFS(Log!$C:$C, $A105, Log!$D:$D, J$4, Log!$A:$A, "Daily", Log!$B:$B, "n/a"),
        _xlpm.we_camera_on_date, IFERROR(AVERAGEIFS(Log!$F:$F, Log!$D:$D,J$4, Log!$C:$C, $A105, Log!$A:$A, "Daily", Log!$B:$B, "n/a"), 0),
        _xlpm.ie_camera_on_date, IFERROR(AVERAGEIFS(Log!$G:$G, Log!$D:$D,J$4,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5" s="68" t="str">
        <f>IFERROR(
    _xlfn.LET(
        _xlpm.is_data_present, $A105&lt;&gt;0,
        _xlpm.is_camera_present, COUNTIFS(Log!$C:$C, $A105, Log!$D:$D, K$4, Log!$A:$A, "Daily", Log!$B:$B, "n/a"),
        _xlpm.we_camera_on_date, IFERROR(AVERAGEIFS(Log!$F:$F, Log!$D:$D,K$4, Log!$C:$C, $A105, Log!$A:$A, "Daily", Log!$B:$B, "n/a"), 0),
        _xlpm.ie_camera_on_date, IFERROR(AVERAGEIFS(Log!$G:$G, Log!$D:$D,K$4,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5" s="68" t="str">
        <f>IFERROR(
    _xlfn.LET(
        _xlpm.is_data_present, $A105&lt;&gt;0,
        _xlpm.is_camera_present, COUNTIFS(Log!$C:$C, $A105, Log!$D:$D, L$4, Log!$A:$A, "Daily", Log!$B:$B, "n/a"),
        _xlpm.we_camera_on_date, IFERROR(AVERAGEIFS(Log!$F:$F, Log!$D:$D,L$4, Log!$C:$C, $A105, Log!$A:$A, "Daily", Log!$B:$B, "n/a"), 0),
        _xlpm.ie_camera_on_date, IFERROR(AVERAGEIFS(Log!$G:$G, Log!$D:$D,L$4,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5" s="68" t="str">
        <f>IFERROR(
    _xlfn.LET(
        _xlpm.is_data_present, $A105&lt;&gt;0,
        _xlpm.is_camera_present, COUNTIFS(Log!$C:$C, $A105, Log!$D:$D, M$4, Log!$A:$A, "Daily", Log!$B:$B, "n/a"),
        _xlpm.we_camera_on_date, IFERROR(AVERAGEIFS(Log!$F:$F, Log!$D:$D,M$4, Log!$C:$C, $A105, Log!$A:$A, "Daily", Log!$B:$B, "n/a"), 0),
        _xlpm.ie_camera_on_date, IFERROR(AVERAGEIFS(Log!$G:$G, Log!$D:$D,M$4,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5" s="68" t="str">
        <f>IFERROR(
    _xlfn.LET(
        _xlpm.is_data_present, $A105&lt;&gt;0,
        _xlpm.is_camera_present, COUNTIFS(Log!$C:$C, $A105, Log!$D:$D, N$4, Log!$A:$A, "Daily", Log!$B:$B, "n/a"),
        _xlpm.we_camera_on_date, IFERROR(AVERAGEIFS(Log!$F:$F, Log!$D:$D,N$4, Log!$C:$C, $A105, Log!$A:$A, "Daily", Log!$B:$B, "n/a"), 0),
        _xlpm.ie_camera_on_date, IFERROR(AVERAGEIFS(Log!$G:$G, Log!$D:$D,N$4,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5" s="68" t="str">
        <f>IFERROR(
    _xlfn.LET(
        _xlpm.is_data_present, $A105&lt;&gt;0,
        _xlpm.is_camera_present, COUNTIFS(Log!$C:$C, $A105, Log!$D:$D, O$4, Log!$A:$A, "Daily", Log!$B:$B, "n/a"),
        _xlpm.we_camera_on_date, IFERROR(AVERAGEIFS(Log!$F:$F, Log!$D:$D,O$4, Log!$C:$C, $A105, Log!$A:$A, "Daily", Log!$B:$B, "n/a"), 0),
        _xlpm.ie_camera_on_date, IFERROR(AVERAGEIFS(Log!$G:$G, Log!$D:$D,O$4,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5" s="68" t="str">
        <f>IFERROR(
    _xlfn.LET(
        _xlpm.is_data_present, $A105&lt;&gt;0,
        _xlpm.is_camera_present, COUNTIFS(Log!$C:$C, $A105, Log!$D:$D, P$4, Log!$A:$A, "Daily", Log!$B:$B, "n/a"),
        _xlpm.we_camera_on_date, IFERROR(AVERAGEIFS(Log!$F:$F, Log!$D:$D,P$4, Log!$C:$C, $A105, Log!$A:$A, "Daily", Log!$B:$B, "n/a"), 0),
        _xlpm.ie_camera_on_date, IFERROR(AVERAGEIFS(Log!$G:$G, Log!$D:$D,P$4,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5" s="68" t="str">
        <f>IFERROR(
    _xlfn.LET(
        _xlpm.is_data_present, $A105&lt;&gt;0,
        _xlpm.is_camera_present, COUNTIFS(Log!$C:$C, $A105, Log!$D:$D, Q$4, Log!$A:$A, "Daily", Log!$B:$B, "n/a"),
        _xlpm.we_camera_on_date, IFERROR(AVERAGEIFS(Log!$F:$F, Log!$D:$D,Q$4, Log!$C:$C, $A105, Log!$A:$A, "Daily", Log!$B:$B, "n/a"), 0),
        _xlpm.ie_camera_on_date, IFERROR(AVERAGEIFS(Log!$G:$G, Log!$D:$D,Q$4,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5" s="68" t="str">
        <f>IFERROR(
    _xlfn.LET(
        _xlpm.is_data_present, $A105&lt;&gt;0,
        _xlpm.is_camera_present, COUNTIFS(Log!$C:$C, $A105, Log!$D:$D, R$4, Log!$A:$A, "Daily", Log!$B:$B, "n/a"),
        _xlpm.we_camera_on_date, IFERROR(AVERAGEIFS(Log!$F:$F, Log!$D:$D,R$4, Log!$C:$C, $A105, Log!$A:$A, "Daily", Log!$B:$B, "n/a"), 0),
        _xlpm.ie_camera_on_date, IFERROR(AVERAGEIFS(Log!$G:$G, Log!$D:$D,R$4,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5" s="68" t="str">
        <f>IFERROR(
    _xlfn.LET(
        _xlpm.is_data_present, $A105&lt;&gt;0,
        _xlpm.is_camera_present, COUNTIFS(Log!$C:$C, $A105, Log!$D:$D, S$4, Log!$A:$A, "Daily", Log!$B:$B, "n/a"),
        _xlpm.we_camera_on_date, IFERROR(AVERAGEIFS(Log!$F:$F, Log!$D:$D,S$4, Log!$C:$C, $A105, Log!$A:$A, "Daily", Log!$B:$B, "n/a"), 0),
        _xlpm.ie_camera_on_date, IFERROR(AVERAGEIFS(Log!$G:$G, Log!$D:$D,S$4, Log!$C:$C, $A105, Log!$A:$A, "Daily", Log!$B:$B, "n/a"), 0),
        _xlpm.we_avg, IFERROR(AVERAGEIFS(Log!$F:$F,Log!$C:$C,$A105, Log!$A:$A, "Daily", Log!$B:$B, "n/a"),0),
        _xlpm.ie_avg, IFERROR(AVERAGEIFS(Log!$G:$G,Log!$C:$C,$A105,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6" spans="2:19" x14ac:dyDescent="0.3">
      <c r="B106" s="68" t="str">
        <f>IFERROR(
    _xlfn.LET(
        _xlpm.is_data_present, $A106&lt;&gt;0,
        _xlpm.is_camera_present, COUNTIFS(Log!$C:$C, $A106, Log!$D:$D, B$4, Log!$A:$A, "Daily", Log!$B:$B, "n/a"),
        _xlpm.we_camera_on_date, IFERROR(AVERAGEIFS(Log!$F:$F, Log!$D:$D,B$4, Log!$C:$C, $A106, Log!$A:$A, "Daily", Log!$B:$B, "n/a"), 0),
        _xlpm.ie_camera_on_date, IFERROR(AVERAGEIFS(Log!$G:$G, Log!$D:$D,B$4,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6" s="68" t="str">
        <f>IFERROR(
    _xlfn.LET(
        _xlpm.is_data_present, $A106&lt;&gt;0,
        _xlpm.is_camera_present, COUNTIFS(Log!$C:$C, $A106, Log!$D:$D, C$4, Log!$A:$A, "Daily", Log!$B:$B, "n/a"),
        _xlpm.we_camera_on_date, IFERROR(AVERAGEIFS(Log!$F:$F, Log!$D:$D,C$4, Log!$C:$C, $A106, Log!$A:$A, "Daily", Log!$B:$B, "n/a"), 0),
        _xlpm.ie_camera_on_date, IFERROR(AVERAGEIFS(Log!$G:$G, Log!$D:$D,C$4,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6" s="68" t="str">
        <f>IFERROR(
    _xlfn.LET(
        _xlpm.is_data_present, $A106&lt;&gt;0,
        _xlpm.is_camera_present, COUNTIFS(Log!$C:$C, $A106, Log!$D:$D, D$4, Log!$A:$A, "Daily", Log!$B:$B, "n/a"),
        _xlpm.we_camera_on_date, IFERROR(AVERAGEIFS(Log!$F:$F, Log!$D:$D,D$4, Log!$C:$C, $A106, Log!$A:$A, "Daily", Log!$B:$B, "n/a"), 0),
        _xlpm.ie_camera_on_date, IFERROR(AVERAGEIFS(Log!$G:$G, Log!$D:$D,D$4,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6" s="68" t="str">
        <f>IFERROR(
    _xlfn.LET(
        _xlpm.is_data_present, $A106&lt;&gt;0,
        _xlpm.is_camera_present, COUNTIFS(Log!$C:$C, $A106, Log!$D:$D, E$4, Log!$A:$A, "Daily", Log!$B:$B, "n/a"),
        _xlpm.we_camera_on_date, IFERROR(AVERAGEIFS(Log!$F:$F, Log!$D:$D,E$4, Log!$C:$C, $A106, Log!$A:$A, "Daily", Log!$B:$B, "n/a"), 0),
        _xlpm.ie_camera_on_date, IFERROR(AVERAGEIFS(Log!$G:$G, Log!$D:$D,E$4,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6" s="68" t="str">
        <f>IFERROR(
    _xlfn.LET(
        _xlpm.is_data_present, $A106&lt;&gt;0,
        _xlpm.is_camera_present, COUNTIFS(Log!$C:$C, $A106, Log!$D:$D, F$4, Log!$A:$A, "Daily", Log!$B:$B, "n/a"),
        _xlpm.we_camera_on_date, IFERROR(AVERAGEIFS(Log!$F:$F, Log!$D:$D,F$4, Log!$C:$C, $A106, Log!$A:$A, "Daily", Log!$B:$B, "n/a"), 0),
        _xlpm.ie_camera_on_date, IFERROR(AVERAGEIFS(Log!$G:$G, Log!$D:$D,F$4,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6" s="68" t="str">
        <f>IFERROR(
    _xlfn.LET(
        _xlpm.is_data_present, $A106&lt;&gt;0,
        _xlpm.is_camera_present, COUNTIFS(Log!$C:$C, $A106, Log!$D:$D, G$4, Log!$A:$A, "Daily", Log!$B:$B, "n/a"),
        _xlpm.we_camera_on_date, IFERROR(AVERAGEIFS(Log!$F:$F, Log!$D:$D,G$4, Log!$C:$C, $A106, Log!$A:$A, "Daily", Log!$B:$B, "n/a"), 0),
        _xlpm.ie_camera_on_date, IFERROR(AVERAGEIFS(Log!$G:$G, Log!$D:$D,G$4,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6" s="68" t="str">
        <f>IFERROR(
    _xlfn.LET(
        _xlpm.is_data_present, $A106&lt;&gt;0,
        _xlpm.is_camera_present, COUNTIFS(Log!$C:$C, $A106, Log!$D:$D, H$4, Log!$A:$A, "Daily", Log!$B:$B, "n/a"),
        _xlpm.we_camera_on_date, IFERROR(AVERAGEIFS(Log!$F:$F, Log!$D:$D,H$4, Log!$C:$C, $A106, Log!$A:$A, "Daily", Log!$B:$B, "n/a"), 0),
        _xlpm.ie_camera_on_date, IFERROR(AVERAGEIFS(Log!$G:$G, Log!$D:$D,H$4,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6" s="68" t="str">
        <f>IFERROR(
    _xlfn.LET(
        _xlpm.is_data_present, $A106&lt;&gt;0,
        _xlpm.is_camera_present, COUNTIFS(Log!$C:$C, $A106, Log!$D:$D, I$4, Log!$A:$A, "Daily", Log!$B:$B, "n/a"),
        _xlpm.we_camera_on_date, IFERROR(AVERAGEIFS(Log!$F:$F, Log!$D:$D,I$4, Log!$C:$C, $A106, Log!$A:$A, "Daily", Log!$B:$B, "n/a"), 0),
        _xlpm.ie_camera_on_date, IFERROR(AVERAGEIFS(Log!$G:$G, Log!$D:$D,I$4,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6" s="68" t="str">
        <f>IFERROR(
    _xlfn.LET(
        _xlpm.is_data_present, $A106&lt;&gt;0,
        _xlpm.is_camera_present, COUNTIFS(Log!$C:$C, $A106, Log!$D:$D, J$4, Log!$A:$A, "Daily", Log!$B:$B, "n/a"),
        _xlpm.we_camera_on_date, IFERROR(AVERAGEIFS(Log!$F:$F, Log!$D:$D,J$4, Log!$C:$C, $A106, Log!$A:$A, "Daily", Log!$B:$B, "n/a"), 0),
        _xlpm.ie_camera_on_date, IFERROR(AVERAGEIFS(Log!$G:$G, Log!$D:$D,J$4,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6" s="68" t="str">
        <f>IFERROR(
    _xlfn.LET(
        _xlpm.is_data_present, $A106&lt;&gt;0,
        _xlpm.is_camera_present, COUNTIFS(Log!$C:$C, $A106, Log!$D:$D, K$4, Log!$A:$A, "Daily", Log!$B:$B, "n/a"),
        _xlpm.we_camera_on_date, IFERROR(AVERAGEIFS(Log!$F:$F, Log!$D:$D,K$4, Log!$C:$C, $A106, Log!$A:$A, "Daily", Log!$B:$B, "n/a"), 0),
        _xlpm.ie_camera_on_date, IFERROR(AVERAGEIFS(Log!$G:$G, Log!$D:$D,K$4,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6" s="68" t="str">
        <f>IFERROR(
    _xlfn.LET(
        _xlpm.is_data_present, $A106&lt;&gt;0,
        _xlpm.is_camera_present, COUNTIFS(Log!$C:$C, $A106, Log!$D:$D, L$4, Log!$A:$A, "Daily", Log!$B:$B, "n/a"),
        _xlpm.we_camera_on_date, IFERROR(AVERAGEIFS(Log!$F:$F, Log!$D:$D,L$4, Log!$C:$C, $A106, Log!$A:$A, "Daily", Log!$B:$B, "n/a"), 0),
        _xlpm.ie_camera_on_date, IFERROR(AVERAGEIFS(Log!$G:$G, Log!$D:$D,L$4,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6" s="68" t="str">
        <f>IFERROR(
    _xlfn.LET(
        _xlpm.is_data_present, $A106&lt;&gt;0,
        _xlpm.is_camera_present, COUNTIFS(Log!$C:$C, $A106, Log!$D:$D, M$4, Log!$A:$A, "Daily", Log!$B:$B, "n/a"),
        _xlpm.we_camera_on_date, IFERROR(AVERAGEIFS(Log!$F:$F, Log!$D:$D,M$4, Log!$C:$C, $A106, Log!$A:$A, "Daily", Log!$B:$B, "n/a"), 0),
        _xlpm.ie_camera_on_date, IFERROR(AVERAGEIFS(Log!$G:$G, Log!$D:$D,M$4,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6" s="68" t="str">
        <f>IFERROR(
    _xlfn.LET(
        _xlpm.is_data_present, $A106&lt;&gt;0,
        _xlpm.is_camera_present, COUNTIFS(Log!$C:$C, $A106, Log!$D:$D, N$4, Log!$A:$A, "Daily", Log!$B:$B, "n/a"),
        _xlpm.we_camera_on_date, IFERROR(AVERAGEIFS(Log!$F:$F, Log!$D:$D,N$4, Log!$C:$C, $A106, Log!$A:$A, "Daily", Log!$B:$B, "n/a"), 0),
        _xlpm.ie_camera_on_date, IFERROR(AVERAGEIFS(Log!$G:$G, Log!$D:$D,N$4,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6" s="68" t="str">
        <f>IFERROR(
    _xlfn.LET(
        _xlpm.is_data_present, $A106&lt;&gt;0,
        _xlpm.is_camera_present, COUNTIFS(Log!$C:$C, $A106, Log!$D:$D, O$4, Log!$A:$A, "Daily", Log!$B:$B, "n/a"),
        _xlpm.we_camera_on_date, IFERROR(AVERAGEIFS(Log!$F:$F, Log!$D:$D,O$4, Log!$C:$C, $A106, Log!$A:$A, "Daily", Log!$B:$B, "n/a"), 0),
        _xlpm.ie_camera_on_date, IFERROR(AVERAGEIFS(Log!$G:$G, Log!$D:$D,O$4,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6" s="68" t="str">
        <f>IFERROR(
    _xlfn.LET(
        _xlpm.is_data_present, $A106&lt;&gt;0,
        _xlpm.is_camera_present, COUNTIFS(Log!$C:$C, $A106, Log!$D:$D, P$4, Log!$A:$A, "Daily", Log!$B:$B, "n/a"),
        _xlpm.we_camera_on_date, IFERROR(AVERAGEIFS(Log!$F:$F, Log!$D:$D,P$4, Log!$C:$C, $A106, Log!$A:$A, "Daily", Log!$B:$B, "n/a"), 0),
        _xlpm.ie_camera_on_date, IFERROR(AVERAGEIFS(Log!$G:$G, Log!$D:$D,P$4,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6" s="68" t="str">
        <f>IFERROR(
    _xlfn.LET(
        _xlpm.is_data_present, $A106&lt;&gt;0,
        _xlpm.is_camera_present, COUNTIFS(Log!$C:$C, $A106, Log!$D:$D, Q$4, Log!$A:$A, "Daily", Log!$B:$B, "n/a"),
        _xlpm.we_camera_on_date, IFERROR(AVERAGEIFS(Log!$F:$F, Log!$D:$D,Q$4, Log!$C:$C, $A106, Log!$A:$A, "Daily", Log!$B:$B, "n/a"), 0),
        _xlpm.ie_camera_on_date, IFERROR(AVERAGEIFS(Log!$G:$G, Log!$D:$D,Q$4,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6" s="68" t="str">
        <f>IFERROR(
    _xlfn.LET(
        _xlpm.is_data_present, $A106&lt;&gt;0,
        _xlpm.is_camera_present, COUNTIFS(Log!$C:$C, $A106, Log!$D:$D, R$4, Log!$A:$A, "Daily", Log!$B:$B, "n/a"),
        _xlpm.we_camera_on_date, IFERROR(AVERAGEIFS(Log!$F:$F, Log!$D:$D,R$4, Log!$C:$C, $A106, Log!$A:$A, "Daily", Log!$B:$B, "n/a"), 0),
        _xlpm.ie_camera_on_date, IFERROR(AVERAGEIFS(Log!$G:$G, Log!$D:$D,R$4,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6" s="68" t="str">
        <f>IFERROR(
    _xlfn.LET(
        _xlpm.is_data_present, $A106&lt;&gt;0,
        _xlpm.is_camera_present, COUNTIFS(Log!$C:$C, $A106, Log!$D:$D, S$4, Log!$A:$A, "Daily", Log!$B:$B, "n/a"),
        _xlpm.we_camera_on_date, IFERROR(AVERAGEIFS(Log!$F:$F, Log!$D:$D,S$4, Log!$C:$C, $A106, Log!$A:$A, "Daily", Log!$B:$B, "n/a"), 0),
        _xlpm.ie_camera_on_date, IFERROR(AVERAGEIFS(Log!$G:$G, Log!$D:$D,S$4, Log!$C:$C, $A106, Log!$A:$A, "Daily", Log!$B:$B, "n/a"), 0),
        _xlpm.we_avg, IFERROR(AVERAGEIFS(Log!$F:$F,Log!$C:$C,$A106, Log!$A:$A, "Daily", Log!$B:$B, "n/a"),0),
        _xlpm.ie_avg, IFERROR(AVERAGEIFS(Log!$G:$G,Log!$C:$C,$A106,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7" spans="2:19" x14ac:dyDescent="0.3">
      <c r="B107" s="68" t="str">
        <f>IFERROR(
    _xlfn.LET(
        _xlpm.is_data_present, $A107&lt;&gt;0,
        _xlpm.is_camera_present, COUNTIFS(Log!$C:$C, $A107, Log!$D:$D, B$4, Log!$A:$A, "Daily", Log!$B:$B, "n/a"),
        _xlpm.we_camera_on_date, IFERROR(AVERAGEIFS(Log!$F:$F, Log!$D:$D,B$4, Log!$C:$C, $A107, Log!$A:$A, "Daily", Log!$B:$B, "n/a"), 0),
        _xlpm.ie_camera_on_date, IFERROR(AVERAGEIFS(Log!$G:$G, Log!$D:$D,B$4,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7" s="68" t="str">
        <f>IFERROR(
    _xlfn.LET(
        _xlpm.is_data_present, $A107&lt;&gt;0,
        _xlpm.is_camera_present, COUNTIFS(Log!$C:$C, $A107, Log!$D:$D, C$4, Log!$A:$A, "Daily", Log!$B:$B, "n/a"),
        _xlpm.we_camera_on_date, IFERROR(AVERAGEIFS(Log!$F:$F, Log!$D:$D,C$4, Log!$C:$C, $A107, Log!$A:$A, "Daily", Log!$B:$B, "n/a"), 0),
        _xlpm.ie_camera_on_date, IFERROR(AVERAGEIFS(Log!$G:$G, Log!$D:$D,C$4,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7" s="68" t="str">
        <f>IFERROR(
    _xlfn.LET(
        _xlpm.is_data_present, $A107&lt;&gt;0,
        _xlpm.is_camera_present, COUNTIFS(Log!$C:$C, $A107, Log!$D:$D, D$4, Log!$A:$A, "Daily", Log!$B:$B, "n/a"),
        _xlpm.we_camera_on_date, IFERROR(AVERAGEIFS(Log!$F:$F, Log!$D:$D,D$4, Log!$C:$C, $A107, Log!$A:$A, "Daily", Log!$B:$B, "n/a"), 0),
        _xlpm.ie_camera_on_date, IFERROR(AVERAGEIFS(Log!$G:$G, Log!$D:$D,D$4,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7" s="68" t="str">
        <f>IFERROR(
    _xlfn.LET(
        _xlpm.is_data_present, $A107&lt;&gt;0,
        _xlpm.is_camera_present, COUNTIFS(Log!$C:$C, $A107, Log!$D:$D, E$4, Log!$A:$A, "Daily", Log!$B:$B, "n/a"),
        _xlpm.we_camera_on_date, IFERROR(AVERAGEIFS(Log!$F:$F, Log!$D:$D,E$4, Log!$C:$C, $A107, Log!$A:$A, "Daily", Log!$B:$B, "n/a"), 0),
        _xlpm.ie_camera_on_date, IFERROR(AVERAGEIFS(Log!$G:$G, Log!$D:$D,E$4,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7" s="68" t="str">
        <f>IFERROR(
    _xlfn.LET(
        _xlpm.is_data_present, $A107&lt;&gt;0,
        _xlpm.is_camera_present, COUNTIFS(Log!$C:$C, $A107, Log!$D:$D, F$4, Log!$A:$A, "Daily", Log!$B:$B, "n/a"),
        _xlpm.we_camera_on_date, IFERROR(AVERAGEIFS(Log!$F:$F, Log!$D:$D,F$4, Log!$C:$C, $A107, Log!$A:$A, "Daily", Log!$B:$B, "n/a"), 0),
        _xlpm.ie_camera_on_date, IFERROR(AVERAGEIFS(Log!$G:$G, Log!$D:$D,F$4,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7" s="68" t="str">
        <f>IFERROR(
    _xlfn.LET(
        _xlpm.is_data_present, $A107&lt;&gt;0,
        _xlpm.is_camera_present, COUNTIFS(Log!$C:$C, $A107, Log!$D:$D, G$4, Log!$A:$A, "Daily", Log!$B:$B, "n/a"),
        _xlpm.we_camera_on_date, IFERROR(AVERAGEIFS(Log!$F:$F, Log!$D:$D,G$4, Log!$C:$C, $A107, Log!$A:$A, "Daily", Log!$B:$B, "n/a"), 0),
        _xlpm.ie_camera_on_date, IFERROR(AVERAGEIFS(Log!$G:$G, Log!$D:$D,G$4,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7" s="68" t="str">
        <f>IFERROR(
    _xlfn.LET(
        _xlpm.is_data_present, $A107&lt;&gt;0,
        _xlpm.is_camera_present, COUNTIFS(Log!$C:$C, $A107, Log!$D:$D, H$4, Log!$A:$A, "Daily", Log!$B:$B, "n/a"),
        _xlpm.we_camera_on_date, IFERROR(AVERAGEIFS(Log!$F:$F, Log!$D:$D,H$4, Log!$C:$C, $A107, Log!$A:$A, "Daily", Log!$B:$B, "n/a"), 0),
        _xlpm.ie_camera_on_date, IFERROR(AVERAGEIFS(Log!$G:$G, Log!$D:$D,H$4,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7" s="68" t="str">
        <f>IFERROR(
    _xlfn.LET(
        _xlpm.is_data_present, $A107&lt;&gt;0,
        _xlpm.is_camera_present, COUNTIFS(Log!$C:$C, $A107, Log!$D:$D, I$4, Log!$A:$A, "Daily", Log!$B:$B, "n/a"),
        _xlpm.we_camera_on_date, IFERROR(AVERAGEIFS(Log!$F:$F, Log!$D:$D,I$4, Log!$C:$C, $A107, Log!$A:$A, "Daily", Log!$B:$B, "n/a"), 0),
        _xlpm.ie_camera_on_date, IFERROR(AVERAGEIFS(Log!$G:$G, Log!$D:$D,I$4,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7" s="68" t="str">
        <f>IFERROR(
    _xlfn.LET(
        _xlpm.is_data_present, $A107&lt;&gt;0,
        _xlpm.is_camera_present, COUNTIFS(Log!$C:$C, $A107, Log!$D:$D, J$4, Log!$A:$A, "Daily", Log!$B:$B, "n/a"),
        _xlpm.we_camera_on_date, IFERROR(AVERAGEIFS(Log!$F:$F, Log!$D:$D,J$4, Log!$C:$C, $A107, Log!$A:$A, "Daily", Log!$B:$B, "n/a"), 0),
        _xlpm.ie_camera_on_date, IFERROR(AVERAGEIFS(Log!$G:$G, Log!$D:$D,J$4,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7" s="68" t="str">
        <f>IFERROR(
    _xlfn.LET(
        _xlpm.is_data_present, $A107&lt;&gt;0,
        _xlpm.is_camera_present, COUNTIFS(Log!$C:$C, $A107, Log!$D:$D, K$4, Log!$A:$A, "Daily", Log!$B:$B, "n/a"),
        _xlpm.we_camera_on_date, IFERROR(AVERAGEIFS(Log!$F:$F, Log!$D:$D,K$4, Log!$C:$C, $A107, Log!$A:$A, "Daily", Log!$B:$B, "n/a"), 0),
        _xlpm.ie_camera_on_date, IFERROR(AVERAGEIFS(Log!$G:$G, Log!$D:$D,K$4,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7" s="68" t="str">
        <f>IFERROR(
    _xlfn.LET(
        _xlpm.is_data_present, $A107&lt;&gt;0,
        _xlpm.is_camera_present, COUNTIFS(Log!$C:$C, $A107, Log!$D:$D, L$4, Log!$A:$A, "Daily", Log!$B:$B, "n/a"),
        _xlpm.we_camera_on_date, IFERROR(AVERAGEIFS(Log!$F:$F, Log!$D:$D,L$4, Log!$C:$C, $A107, Log!$A:$A, "Daily", Log!$B:$B, "n/a"), 0),
        _xlpm.ie_camera_on_date, IFERROR(AVERAGEIFS(Log!$G:$G, Log!$D:$D,L$4,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7" s="68" t="str">
        <f>IFERROR(
    _xlfn.LET(
        _xlpm.is_data_present, $A107&lt;&gt;0,
        _xlpm.is_camera_present, COUNTIFS(Log!$C:$C, $A107, Log!$D:$D, M$4, Log!$A:$A, "Daily", Log!$B:$B, "n/a"),
        _xlpm.we_camera_on_date, IFERROR(AVERAGEIFS(Log!$F:$F, Log!$D:$D,M$4, Log!$C:$C, $A107, Log!$A:$A, "Daily", Log!$B:$B, "n/a"), 0),
        _xlpm.ie_camera_on_date, IFERROR(AVERAGEIFS(Log!$G:$G, Log!$D:$D,M$4,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7" s="68" t="str">
        <f>IFERROR(
    _xlfn.LET(
        _xlpm.is_data_present, $A107&lt;&gt;0,
        _xlpm.is_camera_present, COUNTIFS(Log!$C:$C, $A107, Log!$D:$D, N$4, Log!$A:$A, "Daily", Log!$B:$B, "n/a"),
        _xlpm.we_camera_on_date, IFERROR(AVERAGEIFS(Log!$F:$F, Log!$D:$D,N$4, Log!$C:$C, $A107, Log!$A:$A, "Daily", Log!$B:$B, "n/a"), 0),
        _xlpm.ie_camera_on_date, IFERROR(AVERAGEIFS(Log!$G:$G, Log!$D:$D,N$4,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7" s="68" t="str">
        <f>IFERROR(
    _xlfn.LET(
        _xlpm.is_data_present, $A107&lt;&gt;0,
        _xlpm.is_camera_present, COUNTIFS(Log!$C:$C, $A107, Log!$D:$D, O$4, Log!$A:$A, "Daily", Log!$B:$B, "n/a"),
        _xlpm.we_camera_on_date, IFERROR(AVERAGEIFS(Log!$F:$F, Log!$D:$D,O$4, Log!$C:$C, $A107, Log!$A:$A, "Daily", Log!$B:$B, "n/a"), 0),
        _xlpm.ie_camera_on_date, IFERROR(AVERAGEIFS(Log!$G:$G, Log!$D:$D,O$4,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7" s="68" t="str">
        <f>IFERROR(
    _xlfn.LET(
        _xlpm.is_data_present, $A107&lt;&gt;0,
        _xlpm.is_camera_present, COUNTIFS(Log!$C:$C, $A107, Log!$D:$D, P$4, Log!$A:$A, "Daily", Log!$B:$B, "n/a"),
        _xlpm.we_camera_on_date, IFERROR(AVERAGEIFS(Log!$F:$F, Log!$D:$D,P$4, Log!$C:$C, $A107, Log!$A:$A, "Daily", Log!$B:$B, "n/a"), 0),
        _xlpm.ie_camera_on_date, IFERROR(AVERAGEIFS(Log!$G:$G, Log!$D:$D,P$4,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7" s="68" t="str">
        <f>IFERROR(
    _xlfn.LET(
        _xlpm.is_data_present, $A107&lt;&gt;0,
        _xlpm.is_camera_present, COUNTIFS(Log!$C:$C, $A107, Log!$D:$D, Q$4, Log!$A:$A, "Daily", Log!$B:$B, "n/a"),
        _xlpm.we_camera_on_date, IFERROR(AVERAGEIFS(Log!$F:$F, Log!$D:$D,Q$4, Log!$C:$C, $A107, Log!$A:$A, "Daily", Log!$B:$B, "n/a"), 0),
        _xlpm.ie_camera_on_date, IFERROR(AVERAGEIFS(Log!$G:$G, Log!$D:$D,Q$4,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7" s="68" t="str">
        <f>IFERROR(
    _xlfn.LET(
        _xlpm.is_data_present, $A107&lt;&gt;0,
        _xlpm.is_camera_present, COUNTIFS(Log!$C:$C, $A107, Log!$D:$D, R$4, Log!$A:$A, "Daily", Log!$B:$B, "n/a"),
        _xlpm.we_camera_on_date, IFERROR(AVERAGEIFS(Log!$F:$F, Log!$D:$D,R$4, Log!$C:$C, $A107, Log!$A:$A, "Daily", Log!$B:$B, "n/a"), 0),
        _xlpm.ie_camera_on_date, IFERROR(AVERAGEIFS(Log!$G:$G, Log!$D:$D,R$4,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7" s="68" t="str">
        <f>IFERROR(
    _xlfn.LET(
        _xlpm.is_data_present, $A107&lt;&gt;0,
        _xlpm.is_camera_present, COUNTIFS(Log!$C:$C, $A107, Log!$D:$D, S$4, Log!$A:$A, "Daily", Log!$B:$B, "n/a"),
        _xlpm.we_camera_on_date, IFERROR(AVERAGEIFS(Log!$F:$F, Log!$D:$D,S$4, Log!$C:$C, $A107, Log!$A:$A, "Daily", Log!$B:$B, "n/a"), 0),
        _xlpm.ie_camera_on_date, IFERROR(AVERAGEIFS(Log!$G:$G, Log!$D:$D,S$4, Log!$C:$C, $A107, Log!$A:$A, "Daily", Log!$B:$B, "n/a"), 0),
        _xlpm.we_avg, IFERROR(AVERAGEIFS(Log!$F:$F,Log!$C:$C,$A107, Log!$A:$A, "Daily", Log!$B:$B, "n/a"),0),
        _xlpm.ie_avg, IFERROR(AVERAGEIFS(Log!$G:$G,Log!$C:$C,$A107,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8" spans="2:19" x14ac:dyDescent="0.3">
      <c r="B108" s="68" t="str">
        <f>IFERROR(
    _xlfn.LET(
        _xlpm.is_data_present, $A108&lt;&gt;0,
        _xlpm.is_camera_present, COUNTIFS(Log!$C:$C, $A108, Log!$D:$D, B$4, Log!$A:$A, "Daily", Log!$B:$B, "n/a"),
        _xlpm.we_camera_on_date, IFERROR(AVERAGEIFS(Log!$F:$F, Log!$D:$D,B$4, Log!$C:$C, $A108, Log!$A:$A, "Daily", Log!$B:$B, "n/a"), 0),
        _xlpm.ie_camera_on_date, IFERROR(AVERAGEIFS(Log!$G:$G, Log!$D:$D,B$4,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8" s="68" t="str">
        <f>IFERROR(
    _xlfn.LET(
        _xlpm.is_data_present, $A108&lt;&gt;0,
        _xlpm.is_camera_present, COUNTIFS(Log!$C:$C, $A108, Log!$D:$D, C$4, Log!$A:$A, "Daily", Log!$B:$B, "n/a"),
        _xlpm.we_camera_on_date, IFERROR(AVERAGEIFS(Log!$F:$F, Log!$D:$D,C$4, Log!$C:$C, $A108, Log!$A:$A, "Daily", Log!$B:$B, "n/a"), 0),
        _xlpm.ie_camera_on_date, IFERROR(AVERAGEIFS(Log!$G:$G, Log!$D:$D,C$4,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8" s="68" t="str">
        <f>IFERROR(
    _xlfn.LET(
        _xlpm.is_data_present, $A108&lt;&gt;0,
        _xlpm.is_camera_present, COUNTIFS(Log!$C:$C, $A108, Log!$D:$D, D$4, Log!$A:$A, "Daily", Log!$B:$B, "n/a"),
        _xlpm.we_camera_on_date, IFERROR(AVERAGEIFS(Log!$F:$F, Log!$D:$D,D$4, Log!$C:$C, $A108, Log!$A:$A, "Daily", Log!$B:$B, "n/a"), 0),
        _xlpm.ie_camera_on_date, IFERROR(AVERAGEIFS(Log!$G:$G, Log!$D:$D,D$4,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8" s="68" t="str">
        <f>IFERROR(
    _xlfn.LET(
        _xlpm.is_data_present, $A108&lt;&gt;0,
        _xlpm.is_camera_present, COUNTIFS(Log!$C:$C, $A108, Log!$D:$D, E$4, Log!$A:$A, "Daily", Log!$B:$B, "n/a"),
        _xlpm.we_camera_on_date, IFERROR(AVERAGEIFS(Log!$F:$F, Log!$D:$D,E$4, Log!$C:$C, $A108, Log!$A:$A, "Daily", Log!$B:$B, "n/a"), 0),
        _xlpm.ie_camera_on_date, IFERROR(AVERAGEIFS(Log!$G:$G, Log!$D:$D,E$4,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8" s="68" t="str">
        <f>IFERROR(
    _xlfn.LET(
        _xlpm.is_data_present, $A108&lt;&gt;0,
        _xlpm.is_camera_present, COUNTIFS(Log!$C:$C, $A108, Log!$D:$D, F$4, Log!$A:$A, "Daily", Log!$B:$B, "n/a"),
        _xlpm.we_camera_on_date, IFERROR(AVERAGEIFS(Log!$F:$F, Log!$D:$D,F$4, Log!$C:$C, $A108, Log!$A:$A, "Daily", Log!$B:$B, "n/a"), 0),
        _xlpm.ie_camera_on_date, IFERROR(AVERAGEIFS(Log!$G:$G, Log!$D:$D,F$4,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8" s="68" t="str">
        <f>IFERROR(
    _xlfn.LET(
        _xlpm.is_data_present, $A108&lt;&gt;0,
        _xlpm.is_camera_present, COUNTIFS(Log!$C:$C, $A108, Log!$D:$D, G$4, Log!$A:$A, "Daily", Log!$B:$B, "n/a"),
        _xlpm.we_camera_on_date, IFERROR(AVERAGEIFS(Log!$F:$F, Log!$D:$D,G$4, Log!$C:$C, $A108, Log!$A:$A, "Daily", Log!$B:$B, "n/a"), 0),
        _xlpm.ie_camera_on_date, IFERROR(AVERAGEIFS(Log!$G:$G, Log!$D:$D,G$4,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8" s="68" t="str">
        <f>IFERROR(
    _xlfn.LET(
        _xlpm.is_data_present, $A108&lt;&gt;0,
        _xlpm.is_camera_present, COUNTIFS(Log!$C:$C, $A108, Log!$D:$D, H$4, Log!$A:$A, "Daily", Log!$B:$B, "n/a"),
        _xlpm.we_camera_on_date, IFERROR(AVERAGEIFS(Log!$F:$F, Log!$D:$D,H$4, Log!$C:$C, $A108, Log!$A:$A, "Daily", Log!$B:$B, "n/a"), 0),
        _xlpm.ie_camera_on_date, IFERROR(AVERAGEIFS(Log!$G:$G, Log!$D:$D,H$4,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8" s="68" t="str">
        <f>IFERROR(
    _xlfn.LET(
        _xlpm.is_data_present, $A108&lt;&gt;0,
        _xlpm.is_camera_present, COUNTIFS(Log!$C:$C, $A108, Log!$D:$D, I$4, Log!$A:$A, "Daily", Log!$B:$B, "n/a"),
        _xlpm.we_camera_on_date, IFERROR(AVERAGEIFS(Log!$F:$F, Log!$D:$D,I$4, Log!$C:$C, $A108, Log!$A:$A, "Daily", Log!$B:$B, "n/a"), 0),
        _xlpm.ie_camera_on_date, IFERROR(AVERAGEIFS(Log!$G:$G, Log!$D:$D,I$4,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8" s="68" t="str">
        <f>IFERROR(
    _xlfn.LET(
        _xlpm.is_data_present, $A108&lt;&gt;0,
        _xlpm.is_camera_present, COUNTIFS(Log!$C:$C, $A108, Log!$D:$D, J$4, Log!$A:$A, "Daily", Log!$B:$B, "n/a"),
        _xlpm.we_camera_on_date, IFERROR(AVERAGEIFS(Log!$F:$F, Log!$D:$D,J$4, Log!$C:$C, $A108, Log!$A:$A, "Daily", Log!$B:$B, "n/a"), 0),
        _xlpm.ie_camera_on_date, IFERROR(AVERAGEIFS(Log!$G:$G, Log!$D:$D,J$4,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8" s="68" t="str">
        <f>IFERROR(
    _xlfn.LET(
        _xlpm.is_data_present, $A108&lt;&gt;0,
        _xlpm.is_camera_present, COUNTIFS(Log!$C:$C, $A108, Log!$D:$D, K$4, Log!$A:$A, "Daily", Log!$B:$B, "n/a"),
        _xlpm.we_camera_on_date, IFERROR(AVERAGEIFS(Log!$F:$F, Log!$D:$D,K$4, Log!$C:$C, $A108, Log!$A:$A, "Daily", Log!$B:$B, "n/a"), 0),
        _xlpm.ie_camera_on_date, IFERROR(AVERAGEIFS(Log!$G:$G, Log!$D:$D,K$4,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8" s="68" t="str">
        <f>IFERROR(
    _xlfn.LET(
        _xlpm.is_data_present, $A108&lt;&gt;0,
        _xlpm.is_camera_present, COUNTIFS(Log!$C:$C, $A108, Log!$D:$D, L$4, Log!$A:$A, "Daily", Log!$B:$B, "n/a"),
        _xlpm.we_camera_on_date, IFERROR(AVERAGEIFS(Log!$F:$F, Log!$D:$D,L$4, Log!$C:$C, $A108, Log!$A:$A, "Daily", Log!$B:$B, "n/a"), 0),
        _xlpm.ie_camera_on_date, IFERROR(AVERAGEIFS(Log!$G:$G, Log!$D:$D,L$4,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8" s="68" t="str">
        <f>IFERROR(
    _xlfn.LET(
        _xlpm.is_data_present, $A108&lt;&gt;0,
        _xlpm.is_camera_present, COUNTIFS(Log!$C:$C, $A108, Log!$D:$D, M$4, Log!$A:$A, "Daily", Log!$B:$B, "n/a"),
        _xlpm.we_camera_on_date, IFERROR(AVERAGEIFS(Log!$F:$F, Log!$D:$D,M$4, Log!$C:$C, $A108, Log!$A:$A, "Daily", Log!$B:$B, "n/a"), 0),
        _xlpm.ie_camera_on_date, IFERROR(AVERAGEIFS(Log!$G:$G, Log!$D:$D,M$4,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8" s="68" t="str">
        <f>IFERROR(
    _xlfn.LET(
        _xlpm.is_data_present, $A108&lt;&gt;0,
        _xlpm.is_camera_present, COUNTIFS(Log!$C:$C, $A108, Log!$D:$D, N$4, Log!$A:$A, "Daily", Log!$B:$B, "n/a"),
        _xlpm.we_camera_on_date, IFERROR(AVERAGEIFS(Log!$F:$F, Log!$D:$D,N$4, Log!$C:$C, $A108, Log!$A:$A, "Daily", Log!$B:$B, "n/a"), 0),
        _xlpm.ie_camera_on_date, IFERROR(AVERAGEIFS(Log!$G:$G, Log!$D:$D,N$4,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8" s="68" t="str">
        <f>IFERROR(
    _xlfn.LET(
        _xlpm.is_data_present, $A108&lt;&gt;0,
        _xlpm.is_camera_present, COUNTIFS(Log!$C:$C, $A108, Log!$D:$D, O$4, Log!$A:$A, "Daily", Log!$B:$B, "n/a"),
        _xlpm.we_camera_on_date, IFERROR(AVERAGEIFS(Log!$F:$F, Log!$D:$D,O$4, Log!$C:$C, $A108, Log!$A:$A, "Daily", Log!$B:$B, "n/a"), 0),
        _xlpm.ie_camera_on_date, IFERROR(AVERAGEIFS(Log!$G:$G, Log!$D:$D,O$4,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8" s="68" t="str">
        <f>IFERROR(
    _xlfn.LET(
        _xlpm.is_data_present, $A108&lt;&gt;0,
        _xlpm.is_camera_present, COUNTIFS(Log!$C:$C, $A108, Log!$D:$D, P$4, Log!$A:$A, "Daily", Log!$B:$B, "n/a"),
        _xlpm.we_camera_on_date, IFERROR(AVERAGEIFS(Log!$F:$F, Log!$D:$D,P$4, Log!$C:$C, $A108, Log!$A:$A, "Daily", Log!$B:$B, "n/a"), 0),
        _xlpm.ie_camera_on_date, IFERROR(AVERAGEIFS(Log!$G:$G, Log!$D:$D,P$4,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8" s="68" t="str">
        <f>IFERROR(
    _xlfn.LET(
        _xlpm.is_data_present, $A108&lt;&gt;0,
        _xlpm.is_camera_present, COUNTIFS(Log!$C:$C, $A108, Log!$D:$D, Q$4, Log!$A:$A, "Daily", Log!$B:$B, "n/a"),
        _xlpm.we_camera_on_date, IFERROR(AVERAGEIFS(Log!$F:$F, Log!$D:$D,Q$4, Log!$C:$C, $A108, Log!$A:$A, "Daily", Log!$B:$B, "n/a"), 0),
        _xlpm.ie_camera_on_date, IFERROR(AVERAGEIFS(Log!$G:$G, Log!$D:$D,Q$4,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8" s="68" t="str">
        <f>IFERROR(
    _xlfn.LET(
        _xlpm.is_data_present, $A108&lt;&gt;0,
        _xlpm.is_camera_present, COUNTIFS(Log!$C:$C, $A108, Log!$D:$D, R$4, Log!$A:$A, "Daily", Log!$B:$B, "n/a"),
        _xlpm.we_camera_on_date, IFERROR(AVERAGEIFS(Log!$F:$F, Log!$D:$D,R$4, Log!$C:$C, $A108, Log!$A:$A, "Daily", Log!$B:$B, "n/a"), 0),
        _xlpm.ie_camera_on_date, IFERROR(AVERAGEIFS(Log!$G:$G, Log!$D:$D,R$4,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8" s="68" t="str">
        <f>IFERROR(
    _xlfn.LET(
        _xlpm.is_data_present, $A108&lt;&gt;0,
        _xlpm.is_camera_present, COUNTIFS(Log!$C:$C, $A108, Log!$D:$D, S$4, Log!$A:$A, "Daily", Log!$B:$B, "n/a"),
        _xlpm.we_camera_on_date, IFERROR(AVERAGEIFS(Log!$F:$F, Log!$D:$D,S$4, Log!$C:$C, $A108, Log!$A:$A, "Daily", Log!$B:$B, "n/a"), 0),
        _xlpm.ie_camera_on_date, IFERROR(AVERAGEIFS(Log!$G:$G, Log!$D:$D,S$4, Log!$C:$C, $A108, Log!$A:$A, "Daily", Log!$B:$B, "n/a"), 0),
        _xlpm.we_avg, IFERROR(AVERAGEIFS(Log!$F:$F,Log!$C:$C,$A108, Log!$A:$A, "Daily", Log!$B:$B, "n/a"),0),
        _xlpm.ie_avg, IFERROR(AVERAGEIFS(Log!$G:$G,Log!$C:$C,$A108,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09" spans="2:19" x14ac:dyDescent="0.3">
      <c r="B109" s="68" t="str">
        <f>IFERROR(
    _xlfn.LET(
        _xlpm.is_data_present, $A109&lt;&gt;0,
        _xlpm.is_camera_present, COUNTIFS(Log!$C:$C, $A109, Log!$D:$D, B$4, Log!$A:$A, "Daily", Log!$B:$B, "n/a"),
        _xlpm.we_camera_on_date, IFERROR(AVERAGEIFS(Log!$F:$F, Log!$D:$D,B$4, Log!$C:$C, $A109, Log!$A:$A, "Daily", Log!$B:$B, "n/a"), 0),
        _xlpm.ie_camera_on_date, IFERROR(AVERAGEIFS(Log!$G:$G, Log!$D:$D,B$4,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09" s="68" t="str">
        <f>IFERROR(
    _xlfn.LET(
        _xlpm.is_data_present, $A109&lt;&gt;0,
        _xlpm.is_camera_present, COUNTIFS(Log!$C:$C, $A109, Log!$D:$D, C$4, Log!$A:$A, "Daily", Log!$B:$B, "n/a"),
        _xlpm.we_camera_on_date, IFERROR(AVERAGEIFS(Log!$F:$F, Log!$D:$D,C$4, Log!$C:$C, $A109, Log!$A:$A, "Daily", Log!$B:$B, "n/a"), 0),
        _xlpm.ie_camera_on_date, IFERROR(AVERAGEIFS(Log!$G:$G, Log!$D:$D,C$4,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09" s="68" t="str">
        <f>IFERROR(
    _xlfn.LET(
        _xlpm.is_data_present, $A109&lt;&gt;0,
        _xlpm.is_camera_present, COUNTIFS(Log!$C:$C, $A109, Log!$D:$D, D$4, Log!$A:$A, "Daily", Log!$B:$B, "n/a"),
        _xlpm.we_camera_on_date, IFERROR(AVERAGEIFS(Log!$F:$F, Log!$D:$D,D$4, Log!$C:$C, $A109, Log!$A:$A, "Daily", Log!$B:$B, "n/a"), 0),
        _xlpm.ie_camera_on_date, IFERROR(AVERAGEIFS(Log!$G:$G, Log!$D:$D,D$4,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09" s="68" t="str">
        <f>IFERROR(
    _xlfn.LET(
        _xlpm.is_data_present, $A109&lt;&gt;0,
        _xlpm.is_camera_present, COUNTIFS(Log!$C:$C, $A109, Log!$D:$D, E$4, Log!$A:$A, "Daily", Log!$B:$B, "n/a"),
        _xlpm.we_camera_on_date, IFERROR(AVERAGEIFS(Log!$F:$F, Log!$D:$D,E$4, Log!$C:$C, $A109, Log!$A:$A, "Daily", Log!$B:$B, "n/a"), 0),
        _xlpm.ie_camera_on_date, IFERROR(AVERAGEIFS(Log!$G:$G, Log!$D:$D,E$4,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09" s="68" t="str">
        <f>IFERROR(
    _xlfn.LET(
        _xlpm.is_data_present, $A109&lt;&gt;0,
        _xlpm.is_camera_present, COUNTIFS(Log!$C:$C, $A109, Log!$D:$D, F$4, Log!$A:$A, "Daily", Log!$B:$B, "n/a"),
        _xlpm.we_camera_on_date, IFERROR(AVERAGEIFS(Log!$F:$F, Log!$D:$D,F$4, Log!$C:$C, $A109, Log!$A:$A, "Daily", Log!$B:$B, "n/a"), 0),
        _xlpm.ie_camera_on_date, IFERROR(AVERAGEIFS(Log!$G:$G, Log!$D:$D,F$4,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09" s="68" t="str">
        <f>IFERROR(
    _xlfn.LET(
        _xlpm.is_data_present, $A109&lt;&gt;0,
        _xlpm.is_camera_present, COUNTIFS(Log!$C:$C, $A109, Log!$D:$D, G$4, Log!$A:$A, "Daily", Log!$B:$B, "n/a"),
        _xlpm.we_camera_on_date, IFERROR(AVERAGEIFS(Log!$F:$F, Log!$D:$D,G$4, Log!$C:$C, $A109, Log!$A:$A, "Daily", Log!$B:$B, "n/a"), 0),
        _xlpm.ie_camera_on_date, IFERROR(AVERAGEIFS(Log!$G:$G, Log!$D:$D,G$4,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09" s="68" t="str">
        <f>IFERROR(
    _xlfn.LET(
        _xlpm.is_data_present, $A109&lt;&gt;0,
        _xlpm.is_camera_present, COUNTIFS(Log!$C:$C, $A109, Log!$D:$D, H$4, Log!$A:$A, "Daily", Log!$B:$B, "n/a"),
        _xlpm.we_camera_on_date, IFERROR(AVERAGEIFS(Log!$F:$F, Log!$D:$D,H$4, Log!$C:$C, $A109, Log!$A:$A, "Daily", Log!$B:$B, "n/a"), 0),
        _xlpm.ie_camera_on_date, IFERROR(AVERAGEIFS(Log!$G:$G, Log!$D:$D,H$4,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09" s="68" t="str">
        <f>IFERROR(
    _xlfn.LET(
        _xlpm.is_data_present, $A109&lt;&gt;0,
        _xlpm.is_camera_present, COUNTIFS(Log!$C:$C, $A109, Log!$D:$D, I$4, Log!$A:$A, "Daily", Log!$B:$B, "n/a"),
        _xlpm.we_camera_on_date, IFERROR(AVERAGEIFS(Log!$F:$F, Log!$D:$D,I$4, Log!$C:$C, $A109, Log!$A:$A, "Daily", Log!$B:$B, "n/a"), 0),
        _xlpm.ie_camera_on_date, IFERROR(AVERAGEIFS(Log!$G:$G, Log!$D:$D,I$4,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09" s="68" t="str">
        <f>IFERROR(
    _xlfn.LET(
        _xlpm.is_data_present, $A109&lt;&gt;0,
        _xlpm.is_camera_present, COUNTIFS(Log!$C:$C, $A109, Log!$D:$D, J$4, Log!$A:$A, "Daily", Log!$B:$B, "n/a"),
        _xlpm.we_camera_on_date, IFERROR(AVERAGEIFS(Log!$F:$F, Log!$D:$D,J$4, Log!$C:$C, $A109, Log!$A:$A, "Daily", Log!$B:$B, "n/a"), 0),
        _xlpm.ie_camera_on_date, IFERROR(AVERAGEIFS(Log!$G:$G, Log!$D:$D,J$4,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09" s="68" t="str">
        <f>IFERROR(
    _xlfn.LET(
        _xlpm.is_data_present, $A109&lt;&gt;0,
        _xlpm.is_camera_present, COUNTIFS(Log!$C:$C, $A109, Log!$D:$D, K$4, Log!$A:$A, "Daily", Log!$B:$B, "n/a"),
        _xlpm.we_camera_on_date, IFERROR(AVERAGEIFS(Log!$F:$F, Log!$D:$D,K$4, Log!$C:$C, $A109, Log!$A:$A, "Daily", Log!$B:$B, "n/a"), 0),
        _xlpm.ie_camera_on_date, IFERROR(AVERAGEIFS(Log!$G:$G, Log!$D:$D,K$4,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09" s="68" t="str">
        <f>IFERROR(
    _xlfn.LET(
        _xlpm.is_data_present, $A109&lt;&gt;0,
        _xlpm.is_camera_present, COUNTIFS(Log!$C:$C, $A109, Log!$D:$D, L$4, Log!$A:$A, "Daily", Log!$B:$B, "n/a"),
        _xlpm.we_camera_on_date, IFERROR(AVERAGEIFS(Log!$F:$F, Log!$D:$D,L$4, Log!$C:$C, $A109, Log!$A:$A, "Daily", Log!$B:$B, "n/a"), 0),
        _xlpm.ie_camera_on_date, IFERROR(AVERAGEIFS(Log!$G:$G, Log!$D:$D,L$4,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09" s="68" t="str">
        <f>IFERROR(
    _xlfn.LET(
        _xlpm.is_data_present, $A109&lt;&gt;0,
        _xlpm.is_camera_present, COUNTIFS(Log!$C:$C, $A109, Log!$D:$D, M$4, Log!$A:$A, "Daily", Log!$B:$B, "n/a"),
        _xlpm.we_camera_on_date, IFERROR(AVERAGEIFS(Log!$F:$F, Log!$D:$D,M$4, Log!$C:$C, $A109, Log!$A:$A, "Daily", Log!$B:$B, "n/a"), 0),
        _xlpm.ie_camera_on_date, IFERROR(AVERAGEIFS(Log!$G:$G, Log!$D:$D,M$4,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09" s="68" t="str">
        <f>IFERROR(
    _xlfn.LET(
        _xlpm.is_data_present, $A109&lt;&gt;0,
        _xlpm.is_camera_present, COUNTIFS(Log!$C:$C, $A109, Log!$D:$D, N$4, Log!$A:$A, "Daily", Log!$B:$B, "n/a"),
        _xlpm.we_camera_on_date, IFERROR(AVERAGEIFS(Log!$F:$F, Log!$D:$D,N$4, Log!$C:$C, $A109, Log!$A:$A, "Daily", Log!$B:$B, "n/a"), 0),
        _xlpm.ie_camera_on_date, IFERROR(AVERAGEIFS(Log!$G:$G, Log!$D:$D,N$4,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09" s="68" t="str">
        <f>IFERROR(
    _xlfn.LET(
        _xlpm.is_data_present, $A109&lt;&gt;0,
        _xlpm.is_camera_present, COUNTIFS(Log!$C:$C, $A109, Log!$D:$D, O$4, Log!$A:$A, "Daily", Log!$B:$B, "n/a"),
        _xlpm.we_camera_on_date, IFERROR(AVERAGEIFS(Log!$F:$F, Log!$D:$D,O$4, Log!$C:$C, $A109, Log!$A:$A, "Daily", Log!$B:$B, "n/a"), 0),
        _xlpm.ie_camera_on_date, IFERROR(AVERAGEIFS(Log!$G:$G, Log!$D:$D,O$4,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09" s="68" t="str">
        <f>IFERROR(
    _xlfn.LET(
        _xlpm.is_data_present, $A109&lt;&gt;0,
        _xlpm.is_camera_present, COUNTIFS(Log!$C:$C, $A109, Log!$D:$D, P$4, Log!$A:$A, "Daily", Log!$B:$B, "n/a"),
        _xlpm.we_camera_on_date, IFERROR(AVERAGEIFS(Log!$F:$F, Log!$D:$D,P$4, Log!$C:$C, $A109, Log!$A:$A, "Daily", Log!$B:$B, "n/a"), 0),
        _xlpm.ie_camera_on_date, IFERROR(AVERAGEIFS(Log!$G:$G, Log!$D:$D,P$4,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09" s="68" t="str">
        <f>IFERROR(
    _xlfn.LET(
        _xlpm.is_data_present, $A109&lt;&gt;0,
        _xlpm.is_camera_present, COUNTIFS(Log!$C:$C, $A109, Log!$D:$D, Q$4, Log!$A:$A, "Daily", Log!$B:$B, "n/a"),
        _xlpm.we_camera_on_date, IFERROR(AVERAGEIFS(Log!$F:$F, Log!$D:$D,Q$4, Log!$C:$C, $A109, Log!$A:$A, "Daily", Log!$B:$B, "n/a"), 0),
        _xlpm.ie_camera_on_date, IFERROR(AVERAGEIFS(Log!$G:$G, Log!$D:$D,Q$4,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09" s="68" t="str">
        <f>IFERROR(
    _xlfn.LET(
        _xlpm.is_data_present, $A109&lt;&gt;0,
        _xlpm.is_camera_present, COUNTIFS(Log!$C:$C, $A109, Log!$D:$D, R$4, Log!$A:$A, "Daily", Log!$B:$B, "n/a"),
        _xlpm.we_camera_on_date, IFERROR(AVERAGEIFS(Log!$F:$F, Log!$D:$D,R$4, Log!$C:$C, $A109, Log!$A:$A, "Daily", Log!$B:$B, "n/a"), 0),
        _xlpm.ie_camera_on_date, IFERROR(AVERAGEIFS(Log!$G:$G, Log!$D:$D,R$4,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09" s="68" t="str">
        <f>IFERROR(
    _xlfn.LET(
        _xlpm.is_data_present, $A109&lt;&gt;0,
        _xlpm.is_camera_present, COUNTIFS(Log!$C:$C, $A109, Log!$D:$D, S$4, Log!$A:$A, "Daily", Log!$B:$B, "n/a"),
        _xlpm.we_camera_on_date, IFERROR(AVERAGEIFS(Log!$F:$F, Log!$D:$D,S$4, Log!$C:$C, $A109, Log!$A:$A, "Daily", Log!$B:$B, "n/a"), 0),
        _xlpm.ie_camera_on_date, IFERROR(AVERAGEIFS(Log!$G:$G, Log!$D:$D,S$4, Log!$C:$C, $A109, Log!$A:$A, "Daily", Log!$B:$B, "n/a"), 0),
        _xlpm.we_avg, IFERROR(AVERAGEIFS(Log!$F:$F,Log!$C:$C,$A109, Log!$A:$A, "Daily", Log!$B:$B, "n/a"),0),
        _xlpm.ie_avg, IFERROR(AVERAGEIFS(Log!$G:$G,Log!$C:$C,$A109,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0" spans="2:19" x14ac:dyDescent="0.3">
      <c r="B110" s="68" t="str">
        <f>IFERROR(
    _xlfn.LET(
        _xlpm.is_data_present, $A110&lt;&gt;0,
        _xlpm.is_camera_present, COUNTIFS(Log!$C:$C, $A110, Log!$D:$D, B$4, Log!$A:$A, "Daily", Log!$B:$B, "n/a"),
        _xlpm.we_camera_on_date, IFERROR(AVERAGEIFS(Log!$F:$F, Log!$D:$D,B$4, Log!$C:$C, $A110, Log!$A:$A, "Daily", Log!$B:$B, "n/a"), 0),
        _xlpm.ie_camera_on_date, IFERROR(AVERAGEIFS(Log!$G:$G, Log!$D:$D,B$4,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0" s="68" t="str">
        <f>IFERROR(
    _xlfn.LET(
        _xlpm.is_data_present, $A110&lt;&gt;0,
        _xlpm.is_camera_present, COUNTIFS(Log!$C:$C, $A110, Log!$D:$D, C$4, Log!$A:$A, "Daily", Log!$B:$B, "n/a"),
        _xlpm.we_camera_on_date, IFERROR(AVERAGEIFS(Log!$F:$F, Log!$D:$D,C$4, Log!$C:$C, $A110, Log!$A:$A, "Daily", Log!$B:$B, "n/a"), 0),
        _xlpm.ie_camera_on_date, IFERROR(AVERAGEIFS(Log!$G:$G, Log!$D:$D,C$4,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0" s="68" t="str">
        <f>IFERROR(
    _xlfn.LET(
        _xlpm.is_data_present, $A110&lt;&gt;0,
        _xlpm.is_camera_present, COUNTIFS(Log!$C:$C, $A110, Log!$D:$D, D$4, Log!$A:$A, "Daily", Log!$B:$B, "n/a"),
        _xlpm.we_camera_on_date, IFERROR(AVERAGEIFS(Log!$F:$F, Log!$D:$D,D$4, Log!$C:$C, $A110, Log!$A:$A, "Daily", Log!$B:$B, "n/a"), 0),
        _xlpm.ie_camera_on_date, IFERROR(AVERAGEIFS(Log!$G:$G, Log!$D:$D,D$4,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0" s="68" t="str">
        <f>IFERROR(
    _xlfn.LET(
        _xlpm.is_data_present, $A110&lt;&gt;0,
        _xlpm.is_camera_present, COUNTIFS(Log!$C:$C, $A110, Log!$D:$D, E$4, Log!$A:$A, "Daily", Log!$B:$B, "n/a"),
        _xlpm.we_camera_on_date, IFERROR(AVERAGEIFS(Log!$F:$F, Log!$D:$D,E$4, Log!$C:$C, $A110, Log!$A:$A, "Daily", Log!$B:$B, "n/a"), 0),
        _xlpm.ie_camera_on_date, IFERROR(AVERAGEIFS(Log!$G:$G, Log!$D:$D,E$4,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0" s="68" t="str">
        <f>IFERROR(
    _xlfn.LET(
        _xlpm.is_data_present, $A110&lt;&gt;0,
        _xlpm.is_camera_present, COUNTIFS(Log!$C:$C, $A110, Log!$D:$D, F$4, Log!$A:$A, "Daily", Log!$B:$B, "n/a"),
        _xlpm.we_camera_on_date, IFERROR(AVERAGEIFS(Log!$F:$F, Log!$D:$D,F$4, Log!$C:$C, $A110, Log!$A:$A, "Daily", Log!$B:$B, "n/a"), 0),
        _xlpm.ie_camera_on_date, IFERROR(AVERAGEIFS(Log!$G:$G, Log!$D:$D,F$4,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0" s="68" t="str">
        <f>IFERROR(
    _xlfn.LET(
        _xlpm.is_data_present, $A110&lt;&gt;0,
        _xlpm.is_camera_present, COUNTIFS(Log!$C:$C, $A110, Log!$D:$D, G$4, Log!$A:$A, "Daily", Log!$B:$B, "n/a"),
        _xlpm.we_camera_on_date, IFERROR(AVERAGEIFS(Log!$F:$F, Log!$D:$D,G$4, Log!$C:$C, $A110, Log!$A:$A, "Daily", Log!$B:$B, "n/a"), 0),
        _xlpm.ie_camera_on_date, IFERROR(AVERAGEIFS(Log!$G:$G, Log!$D:$D,G$4,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0" s="68" t="str">
        <f>IFERROR(
    _xlfn.LET(
        _xlpm.is_data_present, $A110&lt;&gt;0,
        _xlpm.is_camera_present, COUNTIFS(Log!$C:$C, $A110, Log!$D:$D, H$4, Log!$A:$A, "Daily", Log!$B:$B, "n/a"),
        _xlpm.we_camera_on_date, IFERROR(AVERAGEIFS(Log!$F:$F, Log!$D:$D,H$4, Log!$C:$C, $A110, Log!$A:$A, "Daily", Log!$B:$B, "n/a"), 0),
        _xlpm.ie_camera_on_date, IFERROR(AVERAGEIFS(Log!$G:$G, Log!$D:$D,H$4,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0" s="68" t="str">
        <f>IFERROR(
    _xlfn.LET(
        _xlpm.is_data_present, $A110&lt;&gt;0,
        _xlpm.is_camera_present, COUNTIFS(Log!$C:$C, $A110, Log!$D:$D, I$4, Log!$A:$A, "Daily", Log!$B:$B, "n/a"),
        _xlpm.we_camera_on_date, IFERROR(AVERAGEIFS(Log!$F:$F, Log!$D:$D,I$4, Log!$C:$C, $A110, Log!$A:$A, "Daily", Log!$B:$B, "n/a"), 0),
        _xlpm.ie_camera_on_date, IFERROR(AVERAGEIFS(Log!$G:$G, Log!$D:$D,I$4,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0" s="68" t="str">
        <f>IFERROR(
    _xlfn.LET(
        _xlpm.is_data_present, $A110&lt;&gt;0,
        _xlpm.is_camera_present, COUNTIFS(Log!$C:$C, $A110, Log!$D:$D, J$4, Log!$A:$A, "Daily", Log!$B:$B, "n/a"),
        _xlpm.we_camera_on_date, IFERROR(AVERAGEIFS(Log!$F:$F, Log!$D:$D,J$4, Log!$C:$C, $A110, Log!$A:$A, "Daily", Log!$B:$B, "n/a"), 0),
        _xlpm.ie_camera_on_date, IFERROR(AVERAGEIFS(Log!$G:$G, Log!$D:$D,J$4,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0" s="68" t="str">
        <f>IFERROR(
    _xlfn.LET(
        _xlpm.is_data_present, $A110&lt;&gt;0,
        _xlpm.is_camera_present, COUNTIFS(Log!$C:$C, $A110, Log!$D:$D, K$4, Log!$A:$A, "Daily", Log!$B:$B, "n/a"),
        _xlpm.we_camera_on_date, IFERROR(AVERAGEIFS(Log!$F:$F, Log!$D:$D,K$4, Log!$C:$C, $A110, Log!$A:$A, "Daily", Log!$B:$B, "n/a"), 0),
        _xlpm.ie_camera_on_date, IFERROR(AVERAGEIFS(Log!$G:$G, Log!$D:$D,K$4,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0" s="68" t="str">
        <f>IFERROR(
    _xlfn.LET(
        _xlpm.is_data_present, $A110&lt;&gt;0,
        _xlpm.is_camera_present, COUNTIFS(Log!$C:$C, $A110, Log!$D:$D, L$4, Log!$A:$A, "Daily", Log!$B:$B, "n/a"),
        _xlpm.we_camera_on_date, IFERROR(AVERAGEIFS(Log!$F:$F, Log!$D:$D,L$4, Log!$C:$C, $A110, Log!$A:$A, "Daily", Log!$B:$B, "n/a"), 0),
        _xlpm.ie_camera_on_date, IFERROR(AVERAGEIFS(Log!$G:$G, Log!$D:$D,L$4,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0" s="68" t="str">
        <f>IFERROR(
    _xlfn.LET(
        _xlpm.is_data_present, $A110&lt;&gt;0,
        _xlpm.is_camera_present, COUNTIFS(Log!$C:$C, $A110, Log!$D:$D, M$4, Log!$A:$A, "Daily", Log!$B:$B, "n/a"),
        _xlpm.we_camera_on_date, IFERROR(AVERAGEIFS(Log!$F:$F, Log!$D:$D,M$4, Log!$C:$C, $A110, Log!$A:$A, "Daily", Log!$B:$B, "n/a"), 0),
        _xlpm.ie_camera_on_date, IFERROR(AVERAGEIFS(Log!$G:$G, Log!$D:$D,M$4,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0" s="68" t="str">
        <f>IFERROR(
    _xlfn.LET(
        _xlpm.is_data_present, $A110&lt;&gt;0,
        _xlpm.is_camera_present, COUNTIFS(Log!$C:$C, $A110, Log!$D:$D, N$4, Log!$A:$A, "Daily", Log!$B:$B, "n/a"),
        _xlpm.we_camera_on_date, IFERROR(AVERAGEIFS(Log!$F:$F, Log!$D:$D,N$4, Log!$C:$C, $A110, Log!$A:$A, "Daily", Log!$B:$B, "n/a"), 0),
        _xlpm.ie_camera_on_date, IFERROR(AVERAGEIFS(Log!$G:$G, Log!$D:$D,N$4,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0" s="68" t="str">
        <f>IFERROR(
    _xlfn.LET(
        _xlpm.is_data_present, $A110&lt;&gt;0,
        _xlpm.is_camera_present, COUNTIFS(Log!$C:$C, $A110, Log!$D:$D, O$4, Log!$A:$A, "Daily", Log!$B:$B, "n/a"),
        _xlpm.we_camera_on_date, IFERROR(AVERAGEIFS(Log!$F:$F, Log!$D:$D,O$4, Log!$C:$C, $A110, Log!$A:$A, "Daily", Log!$B:$B, "n/a"), 0),
        _xlpm.ie_camera_on_date, IFERROR(AVERAGEIFS(Log!$G:$G, Log!$D:$D,O$4,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0" s="68" t="str">
        <f>IFERROR(
    _xlfn.LET(
        _xlpm.is_data_present, $A110&lt;&gt;0,
        _xlpm.is_camera_present, COUNTIFS(Log!$C:$C, $A110, Log!$D:$D, P$4, Log!$A:$A, "Daily", Log!$B:$B, "n/a"),
        _xlpm.we_camera_on_date, IFERROR(AVERAGEIFS(Log!$F:$F, Log!$D:$D,P$4, Log!$C:$C, $A110, Log!$A:$A, "Daily", Log!$B:$B, "n/a"), 0),
        _xlpm.ie_camera_on_date, IFERROR(AVERAGEIFS(Log!$G:$G, Log!$D:$D,P$4,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0" s="68" t="str">
        <f>IFERROR(
    _xlfn.LET(
        _xlpm.is_data_present, $A110&lt;&gt;0,
        _xlpm.is_camera_present, COUNTIFS(Log!$C:$C, $A110, Log!$D:$D, Q$4, Log!$A:$A, "Daily", Log!$B:$B, "n/a"),
        _xlpm.we_camera_on_date, IFERROR(AVERAGEIFS(Log!$F:$F, Log!$D:$D,Q$4, Log!$C:$C, $A110, Log!$A:$A, "Daily", Log!$B:$B, "n/a"), 0),
        _xlpm.ie_camera_on_date, IFERROR(AVERAGEIFS(Log!$G:$G, Log!$D:$D,Q$4,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0" s="68" t="str">
        <f>IFERROR(
    _xlfn.LET(
        _xlpm.is_data_present, $A110&lt;&gt;0,
        _xlpm.is_camera_present, COUNTIFS(Log!$C:$C, $A110, Log!$D:$D, R$4, Log!$A:$A, "Daily", Log!$B:$B, "n/a"),
        _xlpm.we_camera_on_date, IFERROR(AVERAGEIFS(Log!$F:$F, Log!$D:$D,R$4, Log!$C:$C, $A110, Log!$A:$A, "Daily", Log!$B:$B, "n/a"), 0),
        _xlpm.ie_camera_on_date, IFERROR(AVERAGEIFS(Log!$G:$G, Log!$D:$D,R$4,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0" s="68" t="str">
        <f>IFERROR(
    _xlfn.LET(
        _xlpm.is_data_present, $A110&lt;&gt;0,
        _xlpm.is_camera_present, COUNTIFS(Log!$C:$C, $A110, Log!$D:$D, S$4, Log!$A:$A, "Daily", Log!$B:$B, "n/a"),
        _xlpm.we_camera_on_date, IFERROR(AVERAGEIFS(Log!$F:$F, Log!$D:$D,S$4, Log!$C:$C, $A110, Log!$A:$A, "Daily", Log!$B:$B, "n/a"), 0),
        _xlpm.ie_camera_on_date, IFERROR(AVERAGEIFS(Log!$G:$G, Log!$D:$D,S$4, Log!$C:$C, $A110, Log!$A:$A, "Daily", Log!$B:$B, "n/a"), 0),
        _xlpm.we_avg, IFERROR(AVERAGEIFS(Log!$F:$F,Log!$C:$C,$A110, Log!$A:$A, "Daily", Log!$B:$B, "n/a"),0),
        _xlpm.ie_avg, IFERROR(AVERAGEIFS(Log!$G:$G,Log!$C:$C,$A110,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1" spans="2:19" x14ac:dyDescent="0.3">
      <c r="B111" s="68" t="str">
        <f>IFERROR(
    _xlfn.LET(
        _xlpm.is_data_present, $A111&lt;&gt;0,
        _xlpm.is_camera_present, COUNTIFS(Log!$C:$C, $A111, Log!$D:$D, B$4, Log!$A:$A, "Daily", Log!$B:$B, "n/a"),
        _xlpm.we_camera_on_date, IFERROR(AVERAGEIFS(Log!$F:$F, Log!$D:$D,B$4, Log!$C:$C, $A111, Log!$A:$A, "Daily", Log!$B:$B, "n/a"), 0),
        _xlpm.ie_camera_on_date, IFERROR(AVERAGEIFS(Log!$G:$G, Log!$D:$D,B$4,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1" s="68" t="str">
        <f>IFERROR(
    _xlfn.LET(
        _xlpm.is_data_present, $A111&lt;&gt;0,
        _xlpm.is_camera_present, COUNTIFS(Log!$C:$C, $A111, Log!$D:$D, C$4, Log!$A:$A, "Daily", Log!$B:$B, "n/a"),
        _xlpm.we_camera_on_date, IFERROR(AVERAGEIFS(Log!$F:$F, Log!$D:$D,C$4, Log!$C:$C, $A111, Log!$A:$A, "Daily", Log!$B:$B, "n/a"), 0),
        _xlpm.ie_camera_on_date, IFERROR(AVERAGEIFS(Log!$G:$G, Log!$D:$D,C$4,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1" s="68" t="str">
        <f>IFERROR(
    _xlfn.LET(
        _xlpm.is_data_present, $A111&lt;&gt;0,
        _xlpm.is_camera_present, COUNTIFS(Log!$C:$C, $A111, Log!$D:$D, D$4, Log!$A:$A, "Daily", Log!$B:$B, "n/a"),
        _xlpm.we_camera_on_date, IFERROR(AVERAGEIFS(Log!$F:$F, Log!$D:$D,D$4, Log!$C:$C, $A111, Log!$A:$A, "Daily", Log!$B:$B, "n/a"), 0),
        _xlpm.ie_camera_on_date, IFERROR(AVERAGEIFS(Log!$G:$G, Log!$D:$D,D$4,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1" s="68" t="str">
        <f>IFERROR(
    _xlfn.LET(
        _xlpm.is_data_present, $A111&lt;&gt;0,
        _xlpm.is_camera_present, COUNTIFS(Log!$C:$C, $A111, Log!$D:$D, E$4, Log!$A:$A, "Daily", Log!$B:$B, "n/a"),
        _xlpm.we_camera_on_date, IFERROR(AVERAGEIFS(Log!$F:$F, Log!$D:$D,E$4, Log!$C:$C, $A111, Log!$A:$A, "Daily", Log!$B:$B, "n/a"), 0),
        _xlpm.ie_camera_on_date, IFERROR(AVERAGEIFS(Log!$G:$G, Log!$D:$D,E$4,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1" s="68" t="str">
        <f>IFERROR(
    _xlfn.LET(
        _xlpm.is_data_present, $A111&lt;&gt;0,
        _xlpm.is_camera_present, COUNTIFS(Log!$C:$C, $A111, Log!$D:$D, F$4, Log!$A:$A, "Daily", Log!$B:$B, "n/a"),
        _xlpm.we_camera_on_date, IFERROR(AVERAGEIFS(Log!$F:$F, Log!$D:$D,F$4, Log!$C:$C, $A111, Log!$A:$A, "Daily", Log!$B:$B, "n/a"), 0),
        _xlpm.ie_camera_on_date, IFERROR(AVERAGEIFS(Log!$G:$G, Log!$D:$D,F$4,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1" s="68" t="str">
        <f>IFERROR(
    _xlfn.LET(
        _xlpm.is_data_present, $A111&lt;&gt;0,
        _xlpm.is_camera_present, COUNTIFS(Log!$C:$C, $A111, Log!$D:$D, G$4, Log!$A:$A, "Daily", Log!$B:$B, "n/a"),
        _xlpm.we_camera_on_date, IFERROR(AVERAGEIFS(Log!$F:$F, Log!$D:$D,G$4, Log!$C:$C, $A111, Log!$A:$A, "Daily", Log!$B:$B, "n/a"), 0),
        _xlpm.ie_camera_on_date, IFERROR(AVERAGEIFS(Log!$G:$G, Log!$D:$D,G$4,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1" s="68" t="str">
        <f>IFERROR(
    _xlfn.LET(
        _xlpm.is_data_present, $A111&lt;&gt;0,
        _xlpm.is_camera_present, COUNTIFS(Log!$C:$C, $A111, Log!$D:$D, H$4, Log!$A:$A, "Daily", Log!$B:$B, "n/a"),
        _xlpm.we_camera_on_date, IFERROR(AVERAGEIFS(Log!$F:$F, Log!$D:$D,H$4, Log!$C:$C, $A111, Log!$A:$A, "Daily", Log!$B:$B, "n/a"), 0),
        _xlpm.ie_camera_on_date, IFERROR(AVERAGEIFS(Log!$G:$G, Log!$D:$D,H$4,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1" s="68" t="str">
        <f>IFERROR(
    _xlfn.LET(
        _xlpm.is_data_present, $A111&lt;&gt;0,
        _xlpm.is_camera_present, COUNTIFS(Log!$C:$C, $A111, Log!$D:$D, I$4, Log!$A:$A, "Daily", Log!$B:$B, "n/a"),
        _xlpm.we_camera_on_date, IFERROR(AVERAGEIFS(Log!$F:$F, Log!$D:$D,I$4, Log!$C:$C, $A111, Log!$A:$A, "Daily", Log!$B:$B, "n/a"), 0),
        _xlpm.ie_camera_on_date, IFERROR(AVERAGEIFS(Log!$G:$G, Log!$D:$D,I$4,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1" s="68" t="str">
        <f>IFERROR(
    _xlfn.LET(
        _xlpm.is_data_present, $A111&lt;&gt;0,
        _xlpm.is_camera_present, COUNTIFS(Log!$C:$C, $A111, Log!$D:$D, J$4, Log!$A:$A, "Daily", Log!$B:$B, "n/a"),
        _xlpm.we_camera_on_date, IFERROR(AVERAGEIFS(Log!$F:$F, Log!$D:$D,J$4, Log!$C:$C, $A111, Log!$A:$A, "Daily", Log!$B:$B, "n/a"), 0),
        _xlpm.ie_camera_on_date, IFERROR(AVERAGEIFS(Log!$G:$G, Log!$D:$D,J$4,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1" s="68" t="str">
        <f>IFERROR(
    _xlfn.LET(
        _xlpm.is_data_present, $A111&lt;&gt;0,
        _xlpm.is_camera_present, COUNTIFS(Log!$C:$C, $A111, Log!$D:$D, K$4, Log!$A:$A, "Daily", Log!$B:$B, "n/a"),
        _xlpm.we_camera_on_date, IFERROR(AVERAGEIFS(Log!$F:$F, Log!$D:$D,K$4, Log!$C:$C, $A111, Log!$A:$A, "Daily", Log!$B:$B, "n/a"), 0),
        _xlpm.ie_camera_on_date, IFERROR(AVERAGEIFS(Log!$G:$G, Log!$D:$D,K$4,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1" s="68" t="str">
        <f>IFERROR(
    _xlfn.LET(
        _xlpm.is_data_present, $A111&lt;&gt;0,
        _xlpm.is_camera_present, COUNTIFS(Log!$C:$C, $A111, Log!$D:$D, L$4, Log!$A:$A, "Daily", Log!$B:$B, "n/a"),
        _xlpm.we_camera_on_date, IFERROR(AVERAGEIFS(Log!$F:$F, Log!$D:$D,L$4, Log!$C:$C, $A111, Log!$A:$A, "Daily", Log!$B:$B, "n/a"), 0),
        _xlpm.ie_camera_on_date, IFERROR(AVERAGEIFS(Log!$G:$G, Log!$D:$D,L$4,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1" s="68" t="str">
        <f>IFERROR(
    _xlfn.LET(
        _xlpm.is_data_present, $A111&lt;&gt;0,
        _xlpm.is_camera_present, COUNTIFS(Log!$C:$C, $A111, Log!$D:$D, M$4, Log!$A:$A, "Daily", Log!$B:$B, "n/a"),
        _xlpm.we_camera_on_date, IFERROR(AVERAGEIFS(Log!$F:$F, Log!$D:$D,M$4, Log!$C:$C, $A111, Log!$A:$A, "Daily", Log!$B:$B, "n/a"), 0),
        _xlpm.ie_camera_on_date, IFERROR(AVERAGEIFS(Log!$G:$G, Log!$D:$D,M$4,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1" s="68" t="str">
        <f>IFERROR(
    _xlfn.LET(
        _xlpm.is_data_present, $A111&lt;&gt;0,
        _xlpm.is_camera_present, COUNTIFS(Log!$C:$C, $A111, Log!$D:$D, N$4, Log!$A:$A, "Daily", Log!$B:$B, "n/a"),
        _xlpm.we_camera_on_date, IFERROR(AVERAGEIFS(Log!$F:$F, Log!$D:$D,N$4, Log!$C:$C, $A111, Log!$A:$A, "Daily", Log!$B:$B, "n/a"), 0),
        _xlpm.ie_camera_on_date, IFERROR(AVERAGEIFS(Log!$G:$G, Log!$D:$D,N$4,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1" s="68" t="str">
        <f>IFERROR(
    _xlfn.LET(
        _xlpm.is_data_present, $A111&lt;&gt;0,
        _xlpm.is_camera_present, COUNTIFS(Log!$C:$C, $A111, Log!$D:$D, O$4, Log!$A:$A, "Daily", Log!$B:$B, "n/a"),
        _xlpm.we_camera_on_date, IFERROR(AVERAGEIFS(Log!$F:$F, Log!$D:$D,O$4, Log!$C:$C, $A111, Log!$A:$A, "Daily", Log!$B:$B, "n/a"), 0),
        _xlpm.ie_camera_on_date, IFERROR(AVERAGEIFS(Log!$G:$G, Log!$D:$D,O$4,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1" s="68" t="str">
        <f>IFERROR(
    _xlfn.LET(
        _xlpm.is_data_present, $A111&lt;&gt;0,
        _xlpm.is_camera_present, COUNTIFS(Log!$C:$C, $A111, Log!$D:$D, P$4, Log!$A:$A, "Daily", Log!$B:$B, "n/a"),
        _xlpm.we_camera_on_date, IFERROR(AVERAGEIFS(Log!$F:$F, Log!$D:$D,P$4, Log!$C:$C, $A111, Log!$A:$A, "Daily", Log!$B:$B, "n/a"), 0),
        _xlpm.ie_camera_on_date, IFERROR(AVERAGEIFS(Log!$G:$G, Log!$D:$D,P$4,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1" s="68" t="str">
        <f>IFERROR(
    _xlfn.LET(
        _xlpm.is_data_present, $A111&lt;&gt;0,
        _xlpm.is_camera_present, COUNTIFS(Log!$C:$C, $A111, Log!$D:$D, Q$4, Log!$A:$A, "Daily", Log!$B:$B, "n/a"),
        _xlpm.we_camera_on_date, IFERROR(AVERAGEIFS(Log!$F:$F, Log!$D:$D,Q$4, Log!$C:$C, $A111, Log!$A:$A, "Daily", Log!$B:$B, "n/a"), 0),
        _xlpm.ie_camera_on_date, IFERROR(AVERAGEIFS(Log!$G:$G, Log!$D:$D,Q$4,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1" s="68" t="str">
        <f>IFERROR(
    _xlfn.LET(
        _xlpm.is_data_present, $A111&lt;&gt;0,
        _xlpm.is_camera_present, COUNTIFS(Log!$C:$C, $A111, Log!$D:$D, R$4, Log!$A:$A, "Daily", Log!$B:$B, "n/a"),
        _xlpm.we_camera_on_date, IFERROR(AVERAGEIFS(Log!$F:$F, Log!$D:$D,R$4, Log!$C:$C, $A111, Log!$A:$A, "Daily", Log!$B:$B, "n/a"), 0),
        _xlpm.ie_camera_on_date, IFERROR(AVERAGEIFS(Log!$G:$G, Log!$D:$D,R$4,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1" s="68" t="str">
        <f>IFERROR(
    _xlfn.LET(
        _xlpm.is_data_present, $A111&lt;&gt;0,
        _xlpm.is_camera_present, COUNTIFS(Log!$C:$C, $A111, Log!$D:$D, S$4, Log!$A:$A, "Daily", Log!$B:$B, "n/a"),
        _xlpm.we_camera_on_date, IFERROR(AVERAGEIFS(Log!$F:$F, Log!$D:$D,S$4, Log!$C:$C, $A111, Log!$A:$A, "Daily", Log!$B:$B, "n/a"), 0),
        _xlpm.ie_camera_on_date, IFERROR(AVERAGEIFS(Log!$G:$G, Log!$D:$D,S$4, Log!$C:$C, $A111, Log!$A:$A, "Daily", Log!$B:$B, "n/a"), 0),
        _xlpm.we_avg, IFERROR(AVERAGEIFS(Log!$F:$F,Log!$C:$C,$A111, Log!$A:$A, "Daily", Log!$B:$B, "n/a"),0),
        _xlpm.ie_avg, IFERROR(AVERAGEIFS(Log!$G:$G,Log!$C:$C,$A111,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2" spans="2:19" x14ac:dyDescent="0.3">
      <c r="B112" s="68" t="str">
        <f>IFERROR(
    _xlfn.LET(
        _xlpm.is_data_present, $A112&lt;&gt;0,
        _xlpm.is_camera_present, COUNTIFS(Log!$C:$C, $A112, Log!$D:$D, B$4, Log!$A:$A, "Daily", Log!$B:$B, "n/a"),
        _xlpm.we_camera_on_date, IFERROR(AVERAGEIFS(Log!$F:$F, Log!$D:$D,B$4, Log!$C:$C, $A112, Log!$A:$A, "Daily", Log!$B:$B, "n/a"), 0),
        _xlpm.ie_camera_on_date, IFERROR(AVERAGEIFS(Log!$G:$G, Log!$D:$D,B$4,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2" s="68" t="str">
        <f>IFERROR(
    _xlfn.LET(
        _xlpm.is_data_present, $A112&lt;&gt;0,
        _xlpm.is_camera_present, COUNTIFS(Log!$C:$C, $A112, Log!$D:$D, C$4, Log!$A:$A, "Daily", Log!$B:$B, "n/a"),
        _xlpm.we_camera_on_date, IFERROR(AVERAGEIFS(Log!$F:$F, Log!$D:$D,C$4, Log!$C:$C, $A112, Log!$A:$A, "Daily", Log!$B:$B, "n/a"), 0),
        _xlpm.ie_camera_on_date, IFERROR(AVERAGEIFS(Log!$G:$G, Log!$D:$D,C$4,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2" s="68" t="str">
        <f>IFERROR(
    _xlfn.LET(
        _xlpm.is_data_present, $A112&lt;&gt;0,
        _xlpm.is_camera_present, COUNTIFS(Log!$C:$C, $A112, Log!$D:$D, D$4, Log!$A:$A, "Daily", Log!$B:$B, "n/a"),
        _xlpm.we_camera_on_date, IFERROR(AVERAGEIFS(Log!$F:$F, Log!$D:$D,D$4, Log!$C:$C, $A112, Log!$A:$A, "Daily", Log!$B:$B, "n/a"), 0),
        _xlpm.ie_camera_on_date, IFERROR(AVERAGEIFS(Log!$G:$G, Log!$D:$D,D$4,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2" s="68" t="str">
        <f>IFERROR(
    _xlfn.LET(
        _xlpm.is_data_present, $A112&lt;&gt;0,
        _xlpm.is_camera_present, COUNTIFS(Log!$C:$C, $A112, Log!$D:$D, E$4, Log!$A:$A, "Daily", Log!$B:$B, "n/a"),
        _xlpm.we_camera_on_date, IFERROR(AVERAGEIFS(Log!$F:$F, Log!$D:$D,E$4, Log!$C:$C, $A112, Log!$A:$A, "Daily", Log!$B:$B, "n/a"), 0),
        _xlpm.ie_camera_on_date, IFERROR(AVERAGEIFS(Log!$G:$G, Log!$D:$D,E$4,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2" s="68" t="str">
        <f>IFERROR(
    _xlfn.LET(
        _xlpm.is_data_present, $A112&lt;&gt;0,
        _xlpm.is_camera_present, COUNTIFS(Log!$C:$C, $A112, Log!$D:$D, F$4, Log!$A:$A, "Daily", Log!$B:$B, "n/a"),
        _xlpm.we_camera_on_date, IFERROR(AVERAGEIFS(Log!$F:$F, Log!$D:$D,F$4, Log!$C:$C, $A112, Log!$A:$A, "Daily", Log!$B:$B, "n/a"), 0),
        _xlpm.ie_camera_on_date, IFERROR(AVERAGEIFS(Log!$G:$G, Log!$D:$D,F$4,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2" s="68" t="str">
        <f>IFERROR(
    _xlfn.LET(
        _xlpm.is_data_present, $A112&lt;&gt;0,
        _xlpm.is_camera_present, COUNTIFS(Log!$C:$C, $A112, Log!$D:$D, G$4, Log!$A:$A, "Daily", Log!$B:$B, "n/a"),
        _xlpm.we_camera_on_date, IFERROR(AVERAGEIFS(Log!$F:$F, Log!$D:$D,G$4, Log!$C:$C, $A112, Log!$A:$A, "Daily", Log!$B:$B, "n/a"), 0),
        _xlpm.ie_camera_on_date, IFERROR(AVERAGEIFS(Log!$G:$G, Log!$D:$D,G$4,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2" s="68" t="str">
        <f>IFERROR(
    _xlfn.LET(
        _xlpm.is_data_present, $A112&lt;&gt;0,
        _xlpm.is_camera_present, COUNTIFS(Log!$C:$C, $A112, Log!$D:$D, H$4, Log!$A:$A, "Daily", Log!$B:$B, "n/a"),
        _xlpm.we_camera_on_date, IFERROR(AVERAGEIFS(Log!$F:$F, Log!$D:$D,H$4, Log!$C:$C, $A112, Log!$A:$A, "Daily", Log!$B:$B, "n/a"), 0),
        _xlpm.ie_camera_on_date, IFERROR(AVERAGEIFS(Log!$G:$G, Log!$D:$D,H$4,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2" s="68" t="str">
        <f>IFERROR(
    _xlfn.LET(
        _xlpm.is_data_present, $A112&lt;&gt;0,
        _xlpm.is_camera_present, COUNTIFS(Log!$C:$C, $A112, Log!$D:$D, I$4, Log!$A:$A, "Daily", Log!$B:$B, "n/a"),
        _xlpm.we_camera_on_date, IFERROR(AVERAGEIFS(Log!$F:$F, Log!$D:$D,I$4, Log!$C:$C, $A112, Log!$A:$A, "Daily", Log!$B:$B, "n/a"), 0),
        _xlpm.ie_camera_on_date, IFERROR(AVERAGEIFS(Log!$G:$G, Log!$D:$D,I$4,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2" s="68" t="str">
        <f>IFERROR(
    _xlfn.LET(
        _xlpm.is_data_present, $A112&lt;&gt;0,
        _xlpm.is_camera_present, COUNTIFS(Log!$C:$C, $A112, Log!$D:$D, J$4, Log!$A:$A, "Daily", Log!$B:$B, "n/a"),
        _xlpm.we_camera_on_date, IFERROR(AVERAGEIFS(Log!$F:$F, Log!$D:$D,J$4, Log!$C:$C, $A112, Log!$A:$A, "Daily", Log!$B:$B, "n/a"), 0),
        _xlpm.ie_camera_on_date, IFERROR(AVERAGEIFS(Log!$G:$G, Log!$D:$D,J$4,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2" s="68" t="str">
        <f>IFERROR(
    _xlfn.LET(
        _xlpm.is_data_present, $A112&lt;&gt;0,
        _xlpm.is_camera_present, COUNTIFS(Log!$C:$C, $A112, Log!$D:$D, K$4, Log!$A:$A, "Daily", Log!$B:$B, "n/a"),
        _xlpm.we_camera_on_date, IFERROR(AVERAGEIFS(Log!$F:$F, Log!$D:$D,K$4, Log!$C:$C, $A112, Log!$A:$A, "Daily", Log!$B:$B, "n/a"), 0),
        _xlpm.ie_camera_on_date, IFERROR(AVERAGEIFS(Log!$G:$G, Log!$D:$D,K$4,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2" s="68" t="str">
        <f>IFERROR(
    _xlfn.LET(
        _xlpm.is_data_present, $A112&lt;&gt;0,
        _xlpm.is_camera_present, COUNTIFS(Log!$C:$C, $A112, Log!$D:$D, L$4, Log!$A:$A, "Daily", Log!$B:$B, "n/a"),
        _xlpm.we_camera_on_date, IFERROR(AVERAGEIFS(Log!$F:$F, Log!$D:$D,L$4, Log!$C:$C, $A112, Log!$A:$A, "Daily", Log!$B:$B, "n/a"), 0),
        _xlpm.ie_camera_on_date, IFERROR(AVERAGEIFS(Log!$G:$G, Log!$D:$D,L$4,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2" s="68" t="str">
        <f>IFERROR(
    _xlfn.LET(
        _xlpm.is_data_present, $A112&lt;&gt;0,
        _xlpm.is_camera_present, COUNTIFS(Log!$C:$C, $A112, Log!$D:$D, M$4, Log!$A:$A, "Daily", Log!$B:$B, "n/a"),
        _xlpm.we_camera_on_date, IFERROR(AVERAGEIFS(Log!$F:$F, Log!$D:$D,M$4, Log!$C:$C, $A112, Log!$A:$A, "Daily", Log!$B:$B, "n/a"), 0),
        _xlpm.ie_camera_on_date, IFERROR(AVERAGEIFS(Log!$G:$G, Log!$D:$D,M$4,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2" s="68" t="str">
        <f>IFERROR(
    _xlfn.LET(
        _xlpm.is_data_present, $A112&lt;&gt;0,
        _xlpm.is_camera_present, COUNTIFS(Log!$C:$C, $A112, Log!$D:$D, N$4, Log!$A:$A, "Daily", Log!$B:$B, "n/a"),
        _xlpm.we_camera_on_date, IFERROR(AVERAGEIFS(Log!$F:$F, Log!$D:$D,N$4, Log!$C:$C, $A112, Log!$A:$A, "Daily", Log!$B:$B, "n/a"), 0),
        _xlpm.ie_camera_on_date, IFERROR(AVERAGEIFS(Log!$G:$G, Log!$D:$D,N$4,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2" s="68" t="str">
        <f>IFERROR(
    _xlfn.LET(
        _xlpm.is_data_present, $A112&lt;&gt;0,
        _xlpm.is_camera_present, COUNTIFS(Log!$C:$C, $A112, Log!$D:$D, O$4, Log!$A:$A, "Daily", Log!$B:$B, "n/a"),
        _xlpm.we_camera_on_date, IFERROR(AVERAGEIFS(Log!$F:$F, Log!$D:$D,O$4, Log!$C:$C, $A112, Log!$A:$A, "Daily", Log!$B:$B, "n/a"), 0),
        _xlpm.ie_camera_on_date, IFERROR(AVERAGEIFS(Log!$G:$G, Log!$D:$D,O$4,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2" s="68" t="str">
        <f>IFERROR(
    _xlfn.LET(
        _xlpm.is_data_present, $A112&lt;&gt;0,
        _xlpm.is_camera_present, COUNTIFS(Log!$C:$C, $A112, Log!$D:$D, P$4, Log!$A:$A, "Daily", Log!$B:$B, "n/a"),
        _xlpm.we_camera_on_date, IFERROR(AVERAGEIFS(Log!$F:$F, Log!$D:$D,P$4, Log!$C:$C, $A112, Log!$A:$A, "Daily", Log!$B:$B, "n/a"), 0),
        _xlpm.ie_camera_on_date, IFERROR(AVERAGEIFS(Log!$G:$G, Log!$D:$D,P$4,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2" s="68" t="str">
        <f>IFERROR(
    _xlfn.LET(
        _xlpm.is_data_present, $A112&lt;&gt;0,
        _xlpm.is_camera_present, COUNTIFS(Log!$C:$C, $A112, Log!$D:$D, Q$4, Log!$A:$A, "Daily", Log!$B:$B, "n/a"),
        _xlpm.we_camera_on_date, IFERROR(AVERAGEIFS(Log!$F:$F, Log!$D:$D,Q$4, Log!$C:$C, $A112, Log!$A:$A, "Daily", Log!$B:$B, "n/a"), 0),
        _xlpm.ie_camera_on_date, IFERROR(AVERAGEIFS(Log!$G:$G, Log!$D:$D,Q$4,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2" s="68" t="str">
        <f>IFERROR(
    _xlfn.LET(
        _xlpm.is_data_present, $A112&lt;&gt;0,
        _xlpm.is_camera_present, COUNTIFS(Log!$C:$C, $A112, Log!$D:$D, R$4, Log!$A:$A, "Daily", Log!$B:$B, "n/a"),
        _xlpm.we_camera_on_date, IFERROR(AVERAGEIFS(Log!$F:$F, Log!$D:$D,R$4, Log!$C:$C, $A112, Log!$A:$A, "Daily", Log!$B:$B, "n/a"), 0),
        _xlpm.ie_camera_on_date, IFERROR(AVERAGEIFS(Log!$G:$G, Log!$D:$D,R$4,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2" s="68" t="str">
        <f>IFERROR(
    _xlfn.LET(
        _xlpm.is_data_present, $A112&lt;&gt;0,
        _xlpm.is_camera_present, COUNTIFS(Log!$C:$C, $A112, Log!$D:$D, S$4, Log!$A:$A, "Daily", Log!$B:$B, "n/a"),
        _xlpm.we_camera_on_date, IFERROR(AVERAGEIFS(Log!$F:$F, Log!$D:$D,S$4, Log!$C:$C, $A112, Log!$A:$A, "Daily", Log!$B:$B, "n/a"), 0),
        _xlpm.ie_camera_on_date, IFERROR(AVERAGEIFS(Log!$G:$G, Log!$D:$D,S$4, Log!$C:$C, $A112, Log!$A:$A, "Daily", Log!$B:$B, "n/a"), 0),
        _xlpm.we_avg, IFERROR(AVERAGEIFS(Log!$F:$F,Log!$C:$C,$A112, Log!$A:$A, "Daily", Log!$B:$B, "n/a"),0),
        _xlpm.ie_avg, IFERROR(AVERAGEIFS(Log!$G:$G,Log!$C:$C,$A112,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3" spans="2:19" x14ac:dyDescent="0.3">
      <c r="B113" s="68" t="str">
        <f>IFERROR(
    _xlfn.LET(
        _xlpm.is_data_present, $A113&lt;&gt;0,
        _xlpm.is_camera_present, COUNTIFS(Log!$C:$C, $A113, Log!$D:$D, B$4, Log!$A:$A, "Daily", Log!$B:$B, "n/a"),
        _xlpm.we_camera_on_date, IFERROR(AVERAGEIFS(Log!$F:$F, Log!$D:$D,B$4, Log!$C:$C, $A113, Log!$A:$A, "Daily", Log!$B:$B, "n/a"), 0),
        _xlpm.ie_camera_on_date, IFERROR(AVERAGEIFS(Log!$G:$G, Log!$D:$D,B$4,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3" s="68" t="str">
        <f>IFERROR(
    _xlfn.LET(
        _xlpm.is_data_present, $A113&lt;&gt;0,
        _xlpm.is_camera_present, COUNTIFS(Log!$C:$C, $A113, Log!$D:$D, C$4, Log!$A:$A, "Daily", Log!$B:$B, "n/a"),
        _xlpm.we_camera_on_date, IFERROR(AVERAGEIFS(Log!$F:$F, Log!$D:$D,C$4, Log!$C:$C, $A113, Log!$A:$A, "Daily", Log!$B:$B, "n/a"), 0),
        _xlpm.ie_camera_on_date, IFERROR(AVERAGEIFS(Log!$G:$G, Log!$D:$D,C$4,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3" s="68" t="str">
        <f>IFERROR(
    _xlfn.LET(
        _xlpm.is_data_present, $A113&lt;&gt;0,
        _xlpm.is_camera_present, COUNTIFS(Log!$C:$C, $A113, Log!$D:$D, D$4, Log!$A:$A, "Daily", Log!$B:$B, "n/a"),
        _xlpm.we_camera_on_date, IFERROR(AVERAGEIFS(Log!$F:$F, Log!$D:$D,D$4, Log!$C:$C, $A113, Log!$A:$A, "Daily", Log!$B:$B, "n/a"), 0),
        _xlpm.ie_camera_on_date, IFERROR(AVERAGEIFS(Log!$G:$G, Log!$D:$D,D$4,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3" s="68" t="str">
        <f>IFERROR(
    _xlfn.LET(
        _xlpm.is_data_present, $A113&lt;&gt;0,
        _xlpm.is_camera_present, COUNTIFS(Log!$C:$C, $A113, Log!$D:$D, E$4, Log!$A:$A, "Daily", Log!$B:$B, "n/a"),
        _xlpm.we_camera_on_date, IFERROR(AVERAGEIFS(Log!$F:$F, Log!$D:$D,E$4, Log!$C:$C, $A113, Log!$A:$A, "Daily", Log!$B:$B, "n/a"), 0),
        _xlpm.ie_camera_on_date, IFERROR(AVERAGEIFS(Log!$G:$G, Log!$D:$D,E$4,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3" s="68" t="str">
        <f>IFERROR(
    _xlfn.LET(
        _xlpm.is_data_present, $A113&lt;&gt;0,
        _xlpm.is_camera_present, COUNTIFS(Log!$C:$C, $A113, Log!$D:$D, F$4, Log!$A:$A, "Daily", Log!$B:$B, "n/a"),
        _xlpm.we_camera_on_date, IFERROR(AVERAGEIFS(Log!$F:$F, Log!$D:$D,F$4, Log!$C:$C, $A113, Log!$A:$A, "Daily", Log!$B:$B, "n/a"), 0),
        _xlpm.ie_camera_on_date, IFERROR(AVERAGEIFS(Log!$G:$G, Log!$D:$D,F$4,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3" s="68" t="str">
        <f>IFERROR(
    _xlfn.LET(
        _xlpm.is_data_present, $A113&lt;&gt;0,
        _xlpm.is_camera_present, COUNTIFS(Log!$C:$C, $A113, Log!$D:$D, G$4, Log!$A:$A, "Daily", Log!$B:$B, "n/a"),
        _xlpm.we_camera_on_date, IFERROR(AVERAGEIFS(Log!$F:$F, Log!$D:$D,G$4, Log!$C:$C, $A113, Log!$A:$A, "Daily", Log!$B:$B, "n/a"), 0),
        _xlpm.ie_camera_on_date, IFERROR(AVERAGEIFS(Log!$G:$G, Log!$D:$D,G$4,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3" s="68" t="str">
        <f>IFERROR(
    _xlfn.LET(
        _xlpm.is_data_present, $A113&lt;&gt;0,
        _xlpm.is_camera_present, COUNTIFS(Log!$C:$C, $A113, Log!$D:$D, H$4, Log!$A:$A, "Daily", Log!$B:$B, "n/a"),
        _xlpm.we_camera_on_date, IFERROR(AVERAGEIFS(Log!$F:$F, Log!$D:$D,H$4, Log!$C:$C, $A113, Log!$A:$A, "Daily", Log!$B:$B, "n/a"), 0),
        _xlpm.ie_camera_on_date, IFERROR(AVERAGEIFS(Log!$G:$G, Log!$D:$D,H$4,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3" s="68" t="str">
        <f>IFERROR(
    _xlfn.LET(
        _xlpm.is_data_present, $A113&lt;&gt;0,
        _xlpm.is_camera_present, COUNTIFS(Log!$C:$C, $A113, Log!$D:$D, I$4, Log!$A:$A, "Daily", Log!$B:$B, "n/a"),
        _xlpm.we_camera_on_date, IFERROR(AVERAGEIFS(Log!$F:$F, Log!$D:$D,I$4, Log!$C:$C, $A113, Log!$A:$A, "Daily", Log!$B:$B, "n/a"), 0),
        _xlpm.ie_camera_on_date, IFERROR(AVERAGEIFS(Log!$G:$G, Log!$D:$D,I$4,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3" s="68" t="str">
        <f>IFERROR(
    _xlfn.LET(
        _xlpm.is_data_present, $A113&lt;&gt;0,
        _xlpm.is_camera_present, COUNTIFS(Log!$C:$C, $A113, Log!$D:$D, J$4, Log!$A:$A, "Daily", Log!$B:$B, "n/a"),
        _xlpm.we_camera_on_date, IFERROR(AVERAGEIFS(Log!$F:$F, Log!$D:$D,J$4, Log!$C:$C, $A113, Log!$A:$A, "Daily", Log!$B:$B, "n/a"), 0),
        _xlpm.ie_camera_on_date, IFERROR(AVERAGEIFS(Log!$G:$G, Log!$D:$D,J$4,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3" s="68" t="str">
        <f>IFERROR(
    _xlfn.LET(
        _xlpm.is_data_present, $A113&lt;&gt;0,
        _xlpm.is_camera_present, COUNTIFS(Log!$C:$C, $A113, Log!$D:$D, K$4, Log!$A:$A, "Daily", Log!$B:$B, "n/a"),
        _xlpm.we_camera_on_date, IFERROR(AVERAGEIFS(Log!$F:$F, Log!$D:$D,K$4, Log!$C:$C, $A113, Log!$A:$A, "Daily", Log!$B:$B, "n/a"), 0),
        _xlpm.ie_camera_on_date, IFERROR(AVERAGEIFS(Log!$G:$G, Log!$D:$D,K$4,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3" s="68" t="str">
        <f>IFERROR(
    _xlfn.LET(
        _xlpm.is_data_present, $A113&lt;&gt;0,
        _xlpm.is_camera_present, COUNTIFS(Log!$C:$C, $A113, Log!$D:$D, L$4, Log!$A:$A, "Daily", Log!$B:$B, "n/a"),
        _xlpm.we_camera_on_date, IFERROR(AVERAGEIFS(Log!$F:$F, Log!$D:$D,L$4, Log!$C:$C, $A113, Log!$A:$A, "Daily", Log!$B:$B, "n/a"), 0),
        _xlpm.ie_camera_on_date, IFERROR(AVERAGEIFS(Log!$G:$G, Log!$D:$D,L$4,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3" s="68" t="str">
        <f>IFERROR(
    _xlfn.LET(
        _xlpm.is_data_present, $A113&lt;&gt;0,
        _xlpm.is_camera_present, COUNTIFS(Log!$C:$C, $A113, Log!$D:$D, M$4, Log!$A:$A, "Daily", Log!$B:$B, "n/a"),
        _xlpm.we_camera_on_date, IFERROR(AVERAGEIFS(Log!$F:$F, Log!$D:$D,M$4, Log!$C:$C, $A113, Log!$A:$A, "Daily", Log!$B:$B, "n/a"), 0),
        _xlpm.ie_camera_on_date, IFERROR(AVERAGEIFS(Log!$G:$G, Log!$D:$D,M$4,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3" s="68" t="str">
        <f>IFERROR(
    _xlfn.LET(
        _xlpm.is_data_present, $A113&lt;&gt;0,
        _xlpm.is_camera_present, COUNTIFS(Log!$C:$C, $A113, Log!$D:$D, N$4, Log!$A:$A, "Daily", Log!$B:$B, "n/a"),
        _xlpm.we_camera_on_date, IFERROR(AVERAGEIFS(Log!$F:$F, Log!$D:$D,N$4, Log!$C:$C, $A113, Log!$A:$A, "Daily", Log!$B:$B, "n/a"), 0),
        _xlpm.ie_camera_on_date, IFERROR(AVERAGEIFS(Log!$G:$G, Log!$D:$D,N$4,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3" s="68" t="str">
        <f>IFERROR(
    _xlfn.LET(
        _xlpm.is_data_present, $A113&lt;&gt;0,
        _xlpm.is_camera_present, COUNTIFS(Log!$C:$C, $A113, Log!$D:$D, O$4, Log!$A:$A, "Daily", Log!$B:$B, "n/a"),
        _xlpm.we_camera_on_date, IFERROR(AVERAGEIFS(Log!$F:$F, Log!$D:$D,O$4, Log!$C:$C, $A113, Log!$A:$A, "Daily", Log!$B:$B, "n/a"), 0),
        _xlpm.ie_camera_on_date, IFERROR(AVERAGEIFS(Log!$G:$G, Log!$D:$D,O$4,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3" s="68" t="str">
        <f>IFERROR(
    _xlfn.LET(
        _xlpm.is_data_present, $A113&lt;&gt;0,
        _xlpm.is_camera_present, COUNTIFS(Log!$C:$C, $A113, Log!$D:$D, P$4, Log!$A:$A, "Daily", Log!$B:$B, "n/a"),
        _xlpm.we_camera_on_date, IFERROR(AVERAGEIFS(Log!$F:$F, Log!$D:$D,P$4, Log!$C:$C, $A113, Log!$A:$A, "Daily", Log!$B:$B, "n/a"), 0),
        _xlpm.ie_camera_on_date, IFERROR(AVERAGEIFS(Log!$G:$G, Log!$D:$D,P$4,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3" s="68" t="str">
        <f>IFERROR(
    _xlfn.LET(
        _xlpm.is_data_present, $A113&lt;&gt;0,
        _xlpm.is_camera_present, COUNTIFS(Log!$C:$C, $A113, Log!$D:$D, Q$4, Log!$A:$A, "Daily", Log!$B:$B, "n/a"),
        _xlpm.we_camera_on_date, IFERROR(AVERAGEIFS(Log!$F:$F, Log!$D:$D,Q$4, Log!$C:$C, $A113, Log!$A:$A, "Daily", Log!$B:$B, "n/a"), 0),
        _xlpm.ie_camera_on_date, IFERROR(AVERAGEIFS(Log!$G:$G, Log!$D:$D,Q$4,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3" s="68" t="str">
        <f>IFERROR(
    _xlfn.LET(
        _xlpm.is_data_present, $A113&lt;&gt;0,
        _xlpm.is_camera_present, COUNTIFS(Log!$C:$C, $A113, Log!$D:$D, R$4, Log!$A:$A, "Daily", Log!$B:$B, "n/a"),
        _xlpm.we_camera_on_date, IFERROR(AVERAGEIFS(Log!$F:$F, Log!$D:$D,R$4, Log!$C:$C, $A113, Log!$A:$A, "Daily", Log!$B:$B, "n/a"), 0),
        _xlpm.ie_camera_on_date, IFERROR(AVERAGEIFS(Log!$G:$G, Log!$D:$D,R$4,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3" s="68" t="str">
        <f>IFERROR(
    _xlfn.LET(
        _xlpm.is_data_present, $A113&lt;&gt;0,
        _xlpm.is_camera_present, COUNTIFS(Log!$C:$C, $A113, Log!$D:$D, S$4, Log!$A:$A, "Daily", Log!$B:$B, "n/a"),
        _xlpm.we_camera_on_date, IFERROR(AVERAGEIFS(Log!$F:$F, Log!$D:$D,S$4, Log!$C:$C, $A113, Log!$A:$A, "Daily", Log!$B:$B, "n/a"), 0),
        _xlpm.ie_camera_on_date, IFERROR(AVERAGEIFS(Log!$G:$G, Log!$D:$D,S$4, Log!$C:$C, $A113, Log!$A:$A, "Daily", Log!$B:$B, "n/a"), 0),
        _xlpm.we_avg, IFERROR(AVERAGEIFS(Log!$F:$F,Log!$C:$C,$A113, Log!$A:$A, "Daily", Log!$B:$B, "n/a"),0),
        _xlpm.ie_avg, IFERROR(AVERAGEIFS(Log!$G:$G,Log!$C:$C,$A113,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4" spans="2:19" x14ac:dyDescent="0.3">
      <c r="B114" s="68" t="str">
        <f>IFERROR(
    _xlfn.LET(
        _xlpm.is_data_present, $A114&lt;&gt;0,
        _xlpm.is_camera_present, COUNTIFS(Log!$C:$C, $A114, Log!$D:$D, B$4, Log!$A:$A, "Daily", Log!$B:$B, "n/a"),
        _xlpm.we_camera_on_date, IFERROR(AVERAGEIFS(Log!$F:$F, Log!$D:$D,B$4, Log!$C:$C, $A114, Log!$A:$A, "Daily", Log!$B:$B, "n/a"), 0),
        _xlpm.ie_camera_on_date, IFERROR(AVERAGEIFS(Log!$G:$G, Log!$D:$D,B$4,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4" s="68" t="str">
        <f>IFERROR(
    _xlfn.LET(
        _xlpm.is_data_present, $A114&lt;&gt;0,
        _xlpm.is_camera_present, COUNTIFS(Log!$C:$C, $A114, Log!$D:$D, C$4, Log!$A:$A, "Daily", Log!$B:$B, "n/a"),
        _xlpm.we_camera_on_date, IFERROR(AVERAGEIFS(Log!$F:$F, Log!$D:$D,C$4, Log!$C:$C, $A114, Log!$A:$A, "Daily", Log!$B:$B, "n/a"), 0),
        _xlpm.ie_camera_on_date, IFERROR(AVERAGEIFS(Log!$G:$G, Log!$D:$D,C$4,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4" s="68" t="str">
        <f>IFERROR(
    _xlfn.LET(
        _xlpm.is_data_present, $A114&lt;&gt;0,
        _xlpm.is_camera_present, COUNTIFS(Log!$C:$C, $A114, Log!$D:$D, D$4, Log!$A:$A, "Daily", Log!$B:$B, "n/a"),
        _xlpm.we_camera_on_date, IFERROR(AVERAGEIFS(Log!$F:$F, Log!$D:$D,D$4, Log!$C:$C, $A114, Log!$A:$A, "Daily", Log!$B:$B, "n/a"), 0),
        _xlpm.ie_camera_on_date, IFERROR(AVERAGEIFS(Log!$G:$G, Log!$D:$D,D$4,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4" s="68" t="str">
        <f>IFERROR(
    _xlfn.LET(
        _xlpm.is_data_present, $A114&lt;&gt;0,
        _xlpm.is_camera_present, COUNTIFS(Log!$C:$C, $A114, Log!$D:$D, E$4, Log!$A:$A, "Daily", Log!$B:$B, "n/a"),
        _xlpm.we_camera_on_date, IFERROR(AVERAGEIFS(Log!$F:$F, Log!$D:$D,E$4, Log!$C:$C, $A114, Log!$A:$A, "Daily", Log!$B:$B, "n/a"), 0),
        _xlpm.ie_camera_on_date, IFERROR(AVERAGEIFS(Log!$G:$G, Log!$D:$D,E$4,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4" s="68" t="str">
        <f>IFERROR(
    _xlfn.LET(
        _xlpm.is_data_present, $A114&lt;&gt;0,
        _xlpm.is_camera_present, COUNTIFS(Log!$C:$C, $A114, Log!$D:$D, F$4, Log!$A:$A, "Daily", Log!$B:$B, "n/a"),
        _xlpm.we_camera_on_date, IFERROR(AVERAGEIFS(Log!$F:$F, Log!$D:$D,F$4, Log!$C:$C, $A114, Log!$A:$A, "Daily", Log!$B:$B, "n/a"), 0),
        _xlpm.ie_camera_on_date, IFERROR(AVERAGEIFS(Log!$G:$G, Log!$D:$D,F$4,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4" s="68" t="str">
        <f>IFERROR(
    _xlfn.LET(
        _xlpm.is_data_present, $A114&lt;&gt;0,
        _xlpm.is_camera_present, COUNTIFS(Log!$C:$C, $A114, Log!$D:$D, G$4, Log!$A:$A, "Daily", Log!$B:$B, "n/a"),
        _xlpm.we_camera_on_date, IFERROR(AVERAGEIFS(Log!$F:$F, Log!$D:$D,G$4, Log!$C:$C, $A114, Log!$A:$A, "Daily", Log!$B:$B, "n/a"), 0),
        _xlpm.ie_camera_on_date, IFERROR(AVERAGEIFS(Log!$G:$G, Log!$D:$D,G$4,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4" s="68" t="str">
        <f>IFERROR(
    _xlfn.LET(
        _xlpm.is_data_present, $A114&lt;&gt;0,
        _xlpm.is_camera_present, COUNTIFS(Log!$C:$C, $A114, Log!$D:$D, H$4, Log!$A:$A, "Daily", Log!$B:$B, "n/a"),
        _xlpm.we_camera_on_date, IFERROR(AVERAGEIFS(Log!$F:$F, Log!$D:$D,H$4, Log!$C:$C, $A114, Log!$A:$A, "Daily", Log!$B:$B, "n/a"), 0),
        _xlpm.ie_camera_on_date, IFERROR(AVERAGEIFS(Log!$G:$G, Log!$D:$D,H$4,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4" s="68" t="str">
        <f>IFERROR(
    _xlfn.LET(
        _xlpm.is_data_present, $A114&lt;&gt;0,
        _xlpm.is_camera_present, COUNTIFS(Log!$C:$C, $A114, Log!$D:$D, I$4, Log!$A:$A, "Daily", Log!$B:$B, "n/a"),
        _xlpm.we_camera_on_date, IFERROR(AVERAGEIFS(Log!$F:$F, Log!$D:$D,I$4, Log!$C:$C, $A114, Log!$A:$A, "Daily", Log!$B:$B, "n/a"), 0),
        _xlpm.ie_camera_on_date, IFERROR(AVERAGEIFS(Log!$G:$G, Log!$D:$D,I$4,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4" s="68" t="str">
        <f>IFERROR(
    _xlfn.LET(
        _xlpm.is_data_present, $A114&lt;&gt;0,
        _xlpm.is_camera_present, COUNTIFS(Log!$C:$C, $A114, Log!$D:$D, J$4, Log!$A:$A, "Daily", Log!$B:$B, "n/a"),
        _xlpm.we_camera_on_date, IFERROR(AVERAGEIFS(Log!$F:$F, Log!$D:$D,J$4, Log!$C:$C, $A114, Log!$A:$A, "Daily", Log!$B:$B, "n/a"), 0),
        _xlpm.ie_camera_on_date, IFERROR(AVERAGEIFS(Log!$G:$G, Log!$D:$D,J$4,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4" s="68" t="str">
        <f>IFERROR(
    _xlfn.LET(
        _xlpm.is_data_present, $A114&lt;&gt;0,
        _xlpm.is_camera_present, COUNTIFS(Log!$C:$C, $A114, Log!$D:$D, K$4, Log!$A:$A, "Daily", Log!$B:$B, "n/a"),
        _xlpm.we_camera_on_date, IFERROR(AVERAGEIFS(Log!$F:$F, Log!$D:$D,K$4, Log!$C:$C, $A114, Log!$A:$A, "Daily", Log!$B:$B, "n/a"), 0),
        _xlpm.ie_camera_on_date, IFERROR(AVERAGEIFS(Log!$G:$G, Log!$D:$D,K$4,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4" s="68" t="str">
        <f>IFERROR(
    _xlfn.LET(
        _xlpm.is_data_present, $A114&lt;&gt;0,
        _xlpm.is_camera_present, COUNTIFS(Log!$C:$C, $A114, Log!$D:$D, L$4, Log!$A:$A, "Daily", Log!$B:$B, "n/a"),
        _xlpm.we_camera_on_date, IFERROR(AVERAGEIFS(Log!$F:$F, Log!$D:$D,L$4, Log!$C:$C, $A114, Log!$A:$A, "Daily", Log!$B:$B, "n/a"), 0),
        _xlpm.ie_camera_on_date, IFERROR(AVERAGEIFS(Log!$G:$G, Log!$D:$D,L$4,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4" s="68" t="str">
        <f>IFERROR(
    _xlfn.LET(
        _xlpm.is_data_present, $A114&lt;&gt;0,
        _xlpm.is_camera_present, COUNTIFS(Log!$C:$C, $A114, Log!$D:$D, M$4, Log!$A:$A, "Daily", Log!$B:$B, "n/a"),
        _xlpm.we_camera_on_date, IFERROR(AVERAGEIFS(Log!$F:$F, Log!$D:$D,M$4, Log!$C:$C, $A114, Log!$A:$A, "Daily", Log!$B:$B, "n/a"), 0),
        _xlpm.ie_camera_on_date, IFERROR(AVERAGEIFS(Log!$G:$G, Log!$D:$D,M$4,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4" s="68" t="str">
        <f>IFERROR(
    _xlfn.LET(
        _xlpm.is_data_present, $A114&lt;&gt;0,
        _xlpm.is_camera_present, COUNTIFS(Log!$C:$C, $A114, Log!$D:$D, N$4, Log!$A:$A, "Daily", Log!$B:$B, "n/a"),
        _xlpm.we_camera_on_date, IFERROR(AVERAGEIFS(Log!$F:$F, Log!$D:$D,N$4, Log!$C:$C, $A114, Log!$A:$A, "Daily", Log!$B:$B, "n/a"), 0),
        _xlpm.ie_camera_on_date, IFERROR(AVERAGEIFS(Log!$G:$G, Log!$D:$D,N$4,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4" s="68" t="str">
        <f>IFERROR(
    _xlfn.LET(
        _xlpm.is_data_present, $A114&lt;&gt;0,
        _xlpm.is_camera_present, COUNTIFS(Log!$C:$C, $A114, Log!$D:$D, O$4, Log!$A:$A, "Daily", Log!$B:$B, "n/a"),
        _xlpm.we_camera_on_date, IFERROR(AVERAGEIFS(Log!$F:$F, Log!$D:$D,O$4, Log!$C:$C, $A114, Log!$A:$A, "Daily", Log!$B:$B, "n/a"), 0),
        _xlpm.ie_camera_on_date, IFERROR(AVERAGEIFS(Log!$G:$G, Log!$D:$D,O$4,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4" s="68" t="str">
        <f>IFERROR(
    _xlfn.LET(
        _xlpm.is_data_present, $A114&lt;&gt;0,
        _xlpm.is_camera_present, COUNTIFS(Log!$C:$C, $A114, Log!$D:$D, P$4, Log!$A:$A, "Daily", Log!$B:$B, "n/a"),
        _xlpm.we_camera_on_date, IFERROR(AVERAGEIFS(Log!$F:$F, Log!$D:$D,P$4, Log!$C:$C, $A114, Log!$A:$A, "Daily", Log!$B:$B, "n/a"), 0),
        _xlpm.ie_camera_on_date, IFERROR(AVERAGEIFS(Log!$G:$G, Log!$D:$D,P$4,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4" s="68" t="str">
        <f>IFERROR(
    _xlfn.LET(
        _xlpm.is_data_present, $A114&lt;&gt;0,
        _xlpm.is_camera_present, COUNTIFS(Log!$C:$C, $A114, Log!$D:$D, Q$4, Log!$A:$A, "Daily", Log!$B:$B, "n/a"),
        _xlpm.we_camera_on_date, IFERROR(AVERAGEIFS(Log!$F:$F, Log!$D:$D,Q$4, Log!$C:$C, $A114, Log!$A:$A, "Daily", Log!$B:$B, "n/a"), 0),
        _xlpm.ie_camera_on_date, IFERROR(AVERAGEIFS(Log!$G:$G, Log!$D:$D,Q$4,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4" s="68" t="str">
        <f>IFERROR(
    _xlfn.LET(
        _xlpm.is_data_present, $A114&lt;&gt;0,
        _xlpm.is_camera_present, COUNTIFS(Log!$C:$C, $A114, Log!$D:$D, R$4, Log!$A:$A, "Daily", Log!$B:$B, "n/a"),
        _xlpm.we_camera_on_date, IFERROR(AVERAGEIFS(Log!$F:$F, Log!$D:$D,R$4, Log!$C:$C, $A114, Log!$A:$A, "Daily", Log!$B:$B, "n/a"), 0),
        _xlpm.ie_camera_on_date, IFERROR(AVERAGEIFS(Log!$G:$G, Log!$D:$D,R$4,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4" s="68" t="str">
        <f>IFERROR(
    _xlfn.LET(
        _xlpm.is_data_present, $A114&lt;&gt;0,
        _xlpm.is_camera_present, COUNTIFS(Log!$C:$C, $A114, Log!$D:$D, S$4, Log!$A:$A, "Daily", Log!$B:$B, "n/a"),
        _xlpm.we_camera_on_date, IFERROR(AVERAGEIFS(Log!$F:$F, Log!$D:$D,S$4, Log!$C:$C, $A114, Log!$A:$A, "Daily", Log!$B:$B, "n/a"), 0),
        _xlpm.ie_camera_on_date, IFERROR(AVERAGEIFS(Log!$G:$G, Log!$D:$D,S$4, Log!$C:$C, $A114, Log!$A:$A, "Daily", Log!$B:$B, "n/a"), 0),
        _xlpm.we_avg, IFERROR(AVERAGEIFS(Log!$F:$F,Log!$C:$C,$A114, Log!$A:$A, "Daily", Log!$B:$B, "n/a"),0),
        _xlpm.ie_avg, IFERROR(AVERAGEIFS(Log!$G:$G,Log!$C:$C,$A114,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5" spans="2:19" x14ac:dyDescent="0.3">
      <c r="B115" s="68" t="str">
        <f>IFERROR(
    _xlfn.LET(
        _xlpm.is_data_present, $A115&lt;&gt;0,
        _xlpm.is_camera_present, COUNTIFS(Log!$C:$C, $A115, Log!$D:$D, B$4, Log!$A:$A, "Daily", Log!$B:$B, "n/a"),
        _xlpm.we_camera_on_date, IFERROR(AVERAGEIFS(Log!$F:$F, Log!$D:$D,B$4, Log!$C:$C, $A115, Log!$A:$A, "Daily", Log!$B:$B, "n/a"), 0),
        _xlpm.ie_camera_on_date, IFERROR(AVERAGEIFS(Log!$G:$G, Log!$D:$D,B$4,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5" s="68" t="str">
        <f>IFERROR(
    _xlfn.LET(
        _xlpm.is_data_present, $A115&lt;&gt;0,
        _xlpm.is_camera_present, COUNTIFS(Log!$C:$C, $A115, Log!$D:$D, C$4, Log!$A:$A, "Daily", Log!$B:$B, "n/a"),
        _xlpm.we_camera_on_date, IFERROR(AVERAGEIFS(Log!$F:$F, Log!$D:$D,C$4, Log!$C:$C, $A115, Log!$A:$A, "Daily", Log!$B:$B, "n/a"), 0),
        _xlpm.ie_camera_on_date, IFERROR(AVERAGEIFS(Log!$G:$G, Log!$D:$D,C$4,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5" s="68" t="str">
        <f>IFERROR(
    _xlfn.LET(
        _xlpm.is_data_present, $A115&lt;&gt;0,
        _xlpm.is_camera_present, COUNTIFS(Log!$C:$C, $A115, Log!$D:$D, D$4, Log!$A:$A, "Daily", Log!$B:$B, "n/a"),
        _xlpm.we_camera_on_date, IFERROR(AVERAGEIFS(Log!$F:$F, Log!$D:$D,D$4, Log!$C:$C, $A115, Log!$A:$A, "Daily", Log!$B:$B, "n/a"), 0),
        _xlpm.ie_camera_on_date, IFERROR(AVERAGEIFS(Log!$G:$G, Log!$D:$D,D$4,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5" s="68" t="str">
        <f>IFERROR(
    _xlfn.LET(
        _xlpm.is_data_present, $A115&lt;&gt;0,
        _xlpm.is_camera_present, COUNTIFS(Log!$C:$C, $A115, Log!$D:$D, E$4, Log!$A:$A, "Daily", Log!$B:$B, "n/a"),
        _xlpm.we_camera_on_date, IFERROR(AVERAGEIFS(Log!$F:$F, Log!$D:$D,E$4, Log!$C:$C, $A115, Log!$A:$A, "Daily", Log!$B:$B, "n/a"), 0),
        _xlpm.ie_camera_on_date, IFERROR(AVERAGEIFS(Log!$G:$G, Log!$D:$D,E$4,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5" s="68" t="str">
        <f>IFERROR(
    _xlfn.LET(
        _xlpm.is_data_present, $A115&lt;&gt;0,
        _xlpm.is_camera_present, COUNTIFS(Log!$C:$C, $A115, Log!$D:$D, F$4, Log!$A:$A, "Daily", Log!$B:$B, "n/a"),
        _xlpm.we_camera_on_date, IFERROR(AVERAGEIFS(Log!$F:$F, Log!$D:$D,F$4, Log!$C:$C, $A115, Log!$A:$A, "Daily", Log!$B:$B, "n/a"), 0),
        _xlpm.ie_camera_on_date, IFERROR(AVERAGEIFS(Log!$G:$G, Log!$D:$D,F$4,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5" s="68" t="str">
        <f>IFERROR(
    _xlfn.LET(
        _xlpm.is_data_present, $A115&lt;&gt;0,
        _xlpm.is_camera_present, COUNTIFS(Log!$C:$C, $A115, Log!$D:$D, G$4, Log!$A:$A, "Daily", Log!$B:$B, "n/a"),
        _xlpm.we_camera_on_date, IFERROR(AVERAGEIFS(Log!$F:$F, Log!$D:$D,G$4, Log!$C:$C, $A115, Log!$A:$A, "Daily", Log!$B:$B, "n/a"), 0),
        _xlpm.ie_camera_on_date, IFERROR(AVERAGEIFS(Log!$G:$G, Log!$D:$D,G$4,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5" s="68" t="str">
        <f>IFERROR(
    _xlfn.LET(
        _xlpm.is_data_present, $A115&lt;&gt;0,
        _xlpm.is_camera_present, COUNTIFS(Log!$C:$C, $A115, Log!$D:$D, H$4, Log!$A:$A, "Daily", Log!$B:$B, "n/a"),
        _xlpm.we_camera_on_date, IFERROR(AVERAGEIFS(Log!$F:$F, Log!$D:$D,H$4, Log!$C:$C, $A115, Log!$A:$A, "Daily", Log!$B:$B, "n/a"), 0),
        _xlpm.ie_camera_on_date, IFERROR(AVERAGEIFS(Log!$G:$G, Log!$D:$D,H$4,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5" s="68" t="str">
        <f>IFERROR(
    _xlfn.LET(
        _xlpm.is_data_present, $A115&lt;&gt;0,
        _xlpm.is_camera_present, COUNTIFS(Log!$C:$C, $A115, Log!$D:$D, I$4, Log!$A:$A, "Daily", Log!$B:$B, "n/a"),
        _xlpm.we_camera_on_date, IFERROR(AVERAGEIFS(Log!$F:$F, Log!$D:$D,I$4, Log!$C:$C, $A115, Log!$A:$A, "Daily", Log!$B:$B, "n/a"), 0),
        _xlpm.ie_camera_on_date, IFERROR(AVERAGEIFS(Log!$G:$G, Log!$D:$D,I$4,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5" s="68" t="str">
        <f>IFERROR(
    _xlfn.LET(
        _xlpm.is_data_present, $A115&lt;&gt;0,
        _xlpm.is_camera_present, COUNTIFS(Log!$C:$C, $A115, Log!$D:$D, J$4, Log!$A:$A, "Daily", Log!$B:$B, "n/a"),
        _xlpm.we_camera_on_date, IFERROR(AVERAGEIFS(Log!$F:$F, Log!$D:$D,J$4, Log!$C:$C, $A115, Log!$A:$A, "Daily", Log!$B:$B, "n/a"), 0),
        _xlpm.ie_camera_on_date, IFERROR(AVERAGEIFS(Log!$G:$G, Log!$D:$D,J$4,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5" s="68" t="str">
        <f>IFERROR(
    _xlfn.LET(
        _xlpm.is_data_present, $A115&lt;&gt;0,
        _xlpm.is_camera_present, COUNTIFS(Log!$C:$C, $A115, Log!$D:$D, K$4, Log!$A:$A, "Daily", Log!$B:$B, "n/a"),
        _xlpm.we_camera_on_date, IFERROR(AVERAGEIFS(Log!$F:$F, Log!$D:$D,K$4, Log!$C:$C, $A115, Log!$A:$A, "Daily", Log!$B:$B, "n/a"), 0),
        _xlpm.ie_camera_on_date, IFERROR(AVERAGEIFS(Log!$G:$G, Log!$D:$D,K$4,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5" s="68" t="str">
        <f>IFERROR(
    _xlfn.LET(
        _xlpm.is_data_present, $A115&lt;&gt;0,
        _xlpm.is_camera_present, COUNTIFS(Log!$C:$C, $A115, Log!$D:$D, L$4, Log!$A:$A, "Daily", Log!$B:$B, "n/a"),
        _xlpm.we_camera_on_date, IFERROR(AVERAGEIFS(Log!$F:$F, Log!$D:$D,L$4, Log!$C:$C, $A115, Log!$A:$A, "Daily", Log!$B:$B, "n/a"), 0),
        _xlpm.ie_camera_on_date, IFERROR(AVERAGEIFS(Log!$G:$G, Log!$D:$D,L$4,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5" s="68" t="str">
        <f>IFERROR(
    _xlfn.LET(
        _xlpm.is_data_present, $A115&lt;&gt;0,
        _xlpm.is_camera_present, COUNTIFS(Log!$C:$C, $A115, Log!$D:$D, M$4, Log!$A:$A, "Daily", Log!$B:$B, "n/a"),
        _xlpm.we_camera_on_date, IFERROR(AVERAGEIFS(Log!$F:$F, Log!$D:$D,M$4, Log!$C:$C, $A115, Log!$A:$A, "Daily", Log!$B:$B, "n/a"), 0),
        _xlpm.ie_camera_on_date, IFERROR(AVERAGEIFS(Log!$G:$G, Log!$D:$D,M$4,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5" s="68" t="str">
        <f>IFERROR(
    _xlfn.LET(
        _xlpm.is_data_present, $A115&lt;&gt;0,
        _xlpm.is_camera_present, COUNTIFS(Log!$C:$C, $A115, Log!$D:$D, N$4, Log!$A:$A, "Daily", Log!$B:$B, "n/a"),
        _xlpm.we_camera_on_date, IFERROR(AVERAGEIFS(Log!$F:$F, Log!$D:$D,N$4, Log!$C:$C, $A115, Log!$A:$A, "Daily", Log!$B:$B, "n/a"), 0),
        _xlpm.ie_camera_on_date, IFERROR(AVERAGEIFS(Log!$G:$G, Log!$D:$D,N$4,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5" s="68" t="str">
        <f>IFERROR(
    _xlfn.LET(
        _xlpm.is_data_present, $A115&lt;&gt;0,
        _xlpm.is_camera_present, COUNTIFS(Log!$C:$C, $A115, Log!$D:$D, O$4, Log!$A:$A, "Daily", Log!$B:$B, "n/a"),
        _xlpm.we_camera_on_date, IFERROR(AVERAGEIFS(Log!$F:$F, Log!$D:$D,O$4, Log!$C:$C, $A115, Log!$A:$A, "Daily", Log!$B:$B, "n/a"), 0),
        _xlpm.ie_camera_on_date, IFERROR(AVERAGEIFS(Log!$G:$G, Log!$D:$D,O$4,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5" s="68" t="str">
        <f>IFERROR(
    _xlfn.LET(
        _xlpm.is_data_present, $A115&lt;&gt;0,
        _xlpm.is_camera_present, COUNTIFS(Log!$C:$C, $A115, Log!$D:$D, P$4, Log!$A:$A, "Daily", Log!$B:$B, "n/a"),
        _xlpm.we_camera_on_date, IFERROR(AVERAGEIFS(Log!$F:$F, Log!$D:$D,P$4, Log!$C:$C, $A115, Log!$A:$A, "Daily", Log!$B:$B, "n/a"), 0),
        _xlpm.ie_camera_on_date, IFERROR(AVERAGEIFS(Log!$G:$G, Log!$D:$D,P$4,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5" s="68" t="str">
        <f>IFERROR(
    _xlfn.LET(
        _xlpm.is_data_present, $A115&lt;&gt;0,
        _xlpm.is_camera_present, COUNTIFS(Log!$C:$C, $A115, Log!$D:$D, Q$4, Log!$A:$A, "Daily", Log!$B:$B, "n/a"),
        _xlpm.we_camera_on_date, IFERROR(AVERAGEIFS(Log!$F:$F, Log!$D:$D,Q$4, Log!$C:$C, $A115, Log!$A:$A, "Daily", Log!$B:$B, "n/a"), 0),
        _xlpm.ie_camera_on_date, IFERROR(AVERAGEIFS(Log!$G:$G, Log!$D:$D,Q$4,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5" s="68" t="str">
        <f>IFERROR(
    _xlfn.LET(
        _xlpm.is_data_present, $A115&lt;&gt;0,
        _xlpm.is_camera_present, COUNTIFS(Log!$C:$C, $A115, Log!$D:$D, R$4, Log!$A:$A, "Daily", Log!$B:$B, "n/a"),
        _xlpm.we_camera_on_date, IFERROR(AVERAGEIFS(Log!$F:$F, Log!$D:$D,R$4, Log!$C:$C, $A115, Log!$A:$A, "Daily", Log!$B:$B, "n/a"), 0),
        _xlpm.ie_camera_on_date, IFERROR(AVERAGEIFS(Log!$G:$G, Log!$D:$D,R$4,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5" s="68" t="str">
        <f>IFERROR(
    _xlfn.LET(
        _xlpm.is_data_present, $A115&lt;&gt;0,
        _xlpm.is_camera_present, COUNTIFS(Log!$C:$C, $A115, Log!$D:$D, S$4, Log!$A:$A, "Daily", Log!$B:$B, "n/a"),
        _xlpm.we_camera_on_date, IFERROR(AVERAGEIFS(Log!$F:$F, Log!$D:$D,S$4, Log!$C:$C, $A115, Log!$A:$A, "Daily", Log!$B:$B, "n/a"), 0),
        _xlpm.ie_camera_on_date, IFERROR(AVERAGEIFS(Log!$G:$G, Log!$D:$D,S$4, Log!$C:$C, $A115, Log!$A:$A, "Daily", Log!$B:$B, "n/a"), 0),
        _xlpm.we_avg, IFERROR(AVERAGEIFS(Log!$F:$F,Log!$C:$C,$A115, Log!$A:$A, "Daily", Log!$B:$B, "n/a"),0),
        _xlpm.ie_avg, IFERROR(AVERAGEIFS(Log!$G:$G,Log!$C:$C,$A115,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6" spans="2:19" x14ac:dyDescent="0.3">
      <c r="B116" s="68" t="str">
        <f>IFERROR(
    _xlfn.LET(
        _xlpm.is_data_present, $A116&lt;&gt;0,
        _xlpm.is_camera_present, COUNTIFS(Log!$C:$C, $A116, Log!$D:$D, B$4, Log!$A:$A, "Daily", Log!$B:$B, "n/a"),
        _xlpm.we_camera_on_date, IFERROR(AVERAGEIFS(Log!$F:$F, Log!$D:$D,B$4, Log!$C:$C, $A116, Log!$A:$A, "Daily", Log!$B:$B, "n/a"), 0),
        _xlpm.ie_camera_on_date, IFERROR(AVERAGEIFS(Log!$G:$G, Log!$D:$D,B$4,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6" s="68" t="str">
        <f>IFERROR(
    _xlfn.LET(
        _xlpm.is_data_present, $A116&lt;&gt;0,
        _xlpm.is_camera_present, COUNTIFS(Log!$C:$C, $A116, Log!$D:$D, C$4, Log!$A:$A, "Daily", Log!$B:$B, "n/a"),
        _xlpm.we_camera_on_date, IFERROR(AVERAGEIFS(Log!$F:$F, Log!$D:$D,C$4, Log!$C:$C, $A116, Log!$A:$A, "Daily", Log!$B:$B, "n/a"), 0),
        _xlpm.ie_camera_on_date, IFERROR(AVERAGEIFS(Log!$G:$G, Log!$D:$D,C$4,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6" s="68" t="str">
        <f>IFERROR(
    _xlfn.LET(
        _xlpm.is_data_present, $A116&lt;&gt;0,
        _xlpm.is_camera_present, COUNTIFS(Log!$C:$C, $A116, Log!$D:$D, D$4, Log!$A:$A, "Daily", Log!$B:$B, "n/a"),
        _xlpm.we_camera_on_date, IFERROR(AVERAGEIFS(Log!$F:$F, Log!$D:$D,D$4, Log!$C:$C, $A116, Log!$A:$A, "Daily", Log!$B:$B, "n/a"), 0),
        _xlpm.ie_camera_on_date, IFERROR(AVERAGEIFS(Log!$G:$G, Log!$D:$D,D$4,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6" s="68" t="str">
        <f>IFERROR(
    _xlfn.LET(
        _xlpm.is_data_present, $A116&lt;&gt;0,
        _xlpm.is_camera_present, COUNTIFS(Log!$C:$C, $A116, Log!$D:$D, E$4, Log!$A:$A, "Daily", Log!$B:$B, "n/a"),
        _xlpm.we_camera_on_date, IFERROR(AVERAGEIFS(Log!$F:$F, Log!$D:$D,E$4, Log!$C:$C, $A116, Log!$A:$A, "Daily", Log!$B:$B, "n/a"), 0),
        _xlpm.ie_camera_on_date, IFERROR(AVERAGEIFS(Log!$G:$G, Log!$D:$D,E$4,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6" s="68" t="str">
        <f>IFERROR(
    _xlfn.LET(
        _xlpm.is_data_present, $A116&lt;&gt;0,
        _xlpm.is_camera_present, COUNTIFS(Log!$C:$C, $A116, Log!$D:$D, F$4, Log!$A:$A, "Daily", Log!$B:$B, "n/a"),
        _xlpm.we_camera_on_date, IFERROR(AVERAGEIFS(Log!$F:$F, Log!$D:$D,F$4, Log!$C:$C, $A116, Log!$A:$A, "Daily", Log!$B:$B, "n/a"), 0),
        _xlpm.ie_camera_on_date, IFERROR(AVERAGEIFS(Log!$G:$G, Log!$D:$D,F$4,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6" s="68" t="str">
        <f>IFERROR(
    _xlfn.LET(
        _xlpm.is_data_present, $A116&lt;&gt;0,
        _xlpm.is_camera_present, COUNTIFS(Log!$C:$C, $A116, Log!$D:$D, G$4, Log!$A:$A, "Daily", Log!$B:$B, "n/a"),
        _xlpm.we_camera_on_date, IFERROR(AVERAGEIFS(Log!$F:$F, Log!$D:$D,G$4, Log!$C:$C, $A116, Log!$A:$A, "Daily", Log!$B:$B, "n/a"), 0),
        _xlpm.ie_camera_on_date, IFERROR(AVERAGEIFS(Log!$G:$G, Log!$D:$D,G$4,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6" s="68" t="str">
        <f>IFERROR(
    _xlfn.LET(
        _xlpm.is_data_present, $A116&lt;&gt;0,
        _xlpm.is_camera_present, COUNTIFS(Log!$C:$C, $A116, Log!$D:$D, H$4, Log!$A:$A, "Daily", Log!$B:$B, "n/a"),
        _xlpm.we_camera_on_date, IFERROR(AVERAGEIFS(Log!$F:$F, Log!$D:$D,H$4, Log!$C:$C, $A116, Log!$A:$A, "Daily", Log!$B:$B, "n/a"), 0),
        _xlpm.ie_camera_on_date, IFERROR(AVERAGEIFS(Log!$G:$G, Log!$D:$D,H$4,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6" s="68" t="str">
        <f>IFERROR(
    _xlfn.LET(
        _xlpm.is_data_present, $A116&lt;&gt;0,
        _xlpm.is_camera_present, COUNTIFS(Log!$C:$C, $A116, Log!$D:$D, I$4, Log!$A:$A, "Daily", Log!$B:$B, "n/a"),
        _xlpm.we_camera_on_date, IFERROR(AVERAGEIFS(Log!$F:$F, Log!$D:$D,I$4, Log!$C:$C, $A116, Log!$A:$A, "Daily", Log!$B:$B, "n/a"), 0),
        _xlpm.ie_camera_on_date, IFERROR(AVERAGEIFS(Log!$G:$G, Log!$D:$D,I$4,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6" s="68" t="str">
        <f>IFERROR(
    _xlfn.LET(
        _xlpm.is_data_present, $A116&lt;&gt;0,
        _xlpm.is_camera_present, COUNTIFS(Log!$C:$C, $A116, Log!$D:$D, J$4, Log!$A:$A, "Daily", Log!$B:$B, "n/a"),
        _xlpm.we_camera_on_date, IFERROR(AVERAGEIFS(Log!$F:$F, Log!$D:$D,J$4, Log!$C:$C, $A116, Log!$A:$A, "Daily", Log!$B:$B, "n/a"), 0),
        _xlpm.ie_camera_on_date, IFERROR(AVERAGEIFS(Log!$G:$G, Log!$D:$D,J$4,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6" s="68" t="str">
        <f>IFERROR(
    _xlfn.LET(
        _xlpm.is_data_present, $A116&lt;&gt;0,
        _xlpm.is_camera_present, COUNTIFS(Log!$C:$C, $A116, Log!$D:$D, K$4, Log!$A:$A, "Daily", Log!$B:$B, "n/a"),
        _xlpm.we_camera_on_date, IFERROR(AVERAGEIFS(Log!$F:$F, Log!$D:$D,K$4, Log!$C:$C, $A116, Log!$A:$A, "Daily", Log!$B:$B, "n/a"), 0),
        _xlpm.ie_camera_on_date, IFERROR(AVERAGEIFS(Log!$G:$G, Log!$D:$D,K$4,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6" s="68" t="str">
        <f>IFERROR(
    _xlfn.LET(
        _xlpm.is_data_present, $A116&lt;&gt;0,
        _xlpm.is_camera_present, COUNTIFS(Log!$C:$C, $A116, Log!$D:$D, L$4, Log!$A:$A, "Daily", Log!$B:$B, "n/a"),
        _xlpm.we_camera_on_date, IFERROR(AVERAGEIFS(Log!$F:$F, Log!$D:$D,L$4, Log!$C:$C, $A116, Log!$A:$A, "Daily", Log!$B:$B, "n/a"), 0),
        _xlpm.ie_camera_on_date, IFERROR(AVERAGEIFS(Log!$G:$G, Log!$D:$D,L$4,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6" s="68" t="str">
        <f>IFERROR(
    _xlfn.LET(
        _xlpm.is_data_present, $A116&lt;&gt;0,
        _xlpm.is_camera_present, COUNTIFS(Log!$C:$C, $A116, Log!$D:$D, M$4, Log!$A:$A, "Daily", Log!$B:$B, "n/a"),
        _xlpm.we_camera_on_date, IFERROR(AVERAGEIFS(Log!$F:$F, Log!$D:$D,M$4, Log!$C:$C, $A116, Log!$A:$A, "Daily", Log!$B:$B, "n/a"), 0),
        _xlpm.ie_camera_on_date, IFERROR(AVERAGEIFS(Log!$G:$G, Log!$D:$D,M$4,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6" s="68" t="str">
        <f>IFERROR(
    _xlfn.LET(
        _xlpm.is_data_present, $A116&lt;&gt;0,
        _xlpm.is_camera_present, COUNTIFS(Log!$C:$C, $A116, Log!$D:$D, N$4, Log!$A:$A, "Daily", Log!$B:$B, "n/a"),
        _xlpm.we_camera_on_date, IFERROR(AVERAGEIFS(Log!$F:$F, Log!$D:$D,N$4, Log!$C:$C, $A116, Log!$A:$A, "Daily", Log!$B:$B, "n/a"), 0),
        _xlpm.ie_camera_on_date, IFERROR(AVERAGEIFS(Log!$G:$G, Log!$D:$D,N$4,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6" s="68" t="str">
        <f>IFERROR(
    _xlfn.LET(
        _xlpm.is_data_present, $A116&lt;&gt;0,
        _xlpm.is_camera_present, COUNTIFS(Log!$C:$C, $A116, Log!$D:$D, O$4, Log!$A:$A, "Daily", Log!$B:$B, "n/a"),
        _xlpm.we_camera_on_date, IFERROR(AVERAGEIFS(Log!$F:$F, Log!$D:$D,O$4, Log!$C:$C, $A116, Log!$A:$A, "Daily", Log!$B:$B, "n/a"), 0),
        _xlpm.ie_camera_on_date, IFERROR(AVERAGEIFS(Log!$G:$G, Log!$D:$D,O$4,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6" s="68" t="str">
        <f>IFERROR(
    _xlfn.LET(
        _xlpm.is_data_present, $A116&lt;&gt;0,
        _xlpm.is_camera_present, COUNTIFS(Log!$C:$C, $A116, Log!$D:$D, P$4, Log!$A:$A, "Daily", Log!$B:$B, "n/a"),
        _xlpm.we_camera_on_date, IFERROR(AVERAGEIFS(Log!$F:$F, Log!$D:$D,P$4, Log!$C:$C, $A116, Log!$A:$A, "Daily", Log!$B:$B, "n/a"), 0),
        _xlpm.ie_camera_on_date, IFERROR(AVERAGEIFS(Log!$G:$G, Log!$D:$D,P$4,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6" s="68" t="str">
        <f>IFERROR(
    _xlfn.LET(
        _xlpm.is_data_present, $A116&lt;&gt;0,
        _xlpm.is_camera_present, COUNTIFS(Log!$C:$C, $A116, Log!$D:$D, Q$4, Log!$A:$A, "Daily", Log!$B:$B, "n/a"),
        _xlpm.we_camera_on_date, IFERROR(AVERAGEIFS(Log!$F:$F, Log!$D:$D,Q$4, Log!$C:$C, $A116, Log!$A:$A, "Daily", Log!$B:$B, "n/a"), 0),
        _xlpm.ie_camera_on_date, IFERROR(AVERAGEIFS(Log!$G:$G, Log!$D:$D,Q$4,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6" s="68" t="str">
        <f>IFERROR(
    _xlfn.LET(
        _xlpm.is_data_present, $A116&lt;&gt;0,
        _xlpm.is_camera_present, COUNTIFS(Log!$C:$C, $A116, Log!$D:$D, R$4, Log!$A:$A, "Daily", Log!$B:$B, "n/a"),
        _xlpm.we_camera_on_date, IFERROR(AVERAGEIFS(Log!$F:$F, Log!$D:$D,R$4, Log!$C:$C, $A116, Log!$A:$A, "Daily", Log!$B:$B, "n/a"), 0),
        _xlpm.ie_camera_on_date, IFERROR(AVERAGEIFS(Log!$G:$G, Log!$D:$D,R$4,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6" s="68" t="str">
        <f>IFERROR(
    _xlfn.LET(
        _xlpm.is_data_present, $A116&lt;&gt;0,
        _xlpm.is_camera_present, COUNTIFS(Log!$C:$C, $A116, Log!$D:$D, S$4, Log!$A:$A, "Daily", Log!$B:$B, "n/a"),
        _xlpm.we_camera_on_date, IFERROR(AVERAGEIFS(Log!$F:$F, Log!$D:$D,S$4, Log!$C:$C, $A116, Log!$A:$A, "Daily", Log!$B:$B, "n/a"), 0),
        _xlpm.ie_camera_on_date, IFERROR(AVERAGEIFS(Log!$G:$G, Log!$D:$D,S$4, Log!$C:$C, $A116, Log!$A:$A, "Daily", Log!$B:$B, "n/a"), 0),
        _xlpm.we_avg, IFERROR(AVERAGEIFS(Log!$F:$F,Log!$C:$C,$A116, Log!$A:$A, "Daily", Log!$B:$B, "n/a"),0),
        _xlpm.ie_avg, IFERROR(AVERAGEIFS(Log!$G:$G,Log!$C:$C,$A116,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7" spans="2:19" x14ac:dyDescent="0.3">
      <c r="B117" s="68" t="str">
        <f>IFERROR(
    _xlfn.LET(
        _xlpm.is_data_present, $A117&lt;&gt;0,
        _xlpm.is_camera_present, COUNTIFS(Log!$C:$C, $A117, Log!$D:$D, B$4, Log!$A:$A, "Daily", Log!$B:$B, "n/a"),
        _xlpm.we_camera_on_date, IFERROR(AVERAGEIFS(Log!$F:$F, Log!$D:$D,B$4, Log!$C:$C, $A117, Log!$A:$A, "Daily", Log!$B:$B, "n/a"), 0),
        _xlpm.ie_camera_on_date, IFERROR(AVERAGEIFS(Log!$G:$G, Log!$D:$D,B$4,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7" s="68" t="str">
        <f>IFERROR(
    _xlfn.LET(
        _xlpm.is_data_present, $A117&lt;&gt;0,
        _xlpm.is_camera_present, COUNTIFS(Log!$C:$C, $A117, Log!$D:$D, C$4, Log!$A:$A, "Daily", Log!$B:$B, "n/a"),
        _xlpm.we_camera_on_date, IFERROR(AVERAGEIFS(Log!$F:$F, Log!$D:$D,C$4, Log!$C:$C, $A117, Log!$A:$A, "Daily", Log!$B:$B, "n/a"), 0),
        _xlpm.ie_camera_on_date, IFERROR(AVERAGEIFS(Log!$G:$G, Log!$D:$D,C$4,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7" s="68" t="str">
        <f>IFERROR(
    _xlfn.LET(
        _xlpm.is_data_present, $A117&lt;&gt;0,
        _xlpm.is_camera_present, COUNTIFS(Log!$C:$C, $A117, Log!$D:$D, D$4, Log!$A:$A, "Daily", Log!$B:$B, "n/a"),
        _xlpm.we_camera_on_date, IFERROR(AVERAGEIFS(Log!$F:$F, Log!$D:$D,D$4, Log!$C:$C, $A117, Log!$A:$A, "Daily", Log!$B:$B, "n/a"), 0),
        _xlpm.ie_camera_on_date, IFERROR(AVERAGEIFS(Log!$G:$G, Log!$D:$D,D$4,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7" s="68" t="str">
        <f>IFERROR(
    _xlfn.LET(
        _xlpm.is_data_present, $A117&lt;&gt;0,
        _xlpm.is_camera_present, COUNTIFS(Log!$C:$C, $A117, Log!$D:$D, E$4, Log!$A:$A, "Daily", Log!$B:$B, "n/a"),
        _xlpm.we_camera_on_date, IFERROR(AVERAGEIFS(Log!$F:$F, Log!$D:$D,E$4, Log!$C:$C, $A117, Log!$A:$A, "Daily", Log!$B:$B, "n/a"), 0),
        _xlpm.ie_camera_on_date, IFERROR(AVERAGEIFS(Log!$G:$G, Log!$D:$D,E$4,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7" s="68" t="str">
        <f>IFERROR(
    _xlfn.LET(
        _xlpm.is_data_present, $A117&lt;&gt;0,
        _xlpm.is_camera_present, COUNTIFS(Log!$C:$C, $A117, Log!$D:$D, F$4, Log!$A:$A, "Daily", Log!$B:$B, "n/a"),
        _xlpm.we_camera_on_date, IFERROR(AVERAGEIFS(Log!$F:$F, Log!$D:$D,F$4, Log!$C:$C, $A117, Log!$A:$A, "Daily", Log!$B:$B, "n/a"), 0),
        _xlpm.ie_camera_on_date, IFERROR(AVERAGEIFS(Log!$G:$G, Log!$D:$D,F$4,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7" s="68" t="str">
        <f>IFERROR(
    _xlfn.LET(
        _xlpm.is_data_present, $A117&lt;&gt;0,
        _xlpm.is_camera_present, COUNTIFS(Log!$C:$C, $A117, Log!$D:$D, G$4, Log!$A:$A, "Daily", Log!$B:$B, "n/a"),
        _xlpm.we_camera_on_date, IFERROR(AVERAGEIFS(Log!$F:$F, Log!$D:$D,G$4, Log!$C:$C, $A117, Log!$A:$A, "Daily", Log!$B:$B, "n/a"), 0),
        _xlpm.ie_camera_on_date, IFERROR(AVERAGEIFS(Log!$G:$G, Log!$D:$D,G$4,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7" s="68" t="str">
        <f>IFERROR(
    _xlfn.LET(
        _xlpm.is_data_present, $A117&lt;&gt;0,
        _xlpm.is_camera_present, COUNTIFS(Log!$C:$C, $A117, Log!$D:$D, H$4, Log!$A:$A, "Daily", Log!$B:$B, "n/a"),
        _xlpm.we_camera_on_date, IFERROR(AVERAGEIFS(Log!$F:$F, Log!$D:$D,H$4, Log!$C:$C, $A117, Log!$A:$A, "Daily", Log!$B:$B, "n/a"), 0),
        _xlpm.ie_camera_on_date, IFERROR(AVERAGEIFS(Log!$G:$G, Log!$D:$D,H$4,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7" s="68" t="str">
        <f>IFERROR(
    _xlfn.LET(
        _xlpm.is_data_present, $A117&lt;&gt;0,
        _xlpm.is_camera_present, COUNTIFS(Log!$C:$C, $A117, Log!$D:$D, I$4, Log!$A:$A, "Daily", Log!$B:$B, "n/a"),
        _xlpm.we_camera_on_date, IFERROR(AVERAGEIFS(Log!$F:$F, Log!$D:$D,I$4, Log!$C:$C, $A117, Log!$A:$A, "Daily", Log!$B:$B, "n/a"), 0),
        _xlpm.ie_camera_on_date, IFERROR(AVERAGEIFS(Log!$G:$G, Log!$D:$D,I$4,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7" s="68" t="str">
        <f>IFERROR(
    _xlfn.LET(
        _xlpm.is_data_present, $A117&lt;&gt;0,
        _xlpm.is_camera_present, COUNTIFS(Log!$C:$C, $A117, Log!$D:$D, J$4, Log!$A:$A, "Daily", Log!$B:$B, "n/a"),
        _xlpm.we_camera_on_date, IFERROR(AVERAGEIFS(Log!$F:$F, Log!$D:$D,J$4, Log!$C:$C, $A117, Log!$A:$A, "Daily", Log!$B:$B, "n/a"), 0),
        _xlpm.ie_camera_on_date, IFERROR(AVERAGEIFS(Log!$G:$G, Log!$D:$D,J$4,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7" s="68" t="str">
        <f>IFERROR(
    _xlfn.LET(
        _xlpm.is_data_present, $A117&lt;&gt;0,
        _xlpm.is_camera_present, COUNTIFS(Log!$C:$C, $A117, Log!$D:$D, K$4, Log!$A:$A, "Daily", Log!$B:$B, "n/a"),
        _xlpm.we_camera_on_date, IFERROR(AVERAGEIFS(Log!$F:$F, Log!$D:$D,K$4, Log!$C:$C, $A117, Log!$A:$A, "Daily", Log!$B:$B, "n/a"), 0),
        _xlpm.ie_camera_on_date, IFERROR(AVERAGEIFS(Log!$G:$G, Log!$D:$D,K$4,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7" s="68" t="str">
        <f>IFERROR(
    _xlfn.LET(
        _xlpm.is_data_present, $A117&lt;&gt;0,
        _xlpm.is_camera_present, COUNTIFS(Log!$C:$C, $A117, Log!$D:$D, L$4, Log!$A:$A, "Daily", Log!$B:$B, "n/a"),
        _xlpm.we_camera_on_date, IFERROR(AVERAGEIFS(Log!$F:$F, Log!$D:$D,L$4, Log!$C:$C, $A117, Log!$A:$A, "Daily", Log!$B:$B, "n/a"), 0),
        _xlpm.ie_camera_on_date, IFERROR(AVERAGEIFS(Log!$G:$G, Log!$D:$D,L$4,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7" s="68" t="str">
        <f>IFERROR(
    _xlfn.LET(
        _xlpm.is_data_present, $A117&lt;&gt;0,
        _xlpm.is_camera_present, COUNTIFS(Log!$C:$C, $A117, Log!$D:$D, M$4, Log!$A:$A, "Daily", Log!$B:$B, "n/a"),
        _xlpm.we_camera_on_date, IFERROR(AVERAGEIFS(Log!$F:$F, Log!$D:$D,M$4, Log!$C:$C, $A117, Log!$A:$A, "Daily", Log!$B:$B, "n/a"), 0),
        _xlpm.ie_camera_on_date, IFERROR(AVERAGEIFS(Log!$G:$G, Log!$D:$D,M$4,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7" s="68" t="str">
        <f>IFERROR(
    _xlfn.LET(
        _xlpm.is_data_present, $A117&lt;&gt;0,
        _xlpm.is_camera_present, COUNTIFS(Log!$C:$C, $A117, Log!$D:$D, N$4, Log!$A:$A, "Daily", Log!$B:$B, "n/a"),
        _xlpm.we_camera_on_date, IFERROR(AVERAGEIFS(Log!$F:$F, Log!$D:$D,N$4, Log!$C:$C, $A117, Log!$A:$A, "Daily", Log!$B:$B, "n/a"), 0),
        _xlpm.ie_camera_on_date, IFERROR(AVERAGEIFS(Log!$G:$G, Log!$D:$D,N$4,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7" s="68" t="str">
        <f>IFERROR(
    _xlfn.LET(
        _xlpm.is_data_present, $A117&lt;&gt;0,
        _xlpm.is_camera_present, COUNTIFS(Log!$C:$C, $A117, Log!$D:$D, O$4, Log!$A:$A, "Daily", Log!$B:$B, "n/a"),
        _xlpm.we_camera_on_date, IFERROR(AVERAGEIFS(Log!$F:$F, Log!$D:$D,O$4, Log!$C:$C, $A117, Log!$A:$A, "Daily", Log!$B:$B, "n/a"), 0),
        _xlpm.ie_camera_on_date, IFERROR(AVERAGEIFS(Log!$G:$G, Log!$D:$D,O$4,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7" s="68" t="str">
        <f>IFERROR(
    _xlfn.LET(
        _xlpm.is_data_present, $A117&lt;&gt;0,
        _xlpm.is_camera_present, COUNTIFS(Log!$C:$C, $A117, Log!$D:$D, P$4, Log!$A:$A, "Daily", Log!$B:$B, "n/a"),
        _xlpm.we_camera_on_date, IFERROR(AVERAGEIFS(Log!$F:$F, Log!$D:$D,P$4, Log!$C:$C, $A117, Log!$A:$A, "Daily", Log!$B:$B, "n/a"), 0),
        _xlpm.ie_camera_on_date, IFERROR(AVERAGEIFS(Log!$G:$G, Log!$D:$D,P$4,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7" s="68" t="str">
        <f>IFERROR(
    _xlfn.LET(
        _xlpm.is_data_present, $A117&lt;&gt;0,
        _xlpm.is_camera_present, COUNTIFS(Log!$C:$C, $A117, Log!$D:$D, Q$4, Log!$A:$A, "Daily", Log!$B:$B, "n/a"),
        _xlpm.we_camera_on_date, IFERROR(AVERAGEIFS(Log!$F:$F, Log!$D:$D,Q$4, Log!$C:$C, $A117, Log!$A:$A, "Daily", Log!$B:$B, "n/a"), 0),
        _xlpm.ie_camera_on_date, IFERROR(AVERAGEIFS(Log!$G:$G, Log!$D:$D,Q$4,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7" s="68" t="str">
        <f>IFERROR(
    _xlfn.LET(
        _xlpm.is_data_present, $A117&lt;&gt;0,
        _xlpm.is_camera_present, COUNTIFS(Log!$C:$C, $A117, Log!$D:$D, R$4, Log!$A:$A, "Daily", Log!$B:$B, "n/a"),
        _xlpm.we_camera_on_date, IFERROR(AVERAGEIFS(Log!$F:$F, Log!$D:$D,R$4, Log!$C:$C, $A117, Log!$A:$A, "Daily", Log!$B:$B, "n/a"), 0),
        _xlpm.ie_camera_on_date, IFERROR(AVERAGEIFS(Log!$G:$G, Log!$D:$D,R$4,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7" s="68" t="str">
        <f>IFERROR(
    _xlfn.LET(
        _xlpm.is_data_present, $A117&lt;&gt;0,
        _xlpm.is_camera_present, COUNTIFS(Log!$C:$C, $A117, Log!$D:$D, S$4, Log!$A:$A, "Daily", Log!$B:$B, "n/a"),
        _xlpm.we_camera_on_date, IFERROR(AVERAGEIFS(Log!$F:$F, Log!$D:$D,S$4, Log!$C:$C, $A117, Log!$A:$A, "Daily", Log!$B:$B, "n/a"), 0),
        _xlpm.ie_camera_on_date, IFERROR(AVERAGEIFS(Log!$G:$G, Log!$D:$D,S$4, Log!$C:$C, $A117, Log!$A:$A, "Daily", Log!$B:$B, "n/a"), 0),
        _xlpm.we_avg, IFERROR(AVERAGEIFS(Log!$F:$F,Log!$C:$C,$A117, Log!$A:$A, "Daily", Log!$B:$B, "n/a"),0),
        _xlpm.ie_avg, IFERROR(AVERAGEIFS(Log!$G:$G,Log!$C:$C,$A117,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8" spans="2:19" x14ac:dyDescent="0.3">
      <c r="B118" s="68" t="str">
        <f>IFERROR(
    _xlfn.LET(
        _xlpm.is_data_present, $A118&lt;&gt;0,
        _xlpm.is_camera_present, COUNTIFS(Log!$C:$C, $A118, Log!$D:$D, B$4, Log!$A:$A, "Daily", Log!$B:$B, "n/a"),
        _xlpm.we_camera_on_date, IFERROR(AVERAGEIFS(Log!$F:$F, Log!$D:$D,B$4, Log!$C:$C, $A118, Log!$A:$A, "Daily", Log!$B:$B, "n/a"), 0),
        _xlpm.ie_camera_on_date, IFERROR(AVERAGEIFS(Log!$G:$G, Log!$D:$D,B$4,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8" s="68" t="str">
        <f>IFERROR(
    _xlfn.LET(
        _xlpm.is_data_present, $A118&lt;&gt;0,
        _xlpm.is_camera_present, COUNTIFS(Log!$C:$C, $A118, Log!$D:$D, C$4, Log!$A:$A, "Daily", Log!$B:$B, "n/a"),
        _xlpm.we_camera_on_date, IFERROR(AVERAGEIFS(Log!$F:$F, Log!$D:$D,C$4, Log!$C:$C, $A118, Log!$A:$A, "Daily", Log!$B:$B, "n/a"), 0),
        _xlpm.ie_camera_on_date, IFERROR(AVERAGEIFS(Log!$G:$G, Log!$D:$D,C$4,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8" s="68" t="str">
        <f>IFERROR(
    _xlfn.LET(
        _xlpm.is_data_present, $A118&lt;&gt;0,
        _xlpm.is_camera_present, COUNTIFS(Log!$C:$C, $A118, Log!$D:$D, D$4, Log!$A:$A, "Daily", Log!$B:$B, "n/a"),
        _xlpm.we_camera_on_date, IFERROR(AVERAGEIFS(Log!$F:$F, Log!$D:$D,D$4, Log!$C:$C, $A118, Log!$A:$A, "Daily", Log!$B:$B, "n/a"), 0),
        _xlpm.ie_camera_on_date, IFERROR(AVERAGEIFS(Log!$G:$G, Log!$D:$D,D$4,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8" s="68" t="str">
        <f>IFERROR(
    _xlfn.LET(
        _xlpm.is_data_present, $A118&lt;&gt;0,
        _xlpm.is_camera_present, COUNTIFS(Log!$C:$C, $A118, Log!$D:$D, E$4, Log!$A:$A, "Daily", Log!$B:$B, "n/a"),
        _xlpm.we_camera_on_date, IFERROR(AVERAGEIFS(Log!$F:$F, Log!$D:$D,E$4, Log!$C:$C, $A118, Log!$A:$A, "Daily", Log!$B:$B, "n/a"), 0),
        _xlpm.ie_camera_on_date, IFERROR(AVERAGEIFS(Log!$G:$G, Log!$D:$D,E$4,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8" s="68" t="str">
        <f>IFERROR(
    _xlfn.LET(
        _xlpm.is_data_present, $A118&lt;&gt;0,
        _xlpm.is_camera_present, COUNTIFS(Log!$C:$C, $A118, Log!$D:$D, F$4, Log!$A:$A, "Daily", Log!$B:$B, "n/a"),
        _xlpm.we_camera_on_date, IFERROR(AVERAGEIFS(Log!$F:$F, Log!$D:$D,F$4, Log!$C:$C, $A118, Log!$A:$A, "Daily", Log!$B:$B, "n/a"), 0),
        _xlpm.ie_camera_on_date, IFERROR(AVERAGEIFS(Log!$G:$G, Log!$D:$D,F$4,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8" s="68" t="str">
        <f>IFERROR(
    _xlfn.LET(
        _xlpm.is_data_present, $A118&lt;&gt;0,
        _xlpm.is_camera_present, COUNTIFS(Log!$C:$C, $A118, Log!$D:$D, G$4, Log!$A:$A, "Daily", Log!$B:$B, "n/a"),
        _xlpm.we_camera_on_date, IFERROR(AVERAGEIFS(Log!$F:$F, Log!$D:$D,G$4, Log!$C:$C, $A118, Log!$A:$A, "Daily", Log!$B:$B, "n/a"), 0),
        _xlpm.ie_camera_on_date, IFERROR(AVERAGEIFS(Log!$G:$G, Log!$D:$D,G$4,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8" s="68" t="str">
        <f>IFERROR(
    _xlfn.LET(
        _xlpm.is_data_present, $A118&lt;&gt;0,
        _xlpm.is_camera_present, COUNTIFS(Log!$C:$C, $A118, Log!$D:$D, H$4, Log!$A:$A, "Daily", Log!$B:$B, "n/a"),
        _xlpm.we_camera_on_date, IFERROR(AVERAGEIFS(Log!$F:$F, Log!$D:$D,H$4, Log!$C:$C, $A118, Log!$A:$A, "Daily", Log!$B:$B, "n/a"), 0),
        _xlpm.ie_camera_on_date, IFERROR(AVERAGEIFS(Log!$G:$G, Log!$D:$D,H$4,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8" s="68" t="str">
        <f>IFERROR(
    _xlfn.LET(
        _xlpm.is_data_present, $A118&lt;&gt;0,
        _xlpm.is_camera_present, COUNTIFS(Log!$C:$C, $A118, Log!$D:$D, I$4, Log!$A:$A, "Daily", Log!$B:$B, "n/a"),
        _xlpm.we_camera_on_date, IFERROR(AVERAGEIFS(Log!$F:$F, Log!$D:$D,I$4, Log!$C:$C, $A118, Log!$A:$A, "Daily", Log!$B:$B, "n/a"), 0),
        _xlpm.ie_camera_on_date, IFERROR(AVERAGEIFS(Log!$G:$G, Log!$D:$D,I$4,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8" s="68" t="str">
        <f>IFERROR(
    _xlfn.LET(
        _xlpm.is_data_present, $A118&lt;&gt;0,
        _xlpm.is_camera_present, COUNTIFS(Log!$C:$C, $A118, Log!$D:$D, J$4, Log!$A:$A, "Daily", Log!$B:$B, "n/a"),
        _xlpm.we_camera_on_date, IFERROR(AVERAGEIFS(Log!$F:$F, Log!$D:$D,J$4, Log!$C:$C, $A118, Log!$A:$A, "Daily", Log!$B:$B, "n/a"), 0),
        _xlpm.ie_camera_on_date, IFERROR(AVERAGEIFS(Log!$G:$G, Log!$D:$D,J$4,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8" s="68" t="str">
        <f>IFERROR(
    _xlfn.LET(
        _xlpm.is_data_present, $A118&lt;&gt;0,
        _xlpm.is_camera_present, COUNTIFS(Log!$C:$C, $A118, Log!$D:$D, K$4, Log!$A:$A, "Daily", Log!$B:$B, "n/a"),
        _xlpm.we_camera_on_date, IFERROR(AVERAGEIFS(Log!$F:$F, Log!$D:$D,K$4, Log!$C:$C, $A118, Log!$A:$A, "Daily", Log!$B:$B, "n/a"), 0),
        _xlpm.ie_camera_on_date, IFERROR(AVERAGEIFS(Log!$G:$G, Log!$D:$D,K$4,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8" s="68" t="str">
        <f>IFERROR(
    _xlfn.LET(
        _xlpm.is_data_present, $A118&lt;&gt;0,
        _xlpm.is_camera_present, COUNTIFS(Log!$C:$C, $A118, Log!$D:$D, L$4, Log!$A:$A, "Daily", Log!$B:$B, "n/a"),
        _xlpm.we_camera_on_date, IFERROR(AVERAGEIFS(Log!$F:$F, Log!$D:$D,L$4, Log!$C:$C, $A118, Log!$A:$A, "Daily", Log!$B:$B, "n/a"), 0),
        _xlpm.ie_camera_on_date, IFERROR(AVERAGEIFS(Log!$G:$G, Log!$D:$D,L$4,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8" s="68" t="str">
        <f>IFERROR(
    _xlfn.LET(
        _xlpm.is_data_present, $A118&lt;&gt;0,
        _xlpm.is_camera_present, COUNTIFS(Log!$C:$C, $A118, Log!$D:$D, M$4, Log!$A:$A, "Daily", Log!$B:$B, "n/a"),
        _xlpm.we_camera_on_date, IFERROR(AVERAGEIFS(Log!$F:$F, Log!$D:$D,M$4, Log!$C:$C, $A118, Log!$A:$A, "Daily", Log!$B:$B, "n/a"), 0),
        _xlpm.ie_camera_on_date, IFERROR(AVERAGEIFS(Log!$G:$G, Log!$D:$D,M$4,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8" s="68" t="str">
        <f>IFERROR(
    _xlfn.LET(
        _xlpm.is_data_present, $A118&lt;&gt;0,
        _xlpm.is_camera_present, COUNTIFS(Log!$C:$C, $A118, Log!$D:$D, N$4, Log!$A:$A, "Daily", Log!$B:$B, "n/a"),
        _xlpm.we_camera_on_date, IFERROR(AVERAGEIFS(Log!$F:$F, Log!$D:$D,N$4, Log!$C:$C, $A118, Log!$A:$A, "Daily", Log!$B:$B, "n/a"), 0),
        _xlpm.ie_camera_on_date, IFERROR(AVERAGEIFS(Log!$G:$G, Log!$D:$D,N$4,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8" s="68" t="str">
        <f>IFERROR(
    _xlfn.LET(
        _xlpm.is_data_present, $A118&lt;&gt;0,
        _xlpm.is_camera_present, COUNTIFS(Log!$C:$C, $A118, Log!$D:$D, O$4, Log!$A:$A, "Daily", Log!$B:$B, "n/a"),
        _xlpm.we_camera_on_date, IFERROR(AVERAGEIFS(Log!$F:$F, Log!$D:$D,O$4, Log!$C:$C, $A118, Log!$A:$A, "Daily", Log!$B:$B, "n/a"), 0),
        _xlpm.ie_camera_on_date, IFERROR(AVERAGEIFS(Log!$G:$G, Log!$D:$D,O$4,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8" s="68" t="str">
        <f>IFERROR(
    _xlfn.LET(
        _xlpm.is_data_present, $A118&lt;&gt;0,
        _xlpm.is_camera_present, COUNTIFS(Log!$C:$C, $A118, Log!$D:$D, P$4, Log!$A:$A, "Daily", Log!$B:$B, "n/a"),
        _xlpm.we_camera_on_date, IFERROR(AVERAGEIFS(Log!$F:$F, Log!$D:$D,P$4, Log!$C:$C, $A118, Log!$A:$A, "Daily", Log!$B:$B, "n/a"), 0),
        _xlpm.ie_camera_on_date, IFERROR(AVERAGEIFS(Log!$G:$G, Log!$D:$D,P$4,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8" s="68" t="str">
        <f>IFERROR(
    _xlfn.LET(
        _xlpm.is_data_present, $A118&lt;&gt;0,
        _xlpm.is_camera_present, COUNTIFS(Log!$C:$C, $A118, Log!$D:$D, Q$4, Log!$A:$A, "Daily", Log!$B:$B, "n/a"),
        _xlpm.we_camera_on_date, IFERROR(AVERAGEIFS(Log!$F:$F, Log!$D:$D,Q$4, Log!$C:$C, $A118, Log!$A:$A, "Daily", Log!$B:$B, "n/a"), 0),
        _xlpm.ie_camera_on_date, IFERROR(AVERAGEIFS(Log!$G:$G, Log!$D:$D,Q$4,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8" s="68" t="str">
        <f>IFERROR(
    _xlfn.LET(
        _xlpm.is_data_present, $A118&lt;&gt;0,
        _xlpm.is_camera_present, COUNTIFS(Log!$C:$C, $A118, Log!$D:$D, R$4, Log!$A:$A, "Daily", Log!$B:$B, "n/a"),
        _xlpm.we_camera_on_date, IFERROR(AVERAGEIFS(Log!$F:$F, Log!$D:$D,R$4, Log!$C:$C, $A118, Log!$A:$A, "Daily", Log!$B:$B, "n/a"), 0),
        _xlpm.ie_camera_on_date, IFERROR(AVERAGEIFS(Log!$G:$G, Log!$D:$D,R$4,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8" s="68" t="str">
        <f>IFERROR(
    _xlfn.LET(
        _xlpm.is_data_present, $A118&lt;&gt;0,
        _xlpm.is_camera_present, COUNTIFS(Log!$C:$C, $A118, Log!$D:$D, S$4, Log!$A:$A, "Daily", Log!$B:$B, "n/a"),
        _xlpm.we_camera_on_date, IFERROR(AVERAGEIFS(Log!$F:$F, Log!$D:$D,S$4, Log!$C:$C, $A118, Log!$A:$A, "Daily", Log!$B:$B, "n/a"), 0),
        _xlpm.ie_camera_on_date, IFERROR(AVERAGEIFS(Log!$G:$G, Log!$D:$D,S$4, Log!$C:$C, $A118, Log!$A:$A, "Daily", Log!$B:$B, "n/a"), 0),
        _xlpm.we_avg, IFERROR(AVERAGEIFS(Log!$F:$F,Log!$C:$C,$A118, Log!$A:$A, "Daily", Log!$B:$B, "n/a"),0),
        _xlpm.ie_avg, IFERROR(AVERAGEIFS(Log!$G:$G,Log!$C:$C,$A118,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19" spans="2:19" x14ac:dyDescent="0.3">
      <c r="B119" s="68" t="str">
        <f>IFERROR(
    _xlfn.LET(
        _xlpm.is_data_present, $A119&lt;&gt;0,
        _xlpm.is_camera_present, COUNTIFS(Log!$C:$C, $A119, Log!$D:$D, B$4, Log!$A:$A, "Daily", Log!$B:$B, "n/a"),
        _xlpm.we_camera_on_date, IFERROR(AVERAGEIFS(Log!$F:$F, Log!$D:$D,B$4, Log!$C:$C, $A119, Log!$A:$A, "Daily", Log!$B:$B, "n/a"), 0),
        _xlpm.ie_camera_on_date, IFERROR(AVERAGEIFS(Log!$G:$G, Log!$D:$D,B$4,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19" s="68" t="str">
        <f>IFERROR(
    _xlfn.LET(
        _xlpm.is_data_present, $A119&lt;&gt;0,
        _xlpm.is_camera_present, COUNTIFS(Log!$C:$C, $A119, Log!$D:$D, C$4, Log!$A:$A, "Daily", Log!$B:$B, "n/a"),
        _xlpm.we_camera_on_date, IFERROR(AVERAGEIFS(Log!$F:$F, Log!$D:$D,C$4, Log!$C:$C, $A119, Log!$A:$A, "Daily", Log!$B:$B, "n/a"), 0),
        _xlpm.ie_camera_on_date, IFERROR(AVERAGEIFS(Log!$G:$G, Log!$D:$D,C$4,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19" s="68" t="str">
        <f>IFERROR(
    _xlfn.LET(
        _xlpm.is_data_present, $A119&lt;&gt;0,
        _xlpm.is_camera_present, COUNTIFS(Log!$C:$C, $A119, Log!$D:$D, D$4, Log!$A:$A, "Daily", Log!$B:$B, "n/a"),
        _xlpm.we_camera_on_date, IFERROR(AVERAGEIFS(Log!$F:$F, Log!$D:$D,D$4, Log!$C:$C, $A119, Log!$A:$A, "Daily", Log!$B:$B, "n/a"), 0),
        _xlpm.ie_camera_on_date, IFERROR(AVERAGEIFS(Log!$G:$G, Log!$D:$D,D$4,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19" s="68" t="str">
        <f>IFERROR(
    _xlfn.LET(
        _xlpm.is_data_present, $A119&lt;&gt;0,
        _xlpm.is_camera_present, COUNTIFS(Log!$C:$C, $A119, Log!$D:$D, E$4, Log!$A:$A, "Daily", Log!$B:$B, "n/a"),
        _xlpm.we_camera_on_date, IFERROR(AVERAGEIFS(Log!$F:$F, Log!$D:$D,E$4, Log!$C:$C, $A119, Log!$A:$A, "Daily", Log!$B:$B, "n/a"), 0),
        _xlpm.ie_camera_on_date, IFERROR(AVERAGEIFS(Log!$G:$G, Log!$D:$D,E$4,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19" s="68" t="str">
        <f>IFERROR(
    _xlfn.LET(
        _xlpm.is_data_present, $A119&lt;&gt;0,
        _xlpm.is_camera_present, COUNTIFS(Log!$C:$C, $A119, Log!$D:$D, F$4, Log!$A:$A, "Daily", Log!$B:$B, "n/a"),
        _xlpm.we_camera_on_date, IFERROR(AVERAGEIFS(Log!$F:$F, Log!$D:$D,F$4, Log!$C:$C, $A119, Log!$A:$A, "Daily", Log!$B:$B, "n/a"), 0),
        _xlpm.ie_camera_on_date, IFERROR(AVERAGEIFS(Log!$G:$G, Log!$D:$D,F$4,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19" s="68" t="str">
        <f>IFERROR(
    _xlfn.LET(
        _xlpm.is_data_present, $A119&lt;&gt;0,
        _xlpm.is_camera_present, COUNTIFS(Log!$C:$C, $A119, Log!$D:$D, G$4, Log!$A:$A, "Daily", Log!$B:$B, "n/a"),
        _xlpm.we_camera_on_date, IFERROR(AVERAGEIFS(Log!$F:$F, Log!$D:$D,G$4, Log!$C:$C, $A119, Log!$A:$A, "Daily", Log!$B:$B, "n/a"), 0),
        _xlpm.ie_camera_on_date, IFERROR(AVERAGEIFS(Log!$G:$G, Log!$D:$D,G$4,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19" s="68" t="str">
        <f>IFERROR(
    _xlfn.LET(
        _xlpm.is_data_present, $A119&lt;&gt;0,
        _xlpm.is_camera_present, COUNTIFS(Log!$C:$C, $A119, Log!$D:$D, H$4, Log!$A:$A, "Daily", Log!$B:$B, "n/a"),
        _xlpm.we_camera_on_date, IFERROR(AVERAGEIFS(Log!$F:$F, Log!$D:$D,H$4, Log!$C:$C, $A119, Log!$A:$A, "Daily", Log!$B:$B, "n/a"), 0),
        _xlpm.ie_camera_on_date, IFERROR(AVERAGEIFS(Log!$G:$G, Log!$D:$D,H$4,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19" s="68" t="str">
        <f>IFERROR(
    _xlfn.LET(
        _xlpm.is_data_present, $A119&lt;&gt;0,
        _xlpm.is_camera_present, COUNTIFS(Log!$C:$C, $A119, Log!$D:$D, I$4, Log!$A:$A, "Daily", Log!$B:$B, "n/a"),
        _xlpm.we_camera_on_date, IFERROR(AVERAGEIFS(Log!$F:$F, Log!$D:$D,I$4, Log!$C:$C, $A119, Log!$A:$A, "Daily", Log!$B:$B, "n/a"), 0),
        _xlpm.ie_camera_on_date, IFERROR(AVERAGEIFS(Log!$G:$G, Log!$D:$D,I$4,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19" s="68" t="str">
        <f>IFERROR(
    _xlfn.LET(
        _xlpm.is_data_present, $A119&lt;&gt;0,
        _xlpm.is_camera_present, COUNTIFS(Log!$C:$C, $A119, Log!$D:$D, J$4, Log!$A:$A, "Daily", Log!$B:$B, "n/a"),
        _xlpm.we_camera_on_date, IFERROR(AVERAGEIFS(Log!$F:$F, Log!$D:$D,J$4, Log!$C:$C, $A119, Log!$A:$A, "Daily", Log!$B:$B, "n/a"), 0),
        _xlpm.ie_camera_on_date, IFERROR(AVERAGEIFS(Log!$G:$G, Log!$D:$D,J$4,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19" s="68" t="str">
        <f>IFERROR(
    _xlfn.LET(
        _xlpm.is_data_present, $A119&lt;&gt;0,
        _xlpm.is_camera_present, COUNTIFS(Log!$C:$C, $A119, Log!$D:$D, K$4, Log!$A:$A, "Daily", Log!$B:$B, "n/a"),
        _xlpm.we_camera_on_date, IFERROR(AVERAGEIFS(Log!$F:$F, Log!$D:$D,K$4, Log!$C:$C, $A119, Log!$A:$A, "Daily", Log!$B:$B, "n/a"), 0),
        _xlpm.ie_camera_on_date, IFERROR(AVERAGEIFS(Log!$G:$G, Log!$D:$D,K$4,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19" s="68" t="str">
        <f>IFERROR(
    _xlfn.LET(
        _xlpm.is_data_present, $A119&lt;&gt;0,
        _xlpm.is_camera_present, COUNTIFS(Log!$C:$C, $A119, Log!$D:$D, L$4, Log!$A:$A, "Daily", Log!$B:$B, "n/a"),
        _xlpm.we_camera_on_date, IFERROR(AVERAGEIFS(Log!$F:$F, Log!$D:$D,L$4, Log!$C:$C, $A119, Log!$A:$A, "Daily", Log!$B:$B, "n/a"), 0),
        _xlpm.ie_camera_on_date, IFERROR(AVERAGEIFS(Log!$G:$G, Log!$D:$D,L$4,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19" s="68" t="str">
        <f>IFERROR(
    _xlfn.LET(
        _xlpm.is_data_present, $A119&lt;&gt;0,
        _xlpm.is_camera_present, COUNTIFS(Log!$C:$C, $A119, Log!$D:$D, M$4, Log!$A:$A, "Daily", Log!$B:$B, "n/a"),
        _xlpm.we_camera_on_date, IFERROR(AVERAGEIFS(Log!$F:$F, Log!$D:$D,M$4, Log!$C:$C, $A119, Log!$A:$A, "Daily", Log!$B:$B, "n/a"), 0),
        _xlpm.ie_camera_on_date, IFERROR(AVERAGEIFS(Log!$G:$G, Log!$D:$D,M$4,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19" s="68" t="str">
        <f>IFERROR(
    _xlfn.LET(
        _xlpm.is_data_present, $A119&lt;&gt;0,
        _xlpm.is_camera_present, COUNTIFS(Log!$C:$C, $A119, Log!$D:$D, N$4, Log!$A:$A, "Daily", Log!$B:$B, "n/a"),
        _xlpm.we_camera_on_date, IFERROR(AVERAGEIFS(Log!$F:$F, Log!$D:$D,N$4, Log!$C:$C, $A119, Log!$A:$A, "Daily", Log!$B:$B, "n/a"), 0),
        _xlpm.ie_camera_on_date, IFERROR(AVERAGEIFS(Log!$G:$G, Log!$D:$D,N$4,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19" s="68" t="str">
        <f>IFERROR(
    _xlfn.LET(
        _xlpm.is_data_present, $A119&lt;&gt;0,
        _xlpm.is_camera_present, COUNTIFS(Log!$C:$C, $A119, Log!$D:$D, O$4, Log!$A:$A, "Daily", Log!$B:$B, "n/a"),
        _xlpm.we_camera_on_date, IFERROR(AVERAGEIFS(Log!$F:$F, Log!$D:$D,O$4, Log!$C:$C, $A119, Log!$A:$A, "Daily", Log!$B:$B, "n/a"), 0),
        _xlpm.ie_camera_on_date, IFERROR(AVERAGEIFS(Log!$G:$G, Log!$D:$D,O$4,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19" s="68" t="str">
        <f>IFERROR(
    _xlfn.LET(
        _xlpm.is_data_present, $A119&lt;&gt;0,
        _xlpm.is_camera_present, COUNTIFS(Log!$C:$C, $A119, Log!$D:$D, P$4, Log!$A:$A, "Daily", Log!$B:$B, "n/a"),
        _xlpm.we_camera_on_date, IFERROR(AVERAGEIFS(Log!$F:$F, Log!$D:$D,P$4, Log!$C:$C, $A119, Log!$A:$A, "Daily", Log!$B:$B, "n/a"), 0),
        _xlpm.ie_camera_on_date, IFERROR(AVERAGEIFS(Log!$G:$G, Log!$D:$D,P$4,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19" s="68" t="str">
        <f>IFERROR(
    _xlfn.LET(
        _xlpm.is_data_present, $A119&lt;&gt;0,
        _xlpm.is_camera_present, COUNTIFS(Log!$C:$C, $A119, Log!$D:$D, Q$4, Log!$A:$A, "Daily", Log!$B:$B, "n/a"),
        _xlpm.we_camera_on_date, IFERROR(AVERAGEIFS(Log!$F:$F, Log!$D:$D,Q$4, Log!$C:$C, $A119, Log!$A:$A, "Daily", Log!$B:$B, "n/a"), 0),
        _xlpm.ie_camera_on_date, IFERROR(AVERAGEIFS(Log!$G:$G, Log!$D:$D,Q$4,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19" s="68" t="str">
        <f>IFERROR(
    _xlfn.LET(
        _xlpm.is_data_present, $A119&lt;&gt;0,
        _xlpm.is_camera_present, COUNTIFS(Log!$C:$C, $A119, Log!$D:$D, R$4, Log!$A:$A, "Daily", Log!$B:$B, "n/a"),
        _xlpm.we_camera_on_date, IFERROR(AVERAGEIFS(Log!$F:$F, Log!$D:$D,R$4, Log!$C:$C, $A119, Log!$A:$A, "Daily", Log!$B:$B, "n/a"), 0),
        _xlpm.ie_camera_on_date, IFERROR(AVERAGEIFS(Log!$G:$G, Log!$D:$D,R$4,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19" s="68" t="str">
        <f>IFERROR(
    _xlfn.LET(
        _xlpm.is_data_present, $A119&lt;&gt;0,
        _xlpm.is_camera_present, COUNTIFS(Log!$C:$C, $A119, Log!$D:$D, S$4, Log!$A:$A, "Daily", Log!$B:$B, "n/a"),
        _xlpm.we_camera_on_date, IFERROR(AVERAGEIFS(Log!$F:$F, Log!$D:$D,S$4, Log!$C:$C, $A119, Log!$A:$A, "Daily", Log!$B:$B, "n/a"), 0),
        _xlpm.ie_camera_on_date, IFERROR(AVERAGEIFS(Log!$G:$G, Log!$D:$D,S$4, Log!$C:$C, $A119, Log!$A:$A, "Daily", Log!$B:$B, "n/a"), 0),
        _xlpm.we_avg, IFERROR(AVERAGEIFS(Log!$F:$F,Log!$C:$C,$A119, Log!$A:$A, "Daily", Log!$B:$B, "n/a"),0),
        _xlpm.ie_avg, IFERROR(AVERAGEIFS(Log!$G:$G,Log!$C:$C,$A119,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0" spans="2:19" x14ac:dyDescent="0.3">
      <c r="B120" s="68" t="str">
        <f>IFERROR(
    _xlfn.LET(
        _xlpm.is_data_present, $A120&lt;&gt;0,
        _xlpm.is_camera_present, COUNTIFS(Log!$C:$C, $A120, Log!$D:$D, B$4, Log!$A:$A, "Daily", Log!$B:$B, "n/a"),
        _xlpm.we_camera_on_date, IFERROR(AVERAGEIFS(Log!$F:$F, Log!$D:$D,B$4, Log!$C:$C, $A120, Log!$A:$A, "Daily", Log!$B:$B, "n/a"), 0),
        _xlpm.ie_camera_on_date, IFERROR(AVERAGEIFS(Log!$G:$G, Log!$D:$D,B$4,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0" s="68" t="str">
        <f>IFERROR(
    _xlfn.LET(
        _xlpm.is_data_present, $A120&lt;&gt;0,
        _xlpm.is_camera_present, COUNTIFS(Log!$C:$C, $A120, Log!$D:$D, C$4, Log!$A:$A, "Daily", Log!$B:$B, "n/a"),
        _xlpm.we_camera_on_date, IFERROR(AVERAGEIFS(Log!$F:$F, Log!$D:$D,C$4, Log!$C:$C, $A120, Log!$A:$A, "Daily", Log!$B:$B, "n/a"), 0),
        _xlpm.ie_camera_on_date, IFERROR(AVERAGEIFS(Log!$G:$G, Log!$D:$D,C$4,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0" s="68" t="str">
        <f>IFERROR(
    _xlfn.LET(
        _xlpm.is_data_present, $A120&lt;&gt;0,
        _xlpm.is_camera_present, COUNTIFS(Log!$C:$C, $A120, Log!$D:$D, D$4, Log!$A:$A, "Daily", Log!$B:$B, "n/a"),
        _xlpm.we_camera_on_date, IFERROR(AVERAGEIFS(Log!$F:$F, Log!$D:$D,D$4, Log!$C:$C, $A120, Log!$A:$A, "Daily", Log!$B:$B, "n/a"), 0),
        _xlpm.ie_camera_on_date, IFERROR(AVERAGEIFS(Log!$G:$G, Log!$D:$D,D$4,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0" s="68" t="str">
        <f>IFERROR(
    _xlfn.LET(
        _xlpm.is_data_present, $A120&lt;&gt;0,
        _xlpm.is_camera_present, COUNTIFS(Log!$C:$C, $A120, Log!$D:$D, E$4, Log!$A:$A, "Daily", Log!$B:$B, "n/a"),
        _xlpm.we_camera_on_date, IFERROR(AVERAGEIFS(Log!$F:$F, Log!$D:$D,E$4, Log!$C:$C, $A120, Log!$A:$A, "Daily", Log!$B:$B, "n/a"), 0),
        _xlpm.ie_camera_on_date, IFERROR(AVERAGEIFS(Log!$G:$G, Log!$D:$D,E$4,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0" s="68" t="str">
        <f>IFERROR(
    _xlfn.LET(
        _xlpm.is_data_present, $A120&lt;&gt;0,
        _xlpm.is_camera_present, COUNTIFS(Log!$C:$C, $A120, Log!$D:$D, F$4, Log!$A:$A, "Daily", Log!$B:$B, "n/a"),
        _xlpm.we_camera_on_date, IFERROR(AVERAGEIFS(Log!$F:$F, Log!$D:$D,F$4, Log!$C:$C, $A120, Log!$A:$A, "Daily", Log!$B:$B, "n/a"), 0),
        _xlpm.ie_camera_on_date, IFERROR(AVERAGEIFS(Log!$G:$G, Log!$D:$D,F$4,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0" s="68" t="str">
        <f>IFERROR(
    _xlfn.LET(
        _xlpm.is_data_present, $A120&lt;&gt;0,
        _xlpm.is_camera_present, COUNTIFS(Log!$C:$C, $A120, Log!$D:$D, G$4, Log!$A:$A, "Daily", Log!$B:$B, "n/a"),
        _xlpm.we_camera_on_date, IFERROR(AVERAGEIFS(Log!$F:$F, Log!$D:$D,G$4, Log!$C:$C, $A120, Log!$A:$A, "Daily", Log!$B:$B, "n/a"), 0),
        _xlpm.ie_camera_on_date, IFERROR(AVERAGEIFS(Log!$G:$G, Log!$D:$D,G$4,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0" s="68" t="str">
        <f>IFERROR(
    _xlfn.LET(
        _xlpm.is_data_present, $A120&lt;&gt;0,
        _xlpm.is_camera_present, COUNTIFS(Log!$C:$C, $A120, Log!$D:$D, H$4, Log!$A:$A, "Daily", Log!$B:$B, "n/a"),
        _xlpm.we_camera_on_date, IFERROR(AVERAGEIFS(Log!$F:$F, Log!$D:$D,H$4, Log!$C:$C, $A120, Log!$A:$A, "Daily", Log!$B:$B, "n/a"), 0),
        _xlpm.ie_camera_on_date, IFERROR(AVERAGEIFS(Log!$G:$G, Log!$D:$D,H$4,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0" s="68" t="str">
        <f>IFERROR(
    _xlfn.LET(
        _xlpm.is_data_present, $A120&lt;&gt;0,
        _xlpm.is_camera_present, COUNTIFS(Log!$C:$C, $A120, Log!$D:$D, I$4, Log!$A:$A, "Daily", Log!$B:$B, "n/a"),
        _xlpm.we_camera_on_date, IFERROR(AVERAGEIFS(Log!$F:$F, Log!$D:$D,I$4, Log!$C:$C, $A120, Log!$A:$A, "Daily", Log!$B:$B, "n/a"), 0),
        _xlpm.ie_camera_on_date, IFERROR(AVERAGEIFS(Log!$G:$G, Log!$D:$D,I$4,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0" s="68" t="str">
        <f>IFERROR(
    _xlfn.LET(
        _xlpm.is_data_present, $A120&lt;&gt;0,
        _xlpm.is_camera_present, COUNTIFS(Log!$C:$C, $A120, Log!$D:$D, J$4, Log!$A:$A, "Daily", Log!$B:$B, "n/a"),
        _xlpm.we_camera_on_date, IFERROR(AVERAGEIFS(Log!$F:$F, Log!$D:$D,J$4, Log!$C:$C, $A120, Log!$A:$A, "Daily", Log!$B:$B, "n/a"), 0),
        _xlpm.ie_camera_on_date, IFERROR(AVERAGEIFS(Log!$G:$G, Log!$D:$D,J$4,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0" s="68" t="str">
        <f>IFERROR(
    _xlfn.LET(
        _xlpm.is_data_present, $A120&lt;&gt;0,
        _xlpm.is_camera_present, COUNTIFS(Log!$C:$C, $A120, Log!$D:$D, K$4, Log!$A:$A, "Daily", Log!$B:$B, "n/a"),
        _xlpm.we_camera_on_date, IFERROR(AVERAGEIFS(Log!$F:$F, Log!$D:$D,K$4, Log!$C:$C, $A120, Log!$A:$A, "Daily", Log!$B:$B, "n/a"), 0),
        _xlpm.ie_camera_on_date, IFERROR(AVERAGEIFS(Log!$G:$G, Log!$D:$D,K$4,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0" s="68" t="str">
        <f>IFERROR(
    _xlfn.LET(
        _xlpm.is_data_present, $A120&lt;&gt;0,
        _xlpm.is_camera_present, COUNTIFS(Log!$C:$C, $A120, Log!$D:$D, L$4, Log!$A:$A, "Daily", Log!$B:$B, "n/a"),
        _xlpm.we_camera_on_date, IFERROR(AVERAGEIFS(Log!$F:$F, Log!$D:$D,L$4, Log!$C:$C, $A120, Log!$A:$A, "Daily", Log!$B:$B, "n/a"), 0),
        _xlpm.ie_camera_on_date, IFERROR(AVERAGEIFS(Log!$G:$G, Log!$D:$D,L$4,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0" s="68" t="str">
        <f>IFERROR(
    _xlfn.LET(
        _xlpm.is_data_present, $A120&lt;&gt;0,
        _xlpm.is_camera_present, COUNTIFS(Log!$C:$C, $A120, Log!$D:$D, M$4, Log!$A:$A, "Daily", Log!$B:$B, "n/a"),
        _xlpm.we_camera_on_date, IFERROR(AVERAGEIFS(Log!$F:$F, Log!$D:$D,M$4, Log!$C:$C, $A120, Log!$A:$A, "Daily", Log!$B:$B, "n/a"), 0),
        _xlpm.ie_camera_on_date, IFERROR(AVERAGEIFS(Log!$G:$G, Log!$D:$D,M$4,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0" s="68" t="str">
        <f>IFERROR(
    _xlfn.LET(
        _xlpm.is_data_present, $A120&lt;&gt;0,
        _xlpm.is_camera_present, COUNTIFS(Log!$C:$C, $A120, Log!$D:$D, N$4, Log!$A:$A, "Daily", Log!$B:$B, "n/a"),
        _xlpm.we_camera_on_date, IFERROR(AVERAGEIFS(Log!$F:$F, Log!$D:$D,N$4, Log!$C:$C, $A120, Log!$A:$A, "Daily", Log!$B:$B, "n/a"), 0),
        _xlpm.ie_camera_on_date, IFERROR(AVERAGEIFS(Log!$G:$G, Log!$D:$D,N$4,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0" s="68" t="str">
        <f>IFERROR(
    _xlfn.LET(
        _xlpm.is_data_present, $A120&lt;&gt;0,
        _xlpm.is_camera_present, COUNTIFS(Log!$C:$C, $A120, Log!$D:$D, O$4, Log!$A:$A, "Daily", Log!$B:$B, "n/a"),
        _xlpm.we_camera_on_date, IFERROR(AVERAGEIFS(Log!$F:$F, Log!$D:$D,O$4, Log!$C:$C, $A120, Log!$A:$A, "Daily", Log!$B:$B, "n/a"), 0),
        _xlpm.ie_camera_on_date, IFERROR(AVERAGEIFS(Log!$G:$G, Log!$D:$D,O$4,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0" s="68" t="str">
        <f>IFERROR(
    _xlfn.LET(
        _xlpm.is_data_present, $A120&lt;&gt;0,
        _xlpm.is_camera_present, COUNTIFS(Log!$C:$C, $A120, Log!$D:$D, P$4, Log!$A:$A, "Daily", Log!$B:$B, "n/a"),
        _xlpm.we_camera_on_date, IFERROR(AVERAGEIFS(Log!$F:$F, Log!$D:$D,P$4, Log!$C:$C, $A120, Log!$A:$A, "Daily", Log!$B:$B, "n/a"), 0),
        _xlpm.ie_camera_on_date, IFERROR(AVERAGEIFS(Log!$G:$G, Log!$D:$D,P$4,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0" s="68" t="str">
        <f>IFERROR(
    _xlfn.LET(
        _xlpm.is_data_present, $A120&lt;&gt;0,
        _xlpm.is_camera_present, COUNTIFS(Log!$C:$C, $A120, Log!$D:$D, Q$4, Log!$A:$A, "Daily", Log!$B:$B, "n/a"),
        _xlpm.we_camera_on_date, IFERROR(AVERAGEIFS(Log!$F:$F, Log!$D:$D,Q$4, Log!$C:$C, $A120, Log!$A:$A, "Daily", Log!$B:$B, "n/a"), 0),
        _xlpm.ie_camera_on_date, IFERROR(AVERAGEIFS(Log!$G:$G, Log!$D:$D,Q$4,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0" s="68" t="str">
        <f>IFERROR(
    _xlfn.LET(
        _xlpm.is_data_present, $A120&lt;&gt;0,
        _xlpm.is_camera_present, COUNTIFS(Log!$C:$C, $A120, Log!$D:$D, R$4, Log!$A:$A, "Daily", Log!$B:$B, "n/a"),
        _xlpm.we_camera_on_date, IFERROR(AVERAGEIFS(Log!$F:$F, Log!$D:$D,R$4, Log!$C:$C, $A120, Log!$A:$A, "Daily", Log!$B:$B, "n/a"), 0),
        _xlpm.ie_camera_on_date, IFERROR(AVERAGEIFS(Log!$G:$G, Log!$D:$D,R$4,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0" s="68" t="str">
        <f>IFERROR(
    _xlfn.LET(
        _xlpm.is_data_present, $A120&lt;&gt;0,
        _xlpm.is_camera_present, COUNTIFS(Log!$C:$C, $A120, Log!$D:$D, S$4, Log!$A:$A, "Daily", Log!$B:$B, "n/a"),
        _xlpm.we_camera_on_date, IFERROR(AVERAGEIFS(Log!$F:$F, Log!$D:$D,S$4, Log!$C:$C, $A120, Log!$A:$A, "Daily", Log!$B:$B, "n/a"), 0),
        _xlpm.ie_camera_on_date, IFERROR(AVERAGEIFS(Log!$G:$G, Log!$D:$D,S$4, Log!$C:$C, $A120, Log!$A:$A, "Daily", Log!$B:$B, "n/a"), 0),
        _xlpm.we_avg, IFERROR(AVERAGEIFS(Log!$F:$F,Log!$C:$C,$A120, Log!$A:$A, "Daily", Log!$B:$B, "n/a"),0),
        _xlpm.ie_avg, IFERROR(AVERAGEIFS(Log!$G:$G,Log!$C:$C,$A120,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1" spans="2:19" x14ac:dyDescent="0.3">
      <c r="B121" s="68" t="str">
        <f>IFERROR(
    _xlfn.LET(
        _xlpm.is_data_present, $A121&lt;&gt;0,
        _xlpm.is_camera_present, COUNTIFS(Log!$C:$C, $A121, Log!$D:$D, B$4, Log!$A:$A, "Daily", Log!$B:$B, "n/a"),
        _xlpm.we_camera_on_date, IFERROR(AVERAGEIFS(Log!$F:$F, Log!$D:$D,B$4, Log!$C:$C, $A121, Log!$A:$A, "Daily", Log!$B:$B, "n/a"), 0),
        _xlpm.ie_camera_on_date, IFERROR(AVERAGEIFS(Log!$G:$G, Log!$D:$D,B$4,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1" s="68" t="str">
        <f>IFERROR(
    _xlfn.LET(
        _xlpm.is_data_present, $A121&lt;&gt;0,
        _xlpm.is_camera_present, COUNTIFS(Log!$C:$C, $A121, Log!$D:$D, C$4, Log!$A:$A, "Daily", Log!$B:$B, "n/a"),
        _xlpm.we_camera_on_date, IFERROR(AVERAGEIFS(Log!$F:$F, Log!$D:$D,C$4, Log!$C:$C, $A121, Log!$A:$A, "Daily", Log!$B:$B, "n/a"), 0),
        _xlpm.ie_camera_on_date, IFERROR(AVERAGEIFS(Log!$G:$G, Log!$D:$D,C$4,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1" s="68" t="str">
        <f>IFERROR(
    _xlfn.LET(
        _xlpm.is_data_present, $A121&lt;&gt;0,
        _xlpm.is_camera_present, COUNTIFS(Log!$C:$C, $A121, Log!$D:$D, D$4, Log!$A:$A, "Daily", Log!$B:$B, "n/a"),
        _xlpm.we_camera_on_date, IFERROR(AVERAGEIFS(Log!$F:$F, Log!$D:$D,D$4, Log!$C:$C, $A121, Log!$A:$A, "Daily", Log!$B:$B, "n/a"), 0),
        _xlpm.ie_camera_on_date, IFERROR(AVERAGEIFS(Log!$G:$G, Log!$D:$D,D$4,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1" s="68" t="str">
        <f>IFERROR(
    _xlfn.LET(
        _xlpm.is_data_present, $A121&lt;&gt;0,
        _xlpm.is_camera_present, COUNTIFS(Log!$C:$C, $A121, Log!$D:$D, E$4, Log!$A:$A, "Daily", Log!$B:$B, "n/a"),
        _xlpm.we_camera_on_date, IFERROR(AVERAGEIFS(Log!$F:$F, Log!$D:$D,E$4, Log!$C:$C, $A121, Log!$A:$A, "Daily", Log!$B:$B, "n/a"), 0),
        _xlpm.ie_camera_on_date, IFERROR(AVERAGEIFS(Log!$G:$G, Log!$D:$D,E$4,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1" s="68" t="str">
        <f>IFERROR(
    _xlfn.LET(
        _xlpm.is_data_present, $A121&lt;&gt;0,
        _xlpm.is_camera_present, COUNTIFS(Log!$C:$C, $A121, Log!$D:$D, F$4, Log!$A:$A, "Daily", Log!$B:$B, "n/a"),
        _xlpm.we_camera_on_date, IFERROR(AVERAGEIFS(Log!$F:$F, Log!$D:$D,F$4, Log!$C:$C, $A121, Log!$A:$A, "Daily", Log!$B:$B, "n/a"), 0),
        _xlpm.ie_camera_on_date, IFERROR(AVERAGEIFS(Log!$G:$G, Log!$D:$D,F$4,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1" s="68" t="str">
        <f>IFERROR(
    _xlfn.LET(
        _xlpm.is_data_present, $A121&lt;&gt;0,
        _xlpm.is_camera_present, COUNTIFS(Log!$C:$C, $A121, Log!$D:$D, G$4, Log!$A:$A, "Daily", Log!$B:$B, "n/a"),
        _xlpm.we_camera_on_date, IFERROR(AVERAGEIFS(Log!$F:$F, Log!$D:$D,G$4, Log!$C:$C, $A121, Log!$A:$A, "Daily", Log!$B:$B, "n/a"), 0),
        _xlpm.ie_camera_on_date, IFERROR(AVERAGEIFS(Log!$G:$G, Log!$D:$D,G$4,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1" s="68" t="str">
        <f>IFERROR(
    _xlfn.LET(
        _xlpm.is_data_present, $A121&lt;&gt;0,
        _xlpm.is_camera_present, COUNTIFS(Log!$C:$C, $A121, Log!$D:$D, H$4, Log!$A:$A, "Daily", Log!$B:$B, "n/a"),
        _xlpm.we_camera_on_date, IFERROR(AVERAGEIFS(Log!$F:$F, Log!$D:$D,H$4, Log!$C:$C, $A121, Log!$A:$A, "Daily", Log!$B:$B, "n/a"), 0),
        _xlpm.ie_camera_on_date, IFERROR(AVERAGEIFS(Log!$G:$G, Log!$D:$D,H$4,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1" s="68" t="str">
        <f>IFERROR(
    _xlfn.LET(
        _xlpm.is_data_present, $A121&lt;&gt;0,
        _xlpm.is_camera_present, COUNTIFS(Log!$C:$C, $A121, Log!$D:$D, I$4, Log!$A:$A, "Daily", Log!$B:$B, "n/a"),
        _xlpm.we_camera_on_date, IFERROR(AVERAGEIFS(Log!$F:$F, Log!$D:$D,I$4, Log!$C:$C, $A121, Log!$A:$A, "Daily", Log!$B:$B, "n/a"), 0),
        _xlpm.ie_camera_on_date, IFERROR(AVERAGEIFS(Log!$G:$G, Log!$D:$D,I$4,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1" s="68" t="str">
        <f>IFERROR(
    _xlfn.LET(
        _xlpm.is_data_present, $A121&lt;&gt;0,
        _xlpm.is_camera_present, COUNTIFS(Log!$C:$C, $A121, Log!$D:$D, J$4, Log!$A:$A, "Daily", Log!$B:$B, "n/a"),
        _xlpm.we_camera_on_date, IFERROR(AVERAGEIFS(Log!$F:$F, Log!$D:$D,J$4, Log!$C:$C, $A121, Log!$A:$A, "Daily", Log!$B:$B, "n/a"), 0),
        _xlpm.ie_camera_on_date, IFERROR(AVERAGEIFS(Log!$G:$G, Log!$D:$D,J$4,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1" s="68" t="str">
        <f>IFERROR(
    _xlfn.LET(
        _xlpm.is_data_present, $A121&lt;&gt;0,
        _xlpm.is_camera_present, COUNTIFS(Log!$C:$C, $A121, Log!$D:$D, K$4, Log!$A:$A, "Daily", Log!$B:$B, "n/a"),
        _xlpm.we_camera_on_date, IFERROR(AVERAGEIFS(Log!$F:$F, Log!$D:$D,K$4, Log!$C:$C, $A121, Log!$A:$A, "Daily", Log!$B:$B, "n/a"), 0),
        _xlpm.ie_camera_on_date, IFERROR(AVERAGEIFS(Log!$G:$G, Log!$D:$D,K$4,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1" s="68" t="str">
        <f>IFERROR(
    _xlfn.LET(
        _xlpm.is_data_present, $A121&lt;&gt;0,
        _xlpm.is_camera_present, COUNTIFS(Log!$C:$C, $A121, Log!$D:$D, L$4, Log!$A:$A, "Daily", Log!$B:$B, "n/a"),
        _xlpm.we_camera_on_date, IFERROR(AVERAGEIFS(Log!$F:$F, Log!$D:$D,L$4, Log!$C:$C, $A121, Log!$A:$A, "Daily", Log!$B:$B, "n/a"), 0),
        _xlpm.ie_camera_on_date, IFERROR(AVERAGEIFS(Log!$G:$G, Log!$D:$D,L$4,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1" s="68" t="str">
        <f>IFERROR(
    _xlfn.LET(
        _xlpm.is_data_present, $A121&lt;&gt;0,
        _xlpm.is_camera_present, COUNTIFS(Log!$C:$C, $A121, Log!$D:$D, M$4, Log!$A:$A, "Daily", Log!$B:$B, "n/a"),
        _xlpm.we_camera_on_date, IFERROR(AVERAGEIFS(Log!$F:$F, Log!$D:$D,M$4, Log!$C:$C, $A121, Log!$A:$A, "Daily", Log!$B:$B, "n/a"), 0),
        _xlpm.ie_camera_on_date, IFERROR(AVERAGEIFS(Log!$G:$G, Log!$D:$D,M$4,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1" s="68" t="str">
        <f>IFERROR(
    _xlfn.LET(
        _xlpm.is_data_present, $A121&lt;&gt;0,
        _xlpm.is_camera_present, COUNTIFS(Log!$C:$C, $A121, Log!$D:$D, N$4, Log!$A:$A, "Daily", Log!$B:$B, "n/a"),
        _xlpm.we_camera_on_date, IFERROR(AVERAGEIFS(Log!$F:$F, Log!$D:$D,N$4, Log!$C:$C, $A121, Log!$A:$A, "Daily", Log!$B:$B, "n/a"), 0),
        _xlpm.ie_camera_on_date, IFERROR(AVERAGEIFS(Log!$G:$G, Log!$D:$D,N$4,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1" s="68" t="str">
        <f>IFERROR(
    _xlfn.LET(
        _xlpm.is_data_present, $A121&lt;&gt;0,
        _xlpm.is_camera_present, COUNTIFS(Log!$C:$C, $A121, Log!$D:$D, O$4, Log!$A:$A, "Daily", Log!$B:$B, "n/a"),
        _xlpm.we_camera_on_date, IFERROR(AVERAGEIFS(Log!$F:$F, Log!$D:$D,O$4, Log!$C:$C, $A121, Log!$A:$A, "Daily", Log!$B:$B, "n/a"), 0),
        _xlpm.ie_camera_on_date, IFERROR(AVERAGEIFS(Log!$G:$G, Log!$D:$D,O$4,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1" s="68" t="str">
        <f>IFERROR(
    _xlfn.LET(
        _xlpm.is_data_present, $A121&lt;&gt;0,
        _xlpm.is_camera_present, COUNTIFS(Log!$C:$C, $A121, Log!$D:$D, P$4, Log!$A:$A, "Daily", Log!$B:$B, "n/a"),
        _xlpm.we_camera_on_date, IFERROR(AVERAGEIFS(Log!$F:$F, Log!$D:$D,P$4, Log!$C:$C, $A121, Log!$A:$A, "Daily", Log!$B:$B, "n/a"), 0),
        _xlpm.ie_camera_on_date, IFERROR(AVERAGEIFS(Log!$G:$G, Log!$D:$D,P$4,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1" s="68" t="str">
        <f>IFERROR(
    _xlfn.LET(
        _xlpm.is_data_present, $A121&lt;&gt;0,
        _xlpm.is_camera_present, COUNTIFS(Log!$C:$C, $A121, Log!$D:$D, Q$4, Log!$A:$A, "Daily", Log!$B:$B, "n/a"),
        _xlpm.we_camera_on_date, IFERROR(AVERAGEIFS(Log!$F:$F, Log!$D:$D,Q$4, Log!$C:$C, $A121, Log!$A:$A, "Daily", Log!$B:$B, "n/a"), 0),
        _xlpm.ie_camera_on_date, IFERROR(AVERAGEIFS(Log!$G:$G, Log!$D:$D,Q$4,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1" s="68" t="str">
        <f>IFERROR(
    _xlfn.LET(
        _xlpm.is_data_present, $A121&lt;&gt;0,
        _xlpm.is_camera_present, COUNTIFS(Log!$C:$C, $A121, Log!$D:$D, R$4, Log!$A:$A, "Daily", Log!$B:$B, "n/a"),
        _xlpm.we_camera_on_date, IFERROR(AVERAGEIFS(Log!$F:$F, Log!$D:$D,R$4, Log!$C:$C, $A121, Log!$A:$A, "Daily", Log!$B:$B, "n/a"), 0),
        _xlpm.ie_camera_on_date, IFERROR(AVERAGEIFS(Log!$G:$G, Log!$D:$D,R$4,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1" s="68" t="str">
        <f>IFERROR(
    _xlfn.LET(
        _xlpm.is_data_present, $A121&lt;&gt;0,
        _xlpm.is_camera_present, COUNTIFS(Log!$C:$C, $A121, Log!$D:$D, S$4, Log!$A:$A, "Daily", Log!$B:$B, "n/a"),
        _xlpm.we_camera_on_date, IFERROR(AVERAGEIFS(Log!$F:$F, Log!$D:$D,S$4, Log!$C:$C, $A121, Log!$A:$A, "Daily", Log!$B:$B, "n/a"), 0),
        _xlpm.ie_camera_on_date, IFERROR(AVERAGEIFS(Log!$G:$G, Log!$D:$D,S$4, Log!$C:$C, $A121, Log!$A:$A, "Daily", Log!$B:$B, "n/a"), 0),
        _xlpm.we_avg, IFERROR(AVERAGEIFS(Log!$F:$F,Log!$C:$C,$A121, Log!$A:$A, "Daily", Log!$B:$B, "n/a"),0),
        _xlpm.ie_avg, IFERROR(AVERAGEIFS(Log!$G:$G,Log!$C:$C,$A121,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2" spans="2:19" x14ac:dyDescent="0.3">
      <c r="B122" s="68" t="str">
        <f>IFERROR(
    _xlfn.LET(
        _xlpm.is_data_present, $A122&lt;&gt;0,
        _xlpm.is_camera_present, COUNTIFS(Log!$C:$C, $A122, Log!$D:$D, B$4, Log!$A:$A, "Daily", Log!$B:$B, "n/a"),
        _xlpm.we_camera_on_date, IFERROR(AVERAGEIFS(Log!$F:$F, Log!$D:$D,B$4, Log!$C:$C, $A122, Log!$A:$A, "Daily", Log!$B:$B, "n/a"), 0),
        _xlpm.ie_camera_on_date, IFERROR(AVERAGEIFS(Log!$G:$G, Log!$D:$D,B$4,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2" s="68" t="str">
        <f>IFERROR(
    _xlfn.LET(
        _xlpm.is_data_present, $A122&lt;&gt;0,
        _xlpm.is_camera_present, COUNTIFS(Log!$C:$C, $A122, Log!$D:$D, C$4, Log!$A:$A, "Daily", Log!$B:$B, "n/a"),
        _xlpm.we_camera_on_date, IFERROR(AVERAGEIFS(Log!$F:$F, Log!$D:$D,C$4, Log!$C:$C, $A122, Log!$A:$A, "Daily", Log!$B:$B, "n/a"), 0),
        _xlpm.ie_camera_on_date, IFERROR(AVERAGEIFS(Log!$G:$G, Log!$D:$D,C$4,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2" s="68" t="str">
        <f>IFERROR(
    _xlfn.LET(
        _xlpm.is_data_present, $A122&lt;&gt;0,
        _xlpm.is_camera_present, COUNTIFS(Log!$C:$C, $A122, Log!$D:$D, D$4, Log!$A:$A, "Daily", Log!$B:$B, "n/a"),
        _xlpm.we_camera_on_date, IFERROR(AVERAGEIFS(Log!$F:$F, Log!$D:$D,D$4, Log!$C:$C, $A122, Log!$A:$A, "Daily", Log!$B:$B, "n/a"), 0),
        _xlpm.ie_camera_on_date, IFERROR(AVERAGEIFS(Log!$G:$G, Log!$D:$D,D$4,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2" s="68" t="str">
        <f>IFERROR(
    _xlfn.LET(
        _xlpm.is_data_present, $A122&lt;&gt;0,
        _xlpm.is_camera_present, COUNTIFS(Log!$C:$C, $A122, Log!$D:$D, E$4, Log!$A:$A, "Daily", Log!$B:$B, "n/a"),
        _xlpm.we_camera_on_date, IFERROR(AVERAGEIFS(Log!$F:$F, Log!$D:$D,E$4, Log!$C:$C, $A122, Log!$A:$A, "Daily", Log!$B:$B, "n/a"), 0),
        _xlpm.ie_camera_on_date, IFERROR(AVERAGEIFS(Log!$G:$G, Log!$D:$D,E$4,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2" s="68" t="str">
        <f>IFERROR(
    _xlfn.LET(
        _xlpm.is_data_present, $A122&lt;&gt;0,
        _xlpm.is_camera_present, COUNTIFS(Log!$C:$C, $A122, Log!$D:$D, F$4, Log!$A:$A, "Daily", Log!$B:$B, "n/a"),
        _xlpm.we_camera_on_date, IFERROR(AVERAGEIFS(Log!$F:$F, Log!$D:$D,F$4, Log!$C:$C, $A122, Log!$A:$A, "Daily", Log!$B:$B, "n/a"), 0),
        _xlpm.ie_camera_on_date, IFERROR(AVERAGEIFS(Log!$G:$G, Log!$D:$D,F$4,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2" s="68" t="str">
        <f>IFERROR(
    _xlfn.LET(
        _xlpm.is_data_present, $A122&lt;&gt;0,
        _xlpm.is_camera_present, COUNTIFS(Log!$C:$C, $A122, Log!$D:$D, G$4, Log!$A:$A, "Daily", Log!$B:$B, "n/a"),
        _xlpm.we_camera_on_date, IFERROR(AVERAGEIFS(Log!$F:$F, Log!$D:$D,G$4, Log!$C:$C, $A122, Log!$A:$A, "Daily", Log!$B:$B, "n/a"), 0),
        _xlpm.ie_camera_on_date, IFERROR(AVERAGEIFS(Log!$G:$G, Log!$D:$D,G$4,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2" s="68" t="str">
        <f>IFERROR(
    _xlfn.LET(
        _xlpm.is_data_present, $A122&lt;&gt;0,
        _xlpm.is_camera_present, COUNTIFS(Log!$C:$C, $A122, Log!$D:$D, H$4, Log!$A:$A, "Daily", Log!$B:$B, "n/a"),
        _xlpm.we_camera_on_date, IFERROR(AVERAGEIFS(Log!$F:$F, Log!$D:$D,H$4, Log!$C:$C, $A122, Log!$A:$A, "Daily", Log!$B:$B, "n/a"), 0),
        _xlpm.ie_camera_on_date, IFERROR(AVERAGEIFS(Log!$G:$G, Log!$D:$D,H$4,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2" s="68" t="str">
        <f>IFERROR(
    _xlfn.LET(
        _xlpm.is_data_present, $A122&lt;&gt;0,
        _xlpm.is_camera_present, COUNTIFS(Log!$C:$C, $A122, Log!$D:$D, I$4, Log!$A:$A, "Daily", Log!$B:$B, "n/a"),
        _xlpm.we_camera_on_date, IFERROR(AVERAGEIFS(Log!$F:$F, Log!$D:$D,I$4, Log!$C:$C, $A122, Log!$A:$A, "Daily", Log!$B:$B, "n/a"), 0),
        _xlpm.ie_camera_on_date, IFERROR(AVERAGEIFS(Log!$G:$G, Log!$D:$D,I$4,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2" s="68" t="str">
        <f>IFERROR(
    _xlfn.LET(
        _xlpm.is_data_present, $A122&lt;&gt;0,
        _xlpm.is_camera_present, COUNTIFS(Log!$C:$C, $A122, Log!$D:$D, J$4, Log!$A:$A, "Daily", Log!$B:$B, "n/a"),
        _xlpm.we_camera_on_date, IFERROR(AVERAGEIFS(Log!$F:$F, Log!$D:$D,J$4, Log!$C:$C, $A122, Log!$A:$A, "Daily", Log!$B:$B, "n/a"), 0),
        _xlpm.ie_camera_on_date, IFERROR(AVERAGEIFS(Log!$G:$G, Log!$D:$D,J$4,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2" s="68" t="str">
        <f>IFERROR(
    _xlfn.LET(
        _xlpm.is_data_present, $A122&lt;&gt;0,
        _xlpm.is_camera_present, COUNTIFS(Log!$C:$C, $A122, Log!$D:$D, K$4, Log!$A:$A, "Daily", Log!$B:$B, "n/a"),
        _xlpm.we_camera_on_date, IFERROR(AVERAGEIFS(Log!$F:$F, Log!$D:$D,K$4, Log!$C:$C, $A122, Log!$A:$A, "Daily", Log!$B:$B, "n/a"), 0),
        _xlpm.ie_camera_on_date, IFERROR(AVERAGEIFS(Log!$G:$G, Log!$D:$D,K$4,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2" s="68" t="str">
        <f>IFERROR(
    _xlfn.LET(
        _xlpm.is_data_present, $A122&lt;&gt;0,
        _xlpm.is_camera_present, COUNTIFS(Log!$C:$C, $A122, Log!$D:$D, L$4, Log!$A:$A, "Daily", Log!$B:$B, "n/a"),
        _xlpm.we_camera_on_date, IFERROR(AVERAGEIFS(Log!$F:$F, Log!$D:$D,L$4, Log!$C:$C, $A122, Log!$A:$A, "Daily", Log!$B:$B, "n/a"), 0),
        _xlpm.ie_camera_on_date, IFERROR(AVERAGEIFS(Log!$G:$G, Log!$D:$D,L$4,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2" s="68" t="str">
        <f>IFERROR(
    _xlfn.LET(
        _xlpm.is_data_present, $A122&lt;&gt;0,
        _xlpm.is_camera_present, COUNTIFS(Log!$C:$C, $A122, Log!$D:$D, M$4, Log!$A:$A, "Daily", Log!$B:$B, "n/a"),
        _xlpm.we_camera_on_date, IFERROR(AVERAGEIFS(Log!$F:$F, Log!$D:$D,M$4, Log!$C:$C, $A122, Log!$A:$A, "Daily", Log!$B:$B, "n/a"), 0),
        _xlpm.ie_camera_on_date, IFERROR(AVERAGEIFS(Log!$G:$G, Log!$D:$D,M$4,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2" s="68" t="str">
        <f>IFERROR(
    _xlfn.LET(
        _xlpm.is_data_present, $A122&lt;&gt;0,
        _xlpm.is_camera_present, COUNTIFS(Log!$C:$C, $A122, Log!$D:$D, N$4, Log!$A:$A, "Daily", Log!$B:$B, "n/a"),
        _xlpm.we_camera_on_date, IFERROR(AVERAGEIFS(Log!$F:$F, Log!$D:$D,N$4, Log!$C:$C, $A122, Log!$A:$A, "Daily", Log!$B:$B, "n/a"), 0),
        _xlpm.ie_camera_on_date, IFERROR(AVERAGEIFS(Log!$G:$G, Log!$D:$D,N$4,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2" s="68" t="str">
        <f>IFERROR(
    _xlfn.LET(
        _xlpm.is_data_present, $A122&lt;&gt;0,
        _xlpm.is_camera_present, COUNTIFS(Log!$C:$C, $A122, Log!$D:$D, O$4, Log!$A:$A, "Daily", Log!$B:$B, "n/a"),
        _xlpm.we_camera_on_date, IFERROR(AVERAGEIFS(Log!$F:$F, Log!$D:$D,O$4, Log!$C:$C, $A122, Log!$A:$A, "Daily", Log!$B:$B, "n/a"), 0),
        _xlpm.ie_camera_on_date, IFERROR(AVERAGEIFS(Log!$G:$G, Log!$D:$D,O$4,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2" s="68" t="str">
        <f>IFERROR(
    _xlfn.LET(
        _xlpm.is_data_present, $A122&lt;&gt;0,
        _xlpm.is_camera_present, COUNTIFS(Log!$C:$C, $A122, Log!$D:$D, P$4, Log!$A:$A, "Daily", Log!$B:$B, "n/a"),
        _xlpm.we_camera_on_date, IFERROR(AVERAGEIFS(Log!$F:$F, Log!$D:$D,P$4, Log!$C:$C, $A122, Log!$A:$A, "Daily", Log!$B:$B, "n/a"), 0),
        _xlpm.ie_camera_on_date, IFERROR(AVERAGEIFS(Log!$G:$G, Log!$D:$D,P$4,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2" s="68" t="str">
        <f>IFERROR(
    _xlfn.LET(
        _xlpm.is_data_present, $A122&lt;&gt;0,
        _xlpm.is_camera_present, COUNTIFS(Log!$C:$C, $A122, Log!$D:$D, Q$4, Log!$A:$A, "Daily", Log!$B:$B, "n/a"),
        _xlpm.we_camera_on_date, IFERROR(AVERAGEIFS(Log!$F:$F, Log!$D:$D,Q$4, Log!$C:$C, $A122, Log!$A:$A, "Daily", Log!$B:$B, "n/a"), 0),
        _xlpm.ie_camera_on_date, IFERROR(AVERAGEIFS(Log!$G:$G, Log!$D:$D,Q$4,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2" s="68" t="str">
        <f>IFERROR(
    _xlfn.LET(
        _xlpm.is_data_present, $A122&lt;&gt;0,
        _xlpm.is_camera_present, COUNTIFS(Log!$C:$C, $A122, Log!$D:$D, R$4, Log!$A:$A, "Daily", Log!$B:$B, "n/a"),
        _xlpm.we_camera_on_date, IFERROR(AVERAGEIFS(Log!$F:$F, Log!$D:$D,R$4, Log!$C:$C, $A122, Log!$A:$A, "Daily", Log!$B:$B, "n/a"), 0),
        _xlpm.ie_camera_on_date, IFERROR(AVERAGEIFS(Log!$G:$G, Log!$D:$D,R$4,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2" s="68" t="str">
        <f>IFERROR(
    _xlfn.LET(
        _xlpm.is_data_present, $A122&lt;&gt;0,
        _xlpm.is_camera_present, COUNTIFS(Log!$C:$C, $A122, Log!$D:$D, S$4, Log!$A:$A, "Daily", Log!$B:$B, "n/a"),
        _xlpm.we_camera_on_date, IFERROR(AVERAGEIFS(Log!$F:$F, Log!$D:$D,S$4, Log!$C:$C, $A122, Log!$A:$A, "Daily", Log!$B:$B, "n/a"), 0),
        _xlpm.ie_camera_on_date, IFERROR(AVERAGEIFS(Log!$G:$G, Log!$D:$D,S$4, Log!$C:$C, $A122, Log!$A:$A, "Daily", Log!$B:$B, "n/a"), 0),
        _xlpm.we_avg, IFERROR(AVERAGEIFS(Log!$F:$F,Log!$C:$C,$A122, Log!$A:$A, "Daily", Log!$B:$B, "n/a"),0),
        _xlpm.ie_avg, IFERROR(AVERAGEIFS(Log!$G:$G,Log!$C:$C,$A122,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3" spans="2:19" x14ac:dyDescent="0.3">
      <c r="B123" s="68" t="str">
        <f>IFERROR(
    _xlfn.LET(
        _xlpm.is_data_present, $A123&lt;&gt;0,
        _xlpm.is_camera_present, COUNTIFS(Log!$C:$C, $A123, Log!$D:$D, B$4, Log!$A:$A, "Daily", Log!$B:$B, "n/a"),
        _xlpm.we_camera_on_date, IFERROR(AVERAGEIFS(Log!$F:$F, Log!$D:$D,B$4, Log!$C:$C, $A123, Log!$A:$A, "Daily", Log!$B:$B, "n/a"), 0),
        _xlpm.ie_camera_on_date, IFERROR(AVERAGEIFS(Log!$G:$G, Log!$D:$D,B$4,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3" s="68" t="str">
        <f>IFERROR(
    _xlfn.LET(
        _xlpm.is_data_present, $A123&lt;&gt;0,
        _xlpm.is_camera_present, COUNTIFS(Log!$C:$C, $A123, Log!$D:$D, C$4, Log!$A:$A, "Daily", Log!$B:$B, "n/a"),
        _xlpm.we_camera_on_date, IFERROR(AVERAGEIFS(Log!$F:$F, Log!$D:$D,C$4, Log!$C:$C, $A123, Log!$A:$A, "Daily", Log!$B:$B, "n/a"), 0),
        _xlpm.ie_camera_on_date, IFERROR(AVERAGEIFS(Log!$G:$G, Log!$D:$D,C$4,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3" s="68" t="str">
        <f>IFERROR(
    _xlfn.LET(
        _xlpm.is_data_present, $A123&lt;&gt;0,
        _xlpm.is_camera_present, COUNTIFS(Log!$C:$C, $A123, Log!$D:$D, D$4, Log!$A:$A, "Daily", Log!$B:$B, "n/a"),
        _xlpm.we_camera_on_date, IFERROR(AVERAGEIFS(Log!$F:$F, Log!$D:$D,D$4, Log!$C:$C, $A123, Log!$A:$A, "Daily", Log!$B:$B, "n/a"), 0),
        _xlpm.ie_camera_on_date, IFERROR(AVERAGEIFS(Log!$G:$G, Log!$D:$D,D$4,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3" s="68" t="str">
        <f>IFERROR(
    _xlfn.LET(
        _xlpm.is_data_present, $A123&lt;&gt;0,
        _xlpm.is_camera_present, COUNTIFS(Log!$C:$C, $A123, Log!$D:$D, E$4, Log!$A:$A, "Daily", Log!$B:$B, "n/a"),
        _xlpm.we_camera_on_date, IFERROR(AVERAGEIFS(Log!$F:$F, Log!$D:$D,E$4, Log!$C:$C, $A123, Log!$A:$A, "Daily", Log!$B:$B, "n/a"), 0),
        _xlpm.ie_camera_on_date, IFERROR(AVERAGEIFS(Log!$G:$G, Log!$D:$D,E$4,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3" s="68" t="str">
        <f>IFERROR(
    _xlfn.LET(
        _xlpm.is_data_present, $A123&lt;&gt;0,
        _xlpm.is_camera_present, COUNTIFS(Log!$C:$C, $A123, Log!$D:$D, F$4, Log!$A:$A, "Daily", Log!$B:$B, "n/a"),
        _xlpm.we_camera_on_date, IFERROR(AVERAGEIFS(Log!$F:$F, Log!$D:$D,F$4, Log!$C:$C, $A123, Log!$A:$A, "Daily", Log!$B:$B, "n/a"), 0),
        _xlpm.ie_camera_on_date, IFERROR(AVERAGEIFS(Log!$G:$G, Log!$D:$D,F$4,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3" s="68" t="str">
        <f>IFERROR(
    _xlfn.LET(
        _xlpm.is_data_present, $A123&lt;&gt;0,
        _xlpm.is_camera_present, COUNTIFS(Log!$C:$C, $A123, Log!$D:$D, G$4, Log!$A:$A, "Daily", Log!$B:$B, "n/a"),
        _xlpm.we_camera_on_date, IFERROR(AVERAGEIFS(Log!$F:$F, Log!$D:$D,G$4, Log!$C:$C, $A123, Log!$A:$A, "Daily", Log!$B:$B, "n/a"), 0),
        _xlpm.ie_camera_on_date, IFERROR(AVERAGEIFS(Log!$G:$G, Log!$D:$D,G$4,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3" s="68" t="str">
        <f>IFERROR(
    _xlfn.LET(
        _xlpm.is_data_present, $A123&lt;&gt;0,
        _xlpm.is_camera_present, COUNTIFS(Log!$C:$C, $A123, Log!$D:$D, H$4, Log!$A:$A, "Daily", Log!$B:$B, "n/a"),
        _xlpm.we_camera_on_date, IFERROR(AVERAGEIFS(Log!$F:$F, Log!$D:$D,H$4, Log!$C:$C, $A123, Log!$A:$A, "Daily", Log!$B:$B, "n/a"), 0),
        _xlpm.ie_camera_on_date, IFERROR(AVERAGEIFS(Log!$G:$G, Log!$D:$D,H$4,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3" s="68" t="str">
        <f>IFERROR(
    _xlfn.LET(
        _xlpm.is_data_present, $A123&lt;&gt;0,
        _xlpm.is_camera_present, COUNTIFS(Log!$C:$C, $A123, Log!$D:$D, I$4, Log!$A:$A, "Daily", Log!$B:$B, "n/a"),
        _xlpm.we_camera_on_date, IFERROR(AVERAGEIFS(Log!$F:$F, Log!$D:$D,I$4, Log!$C:$C, $A123, Log!$A:$A, "Daily", Log!$B:$B, "n/a"), 0),
        _xlpm.ie_camera_on_date, IFERROR(AVERAGEIFS(Log!$G:$G, Log!$D:$D,I$4,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3" s="68" t="str">
        <f>IFERROR(
    _xlfn.LET(
        _xlpm.is_data_present, $A123&lt;&gt;0,
        _xlpm.is_camera_present, COUNTIFS(Log!$C:$C, $A123, Log!$D:$D, J$4, Log!$A:$A, "Daily", Log!$B:$B, "n/a"),
        _xlpm.we_camera_on_date, IFERROR(AVERAGEIFS(Log!$F:$F, Log!$D:$D,J$4, Log!$C:$C, $A123, Log!$A:$A, "Daily", Log!$B:$B, "n/a"), 0),
        _xlpm.ie_camera_on_date, IFERROR(AVERAGEIFS(Log!$G:$G, Log!$D:$D,J$4,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3" s="68" t="str">
        <f>IFERROR(
    _xlfn.LET(
        _xlpm.is_data_present, $A123&lt;&gt;0,
        _xlpm.is_camera_present, COUNTIFS(Log!$C:$C, $A123, Log!$D:$D, K$4, Log!$A:$A, "Daily", Log!$B:$B, "n/a"),
        _xlpm.we_camera_on_date, IFERROR(AVERAGEIFS(Log!$F:$F, Log!$D:$D,K$4, Log!$C:$C, $A123, Log!$A:$A, "Daily", Log!$B:$B, "n/a"), 0),
        _xlpm.ie_camera_on_date, IFERROR(AVERAGEIFS(Log!$G:$G, Log!$D:$D,K$4,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3" s="68" t="str">
        <f>IFERROR(
    _xlfn.LET(
        _xlpm.is_data_present, $A123&lt;&gt;0,
        _xlpm.is_camera_present, COUNTIFS(Log!$C:$C, $A123, Log!$D:$D, L$4, Log!$A:$A, "Daily", Log!$B:$B, "n/a"),
        _xlpm.we_camera_on_date, IFERROR(AVERAGEIFS(Log!$F:$F, Log!$D:$D,L$4, Log!$C:$C, $A123, Log!$A:$A, "Daily", Log!$B:$B, "n/a"), 0),
        _xlpm.ie_camera_on_date, IFERROR(AVERAGEIFS(Log!$G:$G, Log!$D:$D,L$4,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3" s="68" t="str">
        <f>IFERROR(
    _xlfn.LET(
        _xlpm.is_data_present, $A123&lt;&gt;0,
        _xlpm.is_camera_present, COUNTIFS(Log!$C:$C, $A123, Log!$D:$D, M$4, Log!$A:$A, "Daily", Log!$B:$B, "n/a"),
        _xlpm.we_camera_on_date, IFERROR(AVERAGEIFS(Log!$F:$F, Log!$D:$D,M$4, Log!$C:$C, $A123, Log!$A:$A, "Daily", Log!$B:$B, "n/a"), 0),
        _xlpm.ie_camera_on_date, IFERROR(AVERAGEIFS(Log!$G:$G, Log!$D:$D,M$4,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3" s="68" t="str">
        <f>IFERROR(
    _xlfn.LET(
        _xlpm.is_data_present, $A123&lt;&gt;0,
        _xlpm.is_camera_present, COUNTIFS(Log!$C:$C, $A123, Log!$D:$D, N$4, Log!$A:$A, "Daily", Log!$B:$B, "n/a"),
        _xlpm.we_camera_on_date, IFERROR(AVERAGEIFS(Log!$F:$F, Log!$D:$D,N$4, Log!$C:$C, $A123, Log!$A:$A, "Daily", Log!$B:$B, "n/a"), 0),
        _xlpm.ie_camera_on_date, IFERROR(AVERAGEIFS(Log!$G:$G, Log!$D:$D,N$4,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3" s="68" t="str">
        <f>IFERROR(
    _xlfn.LET(
        _xlpm.is_data_present, $A123&lt;&gt;0,
        _xlpm.is_camera_present, COUNTIFS(Log!$C:$C, $A123, Log!$D:$D, O$4, Log!$A:$A, "Daily", Log!$B:$B, "n/a"),
        _xlpm.we_camera_on_date, IFERROR(AVERAGEIFS(Log!$F:$F, Log!$D:$D,O$4, Log!$C:$C, $A123, Log!$A:$A, "Daily", Log!$B:$B, "n/a"), 0),
        _xlpm.ie_camera_on_date, IFERROR(AVERAGEIFS(Log!$G:$G, Log!$D:$D,O$4,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3" s="68" t="str">
        <f>IFERROR(
    _xlfn.LET(
        _xlpm.is_data_present, $A123&lt;&gt;0,
        _xlpm.is_camera_present, COUNTIFS(Log!$C:$C, $A123, Log!$D:$D, P$4, Log!$A:$A, "Daily", Log!$B:$B, "n/a"),
        _xlpm.we_camera_on_date, IFERROR(AVERAGEIFS(Log!$F:$F, Log!$D:$D,P$4, Log!$C:$C, $A123, Log!$A:$A, "Daily", Log!$B:$B, "n/a"), 0),
        _xlpm.ie_camera_on_date, IFERROR(AVERAGEIFS(Log!$G:$G, Log!$D:$D,P$4,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3" s="68" t="str">
        <f>IFERROR(
    _xlfn.LET(
        _xlpm.is_data_present, $A123&lt;&gt;0,
        _xlpm.is_camera_present, COUNTIFS(Log!$C:$C, $A123, Log!$D:$D, Q$4, Log!$A:$A, "Daily", Log!$B:$B, "n/a"),
        _xlpm.we_camera_on_date, IFERROR(AVERAGEIFS(Log!$F:$F, Log!$D:$D,Q$4, Log!$C:$C, $A123, Log!$A:$A, "Daily", Log!$B:$B, "n/a"), 0),
        _xlpm.ie_camera_on_date, IFERROR(AVERAGEIFS(Log!$G:$G, Log!$D:$D,Q$4,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3" s="68" t="str">
        <f>IFERROR(
    _xlfn.LET(
        _xlpm.is_data_present, $A123&lt;&gt;0,
        _xlpm.is_camera_present, COUNTIFS(Log!$C:$C, $A123, Log!$D:$D, R$4, Log!$A:$A, "Daily", Log!$B:$B, "n/a"),
        _xlpm.we_camera_on_date, IFERROR(AVERAGEIFS(Log!$F:$F, Log!$D:$D,R$4, Log!$C:$C, $A123, Log!$A:$A, "Daily", Log!$B:$B, "n/a"), 0),
        _xlpm.ie_camera_on_date, IFERROR(AVERAGEIFS(Log!$G:$G, Log!$D:$D,R$4,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3" s="68" t="str">
        <f>IFERROR(
    _xlfn.LET(
        _xlpm.is_data_present, $A123&lt;&gt;0,
        _xlpm.is_camera_present, COUNTIFS(Log!$C:$C, $A123, Log!$D:$D, S$4, Log!$A:$A, "Daily", Log!$B:$B, "n/a"),
        _xlpm.we_camera_on_date, IFERROR(AVERAGEIFS(Log!$F:$F, Log!$D:$D,S$4, Log!$C:$C, $A123, Log!$A:$A, "Daily", Log!$B:$B, "n/a"), 0),
        _xlpm.ie_camera_on_date, IFERROR(AVERAGEIFS(Log!$G:$G, Log!$D:$D,S$4, Log!$C:$C, $A123, Log!$A:$A, "Daily", Log!$B:$B, "n/a"), 0),
        _xlpm.we_avg, IFERROR(AVERAGEIFS(Log!$F:$F,Log!$C:$C,$A123, Log!$A:$A, "Daily", Log!$B:$B, "n/a"),0),
        _xlpm.ie_avg, IFERROR(AVERAGEIFS(Log!$G:$G,Log!$C:$C,$A123,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4" spans="2:19" x14ac:dyDescent="0.3">
      <c r="B124" s="68" t="str">
        <f>IFERROR(
    _xlfn.LET(
        _xlpm.is_data_present, $A124&lt;&gt;0,
        _xlpm.is_camera_present, COUNTIFS(Log!$C:$C, $A124, Log!$D:$D, B$4, Log!$A:$A, "Daily", Log!$B:$B, "n/a"),
        _xlpm.we_camera_on_date, IFERROR(AVERAGEIFS(Log!$F:$F, Log!$D:$D,B$4, Log!$C:$C, $A124, Log!$A:$A, "Daily", Log!$B:$B, "n/a"), 0),
        _xlpm.ie_camera_on_date, IFERROR(AVERAGEIFS(Log!$G:$G, Log!$D:$D,B$4,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4" s="68" t="str">
        <f>IFERROR(
    _xlfn.LET(
        _xlpm.is_data_present, $A124&lt;&gt;0,
        _xlpm.is_camera_present, COUNTIFS(Log!$C:$C, $A124, Log!$D:$D, C$4, Log!$A:$A, "Daily", Log!$B:$B, "n/a"),
        _xlpm.we_camera_on_date, IFERROR(AVERAGEIFS(Log!$F:$F, Log!$D:$D,C$4, Log!$C:$C, $A124, Log!$A:$A, "Daily", Log!$B:$B, "n/a"), 0),
        _xlpm.ie_camera_on_date, IFERROR(AVERAGEIFS(Log!$G:$G, Log!$D:$D,C$4,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4" s="68" t="str">
        <f>IFERROR(
    _xlfn.LET(
        _xlpm.is_data_present, $A124&lt;&gt;0,
        _xlpm.is_camera_present, COUNTIFS(Log!$C:$C, $A124, Log!$D:$D, D$4, Log!$A:$A, "Daily", Log!$B:$B, "n/a"),
        _xlpm.we_camera_on_date, IFERROR(AVERAGEIFS(Log!$F:$F, Log!$D:$D,D$4, Log!$C:$C, $A124, Log!$A:$A, "Daily", Log!$B:$B, "n/a"), 0),
        _xlpm.ie_camera_on_date, IFERROR(AVERAGEIFS(Log!$G:$G, Log!$D:$D,D$4,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4" s="68" t="str">
        <f>IFERROR(
    _xlfn.LET(
        _xlpm.is_data_present, $A124&lt;&gt;0,
        _xlpm.is_camera_present, COUNTIFS(Log!$C:$C, $A124, Log!$D:$D, E$4, Log!$A:$A, "Daily", Log!$B:$B, "n/a"),
        _xlpm.we_camera_on_date, IFERROR(AVERAGEIFS(Log!$F:$F, Log!$D:$D,E$4, Log!$C:$C, $A124, Log!$A:$A, "Daily", Log!$B:$B, "n/a"), 0),
        _xlpm.ie_camera_on_date, IFERROR(AVERAGEIFS(Log!$G:$G, Log!$D:$D,E$4,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4" s="68" t="str">
        <f>IFERROR(
    _xlfn.LET(
        _xlpm.is_data_present, $A124&lt;&gt;0,
        _xlpm.is_camera_present, COUNTIFS(Log!$C:$C, $A124, Log!$D:$D, F$4, Log!$A:$A, "Daily", Log!$B:$B, "n/a"),
        _xlpm.we_camera_on_date, IFERROR(AVERAGEIFS(Log!$F:$F, Log!$D:$D,F$4, Log!$C:$C, $A124, Log!$A:$A, "Daily", Log!$B:$B, "n/a"), 0),
        _xlpm.ie_camera_on_date, IFERROR(AVERAGEIFS(Log!$G:$G, Log!$D:$D,F$4,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4" s="68" t="str">
        <f>IFERROR(
    _xlfn.LET(
        _xlpm.is_data_present, $A124&lt;&gt;0,
        _xlpm.is_camera_present, COUNTIFS(Log!$C:$C, $A124, Log!$D:$D, G$4, Log!$A:$A, "Daily", Log!$B:$B, "n/a"),
        _xlpm.we_camera_on_date, IFERROR(AVERAGEIFS(Log!$F:$F, Log!$D:$D,G$4, Log!$C:$C, $A124, Log!$A:$A, "Daily", Log!$B:$B, "n/a"), 0),
        _xlpm.ie_camera_on_date, IFERROR(AVERAGEIFS(Log!$G:$G, Log!$D:$D,G$4,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4" s="68" t="str">
        <f>IFERROR(
    _xlfn.LET(
        _xlpm.is_data_present, $A124&lt;&gt;0,
        _xlpm.is_camera_present, COUNTIFS(Log!$C:$C, $A124, Log!$D:$D, H$4, Log!$A:$A, "Daily", Log!$B:$B, "n/a"),
        _xlpm.we_camera_on_date, IFERROR(AVERAGEIFS(Log!$F:$F, Log!$D:$D,H$4, Log!$C:$C, $A124, Log!$A:$A, "Daily", Log!$B:$B, "n/a"), 0),
        _xlpm.ie_camera_on_date, IFERROR(AVERAGEIFS(Log!$G:$G, Log!$D:$D,H$4,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4" s="68" t="str">
        <f>IFERROR(
    _xlfn.LET(
        _xlpm.is_data_present, $A124&lt;&gt;0,
        _xlpm.is_camera_present, COUNTIFS(Log!$C:$C, $A124, Log!$D:$D, I$4, Log!$A:$A, "Daily", Log!$B:$B, "n/a"),
        _xlpm.we_camera_on_date, IFERROR(AVERAGEIFS(Log!$F:$F, Log!$D:$D,I$4, Log!$C:$C, $A124, Log!$A:$A, "Daily", Log!$B:$B, "n/a"), 0),
        _xlpm.ie_camera_on_date, IFERROR(AVERAGEIFS(Log!$G:$G, Log!$D:$D,I$4,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4" s="68" t="str">
        <f>IFERROR(
    _xlfn.LET(
        _xlpm.is_data_present, $A124&lt;&gt;0,
        _xlpm.is_camera_present, COUNTIFS(Log!$C:$C, $A124, Log!$D:$D, J$4, Log!$A:$A, "Daily", Log!$B:$B, "n/a"),
        _xlpm.we_camera_on_date, IFERROR(AVERAGEIFS(Log!$F:$F, Log!$D:$D,J$4, Log!$C:$C, $A124, Log!$A:$A, "Daily", Log!$B:$B, "n/a"), 0),
        _xlpm.ie_camera_on_date, IFERROR(AVERAGEIFS(Log!$G:$G, Log!$D:$D,J$4,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4" s="68" t="str">
        <f>IFERROR(
    _xlfn.LET(
        _xlpm.is_data_present, $A124&lt;&gt;0,
        _xlpm.is_camera_present, COUNTIFS(Log!$C:$C, $A124, Log!$D:$D, K$4, Log!$A:$A, "Daily", Log!$B:$B, "n/a"),
        _xlpm.we_camera_on_date, IFERROR(AVERAGEIFS(Log!$F:$F, Log!$D:$D,K$4, Log!$C:$C, $A124, Log!$A:$A, "Daily", Log!$B:$B, "n/a"), 0),
        _xlpm.ie_camera_on_date, IFERROR(AVERAGEIFS(Log!$G:$G, Log!$D:$D,K$4,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4" s="68" t="str">
        <f>IFERROR(
    _xlfn.LET(
        _xlpm.is_data_present, $A124&lt;&gt;0,
        _xlpm.is_camera_present, COUNTIFS(Log!$C:$C, $A124, Log!$D:$D, L$4, Log!$A:$A, "Daily", Log!$B:$B, "n/a"),
        _xlpm.we_camera_on_date, IFERROR(AVERAGEIFS(Log!$F:$F, Log!$D:$D,L$4, Log!$C:$C, $A124, Log!$A:$A, "Daily", Log!$B:$B, "n/a"), 0),
        _xlpm.ie_camera_on_date, IFERROR(AVERAGEIFS(Log!$G:$G, Log!$D:$D,L$4,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4" s="68" t="str">
        <f>IFERROR(
    _xlfn.LET(
        _xlpm.is_data_present, $A124&lt;&gt;0,
        _xlpm.is_camera_present, COUNTIFS(Log!$C:$C, $A124, Log!$D:$D, M$4, Log!$A:$A, "Daily", Log!$B:$B, "n/a"),
        _xlpm.we_camera_on_date, IFERROR(AVERAGEIFS(Log!$F:$F, Log!$D:$D,M$4, Log!$C:$C, $A124, Log!$A:$A, "Daily", Log!$B:$B, "n/a"), 0),
        _xlpm.ie_camera_on_date, IFERROR(AVERAGEIFS(Log!$G:$G, Log!$D:$D,M$4,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4" s="68" t="str">
        <f>IFERROR(
    _xlfn.LET(
        _xlpm.is_data_present, $A124&lt;&gt;0,
        _xlpm.is_camera_present, COUNTIFS(Log!$C:$C, $A124, Log!$D:$D, N$4, Log!$A:$A, "Daily", Log!$B:$B, "n/a"),
        _xlpm.we_camera_on_date, IFERROR(AVERAGEIFS(Log!$F:$F, Log!$D:$D,N$4, Log!$C:$C, $A124, Log!$A:$A, "Daily", Log!$B:$B, "n/a"), 0),
        _xlpm.ie_camera_on_date, IFERROR(AVERAGEIFS(Log!$G:$G, Log!$D:$D,N$4,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4" s="68" t="str">
        <f>IFERROR(
    _xlfn.LET(
        _xlpm.is_data_present, $A124&lt;&gt;0,
        _xlpm.is_camera_present, COUNTIFS(Log!$C:$C, $A124, Log!$D:$D, O$4, Log!$A:$A, "Daily", Log!$B:$B, "n/a"),
        _xlpm.we_camera_on_date, IFERROR(AVERAGEIFS(Log!$F:$F, Log!$D:$D,O$4, Log!$C:$C, $A124, Log!$A:$A, "Daily", Log!$B:$B, "n/a"), 0),
        _xlpm.ie_camera_on_date, IFERROR(AVERAGEIFS(Log!$G:$G, Log!$D:$D,O$4,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4" s="68" t="str">
        <f>IFERROR(
    _xlfn.LET(
        _xlpm.is_data_present, $A124&lt;&gt;0,
        _xlpm.is_camera_present, COUNTIFS(Log!$C:$C, $A124, Log!$D:$D, P$4, Log!$A:$A, "Daily", Log!$B:$B, "n/a"),
        _xlpm.we_camera_on_date, IFERROR(AVERAGEIFS(Log!$F:$F, Log!$D:$D,P$4, Log!$C:$C, $A124, Log!$A:$A, "Daily", Log!$B:$B, "n/a"), 0),
        _xlpm.ie_camera_on_date, IFERROR(AVERAGEIFS(Log!$G:$G, Log!$D:$D,P$4,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4" s="68" t="str">
        <f>IFERROR(
    _xlfn.LET(
        _xlpm.is_data_present, $A124&lt;&gt;0,
        _xlpm.is_camera_present, COUNTIFS(Log!$C:$C, $A124, Log!$D:$D, Q$4, Log!$A:$A, "Daily", Log!$B:$B, "n/a"),
        _xlpm.we_camera_on_date, IFERROR(AVERAGEIFS(Log!$F:$F, Log!$D:$D,Q$4, Log!$C:$C, $A124, Log!$A:$A, "Daily", Log!$B:$B, "n/a"), 0),
        _xlpm.ie_camera_on_date, IFERROR(AVERAGEIFS(Log!$G:$G, Log!$D:$D,Q$4,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4" s="68" t="str">
        <f>IFERROR(
    _xlfn.LET(
        _xlpm.is_data_present, $A124&lt;&gt;0,
        _xlpm.is_camera_present, COUNTIFS(Log!$C:$C, $A124, Log!$D:$D, R$4, Log!$A:$A, "Daily", Log!$B:$B, "n/a"),
        _xlpm.we_camera_on_date, IFERROR(AVERAGEIFS(Log!$F:$F, Log!$D:$D,R$4, Log!$C:$C, $A124, Log!$A:$A, "Daily", Log!$B:$B, "n/a"), 0),
        _xlpm.ie_camera_on_date, IFERROR(AVERAGEIFS(Log!$G:$G, Log!$D:$D,R$4,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4" s="68" t="str">
        <f>IFERROR(
    _xlfn.LET(
        _xlpm.is_data_present, $A124&lt;&gt;0,
        _xlpm.is_camera_present, COUNTIFS(Log!$C:$C, $A124, Log!$D:$D, S$4, Log!$A:$A, "Daily", Log!$B:$B, "n/a"),
        _xlpm.we_camera_on_date, IFERROR(AVERAGEIFS(Log!$F:$F, Log!$D:$D,S$4, Log!$C:$C, $A124, Log!$A:$A, "Daily", Log!$B:$B, "n/a"), 0),
        _xlpm.ie_camera_on_date, IFERROR(AVERAGEIFS(Log!$G:$G, Log!$D:$D,S$4, Log!$C:$C, $A124, Log!$A:$A, "Daily", Log!$B:$B, "n/a"), 0),
        _xlpm.we_avg, IFERROR(AVERAGEIFS(Log!$F:$F,Log!$C:$C,$A124, Log!$A:$A, "Daily", Log!$B:$B, "n/a"),0),
        _xlpm.ie_avg, IFERROR(AVERAGEIFS(Log!$G:$G,Log!$C:$C,$A124,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5" spans="2:19" x14ac:dyDescent="0.3">
      <c r="B125" s="68" t="str">
        <f>IFERROR(
    _xlfn.LET(
        _xlpm.is_data_present, $A125&lt;&gt;0,
        _xlpm.is_camera_present, COUNTIFS(Log!$C:$C, $A125, Log!$D:$D, B$4, Log!$A:$A, "Daily", Log!$B:$B, "n/a"),
        _xlpm.we_camera_on_date, IFERROR(AVERAGEIFS(Log!$F:$F, Log!$D:$D,B$4, Log!$C:$C, $A125, Log!$A:$A, "Daily", Log!$B:$B, "n/a"), 0),
        _xlpm.ie_camera_on_date, IFERROR(AVERAGEIFS(Log!$G:$G, Log!$D:$D,B$4,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5" s="68" t="str">
        <f>IFERROR(
    _xlfn.LET(
        _xlpm.is_data_present, $A125&lt;&gt;0,
        _xlpm.is_camera_present, COUNTIFS(Log!$C:$C, $A125, Log!$D:$D, C$4, Log!$A:$A, "Daily", Log!$B:$B, "n/a"),
        _xlpm.we_camera_on_date, IFERROR(AVERAGEIFS(Log!$F:$F, Log!$D:$D,C$4, Log!$C:$C, $A125, Log!$A:$A, "Daily", Log!$B:$B, "n/a"), 0),
        _xlpm.ie_camera_on_date, IFERROR(AVERAGEIFS(Log!$G:$G, Log!$D:$D,C$4,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5" s="68" t="str">
        <f>IFERROR(
    _xlfn.LET(
        _xlpm.is_data_present, $A125&lt;&gt;0,
        _xlpm.is_camera_present, COUNTIFS(Log!$C:$C, $A125, Log!$D:$D, D$4, Log!$A:$A, "Daily", Log!$B:$B, "n/a"),
        _xlpm.we_camera_on_date, IFERROR(AVERAGEIFS(Log!$F:$F, Log!$D:$D,D$4, Log!$C:$C, $A125, Log!$A:$A, "Daily", Log!$B:$B, "n/a"), 0),
        _xlpm.ie_camera_on_date, IFERROR(AVERAGEIFS(Log!$G:$G, Log!$D:$D,D$4,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5" s="68" t="str">
        <f>IFERROR(
    _xlfn.LET(
        _xlpm.is_data_present, $A125&lt;&gt;0,
        _xlpm.is_camera_present, COUNTIFS(Log!$C:$C, $A125, Log!$D:$D, E$4, Log!$A:$A, "Daily", Log!$B:$B, "n/a"),
        _xlpm.we_camera_on_date, IFERROR(AVERAGEIFS(Log!$F:$F, Log!$D:$D,E$4, Log!$C:$C, $A125, Log!$A:$A, "Daily", Log!$B:$B, "n/a"), 0),
        _xlpm.ie_camera_on_date, IFERROR(AVERAGEIFS(Log!$G:$G, Log!$D:$D,E$4,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5" s="68" t="str">
        <f>IFERROR(
    _xlfn.LET(
        _xlpm.is_data_present, $A125&lt;&gt;0,
        _xlpm.is_camera_present, COUNTIFS(Log!$C:$C, $A125, Log!$D:$D, F$4, Log!$A:$A, "Daily", Log!$B:$B, "n/a"),
        _xlpm.we_camera_on_date, IFERROR(AVERAGEIFS(Log!$F:$F, Log!$D:$D,F$4, Log!$C:$C, $A125, Log!$A:$A, "Daily", Log!$B:$B, "n/a"), 0),
        _xlpm.ie_camera_on_date, IFERROR(AVERAGEIFS(Log!$G:$G, Log!$D:$D,F$4,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5" s="68" t="str">
        <f>IFERROR(
    _xlfn.LET(
        _xlpm.is_data_present, $A125&lt;&gt;0,
        _xlpm.is_camera_present, COUNTIFS(Log!$C:$C, $A125, Log!$D:$D, G$4, Log!$A:$A, "Daily", Log!$B:$B, "n/a"),
        _xlpm.we_camera_on_date, IFERROR(AVERAGEIFS(Log!$F:$F, Log!$D:$D,G$4, Log!$C:$C, $A125, Log!$A:$A, "Daily", Log!$B:$B, "n/a"), 0),
        _xlpm.ie_camera_on_date, IFERROR(AVERAGEIFS(Log!$G:$G, Log!$D:$D,G$4,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5" s="68" t="str">
        <f>IFERROR(
    _xlfn.LET(
        _xlpm.is_data_present, $A125&lt;&gt;0,
        _xlpm.is_camera_present, COUNTIFS(Log!$C:$C, $A125, Log!$D:$D, H$4, Log!$A:$A, "Daily", Log!$B:$B, "n/a"),
        _xlpm.we_camera_on_date, IFERROR(AVERAGEIFS(Log!$F:$F, Log!$D:$D,H$4, Log!$C:$C, $A125, Log!$A:$A, "Daily", Log!$B:$B, "n/a"), 0),
        _xlpm.ie_camera_on_date, IFERROR(AVERAGEIFS(Log!$G:$G, Log!$D:$D,H$4,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5" s="68" t="str">
        <f>IFERROR(
    _xlfn.LET(
        _xlpm.is_data_present, $A125&lt;&gt;0,
        _xlpm.is_camera_present, COUNTIFS(Log!$C:$C, $A125, Log!$D:$D, I$4, Log!$A:$A, "Daily", Log!$B:$B, "n/a"),
        _xlpm.we_camera_on_date, IFERROR(AVERAGEIFS(Log!$F:$F, Log!$D:$D,I$4, Log!$C:$C, $A125, Log!$A:$A, "Daily", Log!$B:$B, "n/a"), 0),
        _xlpm.ie_camera_on_date, IFERROR(AVERAGEIFS(Log!$G:$G, Log!$D:$D,I$4,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5" s="68" t="str">
        <f>IFERROR(
    _xlfn.LET(
        _xlpm.is_data_present, $A125&lt;&gt;0,
        _xlpm.is_camera_present, COUNTIFS(Log!$C:$C, $A125, Log!$D:$D, J$4, Log!$A:$A, "Daily", Log!$B:$B, "n/a"),
        _xlpm.we_camera_on_date, IFERROR(AVERAGEIFS(Log!$F:$F, Log!$D:$D,J$4, Log!$C:$C, $A125, Log!$A:$A, "Daily", Log!$B:$B, "n/a"), 0),
        _xlpm.ie_camera_on_date, IFERROR(AVERAGEIFS(Log!$G:$G, Log!$D:$D,J$4,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5" s="68" t="str">
        <f>IFERROR(
    _xlfn.LET(
        _xlpm.is_data_present, $A125&lt;&gt;0,
        _xlpm.is_camera_present, COUNTIFS(Log!$C:$C, $A125, Log!$D:$D, K$4, Log!$A:$A, "Daily", Log!$B:$B, "n/a"),
        _xlpm.we_camera_on_date, IFERROR(AVERAGEIFS(Log!$F:$F, Log!$D:$D,K$4, Log!$C:$C, $A125, Log!$A:$A, "Daily", Log!$B:$B, "n/a"), 0),
        _xlpm.ie_camera_on_date, IFERROR(AVERAGEIFS(Log!$G:$G, Log!$D:$D,K$4,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5" s="68" t="str">
        <f>IFERROR(
    _xlfn.LET(
        _xlpm.is_data_present, $A125&lt;&gt;0,
        _xlpm.is_camera_present, COUNTIFS(Log!$C:$C, $A125, Log!$D:$D, L$4, Log!$A:$A, "Daily", Log!$B:$B, "n/a"),
        _xlpm.we_camera_on_date, IFERROR(AVERAGEIFS(Log!$F:$F, Log!$D:$D,L$4, Log!$C:$C, $A125, Log!$A:$A, "Daily", Log!$B:$B, "n/a"), 0),
        _xlpm.ie_camera_on_date, IFERROR(AVERAGEIFS(Log!$G:$G, Log!$D:$D,L$4,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5" s="68" t="str">
        <f>IFERROR(
    _xlfn.LET(
        _xlpm.is_data_present, $A125&lt;&gt;0,
        _xlpm.is_camera_present, COUNTIFS(Log!$C:$C, $A125, Log!$D:$D, M$4, Log!$A:$A, "Daily", Log!$B:$B, "n/a"),
        _xlpm.we_camera_on_date, IFERROR(AVERAGEIFS(Log!$F:$F, Log!$D:$D,M$4, Log!$C:$C, $A125, Log!$A:$A, "Daily", Log!$B:$B, "n/a"), 0),
        _xlpm.ie_camera_on_date, IFERROR(AVERAGEIFS(Log!$G:$G, Log!$D:$D,M$4,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5" s="68" t="str">
        <f>IFERROR(
    _xlfn.LET(
        _xlpm.is_data_present, $A125&lt;&gt;0,
        _xlpm.is_camera_present, COUNTIFS(Log!$C:$C, $A125, Log!$D:$D, N$4, Log!$A:$A, "Daily", Log!$B:$B, "n/a"),
        _xlpm.we_camera_on_date, IFERROR(AVERAGEIFS(Log!$F:$F, Log!$D:$D,N$4, Log!$C:$C, $A125, Log!$A:$A, "Daily", Log!$B:$B, "n/a"), 0),
        _xlpm.ie_camera_on_date, IFERROR(AVERAGEIFS(Log!$G:$G, Log!$D:$D,N$4,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5" s="68" t="str">
        <f>IFERROR(
    _xlfn.LET(
        _xlpm.is_data_present, $A125&lt;&gt;0,
        _xlpm.is_camera_present, COUNTIFS(Log!$C:$C, $A125, Log!$D:$D, O$4, Log!$A:$A, "Daily", Log!$B:$B, "n/a"),
        _xlpm.we_camera_on_date, IFERROR(AVERAGEIFS(Log!$F:$F, Log!$D:$D,O$4, Log!$C:$C, $A125, Log!$A:$A, "Daily", Log!$B:$B, "n/a"), 0),
        _xlpm.ie_camera_on_date, IFERROR(AVERAGEIFS(Log!$G:$G, Log!$D:$D,O$4,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5" s="68" t="str">
        <f>IFERROR(
    _xlfn.LET(
        _xlpm.is_data_present, $A125&lt;&gt;0,
        _xlpm.is_camera_present, COUNTIFS(Log!$C:$C, $A125, Log!$D:$D, P$4, Log!$A:$A, "Daily", Log!$B:$B, "n/a"),
        _xlpm.we_camera_on_date, IFERROR(AVERAGEIFS(Log!$F:$F, Log!$D:$D,P$4, Log!$C:$C, $A125, Log!$A:$A, "Daily", Log!$B:$B, "n/a"), 0),
        _xlpm.ie_camera_on_date, IFERROR(AVERAGEIFS(Log!$G:$G, Log!$D:$D,P$4,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5" s="68" t="str">
        <f>IFERROR(
    _xlfn.LET(
        _xlpm.is_data_present, $A125&lt;&gt;0,
        _xlpm.is_camera_present, COUNTIFS(Log!$C:$C, $A125, Log!$D:$D, Q$4, Log!$A:$A, "Daily", Log!$B:$B, "n/a"),
        _xlpm.we_camera_on_date, IFERROR(AVERAGEIFS(Log!$F:$F, Log!$D:$D,Q$4, Log!$C:$C, $A125, Log!$A:$A, "Daily", Log!$B:$B, "n/a"), 0),
        _xlpm.ie_camera_on_date, IFERROR(AVERAGEIFS(Log!$G:$G, Log!$D:$D,Q$4,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5" s="68" t="str">
        <f>IFERROR(
    _xlfn.LET(
        _xlpm.is_data_present, $A125&lt;&gt;0,
        _xlpm.is_camera_present, COUNTIFS(Log!$C:$C, $A125, Log!$D:$D, R$4, Log!$A:$A, "Daily", Log!$B:$B, "n/a"),
        _xlpm.we_camera_on_date, IFERROR(AVERAGEIFS(Log!$F:$F, Log!$D:$D,R$4, Log!$C:$C, $A125, Log!$A:$A, "Daily", Log!$B:$B, "n/a"), 0),
        _xlpm.ie_camera_on_date, IFERROR(AVERAGEIFS(Log!$G:$G, Log!$D:$D,R$4,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5" s="68" t="str">
        <f>IFERROR(
    _xlfn.LET(
        _xlpm.is_data_present, $A125&lt;&gt;0,
        _xlpm.is_camera_present, COUNTIFS(Log!$C:$C, $A125, Log!$D:$D, S$4, Log!$A:$A, "Daily", Log!$B:$B, "n/a"),
        _xlpm.we_camera_on_date, IFERROR(AVERAGEIFS(Log!$F:$F, Log!$D:$D,S$4, Log!$C:$C, $A125, Log!$A:$A, "Daily", Log!$B:$B, "n/a"), 0),
        _xlpm.ie_camera_on_date, IFERROR(AVERAGEIFS(Log!$G:$G, Log!$D:$D,S$4, Log!$C:$C, $A125, Log!$A:$A, "Daily", Log!$B:$B, "n/a"), 0),
        _xlpm.we_avg, IFERROR(AVERAGEIFS(Log!$F:$F,Log!$C:$C,$A125, Log!$A:$A, "Daily", Log!$B:$B, "n/a"),0),
        _xlpm.ie_avg, IFERROR(AVERAGEIFS(Log!$G:$G,Log!$C:$C,$A125,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6" spans="2:19" x14ac:dyDescent="0.3">
      <c r="B126" s="68" t="str">
        <f>IFERROR(
    _xlfn.LET(
        _xlpm.is_data_present, $A126&lt;&gt;0,
        _xlpm.is_camera_present, COUNTIFS(Log!$C:$C, $A126, Log!$D:$D, B$4, Log!$A:$A, "Daily", Log!$B:$B, "n/a"),
        _xlpm.we_camera_on_date, IFERROR(AVERAGEIFS(Log!$F:$F, Log!$D:$D,B$4, Log!$C:$C, $A126, Log!$A:$A, "Daily", Log!$B:$B, "n/a"), 0),
        _xlpm.ie_camera_on_date, IFERROR(AVERAGEIFS(Log!$G:$G, Log!$D:$D,B$4,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6" s="68" t="str">
        <f>IFERROR(
    _xlfn.LET(
        _xlpm.is_data_present, $A126&lt;&gt;0,
        _xlpm.is_camera_present, COUNTIFS(Log!$C:$C, $A126, Log!$D:$D, C$4, Log!$A:$A, "Daily", Log!$B:$B, "n/a"),
        _xlpm.we_camera_on_date, IFERROR(AVERAGEIFS(Log!$F:$F, Log!$D:$D,C$4, Log!$C:$C, $A126, Log!$A:$A, "Daily", Log!$B:$B, "n/a"), 0),
        _xlpm.ie_camera_on_date, IFERROR(AVERAGEIFS(Log!$G:$G, Log!$D:$D,C$4,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6" s="68" t="str">
        <f>IFERROR(
    _xlfn.LET(
        _xlpm.is_data_present, $A126&lt;&gt;0,
        _xlpm.is_camera_present, COUNTIFS(Log!$C:$C, $A126, Log!$D:$D, D$4, Log!$A:$A, "Daily", Log!$B:$B, "n/a"),
        _xlpm.we_camera_on_date, IFERROR(AVERAGEIFS(Log!$F:$F, Log!$D:$D,D$4, Log!$C:$C, $A126, Log!$A:$A, "Daily", Log!$B:$B, "n/a"), 0),
        _xlpm.ie_camera_on_date, IFERROR(AVERAGEIFS(Log!$G:$G, Log!$D:$D,D$4,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6" s="68" t="str">
        <f>IFERROR(
    _xlfn.LET(
        _xlpm.is_data_present, $A126&lt;&gt;0,
        _xlpm.is_camera_present, COUNTIFS(Log!$C:$C, $A126, Log!$D:$D, E$4, Log!$A:$A, "Daily", Log!$B:$B, "n/a"),
        _xlpm.we_camera_on_date, IFERROR(AVERAGEIFS(Log!$F:$F, Log!$D:$D,E$4, Log!$C:$C, $A126, Log!$A:$A, "Daily", Log!$B:$B, "n/a"), 0),
        _xlpm.ie_camera_on_date, IFERROR(AVERAGEIFS(Log!$G:$G, Log!$D:$D,E$4,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6" s="68" t="str">
        <f>IFERROR(
    _xlfn.LET(
        _xlpm.is_data_present, $A126&lt;&gt;0,
        _xlpm.is_camera_present, COUNTIFS(Log!$C:$C, $A126, Log!$D:$D, F$4, Log!$A:$A, "Daily", Log!$B:$B, "n/a"),
        _xlpm.we_camera_on_date, IFERROR(AVERAGEIFS(Log!$F:$F, Log!$D:$D,F$4, Log!$C:$C, $A126, Log!$A:$A, "Daily", Log!$B:$B, "n/a"), 0),
        _xlpm.ie_camera_on_date, IFERROR(AVERAGEIFS(Log!$G:$G, Log!$D:$D,F$4,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6" s="68" t="str">
        <f>IFERROR(
    _xlfn.LET(
        _xlpm.is_data_present, $A126&lt;&gt;0,
        _xlpm.is_camera_present, COUNTIFS(Log!$C:$C, $A126, Log!$D:$D, G$4, Log!$A:$A, "Daily", Log!$B:$B, "n/a"),
        _xlpm.we_camera_on_date, IFERROR(AVERAGEIFS(Log!$F:$F, Log!$D:$D,G$4, Log!$C:$C, $A126, Log!$A:$A, "Daily", Log!$B:$B, "n/a"), 0),
        _xlpm.ie_camera_on_date, IFERROR(AVERAGEIFS(Log!$G:$G, Log!$D:$D,G$4,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6" s="68" t="str">
        <f>IFERROR(
    _xlfn.LET(
        _xlpm.is_data_present, $A126&lt;&gt;0,
        _xlpm.is_camera_present, COUNTIFS(Log!$C:$C, $A126, Log!$D:$D, H$4, Log!$A:$A, "Daily", Log!$B:$B, "n/a"),
        _xlpm.we_camera_on_date, IFERROR(AVERAGEIFS(Log!$F:$F, Log!$D:$D,H$4, Log!$C:$C, $A126, Log!$A:$A, "Daily", Log!$B:$B, "n/a"), 0),
        _xlpm.ie_camera_on_date, IFERROR(AVERAGEIFS(Log!$G:$G, Log!$D:$D,H$4,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6" s="68" t="str">
        <f>IFERROR(
    _xlfn.LET(
        _xlpm.is_data_present, $A126&lt;&gt;0,
        _xlpm.is_camera_present, COUNTIFS(Log!$C:$C, $A126, Log!$D:$D, I$4, Log!$A:$A, "Daily", Log!$B:$B, "n/a"),
        _xlpm.we_camera_on_date, IFERROR(AVERAGEIFS(Log!$F:$F, Log!$D:$D,I$4, Log!$C:$C, $A126, Log!$A:$A, "Daily", Log!$B:$B, "n/a"), 0),
        _xlpm.ie_camera_on_date, IFERROR(AVERAGEIFS(Log!$G:$G, Log!$D:$D,I$4,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6" s="68" t="str">
        <f>IFERROR(
    _xlfn.LET(
        _xlpm.is_data_present, $A126&lt;&gt;0,
        _xlpm.is_camera_present, COUNTIFS(Log!$C:$C, $A126, Log!$D:$D, J$4, Log!$A:$A, "Daily", Log!$B:$B, "n/a"),
        _xlpm.we_camera_on_date, IFERROR(AVERAGEIFS(Log!$F:$F, Log!$D:$D,J$4, Log!$C:$C, $A126, Log!$A:$A, "Daily", Log!$B:$B, "n/a"), 0),
        _xlpm.ie_camera_on_date, IFERROR(AVERAGEIFS(Log!$G:$G, Log!$D:$D,J$4,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6" s="68" t="str">
        <f>IFERROR(
    _xlfn.LET(
        _xlpm.is_data_present, $A126&lt;&gt;0,
        _xlpm.is_camera_present, COUNTIFS(Log!$C:$C, $A126, Log!$D:$D, K$4, Log!$A:$A, "Daily", Log!$B:$B, "n/a"),
        _xlpm.we_camera_on_date, IFERROR(AVERAGEIFS(Log!$F:$F, Log!$D:$D,K$4, Log!$C:$C, $A126, Log!$A:$A, "Daily", Log!$B:$B, "n/a"), 0),
        _xlpm.ie_camera_on_date, IFERROR(AVERAGEIFS(Log!$G:$G, Log!$D:$D,K$4,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6" s="68" t="str">
        <f>IFERROR(
    _xlfn.LET(
        _xlpm.is_data_present, $A126&lt;&gt;0,
        _xlpm.is_camera_present, COUNTIFS(Log!$C:$C, $A126, Log!$D:$D, L$4, Log!$A:$A, "Daily", Log!$B:$B, "n/a"),
        _xlpm.we_camera_on_date, IFERROR(AVERAGEIFS(Log!$F:$F, Log!$D:$D,L$4, Log!$C:$C, $A126, Log!$A:$A, "Daily", Log!$B:$B, "n/a"), 0),
        _xlpm.ie_camera_on_date, IFERROR(AVERAGEIFS(Log!$G:$G, Log!$D:$D,L$4,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6" s="68" t="str">
        <f>IFERROR(
    _xlfn.LET(
        _xlpm.is_data_present, $A126&lt;&gt;0,
        _xlpm.is_camera_present, COUNTIFS(Log!$C:$C, $A126, Log!$D:$D, M$4, Log!$A:$A, "Daily", Log!$B:$B, "n/a"),
        _xlpm.we_camera_on_date, IFERROR(AVERAGEIFS(Log!$F:$F, Log!$D:$D,M$4, Log!$C:$C, $A126, Log!$A:$A, "Daily", Log!$B:$B, "n/a"), 0),
        _xlpm.ie_camera_on_date, IFERROR(AVERAGEIFS(Log!$G:$G, Log!$D:$D,M$4,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6" s="68" t="str">
        <f>IFERROR(
    _xlfn.LET(
        _xlpm.is_data_present, $A126&lt;&gt;0,
        _xlpm.is_camera_present, COUNTIFS(Log!$C:$C, $A126, Log!$D:$D, N$4, Log!$A:$A, "Daily", Log!$B:$B, "n/a"),
        _xlpm.we_camera_on_date, IFERROR(AVERAGEIFS(Log!$F:$F, Log!$D:$D,N$4, Log!$C:$C, $A126, Log!$A:$A, "Daily", Log!$B:$B, "n/a"), 0),
        _xlpm.ie_camera_on_date, IFERROR(AVERAGEIFS(Log!$G:$G, Log!$D:$D,N$4,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6" s="68" t="str">
        <f>IFERROR(
    _xlfn.LET(
        _xlpm.is_data_present, $A126&lt;&gt;0,
        _xlpm.is_camera_present, COUNTIFS(Log!$C:$C, $A126, Log!$D:$D, O$4, Log!$A:$A, "Daily", Log!$B:$B, "n/a"),
        _xlpm.we_camera_on_date, IFERROR(AVERAGEIFS(Log!$F:$F, Log!$D:$D,O$4, Log!$C:$C, $A126, Log!$A:$A, "Daily", Log!$B:$B, "n/a"), 0),
        _xlpm.ie_camera_on_date, IFERROR(AVERAGEIFS(Log!$G:$G, Log!$D:$D,O$4,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6" s="68" t="str">
        <f>IFERROR(
    _xlfn.LET(
        _xlpm.is_data_present, $A126&lt;&gt;0,
        _xlpm.is_camera_present, COUNTIFS(Log!$C:$C, $A126, Log!$D:$D, P$4, Log!$A:$A, "Daily", Log!$B:$B, "n/a"),
        _xlpm.we_camera_on_date, IFERROR(AVERAGEIFS(Log!$F:$F, Log!$D:$D,P$4, Log!$C:$C, $A126, Log!$A:$A, "Daily", Log!$B:$B, "n/a"), 0),
        _xlpm.ie_camera_on_date, IFERROR(AVERAGEIFS(Log!$G:$G, Log!$D:$D,P$4,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6" s="68" t="str">
        <f>IFERROR(
    _xlfn.LET(
        _xlpm.is_data_present, $A126&lt;&gt;0,
        _xlpm.is_camera_present, COUNTIFS(Log!$C:$C, $A126, Log!$D:$D, Q$4, Log!$A:$A, "Daily", Log!$B:$B, "n/a"),
        _xlpm.we_camera_on_date, IFERROR(AVERAGEIFS(Log!$F:$F, Log!$D:$D,Q$4, Log!$C:$C, $A126, Log!$A:$A, "Daily", Log!$B:$B, "n/a"), 0),
        _xlpm.ie_camera_on_date, IFERROR(AVERAGEIFS(Log!$G:$G, Log!$D:$D,Q$4,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6" s="68" t="str">
        <f>IFERROR(
    _xlfn.LET(
        _xlpm.is_data_present, $A126&lt;&gt;0,
        _xlpm.is_camera_present, COUNTIFS(Log!$C:$C, $A126, Log!$D:$D, R$4, Log!$A:$A, "Daily", Log!$B:$B, "n/a"),
        _xlpm.we_camera_on_date, IFERROR(AVERAGEIFS(Log!$F:$F, Log!$D:$D,R$4, Log!$C:$C, $A126, Log!$A:$A, "Daily", Log!$B:$B, "n/a"), 0),
        _xlpm.ie_camera_on_date, IFERROR(AVERAGEIFS(Log!$G:$G, Log!$D:$D,R$4,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6" s="68" t="str">
        <f>IFERROR(
    _xlfn.LET(
        _xlpm.is_data_present, $A126&lt;&gt;0,
        _xlpm.is_camera_present, COUNTIFS(Log!$C:$C, $A126, Log!$D:$D, S$4, Log!$A:$A, "Daily", Log!$B:$B, "n/a"),
        _xlpm.we_camera_on_date, IFERROR(AVERAGEIFS(Log!$F:$F, Log!$D:$D,S$4, Log!$C:$C, $A126, Log!$A:$A, "Daily", Log!$B:$B, "n/a"), 0),
        _xlpm.ie_camera_on_date, IFERROR(AVERAGEIFS(Log!$G:$G, Log!$D:$D,S$4, Log!$C:$C, $A126, Log!$A:$A, "Daily", Log!$B:$B, "n/a"), 0),
        _xlpm.we_avg, IFERROR(AVERAGEIFS(Log!$F:$F,Log!$C:$C,$A126, Log!$A:$A, "Daily", Log!$B:$B, "n/a"),0),
        _xlpm.ie_avg, IFERROR(AVERAGEIFS(Log!$G:$G,Log!$C:$C,$A126,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7" spans="2:19" x14ac:dyDescent="0.3">
      <c r="B127" s="68" t="str">
        <f>IFERROR(
    _xlfn.LET(
        _xlpm.is_data_present, $A127&lt;&gt;0,
        _xlpm.is_camera_present, COUNTIFS(Log!$C:$C, $A127, Log!$D:$D, B$4, Log!$A:$A, "Daily", Log!$B:$B, "n/a"),
        _xlpm.we_camera_on_date, IFERROR(AVERAGEIFS(Log!$F:$F, Log!$D:$D,B$4, Log!$C:$C, $A127, Log!$A:$A, "Daily", Log!$B:$B, "n/a"), 0),
        _xlpm.ie_camera_on_date, IFERROR(AVERAGEIFS(Log!$G:$G, Log!$D:$D,B$4,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7" s="68" t="str">
        <f>IFERROR(
    _xlfn.LET(
        _xlpm.is_data_present, $A127&lt;&gt;0,
        _xlpm.is_camera_present, COUNTIFS(Log!$C:$C, $A127, Log!$D:$D, C$4, Log!$A:$A, "Daily", Log!$B:$B, "n/a"),
        _xlpm.we_camera_on_date, IFERROR(AVERAGEIFS(Log!$F:$F, Log!$D:$D,C$4, Log!$C:$C, $A127, Log!$A:$A, "Daily", Log!$B:$B, "n/a"), 0),
        _xlpm.ie_camera_on_date, IFERROR(AVERAGEIFS(Log!$G:$G, Log!$D:$D,C$4,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7" s="68" t="str">
        <f>IFERROR(
    _xlfn.LET(
        _xlpm.is_data_present, $A127&lt;&gt;0,
        _xlpm.is_camera_present, COUNTIFS(Log!$C:$C, $A127, Log!$D:$D, D$4, Log!$A:$A, "Daily", Log!$B:$B, "n/a"),
        _xlpm.we_camera_on_date, IFERROR(AVERAGEIFS(Log!$F:$F, Log!$D:$D,D$4, Log!$C:$C, $A127, Log!$A:$A, "Daily", Log!$B:$B, "n/a"), 0),
        _xlpm.ie_camera_on_date, IFERROR(AVERAGEIFS(Log!$G:$G, Log!$D:$D,D$4,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7" s="68" t="str">
        <f>IFERROR(
    _xlfn.LET(
        _xlpm.is_data_present, $A127&lt;&gt;0,
        _xlpm.is_camera_present, COUNTIFS(Log!$C:$C, $A127, Log!$D:$D, E$4, Log!$A:$A, "Daily", Log!$B:$B, "n/a"),
        _xlpm.we_camera_on_date, IFERROR(AVERAGEIFS(Log!$F:$F, Log!$D:$D,E$4, Log!$C:$C, $A127, Log!$A:$A, "Daily", Log!$B:$B, "n/a"), 0),
        _xlpm.ie_camera_on_date, IFERROR(AVERAGEIFS(Log!$G:$G, Log!$D:$D,E$4,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7" s="68" t="str">
        <f>IFERROR(
    _xlfn.LET(
        _xlpm.is_data_present, $A127&lt;&gt;0,
        _xlpm.is_camera_present, COUNTIFS(Log!$C:$C, $A127, Log!$D:$D, F$4, Log!$A:$A, "Daily", Log!$B:$B, "n/a"),
        _xlpm.we_camera_on_date, IFERROR(AVERAGEIFS(Log!$F:$F, Log!$D:$D,F$4, Log!$C:$C, $A127, Log!$A:$A, "Daily", Log!$B:$B, "n/a"), 0),
        _xlpm.ie_camera_on_date, IFERROR(AVERAGEIFS(Log!$G:$G, Log!$D:$D,F$4,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7" s="68" t="str">
        <f>IFERROR(
    _xlfn.LET(
        _xlpm.is_data_present, $A127&lt;&gt;0,
        _xlpm.is_camera_present, COUNTIFS(Log!$C:$C, $A127, Log!$D:$D, G$4, Log!$A:$A, "Daily", Log!$B:$B, "n/a"),
        _xlpm.we_camera_on_date, IFERROR(AVERAGEIFS(Log!$F:$F, Log!$D:$D,G$4, Log!$C:$C, $A127, Log!$A:$A, "Daily", Log!$B:$B, "n/a"), 0),
        _xlpm.ie_camera_on_date, IFERROR(AVERAGEIFS(Log!$G:$G, Log!$D:$D,G$4,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7" s="68" t="str">
        <f>IFERROR(
    _xlfn.LET(
        _xlpm.is_data_present, $A127&lt;&gt;0,
        _xlpm.is_camera_present, COUNTIFS(Log!$C:$C, $A127, Log!$D:$D, H$4, Log!$A:$A, "Daily", Log!$B:$B, "n/a"),
        _xlpm.we_camera_on_date, IFERROR(AVERAGEIFS(Log!$F:$F, Log!$D:$D,H$4, Log!$C:$C, $A127, Log!$A:$A, "Daily", Log!$B:$B, "n/a"), 0),
        _xlpm.ie_camera_on_date, IFERROR(AVERAGEIFS(Log!$G:$G, Log!$D:$D,H$4,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7" s="68" t="str">
        <f>IFERROR(
    _xlfn.LET(
        _xlpm.is_data_present, $A127&lt;&gt;0,
        _xlpm.is_camera_present, COUNTIFS(Log!$C:$C, $A127, Log!$D:$D, I$4, Log!$A:$A, "Daily", Log!$B:$B, "n/a"),
        _xlpm.we_camera_on_date, IFERROR(AVERAGEIFS(Log!$F:$F, Log!$D:$D,I$4, Log!$C:$C, $A127, Log!$A:$A, "Daily", Log!$B:$B, "n/a"), 0),
        _xlpm.ie_camera_on_date, IFERROR(AVERAGEIFS(Log!$G:$G, Log!$D:$D,I$4,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7" s="68" t="str">
        <f>IFERROR(
    _xlfn.LET(
        _xlpm.is_data_present, $A127&lt;&gt;0,
        _xlpm.is_camera_present, COUNTIFS(Log!$C:$C, $A127, Log!$D:$D, J$4, Log!$A:$A, "Daily", Log!$B:$B, "n/a"),
        _xlpm.we_camera_on_date, IFERROR(AVERAGEIFS(Log!$F:$F, Log!$D:$D,J$4, Log!$C:$C, $A127, Log!$A:$A, "Daily", Log!$B:$B, "n/a"), 0),
        _xlpm.ie_camera_on_date, IFERROR(AVERAGEIFS(Log!$G:$G, Log!$D:$D,J$4,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7" s="68" t="str">
        <f>IFERROR(
    _xlfn.LET(
        _xlpm.is_data_present, $A127&lt;&gt;0,
        _xlpm.is_camera_present, COUNTIFS(Log!$C:$C, $A127, Log!$D:$D, K$4, Log!$A:$A, "Daily", Log!$B:$B, "n/a"),
        _xlpm.we_camera_on_date, IFERROR(AVERAGEIFS(Log!$F:$F, Log!$D:$D,K$4, Log!$C:$C, $A127, Log!$A:$A, "Daily", Log!$B:$B, "n/a"), 0),
        _xlpm.ie_camera_on_date, IFERROR(AVERAGEIFS(Log!$G:$G, Log!$D:$D,K$4,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7" s="68" t="str">
        <f>IFERROR(
    _xlfn.LET(
        _xlpm.is_data_present, $A127&lt;&gt;0,
        _xlpm.is_camera_present, COUNTIFS(Log!$C:$C, $A127, Log!$D:$D, L$4, Log!$A:$A, "Daily", Log!$B:$B, "n/a"),
        _xlpm.we_camera_on_date, IFERROR(AVERAGEIFS(Log!$F:$F, Log!$D:$D,L$4, Log!$C:$C, $A127, Log!$A:$A, "Daily", Log!$B:$B, "n/a"), 0),
        _xlpm.ie_camera_on_date, IFERROR(AVERAGEIFS(Log!$G:$G, Log!$D:$D,L$4,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7" s="68" t="str">
        <f>IFERROR(
    _xlfn.LET(
        _xlpm.is_data_present, $A127&lt;&gt;0,
        _xlpm.is_camera_present, COUNTIFS(Log!$C:$C, $A127, Log!$D:$D, M$4, Log!$A:$A, "Daily", Log!$B:$B, "n/a"),
        _xlpm.we_camera_on_date, IFERROR(AVERAGEIFS(Log!$F:$F, Log!$D:$D,M$4, Log!$C:$C, $A127, Log!$A:$A, "Daily", Log!$B:$B, "n/a"), 0),
        _xlpm.ie_camera_on_date, IFERROR(AVERAGEIFS(Log!$G:$G, Log!$D:$D,M$4,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7" s="68" t="str">
        <f>IFERROR(
    _xlfn.LET(
        _xlpm.is_data_present, $A127&lt;&gt;0,
        _xlpm.is_camera_present, COUNTIFS(Log!$C:$C, $A127, Log!$D:$D, N$4, Log!$A:$A, "Daily", Log!$B:$B, "n/a"),
        _xlpm.we_camera_on_date, IFERROR(AVERAGEIFS(Log!$F:$F, Log!$D:$D,N$4, Log!$C:$C, $A127, Log!$A:$A, "Daily", Log!$B:$B, "n/a"), 0),
        _xlpm.ie_camera_on_date, IFERROR(AVERAGEIFS(Log!$G:$G, Log!$D:$D,N$4,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7" s="68" t="str">
        <f>IFERROR(
    _xlfn.LET(
        _xlpm.is_data_present, $A127&lt;&gt;0,
        _xlpm.is_camera_present, COUNTIFS(Log!$C:$C, $A127, Log!$D:$D, O$4, Log!$A:$A, "Daily", Log!$B:$B, "n/a"),
        _xlpm.we_camera_on_date, IFERROR(AVERAGEIFS(Log!$F:$F, Log!$D:$D,O$4, Log!$C:$C, $A127, Log!$A:$A, "Daily", Log!$B:$B, "n/a"), 0),
        _xlpm.ie_camera_on_date, IFERROR(AVERAGEIFS(Log!$G:$G, Log!$D:$D,O$4,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7" s="68" t="str">
        <f>IFERROR(
    _xlfn.LET(
        _xlpm.is_data_present, $A127&lt;&gt;0,
        _xlpm.is_camera_present, COUNTIFS(Log!$C:$C, $A127, Log!$D:$D, P$4, Log!$A:$A, "Daily", Log!$B:$B, "n/a"),
        _xlpm.we_camera_on_date, IFERROR(AVERAGEIFS(Log!$F:$F, Log!$D:$D,P$4, Log!$C:$C, $A127, Log!$A:$A, "Daily", Log!$B:$B, "n/a"), 0),
        _xlpm.ie_camera_on_date, IFERROR(AVERAGEIFS(Log!$G:$G, Log!$D:$D,P$4,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7" s="68" t="str">
        <f>IFERROR(
    _xlfn.LET(
        _xlpm.is_data_present, $A127&lt;&gt;0,
        _xlpm.is_camera_present, COUNTIFS(Log!$C:$C, $A127, Log!$D:$D, Q$4, Log!$A:$A, "Daily", Log!$B:$B, "n/a"),
        _xlpm.we_camera_on_date, IFERROR(AVERAGEIFS(Log!$F:$F, Log!$D:$D,Q$4, Log!$C:$C, $A127, Log!$A:$A, "Daily", Log!$B:$B, "n/a"), 0),
        _xlpm.ie_camera_on_date, IFERROR(AVERAGEIFS(Log!$G:$G, Log!$D:$D,Q$4,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7" s="68" t="str">
        <f>IFERROR(
    _xlfn.LET(
        _xlpm.is_data_present, $A127&lt;&gt;0,
        _xlpm.is_camera_present, COUNTIFS(Log!$C:$C, $A127, Log!$D:$D, R$4, Log!$A:$A, "Daily", Log!$B:$B, "n/a"),
        _xlpm.we_camera_on_date, IFERROR(AVERAGEIFS(Log!$F:$F, Log!$D:$D,R$4, Log!$C:$C, $A127, Log!$A:$A, "Daily", Log!$B:$B, "n/a"), 0),
        _xlpm.ie_camera_on_date, IFERROR(AVERAGEIFS(Log!$G:$G, Log!$D:$D,R$4,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7" s="68" t="str">
        <f>IFERROR(
    _xlfn.LET(
        _xlpm.is_data_present, $A127&lt;&gt;0,
        _xlpm.is_camera_present, COUNTIFS(Log!$C:$C, $A127, Log!$D:$D, S$4, Log!$A:$A, "Daily", Log!$B:$B, "n/a"),
        _xlpm.we_camera_on_date, IFERROR(AVERAGEIFS(Log!$F:$F, Log!$D:$D,S$4, Log!$C:$C, $A127, Log!$A:$A, "Daily", Log!$B:$B, "n/a"), 0),
        _xlpm.ie_camera_on_date, IFERROR(AVERAGEIFS(Log!$G:$G, Log!$D:$D,S$4, Log!$C:$C, $A127, Log!$A:$A, "Daily", Log!$B:$B, "n/a"), 0),
        _xlpm.we_avg, IFERROR(AVERAGEIFS(Log!$F:$F,Log!$C:$C,$A127, Log!$A:$A, "Daily", Log!$B:$B, "n/a"),0),
        _xlpm.ie_avg, IFERROR(AVERAGEIFS(Log!$G:$G,Log!$C:$C,$A127,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8" spans="2:19" x14ac:dyDescent="0.3">
      <c r="B128" s="68" t="str">
        <f>IFERROR(
    _xlfn.LET(
        _xlpm.is_data_present, $A128&lt;&gt;0,
        _xlpm.is_camera_present, COUNTIFS(Log!$C:$C, $A128, Log!$D:$D, B$4, Log!$A:$A, "Daily", Log!$B:$B, "n/a"),
        _xlpm.we_camera_on_date, IFERROR(AVERAGEIFS(Log!$F:$F, Log!$D:$D,B$4, Log!$C:$C, $A128, Log!$A:$A, "Daily", Log!$B:$B, "n/a"), 0),
        _xlpm.ie_camera_on_date, IFERROR(AVERAGEIFS(Log!$G:$G, Log!$D:$D,B$4,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8" s="68" t="str">
        <f>IFERROR(
    _xlfn.LET(
        _xlpm.is_data_present, $A128&lt;&gt;0,
        _xlpm.is_camera_present, COUNTIFS(Log!$C:$C, $A128, Log!$D:$D, C$4, Log!$A:$A, "Daily", Log!$B:$B, "n/a"),
        _xlpm.we_camera_on_date, IFERROR(AVERAGEIFS(Log!$F:$F, Log!$D:$D,C$4, Log!$C:$C, $A128, Log!$A:$A, "Daily", Log!$B:$B, "n/a"), 0),
        _xlpm.ie_camera_on_date, IFERROR(AVERAGEIFS(Log!$G:$G, Log!$D:$D,C$4,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8" s="68" t="str">
        <f>IFERROR(
    _xlfn.LET(
        _xlpm.is_data_present, $A128&lt;&gt;0,
        _xlpm.is_camera_present, COUNTIFS(Log!$C:$C, $A128, Log!$D:$D, D$4, Log!$A:$A, "Daily", Log!$B:$B, "n/a"),
        _xlpm.we_camera_on_date, IFERROR(AVERAGEIFS(Log!$F:$F, Log!$D:$D,D$4, Log!$C:$C, $A128, Log!$A:$A, "Daily", Log!$B:$B, "n/a"), 0),
        _xlpm.ie_camera_on_date, IFERROR(AVERAGEIFS(Log!$G:$G, Log!$D:$D,D$4,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8" s="68" t="str">
        <f>IFERROR(
    _xlfn.LET(
        _xlpm.is_data_present, $A128&lt;&gt;0,
        _xlpm.is_camera_present, COUNTIFS(Log!$C:$C, $A128, Log!$D:$D, E$4, Log!$A:$A, "Daily", Log!$B:$B, "n/a"),
        _xlpm.we_camera_on_date, IFERROR(AVERAGEIFS(Log!$F:$F, Log!$D:$D,E$4, Log!$C:$C, $A128, Log!$A:$A, "Daily", Log!$B:$B, "n/a"), 0),
        _xlpm.ie_camera_on_date, IFERROR(AVERAGEIFS(Log!$G:$G, Log!$D:$D,E$4,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8" s="68" t="str">
        <f>IFERROR(
    _xlfn.LET(
        _xlpm.is_data_present, $A128&lt;&gt;0,
        _xlpm.is_camera_present, COUNTIFS(Log!$C:$C, $A128, Log!$D:$D, F$4, Log!$A:$A, "Daily", Log!$B:$B, "n/a"),
        _xlpm.we_camera_on_date, IFERROR(AVERAGEIFS(Log!$F:$F, Log!$D:$D,F$4, Log!$C:$C, $A128, Log!$A:$A, "Daily", Log!$B:$B, "n/a"), 0),
        _xlpm.ie_camera_on_date, IFERROR(AVERAGEIFS(Log!$G:$G, Log!$D:$D,F$4,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8" s="68" t="str">
        <f>IFERROR(
    _xlfn.LET(
        _xlpm.is_data_present, $A128&lt;&gt;0,
        _xlpm.is_camera_present, COUNTIFS(Log!$C:$C, $A128, Log!$D:$D, G$4, Log!$A:$A, "Daily", Log!$B:$B, "n/a"),
        _xlpm.we_camera_on_date, IFERROR(AVERAGEIFS(Log!$F:$F, Log!$D:$D,G$4, Log!$C:$C, $A128, Log!$A:$A, "Daily", Log!$B:$B, "n/a"), 0),
        _xlpm.ie_camera_on_date, IFERROR(AVERAGEIFS(Log!$G:$G, Log!$D:$D,G$4,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8" s="68" t="str">
        <f>IFERROR(
    _xlfn.LET(
        _xlpm.is_data_present, $A128&lt;&gt;0,
        _xlpm.is_camera_present, COUNTIFS(Log!$C:$C, $A128, Log!$D:$D, H$4, Log!$A:$A, "Daily", Log!$B:$B, "n/a"),
        _xlpm.we_camera_on_date, IFERROR(AVERAGEIFS(Log!$F:$F, Log!$D:$D,H$4, Log!$C:$C, $A128, Log!$A:$A, "Daily", Log!$B:$B, "n/a"), 0),
        _xlpm.ie_camera_on_date, IFERROR(AVERAGEIFS(Log!$G:$G, Log!$D:$D,H$4,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8" s="68" t="str">
        <f>IFERROR(
    _xlfn.LET(
        _xlpm.is_data_present, $A128&lt;&gt;0,
        _xlpm.is_camera_present, COUNTIFS(Log!$C:$C, $A128, Log!$D:$D, I$4, Log!$A:$A, "Daily", Log!$B:$B, "n/a"),
        _xlpm.we_camera_on_date, IFERROR(AVERAGEIFS(Log!$F:$F, Log!$D:$D,I$4, Log!$C:$C, $A128, Log!$A:$A, "Daily", Log!$B:$B, "n/a"), 0),
        _xlpm.ie_camera_on_date, IFERROR(AVERAGEIFS(Log!$G:$G, Log!$D:$D,I$4,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8" s="68" t="str">
        <f>IFERROR(
    _xlfn.LET(
        _xlpm.is_data_present, $A128&lt;&gt;0,
        _xlpm.is_camera_present, COUNTIFS(Log!$C:$C, $A128, Log!$D:$D, J$4, Log!$A:$A, "Daily", Log!$B:$B, "n/a"),
        _xlpm.we_camera_on_date, IFERROR(AVERAGEIFS(Log!$F:$F, Log!$D:$D,J$4, Log!$C:$C, $A128, Log!$A:$A, "Daily", Log!$B:$B, "n/a"), 0),
        _xlpm.ie_camera_on_date, IFERROR(AVERAGEIFS(Log!$G:$G, Log!$D:$D,J$4,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8" s="68" t="str">
        <f>IFERROR(
    _xlfn.LET(
        _xlpm.is_data_present, $A128&lt;&gt;0,
        _xlpm.is_camera_present, COUNTIFS(Log!$C:$C, $A128, Log!$D:$D, K$4, Log!$A:$A, "Daily", Log!$B:$B, "n/a"),
        _xlpm.we_camera_on_date, IFERROR(AVERAGEIFS(Log!$F:$F, Log!$D:$D,K$4, Log!$C:$C, $A128, Log!$A:$A, "Daily", Log!$B:$B, "n/a"), 0),
        _xlpm.ie_camera_on_date, IFERROR(AVERAGEIFS(Log!$G:$G, Log!$D:$D,K$4,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8" s="68" t="str">
        <f>IFERROR(
    _xlfn.LET(
        _xlpm.is_data_present, $A128&lt;&gt;0,
        _xlpm.is_camera_present, COUNTIFS(Log!$C:$C, $A128, Log!$D:$D, L$4, Log!$A:$A, "Daily", Log!$B:$B, "n/a"),
        _xlpm.we_camera_on_date, IFERROR(AVERAGEIFS(Log!$F:$F, Log!$D:$D,L$4, Log!$C:$C, $A128, Log!$A:$A, "Daily", Log!$B:$B, "n/a"), 0),
        _xlpm.ie_camera_on_date, IFERROR(AVERAGEIFS(Log!$G:$G, Log!$D:$D,L$4,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8" s="68" t="str">
        <f>IFERROR(
    _xlfn.LET(
        _xlpm.is_data_present, $A128&lt;&gt;0,
        _xlpm.is_camera_present, COUNTIFS(Log!$C:$C, $A128, Log!$D:$D, M$4, Log!$A:$A, "Daily", Log!$B:$B, "n/a"),
        _xlpm.we_camera_on_date, IFERROR(AVERAGEIFS(Log!$F:$F, Log!$D:$D,M$4, Log!$C:$C, $A128, Log!$A:$A, "Daily", Log!$B:$B, "n/a"), 0),
        _xlpm.ie_camera_on_date, IFERROR(AVERAGEIFS(Log!$G:$G, Log!$D:$D,M$4,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8" s="68" t="str">
        <f>IFERROR(
    _xlfn.LET(
        _xlpm.is_data_present, $A128&lt;&gt;0,
        _xlpm.is_camera_present, COUNTIFS(Log!$C:$C, $A128, Log!$D:$D, N$4, Log!$A:$A, "Daily", Log!$B:$B, "n/a"),
        _xlpm.we_camera_on_date, IFERROR(AVERAGEIFS(Log!$F:$F, Log!$D:$D,N$4, Log!$C:$C, $A128, Log!$A:$A, "Daily", Log!$B:$B, "n/a"), 0),
        _xlpm.ie_camera_on_date, IFERROR(AVERAGEIFS(Log!$G:$G, Log!$D:$D,N$4,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8" s="68" t="str">
        <f>IFERROR(
    _xlfn.LET(
        _xlpm.is_data_present, $A128&lt;&gt;0,
        _xlpm.is_camera_present, COUNTIFS(Log!$C:$C, $A128, Log!$D:$D, O$4, Log!$A:$A, "Daily", Log!$B:$B, "n/a"),
        _xlpm.we_camera_on_date, IFERROR(AVERAGEIFS(Log!$F:$F, Log!$D:$D,O$4, Log!$C:$C, $A128, Log!$A:$A, "Daily", Log!$B:$B, "n/a"), 0),
        _xlpm.ie_camera_on_date, IFERROR(AVERAGEIFS(Log!$G:$G, Log!$D:$D,O$4,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8" s="68" t="str">
        <f>IFERROR(
    _xlfn.LET(
        _xlpm.is_data_present, $A128&lt;&gt;0,
        _xlpm.is_camera_present, COUNTIFS(Log!$C:$C, $A128, Log!$D:$D, P$4, Log!$A:$A, "Daily", Log!$B:$B, "n/a"),
        _xlpm.we_camera_on_date, IFERROR(AVERAGEIFS(Log!$F:$F, Log!$D:$D,P$4, Log!$C:$C, $A128, Log!$A:$A, "Daily", Log!$B:$B, "n/a"), 0),
        _xlpm.ie_camera_on_date, IFERROR(AVERAGEIFS(Log!$G:$G, Log!$D:$D,P$4,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8" s="68" t="str">
        <f>IFERROR(
    _xlfn.LET(
        _xlpm.is_data_present, $A128&lt;&gt;0,
        _xlpm.is_camera_present, COUNTIFS(Log!$C:$C, $A128, Log!$D:$D, Q$4, Log!$A:$A, "Daily", Log!$B:$B, "n/a"),
        _xlpm.we_camera_on_date, IFERROR(AVERAGEIFS(Log!$F:$F, Log!$D:$D,Q$4, Log!$C:$C, $A128, Log!$A:$A, "Daily", Log!$B:$B, "n/a"), 0),
        _xlpm.ie_camera_on_date, IFERROR(AVERAGEIFS(Log!$G:$G, Log!$D:$D,Q$4,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8" s="68" t="str">
        <f>IFERROR(
    _xlfn.LET(
        _xlpm.is_data_present, $A128&lt;&gt;0,
        _xlpm.is_camera_present, COUNTIFS(Log!$C:$C, $A128, Log!$D:$D, R$4, Log!$A:$A, "Daily", Log!$B:$B, "n/a"),
        _xlpm.we_camera_on_date, IFERROR(AVERAGEIFS(Log!$F:$F, Log!$D:$D,R$4, Log!$C:$C, $A128, Log!$A:$A, "Daily", Log!$B:$B, "n/a"), 0),
        _xlpm.ie_camera_on_date, IFERROR(AVERAGEIFS(Log!$G:$G, Log!$D:$D,R$4,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8" s="68" t="str">
        <f>IFERROR(
    _xlfn.LET(
        _xlpm.is_data_present, $A128&lt;&gt;0,
        _xlpm.is_camera_present, COUNTIFS(Log!$C:$C, $A128, Log!$D:$D, S$4, Log!$A:$A, "Daily", Log!$B:$B, "n/a"),
        _xlpm.we_camera_on_date, IFERROR(AVERAGEIFS(Log!$F:$F, Log!$D:$D,S$4, Log!$C:$C, $A128, Log!$A:$A, "Daily", Log!$B:$B, "n/a"), 0),
        _xlpm.ie_camera_on_date, IFERROR(AVERAGEIFS(Log!$G:$G, Log!$D:$D,S$4, Log!$C:$C, $A128, Log!$A:$A, "Daily", Log!$B:$B, "n/a"), 0),
        _xlpm.we_avg, IFERROR(AVERAGEIFS(Log!$F:$F,Log!$C:$C,$A128, Log!$A:$A, "Daily", Log!$B:$B, "n/a"),0),
        _xlpm.ie_avg, IFERROR(AVERAGEIFS(Log!$G:$G,Log!$C:$C,$A128,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29" spans="2:19" x14ac:dyDescent="0.3">
      <c r="B129" s="68" t="str">
        <f>IFERROR(
    _xlfn.LET(
        _xlpm.is_data_present, $A129&lt;&gt;0,
        _xlpm.is_camera_present, COUNTIFS(Log!$C:$C, $A129, Log!$D:$D, B$4, Log!$A:$A, "Daily", Log!$B:$B, "n/a"),
        _xlpm.we_camera_on_date, IFERROR(AVERAGEIFS(Log!$F:$F, Log!$D:$D,B$4, Log!$C:$C, $A129, Log!$A:$A, "Daily", Log!$B:$B, "n/a"), 0),
        _xlpm.ie_camera_on_date, IFERROR(AVERAGEIFS(Log!$G:$G, Log!$D:$D,B$4,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29" s="68" t="str">
        <f>IFERROR(
    _xlfn.LET(
        _xlpm.is_data_present, $A129&lt;&gt;0,
        _xlpm.is_camera_present, COUNTIFS(Log!$C:$C, $A129, Log!$D:$D, C$4, Log!$A:$A, "Daily", Log!$B:$B, "n/a"),
        _xlpm.we_camera_on_date, IFERROR(AVERAGEIFS(Log!$F:$F, Log!$D:$D,C$4, Log!$C:$C, $A129, Log!$A:$A, "Daily", Log!$B:$B, "n/a"), 0),
        _xlpm.ie_camera_on_date, IFERROR(AVERAGEIFS(Log!$G:$G, Log!$D:$D,C$4,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29" s="68" t="str">
        <f>IFERROR(
    _xlfn.LET(
        _xlpm.is_data_present, $A129&lt;&gt;0,
        _xlpm.is_camera_present, COUNTIFS(Log!$C:$C, $A129, Log!$D:$D, D$4, Log!$A:$A, "Daily", Log!$B:$B, "n/a"),
        _xlpm.we_camera_on_date, IFERROR(AVERAGEIFS(Log!$F:$F, Log!$D:$D,D$4, Log!$C:$C, $A129, Log!$A:$A, "Daily", Log!$B:$B, "n/a"), 0),
        _xlpm.ie_camera_on_date, IFERROR(AVERAGEIFS(Log!$G:$G, Log!$D:$D,D$4,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29" s="68" t="str">
        <f>IFERROR(
    _xlfn.LET(
        _xlpm.is_data_present, $A129&lt;&gt;0,
        _xlpm.is_camera_present, COUNTIFS(Log!$C:$C, $A129, Log!$D:$D, E$4, Log!$A:$A, "Daily", Log!$B:$B, "n/a"),
        _xlpm.we_camera_on_date, IFERROR(AVERAGEIFS(Log!$F:$F, Log!$D:$D,E$4, Log!$C:$C, $A129, Log!$A:$A, "Daily", Log!$B:$B, "n/a"), 0),
        _xlpm.ie_camera_on_date, IFERROR(AVERAGEIFS(Log!$G:$G, Log!$D:$D,E$4,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29" s="68" t="str">
        <f>IFERROR(
    _xlfn.LET(
        _xlpm.is_data_present, $A129&lt;&gt;0,
        _xlpm.is_camera_present, COUNTIFS(Log!$C:$C, $A129, Log!$D:$D, F$4, Log!$A:$A, "Daily", Log!$B:$B, "n/a"),
        _xlpm.we_camera_on_date, IFERROR(AVERAGEIFS(Log!$F:$F, Log!$D:$D,F$4, Log!$C:$C, $A129, Log!$A:$A, "Daily", Log!$B:$B, "n/a"), 0),
        _xlpm.ie_camera_on_date, IFERROR(AVERAGEIFS(Log!$G:$G, Log!$D:$D,F$4,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29" s="68" t="str">
        <f>IFERROR(
    _xlfn.LET(
        _xlpm.is_data_present, $A129&lt;&gt;0,
        _xlpm.is_camera_present, COUNTIFS(Log!$C:$C, $A129, Log!$D:$D, G$4, Log!$A:$A, "Daily", Log!$B:$B, "n/a"),
        _xlpm.we_camera_on_date, IFERROR(AVERAGEIFS(Log!$F:$F, Log!$D:$D,G$4, Log!$C:$C, $A129, Log!$A:$A, "Daily", Log!$B:$B, "n/a"), 0),
        _xlpm.ie_camera_on_date, IFERROR(AVERAGEIFS(Log!$G:$G, Log!$D:$D,G$4,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29" s="68" t="str">
        <f>IFERROR(
    _xlfn.LET(
        _xlpm.is_data_present, $A129&lt;&gt;0,
        _xlpm.is_camera_present, COUNTIFS(Log!$C:$C, $A129, Log!$D:$D, H$4, Log!$A:$A, "Daily", Log!$B:$B, "n/a"),
        _xlpm.we_camera_on_date, IFERROR(AVERAGEIFS(Log!$F:$F, Log!$D:$D,H$4, Log!$C:$C, $A129, Log!$A:$A, "Daily", Log!$B:$B, "n/a"), 0),
        _xlpm.ie_camera_on_date, IFERROR(AVERAGEIFS(Log!$G:$G, Log!$D:$D,H$4,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29" s="68" t="str">
        <f>IFERROR(
    _xlfn.LET(
        _xlpm.is_data_present, $A129&lt;&gt;0,
        _xlpm.is_camera_present, COUNTIFS(Log!$C:$C, $A129, Log!$D:$D, I$4, Log!$A:$A, "Daily", Log!$B:$B, "n/a"),
        _xlpm.we_camera_on_date, IFERROR(AVERAGEIFS(Log!$F:$F, Log!$D:$D,I$4, Log!$C:$C, $A129, Log!$A:$A, "Daily", Log!$B:$B, "n/a"), 0),
        _xlpm.ie_camera_on_date, IFERROR(AVERAGEIFS(Log!$G:$G, Log!$D:$D,I$4,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29" s="68" t="str">
        <f>IFERROR(
    _xlfn.LET(
        _xlpm.is_data_present, $A129&lt;&gt;0,
        _xlpm.is_camera_present, COUNTIFS(Log!$C:$C, $A129, Log!$D:$D, J$4, Log!$A:$A, "Daily", Log!$B:$B, "n/a"),
        _xlpm.we_camera_on_date, IFERROR(AVERAGEIFS(Log!$F:$F, Log!$D:$D,J$4, Log!$C:$C, $A129, Log!$A:$A, "Daily", Log!$B:$B, "n/a"), 0),
        _xlpm.ie_camera_on_date, IFERROR(AVERAGEIFS(Log!$G:$G, Log!$D:$D,J$4,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29" s="68" t="str">
        <f>IFERROR(
    _xlfn.LET(
        _xlpm.is_data_present, $A129&lt;&gt;0,
        _xlpm.is_camera_present, COUNTIFS(Log!$C:$C, $A129, Log!$D:$D, K$4, Log!$A:$A, "Daily", Log!$B:$B, "n/a"),
        _xlpm.we_camera_on_date, IFERROR(AVERAGEIFS(Log!$F:$F, Log!$D:$D,K$4, Log!$C:$C, $A129, Log!$A:$A, "Daily", Log!$B:$B, "n/a"), 0),
        _xlpm.ie_camera_on_date, IFERROR(AVERAGEIFS(Log!$G:$G, Log!$D:$D,K$4,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29" s="68" t="str">
        <f>IFERROR(
    _xlfn.LET(
        _xlpm.is_data_present, $A129&lt;&gt;0,
        _xlpm.is_camera_present, COUNTIFS(Log!$C:$C, $A129, Log!$D:$D, L$4, Log!$A:$A, "Daily", Log!$B:$B, "n/a"),
        _xlpm.we_camera_on_date, IFERROR(AVERAGEIFS(Log!$F:$F, Log!$D:$D,L$4, Log!$C:$C, $A129, Log!$A:$A, "Daily", Log!$B:$B, "n/a"), 0),
        _xlpm.ie_camera_on_date, IFERROR(AVERAGEIFS(Log!$G:$G, Log!$D:$D,L$4,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29" s="68" t="str">
        <f>IFERROR(
    _xlfn.LET(
        _xlpm.is_data_present, $A129&lt;&gt;0,
        _xlpm.is_camera_present, COUNTIFS(Log!$C:$C, $A129, Log!$D:$D, M$4, Log!$A:$A, "Daily", Log!$B:$B, "n/a"),
        _xlpm.we_camera_on_date, IFERROR(AVERAGEIFS(Log!$F:$F, Log!$D:$D,M$4, Log!$C:$C, $A129, Log!$A:$A, "Daily", Log!$B:$B, "n/a"), 0),
        _xlpm.ie_camera_on_date, IFERROR(AVERAGEIFS(Log!$G:$G, Log!$D:$D,M$4,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29" s="68" t="str">
        <f>IFERROR(
    _xlfn.LET(
        _xlpm.is_data_present, $A129&lt;&gt;0,
        _xlpm.is_camera_present, COUNTIFS(Log!$C:$C, $A129, Log!$D:$D, N$4, Log!$A:$A, "Daily", Log!$B:$B, "n/a"),
        _xlpm.we_camera_on_date, IFERROR(AVERAGEIFS(Log!$F:$F, Log!$D:$D,N$4, Log!$C:$C, $A129, Log!$A:$A, "Daily", Log!$B:$B, "n/a"), 0),
        _xlpm.ie_camera_on_date, IFERROR(AVERAGEIFS(Log!$G:$G, Log!$D:$D,N$4,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29" s="68" t="str">
        <f>IFERROR(
    _xlfn.LET(
        _xlpm.is_data_present, $A129&lt;&gt;0,
        _xlpm.is_camera_present, COUNTIFS(Log!$C:$C, $A129, Log!$D:$D, O$4, Log!$A:$A, "Daily", Log!$B:$B, "n/a"),
        _xlpm.we_camera_on_date, IFERROR(AVERAGEIFS(Log!$F:$F, Log!$D:$D,O$4, Log!$C:$C, $A129, Log!$A:$A, "Daily", Log!$B:$B, "n/a"), 0),
        _xlpm.ie_camera_on_date, IFERROR(AVERAGEIFS(Log!$G:$G, Log!$D:$D,O$4,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29" s="68" t="str">
        <f>IFERROR(
    _xlfn.LET(
        _xlpm.is_data_present, $A129&lt;&gt;0,
        _xlpm.is_camera_present, COUNTIFS(Log!$C:$C, $A129, Log!$D:$D, P$4, Log!$A:$A, "Daily", Log!$B:$B, "n/a"),
        _xlpm.we_camera_on_date, IFERROR(AVERAGEIFS(Log!$F:$F, Log!$D:$D,P$4, Log!$C:$C, $A129, Log!$A:$A, "Daily", Log!$B:$B, "n/a"), 0),
        _xlpm.ie_camera_on_date, IFERROR(AVERAGEIFS(Log!$G:$G, Log!$D:$D,P$4,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29" s="68" t="str">
        <f>IFERROR(
    _xlfn.LET(
        _xlpm.is_data_present, $A129&lt;&gt;0,
        _xlpm.is_camera_present, COUNTIFS(Log!$C:$C, $A129, Log!$D:$D, Q$4, Log!$A:$A, "Daily", Log!$B:$B, "n/a"),
        _xlpm.we_camera_on_date, IFERROR(AVERAGEIFS(Log!$F:$F, Log!$D:$D,Q$4, Log!$C:$C, $A129, Log!$A:$A, "Daily", Log!$B:$B, "n/a"), 0),
        _xlpm.ie_camera_on_date, IFERROR(AVERAGEIFS(Log!$G:$G, Log!$D:$D,Q$4,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29" s="68" t="str">
        <f>IFERROR(
    _xlfn.LET(
        _xlpm.is_data_present, $A129&lt;&gt;0,
        _xlpm.is_camera_present, COUNTIFS(Log!$C:$C, $A129, Log!$D:$D, R$4, Log!$A:$A, "Daily", Log!$B:$B, "n/a"),
        _xlpm.we_camera_on_date, IFERROR(AVERAGEIFS(Log!$F:$F, Log!$D:$D,R$4, Log!$C:$C, $A129, Log!$A:$A, "Daily", Log!$B:$B, "n/a"), 0),
        _xlpm.ie_camera_on_date, IFERROR(AVERAGEIFS(Log!$G:$G, Log!$D:$D,R$4,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29" s="68" t="str">
        <f>IFERROR(
    _xlfn.LET(
        _xlpm.is_data_present, $A129&lt;&gt;0,
        _xlpm.is_camera_present, COUNTIFS(Log!$C:$C, $A129, Log!$D:$D, S$4, Log!$A:$A, "Daily", Log!$B:$B, "n/a"),
        _xlpm.we_camera_on_date, IFERROR(AVERAGEIFS(Log!$F:$F, Log!$D:$D,S$4, Log!$C:$C, $A129, Log!$A:$A, "Daily", Log!$B:$B, "n/a"), 0),
        _xlpm.ie_camera_on_date, IFERROR(AVERAGEIFS(Log!$G:$G, Log!$D:$D,S$4, Log!$C:$C, $A129, Log!$A:$A, "Daily", Log!$B:$B, "n/a"), 0),
        _xlpm.we_avg, IFERROR(AVERAGEIFS(Log!$F:$F,Log!$C:$C,$A129, Log!$A:$A, "Daily", Log!$B:$B, "n/a"),0),
        _xlpm.ie_avg, IFERROR(AVERAGEIFS(Log!$G:$G,Log!$C:$C,$A129,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0" spans="2:19" x14ac:dyDescent="0.3">
      <c r="B130" s="68" t="str">
        <f>IFERROR(
    _xlfn.LET(
        _xlpm.is_data_present, $A130&lt;&gt;0,
        _xlpm.is_camera_present, COUNTIFS(Log!$C:$C, $A130, Log!$D:$D, B$4, Log!$A:$A, "Daily", Log!$B:$B, "n/a"),
        _xlpm.we_camera_on_date, IFERROR(AVERAGEIFS(Log!$F:$F, Log!$D:$D,B$4, Log!$C:$C, $A130, Log!$A:$A, "Daily", Log!$B:$B, "n/a"), 0),
        _xlpm.ie_camera_on_date, IFERROR(AVERAGEIFS(Log!$G:$G, Log!$D:$D,B$4,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0" s="68" t="str">
        <f>IFERROR(
    _xlfn.LET(
        _xlpm.is_data_present, $A130&lt;&gt;0,
        _xlpm.is_camera_present, COUNTIFS(Log!$C:$C, $A130, Log!$D:$D, C$4, Log!$A:$A, "Daily", Log!$B:$B, "n/a"),
        _xlpm.we_camera_on_date, IFERROR(AVERAGEIFS(Log!$F:$F, Log!$D:$D,C$4, Log!$C:$C, $A130, Log!$A:$A, "Daily", Log!$B:$B, "n/a"), 0),
        _xlpm.ie_camera_on_date, IFERROR(AVERAGEIFS(Log!$G:$G, Log!$D:$D,C$4,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0" s="68" t="str">
        <f>IFERROR(
    _xlfn.LET(
        _xlpm.is_data_present, $A130&lt;&gt;0,
        _xlpm.is_camera_present, COUNTIFS(Log!$C:$C, $A130, Log!$D:$D, D$4, Log!$A:$A, "Daily", Log!$B:$B, "n/a"),
        _xlpm.we_camera_on_date, IFERROR(AVERAGEIFS(Log!$F:$F, Log!$D:$D,D$4, Log!$C:$C, $A130, Log!$A:$A, "Daily", Log!$B:$B, "n/a"), 0),
        _xlpm.ie_camera_on_date, IFERROR(AVERAGEIFS(Log!$G:$G, Log!$D:$D,D$4,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0" s="68" t="str">
        <f>IFERROR(
    _xlfn.LET(
        _xlpm.is_data_present, $A130&lt;&gt;0,
        _xlpm.is_camera_present, COUNTIFS(Log!$C:$C, $A130, Log!$D:$D, E$4, Log!$A:$A, "Daily", Log!$B:$B, "n/a"),
        _xlpm.we_camera_on_date, IFERROR(AVERAGEIFS(Log!$F:$F, Log!$D:$D,E$4, Log!$C:$C, $A130, Log!$A:$A, "Daily", Log!$B:$B, "n/a"), 0),
        _xlpm.ie_camera_on_date, IFERROR(AVERAGEIFS(Log!$G:$G, Log!$D:$D,E$4,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0" s="68" t="str">
        <f>IFERROR(
    _xlfn.LET(
        _xlpm.is_data_present, $A130&lt;&gt;0,
        _xlpm.is_camera_present, COUNTIFS(Log!$C:$C, $A130, Log!$D:$D, F$4, Log!$A:$A, "Daily", Log!$B:$B, "n/a"),
        _xlpm.we_camera_on_date, IFERROR(AVERAGEIFS(Log!$F:$F, Log!$D:$D,F$4, Log!$C:$C, $A130, Log!$A:$A, "Daily", Log!$B:$B, "n/a"), 0),
        _xlpm.ie_camera_on_date, IFERROR(AVERAGEIFS(Log!$G:$G, Log!$D:$D,F$4,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0" s="68" t="str">
        <f>IFERROR(
    _xlfn.LET(
        _xlpm.is_data_present, $A130&lt;&gt;0,
        _xlpm.is_camera_present, COUNTIFS(Log!$C:$C, $A130, Log!$D:$D, G$4, Log!$A:$A, "Daily", Log!$B:$B, "n/a"),
        _xlpm.we_camera_on_date, IFERROR(AVERAGEIFS(Log!$F:$F, Log!$D:$D,G$4, Log!$C:$C, $A130, Log!$A:$A, "Daily", Log!$B:$B, "n/a"), 0),
        _xlpm.ie_camera_on_date, IFERROR(AVERAGEIFS(Log!$G:$G, Log!$D:$D,G$4,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0" s="68" t="str">
        <f>IFERROR(
    _xlfn.LET(
        _xlpm.is_data_present, $A130&lt;&gt;0,
        _xlpm.is_camera_present, COUNTIFS(Log!$C:$C, $A130, Log!$D:$D, H$4, Log!$A:$A, "Daily", Log!$B:$B, "n/a"),
        _xlpm.we_camera_on_date, IFERROR(AVERAGEIFS(Log!$F:$F, Log!$D:$D,H$4, Log!$C:$C, $A130, Log!$A:$A, "Daily", Log!$B:$B, "n/a"), 0),
        _xlpm.ie_camera_on_date, IFERROR(AVERAGEIFS(Log!$G:$G, Log!$D:$D,H$4,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0" s="68" t="str">
        <f>IFERROR(
    _xlfn.LET(
        _xlpm.is_data_present, $A130&lt;&gt;0,
        _xlpm.is_camera_present, COUNTIFS(Log!$C:$C, $A130, Log!$D:$D, I$4, Log!$A:$A, "Daily", Log!$B:$B, "n/a"),
        _xlpm.we_camera_on_date, IFERROR(AVERAGEIFS(Log!$F:$F, Log!$D:$D,I$4, Log!$C:$C, $A130, Log!$A:$A, "Daily", Log!$B:$B, "n/a"), 0),
        _xlpm.ie_camera_on_date, IFERROR(AVERAGEIFS(Log!$G:$G, Log!$D:$D,I$4,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0" s="68" t="str">
        <f>IFERROR(
    _xlfn.LET(
        _xlpm.is_data_present, $A130&lt;&gt;0,
        _xlpm.is_camera_present, COUNTIFS(Log!$C:$C, $A130, Log!$D:$D, J$4, Log!$A:$A, "Daily", Log!$B:$B, "n/a"),
        _xlpm.we_camera_on_date, IFERROR(AVERAGEIFS(Log!$F:$F, Log!$D:$D,J$4, Log!$C:$C, $A130, Log!$A:$A, "Daily", Log!$B:$B, "n/a"), 0),
        _xlpm.ie_camera_on_date, IFERROR(AVERAGEIFS(Log!$G:$G, Log!$D:$D,J$4,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0" s="68" t="str">
        <f>IFERROR(
    _xlfn.LET(
        _xlpm.is_data_present, $A130&lt;&gt;0,
        _xlpm.is_camera_present, COUNTIFS(Log!$C:$C, $A130, Log!$D:$D, K$4, Log!$A:$A, "Daily", Log!$B:$B, "n/a"),
        _xlpm.we_camera_on_date, IFERROR(AVERAGEIFS(Log!$F:$F, Log!$D:$D,K$4, Log!$C:$C, $A130, Log!$A:$A, "Daily", Log!$B:$B, "n/a"), 0),
        _xlpm.ie_camera_on_date, IFERROR(AVERAGEIFS(Log!$G:$G, Log!$D:$D,K$4,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0" s="68" t="str">
        <f>IFERROR(
    _xlfn.LET(
        _xlpm.is_data_present, $A130&lt;&gt;0,
        _xlpm.is_camera_present, COUNTIFS(Log!$C:$C, $A130, Log!$D:$D, L$4, Log!$A:$A, "Daily", Log!$B:$B, "n/a"),
        _xlpm.we_camera_on_date, IFERROR(AVERAGEIFS(Log!$F:$F, Log!$D:$D,L$4, Log!$C:$C, $A130, Log!$A:$A, "Daily", Log!$B:$B, "n/a"), 0),
        _xlpm.ie_camera_on_date, IFERROR(AVERAGEIFS(Log!$G:$G, Log!$D:$D,L$4,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0" s="68" t="str">
        <f>IFERROR(
    _xlfn.LET(
        _xlpm.is_data_present, $A130&lt;&gt;0,
        _xlpm.is_camera_present, COUNTIFS(Log!$C:$C, $A130, Log!$D:$D, M$4, Log!$A:$A, "Daily", Log!$B:$B, "n/a"),
        _xlpm.we_camera_on_date, IFERROR(AVERAGEIFS(Log!$F:$F, Log!$D:$D,M$4, Log!$C:$C, $A130, Log!$A:$A, "Daily", Log!$B:$B, "n/a"), 0),
        _xlpm.ie_camera_on_date, IFERROR(AVERAGEIFS(Log!$G:$G, Log!$D:$D,M$4,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0" s="68" t="str">
        <f>IFERROR(
    _xlfn.LET(
        _xlpm.is_data_present, $A130&lt;&gt;0,
        _xlpm.is_camera_present, COUNTIFS(Log!$C:$C, $A130, Log!$D:$D, N$4, Log!$A:$A, "Daily", Log!$B:$B, "n/a"),
        _xlpm.we_camera_on_date, IFERROR(AVERAGEIFS(Log!$F:$F, Log!$D:$D,N$4, Log!$C:$C, $A130, Log!$A:$A, "Daily", Log!$B:$B, "n/a"), 0),
        _xlpm.ie_camera_on_date, IFERROR(AVERAGEIFS(Log!$G:$G, Log!$D:$D,N$4,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0" s="68" t="str">
        <f>IFERROR(
    _xlfn.LET(
        _xlpm.is_data_present, $A130&lt;&gt;0,
        _xlpm.is_camera_present, COUNTIFS(Log!$C:$C, $A130, Log!$D:$D, O$4, Log!$A:$A, "Daily", Log!$B:$B, "n/a"),
        _xlpm.we_camera_on_date, IFERROR(AVERAGEIFS(Log!$F:$F, Log!$D:$D,O$4, Log!$C:$C, $A130, Log!$A:$A, "Daily", Log!$B:$B, "n/a"), 0),
        _xlpm.ie_camera_on_date, IFERROR(AVERAGEIFS(Log!$G:$G, Log!$D:$D,O$4,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0" s="68" t="str">
        <f>IFERROR(
    _xlfn.LET(
        _xlpm.is_data_present, $A130&lt;&gt;0,
        _xlpm.is_camera_present, COUNTIFS(Log!$C:$C, $A130, Log!$D:$D, P$4, Log!$A:$A, "Daily", Log!$B:$B, "n/a"),
        _xlpm.we_camera_on_date, IFERROR(AVERAGEIFS(Log!$F:$F, Log!$D:$D,P$4, Log!$C:$C, $A130, Log!$A:$A, "Daily", Log!$B:$B, "n/a"), 0),
        _xlpm.ie_camera_on_date, IFERROR(AVERAGEIFS(Log!$G:$G, Log!$D:$D,P$4,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0" s="68" t="str">
        <f>IFERROR(
    _xlfn.LET(
        _xlpm.is_data_present, $A130&lt;&gt;0,
        _xlpm.is_camera_present, COUNTIFS(Log!$C:$C, $A130, Log!$D:$D, Q$4, Log!$A:$A, "Daily", Log!$B:$B, "n/a"),
        _xlpm.we_camera_on_date, IFERROR(AVERAGEIFS(Log!$F:$F, Log!$D:$D,Q$4, Log!$C:$C, $A130, Log!$A:$A, "Daily", Log!$B:$B, "n/a"), 0),
        _xlpm.ie_camera_on_date, IFERROR(AVERAGEIFS(Log!$G:$G, Log!$D:$D,Q$4,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0" s="68" t="str">
        <f>IFERROR(
    _xlfn.LET(
        _xlpm.is_data_present, $A130&lt;&gt;0,
        _xlpm.is_camera_present, COUNTIFS(Log!$C:$C, $A130, Log!$D:$D, R$4, Log!$A:$A, "Daily", Log!$B:$B, "n/a"),
        _xlpm.we_camera_on_date, IFERROR(AVERAGEIFS(Log!$F:$F, Log!$D:$D,R$4, Log!$C:$C, $A130, Log!$A:$A, "Daily", Log!$B:$B, "n/a"), 0),
        _xlpm.ie_camera_on_date, IFERROR(AVERAGEIFS(Log!$G:$G, Log!$D:$D,R$4,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0" s="68" t="str">
        <f>IFERROR(
    _xlfn.LET(
        _xlpm.is_data_present, $A130&lt;&gt;0,
        _xlpm.is_camera_present, COUNTIFS(Log!$C:$C, $A130, Log!$D:$D, S$4, Log!$A:$A, "Daily", Log!$B:$B, "n/a"),
        _xlpm.we_camera_on_date, IFERROR(AVERAGEIFS(Log!$F:$F, Log!$D:$D,S$4, Log!$C:$C, $A130, Log!$A:$A, "Daily", Log!$B:$B, "n/a"), 0),
        _xlpm.ie_camera_on_date, IFERROR(AVERAGEIFS(Log!$G:$G, Log!$D:$D,S$4, Log!$C:$C, $A130, Log!$A:$A, "Daily", Log!$B:$B, "n/a"), 0),
        _xlpm.we_avg, IFERROR(AVERAGEIFS(Log!$F:$F,Log!$C:$C,$A130, Log!$A:$A, "Daily", Log!$B:$B, "n/a"),0),
        _xlpm.ie_avg, IFERROR(AVERAGEIFS(Log!$G:$G,Log!$C:$C,$A130,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1" spans="2:19" x14ac:dyDescent="0.3">
      <c r="B131" s="68" t="str">
        <f>IFERROR(
    _xlfn.LET(
        _xlpm.is_data_present, $A131&lt;&gt;0,
        _xlpm.is_camera_present, COUNTIFS(Log!$C:$C, $A131, Log!$D:$D, B$4, Log!$A:$A, "Daily", Log!$B:$B, "n/a"),
        _xlpm.we_camera_on_date, IFERROR(AVERAGEIFS(Log!$F:$F, Log!$D:$D,B$4, Log!$C:$C, $A131, Log!$A:$A, "Daily", Log!$B:$B, "n/a"), 0),
        _xlpm.ie_camera_on_date, IFERROR(AVERAGEIFS(Log!$G:$G, Log!$D:$D,B$4,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1" s="68" t="str">
        <f>IFERROR(
    _xlfn.LET(
        _xlpm.is_data_present, $A131&lt;&gt;0,
        _xlpm.is_camera_present, COUNTIFS(Log!$C:$C, $A131, Log!$D:$D, C$4, Log!$A:$A, "Daily", Log!$B:$B, "n/a"),
        _xlpm.we_camera_on_date, IFERROR(AVERAGEIFS(Log!$F:$F, Log!$D:$D,C$4, Log!$C:$C, $A131, Log!$A:$A, "Daily", Log!$B:$B, "n/a"), 0),
        _xlpm.ie_camera_on_date, IFERROR(AVERAGEIFS(Log!$G:$G, Log!$D:$D,C$4,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1" s="68" t="str">
        <f>IFERROR(
    _xlfn.LET(
        _xlpm.is_data_present, $A131&lt;&gt;0,
        _xlpm.is_camera_present, COUNTIFS(Log!$C:$C, $A131, Log!$D:$D, D$4, Log!$A:$A, "Daily", Log!$B:$B, "n/a"),
        _xlpm.we_camera_on_date, IFERROR(AVERAGEIFS(Log!$F:$F, Log!$D:$D,D$4, Log!$C:$C, $A131, Log!$A:$A, "Daily", Log!$B:$B, "n/a"), 0),
        _xlpm.ie_camera_on_date, IFERROR(AVERAGEIFS(Log!$G:$G, Log!$D:$D,D$4,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1" s="68" t="str">
        <f>IFERROR(
    _xlfn.LET(
        _xlpm.is_data_present, $A131&lt;&gt;0,
        _xlpm.is_camera_present, COUNTIFS(Log!$C:$C, $A131, Log!$D:$D, E$4, Log!$A:$A, "Daily", Log!$B:$B, "n/a"),
        _xlpm.we_camera_on_date, IFERROR(AVERAGEIFS(Log!$F:$F, Log!$D:$D,E$4, Log!$C:$C, $A131, Log!$A:$A, "Daily", Log!$B:$B, "n/a"), 0),
        _xlpm.ie_camera_on_date, IFERROR(AVERAGEIFS(Log!$G:$G, Log!$D:$D,E$4,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1" s="68" t="str">
        <f>IFERROR(
    _xlfn.LET(
        _xlpm.is_data_present, $A131&lt;&gt;0,
        _xlpm.is_camera_present, COUNTIFS(Log!$C:$C, $A131, Log!$D:$D, F$4, Log!$A:$A, "Daily", Log!$B:$B, "n/a"),
        _xlpm.we_camera_on_date, IFERROR(AVERAGEIFS(Log!$F:$F, Log!$D:$D,F$4, Log!$C:$C, $A131, Log!$A:$A, "Daily", Log!$B:$B, "n/a"), 0),
        _xlpm.ie_camera_on_date, IFERROR(AVERAGEIFS(Log!$G:$G, Log!$D:$D,F$4,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1" s="68" t="str">
        <f>IFERROR(
    _xlfn.LET(
        _xlpm.is_data_present, $A131&lt;&gt;0,
        _xlpm.is_camera_present, COUNTIFS(Log!$C:$C, $A131, Log!$D:$D, G$4, Log!$A:$A, "Daily", Log!$B:$B, "n/a"),
        _xlpm.we_camera_on_date, IFERROR(AVERAGEIFS(Log!$F:$F, Log!$D:$D,G$4, Log!$C:$C, $A131, Log!$A:$A, "Daily", Log!$B:$B, "n/a"), 0),
        _xlpm.ie_camera_on_date, IFERROR(AVERAGEIFS(Log!$G:$G, Log!$D:$D,G$4,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1" s="68" t="str">
        <f>IFERROR(
    _xlfn.LET(
        _xlpm.is_data_present, $A131&lt;&gt;0,
        _xlpm.is_camera_present, COUNTIFS(Log!$C:$C, $A131, Log!$D:$D, H$4, Log!$A:$A, "Daily", Log!$B:$B, "n/a"),
        _xlpm.we_camera_on_date, IFERROR(AVERAGEIFS(Log!$F:$F, Log!$D:$D,H$4, Log!$C:$C, $A131, Log!$A:$A, "Daily", Log!$B:$B, "n/a"), 0),
        _xlpm.ie_camera_on_date, IFERROR(AVERAGEIFS(Log!$G:$G, Log!$D:$D,H$4,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1" s="68" t="str">
        <f>IFERROR(
    _xlfn.LET(
        _xlpm.is_data_present, $A131&lt;&gt;0,
        _xlpm.is_camera_present, COUNTIFS(Log!$C:$C, $A131, Log!$D:$D, I$4, Log!$A:$A, "Daily", Log!$B:$B, "n/a"),
        _xlpm.we_camera_on_date, IFERROR(AVERAGEIFS(Log!$F:$F, Log!$D:$D,I$4, Log!$C:$C, $A131, Log!$A:$A, "Daily", Log!$B:$B, "n/a"), 0),
        _xlpm.ie_camera_on_date, IFERROR(AVERAGEIFS(Log!$G:$G, Log!$D:$D,I$4,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1" s="68" t="str">
        <f>IFERROR(
    _xlfn.LET(
        _xlpm.is_data_present, $A131&lt;&gt;0,
        _xlpm.is_camera_present, COUNTIFS(Log!$C:$C, $A131, Log!$D:$D, J$4, Log!$A:$A, "Daily", Log!$B:$B, "n/a"),
        _xlpm.we_camera_on_date, IFERROR(AVERAGEIFS(Log!$F:$F, Log!$D:$D,J$4, Log!$C:$C, $A131, Log!$A:$A, "Daily", Log!$B:$B, "n/a"), 0),
        _xlpm.ie_camera_on_date, IFERROR(AVERAGEIFS(Log!$G:$G, Log!$D:$D,J$4,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1" s="68" t="str">
        <f>IFERROR(
    _xlfn.LET(
        _xlpm.is_data_present, $A131&lt;&gt;0,
        _xlpm.is_camera_present, COUNTIFS(Log!$C:$C, $A131, Log!$D:$D, K$4, Log!$A:$A, "Daily", Log!$B:$B, "n/a"),
        _xlpm.we_camera_on_date, IFERROR(AVERAGEIFS(Log!$F:$F, Log!$D:$D,K$4, Log!$C:$C, $A131, Log!$A:$A, "Daily", Log!$B:$B, "n/a"), 0),
        _xlpm.ie_camera_on_date, IFERROR(AVERAGEIFS(Log!$G:$G, Log!$D:$D,K$4,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1" s="68" t="str">
        <f>IFERROR(
    _xlfn.LET(
        _xlpm.is_data_present, $A131&lt;&gt;0,
        _xlpm.is_camera_present, COUNTIFS(Log!$C:$C, $A131, Log!$D:$D, L$4, Log!$A:$A, "Daily", Log!$B:$B, "n/a"),
        _xlpm.we_camera_on_date, IFERROR(AVERAGEIFS(Log!$F:$F, Log!$D:$D,L$4, Log!$C:$C, $A131, Log!$A:$A, "Daily", Log!$B:$B, "n/a"), 0),
        _xlpm.ie_camera_on_date, IFERROR(AVERAGEIFS(Log!$G:$G, Log!$D:$D,L$4,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1" s="68" t="str">
        <f>IFERROR(
    _xlfn.LET(
        _xlpm.is_data_present, $A131&lt;&gt;0,
        _xlpm.is_camera_present, COUNTIFS(Log!$C:$C, $A131, Log!$D:$D, M$4, Log!$A:$A, "Daily", Log!$B:$B, "n/a"),
        _xlpm.we_camera_on_date, IFERROR(AVERAGEIFS(Log!$F:$F, Log!$D:$D,M$4, Log!$C:$C, $A131, Log!$A:$A, "Daily", Log!$B:$B, "n/a"), 0),
        _xlpm.ie_camera_on_date, IFERROR(AVERAGEIFS(Log!$G:$G, Log!$D:$D,M$4,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1" s="68" t="str">
        <f>IFERROR(
    _xlfn.LET(
        _xlpm.is_data_present, $A131&lt;&gt;0,
        _xlpm.is_camera_present, COUNTIFS(Log!$C:$C, $A131, Log!$D:$D, N$4, Log!$A:$A, "Daily", Log!$B:$B, "n/a"),
        _xlpm.we_camera_on_date, IFERROR(AVERAGEIFS(Log!$F:$F, Log!$D:$D,N$4, Log!$C:$C, $A131, Log!$A:$A, "Daily", Log!$B:$B, "n/a"), 0),
        _xlpm.ie_camera_on_date, IFERROR(AVERAGEIFS(Log!$G:$G, Log!$D:$D,N$4,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1" s="68" t="str">
        <f>IFERROR(
    _xlfn.LET(
        _xlpm.is_data_present, $A131&lt;&gt;0,
        _xlpm.is_camera_present, COUNTIFS(Log!$C:$C, $A131, Log!$D:$D, O$4, Log!$A:$A, "Daily", Log!$B:$B, "n/a"),
        _xlpm.we_camera_on_date, IFERROR(AVERAGEIFS(Log!$F:$F, Log!$D:$D,O$4, Log!$C:$C, $A131, Log!$A:$A, "Daily", Log!$B:$B, "n/a"), 0),
        _xlpm.ie_camera_on_date, IFERROR(AVERAGEIFS(Log!$G:$G, Log!$D:$D,O$4,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1" s="68" t="str">
        <f>IFERROR(
    _xlfn.LET(
        _xlpm.is_data_present, $A131&lt;&gt;0,
        _xlpm.is_camera_present, COUNTIFS(Log!$C:$C, $A131, Log!$D:$D, P$4, Log!$A:$A, "Daily", Log!$B:$B, "n/a"),
        _xlpm.we_camera_on_date, IFERROR(AVERAGEIFS(Log!$F:$F, Log!$D:$D,P$4, Log!$C:$C, $A131, Log!$A:$A, "Daily", Log!$B:$B, "n/a"), 0),
        _xlpm.ie_camera_on_date, IFERROR(AVERAGEIFS(Log!$G:$G, Log!$D:$D,P$4,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1" s="68" t="str">
        <f>IFERROR(
    _xlfn.LET(
        _xlpm.is_data_present, $A131&lt;&gt;0,
        _xlpm.is_camera_present, COUNTIFS(Log!$C:$C, $A131, Log!$D:$D, Q$4, Log!$A:$A, "Daily", Log!$B:$B, "n/a"),
        _xlpm.we_camera_on_date, IFERROR(AVERAGEIFS(Log!$F:$F, Log!$D:$D,Q$4, Log!$C:$C, $A131, Log!$A:$A, "Daily", Log!$B:$B, "n/a"), 0),
        _xlpm.ie_camera_on_date, IFERROR(AVERAGEIFS(Log!$G:$G, Log!$D:$D,Q$4,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1" s="68" t="str">
        <f>IFERROR(
    _xlfn.LET(
        _xlpm.is_data_present, $A131&lt;&gt;0,
        _xlpm.is_camera_present, COUNTIFS(Log!$C:$C, $A131, Log!$D:$D, R$4, Log!$A:$A, "Daily", Log!$B:$B, "n/a"),
        _xlpm.we_camera_on_date, IFERROR(AVERAGEIFS(Log!$F:$F, Log!$D:$D,R$4, Log!$C:$C, $A131, Log!$A:$A, "Daily", Log!$B:$B, "n/a"), 0),
        _xlpm.ie_camera_on_date, IFERROR(AVERAGEIFS(Log!$G:$G, Log!$D:$D,R$4,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1" s="68" t="str">
        <f>IFERROR(
    _xlfn.LET(
        _xlpm.is_data_present, $A131&lt;&gt;0,
        _xlpm.is_camera_present, COUNTIFS(Log!$C:$C, $A131, Log!$D:$D, S$4, Log!$A:$A, "Daily", Log!$B:$B, "n/a"),
        _xlpm.we_camera_on_date, IFERROR(AVERAGEIFS(Log!$F:$F, Log!$D:$D,S$4, Log!$C:$C, $A131, Log!$A:$A, "Daily", Log!$B:$B, "n/a"), 0),
        _xlpm.ie_camera_on_date, IFERROR(AVERAGEIFS(Log!$G:$G, Log!$D:$D,S$4, Log!$C:$C, $A131, Log!$A:$A, "Daily", Log!$B:$B, "n/a"), 0),
        _xlpm.we_avg, IFERROR(AVERAGEIFS(Log!$F:$F,Log!$C:$C,$A131, Log!$A:$A, "Daily", Log!$B:$B, "n/a"),0),
        _xlpm.ie_avg, IFERROR(AVERAGEIFS(Log!$G:$G,Log!$C:$C,$A131,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2" spans="2:19" x14ac:dyDescent="0.3">
      <c r="B132" s="68" t="str">
        <f>IFERROR(
    _xlfn.LET(
        _xlpm.is_data_present, $A132&lt;&gt;0,
        _xlpm.is_camera_present, COUNTIFS(Log!$C:$C, $A132, Log!$D:$D, B$4, Log!$A:$A, "Daily", Log!$B:$B, "n/a"),
        _xlpm.we_camera_on_date, IFERROR(AVERAGEIFS(Log!$F:$F, Log!$D:$D,B$4, Log!$C:$C, $A132, Log!$A:$A, "Daily", Log!$B:$B, "n/a"), 0),
        _xlpm.ie_camera_on_date, IFERROR(AVERAGEIFS(Log!$G:$G, Log!$D:$D,B$4,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2" s="68" t="str">
        <f>IFERROR(
    _xlfn.LET(
        _xlpm.is_data_present, $A132&lt;&gt;0,
        _xlpm.is_camera_present, COUNTIFS(Log!$C:$C, $A132, Log!$D:$D, C$4, Log!$A:$A, "Daily", Log!$B:$B, "n/a"),
        _xlpm.we_camera_on_date, IFERROR(AVERAGEIFS(Log!$F:$F, Log!$D:$D,C$4, Log!$C:$C, $A132, Log!$A:$A, "Daily", Log!$B:$B, "n/a"), 0),
        _xlpm.ie_camera_on_date, IFERROR(AVERAGEIFS(Log!$G:$G, Log!$D:$D,C$4,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2" s="68" t="str">
        <f>IFERROR(
    _xlfn.LET(
        _xlpm.is_data_present, $A132&lt;&gt;0,
        _xlpm.is_camera_present, COUNTIFS(Log!$C:$C, $A132, Log!$D:$D, D$4, Log!$A:$A, "Daily", Log!$B:$B, "n/a"),
        _xlpm.we_camera_on_date, IFERROR(AVERAGEIFS(Log!$F:$F, Log!$D:$D,D$4, Log!$C:$C, $A132, Log!$A:$A, "Daily", Log!$B:$B, "n/a"), 0),
        _xlpm.ie_camera_on_date, IFERROR(AVERAGEIFS(Log!$G:$G, Log!$D:$D,D$4,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2" s="68" t="str">
        <f>IFERROR(
    _xlfn.LET(
        _xlpm.is_data_present, $A132&lt;&gt;0,
        _xlpm.is_camera_present, COUNTIFS(Log!$C:$C, $A132, Log!$D:$D, E$4, Log!$A:$A, "Daily", Log!$B:$B, "n/a"),
        _xlpm.we_camera_on_date, IFERROR(AVERAGEIFS(Log!$F:$F, Log!$D:$D,E$4, Log!$C:$C, $A132, Log!$A:$A, "Daily", Log!$B:$B, "n/a"), 0),
        _xlpm.ie_camera_on_date, IFERROR(AVERAGEIFS(Log!$G:$G, Log!$D:$D,E$4,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2" s="68" t="str">
        <f>IFERROR(
    _xlfn.LET(
        _xlpm.is_data_present, $A132&lt;&gt;0,
        _xlpm.is_camera_present, COUNTIFS(Log!$C:$C, $A132, Log!$D:$D, F$4, Log!$A:$A, "Daily", Log!$B:$B, "n/a"),
        _xlpm.we_camera_on_date, IFERROR(AVERAGEIFS(Log!$F:$F, Log!$D:$D,F$4, Log!$C:$C, $A132, Log!$A:$A, "Daily", Log!$B:$B, "n/a"), 0),
        _xlpm.ie_camera_on_date, IFERROR(AVERAGEIFS(Log!$G:$G, Log!$D:$D,F$4,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2" s="68" t="str">
        <f>IFERROR(
    _xlfn.LET(
        _xlpm.is_data_present, $A132&lt;&gt;0,
        _xlpm.is_camera_present, COUNTIFS(Log!$C:$C, $A132, Log!$D:$D, G$4, Log!$A:$A, "Daily", Log!$B:$B, "n/a"),
        _xlpm.we_camera_on_date, IFERROR(AVERAGEIFS(Log!$F:$F, Log!$D:$D,G$4, Log!$C:$C, $A132, Log!$A:$A, "Daily", Log!$B:$B, "n/a"), 0),
        _xlpm.ie_camera_on_date, IFERROR(AVERAGEIFS(Log!$G:$G, Log!$D:$D,G$4,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2" s="68" t="str">
        <f>IFERROR(
    _xlfn.LET(
        _xlpm.is_data_present, $A132&lt;&gt;0,
        _xlpm.is_camera_present, COUNTIFS(Log!$C:$C, $A132, Log!$D:$D, H$4, Log!$A:$A, "Daily", Log!$B:$B, "n/a"),
        _xlpm.we_camera_on_date, IFERROR(AVERAGEIFS(Log!$F:$F, Log!$D:$D,H$4, Log!$C:$C, $A132, Log!$A:$A, "Daily", Log!$B:$B, "n/a"), 0),
        _xlpm.ie_camera_on_date, IFERROR(AVERAGEIFS(Log!$G:$G, Log!$D:$D,H$4,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2" s="68" t="str">
        <f>IFERROR(
    _xlfn.LET(
        _xlpm.is_data_present, $A132&lt;&gt;0,
        _xlpm.is_camera_present, COUNTIFS(Log!$C:$C, $A132, Log!$D:$D, I$4, Log!$A:$A, "Daily", Log!$B:$B, "n/a"),
        _xlpm.we_camera_on_date, IFERROR(AVERAGEIFS(Log!$F:$F, Log!$D:$D,I$4, Log!$C:$C, $A132, Log!$A:$A, "Daily", Log!$B:$B, "n/a"), 0),
        _xlpm.ie_camera_on_date, IFERROR(AVERAGEIFS(Log!$G:$G, Log!$D:$D,I$4,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2" s="68" t="str">
        <f>IFERROR(
    _xlfn.LET(
        _xlpm.is_data_present, $A132&lt;&gt;0,
        _xlpm.is_camera_present, COUNTIFS(Log!$C:$C, $A132, Log!$D:$D, J$4, Log!$A:$A, "Daily", Log!$B:$B, "n/a"),
        _xlpm.we_camera_on_date, IFERROR(AVERAGEIFS(Log!$F:$F, Log!$D:$D,J$4, Log!$C:$C, $A132, Log!$A:$A, "Daily", Log!$B:$B, "n/a"), 0),
        _xlpm.ie_camera_on_date, IFERROR(AVERAGEIFS(Log!$G:$G, Log!$D:$D,J$4,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2" s="68" t="str">
        <f>IFERROR(
    _xlfn.LET(
        _xlpm.is_data_present, $A132&lt;&gt;0,
        _xlpm.is_camera_present, COUNTIFS(Log!$C:$C, $A132, Log!$D:$D, K$4, Log!$A:$A, "Daily", Log!$B:$B, "n/a"),
        _xlpm.we_camera_on_date, IFERROR(AVERAGEIFS(Log!$F:$F, Log!$D:$D,K$4, Log!$C:$C, $A132, Log!$A:$A, "Daily", Log!$B:$B, "n/a"), 0),
        _xlpm.ie_camera_on_date, IFERROR(AVERAGEIFS(Log!$G:$G, Log!$D:$D,K$4,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2" s="68" t="str">
        <f>IFERROR(
    _xlfn.LET(
        _xlpm.is_data_present, $A132&lt;&gt;0,
        _xlpm.is_camera_present, COUNTIFS(Log!$C:$C, $A132, Log!$D:$D, L$4, Log!$A:$A, "Daily", Log!$B:$B, "n/a"),
        _xlpm.we_camera_on_date, IFERROR(AVERAGEIFS(Log!$F:$F, Log!$D:$D,L$4, Log!$C:$C, $A132, Log!$A:$A, "Daily", Log!$B:$B, "n/a"), 0),
        _xlpm.ie_camera_on_date, IFERROR(AVERAGEIFS(Log!$G:$G, Log!$D:$D,L$4,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2" s="68" t="str">
        <f>IFERROR(
    _xlfn.LET(
        _xlpm.is_data_present, $A132&lt;&gt;0,
        _xlpm.is_camera_present, COUNTIFS(Log!$C:$C, $A132, Log!$D:$D, M$4, Log!$A:$A, "Daily", Log!$B:$B, "n/a"),
        _xlpm.we_camera_on_date, IFERROR(AVERAGEIFS(Log!$F:$F, Log!$D:$D,M$4, Log!$C:$C, $A132, Log!$A:$A, "Daily", Log!$B:$B, "n/a"), 0),
        _xlpm.ie_camera_on_date, IFERROR(AVERAGEIFS(Log!$G:$G, Log!$D:$D,M$4,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2" s="68" t="str">
        <f>IFERROR(
    _xlfn.LET(
        _xlpm.is_data_present, $A132&lt;&gt;0,
        _xlpm.is_camera_present, COUNTIFS(Log!$C:$C, $A132, Log!$D:$D, N$4, Log!$A:$A, "Daily", Log!$B:$B, "n/a"),
        _xlpm.we_camera_on_date, IFERROR(AVERAGEIFS(Log!$F:$F, Log!$D:$D,N$4, Log!$C:$C, $A132, Log!$A:$A, "Daily", Log!$B:$B, "n/a"), 0),
        _xlpm.ie_camera_on_date, IFERROR(AVERAGEIFS(Log!$G:$G, Log!$D:$D,N$4,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2" s="68" t="str">
        <f>IFERROR(
    _xlfn.LET(
        _xlpm.is_data_present, $A132&lt;&gt;0,
        _xlpm.is_camera_present, COUNTIFS(Log!$C:$C, $A132, Log!$D:$D, O$4, Log!$A:$A, "Daily", Log!$B:$B, "n/a"),
        _xlpm.we_camera_on_date, IFERROR(AVERAGEIFS(Log!$F:$F, Log!$D:$D,O$4, Log!$C:$C, $A132, Log!$A:$A, "Daily", Log!$B:$B, "n/a"), 0),
        _xlpm.ie_camera_on_date, IFERROR(AVERAGEIFS(Log!$G:$G, Log!$D:$D,O$4,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2" s="68" t="str">
        <f>IFERROR(
    _xlfn.LET(
        _xlpm.is_data_present, $A132&lt;&gt;0,
        _xlpm.is_camera_present, COUNTIFS(Log!$C:$C, $A132, Log!$D:$D, P$4, Log!$A:$A, "Daily", Log!$B:$B, "n/a"),
        _xlpm.we_camera_on_date, IFERROR(AVERAGEIFS(Log!$F:$F, Log!$D:$D,P$4, Log!$C:$C, $A132, Log!$A:$A, "Daily", Log!$B:$B, "n/a"), 0),
        _xlpm.ie_camera_on_date, IFERROR(AVERAGEIFS(Log!$G:$G, Log!$D:$D,P$4,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2" s="68" t="str">
        <f>IFERROR(
    _xlfn.LET(
        _xlpm.is_data_present, $A132&lt;&gt;0,
        _xlpm.is_camera_present, COUNTIFS(Log!$C:$C, $A132, Log!$D:$D, Q$4, Log!$A:$A, "Daily", Log!$B:$B, "n/a"),
        _xlpm.we_camera_on_date, IFERROR(AVERAGEIFS(Log!$F:$F, Log!$D:$D,Q$4, Log!$C:$C, $A132, Log!$A:$A, "Daily", Log!$B:$B, "n/a"), 0),
        _xlpm.ie_camera_on_date, IFERROR(AVERAGEIFS(Log!$G:$G, Log!$D:$D,Q$4,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2" s="68" t="str">
        <f>IFERROR(
    _xlfn.LET(
        _xlpm.is_data_present, $A132&lt;&gt;0,
        _xlpm.is_camera_present, COUNTIFS(Log!$C:$C, $A132, Log!$D:$D, R$4, Log!$A:$A, "Daily", Log!$B:$B, "n/a"),
        _xlpm.we_camera_on_date, IFERROR(AVERAGEIFS(Log!$F:$F, Log!$D:$D,R$4, Log!$C:$C, $A132, Log!$A:$A, "Daily", Log!$B:$B, "n/a"), 0),
        _xlpm.ie_camera_on_date, IFERROR(AVERAGEIFS(Log!$G:$G, Log!$D:$D,R$4,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2" s="68" t="str">
        <f>IFERROR(
    _xlfn.LET(
        _xlpm.is_data_present, $A132&lt;&gt;0,
        _xlpm.is_camera_present, COUNTIFS(Log!$C:$C, $A132, Log!$D:$D, S$4, Log!$A:$A, "Daily", Log!$B:$B, "n/a"),
        _xlpm.we_camera_on_date, IFERROR(AVERAGEIFS(Log!$F:$F, Log!$D:$D,S$4, Log!$C:$C, $A132, Log!$A:$A, "Daily", Log!$B:$B, "n/a"), 0),
        _xlpm.ie_camera_on_date, IFERROR(AVERAGEIFS(Log!$G:$G, Log!$D:$D,S$4, Log!$C:$C, $A132, Log!$A:$A, "Daily", Log!$B:$B, "n/a"), 0),
        _xlpm.we_avg, IFERROR(AVERAGEIFS(Log!$F:$F,Log!$C:$C,$A132, Log!$A:$A, "Daily", Log!$B:$B, "n/a"),0),
        _xlpm.ie_avg, IFERROR(AVERAGEIFS(Log!$G:$G,Log!$C:$C,$A132,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3" spans="2:19" x14ac:dyDescent="0.3">
      <c r="B133" s="68" t="str">
        <f>IFERROR(
    _xlfn.LET(
        _xlpm.is_data_present, $A133&lt;&gt;0,
        _xlpm.is_camera_present, COUNTIFS(Log!$C:$C, $A133, Log!$D:$D, B$4, Log!$A:$A, "Daily", Log!$B:$B, "n/a"),
        _xlpm.we_camera_on_date, IFERROR(AVERAGEIFS(Log!$F:$F, Log!$D:$D,B$4, Log!$C:$C, $A133, Log!$A:$A, "Daily", Log!$B:$B, "n/a"), 0),
        _xlpm.ie_camera_on_date, IFERROR(AVERAGEIFS(Log!$G:$G, Log!$D:$D,B$4,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3" s="68" t="str">
        <f>IFERROR(
    _xlfn.LET(
        _xlpm.is_data_present, $A133&lt;&gt;0,
        _xlpm.is_camera_present, COUNTIFS(Log!$C:$C, $A133, Log!$D:$D, C$4, Log!$A:$A, "Daily", Log!$B:$B, "n/a"),
        _xlpm.we_camera_on_date, IFERROR(AVERAGEIFS(Log!$F:$F, Log!$D:$D,C$4, Log!$C:$C, $A133, Log!$A:$A, "Daily", Log!$B:$B, "n/a"), 0),
        _xlpm.ie_camera_on_date, IFERROR(AVERAGEIFS(Log!$G:$G, Log!$D:$D,C$4,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3" s="68" t="str">
        <f>IFERROR(
    _xlfn.LET(
        _xlpm.is_data_present, $A133&lt;&gt;0,
        _xlpm.is_camera_present, COUNTIFS(Log!$C:$C, $A133, Log!$D:$D, D$4, Log!$A:$A, "Daily", Log!$B:$B, "n/a"),
        _xlpm.we_camera_on_date, IFERROR(AVERAGEIFS(Log!$F:$F, Log!$D:$D,D$4, Log!$C:$C, $A133, Log!$A:$A, "Daily", Log!$B:$B, "n/a"), 0),
        _xlpm.ie_camera_on_date, IFERROR(AVERAGEIFS(Log!$G:$G, Log!$D:$D,D$4,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3" s="68" t="str">
        <f>IFERROR(
    _xlfn.LET(
        _xlpm.is_data_present, $A133&lt;&gt;0,
        _xlpm.is_camera_present, COUNTIFS(Log!$C:$C, $A133, Log!$D:$D, E$4, Log!$A:$A, "Daily", Log!$B:$B, "n/a"),
        _xlpm.we_camera_on_date, IFERROR(AVERAGEIFS(Log!$F:$F, Log!$D:$D,E$4, Log!$C:$C, $A133, Log!$A:$A, "Daily", Log!$B:$B, "n/a"), 0),
        _xlpm.ie_camera_on_date, IFERROR(AVERAGEIFS(Log!$G:$G, Log!$D:$D,E$4,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3" s="68" t="str">
        <f>IFERROR(
    _xlfn.LET(
        _xlpm.is_data_present, $A133&lt;&gt;0,
        _xlpm.is_camera_present, COUNTIFS(Log!$C:$C, $A133, Log!$D:$D, F$4, Log!$A:$A, "Daily", Log!$B:$B, "n/a"),
        _xlpm.we_camera_on_date, IFERROR(AVERAGEIFS(Log!$F:$F, Log!$D:$D,F$4, Log!$C:$C, $A133, Log!$A:$A, "Daily", Log!$B:$B, "n/a"), 0),
        _xlpm.ie_camera_on_date, IFERROR(AVERAGEIFS(Log!$G:$G, Log!$D:$D,F$4,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3" s="68" t="str">
        <f>IFERROR(
    _xlfn.LET(
        _xlpm.is_data_present, $A133&lt;&gt;0,
        _xlpm.is_camera_present, COUNTIFS(Log!$C:$C, $A133, Log!$D:$D, G$4, Log!$A:$A, "Daily", Log!$B:$B, "n/a"),
        _xlpm.we_camera_on_date, IFERROR(AVERAGEIFS(Log!$F:$F, Log!$D:$D,G$4, Log!$C:$C, $A133, Log!$A:$A, "Daily", Log!$B:$B, "n/a"), 0),
        _xlpm.ie_camera_on_date, IFERROR(AVERAGEIFS(Log!$G:$G, Log!$D:$D,G$4,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3" s="68" t="str">
        <f>IFERROR(
    _xlfn.LET(
        _xlpm.is_data_present, $A133&lt;&gt;0,
        _xlpm.is_camera_present, COUNTIFS(Log!$C:$C, $A133, Log!$D:$D, H$4, Log!$A:$A, "Daily", Log!$B:$B, "n/a"),
        _xlpm.we_camera_on_date, IFERROR(AVERAGEIFS(Log!$F:$F, Log!$D:$D,H$4, Log!$C:$C, $A133, Log!$A:$A, "Daily", Log!$B:$B, "n/a"), 0),
        _xlpm.ie_camera_on_date, IFERROR(AVERAGEIFS(Log!$G:$G, Log!$D:$D,H$4,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3" s="68" t="str">
        <f>IFERROR(
    _xlfn.LET(
        _xlpm.is_data_present, $A133&lt;&gt;0,
        _xlpm.is_camera_present, COUNTIFS(Log!$C:$C, $A133, Log!$D:$D, I$4, Log!$A:$A, "Daily", Log!$B:$B, "n/a"),
        _xlpm.we_camera_on_date, IFERROR(AVERAGEIFS(Log!$F:$F, Log!$D:$D,I$4, Log!$C:$C, $A133, Log!$A:$A, "Daily", Log!$B:$B, "n/a"), 0),
        _xlpm.ie_camera_on_date, IFERROR(AVERAGEIFS(Log!$G:$G, Log!$D:$D,I$4,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3" s="68" t="str">
        <f>IFERROR(
    _xlfn.LET(
        _xlpm.is_data_present, $A133&lt;&gt;0,
        _xlpm.is_camera_present, COUNTIFS(Log!$C:$C, $A133, Log!$D:$D, J$4, Log!$A:$A, "Daily", Log!$B:$B, "n/a"),
        _xlpm.we_camera_on_date, IFERROR(AVERAGEIFS(Log!$F:$F, Log!$D:$D,J$4, Log!$C:$C, $A133, Log!$A:$A, "Daily", Log!$B:$B, "n/a"), 0),
        _xlpm.ie_camera_on_date, IFERROR(AVERAGEIFS(Log!$G:$G, Log!$D:$D,J$4,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3" s="68" t="str">
        <f>IFERROR(
    _xlfn.LET(
        _xlpm.is_data_present, $A133&lt;&gt;0,
        _xlpm.is_camera_present, COUNTIFS(Log!$C:$C, $A133, Log!$D:$D, K$4, Log!$A:$A, "Daily", Log!$B:$B, "n/a"),
        _xlpm.we_camera_on_date, IFERROR(AVERAGEIFS(Log!$F:$F, Log!$D:$D,K$4, Log!$C:$C, $A133, Log!$A:$A, "Daily", Log!$B:$B, "n/a"), 0),
        _xlpm.ie_camera_on_date, IFERROR(AVERAGEIFS(Log!$G:$G, Log!$D:$D,K$4,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3" s="68" t="str">
        <f>IFERROR(
    _xlfn.LET(
        _xlpm.is_data_present, $A133&lt;&gt;0,
        _xlpm.is_camera_present, COUNTIFS(Log!$C:$C, $A133, Log!$D:$D, L$4, Log!$A:$A, "Daily", Log!$B:$B, "n/a"),
        _xlpm.we_camera_on_date, IFERROR(AVERAGEIFS(Log!$F:$F, Log!$D:$D,L$4, Log!$C:$C, $A133, Log!$A:$A, "Daily", Log!$B:$B, "n/a"), 0),
        _xlpm.ie_camera_on_date, IFERROR(AVERAGEIFS(Log!$G:$G, Log!$D:$D,L$4,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3" s="68" t="str">
        <f>IFERROR(
    _xlfn.LET(
        _xlpm.is_data_present, $A133&lt;&gt;0,
        _xlpm.is_camera_present, COUNTIFS(Log!$C:$C, $A133, Log!$D:$D, M$4, Log!$A:$A, "Daily", Log!$B:$B, "n/a"),
        _xlpm.we_camera_on_date, IFERROR(AVERAGEIFS(Log!$F:$F, Log!$D:$D,M$4, Log!$C:$C, $A133, Log!$A:$A, "Daily", Log!$B:$B, "n/a"), 0),
        _xlpm.ie_camera_on_date, IFERROR(AVERAGEIFS(Log!$G:$G, Log!$D:$D,M$4,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3" s="68" t="str">
        <f>IFERROR(
    _xlfn.LET(
        _xlpm.is_data_present, $A133&lt;&gt;0,
        _xlpm.is_camera_present, COUNTIFS(Log!$C:$C, $A133, Log!$D:$D, N$4, Log!$A:$A, "Daily", Log!$B:$B, "n/a"),
        _xlpm.we_camera_on_date, IFERROR(AVERAGEIFS(Log!$F:$F, Log!$D:$D,N$4, Log!$C:$C, $A133, Log!$A:$A, "Daily", Log!$B:$B, "n/a"), 0),
        _xlpm.ie_camera_on_date, IFERROR(AVERAGEIFS(Log!$G:$G, Log!$D:$D,N$4,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3" s="68" t="str">
        <f>IFERROR(
    _xlfn.LET(
        _xlpm.is_data_present, $A133&lt;&gt;0,
        _xlpm.is_camera_present, COUNTIFS(Log!$C:$C, $A133, Log!$D:$D, O$4, Log!$A:$A, "Daily", Log!$B:$B, "n/a"),
        _xlpm.we_camera_on_date, IFERROR(AVERAGEIFS(Log!$F:$F, Log!$D:$D,O$4, Log!$C:$C, $A133, Log!$A:$A, "Daily", Log!$B:$B, "n/a"), 0),
        _xlpm.ie_camera_on_date, IFERROR(AVERAGEIFS(Log!$G:$G, Log!$D:$D,O$4,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3" s="68" t="str">
        <f>IFERROR(
    _xlfn.LET(
        _xlpm.is_data_present, $A133&lt;&gt;0,
        _xlpm.is_camera_present, COUNTIFS(Log!$C:$C, $A133, Log!$D:$D, P$4, Log!$A:$A, "Daily", Log!$B:$B, "n/a"),
        _xlpm.we_camera_on_date, IFERROR(AVERAGEIFS(Log!$F:$F, Log!$D:$D,P$4, Log!$C:$C, $A133, Log!$A:$A, "Daily", Log!$B:$B, "n/a"), 0),
        _xlpm.ie_camera_on_date, IFERROR(AVERAGEIFS(Log!$G:$G, Log!$D:$D,P$4,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3" s="68" t="str">
        <f>IFERROR(
    _xlfn.LET(
        _xlpm.is_data_present, $A133&lt;&gt;0,
        _xlpm.is_camera_present, COUNTIFS(Log!$C:$C, $A133, Log!$D:$D, Q$4, Log!$A:$A, "Daily", Log!$B:$B, "n/a"),
        _xlpm.we_camera_on_date, IFERROR(AVERAGEIFS(Log!$F:$F, Log!$D:$D,Q$4, Log!$C:$C, $A133, Log!$A:$A, "Daily", Log!$B:$B, "n/a"), 0),
        _xlpm.ie_camera_on_date, IFERROR(AVERAGEIFS(Log!$G:$G, Log!$D:$D,Q$4,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3" s="68" t="str">
        <f>IFERROR(
    _xlfn.LET(
        _xlpm.is_data_present, $A133&lt;&gt;0,
        _xlpm.is_camera_present, COUNTIFS(Log!$C:$C, $A133, Log!$D:$D, R$4, Log!$A:$A, "Daily", Log!$B:$B, "n/a"),
        _xlpm.we_camera_on_date, IFERROR(AVERAGEIFS(Log!$F:$F, Log!$D:$D,R$4, Log!$C:$C, $A133, Log!$A:$A, "Daily", Log!$B:$B, "n/a"), 0),
        _xlpm.ie_camera_on_date, IFERROR(AVERAGEIFS(Log!$G:$G, Log!$D:$D,R$4,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3" s="68" t="str">
        <f>IFERROR(
    _xlfn.LET(
        _xlpm.is_data_present, $A133&lt;&gt;0,
        _xlpm.is_camera_present, COUNTIFS(Log!$C:$C, $A133, Log!$D:$D, S$4, Log!$A:$A, "Daily", Log!$B:$B, "n/a"),
        _xlpm.we_camera_on_date, IFERROR(AVERAGEIFS(Log!$F:$F, Log!$D:$D,S$4, Log!$C:$C, $A133, Log!$A:$A, "Daily", Log!$B:$B, "n/a"), 0),
        _xlpm.ie_camera_on_date, IFERROR(AVERAGEIFS(Log!$G:$G, Log!$D:$D,S$4, Log!$C:$C, $A133, Log!$A:$A, "Daily", Log!$B:$B, "n/a"), 0),
        _xlpm.we_avg, IFERROR(AVERAGEIFS(Log!$F:$F,Log!$C:$C,$A133, Log!$A:$A, "Daily", Log!$B:$B, "n/a"),0),
        _xlpm.ie_avg, IFERROR(AVERAGEIFS(Log!$G:$G,Log!$C:$C,$A133,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4" spans="2:19" x14ac:dyDescent="0.3">
      <c r="B134" s="68" t="str">
        <f>IFERROR(
    _xlfn.LET(
        _xlpm.is_data_present, $A134&lt;&gt;0,
        _xlpm.is_camera_present, COUNTIFS(Log!$C:$C, $A134, Log!$D:$D, B$4, Log!$A:$A, "Daily", Log!$B:$B, "n/a"),
        _xlpm.we_camera_on_date, IFERROR(AVERAGEIFS(Log!$F:$F, Log!$D:$D,B$4, Log!$C:$C, $A134, Log!$A:$A, "Daily", Log!$B:$B, "n/a"), 0),
        _xlpm.ie_camera_on_date, IFERROR(AVERAGEIFS(Log!$G:$G, Log!$D:$D,B$4,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4" s="68" t="str">
        <f>IFERROR(
    _xlfn.LET(
        _xlpm.is_data_present, $A134&lt;&gt;0,
        _xlpm.is_camera_present, COUNTIFS(Log!$C:$C, $A134, Log!$D:$D, C$4, Log!$A:$A, "Daily", Log!$B:$B, "n/a"),
        _xlpm.we_camera_on_date, IFERROR(AVERAGEIFS(Log!$F:$F, Log!$D:$D,C$4, Log!$C:$C, $A134, Log!$A:$A, "Daily", Log!$B:$B, "n/a"), 0),
        _xlpm.ie_camera_on_date, IFERROR(AVERAGEIFS(Log!$G:$G, Log!$D:$D,C$4,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4" s="68" t="str">
        <f>IFERROR(
    _xlfn.LET(
        _xlpm.is_data_present, $A134&lt;&gt;0,
        _xlpm.is_camera_present, COUNTIFS(Log!$C:$C, $A134, Log!$D:$D, D$4, Log!$A:$A, "Daily", Log!$B:$B, "n/a"),
        _xlpm.we_camera_on_date, IFERROR(AVERAGEIFS(Log!$F:$F, Log!$D:$D,D$4, Log!$C:$C, $A134, Log!$A:$A, "Daily", Log!$B:$B, "n/a"), 0),
        _xlpm.ie_camera_on_date, IFERROR(AVERAGEIFS(Log!$G:$G, Log!$D:$D,D$4,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4" s="68" t="str">
        <f>IFERROR(
    _xlfn.LET(
        _xlpm.is_data_present, $A134&lt;&gt;0,
        _xlpm.is_camera_present, COUNTIFS(Log!$C:$C, $A134, Log!$D:$D, E$4, Log!$A:$A, "Daily", Log!$B:$B, "n/a"),
        _xlpm.we_camera_on_date, IFERROR(AVERAGEIFS(Log!$F:$F, Log!$D:$D,E$4, Log!$C:$C, $A134, Log!$A:$A, "Daily", Log!$B:$B, "n/a"), 0),
        _xlpm.ie_camera_on_date, IFERROR(AVERAGEIFS(Log!$G:$G, Log!$D:$D,E$4,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4" s="68" t="str">
        <f>IFERROR(
    _xlfn.LET(
        _xlpm.is_data_present, $A134&lt;&gt;0,
        _xlpm.is_camera_present, COUNTIFS(Log!$C:$C, $A134, Log!$D:$D, F$4, Log!$A:$A, "Daily", Log!$B:$B, "n/a"),
        _xlpm.we_camera_on_date, IFERROR(AVERAGEIFS(Log!$F:$F, Log!$D:$D,F$4, Log!$C:$C, $A134, Log!$A:$A, "Daily", Log!$B:$B, "n/a"), 0),
        _xlpm.ie_camera_on_date, IFERROR(AVERAGEIFS(Log!$G:$G, Log!$D:$D,F$4,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4" s="68" t="str">
        <f>IFERROR(
    _xlfn.LET(
        _xlpm.is_data_present, $A134&lt;&gt;0,
        _xlpm.is_camera_present, COUNTIFS(Log!$C:$C, $A134, Log!$D:$D, G$4, Log!$A:$A, "Daily", Log!$B:$B, "n/a"),
        _xlpm.we_camera_on_date, IFERROR(AVERAGEIFS(Log!$F:$F, Log!$D:$D,G$4, Log!$C:$C, $A134, Log!$A:$A, "Daily", Log!$B:$B, "n/a"), 0),
        _xlpm.ie_camera_on_date, IFERROR(AVERAGEIFS(Log!$G:$G, Log!$D:$D,G$4,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4" s="68" t="str">
        <f>IFERROR(
    _xlfn.LET(
        _xlpm.is_data_present, $A134&lt;&gt;0,
        _xlpm.is_camera_present, COUNTIFS(Log!$C:$C, $A134, Log!$D:$D, H$4, Log!$A:$A, "Daily", Log!$B:$B, "n/a"),
        _xlpm.we_camera_on_date, IFERROR(AVERAGEIFS(Log!$F:$F, Log!$D:$D,H$4, Log!$C:$C, $A134, Log!$A:$A, "Daily", Log!$B:$B, "n/a"), 0),
        _xlpm.ie_camera_on_date, IFERROR(AVERAGEIFS(Log!$G:$G, Log!$D:$D,H$4,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4" s="68" t="str">
        <f>IFERROR(
    _xlfn.LET(
        _xlpm.is_data_present, $A134&lt;&gt;0,
        _xlpm.is_camera_present, COUNTIFS(Log!$C:$C, $A134, Log!$D:$D, I$4, Log!$A:$A, "Daily", Log!$B:$B, "n/a"),
        _xlpm.we_camera_on_date, IFERROR(AVERAGEIFS(Log!$F:$F, Log!$D:$D,I$4, Log!$C:$C, $A134, Log!$A:$A, "Daily", Log!$B:$B, "n/a"), 0),
        _xlpm.ie_camera_on_date, IFERROR(AVERAGEIFS(Log!$G:$G, Log!$D:$D,I$4,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4" s="68" t="str">
        <f>IFERROR(
    _xlfn.LET(
        _xlpm.is_data_present, $A134&lt;&gt;0,
        _xlpm.is_camera_present, COUNTIFS(Log!$C:$C, $A134, Log!$D:$D, J$4, Log!$A:$A, "Daily", Log!$B:$B, "n/a"),
        _xlpm.we_camera_on_date, IFERROR(AVERAGEIFS(Log!$F:$F, Log!$D:$D,J$4, Log!$C:$C, $A134, Log!$A:$A, "Daily", Log!$B:$B, "n/a"), 0),
        _xlpm.ie_camera_on_date, IFERROR(AVERAGEIFS(Log!$G:$G, Log!$D:$D,J$4,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4" s="68" t="str">
        <f>IFERROR(
    _xlfn.LET(
        _xlpm.is_data_present, $A134&lt;&gt;0,
        _xlpm.is_camera_present, COUNTIFS(Log!$C:$C, $A134, Log!$D:$D, K$4, Log!$A:$A, "Daily", Log!$B:$B, "n/a"),
        _xlpm.we_camera_on_date, IFERROR(AVERAGEIFS(Log!$F:$F, Log!$D:$D,K$4, Log!$C:$C, $A134, Log!$A:$A, "Daily", Log!$B:$B, "n/a"), 0),
        _xlpm.ie_camera_on_date, IFERROR(AVERAGEIFS(Log!$G:$G, Log!$D:$D,K$4,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4" s="68" t="str">
        <f>IFERROR(
    _xlfn.LET(
        _xlpm.is_data_present, $A134&lt;&gt;0,
        _xlpm.is_camera_present, COUNTIFS(Log!$C:$C, $A134, Log!$D:$D, L$4, Log!$A:$A, "Daily", Log!$B:$B, "n/a"),
        _xlpm.we_camera_on_date, IFERROR(AVERAGEIFS(Log!$F:$F, Log!$D:$D,L$4, Log!$C:$C, $A134, Log!$A:$A, "Daily", Log!$B:$B, "n/a"), 0),
        _xlpm.ie_camera_on_date, IFERROR(AVERAGEIFS(Log!$G:$G, Log!$D:$D,L$4,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4" s="68" t="str">
        <f>IFERROR(
    _xlfn.LET(
        _xlpm.is_data_present, $A134&lt;&gt;0,
        _xlpm.is_camera_present, COUNTIFS(Log!$C:$C, $A134, Log!$D:$D, M$4, Log!$A:$A, "Daily", Log!$B:$B, "n/a"),
        _xlpm.we_camera_on_date, IFERROR(AVERAGEIFS(Log!$F:$F, Log!$D:$D,M$4, Log!$C:$C, $A134, Log!$A:$A, "Daily", Log!$B:$B, "n/a"), 0),
        _xlpm.ie_camera_on_date, IFERROR(AVERAGEIFS(Log!$G:$G, Log!$D:$D,M$4,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4" s="68" t="str">
        <f>IFERROR(
    _xlfn.LET(
        _xlpm.is_data_present, $A134&lt;&gt;0,
        _xlpm.is_camera_present, COUNTIFS(Log!$C:$C, $A134, Log!$D:$D, N$4, Log!$A:$A, "Daily", Log!$B:$B, "n/a"),
        _xlpm.we_camera_on_date, IFERROR(AVERAGEIFS(Log!$F:$F, Log!$D:$D,N$4, Log!$C:$C, $A134, Log!$A:$A, "Daily", Log!$B:$B, "n/a"), 0),
        _xlpm.ie_camera_on_date, IFERROR(AVERAGEIFS(Log!$G:$G, Log!$D:$D,N$4,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4" s="68" t="str">
        <f>IFERROR(
    _xlfn.LET(
        _xlpm.is_data_present, $A134&lt;&gt;0,
        _xlpm.is_camera_present, COUNTIFS(Log!$C:$C, $A134, Log!$D:$D, O$4, Log!$A:$A, "Daily", Log!$B:$B, "n/a"),
        _xlpm.we_camera_on_date, IFERROR(AVERAGEIFS(Log!$F:$F, Log!$D:$D,O$4, Log!$C:$C, $A134, Log!$A:$A, "Daily", Log!$B:$B, "n/a"), 0),
        _xlpm.ie_camera_on_date, IFERROR(AVERAGEIFS(Log!$G:$G, Log!$D:$D,O$4,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4" s="68" t="str">
        <f>IFERROR(
    _xlfn.LET(
        _xlpm.is_data_present, $A134&lt;&gt;0,
        _xlpm.is_camera_present, COUNTIFS(Log!$C:$C, $A134, Log!$D:$D, P$4, Log!$A:$A, "Daily", Log!$B:$B, "n/a"),
        _xlpm.we_camera_on_date, IFERROR(AVERAGEIFS(Log!$F:$F, Log!$D:$D,P$4, Log!$C:$C, $A134, Log!$A:$A, "Daily", Log!$B:$B, "n/a"), 0),
        _xlpm.ie_camera_on_date, IFERROR(AVERAGEIFS(Log!$G:$G, Log!$D:$D,P$4,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4" s="68" t="str">
        <f>IFERROR(
    _xlfn.LET(
        _xlpm.is_data_present, $A134&lt;&gt;0,
        _xlpm.is_camera_present, COUNTIFS(Log!$C:$C, $A134, Log!$D:$D, Q$4, Log!$A:$A, "Daily", Log!$B:$B, "n/a"),
        _xlpm.we_camera_on_date, IFERROR(AVERAGEIFS(Log!$F:$F, Log!$D:$D,Q$4, Log!$C:$C, $A134, Log!$A:$A, "Daily", Log!$B:$B, "n/a"), 0),
        _xlpm.ie_camera_on_date, IFERROR(AVERAGEIFS(Log!$G:$G, Log!$D:$D,Q$4,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4" s="68" t="str">
        <f>IFERROR(
    _xlfn.LET(
        _xlpm.is_data_present, $A134&lt;&gt;0,
        _xlpm.is_camera_present, COUNTIFS(Log!$C:$C, $A134, Log!$D:$D, R$4, Log!$A:$A, "Daily", Log!$B:$B, "n/a"),
        _xlpm.we_camera_on_date, IFERROR(AVERAGEIFS(Log!$F:$F, Log!$D:$D,R$4, Log!$C:$C, $A134, Log!$A:$A, "Daily", Log!$B:$B, "n/a"), 0),
        _xlpm.ie_camera_on_date, IFERROR(AVERAGEIFS(Log!$G:$G, Log!$D:$D,R$4,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4" s="68" t="str">
        <f>IFERROR(
    _xlfn.LET(
        _xlpm.is_data_present, $A134&lt;&gt;0,
        _xlpm.is_camera_present, COUNTIFS(Log!$C:$C, $A134, Log!$D:$D, S$4, Log!$A:$A, "Daily", Log!$B:$B, "n/a"),
        _xlpm.we_camera_on_date, IFERROR(AVERAGEIFS(Log!$F:$F, Log!$D:$D,S$4, Log!$C:$C, $A134, Log!$A:$A, "Daily", Log!$B:$B, "n/a"), 0),
        _xlpm.ie_camera_on_date, IFERROR(AVERAGEIFS(Log!$G:$G, Log!$D:$D,S$4, Log!$C:$C, $A134, Log!$A:$A, "Daily", Log!$B:$B, "n/a"), 0),
        _xlpm.we_avg, IFERROR(AVERAGEIFS(Log!$F:$F,Log!$C:$C,$A134, Log!$A:$A, "Daily", Log!$B:$B, "n/a"),0),
        _xlpm.ie_avg, IFERROR(AVERAGEIFS(Log!$G:$G,Log!$C:$C,$A134,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5" spans="2:19" x14ac:dyDescent="0.3">
      <c r="B135" s="68" t="str">
        <f>IFERROR(
    _xlfn.LET(
        _xlpm.is_data_present, $A135&lt;&gt;0,
        _xlpm.is_camera_present, COUNTIFS(Log!$C:$C, $A135, Log!$D:$D, B$4, Log!$A:$A, "Daily", Log!$B:$B, "n/a"),
        _xlpm.we_camera_on_date, IFERROR(AVERAGEIFS(Log!$F:$F, Log!$D:$D,B$4, Log!$C:$C, $A135, Log!$A:$A, "Daily", Log!$B:$B, "n/a"), 0),
        _xlpm.ie_camera_on_date, IFERROR(AVERAGEIFS(Log!$G:$G, Log!$D:$D,B$4,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5" s="68" t="str">
        <f>IFERROR(
    _xlfn.LET(
        _xlpm.is_data_present, $A135&lt;&gt;0,
        _xlpm.is_camera_present, COUNTIFS(Log!$C:$C, $A135, Log!$D:$D, C$4, Log!$A:$A, "Daily", Log!$B:$B, "n/a"),
        _xlpm.we_camera_on_date, IFERROR(AVERAGEIFS(Log!$F:$F, Log!$D:$D,C$4, Log!$C:$C, $A135, Log!$A:$A, "Daily", Log!$B:$B, "n/a"), 0),
        _xlpm.ie_camera_on_date, IFERROR(AVERAGEIFS(Log!$G:$G, Log!$D:$D,C$4,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5" s="68" t="str">
        <f>IFERROR(
    _xlfn.LET(
        _xlpm.is_data_present, $A135&lt;&gt;0,
        _xlpm.is_camera_present, COUNTIFS(Log!$C:$C, $A135, Log!$D:$D, D$4, Log!$A:$A, "Daily", Log!$B:$B, "n/a"),
        _xlpm.we_camera_on_date, IFERROR(AVERAGEIFS(Log!$F:$F, Log!$D:$D,D$4, Log!$C:$C, $A135, Log!$A:$A, "Daily", Log!$B:$B, "n/a"), 0),
        _xlpm.ie_camera_on_date, IFERROR(AVERAGEIFS(Log!$G:$G, Log!$D:$D,D$4,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5" s="68" t="str">
        <f>IFERROR(
    _xlfn.LET(
        _xlpm.is_data_present, $A135&lt;&gt;0,
        _xlpm.is_camera_present, COUNTIFS(Log!$C:$C, $A135, Log!$D:$D, E$4, Log!$A:$A, "Daily", Log!$B:$B, "n/a"),
        _xlpm.we_camera_on_date, IFERROR(AVERAGEIFS(Log!$F:$F, Log!$D:$D,E$4, Log!$C:$C, $A135, Log!$A:$A, "Daily", Log!$B:$B, "n/a"), 0),
        _xlpm.ie_camera_on_date, IFERROR(AVERAGEIFS(Log!$G:$G, Log!$D:$D,E$4,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5" s="68" t="str">
        <f>IFERROR(
    _xlfn.LET(
        _xlpm.is_data_present, $A135&lt;&gt;0,
        _xlpm.is_camera_present, COUNTIFS(Log!$C:$C, $A135, Log!$D:$D, F$4, Log!$A:$A, "Daily", Log!$B:$B, "n/a"),
        _xlpm.we_camera_on_date, IFERROR(AVERAGEIFS(Log!$F:$F, Log!$D:$D,F$4, Log!$C:$C, $A135, Log!$A:$A, "Daily", Log!$B:$B, "n/a"), 0),
        _xlpm.ie_camera_on_date, IFERROR(AVERAGEIFS(Log!$G:$G, Log!$D:$D,F$4,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5" s="68" t="str">
        <f>IFERROR(
    _xlfn.LET(
        _xlpm.is_data_present, $A135&lt;&gt;0,
        _xlpm.is_camera_present, COUNTIFS(Log!$C:$C, $A135, Log!$D:$D, G$4, Log!$A:$A, "Daily", Log!$B:$B, "n/a"),
        _xlpm.we_camera_on_date, IFERROR(AVERAGEIFS(Log!$F:$F, Log!$D:$D,G$4, Log!$C:$C, $A135, Log!$A:$A, "Daily", Log!$B:$B, "n/a"), 0),
        _xlpm.ie_camera_on_date, IFERROR(AVERAGEIFS(Log!$G:$G, Log!$D:$D,G$4,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5" s="68" t="str">
        <f>IFERROR(
    _xlfn.LET(
        _xlpm.is_data_present, $A135&lt;&gt;0,
        _xlpm.is_camera_present, COUNTIFS(Log!$C:$C, $A135, Log!$D:$D, H$4, Log!$A:$A, "Daily", Log!$B:$B, "n/a"),
        _xlpm.we_camera_on_date, IFERROR(AVERAGEIFS(Log!$F:$F, Log!$D:$D,H$4, Log!$C:$C, $A135, Log!$A:$A, "Daily", Log!$B:$B, "n/a"), 0),
        _xlpm.ie_camera_on_date, IFERROR(AVERAGEIFS(Log!$G:$G, Log!$D:$D,H$4,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5" s="68" t="str">
        <f>IFERROR(
    _xlfn.LET(
        _xlpm.is_data_present, $A135&lt;&gt;0,
        _xlpm.is_camera_present, COUNTIFS(Log!$C:$C, $A135, Log!$D:$D, I$4, Log!$A:$A, "Daily", Log!$B:$B, "n/a"),
        _xlpm.we_camera_on_date, IFERROR(AVERAGEIFS(Log!$F:$F, Log!$D:$D,I$4, Log!$C:$C, $A135, Log!$A:$A, "Daily", Log!$B:$B, "n/a"), 0),
        _xlpm.ie_camera_on_date, IFERROR(AVERAGEIFS(Log!$G:$G, Log!$D:$D,I$4,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5" s="68" t="str">
        <f>IFERROR(
    _xlfn.LET(
        _xlpm.is_data_present, $A135&lt;&gt;0,
        _xlpm.is_camera_present, COUNTIFS(Log!$C:$C, $A135, Log!$D:$D, J$4, Log!$A:$A, "Daily", Log!$B:$B, "n/a"),
        _xlpm.we_camera_on_date, IFERROR(AVERAGEIFS(Log!$F:$F, Log!$D:$D,J$4, Log!$C:$C, $A135, Log!$A:$A, "Daily", Log!$B:$B, "n/a"), 0),
        _xlpm.ie_camera_on_date, IFERROR(AVERAGEIFS(Log!$G:$G, Log!$D:$D,J$4,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5" s="68" t="str">
        <f>IFERROR(
    _xlfn.LET(
        _xlpm.is_data_present, $A135&lt;&gt;0,
        _xlpm.is_camera_present, COUNTIFS(Log!$C:$C, $A135, Log!$D:$D, K$4, Log!$A:$A, "Daily", Log!$B:$B, "n/a"),
        _xlpm.we_camera_on_date, IFERROR(AVERAGEIFS(Log!$F:$F, Log!$D:$D,K$4, Log!$C:$C, $A135, Log!$A:$A, "Daily", Log!$B:$B, "n/a"), 0),
        _xlpm.ie_camera_on_date, IFERROR(AVERAGEIFS(Log!$G:$G, Log!$D:$D,K$4,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5" s="68" t="str">
        <f>IFERROR(
    _xlfn.LET(
        _xlpm.is_data_present, $A135&lt;&gt;0,
        _xlpm.is_camera_present, COUNTIFS(Log!$C:$C, $A135, Log!$D:$D, L$4, Log!$A:$A, "Daily", Log!$B:$B, "n/a"),
        _xlpm.we_camera_on_date, IFERROR(AVERAGEIFS(Log!$F:$F, Log!$D:$D,L$4, Log!$C:$C, $A135, Log!$A:$A, "Daily", Log!$B:$B, "n/a"), 0),
        _xlpm.ie_camera_on_date, IFERROR(AVERAGEIFS(Log!$G:$G, Log!$D:$D,L$4,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5" s="68" t="str">
        <f>IFERROR(
    _xlfn.LET(
        _xlpm.is_data_present, $A135&lt;&gt;0,
        _xlpm.is_camera_present, COUNTIFS(Log!$C:$C, $A135, Log!$D:$D, M$4, Log!$A:$A, "Daily", Log!$B:$B, "n/a"),
        _xlpm.we_camera_on_date, IFERROR(AVERAGEIFS(Log!$F:$F, Log!$D:$D,M$4, Log!$C:$C, $A135, Log!$A:$A, "Daily", Log!$B:$B, "n/a"), 0),
        _xlpm.ie_camera_on_date, IFERROR(AVERAGEIFS(Log!$G:$G, Log!$D:$D,M$4,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5" s="68" t="str">
        <f>IFERROR(
    _xlfn.LET(
        _xlpm.is_data_present, $A135&lt;&gt;0,
        _xlpm.is_camera_present, COUNTIFS(Log!$C:$C, $A135, Log!$D:$D, N$4, Log!$A:$A, "Daily", Log!$B:$B, "n/a"),
        _xlpm.we_camera_on_date, IFERROR(AVERAGEIFS(Log!$F:$F, Log!$D:$D,N$4, Log!$C:$C, $A135, Log!$A:$A, "Daily", Log!$B:$B, "n/a"), 0),
        _xlpm.ie_camera_on_date, IFERROR(AVERAGEIFS(Log!$G:$G, Log!$D:$D,N$4,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5" s="68" t="str">
        <f>IFERROR(
    _xlfn.LET(
        _xlpm.is_data_present, $A135&lt;&gt;0,
        _xlpm.is_camera_present, COUNTIFS(Log!$C:$C, $A135, Log!$D:$D, O$4, Log!$A:$A, "Daily", Log!$B:$B, "n/a"),
        _xlpm.we_camera_on_date, IFERROR(AVERAGEIFS(Log!$F:$F, Log!$D:$D,O$4, Log!$C:$C, $A135, Log!$A:$A, "Daily", Log!$B:$B, "n/a"), 0),
        _xlpm.ie_camera_on_date, IFERROR(AVERAGEIFS(Log!$G:$G, Log!$D:$D,O$4,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5" s="68" t="str">
        <f>IFERROR(
    _xlfn.LET(
        _xlpm.is_data_present, $A135&lt;&gt;0,
        _xlpm.is_camera_present, COUNTIFS(Log!$C:$C, $A135, Log!$D:$D, P$4, Log!$A:$A, "Daily", Log!$B:$B, "n/a"),
        _xlpm.we_camera_on_date, IFERROR(AVERAGEIFS(Log!$F:$F, Log!$D:$D,P$4, Log!$C:$C, $A135, Log!$A:$A, "Daily", Log!$B:$B, "n/a"), 0),
        _xlpm.ie_camera_on_date, IFERROR(AVERAGEIFS(Log!$G:$G, Log!$D:$D,P$4,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5" s="68" t="str">
        <f>IFERROR(
    _xlfn.LET(
        _xlpm.is_data_present, $A135&lt;&gt;0,
        _xlpm.is_camera_present, COUNTIFS(Log!$C:$C, $A135, Log!$D:$D, Q$4, Log!$A:$A, "Daily", Log!$B:$B, "n/a"),
        _xlpm.we_camera_on_date, IFERROR(AVERAGEIFS(Log!$F:$F, Log!$D:$D,Q$4, Log!$C:$C, $A135, Log!$A:$A, "Daily", Log!$B:$B, "n/a"), 0),
        _xlpm.ie_camera_on_date, IFERROR(AVERAGEIFS(Log!$G:$G, Log!$D:$D,Q$4,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5" s="68" t="str">
        <f>IFERROR(
    _xlfn.LET(
        _xlpm.is_data_present, $A135&lt;&gt;0,
        _xlpm.is_camera_present, COUNTIFS(Log!$C:$C, $A135, Log!$D:$D, R$4, Log!$A:$A, "Daily", Log!$B:$B, "n/a"),
        _xlpm.we_camera_on_date, IFERROR(AVERAGEIFS(Log!$F:$F, Log!$D:$D,R$4, Log!$C:$C, $A135, Log!$A:$A, "Daily", Log!$B:$B, "n/a"), 0),
        _xlpm.ie_camera_on_date, IFERROR(AVERAGEIFS(Log!$G:$G, Log!$D:$D,R$4,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5" s="68" t="str">
        <f>IFERROR(
    _xlfn.LET(
        _xlpm.is_data_present, $A135&lt;&gt;0,
        _xlpm.is_camera_present, COUNTIFS(Log!$C:$C, $A135, Log!$D:$D, S$4, Log!$A:$A, "Daily", Log!$B:$B, "n/a"),
        _xlpm.we_camera_on_date, IFERROR(AVERAGEIFS(Log!$F:$F, Log!$D:$D,S$4, Log!$C:$C, $A135, Log!$A:$A, "Daily", Log!$B:$B, "n/a"), 0),
        _xlpm.ie_camera_on_date, IFERROR(AVERAGEIFS(Log!$G:$G, Log!$D:$D,S$4, Log!$C:$C, $A135, Log!$A:$A, "Daily", Log!$B:$B, "n/a"), 0),
        _xlpm.we_avg, IFERROR(AVERAGEIFS(Log!$F:$F,Log!$C:$C,$A135, Log!$A:$A, "Daily", Log!$B:$B, "n/a"),0),
        _xlpm.ie_avg, IFERROR(AVERAGEIFS(Log!$G:$G,Log!$C:$C,$A135,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6" spans="2:19" x14ac:dyDescent="0.3">
      <c r="B136" s="68" t="str">
        <f>IFERROR(
    _xlfn.LET(
        _xlpm.is_data_present, $A136&lt;&gt;0,
        _xlpm.is_camera_present, COUNTIFS(Log!$C:$C, $A136, Log!$D:$D, B$4, Log!$A:$A, "Daily", Log!$B:$B, "n/a"),
        _xlpm.we_camera_on_date, IFERROR(AVERAGEIFS(Log!$F:$F, Log!$D:$D,B$4, Log!$C:$C, $A136, Log!$A:$A, "Daily", Log!$B:$B, "n/a"), 0),
        _xlpm.ie_camera_on_date, IFERROR(AVERAGEIFS(Log!$G:$G, Log!$D:$D,B$4,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6" s="68" t="str">
        <f>IFERROR(
    _xlfn.LET(
        _xlpm.is_data_present, $A136&lt;&gt;0,
        _xlpm.is_camera_present, COUNTIFS(Log!$C:$C, $A136, Log!$D:$D, C$4, Log!$A:$A, "Daily", Log!$B:$B, "n/a"),
        _xlpm.we_camera_on_date, IFERROR(AVERAGEIFS(Log!$F:$F, Log!$D:$D,C$4, Log!$C:$C, $A136, Log!$A:$A, "Daily", Log!$B:$B, "n/a"), 0),
        _xlpm.ie_camera_on_date, IFERROR(AVERAGEIFS(Log!$G:$G, Log!$D:$D,C$4,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6" s="68" t="str">
        <f>IFERROR(
    _xlfn.LET(
        _xlpm.is_data_present, $A136&lt;&gt;0,
        _xlpm.is_camera_present, COUNTIFS(Log!$C:$C, $A136, Log!$D:$D, D$4, Log!$A:$A, "Daily", Log!$B:$B, "n/a"),
        _xlpm.we_camera_on_date, IFERROR(AVERAGEIFS(Log!$F:$F, Log!$D:$D,D$4, Log!$C:$C, $A136, Log!$A:$A, "Daily", Log!$B:$B, "n/a"), 0),
        _xlpm.ie_camera_on_date, IFERROR(AVERAGEIFS(Log!$G:$G, Log!$D:$D,D$4,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6" s="68" t="str">
        <f>IFERROR(
    _xlfn.LET(
        _xlpm.is_data_present, $A136&lt;&gt;0,
        _xlpm.is_camera_present, COUNTIFS(Log!$C:$C, $A136, Log!$D:$D, E$4, Log!$A:$A, "Daily", Log!$B:$B, "n/a"),
        _xlpm.we_camera_on_date, IFERROR(AVERAGEIFS(Log!$F:$F, Log!$D:$D,E$4, Log!$C:$C, $A136, Log!$A:$A, "Daily", Log!$B:$B, "n/a"), 0),
        _xlpm.ie_camera_on_date, IFERROR(AVERAGEIFS(Log!$G:$G, Log!$D:$D,E$4,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6" s="68" t="str">
        <f>IFERROR(
    _xlfn.LET(
        _xlpm.is_data_present, $A136&lt;&gt;0,
        _xlpm.is_camera_present, COUNTIFS(Log!$C:$C, $A136, Log!$D:$D, F$4, Log!$A:$A, "Daily", Log!$B:$B, "n/a"),
        _xlpm.we_camera_on_date, IFERROR(AVERAGEIFS(Log!$F:$F, Log!$D:$D,F$4, Log!$C:$C, $A136, Log!$A:$A, "Daily", Log!$B:$B, "n/a"), 0),
        _xlpm.ie_camera_on_date, IFERROR(AVERAGEIFS(Log!$G:$G, Log!$D:$D,F$4,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6" s="68" t="str">
        <f>IFERROR(
    _xlfn.LET(
        _xlpm.is_data_present, $A136&lt;&gt;0,
        _xlpm.is_camera_present, COUNTIFS(Log!$C:$C, $A136, Log!$D:$D, G$4, Log!$A:$A, "Daily", Log!$B:$B, "n/a"),
        _xlpm.we_camera_on_date, IFERROR(AVERAGEIFS(Log!$F:$F, Log!$D:$D,G$4, Log!$C:$C, $A136, Log!$A:$A, "Daily", Log!$B:$B, "n/a"), 0),
        _xlpm.ie_camera_on_date, IFERROR(AVERAGEIFS(Log!$G:$G, Log!$D:$D,G$4,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6" s="68" t="str">
        <f>IFERROR(
    _xlfn.LET(
        _xlpm.is_data_present, $A136&lt;&gt;0,
        _xlpm.is_camera_present, COUNTIFS(Log!$C:$C, $A136, Log!$D:$D, H$4, Log!$A:$A, "Daily", Log!$B:$B, "n/a"),
        _xlpm.we_camera_on_date, IFERROR(AVERAGEIFS(Log!$F:$F, Log!$D:$D,H$4, Log!$C:$C, $A136, Log!$A:$A, "Daily", Log!$B:$B, "n/a"), 0),
        _xlpm.ie_camera_on_date, IFERROR(AVERAGEIFS(Log!$G:$G, Log!$D:$D,H$4,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6" s="68" t="str">
        <f>IFERROR(
    _xlfn.LET(
        _xlpm.is_data_present, $A136&lt;&gt;0,
        _xlpm.is_camera_present, COUNTIFS(Log!$C:$C, $A136, Log!$D:$D, I$4, Log!$A:$A, "Daily", Log!$B:$B, "n/a"),
        _xlpm.we_camera_on_date, IFERROR(AVERAGEIFS(Log!$F:$F, Log!$D:$D,I$4, Log!$C:$C, $A136, Log!$A:$A, "Daily", Log!$B:$B, "n/a"), 0),
        _xlpm.ie_camera_on_date, IFERROR(AVERAGEIFS(Log!$G:$G, Log!$D:$D,I$4,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6" s="68" t="str">
        <f>IFERROR(
    _xlfn.LET(
        _xlpm.is_data_present, $A136&lt;&gt;0,
        _xlpm.is_camera_present, COUNTIFS(Log!$C:$C, $A136, Log!$D:$D, J$4, Log!$A:$A, "Daily", Log!$B:$B, "n/a"),
        _xlpm.we_camera_on_date, IFERROR(AVERAGEIFS(Log!$F:$F, Log!$D:$D,J$4, Log!$C:$C, $A136, Log!$A:$A, "Daily", Log!$B:$B, "n/a"), 0),
        _xlpm.ie_camera_on_date, IFERROR(AVERAGEIFS(Log!$G:$G, Log!$D:$D,J$4,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6" s="68" t="str">
        <f>IFERROR(
    _xlfn.LET(
        _xlpm.is_data_present, $A136&lt;&gt;0,
        _xlpm.is_camera_present, COUNTIFS(Log!$C:$C, $A136, Log!$D:$D, K$4, Log!$A:$A, "Daily", Log!$B:$B, "n/a"),
        _xlpm.we_camera_on_date, IFERROR(AVERAGEIFS(Log!$F:$F, Log!$D:$D,K$4, Log!$C:$C, $A136, Log!$A:$A, "Daily", Log!$B:$B, "n/a"), 0),
        _xlpm.ie_camera_on_date, IFERROR(AVERAGEIFS(Log!$G:$G, Log!$D:$D,K$4,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6" s="68" t="str">
        <f>IFERROR(
    _xlfn.LET(
        _xlpm.is_data_present, $A136&lt;&gt;0,
        _xlpm.is_camera_present, COUNTIFS(Log!$C:$C, $A136, Log!$D:$D, L$4, Log!$A:$A, "Daily", Log!$B:$B, "n/a"),
        _xlpm.we_camera_on_date, IFERROR(AVERAGEIFS(Log!$F:$F, Log!$D:$D,L$4, Log!$C:$C, $A136, Log!$A:$A, "Daily", Log!$B:$B, "n/a"), 0),
        _xlpm.ie_camera_on_date, IFERROR(AVERAGEIFS(Log!$G:$G, Log!$D:$D,L$4,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6" s="68" t="str">
        <f>IFERROR(
    _xlfn.LET(
        _xlpm.is_data_present, $A136&lt;&gt;0,
        _xlpm.is_camera_present, COUNTIFS(Log!$C:$C, $A136, Log!$D:$D, M$4, Log!$A:$A, "Daily", Log!$B:$B, "n/a"),
        _xlpm.we_camera_on_date, IFERROR(AVERAGEIFS(Log!$F:$F, Log!$D:$D,M$4, Log!$C:$C, $A136, Log!$A:$A, "Daily", Log!$B:$B, "n/a"), 0),
        _xlpm.ie_camera_on_date, IFERROR(AVERAGEIFS(Log!$G:$G, Log!$D:$D,M$4,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6" s="68" t="str">
        <f>IFERROR(
    _xlfn.LET(
        _xlpm.is_data_present, $A136&lt;&gt;0,
        _xlpm.is_camera_present, COUNTIFS(Log!$C:$C, $A136, Log!$D:$D, N$4, Log!$A:$A, "Daily", Log!$B:$B, "n/a"),
        _xlpm.we_camera_on_date, IFERROR(AVERAGEIFS(Log!$F:$F, Log!$D:$D,N$4, Log!$C:$C, $A136, Log!$A:$A, "Daily", Log!$B:$B, "n/a"), 0),
        _xlpm.ie_camera_on_date, IFERROR(AVERAGEIFS(Log!$G:$G, Log!$D:$D,N$4,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6" s="68" t="str">
        <f>IFERROR(
    _xlfn.LET(
        _xlpm.is_data_present, $A136&lt;&gt;0,
        _xlpm.is_camera_present, COUNTIFS(Log!$C:$C, $A136, Log!$D:$D, O$4, Log!$A:$A, "Daily", Log!$B:$B, "n/a"),
        _xlpm.we_camera_on_date, IFERROR(AVERAGEIFS(Log!$F:$F, Log!$D:$D,O$4, Log!$C:$C, $A136, Log!$A:$A, "Daily", Log!$B:$B, "n/a"), 0),
        _xlpm.ie_camera_on_date, IFERROR(AVERAGEIFS(Log!$G:$G, Log!$D:$D,O$4,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6" s="68" t="str">
        <f>IFERROR(
    _xlfn.LET(
        _xlpm.is_data_present, $A136&lt;&gt;0,
        _xlpm.is_camera_present, COUNTIFS(Log!$C:$C, $A136, Log!$D:$D, P$4, Log!$A:$A, "Daily", Log!$B:$B, "n/a"),
        _xlpm.we_camera_on_date, IFERROR(AVERAGEIFS(Log!$F:$F, Log!$D:$D,P$4, Log!$C:$C, $A136, Log!$A:$A, "Daily", Log!$B:$B, "n/a"), 0),
        _xlpm.ie_camera_on_date, IFERROR(AVERAGEIFS(Log!$G:$G, Log!$D:$D,P$4,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6" s="68" t="str">
        <f>IFERROR(
    _xlfn.LET(
        _xlpm.is_data_present, $A136&lt;&gt;0,
        _xlpm.is_camera_present, COUNTIFS(Log!$C:$C, $A136, Log!$D:$D, Q$4, Log!$A:$A, "Daily", Log!$B:$B, "n/a"),
        _xlpm.we_camera_on_date, IFERROR(AVERAGEIFS(Log!$F:$F, Log!$D:$D,Q$4, Log!$C:$C, $A136, Log!$A:$A, "Daily", Log!$B:$B, "n/a"), 0),
        _xlpm.ie_camera_on_date, IFERROR(AVERAGEIFS(Log!$G:$G, Log!$D:$D,Q$4,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6" s="68" t="str">
        <f>IFERROR(
    _xlfn.LET(
        _xlpm.is_data_present, $A136&lt;&gt;0,
        _xlpm.is_camera_present, COUNTIFS(Log!$C:$C, $A136, Log!$D:$D, R$4, Log!$A:$A, "Daily", Log!$B:$B, "n/a"),
        _xlpm.we_camera_on_date, IFERROR(AVERAGEIFS(Log!$F:$F, Log!$D:$D,R$4, Log!$C:$C, $A136, Log!$A:$A, "Daily", Log!$B:$B, "n/a"), 0),
        _xlpm.ie_camera_on_date, IFERROR(AVERAGEIFS(Log!$G:$G, Log!$D:$D,R$4,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6" s="68" t="str">
        <f>IFERROR(
    _xlfn.LET(
        _xlpm.is_data_present, $A136&lt;&gt;0,
        _xlpm.is_camera_present, COUNTIFS(Log!$C:$C, $A136, Log!$D:$D, S$4, Log!$A:$A, "Daily", Log!$B:$B, "n/a"),
        _xlpm.we_camera_on_date, IFERROR(AVERAGEIFS(Log!$F:$F, Log!$D:$D,S$4, Log!$C:$C, $A136, Log!$A:$A, "Daily", Log!$B:$B, "n/a"), 0),
        _xlpm.ie_camera_on_date, IFERROR(AVERAGEIFS(Log!$G:$G, Log!$D:$D,S$4, Log!$C:$C, $A136, Log!$A:$A, "Daily", Log!$B:$B, "n/a"), 0),
        _xlpm.we_avg, IFERROR(AVERAGEIFS(Log!$F:$F,Log!$C:$C,$A136, Log!$A:$A, "Daily", Log!$B:$B, "n/a"),0),
        _xlpm.ie_avg, IFERROR(AVERAGEIFS(Log!$G:$G,Log!$C:$C,$A136,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7" spans="2:19" x14ac:dyDescent="0.3">
      <c r="B137" s="68" t="str">
        <f>IFERROR(
    _xlfn.LET(
        _xlpm.is_data_present, $A137&lt;&gt;0,
        _xlpm.is_camera_present, COUNTIFS(Log!$C:$C, $A137, Log!$D:$D, B$4, Log!$A:$A, "Daily", Log!$B:$B, "n/a"),
        _xlpm.we_camera_on_date, IFERROR(AVERAGEIFS(Log!$F:$F, Log!$D:$D,B$4, Log!$C:$C, $A137, Log!$A:$A, "Daily", Log!$B:$B, "n/a"), 0),
        _xlpm.ie_camera_on_date, IFERROR(AVERAGEIFS(Log!$G:$G, Log!$D:$D,B$4,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7" s="68" t="str">
        <f>IFERROR(
    _xlfn.LET(
        _xlpm.is_data_present, $A137&lt;&gt;0,
        _xlpm.is_camera_present, COUNTIFS(Log!$C:$C, $A137, Log!$D:$D, C$4, Log!$A:$A, "Daily", Log!$B:$B, "n/a"),
        _xlpm.we_camera_on_date, IFERROR(AVERAGEIFS(Log!$F:$F, Log!$D:$D,C$4, Log!$C:$C, $A137, Log!$A:$A, "Daily", Log!$B:$B, "n/a"), 0),
        _xlpm.ie_camera_on_date, IFERROR(AVERAGEIFS(Log!$G:$G, Log!$D:$D,C$4,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7" s="68" t="str">
        <f>IFERROR(
    _xlfn.LET(
        _xlpm.is_data_present, $A137&lt;&gt;0,
        _xlpm.is_camera_present, COUNTIFS(Log!$C:$C, $A137, Log!$D:$D, D$4, Log!$A:$A, "Daily", Log!$B:$B, "n/a"),
        _xlpm.we_camera_on_date, IFERROR(AVERAGEIFS(Log!$F:$F, Log!$D:$D,D$4, Log!$C:$C, $A137, Log!$A:$A, "Daily", Log!$B:$B, "n/a"), 0),
        _xlpm.ie_camera_on_date, IFERROR(AVERAGEIFS(Log!$G:$G, Log!$D:$D,D$4,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7" s="68" t="str">
        <f>IFERROR(
    _xlfn.LET(
        _xlpm.is_data_present, $A137&lt;&gt;0,
        _xlpm.is_camera_present, COUNTIFS(Log!$C:$C, $A137, Log!$D:$D, E$4, Log!$A:$A, "Daily", Log!$B:$B, "n/a"),
        _xlpm.we_camera_on_date, IFERROR(AVERAGEIFS(Log!$F:$F, Log!$D:$D,E$4, Log!$C:$C, $A137, Log!$A:$A, "Daily", Log!$B:$B, "n/a"), 0),
        _xlpm.ie_camera_on_date, IFERROR(AVERAGEIFS(Log!$G:$G, Log!$D:$D,E$4,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7" s="68" t="str">
        <f>IFERROR(
    _xlfn.LET(
        _xlpm.is_data_present, $A137&lt;&gt;0,
        _xlpm.is_camera_present, COUNTIFS(Log!$C:$C, $A137, Log!$D:$D, F$4, Log!$A:$A, "Daily", Log!$B:$B, "n/a"),
        _xlpm.we_camera_on_date, IFERROR(AVERAGEIFS(Log!$F:$F, Log!$D:$D,F$4, Log!$C:$C, $A137, Log!$A:$A, "Daily", Log!$B:$B, "n/a"), 0),
        _xlpm.ie_camera_on_date, IFERROR(AVERAGEIFS(Log!$G:$G, Log!$D:$D,F$4,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7" s="68" t="str">
        <f>IFERROR(
    _xlfn.LET(
        _xlpm.is_data_present, $A137&lt;&gt;0,
        _xlpm.is_camera_present, COUNTIFS(Log!$C:$C, $A137, Log!$D:$D, G$4, Log!$A:$A, "Daily", Log!$B:$B, "n/a"),
        _xlpm.we_camera_on_date, IFERROR(AVERAGEIFS(Log!$F:$F, Log!$D:$D,G$4, Log!$C:$C, $A137, Log!$A:$A, "Daily", Log!$B:$B, "n/a"), 0),
        _xlpm.ie_camera_on_date, IFERROR(AVERAGEIFS(Log!$G:$G, Log!$D:$D,G$4,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7" s="68" t="str">
        <f>IFERROR(
    _xlfn.LET(
        _xlpm.is_data_present, $A137&lt;&gt;0,
        _xlpm.is_camera_present, COUNTIFS(Log!$C:$C, $A137, Log!$D:$D, H$4, Log!$A:$A, "Daily", Log!$B:$B, "n/a"),
        _xlpm.we_camera_on_date, IFERROR(AVERAGEIFS(Log!$F:$F, Log!$D:$D,H$4, Log!$C:$C, $A137, Log!$A:$A, "Daily", Log!$B:$B, "n/a"), 0),
        _xlpm.ie_camera_on_date, IFERROR(AVERAGEIFS(Log!$G:$G, Log!$D:$D,H$4,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7" s="68" t="str">
        <f>IFERROR(
    _xlfn.LET(
        _xlpm.is_data_present, $A137&lt;&gt;0,
        _xlpm.is_camera_present, COUNTIFS(Log!$C:$C, $A137, Log!$D:$D, I$4, Log!$A:$A, "Daily", Log!$B:$B, "n/a"),
        _xlpm.we_camera_on_date, IFERROR(AVERAGEIFS(Log!$F:$F, Log!$D:$D,I$4, Log!$C:$C, $A137, Log!$A:$A, "Daily", Log!$B:$B, "n/a"), 0),
        _xlpm.ie_camera_on_date, IFERROR(AVERAGEIFS(Log!$G:$G, Log!$D:$D,I$4,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7" s="68" t="str">
        <f>IFERROR(
    _xlfn.LET(
        _xlpm.is_data_present, $A137&lt;&gt;0,
        _xlpm.is_camera_present, COUNTIFS(Log!$C:$C, $A137, Log!$D:$D, J$4, Log!$A:$A, "Daily", Log!$B:$B, "n/a"),
        _xlpm.we_camera_on_date, IFERROR(AVERAGEIFS(Log!$F:$F, Log!$D:$D,J$4, Log!$C:$C, $A137, Log!$A:$A, "Daily", Log!$B:$B, "n/a"), 0),
        _xlpm.ie_camera_on_date, IFERROR(AVERAGEIFS(Log!$G:$G, Log!$D:$D,J$4,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7" s="68" t="str">
        <f>IFERROR(
    _xlfn.LET(
        _xlpm.is_data_present, $A137&lt;&gt;0,
        _xlpm.is_camera_present, COUNTIFS(Log!$C:$C, $A137, Log!$D:$D, K$4, Log!$A:$A, "Daily", Log!$B:$B, "n/a"),
        _xlpm.we_camera_on_date, IFERROR(AVERAGEIFS(Log!$F:$F, Log!$D:$D,K$4, Log!$C:$C, $A137, Log!$A:$A, "Daily", Log!$B:$B, "n/a"), 0),
        _xlpm.ie_camera_on_date, IFERROR(AVERAGEIFS(Log!$G:$G, Log!$D:$D,K$4,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7" s="68" t="str">
        <f>IFERROR(
    _xlfn.LET(
        _xlpm.is_data_present, $A137&lt;&gt;0,
        _xlpm.is_camera_present, COUNTIFS(Log!$C:$C, $A137, Log!$D:$D, L$4, Log!$A:$A, "Daily", Log!$B:$B, "n/a"),
        _xlpm.we_camera_on_date, IFERROR(AVERAGEIFS(Log!$F:$F, Log!$D:$D,L$4, Log!$C:$C, $A137, Log!$A:$A, "Daily", Log!$B:$B, "n/a"), 0),
        _xlpm.ie_camera_on_date, IFERROR(AVERAGEIFS(Log!$G:$G, Log!$D:$D,L$4,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7" s="68" t="str">
        <f>IFERROR(
    _xlfn.LET(
        _xlpm.is_data_present, $A137&lt;&gt;0,
        _xlpm.is_camera_present, COUNTIFS(Log!$C:$C, $A137, Log!$D:$D, M$4, Log!$A:$A, "Daily", Log!$B:$B, "n/a"),
        _xlpm.we_camera_on_date, IFERROR(AVERAGEIFS(Log!$F:$F, Log!$D:$D,M$4, Log!$C:$C, $A137, Log!$A:$A, "Daily", Log!$B:$B, "n/a"), 0),
        _xlpm.ie_camera_on_date, IFERROR(AVERAGEIFS(Log!$G:$G, Log!$D:$D,M$4,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7" s="68" t="str">
        <f>IFERROR(
    _xlfn.LET(
        _xlpm.is_data_present, $A137&lt;&gt;0,
        _xlpm.is_camera_present, COUNTIFS(Log!$C:$C, $A137, Log!$D:$D, N$4, Log!$A:$A, "Daily", Log!$B:$B, "n/a"),
        _xlpm.we_camera_on_date, IFERROR(AVERAGEIFS(Log!$F:$F, Log!$D:$D,N$4, Log!$C:$C, $A137, Log!$A:$A, "Daily", Log!$B:$B, "n/a"), 0),
        _xlpm.ie_camera_on_date, IFERROR(AVERAGEIFS(Log!$G:$G, Log!$D:$D,N$4,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7" s="68" t="str">
        <f>IFERROR(
    _xlfn.LET(
        _xlpm.is_data_present, $A137&lt;&gt;0,
        _xlpm.is_camera_present, COUNTIFS(Log!$C:$C, $A137, Log!$D:$D, O$4, Log!$A:$A, "Daily", Log!$B:$B, "n/a"),
        _xlpm.we_camera_on_date, IFERROR(AVERAGEIFS(Log!$F:$F, Log!$D:$D,O$4, Log!$C:$C, $A137, Log!$A:$A, "Daily", Log!$B:$B, "n/a"), 0),
        _xlpm.ie_camera_on_date, IFERROR(AVERAGEIFS(Log!$G:$G, Log!$D:$D,O$4,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7" s="68" t="str">
        <f>IFERROR(
    _xlfn.LET(
        _xlpm.is_data_present, $A137&lt;&gt;0,
        _xlpm.is_camera_present, COUNTIFS(Log!$C:$C, $A137, Log!$D:$D, P$4, Log!$A:$A, "Daily", Log!$B:$B, "n/a"),
        _xlpm.we_camera_on_date, IFERROR(AVERAGEIFS(Log!$F:$F, Log!$D:$D,P$4, Log!$C:$C, $A137, Log!$A:$A, "Daily", Log!$B:$B, "n/a"), 0),
        _xlpm.ie_camera_on_date, IFERROR(AVERAGEIFS(Log!$G:$G, Log!$D:$D,P$4,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7" s="68" t="str">
        <f>IFERROR(
    _xlfn.LET(
        _xlpm.is_data_present, $A137&lt;&gt;0,
        _xlpm.is_camera_present, COUNTIFS(Log!$C:$C, $A137, Log!$D:$D, Q$4, Log!$A:$A, "Daily", Log!$B:$B, "n/a"),
        _xlpm.we_camera_on_date, IFERROR(AVERAGEIFS(Log!$F:$F, Log!$D:$D,Q$4, Log!$C:$C, $A137, Log!$A:$A, "Daily", Log!$B:$B, "n/a"), 0),
        _xlpm.ie_camera_on_date, IFERROR(AVERAGEIFS(Log!$G:$G, Log!$D:$D,Q$4,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7" s="68" t="str">
        <f>IFERROR(
    _xlfn.LET(
        _xlpm.is_data_present, $A137&lt;&gt;0,
        _xlpm.is_camera_present, COUNTIFS(Log!$C:$C, $A137, Log!$D:$D, R$4, Log!$A:$A, "Daily", Log!$B:$B, "n/a"),
        _xlpm.we_camera_on_date, IFERROR(AVERAGEIFS(Log!$F:$F, Log!$D:$D,R$4, Log!$C:$C, $A137, Log!$A:$A, "Daily", Log!$B:$B, "n/a"), 0),
        _xlpm.ie_camera_on_date, IFERROR(AVERAGEIFS(Log!$G:$G, Log!$D:$D,R$4,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7" s="68" t="str">
        <f>IFERROR(
    _xlfn.LET(
        _xlpm.is_data_present, $A137&lt;&gt;0,
        _xlpm.is_camera_present, COUNTIFS(Log!$C:$C, $A137, Log!$D:$D, S$4, Log!$A:$A, "Daily", Log!$B:$B, "n/a"),
        _xlpm.we_camera_on_date, IFERROR(AVERAGEIFS(Log!$F:$F, Log!$D:$D,S$4, Log!$C:$C, $A137, Log!$A:$A, "Daily", Log!$B:$B, "n/a"), 0),
        _xlpm.ie_camera_on_date, IFERROR(AVERAGEIFS(Log!$G:$G, Log!$D:$D,S$4, Log!$C:$C, $A137, Log!$A:$A, "Daily", Log!$B:$B, "n/a"), 0),
        _xlpm.we_avg, IFERROR(AVERAGEIFS(Log!$F:$F,Log!$C:$C,$A137, Log!$A:$A, "Daily", Log!$B:$B, "n/a"),0),
        _xlpm.ie_avg, IFERROR(AVERAGEIFS(Log!$G:$G,Log!$C:$C,$A137,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8" spans="2:19" x14ac:dyDescent="0.3">
      <c r="B138" s="68" t="str">
        <f>IFERROR(
    _xlfn.LET(
        _xlpm.is_data_present, $A138&lt;&gt;0,
        _xlpm.is_camera_present, COUNTIFS(Log!$C:$C, $A138, Log!$D:$D, B$4, Log!$A:$A, "Daily", Log!$B:$B, "n/a"),
        _xlpm.we_camera_on_date, IFERROR(AVERAGEIFS(Log!$F:$F, Log!$D:$D,B$4, Log!$C:$C, $A138, Log!$A:$A, "Daily", Log!$B:$B, "n/a"), 0),
        _xlpm.ie_camera_on_date, IFERROR(AVERAGEIFS(Log!$G:$G, Log!$D:$D,B$4,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8" s="68" t="str">
        <f>IFERROR(
    _xlfn.LET(
        _xlpm.is_data_present, $A138&lt;&gt;0,
        _xlpm.is_camera_present, COUNTIFS(Log!$C:$C, $A138, Log!$D:$D, C$4, Log!$A:$A, "Daily", Log!$B:$B, "n/a"),
        _xlpm.we_camera_on_date, IFERROR(AVERAGEIFS(Log!$F:$F, Log!$D:$D,C$4, Log!$C:$C, $A138, Log!$A:$A, "Daily", Log!$B:$B, "n/a"), 0),
        _xlpm.ie_camera_on_date, IFERROR(AVERAGEIFS(Log!$G:$G, Log!$D:$D,C$4,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8" s="68" t="str">
        <f>IFERROR(
    _xlfn.LET(
        _xlpm.is_data_present, $A138&lt;&gt;0,
        _xlpm.is_camera_present, COUNTIFS(Log!$C:$C, $A138, Log!$D:$D, D$4, Log!$A:$A, "Daily", Log!$B:$B, "n/a"),
        _xlpm.we_camera_on_date, IFERROR(AVERAGEIFS(Log!$F:$F, Log!$D:$D,D$4, Log!$C:$C, $A138, Log!$A:$A, "Daily", Log!$B:$B, "n/a"), 0),
        _xlpm.ie_camera_on_date, IFERROR(AVERAGEIFS(Log!$G:$G, Log!$D:$D,D$4,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8" s="68" t="str">
        <f>IFERROR(
    _xlfn.LET(
        _xlpm.is_data_present, $A138&lt;&gt;0,
        _xlpm.is_camera_present, COUNTIFS(Log!$C:$C, $A138, Log!$D:$D, E$4, Log!$A:$A, "Daily", Log!$B:$B, "n/a"),
        _xlpm.we_camera_on_date, IFERROR(AVERAGEIFS(Log!$F:$F, Log!$D:$D,E$4, Log!$C:$C, $A138, Log!$A:$A, "Daily", Log!$B:$B, "n/a"), 0),
        _xlpm.ie_camera_on_date, IFERROR(AVERAGEIFS(Log!$G:$G, Log!$D:$D,E$4,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8" s="68" t="str">
        <f>IFERROR(
    _xlfn.LET(
        _xlpm.is_data_present, $A138&lt;&gt;0,
        _xlpm.is_camera_present, COUNTIFS(Log!$C:$C, $A138, Log!$D:$D, F$4, Log!$A:$A, "Daily", Log!$B:$B, "n/a"),
        _xlpm.we_camera_on_date, IFERROR(AVERAGEIFS(Log!$F:$F, Log!$D:$D,F$4, Log!$C:$C, $A138, Log!$A:$A, "Daily", Log!$B:$B, "n/a"), 0),
        _xlpm.ie_camera_on_date, IFERROR(AVERAGEIFS(Log!$G:$G, Log!$D:$D,F$4,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8" s="68" t="str">
        <f>IFERROR(
    _xlfn.LET(
        _xlpm.is_data_present, $A138&lt;&gt;0,
        _xlpm.is_camera_present, COUNTIFS(Log!$C:$C, $A138, Log!$D:$D, G$4, Log!$A:$A, "Daily", Log!$B:$B, "n/a"),
        _xlpm.we_camera_on_date, IFERROR(AVERAGEIFS(Log!$F:$F, Log!$D:$D,G$4, Log!$C:$C, $A138, Log!$A:$A, "Daily", Log!$B:$B, "n/a"), 0),
        _xlpm.ie_camera_on_date, IFERROR(AVERAGEIFS(Log!$G:$G, Log!$D:$D,G$4,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8" s="68" t="str">
        <f>IFERROR(
    _xlfn.LET(
        _xlpm.is_data_present, $A138&lt;&gt;0,
        _xlpm.is_camera_present, COUNTIFS(Log!$C:$C, $A138, Log!$D:$D, H$4, Log!$A:$A, "Daily", Log!$B:$B, "n/a"),
        _xlpm.we_camera_on_date, IFERROR(AVERAGEIFS(Log!$F:$F, Log!$D:$D,H$4, Log!$C:$C, $A138, Log!$A:$A, "Daily", Log!$B:$B, "n/a"), 0),
        _xlpm.ie_camera_on_date, IFERROR(AVERAGEIFS(Log!$G:$G, Log!$D:$D,H$4,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8" s="68" t="str">
        <f>IFERROR(
    _xlfn.LET(
        _xlpm.is_data_present, $A138&lt;&gt;0,
        _xlpm.is_camera_present, COUNTIFS(Log!$C:$C, $A138, Log!$D:$D, I$4, Log!$A:$A, "Daily", Log!$B:$B, "n/a"),
        _xlpm.we_camera_on_date, IFERROR(AVERAGEIFS(Log!$F:$F, Log!$D:$D,I$4, Log!$C:$C, $A138, Log!$A:$A, "Daily", Log!$B:$B, "n/a"), 0),
        _xlpm.ie_camera_on_date, IFERROR(AVERAGEIFS(Log!$G:$G, Log!$D:$D,I$4,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8" s="68" t="str">
        <f>IFERROR(
    _xlfn.LET(
        _xlpm.is_data_present, $A138&lt;&gt;0,
        _xlpm.is_camera_present, COUNTIFS(Log!$C:$C, $A138, Log!$D:$D, J$4, Log!$A:$A, "Daily", Log!$B:$B, "n/a"),
        _xlpm.we_camera_on_date, IFERROR(AVERAGEIFS(Log!$F:$F, Log!$D:$D,J$4, Log!$C:$C, $A138, Log!$A:$A, "Daily", Log!$B:$B, "n/a"), 0),
        _xlpm.ie_camera_on_date, IFERROR(AVERAGEIFS(Log!$G:$G, Log!$D:$D,J$4,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8" s="68" t="str">
        <f>IFERROR(
    _xlfn.LET(
        _xlpm.is_data_present, $A138&lt;&gt;0,
        _xlpm.is_camera_present, COUNTIFS(Log!$C:$C, $A138, Log!$D:$D, K$4, Log!$A:$A, "Daily", Log!$B:$B, "n/a"),
        _xlpm.we_camera_on_date, IFERROR(AVERAGEIFS(Log!$F:$F, Log!$D:$D,K$4, Log!$C:$C, $A138, Log!$A:$A, "Daily", Log!$B:$B, "n/a"), 0),
        _xlpm.ie_camera_on_date, IFERROR(AVERAGEIFS(Log!$G:$G, Log!$D:$D,K$4,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8" s="68" t="str">
        <f>IFERROR(
    _xlfn.LET(
        _xlpm.is_data_present, $A138&lt;&gt;0,
        _xlpm.is_camera_present, COUNTIFS(Log!$C:$C, $A138, Log!$D:$D, L$4, Log!$A:$A, "Daily", Log!$B:$B, "n/a"),
        _xlpm.we_camera_on_date, IFERROR(AVERAGEIFS(Log!$F:$F, Log!$D:$D,L$4, Log!$C:$C, $A138, Log!$A:$A, "Daily", Log!$B:$B, "n/a"), 0),
        _xlpm.ie_camera_on_date, IFERROR(AVERAGEIFS(Log!$G:$G, Log!$D:$D,L$4,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8" s="68" t="str">
        <f>IFERROR(
    _xlfn.LET(
        _xlpm.is_data_present, $A138&lt;&gt;0,
        _xlpm.is_camera_present, COUNTIFS(Log!$C:$C, $A138, Log!$D:$D, M$4, Log!$A:$A, "Daily", Log!$B:$B, "n/a"),
        _xlpm.we_camera_on_date, IFERROR(AVERAGEIFS(Log!$F:$F, Log!$D:$D,M$4, Log!$C:$C, $A138, Log!$A:$A, "Daily", Log!$B:$B, "n/a"), 0),
        _xlpm.ie_camera_on_date, IFERROR(AVERAGEIFS(Log!$G:$G, Log!$D:$D,M$4,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8" s="68" t="str">
        <f>IFERROR(
    _xlfn.LET(
        _xlpm.is_data_present, $A138&lt;&gt;0,
        _xlpm.is_camera_present, COUNTIFS(Log!$C:$C, $A138, Log!$D:$D, N$4, Log!$A:$A, "Daily", Log!$B:$B, "n/a"),
        _xlpm.we_camera_on_date, IFERROR(AVERAGEIFS(Log!$F:$F, Log!$D:$D,N$4, Log!$C:$C, $A138, Log!$A:$A, "Daily", Log!$B:$B, "n/a"), 0),
        _xlpm.ie_camera_on_date, IFERROR(AVERAGEIFS(Log!$G:$G, Log!$D:$D,N$4,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8" s="68" t="str">
        <f>IFERROR(
    _xlfn.LET(
        _xlpm.is_data_present, $A138&lt;&gt;0,
        _xlpm.is_camera_present, COUNTIFS(Log!$C:$C, $A138, Log!$D:$D, O$4, Log!$A:$A, "Daily", Log!$B:$B, "n/a"),
        _xlpm.we_camera_on_date, IFERROR(AVERAGEIFS(Log!$F:$F, Log!$D:$D,O$4, Log!$C:$C, $A138, Log!$A:$A, "Daily", Log!$B:$B, "n/a"), 0),
        _xlpm.ie_camera_on_date, IFERROR(AVERAGEIFS(Log!$G:$G, Log!$D:$D,O$4,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8" s="68" t="str">
        <f>IFERROR(
    _xlfn.LET(
        _xlpm.is_data_present, $A138&lt;&gt;0,
        _xlpm.is_camera_present, COUNTIFS(Log!$C:$C, $A138, Log!$D:$D, P$4, Log!$A:$A, "Daily", Log!$B:$B, "n/a"),
        _xlpm.we_camera_on_date, IFERROR(AVERAGEIFS(Log!$F:$F, Log!$D:$D,P$4, Log!$C:$C, $A138, Log!$A:$A, "Daily", Log!$B:$B, "n/a"), 0),
        _xlpm.ie_camera_on_date, IFERROR(AVERAGEIFS(Log!$G:$G, Log!$D:$D,P$4,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8" s="68" t="str">
        <f>IFERROR(
    _xlfn.LET(
        _xlpm.is_data_present, $A138&lt;&gt;0,
        _xlpm.is_camera_present, COUNTIFS(Log!$C:$C, $A138, Log!$D:$D, Q$4, Log!$A:$A, "Daily", Log!$B:$B, "n/a"),
        _xlpm.we_camera_on_date, IFERROR(AVERAGEIFS(Log!$F:$F, Log!$D:$D,Q$4, Log!$C:$C, $A138, Log!$A:$A, "Daily", Log!$B:$B, "n/a"), 0),
        _xlpm.ie_camera_on_date, IFERROR(AVERAGEIFS(Log!$G:$G, Log!$D:$D,Q$4,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8" s="68" t="str">
        <f>IFERROR(
    _xlfn.LET(
        _xlpm.is_data_present, $A138&lt;&gt;0,
        _xlpm.is_camera_present, COUNTIFS(Log!$C:$C, $A138, Log!$D:$D, R$4, Log!$A:$A, "Daily", Log!$B:$B, "n/a"),
        _xlpm.we_camera_on_date, IFERROR(AVERAGEIFS(Log!$F:$F, Log!$D:$D,R$4, Log!$C:$C, $A138, Log!$A:$A, "Daily", Log!$B:$B, "n/a"), 0),
        _xlpm.ie_camera_on_date, IFERROR(AVERAGEIFS(Log!$G:$G, Log!$D:$D,R$4,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8" s="68" t="str">
        <f>IFERROR(
    _xlfn.LET(
        _xlpm.is_data_present, $A138&lt;&gt;0,
        _xlpm.is_camera_present, COUNTIFS(Log!$C:$C, $A138, Log!$D:$D, S$4, Log!$A:$A, "Daily", Log!$B:$B, "n/a"),
        _xlpm.we_camera_on_date, IFERROR(AVERAGEIFS(Log!$F:$F, Log!$D:$D,S$4, Log!$C:$C, $A138, Log!$A:$A, "Daily", Log!$B:$B, "n/a"), 0),
        _xlpm.ie_camera_on_date, IFERROR(AVERAGEIFS(Log!$G:$G, Log!$D:$D,S$4, Log!$C:$C, $A138, Log!$A:$A, "Daily", Log!$B:$B, "n/a"), 0),
        _xlpm.we_avg, IFERROR(AVERAGEIFS(Log!$F:$F,Log!$C:$C,$A138, Log!$A:$A, "Daily", Log!$B:$B, "n/a"),0),
        _xlpm.ie_avg, IFERROR(AVERAGEIFS(Log!$G:$G,Log!$C:$C,$A138,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39" spans="2:19" x14ac:dyDescent="0.3">
      <c r="B139" s="68" t="str">
        <f>IFERROR(
    _xlfn.LET(
        _xlpm.is_data_present, $A139&lt;&gt;0,
        _xlpm.is_camera_present, COUNTIFS(Log!$C:$C, $A139, Log!$D:$D, B$4, Log!$A:$A, "Daily", Log!$B:$B, "n/a"),
        _xlpm.we_camera_on_date, IFERROR(AVERAGEIFS(Log!$F:$F, Log!$D:$D,B$4, Log!$C:$C, $A139, Log!$A:$A, "Daily", Log!$B:$B, "n/a"), 0),
        _xlpm.ie_camera_on_date, IFERROR(AVERAGEIFS(Log!$G:$G, Log!$D:$D,B$4,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39" s="68" t="str">
        <f>IFERROR(
    _xlfn.LET(
        _xlpm.is_data_present, $A139&lt;&gt;0,
        _xlpm.is_camera_present, COUNTIFS(Log!$C:$C, $A139, Log!$D:$D, C$4, Log!$A:$A, "Daily", Log!$B:$B, "n/a"),
        _xlpm.we_camera_on_date, IFERROR(AVERAGEIFS(Log!$F:$F, Log!$D:$D,C$4, Log!$C:$C, $A139, Log!$A:$A, "Daily", Log!$B:$B, "n/a"), 0),
        _xlpm.ie_camera_on_date, IFERROR(AVERAGEIFS(Log!$G:$G, Log!$D:$D,C$4,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39" s="68" t="str">
        <f>IFERROR(
    _xlfn.LET(
        _xlpm.is_data_present, $A139&lt;&gt;0,
        _xlpm.is_camera_present, COUNTIFS(Log!$C:$C, $A139, Log!$D:$D, D$4, Log!$A:$A, "Daily", Log!$B:$B, "n/a"),
        _xlpm.we_camera_on_date, IFERROR(AVERAGEIFS(Log!$F:$F, Log!$D:$D,D$4, Log!$C:$C, $A139, Log!$A:$A, "Daily", Log!$B:$B, "n/a"), 0),
        _xlpm.ie_camera_on_date, IFERROR(AVERAGEIFS(Log!$G:$G, Log!$D:$D,D$4,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39" s="68" t="str">
        <f>IFERROR(
    _xlfn.LET(
        _xlpm.is_data_present, $A139&lt;&gt;0,
        _xlpm.is_camera_present, COUNTIFS(Log!$C:$C, $A139, Log!$D:$D, E$4, Log!$A:$A, "Daily", Log!$B:$B, "n/a"),
        _xlpm.we_camera_on_date, IFERROR(AVERAGEIFS(Log!$F:$F, Log!$D:$D,E$4, Log!$C:$C, $A139, Log!$A:$A, "Daily", Log!$B:$B, "n/a"), 0),
        _xlpm.ie_camera_on_date, IFERROR(AVERAGEIFS(Log!$G:$G, Log!$D:$D,E$4,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39" s="68" t="str">
        <f>IFERROR(
    _xlfn.LET(
        _xlpm.is_data_present, $A139&lt;&gt;0,
        _xlpm.is_camera_present, COUNTIFS(Log!$C:$C, $A139, Log!$D:$D, F$4, Log!$A:$A, "Daily", Log!$B:$B, "n/a"),
        _xlpm.we_camera_on_date, IFERROR(AVERAGEIFS(Log!$F:$F, Log!$D:$D,F$4, Log!$C:$C, $A139, Log!$A:$A, "Daily", Log!$B:$B, "n/a"), 0),
        _xlpm.ie_camera_on_date, IFERROR(AVERAGEIFS(Log!$G:$G, Log!$D:$D,F$4,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39" s="68" t="str">
        <f>IFERROR(
    _xlfn.LET(
        _xlpm.is_data_present, $A139&lt;&gt;0,
        _xlpm.is_camera_present, COUNTIFS(Log!$C:$C, $A139, Log!$D:$D, G$4, Log!$A:$A, "Daily", Log!$B:$B, "n/a"),
        _xlpm.we_camera_on_date, IFERROR(AVERAGEIFS(Log!$F:$F, Log!$D:$D,G$4, Log!$C:$C, $A139, Log!$A:$A, "Daily", Log!$B:$B, "n/a"), 0),
        _xlpm.ie_camera_on_date, IFERROR(AVERAGEIFS(Log!$G:$G, Log!$D:$D,G$4,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39" s="68" t="str">
        <f>IFERROR(
    _xlfn.LET(
        _xlpm.is_data_present, $A139&lt;&gt;0,
        _xlpm.is_camera_present, COUNTIFS(Log!$C:$C, $A139, Log!$D:$D, H$4, Log!$A:$A, "Daily", Log!$B:$B, "n/a"),
        _xlpm.we_camera_on_date, IFERROR(AVERAGEIFS(Log!$F:$F, Log!$D:$D,H$4, Log!$C:$C, $A139, Log!$A:$A, "Daily", Log!$B:$B, "n/a"), 0),
        _xlpm.ie_camera_on_date, IFERROR(AVERAGEIFS(Log!$G:$G, Log!$D:$D,H$4,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39" s="68" t="str">
        <f>IFERROR(
    _xlfn.LET(
        _xlpm.is_data_present, $A139&lt;&gt;0,
        _xlpm.is_camera_present, COUNTIFS(Log!$C:$C, $A139, Log!$D:$D, I$4, Log!$A:$A, "Daily", Log!$B:$B, "n/a"),
        _xlpm.we_camera_on_date, IFERROR(AVERAGEIFS(Log!$F:$F, Log!$D:$D,I$4, Log!$C:$C, $A139, Log!$A:$A, "Daily", Log!$B:$B, "n/a"), 0),
        _xlpm.ie_camera_on_date, IFERROR(AVERAGEIFS(Log!$G:$G, Log!$D:$D,I$4,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39" s="68" t="str">
        <f>IFERROR(
    _xlfn.LET(
        _xlpm.is_data_present, $A139&lt;&gt;0,
        _xlpm.is_camera_present, COUNTIFS(Log!$C:$C, $A139, Log!$D:$D, J$4, Log!$A:$A, "Daily", Log!$B:$B, "n/a"),
        _xlpm.we_camera_on_date, IFERROR(AVERAGEIFS(Log!$F:$F, Log!$D:$D,J$4, Log!$C:$C, $A139, Log!$A:$A, "Daily", Log!$B:$B, "n/a"), 0),
        _xlpm.ie_camera_on_date, IFERROR(AVERAGEIFS(Log!$G:$G, Log!$D:$D,J$4,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39" s="68" t="str">
        <f>IFERROR(
    _xlfn.LET(
        _xlpm.is_data_present, $A139&lt;&gt;0,
        _xlpm.is_camera_present, COUNTIFS(Log!$C:$C, $A139, Log!$D:$D, K$4, Log!$A:$A, "Daily", Log!$B:$B, "n/a"),
        _xlpm.we_camera_on_date, IFERROR(AVERAGEIFS(Log!$F:$F, Log!$D:$D,K$4, Log!$C:$C, $A139, Log!$A:$A, "Daily", Log!$B:$B, "n/a"), 0),
        _xlpm.ie_camera_on_date, IFERROR(AVERAGEIFS(Log!$G:$G, Log!$D:$D,K$4,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39" s="68" t="str">
        <f>IFERROR(
    _xlfn.LET(
        _xlpm.is_data_present, $A139&lt;&gt;0,
        _xlpm.is_camera_present, COUNTIFS(Log!$C:$C, $A139, Log!$D:$D, L$4, Log!$A:$A, "Daily", Log!$B:$B, "n/a"),
        _xlpm.we_camera_on_date, IFERROR(AVERAGEIFS(Log!$F:$F, Log!$D:$D,L$4, Log!$C:$C, $A139, Log!$A:$A, "Daily", Log!$B:$B, "n/a"), 0),
        _xlpm.ie_camera_on_date, IFERROR(AVERAGEIFS(Log!$G:$G, Log!$D:$D,L$4,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39" s="68" t="str">
        <f>IFERROR(
    _xlfn.LET(
        _xlpm.is_data_present, $A139&lt;&gt;0,
        _xlpm.is_camera_present, COUNTIFS(Log!$C:$C, $A139, Log!$D:$D, M$4, Log!$A:$A, "Daily", Log!$B:$B, "n/a"),
        _xlpm.we_camera_on_date, IFERROR(AVERAGEIFS(Log!$F:$F, Log!$D:$D,M$4, Log!$C:$C, $A139, Log!$A:$A, "Daily", Log!$B:$B, "n/a"), 0),
        _xlpm.ie_camera_on_date, IFERROR(AVERAGEIFS(Log!$G:$G, Log!$D:$D,M$4,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39" s="68" t="str">
        <f>IFERROR(
    _xlfn.LET(
        _xlpm.is_data_present, $A139&lt;&gt;0,
        _xlpm.is_camera_present, COUNTIFS(Log!$C:$C, $A139, Log!$D:$D, N$4, Log!$A:$A, "Daily", Log!$B:$B, "n/a"),
        _xlpm.we_camera_on_date, IFERROR(AVERAGEIFS(Log!$F:$F, Log!$D:$D,N$4, Log!$C:$C, $A139, Log!$A:$A, "Daily", Log!$B:$B, "n/a"), 0),
        _xlpm.ie_camera_on_date, IFERROR(AVERAGEIFS(Log!$G:$G, Log!$D:$D,N$4,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39" s="68" t="str">
        <f>IFERROR(
    _xlfn.LET(
        _xlpm.is_data_present, $A139&lt;&gt;0,
        _xlpm.is_camera_present, COUNTIFS(Log!$C:$C, $A139, Log!$D:$D, O$4, Log!$A:$A, "Daily", Log!$B:$B, "n/a"),
        _xlpm.we_camera_on_date, IFERROR(AVERAGEIFS(Log!$F:$F, Log!$D:$D,O$4, Log!$C:$C, $A139, Log!$A:$A, "Daily", Log!$B:$B, "n/a"), 0),
        _xlpm.ie_camera_on_date, IFERROR(AVERAGEIFS(Log!$G:$G, Log!$D:$D,O$4,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39" s="68" t="str">
        <f>IFERROR(
    _xlfn.LET(
        _xlpm.is_data_present, $A139&lt;&gt;0,
        _xlpm.is_camera_present, COUNTIFS(Log!$C:$C, $A139, Log!$D:$D, P$4, Log!$A:$A, "Daily", Log!$B:$B, "n/a"),
        _xlpm.we_camera_on_date, IFERROR(AVERAGEIFS(Log!$F:$F, Log!$D:$D,P$4, Log!$C:$C, $A139, Log!$A:$A, "Daily", Log!$B:$B, "n/a"), 0),
        _xlpm.ie_camera_on_date, IFERROR(AVERAGEIFS(Log!$G:$G, Log!$D:$D,P$4,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39" s="68" t="str">
        <f>IFERROR(
    _xlfn.LET(
        _xlpm.is_data_present, $A139&lt;&gt;0,
        _xlpm.is_camera_present, COUNTIFS(Log!$C:$C, $A139, Log!$D:$D, Q$4, Log!$A:$A, "Daily", Log!$B:$B, "n/a"),
        _xlpm.we_camera_on_date, IFERROR(AVERAGEIFS(Log!$F:$F, Log!$D:$D,Q$4, Log!$C:$C, $A139, Log!$A:$A, "Daily", Log!$B:$B, "n/a"), 0),
        _xlpm.ie_camera_on_date, IFERROR(AVERAGEIFS(Log!$G:$G, Log!$D:$D,Q$4,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39" s="68" t="str">
        <f>IFERROR(
    _xlfn.LET(
        _xlpm.is_data_present, $A139&lt;&gt;0,
        _xlpm.is_camera_present, COUNTIFS(Log!$C:$C, $A139, Log!$D:$D, R$4, Log!$A:$A, "Daily", Log!$B:$B, "n/a"),
        _xlpm.we_camera_on_date, IFERROR(AVERAGEIFS(Log!$F:$F, Log!$D:$D,R$4, Log!$C:$C, $A139, Log!$A:$A, "Daily", Log!$B:$B, "n/a"), 0),
        _xlpm.ie_camera_on_date, IFERROR(AVERAGEIFS(Log!$G:$G, Log!$D:$D,R$4,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39" s="68" t="str">
        <f>IFERROR(
    _xlfn.LET(
        _xlpm.is_data_present, $A139&lt;&gt;0,
        _xlpm.is_camera_present, COUNTIFS(Log!$C:$C, $A139, Log!$D:$D, S$4, Log!$A:$A, "Daily", Log!$B:$B, "n/a"),
        _xlpm.we_camera_on_date, IFERROR(AVERAGEIFS(Log!$F:$F, Log!$D:$D,S$4, Log!$C:$C, $A139, Log!$A:$A, "Daily", Log!$B:$B, "n/a"), 0),
        _xlpm.ie_camera_on_date, IFERROR(AVERAGEIFS(Log!$G:$G, Log!$D:$D,S$4, Log!$C:$C, $A139, Log!$A:$A, "Daily", Log!$B:$B, "n/a"), 0),
        _xlpm.we_avg, IFERROR(AVERAGEIFS(Log!$F:$F,Log!$C:$C,$A139, Log!$A:$A, "Daily", Log!$B:$B, "n/a"),0),
        _xlpm.ie_avg, IFERROR(AVERAGEIFS(Log!$G:$G,Log!$C:$C,$A139,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0" spans="2:19" x14ac:dyDescent="0.3">
      <c r="B140" s="68" t="str">
        <f>IFERROR(
    _xlfn.LET(
        _xlpm.is_data_present, $A140&lt;&gt;0,
        _xlpm.is_camera_present, COUNTIFS(Log!$C:$C, $A140, Log!$D:$D, B$4, Log!$A:$A, "Daily", Log!$B:$B, "n/a"),
        _xlpm.we_camera_on_date, IFERROR(AVERAGEIFS(Log!$F:$F, Log!$D:$D,B$4, Log!$C:$C, $A140, Log!$A:$A, "Daily", Log!$B:$B, "n/a"), 0),
        _xlpm.ie_camera_on_date, IFERROR(AVERAGEIFS(Log!$G:$G, Log!$D:$D,B$4,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0" s="68" t="str">
        <f>IFERROR(
    _xlfn.LET(
        _xlpm.is_data_present, $A140&lt;&gt;0,
        _xlpm.is_camera_present, COUNTIFS(Log!$C:$C, $A140, Log!$D:$D, C$4, Log!$A:$A, "Daily", Log!$B:$B, "n/a"),
        _xlpm.we_camera_on_date, IFERROR(AVERAGEIFS(Log!$F:$F, Log!$D:$D,C$4, Log!$C:$C, $A140, Log!$A:$A, "Daily", Log!$B:$B, "n/a"), 0),
        _xlpm.ie_camera_on_date, IFERROR(AVERAGEIFS(Log!$G:$G, Log!$D:$D,C$4,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0" s="68" t="str">
        <f>IFERROR(
    _xlfn.LET(
        _xlpm.is_data_present, $A140&lt;&gt;0,
        _xlpm.is_camera_present, COUNTIFS(Log!$C:$C, $A140, Log!$D:$D, D$4, Log!$A:$A, "Daily", Log!$B:$B, "n/a"),
        _xlpm.we_camera_on_date, IFERROR(AVERAGEIFS(Log!$F:$F, Log!$D:$D,D$4, Log!$C:$C, $A140, Log!$A:$A, "Daily", Log!$B:$B, "n/a"), 0),
        _xlpm.ie_camera_on_date, IFERROR(AVERAGEIFS(Log!$G:$G, Log!$D:$D,D$4,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0" s="68" t="str">
        <f>IFERROR(
    _xlfn.LET(
        _xlpm.is_data_present, $A140&lt;&gt;0,
        _xlpm.is_camera_present, COUNTIFS(Log!$C:$C, $A140, Log!$D:$D, E$4, Log!$A:$A, "Daily", Log!$B:$B, "n/a"),
        _xlpm.we_camera_on_date, IFERROR(AVERAGEIFS(Log!$F:$F, Log!$D:$D,E$4, Log!$C:$C, $A140, Log!$A:$A, "Daily", Log!$B:$B, "n/a"), 0),
        _xlpm.ie_camera_on_date, IFERROR(AVERAGEIFS(Log!$G:$G, Log!$D:$D,E$4,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0" s="68" t="str">
        <f>IFERROR(
    _xlfn.LET(
        _xlpm.is_data_present, $A140&lt;&gt;0,
        _xlpm.is_camera_present, COUNTIFS(Log!$C:$C, $A140, Log!$D:$D, F$4, Log!$A:$A, "Daily", Log!$B:$B, "n/a"),
        _xlpm.we_camera_on_date, IFERROR(AVERAGEIFS(Log!$F:$F, Log!$D:$D,F$4, Log!$C:$C, $A140, Log!$A:$A, "Daily", Log!$B:$B, "n/a"), 0),
        _xlpm.ie_camera_on_date, IFERROR(AVERAGEIFS(Log!$G:$G, Log!$D:$D,F$4,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0" s="68" t="str">
        <f>IFERROR(
    _xlfn.LET(
        _xlpm.is_data_present, $A140&lt;&gt;0,
        _xlpm.is_camera_present, COUNTIFS(Log!$C:$C, $A140, Log!$D:$D, G$4, Log!$A:$A, "Daily", Log!$B:$B, "n/a"),
        _xlpm.we_camera_on_date, IFERROR(AVERAGEIFS(Log!$F:$F, Log!$D:$D,G$4, Log!$C:$C, $A140, Log!$A:$A, "Daily", Log!$B:$B, "n/a"), 0),
        _xlpm.ie_camera_on_date, IFERROR(AVERAGEIFS(Log!$G:$G, Log!$D:$D,G$4,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0" s="68" t="str">
        <f>IFERROR(
    _xlfn.LET(
        _xlpm.is_data_present, $A140&lt;&gt;0,
        _xlpm.is_camera_present, COUNTIFS(Log!$C:$C, $A140, Log!$D:$D, H$4, Log!$A:$A, "Daily", Log!$B:$B, "n/a"),
        _xlpm.we_camera_on_date, IFERROR(AVERAGEIFS(Log!$F:$F, Log!$D:$D,H$4, Log!$C:$C, $A140, Log!$A:$A, "Daily", Log!$B:$B, "n/a"), 0),
        _xlpm.ie_camera_on_date, IFERROR(AVERAGEIFS(Log!$G:$G, Log!$D:$D,H$4,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0" s="68" t="str">
        <f>IFERROR(
    _xlfn.LET(
        _xlpm.is_data_present, $A140&lt;&gt;0,
        _xlpm.is_camera_present, COUNTIFS(Log!$C:$C, $A140, Log!$D:$D, I$4, Log!$A:$A, "Daily", Log!$B:$B, "n/a"),
        _xlpm.we_camera_on_date, IFERROR(AVERAGEIFS(Log!$F:$F, Log!$D:$D,I$4, Log!$C:$C, $A140, Log!$A:$A, "Daily", Log!$B:$B, "n/a"), 0),
        _xlpm.ie_camera_on_date, IFERROR(AVERAGEIFS(Log!$G:$G, Log!$D:$D,I$4,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0" s="68" t="str">
        <f>IFERROR(
    _xlfn.LET(
        _xlpm.is_data_present, $A140&lt;&gt;0,
        _xlpm.is_camera_present, COUNTIFS(Log!$C:$C, $A140, Log!$D:$D, J$4, Log!$A:$A, "Daily", Log!$B:$B, "n/a"),
        _xlpm.we_camera_on_date, IFERROR(AVERAGEIFS(Log!$F:$F, Log!$D:$D,J$4, Log!$C:$C, $A140, Log!$A:$A, "Daily", Log!$B:$B, "n/a"), 0),
        _xlpm.ie_camera_on_date, IFERROR(AVERAGEIFS(Log!$G:$G, Log!$D:$D,J$4,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0" s="68" t="str">
        <f>IFERROR(
    _xlfn.LET(
        _xlpm.is_data_present, $A140&lt;&gt;0,
        _xlpm.is_camera_present, COUNTIFS(Log!$C:$C, $A140, Log!$D:$D, K$4, Log!$A:$A, "Daily", Log!$B:$B, "n/a"),
        _xlpm.we_camera_on_date, IFERROR(AVERAGEIFS(Log!$F:$F, Log!$D:$D,K$4, Log!$C:$C, $A140, Log!$A:$A, "Daily", Log!$B:$B, "n/a"), 0),
        _xlpm.ie_camera_on_date, IFERROR(AVERAGEIFS(Log!$G:$G, Log!$D:$D,K$4,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0" s="68" t="str">
        <f>IFERROR(
    _xlfn.LET(
        _xlpm.is_data_present, $A140&lt;&gt;0,
        _xlpm.is_camera_present, COUNTIFS(Log!$C:$C, $A140, Log!$D:$D, L$4, Log!$A:$A, "Daily", Log!$B:$B, "n/a"),
        _xlpm.we_camera_on_date, IFERROR(AVERAGEIFS(Log!$F:$F, Log!$D:$D,L$4, Log!$C:$C, $A140, Log!$A:$A, "Daily", Log!$B:$B, "n/a"), 0),
        _xlpm.ie_camera_on_date, IFERROR(AVERAGEIFS(Log!$G:$G, Log!$D:$D,L$4,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0" s="68" t="str">
        <f>IFERROR(
    _xlfn.LET(
        _xlpm.is_data_present, $A140&lt;&gt;0,
        _xlpm.is_camera_present, COUNTIFS(Log!$C:$C, $A140, Log!$D:$D, M$4, Log!$A:$A, "Daily", Log!$B:$B, "n/a"),
        _xlpm.we_camera_on_date, IFERROR(AVERAGEIFS(Log!$F:$F, Log!$D:$D,M$4, Log!$C:$C, $A140, Log!$A:$A, "Daily", Log!$B:$B, "n/a"), 0),
        _xlpm.ie_camera_on_date, IFERROR(AVERAGEIFS(Log!$G:$G, Log!$D:$D,M$4,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0" s="68" t="str">
        <f>IFERROR(
    _xlfn.LET(
        _xlpm.is_data_present, $A140&lt;&gt;0,
        _xlpm.is_camera_present, COUNTIFS(Log!$C:$C, $A140, Log!$D:$D, N$4, Log!$A:$A, "Daily", Log!$B:$B, "n/a"),
        _xlpm.we_camera_on_date, IFERROR(AVERAGEIFS(Log!$F:$F, Log!$D:$D,N$4, Log!$C:$C, $A140, Log!$A:$A, "Daily", Log!$B:$B, "n/a"), 0),
        _xlpm.ie_camera_on_date, IFERROR(AVERAGEIFS(Log!$G:$G, Log!$D:$D,N$4,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0" s="68" t="str">
        <f>IFERROR(
    _xlfn.LET(
        _xlpm.is_data_present, $A140&lt;&gt;0,
        _xlpm.is_camera_present, COUNTIFS(Log!$C:$C, $A140, Log!$D:$D, O$4, Log!$A:$A, "Daily", Log!$B:$B, "n/a"),
        _xlpm.we_camera_on_date, IFERROR(AVERAGEIFS(Log!$F:$F, Log!$D:$D,O$4, Log!$C:$C, $A140, Log!$A:$A, "Daily", Log!$B:$B, "n/a"), 0),
        _xlpm.ie_camera_on_date, IFERROR(AVERAGEIFS(Log!$G:$G, Log!$D:$D,O$4,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0" s="68" t="str">
        <f>IFERROR(
    _xlfn.LET(
        _xlpm.is_data_present, $A140&lt;&gt;0,
        _xlpm.is_camera_present, COUNTIFS(Log!$C:$C, $A140, Log!$D:$D, P$4, Log!$A:$A, "Daily", Log!$B:$B, "n/a"),
        _xlpm.we_camera_on_date, IFERROR(AVERAGEIFS(Log!$F:$F, Log!$D:$D,P$4, Log!$C:$C, $A140, Log!$A:$A, "Daily", Log!$B:$B, "n/a"), 0),
        _xlpm.ie_camera_on_date, IFERROR(AVERAGEIFS(Log!$G:$G, Log!$D:$D,P$4,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0" s="68" t="str">
        <f>IFERROR(
    _xlfn.LET(
        _xlpm.is_data_present, $A140&lt;&gt;0,
        _xlpm.is_camera_present, COUNTIFS(Log!$C:$C, $A140, Log!$D:$D, Q$4, Log!$A:$A, "Daily", Log!$B:$B, "n/a"),
        _xlpm.we_camera_on_date, IFERROR(AVERAGEIFS(Log!$F:$F, Log!$D:$D,Q$4, Log!$C:$C, $A140, Log!$A:$A, "Daily", Log!$B:$B, "n/a"), 0),
        _xlpm.ie_camera_on_date, IFERROR(AVERAGEIFS(Log!$G:$G, Log!$D:$D,Q$4,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0" s="68" t="str">
        <f>IFERROR(
    _xlfn.LET(
        _xlpm.is_data_present, $A140&lt;&gt;0,
        _xlpm.is_camera_present, COUNTIFS(Log!$C:$C, $A140, Log!$D:$D, R$4, Log!$A:$A, "Daily", Log!$B:$B, "n/a"),
        _xlpm.we_camera_on_date, IFERROR(AVERAGEIFS(Log!$F:$F, Log!$D:$D,R$4, Log!$C:$C, $A140, Log!$A:$A, "Daily", Log!$B:$B, "n/a"), 0),
        _xlpm.ie_camera_on_date, IFERROR(AVERAGEIFS(Log!$G:$G, Log!$D:$D,R$4,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0" s="68" t="str">
        <f>IFERROR(
    _xlfn.LET(
        _xlpm.is_data_present, $A140&lt;&gt;0,
        _xlpm.is_camera_present, COUNTIFS(Log!$C:$C, $A140, Log!$D:$D, S$4, Log!$A:$A, "Daily", Log!$B:$B, "n/a"),
        _xlpm.we_camera_on_date, IFERROR(AVERAGEIFS(Log!$F:$F, Log!$D:$D,S$4, Log!$C:$C, $A140, Log!$A:$A, "Daily", Log!$B:$B, "n/a"), 0),
        _xlpm.ie_camera_on_date, IFERROR(AVERAGEIFS(Log!$G:$G, Log!$D:$D,S$4, Log!$C:$C, $A140, Log!$A:$A, "Daily", Log!$B:$B, "n/a"), 0),
        _xlpm.we_avg, IFERROR(AVERAGEIFS(Log!$F:$F,Log!$C:$C,$A140, Log!$A:$A, "Daily", Log!$B:$B, "n/a"),0),
        _xlpm.ie_avg, IFERROR(AVERAGEIFS(Log!$G:$G,Log!$C:$C,$A140,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1" spans="2:19" x14ac:dyDescent="0.3">
      <c r="B141" s="68" t="str">
        <f>IFERROR(
    _xlfn.LET(
        _xlpm.is_data_present, $A141&lt;&gt;0,
        _xlpm.is_camera_present, COUNTIFS(Log!$C:$C, $A141, Log!$D:$D, B$4, Log!$A:$A, "Daily", Log!$B:$B, "n/a"),
        _xlpm.we_camera_on_date, IFERROR(AVERAGEIFS(Log!$F:$F, Log!$D:$D,B$4, Log!$C:$C, $A141, Log!$A:$A, "Daily", Log!$B:$B, "n/a"), 0),
        _xlpm.ie_camera_on_date, IFERROR(AVERAGEIFS(Log!$G:$G, Log!$D:$D,B$4,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1" s="68" t="str">
        <f>IFERROR(
    _xlfn.LET(
        _xlpm.is_data_present, $A141&lt;&gt;0,
        _xlpm.is_camera_present, COUNTIFS(Log!$C:$C, $A141, Log!$D:$D, C$4, Log!$A:$A, "Daily", Log!$B:$B, "n/a"),
        _xlpm.we_camera_on_date, IFERROR(AVERAGEIFS(Log!$F:$F, Log!$D:$D,C$4, Log!$C:$C, $A141, Log!$A:$A, "Daily", Log!$B:$B, "n/a"), 0),
        _xlpm.ie_camera_on_date, IFERROR(AVERAGEIFS(Log!$G:$G, Log!$D:$D,C$4,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1" s="68" t="str">
        <f>IFERROR(
    _xlfn.LET(
        _xlpm.is_data_present, $A141&lt;&gt;0,
        _xlpm.is_camera_present, COUNTIFS(Log!$C:$C, $A141, Log!$D:$D, D$4, Log!$A:$A, "Daily", Log!$B:$B, "n/a"),
        _xlpm.we_camera_on_date, IFERROR(AVERAGEIFS(Log!$F:$F, Log!$D:$D,D$4, Log!$C:$C, $A141, Log!$A:$A, "Daily", Log!$B:$B, "n/a"), 0),
        _xlpm.ie_camera_on_date, IFERROR(AVERAGEIFS(Log!$G:$G, Log!$D:$D,D$4,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1" s="68" t="str">
        <f>IFERROR(
    _xlfn.LET(
        _xlpm.is_data_present, $A141&lt;&gt;0,
        _xlpm.is_camera_present, COUNTIFS(Log!$C:$C, $A141, Log!$D:$D, E$4, Log!$A:$A, "Daily", Log!$B:$B, "n/a"),
        _xlpm.we_camera_on_date, IFERROR(AVERAGEIFS(Log!$F:$F, Log!$D:$D,E$4, Log!$C:$C, $A141, Log!$A:$A, "Daily", Log!$B:$B, "n/a"), 0),
        _xlpm.ie_camera_on_date, IFERROR(AVERAGEIFS(Log!$G:$G, Log!$D:$D,E$4,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1" s="68" t="str">
        <f>IFERROR(
    _xlfn.LET(
        _xlpm.is_data_present, $A141&lt;&gt;0,
        _xlpm.is_camera_present, COUNTIFS(Log!$C:$C, $A141, Log!$D:$D, F$4, Log!$A:$A, "Daily", Log!$B:$B, "n/a"),
        _xlpm.we_camera_on_date, IFERROR(AVERAGEIFS(Log!$F:$F, Log!$D:$D,F$4, Log!$C:$C, $A141, Log!$A:$A, "Daily", Log!$B:$B, "n/a"), 0),
        _xlpm.ie_camera_on_date, IFERROR(AVERAGEIFS(Log!$G:$G, Log!$D:$D,F$4,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1" s="68" t="str">
        <f>IFERROR(
    _xlfn.LET(
        _xlpm.is_data_present, $A141&lt;&gt;0,
        _xlpm.is_camera_present, COUNTIFS(Log!$C:$C, $A141, Log!$D:$D, G$4, Log!$A:$A, "Daily", Log!$B:$B, "n/a"),
        _xlpm.we_camera_on_date, IFERROR(AVERAGEIFS(Log!$F:$F, Log!$D:$D,G$4, Log!$C:$C, $A141, Log!$A:$A, "Daily", Log!$B:$B, "n/a"), 0),
        _xlpm.ie_camera_on_date, IFERROR(AVERAGEIFS(Log!$G:$G, Log!$D:$D,G$4,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1" s="68" t="str">
        <f>IFERROR(
    _xlfn.LET(
        _xlpm.is_data_present, $A141&lt;&gt;0,
        _xlpm.is_camera_present, COUNTIFS(Log!$C:$C, $A141, Log!$D:$D, H$4, Log!$A:$A, "Daily", Log!$B:$B, "n/a"),
        _xlpm.we_camera_on_date, IFERROR(AVERAGEIFS(Log!$F:$F, Log!$D:$D,H$4, Log!$C:$C, $A141, Log!$A:$A, "Daily", Log!$B:$B, "n/a"), 0),
        _xlpm.ie_camera_on_date, IFERROR(AVERAGEIFS(Log!$G:$G, Log!$D:$D,H$4,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1" s="68" t="str">
        <f>IFERROR(
    _xlfn.LET(
        _xlpm.is_data_present, $A141&lt;&gt;0,
        _xlpm.is_camera_present, COUNTIFS(Log!$C:$C, $A141, Log!$D:$D, I$4, Log!$A:$A, "Daily", Log!$B:$B, "n/a"),
        _xlpm.we_camera_on_date, IFERROR(AVERAGEIFS(Log!$F:$F, Log!$D:$D,I$4, Log!$C:$C, $A141, Log!$A:$A, "Daily", Log!$B:$B, "n/a"), 0),
        _xlpm.ie_camera_on_date, IFERROR(AVERAGEIFS(Log!$G:$G, Log!$D:$D,I$4,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1" s="68" t="str">
        <f>IFERROR(
    _xlfn.LET(
        _xlpm.is_data_present, $A141&lt;&gt;0,
        _xlpm.is_camera_present, COUNTIFS(Log!$C:$C, $A141, Log!$D:$D, J$4, Log!$A:$A, "Daily", Log!$B:$B, "n/a"),
        _xlpm.we_camera_on_date, IFERROR(AVERAGEIFS(Log!$F:$F, Log!$D:$D,J$4, Log!$C:$C, $A141, Log!$A:$A, "Daily", Log!$B:$B, "n/a"), 0),
        _xlpm.ie_camera_on_date, IFERROR(AVERAGEIFS(Log!$G:$G, Log!$D:$D,J$4,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1" s="68" t="str">
        <f>IFERROR(
    _xlfn.LET(
        _xlpm.is_data_present, $A141&lt;&gt;0,
        _xlpm.is_camera_present, COUNTIFS(Log!$C:$C, $A141, Log!$D:$D, K$4, Log!$A:$A, "Daily", Log!$B:$B, "n/a"),
        _xlpm.we_camera_on_date, IFERROR(AVERAGEIFS(Log!$F:$F, Log!$D:$D,K$4, Log!$C:$C, $A141, Log!$A:$A, "Daily", Log!$B:$B, "n/a"), 0),
        _xlpm.ie_camera_on_date, IFERROR(AVERAGEIFS(Log!$G:$G, Log!$D:$D,K$4,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1" s="68" t="str">
        <f>IFERROR(
    _xlfn.LET(
        _xlpm.is_data_present, $A141&lt;&gt;0,
        _xlpm.is_camera_present, COUNTIFS(Log!$C:$C, $A141, Log!$D:$D, L$4, Log!$A:$A, "Daily", Log!$B:$B, "n/a"),
        _xlpm.we_camera_on_date, IFERROR(AVERAGEIFS(Log!$F:$F, Log!$D:$D,L$4, Log!$C:$C, $A141, Log!$A:$A, "Daily", Log!$B:$B, "n/a"), 0),
        _xlpm.ie_camera_on_date, IFERROR(AVERAGEIFS(Log!$G:$G, Log!$D:$D,L$4,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1" s="68" t="str">
        <f>IFERROR(
    _xlfn.LET(
        _xlpm.is_data_present, $A141&lt;&gt;0,
        _xlpm.is_camera_present, COUNTIFS(Log!$C:$C, $A141, Log!$D:$D, M$4, Log!$A:$A, "Daily", Log!$B:$B, "n/a"),
        _xlpm.we_camera_on_date, IFERROR(AVERAGEIFS(Log!$F:$F, Log!$D:$D,M$4, Log!$C:$C, $A141, Log!$A:$A, "Daily", Log!$B:$B, "n/a"), 0),
        _xlpm.ie_camera_on_date, IFERROR(AVERAGEIFS(Log!$G:$G, Log!$D:$D,M$4,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1" s="68" t="str">
        <f>IFERROR(
    _xlfn.LET(
        _xlpm.is_data_present, $A141&lt;&gt;0,
        _xlpm.is_camera_present, COUNTIFS(Log!$C:$C, $A141, Log!$D:$D, N$4, Log!$A:$A, "Daily", Log!$B:$B, "n/a"),
        _xlpm.we_camera_on_date, IFERROR(AVERAGEIFS(Log!$F:$F, Log!$D:$D,N$4, Log!$C:$C, $A141, Log!$A:$A, "Daily", Log!$B:$B, "n/a"), 0),
        _xlpm.ie_camera_on_date, IFERROR(AVERAGEIFS(Log!$G:$G, Log!$D:$D,N$4,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1" s="68" t="str">
        <f>IFERROR(
    _xlfn.LET(
        _xlpm.is_data_present, $A141&lt;&gt;0,
        _xlpm.is_camera_present, COUNTIFS(Log!$C:$C, $A141, Log!$D:$D, O$4, Log!$A:$A, "Daily", Log!$B:$B, "n/a"),
        _xlpm.we_camera_on_date, IFERROR(AVERAGEIFS(Log!$F:$F, Log!$D:$D,O$4, Log!$C:$C, $A141, Log!$A:$A, "Daily", Log!$B:$B, "n/a"), 0),
        _xlpm.ie_camera_on_date, IFERROR(AVERAGEIFS(Log!$G:$G, Log!$D:$D,O$4,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1" s="68" t="str">
        <f>IFERROR(
    _xlfn.LET(
        _xlpm.is_data_present, $A141&lt;&gt;0,
        _xlpm.is_camera_present, COUNTIFS(Log!$C:$C, $A141, Log!$D:$D, P$4, Log!$A:$A, "Daily", Log!$B:$B, "n/a"),
        _xlpm.we_camera_on_date, IFERROR(AVERAGEIFS(Log!$F:$F, Log!$D:$D,P$4, Log!$C:$C, $A141, Log!$A:$A, "Daily", Log!$B:$B, "n/a"), 0),
        _xlpm.ie_camera_on_date, IFERROR(AVERAGEIFS(Log!$G:$G, Log!$D:$D,P$4,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1" s="68" t="str">
        <f>IFERROR(
    _xlfn.LET(
        _xlpm.is_data_present, $A141&lt;&gt;0,
        _xlpm.is_camera_present, COUNTIFS(Log!$C:$C, $A141, Log!$D:$D, Q$4, Log!$A:$A, "Daily", Log!$B:$B, "n/a"),
        _xlpm.we_camera_on_date, IFERROR(AVERAGEIFS(Log!$F:$F, Log!$D:$D,Q$4, Log!$C:$C, $A141, Log!$A:$A, "Daily", Log!$B:$B, "n/a"), 0),
        _xlpm.ie_camera_on_date, IFERROR(AVERAGEIFS(Log!$G:$G, Log!$D:$D,Q$4,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1" s="68" t="str">
        <f>IFERROR(
    _xlfn.LET(
        _xlpm.is_data_present, $A141&lt;&gt;0,
        _xlpm.is_camera_present, COUNTIFS(Log!$C:$C, $A141, Log!$D:$D, R$4, Log!$A:$A, "Daily", Log!$B:$B, "n/a"),
        _xlpm.we_camera_on_date, IFERROR(AVERAGEIFS(Log!$F:$F, Log!$D:$D,R$4, Log!$C:$C, $A141, Log!$A:$A, "Daily", Log!$B:$B, "n/a"), 0),
        _xlpm.ie_camera_on_date, IFERROR(AVERAGEIFS(Log!$G:$G, Log!$D:$D,R$4,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1" s="68" t="str">
        <f>IFERROR(
    _xlfn.LET(
        _xlpm.is_data_present, $A141&lt;&gt;0,
        _xlpm.is_camera_present, COUNTIFS(Log!$C:$C, $A141, Log!$D:$D, S$4, Log!$A:$A, "Daily", Log!$B:$B, "n/a"),
        _xlpm.we_camera_on_date, IFERROR(AVERAGEIFS(Log!$F:$F, Log!$D:$D,S$4, Log!$C:$C, $A141, Log!$A:$A, "Daily", Log!$B:$B, "n/a"), 0),
        _xlpm.ie_camera_on_date, IFERROR(AVERAGEIFS(Log!$G:$G, Log!$D:$D,S$4, Log!$C:$C, $A141, Log!$A:$A, "Daily", Log!$B:$B, "n/a"), 0),
        _xlpm.we_avg, IFERROR(AVERAGEIFS(Log!$F:$F,Log!$C:$C,$A141, Log!$A:$A, "Daily", Log!$B:$B, "n/a"),0),
        _xlpm.ie_avg, IFERROR(AVERAGEIFS(Log!$G:$G,Log!$C:$C,$A141,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2" spans="2:19" x14ac:dyDescent="0.3">
      <c r="B142" s="68" t="str">
        <f>IFERROR(
    _xlfn.LET(
        _xlpm.is_data_present, $A142&lt;&gt;0,
        _xlpm.is_camera_present, COUNTIFS(Log!$C:$C, $A142, Log!$D:$D, B$4, Log!$A:$A, "Daily", Log!$B:$B, "n/a"),
        _xlpm.we_camera_on_date, IFERROR(AVERAGEIFS(Log!$F:$F, Log!$D:$D,B$4, Log!$C:$C, $A142, Log!$A:$A, "Daily", Log!$B:$B, "n/a"), 0),
        _xlpm.ie_camera_on_date, IFERROR(AVERAGEIFS(Log!$G:$G, Log!$D:$D,B$4,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2" s="68" t="str">
        <f>IFERROR(
    _xlfn.LET(
        _xlpm.is_data_present, $A142&lt;&gt;0,
        _xlpm.is_camera_present, COUNTIFS(Log!$C:$C, $A142, Log!$D:$D, C$4, Log!$A:$A, "Daily", Log!$B:$B, "n/a"),
        _xlpm.we_camera_on_date, IFERROR(AVERAGEIFS(Log!$F:$F, Log!$D:$D,C$4, Log!$C:$C, $A142, Log!$A:$A, "Daily", Log!$B:$B, "n/a"), 0),
        _xlpm.ie_camera_on_date, IFERROR(AVERAGEIFS(Log!$G:$G, Log!$D:$D,C$4,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2" s="68" t="str">
        <f>IFERROR(
    _xlfn.LET(
        _xlpm.is_data_present, $A142&lt;&gt;0,
        _xlpm.is_camera_present, COUNTIFS(Log!$C:$C, $A142, Log!$D:$D, D$4, Log!$A:$A, "Daily", Log!$B:$B, "n/a"),
        _xlpm.we_camera_on_date, IFERROR(AVERAGEIFS(Log!$F:$F, Log!$D:$D,D$4, Log!$C:$C, $A142, Log!$A:$A, "Daily", Log!$B:$B, "n/a"), 0),
        _xlpm.ie_camera_on_date, IFERROR(AVERAGEIFS(Log!$G:$G, Log!$D:$D,D$4,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2" s="68" t="str">
        <f>IFERROR(
    _xlfn.LET(
        _xlpm.is_data_present, $A142&lt;&gt;0,
        _xlpm.is_camera_present, COUNTIFS(Log!$C:$C, $A142, Log!$D:$D, E$4, Log!$A:$A, "Daily", Log!$B:$B, "n/a"),
        _xlpm.we_camera_on_date, IFERROR(AVERAGEIFS(Log!$F:$F, Log!$D:$D,E$4, Log!$C:$C, $A142, Log!$A:$A, "Daily", Log!$B:$B, "n/a"), 0),
        _xlpm.ie_camera_on_date, IFERROR(AVERAGEIFS(Log!$G:$G, Log!$D:$D,E$4,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2" s="68" t="str">
        <f>IFERROR(
    _xlfn.LET(
        _xlpm.is_data_present, $A142&lt;&gt;0,
        _xlpm.is_camera_present, COUNTIFS(Log!$C:$C, $A142, Log!$D:$D, F$4, Log!$A:$A, "Daily", Log!$B:$B, "n/a"),
        _xlpm.we_camera_on_date, IFERROR(AVERAGEIFS(Log!$F:$F, Log!$D:$D,F$4, Log!$C:$C, $A142, Log!$A:$A, "Daily", Log!$B:$B, "n/a"), 0),
        _xlpm.ie_camera_on_date, IFERROR(AVERAGEIFS(Log!$G:$G, Log!$D:$D,F$4,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2" s="68" t="str">
        <f>IFERROR(
    _xlfn.LET(
        _xlpm.is_data_present, $A142&lt;&gt;0,
        _xlpm.is_camera_present, COUNTIFS(Log!$C:$C, $A142, Log!$D:$D, G$4, Log!$A:$A, "Daily", Log!$B:$B, "n/a"),
        _xlpm.we_camera_on_date, IFERROR(AVERAGEIFS(Log!$F:$F, Log!$D:$D,G$4, Log!$C:$C, $A142, Log!$A:$A, "Daily", Log!$B:$B, "n/a"), 0),
        _xlpm.ie_camera_on_date, IFERROR(AVERAGEIFS(Log!$G:$G, Log!$D:$D,G$4,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2" s="68" t="str">
        <f>IFERROR(
    _xlfn.LET(
        _xlpm.is_data_present, $A142&lt;&gt;0,
        _xlpm.is_camera_present, COUNTIFS(Log!$C:$C, $A142, Log!$D:$D, H$4, Log!$A:$A, "Daily", Log!$B:$B, "n/a"),
        _xlpm.we_camera_on_date, IFERROR(AVERAGEIFS(Log!$F:$F, Log!$D:$D,H$4, Log!$C:$C, $A142, Log!$A:$A, "Daily", Log!$B:$B, "n/a"), 0),
        _xlpm.ie_camera_on_date, IFERROR(AVERAGEIFS(Log!$G:$G, Log!$D:$D,H$4,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2" s="68" t="str">
        <f>IFERROR(
    _xlfn.LET(
        _xlpm.is_data_present, $A142&lt;&gt;0,
        _xlpm.is_camera_present, COUNTIFS(Log!$C:$C, $A142, Log!$D:$D, I$4, Log!$A:$A, "Daily", Log!$B:$B, "n/a"),
        _xlpm.we_camera_on_date, IFERROR(AVERAGEIFS(Log!$F:$F, Log!$D:$D,I$4, Log!$C:$C, $A142, Log!$A:$A, "Daily", Log!$B:$B, "n/a"), 0),
        _xlpm.ie_camera_on_date, IFERROR(AVERAGEIFS(Log!$G:$G, Log!$D:$D,I$4,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2" s="68" t="str">
        <f>IFERROR(
    _xlfn.LET(
        _xlpm.is_data_present, $A142&lt;&gt;0,
        _xlpm.is_camera_present, COUNTIFS(Log!$C:$C, $A142, Log!$D:$D, J$4, Log!$A:$A, "Daily", Log!$B:$B, "n/a"),
        _xlpm.we_camera_on_date, IFERROR(AVERAGEIFS(Log!$F:$F, Log!$D:$D,J$4, Log!$C:$C, $A142, Log!$A:$A, "Daily", Log!$B:$B, "n/a"), 0),
        _xlpm.ie_camera_on_date, IFERROR(AVERAGEIFS(Log!$G:$G, Log!$D:$D,J$4,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2" s="68" t="str">
        <f>IFERROR(
    _xlfn.LET(
        _xlpm.is_data_present, $A142&lt;&gt;0,
        _xlpm.is_camera_present, COUNTIFS(Log!$C:$C, $A142, Log!$D:$D, K$4, Log!$A:$A, "Daily", Log!$B:$B, "n/a"),
        _xlpm.we_camera_on_date, IFERROR(AVERAGEIFS(Log!$F:$F, Log!$D:$D,K$4, Log!$C:$C, $A142, Log!$A:$A, "Daily", Log!$B:$B, "n/a"), 0),
        _xlpm.ie_camera_on_date, IFERROR(AVERAGEIFS(Log!$G:$G, Log!$D:$D,K$4,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2" s="68" t="str">
        <f>IFERROR(
    _xlfn.LET(
        _xlpm.is_data_present, $A142&lt;&gt;0,
        _xlpm.is_camera_present, COUNTIFS(Log!$C:$C, $A142, Log!$D:$D, L$4, Log!$A:$A, "Daily", Log!$B:$B, "n/a"),
        _xlpm.we_camera_on_date, IFERROR(AVERAGEIFS(Log!$F:$F, Log!$D:$D,L$4, Log!$C:$C, $A142, Log!$A:$A, "Daily", Log!$B:$B, "n/a"), 0),
        _xlpm.ie_camera_on_date, IFERROR(AVERAGEIFS(Log!$G:$G, Log!$D:$D,L$4,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2" s="68" t="str">
        <f>IFERROR(
    _xlfn.LET(
        _xlpm.is_data_present, $A142&lt;&gt;0,
        _xlpm.is_camera_present, COUNTIFS(Log!$C:$C, $A142, Log!$D:$D, M$4, Log!$A:$A, "Daily", Log!$B:$B, "n/a"),
        _xlpm.we_camera_on_date, IFERROR(AVERAGEIFS(Log!$F:$F, Log!$D:$D,M$4, Log!$C:$C, $A142, Log!$A:$A, "Daily", Log!$B:$B, "n/a"), 0),
        _xlpm.ie_camera_on_date, IFERROR(AVERAGEIFS(Log!$G:$G, Log!$D:$D,M$4,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2" s="68" t="str">
        <f>IFERROR(
    _xlfn.LET(
        _xlpm.is_data_present, $A142&lt;&gt;0,
        _xlpm.is_camera_present, COUNTIFS(Log!$C:$C, $A142, Log!$D:$D, N$4, Log!$A:$A, "Daily", Log!$B:$B, "n/a"),
        _xlpm.we_camera_on_date, IFERROR(AVERAGEIFS(Log!$F:$F, Log!$D:$D,N$4, Log!$C:$C, $A142, Log!$A:$A, "Daily", Log!$B:$B, "n/a"), 0),
        _xlpm.ie_camera_on_date, IFERROR(AVERAGEIFS(Log!$G:$G, Log!$D:$D,N$4,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2" s="68" t="str">
        <f>IFERROR(
    _xlfn.LET(
        _xlpm.is_data_present, $A142&lt;&gt;0,
        _xlpm.is_camera_present, COUNTIFS(Log!$C:$C, $A142, Log!$D:$D, O$4, Log!$A:$A, "Daily", Log!$B:$B, "n/a"),
        _xlpm.we_camera_on_date, IFERROR(AVERAGEIFS(Log!$F:$F, Log!$D:$D,O$4, Log!$C:$C, $A142, Log!$A:$A, "Daily", Log!$B:$B, "n/a"), 0),
        _xlpm.ie_camera_on_date, IFERROR(AVERAGEIFS(Log!$G:$G, Log!$D:$D,O$4,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2" s="68" t="str">
        <f>IFERROR(
    _xlfn.LET(
        _xlpm.is_data_present, $A142&lt;&gt;0,
        _xlpm.is_camera_present, COUNTIFS(Log!$C:$C, $A142, Log!$D:$D, P$4, Log!$A:$A, "Daily", Log!$B:$B, "n/a"),
        _xlpm.we_camera_on_date, IFERROR(AVERAGEIFS(Log!$F:$F, Log!$D:$D,P$4, Log!$C:$C, $A142, Log!$A:$A, "Daily", Log!$B:$B, "n/a"), 0),
        _xlpm.ie_camera_on_date, IFERROR(AVERAGEIFS(Log!$G:$G, Log!$D:$D,P$4,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2" s="68" t="str">
        <f>IFERROR(
    _xlfn.LET(
        _xlpm.is_data_present, $A142&lt;&gt;0,
        _xlpm.is_camera_present, COUNTIFS(Log!$C:$C, $A142, Log!$D:$D, Q$4, Log!$A:$A, "Daily", Log!$B:$B, "n/a"),
        _xlpm.we_camera_on_date, IFERROR(AVERAGEIFS(Log!$F:$F, Log!$D:$D,Q$4, Log!$C:$C, $A142, Log!$A:$A, "Daily", Log!$B:$B, "n/a"), 0),
        _xlpm.ie_camera_on_date, IFERROR(AVERAGEIFS(Log!$G:$G, Log!$D:$D,Q$4,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2" s="68" t="str">
        <f>IFERROR(
    _xlfn.LET(
        _xlpm.is_data_present, $A142&lt;&gt;0,
        _xlpm.is_camera_present, COUNTIFS(Log!$C:$C, $A142, Log!$D:$D, R$4, Log!$A:$A, "Daily", Log!$B:$B, "n/a"),
        _xlpm.we_camera_on_date, IFERROR(AVERAGEIFS(Log!$F:$F, Log!$D:$D,R$4, Log!$C:$C, $A142, Log!$A:$A, "Daily", Log!$B:$B, "n/a"), 0),
        _xlpm.ie_camera_on_date, IFERROR(AVERAGEIFS(Log!$G:$G, Log!$D:$D,R$4,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2" s="68" t="str">
        <f>IFERROR(
    _xlfn.LET(
        _xlpm.is_data_present, $A142&lt;&gt;0,
        _xlpm.is_camera_present, COUNTIFS(Log!$C:$C, $A142, Log!$D:$D, S$4, Log!$A:$A, "Daily", Log!$B:$B, "n/a"),
        _xlpm.we_camera_on_date, IFERROR(AVERAGEIFS(Log!$F:$F, Log!$D:$D,S$4, Log!$C:$C, $A142, Log!$A:$A, "Daily", Log!$B:$B, "n/a"), 0),
        _xlpm.ie_camera_on_date, IFERROR(AVERAGEIFS(Log!$G:$G, Log!$D:$D,S$4, Log!$C:$C, $A142, Log!$A:$A, "Daily", Log!$B:$B, "n/a"), 0),
        _xlpm.we_avg, IFERROR(AVERAGEIFS(Log!$F:$F,Log!$C:$C,$A142, Log!$A:$A, "Daily", Log!$B:$B, "n/a"),0),
        _xlpm.ie_avg, IFERROR(AVERAGEIFS(Log!$G:$G,Log!$C:$C,$A142,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3" spans="2:19" x14ac:dyDescent="0.3">
      <c r="B143" s="68" t="str">
        <f>IFERROR(
    _xlfn.LET(
        _xlpm.is_data_present, $A143&lt;&gt;0,
        _xlpm.is_camera_present, COUNTIFS(Log!$C:$C, $A143, Log!$D:$D, B$4, Log!$A:$A, "Daily", Log!$B:$B, "n/a"),
        _xlpm.we_camera_on_date, IFERROR(AVERAGEIFS(Log!$F:$F, Log!$D:$D,B$4, Log!$C:$C, $A143, Log!$A:$A, "Daily", Log!$B:$B, "n/a"), 0),
        _xlpm.ie_camera_on_date, IFERROR(AVERAGEIFS(Log!$G:$G, Log!$D:$D,B$4,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3" s="68" t="str">
        <f>IFERROR(
    _xlfn.LET(
        _xlpm.is_data_present, $A143&lt;&gt;0,
        _xlpm.is_camera_present, COUNTIFS(Log!$C:$C, $A143, Log!$D:$D, C$4, Log!$A:$A, "Daily", Log!$B:$B, "n/a"),
        _xlpm.we_camera_on_date, IFERROR(AVERAGEIFS(Log!$F:$F, Log!$D:$D,C$4, Log!$C:$C, $A143, Log!$A:$A, "Daily", Log!$B:$B, "n/a"), 0),
        _xlpm.ie_camera_on_date, IFERROR(AVERAGEIFS(Log!$G:$G, Log!$D:$D,C$4,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3" s="68" t="str">
        <f>IFERROR(
    _xlfn.LET(
        _xlpm.is_data_present, $A143&lt;&gt;0,
        _xlpm.is_camera_present, COUNTIFS(Log!$C:$C, $A143, Log!$D:$D, D$4, Log!$A:$A, "Daily", Log!$B:$B, "n/a"),
        _xlpm.we_camera_on_date, IFERROR(AVERAGEIFS(Log!$F:$F, Log!$D:$D,D$4, Log!$C:$C, $A143, Log!$A:$A, "Daily", Log!$B:$B, "n/a"), 0),
        _xlpm.ie_camera_on_date, IFERROR(AVERAGEIFS(Log!$G:$G, Log!$D:$D,D$4,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3" s="68" t="str">
        <f>IFERROR(
    _xlfn.LET(
        _xlpm.is_data_present, $A143&lt;&gt;0,
        _xlpm.is_camera_present, COUNTIFS(Log!$C:$C, $A143, Log!$D:$D, E$4, Log!$A:$A, "Daily", Log!$B:$B, "n/a"),
        _xlpm.we_camera_on_date, IFERROR(AVERAGEIFS(Log!$F:$F, Log!$D:$D,E$4, Log!$C:$C, $A143, Log!$A:$A, "Daily", Log!$B:$B, "n/a"), 0),
        _xlpm.ie_camera_on_date, IFERROR(AVERAGEIFS(Log!$G:$G, Log!$D:$D,E$4,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3" s="68" t="str">
        <f>IFERROR(
    _xlfn.LET(
        _xlpm.is_data_present, $A143&lt;&gt;0,
        _xlpm.is_camera_present, COUNTIFS(Log!$C:$C, $A143, Log!$D:$D, F$4, Log!$A:$A, "Daily", Log!$B:$B, "n/a"),
        _xlpm.we_camera_on_date, IFERROR(AVERAGEIFS(Log!$F:$F, Log!$D:$D,F$4, Log!$C:$C, $A143, Log!$A:$A, "Daily", Log!$B:$B, "n/a"), 0),
        _xlpm.ie_camera_on_date, IFERROR(AVERAGEIFS(Log!$G:$G, Log!$D:$D,F$4,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3" s="68" t="str">
        <f>IFERROR(
    _xlfn.LET(
        _xlpm.is_data_present, $A143&lt;&gt;0,
        _xlpm.is_camera_present, COUNTIFS(Log!$C:$C, $A143, Log!$D:$D, G$4, Log!$A:$A, "Daily", Log!$B:$B, "n/a"),
        _xlpm.we_camera_on_date, IFERROR(AVERAGEIFS(Log!$F:$F, Log!$D:$D,G$4, Log!$C:$C, $A143, Log!$A:$A, "Daily", Log!$B:$B, "n/a"), 0),
        _xlpm.ie_camera_on_date, IFERROR(AVERAGEIFS(Log!$G:$G, Log!$D:$D,G$4,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3" s="68" t="str">
        <f>IFERROR(
    _xlfn.LET(
        _xlpm.is_data_present, $A143&lt;&gt;0,
        _xlpm.is_camera_present, COUNTIFS(Log!$C:$C, $A143, Log!$D:$D, H$4, Log!$A:$A, "Daily", Log!$B:$B, "n/a"),
        _xlpm.we_camera_on_date, IFERROR(AVERAGEIFS(Log!$F:$F, Log!$D:$D,H$4, Log!$C:$C, $A143, Log!$A:$A, "Daily", Log!$B:$B, "n/a"), 0),
        _xlpm.ie_camera_on_date, IFERROR(AVERAGEIFS(Log!$G:$G, Log!$D:$D,H$4,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3" s="68" t="str">
        <f>IFERROR(
    _xlfn.LET(
        _xlpm.is_data_present, $A143&lt;&gt;0,
        _xlpm.is_camera_present, COUNTIFS(Log!$C:$C, $A143, Log!$D:$D, I$4, Log!$A:$A, "Daily", Log!$B:$B, "n/a"),
        _xlpm.we_camera_on_date, IFERROR(AVERAGEIFS(Log!$F:$F, Log!$D:$D,I$4, Log!$C:$C, $A143, Log!$A:$A, "Daily", Log!$B:$B, "n/a"), 0),
        _xlpm.ie_camera_on_date, IFERROR(AVERAGEIFS(Log!$G:$G, Log!$D:$D,I$4,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3" s="68" t="str">
        <f>IFERROR(
    _xlfn.LET(
        _xlpm.is_data_present, $A143&lt;&gt;0,
        _xlpm.is_camera_present, COUNTIFS(Log!$C:$C, $A143, Log!$D:$D, J$4, Log!$A:$A, "Daily", Log!$B:$B, "n/a"),
        _xlpm.we_camera_on_date, IFERROR(AVERAGEIFS(Log!$F:$F, Log!$D:$D,J$4, Log!$C:$C, $A143, Log!$A:$A, "Daily", Log!$B:$B, "n/a"), 0),
        _xlpm.ie_camera_on_date, IFERROR(AVERAGEIFS(Log!$G:$G, Log!$D:$D,J$4,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3" s="68" t="str">
        <f>IFERROR(
    _xlfn.LET(
        _xlpm.is_data_present, $A143&lt;&gt;0,
        _xlpm.is_camera_present, COUNTIFS(Log!$C:$C, $A143, Log!$D:$D, K$4, Log!$A:$A, "Daily", Log!$B:$B, "n/a"),
        _xlpm.we_camera_on_date, IFERROR(AVERAGEIFS(Log!$F:$F, Log!$D:$D,K$4, Log!$C:$C, $A143, Log!$A:$A, "Daily", Log!$B:$B, "n/a"), 0),
        _xlpm.ie_camera_on_date, IFERROR(AVERAGEIFS(Log!$G:$G, Log!$D:$D,K$4,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3" s="68" t="str">
        <f>IFERROR(
    _xlfn.LET(
        _xlpm.is_data_present, $A143&lt;&gt;0,
        _xlpm.is_camera_present, COUNTIFS(Log!$C:$C, $A143, Log!$D:$D, L$4, Log!$A:$A, "Daily", Log!$B:$B, "n/a"),
        _xlpm.we_camera_on_date, IFERROR(AVERAGEIFS(Log!$F:$F, Log!$D:$D,L$4, Log!$C:$C, $A143, Log!$A:$A, "Daily", Log!$B:$B, "n/a"), 0),
        _xlpm.ie_camera_on_date, IFERROR(AVERAGEIFS(Log!$G:$G, Log!$D:$D,L$4,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3" s="68" t="str">
        <f>IFERROR(
    _xlfn.LET(
        _xlpm.is_data_present, $A143&lt;&gt;0,
        _xlpm.is_camera_present, COUNTIFS(Log!$C:$C, $A143, Log!$D:$D, M$4, Log!$A:$A, "Daily", Log!$B:$B, "n/a"),
        _xlpm.we_camera_on_date, IFERROR(AVERAGEIFS(Log!$F:$F, Log!$D:$D,M$4, Log!$C:$C, $A143, Log!$A:$A, "Daily", Log!$B:$B, "n/a"), 0),
        _xlpm.ie_camera_on_date, IFERROR(AVERAGEIFS(Log!$G:$G, Log!$D:$D,M$4,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3" s="68" t="str">
        <f>IFERROR(
    _xlfn.LET(
        _xlpm.is_data_present, $A143&lt;&gt;0,
        _xlpm.is_camera_present, COUNTIFS(Log!$C:$C, $A143, Log!$D:$D, N$4, Log!$A:$A, "Daily", Log!$B:$B, "n/a"),
        _xlpm.we_camera_on_date, IFERROR(AVERAGEIFS(Log!$F:$F, Log!$D:$D,N$4, Log!$C:$C, $A143, Log!$A:$A, "Daily", Log!$B:$B, "n/a"), 0),
        _xlpm.ie_camera_on_date, IFERROR(AVERAGEIFS(Log!$G:$G, Log!$D:$D,N$4,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3" s="68" t="str">
        <f>IFERROR(
    _xlfn.LET(
        _xlpm.is_data_present, $A143&lt;&gt;0,
        _xlpm.is_camera_present, COUNTIFS(Log!$C:$C, $A143, Log!$D:$D, O$4, Log!$A:$A, "Daily", Log!$B:$B, "n/a"),
        _xlpm.we_camera_on_date, IFERROR(AVERAGEIFS(Log!$F:$F, Log!$D:$D,O$4, Log!$C:$C, $A143, Log!$A:$A, "Daily", Log!$B:$B, "n/a"), 0),
        _xlpm.ie_camera_on_date, IFERROR(AVERAGEIFS(Log!$G:$G, Log!$D:$D,O$4,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3" s="68" t="str">
        <f>IFERROR(
    _xlfn.LET(
        _xlpm.is_data_present, $A143&lt;&gt;0,
        _xlpm.is_camera_present, COUNTIFS(Log!$C:$C, $A143, Log!$D:$D, P$4, Log!$A:$A, "Daily", Log!$B:$B, "n/a"),
        _xlpm.we_camera_on_date, IFERROR(AVERAGEIFS(Log!$F:$F, Log!$D:$D,P$4, Log!$C:$C, $A143, Log!$A:$A, "Daily", Log!$B:$B, "n/a"), 0),
        _xlpm.ie_camera_on_date, IFERROR(AVERAGEIFS(Log!$G:$G, Log!$D:$D,P$4,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3" s="68" t="str">
        <f>IFERROR(
    _xlfn.LET(
        _xlpm.is_data_present, $A143&lt;&gt;0,
        _xlpm.is_camera_present, COUNTIFS(Log!$C:$C, $A143, Log!$D:$D, Q$4, Log!$A:$A, "Daily", Log!$B:$B, "n/a"),
        _xlpm.we_camera_on_date, IFERROR(AVERAGEIFS(Log!$F:$F, Log!$D:$D,Q$4, Log!$C:$C, $A143, Log!$A:$A, "Daily", Log!$B:$B, "n/a"), 0),
        _xlpm.ie_camera_on_date, IFERROR(AVERAGEIFS(Log!$G:$G, Log!$D:$D,Q$4,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3" s="68" t="str">
        <f>IFERROR(
    _xlfn.LET(
        _xlpm.is_data_present, $A143&lt;&gt;0,
        _xlpm.is_camera_present, COUNTIFS(Log!$C:$C, $A143, Log!$D:$D, R$4, Log!$A:$A, "Daily", Log!$B:$B, "n/a"),
        _xlpm.we_camera_on_date, IFERROR(AVERAGEIFS(Log!$F:$F, Log!$D:$D,R$4, Log!$C:$C, $A143, Log!$A:$A, "Daily", Log!$B:$B, "n/a"), 0),
        _xlpm.ie_camera_on_date, IFERROR(AVERAGEIFS(Log!$G:$G, Log!$D:$D,R$4,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3" s="68" t="str">
        <f>IFERROR(
    _xlfn.LET(
        _xlpm.is_data_present, $A143&lt;&gt;0,
        _xlpm.is_camera_present, COUNTIFS(Log!$C:$C, $A143, Log!$D:$D, S$4, Log!$A:$A, "Daily", Log!$B:$B, "n/a"),
        _xlpm.we_camera_on_date, IFERROR(AVERAGEIFS(Log!$F:$F, Log!$D:$D,S$4, Log!$C:$C, $A143, Log!$A:$A, "Daily", Log!$B:$B, "n/a"), 0),
        _xlpm.ie_camera_on_date, IFERROR(AVERAGEIFS(Log!$G:$G, Log!$D:$D,S$4, Log!$C:$C, $A143, Log!$A:$A, "Daily", Log!$B:$B, "n/a"), 0),
        _xlpm.we_avg, IFERROR(AVERAGEIFS(Log!$F:$F,Log!$C:$C,$A143, Log!$A:$A, "Daily", Log!$B:$B, "n/a"),0),
        _xlpm.ie_avg, IFERROR(AVERAGEIFS(Log!$G:$G,Log!$C:$C,$A143,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4" spans="2:19" x14ac:dyDescent="0.3">
      <c r="B144" s="68" t="str">
        <f>IFERROR(
    _xlfn.LET(
        _xlpm.is_data_present, $A144&lt;&gt;0,
        _xlpm.is_camera_present, COUNTIFS(Log!$C:$C, $A144, Log!$D:$D, B$4, Log!$A:$A, "Daily", Log!$B:$B, "n/a"),
        _xlpm.we_camera_on_date, IFERROR(AVERAGEIFS(Log!$F:$F, Log!$D:$D,B$4, Log!$C:$C, $A144, Log!$A:$A, "Daily", Log!$B:$B, "n/a"), 0),
        _xlpm.ie_camera_on_date, IFERROR(AVERAGEIFS(Log!$G:$G, Log!$D:$D,B$4,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4" s="68" t="str">
        <f>IFERROR(
    _xlfn.LET(
        _xlpm.is_data_present, $A144&lt;&gt;0,
        _xlpm.is_camera_present, COUNTIFS(Log!$C:$C, $A144, Log!$D:$D, C$4, Log!$A:$A, "Daily", Log!$B:$B, "n/a"),
        _xlpm.we_camera_on_date, IFERROR(AVERAGEIFS(Log!$F:$F, Log!$D:$D,C$4, Log!$C:$C, $A144, Log!$A:$A, "Daily", Log!$B:$B, "n/a"), 0),
        _xlpm.ie_camera_on_date, IFERROR(AVERAGEIFS(Log!$G:$G, Log!$D:$D,C$4,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4" s="68" t="str">
        <f>IFERROR(
    _xlfn.LET(
        _xlpm.is_data_present, $A144&lt;&gt;0,
        _xlpm.is_camera_present, COUNTIFS(Log!$C:$C, $A144, Log!$D:$D, D$4, Log!$A:$A, "Daily", Log!$B:$B, "n/a"),
        _xlpm.we_camera_on_date, IFERROR(AVERAGEIFS(Log!$F:$F, Log!$D:$D,D$4, Log!$C:$C, $A144, Log!$A:$A, "Daily", Log!$B:$B, "n/a"), 0),
        _xlpm.ie_camera_on_date, IFERROR(AVERAGEIFS(Log!$G:$G, Log!$D:$D,D$4,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4" s="68" t="str">
        <f>IFERROR(
    _xlfn.LET(
        _xlpm.is_data_present, $A144&lt;&gt;0,
        _xlpm.is_camera_present, COUNTIFS(Log!$C:$C, $A144, Log!$D:$D, E$4, Log!$A:$A, "Daily", Log!$B:$B, "n/a"),
        _xlpm.we_camera_on_date, IFERROR(AVERAGEIFS(Log!$F:$F, Log!$D:$D,E$4, Log!$C:$C, $A144, Log!$A:$A, "Daily", Log!$B:$B, "n/a"), 0),
        _xlpm.ie_camera_on_date, IFERROR(AVERAGEIFS(Log!$G:$G, Log!$D:$D,E$4,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4" s="68" t="str">
        <f>IFERROR(
    _xlfn.LET(
        _xlpm.is_data_present, $A144&lt;&gt;0,
        _xlpm.is_camera_present, COUNTIFS(Log!$C:$C, $A144, Log!$D:$D, F$4, Log!$A:$A, "Daily", Log!$B:$B, "n/a"),
        _xlpm.we_camera_on_date, IFERROR(AVERAGEIFS(Log!$F:$F, Log!$D:$D,F$4, Log!$C:$C, $A144, Log!$A:$A, "Daily", Log!$B:$B, "n/a"), 0),
        _xlpm.ie_camera_on_date, IFERROR(AVERAGEIFS(Log!$G:$G, Log!$D:$D,F$4,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4" s="68" t="str">
        <f>IFERROR(
    _xlfn.LET(
        _xlpm.is_data_present, $A144&lt;&gt;0,
        _xlpm.is_camera_present, COUNTIFS(Log!$C:$C, $A144, Log!$D:$D, G$4, Log!$A:$A, "Daily", Log!$B:$B, "n/a"),
        _xlpm.we_camera_on_date, IFERROR(AVERAGEIFS(Log!$F:$F, Log!$D:$D,G$4, Log!$C:$C, $A144, Log!$A:$A, "Daily", Log!$B:$B, "n/a"), 0),
        _xlpm.ie_camera_on_date, IFERROR(AVERAGEIFS(Log!$G:$G, Log!$D:$D,G$4,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4" s="68" t="str">
        <f>IFERROR(
    _xlfn.LET(
        _xlpm.is_data_present, $A144&lt;&gt;0,
        _xlpm.is_camera_present, COUNTIFS(Log!$C:$C, $A144, Log!$D:$D, H$4, Log!$A:$A, "Daily", Log!$B:$B, "n/a"),
        _xlpm.we_camera_on_date, IFERROR(AVERAGEIFS(Log!$F:$F, Log!$D:$D,H$4, Log!$C:$C, $A144, Log!$A:$A, "Daily", Log!$B:$B, "n/a"), 0),
        _xlpm.ie_camera_on_date, IFERROR(AVERAGEIFS(Log!$G:$G, Log!$D:$D,H$4,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4" s="68" t="str">
        <f>IFERROR(
    _xlfn.LET(
        _xlpm.is_data_present, $A144&lt;&gt;0,
        _xlpm.is_camera_present, COUNTIFS(Log!$C:$C, $A144, Log!$D:$D, I$4, Log!$A:$A, "Daily", Log!$B:$B, "n/a"),
        _xlpm.we_camera_on_date, IFERROR(AVERAGEIFS(Log!$F:$F, Log!$D:$D,I$4, Log!$C:$C, $A144, Log!$A:$A, "Daily", Log!$B:$B, "n/a"), 0),
        _xlpm.ie_camera_on_date, IFERROR(AVERAGEIFS(Log!$G:$G, Log!$D:$D,I$4,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4" s="68" t="str">
        <f>IFERROR(
    _xlfn.LET(
        _xlpm.is_data_present, $A144&lt;&gt;0,
        _xlpm.is_camera_present, COUNTIFS(Log!$C:$C, $A144, Log!$D:$D, J$4, Log!$A:$A, "Daily", Log!$B:$B, "n/a"),
        _xlpm.we_camera_on_date, IFERROR(AVERAGEIFS(Log!$F:$F, Log!$D:$D,J$4, Log!$C:$C, $A144, Log!$A:$A, "Daily", Log!$B:$B, "n/a"), 0),
        _xlpm.ie_camera_on_date, IFERROR(AVERAGEIFS(Log!$G:$G, Log!$D:$D,J$4,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4" s="68" t="str">
        <f>IFERROR(
    _xlfn.LET(
        _xlpm.is_data_present, $A144&lt;&gt;0,
        _xlpm.is_camera_present, COUNTIFS(Log!$C:$C, $A144, Log!$D:$D, K$4, Log!$A:$A, "Daily", Log!$B:$B, "n/a"),
        _xlpm.we_camera_on_date, IFERROR(AVERAGEIFS(Log!$F:$F, Log!$D:$D,K$4, Log!$C:$C, $A144, Log!$A:$A, "Daily", Log!$B:$B, "n/a"), 0),
        _xlpm.ie_camera_on_date, IFERROR(AVERAGEIFS(Log!$G:$G, Log!$D:$D,K$4,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4" s="68" t="str">
        <f>IFERROR(
    _xlfn.LET(
        _xlpm.is_data_present, $A144&lt;&gt;0,
        _xlpm.is_camera_present, COUNTIFS(Log!$C:$C, $A144, Log!$D:$D, L$4, Log!$A:$A, "Daily", Log!$B:$B, "n/a"),
        _xlpm.we_camera_on_date, IFERROR(AVERAGEIFS(Log!$F:$F, Log!$D:$D,L$4, Log!$C:$C, $A144, Log!$A:$A, "Daily", Log!$B:$B, "n/a"), 0),
        _xlpm.ie_camera_on_date, IFERROR(AVERAGEIFS(Log!$G:$G, Log!$D:$D,L$4,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4" s="68" t="str">
        <f>IFERROR(
    _xlfn.LET(
        _xlpm.is_data_present, $A144&lt;&gt;0,
        _xlpm.is_camera_present, COUNTIFS(Log!$C:$C, $A144, Log!$D:$D, M$4, Log!$A:$A, "Daily", Log!$B:$B, "n/a"),
        _xlpm.we_camera_on_date, IFERROR(AVERAGEIFS(Log!$F:$F, Log!$D:$D,M$4, Log!$C:$C, $A144, Log!$A:$A, "Daily", Log!$B:$B, "n/a"), 0),
        _xlpm.ie_camera_on_date, IFERROR(AVERAGEIFS(Log!$G:$G, Log!$D:$D,M$4,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4" s="68" t="str">
        <f>IFERROR(
    _xlfn.LET(
        _xlpm.is_data_present, $A144&lt;&gt;0,
        _xlpm.is_camera_present, COUNTIFS(Log!$C:$C, $A144, Log!$D:$D, N$4, Log!$A:$A, "Daily", Log!$B:$B, "n/a"),
        _xlpm.we_camera_on_date, IFERROR(AVERAGEIFS(Log!$F:$F, Log!$D:$D,N$4, Log!$C:$C, $A144, Log!$A:$A, "Daily", Log!$B:$B, "n/a"), 0),
        _xlpm.ie_camera_on_date, IFERROR(AVERAGEIFS(Log!$G:$G, Log!$D:$D,N$4,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4" s="68" t="str">
        <f>IFERROR(
    _xlfn.LET(
        _xlpm.is_data_present, $A144&lt;&gt;0,
        _xlpm.is_camera_present, COUNTIFS(Log!$C:$C, $A144, Log!$D:$D, O$4, Log!$A:$A, "Daily", Log!$B:$B, "n/a"),
        _xlpm.we_camera_on_date, IFERROR(AVERAGEIFS(Log!$F:$F, Log!$D:$D,O$4, Log!$C:$C, $A144, Log!$A:$A, "Daily", Log!$B:$B, "n/a"), 0),
        _xlpm.ie_camera_on_date, IFERROR(AVERAGEIFS(Log!$G:$G, Log!$D:$D,O$4,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4" s="68" t="str">
        <f>IFERROR(
    _xlfn.LET(
        _xlpm.is_data_present, $A144&lt;&gt;0,
        _xlpm.is_camera_present, COUNTIFS(Log!$C:$C, $A144, Log!$D:$D, P$4, Log!$A:$A, "Daily", Log!$B:$B, "n/a"),
        _xlpm.we_camera_on_date, IFERROR(AVERAGEIFS(Log!$F:$F, Log!$D:$D,P$4, Log!$C:$C, $A144, Log!$A:$A, "Daily", Log!$B:$B, "n/a"), 0),
        _xlpm.ie_camera_on_date, IFERROR(AVERAGEIFS(Log!$G:$G, Log!$D:$D,P$4,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4" s="68" t="str">
        <f>IFERROR(
    _xlfn.LET(
        _xlpm.is_data_present, $A144&lt;&gt;0,
        _xlpm.is_camera_present, COUNTIFS(Log!$C:$C, $A144, Log!$D:$D, Q$4, Log!$A:$A, "Daily", Log!$B:$B, "n/a"),
        _xlpm.we_camera_on_date, IFERROR(AVERAGEIFS(Log!$F:$F, Log!$D:$D,Q$4, Log!$C:$C, $A144, Log!$A:$A, "Daily", Log!$B:$B, "n/a"), 0),
        _xlpm.ie_camera_on_date, IFERROR(AVERAGEIFS(Log!$G:$G, Log!$D:$D,Q$4,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4" s="68" t="str">
        <f>IFERROR(
    _xlfn.LET(
        _xlpm.is_data_present, $A144&lt;&gt;0,
        _xlpm.is_camera_present, COUNTIFS(Log!$C:$C, $A144, Log!$D:$D, R$4, Log!$A:$A, "Daily", Log!$B:$B, "n/a"),
        _xlpm.we_camera_on_date, IFERROR(AVERAGEIFS(Log!$F:$F, Log!$D:$D,R$4, Log!$C:$C, $A144, Log!$A:$A, "Daily", Log!$B:$B, "n/a"), 0),
        _xlpm.ie_camera_on_date, IFERROR(AVERAGEIFS(Log!$G:$G, Log!$D:$D,R$4,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4" s="68" t="str">
        <f>IFERROR(
    _xlfn.LET(
        _xlpm.is_data_present, $A144&lt;&gt;0,
        _xlpm.is_camera_present, COUNTIFS(Log!$C:$C, $A144, Log!$D:$D, S$4, Log!$A:$A, "Daily", Log!$B:$B, "n/a"),
        _xlpm.we_camera_on_date, IFERROR(AVERAGEIFS(Log!$F:$F, Log!$D:$D,S$4, Log!$C:$C, $A144, Log!$A:$A, "Daily", Log!$B:$B, "n/a"), 0),
        _xlpm.ie_camera_on_date, IFERROR(AVERAGEIFS(Log!$G:$G, Log!$D:$D,S$4, Log!$C:$C, $A144, Log!$A:$A, "Daily", Log!$B:$B, "n/a"), 0),
        _xlpm.we_avg, IFERROR(AVERAGEIFS(Log!$F:$F,Log!$C:$C,$A144, Log!$A:$A, "Daily", Log!$B:$B, "n/a"),0),
        _xlpm.ie_avg, IFERROR(AVERAGEIFS(Log!$G:$G,Log!$C:$C,$A144,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5" spans="2:19" x14ac:dyDescent="0.3">
      <c r="B145" s="68" t="str">
        <f>IFERROR(
    _xlfn.LET(
        _xlpm.is_data_present, $A145&lt;&gt;0,
        _xlpm.is_camera_present, COUNTIFS(Log!$C:$C, $A145, Log!$D:$D, B$4, Log!$A:$A, "Daily", Log!$B:$B, "n/a"),
        _xlpm.we_camera_on_date, IFERROR(AVERAGEIFS(Log!$F:$F, Log!$D:$D,B$4, Log!$C:$C, $A145, Log!$A:$A, "Daily", Log!$B:$B, "n/a"), 0),
        _xlpm.ie_camera_on_date, IFERROR(AVERAGEIFS(Log!$G:$G, Log!$D:$D,B$4,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5" s="68" t="str">
        <f>IFERROR(
    _xlfn.LET(
        _xlpm.is_data_present, $A145&lt;&gt;0,
        _xlpm.is_camera_present, COUNTIFS(Log!$C:$C, $A145, Log!$D:$D, C$4, Log!$A:$A, "Daily", Log!$B:$B, "n/a"),
        _xlpm.we_camera_on_date, IFERROR(AVERAGEIFS(Log!$F:$F, Log!$D:$D,C$4, Log!$C:$C, $A145, Log!$A:$A, "Daily", Log!$B:$B, "n/a"), 0),
        _xlpm.ie_camera_on_date, IFERROR(AVERAGEIFS(Log!$G:$G, Log!$D:$D,C$4,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5" s="68" t="str">
        <f>IFERROR(
    _xlfn.LET(
        _xlpm.is_data_present, $A145&lt;&gt;0,
        _xlpm.is_camera_present, COUNTIFS(Log!$C:$C, $A145, Log!$D:$D, D$4, Log!$A:$A, "Daily", Log!$B:$B, "n/a"),
        _xlpm.we_camera_on_date, IFERROR(AVERAGEIFS(Log!$F:$F, Log!$D:$D,D$4, Log!$C:$C, $A145, Log!$A:$A, "Daily", Log!$B:$B, "n/a"), 0),
        _xlpm.ie_camera_on_date, IFERROR(AVERAGEIFS(Log!$G:$G, Log!$D:$D,D$4,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5" s="68" t="str">
        <f>IFERROR(
    _xlfn.LET(
        _xlpm.is_data_present, $A145&lt;&gt;0,
        _xlpm.is_camera_present, COUNTIFS(Log!$C:$C, $A145, Log!$D:$D, E$4, Log!$A:$A, "Daily", Log!$B:$B, "n/a"),
        _xlpm.we_camera_on_date, IFERROR(AVERAGEIFS(Log!$F:$F, Log!$D:$D,E$4, Log!$C:$C, $A145, Log!$A:$A, "Daily", Log!$B:$B, "n/a"), 0),
        _xlpm.ie_camera_on_date, IFERROR(AVERAGEIFS(Log!$G:$G, Log!$D:$D,E$4,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5" s="68" t="str">
        <f>IFERROR(
    _xlfn.LET(
        _xlpm.is_data_present, $A145&lt;&gt;0,
        _xlpm.is_camera_present, COUNTIFS(Log!$C:$C, $A145, Log!$D:$D, F$4, Log!$A:$A, "Daily", Log!$B:$B, "n/a"),
        _xlpm.we_camera_on_date, IFERROR(AVERAGEIFS(Log!$F:$F, Log!$D:$D,F$4, Log!$C:$C, $A145, Log!$A:$A, "Daily", Log!$B:$B, "n/a"), 0),
        _xlpm.ie_camera_on_date, IFERROR(AVERAGEIFS(Log!$G:$G, Log!$D:$D,F$4,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5" s="68" t="str">
        <f>IFERROR(
    _xlfn.LET(
        _xlpm.is_data_present, $A145&lt;&gt;0,
        _xlpm.is_camera_present, COUNTIFS(Log!$C:$C, $A145, Log!$D:$D, G$4, Log!$A:$A, "Daily", Log!$B:$B, "n/a"),
        _xlpm.we_camera_on_date, IFERROR(AVERAGEIFS(Log!$F:$F, Log!$D:$D,G$4, Log!$C:$C, $A145, Log!$A:$A, "Daily", Log!$B:$B, "n/a"), 0),
        _xlpm.ie_camera_on_date, IFERROR(AVERAGEIFS(Log!$G:$G, Log!$D:$D,G$4,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5" s="68" t="str">
        <f>IFERROR(
    _xlfn.LET(
        _xlpm.is_data_present, $A145&lt;&gt;0,
        _xlpm.is_camera_present, COUNTIFS(Log!$C:$C, $A145, Log!$D:$D, H$4, Log!$A:$A, "Daily", Log!$B:$B, "n/a"),
        _xlpm.we_camera_on_date, IFERROR(AVERAGEIFS(Log!$F:$F, Log!$D:$D,H$4, Log!$C:$C, $A145, Log!$A:$A, "Daily", Log!$B:$B, "n/a"), 0),
        _xlpm.ie_camera_on_date, IFERROR(AVERAGEIFS(Log!$G:$G, Log!$D:$D,H$4,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5" s="68" t="str">
        <f>IFERROR(
    _xlfn.LET(
        _xlpm.is_data_present, $A145&lt;&gt;0,
        _xlpm.is_camera_present, COUNTIFS(Log!$C:$C, $A145, Log!$D:$D, I$4, Log!$A:$A, "Daily", Log!$B:$B, "n/a"),
        _xlpm.we_camera_on_date, IFERROR(AVERAGEIFS(Log!$F:$F, Log!$D:$D,I$4, Log!$C:$C, $A145, Log!$A:$A, "Daily", Log!$B:$B, "n/a"), 0),
        _xlpm.ie_camera_on_date, IFERROR(AVERAGEIFS(Log!$G:$G, Log!$D:$D,I$4,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5" s="68" t="str">
        <f>IFERROR(
    _xlfn.LET(
        _xlpm.is_data_present, $A145&lt;&gt;0,
        _xlpm.is_camera_present, COUNTIFS(Log!$C:$C, $A145, Log!$D:$D, J$4, Log!$A:$A, "Daily", Log!$B:$B, "n/a"),
        _xlpm.we_camera_on_date, IFERROR(AVERAGEIFS(Log!$F:$F, Log!$D:$D,J$4, Log!$C:$C, $A145, Log!$A:$A, "Daily", Log!$B:$B, "n/a"), 0),
        _xlpm.ie_camera_on_date, IFERROR(AVERAGEIFS(Log!$G:$G, Log!$D:$D,J$4,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5" s="68" t="str">
        <f>IFERROR(
    _xlfn.LET(
        _xlpm.is_data_present, $A145&lt;&gt;0,
        _xlpm.is_camera_present, COUNTIFS(Log!$C:$C, $A145, Log!$D:$D, K$4, Log!$A:$A, "Daily", Log!$B:$B, "n/a"),
        _xlpm.we_camera_on_date, IFERROR(AVERAGEIFS(Log!$F:$F, Log!$D:$D,K$4, Log!$C:$C, $A145, Log!$A:$A, "Daily", Log!$B:$B, "n/a"), 0),
        _xlpm.ie_camera_on_date, IFERROR(AVERAGEIFS(Log!$G:$G, Log!$D:$D,K$4,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5" s="68" t="str">
        <f>IFERROR(
    _xlfn.LET(
        _xlpm.is_data_present, $A145&lt;&gt;0,
        _xlpm.is_camera_present, COUNTIFS(Log!$C:$C, $A145, Log!$D:$D, L$4, Log!$A:$A, "Daily", Log!$B:$B, "n/a"),
        _xlpm.we_camera_on_date, IFERROR(AVERAGEIFS(Log!$F:$F, Log!$D:$D,L$4, Log!$C:$C, $A145, Log!$A:$A, "Daily", Log!$B:$B, "n/a"), 0),
        _xlpm.ie_camera_on_date, IFERROR(AVERAGEIFS(Log!$G:$G, Log!$D:$D,L$4,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5" s="68" t="str">
        <f>IFERROR(
    _xlfn.LET(
        _xlpm.is_data_present, $A145&lt;&gt;0,
        _xlpm.is_camera_present, COUNTIFS(Log!$C:$C, $A145, Log!$D:$D, M$4, Log!$A:$A, "Daily", Log!$B:$B, "n/a"),
        _xlpm.we_camera_on_date, IFERROR(AVERAGEIFS(Log!$F:$F, Log!$D:$D,M$4, Log!$C:$C, $A145, Log!$A:$A, "Daily", Log!$B:$B, "n/a"), 0),
        _xlpm.ie_camera_on_date, IFERROR(AVERAGEIFS(Log!$G:$G, Log!$D:$D,M$4,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5" s="68" t="str">
        <f>IFERROR(
    _xlfn.LET(
        _xlpm.is_data_present, $A145&lt;&gt;0,
        _xlpm.is_camera_present, COUNTIFS(Log!$C:$C, $A145, Log!$D:$D, N$4, Log!$A:$A, "Daily", Log!$B:$B, "n/a"),
        _xlpm.we_camera_on_date, IFERROR(AVERAGEIFS(Log!$F:$F, Log!$D:$D,N$4, Log!$C:$C, $A145, Log!$A:$A, "Daily", Log!$B:$B, "n/a"), 0),
        _xlpm.ie_camera_on_date, IFERROR(AVERAGEIFS(Log!$G:$G, Log!$D:$D,N$4,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5" s="68" t="str">
        <f>IFERROR(
    _xlfn.LET(
        _xlpm.is_data_present, $A145&lt;&gt;0,
        _xlpm.is_camera_present, COUNTIFS(Log!$C:$C, $A145, Log!$D:$D, O$4, Log!$A:$A, "Daily", Log!$B:$B, "n/a"),
        _xlpm.we_camera_on_date, IFERROR(AVERAGEIFS(Log!$F:$F, Log!$D:$D,O$4, Log!$C:$C, $A145, Log!$A:$A, "Daily", Log!$B:$B, "n/a"), 0),
        _xlpm.ie_camera_on_date, IFERROR(AVERAGEIFS(Log!$G:$G, Log!$D:$D,O$4,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5" s="68" t="str">
        <f>IFERROR(
    _xlfn.LET(
        _xlpm.is_data_present, $A145&lt;&gt;0,
        _xlpm.is_camera_present, COUNTIFS(Log!$C:$C, $A145, Log!$D:$D, P$4, Log!$A:$A, "Daily", Log!$B:$B, "n/a"),
        _xlpm.we_camera_on_date, IFERROR(AVERAGEIFS(Log!$F:$F, Log!$D:$D,P$4, Log!$C:$C, $A145, Log!$A:$A, "Daily", Log!$B:$B, "n/a"), 0),
        _xlpm.ie_camera_on_date, IFERROR(AVERAGEIFS(Log!$G:$G, Log!$D:$D,P$4,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5" s="68" t="str">
        <f>IFERROR(
    _xlfn.LET(
        _xlpm.is_data_present, $A145&lt;&gt;0,
        _xlpm.is_camera_present, COUNTIFS(Log!$C:$C, $A145, Log!$D:$D, Q$4, Log!$A:$A, "Daily", Log!$B:$B, "n/a"),
        _xlpm.we_camera_on_date, IFERROR(AVERAGEIFS(Log!$F:$F, Log!$D:$D,Q$4, Log!$C:$C, $A145, Log!$A:$A, "Daily", Log!$B:$B, "n/a"), 0),
        _xlpm.ie_camera_on_date, IFERROR(AVERAGEIFS(Log!$G:$G, Log!$D:$D,Q$4,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5" s="68" t="str">
        <f>IFERROR(
    _xlfn.LET(
        _xlpm.is_data_present, $A145&lt;&gt;0,
        _xlpm.is_camera_present, COUNTIFS(Log!$C:$C, $A145, Log!$D:$D, R$4, Log!$A:$A, "Daily", Log!$B:$B, "n/a"),
        _xlpm.we_camera_on_date, IFERROR(AVERAGEIFS(Log!$F:$F, Log!$D:$D,R$4, Log!$C:$C, $A145, Log!$A:$A, "Daily", Log!$B:$B, "n/a"), 0),
        _xlpm.ie_camera_on_date, IFERROR(AVERAGEIFS(Log!$G:$G, Log!$D:$D,R$4,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5" s="68" t="str">
        <f>IFERROR(
    _xlfn.LET(
        _xlpm.is_data_present, $A145&lt;&gt;0,
        _xlpm.is_camera_present, COUNTIFS(Log!$C:$C, $A145, Log!$D:$D, S$4, Log!$A:$A, "Daily", Log!$B:$B, "n/a"),
        _xlpm.we_camera_on_date, IFERROR(AVERAGEIFS(Log!$F:$F, Log!$D:$D,S$4, Log!$C:$C, $A145, Log!$A:$A, "Daily", Log!$B:$B, "n/a"), 0),
        _xlpm.ie_camera_on_date, IFERROR(AVERAGEIFS(Log!$G:$G, Log!$D:$D,S$4, Log!$C:$C, $A145, Log!$A:$A, "Daily", Log!$B:$B, "n/a"), 0),
        _xlpm.we_avg, IFERROR(AVERAGEIFS(Log!$F:$F,Log!$C:$C,$A145, Log!$A:$A, "Daily", Log!$B:$B, "n/a"),0),
        _xlpm.ie_avg, IFERROR(AVERAGEIFS(Log!$G:$G,Log!$C:$C,$A145,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6" spans="2:19" x14ac:dyDescent="0.3">
      <c r="B146" s="68" t="str">
        <f>IFERROR(
    _xlfn.LET(
        _xlpm.is_data_present, $A146&lt;&gt;0,
        _xlpm.is_camera_present, COUNTIFS(Log!$C:$C, $A146, Log!$D:$D, B$4, Log!$A:$A, "Daily", Log!$B:$B, "n/a"),
        _xlpm.we_camera_on_date, IFERROR(AVERAGEIFS(Log!$F:$F, Log!$D:$D,B$4, Log!$C:$C, $A146, Log!$A:$A, "Daily", Log!$B:$B, "n/a"), 0),
        _xlpm.ie_camera_on_date, IFERROR(AVERAGEIFS(Log!$G:$G, Log!$D:$D,B$4,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6" s="68" t="str">
        <f>IFERROR(
    _xlfn.LET(
        _xlpm.is_data_present, $A146&lt;&gt;0,
        _xlpm.is_camera_present, COUNTIFS(Log!$C:$C, $A146, Log!$D:$D, C$4, Log!$A:$A, "Daily", Log!$B:$B, "n/a"),
        _xlpm.we_camera_on_date, IFERROR(AVERAGEIFS(Log!$F:$F, Log!$D:$D,C$4, Log!$C:$C, $A146, Log!$A:$A, "Daily", Log!$B:$B, "n/a"), 0),
        _xlpm.ie_camera_on_date, IFERROR(AVERAGEIFS(Log!$G:$G, Log!$D:$D,C$4,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6" s="68" t="str">
        <f>IFERROR(
    _xlfn.LET(
        _xlpm.is_data_present, $A146&lt;&gt;0,
        _xlpm.is_camera_present, COUNTIFS(Log!$C:$C, $A146, Log!$D:$D, D$4, Log!$A:$A, "Daily", Log!$B:$B, "n/a"),
        _xlpm.we_camera_on_date, IFERROR(AVERAGEIFS(Log!$F:$F, Log!$D:$D,D$4, Log!$C:$C, $A146, Log!$A:$A, "Daily", Log!$B:$B, "n/a"), 0),
        _xlpm.ie_camera_on_date, IFERROR(AVERAGEIFS(Log!$G:$G, Log!$D:$D,D$4,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6" s="68" t="str">
        <f>IFERROR(
    _xlfn.LET(
        _xlpm.is_data_present, $A146&lt;&gt;0,
        _xlpm.is_camera_present, COUNTIFS(Log!$C:$C, $A146, Log!$D:$D, E$4, Log!$A:$A, "Daily", Log!$B:$B, "n/a"),
        _xlpm.we_camera_on_date, IFERROR(AVERAGEIFS(Log!$F:$F, Log!$D:$D,E$4, Log!$C:$C, $A146, Log!$A:$A, "Daily", Log!$B:$B, "n/a"), 0),
        _xlpm.ie_camera_on_date, IFERROR(AVERAGEIFS(Log!$G:$G, Log!$D:$D,E$4,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6" s="68" t="str">
        <f>IFERROR(
    _xlfn.LET(
        _xlpm.is_data_present, $A146&lt;&gt;0,
        _xlpm.is_camera_present, COUNTIFS(Log!$C:$C, $A146, Log!$D:$D, F$4, Log!$A:$A, "Daily", Log!$B:$B, "n/a"),
        _xlpm.we_camera_on_date, IFERROR(AVERAGEIFS(Log!$F:$F, Log!$D:$D,F$4, Log!$C:$C, $A146, Log!$A:$A, "Daily", Log!$B:$B, "n/a"), 0),
        _xlpm.ie_camera_on_date, IFERROR(AVERAGEIFS(Log!$G:$G, Log!$D:$D,F$4,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6" s="68" t="str">
        <f>IFERROR(
    _xlfn.LET(
        _xlpm.is_data_present, $A146&lt;&gt;0,
        _xlpm.is_camera_present, COUNTIFS(Log!$C:$C, $A146, Log!$D:$D, G$4, Log!$A:$A, "Daily", Log!$B:$B, "n/a"),
        _xlpm.we_camera_on_date, IFERROR(AVERAGEIFS(Log!$F:$F, Log!$D:$D,G$4, Log!$C:$C, $A146, Log!$A:$A, "Daily", Log!$B:$B, "n/a"), 0),
        _xlpm.ie_camera_on_date, IFERROR(AVERAGEIFS(Log!$G:$G, Log!$D:$D,G$4,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6" s="68" t="str">
        <f>IFERROR(
    _xlfn.LET(
        _xlpm.is_data_present, $A146&lt;&gt;0,
        _xlpm.is_camera_present, COUNTIFS(Log!$C:$C, $A146, Log!$D:$D, H$4, Log!$A:$A, "Daily", Log!$B:$B, "n/a"),
        _xlpm.we_camera_on_date, IFERROR(AVERAGEIFS(Log!$F:$F, Log!$D:$D,H$4, Log!$C:$C, $A146, Log!$A:$A, "Daily", Log!$B:$B, "n/a"), 0),
        _xlpm.ie_camera_on_date, IFERROR(AVERAGEIFS(Log!$G:$G, Log!$D:$D,H$4,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6" s="68" t="str">
        <f>IFERROR(
    _xlfn.LET(
        _xlpm.is_data_present, $A146&lt;&gt;0,
        _xlpm.is_camera_present, COUNTIFS(Log!$C:$C, $A146, Log!$D:$D, I$4, Log!$A:$A, "Daily", Log!$B:$B, "n/a"),
        _xlpm.we_camera_on_date, IFERROR(AVERAGEIFS(Log!$F:$F, Log!$D:$D,I$4, Log!$C:$C, $A146, Log!$A:$A, "Daily", Log!$B:$B, "n/a"), 0),
        _xlpm.ie_camera_on_date, IFERROR(AVERAGEIFS(Log!$G:$G, Log!$D:$D,I$4,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6" s="68" t="str">
        <f>IFERROR(
    _xlfn.LET(
        _xlpm.is_data_present, $A146&lt;&gt;0,
        _xlpm.is_camera_present, COUNTIFS(Log!$C:$C, $A146, Log!$D:$D, J$4, Log!$A:$A, "Daily", Log!$B:$B, "n/a"),
        _xlpm.we_camera_on_date, IFERROR(AVERAGEIFS(Log!$F:$F, Log!$D:$D,J$4, Log!$C:$C, $A146, Log!$A:$A, "Daily", Log!$B:$B, "n/a"), 0),
        _xlpm.ie_camera_on_date, IFERROR(AVERAGEIFS(Log!$G:$G, Log!$D:$D,J$4,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6" s="68" t="str">
        <f>IFERROR(
    _xlfn.LET(
        _xlpm.is_data_present, $A146&lt;&gt;0,
        _xlpm.is_camera_present, COUNTIFS(Log!$C:$C, $A146, Log!$D:$D, K$4, Log!$A:$A, "Daily", Log!$B:$B, "n/a"),
        _xlpm.we_camera_on_date, IFERROR(AVERAGEIFS(Log!$F:$F, Log!$D:$D,K$4, Log!$C:$C, $A146, Log!$A:$A, "Daily", Log!$B:$B, "n/a"), 0),
        _xlpm.ie_camera_on_date, IFERROR(AVERAGEIFS(Log!$G:$G, Log!$D:$D,K$4,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6" s="68" t="str">
        <f>IFERROR(
    _xlfn.LET(
        _xlpm.is_data_present, $A146&lt;&gt;0,
        _xlpm.is_camera_present, COUNTIFS(Log!$C:$C, $A146, Log!$D:$D, L$4, Log!$A:$A, "Daily", Log!$B:$B, "n/a"),
        _xlpm.we_camera_on_date, IFERROR(AVERAGEIFS(Log!$F:$F, Log!$D:$D,L$4, Log!$C:$C, $A146, Log!$A:$A, "Daily", Log!$B:$B, "n/a"), 0),
        _xlpm.ie_camera_on_date, IFERROR(AVERAGEIFS(Log!$G:$G, Log!$D:$D,L$4,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6" s="68" t="str">
        <f>IFERROR(
    _xlfn.LET(
        _xlpm.is_data_present, $A146&lt;&gt;0,
        _xlpm.is_camera_present, COUNTIFS(Log!$C:$C, $A146, Log!$D:$D, M$4, Log!$A:$A, "Daily", Log!$B:$B, "n/a"),
        _xlpm.we_camera_on_date, IFERROR(AVERAGEIFS(Log!$F:$F, Log!$D:$D,M$4, Log!$C:$C, $A146, Log!$A:$A, "Daily", Log!$B:$B, "n/a"), 0),
        _xlpm.ie_camera_on_date, IFERROR(AVERAGEIFS(Log!$G:$G, Log!$D:$D,M$4,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6" s="68" t="str">
        <f>IFERROR(
    _xlfn.LET(
        _xlpm.is_data_present, $A146&lt;&gt;0,
        _xlpm.is_camera_present, COUNTIFS(Log!$C:$C, $A146, Log!$D:$D, N$4, Log!$A:$A, "Daily", Log!$B:$B, "n/a"),
        _xlpm.we_camera_on_date, IFERROR(AVERAGEIFS(Log!$F:$F, Log!$D:$D,N$4, Log!$C:$C, $A146, Log!$A:$A, "Daily", Log!$B:$B, "n/a"), 0),
        _xlpm.ie_camera_on_date, IFERROR(AVERAGEIFS(Log!$G:$G, Log!$D:$D,N$4,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6" s="68" t="str">
        <f>IFERROR(
    _xlfn.LET(
        _xlpm.is_data_present, $A146&lt;&gt;0,
        _xlpm.is_camera_present, COUNTIFS(Log!$C:$C, $A146, Log!$D:$D, O$4, Log!$A:$A, "Daily", Log!$B:$B, "n/a"),
        _xlpm.we_camera_on_date, IFERROR(AVERAGEIFS(Log!$F:$F, Log!$D:$D,O$4, Log!$C:$C, $A146, Log!$A:$A, "Daily", Log!$B:$B, "n/a"), 0),
        _xlpm.ie_camera_on_date, IFERROR(AVERAGEIFS(Log!$G:$G, Log!$D:$D,O$4,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6" s="68" t="str">
        <f>IFERROR(
    _xlfn.LET(
        _xlpm.is_data_present, $A146&lt;&gt;0,
        _xlpm.is_camera_present, COUNTIFS(Log!$C:$C, $A146, Log!$D:$D, P$4, Log!$A:$A, "Daily", Log!$B:$B, "n/a"),
        _xlpm.we_camera_on_date, IFERROR(AVERAGEIFS(Log!$F:$F, Log!$D:$D,P$4, Log!$C:$C, $A146, Log!$A:$A, "Daily", Log!$B:$B, "n/a"), 0),
        _xlpm.ie_camera_on_date, IFERROR(AVERAGEIFS(Log!$G:$G, Log!$D:$D,P$4,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6" s="68" t="str">
        <f>IFERROR(
    _xlfn.LET(
        _xlpm.is_data_present, $A146&lt;&gt;0,
        _xlpm.is_camera_present, COUNTIFS(Log!$C:$C, $A146, Log!$D:$D, Q$4, Log!$A:$A, "Daily", Log!$B:$B, "n/a"),
        _xlpm.we_camera_on_date, IFERROR(AVERAGEIFS(Log!$F:$F, Log!$D:$D,Q$4, Log!$C:$C, $A146, Log!$A:$A, "Daily", Log!$B:$B, "n/a"), 0),
        _xlpm.ie_camera_on_date, IFERROR(AVERAGEIFS(Log!$G:$G, Log!$D:$D,Q$4,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6" s="68" t="str">
        <f>IFERROR(
    _xlfn.LET(
        _xlpm.is_data_present, $A146&lt;&gt;0,
        _xlpm.is_camera_present, COUNTIFS(Log!$C:$C, $A146, Log!$D:$D, R$4, Log!$A:$A, "Daily", Log!$B:$B, "n/a"),
        _xlpm.we_camera_on_date, IFERROR(AVERAGEIFS(Log!$F:$F, Log!$D:$D,R$4, Log!$C:$C, $A146, Log!$A:$A, "Daily", Log!$B:$B, "n/a"), 0),
        _xlpm.ie_camera_on_date, IFERROR(AVERAGEIFS(Log!$G:$G, Log!$D:$D,R$4,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6" s="68" t="str">
        <f>IFERROR(
    _xlfn.LET(
        _xlpm.is_data_present, $A146&lt;&gt;0,
        _xlpm.is_camera_present, COUNTIFS(Log!$C:$C, $A146, Log!$D:$D, S$4, Log!$A:$A, "Daily", Log!$B:$B, "n/a"),
        _xlpm.we_camera_on_date, IFERROR(AVERAGEIFS(Log!$F:$F, Log!$D:$D,S$4, Log!$C:$C, $A146, Log!$A:$A, "Daily", Log!$B:$B, "n/a"), 0),
        _xlpm.ie_camera_on_date, IFERROR(AVERAGEIFS(Log!$G:$G, Log!$D:$D,S$4, Log!$C:$C, $A146, Log!$A:$A, "Daily", Log!$B:$B, "n/a"), 0),
        _xlpm.we_avg, IFERROR(AVERAGEIFS(Log!$F:$F,Log!$C:$C,$A146, Log!$A:$A, "Daily", Log!$B:$B, "n/a"),0),
        _xlpm.ie_avg, IFERROR(AVERAGEIFS(Log!$G:$G,Log!$C:$C,$A146,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7" spans="2:19" x14ac:dyDescent="0.3">
      <c r="B147" s="68" t="str">
        <f>IFERROR(
    _xlfn.LET(
        _xlpm.is_data_present, $A147&lt;&gt;0,
        _xlpm.is_camera_present, COUNTIFS(Log!$C:$C, $A147, Log!$D:$D, B$4, Log!$A:$A, "Daily", Log!$B:$B, "n/a"),
        _xlpm.we_camera_on_date, IFERROR(AVERAGEIFS(Log!$F:$F, Log!$D:$D,B$4, Log!$C:$C, $A147, Log!$A:$A, "Daily", Log!$B:$B, "n/a"), 0),
        _xlpm.ie_camera_on_date, IFERROR(AVERAGEIFS(Log!$G:$G, Log!$D:$D,B$4,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7" s="68" t="str">
        <f>IFERROR(
    _xlfn.LET(
        _xlpm.is_data_present, $A147&lt;&gt;0,
        _xlpm.is_camera_present, COUNTIFS(Log!$C:$C, $A147, Log!$D:$D, C$4, Log!$A:$A, "Daily", Log!$B:$B, "n/a"),
        _xlpm.we_camera_on_date, IFERROR(AVERAGEIFS(Log!$F:$F, Log!$D:$D,C$4, Log!$C:$C, $A147, Log!$A:$A, "Daily", Log!$B:$B, "n/a"), 0),
        _xlpm.ie_camera_on_date, IFERROR(AVERAGEIFS(Log!$G:$G, Log!$D:$D,C$4,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7" s="68" t="str">
        <f>IFERROR(
    _xlfn.LET(
        _xlpm.is_data_present, $A147&lt;&gt;0,
        _xlpm.is_camera_present, COUNTIFS(Log!$C:$C, $A147, Log!$D:$D, D$4, Log!$A:$A, "Daily", Log!$B:$B, "n/a"),
        _xlpm.we_camera_on_date, IFERROR(AVERAGEIFS(Log!$F:$F, Log!$D:$D,D$4, Log!$C:$C, $A147, Log!$A:$A, "Daily", Log!$B:$B, "n/a"), 0),
        _xlpm.ie_camera_on_date, IFERROR(AVERAGEIFS(Log!$G:$G, Log!$D:$D,D$4,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7" s="68" t="str">
        <f>IFERROR(
    _xlfn.LET(
        _xlpm.is_data_present, $A147&lt;&gt;0,
        _xlpm.is_camera_present, COUNTIFS(Log!$C:$C, $A147, Log!$D:$D, E$4, Log!$A:$A, "Daily", Log!$B:$B, "n/a"),
        _xlpm.we_camera_on_date, IFERROR(AVERAGEIFS(Log!$F:$F, Log!$D:$D,E$4, Log!$C:$C, $A147, Log!$A:$A, "Daily", Log!$B:$B, "n/a"), 0),
        _xlpm.ie_camera_on_date, IFERROR(AVERAGEIFS(Log!$G:$G, Log!$D:$D,E$4,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7" s="68" t="str">
        <f>IFERROR(
    _xlfn.LET(
        _xlpm.is_data_present, $A147&lt;&gt;0,
        _xlpm.is_camera_present, COUNTIFS(Log!$C:$C, $A147, Log!$D:$D, F$4, Log!$A:$A, "Daily", Log!$B:$B, "n/a"),
        _xlpm.we_camera_on_date, IFERROR(AVERAGEIFS(Log!$F:$F, Log!$D:$D,F$4, Log!$C:$C, $A147, Log!$A:$A, "Daily", Log!$B:$B, "n/a"), 0),
        _xlpm.ie_camera_on_date, IFERROR(AVERAGEIFS(Log!$G:$G, Log!$D:$D,F$4,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7" s="68" t="str">
        <f>IFERROR(
    _xlfn.LET(
        _xlpm.is_data_present, $A147&lt;&gt;0,
        _xlpm.is_camera_present, COUNTIFS(Log!$C:$C, $A147, Log!$D:$D, G$4, Log!$A:$A, "Daily", Log!$B:$B, "n/a"),
        _xlpm.we_camera_on_date, IFERROR(AVERAGEIFS(Log!$F:$F, Log!$D:$D,G$4, Log!$C:$C, $A147, Log!$A:$A, "Daily", Log!$B:$B, "n/a"), 0),
        _xlpm.ie_camera_on_date, IFERROR(AVERAGEIFS(Log!$G:$G, Log!$D:$D,G$4,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7" s="68" t="str">
        <f>IFERROR(
    _xlfn.LET(
        _xlpm.is_data_present, $A147&lt;&gt;0,
        _xlpm.is_camera_present, COUNTIFS(Log!$C:$C, $A147, Log!$D:$D, H$4, Log!$A:$A, "Daily", Log!$B:$B, "n/a"),
        _xlpm.we_camera_on_date, IFERROR(AVERAGEIFS(Log!$F:$F, Log!$D:$D,H$4, Log!$C:$C, $A147, Log!$A:$A, "Daily", Log!$B:$B, "n/a"), 0),
        _xlpm.ie_camera_on_date, IFERROR(AVERAGEIFS(Log!$G:$G, Log!$D:$D,H$4,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7" s="68" t="str">
        <f>IFERROR(
    _xlfn.LET(
        _xlpm.is_data_present, $A147&lt;&gt;0,
        _xlpm.is_camera_present, COUNTIFS(Log!$C:$C, $A147, Log!$D:$D, I$4, Log!$A:$A, "Daily", Log!$B:$B, "n/a"),
        _xlpm.we_camera_on_date, IFERROR(AVERAGEIFS(Log!$F:$F, Log!$D:$D,I$4, Log!$C:$C, $A147, Log!$A:$A, "Daily", Log!$B:$B, "n/a"), 0),
        _xlpm.ie_camera_on_date, IFERROR(AVERAGEIFS(Log!$G:$G, Log!$D:$D,I$4,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7" s="68" t="str">
        <f>IFERROR(
    _xlfn.LET(
        _xlpm.is_data_present, $A147&lt;&gt;0,
        _xlpm.is_camera_present, COUNTIFS(Log!$C:$C, $A147, Log!$D:$D, J$4, Log!$A:$A, "Daily", Log!$B:$B, "n/a"),
        _xlpm.we_camera_on_date, IFERROR(AVERAGEIFS(Log!$F:$F, Log!$D:$D,J$4, Log!$C:$C, $A147, Log!$A:$A, "Daily", Log!$B:$B, "n/a"), 0),
        _xlpm.ie_camera_on_date, IFERROR(AVERAGEIFS(Log!$G:$G, Log!$D:$D,J$4,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7" s="68" t="str">
        <f>IFERROR(
    _xlfn.LET(
        _xlpm.is_data_present, $A147&lt;&gt;0,
        _xlpm.is_camera_present, COUNTIFS(Log!$C:$C, $A147, Log!$D:$D, K$4, Log!$A:$A, "Daily", Log!$B:$B, "n/a"),
        _xlpm.we_camera_on_date, IFERROR(AVERAGEIFS(Log!$F:$F, Log!$D:$D,K$4, Log!$C:$C, $A147, Log!$A:$A, "Daily", Log!$B:$B, "n/a"), 0),
        _xlpm.ie_camera_on_date, IFERROR(AVERAGEIFS(Log!$G:$G, Log!$D:$D,K$4,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7" s="68" t="str">
        <f>IFERROR(
    _xlfn.LET(
        _xlpm.is_data_present, $A147&lt;&gt;0,
        _xlpm.is_camera_present, COUNTIFS(Log!$C:$C, $A147, Log!$D:$D, L$4, Log!$A:$A, "Daily", Log!$B:$B, "n/a"),
        _xlpm.we_camera_on_date, IFERROR(AVERAGEIFS(Log!$F:$F, Log!$D:$D,L$4, Log!$C:$C, $A147, Log!$A:$A, "Daily", Log!$B:$B, "n/a"), 0),
        _xlpm.ie_camera_on_date, IFERROR(AVERAGEIFS(Log!$G:$G, Log!$D:$D,L$4,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7" s="68" t="str">
        <f>IFERROR(
    _xlfn.LET(
        _xlpm.is_data_present, $A147&lt;&gt;0,
        _xlpm.is_camera_present, COUNTIFS(Log!$C:$C, $A147, Log!$D:$D, M$4, Log!$A:$A, "Daily", Log!$B:$B, "n/a"),
        _xlpm.we_camera_on_date, IFERROR(AVERAGEIFS(Log!$F:$F, Log!$D:$D,M$4, Log!$C:$C, $A147, Log!$A:$A, "Daily", Log!$B:$B, "n/a"), 0),
        _xlpm.ie_camera_on_date, IFERROR(AVERAGEIFS(Log!$G:$G, Log!$D:$D,M$4,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7" s="68" t="str">
        <f>IFERROR(
    _xlfn.LET(
        _xlpm.is_data_present, $A147&lt;&gt;0,
        _xlpm.is_camera_present, COUNTIFS(Log!$C:$C, $A147, Log!$D:$D, N$4, Log!$A:$A, "Daily", Log!$B:$B, "n/a"),
        _xlpm.we_camera_on_date, IFERROR(AVERAGEIFS(Log!$F:$F, Log!$D:$D,N$4, Log!$C:$C, $A147, Log!$A:$A, "Daily", Log!$B:$B, "n/a"), 0),
        _xlpm.ie_camera_on_date, IFERROR(AVERAGEIFS(Log!$G:$G, Log!$D:$D,N$4,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7" s="68" t="str">
        <f>IFERROR(
    _xlfn.LET(
        _xlpm.is_data_present, $A147&lt;&gt;0,
        _xlpm.is_camera_present, COUNTIFS(Log!$C:$C, $A147, Log!$D:$D, O$4, Log!$A:$A, "Daily", Log!$B:$B, "n/a"),
        _xlpm.we_camera_on_date, IFERROR(AVERAGEIFS(Log!$F:$F, Log!$D:$D,O$4, Log!$C:$C, $A147, Log!$A:$A, "Daily", Log!$B:$B, "n/a"), 0),
        _xlpm.ie_camera_on_date, IFERROR(AVERAGEIFS(Log!$G:$G, Log!$D:$D,O$4,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7" s="68" t="str">
        <f>IFERROR(
    _xlfn.LET(
        _xlpm.is_data_present, $A147&lt;&gt;0,
        _xlpm.is_camera_present, COUNTIFS(Log!$C:$C, $A147, Log!$D:$D, P$4, Log!$A:$A, "Daily", Log!$B:$B, "n/a"),
        _xlpm.we_camera_on_date, IFERROR(AVERAGEIFS(Log!$F:$F, Log!$D:$D,P$4, Log!$C:$C, $A147, Log!$A:$A, "Daily", Log!$B:$B, "n/a"), 0),
        _xlpm.ie_camera_on_date, IFERROR(AVERAGEIFS(Log!$G:$G, Log!$D:$D,P$4,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7" s="68" t="str">
        <f>IFERROR(
    _xlfn.LET(
        _xlpm.is_data_present, $A147&lt;&gt;0,
        _xlpm.is_camera_present, COUNTIFS(Log!$C:$C, $A147, Log!$D:$D, Q$4, Log!$A:$A, "Daily", Log!$B:$B, "n/a"),
        _xlpm.we_camera_on_date, IFERROR(AVERAGEIFS(Log!$F:$F, Log!$D:$D,Q$4, Log!$C:$C, $A147, Log!$A:$A, "Daily", Log!$B:$B, "n/a"), 0),
        _xlpm.ie_camera_on_date, IFERROR(AVERAGEIFS(Log!$G:$G, Log!$D:$D,Q$4,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7" s="68" t="str">
        <f>IFERROR(
    _xlfn.LET(
        _xlpm.is_data_present, $A147&lt;&gt;0,
        _xlpm.is_camera_present, COUNTIFS(Log!$C:$C, $A147, Log!$D:$D, R$4, Log!$A:$A, "Daily", Log!$B:$B, "n/a"),
        _xlpm.we_camera_on_date, IFERROR(AVERAGEIFS(Log!$F:$F, Log!$D:$D,R$4, Log!$C:$C, $A147, Log!$A:$A, "Daily", Log!$B:$B, "n/a"), 0),
        _xlpm.ie_camera_on_date, IFERROR(AVERAGEIFS(Log!$G:$G, Log!$D:$D,R$4,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7" s="68" t="str">
        <f>IFERROR(
    _xlfn.LET(
        _xlpm.is_data_present, $A147&lt;&gt;0,
        _xlpm.is_camera_present, COUNTIFS(Log!$C:$C, $A147, Log!$D:$D, S$4, Log!$A:$A, "Daily", Log!$B:$B, "n/a"),
        _xlpm.we_camera_on_date, IFERROR(AVERAGEIFS(Log!$F:$F, Log!$D:$D,S$4, Log!$C:$C, $A147, Log!$A:$A, "Daily", Log!$B:$B, "n/a"), 0),
        _xlpm.ie_camera_on_date, IFERROR(AVERAGEIFS(Log!$G:$G, Log!$D:$D,S$4, Log!$C:$C, $A147, Log!$A:$A, "Daily", Log!$B:$B, "n/a"), 0),
        _xlpm.we_avg, IFERROR(AVERAGEIFS(Log!$F:$F,Log!$C:$C,$A147, Log!$A:$A, "Daily", Log!$B:$B, "n/a"),0),
        _xlpm.ie_avg, IFERROR(AVERAGEIFS(Log!$G:$G,Log!$C:$C,$A147,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8" spans="2:19" x14ac:dyDescent="0.3">
      <c r="B148" s="68" t="str">
        <f>IFERROR(
    _xlfn.LET(
        _xlpm.is_data_present, $A148&lt;&gt;0,
        _xlpm.is_camera_present, COUNTIFS(Log!$C:$C, $A148, Log!$D:$D, B$4, Log!$A:$A, "Daily", Log!$B:$B, "n/a"),
        _xlpm.we_camera_on_date, IFERROR(AVERAGEIFS(Log!$F:$F, Log!$D:$D,B$4, Log!$C:$C, $A148, Log!$A:$A, "Daily", Log!$B:$B, "n/a"), 0),
        _xlpm.ie_camera_on_date, IFERROR(AVERAGEIFS(Log!$G:$G, Log!$D:$D,B$4,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8" s="68" t="str">
        <f>IFERROR(
    _xlfn.LET(
        _xlpm.is_data_present, $A148&lt;&gt;0,
        _xlpm.is_camera_present, COUNTIFS(Log!$C:$C, $A148, Log!$D:$D, C$4, Log!$A:$A, "Daily", Log!$B:$B, "n/a"),
        _xlpm.we_camera_on_date, IFERROR(AVERAGEIFS(Log!$F:$F, Log!$D:$D,C$4, Log!$C:$C, $A148, Log!$A:$A, "Daily", Log!$B:$B, "n/a"), 0),
        _xlpm.ie_camera_on_date, IFERROR(AVERAGEIFS(Log!$G:$G, Log!$D:$D,C$4,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8" s="68" t="str">
        <f>IFERROR(
    _xlfn.LET(
        _xlpm.is_data_present, $A148&lt;&gt;0,
        _xlpm.is_camera_present, COUNTIFS(Log!$C:$C, $A148, Log!$D:$D, D$4, Log!$A:$A, "Daily", Log!$B:$B, "n/a"),
        _xlpm.we_camera_on_date, IFERROR(AVERAGEIFS(Log!$F:$F, Log!$D:$D,D$4, Log!$C:$C, $A148, Log!$A:$A, "Daily", Log!$B:$B, "n/a"), 0),
        _xlpm.ie_camera_on_date, IFERROR(AVERAGEIFS(Log!$G:$G, Log!$D:$D,D$4,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8" s="68" t="str">
        <f>IFERROR(
    _xlfn.LET(
        _xlpm.is_data_present, $A148&lt;&gt;0,
        _xlpm.is_camera_present, COUNTIFS(Log!$C:$C, $A148, Log!$D:$D, E$4, Log!$A:$A, "Daily", Log!$B:$B, "n/a"),
        _xlpm.we_camera_on_date, IFERROR(AVERAGEIFS(Log!$F:$F, Log!$D:$D,E$4, Log!$C:$C, $A148, Log!$A:$A, "Daily", Log!$B:$B, "n/a"), 0),
        _xlpm.ie_camera_on_date, IFERROR(AVERAGEIFS(Log!$G:$G, Log!$D:$D,E$4,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8" s="68" t="str">
        <f>IFERROR(
    _xlfn.LET(
        _xlpm.is_data_present, $A148&lt;&gt;0,
        _xlpm.is_camera_present, COUNTIFS(Log!$C:$C, $A148, Log!$D:$D, F$4, Log!$A:$A, "Daily", Log!$B:$B, "n/a"),
        _xlpm.we_camera_on_date, IFERROR(AVERAGEIFS(Log!$F:$F, Log!$D:$D,F$4, Log!$C:$C, $A148, Log!$A:$A, "Daily", Log!$B:$B, "n/a"), 0),
        _xlpm.ie_camera_on_date, IFERROR(AVERAGEIFS(Log!$G:$G, Log!$D:$D,F$4,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8" s="68" t="str">
        <f>IFERROR(
    _xlfn.LET(
        _xlpm.is_data_present, $A148&lt;&gt;0,
        _xlpm.is_camera_present, COUNTIFS(Log!$C:$C, $A148, Log!$D:$D, G$4, Log!$A:$A, "Daily", Log!$B:$B, "n/a"),
        _xlpm.we_camera_on_date, IFERROR(AVERAGEIFS(Log!$F:$F, Log!$D:$D,G$4, Log!$C:$C, $A148, Log!$A:$A, "Daily", Log!$B:$B, "n/a"), 0),
        _xlpm.ie_camera_on_date, IFERROR(AVERAGEIFS(Log!$G:$G, Log!$D:$D,G$4,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8" s="68" t="str">
        <f>IFERROR(
    _xlfn.LET(
        _xlpm.is_data_present, $A148&lt;&gt;0,
        _xlpm.is_camera_present, COUNTIFS(Log!$C:$C, $A148, Log!$D:$D, H$4, Log!$A:$A, "Daily", Log!$B:$B, "n/a"),
        _xlpm.we_camera_on_date, IFERROR(AVERAGEIFS(Log!$F:$F, Log!$D:$D,H$4, Log!$C:$C, $A148, Log!$A:$A, "Daily", Log!$B:$B, "n/a"), 0),
        _xlpm.ie_camera_on_date, IFERROR(AVERAGEIFS(Log!$G:$G, Log!$D:$D,H$4,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8" s="68" t="str">
        <f>IFERROR(
    _xlfn.LET(
        _xlpm.is_data_present, $A148&lt;&gt;0,
        _xlpm.is_camera_present, COUNTIFS(Log!$C:$C, $A148, Log!$D:$D, I$4, Log!$A:$A, "Daily", Log!$B:$B, "n/a"),
        _xlpm.we_camera_on_date, IFERROR(AVERAGEIFS(Log!$F:$F, Log!$D:$D,I$4, Log!$C:$C, $A148, Log!$A:$A, "Daily", Log!$B:$B, "n/a"), 0),
        _xlpm.ie_camera_on_date, IFERROR(AVERAGEIFS(Log!$G:$G, Log!$D:$D,I$4,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8" s="68" t="str">
        <f>IFERROR(
    _xlfn.LET(
        _xlpm.is_data_present, $A148&lt;&gt;0,
        _xlpm.is_camera_present, COUNTIFS(Log!$C:$C, $A148, Log!$D:$D, J$4, Log!$A:$A, "Daily", Log!$B:$B, "n/a"),
        _xlpm.we_camera_on_date, IFERROR(AVERAGEIFS(Log!$F:$F, Log!$D:$D,J$4, Log!$C:$C, $A148, Log!$A:$A, "Daily", Log!$B:$B, "n/a"), 0),
        _xlpm.ie_camera_on_date, IFERROR(AVERAGEIFS(Log!$G:$G, Log!$D:$D,J$4,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8" s="68" t="str">
        <f>IFERROR(
    _xlfn.LET(
        _xlpm.is_data_present, $A148&lt;&gt;0,
        _xlpm.is_camera_present, COUNTIFS(Log!$C:$C, $A148, Log!$D:$D, K$4, Log!$A:$A, "Daily", Log!$B:$B, "n/a"),
        _xlpm.we_camera_on_date, IFERROR(AVERAGEIFS(Log!$F:$F, Log!$D:$D,K$4, Log!$C:$C, $A148, Log!$A:$A, "Daily", Log!$B:$B, "n/a"), 0),
        _xlpm.ie_camera_on_date, IFERROR(AVERAGEIFS(Log!$G:$G, Log!$D:$D,K$4,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8" s="68" t="str">
        <f>IFERROR(
    _xlfn.LET(
        _xlpm.is_data_present, $A148&lt;&gt;0,
        _xlpm.is_camera_present, COUNTIFS(Log!$C:$C, $A148, Log!$D:$D, L$4, Log!$A:$A, "Daily", Log!$B:$B, "n/a"),
        _xlpm.we_camera_on_date, IFERROR(AVERAGEIFS(Log!$F:$F, Log!$D:$D,L$4, Log!$C:$C, $A148, Log!$A:$A, "Daily", Log!$B:$B, "n/a"), 0),
        _xlpm.ie_camera_on_date, IFERROR(AVERAGEIFS(Log!$G:$G, Log!$D:$D,L$4,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8" s="68" t="str">
        <f>IFERROR(
    _xlfn.LET(
        _xlpm.is_data_present, $A148&lt;&gt;0,
        _xlpm.is_camera_present, COUNTIFS(Log!$C:$C, $A148, Log!$D:$D, M$4, Log!$A:$A, "Daily", Log!$B:$B, "n/a"),
        _xlpm.we_camera_on_date, IFERROR(AVERAGEIFS(Log!$F:$F, Log!$D:$D,M$4, Log!$C:$C, $A148, Log!$A:$A, "Daily", Log!$B:$B, "n/a"), 0),
        _xlpm.ie_camera_on_date, IFERROR(AVERAGEIFS(Log!$G:$G, Log!$D:$D,M$4,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8" s="68" t="str">
        <f>IFERROR(
    _xlfn.LET(
        _xlpm.is_data_present, $A148&lt;&gt;0,
        _xlpm.is_camera_present, COUNTIFS(Log!$C:$C, $A148, Log!$D:$D, N$4, Log!$A:$A, "Daily", Log!$B:$B, "n/a"),
        _xlpm.we_camera_on_date, IFERROR(AVERAGEIFS(Log!$F:$F, Log!$D:$D,N$4, Log!$C:$C, $A148, Log!$A:$A, "Daily", Log!$B:$B, "n/a"), 0),
        _xlpm.ie_camera_on_date, IFERROR(AVERAGEIFS(Log!$G:$G, Log!$D:$D,N$4,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8" s="68" t="str">
        <f>IFERROR(
    _xlfn.LET(
        _xlpm.is_data_present, $A148&lt;&gt;0,
        _xlpm.is_camera_present, COUNTIFS(Log!$C:$C, $A148, Log!$D:$D, O$4, Log!$A:$A, "Daily", Log!$B:$B, "n/a"),
        _xlpm.we_camera_on_date, IFERROR(AVERAGEIFS(Log!$F:$F, Log!$D:$D,O$4, Log!$C:$C, $A148, Log!$A:$A, "Daily", Log!$B:$B, "n/a"), 0),
        _xlpm.ie_camera_on_date, IFERROR(AVERAGEIFS(Log!$G:$G, Log!$D:$D,O$4,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8" s="68" t="str">
        <f>IFERROR(
    _xlfn.LET(
        _xlpm.is_data_present, $A148&lt;&gt;0,
        _xlpm.is_camera_present, COUNTIFS(Log!$C:$C, $A148, Log!$D:$D, P$4, Log!$A:$A, "Daily", Log!$B:$B, "n/a"),
        _xlpm.we_camera_on_date, IFERROR(AVERAGEIFS(Log!$F:$F, Log!$D:$D,P$4, Log!$C:$C, $A148, Log!$A:$A, "Daily", Log!$B:$B, "n/a"), 0),
        _xlpm.ie_camera_on_date, IFERROR(AVERAGEIFS(Log!$G:$G, Log!$D:$D,P$4,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8" s="68" t="str">
        <f>IFERROR(
    _xlfn.LET(
        _xlpm.is_data_present, $A148&lt;&gt;0,
        _xlpm.is_camera_present, COUNTIFS(Log!$C:$C, $A148, Log!$D:$D, Q$4, Log!$A:$A, "Daily", Log!$B:$B, "n/a"),
        _xlpm.we_camera_on_date, IFERROR(AVERAGEIFS(Log!$F:$F, Log!$D:$D,Q$4, Log!$C:$C, $A148, Log!$A:$A, "Daily", Log!$B:$B, "n/a"), 0),
        _xlpm.ie_camera_on_date, IFERROR(AVERAGEIFS(Log!$G:$G, Log!$D:$D,Q$4,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8" s="68" t="str">
        <f>IFERROR(
    _xlfn.LET(
        _xlpm.is_data_present, $A148&lt;&gt;0,
        _xlpm.is_camera_present, COUNTIFS(Log!$C:$C, $A148, Log!$D:$D, R$4, Log!$A:$A, "Daily", Log!$B:$B, "n/a"),
        _xlpm.we_camera_on_date, IFERROR(AVERAGEIFS(Log!$F:$F, Log!$D:$D,R$4, Log!$C:$C, $A148, Log!$A:$A, "Daily", Log!$B:$B, "n/a"), 0),
        _xlpm.ie_camera_on_date, IFERROR(AVERAGEIFS(Log!$G:$G, Log!$D:$D,R$4,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8" s="68" t="str">
        <f>IFERROR(
    _xlfn.LET(
        _xlpm.is_data_present, $A148&lt;&gt;0,
        _xlpm.is_camera_present, COUNTIFS(Log!$C:$C, $A148, Log!$D:$D, S$4, Log!$A:$A, "Daily", Log!$B:$B, "n/a"),
        _xlpm.we_camera_on_date, IFERROR(AVERAGEIFS(Log!$F:$F, Log!$D:$D,S$4, Log!$C:$C, $A148, Log!$A:$A, "Daily", Log!$B:$B, "n/a"), 0),
        _xlpm.ie_camera_on_date, IFERROR(AVERAGEIFS(Log!$G:$G, Log!$D:$D,S$4, Log!$C:$C, $A148, Log!$A:$A, "Daily", Log!$B:$B, "n/a"), 0),
        _xlpm.we_avg, IFERROR(AVERAGEIFS(Log!$F:$F,Log!$C:$C,$A148, Log!$A:$A, "Daily", Log!$B:$B, "n/a"),0),
        _xlpm.ie_avg, IFERROR(AVERAGEIFS(Log!$G:$G,Log!$C:$C,$A148,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49" spans="2:19" x14ac:dyDescent="0.3">
      <c r="B149" s="68" t="str">
        <f>IFERROR(
    _xlfn.LET(
        _xlpm.is_data_present, $A149&lt;&gt;0,
        _xlpm.is_camera_present, COUNTIFS(Log!$C:$C, $A149, Log!$D:$D, B$4, Log!$A:$A, "Daily", Log!$B:$B, "n/a"),
        _xlpm.we_camera_on_date, IFERROR(AVERAGEIFS(Log!$F:$F, Log!$D:$D,B$4, Log!$C:$C, $A149, Log!$A:$A, "Daily", Log!$B:$B, "n/a"), 0),
        _xlpm.ie_camera_on_date, IFERROR(AVERAGEIFS(Log!$G:$G, Log!$D:$D,B$4,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49" s="68" t="str">
        <f>IFERROR(
    _xlfn.LET(
        _xlpm.is_data_present, $A149&lt;&gt;0,
        _xlpm.is_camera_present, COUNTIFS(Log!$C:$C, $A149, Log!$D:$D, C$4, Log!$A:$A, "Daily", Log!$B:$B, "n/a"),
        _xlpm.we_camera_on_date, IFERROR(AVERAGEIFS(Log!$F:$F, Log!$D:$D,C$4, Log!$C:$C, $A149, Log!$A:$A, "Daily", Log!$B:$B, "n/a"), 0),
        _xlpm.ie_camera_on_date, IFERROR(AVERAGEIFS(Log!$G:$G, Log!$D:$D,C$4,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49" s="68" t="str">
        <f>IFERROR(
    _xlfn.LET(
        _xlpm.is_data_present, $A149&lt;&gt;0,
        _xlpm.is_camera_present, COUNTIFS(Log!$C:$C, $A149, Log!$D:$D, D$4, Log!$A:$A, "Daily", Log!$B:$B, "n/a"),
        _xlpm.we_camera_on_date, IFERROR(AVERAGEIFS(Log!$F:$F, Log!$D:$D,D$4, Log!$C:$C, $A149, Log!$A:$A, "Daily", Log!$B:$B, "n/a"), 0),
        _xlpm.ie_camera_on_date, IFERROR(AVERAGEIFS(Log!$G:$G, Log!$D:$D,D$4,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49" s="68" t="str">
        <f>IFERROR(
    _xlfn.LET(
        _xlpm.is_data_present, $A149&lt;&gt;0,
        _xlpm.is_camera_present, COUNTIFS(Log!$C:$C, $A149, Log!$D:$D, E$4, Log!$A:$A, "Daily", Log!$B:$B, "n/a"),
        _xlpm.we_camera_on_date, IFERROR(AVERAGEIFS(Log!$F:$F, Log!$D:$D,E$4, Log!$C:$C, $A149, Log!$A:$A, "Daily", Log!$B:$B, "n/a"), 0),
        _xlpm.ie_camera_on_date, IFERROR(AVERAGEIFS(Log!$G:$G, Log!$D:$D,E$4,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49" s="68" t="str">
        <f>IFERROR(
    _xlfn.LET(
        _xlpm.is_data_present, $A149&lt;&gt;0,
        _xlpm.is_camera_present, COUNTIFS(Log!$C:$C, $A149, Log!$D:$D, F$4, Log!$A:$A, "Daily", Log!$B:$B, "n/a"),
        _xlpm.we_camera_on_date, IFERROR(AVERAGEIFS(Log!$F:$F, Log!$D:$D,F$4, Log!$C:$C, $A149, Log!$A:$A, "Daily", Log!$B:$B, "n/a"), 0),
        _xlpm.ie_camera_on_date, IFERROR(AVERAGEIFS(Log!$G:$G, Log!$D:$D,F$4,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49" s="68" t="str">
        <f>IFERROR(
    _xlfn.LET(
        _xlpm.is_data_present, $A149&lt;&gt;0,
        _xlpm.is_camera_present, COUNTIFS(Log!$C:$C, $A149, Log!$D:$D, G$4, Log!$A:$A, "Daily", Log!$B:$B, "n/a"),
        _xlpm.we_camera_on_date, IFERROR(AVERAGEIFS(Log!$F:$F, Log!$D:$D,G$4, Log!$C:$C, $A149, Log!$A:$A, "Daily", Log!$B:$B, "n/a"), 0),
        _xlpm.ie_camera_on_date, IFERROR(AVERAGEIFS(Log!$G:$G, Log!$D:$D,G$4,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49" s="68" t="str">
        <f>IFERROR(
    _xlfn.LET(
        _xlpm.is_data_present, $A149&lt;&gt;0,
        _xlpm.is_camera_present, COUNTIFS(Log!$C:$C, $A149, Log!$D:$D, H$4, Log!$A:$A, "Daily", Log!$B:$B, "n/a"),
        _xlpm.we_camera_on_date, IFERROR(AVERAGEIFS(Log!$F:$F, Log!$D:$D,H$4, Log!$C:$C, $A149, Log!$A:$A, "Daily", Log!$B:$B, "n/a"), 0),
        _xlpm.ie_camera_on_date, IFERROR(AVERAGEIFS(Log!$G:$G, Log!$D:$D,H$4,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49" s="68" t="str">
        <f>IFERROR(
    _xlfn.LET(
        _xlpm.is_data_present, $A149&lt;&gt;0,
        _xlpm.is_camera_present, COUNTIFS(Log!$C:$C, $A149, Log!$D:$D, I$4, Log!$A:$A, "Daily", Log!$B:$B, "n/a"),
        _xlpm.we_camera_on_date, IFERROR(AVERAGEIFS(Log!$F:$F, Log!$D:$D,I$4, Log!$C:$C, $A149, Log!$A:$A, "Daily", Log!$B:$B, "n/a"), 0),
        _xlpm.ie_camera_on_date, IFERROR(AVERAGEIFS(Log!$G:$G, Log!$D:$D,I$4,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49" s="68" t="str">
        <f>IFERROR(
    _xlfn.LET(
        _xlpm.is_data_present, $A149&lt;&gt;0,
        _xlpm.is_camera_present, COUNTIFS(Log!$C:$C, $A149, Log!$D:$D, J$4, Log!$A:$A, "Daily", Log!$B:$B, "n/a"),
        _xlpm.we_camera_on_date, IFERROR(AVERAGEIFS(Log!$F:$F, Log!$D:$D,J$4, Log!$C:$C, $A149, Log!$A:$A, "Daily", Log!$B:$B, "n/a"), 0),
        _xlpm.ie_camera_on_date, IFERROR(AVERAGEIFS(Log!$G:$G, Log!$D:$D,J$4,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49" s="68" t="str">
        <f>IFERROR(
    _xlfn.LET(
        _xlpm.is_data_present, $A149&lt;&gt;0,
        _xlpm.is_camera_present, COUNTIFS(Log!$C:$C, $A149, Log!$D:$D, K$4, Log!$A:$A, "Daily", Log!$B:$B, "n/a"),
        _xlpm.we_camera_on_date, IFERROR(AVERAGEIFS(Log!$F:$F, Log!$D:$D,K$4, Log!$C:$C, $A149, Log!$A:$A, "Daily", Log!$B:$B, "n/a"), 0),
        _xlpm.ie_camera_on_date, IFERROR(AVERAGEIFS(Log!$G:$G, Log!$D:$D,K$4,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49" s="68" t="str">
        <f>IFERROR(
    _xlfn.LET(
        _xlpm.is_data_present, $A149&lt;&gt;0,
        _xlpm.is_camera_present, COUNTIFS(Log!$C:$C, $A149, Log!$D:$D, L$4, Log!$A:$A, "Daily", Log!$B:$B, "n/a"),
        _xlpm.we_camera_on_date, IFERROR(AVERAGEIFS(Log!$F:$F, Log!$D:$D,L$4, Log!$C:$C, $A149, Log!$A:$A, "Daily", Log!$B:$B, "n/a"), 0),
        _xlpm.ie_camera_on_date, IFERROR(AVERAGEIFS(Log!$G:$G, Log!$D:$D,L$4,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49" s="68" t="str">
        <f>IFERROR(
    _xlfn.LET(
        _xlpm.is_data_present, $A149&lt;&gt;0,
        _xlpm.is_camera_present, COUNTIFS(Log!$C:$C, $A149, Log!$D:$D, M$4, Log!$A:$A, "Daily", Log!$B:$B, "n/a"),
        _xlpm.we_camera_on_date, IFERROR(AVERAGEIFS(Log!$F:$F, Log!$D:$D,M$4, Log!$C:$C, $A149, Log!$A:$A, "Daily", Log!$B:$B, "n/a"), 0),
        _xlpm.ie_camera_on_date, IFERROR(AVERAGEIFS(Log!$G:$G, Log!$D:$D,M$4,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49" s="68" t="str">
        <f>IFERROR(
    _xlfn.LET(
        _xlpm.is_data_present, $A149&lt;&gt;0,
        _xlpm.is_camera_present, COUNTIFS(Log!$C:$C, $A149, Log!$D:$D, N$4, Log!$A:$A, "Daily", Log!$B:$B, "n/a"),
        _xlpm.we_camera_on_date, IFERROR(AVERAGEIFS(Log!$F:$F, Log!$D:$D,N$4, Log!$C:$C, $A149, Log!$A:$A, "Daily", Log!$B:$B, "n/a"), 0),
        _xlpm.ie_camera_on_date, IFERROR(AVERAGEIFS(Log!$G:$G, Log!$D:$D,N$4,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49" s="68" t="str">
        <f>IFERROR(
    _xlfn.LET(
        _xlpm.is_data_present, $A149&lt;&gt;0,
        _xlpm.is_camera_present, COUNTIFS(Log!$C:$C, $A149, Log!$D:$D, O$4, Log!$A:$A, "Daily", Log!$B:$B, "n/a"),
        _xlpm.we_camera_on_date, IFERROR(AVERAGEIFS(Log!$F:$F, Log!$D:$D,O$4, Log!$C:$C, $A149, Log!$A:$A, "Daily", Log!$B:$B, "n/a"), 0),
        _xlpm.ie_camera_on_date, IFERROR(AVERAGEIFS(Log!$G:$G, Log!$D:$D,O$4,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49" s="68" t="str">
        <f>IFERROR(
    _xlfn.LET(
        _xlpm.is_data_present, $A149&lt;&gt;0,
        _xlpm.is_camera_present, COUNTIFS(Log!$C:$C, $A149, Log!$D:$D, P$4, Log!$A:$A, "Daily", Log!$B:$B, "n/a"),
        _xlpm.we_camera_on_date, IFERROR(AVERAGEIFS(Log!$F:$F, Log!$D:$D,P$4, Log!$C:$C, $A149, Log!$A:$A, "Daily", Log!$B:$B, "n/a"), 0),
        _xlpm.ie_camera_on_date, IFERROR(AVERAGEIFS(Log!$G:$G, Log!$D:$D,P$4,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49" s="68" t="str">
        <f>IFERROR(
    _xlfn.LET(
        _xlpm.is_data_present, $A149&lt;&gt;0,
        _xlpm.is_camera_present, COUNTIFS(Log!$C:$C, $A149, Log!$D:$D, Q$4, Log!$A:$A, "Daily", Log!$B:$B, "n/a"),
        _xlpm.we_camera_on_date, IFERROR(AVERAGEIFS(Log!$F:$F, Log!$D:$D,Q$4, Log!$C:$C, $A149, Log!$A:$A, "Daily", Log!$B:$B, "n/a"), 0),
        _xlpm.ie_camera_on_date, IFERROR(AVERAGEIFS(Log!$G:$G, Log!$D:$D,Q$4,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49" s="68" t="str">
        <f>IFERROR(
    _xlfn.LET(
        _xlpm.is_data_present, $A149&lt;&gt;0,
        _xlpm.is_camera_present, COUNTIFS(Log!$C:$C, $A149, Log!$D:$D, R$4, Log!$A:$A, "Daily", Log!$B:$B, "n/a"),
        _xlpm.we_camera_on_date, IFERROR(AVERAGEIFS(Log!$F:$F, Log!$D:$D,R$4, Log!$C:$C, $A149, Log!$A:$A, "Daily", Log!$B:$B, "n/a"), 0),
        _xlpm.ie_camera_on_date, IFERROR(AVERAGEIFS(Log!$G:$G, Log!$D:$D,R$4,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49" s="68" t="str">
        <f>IFERROR(
    _xlfn.LET(
        _xlpm.is_data_present, $A149&lt;&gt;0,
        _xlpm.is_camera_present, COUNTIFS(Log!$C:$C, $A149, Log!$D:$D, S$4, Log!$A:$A, "Daily", Log!$B:$B, "n/a"),
        _xlpm.we_camera_on_date, IFERROR(AVERAGEIFS(Log!$F:$F, Log!$D:$D,S$4, Log!$C:$C, $A149, Log!$A:$A, "Daily", Log!$B:$B, "n/a"), 0),
        _xlpm.ie_camera_on_date, IFERROR(AVERAGEIFS(Log!$G:$G, Log!$D:$D,S$4, Log!$C:$C, $A149, Log!$A:$A, "Daily", Log!$B:$B, "n/a"), 0),
        _xlpm.we_avg, IFERROR(AVERAGEIFS(Log!$F:$F,Log!$C:$C,$A149, Log!$A:$A, "Daily", Log!$B:$B, "n/a"),0),
        _xlpm.ie_avg, IFERROR(AVERAGEIFS(Log!$G:$G,Log!$C:$C,$A149,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0" spans="2:19" x14ac:dyDescent="0.3">
      <c r="B150" s="68" t="str">
        <f>IFERROR(
    _xlfn.LET(
        _xlpm.is_data_present, $A150&lt;&gt;0,
        _xlpm.is_camera_present, COUNTIFS(Log!$C:$C, $A150, Log!$D:$D, B$4, Log!$A:$A, "Daily", Log!$B:$B, "n/a"),
        _xlpm.we_camera_on_date, IFERROR(AVERAGEIFS(Log!$F:$F, Log!$D:$D,B$4, Log!$C:$C, $A150, Log!$A:$A, "Daily", Log!$B:$B, "n/a"), 0),
        _xlpm.ie_camera_on_date, IFERROR(AVERAGEIFS(Log!$G:$G, Log!$D:$D,B$4,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0" s="68" t="str">
        <f>IFERROR(
    _xlfn.LET(
        _xlpm.is_data_present, $A150&lt;&gt;0,
        _xlpm.is_camera_present, COUNTIFS(Log!$C:$C, $A150, Log!$D:$D, C$4, Log!$A:$A, "Daily", Log!$B:$B, "n/a"),
        _xlpm.we_camera_on_date, IFERROR(AVERAGEIFS(Log!$F:$F, Log!$D:$D,C$4, Log!$C:$C, $A150, Log!$A:$A, "Daily", Log!$B:$B, "n/a"), 0),
        _xlpm.ie_camera_on_date, IFERROR(AVERAGEIFS(Log!$G:$G, Log!$D:$D,C$4,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0" s="68" t="str">
        <f>IFERROR(
    _xlfn.LET(
        _xlpm.is_data_present, $A150&lt;&gt;0,
        _xlpm.is_camera_present, COUNTIFS(Log!$C:$C, $A150, Log!$D:$D, D$4, Log!$A:$A, "Daily", Log!$B:$B, "n/a"),
        _xlpm.we_camera_on_date, IFERROR(AVERAGEIFS(Log!$F:$F, Log!$D:$D,D$4, Log!$C:$C, $A150, Log!$A:$A, "Daily", Log!$B:$B, "n/a"), 0),
        _xlpm.ie_camera_on_date, IFERROR(AVERAGEIFS(Log!$G:$G, Log!$D:$D,D$4,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0" s="68" t="str">
        <f>IFERROR(
    _xlfn.LET(
        _xlpm.is_data_present, $A150&lt;&gt;0,
        _xlpm.is_camera_present, COUNTIFS(Log!$C:$C, $A150, Log!$D:$D, E$4, Log!$A:$A, "Daily", Log!$B:$B, "n/a"),
        _xlpm.we_camera_on_date, IFERROR(AVERAGEIFS(Log!$F:$F, Log!$D:$D,E$4, Log!$C:$C, $A150, Log!$A:$A, "Daily", Log!$B:$B, "n/a"), 0),
        _xlpm.ie_camera_on_date, IFERROR(AVERAGEIFS(Log!$G:$G, Log!$D:$D,E$4,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0" s="68" t="str">
        <f>IFERROR(
    _xlfn.LET(
        _xlpm.is_data_present, $A150&lt;&gt;0,
        _xlpm.is_camera_present, COUNTIFS(Log!$C:$C, $A150, Log!$D:$D, F$4, Log!$A:$A, "Daily", Log!$B:$B, "n/a"),
        _xlpm.we_camera_on_date, IFERROR(AVERAGEIFS(Log!$F:$F, Log!$D:$D,F$4, Log!$C:$C, $A150, Log!$A:$A, "Daily", Log!$B:$B, "n/a"), 0),
        _xlpm.ie_camera_on_date, IFERROR(AVERAGEIFS(Log!$G:$G, Log!$D:$D,F$4,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0" s="68" t="str">
        <f>IFERROR(
    _xlfn.LET(
        _xlpm.is_data_present, $A150&lt;&gt;0,
        _xlpm.is_camera_present, COUNTIFS(Log!$C:$C, $A150, Log!$D:$D, G$4, Log!$A:$A, "Daily", Log!$B:$B, "n/a"),
        _xlpm.we_camera_on_date, IFERROR(AVERAGEIFS(Log!$F:$F, Log!$D:$D,G$4, Log!$C:$C, $A150, Log!$A:$A, "Daily", Log!$B:$B, "n/a"), 0),
        _xlpm.ie_camera_on_date, IFERROR(AVERAGEIFS(Log!$G:$G, Log!$D:$D,G$4,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0" s="68" t="str">
        <f>IFERROR(
    _xlfn.LET(
        _xlpm.is_data_present, $A150&lt;&gt;0,
        _xlpm.is_camera_present, COUNTIFS(Log!$C:$C, $A150, Log!$D:$D, H$4, Log!$A:$A, "Daily", Log!$B:$B, "n/a"),
        _xlpm.we_camera_on_date, IFERROR(AVERAGEIFS(Log!$F:$F, Log!$D:$D,H$4, Log!$C:$C, $A150, Log!$A:$A, "Daily", Log!$B:$B, "n/a"), 0),
        _xlpm.ie_camera_on_date, IFERROR(AVERAGEIFS(Log!$G:$G, Log!$D:$D,H$4,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0" s="68" t="str">
        <f>IFERROR(
    _xlfn.LET(
        _xlpm.is_data_present, $A150&lt;&gt;0,
        _xlpm.is_camera_present, COUNTIFS(Log!$C:$C, $A150, Log!$D:$D, I$4, Log!$A:$A, "Daily", Log!$B:$B, "n/a"),
        _xlpm.we_camera_on_date, IFERROR(AVERAGEIFS(Log!$F:$F, Log!$D:$D,I$4, Log!$C:$C, $A150, Log!$A:$A, "Daily", Log!$B:$B, "n/a"), 0),
        _xlpm.ie_camera_on_date, IFERROR(AVERAGEIFS(Log!$G:$G, Log!$D:$D,I$4,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0" s="68" t="str">
        <f>IFERROR(
    _xlfn.LET(
        _xlpm.is_data_present, $A150&lt;&gt;0,
        _xlpm.is_camera_present, COUNTIFS(Log!$C:$C, $A150, Log!$D:$D, J$4, Log!$A:$A, "Daily", Log!$B:$B, "n/a"),
        _xlpm.we_camera_on_date, IFERROR(AVERAGEIFS(Log!$F:$F, Log!$D:$D,J$4, Log!$C:$C, $A150, Log!$A:$A, "Daily", Log!$B:$B, "n/a"), 0),
        _xlpm.ie_camera_on_date, IFERROR(AVERAGEIFS(Log!$G:$G, Log!$D:$D,J$4,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0" s="68" t="str">
        <f>IFERROR(
    _xlfn.LET(
        _xlpm.is_data_present, $A150&lt;&gt;0,
        _xlpm.is_camera_present, COUNTIFS(Log!$C:$C, $A150, Log!$D:$D, K$4, Log!$A:$A, "Daily", Log!$B:$B, "n/a"),
        _xlpm.we_camera_on_date, IFERROR(AVERAGEIFS(Log!$F:$F, Log!$D:$D,K$4, Log!$C:$C, $A150, Log!$A:$A, "Daily", Log!$B:$B, "n/a"), 0),
        _xlpm.ie_camera_on_date, IFERROR(AVERAGEIFS(Log!$G:$G, Log!$D:$D,K$4,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0" s="68" t="str">
        <f>IFERROR(
    _xlfn.LET(
        _xlpm.is_data_present, $A150&lt;&gt;0,
        _xlpm.is_camera_present, COUNTIFS(Log!$C:$C, $A150, Log!$D:$D, L$4, Log!$A:$A, "Daily", Log!$B:$B, "n/a"),
        _xlpm.we_camera_on_date, IFERROR(AVERAGEIFS(Log!$F:$F, Log!$D:$D,L$4, Log!$C:$C, $A150, Log!$A:$A, "Daily", Log!$B:$B, "n/a"), 0),
        _xlpm.ie_camera_on_date, IFERROR(AVERAGEIFS(Log!$G:$G, Log!$D:$D,L$4,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0" s="68" t="str">
        <f>IFERROR(
    _xlfn.LET(
        _xlpm.is_data_present, $A150&lt;&gt;0,
        _xlpm.is_camera_present, COUNTIFS(Log!$C:$C, $A150, Log!$D:$D, M$4, Log!$A:$A, "Daily", Log!$B:$B, "n/a"),
        _xlpm.we_camera_on_date, IFERROR(AVERAGEIFS(Log!$F:$F, Log!$D:$D,M$4, Log!$C:$C, $A150, Log!$A:$A, "Daily", Log!$B:$B, "n/a"), 0),
        _xlpm.ie_camera_on_date, IFERROR(AVERAGEIFS(Log!$G:$G, Log!$D:$D,M$4,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0" s="68" t="str">
        <f>IFERROR(
    _xlfn.LET(
        _xlpm.is_data_present, $A150&lt;&gt;0,
        _xlpm.is_camera_present, COUNTIFS(Log!$C:$C, $A150, Log!$D:$D, N$4, Log!$A:$A, "Daily", Log!$B:$B, "n/a"),
        _xlpm.we_camera_on_date, IFERROR(AVERAGEIFS(Log!$F:$F, Log!$D:$D,N$4, Log!$C:$C, $A150, Log!$A:$A, "Daily", Log!$B:$B, "n/a"), 0),
        _xlpm.ie_camera_on_date, IFERROR(AVERAGEIFS(Log!$G:$G, Log!$D:$D,N$4,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0" s="68" t="str">
        <f>IFERROR(
    _xlfn.LET(
        _xlpm.is_data_present, $A150&lt;&gt;0,
        _xlpm.is_camera_present, COUNTIFS(Log!$C:$C, $A150, Log!$D:$D, O$4, Log!$A:$A, "Daily", Log!$B:$B, "n/a"),
        _xlpm.we_camera_on_date, IFERROR(AVERAGEIFS(Log!$F:$F, Log!$D:$D,O$4, Log!$C:$C, $A150, Log!$A:$A, "Daily", Log!$B:$B, "n/a"), 0),
        _xlpm.ie_camera_on_date, IFERROR(AVERAGEIFS(Log!$G:$G, Log!$D:$D,O$4,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0" s="68" t="str">
        <f>IFERROR(
    _xlfn.LET(
        _xlpm.is_data_present, $A150&lt;&gt;0,
        _xlpm.is_camera_present, COUNTIFS(Log!$C:$C, $A150, Log!$D:$D, P$4, Log!$A:$A, "Daily", Log!$B:$B, "n/a"),
        _xlpm.we_camera_on_date, IFERROR(AVERAGEIFS(Log!$F:$F, Log!$D:$D,P$4, Log!$C:$C, $A150, Log!$A:$A, "Daily", Log!$B:$B, "n/a"), 0),
        _xlpm.ie_camera_on_date, IFERROR(AVERAGEIFS(Log!$G:$G, Log!$D:$D,P$4,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0" s="68" t="str">
        <f>IFERROR(
    _xlfn.LET(
        _xlpm.is_data_present, $A150&lt;&gt;0,
        _xlpm.is_camera_present, COUNTIFS(Log!$C:$C, $A150, Log!$D:$D, Q$4, Log!$A:$A, "Daily", Log!$B:$B, "n/a"),
        _xlpm.we_camera_on_date, IFERROR(AVERAGEIFS(Log!$F:$F, Log!$D:$D,Q$4, Log!$C:$C, $A150, Log!$A:$A, "Daily", Log!$B:$B, "n/a"), 0),
        _xlpm.ie_camera_on_date, IFERROR(AVERAGEIFS(Log!$G:$G, Log!$D:$D,Q$4,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0" s="68" t="str">
        <f>IFERROR(
    _xlfn.LET(
        _xlpm.is_data_present, $A150&lt;&gt;0,
        _xlpm.is_camera_present, COUNTIFS(Log!$C:$C, $A150, Log!$D:$D, R$4, Log!$A:$A, "Daily", Log!$B:$B, "n/a"),
        _xlpm.we_camera_on_date, IFERROR(AVERAGEIFS(Log!$F:$F, Log!$D:$D,R$4, Log!$C:$C, $A150, Log!$A:$A, "Daily", Log!$B:$B, "n/a"), 0),
        _xlpm.ie_camera_on_date, IFERROR(AVERAGEIFS(Log!$G:$G, Log!$D:$D,R$4,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0" s="68" t="str">
        <f>IFERROR(
    _xlfn.LET(
        _xlpm.is_data_present, $A150&lt;&gt;0,
        _xlpm.is_camera_present, COUNTIFS(Log!$C:$C, $A150, Log!$D:$D, S$4, Log!$A:$A, "Daily", Log!$B:$B, "n/a"),
        _xlpm.we_camera_on_date, IFERROR(AVERAGEIFS(Log!$F:$F, Log!$D:$D,S$4, Log!$C:$C, $A150, Log!$A:$A, "Daily", Log!$B:$B, "n/a"), 0),
        _xlpm.ie_camera_on_date, IFERROR(AVERAGEIFS(Log!$G:$G, Log!$D:$D,S$4, Log!$C:$C, $A150, Log!$A:$A, "Daily", Log!$B:$B, "n/a"), 0),
        _xlpm.we_avg, IFERROR(AVERAGEIFS(Log!$F:$F,Log!$C:$C,$A150, Log!$A:$A, "Daily", Log!$B:$B, "n/a"),0),
        _xlpm.ie_avg, IFERROR(AVERAGEIFS(Log!$G:$G,Log!$C:$C,$A150,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1" spans="2:19" x14ac:dyDescent="0.3">
      <c r="B151" s="68" t="str">
        <f>IFERROR(
    _xlfn.LET(
        _xlpm.is_data_present, $A151&lt;&gt;0,
        _xlpm.is_camera_present, COUNTIFS(Log!$C:$C, $A151, Log!$D:$D, B$4, Log!$A:$A, "Daily", Log!$B:$B, "n/a"),
        _xlpm.we_camera_on_date, IFERROR(AVERAGEIFS(Log!$F:$F, Log!$D:$D,B$4, Log!$C:$C, $A151, Log!$A:$A, "Daily", Log!$B:$B, "n/a"), 0),
        _xlpm.ie_camera_on_date, IFERROR(AVERAGEIFS(Log!$G:$G, Log!$D:$D,B$4,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1" s="68" t="str">
        <f>IFERROR(
    _xlfn.LET(
        _xlpm.is_data_present, $A151&lt;&gt;0,
        _xlpm.is_camera_present, COUNTIFS(Log!$C:$C, $A151, Log!$D:$D, C$4, Log!$A:$A, "Daily", Log!$B:$B, "n/a"),
        _xlpm.we_camera_on_date, IFERROR(AVERAGEIFS(Log!$F:$F, Log!$D:$D,C$4, Log!$C:$C, $A151, Log!$A:$A, "Daily", Log!$B:$B, "n/a"), 0),
        _xlpm.ie_camera_on_date, IFERROR(AVERAGEIFS(Log!$G:$G, Log!$D:$D,C$4,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1" s="68" t="str">
        <f>IFERROR(
    _xlfn.LET(
        _xlpm.is_data_present, $A151&lt;&gt;0,
        _xlpm.is_camera_present, COUNTIFS(Log!$C:$C, $A151, Log!$D:$D, D$4, Log!$A:$A, "Daily", Log!$B:$B, "n/a"),
        _xlpm.we_camera_on_date, IFERROR(AVERAGEIFS(Log!$F:$F, Log!$D:$D,D$4, Log!$C:$C, $A151, Log!$A:$A, "Daily", Log!$B:$B, "n/a"), 0),
        _xlpm.ie_camera_on_date, IFERROR(AVERAGEIFS(Log!$G:$G, Log!$D:$D,D$4,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1" s="68" t="str">
        <f>IFERROR(
    _xlfn.LET(
        _xlpm.is_data_present, $A151&lt;&gt;0,
        _xlpm.is_camera_present, COUNTIFS(Log!$C:$C, $A151, Log!$D:$D, E$4, Log!$A:$A, "Daily", Log!$B:$B, "n/a"),
        _xlpm.we_camera_on_date, IFERROR(AVERAGEIFS(Log!$F:$F, Log!$D:$D,E$4, Log!$C:$C, $A151, Log!$A:$A, "Daily", Log!$B:$B, "n/a"), 0),
        _xlpm.ie_camera_on_date, IFERROR(AVERAGEIFS(Log!$G:$G, Log!$D:$D,E$4,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1" s="68" t="str">
        <f>IFERROR(
    _xlfn.LET(
        _xlpm.is_data_present, $A151&lt;&gt;0,
        _xlpm.is_camera_present, COUNTIFS(Log!$C:$C, $A151, Log!$D:$D, F$4, Log!$A:$A, "Daily", Log!$B:$B, "n/a"),
        _xlpm.we_camera_on_date, IFERROR(AVERAGEIFS(Log!$F:$F, Log!$D:$D,F$4, Log!$C:$C, $A151, Log!$A:$A, "Daily", Log!$B:$B, "n/a"), 0),
        _xlpm.ie_camera_on_date, IFERROR(AVERAGEIFS(Log!$G:$G, Log!$D:$D,F$4,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1" s="68" t="str">
        <f>IFERROR(
    _xlfn.LET(
        _xlpm.is_data_present, $A151&lt;&gt;0,
        _xlpm.is_camera_present, COUNTIFS(Log!$C:$C, $A151, Log!$D:$D, G$4, Log!$A:$A, "Daily", Log!$B:$B, "n/a"),
        _xlpm.we_camera_on_date, IFERROR(AVERAGEIFS(Log!$F:$F, Log!$D:$D,G$4, Log!$C:$C, $A151, Log!$A:$A, "Daily", Log!$B:$B, "n/a"), 0),
        _xlpm.ie_camera_on_date, IFERROR(AVERAGEIFS(Log!$G:$G, Log!$D:$D,G$4,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1" s="68" t="str">
        <f>IFERROR(
    _xlfn.LET(
        _xlpm.is_data_present, $A151&lt;&gt;0,
        _xlpm.is_camera_present, COUNTIFS(Log!$C:$C, $A151, Log!$D:$D, H$4, Log!$A:$A, "Daily", Log!$B:$B, "n/a"),
        _xlpm.we_camera_on_date, IFERROR(AVERAGEIFS(Log!$F:$F, Log!$D:$D,H$4, Log!$C:$C, $A151, Log!$A:$A, "Daily", Log!$B:$B, "n/a"), 0),
        _xlpm.ie_camera_on_date, IFERROR(AVERAGEIFS(Log!$G:$G, Log!$D:$D,H$4,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1" s="68" t="str">
        <f>IFERROR(
    _xlfn.LET(
        _xlpm.is_data_present, $A151&lt;&gt;0,
        _xlpm.is_camera_present, COUNTIFS(Log!$C:$C, $A151, Log!$D:$D, I$4, Log!$A:$A, "Daily", Log!$B:$B, "n/a"),
        _xlpm.we_camera_on_date, IFERROR(AVERAGEIFS(Log!$F:$F, Log!$D:$D,I$4, Log!$C:$C, $A151, Log!$A:$A, "Daily", Log!$B:$B, "n/a"), 0),
        _xlpm.ie_camera_on_date, IFERROR(AVERAGEIFS(Log!$G:$G, Log!$D:$D,I$4,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1" s="68" t="str">
        <f>IFERROR(
    _xlfn.LET(
        _xlpm.is_data_present, $A151&lt;&gt;0,
        _xlpm.is_camera_present, COUNTIFS(Log!$C:$C, $A151, Log!$D:$D, J$4, Log!$A:$A, "Daily", Log!$B:$B, "n/a"),
        _xlpm.we_camera_on_date, IFERROR(AVERAGEIFS(Log!$F:$F, Log!$D:$D,J$4, Log!$C:$C, $A151, Log!$A:$A, "Daily", Log!$B:$B, "n/a"), 0),
        _xlpm.ie_camera_on_date, IFERROR(AVERAGEIFS(Log!$G:$G, Log!$D:$D,J$4,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1" s="68" t="str">
        <f>IFERROR(
    _xlfn.LET(
        _xlpm.is_data_present, $A151&lt;&gt;0,
        _xlpm.is_camera_present, COUNTIFS(Log!$C:$C, $A151, Log!$D:$D, K$4, Log!$A:$A, "Daily", Log!$B:$B, "n/a"),
        _xlpm.we_camera_on_date, IFERROR(AVERAGEIFS(Log!$F:$F, Log!$D:$D,K$4, Log!$C:$C, $A151, Log!$A:$A, "Daily", Log!$B:$B, "n/a"), 0),
        _xlpm.ie_camera_on_date, IFERROR(AVERAGEIFS(Log!$G:$G, Log!$D:$D,K$4,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1" s="68" t="str">
        <f>IFERROR(
    _xlfn.LET(
        _xlpm.is_data_present, $A151&lt;&gt;0,
        _xlpm.is_camera_present, COUNTIFS(Log!$C:$C, $A151, Log!$D:$D, L$4, Log!$A:$A, "Daily", Log!$B:$B, "n/a"),
        _xlpm.we_camera_on_date, IFERROR(AVERAGEIFS(Log!$F:$F, Log!$D:$D,L$4, Log!$C:$C, $A151, Log!$A:$A, "Daily", Log!$B:$B, "n/a"), 0),
        _xlpm.ie_camera_on_date, IFERROR(AVERAGEIFS(Log!$G:$G, Log!$D:$D,L$4,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1" s="68" t="str">
        <f>IFERROR(
    _xlfn.LET(
        _xlpm.is_data_present, $A151&lt;&gt;0,
        _xlpm.is_camera_present, COUNTIFS(Log!$C:$C, $A151, Log!$D:$D, M$4, Log!$A:$A, "Daily", Log!$B:$B, "n/a"),
        _xlpm.we_camera_on_date, IFERROR(AVERAGEIFS(Log!$F:$F, Log!$D:$D,M$4, Log!$C:$C, $A151, Log!$A:$A, "Daily", Log!$B:$B, "n/a"), 0),
        _xlpm.ie_camera_on_date, IFERROR(AVERAGEIFS(Log!$G:$G, Log!$D:$D,M$4,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1" s="68" t="str">
        <f>IFERROR(
    _xlfn.LET(
        _xlpm.is_data_present, $A151&lt;&gt;0,
        _xlpm.is_camera_present, COUNTIFS(Log!$C:$C, $A151, Log!$D:$D, N$4, Log!$A:$A, "Daily", Log!$B:$B, "n/a"),
        _xlpm.we_camera_on_date, IFERROR(AVERAGEIFS(Log!$F:$F, Log!$D:$D,N$4, Log!$C:$C, $A151, Log!$A:$A, "Daily", Log!$B:$B, "n/a"), 0),
        _xlpm.ie_camera_on_date, IFERROR(AVERAGEIFS(Log!$G:$G, Log!$D:$D,N$4,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1" s="68" t="str">
        <f>IFERROR(
    _xlfn.LET(
        _xlpm.is_data_present, $A151&lt;&gt;0,
        _xlpm.is_camera_present, COUNTIFS(Log!$C:$C, $A151, Log!$D:$D, O$4, Log!$A:$A, "Daily", Log!$B:$B, "n/a"),
        _xlpm.we_camera_on_date, IFERROR(AVERAGEIFS(Log!$F:$F, Log!$D:$D,O$4, Log!$C:$C, $A151, Log!$A:$A, "Daily", Log!$B:$B, "n/a"), 0),
        _xlpm.ie_camera_on_date, IFERROR(AVERAGEIFS(Log!$G:$G, Log!$D:$D,O$4,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1" s="68" t="str">
        <f>IFERROR(
    _xlfn.LET(
        _xlpm.is_data_present, $A151&lt;&gt;0,
        _xlpm.is_camera_present, COUNTIFS(Log!$C:$C, $A151, Log!$D:$D, P$4, Log!$A:$A, "Daily", Log!$B:$B, "n/a"),
        _xlpm.we_camera_on_date, IFERROR(AVERAGEIFS(Log!$F:$F, Log!$D:$D,P$4, Log!$C:$C, $A151, Log!$A:$A, "Daily", Log!$B:$B, "n/a"), 0),
        _xlpm.ie_camera_on_date, IFERROR(AVERAGEIFS(Log!$G:$G, Log!$D:$D,P$4,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1" s="68" t="str">
        <f>IFERROR(
    _xlfn.LET(
        _xlpm.is_data_present, $A151&lt;&gt;0,
        _xlpm.is_camera_present, COUNTIFS(Log!$C:$C, $A151, Log!$D:$D, Q$4, Log!$A:$A, "Daily", Log!$B:$B, "n/a"),
        _xlpm.we_camera_on_date, IFERROR(AVERAGEIFS(Log!$F:$F, Log!$D:$D,Q$4, Log!$C:$C, $A151, Log!$A:$A, "Daily", Log!$B:$B, "n/a"), 0),
        _xlpm.ie_camera_on_date, IFERROR(AVERAGEIFS(Log!$G:$G, Log!$D:$D,Q$4,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1" s="68" t="str">
        <f>IFERROR(
    _xlfn.LET(
        _xlpm.is_data_present, $A151&lt;&gt;0,
        _xlpm.is_camera_present, COUNTIFS(Log!$C:$C, $A151, Log!$D:$D, R$4, Log!$A:$A, "Daily", Log!$B:$B, "n/a"),
        _xlpm.we_camera_on_date, IFERROR(AVERAGEIFS(Log!$F:$F, Log!$D:$D,R$4, Log!$C:$C, $A151, Log!$A:$A, "Daily", Log!$B:$B, "n/a"), 0),
        _xlpm.ie_camera_on_date, IFERROR(AVERAGEIFS(Log!$G:$G, Log!$D:$D,R$4,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1" s="68" t="str">
        <f>IFERROR(
    _xlfn.LET(
        _xlpm.is_data_present, $A151&lt;&gt;0,
        _xlpm.is_camera_present, COUNTIFS(Log!$C:$C, $A151, Log!$D:$D, S$4, Log!$A:$A, "Daily", Log!$B:$B, "n/a"),
        _xlpm.we_camera_on_date, IFERROR(AVERAGEIFS(Log!$F:$F, Log!$D:$D,S$4, Log!$C:$C, $A151, Log!$A:$A, "Daily", Log!$B:$B, "n/a"), 0),
        _xlpm.ie_camera_on_date, IFERROR(AVERAGEIFS(Log!$G:$G, Log!$D:$D,S$4, Log!$C:$C, $A151, Log!$A:$A, "Daily", Log!$B:$B, "n/a"), 0),
        _xlpm.we_avg, IFERROR(AVERAGEIFS(Log!$F:$F,Log!$C:$C,$A151, Log!$A:$A, "Daily", Log!$B:$B, "n/a"),0),
        _xlpm.ie_avg, IFERROR(AVERAGEIFS(Log!$G:$G,Log!$C:$C,$A151,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2" spans="2:19" x14ac:dyDescent="0.3">
      <c r="B152" s="68" t="str">
        <f>IFERROR(
    _xlfn.LET(
        _xlpm.is_data_present, $A152&lt;&gt;0,
        _xlpm.is_camera_present, COUNTIFS(Log!$C:$C, $A152, Log!$D:$D, B$4, Log!$A:$A, "Daily", Log!$B:$B, "n/a"),
        _xlpm.we_camera_on_date, IFERROR(AVERAGEIFS(Log!$F:$F, Log!$D:$D,B$4, Log!$C:$C, $A152, Log!$A:$A, "Daily", Log!$B:$B, "n/a"), 0),
        _xlpm.ie_camera_on_date, IFERROR(AVERAGEIFS(Log!$G:$G, Log!$D:$D,B$4,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2" s="68" t="str">
        <f>IFERROR(
    _xlfn.LET(
        _xlpm.is_data_present, $A152&lt;&gt;0,
        _xlpm.is_camera_present, COUNTIFS(Log!$C:$C, $A152, Log!$D:$D, C$4, Log!$A:$A, "Daily", Log!$B:$B, "n/a"),
        _xlpm.we_camera_on_date, IFERROR(AVERAGEIFS(Log!$F:$F, Log!$D:$D,C$4, Log!$C:$C, $A152, Log!$A:$A, "Daily", Log!$B:$B, "n/a"), 0),
        _xlpm.ie_camera_on_date, IFERROR(AVERAGEIFS(Log!$G:$G, Log!$D:$D,C$4,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2" s="68" t="str">
        <f>IFERROR(
    _xlfn.LET(
        _xlpm.is_data_present, $A152&lt;&gt;0,
        _xlpm.is_camera_present, COUNTIFS(Log!$C:$C, $A152, Log!$D:$D, D$4, Log!$A:$A, "Daily", Log!$B:$B, "n/a"),
        _xlpm.we_camera_on_date, IFERROR(AVERAGEIFS(Log!$F:$F, Log!$D:$D,D$4, Log!$C:$C, $A152, Log!$A:$A, "Daily", Log!$B:$B, "n/a"), 0),
        _xlpm.ie_camera_on_date, IFERROR(AVERAGEIFS(Log!$G:$G, Log!$D:$D,D$4,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2" s="68" t="str">
        <f>IFERROR(
    _xlfn.LET(
        _xlpm.is_data_present, $A152&lt;&gt;0,
        _xlpm.is_camera_present, COUNTIFS(Log!$C:$C, $A152, Log!$D:$D, E$4, Log!$A:$A, "Daily", Log!$B:$B, "n/a"),
        _xlpm.we_camera_on_date, IFERROR(AVERAGEIFS(Log!$F:$F, Log!$D:$D,E$4, Log!$C:$C, $A152, Log!$A:$A, "Daily", Log!$B:$B, "n/a"), 0),
        _xlpm.ie_camera_on_date, IFERROR(AVERAGEIFS(Log!$G:$G, Log!$D:$D,E$4,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2" s="68" t="str">
        <f>IFERROR(
    _xlfn.LET(
        _xlpm.is_data_present, $A152&lt;&gt;0,
        _xlpm.is_camera_present, COUNTIFS(Log!$C:$C, $A152, Log!$D:$D, F$4, Log!$A:$A, "Daily", Log!$B:$B, "n/a"),
        _xlpm.we_camera_on_date, IFERROR(AVERAGEIFS(Log!$F:$F, Log!$D:$D,F$4, Log!$C:$C, $A152, Log!$A:$A, "Daily", Log!$B:$B, "n/a"), 0),
        _xlpm.ie_camera_on_date, IFERROR(AVERAGEIFS(Log!$G:$G, Log!$D:$D,F$4,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2" s="68" t="str">
        <f>IFERROR(
    _xlfn.LET(
        _xlpm.is_data_present, $A152&lt;&gt;0,
        _xlpm.is_camera_present, COUNTIFS(Log!$C:$C, $A152, Log!$D:$D, G$4, Log!$A:$A, "Daily", Log!$B:$B, "n/a"),
        _xlpm.we_camera_on_date, IFERROR(AVERAGEIFS(Log!$F:$F, Log!$D:$D,G$4, Log!$C:$C, $A152, Log!$A:$A, "Daily", Log!$B:$B, "n/a"), 0),
        _xlpm.ie_camera_on_date, IFERROR(AVERAGEIFS(Log!$G:$G, Log!$D:$D,G$4,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2" s="68" t="str">
        <f>IFERROR(
    _xlfn.LET(
        _xlpm.is_data_present, $A152&lt;&gt;0,
        _xlpm.is_camera_present, COUNTIFS(Log!$C:$C, $A152, Log!$D:$D, H$4, Log!$A:$A, "Daily", Log!$B:$B, "n/a"),
        _xlpm.we_camera_on_date, IFERROR(AVERAGEIFS(Log!$F:$F, Log!$D:$D,H$4, Log!$C:$C, $A152, Log!$A:$A, "Daily", Log!$B:$B, "n/a"), 0),
        _xlpm.ie_camera_on_date, IFERROR(AVERAGEIFS(Log!$G:$G, Log!$D:$D,H$4,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2" s="68" t="str">
        <f>IFERROR(
    _xlfn.LET(
        _xlpm.is_data_present, $A152&lt;&gt;0,
        _xlpm.is_camera_present, COUNTIFS(Log!$C:$C, $A152, Log!$D:$D, I$4, Log!$A:$A, "Daily", Log!$B:$B, "n/a"),
        _xlpm.we_camera_on_date, IFERROR(AVERAGEIFS(Log!$F:$F, Log!$D:$D,I$4, Log!$C:$C, $A152, Log!$A:$A, "Daily", Log!$B:$B, "n/a"), 0),
        _xlpm.ie_camera_on_date, IFERROR(AVERAGEIFS(Log!$G:$G, Log!$D:$D,I$4,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2" s="68" t="str">
        <f>IFERROR(
    _xlfn.LET(
        _xlpm.is_data_present, $A152&lt;&gt;0,
        _xlpm.is_camera_present, COUNTIFS(Log!$C:$C, $A152, Log!$D:$D, J$4, Log!$A:$A, "Daily", Log!$B:$B, "n/a"),
        _xlpm.we_camera_on_date, IFERROR(AVERAGEIFS(Log!$F:$F, Log!$D:$D,J$4, Log!$C:$C, $A152, Log!$A:$A, "Daily", Log!$B:$B, "n/a"), 0),
        _xlpm.ie_camera_on_date, IFERROR(AVERAGEIFS(Log!$G:$G, Log!$D:$D,J$4,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2" s="68" t="str">
        <f>IFERROR(
    _xlfn.LET(
        _xlpm.is_data_present, $A152&lt;&gt;0,
        _xlpm.is_camera_present, COUNTIFS(Log!$C:$C, $A152, Log!$D:$D, K$4, Log!$A:$A, "Daily", Log!$B:$B, "n/a"),
        _xlpm.we_camera_on_date, IFERROR(AVERAGEIFS(Log!$F:$F, Log!$D:$D,K$4, Log!$C:$C, $A152, Log!$A:$A, "Daily", Log!$B:$B, "n/a"), 0),
        _xlpm.ie_camera_on_date, IFERROR(AVERAGEIFS(Log!$G:$G, Log!$D:$D,K$4,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2" s="68" t="str">
        <f>IFERROR(
    _xlfn.LET(
        _xlpm.is_data_present, $A152&lt;&gt;0,
        _xlpm.is_camera_present, COUNTIFS(Log!$C:$C, $A152, Log!$D:$D, L$4, Log!$A:$A, "Daily", Log!$B:$B, "n/a"),
        _xlpm.we_camera_on_date, IFERROR(AVERAGEIFS(Log!$F:$F, Log!$D:$D,L$4, Log!$C:$C, $A152, Log!$A:$A, "Daily", Log!$B:$B, "n/a"), 0),
        _xlpm.ie_camera_on_date, IFERROR(AVERAGEIFS(Log!$G:$G, Log!$D:$D,L$4,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2" s="68" t="str">
        <f>IFERROR(
    _xlfn.LET(
        _xlpm.is_data_present, $A152&lt;&gt;0,
        _xlpm.is_camera_present, COUNTIFS(Log!$C:$C, $A152, Log!$D:$D, M$4, Log!$A:$A, "Daily", Log!$B:$B, "n/a"),
        _xlpm.we_camera_on_date, IFERROR(AVERAGEIFS(Log!$F:$F, Log!$D:$D,M$4, Log!$C:$C, $A152, Log!$A:$A, "Daily", Log!$B:$B, "n/a"), 0),
        _xlpm.ie_camera_on_date, IFERROR(AVERAGEIFS(Log!$G:$G, Log!$D:$D,M$4,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2" s="68" t="str">
        <f>IFERROR(
    _xlfn.LET(
        _xlpm.is_data_present, $A152&lt;&gt;0,
        _xlpm.is_camera_present, COUNTIFS(Log!$C:$C, $A152, Log!$D:$D, N$4, Log!$A:$A, "Daily", Log!$B:$B, "n/a"),
        _xlpm.we_camera_on_date, IFERROR(AVERAGEIFS(Log!$F:$F, Log!$D:$D,N$4, Log!$C:$C, $A152, Log!$A:$A, "Daily", Log!$B:$B, "n/a"), 0),
        _xlpm.ie_camera_on_date, IFERROR(AVERAGEIFS(Log!$G:$G, Log!$D:$D,N$4,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2" s="68" t="str">
        <f>IFERROR(
    _xlfn.LET(
        _xlpm.is_data_present, $A152&lt;&gt;0,
        _xlpm.is_camera_present, COUNTIFS(Log!$C:$C, $A152, Log!$D:$D, O$4, Log!$A:$A, "Daily", Log!$B:$B, "n/a"),
        _xlpm.we_camera_on_date, IFERROR(AVERAGEIFS(Log!$F:$F, Log!$D:$D,O$4, Log!$C:$C, $A152, Log!$A:$A, "Daily", Log!$B:$B, "n/a"), 0),
        _xlpm.ie_camera_on_date, IFERROR(AVERAGEIFS(Log!$G:$G, Log!$D:$D,O$4,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2" s="68" t="str">
        <f>IFERROR(
    _xlfn.LET(
        _xlpm.is_data_present, $A152&lt;&gt;0,
        _xlpm.is_camera_present, COUNTIFS(Log!$C:$C, $A152, Log!$D:$D, P$4, Log!$A:$A, "Daily", Log!$B:$B, "n/a"),
        _xlpm.we_camera_on_date, IFERROR(AVERAGEIFS(Log!$F:$F, Log!$D:$D,P$4, Log!$C:$C, $A152, Log!$A:$A, "Daily", Log!$B:$B, "n/a"), 0),
        _xlpm.ie_camera_on_date, IFERROR(AVERAGEIFS(Log!$G:$G, Log!$D:$D,P$4,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2" s="68" t="str">
        <f>IFERROR(
    _xlfn.LET(
        _xlpm.is_data_present, $A152&lt;&gt;0,
        _xlpm.is_camera_present, COUNTIFS(Log!$C:$C, $A152, Log!$D:$D, Q$4, Log!$A:$A, "Daily", Log!$B:$B, "n/a"),
        _xlpm.we_camera_on_date, IFERROR(AVERAGEIFS(Log!$F:$F, Log!$D:$D,Q$4, Log!$C:$C, $A152, Log!$A:$A, "Daily", Log!$B:$B, "n/a"), 0),
        _xlpm.ie_camera_on_date, IFERROR(AVERAGEIFS(Log!$G:$G, Log!$D:$D,Q$4,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2" s="68" t="str">
        <f>IFERROR(
    _xlfn.LET(
        _xlpm.is_data_present, $A152&lt;&gt;0,
        _xlpm.is_camera_present, COUNTIFS(Log!$C:$C, $A152, Log!$D:$D, R$4, Log!$A:$A, "Daily", Log!$B:$B, "n/a"),
        _xlpm.we_camera_on_date, IFERROR(AVERAGEIFS(Log!$F:$F, Log!$D:$D,R$4, Log!$C:$C, $A152, Log!$A:$A, "Daily", Log!$B:$B, "n/a"), 0),
        _xlpm.ie_camera_on_date, IFERROR(AVERAGEIFS(Log!$G:$G, Log!$D:$D,R$4,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2" s="68" t="str">
        <f>IFERROR(
    _xlfn.LET(
        _xlpm.is_data_present, $A152&lt;&gt;0,
        _xlpm.is_camera_present, COUNTIFS(Log!$C:$C, $A152, Log!$D:$D, S$4, Log!$A:$A, "Daily", Log!$B:$B, "n/a"),
        _xlpm.we_camera_on_date, IFERROR(AVERAGEIFS(Log!$F:$F, Log!$D:$D,S$4, Log!$C:$C, $A152, Log!$A:$A, "Daily", Log!$B:$B, "n/a"), 0),
        _xlpm.ie_camera_on_date, IFERROR(AVERAGEIFS(Log!$G:$G, Log!$D:$D,S$4, Log!$C:$C, $A152, Log!$A:$A, "Daily", Log!$B:$B, "n/a"), 0),
        _xlpm.we_avg, IFERROR(AVERAGEIFS(Log!$F:$F,Log!$C:$C,$A152, Log!$A:$A, "Daily", Log!$B:$B, "n/a"),0),
        _xlpm.ie_avg, IFERROR(AVERAGEIFS(Log!$G:$G,Log!$C:$C,$A152,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3" spans="2:19" x14ac:dyDescent="0.3">
      <c r="B153" s="68" t="str">
        <f>IFERROR(
    _xlfn.LET(
        _xlpm.is_data_present, $A153&lt;&gt;0,
        _xlpm.is_camera_present, COUNTIFS(Log!$C:$C, $A153, Log!$D:$D, B$4, Log!$A:$A, "Daily", Log!$B:$B, "n/a"),
        _xlpm.we_camera_on_date, IFERROR(AVERAGEIFS(Log!$F:$F, Log!$D:$D,B$4, Log!$C:$C, $A153, Log!$A:$A, "Daily", Log!$B:$B, "n/a"), 0),
        _xlpm.ie_camera_on_date, IFERROR(AVERAGEIFS(Log!$G:$G, Log!$D:$D,B$4,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3" s="68" t="str">
        <f>IFERROR(
    _xlfn.LET(
        _xlpm.is_data_present, $A153&lt;&gt;0,
        _xlpm.is_camera_present, COUNTIFS(Log!$C:$C, $A153, Log!$D:$D, C$4, Log!$A:$A, "Daily", Log!$B:$B, "n/a"),
        _xlpm.we_camera_on_date, IFERROR(AVERAGEIFS(Log!$F:$F, Log!$D:$D,C$4, Log!$C:$C, $A153, Log!$A:$A, "Daily", Log!$B:$B, "n/a"), 0),
        _xlpm.ie_camera_on_date, IFERROR(AVERAGEIFS(Log!$G:$G, Log!$D:$D,C$4,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3" s="68" t="str">
        <f>IFERROR(
    _xlfn.LET(
        _xlpm.is_data_present, $A153&lt;&gt;0,
        _xlpm.is_camera_present, COUNTIFS(Log!$C:$C, $A153, Log!$D:$D, D$4, Log!$A:$A, "Daily", Log!$B:$B, "n/a"),
        _xlpm.we_camera_on_date, IFERROR(AVERAGEIFS(Log!$F:$F, Log!$D:$D,D$4, Log!$C:$C, $A153, Log!$A:$A, "Daily", Log!$B:$B, "n/a"), 0),
        _xlpm.ie_camera_on_date, IFERROR(AVERAGEIFS(Log!$G:$G, Log!$D:$D,D$4,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3" s="68" t="str">
        <f>IFERROR(
    _xlfn.LET(
        _xlpm.is_data_present, $A153&lt;&gt;0,
        _xlpm.is_camera_present, COUNTIFS(Log!$C:$C, $A153, Log!$D:$D, E$4, Log!$A:$A, "Daily", Log!$B:$B, "n/a"),
        _xlpm.we_camera_on_date, IFERROR(AVERAGEIFS(Log!$F:$F, Log!$D:$D,E$4, Log!$C:$C, $A153, Log!$A:$A, "Daily", Log!$B:$B, "n/a"), 0),
        _xlpm.ie_camera_on_date, IFERROR(AVERAGEIFS(Log!$G:$G, Log!$D:$D,E$4,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3" s="68" t="str">
        <f>IFERROR(
    _xlfn.LET(
        _xlpm.is_data_present, $A153&lt;&gt;0,
        _xlpm.is_camera_present, COUNTIFS(Log!$C:$C, $A153, Log!$D:$D, F$4, Log!$A:$A, "Daily", Log!$B:$B, "n/a"),
        _xlpm.we_camera_on_date, IFERROR(AVERAGEIFS(Log!$F:$F, Log!$D:$D,F$4, Log!$C:$C, $A153, Log!$A:$A, "Daily", Log!$B:$B, "n/a"), 0),
        _xlpm.ie_camera_on_date, IFERROR(AVERAGEIFS(Log!$G:$G, Log!$D:$D,F$4,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3" s="68" t="str">
        <f>IFERROR(
    _xlfn.LET(
        _xlpm.is_data_present, $A153&lt;&gt;0,
        _xlpm.is_camera_present, COUNTIFS(Log!$C:$C, $A153, Log!$D:$D, G$4, Log!$A:$A, "Daily", Log!$B:$B, "n/a"),
        _xlpm.we_camera_on_date, IFERROR(AVERAGEIFS(Log!$F:$F, Log!$D:$D,G$4, Log!$C:$C, $A153, Log!$A:$A, "Daily", Log!$B:$B, "n/a"), 0),
        _xlpm.ie_camera_on_date, IFERROR(AVERAGEIFS(Log!$G:$G, Log!$D:$D,G$4,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3" s="68" t="str">
        <f>IFERROR(
    _xlfn.LET(
        _xlpm.is_data_present, $A153&lt;&gt;0,
        _xlpm.is_camera_present, COUNTIFS(Log!$C:$C, $A153, Log!$D:$D, H$4, Log!$A:$A, "Daily", Log!$B:$B, "n/a"),
        _xlpm.we_camera_on_date, IFERROR(AVERAGEIFS(Log!$F:$F, Log!$D:$D,H$4, Log!$C:$C, $A153, Log!$A:$A, "Daily", Log!$B:$B, "n/a"), 0),
        _xlpm.ie_camera_on_date, IFERROR(AVERAGEIFS(Log!$G:$G, Log!$D:$D,H$4,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3" s="68" t="str">
        <f>IFERROR(
    _xlfn.LET(
        _xlpm.is_data_present, $A153&lt;&gt;0,
        _xlpm.is_camera_present, COUNTIFS(Log!$C:$C, $A153, Log!$D:$D, I$4, Log!$A:$A, "Daily", Log!$B:$B, "n/a"),
        _xlpm.we_camera_on_date, IFERROR(AVERAGEIFS(Log!$F:$F, Log!$D:$D,I$4, Log!$C:$C, $A153, Log!$A:$A, "Daily", Log!$B:$B, "n/a"), 0),
        _xlpm.ie_camera_on_date, IFERROR(AVERAGEIFS(Log!$G:$G, Log!$D:$D,I$4,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3" s="68" t="str">
        <f>IFERROR(
    _xlfn.LET(
        _xlpm.is_data_present, $A153&lt;&gt;0,
        _xlpm.is_camera_present, COUNTIFS(Log!$C:$C, $A153, Log!$D:$D, J$4, Log!$A:$A, "Daily", Log!$B:$B, "n/a"),
        _xlpm.we_camera_on_date, IFERROR(AVERAGEIFS(Log!$F:$F, Log!$D:$D,J$4, Log!$C:$C, $A153, Log!$A:$A, "Daily", Log!$B:$B, "n/a"), 0),
        _xlpm.ie_camera_on_date, IFERROR(AVERAGEIFS(Log!$G:$G, Log!$D:$D,J$4,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3" s="68" t="str">
        <f>IFERROR(
    _xlfn.LET(
        _xlpm.is_data_present, $A153&lt;&gt;0,
        _xlpm.is_camera_present, COUNTIFS(Log!$C:$C, $A153, Log!$D:$D, K$4, Log!$A:$A, "Daily", Log!$B:$B, "n/a"),
        _xlpm.we_camera_on_date, IFERROR(AVERAGEIFS(Log!$F:$F, Log!$D:$D,K$4, Log!$C:$C, $A153, Log!$A:$A, "Daily", Log!$B:$B, "n/a"), 0),
        _xlpm.ie_camera_on_date, IFERROR(AVERAGEIFS(Log!$G:$G, Log!$D:$D,K$4,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3" s="68" t="str">
        <f>IFERROR(
    _xlfn.LET(
        _xlpm.is_data_present, $A153&lt;&gt;0,
        _xlpm.is_camera_present, COUNTIFS(Log!$C:$C, $A153, Log!$D:$D, L$4, Log!$A:$A, "Daily", Log!$B:$B, "n/a"),
        _xlpm.we_camera_on_date, IFERROR(AVERAGEIFS(Log!$F:$F, Log!$D:$D,L$4, Log!$C:$C, $A153, Log!$A:$A, "Daily", Log!$B:$B, "n/a"), 0),
        _xlpm.ie_camera_on_date, IFERROR(AVERAGEIFS(Log!$G:$G, Log!$D:$D,L$4,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3" s="68" t="str">
        <f>IFERROR(
    _xlfn.LET(
        _xlpm.is_data_present, $A153&lt;&gt;0,
        _xlpm.is_camera_present, COUNTIFS(Log!$C:$C, $A153, Log!$D:$D, M$4, Log!$A:$A, "Daily", Log!$B:$B, "n/a"),
        _xlpm.we_camera_on_date, IFERROR(AVERAGEIFS(Log!$F:$F, Log!$D:$D,M$4, Log!$C:$C, $A153, Log!$A:$A, "Daily", Log!$B:$B, "n/a"), 0),
        _xlpm.ie_camera_on_date, IFERROR(AVERAGEIFS(Log!$G:$G, Log!$D:$D,M$4,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3" s="68" t="str">
        <f>IFERROR(
    _xlfn.LET(
        _xlpm.is_data_present, $A153&lt;&gt;0,
        _xlpm.is_camera_present, COUNTIFS(Log!$C:$C, $A153, Log!$D:$D, N$4, Log!$A:$A, "Daily", Log!$B:$B, "n/a"),
        _xlpm.we_camera_on_date, IFERROR(AVERAGEIFS(Log!$F:$F, Log!$D:$D,N$4, Log!$C:$C, $A153, Log!$A:$A, "Daily", Log!$B:$B, "n/a"), 0),
        _xlpm.ie_camera_on_date, IFERROR(AVERAGEIFS(Log!$G:$G, Log!$D:$D,N$4,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3" s="68" t="str">
        <f>IFERROR(
    _xlfn.LET(
        _xlpm.is_data_present, $A153&lt;&gt;0,
        _xlpm.is_camera_present, COUNTIFS(Log!$C:$C, $A153, Log!$D:$D, O$4, Log!$A:$A, "Daily", Log!$B:$B, "n/a"),
        _xlpm.we_camera_on_date, IFERROR(AVERAGEIFS(Log!$F:$F, Log!$D:$D,O$4, Log!$C:$C, $A153, Log!$A:$A, "Daily", Log!$B:$B, "n/a"), 0),
        _xlpm.ie_camera_on_date, IFERROR(AVERAGEIFS(Log!$G:$G, Log!$D:$D,O$4,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3" s="68" t="str">
        <f>IFERROR(
    _xlfn.LET(
        _xlpm.is_data_present, $A153&lt;&gt;0,
        _xlpm.is_camera_present, COUNTIFS(Log!$C:$C, $A153, Log!$D:$D, P$4, Log!$A:$A, "Daily", Log!$B:$B, "n/a"),
        _xlpm.we_camera_on_date, IFERROR(AVERAGEIFS(Log!$F:$F, Log!$D:$D,P$4, Log!$C:$C, $A153, Log!$A:$A, "Daily", Log!$B:$B, "n/a"), 0),
        _xlpm.ie_camera_on_date, IFERROR(AVERAGEIFS(Log!$G:$G, Log!$D:$D,P$4,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3" s="68" t="str">
        <f>IFERROR(
    _xlfn.LET(
        _xlpm.is_data_present, $A153&lt;&gt;0,
        _xlpm.is_camera_present, COUNTIFS(Log!$C:$C, $A153, Log!$D:$D, Q$4, Log!$A:$A, "Daily", Log!$B:$B, "n/a"),
        _xlpm.we_camera_on_date, IFERROR(AVERAGEIFS(Log!$F:$F, Log!$D:$D,Q$4, Log!$C:$C, $A153, Log!$A:$A, "Daily", Log!$B:$B, "n/a"), 0),
        _xlpm.ie_camera_on_date, IFERROR(AVERAGEIFS(Log!$G:$G, Log!$D:$D,Q$4,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3" s="68" t="str">
        <f>IFERROR(
    _xlfn.LET(
        _xlpm.is_data_present, $A153&lt;&gt;0,
        _xlpm.is_camera_present, COUNTIFS(Log!$C:$C, $A153, Log!$D:$D, R$4, Log!$A:$A, "Daily", Log!$B:$B, "n/a"),
        _xlpm.we_camera_on_date, IFERROR(AVERAGEIFS(Log!$F:$F, Log!$D:$D,R$4, Log!$C:$C, $A153, Log!$A:$A, "Daily", Log!$B:$B, "n/a"), 0),
        _xlpm.ie_camera_on_date, IFERROR(AVERAGEIFS(Log!$G:$G, Log!$D:$D,R$4,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3" s="68" t="str">
        <f>IFERROR(
    _xlfn.LET(
        _xlpm.is_data_present, $A153&lt;&gt;0,
        _xlpm.is_camera_present, COUNTIFS(Log!$C:$C, $A153, Log!$D:$D, S$4, Log!$A:$A, "Daily", Log!$B:$B, "n/a"),
        _xlpm.we_camera_on_date, IFERROR(AVERAGEIFS(Log!$F:$F, Log!$D:$D,S$4, Log!$C:$C, $A153, Log!$A:$A, "Daily", Log!$B:$B, "n/a"), 0),
        _xlpm.ie_camera_on_date, IFERROR(AVERAGEIFS(Log!$G:$G, Log!$D:$D,S$4, Log!$C:$C, $A153, Log!$A:$A, "Daily", Log!$B:$B, "n/a"), 0),
        _xlpm.we_avg, IFERROR(AVERAGEIFS(Log!$F:$F,Log!$C:$C,$A153, Log!$A:$A, "Daily", Log!$B:$B, "n/a"),0),
        _xlpm.ie_avg, IFERROR(AVERAGEIFS(Log!$G:$G,Log!$C:$C,$A153,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4" spans="2:19" x14ac:dyDescent="0.3">
      <c r="B154" s="68" t="str">
        <f>IFERROR(
    _xlfn.LET(
        _xlpm.is_data_present, $A154&lt;&gt;0,
        _xlpm.is_camera_present, COUNTIFS(Log!$C:$C, $A154, Log!$D:$D, B$4, Log!$A:$A, "Daily", Log!$B:$B, "n/a"),
        _xlpm.we_camera_on_date, IFERROR(AVERAGEIFS(Log!$F:$F, Log!$D:$D,B$4, Log!$C:$C, $A154, Log!$A:$A, "Daily", Log!$B:$B, "n/a"), 0),
        _xlpm.ie_camera_on_date, IFERROR(AVERAGEIFS(Log!$G:$G, Log!$D:$D,B$4,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4" s="68" t="str">
        <f>IFERROR(
    _xlfn.LET(
        _xlpm.is_data_present, $A154&lt;&gt;0,
        _xlpm.is_camera_present, COUNTIFS(Log!$C:$C, $A154, Log!$D:$D, C$4, Log!$A:$A, "Daily", Log!$B:$B, "n/a"),
        _xlpm.we_camera_on_date, IFERROR(AVERAGEIFS(Log!$F:$F, Log!$D:$D,C$4, Log!$C:$C, $A154, Log!$A:$A, "Daily", Log!$B:$B, "n/a"), 0),
        _xlpm.ie_camera_on_date, IFERROR(AVERAGEIFS(Log!$G:$G, Log!$D:$D,C$4,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4" s="68" t="str">
        <f>IFERROR(
    _xlfn.LET(
        _xlpm.is_data_present, $A154&lt;&gt;0,
        _xlpm.is_camera_present, COUNTIFS(Log!$C:$C, $A154, Log!$D:$D, D$4, Log!$A:$A, "Daily", Log!$B:$B, "n/a"),
        _xlpm.we_camera_on_date, IFERROR(AVERAGEIFS(Log!$F:$F, Log!$D:$D,D$4, Log!$C:$C, $A154, Log!$A:$A, "Daily", Log!$B:$B, "n/a"), 0),
        _xlpm.ie_camera_on_date, IFERROR(AVERAGEIFS(Log!$G:$G, Log!$D:$D,D$4,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4" s="68" t="str">
        <f>IFERROR(
    _xlfn.LET(
        _xlpm.is_data_present, $A154&lt;&gt;0,
        _xlpm.is_camera_present, COUNTIFS(Log!$C:$C, $A154, Log!$D:$D, E$4, Log!$A:$A, "Daily", Log!$B:$B, "n/a"),
        _xlpm.we_camera_on_date, IFERROR(AVERAGEIFS(Log!$F:$F, Log!$D:$D,E$4, Log!$C:$C, $A154, Log!$A:$A, "Daily", Log!$B:$B, "n/a"), 0),
        _xlpm.ie_camera_on_date, IFERROR(AVERAGEIFS(Log!$G:$G, Log!$D:$D,E$4,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4" s="68" t="str">
        <f>IFERROR(
    _xlfn.LET(
        _xlpm.is_data_present, $A154&lt;&gt;0,
        _xlpm.is_camera_present, COUNTIFS(Log!$C:$C, $A154, Log!$D:$D, F$4, Log!$A:$A, "Daily", Log!$B:$B, "n/a"),
        _xlpm.we_camera_on_date, IFERROR(AVERAGEIFS(Log!$F:$F, Log!$D:$D,F$4, Log!$C:$C, $A154, Log!$A:$A, "Daily", Log!$B:$B, "n/a"), 0),
        _xlpm.ie_camera_on_date, IFERROR(AVERAGEIFS(Log!$G:$G, Log!$D:$D,F$4,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4" s="68" t="str">
        <f>IFERROR(
    _xlfn.LET(
        _xlpm.is_data_present, $A154&lt;&gt;0,
        _xlpm.is_camera_present, COUNTIFS(Log!$C:$C, $A154, Log!$D:$D, G$4, Log!$A:$A, "Daily", Log!$B:$B, "n/a"),
        _xlpm.we_camera_on_date, IFERROR(AVERAGEIFS(Log!$F:$F, Log!$D:$D,G$4, Log!$C:$C, $A154, Log!$A:$A, "Daily", Log!$B:$B, "n/a"), 0),
        _xlpm.ie_camera_on_date, IFERROR(AVERAGEIFS(Log!$G:$G, Log!$D:$D,G$4,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4" s="68" t="str">
        <f>IFERROR(
    _xlfn.LET(
        _xlpm.is_data_present, $A154&lt;&gt;0,
        _xlpm.is_camera_present, COUNTIFS(Log!$C:$C, $A154, Log!$D:$D, H$4, Log!$A:$A, "Daily", Log!$B:$B, "n/a"),
        _xlpm.we_camera_on_date, IFERROR(AVERAGEIFS(Log!$F:$F, Log!$D:$D,H$4, Log!$C:$C, $A154, Log!$A:$A, "Daily", Log!$B:$B, "n/a"), 0),
        _xlpm.ie_camera_on_date, IFERROR(AVERAGEIFS(Log!$G:$G, Log!$D:$D,H$4,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4" s="68" t="str">
        <f>IFERROR(
    _xlfn.LET(
        _xlpm.is_data_present, $A154&lt;&gt;0,
        _xlpm.is_camera_present, COUNTIFS(Log!$C:$C, $A154, Log!$D:$D, I$4, Log!$A:$A, "Daily", Log!$B:$B, "n/a"),
        _xlpm.we_camera_on_date, IFERROR(AVERAGEIFS(Log!$F:$F, Log!$D:$D,I$4, Log!$C:$C, $A154, Log!$A:$A, "Daily", Log!$B:$B, "n/a"), 0),
        _xlpm.ie_camera_on_date, IFERROR(AVERAGEIFS(Log!$G:$G, Log!$D:$D,I$4,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4" s="68" t="str">
        <f>IFERROR(
    _xlfn.LET(
        _xlpm.is_data_present, $A154&lt;&gt;0,
        _xlpm.is_camera_present, COUNTIFS(Log!$C:$C, $A154, Log!$D:$D, J$4, Log!$A:$A, "Daily", Log!$B:$B, "n/a"),
        _xlpm.we_camera_on_date, IFERROR(AVERAGEIFS(Log!$F:$F, Log!$D:$D,J$4, Log!$C:$C, $A154, Log!$A:$A, "Daily", Log!$B:$B, "n/a"), 0),
        _xlpm.ie_camera_on_date, IFERROR(AVERAGEIFS(Log!$G:$G, Log!$D:$D,J$4,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4" s="68" t="str">
        <f>IFERROR(
    _xlfn.LET(
        _xlpm.is_data_present, $A154&lt;&gt;0,
        _xlpm.is_camera_present, COUNTIFS(Log!$C:$C, $A154, Log!$D:$D, K$4, Log!$A:$A, "Daily", Log!$B:$B, "n/a"),
        _xlpm.we_camera_on_date, IFERROR(AVERAGEIFS(Log!$F:$F, Log!$D:$D,K$4, Log!$C:$C, $A154, Log!$A:$A, "Daily", Log!$B:$B, "n/a"), 0),
        _xlpm.ie_camera_on_date, IFERROR(AVERAGEIFS(Log!$G:$G, Log!$D:$D,K$4,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4" s="68" t="str">
        <f>IFERROR(
    _xlfn.LET(
        _xlpm.is_data_present, $A154&lt;&gt;0,
        _xlpm.is_camera_present, COUNTIFS(Log!$C:$C, $A154, Log!$D:$D, L$4, Log!$A:$A, "Daily", Log!$B:$B, "n/a"),
        _xlpm.we_camera_on_date, IFERROR(AVERAGEIFS(Log!$F:$F, Log!$D:$D,L$4, Log!$C:$C, $A154, Log!$A:$A, "Daily", Log!$B:$B, "n/a"), 0),
        _xlpm.ie_camera_on_date, IFERROR(AVERAGEIFS(Log!$G:$G, Log!$D:$D,L$4,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4" s="68" t="str">
        <f>IFERROR(
    _xlfn.LET(
        _xlpm.is_data_present, $A154&lt;&gt;0,
        _xlpm.is_camera_present, COUNTIFS(Log!$C:$C, $A154, Log!$D:$D, M$4, Log!$A:$A, "Daily", Log!$B:$B, "n/a"),
        _xlpm.we_camera_on_date, IFERROR(AVERAGEIFS(Log!$F:$F, Log!$D:$D,M$4, Log!$C:$C, $A154, Log!$A:$A, "Daily", Log!$B:$B, "n/a"), 0),
        _xlpm.ie_camera_on_date, IFERROR(AVERAGEIFS(Log!$G:$G, Log!$D:$D,M$4,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4" s="68" t="str">
        <f>IFERROR(
    _xlfn.LET(
        _xlpm.is_data_present, $A154&lt;&gt;0,
        _xlpm.is_camera_present, COUNTIFS(Log!$C:$C, $A154, Log!$D:$D, N$4, Log!$A:$A, "Daily", Log!$B:$B, "n/a"),
        _xlpm.we_camera_on_date, IFERROR(AVERAGEIFS(Log!$F:$F, Log!$D:$D,N$4, Log!$C:$C, $A154, Log!$A:$A, "Daily", Log!$B:$B, "n/a"), 0),
        _xlpm.ie_camera_on_date, IFERROR(AVERAGEIFS(Log!$G:$G, Log!$D:$D,N$4,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4" s="68" t="str">
        <f>IFERROR(
    _xlfn.LET(
        _xlpm.is_data_present, $A154&lt;&gt;0,
        _xlpm.is_camera_present, COUNTIFS(Log!$C:$C, $A154, Log!$D:$D, O$4, Log!$A:$A, "Daily", Log!$B:$B, "n/a"),
        _xlpm.we_camera_on_date, IFERROR(AVERAGEIFS(Log!$F:$F, Log!$D:$D,O$4, Log!$C:$C, $A154, Log!$A:$A, "Daily", Log!$B:$B, "n/a"), 0),
        _xlpm.ie_camera_on_date, IFERROR(AVERAGEIFS(Log!$G:$G, Log!$D:$D,O$4,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4" s="68" t="str">
        <f>IFERROR(
    _xlfn.LET(
        _xlpm.is_data_present, $A154&lt;&gt;0,
        _xlpm.is_camera_present, COUNTIFS(Log!$C:$C, $A154, Log!$D:$D, P$4, Log!$A:$A, "Daily", Log!$B:$B, "n/a"),
        _xlpm.we_camera_on_date, IFERROR(AVERAGEIFS(Log!$F:$F, Log!$D:$D,P$4, Log!$C:$C, $A154, Log!$A:$A, "Daily", Log!$B:$B, "n/a"), 0),
        _xlpm.ie_camera_on_date, IFERROR(AVERAGEIFS(Log!$G:$G, Log!$D:$D,P$4,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4" s="68" t="str">
        <f>IFERROR(
    _xlfn.LET(
        _xlpm.is_data_present, $A154&lt;&gt;0,
        _xlpm.is_camera_present, COUNTIFS(Log!$C:$C, $A154, Log!$D:$D, Q$4, Log!$A:$A, "Daily", Log!$B:$B, "n/a"),
        _xlpm.we_camera_on_date, IFERROR(AVERAGEIFS(Log!$F:$F, Log!$D:$D,Q$4, Log!$C:$C, $A154, Log!$A:$A, "Daily", Log!$B:$B, "n/a"), 0),
        _xlpm.ie_camera_on_date, IFERROR(AVERAGEIFS(Log!$G:$G, Log!$D:$D,Q$4,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4" s="68" t="str">
        <f>IFERROR(
    _xlfn.LET(
        _xlpm.is_data_present, $A154&lt;&gt;0,
        _xlpm.is_camera_present, COUNTIFS(Log!$C:$C, $A154, Log!$D:$D, R$4, Log!$A:$A, "Daily", Log!$B:$B, "n/a"),
        _xlpm.we_camera_on_date, IFERROR(AVERAGEIFS(Log!$F:$F, Log!$D:$D,R$4, Log!$C:$C, $A154, Log!$A:$A, "Daily", Log!$B:$B, "n/a"), 0),
        _xlpm.ie_camera_on_date, IFERROR(AVERAGEIFS(Log!$G:$G, Log!$D:$D,R$4,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4" s="68" t="str">
        <f>IFERROR(
    _xlfn.LET(
        _xlpm.is_data_present, $A154&lt;&gt;0,
        _xlpm.is_camera_present, COUNTIFS(Log!$C:$C, $A154, Log!$D:$D, S$4, Log!$A:$A, "Daily", Log!$B:$B, "n/a"),
        _xlpm.we_camera_on_date, IFERROR(AVERAGEIFS(Log!$F:$F, Log!$D:$D,S$4, Log!$C:$C, $A154, Log!$A:$A, "Daily", Log!$B:$B, "n/a"), 0),
        _xlpm.ie_camera_on_date, IFERROR(AVERAGEIFS(Log!$G:$G, Log!$D:$D,S$4, Log!$C:$C, $A154, Log!$A:$A, "Daily", Log!$B:$B, "n/a"), 0),
        _xlpm.we_avg, IFERROR(AVERAGEIFS(Log!$F:$F,Log!$C:$C,$A154, Log!$A:$A, "Daily", Log!$B:$B, "n/a"),0),
        _xlpm.ie_avg, IFERROR(AVERAGEIFS(Log!$G:$G,Log!$C:$C,$A154,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5" spans="2:19" x14ac:dyDescent="0.3">
      <c r="B155" s="68" t="str">
        <f>IFERROR(
    _xlfn.LET(
        _xlpm.is_data_present, $A155&lt;&gt;0,
        _xlpm.is_camera_present, COUNTIFS(Log!$C:$C, $A155, Log!$D:$D, B$4, Log!$A:$A, "Daily", Log!$B:$B, "n/a"),
        _xlpm.we_camera_on_date, IFERROR(AVERAGEIFS(Log!$F:$F, Log!$D:$D,B$4, Log!$C:$C, $A155, Log!$A:$A, "Daily", Log!$B:$B, "n/a"), 0),
        _xlpm.ie_camera_on_date, IFERROR(AVERAGEIFS(Log!$G:$G, Log!$D:$D,B$4,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5" s="68" t="str">
        <f>IFERROR(
    _xlfn.LET(
        _xlpm.is_data_present, $A155&lt;&gt;0,
        _xlpm.is_camera_present, COUNTIFS(Log!$C:$C, $A155, Log!$D:$D, C$4, Log!$A:$A, "Daily", Log!$B:$B, "n/a"),
        _xlpm.we_camera_on_date, IFERROR(AVERAGEIFS(Log!$F:$F, Log!$D:$D,C$4, Log!$C:$C, $A155, Log!$A:$A, "Daily", Log!$B:$B, "n/a"), 0),
        _xlpm.ie_camera_on_date, IFERROR(AVERAGEIFS(Log!$G:$G, Log!$D:$D,C$4,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5" s="68" t="str">
        <f>IFERROR(
    _xlfn.LET(
        _xlpm.is_data_present, $A155&lt;&gt;0,
        _xlpm.is_camera_present, COUNTIFS(Log!$C:$C, $A155, Log!$D:$D, D$4, Log!$A:$A, "Daily", Log!$B:$B, "n/a"),
        _xlpm.we_camera_on_date, IFERROR(AVERAGEIFS(Log!$F:$F, Log!$D:$D,D$4, Log!$C:$C, $A155, Log!$A:$A, "Daily", Log!$B:$B, "n/a"), 0),
        _xlpm.ie_camera_on_date, IFERROR(AVERAGEIFS(Log!$G:$G, Log!$D:$D,D$4,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5" s="68" t="str">
        <f>IFERROR(
    _xlfn.LET(
        _xlpm.is_data_present, $A155&lt;&gt;0,
        _xlpm.is_camera_present, COUNTIFS(Log!$C:$C, $A155, Log!$D:$D, E$4, Log!$A:$A, "Daily", Log!$B:$B, "n/a"),
        _xlpm.we_camera_on_date, IFERROR(AVERAGEIFS(Log!$F:$F, Log!$D:$D,E$4, Log!$C:$C, $A155, Log!$A:$A, "Daily", Log!$B:$B, "n/a"), 0),
        _xlpm.ie_camera_on_date, IFERROR(AVERAGEIFS(Log!$G:$G, Log!$D:$D,E$4,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5" s="68" t="str">
        <f>IFERROR(
    _xlfn.LET(
        _xlpm.is_data_present, $A155&lt;&gt;0,
        _xlpm.is_camera_present, COUNTIFS(Log!$C:$C, $A155, Log!$D:$D, F$4, Log!$A:$A, "Daily", Log!$B:$B, "n/a"),
        _xlpm.we_camera_on_date, IFERROR(AVERAGEIFS(Log!$F:$F, Log!$D:$D,F$4, Log!$C:$C, $A155, Log!$A:$A, "Daily", Log!$B:$B, "n/a"), 0),
        _xlpm.ie_camera_on_date, IFERROR(AVERAGEIFS(Log!$G:$G, Log!$D:$D,F$4,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5" s="68" t="str">
        <f>IFERROR(
    _xlfn.LET(
        _xlpm.is_data_present, $A155&lt;&gt;0,
        _xlpm.is_camera_present, COUNTIFS(Log!$C:$C, $A155, Log!$D:$D, G$4, Log!$A:$A, "Daily", Log!$B:$B, "n/a"),
        _xlpm.we_camera_on_date, IFERROR(AVERAGEIFS(Log!$F:$F, Log!$D:$D,G$4, Log!$C:$C, $A155, Log!$A:$A, "Daily", Log!$B:$B, "n/a"), 0),
        _xlpm.ie_camera_on_date, IFERROR(AVERAGEIFS(Log!$G:$G, Log!$D:$D,G$4,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5" s="68" t="str">
        <f>IFERROR(
    _xlfn.LET(
        _xlpm.is_data_present, $A155&lt;&gt;0,
        _xlpm.is_camera_present, COUNTIFS(Log!$C:$C, $A155, Log!$D:$D, H$4, Log!$A:$A, "Daily", Log!$B:$B, "n/a"),
        _xlpm.we_camera_on_date, IFERROR(AVERAGEIFS(Log!$F:$F, Log!$D:$D,H$4, Log!$C:$C, $A155, Log!$A:$A, "Daily", Log!$B:$B, "n/a"), 0),
        _xlpm.ie_camera_on_date, IFERROR(AVERAGEIFS(Log!$G:$G, Log!$D:$D,H$4,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5" s="68" t="str">
        <f>IFERROR(
    _xlfn.LET(
        _xlpm.is_data_present, $A155&lt;&gt;0,
        _xlpm.is_camera_present, COUNTIFS(Log!$C:$C, $A155, Log!$D:$D, I$4, Log!$A:$A, "Daily", Log!$B:$B, "n/a"),
        _xlpm.we_camera_on_date, IFERROR(AVERAGEIFS(Log!$F:$F, Log!$D:$D,I$4, Log!$C:$C, $A155, Log!$A:$A, "Daily", Log!$B:$B, "n/a"), 0),
        _xlpm.ie_camera_on_date, IFERROR(AVERAGEIFS(Log!$G:$G, Log!$D:$D,I$4,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5" s="68" t="str">
        <f>IFERROR(
    _xlfn.LET(
        _xlpm.is_data_present, $A155&lt;&gt;0,
        _xlpm.is_camera_present, COUNTIFS(Log!$C:$C, $A155, Log!$D:$D, J$4, Log!$A:$A, "Daily", Log!$B:$B, "n/a"),
        _xlpm.we_camera_on_date, IFERROR(AVERAGEIFS(Log!$F:$F, Log!$D:$D,J$4, Log!$C:$C, $A155, Log!$A:$A, "Daily", Log!$B:$B, "n/a"), 0),
        _xlpm.ie_camera_on_date, IFERROR(AVERAGEIFS(Log!$G:$G, Log!$D:$D,J$4,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5" s="68" t="str">
        <f>IFERROR(
    _xlfn.LET(
        _xlpm.is_data_present, $A155&lt;&gt;0,
        _xlpm.is_camera_present, COUNTIFS(Log!$C:$C, $A155, Log!$D:$D, K$4, Log!$A:$A, "Daily", Log!$B:$B, "n/a"),
        _xlpm.we_camera_on_date, IFERROR(AVERAGEIFS(Log!$F:$F, Log!$D:$D,K$4, Log!$C:$C, $A155, Log!$A:$A, "Daily", Log!$B:$B, "n/a"), 0),
        _xlpm.ie_camera_on_date, IFERROR(AVERAGEIFS(Log!$G:$G, Log!$D:$D,K$4,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5" s="68" t="str">
        <f>IFERROR(
    _xlfn.LET(
        _xlpm.is_data_present, $A155&lt;&gt;0,
        _xlpm.is_camera_present, COUNTIFS(Log!$C:$C, $A155, Log!$D:$D, L$4, Log!$A:$A, "Daily", Log!$B:$B, "n/a"),
        _xlpm.we_camera_on_date, IFERROR(AVERAGEIFS(Log!$F:$F, Log!$D:$D,L$4, Log!$C:$C, $A155, Log!$A:$A, "Daily", Log!$B:$B, "n/a"), 0),
        _xlpm.ie_camera_on_date, IFERROR(AVERAGEIFS(Log!$G:$G, Log!$D:$D,L$4,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5" s="68" t="str">
        <f>IFERROR(
    _xlfn.LET(
        _xlpm.is_data_present, $A155&lt;&gt;0,
        _xlpm.is_camera_present, COUNTIFS(Log!$C:$C, $A155, Log!$D:$D, M$4, Log!$A:$A, "Daily", Log!$B:$B, "n/a"),
        _xlpm.we_camera_on_date, IFERROR(AVERAGEIFS(Log!$F:$F, Log!$D:$D,M$4, Log!$C:$C, $A155, Log!$A:$A, "Daily", Log!$B:$B, "n/a"), 0),
        _xlpm.ie_camera_on_date, IFERROR(AVERAGEIFS(Log!$G:$G, Log!$D:$D,M$4,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5" s="68" t="str">
        <f>IFERROR(
    _xlfn.LET(
        _xlpm.is_data_present, $A155&lt;&gt;0,
        _xlpm.is_camera_present, COUNTIFS(Log!$C:$C, $A155, Log!$D:$D, N$4, Log!$A:$A, "Daily", Log!$B:$B, "n/a"),
        _xlpm.we_camera_on_date, IFERROR(AVERAGEIFS(Log!$F:$F, Log!$D:$D,N$4, Log!$C:$C, $A155, Log!$A:$A, "Daily", Log!$B:$B, "n/a"), 0),
        _xlpm.ie_camera_on_date, IFERROR(AVERAGEIFS(Log!$G:$G, Log!$D:$D,N$4,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5" s="68" t="str">
        <f>IFERROR(
    _xlfn.LET(
        _xlpm.is_data_present, $A155&lt;&gt;0,
        _xlpm.is_camera_present, COUNTIFS(Log!$C:$C, $A155, Log!$D:$D, O$4, Log!$A:$A, "Daily", Log!$B:$B, "n/a"),
        _xlpm.we_camera_on_date, IFERROR(AVERAGEIFS(Log!$F:$F, Log!$D:$D,O$4, Log!$C:$C, $A155, Log!$A:$A, "Daily", Log!$B:$B, "n/a"), 0),
        _xlpm.ie_camera_on_date, IFERROR(AVERAGEIFS(Log!$G:$G, Log!$D:$D,O$4,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5" s="68" t="str">
        <f>IFERROR(
    _xlfn.LET(
        _xlpm.is_data_present, $A155&lt;&gt;0,
        _xlpm.is_camera_present, COUNTIFS(Log!$C:$C, $A155, Log!$D:$D, P$4, Log!$A:$A, "Daily", Log!$B:$B, "n/a"),
        _xlpm.we_camera_on_date, IFERROR(AVERAGEIFS(Log!$F:$F, Log!$D:$D,P$4, Log!$C:$C, $A155, Log!$A:$A, "Daily", Log!$B:$B, "n/a"), 0),
        _xlpm.ie_camera_on_date, IFERROR(AVERAGEIFS(Log!$G:$G, Log!$D:$D,P$4,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5" s="68" t="str">
        <f>IFERROR(
    _xlfn.LET(
        _xlpm.is_data_present, $A155&lt;&gt;0,
        _xlpm.is_camera_present, COUNTIFS(Log!$C:$C, $A155, Log!$D:$D, Q$4, Log!$A:$A, "Daily", Log!$B:$B, "n/a"),
        _xlpm.we_camera_on_date, IFERROR(AVERAGEIFS(Log!$F:$F, Log!$D:$D,Q$4, Log!$C:$C, $A155, Log!$A:$A, "Daily", Log!$B:$B, "n/a"), 0),
        _xlpm.ie_camera_on_date, IFERROR(AVERAGEIFS(Log!$G:$G, Log!$D:$D,Q$4,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5" s="68" t="str">
        <f>IFERROR(
    _xlfn.LET(
        _xlpm.is_data_present, $A155&lt;&gt;0,
        _xlpm.is_camera_present, COUNTIFS(Log!$C:$C, $A155, Log!$D:$D, R$4, Log!$A:$A, "Daily", Log!$B:$B, "n/a"),
        _xlpm.we_camera_on_date, IFERROR(AVERAGEIFS(Log!$F:$F, Log!$D:$D,R$4, Log!$C:$C, $A155, Log!$A:$A, "Daily", Log!$B:$B, "n/a"), 0),
        _xlpm.ie_camera_on_date, IFERROR(AVERAGEIFS(Log!$G:$G, Log!$D:$D,R$4,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5" s="68" t="str">
        <f>IFERROR(
    _xlfn.LET(
        _xlpm.is_data_present, $A155&lt;&gt;0,
        _xlpm.is_camera_present, COUNTIFS(Log!$C:$C, $A155, Log!$D:$D, S$4, Log!$A:$A, "Daily", Log!$B:$B, "n/a"),
        _xlpm.we_camera_on_date, IFERROR(AVERAGEIFS(Log!$F:$F, Log!$D:$D,S$4, Log!$C:$C, $A155, Log!$A:$A, "Daily", Log!$B:$B, "n/a"), 0),
        _xlpm.ie_camera_on_date, IFERROR(AVERAGEIFS(Log!$G:$G, Log!$D:$D,S$4, Log!$C:$C, $A155, Log!$A:$A, "Daily", Log!$B:$B, "n/a"), 0),
        _xlpm.we_avg, IFERROR(AVERAGEIFS(Log!$F:$F,Log!$C:$C,$A155, Log!$A:$A, "Daily", Log!$B:$B, "n/a"),0),
        _xlpm.ie_avg, IFERROR(AVERAGEIFS(Log!$G:$G,Log!$C:$C,$A155,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6" spans="2:19" x14ac:dyDescent="0.3">
      <c r="B156" s="68" t="str">
        <f>IFERROR(
    _xlfn.LET(
        _xlpm.is_data_present, $A156&lt;&gt;0,
        _xlpm.is_camera_present, COUNTIFS(Log!$C:$C, $A156, Log!$D:$D, B$4, Log!$A:$A, "Daily", Log!$B:$B, "n/a"),
        _xlpm.we_camera_on_date, IFERROR(AVERAGEIFS(Log!$F:$F, Log!$D:$D,B$4, Log!$C:$C, $A156, Log!$A:$A, "Daily", Log!$B:$B, "n/a"), 0),
        _xlpm.ie_camera_on_date, IFERROR(AVERAGEIFS(Log!$G:$G, Log!$D:$D,B$4,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6" s="68" t="str">
        <f>IFERROR(
    _xlfn.LET(
        _xlpm.is_data_present, $A156&lt;&gt;0,
        _xlpm.is_camera_present, COUNTIFS(Log!$C:$C, $A156, Log!$D:$D, C$4, Log!$A:$A, "Daily", Log!$B:$B, "n/a"),
        _xlpm.we_camera_on_date, IFERROR(AVERAGEIFS(Log!$F:$F, Log!$D:$D,C$4, Log!$C:$C, $A156, Log!$A:$A, "Daily", Log!$B:$B, "n/a"), 0),
        _xlpm.ie_camera_on_date, IFERROR(AVERAGEIFS(Log!$G:$G, Log!$D:$D,C$4,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6" s="68" t="str">
        <f>IFERROR(
    _xlfn.LET(
        _xlpm.is_data_present, $A156&lt;&gt;0,
        _xlpm.is_camera_present, COUNTIFS(Log!$C:$C, $A156, Log!$D:$D, D$4, Log!$A:$A, "Daily", Log!$B:$B, "n/a"),
        _xlpm.we_camera_on_date, IFERROR(AVERAGEIFS(Log!$F:$F, Log!$D:$D,D$4, Log!$C:$C, $A156, Log!$A:$A, "Daily", Log!$B:$B, "n/a"), 0),
        _xlpm.ie_camera_on_date, IFERROR(AVERAGEIFS(Log!$G:$G, Log!$D:$D,D$4,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6" s="68" t="str">
        <f>IFERROR(
    _xlfn.LET(
        _xlpm.is_data_present, $A156&lt;&gt;0,
        _xlpm.is_camera_present, COUNTIFS(Log!$C:$C, $A156, Log!$D:$D, E$4, Log!$A:$A, "Daily", Log!$B:$B, "n/a"),
        _xlpm.we_camera_on_date, IFERROR(AVERAGEIFS(Log!$F:$F, Log!$D:$D,E$4, Log!$C:$C, $A156, Log!$A:$A, "Daily", Log!$B:$B, "n/a"), 0),
        _xlpm.ie_camera_on_date, IFERROR(AVERAGEIFS(Log!$G:$G, Log!$D:$D,E$4,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6" s="68" t="str">
        <f>IFERROR(
    _xlfn.LET(
        _xlpm.is_data_present, $A156&lt;&gt;0,
        _xlpm.is_camera_present, COUNTIFS(Log!$C:$C, $A156, Log!$D:$D, F$4, Log!$A:$A, "Daily", Log!$B:$B, "n/a"),
        _xlpm.we_camera_on_date, IFERROR(AVERAGEIFS(Log!$F:$F, Log!$D:$D,F$4, Log!$C:$C, $A156, Log!$A:$A, "Daily", Log!$B:$B, "n/a"), 0),
        _xlpm.ie_camera_on_date, IFERROR(AVERAGEIFS(Log!$G:$G, Log!$D:$D,F$4,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6" s="68" t="str">
        <f>IFERROR(
    _xlfn.LET(
        _xlpm.is_data_present, $A156&lt;&gt;0,
        _xlpm.is_camera_present, COUNTIFS(Log!$C:$C, $A156, Log!$D:$D, G$4, Log!$A:$A, "Daily", Log!$B:$B, "n/a"),
        _xlpm.we_camera_on_date, IFERROR(AVERAGEIFS(Log!$F:$F, Log!$D:$D,G$4, Log!$C:$C, $A156, Log!$A:$A, "Daily", Log!$B:$B, "n/a"), 0),
        _xlpm.ie_camera_on_date, IFERROR(AVERAGEIFS(Log!$G:$G, Log!$D:$D,G$4,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6" s="68" t="str">
        <f>IFERROR(
    _xlfn.LET(
        _xlpm.is_data_present, $A156&lt;&gt;0,
        _xlpm.is_camera_present, COUNTIFS(Log!$C:$C, $A156, Log!$D:$D, H$4, Log!$A:$A, "Daily", Log!$B:$B, "n/a"),
        _xlpm.we_camera_on_date, IFERROR(AVERAGEIFS(Log!$F:$F, Log!$D:$D,H$4, Log!$C:$C, $A156, Log!$A:$A, "Daily", Log!$B:$B, "n/a"), 0),
        _xlpm.ie_camera_on_date, IFERROR(AVERAGEIFS(Log!$G:$G, Log!$D:$D,H$4,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6" s="68" t="str">
        <f>IFERROR(
    _xlfn.LET(
        _xlpm.is_data_present, $A156&lt;&gt;0,
        _xlpm.is_camera_present, COUNTIFS(Log!$C:$C, $A156, Log!$D:$D, I$4, Log!$A:$A, "Daily", Log!$B:$B, "n/a"),
        _xlpm.we_camera_on_date, IFERROR(AVERAGEIFS(Log!$F:$F, Log!$D:$D,I$4, Log!$C:$C, $A156, Log!$A:$A, "Daily", Log!$B:$B, "n/a"), 0),
        _xlpm.ie_camera_on_date, IFERROR(AVERAGEIFS(Log!$G:$G, Log!$D:$D,I$4,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6" s="68" t="str">
        <f>IFERROR(
    _xlfn.LET(
        _xlpm.is_data_present, $A156&lt;&gt;0,
        _xlpm.is_camera_present, COUNTIFS(Log!$C:$C, $A156, Log!$D:$D, J$4, Log!$A:$A, "Daily", Log!$B:$B, "n/a"),
        _xlpm.we_camera_on_date, IFERROR(AVERAGEIFS(Log!$F:$F, Log!$D:$D,J$4, Log!$C:$C, $A156, Log!$A:$A, "Daily", Log!$B:$B, "n/a"), 0),
        _xlpm.ie_camera_on_date, IFERROR(AVERAGEIFS(Log!$G:$G, Log!$D:$D,J$4,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6" s="68" t="str">
        <f>IFERROR(
    _xlfn.LET(
        _xlpm.is_data_present, $A156&lt;&gt;0,
        _xlpm.is_camera_present, COUNTIFS(Log!$C:$C, $A156, Log!$D:$D, K$4, Log!$A:$A, "Daily", Log!$B:$B, "n/a"),
        _xlpm.we_camera_on_date, IFERROR(AVERAGEIFS(Log!$F:$F, Log!$D:$D,K$4, Log!$C:$C, $A156, Log!$A:$A, "Daily", Log!$B:$B, "n/a"), 0),
        _xlpm.ie_camera_on_date, IFERROR(AVERAGEIFS(Log!$G:$G, Log!$D:$D,K$4,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6" s="68" t="str">
        <f>IFERROR(
    _xlfn.LET(
        _xlpm.is_data_present, $A156&lt;&gt;0,
        _xlpm.is_camera_present, COUNTIFS(Log!$C:$C, $A156, Log!$D:$D, L$4, Log!$A:$A, "Daily", Log!$B:$B, "n/a"),
        _xlpm.we_camera_on_date, IFERROR(AVERAGEIFS(Log!$F:$F, Log!$D:$D,L$4, Log!$C:$C, $A156, Log!$A:$A, "Daily", Log!$B:$B, "n/a"), 0),
        _xlpm.ie_camera_on_date, IFERROR(AVERAGEIFS(Log!$G:$G, Log!$D:$D,L$4,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6" s="68" t="str">
        <f>IFERROR(
    _xlfn.LET(
        _xlpm.is_data_present, $A156&lt;&gt;0,
        _xlpm.is_camera_present, COUNTIFS(Log!$C:$C, $A156, Log!$D:$D, M$4, Log!$A:$A, "Daily", Log!$B:$B, "n/a"),
        _xlpm.we_camera_on_date, IFERROR(AVERAGEIFS(Log!$F:$F, Log!$D:$D,M$4, Log!$C:$C, $A156, Log!$A:$A, "Daily", Log!$B:$B, "n/a"), 0),
        _xlpm.ie_camera_on_date, IFERROR(AVERAGEIFS(Log!$G:$G, Log!$D:$D,M$4,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6" s="68" t="str">
        <f>IFERROR(
    _xlfn.LET(
        _xlpm.is_data_present, $A156&lt;&gt;0,
        _xlpm.is_camera_present, COUNTIFS(Log!$C:$C, $A156, Log!$D:$D, N$4, Log!$A:$A, "Daily", Log!$B:$B, "n/a"),
        _xlpm.we_camera_on_date, IFERROR(AVERAGEIFS(Log!$F:$F, Log!$D:$D,N$4, Log!$C:$C, $A156, Log!$A:$A, "Daily", Log!$B:$B, "n/a"), 0),
        _xlpm.ie_camera_on_date, IFERROR(AVERAGEIFS(Log!$G:$G, Log!$D:$D,N$4,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6" s="68" t="str">
        <f>IFERROR(
    _xlfn.LET(
        _xlpm.is_data_present, $A156&lt;&gt;0,
        _xlpm.is_camera_present, COUNTIFS(Log!$C:$C, $A156, Log!$D:$D, O$4, Log!$A:$A, "Daily", Log!$B:$B, "n/a"),
        _xlpm.we_camera_on_date, IFERROR(AVERAGEIFS(Log!$F:$F, Log!$D:$D,O$4, Log!$C:$C, $A156, Log!$A:$A, "Daily", Log!$B:$B, "n/a"), 0),
        _xlpm.ie_camera_on_date, IFERROR(AVERAGEIFS(Log!$G:$G, Log!$D:$D,O$4,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6" s="68" t="str">
        <f>IFERROR(
    _xlfn.LET(
        _xlpm.is_data_present, $A156&lt;&gt;0,
        _xlpm.is_camera_present, COUNTIFS(Log!$C:$C, $A156, Log!$D:$D, P$4, Log!$A:$A, "Daily", Log!$B:$B, "n/a"),
        _xlpm.we_camera_on_date, IFERROR(AVERAGEIFS(Log!$F:$F, Log!$D:$D,P$4, Log!$C:$C, $A156, Log!$A:$A, "Daily", Log!$B:$B, "n/a"), 0),
        _xlpm.ie_camera_on_date, IFERROR(AVERAGEIFS(Log!$G:$G, Log!$D:$D,P$4,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6" s="68" t="str">
        <f>IFERROR(
    _xlfn.LET(
        _xlpm.is_data_present, $A156&lt;&gt;0,
        _xlpm.is_camera_present, COUNTIFS(Log!$C:$C, $A156, Log!$D:$D, Q$4, Log!$A:$A, "Daily", Log!$B:$B, "n/a"),
        _xlpm.we_camera_on_date, IFERROR(AVERAGEIFS(Log!$F:$F, Log!$D:$D,Q$4, Log!$C:$C, $A156, Log!$A:$A, "Daily", Log!$B:$B, "n/a"), 0),
        _xlpm.ie_camera_on_date, IFERROR(AVERAGEIFS(Log!$G:$G, Log!$D:$D,Q$4,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6" s="68" t="str">
        <f>IFERROR(
    _xlfn.LET(
        _xlpm.is_data_present, $A156&lt;&gt;0,
        _xlpm.is_camera_present, COUNTIFS(Log!$C:$C, $A156, Log!$D:$D, R$4, Log!$A:$A, "Daily", Log!$B:$B, "n/a"),
        _xlpm.we_camera_on_date, IFERROR(AVERAGEIFS(Log!$F:$F, Log!$D:$D,R$4, Log!$C:$C, $A156, Log!$A:$A, "Daily", Log!$B:$B, "n/a"), 0),
        _xlpm.ie_camera_on_date, IFERROR(AVERAGEIFS(Log!$G:$G, Log!$D:$D,R$4,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6" s="68" t="str">
        <f>IFERROR(
    _xlfn.LET(
        _xlpm.is_data_present, $A156&lt;&gt;0,
        _xlpm.is_camera_present, COUNTIFS(Log!$C:$C, $A156, Log!$D:$D, S$4, Log!$A:$A, "Daily", Log!$B:$B, "n/a"),
        _xlpm.we_camera_on_date, IFERROR(AVERAGEIFS(Log!$F:$F, Log!$D:$D,S$4, Log!$C:$C, $A156, Log!$A:$A, "Daily", Log!$B:$B, "n/a"), 0),
        _xlpm.ie_camera_on_date, IFERROR(AVERAGEIFS(Log!$G:$G, Log!$D:$D,S$4, Log!$C:$C, $A156, Log!$A:$A, "Daily", Log!$B:$B, "n/a"), 0),
        _xlpm.we_avg, IFERROR(AVERAGEIFS(Log!$F:$F,Log!$C:$C,$A156, Log!$A:$A, "Daily", Log!$B:$B, "n/a"),0),
        _xlpm.ie_avg, IFERROR(AVERAGEIFS(Log!$G:$G,Log!$C:$C,$A156,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7" spans="2:19" x14ac:dyDescent="0.3">
      <c r="B157" s="68" t="str">
        <f>IFERROR(
    _xlfn.LET(
        _xlpm.is_data_present, $A157&lt;&gt;0,
        _xlpm.is_camera_present, COUNTIFS(Log!$C:$C, $A157, Log!$D:$D, B$4, Log!$A:$A, "Daily", Log!$B:$B, "n/a"),
        _xlpm.we_camera_on_date, IFERROR(AVERAGEIFS(Log!$F:$F, Log!$D:$D,B$4, Log!$C:$C, $A157, Log!$A:$A, "Daily", Log!$B:$B, "n/a"), 0),
        _xlpm.ie_camera_on_date, IFERROR(AVERAGEIFS(Log!$G:$G, Log!$D:$D,B$4,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7" s="68" t="str">
        <f>IFERROR(
    _xlfn.LET(
        _xlpm.is_data_present, $A157&lt;&gt;0,
        _xlpm.is_camera_present, COUNTIFS(Log!$C:$C, $A157, Log!$D:$D, C$4, Log!$A:$A, "Daily", Log!$B:$B, "n/a"),
        _xlpm.we_camera_on_date, IFERROR(AVERAGEIFS(Log!$F:$F, Log!$D:$D,C$4, Log!$C:$C, $A157, Log!$A:$A, "Daily", Log!$B:$B, "n/a"), 0),
        _xlpm.ie_camera_on_date, IFERROR(AVERAGEIFS(Log!$G:$G, Log!$D:$D,C$4,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7" s="68" t="str">
        <f>IFERROR(
    _xlfn.LET(
        _xlpm.is_data_present, $A157&lt;&gt;0,
        _xlpm.is_camera_present, COUNTIFS(Log!$C:$C, $A157, Log!$D:$D, D$4, Log!$A:$A, "Daily", Log!$B:$B, "n/a"),
        _xlpm.we_camera_on_date, IFERROR(AVERAGEIFS(Log!$F:$F, Log!$D:$D,D$4, Log!$C:$C, $A157, Log!$A:$A, "Daily", Log!$B:$B, "n/a"), 0),
        _xlpm.ie_camera_on_date, IFERROR(AVERAGEIFS(Log!$G:$G, Log!$D:$D,D$4,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7" s="68" t="str">
        <f>IFERROR(
    _xlfn.LET(
        _xlpm.is_data_present, $A157&lt;&gt;0,
        _xlpm.is_camera_present, COUNTIFS(Log!$C:$C, $A157, Log!$D:$D, E$4, Log!$A:$A, "Daily", Log!$B:$B, "n/a"),
        _xlpm.we_camera_on_date, IFERROR(AVERAGEIFS(Log!$F:$F, Log!$D:$D,E$4, Log!$C:$C, $A157, Log!$A:$A, "Daily", Log!$B:$B, "n/a"), 0),
        _xlpm.ie_camera_on_date, IFERROR(AVERAGEIFS(Log!$G:$G, Log!$D:$D,E$4,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7" s="68" t="str">
        <f>IFERROR(
    _xlfn.LET(
        _xlpm.is_data_present, $A157&lt;&gt;0,
        _xlpm.is_camera_present, COUNTIFS(Log!$C:$C, $A157, Log!$D:$D, F$4, Log!$A:$A, "Daily", Log!$B:$B, "n/a"),
        _xlpm.we_camera_on_date, IFERROR(AVERAGEIFS(Log!$F:$F, Log!$D:$D,F$4, Log!$C:$C, $A157, Log!$A:$A, "Daily", Log!$B:$B, "n/a"), 0),
        _xlpm.ie_camera_on_date, IFERROR(AVERAGEIFS(Log!$G:$G, Log!$D:$D,F$4,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7" s="68" t="str">
        <f>IFERROR(
    _xlfn.LET(
        _xlpm.is_data_present, $A157&lt;&gt;0,
        _xlpm.is_camera_present, COUNTIFS(Log!$C:$C, $A157, Log!$D:$D, G$4, Log!$A:$A, "Daily", Log!$B:$B, "n/a"),
        _xlpm.we_camera_on_date, IFERROR(AVERAGEIFS(Log!$F:$F, Log!$D:$D,G$4, Log!$C:$C, $A157, Log!$A:$A, "Daily", Log!$B:$B, "n/a"), 0),
        _xlpm.ie_camera_on_date, IFERROR(AVERAGEIFS(Log!$G:$G, Log!$D:$D,G$4,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7" s="68" t="str">
        <f>IFERROR(
    _xlfn.LET(
        _xlpm.is_data_present, $A157&lt;&gt;0,
        _xlpm.is_camera_present, COUNTIFS(Log!$C:$C, $A157, Log!$D:$D, H$4, Log!$A:$A, "Daily", Log!$B:$B, "n/a"),
        _xlpm.we_camera_on_date, IFERROR(AVERAGEIFS(Log!$F:$F, Log!$D:$D,H$4, Log!$C:$C, $A157, Log!$A:$A, "Daily", Log!$B:$B, "n/a"), 0),
        _xlpm.ie_camera_on_date, IFERROR(AVERAGEIFS(Log!$G:$G, Log!$D:$D,H$4,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7" s="68" t="str">
        <f>IFERROR(
    _xlfn.LET(
        _xlpm.is_data_present, $A157&lt;&gt;0,
        _xlpm.is_camera_present, COUNTIFS(Log!$C:$C, $A157, Log!$D:$D, I$4, Log!$A:$A, "Daily", Log!$B:$B, "n/a"),
        _xlpm.we_camera_on_date, IFERROR(AVERAGEIFS(Log!$F:$F, Log!$D:$D,I$4, Log!$C:$C, $A157, Log!$A:$A, "Daily", Log!$B:$B, "n/a"), 0),
        _xlpm.ie_camera_on_date, IFERROR(AVERAGEIFS(Log!$G:$G, Log!$D:$D,I$4,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7" s="68" t="str">
        <f>IFERROR(
    _xlfn.LET(
        _xlpm.is_data_present, $A157&lt;&gt;0,
        _xlpm.is_camera_present, COUNTIFS(Log!$C:$C, $A157, Log!$D:$D, J$4, Log!$A:$A, "Daily", Log!$B:$B, "n/a"),
        _xlpm.we_camera_on_date, IFERROR(AVERAGEIFS(Log!$F:$F, Log!$D:$D,J$4, Log!$C:$C, $A157, Log!$A:$A, "Daily", Log!$B:$B, "n/a"), 0),
        _xlpm.ie_camera_on_date, IFERROR(AVERAGEIFS(Log!$G:$G, Log!$D:$D,J$4,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7" s="68" t="str">
        <f>IFERROR(
    _xlfn.LET(
        _xlpm.is_data_present, $A157&lt;&gt;0,
        _xlpm.is_camera_present, COUNTIFS(Log!$C:$C, $A157, Log!$D:$D, K$4, Log!$A:$A, "Daily", Log!$B:$B, "n/a"),
        _xlpm.we_camera_on_date, IFERROR(AVERAGEIFS(Log!$F:$F, Log!$D:$D,K$4, Log!$C:$C, $A157, Log!$A:$A, "Daily", Log!$B:$B, "n/a"), 0),
        _xlpm.ie_camera_on_date, IFERROR(AVERAGEIFS(Log!$G:$G, Log!$D:$D,K$4,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7" s="68" t="str">
        <f>IFERROR(
    _xlfn.LET(
        _xlpm.is_data_present, $A157&lt;&gt;0,
        _xlpm.is_camera_present, COUNTIFS(Log!$C:$C, $A157, Log!$D:$D, L$4, Log!$A:$A, "Daily", Log!$B:$B, "n/a"),
        _xlpm.we_camera_on_date, IFERROR(AVERAGEIFS(Log!$F:$F, Log!$D:$D,L$4, Log!$C:$C, $A157, Log!$A:$A, "Daily", Log!$B:$B, "n/a"), 0),
        _xlpm.ie_camera_on_date, IFERROR(AVERAGEIFS(Log!$G:$G, Log!$D:$D,L$4,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7" s="68" t="str">
        <f>IFERROR(
    _xlfn.LET(
        _xlpm.is_data_present, $A157&lt;&gt;0,
        _xlpm.is_camera_present, COUNTIFS(Log!$C:$C, $A157, Log!$D:$D, M$4, Log!$A:$A, "Daily", Log!$B:$B, "n/a"),
        _xlpm.we_camera_on_date, IFERROR(AVERAGEIFS(Log!$F:$F, Log!$D:$D,M$4, Log!$C:$C, $A157, Log!$A:$A, "Daily", Log!$B:$B, "n/a"), 0),
        _xlpm.ie_camera_on_date, IFERROR(AVERAGEIFS(Log!$G:$G, Log!$D:$D,M$4,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7" s="68" t="str">
        <f>IFERROR(
    _xlfn.LET(
        _xlpm.is_data_present, $A157&lt;&gt;0,
        _xlpm.is_camera_present, COUNTIFS(Log!$C:$C, $A157, Log!$D:$D, N$4, Log!$A:$A, "Daily", Log!$B:$B, "n/a"),
        _xlpm.we_camera_on_date, IFERROR(AVERAGEIFS(Log!$F:$F, Log!$D:$D,N$4, Log!$C:$C, $A157, Log!$A:$A, "Daily", Log!$B:$B, "n/a"), 0),
        _xlpm.ie_camera_on_date, IFERROR(AVERAGEIFS(Log!$G:$G, Log!$D:$D,N$4,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7" s="68" t="str">
        <f>IFERROR(
    _xlfn.LET(
        _xlpm.is_data_present, $A157&lt;&gt;0,
        _xlpm.is_camera_present, COUNTIFS(Log!$C:$C, $A157, Log!$D:$D, O$4, Log!$A:$A, "Daily", Log!$B:$B, "n/a"),
        _xlpm.we_camera_on_date, IFERROR(AVERAGEIFS(Log!$F:$F, Log!$D:$D,O$4, Log!$C:$C, $A157, Log!$A:$A, "Daily", Log!$B:$B, "n/a"), 0),
        _xlpm.ie_camera_on_date, IFERROR(AVERAGEIFS(Log!$G:$G, Log!$D:$D,O$4,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7" s="68" t="str">
        <f>IFERROR(
    _xlfn.LET(
        _xlpm.is_data_present, $A157&lt;&gt;0,
        _xlpm.is_camera_present, COUNTIFS(Log!$C:$C, $A157, Log!$D:$D, P$4, Log!$A:$A, "Daily", Log!$B:$B, "n/a"),
        _xlpm.we_camera_on_date, IFERROR(AVERAGEIFS(Log!$F:$F, Log!$D:$D,P$4, Log!$C:$C, $A157, Log!$A:$A, "Daily", Log!$B:$B, "n/a"), 0),
        _xlpm.ie_camera_on_date, IFERROR(AVERAGEIFS(Log!$G:$G, Log!$D:$D,P$4,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7" s="68" t="str">
        <f>IFERROR(
    _xlfn.LET(
        _xlpm.is_data_present, $A157&lt;&gt;0,
        _xlpm.is_camera_present, COUNTIFS(Log!$C:$C, $A157, Log!$D:$D, Q$4, Log!$A:$A, "Daily", Log!$B:$B, "n/a"),
        _xlpm.we_camera_on_date, IFERROR(AVERAGEIFS(Log!$F:$F, Log!$D:$D,Q$4, Log!$C:$C, $A157, Log!$A:$A, "Daily", Log!$B:$B, "n/a"), 0),
        _xlpm.ie_camera_on_date, IFERROR(AVERAGEIFS(Log!$G:$G, Log!$D:$D,Q$4,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7" s="68" t="str">
        <f>IFERROR(
    _xlfn.LET(
        _xlpm.is_data_present, $A157&lt;&gt;0,
        _xlpm.is_camera_present, COUNTIFS(Log!$C:$C, $A157, Log!$D:$D, R$4, Log!$A:$A, "Daily", Log!$B:$B, "n/a"),
        _xlpm.we_camera_on_date, IFERROR(AVERAGEIFS(Log!$F:$F, Log!$D:$D,R$4, Log!$C:$C, $A157, Log!$A:$A, "Daily", Log!$B:$B, "n/a"), 0),
        _xlpm.ie_camera_on_date, IFERROR(AVERAGEIFS(Log!$G:$G, Log!$D:$D,R$4,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7" s="68" t="str">
        <f>IFERROR(
    _xlfn.LET(
        _xlpm.is_data_present, $A157&lt;&gt;0,
        _xlpm.is_camera_present, COUNTIFS(Log!$C:$C, $A157, Log!$D:$D, S$4, Log!$A:$A, "Daily", Log!$B:$B, "n/a"),
        _xlpm.we_camera_on_date, IFERROR(AVERAGEIFS(Log!$F:$F, Log!$D:$D,S$4, Log!$C:$C, $A157, Log!$A:$A, "Daily", Log!$B:$B, "n/a"), 0),
        _xlpm.ie_camera_on_date, IFERROR(AVERAGEIFS(Log!$G:$G, Log!$D:$D,S$4, Log!$C:$C, $A157, Log!$A:$A, "Daily", Log!$B:$B, "n/a"), 0),
        _xlpm.we_avg, IFERROR(AVERAGEIFS(Log!$F:$F,Log!$C:$C,$A157, Log!$A:$A, "Daily", Log!$B:$B, "n/a"),0),
        _xlpm.ie_avg, IFERROR(AVERAGEIFS(Log!$G:$G,Log!$C:$C,$A157,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8" spans="2:19" x14ac:dyDescent="0.3">
      <c r="B158" s="68" t="str">
        <f>IFERROR(
    _xlfn.LET(
        _xlpm.is_data_present, $A158&lt;&gt;0,
        _xlpm.is_camera_present, COUNTIFS(Log!$C:$C, $A158, Log!$D:$D, B$4, Log!$A:$A, "Daily", Log!$B:$B, "n/a"),
        _xlpm.we_camera_on_date, IFERROR(AVERAGEIFS(Log!$F:$F, Log!$D:$D,B$4, Log!$C:$C, $A158, Log!$A:$A, "Daily", Log!$B:$B, "n/a"), 0),
        _xlpm.ie_camera_on_date, IFERROR(AVERAGEIFS(Log!$G:$G, Log!$D:$D,B$4,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8" s="68" t="str">
        <f>IFERROR(
    _xlfn.LET(
        _xlpm.is_data_present, $A158&lt;&gt;0,
        _xlpm.is_camera_present, COUNTIFS(Log!$C:$C, $A158, Log!$D:$D, C$4, Log!$A:$A, "Daily", Log!$B:$B, "n/a"),
        _xlpm.we_camera_on_date, IFERROR(AVERAGEIFS(Log!$F:$F, Log!$D:$D,C$4, Log!$C:$C, $A158, Log!$A:$A, "Daily", Log!$B:$B, "n/a"), 0),
        _xlpm.ie_camera_on_date, IFERROR(AVERAGEIFS(Log!$G:$G, Log!$D:$D,C$4,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8" s="68" t="str">
        <f>IFERROR(
    _xlfn.LET(
        _xlpm.is_data_present, $A158&lt;&gt;0,
        _xlpm.is_camera_present, COUNTIFS(Log!$C:$C, $A158, Log!$D:$D, D$4, Log!$A:$A, "Daily", Log!$B:$B, "n/a"),
        _xlpm.we_camera_on_date, IFERROR(AVERAGEIFS(Log!$F:$F, Log!$D:$D,D$4, Log!$C:$C, $A158, Log!$A:$A, "Daily", Log!$B:$B, "n/a"), 0),
        _xlpm.ie_camera_on_date, IFERROR(AVERAGEIFS(Log!$G:$G, Log!$D:$D,D$4,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8" s="68" t="str">
        <f>IFERROR(
    _xlfn.LET(
        _xlpm.is_data_present, $A158&lt;&gt;0,
        _xlpm.is_camera_present, COUNTIFS(Log!$C:$C, $A158, Log!$D:$D, E$4, Log!$A:$A, "Daily", Log!$B:$B, "n/a"),
        _xlpm.we_camera_on_date, IFERROR(AVERAGEIFS(Log!$F:$F, Log!$D:$D,E$4, Log!$C:$C, $A158, Log!$A:$A, "Daily", Log!$B:$B, "n/a"), 0),
        _xlpm.ie_camera_on_date, IFERROR(AVERAGEIFS(Log!$G:$G, Log!$D:$D,E$4,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8" s="68" t="str">
        <f>IFERROR(
    _xlfn.LET(
        _xlpm.is_data_present, $A158&lt;&gt;0,
        _xlpm.is_camera_present, COUNTIFS(Log!$C:$C, $A158, Log!$D:$D, F$4, Log!$A:$A, "Daily", Log!$B:$B, "n/a"),
        _xlpm.we_camera_on_date, IFERROR(AVERAGEIFS(Log!$F:$F, Log!$D:$D,F$4, Log!$C:$C, $A158, Log!$A:$A, "Daily", Log!$B:$B, "n/a"), 0),
        _xlpm.ie_camera_on_date, IFERROR(AVERAGEIFS(Log!$G:$G, Log!$D:$D,F$4,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8" s="68" t="str">
        <f>IFERROR(
    _xlfn.LET(
        _xlpm.is_data_present, $A158&lt;&gt;0,
        _xlpm.is_camera_present, COUNTIFS(Log!$C:$C, $A158, Log!$D:$D, G$4, Log!$A:$A, "Daily", Log!$B:$B, "n/a"),
        _xlpm.we_camera_on_date, IFERROR(AVERAGEIFS(Log!$F:$F, Log!$D:$D,G$4, Log!$C:$C, $A158, Log!$A:$A, "Daily", Log!$B:$B, "n/a"), 0),
        _xlpm.ie_camera_on_date, IFERROR(AVERAGEIFS(Log!$G:$G, Log!$D:$D,G$4,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8" s="68" t="str">
        <f>IFERROR(
    _xlfn.LET(
        _xlpm.is_data_present, $A158&lt;&gt;0,
        _xlpm.is_camera_present, COUNTIFS(Log!$C:$C, $A158, Log!$D:$D, H$4, Log!$A:$A, "Daily", Log!$B:$B, "n/a"),
        _xlpm.we_camera_on_date, IFERROR(AVERAGEIFS(Log!$F:$F, Log!$D:$D,H$4, Log!$C:$C, $A158, Log!$A:$A, "Daily", Log!$B:$B, "n/a"), 0),
        _xlpm.ie_camera_on_date, IFERROR(AVERAGEIFS(Log!$G:$G, Log!$D:$D,H$4,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8" s="68" t="str">
        <f>IFERROR(
    _xlfn.LET(
        _xlpm.is_data_present, $A158&lt;&gt;0,
        _xlpm.is_camera_present, COUNTIFS(Log!$C:$C, $A158, Log!$D:$D, I$4, Log!$A:$A, "Daily", Log!$B:$B, "n/a"),
        _xlpm.we_camera_on_date, IFERROR(AVERAGEIFS(Log!$F:$F, Log!$D:$D,I$4, Log!$C:$C, $A158, Log!$A:$A, "Daily", Log!$B:$B, "n/a"), 0),
        _xlpm.ie_camera_on_date, IFERROR(AVERAGEIFS(Log!$G:$G, Log!$D:$D,I$4,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8" s="68" t="str">
        <f>IFERROR(
    _xlfn.LET(
        _xlpm.is_data_present, $A158&lt;&gt;0,
        _xlpm.is_camera_present, COUNTIFS(Log!$C:$C, $A158, Log!$D:$D, J$4, Log!$A:$A, "Daily", Log!$B:$B, "n/a"),
        _xlpm.we_camera_on_date, IFERROR(AVERAGEIFS(Log!$F:$F, Log!$D:$D,J$4, Log!$C:$C, $A158, Log!$A:$A, "Daily", Log!$B:$B, "n/a"), 0),
        _xlpm.ie_camera_on_date, IFERROR(AVERAGEIFS(Log!$G:$G, Log!$D:$D,J$4,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8" s="68" t="str">
        <f>IFERROR(
    _xlfn.LET(
        _xlpm.is_data_present, $A158&lt;&gt;0,
        _xlpm.is_camera_present, COUNTIFS(Log!$C:$C, $A158, Log!$D:$D, K$4, Log!$A:$A, "Daily", Log!$B:$B, "n/a"),
        _xlpm.we_camera_on_date, IFERROR(AVERAGEIFS(Log!$F:$F, Log!$D:$D,K$4, Log!$C:$C, $A158, Log!$A:$A, "Daily", Log!$B:$B, "n/a"), 0),
        _xlpm.ie_camera_on_date, IFERROR(AVERAGEIFS(Log!$G:$G, Log!$D:$D,K$4,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8" s="68" t="str">
        <f>IFERROR(
    _xlfn.LET(
        _xlpm.is_data_present, $A158&lt;&gt;0,
        _xlpm.is_camera_present, COUNTIFS(Log!$C:$C, $A158, Log!$D:$D, L$4, Log!$A:$A, "Daily", Log!$B:$B, "n/a"),
        _xlpm.we_camera_on_date, IFERROR(AVERAGEIFS(Log!$F:$F, Log!$D:$D,L$4, Log!$C:$C, $A158, Log!$A:$A, "Daily", Log!$B:$B, "n/a"), 0),
        _xlpm.ie_camera_on_date, IFERROR(AVERAGEIFS(Log!$G:$G, Log!$D:$D,L$4,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8" s="68" t="str">
        <f>IFERROR(
    _xlfn.LET(
        _xlpm.is_data_present, $A158&lt;&gt;0,
        _xlpm.is_camera_present, COUNTIFS(Log!$C:$C, $A158, Log!$D:$D, M$4, Log!$A:$A, "Daily", Log!$B:$B, "n/a"),
        _xlpm.we_camera_on_date, IFERROR(AVERAGEIFS(Log!$F:$F, Log!$D:$D,M$4, Log!$C:$C, $A158, Log!$A:$A, "Daily", Log!$B:$B, "n/a"), 0),
        _xlpm.ie_camera_on_date, IFERROR(AVERAGEIFS(Log!$G:$G, Log!$D:$D,M$4,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8" s="68" t="str">
        <f>IFERROR(
    _xlfn.LET(
        _xlpm.is_data_present, $A158&lt;&gt;0,
        _xlpm.is_camera_present, COUNTIFS(Log!$C:$C, $A158, Log!$D:$D, N$4, Log!$A:$A, "Daily", Log!$B:$B, "n/a"),
        _xlpm.we_camera_on_date, IFERROR(AVERAGEIFS(Log!$F:$F, Log!$D:$D,N$4, Log!$C:$C, $A158, Log!$A:$A, "Daily", Log!$B:$B, "n/a"), 0),
        _xlpm.ie_camera_on_date, IFERROR(AVERAGEIFS(Log!$G:$G, Log!$D:$D,N$4,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8" s="68" t="str">
        <f>IFERROR(
    _xlfn.LET(
        _xlpm.is_data_present, $A158&lt;&gt;0,
        _xlpm.is_camera_present, COUNTIFS(Log!$C:$C, $A158, Log!$D:$D, O$4, Log!$A:$A, "Daily", Log!$B:$B, "n/a"),
        _xlpm.we_camera_on_date, IFERROR(AVERAGEIFS(Log!$F:$F, Log!$D:$D,O$4, Log!$C:$C, $A158, Log!$A:$A, "Daily", Log!$B:$B, "n/a"), 0),
        _xlpm.ie_camera_on_date, IFERROR(AVERAGEIFS(Log!$G:$G, Log!$D:$D,O$4,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8" s="68" t="str">
        <f>IFERROR(
    _xlfn.LET(
        _xlpm.is_data_present, $A158&lt;&gt;0,
        _xlpm.is_camera_present, COUNTIFS(Log!$C:$C, $A158, Log!$D:$D, P$4, Log!$A:$A, "Daily", Log!$B:$B, "n/a"),
        _xlpm.we_camera_on_date, IFERROR(AVERAGEIFS(Log!$F:$F, Log!$D:$D,P$4, Log!$C:$C, $A158, Log!$A:$A, "Daily", Log!$B:$B, "n/a"), 0),
        _xlpm.ie_camera_on_date, IFERROR(AVERAGEIFS(Log!$G:$G, Log!$D:$D,P$4,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8" s="68" t="str">
        <f>IFERROR(
    _xlfn.LET(
        _xlpm.is_data_present, $A158&lt;&gt;0,
        _xlpm.is_camera_present, COUNTIFS(Log!$C:$C, $A158, Log!$D:$D, Q$4, Log!$A:$A, "Daily", Log!$B:$B, "n/a"),
        _xlpm.we_camera_on_date, IFERROR(AVERAGEIFS(Log!$F:$F, Log!$D:$D,Q$4, Log!$C:$C, $A158, Log!$A:$A, "Daily", Log!$B:$B, "n/a"), 0),
        _xlpm.ie_camera_on_date, IFERROR(AVERAGEIFS(Log!$G:$G, Log!$D:$D,Q$4,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8" s="68" t="str">
        <f>IFERROR(
    _xlfn.LET(
        _xlpm.is_data_present, $A158&lt;&gt;0,
        _xlpm.is_camera_present, COUNTIFS(Log!$C:$C, $A158, Log!$D:$D, R$4, Log!$A:$A, "Daily", Log!$B:$B, "n/a"),
        _xlpm.we_camera_on_date, IFERROR(AVERAGEIFS(Log!$F:$F, Log!$D:$D,R$4, Log!$C:$C, $A158, Log!$A:$A, "Daily", Log!$B:$B, "n/a"), 0),
        _xlpm.ie_camera_on_date, IFERROR(AVERAGEIFS(Log!$G:$G, Log!$D:$D,R$4,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8" s="68" t="str">
        <f>IFERROR(
    _xlfn.LET(
        _xlpm.is_data_present, $A158&lt;&gt;0,
        _xlpm.is_camera_present, COUNTIFS(Log!$C:$C, $A158, Log!$D:$D, S$4, Log!$A:$A, "Daily", Log!$B:$B, "n/a"),
        _xlpm.we_camera_on_date, IFERROR(AVERAGEIFS(Log!$F:$F, Log!$D:$D,S$4, Log!$C:$C, $A158, Log!$A:$A, "Daily", Log!$B:$B, "n/a"), 0),
        _xlpm.ie_camera_on_date, IFERROR(AVERAGEIFS(Log!$G:$G, Log!$D:$D,S$4, Log!$C:$C, $A158, Log!$A:$A, "Daily", Log!$B:$B, "n/a"), 0),
        _xlpm.we_avg, IFERROR(AVERAGEIFS(Log!$F:$F,Log!$C:$C,$A158, Log!$A:$A, "Daily", Log!$B:$B, "n/a"),0),
        _xlpm.ie_avg, IFERROR(AVERAGEIFS(Log!$G:$G,Log!$C:$C,$A158,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59" spans="2:19" x14ac:dyDescent="0.3">
      <c r="B159" s="68" t="str">
        <f>IFERROR(
    _xlfn.LET(
        _xlpm.is_data_present, $A159&lt;&gt;0,
        _xlpm.is_camera_present, COUNTIFS(Log!$C:$C, $A159, Log!$D:$D, B$4, Log!$A:$A, "Daily", Log!$B:$B, "n/a"),
        _xlpm.we_camera_on_date, IFERROR(AVERAGEIFS(Log!$F:$F, Log!$D:$D,B$4, Log!$C:$C, $A159, Log!$A:$A, "Daily", Log!$B:$B, "n/a"), 0),
        _xlpm.ie_camera_on_date, IFERROR(AVERAGEIFS(Log!$G:$G, Log!$D:$D,B$4,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59" s="68" t="str">
        <f>IFERROR(
    _xlfn.LET(
        _xlpm.is_data_present, $A159&lt;&gt;0,
        _xlpm.is_camera_present, COUNTIFS(Log!$C:$C, $A159, Log!$D:$D, C$4, Log!$A:$A, "Daily", Log!$B:$B, "n/a"),
        _xlpm.we_camera_on_date, IFERROR(AVERAGEIFS(Log!$F:$F, Log!$D:$D,C$4, Log!$C:$C, $A159, Log!$A:$A, "Daily", Log!$B:$B, "n/a"), 0),
        _xlpm.ie_camera_on_date, IFERROR(AVERAGEIFS(Log!$G:$G, Log!$D:$D,C$4,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59" s="68" t="str">
        <f>IFERROR(
    _xlfn.LET(
        _xlpm.is_data_present, $A159&lt;&gt;0,
        _xlpm.is_camera_present, COUNTIFS(Log!$C:$C, $A159, Log!$D:$D, D$4, Log!$A:$A, "Daily", Log!$B:$B, "n/a"),
        _xlpm.we_camera_on_date, IFERROR(AVERAGEIFS(Log!$F:$F, Log!$D:$D,D$4, Log!$C:$C, $A159, Log!$A:$A, "Daily", Log!$B:$B, "n/a"), 0),
        _xlpm.ie_camera_on_date, IFERROR(AVERAGEIFS(Log!$G:$G, Log!$D:$D,D$4,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59" s="68" t="str">
        <f>IFERROR(
    _xlfn.LET(
        _xlpm.is_data_present, $A159&lt;&gt;0,
        _xlpm.is_camera_present, COUNTIFS(Log!$C:$C, $A159, Log!$D:$D, E$4, Log!$A:$A, "Daily", Log!$B:$B, "n/a"),
        _xlpm.we_camera_on_date, IFERROR(AVERAGEIFS(Log!$F:$F, Log!$D:$D,E$4, Log!$C:$C, $A159, Log!$A:$A, "Daily", Log!$B:$B, "n/a"), 0),
        _xlpm.ie_camera_on_date, IFERROR(AVERAGEIFS(Log!$G:$G, Log!$D:$D,E$4,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59" s="68" t="str">
        <f>IFERROR(
    _xlfn.LET(
        _xlpm.is_data_present, $A159&lt;&gt;0,
        _xlpm.is_camera_present, COUNTIFS(Log!$C:$C, $A159, Log!$D:$D, F$4, Log!$A:$A, "Daily", Log!$B:$B, "n/a"),
        _xlpm.we_camera_on_date, IFERROR(AVERAGEIFS(Log!$F:$F, Log!$D:$D,F$4, Log!$C:$C, $A159, Log!$A:$A, "Daily", Log!$B:$B, "n/a"), 0),
        _xlpm.ie_camera_on_date, IFERROR(AVERAGEIFS(Log!$G:$G, Log!$D:$D,F$4,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59" s="68" t="str">
        <f>IFERROR(
    _xlfn.LET(
        _xlpm.is_data_present, $A159&lt;&gt;0,
        _xlpm.is_camera_present, COUNTIFS(Log!$C:$C, $A159, Log!$D:$D, G$4, Log!$A:$A, "Daily", Log!$B:$B, "n/a"),
        _xlpm.we_camera_on_date, IFERROR(AVERAGEIFS(Log!$F:$F, Log!$D:$D,G$4, Log!$C:$C, $A159, Log!$A:$A, "Daily", Log!$B:$B, "n/a"), 0),
        _xlpm.ie_camera_on_date, IFERROR(AVERAGEIFS(Log!$G:$G, Log!$D:$D,G$4,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59" s="68" t="str">
        <f>IFERROR(
    _xlfn.LET(
        _xlpm.is_data_present, $A159&lt;&gt;0,
        _xlpm.is_camera_present, COUNTIFS(Log!$C:$C, $A159, Log!$D:$D, H$4, Log!$A:$A, "Daily", Log!$B:$B, "n/a"),
        _xlpm.we_camera_on_date, IFERROR(AVERAGEIFS(Log!$F:$F, Log!$D:$D,H$4, Log!$C:$C, $A159, Log!$A:$A, "Daily", Log!$B:$B, "n/a"), 0),
        _xlpm.ie_camera_on_date, IFERROR(AVERAGEIFS(Log!$G:$G, Log!$D:$D,H$4,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59" s="68" t="str">
        <f>IFERROR(
    _xlfn.LET(
        _xlpm.is_data_present, $A159&lt;&gt;0,
        _xlpm.is_camera_present, COUNTIFS(Log!$C:$C, $A159, Log!$D:$D, I$4, Log!$A:$A, "Daily", Log!$B:$B, "n/a"),
        _xlpm.we_camera_on_date, IFERROR(AVERAGEIFS(Log!$F:$F, Log!$D:$D,I$4, Log!$C:$C, $A159, Log!$A:$A, "Daily", Log!$B:$B, "n/a"), 0),
        _xlpm.ie_camera_on_date, IFERROR(AVERAGEIFS(Log!$G:$G, Log!$D:$D,I$4,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59" s="68" t="str">
        <f>IFERROR(
    _xlfn.LET(
        _xlpm.is_data_present, $A159&lt;&gt;0,
        _xlpm.is_camera_present, COUNTIFS(Log!$C:$C, $A159, Log!$D:$D, J$4, Log!$A:$A, "Daily", Log!$B:$B, "n/a"),
        _xlpm.we_camera_on_date, IFERROR(AVERAGEIFS(Log!$F:$F, Log!$D:$D,J$4, Log!$C:$C, $A159, Log!$A:$A, "Daily", Log!$B:$B, "n/a"), 0),
        _xlpm.ie_camera_on_date, IFERROR(AVERAGEIFS(Log!$G:$G, Log!$D:$D,J$4,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59" s="68" t="str">
        <f>IFERROR(
    _xlfn.LET(
        _xlpm.is_data_present, $A159&lt;&gt;0,
        _xlpm.is_camera_present, COUNTIFS(Log!$C:$C, $A159, Log!$D:$D, K$4, Log!$A:$A, "Daily", Log!$B:$B, "n/a"),
        _xlpm.we_camera_on_date, IFERROR(AVERAGEIFS(Log!$F:$F, Log!$D:$D,K$4, Log!$C:$C, $A159, Log!$A:$A, "Daily", Log!$B:$B, "n/a"), 0),
        _xlpm.ie_camera_on_date, IFERROR(AVERAGEIFS(Log!$G:$G, Log!$D:$D,K$4,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59" s="68" t="str">
        <f>IFERROR(
    _xlfn.LET(
        _xlpm.is_data_present, $A159&lt;&gt;0,
        _xlpm.is_camera_present, COUNTIFS(Log!$C:$C, $A159, Log!$D:$D, L$4, Log!$A:$A, "Daily", Log!$B:$B, "n/a"),
        _xlpm.we_camera_on_date, IFERROR(AVERAGEIFS(Log!$F:$F, Log!$D:$D,L$4, Log!$C:$C, $A159, Log!$A:$A, "Daily", Log!$B:$B, "n/a"), 0),
        _xlpm.ie_camera_on_date, IFERROR(AVERAGEIFS(Log!$G:$G, Log!$D:$D,L$4,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59" s="68" t="str">
        <f>IFERROR(
    _xlfn.LET(
        _xlpm.is_data_present, $A159&lt;&gt;0,
        _xlpm.is_camera_present, COUNTIFS(Log!$C:$C, $A159, Log!$D:$D, M$4, Log!$A:$A, "Daily", Log!$B:$B, "n/a"),
        _xlpm.we_camera_on_date, IFERROR(AVERAGEIFS(Log!$F:$F, Log!$D:$D,M$4, Log!$C:$C, $A159, Log!$A:$A, "Daily", Log!$B:$B, "n/a"), 0),
        _xlpm.ie_camera_on_date, IFERROR(AVERAGEIFS(Log!$G:$G, Log!$D:$D,M$4,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59" s="68" t="str">
        <f>IFERROR(
    _xlfn.LET(
        _xlpm.is_data_present, $A159&lt;&gt;0,
        _xlpm.is_camera_present, COUNTIFS(Log!$C:$C, $A159, Log!$D:$D, N$4, Log!$A:$A, "Daily", Log!$B:$B, "n/a"),
        _xlpm.we_camera_on_date, IFERROR(AVERAGEIFS(Log!$F:$F, Log!$D:$D,N$4, Log!$C:$C, $A159, Log!$A:$A, "Daily", Log!$B:$B, "n/a"), 0),
        _xlpm.ie_camera_on_date, IFERROR(AVERAGEIFS(Log!$G:$G, Log!$D:$D,N$4,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59" s="68" t="str">
        <f>IFERROR(
    _xlfn.LET(
        _xlpm.is_data_present, $A159&lt;&gt;0,
        _xlpm.is_camera_present, COUNTIFS(Log!$C:$C, $A159, Log!$D:$D, O$4, Log!$A:$A, "Daily", Log!$B:$B, "n/a"),
        _xlpm.we_camera_on_date, IFERROR(AVERAGEIFS(Log!$F:$F, Log!$D:$D,O$4, Log!$C:$C, $A159, Log!$A:$A, "Daily", Log!$B:$B, "n/a"), 0),
        _xlpm.ie_camera_on_date, IFERROR(AVERAGEIFS(Log!$G:$G, Log!$D:$D,O$4,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59" s="68" t="str">
        <f>IFERROR(
    _xlfn.LET(
        _xlpm.is_data_present, $A159&lt;&gt;0,
        _xlpm.is_camera_present, COUNTIFS(Log!$C:$C, $A159, Log!$D:$D, P$4, Log!$A:$A, "Daily", Log!$B:$B, "n/a"),
        _xlpm.we_camera_on_date, IFERROR(AVERAGEIFS(Log!$F:$F, Log!$D:$D,P$4, Log!$C:$C, $A159, Log!$A:$A, "Daily", Log!$B:$B, "n/a"), 0),
        _xlpm.ie_camera_on_date, IFERROR(AVERAGEIFS(Log!$G:$G, Log!$D:$D,P$4,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59" s="68" t="str">
        <f>IFERROR(
    _xlfn.LET(
        _xlpm.is_data_present, $A159&lt;&gt;0,
        _xlpm.is_camera_present, COUNTIFS(Log!$C:$C, $A159, Log!$D:$D, Q$4, Log!$A:$A, "Daily", Log!$B:$B, "n/a"),
        _xlpm.we_camera_on_date, IFERROR(AVERAGEIFS(Log!$F:$F, Log!$D:$D,Q$4, Log!$C:$C, $A159, Log!$A:$A, "Daily", Log!$B:$B, "n/a"), 0),
        _xlpm.ie_camera_on_date, IFERROR(AVERAGEIFS(Log!$G:$G, Log!$D:$D,Q$4,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59" s="68" t="str">
        <f>IFERROR(
    _xlfn.LET(
        _xlpm.is_data_present, $A159&lt;&gt;0,
        _xlpm.is_camera_present, COUNTIFS(Log!$C:$C, $A159, Log!$D:$D, R$4, Log!$A:$A, "Daily", Log!$B:$B, "n/a"),
        _xlpm.we_camera_on_date, IFERROR(AVERAGEIFS(Log!$F:$F, Log!$D:$D,R$4, Log!$C:$C, $A159, Log!$A:$A, "Daily", Log!$B:$B, "n/a"), 0),
        _xlpm.ie_camera_on_date, IFERROR(AVERAGEIFS(Log!$G:$G, Log!$D:$D,R$4,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59" s="68" t="str">
        <f>IFERROR(
    _xlfn.LET(
        _xlpm.is_data_present, $A159&lt;&gt;0,
        _xlpm.is_camera_present, COUNTIFS(Log!$C:$C, $A159, Log!$D:$D, S$4, Log!$A:$A, "Daily", Log!$B:$B, "n/a"),
        _xlpm.we_camera_on_date, IFERROR(AVERAGEIFS(Log!$F:$F, Log!$D:$D,S$4, Log!$C:$C, $A159, Log!$A:$A, "Daily", Log!$B:$B, "n/a"), 0),
        _xlpm.ie_camera_on_date, IFERROR(AVERAGEIFS(Log!$G:$G, Log!$D:$D,S$4, Log!$C:$C, $A159, Log!$A:$A, "Daily", Log!$B:$B, "n/a"), 0),
        _xlpm.we_avg, IFERROR(AVERAGEIFS(Log!$F:$F,Log!$C:$C,$A159, Log!$A:$A, "Daily", Log!$B:$B, "n/a"),0),
        _xlpm.ie_avg, IFERROR(AVERAGEIFS(Log!$G:$G,Log!$C:$C,$A159,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0" spans="2:19" x14ac:dyDescent="0.3">
      <c r="B160" s="68" t="str">
        <f>IFERROR(
    _xlfn.LET(
        _xlpm.is_data_present, $A160&lt;&gt;0,
        _xlpm.is_camera_present, COUNTIFS(Log!$C:$C, $A160, Log!$D:$D, B$4, Log!$A:$A, "Daily", Log!$B:$B, "n/a"),
        _xlpm.we_camera_on_date, IFERROR(AVERAGEIFS(Log!$F:$F, Log!$D:$D,B$4, Log!$C:$C, $A160, Log!$A:$A, "Daily", Log!$B:$B, "n/a"), 0),
        _xlpm.ie_camera_on_date, IFERROR(AVERAGEIFS(Log!$G:$G, Log!$D:$D,B$4,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0" s="68" t="str">
        <f>IFERROR(
    _xlfn.LET(
        _xlpm.is_data_present, $A160&lt;&gt;0,
        _xlpm.is_camera_present, COUNTIFS(Log!$C:$C, $A160, Log!$D:$D, C$4, Log!$A:$A, "Daily", Log!$B:$B, "n/a"),
        _xlpm.we_camera_on_date, IFERROR(AVERAGEIFS(Log!$F:$F, Log!$D:$D,C$4, Log!$C:$C, $A160, Log!$A:$A, "Daily", Log!$B:$B, "n/a"), 0),
        _xlpm.ie_camera_on_date, IFERROR(AVERAGEIFS(Log!$G:$G, Log!$D:$D,C$4,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0" s="68" t="str">
        <f>IFERROR(
    _xlfn.LET(
        _xlpm.is_data_present, $A160&lt;&gt;0,
        _xlpm.is_camera_present, COUNTIFS(Log!$C:$C, $A160, Log!$D:$D, D$4, Log!$A:$A, "Daily", Log!$B:$B, "n/a"),
        _xlpm.we_camera_on_date, IFERROR(AVERAGEIFS(Log!$F:$F, Log!$D:$D,D$4, Log!$C:$C, $A160, Log!$A:$A, "Daily", Log!$B:$B, "n/a"), 0),
        _xlpm.ie_camera_on_date, IFERROR(AVERAGEIFS(Log!$G:$G, Log!$D:$D,D$4,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0" s="68" t="str">
        <f>IFERROR(
    _xlfn.LET(
        _xlpm.is_data_present, $A160&lt;&gt;0,
        _xlpm.is_camera_present, COUNTIFS(Log!$C:$C, $A160, Log!$D:$D, E$4, Log!$A:$A, "Daily", Log!$B:$B, "n/a"),
        _xlpm.we_camera_on_date, IFERROR(AVERAGEIFS(Log!$F:$F, Log!$D:$D,E$4, Log!$C:$C, $A160, Log!$A:$A, "Daily", Log!$B:$B, "n/a"), 0),
        _xlpm.ie_camera_on_date, IFERROR(AVERAGEIFS(Log!$G:$G, Log!$D:$D,E$4,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0" s="68" t="str">
        <f>IFERROR(
    _xlfn.LET(
        _xlpm.is_data_present, $A160&lt;&gt;0,
        _xlpm.is_camera_present, COUNTIFS(Log!$C:$C, $A160, Log!$D:$D, F$4, Log!$A:$A, "Daily", Log!$B:$B, "n/a"),
        _xlpm.we_camera_on_date, IFERROR(AVERAGEIFS(Log!$F:$F, Log!$D:$D,F$4, Log!$C:$C, $A160, Log!$A:$A, "Daily", Log!$B:$B, "n/a"), 0),
        _xlpm.ie_camera_on_date, IFERROR(AVERAGEIFS(Log!$G:$G, Log!$D:$D,F$4,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0" s="68" t="str">
        <f>IFERROR(
    _xlfn.LET(
        _xlpm.is_data_present, $A160&lt;&gt;0,
        _xlpm.is_camera_present, COUNTIFS(Log!$C:$C, $A160, Log!$D:$D, G$4, Log!$A:$A, "Daily", Log!$B:$B, "n/a"),
        _xlpm.we_camera_on_date, IFERROR(AVERAGEIFS(Log!$F:$F, Log!$D:$D,G$4, Log!$C:$C, $A160, Log!$A:$A, "Daily", Log!$B:$B, "n/a"), 0),
        _xlpm.ie_camera_on_date, IFERROR(AVERAGEIFS(Log!$G:$G, Log!$D:$D,G$4,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0" s="68" t="str">
        <f>IFERROR(
    _xlfn.LET(
        _xlpm.is_data_present, $A160&lt;&gt;0,
        _xlpm.is_camera_present, COUNTIFS(Log!$C:$C, $A160, Log!$D:$D, H$4, Log!$A:$A, "Daily", Log!$B:$B, "n/a"),
        _xlpm.we_camera_on_date, IFERROR(AVERAGEIFS(Log!$F:$F, Log!$D:$D,H$4, Log!$C:$C, $A160, Log!$A:$A, "Daily", Log!$B:$B, "n/a"), 0),
        _xlpm.ie_camera_on_date, IFERROR(AVERAGEIFS(Log!$G:$G, Log!$D:$D,H$4,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0" s="68" t="str">
        <f>IFERROR(
    _xlfn.LET(
        _xlpm.is_data_present, $A160&lt;&gt;0,
        _xlpm.is_camera_present, COUNTIFS(Log!$C:$C, $A160, Log!$D:$D, I$4, Log!$A:$A, "Daily", Log!$B:$B, "n/a"),
        _xlpm.we_camera_on_date, IFERROR(AVERAGEIFS(Log!$F:$F, Log!$D:$D,I$4, Log!$C:$C, $A160, Log!$A:$A, "Daily", Log!$B:$B, "n/a"), 0),
        _xlpm.ie_camera_on_date, IFERROR(AVERAGEIFS(Log!$G:$G, Log!$D:$D,I$4,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0" s="68" t="str">
        <f>IFERROR(
    _xlfn.LET(
        _xlpm.is_data_present, $A160&lt;&gt;0,
        _xlpm.is_camera_present, COUNTIFS(Log!$C:$C, $A160, Log!$D:$D, J$4, Log!$A:$A, "Daily", Log!$B:$B, "n/a"),
        _xlpm.we_camera_on_date, IFERROR(AVERAGEIFS(Log!$F:$F, Log!$D:$D,J$4, Log!$C:$C, $A160, Log!$A:$A, "Daily", Log!$B:$B, "n/a"), 0),
        _xlpm.ie_camera_on_date, IFERROR(AVERAGEIFS(Log!$G:$G, Log!$D:$D,J$4,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0" s="68" t="str">
        <f>IFERROR(
    _xlfn.LET(
        _xlpm.is_data_present, $A160&lt;&gt;0,
        _xlpm.is_camera_present, COUNTIFS(Log!$C:$C, $A160, Log!$D:$D, K$4, Log!$A:$A, "Daily", Log!$B:$B, "n/a"),
        _xlpm.we_camera_on_date, IFERROR(AVERAGEIFS(Log!$F:$F, Log!$D:$D,K$4, Log!$C:$C, $A160, Log!$A:$A, "Daily", Log!$B:$B, "n/a"), 0),
        _xlpm.ie_camera_on_date, IFERROR(AVERAGEIFS(Log!$G:$G, Log!$D:$D,K$4,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0" s="68" t="str">
        <f>IFERROR(
    _xlfn.LET(
        _xlpm.is_data_present, $A160&lt;&gt;0,
        _xlpm.is_camera_present, COUNTIFS(Log!$C:$C, $A160, Log!$D:$D, L$4, Log!$A:$A, "Daily", Log!$B:$B, "n/a"),
        _xlpm.we_camera_on_date, IFERROR(AVERAGEIFS(Log!$F:$F, Log!$D:$D,L$4, Log!$C:$C, $A160, Log!$A:$A, "Daily", Log!$B:$B, "n/a"), 0),
        _xlpm.ie_camera_on_date, IFERROR(AVERAGEIFS(Log!$G:$G, Log!$D:$D,L$4,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0" s="68" t="str">
        <f>IFERROR(
    _xlfn.LET(
        _xlpm.is_data_present, $A160&lt;&gt;0,
        _xlpm.is_camera_present, COUNTIFS(Log!$C:$C, $A160, Log!$D:$D, M$4, Log!$A:$A, "Daily", Log!$B:$B, "n/a"),
        _xlpm.we_camera_on_date, IFERROR(AVERAGEIFS(Log!$F:$F, Log!$D:$D,M$4, Log!$C:$C, $A160, Log!$A:$A, "Daily", Log!$B:$B, "n/a"), 0),
        _xlpm.ie_camera_on_date, IFERROR(AVERAGEIFS(Log!$G:$G, Log!$D:$D,M$4,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0" s="68" t="str">
        <f>IFERROR(
    _xlfn.LET(
        _xlpm.is_data_present, $A160&lt;&gt;0,
        _xlpm.is_camera_present, COUNTIFS(Log!$C:$C, $A160, Log!$D:$D, N$4, Log!$A:$A, "Daily", Log!$B:$B, "n/a"),
        _xlpm.we_camera_on_date, IFERROR(AVERAGEIFS(Log!$F:$F, Log!$D:$D,N$4, Log!$C:$C, $A160, Log!$A:$A, "Daily", Log!$B:$B, "n/a"), 0),
        _xlpm.ie_camera_on_date, IFERROR(AVERAGEIFS(Log!$G:$G, Log!$D:$D,N$4,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0" s="68" t="str">
        <f>IFERROR(
    _xlfn.LET(
        _xlpm.is_data_present, $A160&lt;&gt;0,
        _xlpm.is_camera_present, COUNTIFS(Log!$C:$C, $A160, Log!$D:$D, O$4, Log!$A:$A, "Daily", Log!$B:$B, "n/a"),
        _xlpm.we_camera_on_date, IFERROR(AVERAGEIFS(Log!$F:$F, Log!$D:$D,O$4, Log!$C:$C, $A160, Log!$A:$A, "Daily", Log!$B:$B, "n/a"), 0),
        _xlpm.ie_camera_on_date, IFERROR(AVERAGEIFS(Log!$G:$G, Log!$D:$D,O$4,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0" s="68" t="str">
        <f>IFERROR(
    _xlfn.LET(
        _xlpm.is_data_present, $A160&lt;&gt;0,
        _xlpm.is_camera_present, COUNTIFS(Log!$C:$C, $A160, Log!$D:$D, P$4, Log!$A:$A, "Daily", Log!$B:$B, "n/a"),
        _xlpm.we_camera_on_date, IFERROR(AVERAGEIFS(Log!$F:$F, Log!$D:$D,P$4, Log!$C:$C, $A160, Log!$A:$A, "Daily", Log!$B:$B, "n/a"), 0),
        _xlpm.ie_camera_on_date, IFERROR(AVERAGEIFS(Log!$G:$G, Log!$D:$D,P$4,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0" s="68" t="str">
        <f>IFERROR(
    _xlfn.LET(
        _xlpm.is_data_present, $A160&lt;&gt;0,
        _xlpm.is_camera_present, COUNTIFS(Log!$C:$C, $A160, Log!$D:$D, Q$4, Log!$A:$A, "Daily", Log!$B:$B, "n/a"),
        _xlpm.we_camera_on_date, IFERROR(AVERAGEIFS(Log!$F:$F, Log!$D:$D,Q$4, Log!$C:$C, $A160, Log!$A:$A, "Daily", Log!$B:$B, "n/a"), 0),
        _xlpm.ie_camera_on_date, IFERROR(AVERAGEIFS(Log!$G:$G, Log!$D:$D,Q$4,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0" s="68" t="str">
        <f>IFERROR(
    _xlfn.LET(
        _xlpm.is_data_present, $A160&lt;&gt;0,
        _xlpm.is_camera_present, COUNTIFS(Log!$C:$C, $A160, Log!$D:$D, R$4, Log!$A:$A, "Daily", Log!$B:$B, "n/a"),
        _xlpm.we_camera_on_date, IFERROR(AVERAGEIFS(Log!$F:$F, Log!$D:$D,R$4, Log!$C:$C, $A160, Log!$A:$A, "Daily", Log!$B:$B, "n/a"), 0),
        _xlpm.ie_camera_on_date, IFERROR(AVERAGEIFS(Log!$G:$G, Log!$D:$D,R$4,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0" s="68" t="str">
        <f>IFERROR(
    _xlfn.LET(
        _xlpm.is_data_present, $A160&lt;&gt;0,
        _xlpm.is_camera_present, COUNTIFS(Log!$C:$C, $A160, Log!$D:$D, S$4, Log!$A:$A, "Daily", Log!$B:$B, "n/a"),
        _xlpm.we_camera_on_date, IFERROR(AVERAGEIFS(Log!$F:$F, Log!$D:$D,S$4, Log!$C:$C, $A160, Log!$A:$A, "Daily", Log!$B:$B, "n/a"), 0),
        _xlpm.ie_camera_on_date, IFERROR(AVERAGEIFS(Log!$G:$G, Log!$D:$D,S$4, Log!$C:$C, $A160, Log!$A:$A, "Daily", Log!$B:$B, "n/a"), 0),
        _xlpm.we_avg, IFERROR(AVERAGEIFS(Log!$F:$F,Log!$C:$C,$A160, Log!$A:$A, "Daily", Log!$B:$B, "n/a"),0),
        _xlpm.ie_avg, IFERROR(AVERAGEIFS(Log!$G:$G,Log!$C:$C,$A160,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1" spans="2:19" x14ac:dyDescent="0.3">
      <c r="B161" s="68" t="str">
        <f>IFERROR(
    _xlfn.LET(
        _xlpm.is_data_present, $A161&lt;&gt;0,
        _xlpm.is_camera_present, COUNTIFS(Log!$C:$C, $A161, Log!$D:$D, B$4, Log!$A:$A, "Daily", Log!$B:$B, "n/a"),
        _xlpm.we_camera_on_date, IFERROR(AVERAGEIFS(Log!$F:$F, Log!$D:$D,B$4, Log!$C:$C, $A161, Log!$A:$A, "Daily", Log!$B:$B, "n/a"), 0),
        _xlpm.ie_camera_on_date, IFERROR(AVERAGEIFS(Log!$G:$G, Log!$D:$D,B$4,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1" s="68" t="str">
        <f>IFERROR(
    _xlfn.LET(
        _xlpm.is_data_present, $A161&lt;&gt;0,
        _xlpm.is_camera_present, COUNTIFS(Log!$C:$C, $A161, Log!$D:$D, C$4, Log!$A:$A, "Daily", Log!$B:$B, "n/a"),
        _xlpm.we_camera_on_date, IFERROR(AVERAGEIFS(Log!$F:$F, Log!$D:$D,C$4, Log!$C:$C, $A161, Log!$A:$A, "Daily", Log!$B:$B, "n/a"), 0),
        _xlpm.ie_camera_on_date, IFERROR(AVERAGEIFS(Log!$G:$G, Log!$D:$D,C$4,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1" s="68" t="str">
        <f>IFERROR(
    _xlfn.LET(
        _xlpm.is_data_present, $A161&lt;&gt;0,
        _xlpm.is_camera_present, COUNTIFS(Log!$C:$C, $A161, Log!$D:$D, D$4, Log!$A:$A, "Daily", Log!$B:$B, "n/a"),
        _xlpm.we_camera_on_date, IFERROR(AVERAGEIFS(Log!$F:$F, Log!$D:$D,D$4, Log!$C:$C, $A161, Log!$A:$A, "Daily", Log!$B:$B, "n/a"), 0),
        _xlpm.ie_camera_on_date, IFERROR(AVERAGEIFS(Log!$G:$G, Log!$D:$D,D$4,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1" s="68" t="str">
        <f>IFERROR(
    _xlfn.LET(
        _xlpm.is_data_present, $A161&lt;&gt;0,
        _xlpm.is_camera_present, COUNTIFS(Log!$C:$C, $A161, Log!$D:$D, E$4, Log!$A:$A, "Daily", Log!$B:$B, "n/a"),
        _xlpm.we_camera_on_date, IFERROR(AVERAGEIFS(Log!$F:$F, Log!$D:$D,E$4, Log!$C:$C, $A161, Log!$A:$A, "Daily", Log!$B:$B, "n/a"), 0),
        _xlpm.ie_camera_on_date, IFERROR(AVERAGEIFS(Log!$G:$G, Log!$D:$D,E$4,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1" s="68" t="str">
        <f>IFERROR(
    _xlfn.LET(
        _xlpm.is_data_present, $A161&lt;&gt;0,
        _xlpm.is_camera_present, COUNTIFS(Log!$C:$C, $A161, Log!$D:$D, F$4, Log!$A:$A, "Daily", Log!$B:$B, "n/a"),
        _xlpm.we_camera_on_date, IFERROR(AVERAGEIFS(Log!$F:$F, Log!$D:$D,F$4, Log!$C:$C, $A161, Log!$A:$A, "Daily", Log!$B:$B, "n/a"), 0),
        _xlpm.ie_camera_on_date, IFERROR(AVERAGEIFS(Log!$G:$G, Log!$D:$D,F$4,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1" s="68" t="str">
        <f>IFERROR(
    _xlfn.LET(
        _xlpm.is_data_present, $A161&lt;&gt;0,
        _xlpm.is_camera_present, COUNTIFS(Log!$C:$C, $A161, Log!$D:$D, G$4, Log!$A:$A, "Daily", Log!$B:$B, "n/a"),
        _xlpm.we_camera_on_date, IFERROR(AVERAGEIFS(Log!$F:$F, Log!$D:$D,G$4, Log!$C:$C, $A161, Log!$A:$A, "Daily", Log!$B:$B, "n/a"), 0),
        _xlpm.ie_camera_on_date, IFERROR(AVERAGEIFS(Log!$G:$G, Log!$D:$D,G$4,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1" s="68" t="str">
        <f>IFERROR(
    _xlfn.LET(
        _xlpm.is_data_present, $A161&lt;&gt;0,
        _xlpm.is_camera_present, COUNTIFS(Log!$C:$C, $A161, Log!$D:$D, H$4, Log!$A:$A, "Daily", Log!$B:$B, "n/a"),
        _xlpm.we_camera_on_date, IFERROR(AVERAGEIFS(Log!$F:$F, Log!$D:$D,H$4, Log!$C:$C, $A161, Log!$A:$A, "Daily", Log!$B:$B, "n/a"), 0),
        _xlpm.ie_camera_on_date, IFERROR(AVERAGEIFS(Log!$G:$G, Log!$D:$D,H$4,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1" s="68" t="str">
        <f>IFERROR(
    _xlfn.LET(
        _xlpm.is_data_present, $A161&lt;&gt;0,
        _xlpm.is_camera_present, COUNTIFS(Log!$C:$C, $A161, Log!$D:$D, I$4, Log!$A:$A, "Daily", Log!$B:$B, "n/a"),
        _xlpm.we_camera_on_date, IFERROR(AVERAGEIFS(Log!$F:$F, Log!$D:$D,I$4, Log!$C:$C, $A161, Log!$A:$A, "Daily", Log!$B:$B, "n/a"), 0),
        _xlpm.ie_camera_on_date, IFERROR(AVERAGEIFS(Log!$G:$G, Log!$D:$D,I$4,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1" s="68" t="str">
        <f>IFERROR(
    _xlfn.LET(
        _xlpm.is_data_present, $A161&lt;&gt;0,
        _xlpm.is_camera_present, COUNTIFS(Log!$C:$C, $A161, Log!$D:$D, J$4, Log!$A:$A, "Daily", Log!$B:$B, "n/a"),
        _xlpm.we_camera_on_date, IFERROR(AVERAGEIFS(Log!$F:$F, Log!$D:$D,J$4, Log!$C:$C, $A161, Log!$A:$A, "Daily", Log!$B:$B, "n/a"), 0),
        _xlpm.ie_camera_on_date, IFERROR(AVERAGEIFS(Log!$G:$G, Log!$D:$D,J$4,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1" s="68" t="str">
        <f>IFERROR(
    _xlfn.LET(
        _xlpm.is_data_present, $A161&lt;&gt;0,
        _xlpm.is_camera_present, COUNTIFS(Log!$C:$C, $A161, Log!$D:$D, K$4, Log!$A:$A, "Daily", Log!$B:$B, "n/a"),
        _xlpm.we_camera_on_date, IFERROR(AVERAGEIFS(Log!$F:$F, Log!$D:$D,K$4, Log!$C:$C, $A161, Log!$A:$A, "Daily", Log!$B:$B, "n/a"), 0),
        _xlpm.ie_camera_on_date, IFERROR(AVERAGEIFS(Log!$G:$G, Log!$D:$D,K$4,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1" s="68" t="str">
        <f>IFERROR(
    _xlfn.LET(
        _xlpm.is_data_present, $A161&lt;&gt;0,
        _xlpm.is_camera_present, COUNTIFS(Log!$C:$C, $A161, Log!$D:$D, L$4, Log!$A:$A, "Daily", Log!$B:$B, "n/a"),
        _xlpm.we_camera_on_date, IFERROR(AVERAGEIFS(Log!$F:$F, Log!$D:$D,L$4, Log!$C:$C, $A161, Log!$A:$A, "Daily", Log!$B:$B, "n/a"), 0),
        _xlpm.ie_camera_on_date, IFERROR(AVERAGEIFS(Log!$G:$G, Log!$D:$D,L$4,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1" s="68" t="str">
        <f>IFERROR(
    _xlfn.LET(
        _xlpm.is_data_present, $A161&lt;&gt;0,
        _xlpm.is_camera_present, COUNTIFS(Log!$C:$C, $A161, Log!$D:$D, M$4, Log!$A:$A, "Daily", Log!$B:$B, "n/a"),
        _xlpm.we_camera_on_date, IFERROR(AVERAGEIFS(Log!$F:$F, Log!$D:$D,M$4, Log!$C:$C, $A161, Log!$A:$A, "Daily", Log!$B:$B, "n/a"), 0),
        _xlpm.ie_camera_on_date, IFERROR(AVERAGEIFS(Log!$G:$G, Log!$D:$D,M$4,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1" s="68" t="str">
        <f>IFERROR(
    _xlfn.LET(
        _xlpm.is_data_present, $A161&lt;&gt;0,
        _xlpm.is_camera_present, COUNTIFS(Log!$C:$C, $A161, Log!$D:$D, N$4, Log!$A:$A, "Daily", Log!$B:$B, "n/a"),
        _xlpm.we_camera_on_date, IFERROR(AVERAGEIFS(Log!$F:$F, Log!$D:$D,N$4, Log!$C:$C, $A161, Log!$A:$A, "Daily", Log!$B:$B, "n/a"), 0),
        _xlpm.ie_camera_on_date, IFERROR(AVERAGEIFS(Log!$G:$G, Log!$D:$D,N$4,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1" s="68" t="str">
        <f>IFERROR(
    _xlfn.LET(
        _xlpm.is_data_present, $A161&lt;&gt;0,
        _xlpm.is_camera_present, COUNTIFS(Log!$C:$C, $A161, Log!$D:$D, O$4, Log!$A:$A, "Daily", Log!$B:$B, "n/a"),
        _xlpm.we_camera_on_date, IFERROR(AVERAGEIFS(Log!$F:$F, Log!$D:$D,O$4, Log!$C:$C, $A161, Log!$A:$A, "Daily", Log!$B:$B, "n/a"), 0),
        _xlpm.ie_camera_on_date, IFERROR(AVERAGEIFS(Log!$G:$G, Log!$D:$D,O$4,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1" s="68" t="str">
        <f>IFERROR(
    _xlfn.LET(
        _xlpm.is_data_present, $A161&lt;&gt;0,
        _xlpm.is_camera_present, COUNTIFS(Log!$C:$C, $A161, Log!$D:$D, P$4, Log!$A:$A, "Daily", Log!$B:$B, "n/a"),
        _xlpm.we_camera_on_date, IFERROR(AVERAGEIFS(Log!$F:$F, Log!$D:$D,P$4, Log!$C:$C, $A161, Log!$A:$A, "Daily", Log!$B:$B, "n/a"), 0),
        _xlpm.ie_camera_on_date, IFERROR(AVERAGEIFS(Log!$G:$G, Log!$D:$D,P$4,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1" s="68" t="str">
        <f>IFERROR(
    _xlfn.LET(
        _xlpm.is_data_present, $A161&lt;&gt;0,
        _xlpm.is_camera_present, COUNTIFS(Log!$C:$C, $A161, Log!$D:$D, Q$4, Log!$A:$A, "Daily", Log!$B:$B, "n/a"),
        _xlpm.we_camera_on_date, IFERROR(AVERAGEIFS(Log!$F:$F, Log!$D:$D,Q$4, Log!$C:$C, $A161, Log!$A:$A, "Daily", Log!$B:$B, "n/a"), 0),
        _xlpm.ie_camera_on_date, IFERROR(AVERAGEIFS(Log!$G:$G, Log!$D:$D,Q$4,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1" s="68" t="str">
        <f>IFERROR(
    _xlfn.LET(
        _xlpm.is_data_present, $A161&lt;&gt;0,
        _xlpm.is_camera_present, COUNTIFS(Log!$C:$C, $A161, Log!$D:$D, R$4, Log!$A:$A, "Daily", Log!$B:$B, "n/a"),
        _xlpm.we_camera_on_date, IFERROR(AVERAGEIFS(Log!$F:$F, Log!$D:$D,R$4, Log!$C:$C, $A161, Log!$A:$A, "Daily", Log!$B:$B, "n/a"), 0),
        _xlpm.ie_camera_on_date, IFERROR(AVERAGEIFS(Log!$G:$G, Log!$D:$D,R$4,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1" s="68" t="str">
        <f>IFERROR(
    _xlfn.LET(
        _xlpm.is_data_present, $A161&lt;&gt;0,
        _xlpm.is_camera_present, COUNTIFS(Log!$C:$C, $A161, Log!$D:$D, S$4, Log!$A:$A, "Daily", Log!$B:$B, "n/a"),
        _xlpm.we_camera_on_date, IFERROR(AVERAGEIFS(Log!$F:$F, Log!$D:$D,S$4, Log!$C:$C, $A161, Log!$A:$A, "Daily", Log!$B:$B, "n/a"), 0),
        _xlpm.ie_camera_on_date, IFERROR(AVERAGEIFS(Log!$G:$G, Log!$D:$D,S$4, Log!$C:$C, $A161, Log!$A:$A, "Daily", Log!$B:$B, "n/a"), 0),
        _xlpm.we_avg, IFERROR(AVERAGEIFS(Log!$F:$F,Log!$C:$C,$A161, Log!$A:$A, "Daily", Log!$B:$B, "n/a"),0),
        _xlpm.ie_avg, IFERROR(AVERAGEIFS(Log!$G:$G,Log!$C:$C,$A161,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2" spans="2:19" x14ac:dyDescent="0.3">
      <c r="B162" s="68" t="str">
        <f>IFERROR(
    _xlfn.LET(
        _xlpm.is_data_present, $A162&lt;&gt;0,
        _xlpm.is_camera_present, COUNTIFS(Log!$C:$C, $A162, Log!$D:$D, B$4, Log!$A:$A, "Daily", Log!$B:$B, "n/a"),
        _xlpm.we_camera_on_date, IFERROR(AVERAGEIFS(Log!$F:$F, Log!$D:$D,B$4, Log!$C:$C, $A162, Log!$A:$A, "Daily", Log!$B:$B, "n/a"), 0),
        _xlpm.ie_camera_on_date, IFERROR(AVERAGEIFS(Log!$G:$G, Log!$D:$D,B$4,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2" s="68" t="str">
        <f>IFERROR(
    _xlfn.LET(
        _xlpm.is_data_present, $A162&lt;&gt;0,
        _xlpm.is_camera_present, COUNTIFS(Log!$C:$C, $A162, Log!$D:$D, C$4, Log!$A:$A, "Daily", Log!$B:$B, "n/a"),
        _xlpm.we_camera_on_date, IFERROR(AVERAGEIFS(Log!$F:$F, Log!$D:$D,C$4, Log!$C:$C, $A162, Log!$A:$A, "Daily", Log!$B:$B, "n/a"), 0),
        _xlpm.ie_camera_on_date, IFERROR(AVERAGEIFS(Log!$G:$G, Log!$D:$D,C$4,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2" s="68" t="str">
        <f>IFERROR(
    _xlfn.LET(
        _xlpm.is_data_present, $A162&lt;&gt;0,
        _xlpm.is_camera_present, COUNTIFS(Log!$C:$C, $A162, Log!$D:$D, D$4, Log!$A:$A, "Daily", Log!$B:$B, "n/a"),
        _xlpm.we_camera_on_date, IFERROR(AVERAGEIFS(Log!$F:$F, Log!$D:$D,D$4, Log!$C:$C, $A162, Log!$A:$A, "Daily", Log!$B:$B, "n/a"), 0),
        _xlpm.ie_camera_on_date, IFERROR(AVERAGEIFS(Log!$G:$G, Log!$D:$D,D$4,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2" s="68" t="str">
        <f>IFERROR(
    _xlfn.LET(
        _xlpm.is_data_present, $A162&lt;&gt;0,
        _xlpm.is_camera_present, COUNTIFS(Log!$C:$C, $A162, Log!$D:$D, E$4, Log!$A:$A, "Daily", Log!$B:$B, "n/a"),
        _xlpm.we_camera_on_date, IFERROR(AVERAGEIFS(Log!$F:$F, Log!$D:$D,E$4, Log!$C:$C, $A162, Log!$A:$A, "Daily", Log!$B:$B, "n/a"), 0),
        _xlpm.ie_camera_on_date, IFERROR(AVERAGEIFS(Log!$G:$G, Log!$D:$D,E$4,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2" s="68" t="str">
        <f>IFERROR(
    _xlfn.LET(
        _xlpm.is_data_present, $A162&lt;&gt;0,
        _xlpm.is_camera_present, COUNTIFS(Log!$C:$C, $A162, Log!$D:$D, F$4, Log!$A:$A, "Daily", Log!$B:$B, "n/a"),
        _xlpm.we_camera_on_date, IFERROR(AVERAGEIFS(Log!$F:$F, Log!$D:$D,F$4, Log!$C:$C, $A162, Log!$A:$A, "Daily", Log!$B:$B, "n/a"), 0),
        _xlpm.ie_camera_on_date, IFERROR(AVERAGEIFS(Log!$G:$G, Log!$D:$D,F$4,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2" s="68" t="str">
        <f>IFERROR(
    _xlfn.LET(
        _xlpm.is_data_present, $A162&lt;&gt;0,
        _xlpm.is_camera_present, COUNTIFS(Log!$C:$C, $A162, Log!$D:$D, G$4, Log!$A:$A, "Daily", Log!$B:$B, "n/a"),
        _xlpm.we_camera_on_date, IFERROR(AVERAGEIFS(Log!$F:$F, Log!$D:$D,G$4, Log!$C:$C, $A162, Log!$A:$A, "Daily", Log!$B:$B, "n/a"), 0),
        _xlpm.ie_camera_on_date, IFERROR(AVERAGEIFS(Log!$G:$G, Log!$D:$D,G$4,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2" s="68" t="str">
        <f>IFERROR(
    _xlfn.LET(
        _xlpm.is_data_present, $A162&lt;&gt;0,
        _xlpm.is_camera_present, COUNTIFS(Log!$C:$C, $A162, Log!$D:$D, H$4, Log!$A:$A, "Daily", Log!$B:$B, "n/a"),
        _xlpm.we_camera_on_date, IFERROR(AVERAGEIFS(Log!$F:$F, Log!$D:$D,H$4, Log!$C:$C, $A162, Log!$A:$A, "Daily", Log!$B:$B, "n/a"), 0),
        _xlpm.ie_camera_on_date, IFERROR(AVERAGEIFS(Log!$G:$G, Log!$D:$D,H$4,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2" s="68" t="str">
        <f>IFERROR(
    _xlfn.LET(
        _xlpm.is_data_present, $A162&lt;&gt;0,
        _xlpm.is_camera_present, COUNTIFS(Log!$C:$C, $A162, Log!$D:$D, I$4, Log!$A:$A, "Daily", Log!$B:$B, "n/a"),
        _xlpm.we_camera_on_date, IFERROR(AVERAGEIFS(Log!$F:$F, Log!$D:$D,I$4, Log!$C:$C, $A162, Log!$A:$A, "Daily", Log!$B:$B, "n/a"), 0),
        _xlpm.ie_camera_on_date, IFERROR(AVERAGEIFS(Log!$G:$G, Log!$D:$D,I$4,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2" s="68" t="str">
        <f>IFERROR(
    _xlfn.LET(
        _xlpm.is_data_present, $A162&lt;&gt;0,
        _xlpm.is_camera_present, COUNTIFS(Log!$C:$C, $A162, Log!$D:$D, J$4, Log!$A:$A, "Daily", Log!$B:$B, "n/a"),
        _xlpm.we_camera_on_date, IFERROR(AVERAGEIFS(Log!$F:$F, Log!$D:$D,J$4, Log!$C:$C, $A162, Log!$A:$A, "Daily", Log!$B:$B, "n/a"), 0),
        _xlpm.ie_camera_on_date, IFERROR(AVERAGEIFS(Log!$G:$G, Log!$D:$D,J$4,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2" s="68" t="str">
        <f>IFERROR(
    _xlfn.LET(
        _xlpm.is_data_present, $A162&lt;&gt;0,
        _xlpm.is_camera_present, COUNTIFS(Log!$C:$C, $A162, Log!$D:$D, K$4, Log!$A:$A, "Daily", Log!$B:$B, "n/a"),
        _xlpm.we_camera_on_date, IFERROR(AVERAGEIFS(Log!$F:$F, Log!$D:$D,K$4, Log!$C:$C, $A162, Log!$A:$A, "Daily", Log!$B:$B, "n/a"), 0),
        _xlpm.ie_camera_on_date, IFERROR(AVERAGEIFS(Log!$G:$G, Log!$D:$D,K$4,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2" s="68" t="str">
        <f>IFERROR(
    _xlfn.LET(
        _xlpm.is_data_present, $A162&lt;&gt;0,
        _xlpm.is_camera_present, COUNTIFS(Log!$C:$C, $A162, Log!$D:$D, L$4, Log!$A:$A, "Daily", Log!$B:$B, "n/a"),
        _xlpm.we_camera_on_date, IFERROR(AVERAGEIFS(Log!$F:$F, Log!$D:$D,L$4, Log!$C:$C, $A162, Log!$A:$A, "Daily", Log!$B:$B, "n/a"), 0),
        _xlpm.ie_camera_on_date, IFERROR(AVERAGEIFS(Log!$G:$G, Log!$D:$D,L$4,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2" s="68" t="str">
        <f>IFERROR(
    _xlfn.LET(
        _xlpm.is_data_present, $A162&lt;&gt;0,
        _xlpm.is_camera_present, COUNTIFS(Log!$C:$C, $A162, Log!$D:$D, M$4, Log!$A:$A, "Daily", Log!$B:$B, "n/a"),
        _xlpm.we_camera_on_date, IFERROR(AVERAGEIFS(Log!$F:$F, Log!$D:$D,M$4, Log!$C:$C, $A162, Log!$A:$A, "Daily", Log!$B:$B, "n/a"), 0),
        _xlpm.ie_camera_on_date, IFERROR(AVERAGEIFS(Log!$G:$G, Log!$D:$D,M$4,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2" s="68" t="str">
        <f>IFERROR(
    _xlfn.LET(
        _xlpm.is_data_present, $A162&lt;&gt;0,
        _xlpm.is_camera_present, COUNTIFS(Log!$C:$C, $A162, Log!$D:$D, N$4, Log!$A:$A, "Daily", Log!$B:$B, "n/a"),
        _xlpm.we_camera_on_date, IFERROR(AVERAGEIFS(Log!$F:$F, Log!$D:$D,N$4, Log!$C:$C, $A162, Log!$A:$A, "Daily", Log!$B:$B, "n/a"), 0),
        _xlpm.ie_camera_on_date, IFERROR(AVERAGEIFS(Log!$G:$G, Log!$D:$D,N$4,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2" s="68" t="str">
        <f>IFERROR(
    _xlfn.LET(
        _xlpm.is_data_present, $A162&lt;&gt;0,
        _xlpm.is_camera_present, COUNTIFS(Log!$C:$C, $A162, Log!$D:$D, O$4, Log!$A:$A, "Daily", Log!$B:$B, "n/a"),
        _xlpm.we_camera_on_date, IFERROR(AVERAGEIFS(Log!$F:$F, Log!$D:$D,O$4, Log!$C:$C, $A162, Log!$A:$A, "Daily", Log!$B:$B, "n/a"), 0),
        _xlpm.ie_camera_on_date, IFERROR(AVERAGEIFS(Log!$G:$G, Log!$D:$D,O$4,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2" s="68" t="str">
        <f>IFERROR(
    _xlfn.LET(
        _xlpm.is_data_present, $A162&lt;&gt;0,
        _xlpm.is_camera_present, COUNTIFS(Log!$C:$C, $A162, Log!$D:$D, P$4, Log!$A:$A, "Daily", Log!$B:$B, "n/a"),
        _xlpm.we_camera_on_date, IFERROR(AVERAGEIFS(Log!$F:$F, Log!$D:$D,P$4, Log!$C:$C, $A162, Log!$A:$A, "Daily", Log!$B:$B, "n/a"), 0),
        _xlpm.ie_camera_on_date, IFERROR(AVERAGEIFS(Log!$G:$G, Log!$D:$D,P$4,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2" s="68" t="str">
        <f>IFERROR(
    _xlfn.LET(
        _xlpm.is_data_present, $A162&lt;&gt;0,
        _xlpm.is_camera_present, COUNTIFS(Log!$C:$C, $A162, Log!$D:$D, Q$4, Log!$A:$A, "Daily", Log!$B:$B, "n/a"),
        _xlpm.we_camera_on_date, IFERROR(AVERAGEIFS(Log!$F:$F, Log!$D:$D,Q$4, Log!$C:$C, $A162, Log!$A:$A, "Daily", Log!$B:$B, "n/a"), 0),
        _xlpm.ie_camera_on_date, IFERROR(AVERAGEIFS(Log!$G:$G, Log!$D:$D,Q$4,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2" s="68" t="str">
        <f>IFERROR(
    _xlfn.LET(
        _xlpm.is_data_present, $A162&lt;&gt;0,
        _xlpm.is_camera_present, COUNTIFS(Log!$C:$C, $A162, Log!$D:$D, R$4, Log!$A:$A, "Daily", Log!$B:$B, "n/a"),
        _xlpm.we_camera_on_date, IFERROR(AVERAGEIFS(Log!$F:$F, Log!$D:$D,R$4, Log!$C:$C, $A162, Log!$A:$A, "Daily", Log!$B:$B, "n/a"), 0),
        _xlpm.ie_camera_on_date, IFERROR(AVERAGEIFS(Log!$G:$G, Log!$D:$D,R$4,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2" s="68" t="str">
        <f>IFERROR(
    _xlfn.LET(
        _xlpm.is_data_present, $A162&lt;&gt;0,
        _xlpm.is_camera_present, COUNTIFS(Log!$C:$C, $A162, Log!$D:$D, S$4, Log!$A:$A, "Daily", Log!$B:$B, "n/a"),
        _xlpm.we_camera_on_date, IFERROR(AVERAGEIFS(Log!$F:$F, Log!$D:$D,S$4, Log!$C:$C, $A162, Log!$A:$A, "Daily", Log!$B:$B, "n/a"), 0),
        _xlpm.ie_camera_on_date, IFERROR(AVERAGEIFS(Log!$G:$G, Log!$D:$D,S$4, Log!$C:$C, $A162, Log!$A:$A, "Daily", Log!$B:$B, "n/a"), 0),
        _xlpm.we_avg, IFERROR(AVERAGEIFS(Log!$F:$F,Log!$C:$C,$A162, Log!$A:$A, "Daily", Log!$B:$B, "n/a"),0),
        _xlpm.ie_avg, IFERROR(AVERAGEIFS(Log!$G:$G,Log!$C:$C,$A162,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3" spans="2:19" x14ac:dyDescent="0.3">
      <c r="B163" s="68" t="str">
        <f>IFERROR(
    _xlfn.LET(
        _xlpm.is_data_present, $A163&lt;&gt;0,
        _xlpm.is_camera_present, COUNTIFS(Log!$C:$C, $A163, Log!$D:$D, B$4, Log!$A:$A, "Daily", Log!$B:$B, "n/a"),
        _xlpm.we_camera_on_date, IFERROR(AVERAGEIFS(Log!$F:$F, Log!$D:$D,B$4, Log!$C:$C, $A163, Log!$A:$A, "Daily", Log!$B:$B, "n/a"), 0),
        _xlpm.ie_camera_on_date, IFERROR(AVERAGEIFS(Log!$G:$G, Log!$D:$D,B$4,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3" s="68" t="str">
        <f>IFERROR(
    _xlfn.LET(
        _xlpm.is_data_present, $A163&lt;&gt;0,
        _xlpm.is_camera_present, COUNTIFS(Log!$C:$C, $A163, Log!$D:$D, C$4, Log!$A:$A, "Daily", Log!$B:$B, "n/a"),
        _xlpm.we_camera_on_date, IFERROR(AVERAGEIFS(Log!$F:$F, Log!$D:$D,C$4, Log!$C:$C, $A163, Log!$A:$A, "Daily", Log!$B:$B, "n/a"), 0),
        _xlpm.ie_camera_on_date, IFERROR(AVERAGEIFS(Log!$G:$G, Log!$D:$D,C$4,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3" s="68" t="str">
        <f>IFERROR(
    _xlfn.LET(
        _xlpm.is_data_present, $A163&lt;&gt;0,
        _xlpm.is_camera_present, COUNTIFS(Log!$C:$C, $A163, Log!$D:$D, D$4, Log!$A:$A, "Daily", Log!$B:$B, "n/a"),
        _xlpm.we_camera_on_date, IFERROR(AVERAGEIFS(Log!$F:$F, Log!$D:$D,D$4, Log!$C:$C, $A163, Log!$A:$A, "Daily", Log!$B:$B, "n/a"), 0),
        _xlpm.ie_camera_on_date, IFERROR(AVERAGEIFS(Log!$G:$G, Log!$D:$D,D$4,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3" s="68" t="str">
        <f>IFERROR(
    _xlfn.LET(
        _xlpm.is_data_present, $A163&lt;&gt;0,
        _xlpm.is_camera_present, COUNTIFS(Log!$C:$C, $A163, Log!$D:$D, E$4, Log!$A:$A, "Daily", Log!$B:$B, "n/a"),
        _xlpm.we_camera_on_date, IFERROR(AVERAGEIFS(Log!$F:$F, Log!$D:$D,E$4, Log!$C:$C, $A163, Log!$A:$A, "Daily", Log!$B:$B, "n/a"), 0),
        _xlpm.ie_camera_on_date, IFERROR(AVERAGEIFS(Log!$G:$G, Log!$D:$D,E$4,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3" s="68" t="str">
        <f>IFERROR(
    _xlfn.LET(
        _xlpm.is_data_present, $A163&lt;&gt;0,
        _xlpm.is_camera_present, COUNTIFS(Log!$C:$C, $A163, Log!$D:$D, F$4, Log!$A:$A, "Daily", Log!$B:$B, "n/a"),
        _xlpm.we_camera_on_date, IFERROR(AVERAGEIFS(Log!$F:$F, Log!$D:$D,F$4, Log!$C:$C, $A163, Log!$A:$A, "Daily", Log!$B:$B, "n/a"), 0),
        _xlpm.ie_camera_on_date, IFERROR(AVERAGEIFS(Log!$G:$G, Log!$D:$D,F$4,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3" s="68" t="str">
        <f>IFERROR(
    _xlfn.LET(
        _xlpm.is_data_present, $A163&lt;&gt;0,
        _xlpm.is_camera_present, COUNTIFS(Log!$C:$C, $A163, Log!$D:$D, G$4, Log!$A:$A, "Daily", Log!$B:$B, "n/a"),
        _xlpm.we_camera_on_date, IFERROR(AVERAGEIFS(Log!$F:$F, Log!$D:$D,G$4, Log!$C:$C, $A163, Log!$A:$A, "Daily", Log!$B:$B, "n/a"), 0),
        _xlpm.ie_camera_on_date, IFERROR(AVERAGEIFS(Log!$G:$G, Log!$D:$D,G$4,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3" s="68" t="str">
        <f>IFERROR(
    _xlfn.LET(
        _xlpm.is_data_present, $A163&lt;&gt;0,
        _xlpm.is_camera_present, COUNTIFS(Log!$C:$C, $A163, Log!$D:$D, H$4, Log!$A:$A, "Daily", Log!$B:$B, "n/a"),
        _xlpm.we_camera_on_date, IFERROR(AVERAGEIFS(Log!$F:$F, Log!$D:$D,H$4, Log!$C:$C, $A163, Log!$A:$A, "Daily", Log!$B:$B, "n/a"), 0),
        _xlpm.ie_camera_on_date, IFERROR(AVERAGEIFS(Log!$G:$G, Log!$D:$D,H$4,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3" s="68" t="str">
        <f>IFERROR(
    _xlfn.LET(
        _xlpm.is_data_present, $A163&lt;&gt;0,
        _xlpm.is_camera_present, COUNTIFS(Log!$C:$C, $A163, Log!$D:$D, I$4, Log!$A:$A, "Daily", Log!$B:$B, "n/a"),
        _xlpm.we_camera_on_date, IFERROR(AVERAGEIFS(Log!$F:$F, Log!$D:$D,I$4, Log!$C:$C, $A163, Log!$A:$A, "Daily", Log!$B:$B, "n/a"), 0),
        _xlpm.ie_camera_on_date, IFERROR(AVERAGEIFS(Log!$G:$G, Log!$D:$D,I$4,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3" s="68" t="str">
        <f>IFERROR(
    _xlfn.LET(
        _xlpm.is_data_present, $A163&lt;&gt;0,
        _xlpm.is_camera_present, COUNTIFS(Log!$C:$C, $A163, Log!$D:$D, J$4, Log!$A:$A, "Daily", Log!$B:$B, "n/a"),
        _xlpm.we_camera_on_date, IFERROR(AVERAGEIFS(Log!$F:$F, Log!$D:$D,J$4, Log!$C:$C, $A163, Log!$A:$A, "Daily", Log!$B:$B, "n/a"), 0),
        _xlpm.ie_camera_on_date, IFERROR(AVERAGEIFS(Log!$G:$G, Log!$D:$D,J$4,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3" s="68" t="str">
        <f>IFERROR(
    _xlfn.LET(
        _xlpm.is_data_present, $A163&lt;&gt;0,
        _xlpm.is_camera_present, COUNTIFS(Log!$C:$C, $A163, Log!$D:$D, K$4, Log!$A:$A, "Daily", Log!$B:$B, "n/a"),
        _xlpm.we_camera_on_date, IFERROR(AVERAGEIFS(Log!$F:$F, Log!$D:$D,K$4, Log!$C:$C, $A163, Log!$A:$A, "Daily", Log!$B:$B, "n/a"), 0),
        _xlpm.ie_camera_on_date, IFERROR(AVERAGEIFS(Log!$G:$G, Log!$D:$D,K$4,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3" s="68" t="str">
        <f>IFERROR(
    _xlfn.LET(
        _xlpm.is_data_present, $A163&lt;&gt;0,
        _xlpm.is_camera_present, COUNTIFS(Log!$C:$C, $A163, Log!$D:$D, L$4, Log!$A:$A, "Daily", Log!$B:$B, "n/a"),
        _xlpm.we_camera_on_date, IFERROR(AVERAGEIFS(Log!$F:$F, Log!$D:$D,L$4, Log!$C:$C, $A163, Log!$A:$A, "Daily", Log!$B:$B, "n/a"), 0),
        _xlpm.ie_camera_on_date, IFERROR(AVERAGEIFS(Log!$G:$G, Log!$D:$D,L$4,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3" s="68" t="str">
        <f>IFERROR(
    _xlfn.LET(
        _xlpm.is_data_present, $A163&lt;&gt;0,
        _xlpm.is_camera_present, COUNTIFS(Log!$C:$C, $A163, Log!$D:$D, M$4, Log!$A:$A, "Daily", Log!$B:$B, "n/a"),
        _xlpm.we_camera_on_date, IFERROR(AVERAGEIFS(Log!$F:$F, Log!$D:$D,M$4, Log!$C:$C, $A163, Log!$A:$A, "Daily", Log!$B:$B, "n/a"), 0),
        _xlpm.ie_camera_on_date, IFERROR(AVERAGEIFS(Log!$G:$G, Log!$D:$D,M$4,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3" s="68" t="str">
        <f>IFERROR(
    _xlfn.LET(
        _xlpm.is_data_present, $A163&lt;&gt;0,
        _xlpm.is_camera_present, COUNTIFS(Log!$C:$C, $A163, Log!$D:$D, N$4, Log!$A:$A, "Daily", Log!$B:$B, "n/a"),
        _xlpm.we_camera_on_date, IFERROR(AVERAGEIFS(Log!$F:$F, Log!$D:$D,N$4, Log!$C:$C, $A163, Log!$A:$A, "Daily", Log!$B:$B, "n/a"), 0),
        _xlpm.ie_camera_on_date, IFERROR(AVERAGEIFS(Log!$G:$G, Log!$D:$D,N$4,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3" s="68" t="str">
        <f>IFERROR(
    _xlfn.LET(
        _xlpm.is_data_present, $A163&lt;&gt;0,
        _xlpm.is_camera_present, COUNTIFS(Log!$C:$C, $A163, Log!$D:$D, O$4, Log!$A:$A, "Daily", Log!$B:$B, "n/a"),
        _xlpm.we_camera_on_date, IFERROR(AVERAGEIFS(Log!$F:$F, Log!$D:$D,O$4, Log!$C:$C, $A163, Log!$A:$A, "Daily", Log!$B:$B, "n/a"), 0),
        _xlpm.ie_camera_on_date, IFERROR(AVERAGEIFS(Log!$G:$G, Log!$D:$D,O$4,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3" s="68" t="str">
        <f>IFERROR(
    _xlfn.LET(
        _xlpm.is_data_present, $A163&lt;&gt;0,
        _xlpm.is_camera_present, COUNTIFS(Log!$C:$C, $A163, Log!$D:$D, P$4, Log!$A:$A, "Daily", Log!$B:$B, "n/a"),
        _xlpm.we_camera_on_date, IFERROR(AVERAGEIFS(Log!$F:$F, Log!$D:$D,P$4, Log!$C:$C, $A163, Log!$A:$A, "Daily", Log!$B:$B, "n/a"), 0),
        _xlpm.ie_camera_on_date, IFERROR(AVERAGEIFS(Log!$G:$G, Log!$D:$D,P$4,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3" s="68" t="str">
        <f>IFERROR(
    _xlfn.LET(
        _xlpm.is_data_present, $A163&lt;&gt;0,
        _xlpm.is_camera_present, COUNTIFS(Log!$C:$C, $A163, Log!$D:$D, Q$4, Log!$A:$A, "Daily", Log!$B:$B, "n/a"),
        _xlpm.we_camera_on_date, IFERROR(AVERAGEIFS(Log!$F:$F, Log!$D:$D,Q$4, Log!$C:$C, $A163, Log!$A:$A, "Daily", Log!$B:$B, "n/a"), 0),
        _xlpm.ie_camera_on_date, IFERROR(AVERAGEIFS(Log!$G:$G, Log!$D:$D,Q$4,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3" s="68" t="str">
        <f>IFERROR(
    _xlfn.LET(
        _xlpm.is_data_present, $A163&lt;&gt;0,
        _xlpm.is_camera_present, COUNTIFS(Log!$C:$C, $A163, Log!$D:$D, R$4, Log!$A:$A, "Daily", Log!$B:$B, "n/a"),
        _xlpm.we_camera_on_date, IFERROR(AVERAGEIFS(Log!$F:$F, Log!$D:$D,R$4, Log!$C:$C, $A163, Log!$A:$A, "Daily", Log!$B:$B, "n/a"), 0),
        _xlpm.ie_camera_on_date, IFERROR(AVERAGEIFS(Log!$G:$G, Log!$D:$D,R$4,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3" s="68" t="str">
        <f>IFERROR(
    _xlfn.LET(
        _xlpm.is_data_present, $A163&lt;&gt;0,
        _xlpm.is_camera_present, COUNTIFS(Log!$C:$C, $A163, Log!$D:$D, S$4, Log!$A:$A, "Daily", Log!$B:$B, "n/a"),
        _xlpm.we_camera_on_date, IFERROR(AVERAGEIFS(Log!$F:$F, Log!$D:$D,S$4, Log!$C:$C, $A163, Log!$A:$A, "Daily", Log!$B:$B, "n/a"), 0),
        _xlpm.ie_camera_on_date, IFERROR(AVERAGEIFS(Log!$G:$G, Log!$D:$D,S$4, Log!$C:$C, $A163, Log!$A:$A, "Daily", Log!$B:$B, "n/a"), 0),
        _xlpm.we_avg, IFERROR(AVERAGEIFS(Log!$F:$F,Log!$C:$C,$A163, Log!$A:$A, "Daily", Log!$B:$B, "n/a"),0),
        _xlpm.ie_avg, IFERROR(AVERAGEIFS(Log!$G:$G,Log!$C:$C,$A163,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4" spans="2:19" x14ac:dyDescent="0.3">
      <c r="B164" s="68" t="str">
        <f>IFERROR(
    _xlfn.LET(
        _xlpm.is_data_present, $A164&lt;&gt;0,
        _xlpm.is_camera_present, COUNTIFS(Log!$C:$C, $A164, Log!$D:$D, B$4, Log!$A:$A, "Daily", Log!$B:$B, "n/a"),
        _xlpm.we_camera_on_date, IFERROR(AVERAGEIFS(Log!$F:$F, Log!$D:$D,B$4, Log!$C:$C, $A164, Log!$A:$A, "Daily", Log!$B:$B, "n/a"), 0),
        _xlpm.ie_camera_on_date, IFERROR(AVERAGEIFS(Log!$G:$G, Log!$D:$D,B$4,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4" s="68" t="str">
        <f>IFERROR(
    _xlfn.LET(
        _xlpm.is_data_present, $A164&lt;&gt;0,
        _xlpm.is_camera_present, COUNTIFS(Log!$C:$C, $A164, Log!$D:$D, C$4, Log!$A:$A, "Daily", Log!$B:$B, "n/a"),
        _xlpm.we_camera_on_date, IFERROR(AVERAGEIFS(Log!$F:$F, Log!$D:$D,C$4, Log!$C:$C, $A164, Log!$A:$A, "Daily", Log!$B:$B, "n/a"), 0),
        _xlpm.ie_camera_on_date, IFERROR(AVERAGEIFS(Log!$G:$G, Log!$D:$D,C$4,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4" s="68" t="str">
        <f>IFERROR(
    _xlfn.LET(
        _xlpm.is_data_present, $A164&lt;&gt;0,
        _xlpm.is_camera_present, COUNTIFS(Log!$C:$C, $A164, Log!$D:$D, D$4, Log!$A:$A, "Daily", Log!$B:$B, "n/a"),
        _xlpm.we_camera_on_date, IFERROR(AVERAGEIFS(Log!$F:$F, Log!$D:$D,D$4, Log!$C:$C, $A164, Log!$A:$A, "Daily", Log!$B:$B, "n/a"), 0),
        _xlpm.ie_camera_on_date, IFERROR(AVERAGEIFS(Log!$G:$G, Log!$D:$D,D$4,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4" s="68" t="str">
        <f>IFERROR(
    _xlfn.LET(
        _xlpm.is_data_present, $A164&lt;&gt;0,
        _xlpm.is_camera_present, COUNTIFS(Log!$C:$C, $A164, Log!$D:$D, E$4, Log!$A:$A, "Daily", Log!$B:$B, "n/a"),
        _xlpm.we_camera_on_date, IFERROR(AVERAGEIFS(Log!$F:$F, Log!$D:$D,E$4, Log!$C:$C, $A164, Log!$A:$A, "Daily", Log!$B:$B, "n/a"), 0),
        _xlpm.ie_camera_on_date, IFERROR(AVERAGEIFS(Log!$G:$G, Log!$D:$D,E$4,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4" s="68" t="str">
        <f>IFERROR(
    _xlfn.LET(
        _xlpm.is_data_present, $A164&lt;&gt;0,
        _xlpm.is_camera_present, COUNTIFS(Log!$C:$C, $A164, Log!$D:$D, F$4, Log!$A:$A, "Daily", Log!$B:$B, "n/a"),
        _xlpm.we_camera_on_date, IFERROR(AVERAGEIFS(Log!$F:$F, Log!$D:$D,F$4, Log!$C:$C, $A164, Log!$A:$A, "Daily", Log!$B:$B, "n/a"), 0),
        _xlpm.ie_camera_on_date, IFERROR(AVERAGEIFS(Log!$G:$G, Log!$D:$D,F$4,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4" s="68" t="str">
        <f>IFERROR(
    _xlfn.LET(
        _xlpm.is_data_present, $A164&lt;&gt;0,
        _xlpm.is_camera_present, COUNTIFS(Log!$C:$C, $A164, Log!$D:$D, G$4, Log!$A:$A, "Daily", Log!$B:$B, "n/a"),
        _xlpm.we_camera_on_date, IFERROR(AVERAGEIFS(Log!$F:$F, Log!$D:$D,G$4, Log!$C:$C, $A164, Log!$A:$A, "Daily", Log!$B:$B, "n/a"), 0),
        _xlpm.ie_camera_on_date, IFERROR(AVERAGEIFS(Log!$G:$G, Log!$D:$D,G$4,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4" s="68" t="str">
        <f>IFERROR(
    _xlfn.LET(
        _xlpm.is_data_present, $A164&lt;&gt;0,
        _xlpm.is_camera_present, COUNTIFS(Log!$C:$C, $A164, Log!$D:$D, H$4, Log!$A:$A, "Daily", Log!$B:$B, "n/a"),
        _xlpm.we_camera_on_date, IFERROR(AVERAGEIFS(Log!$F:$F, Log!$D:$D,H$4, Log!$C:$C, $A164, Log!$A:$A, "Daily", Log!$B:$B, "n/a"), 0),
        _xlpm.ie_camera_on_date, IFERROR(AVERAGEIFS(Log!$G:$G, Log!$D:$D,H$4,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4" s="68" t="str">
        <f>IFERROR(
    _xlfn.LET(
        _xlpm.is_data_present, $A164&lt;&gt;0,
        _xlpm.is_camera_present, COUNTIFS(Log!$C:$C, $A164, Log!$D:$D, I$4, Log!$A:$A, "Daily", Log!$B:$B, "n/a"),
        _xlpm.we_camera_on_date, IFERROR(AVERAGEIFS(Log!$F:$F, Log!$D:$D,I$4, Log!$C:$C, $A164, Log!$A:$A, "Daily", Log!$B:$B, "n/a"), 0),
        _xlpm.ie_camera_on_date, IFERROR(AVERAGEIFS(Log!$G:$G, Log!$D:$D,I$4,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4" s="68" t="str">
        <f>IFERROR(
    _xlfn.LET(
        _xlpm.is_data_present, $A164&lt;&gt;0,
        _xlpm.is_camera_present, COUNTIFS(Log!$C:$C, $A164, Log!$D:$D, J$4, Log!$A:$A, "Daily", Log!$B:$B, "n/a"),
        _xlpm.we_camera_on_date, IFERROR(AVERAGEIFS(Log!$F:$F, Log!$D:$D,J$4, Log!$C:$C, $A164, Log!$A:$A, "Daily", Log!$B:$B, "n/a"), 0),
        _xlpm.ie_camera_on_date, IFERROR(AVERAGEIFS(Log!$G:$G, Log!$D:$D,J$4,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4" s="68" t="str">
        <f>IFERROR(
    _xlfn.LET(
        _xlpm.is_data_present, $A164&lt;&gt;0,
        _xlpm.is_camera_present, COUNTIFS(Log!$C:$C, $A164, Log!$D:$D, K$4, Log!$A:$A, "Daily", Log!$B:$B, "n/a"),
        _xlpm.we_camera_on_date, IFERROR(AVERAGEIFS(Log!$F:$F, Log!$D:$D,K$4, Log!$C:$C, $A164, Log!$A:$A, "Daily", Log!$B:$B, "n/a"), 0),
        _xlpm.ie_camera_on_date, IFERROR(AVERAGEIFS(Log!$G:$G, Log!$D:$D,K$4,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4" s="68" t="str">
        <f>IFERROR(
    _xlfn.LET(
        _xlpm.is_data_present, $A164&lt;&gt;0,
        _xlpm.is_camera_present, COUNTIFS(Log!$C:$C, $A164, Log!$D:$D, L$4, Log!$A:$A, "Daily", Log!$B:$B, "n/a"),
        _xlpm.we_camera_on_date, IFERROR(AVERAGEIFS(Log!$F:$F, Log!$D:$D,L$4, Log!$C:$C, $A164, Log!$A:$A, "Daily", Log!$B:$B, "n/a"), 0),
        _xlpm.ie_camera_on_date, IFERROR(AVERAGEIFS(Log!$G:$G, Log!$D:$D,L$4,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4" s="68" t="str">
        <f>IFERROR(
    _xlfn.LET(
        _xlpm.is_data_present, $A164&lt;&gt;0,
        _xlpm.is_camera_present, COUNTIFS(Log!$C:$C, $A164, Log!$D:$D, M$4, Log!$A:$A, "Daily", Log!$B:$B, "n/a"),
        _xlpm.we_camera_on_date, IFERROR(AVERAGEIFS(Log!$F:$F, Log!$D:$D,M$4, Log!$C:$C, $A164, Log!$A:$A, "Daily", Log!$B:$B, "n/a"), 0),
        _xlpm.ie_camera_on_date, IFERROR(AVERAGEIFS(Log!$G:$G, Log!$D:$D,M$4,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4" s="68" t="str">
        <f>IFERROR(
    _xlfn.LET(
        _xlpm.is_data_present, $A164&lt;&gt;0,
        _xlpm.is_camera_present, COUNTIFS(Log!$C:$C, $A164, Log!$D:$D, N$4, Log!$A:$A, "Daily", Log!$B:$B, "n/a"),
        _xlpm.we_camera_on_date, IFERROR(AVERAGEIFS(Log!$F:$F, Log!$D:$D,N$4, Log!$C:$C, $A164, Log!$A:$A, "Daily", Log!$B:$B, "n/a"), 0),
        _xlpm.ie_camera_on_date, IFERROR(AVERAGEIFS(Log!$G:$G, Log!$D:$D,N$4,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4" s="68" t="str">
        <f>IFERROR(
    _xlfn.LET(
        _xlpm.is_data_present, $A164&lt;&gt;0,
        _xlpm.is_camera_present, COUNTIFS(Log!$C:$C, $A164, Log!$D:$D, O$4, Log!$A:$A, "Daily", Log!$B:$B, "n/a"),
        _xlpm.we_camera_on_date, IFERROR(AVERAGEIFS(Log!$F:$F, Log!$D:$D,O$4, Log!$C:$C, $A164, Log!$A:$A, "Daily", Log!$B:$B, "n/a"), 0),
        _xlpm.ie_camera_on_date, IFERROR(AVERAGEIFS(Log!$G:$G, Log!$D:$D,O$4,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4" s="68" t="str">
        <f>IFERROR(
    _xlfn.LET(
        _xlpm.is_data_present, $A164&lt;&gt;0,
        _xlpm.is_camera_present, COUNTIFS(Log!$C:$C, $A164, Log!$D:$D, P$4, Log!$A:$A, "Daily", Log!$B:$B, "n/a"),
        _xlpm.we_camera_on_date, IFERROR(AVERAGEIFS(Log!$F:$F, Log!$D:$D,P$4, Log!$C:$C, $A164, Log!$A:$A, "Daily", Log!$B:$B, "n/a"), 0),
        _xlpm.ie_camera_on_date, IFERROR(AVERAGEIFS(Log!$G:$G, Log!$D:$D,P$4,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4" s="68" t="str">
        <f>IFERROR(
    _xlfn.LET(
        _xlpm.is_data_present, $A164&lt;&gt;0,
        _xlpm.is_camera_present, COUNTIFS(Log!$C:$C, $A164, Log!$D:$D, Q$4, Log!$A:$A, "Daily", Log!$B:$B, "n/a"),
        _xlpm.we_camera_on_date, IFERROR(AVERAGEIFS(Log!$F:$F, Log!$D:$D,Q$4, Log!$C:$C, $A164, Log!$A:$A, "Daily", Log!$B:$B, "n/a"), 0),
        _xlpm.ie_camera_on_date, IFERROR(AVERAGEIFS(Log!$G:$G, Log!$D:$D,Q$4,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4" s="68" t="str">
        <f>IFERROR(
    _xlfn.LET(
        _xlpm.is_data_present, $A164&lt;&gt;0,
        _xlpm.is_camera_present, COUNTIFS(Log!$C:$C, $A164, Log!$D:$D, R$4, Log!$A:$A, "Daily", Log!$B:$B, "n/a"),
        _xlpm.we_camera_on_date, IFERROR(AVERAGEIFS(Log!$F:$F, Log!$D:$D,R$4, Log!$C:$C, $A164, Log!$A:$A, "Daily", Log!$B:$B, "n/a"), 0),
        _xlpm.ie_camera_on_date, IFERROR(AVERAGEIFS(Log!$G:$G, Log!$D:$D,R$4,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4" s="68" t="str">
        <f>IFERROR(
    _xlfn.LET(
        _xlpm.is_data_present, $A164&lt;&gt;0,
        _xlpm.is_camera_present, COUNTIFS(Log!$C:$C, $A164, Log!$D:$D, S$4, Log!$A:$A, "Daily", Log!$B:$B, "n/a"),
        _xlpm.we_camera_on_date, IFERROR(AVERAGEIFS(Log!$F:$F, Log!$D:$D,S$4, Log!$C:$C, $A164, Log!$A:$A, "Daily", Log!$B:$B, "n/a"), 0),
        _xlpm.ie_camera_on_date, IFERROR(AVERAGEIFS(Log!$G:$G, Log!$D:$D,S$4, Log!$C:$C, $A164, Log!$A:$A, "Daily", Log!$B:$B, "n/a"), 0),
        _xlpm.we_avg, IFERROR(AVERAGEIFS(Log!$F:$F,Log!$C:$C,$A164, Log!$A:$A, "Daily", Log!$B:$B, "n/a"),0),
        _xlpm.ie_avg, IFERROR(AVERAGEIFS(Log!$G:$G,Log!$C:$C,$A164,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5" spans="2:19" x14ac:dyDescent="0.3">
      <c r="B165" s="68" t="str">
        <f>IFERROR(
    _xlfn.LET(
        _xlpm.is_data_present, $A165&lt;&gt;0,
        _xlpm.is_camera_present, COUNTIFS(Log!$C:$C, $A165, Log!$D:$D, B$4, Log!$A:$A, "Daily", Log!$B:$B, "n/a"),
        _xlpm.we_camera_on_date, IFERROR(AVERAGEIFS(Log!$F:$F, Log!$D:$D,B$4, Log!$C:$C, $A165, Log!$A:$A, "Daily", Log!$B:$B, "n/a"), 0),
        _xlpm.ie_camera_on_date, IFERROR(AVERAGEIFS(Log!$G:$G, Log!$D:$D,B$4,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5" s="68" t="str">
        <f>IFERROR(
    _xlfn.LET(
        _xlpm.is_data_present, $A165&lt;&gt;0,
        _xlpm.is_camera_present, COUNTIFS(Log!$C:$C, $A165, Log!$D:$D, C$4, Log!$A:$A, "Daily", Log!$B:$B, "n/a"),
        _xlpm.we_camera_on_date, IFERROR(AVERAGEIFS(Log!$F:$F, Log!$D:$D,C$4, Log!$C:$C, $A165, Log!$A:$A, "Daily", Log!$B:$B, "n/a"), 0),
        _xlpm.ie_camera_on_date, IFERROR(AVERAGEIFS(Log!$G:$G, Log!$D:$D,C$4,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5" s="68" t="str">
        <f>IFERROR(
    _xlfn.LET(
        _xlpm.is_data_present, $A165&lt;&gt;0,
        _xlpm.is_camera_present, COUNTIFS(Log!$C:$C, $A165, Log!$D:$D, D$4, Log!$A:$A, "Daily", Log!$B:$B, "n/a"),
        _xlpm.we_camera_on_date, IFERROR(AVERAGEIFS(Log!$F:$F, Log!$D:$D,D$4, Log!$C:$C, $A165, Log!$A:$A, "Daily", Log!$B:$B, "n/a"), 0),
        _xlpm.ie_camera_on_date, IFERROR(AVERAGEIFS(Log!$G:$G, Log!$D:$D,D$4,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5" s="68" t="str">
        <f>IFERROR(
    _xlfn.LET(
        _xlpm.is_data_present, $A165&lt;&gt;0,
        _xlpm.is_camera_present, COUNTIFS(Log!$C:$C, $A165, Log!$D:$D, E$4, Log!$A:$A, "Daily", Log!$B:$B, "n/a"),
        _xlpm.we_camera_on_date, IFERROR(AVERAGEIFS(Log!$F:$F, Log!$D:$D,E$4, Log!$C:$C, $A165, Log!$A:$A, "Daily", Log!$B:$B, "n/a"), 0),
        _xlpm.ie_camera_on_date, IFERROR(AVERAGEIFS(Log!$G:$G, Log!$D:$D,E$4,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5" s="68" t="str">
        <f>IFERROR(
    _xlfn.LET(
        _xlpm.is_data_present, $A165&lt;&gt;0,
        _xlpm.is_camera_present, COUNTIFS(Log!$C:$C, $A165, Log!$D:$D, F$4, Log!$A:$A, "Daily", Log!$B:$B, "n/a"),
        _xlpm.we_camera_on_date, IFERROR(AVERAGEIFS(Log!$F:$F, Log!$D:$D,F$4, Log!$C:$C, $A165, Log!$A:$A, "Daily", Log!$B:$B, "n/a"), 0),
        _xlpm.ie_camera_on_date, IFERROR(AVERAGEIFS(Log!$G:$G, Log!$D:$D,F$4,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5" s="68" t="str">
        <f>IFERROR(
    _xlfn.LET(
        _xlpm.is_data_present, $A165&lt;&gt;0,
        _xlpm.is_camera_present, COUNTIFS(Log!$C:$C, $A165, Log!$D:$D, G$4, Log!$A:$A, "Daily", Log!$B:$B, "n/a"),
        _xlpm.we_camera_on_date, IFERROR(AVERAGEIFS(Log!$F:$F, Log!$D:$D,G$4, Log!$C:$C, $A165, Log!$A:$A, "Daily", Log!$B:$B, "n/a"), 0),
        _xlpm.ie_camera_on_date, IFERROR(AVERAGEIFS(Log!$G:$G, Log!$D:$D,G$4,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5" s="68" t="str">
        <f>IFERROR(
    _xlfn.LET(
        _xlpm.is_data_present, $A165&lt;&gt;0,
        _xlpm.is_camera_present, COUNTIFS(Log!$C:$C, $A165, Log!$D:$D, H$4, Log!$A:$A, "Daily", Log!$B:$B, "n/a"),
        _xlpm.we_camera_on_date, IFERROR(AVERAGEIFS(Log!$F:$F, Log!$D:$D,H$4, Log!$C:$C, $A165, Log!$A:$A, "Daily", Log!$B:$B, "n/a"), 0),
        _xlpm.ie_camera_on_date, IFERROR(AVERAGEIFS(Log!$G:$G, Log!$D:$D,H$4,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5" s="68" t="str">
        <f>IFERROR(
    _xlfn.LET(
        _xlpm.is_data_present, $A165&lt;&gt;0,
        _xlpm.is_camera_present, COUNTIFS(Log!$C:$C, $A165, Log!$D:$D, I$4, Log!$A:$A, "Daily", Log!$B:$B, "n/a"),
        _xlpm.we_camera_on_date, IFERROR(AVERAGEIFS(Log!$F:$F, Log!$D:$D,I$4, Log!$C:$C, $A165, Log!$A:$A, "Daily", Log!$B:$B, "n/a"), 0),
        _xlpm.ie_camera_on_date, IFERROR(AVERAGEIFS(Log!$G:$G, Log!$D:$D,I$4,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5" s="68" t="str">
        <f>IFERROR(
    _xlfn.LET(
        _xlpm.is_data_present, $A165&lt;&gt;0,
        _xlpm.is_camera_present, COUNTIFS(Log!$C:$C, $A165, Log!$D:$D, J$4, Log!$A:$A, "Daily", Log!$B:$B, "n/a"),
        _xlpm.we_camera_on_date, IFERROR(AVERAGEIFS(Log!$F:$F, Log!$D:$D,J$4, Log!$C:$C, $A165, Log!$A:$A, "Daily", Log!$B:$B, "n/a"), 0),
        _xlpm.ie_camera_on_date, IFERROR(AVERAGEIFS(Log!$G:$G, Log!$D:$D,J$4,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5" s="68" t="str">
        <f>IFERROR(
    _xlfn.LET(
        _xlpm.is_data_present, $A165&lt;&gt;0,
        _xlpm.is_camera_present, COUNTIFS(Log!$C:$C, $A165, Log!$D:$D, K$4, Log!$A:$A, "Daily", Log!$B:$B, "n/a"),
        _xlpm.we_camera_on_date, IFERROR(AVERAGEIFS(Log!$F:$F, Log!$D:$D,K$4, Log!$C:$C, $A165, Log!$A:$A, "Daily", Log!$B:$B, "n/a"), 0),
        _xlpm.ie_camera_on_date, IFERROR(AVERAGEIFS(Log!$G:$G, Log!$D:$D,K$4,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5" s="68" t="str">
        <f>IFERROR(
    _xlfn.LET(
        _xlpm.is_data_present, $A165&lt;&gt;0,
        _xlpm.is_camera_present, COUNTIFS(Log!$C:$C, $A165, Log!$D:$D, L$4, Log!$A:$A, "Daily", Log!$B:$B, "n/a"),
        _xlpm.we_camera_on_date, IFERROR(AVERAGEIFS(Log!$F:$F, Log!$D:$D,L$4, Log!$C:$C, $A165, Log!$A:$A, "Daily", Log!$B:$B, "n/a"), 0),
        _xlpm.ie_camera_on_date, IFERROR(AVERAGEIFS(Log!$G:$G, Log!$D:$D,L$4,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5" s="68" t="str">
        <f>IFERROR(
    _xlfn.LET(
        _xlpm.is_data_present, $A165&lt;&gt;0,
        _xlpm.is_camera_present, COUNTIFS(Log!$C:$C, $A165, Log!$D:$D, M$4, Log!$A:$A, "Daily", Log!$B:$B, "n/a"),
        _xlpm.we_camera_on_date, IFERROR(AVERAGEIFS(Log!$F:$F, Log!$D:$D,M$4, Log!$C:$C, $A165, Log!$A:$A, "Daily", Log!$B:$B, "n/a"), 0),
        _xlpm.ie_camera_on_date, IFERROR(AVERAGEIFS(Log!$G:$G, Log!$D:$D,M$4,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5" s="68" t="str">
        <f>IFERROR(
    _xlfn.LET(
        _xlpm.is_data_present, $A165&lt;&gt;0,
        _xlpm.is_camera_present, COUNTIFS(Log!$C:$C, $A165, Log!$D:$D, N$4, Log!$A:$A, "Daily", Log!$B:$B, "n/a"),
        _xlpm.we_camera_on_date, IFERROR(AVERAGEIFS(Log!$F:$F, Log!$D:$D,N$4, Log!$C:$C, $A165, Log!$A:$A, "Daily", Log!$B:$B, "n/a"), 0),
        _xlpm.ie_camera_on_date, IFERROR(AVERAGEIFS(Log!$G:$G, Log!$D:$D,N$4,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5" s="68" t="str">
        <f>IFERROR(
    _xlfn.LET(
        _xlpm.is_data_present, $A165&lt;&gt;0,
        _xlpm.is_camera_present, COUNTIFS(Log!$C:$C, $A165, Log!$D:$D, O$4, Log!$A:$A, "Daily", Log!$B:$B, "n/a"),
        _xlpm.we_camera_on_date, IFERROR(AVERAGEIFS(Log!$F:$F, Log!$D:$D,O$4, Log!$C:$C, $A165, Log!$A:$A, "Daily", Log!$B:$B, "n/a"), 0),
        _xlpm.ie_camera_on_date, IFERROR(AVERAGEIFS(Log!$G:$G, Log!$D:$D,O$4,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5" s="68" t="str">
        <f>IFERROR(
    _xlfn.LET(
        _xlpm.is_data_present, $A165&lt;&gt;0,
        _xlpm.is_camera_present, COUNTIFS(Log!$C:$C, $A165, Log!$D:$D, P$4, Log!$A:$A, "Daily", Log!$B:$B, "n/a"),
        _xlpm.we_camera_on_date, IFERROR(AVERAGEIFS(Log!$F:$F, Log!$D:$D,P$4, Log!$C:$C, $A165, Log!$A:$A, "Daily", Log!$B:$B, "n/a"), 0),
        _xlpm.ie_camera_on_date, IFERROR(AVERAGEIFS(Log!$G:$G, Log!$D:$D,P$4,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5" s="68" t="str">
        <f>IFERROR(
    _xlfn.LET(
        _xlpm.is_data_present, $A165&lt;&gt;0,
        _xlpm.is_camera_present, COUNTIFS(Log!$C:$C, $A165, Log!$D:$D, Q$4, Log!$A:$A, "Daily", Log!$B:$B, "n/a"),
        _xlpm.we_camera_on_date, IFERROR(AVERAGEIFS(Log!$F:$F, Log!$D:$D,Q$4, Log!$C:$C, $A165, Log!$A:$A, "Daily", Log!$B:$B, "n/a"), 0),
        _xlpm.ie_camera_on_date, IFERROR(AVERAGEIFS(Log!$G:$G, Log!$D:$D,Q$4,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5" s="68" t="str">
        <f>IFERROR(
    _xlfn.LET(
        _xlpm.is_data_present, $A165&lt;&gt;0,
        _xlpm.is_camera_present, COUNTIFS(Log!$C:$C, $A165, Log!$D:$D, R$4, Log!$A:$A, "Daily", Log!$B:$B, "n/a"),
        _xlpm.we_camera_on_date, IFERROR(AVERAGEIFS(Log!$F:$F, Log!$D:$D,R$4, Log!$C:$C, $A165, Log!$A:$A, "Daily", Log!$B:$B, "n/a"), 0),
        _xlpm.ie_camera_on_date, IFERROR(AVERAGEIFS(Log!$G:$G, Log!$D:$D,R$4,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5" s="68" t="str">
        <f>IFERROR(
    _xlfn.LET(
        _xlpm.is_data_present, $A165&lt;&gt;0,
        _xlpm.is_camera_present, COUNTIFS(Log!$C:$C, $A165, Log!$D:$D, S$4, Log!$A:$A, "Daily", Log!$B:$B, "n/a"),
        _xlpm.we_camera_on_date, IFERROR(AVERAGEIFS(Log!$F:$F, Log!$D:$D,S$4, Log!$C:$C, $A165, Log!$A:$A, "Daily", Log!$B:$B, "n/a"), 0),
        _xlpm.ie_camera_on_date, IFERROR(AVERAGEIFS(Log!$G:$G, Log!$D:$D,S$4, Log!$C:$C, $A165, Log!$A:$A, "Daily", Log!$B:$B, "n/a"), 0),
        _xlpm.we_avg, IFERROR(AVERAGEIFS(Log!$F:$F,Log!$C:$C,$A165, Log!$A:$A, "Daily", Log!$B:$B, "n/a"),0),
        _xlpm.ie_avg, IFERROR(AVERAGEIFS(Log!$G:$G,Log!$C:$C,$A165,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6" spans="2:19" x14ac:dyDescent="0.3">
      <c r="B166" s="68" t="str">
        <f>IFERROR(
    _xlfn.LET(
        _xlpm.is_data_present, $A166&lt;&gt;0,
        _xlpm.is_camera_present, COUNTIFS(Log!$C:$C, $A166, Log!$D:$D, B$4, Log!$A:$A, "Daily", Log!$B:$B, "n/a"),
        _xlpm.we_camera_on_date, IFERROR(AVERAGEIFS(Log!$F:$F, Log!$D:$D,B$4, Log!$C:$C, $A166, Log!$A:$A, "Daily", Log!$B:$B, "n/a"), 0),
        _xlpm.ie_camera_on_date, IFERROR(AVERAGEIFS(Log!$G:$G, Log!$D:$D,B$4,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6" s="68" t="str">
        <f>IFERROR(
    _xlfn.LET(
        _xlpm.is_data_present, $A166&lt;&gt;0,
        _xlpm.is_camera_present, COUNTIFS(Log!$C:$C, $A166, Log!$D:$D, C$4, Log!$A:$A, "Daily", Log!$B:$B, "n/a"),
        _xlpm.we_camera_on_date, IFERROR(AVERAGEIFS(Log!$F:$F, Log!$D:$D,C$4, Log!$C:$C, $A166, Log!$A:$A, "Daily", Log!$B:$B, "n/a"), 0),
        _xlpm.ie_camera_on_date, IFERROR(AVERAGEIFS(Log!$G:$G, Log!$D:$D,C$4,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6" s="68" t="str">
        <f>IFERROR(
    _xlfn.LET(
        _xlpm.is_data_present, $A166&lt;&gt;0,
        _xlpm.is_camera_present, COUNTIFS(Log!$C:$C, $A166, Log!$D:$D, D$4, Log!$A:$A, "Daily", Log!$B:$B, "n/a"),
        _xlpm.we_camera_on_date, IFERROR(AVERAGEIFS(Log!$F:$F, Log!$D:$D,D$4, Log!$C:$C, $A166, Log!$A:$A, "Daily", Log!$B:$B, "n/a"), 0),
        _xlpm.ie_camera_on_date, IFERROR(AVERAGEIFS(Log!$G:$G, Log!$D:$D,D$4,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6" s="68" t="str">
        <f>IFERROR(
    _xlfn.LET(
        _xlpm.is_data_present, $A166&lt;&gt;0,
        _xlpm.is_camera_present, COUNTIFS(Log!$C:$C, $A166, Log!$D:$D, E$4, Log!$A:$A, "Daily", Log!$B:$B, "n/a"),
        _xlpm.we_camera_on_date, IFERROR(AVERAGEIFS(Log!$F:$F, Log!$D:$D,E$4, Log!$C:$C, $A166, Log!$A:$A, "Daily", Log!$B:$B, "n/a"), 0),
        _xlpm.ie_camera_on_date, IFERROR(AVERAGEIFS(Log!$G:$G, Log!$D:$D,E$4,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6" s="68" t="str">
        <f>IFERROR(
    _xlfn.LET(
        _xlpm.is_data_present, $A166&lt;&gt;0,
        _xlpm.is_camera_present, COUNTIFS(Log!$C:$C, $A166, Log!$D:$D, F$4, Log!$A:$A, "Daily", Log!$B:$B, "n/a"),
        _xlpm.we_camera_on_date, IFERROR(AVERAGEIFS(Log!$F:$F, Log!$D:$D,F$4, Log!$C:$C, $A166, Log!$A:$A, "Daily", Log!$B:$B, "n/a"), 0),
        _xlpm.ie_camera_on_date, IFERROR(AVERAGEIFS(Log!$G:$G, Log!$D:$D,F$4,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6" s="68" t="str">
        <f>IFERROR(
    _xlfn.LET(
        _xlpm.is_data_present, $A166&lt;&gt;0,
        _xlpm.is_camera_present, COUNTIFS(Log!$C:$C, $A166, Log!$D:$D, G$4, Log!$A:$A, "Daily", Log!$B:$B, "n/a"),
        _xlpm.we_camera_on_date, IFERROR(AVERAGEIFS(Log!$F:$F, Log!$D:$D,G$4, Log!$C:$C, $A166, Log!$A:$A, "Daily", Log!$B:$B, "n/a"), 0),
        _xlpm.ie_camera_on_date, IFERROR(AVERAGEIFS(Log!$G:$G, Log!$D:$D,G$4,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6" s="68" t="str">
        <f>IFERROR(
    _xlfn.LET(
        _xlpm.is_data_present, $A166&lt;&gt;0,
        _xlpm.is_camera_present, COUNTIFS(Log!$C:$C, $A166, Log!$D:$D, H$4, Log!$A:$A, "Daily", Log!$B:$B, "n/a"),
        _xlpm.we_camera_on_date, IFERROR(AVERAGEIFS(Log!$F:$F, Log!$D:$D,H$4, Log!$C:$C, $A166, Log!$A:$A, "Daily", Log!$B:$B, "n/a"), 0),
        _xlpm.ie_camera_on_date, IFERROR(AVERAGEIFS(Log!$G:$G, Log!$D:$D,H$4,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6" s="68" t="str">
        <f>IFERROR(
    _xlfn.LET(
        _xlpm.is_data_present, $A166&lt;&gt;0,
        _xlpm.is_camera_present, COUNTIFS(Log!$C:$C, $A166, Log!$D:$D, I$4, Log!$A:$A, "Daily", Log!$B:$B, "n/a"),
        _xlpm.we_camera_on_date, IFERROR(AVERAGEIFS(Log!$F:$F, Log!$D:$D,I$4, Log!$C:$C, $A166, Log!$A:$A, "Daily", Log!$B:$B, "n/a"), 0),
        _xlpm.ie_camera_on_date, IFERROR(AVERAGEIFS(Log!$G:$G, Log!$D:$D,I$4,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6" s="68" t="str">
        <f>IFERROR(
    _xlfn.LET(
        _xlpm.is_data_present, $A166&lt;&gt;0,
        _xlpm.is_camera_present, COUNTIFS(Log!$C:$C, $A166, Log!$D:$D, J$4, Log!$A:$A, "Daily", Log!$B:$B, "n/a"),
        _xlpm.we_camera_on_date, IFERROR(AVERAGEIFS(Log!$F:$F, Log!$D:$D,J$4, Log!$C:$C, $A166, Log!$A:$A, "Daily", Log!$B:$B, "n/a"), 0),
        _xlpm.ie_camera_on_date, IFERROR(AVERAGEIFS(Log!$G:$G, Log!$D:$D,J$4,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6" s="68" t="str">
        <f>IFERROR(
    _xlfn.LET(
        _xlpm.is_data_present, $A166&lt;&gt;0,
        _xlpm.is_camera_present, COUNTIFS(Log!$C:$C, $A166, Log!$D:$D, K$4, Log!$A:$A, "Daily", Log!$B:$B, "n/a"),
        _xlpm.we_camera_on_date, IFERROR(AVERAGEIFS(Log!$F:$F, Log!$D:$D,K$4, Log!$C:$C, $A166, Log!$A:$A, "Daily", Log!$B:$B, "n/a"), 0),
        _xlpm.ie_camera_on_date, IFERROR(AVERAGEIFS(Log!$G:$G, Log!$D:$D,K$4,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6" s="68" t="str">
        <f>IFERROR(
    _xlfn.LET(
        _xlpm.is_data_present, $A166&lt;&gt;0,
        _xlpm.is_camera_present, COUNTIFS(Log!$C:$C, $A166, Log!$D:$D, L$4, Log!$A:$A, "Daily", Log!$B:$B, "n/a"),
        _xlpm.we_camera_on_date, IFERROR(AVERAGEIFS(Log!$F:$F, Log!$D:$D,L$4, Log!$C:$C, $A166, Log!$A:$A, "Daily", Log!$B:$B, "n/a"), 0),
        _xlpm.ie_camera_on_date, IFERROR(AVERAGEIFS(Log!$G:$G, Log!$D:$D,L$4,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6" s="68" t="str">
        <f>IFERROR(
    _xlfn.LET(
        _xlpm.is_data_present, $A166&lt;&gt;0,
        _xlpm.is_camera_present, COUNTIFS(Log!$C:$C, $A166, Log!$D:$D, M$4, Log!$A:$A, "Daily", Log!$B:$B, "n/a"),
        _xlpm.we_camera_on_date, IFERROR(AVERAGEIFS(Log!$F:$F, Log!$D:$D,M$4, Log!$C:$C, $A166, Log!$A:$A, "Daily", Log!$B:$B, "n/a"), 0),
        _xlpm.ie_camera_on_date, IFERROR(AVERAGEIFS(Log!$G:$G, Log!$D:$D,M$4,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6" s="68" t="str">
        <f>IFERROR(
    _xlfn.LET(
        _xlpm.is_data_present, $A166&lt;&gt;0,
        _xlpm.is_camera_present, COUNTIFS(Log!$C:$C, $A166, Log!$D:$D, N$4, Log!$A:$A, "Daily", Log!$B:$B, "n/a"),
        _xlpm.we_camera_on_date, IFERROR(AVERAGEIFS(Log!$F:$F, Log!$D:$D,N$4, Log!$C:$C, $A166, Log!$A:$A, "Daily", Log!$B:$B, "n/a"), 0),
        _xlpm.ie_camera_on_date, IFERROR(AVERAGEIFS(Log!$G:$G, Log!$D:$D,N$4,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6" s="68" t="str">
        <f>IFERROR(
    _xlfn.LET(
        _xlpm.is_data_present, $A166&lt;&gt;0,
        _xlpm.is_camera_present, COUNTIFS(Log!$C:$C, $A166, Log!$D:$D, O$4, Log!$A:$A, "Daily", Log!$B:$B, "n/a"),
        _xlpm.we_camera_on_date, IFERROR(AVERAGEIFS(Log!$F:$F, Log!$D:$D,O$4, Log!$C:$C, $A166, Log!$A:$A, "Daily", Log!$B:$B, "n/a"), 0),
        _xlpm.ie_camera_on_date, IFERROR(AVERAGEIFS(Log!$G:$G, Log!$D:$D,O$4,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6" s="68" t="str">
        <f>IFERROR(
    _xlfn.LET(
        _xlpm.is_data_present, $A166&lt;&gt;0,
        _xlpm.is_camera_present, COUNTIFS(Log!$C:$C, $A166, Log!$D:$D, P$4, Log!$A:$A, "Daily", Log!$B:$B, "n/a"),
        _xlpm.we_camera_on_date, IFERROR(AVERAGEIFS(Log!$F:$F, Log!$D:$D,P$4, Log!$C:$C, $A166, Log!$A:$A, "Daily", Log!$B:$B, "n/a"), 0),
        _xlpm.ie_camera_on_date, IFERROR(AVERAGEIFS(Log!$G:$G, Log!$D:$D,P$4,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6" s="68" t="str">
        <f>IFERROR(
    _xlfn.LET(
        _xlpm.is_data_present, $A166&lt;&gt;0,
        _xlpm.is_camera_present, COUNTIFS(Log!$C:$C, $A166, Log!$D:$D, Q$4, Log!$A:$A, "Daily", Log!$B:$B, "n/a"),
        _xlpm.we_camera_on_date, IFERROR(AVERAGEIFS(Log!$F:$F, Log!$D:$D,Q$4, Log!$C:$C, $A166, Log!$A:$A, "Daily", Log!$B:$B, "n/a"), 0),
        _xlpm.ie_camera_on_date, IFERROR(AVERAGEIFS(Log!$G:$G, Log!$D:$D,Q$4,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6" s="68" t="str">
        <f>IFERROR(
    _xlfn.LET(
        _xlpm.is_data_present, $A166&lt;&gt;0,
        _xlpm.is_camera_present, COUNTIFS(Log!$C:$C, $A166, Log!$D:$D, R$4, Log!$A:$A, "Daily", Log!$B:$B, "n/a"),
        _xlpm.we_camera_on_date, IFERROR(AVERAGEIFS(Log!$F:$F, Log!$D:$D,R$4, Log!$C:$C, $A166, Log!$A:$A, "Daily", Log!$B:$B, "n/a"), 0),
        _xlpm.ie_camera_on_date, IFERROR(AVERAGEIFS(Log!$G:$G, Log!$D:$D,R$4,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6" s="68" t="str">
        <f>IFERROR(
    _xlfn.LET(
        _xlpm.is_data_present, $A166&lt;&gt;0,
        _xlpm.is_camera_present, COUNTIFS(Log!$C:$C, $A166, Log!$D:$D, S$4, Log!$A:$A, "Daily", Log!$B:$B, "n/a"),
        _xlpm.we_camera_on_date, IFERROR(AVERAGEIFS(Log!$F:$F, Log!$D:$D,S$4, Log!$C:$C, $A166, Log!$A:$A, "Daily", Log!$B:$B, "n/a"), 0),
        _xlpm.ie_camera_on_date, IFERROR(AVERAGEIFS(Log!$G:$G, Log!$D:$D,S$4, Log!$C:$C, $A166, Log!$A:$A, "Daily", Log!$B:$B, "n/a"), 0),
        _xlpm.we_avg, IFERROR(AVERAGEIFS(Log!$F:$F,Log!$C:$C,$A166, Log!$A:$A, "Daily", Log!$B:$B, "n/a"),0),
        _xlpm.ie_avg, IFERROR(AVERAGEIFS(Log!$G:$G,Log!$C:$C,$A166,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7" spans="2:19" x14ac:dyDescent="0.3">
      <c r="B167" s="68" t="str">
        <f>IFERROR(
    _xlfn.LET(
        _xlpm.is_data_present, $A167&lt;&gt;0,
        _xlpm.is_camera_present, COUNTIFS(Log!$C:$C, $A167, Log!$D:$D, B$4, Log!$A:$A, "Daily", Log!$B:$B, "n/a"),
        _xlpm.we_camera_on_date, IFERROR(AVERAGEIFS(Log!$F:$F, Log!$D:$D,B$4, Log!$C:$C, $A167, Log!$A:$A, "Daily", Log!$B:$B, "n/a"), 0),
        _xlpm.ie_camera_on_date, IFERROR(AVERAGEIFS(Log!$G:$G, Log!$D:$D,B$4,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7" s="68" t="str">
        <f>IFERROR(
    _xlfn.LET(
        _xlpm.is_data_present, $A167&lt;&gt;0,
        _xlpm.is_camera_present, COUNTIFS(Log!$C:$C, $A167, Log!$D:$D, C$4, Log!$A:$A, "Daily", Log!$B:$B, "n/a"),
        _xlpm.we_camera_on_date, IFERROR(AVERAGEIFS(Log!$F:$F, Log!$D:$D,C$4, Log!$C:$C, $A167, Log!$A:$A, "Daily", Log!$B:$B, "n/a"), 0),
        _xlpm.ie_camera_on_date, IFERROR(AVERAGEIFS(Log!$G:$G, Log!$D:$D,C$4,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7" s="68" t="str">
        <f>IFERROR(
    _xlfn.LET(
        _xlpm.is_data_present, $A167&lt;&gt;0,
        _xlpm.is_camera_present, COUNTIFS(Log!$C:$C, $A167, Log!$D:$D, D$4, Log!$A:$A, "Daily", Log!$B:$B, "n/a"),
        _xlpm.we_camera_on_date, IFERROR(AVERAGEIFS(Log!$F:$F, Log!$D:$D,D$4, Log!$C:$C, $A167, Log!$A:$A, "Daily", Log!$B:$B, "n/a"), 0),
        _xlpm.ie_camera_on_date, IFERROR(AVERAGEIFS(Log!$G:$G, Log!$D:$D,D$4,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7" s="68" t="str">
        <f>IFERROR(
    _xlfn.LET(
        _xlpm.is_data_present, $A167&lt;&gt;0,
        _xlpm.is_camera_present, COUNTIFS(Log!$C:$C, $A167, Log!$D:$D, E$4, Log!$A:$A, "Daily", Log!$B:$B, "n/a"),
        _xlpm.we_camera_on_date, IFERROR(AVERAGEIFS(Log!$F:$F, Log!$D:$D,E$4, Log!$C:$C, $A167, Log!$A:$A, "Daily", Log!$B:$B, "n/a"), 0),
        _xlpm.ie_camera_on_date, IFERROR(AVERAGEIFS(Log!$G:$G, Log!$D:$D,E$4,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7" s="68" t="str">
        <f>IFERROR(
    _xlfn.LET(
        _xlpm.is_data_present, $A167&lt;&gt;0,
        _xlpm.is_camera_present, COUNTIFS(Log!$C:$C, $A167, Log!$D:$D, F$4, Log!$A:$A, "Daily", Log!$B:$B, "n/a"),
        _xlpm.we_camera_on_date, IFERROR(AVERAGEIFS(Log!$F:$F, Log!$D:$D,F$4, Log!$C:$C, $A167, Log!$A:$A, "Daily", Log!$B:$B, "n/a"), 0),
        _xlpm.ie_camera_on_date, IFERROR(AVERAGEIFS(Log!$G:$G, Log!$D:$D,F$4,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7" s="68" t="str">
        <f>IFERROR(
    _xlfn.LET(
        _xlpm.is_data_present, $A167&lt;&gt;0,
        _xlpm.is_camera_present, COUNTIFS(Log!$C:$C, $A167, Log!$D:$D, G$4, Log!$A:$A, "Daily", Log!$B:$B, "n/a"),
        _xlpm.we_camera_on_date, IFERROR(AVERAGEIFS(Log!$F:$F, Log!$D:$D,G$4, Log!$C:$C, $A167, Log!$A:$A, "Daily", Log!$B:$B, "n/a"), 0),
        _xlpm.ie_camera_on_date, IFERROR(AVERAGEIFS(Log!$G:$G, Log!$D:$D,G$4,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7" s="68" t="str">
        <f>IFERROR(
    _xlfn.LET(
        _xlpm.is_data_present, $A167&lt;&gt;0,
        _xlpm.is_camera_present, COUNTIFS(Log!$C:$C, $A167, Log!$D:$D, H$4, Log!$A:$A, "Daily", Log!$B:$B, "n/a"),
        _xlpm.we_camera_on_date, IFERROR(AVERAGEIFS(Log!$F:$F, Log!$D:$D,H$4, Log!$C:$C, $A167, Log!$A:$A, "Daily", Log!$B:$B, "n/a"), 0),
        _xlpm.ie_camera_on_date, IFERROR(AVERAGEIFS(Log!$G:$G, Log!$D:$D,H$4,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7" s="68" t="str">
        <f>IFERROR(
    _xlfn.LET(
        _xlpm.is_data_present, $A167&lt;&gt;0,
        _xlpm.is_camera_present, COUNTIFS(Log!$C:$C, $A167, Log!$D:$D, I$4, Log!$A:$A, "Daily", Log!$B:$B, "n/a"),
        _xlpm.we_camera_on_date, IFERROR(AVERAGEIFS(Log!$F:$F, Log!$D:$D,I$4, Log!$C:$C, $A167, Log!$A:$A, "Daily", Log!$B:$B, "n/a"), 0),
        _xlpm.ie_camera_on_date, IFERROR(AVERAGEIFS(Log!$G:$G, Log!$D:$D,I$4,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7" s="68" t="str">
        <f>IFERROR(
    _xlfn.LET(
        _xlpm.is_data_present, $A167&lt;&gt;0,
        _xlpm.is_camera_present, COUNTIFS(Log!$C:$C, $A167, Log!$D:$D, J$4, Log!$A:$A, "Daily", Log!$B:$B, "n/a"),
        _xlpm.we_camera_on_date, IFERROR(AVERAGEIFS(Log!$F:$F, Log!$D:$D,J$4, Log!$C:$C, $A167, Log!$A:$A, "Daily", Log!$B:$B, "n/a"), 0),
        _xlpm.ie_camera_on_date, IFERROR(AVERAGEIFS(Log!$G:$G, Log!$D:$D,J$4,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7" s="68" t="str">
        <f>IFERROR(
    _xlfn.LET(
        _xlpm.is_data_present, $A167&lt;&gt;0,
        _xlpm.is_camera_present, COUNTIFS(Log!$C:$C, $A167, Log!$D:$D, K$4, Log!$A:$A, "Daily", Log!$B:$B, "n/a"),
        _xlpm.we_camera_on_date, IFERROR(AVERAGEIFS(Log!$F:$F, Log!$D:$D,K$4, Log!$C:$C, $A167, Log!$A:$A, "Daily", Log!$B:$B, "n/a"), 0),
        _xlpm.ie_camera_on_date, IFERROR(AVERAGEIFS(Log!$G:$G, Log!$D:$D,K$4,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7" s="68" t="str">
        <f>IFERROR(
    _xlfn.LET(
        _xlpm.is_data_present, $A167&lt;&gt;0,
        _xlpm.is_camera_present, COUNTIFS(Log!$C:$C, $A167, Log!$D:$D, L$4, Log!$A:$A, "Daily", Log!$B:$B, "n/a"),
        _xlpm.we_camera_on_date, IFERROR(AVERAGEIFS(Log!$F:$F, Log!$D:$D,L$4, Log!$C:$C, $A167, Log!$A:$A, "Daily", Log!$B:$B, "n/a"), 0),
        _xlpm.ie_camera_on_date, IFERROR(AVERAGEIFS(Log!$G:$G, Log!$D:$D,L$4,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7" s="68" t="str">
        <f>IFERROR(
    _xlfn.LET(
        _xlpm.is_data_present, $A167&lt;&gt;0,
        _xlpm.is_camera_present, COUNTIFS(Log!$C:$C, $A167, Log!$D:$D, M$4, Log!$A:$A, "Daily", Log!$B:$B, "n/a"),
        _xlpm.we_camera_on_date, IFERROR(AVERAGEIFS(Log!$F:$F, Log!$D:$D,M$4, Log!$C:$C, $A167, Log!$A:$A, "Daily", Log!$B:$B, "n/a"), 0),
        _xlpm.ie_camera_on_date, IFERROR(AVERAGEIFS(Log!$G:$G, Log!$D:$D,M$4,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7" s="68" t="str">
        <f>IFERROR(
    _xlfn.LET(
        _xlpm.is_data_present, $A167&lt;&gt;0,
        _xlpm.is_camera_present, COUNTIFS(Log!$C:$C, $A167, Log!$D:$D, N$4, Log!$A:$A, "Daily", Log!$B:$B, "n/a"),
        _xlpm.we_camera_on_date, IFERROR(AVERAGEIFS(Log!$F:$F, Log!$D:$D,N$4, Log!$C:$C, $A167, Log!$A:$A, "Daily", Log!$B:$B, "n/a"), 0),
        _xlpm.ie_camera_on_date, IFERROR(AVERAGEIFS(Log!$G:$G, Log!$D:$D,N$4,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7" s="68" t="str">
        <f>IFERROR(
    _xlfn.LET(
        _xlpm.is_data_present, $A167&lt;&gt;0,
        _xlpm.is_camera_present, COUNTIFS(Log!$C:$C, $A167, Log!$D:$D, O$4, Log!$A:$A, "Daily", Log!$B:$B, "n/a"),
        _xlpm.we_camera_on_date, IFERROR(AVERAGEIFS(Log!$F:$F, Log!$D:$D,O$4, Log!$C:$C, $A167, Log!$A:$A, "Daily", Log!$B:$B, "n/a"), 0),
        _xlpm.ie_camera_on_date, IFERROR(AVERAGEIFS(Log!$G:$G, Log!$D:$D,O$4,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7" s="68" t="str">
        <f>IFERROR(
    _xlfn.LET(
        _xlpm.is_data_present, $A167&lt;&gt;0,
        _xlpm.is_camera_present, COUNTIFS(Log!$C:$C, $A167, Log!$D:$D, P$4, Log!$A:$A, "Daily", Log!$B:$B, "n/a"),
        _xlpm.we_camera_on_date, IFERROR(AVERAGEIFS(Log!$F:$F, Log!$D:$D,P$4, Log!$C:$C, $A167, Log!$A:$A, "Daily", Log!$B:$B, "n/a"), 0),
        _xlpm.ie_camera_on_date, IFERROR(AVERAGEIFS(Log!$G:$G, Log!$D:$D,P$4,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7" s="68" t="str">
        <f>IFERROR(
    _xlfn.LET(
        _xlpm.is_data_present, $A167&lt;&gt;0,
        _xlpm.is_camera_present, COUNTIFS(Log!$C:$C, $A167, Log!$D:$D, Q$4, Log!$A:$A, "Daily", Log!$B:$B, "n/a"),
        _xlpm.we_camera_on_date, IFERROR(AVERAGEIFS(Log!$F:$F, Log!$D:$D,Q$4, Log!$C:$C, $A167, Log!$A:$A, "Daily", Log!$B:$B, "n/a"), 0),
        _xlpm.ie_camera_on_date, IFERROR(AVERAGEIFS(Log!$G:$G, Log!$D:$D,Q$4,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7" s="68" t="str">
        <f>IFERROR(
    _xlfn.LET(
        _xlpm.is_data_present, $A167&lt;&gt;0,
        _xlpm.is_camera_present, COUNTIFS(Log!$C:$C, $A167, Log!$D:$D, R$4, Log!$A:$A, "Daily", Log!$B:$B, "n/a"),
        _xlpm.we_camera_on_date, IFERROR(AVERAGEIFS(Log!$F:$F, Log!$D:$D,R$4, Log!$C:$C, $A167, Log!$A:$A, "Daily", Log!$B:$B, "n/a"), 0),
        _xlpm.ie_camera_on_date, IFERROR(AVERAGEIFS(Log!$G:$G, Log!$D:$D,R$4,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7" s="68" t="str">
        <f>IFERROR(
    _xlfn.LET(
        _xlpm.is_data_present, $A167&lt;&gt;0,
        _xlpm.is_camera_present, COUNTIFS(Log!$C:$C, $A167, Log!$D:$D, S$4, Log!$A:$A, "Daily", Log!$B:$B, "n/a"),
        _xlpm.we_camera_on_date, IFERROR(AVERAGEIFS(Log!$F:$F, Log!$D:$D,S$4, Log!$C:$C, $A167, Log!$A:$A, "Daily", Log!$B:$B, "n/a"), 0),
        _xlpm.ie_camera_on_date, IFERROR(AVERAGEIFS(Log!$G:$G, Log!$D:$D,S$4, Log!$C:$C, $A167, Log!$A:$A, "Daily", Log!$B:$B, "n/a"), 0),
        _xlpm.we_avg, IFERROR(AVERAGEIFS(Log!$F:$F,Log!$C:$C,$A167, Log!$A:$A, "Daily", Log!$B:$B, "n/a"),0),
        _xlpm.ie_avg, IFERROR(AVERAGEIFS(Log!$G:$G,Log!$C:$C,$A167,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8" spans="2:19" x14ac:dyDescent="0.3">
      <c r="B168" s="68" t="str">
        <f>IFERROR(
    _xlfn.LET(
        _xlpm.is_data_present, $A168&lt;&gt;0,
        _xlpm.is_camera_present, COUNTIFS(Log!$C:$C, $A168, Log!$D:$D, B$4, Log!$A:$A, "Daily", Log!$B:$B, "n/a"),
        _xlpm.we_camera_on_date, IFERROR(AVERAGEIFS(Log!$F:$F, Log!$D:$D,B$4, Log!$C:$C, $A168, Log!$A:$A, "Daily", Log!$B:$B, "n/a"), 0),
        _xlpm.ie_camera_on_date, IFERROR(AVERAGEIFS(Log!$G:$G, Log!$D:$D,B$4,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8" s="68" t="str">
        <f>IFERROR(
    _xlfn.LET(
        _xlpm.is_data_present, $A168&lt;&gt;0,
        _xlpm.is_camera_present, COUNTIFS(Log!$C:$C, $A168, Log!$D:$D, C$4, Log!$A:$A, "Daily", Log!$B:$B, "n/a"),
        _xlpm.we_camera_on_date, IFERROR(AVERAGEIFS(Log!$F:$F, Log!$D:$D,C$4, Log!$C:$C, $A168, Log!$A:$A, "Daily", Log!$B:$B, "n/a"), 0),
        _xlpm.ie_camera_on_date, IFERROR(AVERAGEIFS(Log!$G:$G, Log!$D:$D,C$4,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8" s="68" t="str">
        <f>IFERROR(
    _xlfn.LET(
        _xlpm.is_data_present, $A168&lt;&gt;0,
        _xlpm.is_camera_present, COUNTIFS(Log!$C:$C, $A168, Log!$D:$D, D$4, Log!$A:$A, "Daily", Log!$B:$B, "n/a"),
        _xlpm.we_camera_on_date, IFERROR(AVERAGEIFS(Log!$F:$F, Log!$D:$D,D$4, Log!$C:$C, $A168, Log!$A:$A, "Daily", Log!$B:$B, "n/a"), 0),
        _xlpm.ie_camera_on_date, IFERROR(AVERAGEIFS(Log!$G:$G, Log!$D:$D,D$4,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8" s="68" t="str">
        <f>IFERROR(
    _xlfn.LET(
        _xlpm.is_data_present, $A168&lt;&gt;0,
        _xlpm.is_camera_present, COUNTIFS(Log!$C:$C, $A168, Log!$D:$D, E$4, Log!$A:$A, "Daily", Log!$B:$B, "n/a"),
        _xlpm.we_camera_on_date, IFERROR(AVERAGEIFS(Log!$F:$F, Log!$D:$D,E$4, Log!$C:$C, $A168, Log!$A:$A, "Daily", Log!$B:$B, "n/a"), 0),
        _xlpm.ie_camera_on_date, IFERROR(AVERAGEIFS(Log!$G:$G, Log!$D:$D,E$4,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8" s="68" t="str">
        <f>IFERROR(
    _xlfn.LET(
        _xlpm.is_data_present, $A168&lt;&gt;0,
        _xlpm.is_camera_present, COUNTIFS(Log!$C:$C, $A168, Log!$D:$D, F$4, Log!$A:$A, "Daily", Log!$B:$B, "n/a"),
        _xlpm.we_camera_on_date, IFERROR(AVERAGEIFS(Log!$F:$F, Log!$D:$D,F$4, Log!$C:$C, $A168, Log!$A:$A, "Daily", Log!$B:$B, "n/a"), 0),
        _xlpm.ie_camera_on_date, IFERROR(AVERAGEIFS(Log!$G:$G, Log!$D:$D,F$4,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8" s="68" t="str">
        <f>IFERROR(
    _xlfn.LET(
        _xlpm.is_data_present, $A168&lt;&gt;0,
        _xlpm.is_camera_present, COUNTIFS(Log!$C:$C, $A168, Log!$D:$D, G$4, Log!$A:$A, "Daily", Log!$B:$B, "n/a"),
        _xlpm.we_camera_on_date, IFERROR(AVERAGEIFS(Log!$F:$F, Log!$D:$D,G$4, Log!$C:$C, $A168, Log!$A:$A, "Daily", Log!$B:$B, "n/a"), 0),
        _xlpm.ie_camera_on_date, IFERROR(AVERAGEIFS(Log!$G:$G, Log!$D:$D,G$4,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8" s="68" t="str">
        <f>IFERROR(
    _xlfn.LET(
        _xlpm.is_data_present, $A168&lt;&gt;0,
        _xlpm.is_camera_present, COUNTIFS(Log!$C:$C, $A168, Log!$D:$D, H$4, Log!$A:$A, "Daily", Log!$B:$B, "n/a"),
        _xlpm.we_camera_on_date, IFERROR(AVERAGEIFS(Log!$F:$F, Log!$D:$D,H$4, Log!$C:$C, $A168, Log!$A:$A, "Daily", Log!$B:$B, "n/a"), 0),
        _xlpm.ie_camera_on_date, IFERROR(AVERAGEIFS(Log!$G:$G, Log!$D:$D,H$4,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8" s="68" t="str">
        <f>IFERROR(
    _xlfn.LET(
        _xlpm.is_data_present, $A168&lt;&gt;0,
        _xlpm.is_camera_present, COUNTIFS(Log!$C:$C, $A168, Log!$D:$D, I$4, Log!$A:$A, "Daily", Log!$B:$B, "n/a"),
        _xlpm.we_camera_on_date, IFERROR(AVERAGEIFS(Log!$F:$F, Log!$D:$D,I$4, Log!$C:$C, $A168, Log!$A:$A, "Daily", Log!$B:$B, "n/a"), 0),
        _xlpm.ie_camera_on_date, IFERROR(AVERAGEIFS(Log!$G:$G, Log!$D:$D,I$4,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8" s="68" t="str">
        <f>IFERROR(
    _xlfn.LET(
        _xlpm.is_data_present, $A168&lt;&gt;0,
        _xlpm.is_camera_present, COUNTIFS(Log!$C:$C, $A168, Log!$D:$D, J$4, Log!$A:$A, "Daily", Log!$B:$B, "n/a"),
        _xlpm.we_camera_on_date, IFERROR(AVERAGEIFS(Log!$F:$F, Log!$D:$D,J$4, Log!$C:$C, $A168, Log!$A:$A, "Daily", Log!$B:$B, "n/a"), 0),
        _xlpm.ie_camera_on_date, IFERROR(AVERAGEIFS(Log!$G:$G, Log!$D:$D,J$4,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8" s="68" t="str">
        <f>IFERROR(
    _xlfn.LET(
        _xlpm.is_data_present, $A168&lt;&gt;0,
        _xlpm.is_camera_present, COUNTIFS(Log!$C:$C, $A168, Log!$D:$D, K$4, Log!$A:$A, "Daily", Log!$B:$B, "n/a"),
        _xlpm.we_camera_on_date, IFERROR(AVERAGEIFS(Log!$F:$F, Log!$D:$D,K$4, Log!$C:$C, $A168, Log!$A:$A, "Daily", Log!$B:$B, "n/a"), 0),
        _xlpm.ie_camera_on_date, IFERROR(AVERAGEIFS(Log!$G:$G, Log!$D:$D,K$4,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8" s="68" t="str">
        <f>IFERROR(
    _xlfn.LET(
        _xlpm.is_data_present, $A168&lt;&gt;0,
        _xlpm.is_camera_present, COUNTIFS(Log!$C:$C, $A168, Log!$D:$D, L$4, Log!$A:$A, "Daily", Log!$B:$B, "n/a"),
        _xlpm.we_camera_on_date, IFERROR(AVERAGEIFS(Log!$F:$F, Log!$D:$D,L$4, Log!$C:$C, $A168, Log!$A:$A, "Daily", Log!$B:$B, "n/a"), 0),
        _xlpm.ie_camera_on_date, IFERROR(AVERAGEIFS(Log!$G:$G, Log!$D:$D,L$4,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8" s="68" t="str">
        <f>IFERROR(
    _xlfn.LET(
        _xlpm.is_data_present, $A168&lt;&gt;0,
        _xlpm.is_camera_present, COUNTIFS(Log!$C:$C, $A168, Log!$D:$D, M$4, Log!$A:$A, "Daily", Log!$B:$B, "n/a"),
        _xlpm.we_camera_on_date, IFERROR(AVERAGEIFS(Log!$F:$F, Log!$D:$D,M$4, Log!$C:$C, $A168, Log!$A:$A, "Daily", Log!$B:$B, "n/a"), 0),
        _xlpm.ie_camera_on_date, IFERROR(AVERAGEIFS(Log!$G:$G, Log!$D:$D,M$4,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8" s="68" t="str">
        <f>IFERROR(
    _xlfn.LET(
        _xlpm.is_data_present, $A168&lt;&gt;0,
        _xlpm.is_camera_present, COUNTIFS(Log!$C:$C, $A168, Log!$D:$D, N$4, Log!$A:$A, "Daily", Log!$B:$B, "n/a"),
        _xlpm.we_camera_on_date, IFERROR(AVERAGEIFS(Log!$F:$F, Log!$D:$D,N$4, Log!$C:$C, $A168, Log!$A:$A, "Daily", Log!$B:$B, "n/a"), 0),
        _xlpm.ie_camera_on_date, IFERROR(AVERAGEIFS(Log!$G:$G, Log!$D:$D,N$4,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8" s="68" t="str">
        <f>IFERROR(
    _xlfn.LET(
        _xlpm.is_data_present, $A168&lt;&gt;0,
        _xlpm.is_camera_present, COUNTIFS(Log!$C:$C, $A168, Log!$D:$D, O$4, Log!$A:$A, "Daily", Log!$B:$B, "n/a"),
        _xlpm.we_camera_on_date, IFERROR(AVERAGEIFS(Log!$F:$F, Log!$D:$D,O$4, Log!$C:$C, $A168, Log!$A:$A, "Daily", Log!$B:$B, "n/a"), 0),
        _xlpm.ie_camera_on_date, IFERROR(AVERAGEIFS(Log!$G:$G, Log!$D:$D,O$4,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8" s="68" t="str">
        <f>IFERROR(
    _xlfn.LET(
        _xlpm.is_data_present, $A168&lt;&gt;0,
        _xlpm.is_camera_present, COUNTIFS(Log!$C:$C, $A168, Log!$D:$D, P$4, Log!$A:$A, "Daily", Log!$B:$B, "n/a"),
        _xlpm.we_camera_on_date, IFERROR(AVERAGEIFS(Log!$F:$F, Log!$D:$D,P$4, Log!$C:$C, $A168, Log!$A:$A, "Daily", Log!$B:$B, "n/a"), 0),
        _xlpm.ie_camera_on_date, IFERROR(AVERAGEIFS(Log!$G:$G, Log!$D:$D,P$4,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8" s="68" t="str">
        <f>IFERROR(
    _xlfn.LET(
        _xlpm.is_data_present, $A168&lt;&gt;0,
        _xlpm.is_camera_present, COUNTIFS(Log!$C:$C, $A168, Log!$D:$D, Q$4, Log!$A:$A, "Daily", Log!$B:$B, "n/a"),
        _xlpm.we_camera_on_date, IFERROR(AVERAGEIFS(Log!$F:$F, Log!$D:$D,Q$4, Log!$C:$C, $A168, Log!$A:$A, "Daily", Log!$B:$B, "n/a"), 0),
        _xlpm.ie_camera_on_date, IFERROR(AVERAGEIFS(Log!$G:$G, Log!$D:$D,Q$4,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8" s="68" t="str">
        <f>IFERROR(
    _xlfn.LET(
        _xlpm.is_data_present, $A168&lt;&gt;0,
        _xlpm.is_camera_present, COUNTIFS(Log!$C:$C, $A168, Log!$D:$D, R$4, Log!$A:$A, "Daily", Log!$B:$B, "n/a"),
        _xlpm.we_camera_on_date, IFERROR(AVERAGEIFS(Log!$F:$F, Log!$D:$D,R$4, Log!$C:$C, $A168, Log!$A:$A, "Daily", Log!$B:$B, "n/a"), 0),
        _xlpm.ie_camera_on_date, IFERROR(AVERAGEIFS(Log!$G:$G, Log!$D:$D,R$4,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8" s="68" t="str">
        <f>IFERROR(
    _xlfn.LET(
        _xlpm.is_data_present, $A168&lt;&gt;0,
        _xlpm.is_camera_present, COUNTIFS(Log!$C:$C, $A168, Log!$D:$D, S$4, Log!$A:$A, "Daily", Log!$B:$B, "n/a"),
        _xlpm.we_camera_on_date, IFERROR(AVERAGEIFS(Log!$F:$F, Log!$D:$D,S$4, Log!$C:$C, $A168, Log!$A:$A, "Daily", Log!$B:$B, "n/a"), 0),
        _xlpm.ie_camera_on_date, IFERROR(AVERAGEIFS(Log!$G:$G, Log!$D:$D,S$4, Log!$C:$C, $A168, Log!$A:$A, "Daily", Log!$B:$B, "n/a"), 0),
        _xlpm.we_avg, IFERROR(AVERAGEIFS(Log!$F:$F,Log!$C:$C,$A168, Log!$A:$A, "Daily", Log!$B:$B, "n/a"),0),
        _xlpm.ie_avg, IFERROR(AVERAGEIFS(Log!$G:$G,Log!$C:$C,$A168,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69" spans="2:19" x14ac:dyDescent="0.3">
      <c r="B169" s="68" t="str">
        <f>IFERROR(
    _xlfn.LET(
        _xlpm.is_data_present, $A169&lt;&gt;0,
        _xlpm.is_camera_present, COUNTIFS(Log!$C:$C, $A169, Log!$D:$D, B$4, Log!$A:$A, "Daily", Log!$B:$B, "n/a"),
        _xlpm.we_camera_on_date, IFERROR(AVERAGEIFS(Log!$F:$F, Log!$D:$D,B$4, Log!$C:$C, $A169, Log!$A:$A, "Daily", Log!$B:$B, "n/a"), 0),
        _xlpm.ie_camera_on_date, IFERROR(AVERAGEIFS(Log!$G:$G, Log!$D:$D,B$4,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69" s="68" t="str">
        <f>IFERROR(
    _xlfn.LET(
        _xlpm.is_data_present, $A169&lt;&gt;0,
        _xlpm.is_camera_present, COUNTIFS(Log!$C:$C, $A169, Log!$D:$D, C$4, Log!$A:$A, "Daily", Log!$B:$B, "n/a"),
        _xlpm.we_camera_on_date, IFERROR(AVERAGEIFS(Log!$F:$F, Log!$D:$D,C$4, Log!$C:$C, $A169, Log!$A:$A, "Daily", Log!$B:$B, "n/a"), 0),
        _xlpm.ie_camera_on_date, IFERROR(AVERAGEIFS(Log!$G:$G, Log!$D:$D,C$4,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69" s="68" t="str">
        <f>IFERROR(
    _xlfn.LET(
        _xlpm.is_data_present, $A169&lt;&gt;0,
        _xlpm.is_camera_present, COUNTIFS(Log!$C:$C, $A169, Log!$D:$D, D$4, Log!$A:$A, "Daily", Log!$B:$B, "n/a"),
        _xlpm.we_camera_on_date, IFERROR(AVERAGEIFS(Log!$F:$F, Log!$D:$D,D$4, Log!$C:$C, $A169, Log!$A:$A, "Daily", Log!$B:$B, "n/a"), 0),
        _xlpm.ie_camera_on_date, IFERROR(AVERAGEIFS(Log!$G:$G, Log!$D:$D,D$4,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69" s="68" t="str">
        <f>IFERROR(
    _xlfn.LET(
        _xlpm.is_data_present, $A169&lt;&gt;0,
        _xlpm.is_camera_present, COUNTIFS(Log!$C:$C, $A169, Log!$D:$D, E$4, Log!$A:$A, "Daily", Log!$B:$B, "n/a"),
        _xlpm.we_camera_on_date, IFERROR(AVERAGEIFS(Log!$F:$F, Log!$D:$D,E$4, Log!$C:$C, $A169, Log!$A:$A, "Daily", Log!$B:$B, "n/a"), 0),
        _xlpm.ie_camera_on_date, IFERROR(AVERAGEIFS(Log!$G:$G, Log!$D:$D,E$4,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69" s="68" t="str">
        <f>IFERROR(
    _xlfn.LET(
        _xlpm.is_data_present, $A169&lt;&gt;0,
        _xlpm.is_camera_present, COUNTIFS(Log!$C:$C, $A169, Log!$D:$D, F$4, Log!$A:$A, "Daily", Log!$B:$B, "n/a"),
        _xlpm.we_camera_on_date, IFERROR(AVERAGEIFS(Log!$F:$F, Log!$D:$D,F$4, Log!$C:$C, $A169, Log!$A:$A, "Daily", Log!$B:$B, "n/a"), 0),
        _xlpm.ie_camera_on_date, IFERROR(AVERAGEIFS(Log!$G:$G, Log!$D:$D,F$4,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69" s="68" t="str">
        <f>IFERROR(
    _xlfn.LET(
        _xlpm.is_data_present, $A169&lt;&gt;0,
        _xlpm.is_camera_present, COUNTIFS(Log!$C:$C, $A169, Log!$D:$D, G$4, Log!$A:$A, "Daily", Log!$B:$B, "n/a"),
        _xlpm.we_camera_on_date, IFERROR(AVERAGEIFS(Log!$F:$F, Log!$D:$D,G$4, Log!$C:$C, $A169, Log!$A:$A, "Daily", Log!$B:$B, "n/a"), 0),
        _xlpm.ie_camera_on_date, IFERROR(AVERAGEIFS(Log!$G:$G, Log!$D:$D,G$4,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69" s="68" t="str">
        <f>IFERROR(
    _xlfn.LET(
        _xlpm.is_data_present, $A169&lt;&gt;0,
        _xlpm.is_camera_present, COUNTIFS(Log!$C:$C, $A169, Log!$D:$D, H$4, Log!$A:$A, "Daily", Log!$B:$B, "n/a"),
        _xlpm.we_camera_on_date, IFERROR(AVERAGEIFS(Log!$F:$F, Log!$D:$D,H$4, Log!$C:$C, $A169, Log!$A:$A, "Daily", Log!$B:$B, "n/a"), 0),
        _xlpm.ie_camera_on_date, IFERROR(AVERAGEIFS(Log!$G:$G, Log!$D:$D,H$4,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69" s="68" t="str">
        <f>IFERROR(
    _xlfn.LET(
        _xlpm.is_data_present, $A169&lt;&gt;0,
        _xlpm.is_camera_present, COUNTIFS(Log!$C:$C, $A169, Log!$D:$D, I$4, Log!$A:$A, "Daily", Log!$B:$B, "n/a"),
        _xlpm.we_camera_on_date, IFERROR(AVERAGEIFS(Log!$F:$F, Log!$D:$D,I$4, Log!$C:$C, $A169, Log!$A:$A, "Daily", Log!$B:$B, "n/a"), 0),
        _xlpm.ie_camera_on_date, IFERROR(AVERAGEIFS(Log!$G:$G, Log!$D:$D,I$4,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69" s="68" t="str">
        <f>IFERROR(
    _xlfn.LET(
        _xlpm.is_data_present, $A169&lt;&gt;0,
        _xlpm.is_camera_present, COUNTIFS(Log!$C:$C, $A169, Log!$D:$D, J$4, Log!$A:$A, "Daily", Log!$B:$B, "n/a"),
        _xlpm.we_camera_on_date, IFERROR(AVERAGEIFS(Log!$F:$F, Log!$D:$D,J$4, Log!$C:$C, $A169, Log!$A:$A, "Daily", Log!$B:$B, "n/a"), 0),
        _xlpm.ie_camera_on_date, IFERROR(AVERAGEIFS(Log!$G:$G, Log!$D:$D,J$4,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69" s="68" t="str">
        <f>IFERROR(
    _xlfn.LET(
        _xlpm.is_data_present, $A169&lt;&gt;0,
        _xlpm.is_camera_present, COUNTIFS(Log!$C:$C, $A169, Log!$D:$D, K$4, Log!$A:$A, "Daily", Log!$B:$B, "n/a"),
        _xlpm.we_camera_on_date, IFERROR(AVERAGEIFS(Log!$F:$F, Log!$D:$D,K$4, Log!$C:$C, $A169, Log!$A:$A, "Daily", Log!$B:$B, "n/a"), 0),
        _xlpm.ie_camera_on_date, IFERROR(AVERAGEIFS(Log!$G:$G, Log!$D:$D,K$4,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69" s="68" t="str">
        <f>IFERROR(
    _xlfn.LET(
        _xlpm.is_data_present, $A169&lt;&gt;0,
        _xlpm.is_camera_present, COUNTIFS(Log!$C:$C, $A169, Log!$D:$D, L$4, Log!$A:$A, "Daily", Log!$B:$B, "n/a"),
        _xlpm.we_camera_on_date, IFERROR(AVERAGEIFS(Log!$F:$F, Log!$D:$D,L$4, Log!$C:$C, $A169, Log!$A:$A, "Daily", Log!$B:$B, "n/a"), 0),
        _xlpm.ie_camera_on_date, IFERROR(AVERAGEIFS(Log!$G:$G, Log!$D:$D,L$4,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69" s="68" t="str">
        <f>IFERROR(
    _xlfn.LET(
        _xlpm.is_data_present, $A169&lt;&gt;0,
        _xlpm.is_camera_present, COUNTIFS(Log!$C:$C, $A169, Log!$D:$D, M$4, Log!$A:$A, "Daily", Log!$B:$B, "n/a"),
        _xlpm.we_camera_on_date, IFERROR(AVERAGEIFS(Log!$F:$F, Log!$D:$D,M$4, Log!$C:$C, $A169, Log!$A:$A, "Daily", Log!$B:$B, "n/a"), 0),
        _xlpm.ie_camera_on_date, IFERROR(AVERAGEIFS(Log!$G:$G, Log!$D:$D,M$4,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69" s="68" t="str">
        <f>IFERROR(
    _xlfn.LET(
        _xlpm.is_data_present, $A169&lt;&gt;0,
        _xlpm.is_camera_present, COUNTIFS(Log!$C:$C, $A169, Log!$D:$D, N$4, Log!$A:$A, "Daily", Log!$B:$B, "n/a"),
        _xlpm.we_camera_on_date, IFERROR(AVERAGEIFS(Log!$F:$F, Log!$D:$D,N$4, Log!$C:$C, $A169, Log!$A:$A, "Daily", Log!$B:$B, "n/a"), 0),
        _xlpm.ie_camera_on_date, IFERROR(AVERAGEIFS(Log!$G:$G, Log!$D:$D,N$4,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69" s="68" t="str">
        <f>IFERROR(
    _xlfn.LET(
        _xlpm.is_data_present, $A169&lt;&gt;0,
        _xlpm.is_camera_present, COUNTIFS(Log!$C:$C, $A169, Log!$D:$D, O$4, Log!$A:$A, "Daily", Log!$B:$B, "n/a"),
        _xlpm.we_camera_on_date, IFERROR(AVERAGEIFS(Log!$F:$F, Log!$D:$D,O$4, Log!$C:$C, $A169, Log!$A:$A, "Daily", Log!$B:$B, "n/a"), 0),
        _xlpm.ie_camera_on_date, IFERROR(AVERAGEIFS(Log!$G:$G, Log!$D:$D,O$4,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69" s="68" t="str">
        <f>IFERROR(
    _xlfn.LET(
        _xlpm.is_data_present, $A169&lt;&gt;0,
        _xlpm.is_camera_present, COUNTIFS(Log!$C:$C, $A169, Log!$D:$D, P$4, Log!$A:$A, "Daily", Log!$B:$B, "n/a"),
        _xlpm.we_camera_on_date, IFERROR(AVERAGEIFS(Log!$F:$F, Log!$D:$D,P$4, Log!$C:$C, $A169, Log!$A:$A, "Daily", Log!$B:$B, "n/a"), 0),
        _xlpm.ie_camera_on_date, IFERROR(AVERAGEIFS(Log!$G:$G, Log!$D:$D,P$4,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69" s="68" t="str">
        <f>IFERROR(
    _xlfn.LET(
        _xlpm.is_data_present, $A169&lt;&gt;0,
        _xlpm.is_camera_present, COUNTIFS(Log!$C:$C, $A169, Log!$D:$D, Q$4, Log!$A:$A, "Daily", Log!$B:$B, "n/a"),
        _xlpm.we_camera_on_date, IFERROR(AVERAGEIFS(Log!$F:$F, Log!$D:$D,Q$4, Log!$C:$C, $A169, Log!$A:$A, "Daily", Log!$B:$B, "n/a"), 0),
        _xlpm.ie_camera_on_date, IFERROR(AVERAGEIFS(Log!$G:$G, Log!$D:$D,Q$4,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69" s="68" t="str">
        <f>IFERROR(
    _xlfn.LET(
        _xlpm.is_data_present, $A169&lt;&gt;0,
        _xlpm.is_camera_present, COUNTIFS(Log!$C:$C, $A169, Log!$D:$D, R$4, Log!$A:$A, "Daily", Log!$B:$B, "n/a"),
        _xlpm.we_camera_on_date, IFERROR(AVERAGEIFS(Log!$F:$F, Log!$D:$D,R$4, Log!$C:$C, $A169, Log!$A:$A, "Daily", Log!$B:$B, "n/a"), 0),
        _xlpm.ie_camera_on_date, IFERROR(AVERAGEIFS(Log!$G:$G, Log!$D:$D,R$4,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69" s="68" t="str">
        <f>IFERROR(
    _xlfn.LET(
        _xlpm.is_data_present, $A169&lt;&gt;0,
        _xlpm.is_camera_present, COUNTIFS(Log!$C:$C, $A169, Log!$D:$D, S$4, Log!$A:$A, "Daily", Log!$B:$B, "n/a"),
        _xlpm.we_camera_on_date, IFERROR(AVERAGEIFS(Log!$F:$F, Log!$D:$D,S$4, Log!$C:$C, $A169, Log!$A:$A, "Daily", Log!$B:$B, "n/a"), 0),
        _xlpm.ie_camera_on_date, IFERROR(AVERAGEIFS(Log!$G:$G, Log!$D:$D,S$4, Log!$C:$C, $A169, Log!$A:$A, "Daily", Log!$B:$B, "n/a"), 0),
        _xlpm.we_avg, IFERROR(AVERAGEIFS(Log!$F:$F,Log!$C:$C,$A169, Log!$A:$A, "Daily", Log!$B:$B, "n/a"),0),
        _xlpm.ie_avg, IFERROR(AVERAGEIFS(Log!$G:$G,Log!$C:$C,$A169,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0" spans="2:19" x14ac:dyDescent="0.3">
      <c r="B170" s="68" t="str">
        <f>IFERROR(
    _xlfn.LET(
        _xlpm.is_data_present, $A170&lt;&gt;0,
        _xlpm.is_camera_present, COUNTIFS(Log!$C:$C, $A170, Log!$D:$D, B$4, Log!$A:$A, "Daily", Log!$B:$B, "n/a"),
        _xlpm.we_camera_on_date, IFERROR(AVERAGEIFS(Log!$F:$F, Log!$D:$D,B$4, Log!$C:$C, $A170, Log!$A:$A, "Daily", Log!$B:$B, "n/a"), 0),
        _xlpm.ie_camera_on_date, IFERROR(AVERAGEIFS(Log!$G:$G, Log!$D:$D,B$4,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0" s="68" t="str">
        <f>IFERROR(
    _xlfn.LET(
        _xlpm.is_data_present, $A170&lt;&gt;0,
        _xlpm.is_camera_present, COUNTIFS(Log!$C:$C, $A170, Log!$D:$D, C$4, Log!$A:$A, "Daily", Log!$B:$B, "n/a"),
        _xlpm.we_camera_on_date, IFERROR(AVERAGEIFS(Log!$F:$F, Log!$D:$D,C$4, Log!$C:$C, $A170, Log!$A:$A, "Daily", Log!$B:$B, "n/a"), 0),
        _xlpm.ie_camera_on_date, IFERROR(AVERAGEIFS(Log!$G:$G, Log!$D:$D,C$4,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0" s="68" t="str">
        <f>IFERROR(
    _xlfn.LET(
        _xlpm.is_data_present, $A170&lt;&gt;0,
        _xlpm.is_camera_present, COUNTIFS(Log!$C:$C, $A170, Log!$D:$D, D$4, Log!$A:$A, "Daily", Log!$B:$B, "n/a"),
        _xlpm.we_camera_on_date, IFERROR(AVERAGEIFS(Log!$F:$F, Log!$D:$D,D$4, Log!$C:$C, $A170, Log!$A:$A, "Daily", Log!$B:$B, "n/a"), 0),
        _xlpm.ie_camera_on_date, IFERROR(AVERAGEIFS(Log!$G:$G, Log!$D:$D,D$4,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0" s="68" t="str">
        <f>IFERROR(
    _xlfn.LET(
        _xlpm.is_data_present, $A170&lt;&gt;0,
        _xlpm.is_camera_present, COUNTIFS(Log!$C:$C, $A170, Log!$D:$D, E$4, Log!$A:$A, "Daily", Log!$B:$B, "n/a"),
        _xlpm.we_camera_on_date, IFERROR(AVERAGEIFS(Log!$F:$F, Log!$D:$D,E$4, Log!$C:$C, $A170, Log!$A:$A, "Daily", Log!$B:$B, "n/a"), 0),
        _xlpm.ie_camera_on_date, IFERROR(AVERAGEIFS(Log!$G:$G, Log!$D:$D,E$4,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0" s="68" t="str">
        <f>IFERROR(
    _xlfn.LET(
        _xlpm.is_data_present, $A170&lt;&gt;0,
        _xlpm.is_camera_present, COUNTIFS(Log!$C:$C, $A170, Log!$D:$D, F$4, Log!$A:$A, "Daily", Log!$B:$B, "n/a"),
        _xlpm.we_camera_on_date, IFERROR(AVERAGEIFS(Log!$F:$F, Log!$D:$D,F$4, Log!$C:$C, $A170, Log!$A:$A, "Daily", Log!$B:$B, "n/a"), 0),
        _xlpm.ie_camera_on_date, IFERROR(AVERAGEIFS(Log!$G:$G, Log!$D:$D,F$4,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0" s="68" t="str">
        <f>IFERROR(
    _xlfn.LET(
        _xlpm.is_data_present, $A170&lt;&gt;0,
        _xlpm.is_camera_present, COUNTIFS(Log!$C:$C, $A170, Log!$D:$D, G$4, Log!$A:$A, "Daily", Log!$B:$B, "n/a"),
        _xlpm.we_camera_on_date, IFERROR(AVERAGEIFS(Log!$F:$F, Log!$D:$D,G$4, Log!$C:$C, $A170, Log!$A:$A, "Daily", Log!$B:$B, "n/a"), 0),
        _xlpm.ie_camera_on_date, IFERROR(AVERAGEIFS(Log!$G:$G, Log!$D:$D,G$4,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0" s="68" t="str">
        <f>IFERROR(
    _xlfn.LET(
        _xlpm.is_data_present, $A170&lt;&gt;0,
        _xlpm.is_camera_present, COUNTIFS(Log!$C:$C, $A170, Log!$D:$D, H$4, Log!$A:$A, "Daily", Log!$B:$B, "n/a"),
        _xlpm.we_camera_on_date, IFERROR(AVERAGEIFS(Log!$F:$F, Log!$D:$D,H$4, Log!$C:$C, $A170, Log!$A:$A, "Daily", Log!$B:$B, "n/a"), 0),
        _xlpm.ie_camera_on_date, IFERROR(AVERAGEIFS(Log!$G:$G, Log!$D:$D,H$4,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0" s="68" t="str">
        <f>IFERROR(
    _xlfn.LET(
        _xlpm.is_data_present, $A170&lt;&gt;0,
        _xlpm.is_camera_present, COUNTIFS(Log!$C:$C, $A170, Log!$D:$D, I$4, Log!$A:$A, "Daily", Log!$B:$B, "n/a"),
        _xlpm.we_camera_on_date, IFERROR(AVERAGEIFS(Log!$F:$F, Log!$D:$D,I$4, Log!$C:$C, $A170, Log!$A:$A, "Daily", Log!$B:$B, "n/a"), 0),
        _xlpm.ie_camera_on_date, IFERROR(AVERAGEIFS(Log!$G:$G, Log!$D:$D,I$4,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0" s="68" t="str">
        <f>IFERROR(
    _xlfn.LET(
        _xlpm.is_data_present, $A170&lt;&gt;0,
        _xlpm.is_camera_present, COUNTIFS(Log!$C:$C, $A170, Log!$D:$D, J$4, Log!$A:$A, "Daily", Log!$B:$B, "n/a"),
        _xlpm.we_camera_on_date, IFERROR(AVERAGEIFS(Log!$F:$F, Log!$D:$D,J$4, Log!$C:$C, $A170, Log!$A:$A, "Daily", Log!$B:$B, "n/a"), 0),
        _xlpm.ie_camera_on_date, IFERROR(AVERAGEIFS(Log!$G:$G, Log!$D:$D,J$4,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0" s="68" t="str">
        <f>IFERROR(
    _xlfn.LET(
        _xlpm.is_data_present, $A170&lt;&gt;0,
        _xlpm.is_camera_present, COUNTIFS(Log!$C:$C, $A170, Log!$D:$D, K$4, Log!$A:$A, "Daily", Log!$B:$B, "n/a"),
        _xlpm.we_camera_on_date, IFERROR(AVERAGEIFS(Log!$F:$F, Log!$D:$D,K$4, Log!$C:$C, $A170, Log!$A:$A, "Daily", Log!$B:$B, "n/a"), 0),
        _xlpm.ie_camera_on_date, IFERROR(AVERAGEIFS(Log!$G:$G, Log!$D:$D,K$4,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0" s="68" t="str">
        <f>IFERROR(
    _xlfn.LET(
        _xlpm.is_data_present, $A170&lt;&gt;0,
        _xlpm.is_camera_present, COUNTIFS(Log!$C:$C, $A170, Log!$D:$D, L$4, Log!$A:$A, "Daily", Log!$B:$B, "n/a"),
        _xlpm.we_camera_on_date, IFERROR(AVERAGEIFS(Log!$F:$F, Log!$D:$D,L$4, Log!$C:$C, $A170, Log!$A:$A, "Daily", Log!$B:$B, "n/a"), 0),
        _xlpm.ie_camera_on_date, IFERROR(AVERAGEIFS(Log!$G:$G, Log!$D:$D,L$4,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0" s="68" t="str">
        <f>IFERROR(
    _xlfn.LET(
        _xlpm.is_data_present, $A170&lt;&gt;0,
        _xlpm.is_camera_present, COUNTIFS(Log!$C:$C, $A170, Log!$D:$D, M$4, Log!$A:$A, "Daily", Log!$B:$B, "n/a"),
        _xlpm.we_camera_on_date, IFERROR(AVERAGEIFS(Log!$F:$F, Log!$D:$D,M$4, Log!$C:$C, $A170, Log!$A:$A, "Daily", Log!$B:$B, "n/a"), 0),
        _xlpm.ie_camera_on_date, IFERROR(AVERAGEIFS(Log!$G:$G, Log!$D:$D,M$4,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0" s="68" t="str">
        <f>IFERROR(
    _xlfn.LET(
        _xlpm.is_data_present, $A170&lt;&gt;0,
        _xlpm.is_camera_present, COUNTIFS(Log!$C:$C, $A170, Log!$D:$D, N$4, Log!$A:$A, "Daily", Log!$B:$B, "n/a"),
        _xlpm.we_camera_on_date, IFERROR(AVERAGEIFS(Log!$F:$F, Log!$D:$D,N$4, Log!$C:$C, $A170, Log!$A:$A, "Daily", Log!$B:$B, "n/a"), 0),
        _xlpm.ie_camera_on_date, IFERROR(AVERAGEIFS(Log!$G:$G, Log!$D:$D,N$4,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0" s="68" t="str">
        <f>IFERROR(
    _xlfn.LET(
        _xlpm.is_data_present, $A170&lt;&gt;0,
        _xlpm.is_camera_present, COUNTIFS(Log!$C:$C, $A170, Log!$D:$D, O$4, Log!$A:$A, "Daily", Log!$B:$B, "n/a"),
        _xlpm.we_camera_on_date, IFERROR(AVERAGEIFS(Log!$F:$F, Log!$D:$D,O$4, Log!$C:$C, $A170, Log!$A:$A, "Daily", Log!$B:$B, "n/a"), 0),
        _xlpm.ie_camera_on_date, IFERROR(AVERAGEIFS(Log!$G:$G, Log!$D:$D,O$4,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0" s="68" t="str">
        <f>IFERROR(
    _xlfn.LET(
        _xlpm.is_data_present, $A170&lt;&gt;0,
        _xlpm.is_camera_present, COUNTIFS(Log!$C:$C, $A170, Log!$D:$D, P$4, Log!$A:$A, "Daily", Log!$B:$B, "n/a"),
        _xlpm.we_camera_on_date, IFERROR(AVERAGEIFS(Log!$F:$F, Log!$D:$D,P$4, Log!$C:$C, $A170, Log!$A:$A, "Daily", Log!$B:$B, "n/a"), 0),
        _xlpm.ie_camera_on_date, IFERROR(AVERAGEIFS(Log!$G:$G, Log!$D:$D,P$4,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0" s="68" t="str">
        <f>IFERROR(
    _xlfn.LET(
        _xlpm.is_data_present, $A170&lt;&gt;0,
        _xlpm.is_camera_present, COUNTIFS(Log!$C:$C, $A170, Log!$D:$D, Q$4, Log!$A:$A, "Daily", Log!$B:$B, "n/a"),
        _xlpm.we_camera_on_date, IFERROR(AVERAGEIFS(Log!$F:$F, Log!$D:$D,Q$4, Log!$C:$C, $A170, Log!$A:$A, "Daily", Log!$B:$B, "n/a"), 0),
        _xlpm.ie_camera_on_date, IFERROR(AVERAGEIFS(Log!$G:$G, Log!$D:$D,Q$4,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0" s="68" t="str">
        <f>IFERROR(
    _xlfn.LET(
        _xlpm.is_data_present, $A170&lt;&gt;0,
        _xlpm.is_camera_present, COUNTIFS(Log!$C:$C, $A170, Log!$D:$D, R$4, Log!$A:$A, "Daily", Log!$B:$B, "n/a"),
        _xlpm.we_camera_on_date, IFERROR(AVERAGEIFS(Log!$F:$F, Log!$D:$D,R$4, Log!$C:$C, $A170, Log!$A:$A, "Daily", Log!$B:$B, "n/a"), 0),
        _xlpm.ie_camera_on_date, IFERROR(AVERAGEIFS(Log!$G:$G, Log!$D:$D,R$4,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0" s="68" t="str">
        <f>IFERROR(
    _xlfn.LET(
        _xlpm.is_data_present, $A170&lt;&gt;0,
        _xlpm.is_camera_present, COUNTIFS(Log!$C:$C, $A170, Log!$D:$D, S$4, Log!$A:$A, "Daily", Log!$B:$B, "n/a"),
        _xlpm.we_camera_on_date, IFERROR(AVERAGEIFS(Log!$F:$F, Log!$D:$D,S$4, Log!$C:$C, $A170, Log!$A:$A, "Daily", Log!$B:$B, "n/a"), 0),
        _xlpm.ie_camera_on_date, IFERROR(AVERAGEIFS(Log!$G:$G, Log!$D:$D,S$4, Log!$C:$C, $A170, Log!$A:$A, "Daily", Log!$B:$B, "n/a"), 0),
        _xlpm.we_avg, IFERROR(AVERAGEIFS(Log!$F:$F,Log!$C:$C,$A170, Log!$A:$A, "Daily", Log!$B:$B, "n/a"),0),
        _xlpm.ie_avg, IFERROR(AVERAGEIFS(Log!$G:$G,Log!$C:$C,$A170,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1" spans="2:19" x14ac:dyDescent="0.3">
      <c r="B171" s="68" t="str">
        <f>IFERROR(
    _xlfn.LET(
        _xlpm.is_data_present, $A171&lt;&gt;0,
        _xlpm.is_camera_present, COUNTIFS(Log!$C:$C, $A171, Log!$D:$D, B$4, Log!$A:$A, "Daily", Log!$B:$B, "n/a"),
        _xlpm.we_camera_on_date, IFERROR(AVERAGEIFS(Log!$F:$F, Log!$D:$D,B$4, Log!$C:$C, $A171, Log!$A:$A, "Daily", Log!$B:$B, "n/a"), 0),
        _xlpm.ie_camera_on_date, IFERROR(AVERAGEIFS(Log!$G:$G, Log!$D:$D,B$4,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1" s="68" t="str">
        <f>IFERROR(
    _xlfn.LET(
        _xlpm.is_data_present, $A171&lt;&gt;0,
        _xlpm.is_camera_present, COUNTIFS(Log!$C:$C, $A171, Log!$D:$D, C$4, Log!$A:$A, "Daily", Log!$B:$B, "n/a"),
        _xlpm.we_camera_on_date, IFERROR(AVERAGEIFS(Log!$F:$F, Log!$D:$D,C$4, Log!$C:$C, $A171, Log!$A:$A, "Daily", Log!$B:$B, "n/a"), 0),
        _xlpm.ie_camera_on_date, IFERROR(AVERAGEIFS(Log!$G:$G, Log!$D:$D,C$4,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1" s="68" t="str">
        <f>IFERROR(
    _xlfn.LET(
        _xlpm.is_data_present, $A171&lt;&gt;0,
        _xlpm.is_camera_present, COUNTIFS(Log!$C:$C, $A171, Log!$D:$D, D$4, Log!$A:$A, "Daily", Log!$B:$B, "n/a"),
        _xlpm.we_camera_on_date, IFERROR(AVERAGEIFS(Log!$F:$F, Log!$D:$D,D$4, Log!$C:$C, $A171, Log!$A:$A, "Daily", Log!$B:$B, "n/a"), 0),
        _xlpm.ie_camera_on_date, IFERROR(AVERAGEIFS(Log!$G:$G, Log!$D:$D,D$4,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1" s="68" t="str">
        <f>IFERROR(
    _xlfn.LET(
        _xlpm.is_data_present, $A171&lt;&gt;0,
        _xlpm.is_camera_present, COUNTIFS(Log!$C:$C, $A171, Log!$D:$D, E$4, Log!$A:$A, "Daily", Log!$B:$B, "n/a"),
        _xlpm.we_camera_on_date, IFERROR(AVERAGEIFS(Log!$F:$F, Log!$D:$D,E$4, Log!$C:$C, $A171, Log!$A:$A, "Daily", Log!$B:$B, "n/a"), 0),
        _xlpm.ie_camera_on_date, IFERROR(AVERAGEIFS(Log!$G:$G, Log!$D:$D,E$4,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1" s="68" t="str">
        <f>IFERROR(
    _xlfn.LET(
        _xlpm.is_data_present, $A171&lt;&gt;0,
        _xlpm.is_camera_present, COUNTIFS(Log!$C:$C, $A171, Log!$D:$D, F$4, Log!$A:$A, "Daily", Log!$B:$B, "n/a"),
        _xlpm.we_camera_on_date, IFERROR(AVERAGEIFS(Log!$F:$F, Log!$D:$D,F$4, Log!$C:$C, $A171, Log!$A:$A, "Daily", Log!$B:$B, "n/a"), 0),
        _xlpm.ie_camera_on_date, IFERROR(AVERAGEIFS(Log!$G:$G, Log!$D:$D,F$4,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1" s="68" t="str">
        <f>IFERROR(
    _xlfn.LET(
        _xlpm.is_data_present, $A171&lt;&gt;0,
        _xlpm.is_camera_present, COUNTIFS(Log!$C:$C, $A171, Log!$D:$D, G$4, Log!$A:$A, "Daily", Log!$B:$B, "n/a"),
        _xlpm.we_camera_on_date, IFERROR(AVERAGEIFS(Log!$F:$F, Log!$D:$D,G$4, Log!$C:$C, $A171, Log!$A:$A, "Daily", Log!$B:$B, "n/a"), 0),
        _xlpm.ie_camera_on_date, IFERROR(AVERAGEIFS(Log!$G:$G, Log!$D:$D,G$4,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1" s="68" t="str">
        <f>IFERROR(
    _xlfn.LET(
        _xlpm.is_data_present, $A171&lt;&gt;0,
        _xlpm.is_camera_present, COUNTIFS(Log!$C:$C, $A171, Log!$D:$D, H$4, Log!$A:$A, "Daily", Log!$B:$B, "n/a"),
        _xlpm.we_camera_on_date, IFERROR(AVERAGEIFS(Log!$F:$F, Log!$D:$D,H$4, Log!$C:$C, $A171, Log!$A:$A, "Daily", Log!$B:$B, "n/a"), 0),
        _xlpm.ie_camera_on_date, IFERROR(AVERAGEIFS(Log!$G:$G, Log!$D:$D,H$4,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1" s="68" t="str">
        <f>IFERROR(
    _xlfn.LET(
        _xlpm.is_data_present, $A171&lt;&gt;0,
        _xlpm.is_camera_present, COUNTIFS(Log!$C:$C, $A171, Log!$D:$D, I$4, Log!$A:$A, "Daily", Log!$B:$B, "n/a"),
        _xlpm.we_camera_on_date, IFERROR(AVERAGEIFS(Log!$F:$F, Log!$D:$D,I$4, Log!$C:$C, $A171, Log!$A:$A, "Daily", Log!$B:$B, "n/a"), 0),
        _xlpm.ie_camera_on_date, IFERROR(AVERAGEIFS(Log!$G:$G, Log!$D:$D,I$4,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1" s="68" t="str">
        <f>IFERROR(
    _xlfn.LET(
        _xlpm.is_data_present, $A171&lt;&gt;0,
        _xlpm.is_camera_present, COUNTIFS(Log!$C:$C, $A171, Log!$D:$D, J$4, Log!$A:$A, "Daily", Log!$B:$B, "n/a"),
        _xlpm.we_camera_on_date, IFERROR(AVERAGEIFS(Log!$F:$F, Log!$D:$D,J$4, Log!$C:$C, $A171, Log!$A:$A, "Daily", Log!$B:$B, "n/a"), 0),
        _xlpm.ie_camera_on_date, IFERROR(AVERAGEIFS(Log!$G:$G, Log!$D:$D,J$4,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1" s="68" t="str">
        <f>IFERROR(
    _xlfn.LET(
        _xlpm.is_data_present, $A171&lt;&gt;0,
        _xlpm.is_camera_present, COUNTIFS(Log!$C:$C, $A171, Log!$D:$D, K$4, Log!$A:$A, "Daily", Log!$B:$B, "n/a"),
        _xlpm.we_camera_on_date, IFERROR(AVERAGEIFS(Log!$F:$F, Log!$D:$D,K$4, Log!$C:$C, $A171, Log!$A:$A, "Daily", Log!$B:$B, "n/a"), 0),
        _xlpm.ie_camera_on_date, IFERROR(AVERAGEIFS(Log!$G:$G, Log!$D:$D,K$4,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1" s="68" t="str">
        <f>IFERROR(
    _xlfn.LET(
        _xlpm.is_data_present, $A171&lt;&gt;0,
        _xlpm.is_camera_present, COUNTIFS(Log!$C:$C, $A171, Log!$D:$D, L$4, Log!$A:$A, "Daily", Log!$B:$B, "n/a"),
        _xlpm.we_camera_on_date, IFERROR(AVERAGEIFS(Log!$F:$F, Log!$D:$D,L$4, Log!$C:$C, $A171, Log!$A:$A, "Daily", Log!$B:$B, "n/a"), 0),
        _xlpm.ie_camera_on_date, IFERROR(AVERAGEIFS(Log!$G:$G, Log!$D:$D,L$4,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1" s="68" t="str">
        <f>IFERROR(
    _xlfn.LET(
        _xlpm.is_data_present, $A171&lt;&gt;0,
        _xlpm.is_camera_present, COUNTIFS(Log!$C:$C, $A171, Log!$D:$D, M$4, Log!$A:$A, "Daily", Log!$B:$B, "n/a"),
        _xlpm.we_camera_on_date, IFERROR(AVERAGEIFS(Log!$F:$F, Log!$D:$D,M$4, Log!$C:$C, $A171, Log!$A:$A, "Daily", Log!$B:$B, "n/a"), 0),
        _xlpm.ie_camera_on_date, IFERROR(AVERAGEIFS(Log!$G:$G, Log!$D:$D,M$4,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1" s="68" t="str">
        <f>IFERROR(
    _xlfn.LET(
        _xlpm.is_data_present, $A171&lt;&gt;0,
        _xlpm.is_camera_present, COUNTIFS(Log!$C:$C, $A171, Log!$D:$D, N$4, Log!$A:$A, "Daily", Log!$B:$B, "n/a"),
        _xlpm.we_camera_on_date, IFERROR(AVERAGEIFS(Log!$F:$F, Log!$D:$D,N$4, Log!$C:$C, $A171, Log!$A:$A, "Daily", Log!$B:$B, "n/a"), 0),
        _xlpm.ie_camera_on_date, IFERROR(AVERAGEIFS(Log!$G:$G, Log!$D:$D,N$4,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1" s="68" t="str">
        <f>IFERROR(
    _xlfn.LET(
        _xlpm.is_data_present, $A171&lt;&gt;0,
        _xlpm.is_camera_present, COUNTIFS(Log!$C:$C, $A171, Log!$D:$D, O$4, Log!$A:$A, "Daily", Log!$B:$B, "n/a"),
        _xlpm.we_camera_on_date, IFERROR(AVERAGEIFS(Log!$F:$F, Log!$D:$D,O$4, Log!$C:$C, $A171, Log!$A:$A, "Daily", Log!$B:$B, "n/a"), 0),
        _xlpm.ie_camera_on_date, IFERROR(AVERAGEIFS(Log!$G:$G, Log!$D:$D,O$4,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1" s="68" t="str">
        <f>IFERROR(
    _xlfn.LET(
        _xlpm.is_data_present, $A171&lt;&gt;0,
        _xlpm.is_camera_present, COUNTIFS(Log!$C:$C, $A171, Log!$D:$D, P$4, Log!$A:$A, "Daily", Log!$B:$B, "n/a"),
        _xlpm.we_camera_on_date, IFERROR(AVERAGEIFS(Log!$F:$F, Log!$D:$D,P$4, Log!$C:$C, $A171, Log!$A:$A, "Daily", Log!$B:$B, "n/a"), 0),
        _xlpm.ie_camera_on_date, IFERROR(AVERAGEIFS(Log!$G:$G, Log!$D:$D,P$4,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1" s="68" t="str">
        <f>IFERROR(
    _xlfn.LET(
        _xlpm.is_data_present, $A171&lt;&gt;0,
        _xlpm.is_camera_present, COUNTIFS(Log!$C:$C, $A171, Log!$D:$D, Q$4, Log!$A:$A, "Daily", Log!$B:$B, "n/a"),
        _xlpm.we_camera_on_date, IFERROR(AVERAGEIFS(Log!$F:$F, Log!$D:$D,Q$4, Log!$C:$C, $A171, Log!$A:$A, "Daily", Log!$B:$B, "n/a"), 0),
        _xlpm.ie_camera_on_date, IFERROR(AVERAGEIFS(Log!$G:$G, Log!$D:$D,Q$4,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1" s="68" t="str">
        <f>IFERROR(
    _xlfn.LET(
        _xlpm.is_data_present, $A171&lt;&gt;0,
        _xlpm.is_camera_present, COUNTIFS(Log!$C:$C, $A171, Log!$D:$D, R$4, Log!$A:$A, "Daily", Log!$B:$B, "n/a"),
        _xlpm.we_camera_on_date, IFERROR(AVERAGEIFS(Log!$F:$F, Log!$D:$D,R$4, Log!$C:$C, $A171, Log!$A:$A, "Daily", Log!$B:$B, "n/a"), 0),
        _xlpm.ie_camera_on_date, IFERROR(AVERAGEIFS(Log!$G:$G, Log!$D:$D,R$4,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1" s="68" t="str">
        <f>IFERROR(
    _xlfn.LET(
        _xlpm.is_data_present, $A171&lt;&gt;0,
        _xlpm.is_camera_present, COUNTIFS(Log!$C:$C, $A171, Log!$D:$D, S$4, Log!$A:$A, "Daily", Log!$B:$B, "n/a"),
        _xlpm.we_camera_on_date, IFERROR(AVERAGEIFS(Log!$F:$F, Log!$D:$D,S$4, Log!$C:$C, $A171, Log!$A:$A, "Daily", Log!$B:$B, "n/a"), 0),
        _xlpm.ie_camera_on_date, IFERROR(AVERAGEIFS(Log!$G:$G, Log!$D:$D,S$4, Log!$C:$C, $A171, Log!$A:$A, "Daily", Log!$B:$B, "n/a"), 0),
        _xlpm.we_avg, IFERROR(AVERAGEIFS(Log!$F:$F,Log!$C:$C,$A171, Log!$A:$A, "Daily", Log!$B:$B, "n/a"),0),
        _xlpm.ie_avg, IFERROR(AVERAGEIFS(Log!$G:$G,Log!$C:$C,$A171,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2" spans="2:19" x14ac:dyDescent="0.3">
      <c r="B172" s="68" t="str">
        <f>IFERROR(
    _xlfn.LET(
        _xlpm.is_data_present, $A172&lt;&gt;0,
        _xlpm.is_camera_present, COUNTIFS(Log!$C:$C, $A172, Log!$D:$D, B$4, Log!$A:$A, "Daily", Log!$B:$B, "n/a"),
        _xlpm.we_camera_on_date, IFERROR(AVERAGEIFS(Log!$F:$F, Log!$D:$D,B$4, Log!$C:$C, $A172, Log!$A:$A, "Daily", Log!$B:$B, "n/a"), 0),
        _xlpm.ie_camera_on_date, IFERROR(AVERAGEIFS(Log!$G:$G, Log!$D:$D,B$4,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2" s="68" t="str">
        <f>IFERROR(
    _xlfn.LET(
        _xlpm.is_data_present, $A172&lt;&gt;0,
        _xlpm.is_camera_present, COUNTIFS(Log!$C:$C, $A172, Log!$D:$D, C$4, Log!$A:$A, "Daily", Log!$B:$B, "n/a"),
        _xlpm.we_camera_on_date, IFERROR(AVERAGEIFS(Log!$F:$F, Log!$D:$D,C$4, Log!$C:$C, $A172, Log!$A:$A, "Daily", Log!$B:$B, "n/a"), 0),
        _xlpm.ie_camera_on_date, IFERROR(AVERAGEIFS(Log!$G:$G, Log!$D:$D,C$4,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2" s="68" t="str">
        <f>IFERROR(
    _xlfn.LET(
        _xlpm.is_data_present, $A172&lt;&gt;0,
        _xlpm.is_camera_present, COUNTIFS(Log!$C:$C, $A172, Log!$D:$D, D$4, Log!$A:$A, "Daily", Log!$B:$B, "n/a"),
        _xlpm.we_camera_on_date, IFERROR(AVERAGEIFS(Log!$F:$F, Log!$D:$D,D$4, Log!$C:$C, $A172, Log!$A:$A, "Daily", Log!$B:$B, "n/a"), 0),
        _xlpm.ie_camera_on_date, IFERROR(AVERAGEIFS(Log!$G:$G, Log!$D:$D,D$4,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2" s="68" t="str">
        <f>IFERROR(
    _xlfn.LET(
        _xlpm.is_data_present, $A172&lt;&gt;0,
        _xlpm.is_camera_present, COUNTIFS(Log!$C:$C, $A172, Log!$D:$D, E$4, Log!$A:$A, "Daily", Log!$B:$B, "n/a"),
        _xlpm.we_camera_on_date, IFERROR(AVERAGEIFS(Log!$F:$F, Log!$D:$D,E$4, Log!$C:$C, $A172, Log!$A:$A, "Daily", Log!$B:$B, "n/a"), 0),
        _xlpm.ie_camera_on_date, IFERROR(AVERAGEIFS(Log!$G:$G, Log!$D:$D,E$4,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2" s="68" t="str">
        <f>IFERROR(
    _xlfn.LET(
        _xlpm.is_data_present, $A172&lt;&gt;0,
        _xlpm.is_camera_present, COUNTIFS(Log!$C:$C, $A172, Log!$D:$D, F$4, Log!$A:$A, "Daily", Log!$B:$B, "n/a"),
        _xlpm.we_camera_on_date, IFERROR(AVERAGEIFS(Log!$F:$F, Log!$D:$D,F$4, Log!$C:$C, $A172, Log!$A:$A, "Daily", Log!$B:$B, "n/a"), 0),
        _xlpm.ie_camera_on_date, IFERROR(AVERAGEIFS(Log!$G:$G, Log!$D:$D,F$4,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2" s="68" t="str">
        <f>IFERROR(
    _xlfn.LET(
        _xlpm.is_data_present, $A172&lt;&gt;0,
        _xlpm.is_camera_present, COUNTIFS(Log!$C:$C, $A172, Log!$D:$D, G$4, Log!$A:$A, "Daily", Log!$B:$B, "n/a"),
        _xlpm.we_camera_on_date, IFERROR(AVERAGEIFS(Log!$F:$F, Log!$D:$D,G$4, Log!$C:$C, $A172, Log!$A:$A, "Daily", Log!$B:$B, "n/a"), 0),
        _xlpm.ie_camera_on_date, IFERROR(AVERAGEIFS(Log!$G:$G, Log!$D:$D,G$4,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2" s="68" t="str">
        <f>IFERROR(
    _xlfn.LET(
        _xlpm.is_data_present, $A172&lt;&gt;0,
        _xlpm.is_camera_present, COUNTIFS(Log!$C:$C, $A172, Log!$D:$D, H$4, Log!$A:$A, "Daily", Log!$B:$B, "n/a"),
        _xlpm.we_camera_on_date, IFERROR(AVERAGEIFS(Log!$F:$F, Log!$D:$D,H$4, Log!$C:$C, $A172, Log!$A:$A, "Daily", Log!$B:$B, "n/a"), 0),
        _xlpm.ie_camera_on_date, IFERROR(AVERAGEIFS(Log!$G:$G, Log!$D:$D,H$4,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2" s="68" t="str">
        <f>IFERROR(
    _xlfn.LET(
        _xlpm.is_data_present, $A172&lt;&gt;0,
        _xlpm.is_camera_present, COUNTIFS(Log!$C:$C, $A172, Log!$D:$D, I$4, Log!$A:$A, "Daily", Log!$B:$B, "n/a"),
        _xlpm.we_camera_on_date, IFERROR(AVERAGEIFS(Log!$F:$F, Log!$D:$D,I$4, Log!$C:$C, $A172, Log!$A:$A, "Daily", Log!$B:$B, "n/a"), 0),
        _xlpm.ie_camera_on_date, IFERROR(AVERAGEIFS(Log!$G:$G, Log!$D:$D,I$4,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2" s="68" t="str">
        <f>IFERROR(
    _xlfn.LET(
        _xlpm.is_data_present, $A172&lt;&gt;0,
        _xlpm.is_camera_present, COUNTIFS(Log!$C:$C, $A172, Log!$D:$D, J$4, Log!$A:$A, "Daily", Log!$B:$B, "n/a"),
        _xlpm.we_camera_on_date, IFERROR(AVERAGEIFS(Log!$F:$F, Log!$D:$D,J$4, Log!$C:$C, $A172, Log!$A:$A, "Daily", Log!$B:$B, "n/a"), 0),
        _xlpm.ie_camera_on_date, IFERROR(AVERAGEIFS(Log!$G:$G, Log!$D:$D,J$4,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2" s="68" t="str">
        <f>IFERROR(
    _xlfn.LET(
        _xlpm.is_data_present, $A172&lt;&gt;0,
        _xlpm.is_camera_present, COUNTIFS(Log!$C:$C, $A172, Log!$D:$D, K$4, Log!$A:$A, "Daily", Log!$B:$B, "n/a"),
        _xlpm.we_camera_on_date, IFERROR(AVERAGEIFS(Log!$F:$F, Log!$D:$D,K$4, Log!$C:$C, $A172, Log!$A:$A, "Daily", Log!$B:$B, "n/a"), 0),
        _xlpm.ie_camera_on_date, IFERROR(AVERAGEIFS(Log!$G:$G, Log!$D:$D,K$4,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2" s="68" t="str">
        <f>IFERROR(
    _xlfn.LET(
        _xlpm.is_data_present, $A172&lt;&gt;0,
        _xlpm.is_camera_present, COUNTIFS(Log!$C:$C, $A172, Log!$D:$D, L$4, Log!$A:$A, "Daily", Log!$B:$B, "n/a"),
        _xlpm.we_camera_on_date, IFERROR(AVERAGEIFS(Log!$F:$F, Log!$D:$D,L$4, Log!$C:$C, $A172, Log!$A:$A, "Daily", Log!$B:$B, "n/a"), 0),
        _xlpm.ie_camera_on_date, IFERROR(AVERAGEIFS(Log!$G:$G, Log!$D:$D,L$4,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2" s="68" t="str">
        <f>IFERROR(
    _xlfn.LET(
        _xlpm.is_data_present, $A172&lt;&gt;0,
        _xlpm.is_camera_present, COUNTIFS(Log!$C:$C, $A172, Log!$D:$D, M$4, Log!$A:$A, "Daily", Log!$B:$B, "n/a"),
        _xlpm.we_camera_on_date, IFERROR(AVERAGEIFS(Log!$F:$F, Log!$D:$D,M$4, Log!$C:$C, $A172, Log!$A:$A, "Daily", Log!$B:$B, "n/a"), 0),
        _xlpm.ie_camera_on_date, IFERROR(AVERAGEIFS(Log!$G:$G, Log!$D:$D,M$4,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2" s="68" t="str">
        <f>IFERROR(
    _xlfn.LET(
        _xlpm.is_data_present, $A172&lt;&gt;0,
        _xlpm.is_camera_present, COUNTIFS(Log!$C:$C, $A172, Log!$D:$D, N$4, Log!$A:$A, "Daily", Log!$B:$B, "n/a"),
        _xlpm.we_camera_on_date, IFERROR(AVERAGEIFS(Log!$F:$F, Log!$D:$D,N$4, Log!$C:$C, $A172, Log!$A:$A, "Daily", Log!$B:$B, "n/a"), 0),
        _xlpm.ie_camera_on_date, IFERROR(AVERAGEIFS(Log!$G:$G, Log!$D:$D,N$4,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2" s="68" t="str">
        <f>IFERROR(
    _xlfn.LET(
        _xlpm.is_data_present, $A172&lt;&gt;0,
        _xlpm.is_camera_present, COUNTIFS(Log!$C:$C, $A172, Log!$D:$D, O$4, Log!$A:$A, "Daily", Log!$B:$B, "n/a"),
        _xlpm.we_camera_on_date, IFERROR(AVERAGEIFS(Log!$F:$F, Log!$D:$D,O$4, Log!$C:$C, $A172, Log!$A:$A, "Daily", Log!$B:$B, "n/a"), 0),
        _xlpm.ie_camera_on_date, IFERROR(AVERAGEIFS(Log!$G:$G, Log!$D:$D,O$4,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2" s="68" t="str">
        <f>IFERROR(
    _xlfn.LET(
        _xlpm.is_data_present, $A172&lt;&gt;0,
        _xlpm.is_camera_present, COUNTIFS(Log!$C:$C, $A172, Log!$D:$D, P$4, Log!$A:$A, "Daily", Log!$B:$B, "n/a"),
        _xlpm.we_camera_on_date, IFERROR(AVERAGEIFS(Log!$F:$F, Log!$D:$D,P$4, Log!$C:$C, $A172, Log!$A:$A, "Daily", Log!$B:$B, "n/a"), 0),
        _xlpm.ie_camera_on_date, IFERROR(AVERAGEIFS(Log!$G:$G, Log!$D:$D,P$4,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2" s="68" t="str">
        <f>IFERROR(
    _xlfn.LET(
        _xlpm.is_data_present, $A172&lt;&gt;0,
        _xlpm.is_camera_present, COUNTIFS(Log!$C:$C, $A172, Log!$D:$D, Q$4, Log!$A:$A, "Daily", Log!$B:$B, "n/a"),
        _xlpm.we_camera_on_date, IFERROR(AVERAGEIFS(Log!$F:$F, Log!$D:$D,Q$4, Log!$C:$C, $A172, Log!$A:$A, "Daily", Log!$B:$B, "n/a"), 0),
        _xlpm.ie_camera_on_date, IFERROR(AVERAGEIFS(Log!$G:$G, Log!$D:$D,Q$4,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2" s="68" t="str">
        <f>IFERROR(
    _xlfn.LET(
        _xlpm.is_data_present, $A172&lt;&gt;0,
        _xlpm.is_camera_present, COUNTIFS(Log!$C:$C, $A172, Log!$D:$D, R$4, Log!$A:$A, "Daily", Log!$B:$B, "n/a"),
        _xlpm.we_camera_on_date, IFERROR(AVERAGEIFS(Log!$F:$F, Log!$D:$D,R$4, Log!$C:$C, $A172, Log!$A:$A, "Daily", Log!$B:$B, "n/a"), 0),
        _xlpm.ie_camera_on_date, IFERROR(AVERAGEIFS(Log!$G:$G, Log!$D:$D,R$4,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2" s="68" t="str">
        <f>IFERROR(
    _xlfn.LET(
        _xlpm.is_data_present, $A172&lt;&gt;0,
        _xlpm.is_camera_present, COUNTIFS(Log!$C:$C, $A172, Log!$D:$D, S$4, Log!$A:$A, "Daily", Log!$B:$B, "n/a"),
        _xlpm.we_camera_on_date, IFERROR(AVERAGEIFS(Log!$F:$F, Log!$D:$D,S$4, Log!$C:$C, $A172, Log!$A:$A, "Daily", Log!$B:$B, "n/a"), 0),
        _xlpm.ie_camera_on_date, IFERROR(AVERAGEIFS(Log!$G:$G, Log!$D:$D,S$4, Log!$C:$C, $A172, Log!$A:$A, "Daily", Log!$B:$B, "n/a"), 0),
        _xlpm.we_avg, IFERROR(AVERAGEIFS(Log!$F:$F,Log!$C:$C,$A172, Log!$A:$A, "Daily", Log!$B:$B, "n/a"),0),
        _xlpm.ie_avg, IFERROR(AVERAGEIFS(Log!$G:$G,Log!$C:$C,$A172,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3" spans="2:19" x14ac:dyDescent="0.3">
      <c r="B173" s="68" t="str">
        <f>IFERROR(
    _xlfn.LET(
        _xlpm.is_data_present, $A173&lt;&gt;0,
        _xlpm.is_camera_present, COUNTIFS(Log!$C:$C, $A173, Log!$D:$D, B$4, Log!$A:$A, "Daily", Log!$B:$B, "n/a"),
        _xlpm.we_camera_on_date, IFERROR(AVERAGEIFS(Log!$F:$F, Log!$D:$D,B$4, Log!$C:$C, $A173, Log!$A:$A, "Daily", Log!$B:$B, "n/a"), 0),
        _xlpm.ie_camera_on_date, IFERROR(AVERAGEIFS(Log!$G:$G, Log!$D:$D,B$4,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3" s="68" t="str">
        <f>IFERROR(
    _xlfn.LET(
        _xlpm.is_data_present, $A173&lt;&gt;0,
        _xlpm.is_camera_present, COUNTIFS(Log!$C:$C, $A173, Log!$D:$D, C$4, Log!$A:$A, "Daily", Log!$B:$B, "n/a"),
        _xlpm.we_camera_on_date, IFERROR(AVERAGEIFS(Log!$F:$F, Log!$D:$D,C$4, Log!$C:$C, $A173, Log!$A:$A, "Daily", Log!$B:$B, "n/a"), 0),
        _xlpm.ie_camera_on_date, IFERROR(AVERAGEIFS(Log!$G:$G, Log!$D:$D,C$4,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3" s="68" t="str">
        <f>IFERROR(
    _xlfn.LET(
        _xlpm.is_data_present, $A173&lt;&gt;0,
        _xlpm.is_camera_present, COUNTIFS(Log!$C:$C, $A173, Log!$D:$D, D$4, Log!$A:$A, "Daily", Log!$B:$B, "n/a"),
        _xlpm.we_camera_on_date, IFERROR(AVERAGEIFS(Log!$F:$F, Log!$D:$D,D$4, Log!$C:$C, $A173, Log!$A:$A, "Daily", Log!$B:$B, "n/a"), 0),
        _xlpm.ie_camera_on_date, IFERROR(AVERAGEIFS(Log!$G:$G, Log!$D:$D,D$4,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3" s="68" t="str">
        <f>IFERROR(
    _xlfn.LET(
        _xlpm.is_data_present, $A173&lt;&gt;0,
        _xlpm.is_camera_present, COUNTIFS(Log!$C:$C, $A173, Log!$D:$D, E$4, Log!$A:$A, "Daily", Log!$B:$B, "n/a"),
        _xlpm.we_camera_on_date, IFERROR(AVERAGEIFS(Log!$F:$F, Log!$D:$D,E$4, Log!$C:$C, $A173, Log!$A:$A, "Daily", Log!$B:$B, "n/a"), 0),
        _xlpm.ie_camera_on_date, IFERROR(AVERAGEIFS(Log!$G:$G, Log!$D:$D,E$4,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3" s="68" t="str">
        <f>IFERROR(
    _xlfn.LET(
        _xlpm.is_data_present, $A173&lt;&gt;0,
        _xlpm.is_camera_present, COUNTIFS(Log!$C:$C, $A173, Log!$D:$D, F$4, Log!$A:$A, "Daily", Log!$B:$B, "n/a"),
        _xlpm.we_camera_on_date, IFERROR(AVERAGEIFS(Log!$F:$F, Log!$D:$D,F$4, Log!$C:$C, $A173, Log!$A:$A, "Daily", Log!$B:$B, "n/a"), 0),
        _xlpm.ie_camera_on_date, IFERROR(AVERAGEIFS(Log!$G:$G, Log!$D:$D,F$4,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3" s="68" t="str">
        <f>IFERROR(
    _xlfn.LET(
        _xlpm.is_data_present, $A173&lt;&gt;0,
        _xlpm.is_camera_present, COUNTIFS(Log!$C:$C, $A173, Log!$D:$D, G$4, Log!$A:$A, "Daily", Log!$B:$B, "n/a"),
        _xlpm.we_camera_on_date, IFERROR(AVERAGEIFS(Log!$F:$F, Log!$D:$D,G$4, Log!$C:$C, $A173, Log!$A:$A, "Daily", Log!$B:$B, "n/a"), 0),
        _xlpm.ie_camera_on_date, IFERROR(AVERAGEIFS(Log!$G:$G, Log!$D:$D,G$4,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3" s="68" t="str">
        <f>IFERROR(
    _xlfn.LET(
        _xlpm.is_data_present, $A173&lt;&gt;0,
        _xlpm.is_camera_present, COUNTIFS(Log!$C:$C, $A173, Log!$D:$D, H$4, Log!$A:$A, "Daily", Log!$B:$B, "n/a"),
        _xlpm.we_camera_on_date, IFERROR(AVERAGEIFS(Log!$F:$F, Log!$D:$D,H$4, Log!$C:$C, $A173, Log!$A:$A, "Daily", Log!$B:$B, "n/a"), 0),
        _xlpm.ie_camera_on_date, IFERROR(AVERAGEIFS(Log!$G:$G, Log!$D:$D,H$4,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3" s="68" t="str">
        <f>IFERROR(
    _xlfn.LET(
        _xlpm.is_data_present, $A173&lt;&gt;0,
        _xlpm.is_camera_present, COUNTIFS(Log!$C:$C, $A173, Log!$D:$D, I$4, Log!$A:$A, "Daily", Log!$B:$B, "n/a"),
        _xlpm.we_camera_on_date, IFERROR(AVERAGEIFS(Log!$F:$F, Log!$D:$D,I$4, Log!$C:$C, $A173, Log!$A:$A, "Daily", Log!$B:$B, "n/a"), 0),
        _xlpm.ie_camera_on_date, IFERROR(AVERAGEIFS(Log!$G:$G, Log!$D:$D,I$4,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3" s="68" t="str">
        <f>IFERROR(
    _xlfn.LET(
        _xlpm.is_data_present, $A173&lt;&gt;0,
        _xlpm.is_camera_present, COUNTIFS(Log!$C:$C, $A173, Log!$D:$D, J$4, Log!$A:$A, "Daily", Log!$B:$B, "n/a"),
        _xlpm.we_camera_on_date, IFERROR(AVERAGEIFS(Log!$F:$F, Log!$D:$D,J$4, Log!$C:$C, $A173, Log!$A:$A, "Daily", Log!$B:$B, "n/a"), 0),
        _xlpm.ie_camera_on_date, IFERROR(AVERAGEIFS(Log!$G:$G, Log!$D:$D,J$4,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3" s="68" t="str">
        <f>IFERROR(
    _xlfn.LET(
        _xlpm.is_data_present, $A173&lt;&gt;0,
        _xlpm.is_camera_present, COUNTIFS(Log!$C:$C, $A173, Log!$D:$D, K$4, Log!$A:$A, "Daily", Log!$B:$B, "n/a"),
        _xlpm.we_camera_on_date, IFERROR(AVERAGEIFS(Log!$F:$F, Log!$D:$D,K$4, Log!$C:$C, $A173, Log!$A:$A, "Daily", Log!$B:$B, "n/a"), 0),
        _xlpm.ie_camera_on_date, IFERROR(AVERAGEIFS(Log!$G:$G, Log!$D:$D,K$4,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3" s="68" t="str">
        <f>IFERROR(
    _xlfn.LET(
        _xlpm.is_data_present, $A173&lt;&gt;0,
        _xlpm.is_camera_present, COUNTIFS(Log!$C:$C, $A173, Log!$D:$D, L$4, Log!$A:$A, "Daily", Log!$B:$B, "n/a"),
        _xlpm.we_camera_on_date, IFERROR(AVERAGEIFS(Log!$F:$F, Log!$D:$D,L$4, Log!$C:$C, $A173, Log!$A:$A, "Daily", Log!$B:$B, "n/a"), 0),
        _xlpm.ie_camera_on_date, IFERROR(AVERAGEIFS(Log!$G:$G, Log!$D:$D,L$4,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3" s="68" t="str">
        <f>IFERROR(
    _xlfn.LET(
        _xlpm.is_data_present, $A173&lt;&gt;0,
        _xlpm.is_camera_present, COUNTIFS(Log!$C:$C, $A173, Log!$D:$D, M$4, Log!$A:$A, "Daily", Log!$B:$B, "n/a"),
        _xlpm.we_camera_on_date, IFERROR(AVERAGEIFS(Log!$F:$F, Log!$D:$D,M$4, Log!$C:$C, $A173, Log!$A:$A, "Daily", Log!$B:$B, "n/a"), 0),
        _xlpm.ie_camera_on_date, IFERROR(AVERAGEIFS(Log!$G:$G, Log!$D:$D,M$4,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3" s="68" t="str">
        <f>IFERROR(
    _xlfn.LET(
        _xlpm.is_data_present, $A173&lt;&gt;0,
        _xlpm.is_camera_present, COUNTIFS(Log!$C:$C, $A173, Log!$D:$D, N$4, Log!$A:$A, "Daily", Log!$B:$B, "n/a"),
        _xlpm.we_camera_on_date, IFERROR(AVERAGEIFS(Log!$F:$F, Log!$D:$D,N$4, Log!$C:$C, $A173, Log!$A:$A, "Daily", Log!$B:$B, "n/a"), 0),
        _xlpm.ie_camera_on_date, IFERROR(AVERAGEIFS(Log!$G:$G, Log!$D:$D,N$4,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3" s="68" t="str">
        <f>IFERROR(
    _xlfn.LET(
        _xlpm.is_data_present, $A173&lt;&gt;0,
        _xlpm.is_camera_present, COUNTIFS(Log!$C:$C, $A173, Log!$D:$D, O$4, Log!$A:$A, "Daily", Log!$B:$B, "n/a"),
        _xlpm.we_camera_on_date, IFERROR(AVERAGEIFS(Log!$F:$F, Log!$D:$D,O$4, Log!$C:$C, $A173, Log!$A:$A, "Daily", Log!$B:$B, "n/a"), 0),
        _xlpm.ie_camera_on_date, IFERROR(AVERAGEIFS(Log!$G:$G, Log!$D:$D,O$4,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3" s="68" t="str">
        <f>IFERROR(
    _xlfn.LET(
        _xlpm.is_data_present, $A173&lt;&gt;0,
        _xlpm.is_camera_present, COUNTIFS(Log!$C:$C, $A173, Log!$D:$D, P$4, Log!$A:$A, "Daily", Log!$B:$B, "n/a"),
        _xlpm.we_camera_on_date, IFERROR(AVERAGEIFS(Log!$F:$F, Log!$D:$D,P$4, Log!$C:$C, $A173, Log!$A:$A, "Daily", Log!$B:$B, "n/a"), 0),
        _xlpm.ie_camera_on_date, IFERROR(AVERAGEIFS(Log!$G:$G, Log!$D:$D,P$4,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3" s="68" t="str">
        <f>IFERROR(
    _xlfn.LET(
        _xlpm.is_data_present, $A173&lt;&gt;0,
        _xlpm.is_camera_present, COUNTIFS(Log!$C:$C, $A173, Log!$D:$D, Q$4, Log!$A:$A, "Daily", Log!$B:$B, "n/a"),
        _xlpm.we_camera_on_date, IFERROR(AVERAGEIFS(Log!$F:$F, Log!$D:$D,Q$4, Log!$C:$C, $A173, Log!$A:$A, "Daily", Log!$B:$B, "n/a"), 0),
        _xlpm.ie_camera_on_date, IFERROR(AVERAGEIFS(Log!$G:$G, Log!$D:$D,Q$4,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3" s="68" t="str">
        <f>IFERROR(
    _xlfn.LET(
        _xlpm.is_data_present, $A173&lt;&gt;0,
        _xlpm.is_camera_present, COUNTIFS(Log!$C:$C, $A173, Log!$D:$D, R$4, Log!$A:$A, "Daily", Log!$B:$B, "n/a"),
        _xlpm.we_camera_on_date, IFERROR(AVERAGEIFS(Log!$F:$F, Log!$D:$D,R$4, Log!$C:$C, $A173, Log!$A:$A, "Daily", Log!$B:$B, "n/a"), 0),
        _xlpm.ie_camera_on_date, IFERROR(AVERAGEIFS(Log!$G:$G, Log!$D:$D,R$4,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3" s="68" t="str">
        <f>IFERROR(
    _xlfn.LET(
        _xlpm.is_data_present, $A173&lt;&gt;0,
        _xlpm.is_camera_present, COUNTIFS(Log!$C:$C, $A173, Log!$D:$D, S$4, Log!$A:$A, "Daily", Log!$B:$B, "n/a"),
        _xlpm.we_camera_on_date, IFERROR(AVERAGEIFS(Log!$F:$F, Log!$D:$D,S$4, Log!$C:$C, $A173, Log!$A:$A, "Daily", Log!$B:$B, "n/a"), 0),
        _xlpm.ie_camera_on_date, IFERROR(AVERAGEIFS(Log!$G:$G, Log!$D:$D,S$4, Log!$C:$C, $A173, Log!$A:$A, "Daily", Log!$B:$B, "n/a"), 0),
        _xlpm.we_avg, IFERROR(AVERAGEIFS(Log!$F:$F,Log!$C:$C,$A173, Log!$A:$A, "Daily", Log!$B:$B, "n/a"),0),
        _xlpm.ie_avg, IFERROR(AVERAGEIFS(Log!$G:$G,Log!$C:$C,$A173,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4" spans="2:19" x14ac:dyDescent="0.3">
      <c r="B174" s="68" t="str">
        <f>IFERROR(
    _xlfn.LET(
        _xlpm.is_data_present, $A174&lt;&gt;0,
        _xlpm.is_camera_present, COUNTIFS(Log!$C:$C, $A174, Log!$D:$D, B$4, Log!$A:$A, "Daily", Log!$B:$B, "n/a"),
        _xlpm.we_camera_on_date, IFERROR(AVERAGEIFS(Log!$F:$F, Log!$D:$D,B$4, Log!$C:$C, $A174, Log!$A:$A, "Daily", Log!$B:$B, "n/a"), 0),
        _xlpm.ie_camera_on_date, IFERROR(AVERAGEIFS(Log!$G:$G, Log!$D:$D,B$4,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4" s="68" t="str">
        <f>IFERROR(
    _xlfn.LET(
        _xlpm.is_data_present, $A174&lt;&gt;0,
        _xlpm.is_camera_present, COUNTIFS(Log!$C:$C, $A174, Log!$D:$D, C$4, Log!$A:$A, "Daily", Log!$B:$B, "n/a"),
        _xlpm.we_camera_on_date, IFERROR(AVERAGEIFS(Log!$F:$F, Log!$D:$D,C$4, Log!$C:$C, $A174, Log!$A:$A, "Daily", Log!$B:$B, "n/a"), 0),
        _xlpm.ie_camera_on_date, IFERROR(AVERAGEIFS(Log!$G:$G, Log!$D:$D,C$4,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4" s="68" t="str">
        <f>IFERROR(
    _xlfn.LET(
        _xlpm.is_data_present, $A174&lt;&gt;0,
        _xlpm.is_camera_present, COUNTIFS(Log!$C:$C, $A174, Log!$D:$D, D$4, Log!$A:$A, "Daily", Log!$B:$B, "n/a"),
        _xlpm.we_camera_on_date, IFERROR(AVERAGEIFS(Log!$F:$F, Log!$D:$D,D$4, Log!$C:$C, $A174, Log!$A:$A, "Daily", Log!$B:$B, "n/a"), 0),
        _xlpm.ie_camera_on_date, IFERROR(AVERAGEIFS(Log!$G:$G, Log!$D:$D,D$4,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4" s="68" t="str">
        <f>IFERROR(
    _xlfn.LET(
        _xlpm.is_data_present, $A174&lt;&gt;0,
        _xlpm.is_camera_present, COUNTIFS(Log!$C:$C, $A174, Log!$D:$D, E$4, Log!$A:$A, "Daily", Log!$B:$B, "n/a"),
        _xlpm.we_camera_on_date, IFERROR(AVERAGEIFS(Log!$F:$F, Log!$D:$D,E$4, Log!$C:$C, $A174, Log!$A:$A, "Daily", Log!$B:$B, "n/a"), 0),
        _xlpm.ie_camera_on_date, IFERROR(AVERAGEIFS(Log!$G:$G, Log!$D:$D,E$4,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4" s="68" t="str">
        <f>IFERROR(
    _xlfn.LET(
        _xlpm.is_data_present, $A174&lt;&gt;0,
        _xlpm.is_camera_present, COUNTIFS(Log!$C:$C, $A174, Log!$D:$D, F$4, Log!$A:$A, "Daily", Log!$B:$B, "n/a"),
        _xlpm.we_camera_on_date, IFERROR(AVERAGEIFS(Log!$F:$F, Log!$D:$D,F$4, Log!$C:$C, $A174, Log!$A:$A, "Daily", Log!$B:$B, "n/a"), 0),
        _xlpm.ie_camera_on_date, IFERROR(AVERAGEIFS(Log!$G:$G, Log!$D:$D,F$4,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4" s="68" t="str">
        <f>IFERROR(
    _xlfn.LET(
        _xlpm.is_data_present, $A174&lt;&gt;0,
        _xlpm.is_camera_present, COUNTIFS(Log!$C:$C, $A174, Log!$D:$D, G$4, Log!$A:$A, "Daily", Log!$B:$B, "n/a"),
        _xlpm.we_camera_on_date, IFERROR(AVERAGEIFS(Log!$F:$F, Log!$D:$D,G$4, Log!$C:$C, $A174, Log!$A:$A, "Daily", Log!$B:$B, "n/a"), 0),
        _xlpm.ie_camera_on_date, IFERROR(AVERAGEIFS(Log!$G:$G, Log!$D:$D,G$4,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4" s="68" t="str">
        <f>IFERROR(
    _xlfn.LET(
        _xlpm.is_data_present, $A174&lt;&gt;0,
        _xlpm.is_camera_present, COUNTIFS(Log!$C:$C, $A174, Log!$D:$D, H$4, Log!$A:$A, "Daily", Log!$B:$B, "n/a"),
        _xlpm.we_camera_on_date, IFERROR(AVERAGEIFS(Log!$F:$F, Log!$D:$D,H$4, Log!$C:$C, $A174, Log!$A:$A, "Daily", Log!$B:$B, "n/a"), 0),
        _xlpm.ie_camera_on_date, IFERROR(AVERAGEIFS(Log!$G:$G, Log!$D:$D,H$4,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4" s="68" t="str">
        <f>IFERROR(
    _xlfn.LET(
        _xlpm.is_data_present, $A174&lt;&gt;0,
        _xlpm.is_camera_present, COUNTIFS(Log!$C:$C, $A174, Log!$D:$D, I$4, Log!$A:$A, "Daily", Log!$B:$B, "n/a"),
        _xlpm.we_camera_on_date, IFERROR(AVERAGEIFS(Log!$F:$F, Log!$D:$D,I$4, Log!$C:$C, $A174, Log!$A:$A, "Daily", Log!$B:$B, "n/a"), 0),
        _xlpm.ie_camera_on_date, IFERROR(AVERAGEIFS(Log!$G:$G, Log!$D:$D,I$4,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4" s="68" t="str">
        <f>IFERROR(
    _xlfn.LET(
        _xlpm.is_data_present, $A174&lt;&gt;0,
        _xlpm.is_camera_present, COUNTIFS(Log!$C:$C, $A174, Log!$D:$D, J$4, Log!$A:$A, "Daily", Log!$B:$B, "n/a"),
        _xlpm.we_camera_on_date, IFERROR(AVERAGEIFS(Log!$F:$F, Log!$D:$D,J$4, Log!$C:$C, $A174, Log!$A:$A, "Daily", Log!$B:$B, "n/a"), 0),
        _xlpm.ie_camera_on_date, IFERROR(AVERAGEIFS(Log!$G:$G, Log!$D:$D,J$4,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4" s="68" t="str">
        <f>IFERROR(
    _xlfn.LET(
        _xlpm.is_data_present, $A174&lt;&gt;0,
        _xlpm.is_camera_present, COUNTIFS(Log!$C:$C, $A174, Log!$D:$D, K$4, Log!$A:$A, "Daily", Log!$B:$B, "n/a"),
        _xlpm.we_camera_on_date, IFERROR(AVERAGEIFS(Log!$F:$F, Log!$D:$D,K$4, Log!$C:$C, $A174, Log!$A:$A, "Daily", Log!$B:$B, "n/a"), 0),
        _xlpm.ie_camera_on_date, IFERROR(AVERAGEIFS(Log!$G:$G, Log!$D:$D,K$4,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4" s="68" t="str">
        <f>IFERROR(
    _xlfn.LET(
        _xlpm.is_data_present, $A174&lt;&gt;0,
        _xlpm.is_camera_present, COUNTIFS(Log!$C:$C, $A174, Log!$D:$D, L$4, Log!$A:$A, "Daily", Log!$B:$B, "n/a"),
        _xlpm.we_camera_on_date, IFERROR(AVERAGEIFS(Log!$F:$F, Log!$D:$D,L$4, Log!$C:$C, $A174, Log!$A:$A, "Daily", Log!$B:$B, "n/a"), 0),
        _xlpm.ie_camera_on_date, IFERROR(AVERAGEIFS(Log!$G:$G, Log!$D:$D,L$4,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4" s="68" t="str">
        <f>IFERROR(
    _xlfn.LET(
        _xlpm.is_data_present, $A174&lt;&gt;0,
        _xlpm.is_camera_present, COUNTIFS(Log!$C:$C, $A174, Log!$D:$D, M$4, Log!$A:$A, "Daily", Log!$B:$B, "n/a"),
        _xlpm.we_camera_on_date, IFERROR(AVERAGEIFS(Log!$F:$F, Log!$D:$D,M$4, Log!$C:$C, $A174, Log!$A:$A, "Daily", Log!$B:$B, "n/a"), 0),
        _xlpm.ie_camera_on_date, IFERROR(AVERAGEIFS(Log!$G:$G, Log!$D:$D,M$4,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4" s="68" t="str">
        <f>IFERROR(
    _xlfn.LET(
        _xlpm.is_data_present, $A174&lt;&gt;0,
        _xlpm.is_camera_present, COUNTIFS(Log!$C:$C, $A174, Log!$D:$D, N$4, Log!$A:$A, "Daily", Log!$B:$B, "n/a"),
        _xlpm.we_camera_on_date, IFERROR(AVERAGEIFS(Log!$F:$F, Log!$D:$D,N$4, Log!$C:$C, $A174, Log!$A:$A, "Daily", Log!$B:$B, "n/a"), 0),
        _xlpm.ie_camera_on_date, IFERROR(AVERAGEIFS(Log!$G:$G, Log!$D:$D,N$4,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4" s="68" t="str">
        <f>IFERROR(
    _xlfn.LET(
        _xlpm.is_data_present, $A174&lt;&gt;0,
        _xlpm.is_camera_present, COUNTIFS(Log!$C:$C, $A174, Log!$D:$D, O$4, Log!$A:$A, "Daily", Log!$B:$B, "n/a"),
        _xlpm.we_camera_on_date, IFERROR(AVERAGEIFS(Log!$F:$F, Log!$D:$D,O$4, Log!$C:$C, $A174, Log!$A:$A, "Daily", Log!$B:$B, "n/a"), 0),
        _xlpm.ie_camera_on_date, IFERROR(AVERAGEIFS(Log!$G:$G, Log!$D:$D,O$4,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4" s="68" t="str">
        <f>IFERROR(
    _xlfn.LET(
        _xlpm.is_data_present, $A174&lt;&gt;0,
        _xlpm.is_camera_present, COUNTIFS(Log!$C:$C, $A174, Log!$D:$D, P$4, Log!$A:$A, "Daily", Log!$B:$B, "n/a"),
        _xlpm.we_camera_on_date, IFERROR(AVERAGEIFS(Log!$F:$F, Log!$D:$D,P$4, Log!$C:$C, $A174, Log!$A:$A, "Daily", Log!$B:$B, "n/a"), 0),
        _xlpm.ie_camera_on_date, IFERROR(AVERAGEIFS(Log!$G:$G, Log!$D:$D,P$4,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4" s="68" t="str">
        <f>IFERROR(
    _xlfn.LET(
        _xlpm.is_data_present, $A174&lt;&gt;0,
        _xlpm.is_camera_present, COUNTIFS(Log!$C:$C, $A174, Log!$D:$D, Q$4, Log!$A:$A, "Daily", Log!$B:$B, "n/a"),
        _xlpm.we_camera_on_date, IFERROR(AVERAGEIFS(Log!$F:$F, Log!$D:$D,Q$4, Log!$C:$C, $A174, Log!$A:$A, "Daily", Log!$B:$B, "n/a"), 0),
        _xlpm.ie_camera_on_date, IFERROR(AVERAGEIFS(Log!$G:$G, Log!$D:$D,Q$4,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4" s="68" t="str">
        <f>IFERROR(
    _xlfn.LET(
        _xlpm.is_data_present, $A174&lt;&gt;0,
        _xlpm.is_camera_present, COUNTIFS(Log!$C:$C, $A174, Log!$D:$D, R$4, Log!$A:$A, "Daily", Log!$B:$B, "n/a"),
        _xlpm.we_camera_on_date, IFERROR(AVERAGEIFS(Log!$F:$F, Log!$D:$D,R$4, Log!$C:$C, $A174, Log!$A:$A, "Daily", Log!$B:$B, "n/a"), 0),
        _xlpm.ie_camera_on_date, IFERROR(AVERAGEIFS(Log!$G:$G, Log!$D:$D,R$4,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4" s="68" t="str">
        <f>IFERROR(
    _xlfn.LET(
        _xlpm.is_data_present, $A174&lt;&gt;0,
        _xlpm.is_camera_present, COUNTIFS(Log!$C:$C, $A174, Log!$D:$D, S$4, Log!$A:$A, "Daily", Log!$B:$B, "n/a"),
        _xlpm.we_camera_on_date, IFERROR(AVERAGEIFS(Log!$F:$F, Log!$D:$D,S$4, Log!$C:$C, $A174, Log!$A:$A, "Daily", Log!$B:$B, "n/a"), 0),
        _xlpm.ie_camera_on_date, IFERROR(AVERAGEIFS(Log!$G:$G, Log!$D:$D,S$4, Log!$C:$C, $A174, Log!$A:$A, "Daily", Log!$B:$B, "n/a"), 0),
        _xlpm.we_avg, IFERROR(AVERAGEIFS(Log!$F:$F,Log!$C:$C,$A174, Log!$A:$A, "Daily", Log!$B:$B, "n/a"),0),
        _xlpm.ie_avg, IFERROR(AVERAGEIFS(Log!$G:$G,Log!$C:$C,$A174,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5" spans="2:19" x14ac:dyDescent="0.3">
      <c r="B175" s="68" t="str">
        <f>IFERROR(
    _xlfn.LET(
        _xlpm.is_data_present, $A175&lt;&gt;0,
        _xlpm.is_camera_present, COUNTIFS(Log!$C:$C, $A175, Log!$D:$D, B$4, Log!$A:$A, "Daily", Log!$B:$B, "n/a"),
        _xlpm.we_camera_on_date, IFERROR(AVERAGEIFS(Log!$F:$F, Log!$D:$D,B$4, Log!$C:$C, $A175, Log!$A:$A, "Daily", Log!$B:$B, "n/a"), 0),
        _xlpm.ie_camera_on_date, IFERROR(AVERAGEIFS(Log!$G:$G, Log!$D:$D,B$4,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5" s="68" t="str">
        <f>IFERROR(
    _xlfn.LET(
        _xlpm.is_data_present, $A175&lt;&gt;0,
        _xlpm.is_camera_present, COUNTIFS(Log!$C:$C, $A175, Log!$D:$D, C$4, Log!$A:$A, "Daily", Log!$B:$B, "n/a"),
        _xlpm.we_camera_on_date, IFERROR(AVERAGEIFS(Log!$F:$F, Log!$D:$D,C$4, Log!$C:$C, $A175, Log!$A:$A, "Daily", Log!$B:$B, "n/a"), 0),
        _xlpm.ie_camera_on_date, IFERROR(AVERAGEIFS(Log!$G:$G, Log!$D:$D,C$4,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5" s="68" t="str">
        <f>IFERROR(
    _xlfn.LET(
        _xlpm.is_data_present, $A175&lt;&gt;0,
        _xlpm.is_camera_present, COUNTIFS(Log!$C:$C, $A175, Log!$D:$D, D$4, Log!$A:$A, "Daily", Log!$B:$B, "n/a"),
        _xlpm.we_camera_on_date, IFERROR(AVERAGEIFS(Log!$F:$F, Log!$D:$D,D$4, Log!$C:$C, $A175, Log!$A:$A, "Daily", Log!$B:$B, "n/a"), 0),
        _xlpm.ie_camera_on_date, IFERROR(AVERAGEIFS(Log!$G:$G, Log!$D:$D,D$4,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5" s="68" t="str">
        <f>IFERROR(
    _xlfn.LET(
        _xlpm.is_data_present, $A175&lt;&gt;0,
        _xlpm.is_camera_present, COUNTIFS(Log!$C:$C, $A175, Log!$D:$D, E$4, Log!$A:$A, "Daily", Log!$B:$B, "n/a"),
        _xlpm.we_camera_on_date, IFERROR(AVERAGEIFS(Log!$F:$F, Log!$D:$D,E$4, Log!$C:$C, $A175, Log!$A:$A, "Daily", Log!$B:$B, "n/a"), 0),
        _xlpm.ie_camera_on_date, IFERROR(AVERAGEIFS(Log!$G:$G, Log!$D:$D,E$4,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5" s="68" t="str">
        <f>IFERROR(
    _xlfn.LET(
        _xlpm.is_data_present, $A175&lt;&gt;0,
        _xlpm.is_camera_present, COUNTIFS(Log!$C:$C, $A175, Log!$D:$D, F$4, Log!$A:$A, "Daily", Log!$B:$B, "n/a"),
        _xlpm.we_camera_on_date, IFERROR(AVERAGEIFS(Log!$F:$F, Log!$D:$D,F$4, Log!$C:$C, $A175, Log!$A:$A, "Daily", Log!$B:$B, "n/a"), 0),
        _xlpm.ie_camera_on_date, IFERROR(AVERAGEIFS(Log!$G:$G, Log!$D:$D,F$4,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5" s="68" t="str">
        <f>IFERROR(
    _xlfn.LET(
        _xlpm.is_data_present, $A175&lt;&gt;0,
        _xlpm.is_camera_present, COUNTIFS(Log!$C:$C, $A175, Log!$D:$D, G$4, Log!$A:$A, "Daily", Log!$B:$B, "n/a"),
        _xlpm.we_camera_on_date, IFERROR(AVERAGEIFS(Log!$F:$F, Log!$D:$D,G$4, Log!$C:$C, $A175, Log!$A:$A, "Daily", Log!$B:$B, "n/a"), 0),
        _xlpm.ie_camera_on_date, IFERROR(AVERAGEIFS(Log!$G:$G, Log!$D:$D,G$4,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5" s="68" t="str">
        <f>IFERROR(
    _xlfn.LET(
        _xlpm.is_data_present, $A175&lt;&gt;0,
        _xlpm.is_camera_present, COUNTIFS(Log!$C:$C, $A175, Log!$D:$D, H$4, Log!$A:$A, "Daily", Log!$B:$B, "n/a"),
        _xlpm.we_camera_on_date, IFERROR(AVERAGEIFS(Log!$F:$F, Log!$D:$D,H$4, Log!$C:$C, $A175, Log!$A:$A, "Daily", Log!$B:$B, "n/a"), 0),
        _xlpm.ie_camera_on_date, IFERROR(AVERAGEIFS(Log!$G:$G, Log!$D:$D,H$4,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5" s="68" t="str">
        <f>IFERROR(
    _xlfn.LET(
        _xlpm.is_data_present, $A175&lt;&gt;0,
        _xlpm.is_camera_present, COUNTIFS(Log!$C:$C, $A175, Log!$D:$D, I$4, Log!$A:$A, "Daily", Log!$B:$B, "n/a"),
        _xlpm.we_camera_on_date, IFERROR(AVERAGEIFS(Log!$F:$F, Log!$D:$D,I$4, Log!$C:$C, $A175, Log!$A:$A, "Daily", Log!$B:$B, "n/a"), 0),
        _xlpm.ie_camera_on_date, IFERROR(AVERAGEIFS(Log!$G:$G, Log!$D:$D,I$4,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5" s="68" t="str">
        <f>IFERROR(
    _xlfn.LET(
        _xlpm.is_data_present, $A175&lt;&gt;0,
        _xlpm.is_camera_present, COUNTIFS(Log!$C:$C, $A175, Log!$D:$D, J$4, Log!$A:$A, "Daily", Log!$B:$B, "n/a"),
        _xlpm.we_camera_on_date, IFERROR(AVERAGEIFS(Log!$F:$F, Log!$D:$D,J$4, Log!$C:$C, $A175, Log!$A:$A, "Daily", Log!$B:$B, "n/a"), 0),
        _xlpm.ie_camera_on_date, IFERROR(AVERAGEIFS(Log!$G:$G, Log!$D:$D,J$4,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5" s="68" t="str">
        <f>IFERROR(
    _xlfn.LET(
        _xlpm.is_data_present, $A175&lt;&gt;0,
        _xlpm.is_camera_present, COUNTIFS(Log!$C:$C, $A175, Log!$D:$D, K$4, Log!$A:$A, "Daily", Log!$B:$B, "n/a"),
        _xlpm.we_camera_on_date, IFERROR(AVERAGEIFS(Log!$F:$F, Log!$D:$D,K$4, Log!$C:$C, $A175, Log!$A:$A, "Daily", Log!$B:$B, "n/a"), 0),
        _xlpm.ie_camera_on_date, IFERROR(AVERAGEIFS(Log!$G:$G, Log!$D:$D,K$4,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5" s="68" t="str">
        <f>IFERROR(
    _xlfn.LET(
        _xlpm.is_data_present, $A175&lt;&gt;0,
        _xlpm.is_camera_present, COUNTIFS(Log!$C:$C, $A175, Log!$D:$D, L$4, Log!$A:$A, "Daily", Log!$B:$B, "n/a"),
        _xlpm.we_camera_on_date, IFERROR(AVERAGEIFS(Log!$F:$F, Log!$D:$D,L$4, Log!$C:$C, $A175, Log!$A:$A, "Daily", Log!$B:$B, "n/a"), 0),
        _xlpm.ie_camera_on_date, IFERROR(AVERAGEIFS(Log!$G:$G, Log!$D:$D,L$4,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5" s="68" t="str">
        <f>IFERROR(
    _xlfn.LET(
        _xlpm.is_data_present, $A175&lt;&gt;0,
        _xlpm.is_camera_present, COUNTIFS(Log!$C:$C, $A175, Log!$D:$D, M$4, Log!$A:$A, "Daily", Log!$B:$B, "n/a"),
        _xlpm.we_camera_on_date, IFERROR(AVERAGEIFS(Log!$F:$F, Log!$D:$D,M$4, Log!$C:$C, $A175, Log!$A:$A, "Daily", Log!$B:$B, "n/a"), 0),
        _xlpm.ie_camera_on_date, IFERROR(AVERAGEIFS(Log!$G:$G, Log!$D:$D,M$4,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5" s="68" t="str">
        <f>IFERROR(
    _xlfn.LET(
        _xlpm.is_data_present, $A175&lt;&gt;0,
        _xlpm.is_camera_present, COUNTIFS(Log!$C:$C, $A175, Log!$D:$D, N$4, Log!$A:$A, "Daily", Log!$B:$B, "n/a"),
        _xlpm.we_camera_on_date, IFERROR(AVERAGEIFS(Log!$F:$F, Log!$D:$D,N$4, Log!$C:$C, $A175, Log!$A:$A, "Daily", Log!$B:$B, "n/a"), 0),
        _xlpm.ie_camera_on_date, IFERROR(AVERAGEIFS(Log!$G:$G, Log!$D:$D,N$4,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5" s="68" t="str">
        <f>IFERROR(
    _xlfn.LET(
        _xlpm.is_data_present, $A175&lt;&gt;0,
        _xlpm.is_camera_present, COUNTIFS(Log!$C:$C, $A175, Log!$D:$D, O$4, Log!$A:$A, "Daily", Log!$B:$B, "n/a"),
        _xlpm.we_camera_on_date, IFERROR(AVERAGEIFS(Log!$F:$F, Log!$D:$D,O$4, Log!$C:$C, $A175, Log!$A:$A, "Daily", Log!$B:$B, "n/a"), 0),
        _xlpm.ie_camera_on_date, IFERROR(AVERAGEIFS(Log!$G:$G, Log!$D:$D,O$4,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5" s="68" t="str">
        <f>IFERROR(
    _xlfn.LET(
        _xlpm.is_data_present, $A175&lt;&gt;0,
        _xlpm.is_camera_present, COUNTIFS(Log!$C:$C, $A175, Log!$D:$D, P$4, Log!$A:$A, "Daily", Log!$B:$B, "n/a"),
        _xlpm.we_camera_on_date, IFERROR(AVERAGEIFS(Log!$F:$F, Log!$D:$D,P$4, Log!$C:$C, $A175, Log!$A:$A, "Daily", Log!$B:$B, "n/a"), 0),
        _xlpm.ie_camera_on_date, IFERROR(AVERAGEIFS(Log!$G:$G, Log!$D:$D,P$4,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5" s="68" t="str">
        <f>IFERROR(
    _xlfn.LET(
        _xlpm.is_data_present, $A175&lt;&gt;0,
        _xlpm.is_camera_present, COUNTIFS(Log!$C:$C, $A175, Log!$D:$D, Q$4, Log!$A:$A, "Daily", Log!$B:$B, "n/a"),
        _xlpm.we_camera_on_date, IFERROR(AVERAGEIFS(Log!$F:$F, Log!$D:$D,Q$4, Log!$C:$C, $A175, Log!$A:$A, "Daily", Log!$B:$B, "n/a"), 0),
        _xlpm.ie_camera_on_date, IFERROR(AVERAGEIFS(Log!$G:$G, Log!$D:$D,Q$4,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5" s="68" t="str">
        <f>IFERROR(
    _xlfn.LET(
        _xlpm.is_data_present, $A175&lt;&gt;0,
        _xlpm.is_camera_present, COUNTIFS(Log!$C:$C, $A175, Log!$D:$D, R$4, Log!$A:$A, "Daily", Log!$B:$B, "n/a"),
        _xlpm.we_camera_on_date, IFERROR(AVERAGEIFS(Log!$F:$F, Log!$D:$D,R$4, Log!$C:$C, $A175, Log!$A:$A, "Daily", Log!$B:$B, "n/a"), 0),
        _xlpm.ie_camera_on_date, IFERROR(AVERAGEIFS(Log!$G:$G, Log!$D:$D,R$4,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5" s="68" t="str">
        <f>IFERROR(
    _xlfn.LET(
        _xlpm.is_data_present, $A175&lt;&gt;0,
        _xlpm.is_camera_present, COUNTIFS(Log!$C:$C, $A175, Log!$D:$D, S$4, Log!$A:$A, "Daily", Log!$B:$B, "n/a"),
        _xlpm.we_camera_on_date, IFERROR(AVERAGEIFS(Log!$F:$F, Log!$D:$D,S$4, Log!$C:$C, $A175, Log!$A:$A, "Daily", Log!$B:$B, "n/a"), 0),
        _xlpm.ie_camera_on_date, IFERROR(AVERAGEIFS(Log!$G:$G, Log!$D:$D,S$4, Log!$C:$C, $A175, Log!$A:$A, "Daily", Log!$B:$B, "n/a"), 0),
        _xlpm.we_avg, IFERROR(AVERAGEIFS(Log!$F:$F,Log!$C:$C,$A175, Log!$A:$A, "Daily", Log!$B:$B, "n/a"),0),
        _xlpm.ie_avg, IFERROR(AVERAGEIFS(Log!$G:$G,Log!$C:$C,$A175,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6" spans="2:19" x14ac:dyDescent="0.3">
      <c r="B176" s="68" t="str">
        <f>IFERROR(
    _xlfn.LET(
        _xlpm.is_data_present, $A176&lt;&gt;0,
        _xlpm.is_camera_present, COUNTIFS(Log!$C:$C, $A176, Log!$D:$D, B$4, Log!$A:$A, "Daily", Log!$B:$B, "n/a"),
        _xlpm.we_camera_on_date, IFERROR(AVERAGEIFS(Log!$F:$F, Log!$D:$D,B$4, Log!$C:$C, $A176, Log!$A:$A, "Daily", Log!$B:$B, "n/a"), 0),
        _xlpm.ie_camera_on_date, IFERROR(AVERAGEIFS(Log!$G:$G, Log!$D:$D,B$4,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6" s="68" t="str">
        <f>IFERROR(
    _xlfn.LET(
        _xlpm.is_data_present, $A176&lt;&gt;0,
        _xlpm.is_camera_present, COUNTIFS(Log!$C:$C, $A176, Log!$D:$D, C$4, Log!$A:$A, "Daily", Log!$B:$B, "n/a"),
        _xlpm.we_camera_on_date, IFERROR(AVERAGEIFS(Log!$F:$F, Log!$D:$D,C$4, Log!$C:$C, $A176, Log!$A:$A, "Daily", Log!$B:$B, "n/a"), 0),
        _xlpm.ie_camera_on_date, IFERROR(AVERAGEIFS(Log!$G:$G, Log!$D:$D,C$4,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6" s="68" t="str">
        <f>IFERROR(
    _xlfn.LET(
        _xlpm.is_data_present, $A176&lt;&gt;0,
        _xlpm.is_camera_present, COUNTIFS(Log!$C:$C, $A176, Log!$D:$D, D$4, Log!$A:$A, "Daily", Log!$B:$B, "n/a"),
        _xlpm.we_camera_on_date, IFERROR(AVERAGEIFS(Log!$F:$F, Log!$D:$D,D$4, Log!$C:$C, $A176, Log!$A:$A, "Daily", Log!$B:$B, "n/a"), 0),
        _xlpm.ie_camera_on_date, IFERROR(AVERAGEIFS(Log!$G:$G, Log!$D:$D,D$4,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6" s="68" t="str">
        <f>IFERROR(
    _xlfn.LET(
        _xlpm.is_data_present, $A176&lt;&gt;0,
        _xlpm.is_camera_present, COUNTIFS(Log!$C:$C, $A176, Log!$D:$D, E$4, Log!$A:$A, "Daily", Log!$B:$B, "n/a"),
        _xlpm.we_camera_on_date, IFERROR(AVERAGEIFS(Log!$F:$F, Log!$D:$D,E$4, Log!$C:$C, $A176, Log!$A:$A, "Daily", Log!$B:$B, "n/a"), 0),
        _xlpm.ie_camera_on_date, IFERROR(AVERAGEIFS(Log!$G:$G, Log!$D:$D,E$4,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6" s="68" t="str">
        <f>IFERROR(
    _xlfn.LET(
        _xlpm.is_data_present, $A176&lt;&gt;0,
        _xlpm.is_camera_present, COUNTIFS(Log!$C:$C, $A176, Log!$D:$D, F$4, Log!$A:$A, "Daily", Log!$B:$B, "n/a"),
        _xlpm.we_camera_on_date, IFERROR(AVERAGEIFS(Log!$F:$F, Log!$D:$D,F$4, Log!$C:$C, $A176, Log!$A:$A, "Daily", Log!$B:$B, "n/a"), 0),
        _xlpm.ie_camera_on_date, IFERROR(AVERAGEIFS(Log!$G:$G, Log!$D:$D,F$4,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6" s="68" t="str">
        <f>IFERROR(
    _xlfn.LET(
        _xlpm.is_data_present, $A176&lt;&gt;0,
        _xlpm.is_camera_present, COUNTIFS(Log!$C:$C, $A176, Log!$D:$D, G$4, Log!$A:$A, "Daily", Log!$B:$B, "n/a"),
        _xlpm.we_camera_on_date, IFERROR(AVERAGEIFS(Log!$F:$F, Log!$D:$D,G$4, Log!$C:$C, $A176, Log!$A:$A, "Daily", Log!$B:$B, "n/a"), 0),
        _xlpm.ie_camera_on_date, IFERROR(AVERAGEIFS(Log!$G:$G, Log!$D:$D,G$4,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6" s="68" t="str">
        <f>IFERROR(
    _xlfn.LET(
        _xlpm.is_data_present, $A176&lt;&gt;0,
        _xlpm.is_camera_present, COUNTIFS(Log!$C:$C, $A176, Log!$D:$D, H$4, Log!$A:$A, "Daily", Log!$B:$B, "n/a"),
        _xlpm.we_camera_on_date, IFERROR(AVERAGEIFS(Log!$F:$F, Log!$D:$D,H$4, Log!$C:$C, $A176, Log!$A:$A, "Daily", Log!$B:$B, "n/a"), 0),
        _xlpm.ie_camera_on_date, IFERROR(AVERAGEIFS(Log!$G:$G, Log!$D:$D,H$4,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6" s="68" t="str">
        <f>IFERROR(
    _xlfn.LET(
        _xlpm.is_data_present, $A176&lt;&gt;0,
        _xlpm.is_camera_present, COUNTIFS(Log!$C:$C, $A176, Log!$D:$D, I$4, Log!$A:$A, "Daily", Log!$B:$B, "n/a"),
        _xlpm.we_camera_on_date, IFERROR(AVERAGEIFS(Log!$F:$F, Log!$D:$D,I$4, Log!$C:$C, $A176, Log!$A:$A, "Daily", Log!$B:$B, "n/a"), 0),
        _xlpm.ie_camera_on_date, IFERROR(AVERAGEIFS(Log!$G:$G, Log!$D:$D,I$4,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6" s="68" t="str">
        <f>IFERROR(
    _xlfn.LET(
        _xlpm.is_data_present, $A176&lt;&gt;0,
        _xlpm.is_camera_present, COUNTIFS(Log!$C:$C, $A176, Log!$D:$D, J$4, Log!$A:$A, "Daily", Log!$B:$B, "n/a"),
        _xlpm.we_camera_on_date, IFERROR(AVERAGEIFS(Log!$F:$F, Log!$D:$D,J$4, Log!$C:$C, $A176, Log!$A:$A, "Daily", Log!$B:$B, "n/a"), 0),
        _xlpm.ie_camera_on_date, IFERROR(AVERAGEIFS(Log!$G:$G, Log!$D:$D,J$4,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6" s="68" t="str">
        <f>IFERROR(
    _xlfn.LET(
        _xlpm.is_data_present, $A176&lt;&gt;0,
        _xlpm.is_camera_present, COUNTIFS(Log!$C:$C, $A176, Log!$D:$D, K$4, Log!$A:$A, "Daily", Log!$B:$B, "n/a"),
        _xlpm.we_camera_on_date, IFERROR(AVERAGEIFS(Log!$F:$F, Log!$D:$D,K$4, Log!$C:$C, $A176, Log!$A:$A, "Daily", Log!$B:$B, "n/a"), 0),
        _xlpm.ie_camera_on_date, IFERROR(AVERAGEIFS(Log!$G:$G, Log!$D:$D,K$4,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6" s="68" t="str">
        <f>IFERROR(
    _xlfn.LET(
        _xlpm.is_data_present, $A176&lt;&gt;0,
        _xlpm.is_camera_present, COUNTIFS(Log!$C:$C, $A176, Log!$D:$D, L$4, Log!$A:$A, "Daily", Log!$B:$B, "n/a"),
        _xlpm.we_camera_on_date, IFERROR(AVERAGEIFS(Log!$F:$F, Log!$D:$D,L$4, Log!$C:$C, $A176, Log!$A:$A, "Daily", Log!$B:$B, "n/a"), 0),
        _xlpm.ie_camera_on_date, IFERROR(AVERAGEIFS(Log!$G:$G, Log!$D:$D,L$4,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6" s="68" t="str">
        <f>IFERROR(
    _xlfn.LET(
        _xlpm.is_data_present, $A176&lt;&gt;0,
        _xlpm.is_camera_present, COUNTIFS(Log!$C:$C, $A176, Log!$D:$D, M$4, Log!$A:$A, "Daily", Log!$B:$B, "n/a"),
        _xlpm.we_camera_on_date, IFERROR(AVERAGEIFS(Log!$F:$F, Log!$D:$D,M$4, Log!$C:$C, $A176, Log!$A:$A, "Daily", Log!$B:$B, "n/a"), 0),
        _xlpm.ie_camera_on_date, IFERROR(AVERAGEIFS(Log!$G:$G, Log!$D:$D,M$4,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6" s="68" t="str">
        <f>IFERROR(
    _xlfn.LET(
        _xlpm.is_data_present, $A176&lt;&gt;0,
        _xlpm.is_camera_present, COUNTIFS(Log!$C:$C, $A176, Log!$D:$D, N$4, Log!$A:$A, "Daily", Log!$B:$B, "n/a"),
        _xlpm.we_camera_on_date, IFERROR(AVERAGEIFS(Log!$F:$F, Log!$D:$D,N$4, Log!$C:$C, $A176, Log!$A:$A, "Daily", Log!$B:$B, "n/a"), 0),
        _xlpm.ie_camera_on_date, IFERROR(AVERAGEIFS(Log!$G:$G, Log!$D:$D,N$4,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6" s="68" t="str">
        <f>IFERROR(
    _xlfn.LET(
        _xlpm.is_data_present, $A176&lt;&gt;0,
        _xlpm.is_camera_present, COUNTIFS(Log!$C:$C, $A176, Log!$D:$D, O$4, Log!$A:$A, "Daily", Log!$B:$B, "n/a"),
        _xlpm.we_camera_on_date, IFERROR(AVERAGEIFS(Log!$F:$F, Log!$D:$D,O$4, Log!$C:$C, $A176, Log!$A:$A, "Daily", Log!$B:$B, "n/a"), 0),
        _xlpm.ie_camera_on_date, IFERROR(AVERAGEIFS(Log!$G:$G, Log!$D:$D,O$4,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6" s="68" t="str">
        <f>IFERROR(
    _xlfn.LET(
        _xlpm.is_data_present, $A176&lt;&gt;0,
        _xlpm.is_camera_present, COUNTIFS(Log!$C:$C, $A176, Log!$D:$D, P$4, Log!$A:$A, "Daily", Log!$B:$B, "n/a"),
        _xlpm.we_camera_on_date, IFERROR(AVERAGEIFS(Log!$F:$F, Log!$D:$D,P$4, Log!$C:$C, $A176, Log!$A:$A, "Daily", Log!$B:$B, "n/a"), 0),
        _xlpm.ie_camera_on_date, IFERROR(AVERAGEIFS(Log!$G:$G, Log!$D:$D,P$4,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6" s="68" t="str">
        <f>IFERROR(
    _xlfn.LET(
        _xlpm.is_data_present, $A176&lt;&gt;0,
        _xlpm.is_camera_present, COUNTIFS(Log!$C:$C, $A176, Log!$D:$D, Q$4, Log!$A:$A, "Daily", Log!$B:$B, "n/a"),
        _xlpm.we_camera_on_date, IFERROR(AVERAGEIFS(Log!$F:$F, Log!$D:$D,Q$4, Log!$C:$C, $A176, Log!$A:$A, "Daily", Log!$B:$B, "n/a"), 0),
        _xlpm.ie_camera_on_date, IFERROR(AVERAGEIFS(Log!$G:$G, Log!$D:$D,Q$4,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6" s="68" t="str">
        <f>IFERROR(
    _xlfn.LET(
        _xlpm.is_data_present, $A176&lt;&gt;0,
        _xlpm.is_camera_present, COUNTIFS(Log!$C:$C, $A176, Log!$D:$D, R$4, Log!$A:$A, "Daily", Log!$B:$B, "n/a"),
        _xlpm.we_camera_on_date, IFERROR(AVERAGEIFS(Log!$F:$F, Log!$D:$D,R$4, Log!$C:$C, $A176, Log!$A:$A, "Daily", Log!$B:$B, "n/a"), 0),
        _xlpm.ie_camera_on_date, IFERROR(AVERAGEIFS(Log!$G:$G, Log!$D:$D,R$4,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6" s="68" t="str">
        <f>IFERROR(
    _xlfn.LET(
        _xlpm.is_data_present, $A176&lt;&gt;0,
        _xlpm.is_camera_present, COUNTIFS(Log!$C:$C, $A176, Log!$D:$D, S$4, Log!$A:$A, "Daily", Log!$B:$B, "n/a"),
        _xlpm.we_camera_on_date, IFERROR(AVERAGEIFS(Log!$F:$F, Log!$D:$D,S$4, Log!$C:$C, $A176, Log!$A:$A, "Daily", Log!$B:$B, "n/a"), 0),
        _xlpm.ie_camera_on_date, IFERROR(AVERAGEIFS(Log!$G:$G, Log!$D:$D,S$4, Log!$C:$C, $A176, Log!$A:$A, "Daily", Log!$B:$B, "n/a"), 0),
        _xlpm.we_avg, IFERROR(AVERAGEIFS(Log!$F:$F,Log!$C:$C,$A176, Log!$A:$A, "Daily", Log!$B:$B, "n/a"),0),
        _xlpm.ie_avg, IFERROR(AVERAGEIFS(Log!$G:$G,Log!$C:$C,$A176,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7" spans="2:19" x14ac:dyDescent="0.3">
      <c r="B177" s="68" t="str">
        <f>IFERROR(
    _xlfn.LET(
        _xlpm.is_data_present, $A177&lt;&gt;0,
        _xlpm.is_camera_present, COUNTIFS(Log!$C:$C, $A177, Log!$D:$D, B$4, Log!$A:$A, "Daily", Log!$B:$B, "n/a"),
        _xlpm.we_camera_on_date, IFERROR(AVERAGEIFS(Log!$F:$F, Log!$D:$D,B$4, Log!$C:$C, $A177, Log!$A:$A, "Daily", Log!$B:$B, "n/a"), 0),
        _xlpm.ie_camera_on_date, IFERROR(AVERAGEIFS(Log!$G:$G, Log!$D:$D,B$4,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7" s="68" t="str">
        <f>IFERROR(
    _xlfn.LET(
        _xlpm.is_data_present, $A177&lt;&gt;0,
        _xlpm.is_camera_present, COUNTIFS(Log!$C:$C, $A177, Log!$D:$D, C$4, Log!$A:$A, "Daily", Log!$B:$B, "n/a"),
        _xlpm.we_camera_on_date, IFERROR(AVERAGEIFS(Log!$F:$F, Log!$D:$D,C$4, Log!$C:$C, $A177, Log!$A:$A, "Daily", Log!$B:$B, "n/a"), 0),
        _xlpm.ie_camera_on_date, IFERROR(AVERAGEIFS(Log!$G:$G, Log!$D:$D,C$4,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7" s="68" t="str">
        <f>IFERROR(
    _xlfn.LET(
        _xlpm.is_data_present, $A177&lt;&gt;0,
        _xlpm.is_camera_present, COUNTIFS(Log!$C:$C, $A177, Log!$D:$D, D$4, Log!$A:$A, "Daily", Log!$B:$B, "n/a"),
        _xlpm.we_camera_on_date, IFERROR(AVERAGEIFS(Log!$F:$F, Log!$D:$D,D$4, Log!$C:$C, $A177, Log!$A:$A, "Daily", Log!$B:$B, "n/a"), 0),
        _xlpm.ie_camera_on_date, IFERROR(AVERAGEIFS(Log!$G:$G, Log!$D:$D,D$4,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7" s="68" t="str">
        <f>IFERROR(
    _xlfn.LET(
        _xlpm.is_data_present, $A177&lt;&gt;0,
        _xlpm.is_camera_present, COUNTIFS(Log!$C:$C, $A177, Log!$D:$D, E$4, Log!$A:$A, "Daily", Log!$B:$B, "n/a"),
        _xlpm.we_camera_on_date, IFERROR(AVERAGEIFS(Log!$F:$F, Log!$D:$D,E$4, Log!$C:$C, $A177, Log!$A:$A, "Daily", Log!$B:$B, "n/a"), 0),
        _xlpm.ie_camera_on_date, IFERROR(AVERAGEIFS(Log!$G:$G, Log!$D:$D,E$4,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7" s="68" t="str">
        <f>IFERROR(
    _xlfn.LET(
        _xlpm.is_data_present, $A177&lt;&gt;0,
        _xlpm.is_camera_present, COUNTIFS(Log!$C:$C, $A177, Log!$D:$D, F$4, Log!$A:$A, "Daily", Log!$B:$B, "n/a"),
        _xlpm.we_camera_on_date, IFERROR(AVERAGEIFS(Log!$F:$F, Log!$D:$D,F$4, Log!$C:$C, $A177, Log!$A:$A, "Daily", Log!$B:$B, "n/a"), 0),
        _xlpm.ie_camera_on_date, IFERROR(AVERAGEIFS(Log!$G:$G, Log!$D:$D,F$4,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7" s="68" t="str">
        <f>IFERROR(
    _xlfn.LET(
        _xlpm.is_data_present, $A177&lt;&gt;0,
        _xlpm.is_camera_present, COUNTIFS(Log!$C:$C, $A177, Log!$D:$D, G$4, Log!$A:$A, "Daily", Log!$B:$B, "n/a"),
        _xlpm.we_camera_on_date, IFERROR(AVERAGEIFS(Log!$F:$F, Log!$D:$D,G$4, Log!$C:$C, $A177, Log!$A:$A, "Daily", Log!$B:$B, "n/a"), 0),
        _xlpm.ie_camera_on_date, IFERROR(AVERAGEIFS(Log!$G:$G, Log!$D:$D,G$4,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7" s="68" t="str">
        <f>IFERROR(
    _xlfn.LET(
        _xlpm.is_data_present, $A177&lt;&gt;0,
        _xlpm.is_camera_present, COUNTIFS(Log!$C:$C, $A177, Log!$D:$D, H$4, Log!$A:$A, "Daily", Log!$B:$B, "n/a"),
        _xlpm.we_camera_on_date, IFERROR(AVERAGEIFS(Log!$F:$F, Log!$D:$D,H$4, Log!$C:$C, $A177, Log!$A:$A, "Daily", Log!$B:$B, "n/a"), 0),
        _xlpm.ie_camera_on_date, IFERROR(AVERAGEIFS(Log!$G:$G, Log!$D:$D,H$4,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7" s="68" t="str">
        <f>IFERROR(
    _xlfn.LET(
        _xlpm.is_data_present, $A177&lt;&gt;0,
        _xlpm.is_camera_present, COUNTIFS(Log!$C:$C, $A177, Log!$D:$D, I$4, Log!$A:$A, "Daily", Log!$B:$B, "n/a"),
        _xlpm.we_camera_on_date, IFERROR(AVERAGEIFS(Log!$F:$F, Log!$D:$D,I$4, Log!$C:$C, $A177, Log!$A:$A, "Daily", Log!$B:$B, "n/a"), 0),
        _xlpm.ie_camera_on_date, IFERROR(AVERAGEIFS(Log!$G:$G, Log!$D:$D,I$4,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7" s="68" t="str">
        <f>IFERROR(
    _xlfn.LET(
        _xlpm.is_data_present, $A177&lt;&gt;0,
        _xlpm.is_camera_present, COUNTIFS(Log!$C:$C, $A177, Log!$D:$D, J$4, Log!$A:$A, "Daily", Log!$B:$B, "n/a"),
        _xlpm.we_camera_on_date, IFERROR(AVERAGEIFS(Log!$F:$F, Log!$D:$D,J$4, Log!$C:$C, $A177, Log!$A:$A, "Daily", Log!$B:$B, "n/a"), 0),
        _xlpm.ie_camera_on_date, IFERROR(AVERAGEIFS(Log!$G:$G, Log!$D:$D,J$4,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7" s="68" t="str">
        <f>IFERROR(
    _xlfn.LET(
        _xlpm.is_data_present, $A177&lt;&gt;0,
        _xlpm.is_camera_present, COUNTIFS(Log!$C:$C, $A177, Log!$D:$D, K$4, Log!$A:$A, "Daily", Log!$B:$B, "n/a"),
        _xlpm.we_camera_on_date, IFERROR(AVERAGEIFS(Log!$F:$F, Log!$D:$D,K$4, Log!$C:$C, $A177, Log!$A:$A, "Daily", Log!$B:$B, "n/a"), 0),
        _xlpm.ie_camera_on_date, IFERROR(AVERAGEIFS(Log!$G:$G, Log!$D:$D,K$4,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7" s="68" t="str">
        <f>IFERROR(
    _xlfn.LET(
        _xlpm.is_data_present, $A177&lt;&gt;0,
        _xlpm.is_camera_present, COUNTIFS(Log!$C:$C, $A177, Log!$D:$D, L$4, Log!$A:$A, "Daily", Log!$B:$B, "n/a"),
        _xlpm.we_camera_on_date, IFERROR(AVERAGEIFS(Log!$F:$F, Log!$D:$D,L$4, Log!$C:$C, $A177, Log!$A:$A, "Daily", Log!$B:$B, "n/a"), 0),
        _xlpm.ie_camera_on_date, IFERROR(AVERAGEIFS(Log!$G:$G, Log!$D:$D,L$4,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7" s="68" t="str">
        <f>IFERROR(
    _xlfn.LET(
        _xlpm.is_data_present, $A177&lt;&gt;0,
        _xlpm.is_camera_present, COUNTIFS(Log!$C:$C, $A177, Log!$D:$D, M$4, Log!$A:$A, "Daily", Log!$B:$B, "n/a"),
        _xlpm.we_camera_on_date, IFERROR(AVERAGEIFS(Log!$F:$F, Log!$D:$D,M$4, Log!$C:$C, $A177, Log!$A:$A, "Daily", Log!$B:$B, "n/a"), 0),
        _xlpm.ie_camera_on_date, IFERROR(AVERAGEIFS(Log!$G:$G, Log!$D:$D,M$4,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7" s="68" t="str">
        <f>IFERROR(
    _xlfn.LET(
        _xlpm.is_data_present, $A177&lt;&gt;0,
        _xlpm.is_camera_present, COUNTIFS(Log!$C:$C, $A177, Log!$D:$D, N$4, Log!$A:$A, "Daily", Log!$B:$B, "n/a"),
        _xlpm.we_camera_on_date, IFERROR(AVERAGEIFS(Log!$F:$F, Log!$D:$D,N$4, Log!$C:$C, $A177, Log!$A:$A, "Daily", Log!$B:$B, "n/a"), 0),
        _xlpm.ie_camera_on_date, IFERROR(AVERAGEIFS(Log!$G:$G, Log!$D:$D,N$4,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7" s="68" t="str">
        <f>IFERROR(
    _xlfn.LET(
        _xlpm.is_data_present, $A177&lt;&gt;0,
        _xlpm.is_camera_present, COUNTIFS(Log!$C:$C, $A177, Log!$D:$D, O$4, Log!$A:$A, "Daily", Log!$B:$B, "n/a"),
        _xlpm.we_camera_on_date, IFERROR(AVERAGEIFS(Log!$F:$F, Log!$D:$D,O$4, Log!$C:$C, $A177, Log!$A:$A, "Daily", Log!$B:$B, "n/a"), 0),
        _xlpm.ie_camera_on_date, IFERROR(AVERAGEIFS(Log!$G:$G, Log!$D:$D,O$4,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7" s="68" t="str">
        <f>IFERROR(
    _xlfn.LET(
        _xlpm.is_data_present, $A177&lt;&gt;0,
        _xlpm.is_camera_present, COUNTIFS(Log!$C:$C, $A177, Log!$D:$D, P$4, Log!$A:$A, "Daily", Log!$B:$B, "n/a"),
        _xlpm.we_camera_on_date, IFERROR(AVERAGEIFS(Log!$F:$F, Log!$D:$D,P$4, Log!$C:$C, $A177, Log!$A:$A, "Daily", Log!$B:$B, "n/a"), 0),
        _xlpm.ie_camera_on_date, IFERROR(AVERAGEIFS(Log!$G:$G, Log!$D:$D,P$4,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7" s="68" t="str">
        <f>IFERROR(
    _xlfn.LET(
        _xlpm.is_data_present, $A177&lt;&gt;0,
        _xlpm.is_camera_present, COUNTIFS(Log!$C:$C, $A177, Log!$D:$D, Q$4, Log!$A:$A, "Daily", Log!$B:$B, "n/a"),
        _xlpm.we_camera_on_date, IFERROR(AVERAGEIFS(Log!$F:$F, Log!$D:$D,Q$4, Log!$C:$C, $A177, Log!$A:$A, "Daily", Log!$B:$B, "n/a"), 0),
        _xlpm.ie_camera_on_date, IFERROR(AVERAGEIFS(Log!$G:$G, Log!$D:$D,Q$4,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7" s="68" t="str">
        <f>IFERROR(
    _xlfn.LET(
        _xlpm.is_data_present, $A177&lt;&gt;0,
        _xlpm.is_camera_present, COUNTIFS(Log!$C:$C, $A177, Log!$D:$D, R$4, Log!$A:$A, "Daily", Log!$B:$B, "n/a"),
        _xlpm.we_camera_on_date, IFERROR(AVERAGEIFS(Log!$F:$F, Log!$D:$D,R$4, Log!$C:$C, $A177, Log!$A:$A, "Daily", Log!$B:$B, "n/a"), 0),
        _xlpm.ie_camera_on_date, IFERROR(AVERAGEIFS(Log!$G:$G, Log!$D:$D,R$4,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7" s="68" t="str">
        <f>IFERROR(
    _xlfn.LET(
        _xlpm.is_data_present, $A177&lt;&gt;0,
        _xlpm.is_camera_present, COUNTIFS(Log!$C:$C, $A177, Log!$D:$D, S$4, Log!$A:$A, "Daily", Log!$B:$B, "n/a"),
        _xlpm.we_camera_on_date, IFERROR(AVERAGEIFS(Log!$F:$F, Log!$D:$D,S$4, Log!$C:$C, $A177, Log!$A:$A, "Daily", Log!$B:$B, "n/a"), 0),
        _xlpm.ie_camera_on_date, IFERROR(AVERAGEIFS(Log!$G:$G, Log!$D:$D,S$4, Log!$C:$C, $A177, Log!$A:$A, "Daily", Log!$B:$B, "n/a"), 0),
        _xlpm.we_avg, IFERROR(AVERAGEIFS(Log!$F:$F,Log!$C:$C,$A177, Log!$A:$A, "Daily", Log!$B:$B, "n/a"),0),
        _xlpm.ie_avg, IFERROR(AVERAGEIFS(Log!$G:$G,Log!$C:$C,$A177,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8" spans="2:19" x14ac:dyDescent="0.3">
      <c r="B178" s="68" t="str">
        <f>IFERROR(
    _xlfn.LET(
        _xlpm.is_data_present, $A178&lt;&gt;0,
        _xlpm.is_camera_present, COUNTIFS(Log!$C:$C, $A178, Log!$D:$D, B$4, Log!$A:$A, "Daily", Log!$B:$B, "n/a"),
        _xlpm.we_camera_on_date, IFERROR(AVERAGEIFS(Log!$F:$F, Log!$D:$D,B$4, Log!$C:$C, $A178, Log!$A:$A, "Daily", Log!$B:$B, "n/a"), 0),
        _xlpm.ie_camera_on_date, IFERROR(AVERAGEIFS(Log!$G:$G, Log!$D:$D,B$4,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8" s="68" t="str">
        <f>IFERROR(
    _xlfn.LET(
        _xlpm.is_data_present, $A178&lt;&gt;0,
        _xlpm.is_camera_present, COUNTIFS(Log!$C:$C, $A178, Log!$D:$D, C$4, Log!$A:$A, "Daily", Log!$B:$B, "n/a"),
        _xlpm.we_camera_on_date, IFERROR(AVERAGEIFS(Log!$F:$F, Log!$D:$D,C$4, Log!$C:$C, $A178, Log!$A:$A, "Daily", Log!$B:$B, "n/a"), 0),
        _xlpm.ie_camera_on_date, IFERROR(AVERAGEIFS(Log!$G:$G, Log!$D:$D,C$4,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8" s="68" t="str">
        <f>IFERROR(
    _xlfn.LET(
        _xlpm.is_data_present, $A178&lt;&gt;0,
        _xlpm.is_camera_present, COUNTIFS(Log!$C:$C, $A178, Log!$D:$D, D$4, Log!$A:$A, "Daily", Log!$B:$B, "n/a"),
        _xlpm.we_camera_on_date, IFERROR(AVERAGEIFS(Log!$F:$F, Log!$D:$D,D$4, Log!$C:$C, $A178, Log!$A:$A, "Daily", Log!$B:$B, "n/a"), 0),
        _xlpm.ie_camera_on_date, IFERROR(AVERAGEIFS(Log!$G:$G, Log!$D:$D,D$4,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8" s="68" t="str">
        <f>IFERROR(
    _xlfn.LET(
        _xlpm.is_data_present, $A178&lt;&gt;0,
        _xlpm.is_camera_present, COUNTIFS(Log!$C:$C, $A178, Log!$D:$D, E$4, Log!$A:$A, "Daily", Log!$B:$B, "n/a"),
        _xlpm.we_camera_on_date, IFERROR(AVERAGEIFS(Log!$F:$F, Log!$D:$D,E$4, Log!$C:$C, $A178, Log!$A:$A, "Daily", Log!$B:$B, "n/a"), 0),
        _xlpm.ie_camera_on_date, IFERROR(AVERAGEIFS(Log!$G:$G, Log!$D:$D,E$4,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8" s="68" t="str">
        <f>IFERROR(
    _xlfn.LET(
        _xlpm.is_data_present, $A178&lt;&gt;0,
        _xlpm.is_camera_present, COUNTIFS(Log!$C:$C, $A178, Log!$D:$D, F$4, Log!$A:$A, "Daily", Log!$B:$B, "n/a"),
        _xlpm.we_camera_on_date, IFERROR(AVERAGEIFS(Log!$F:$F, Log!$D:$D,F$4, Log!$C:$C, $A178, Log!$A:$A, "Daily", Log!$B:$B, "n/a"), 0),
        _xlpm.ie_camera_on_date, IFERROR(AVERAGEIFS(Log!$G:$G, Log!$D:$D,F$4,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8" s="68" t="str">
        <f>IFERROR(
    _xlfn.LET(
        _xlpm.is_data_present, $A178&lt;&gt;0,
        _xlpm.is_camera_present, COUNTIFS(Log!$C:$C, $A178, Log!$D:$D, G$4, Log!$A:$A, "Daily", Log!$B:$B, "n/a"),
        _xlpm.we_camera_on_date, IFERROR(AVERAGEIFS(Log!$F:$F, Log!$D:$D,G$4, Log!$C:$C, $A178, Log!$A:$A, "Daily", Log!$B:$B, "n/a"), 0),
        _xlpm.ie_camera_on_date, IFERROR(AVERAGEIFS(Log!$G:$G, Log!$D:$D,G$4,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8" s="68" t="str">
        <f>IFERROR(
    _xlfn.LET(
        _xlpm.is_data_present, $A178&lt;&gt;0,
        _xlpm.is_camera_present, COUNTIFS(Log!$C:$C, $A178, Log!$D:$D, H$4, Log!$A:$A, "Daily", Log!$B:$B, "n/a"),
        _xlpm.we_camera_on_date, IFERROR(AVERAGEIFS(Log!$F:$F, Log!$D:$D,H$4, Log!$C:$C, $A178, Log!$A:$A, "Daily", Log!$B:$B, "n/a"), 0),
        _xlpm.ie_camera_on_date, IFERROR(AVERAGEIFS(Log!$G:$G, Log!$D:$D,H$4,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8" s="68" t="str">
        <f>IFERROR(
    _xlfn.LET(
        _xlpm.is_data_present, $A178&lt;&gt;0,
        _xlpm.is_camera_present, COUNTIFS(Log!$C:$C, $A178, Log!$D:$D, I$4, Log!$A:$A, "Daily", Log!$B:$B, "n/a"),
        _xlpm.we_camera_on_date, IFERROR(AVERAGEIFS(Log!$F:$F, Log!$D:$D,I$4, Log!$C:$C, $A178, Log!$A:$A, "Daily", Log!$B:$B, "n/a"), 0),
        _xlpm.ie_camera_on_date, IFERROR(AVERAGEIFS(Log!$G:$G, Log!$D:$D,I$4,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8" s="68" t="str">
        <f>IFERROR(
    _xlfn.LET(
        _xlpm.is_data_present, $A178&lt;&gt;0,
        _xlpm.is_camera_present, COUNTIFS(Log!$C:$C, $A178, Log!$D:$D, J$4, Log!$A:$A, "Daily", Log!$B:$B, "n/a"),
        _xlpm.we_camera_on_date, IFERROR(AVERAGEIFS(Log!$F:$F, Log!$D:$D,J$4, Log!$C:$C, $A178, Log!$A:$A, "Daily", Log!$B:$B, "n/a"), 0),
        _xlpm.ie_camera_on_date, IFERROR(AVERAGEIFS(Log!$G:$G, Log!$D:$D,J$4,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8" s="68" t="str">
        <f>IFERROR(
    _xlfn.LET(
        _xlpm.is_data_present, $A178&lt;&gt;0,
        _xlpm.is_camera_present, COUNTIFS(Log!$C:$C, $A178, Log!$D:$D, K$4, Log!$A:$A, "Daily", Log!$B:$B, "n/a"),
        _xlpm.we_camera_on_date, IFERROR(AVERAGEIFS(Log!$F:$F, Log!$D:$D,K$4, Log!$C:$C, $A178, Log!$A:$A, "Daily", Log!$B:$B, "n/a"), 0),
        _xlpm.ie_camera_on_date, IFERROR(AVERAGEIFS(Log!$G:$G, Log!$D:$D,K$4,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8" s="68" t="str">
        <f>IFERROR(
    _xlfn.LET(
        _xlpm.is_data_present, $A178&lt;&gt;0,
        _xlpm.is_camera_present, COUNTIFS(Log!$C:$C, $A178, Log!$D:$D, L$4, Log!$A:$A, "Daily", Log!$B:$B, "n/a"),
        _xlpm.we_camera_on_date, IFERROR(AVERAGEIFS(Log!$F:$F, Log!$D:$D,L$4, Log!$C:$C, $A178, Log!$A:$A, "Daily", Log!$B:$B, "n/a"), 0),
        _xlpm.ie_camera_on_date, IFERROR(AVERAGEIFS(Log!$G:$G, Log!$D:$D,L$4,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8" s="68" t="str">
        <f>IFERROR(
    _xlfn.LET(
        _xlpm.is_data_present, $A178&lt;&gt;0,
        _xlpm.is_camera_present, COUNTIFS(Log!$C:$C, $A178, Log!$D:$D, M$4, Log!$A:$A, "Daily", Log!$B:$B, "n/a"),
        _xlpm.we_camera_on_date, IFERROR(AVERAGEIFS(Log!$F:$F, Log!$D:$D,M$4, Log!$C:$C, $A178, Log!$A:$A, "Daily", Log!$B:$B, "n/a"), 0),
        _xlpm.ie_camera_on_date, IFERROR(AVERAGEIFS(Log!$G:$G, Log!$D:$D,M$4,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8" s="68" t="str">
        <f>IFERROR(
    _xlfn.LET(
        _xlpm.is_data_present, $A178&lt;&gt;0,
        _xlpm.is_camera_present, COUNTIFS(Log!$C:$C, $A178, Log!$D:$D, N$4, Log!$A:$A, "Daily", Log!$B:$B, "n/a"),
        _xlpm.we_camera_on_date, IFERROR(AVERAGEIFS(Log!$F:$F, Log!$D:$D,N$4, Log!$C:$C, $A178, Log!$A:$A, "Daily", Log!$B:$B, "n/a"), 0),
        _xlpm.ie_camera_on_date, IFERROR(AVERAGEIFS(Log!$G:$G, Log!$D:$D,N$4,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8" s="68" t="str">
        <f>IFERROR(
    _xlfn.LET(
        _xlpm.is_data_present, $A178&lt;&gt;0,
        _xlpm.is_camera_present, COUNTIFS(Log!$C:$C, $A178, Log!$D:$D, O$4, Log!$A:$A, "Daily", Log!$B:$B, "n/a"),
        _xlpm.we_camera_on_date, IFERROR(AVERAGEIFS(Log!$F:$F, Log!$D:$D,O$4, Log!$C:$C, $A178, Log!$A:$A, "Daily", Log!$B:$B, "n/a"), 0),
        _xlpm.ie_camera_on_date, IFERROR(AVERAGEIFS(Log!$G:$G, Log!$D:$D,O$4,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8" s="68" t="str">
        <f>IFERROR(
    _xlfn.LET(
        _xlpm.is_data_present, $A178&lt;&gt;0,
        _xlpm.is_camera_present, COUNTIFS(Log!$C:$C, $A178, Log!$D:$D, P$4, Log!$A:$A, "Daily", Log!$B:$B, "n/a"),
        _xlpm.we_camera_on_date, IFERROR(AVERAGEIFS(Log!$F:$F, Log!$D:$D,P$4, Log!$C:$C, $A178, Log!$A:$A, "Daily", Log!$B:$B, "n/a"), 0),
        _xlpm.ie_camera_on_date, IFERROR(AVERAGEIFS(Log!$G:$G, Log!$D:$D,P$4,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8" s="68" t="str">
        <f>IFERROR(
    _xlfn.LET(
        _xlpm.is_data_present, $A178&lt;&gt;0,
        _xlpm.is_camera_present, COUNTIFS(Log!$C:$C, $A178, Log!$D:$D, Q$4, Log!$A:$A, "Daily", Log!$B:$B, "n/a"),
        _xlpm.we_camera_on_date, IFERROR(AVERAGEIFS(Log!$F:$F, Log!$D:$D,Q$4, Log!$C:$C, $A178, Log!$A:$A, "Daily", Log!$B:$B, "n/a"), 0),
        _xlpm.ie_camera_on_date, IFERROR(AVERAGEIFS(Log!$G:$G, Log!$D:$D,Q$4,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8" s="68" t="str">
        <f>IFERROR(
    _xlfn.LET(
        _xlpm.is_data_present, $A178&lt;&gt;0,
        _xlpm.is_camera_present, COUNTIFS(Log!$C:$C, $A178, Log!$D:$D, R$4, Log!$A:$A, "Daily", Log!$B:$B, "n/a"),
        _xlpm.we_camera_on_date, IFERROR(AVERAGEIFS(Log!$F:$F, Log!$D:$D,R$4, Log!$C:$C, $A178, Log!$A:$A, "Daily", Log!$B:$B, "n/a"), 0),
        _xlpm.ie_camera_on_date, IFERROR(AVERAGEIFS(Log!$G:$G, Log!$D:$D,R$4,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8" s="68" t="str">
        <f>IFERROR(
    _xlfn.LET(
        _xlpm.is_data_present, $A178&lt;&gt;0,
        _xlpm.is_camera_present, COUNTIFS(Log!$C:$C, $A178, Log!$D:$D, S$4, Log!$A:$A, "Daily", Log!$B:$B, "n/a"),
        _xlpm.we_camera_on_date, IFERROR(AVERAGEIFS(Log!$F:$F, Log!$D:$D,S$4, Log!$C:$C, $A178, Log!$A:$A, "Daily", Log!$B:$B, "n/a"), 0),
        _xlpm.ie_camera_on_date, IFERROR(AVERAGEIFS(Log!$G:$G, Log!$D:$D,S$4, Log!$C:$C, $A178, Log!$A:$A, "Daily", Log!$B:$B, "n/a"), 0),
        _xlpm.we_avg, IFERROR(AVERAGEIFS(Log!$F:$F,Log!$C:$C,$A178, Log!$A:$A, "Daily", Log!$B:$B, "n/a"),0),
        _xlpm.ie_avg, IFERROR(AVERAGEIFS(Log!$G:$G,Log!$C:$C,$A178,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79" spans="2:19" x14ac:dyDescent="0.3">
      <c r="B179" s="68" t="str">
        <f>IFERROR(
    _xlfn.LET(
        _xlpm.is_data_present, $A179&lt;&gt;0,
        _xlpm.is_camera_present, COUNTIFS(Log!$C:$C, $A179, Log!$D:$D, B$4, Log!$A:$A, "Daily", Log!$B:$B, "n/a"),
        _xlpm.we_camera_on_date, IFERROR(AVERAGEIFS(Log!$F:$F, Log!$D:$D,B$4, Log!$C:$C, $A179, Log!$A:$A, "Daily", Log!$B:$B, "n/a"), 0),
        _xlpm.ie_camera_on_date, IFERROR(AVERAGEIFS(Log!$G:$G, Log!$D:$D,B$4,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79" s="68" t="str">
        <f>IFERROR(
    _xlfn.LET(
        _xlpm.is_data_present, $A179&lt;&gt;0,
        _xlpm.is_camera_present, COUNTIFS(Log!$C:$C, $A179, Log!$D:$D, C$4, Log!$A:$A, "Daily", Log!$B:$B, "n/a"),
        _xlpm.we_camera_on_date, IFERROR(AVERAGEIFS(Log!$F:$F, Log!$D:$D,C$4, Log!$C:$C, $A179, Log!$A:$A, "Daily", Log!$B:$B, "n/a"), 0),
        _xlpm.ie_camera_on_date, IFERROR(AVERAGEIFS(Log!$G:$G, Log!$D:$D,C$4,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79" s="68" t="str">
        <f>IFERROR(
    _xlfn.LET(
        _xlpm.is_data_present, $A179&lt;&gt;0,
        _xlpm.is_camera_present, COUNTIFS(Log!$C:$C, $A179, Log!$D:$D, D$4, Log!$A:$A, "Daily", Log!$B:$B, "n/a"),
        _xlpm.we_camera_on_date, IFERROR(AVERAGEIFS(Log!$F:$F, Log!$D:$D,D$4, Log!$C:$C, $A179, Log!$A:$A, "Daily", Log!$B:$B, "n/a"), 0),
        _xlpm.ie_camera_on_date, IFERROR(AVERAGEIFS(Log!$G:$G, Log!$D:$D,D$4,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79" s="68" t="str">
        <f>IFERROR(
    _xlfn.LET(
        _xlpm.is_data_present, $A179&lt;&gt;0,
        _xlpm.is_camera_present, COUNTIFS(Log!$C:$C, $A179, Log!$D:$D, E$4, Log!$A:$A, "Daily", Log!$B:$B, "n/a"),
        _xlpm.we_camera_on_date, IFERROR(AVERAGEIFS(Log!$F:$F, Log!$D:$D,E$4, Log!$C:$C, $A179, Log!$A:$A, "Daily", Log!$B:$B, "n/a"), 0),
        _xlpm.ie_camera_on_date, IFERROR(AVERAGEIFS(Log!$G:$G, Log!$D:$D,E$4,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79" s="68" t="str">
        <f>IFERROR(
    _xlfn.LET(
        _xlpm.is_data_present, $A179&lt;&gt;0,
        _xlpm.is_camera_present, COUNTIFS(Log!$C:$C, $A179, Log!$D:$D, F$4, Log!$A:$A, "Daily", Log!$B:$B, "n/a"),
        _xlpm.we_camera_on_date, IFERROR(AVERAGEIFS(Log!$F:$F, Log!$D:$D,F$4, Log!$C:$C, $A179, Log!$A:$A, "Daily", Log!$B:$B, "n/a"), 0),
        _xlpm.ie_camera_on_date, IFERROR(AVERAGEIFS(Log!$G:$G, Log!$D:$D,F$4,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79" s="68" t="str">
        <f>IFERROR(
    _xlfn.LET(
        _xlpm.is_data_present, $A179&lt;&gt;0,
        _xlpm.is_camera_present, COUNTIFS(Log!$C:$C, $A179, Log!$D:$D, G$4, Log!$A:$A, "Daily", Log!$B:$B, "n/a"),
        _xlpm.we_camera_on_date, IFERROR(AVERAGEIFS(Log!$F:$F, Log!$D:$D,G$4, Log!$C:$C, $A179, Log!$A:$A, "Daily", Log!$B:$B, "n/a"), 0),
        _xlpm.ie_camera_on_date, IFERROR(AVERAGEIFS(Log!$G:$G, Log!$D:$D,G$4,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79" s="68" t="str">
        <f>IFERROR(
    _xlfn.LET(
        _xlpm.is_data_present, $A179&lt;&gt;0,
        _xlpm.is_camera_present, COUNTIFS(Log!$C:$C, $A179, Log!$D:$D, H$4, Log!$A:$A, "Daily", Log!$B:$B, "n/a"),
        _xlpm.we_camera_on_date, IFERROR(AVERAGEIFS(Log!$F:$F, Log!$D:$D,H$4, Log!$C:$C, $A179, Log!$A:$A, "Daily", Log!$B:$B, "n/a"), 0),
        _xlpm.ie_camera_on_date, IFERROR(AVERAGEIFS(Log!$G:$G, Log!$D:$D,H$4,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79" s="68" t="str">
        <f>IFERROR(
    _xlfn.LET(
        _xlpm.is_data_present, $A179&lt;&gt;0,
        _xlpm.is_camera_present, COUNTIFS(Log!$C:$C, $A179, Log!$D:$D, I$4, Log!$A:$A, "Daily", Log!$B:$B, "n/a"),
        _xlpm.we_camera_on_date, IFERROR(AVERAGEIFS(Log!$F:$F, Log!$D:$D,I$4, Log!$C:$C, $A179, Log!$A:$A, "Daily", Log!$B:$B, "n/a"), 0),
        _xlpm.ie_camera_on_date, IFERROR(AVERAGEIFS(Log!$G:$G, Log!$D:$D,I$4,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79" s="68" t="str">
        <f>IFERROR(
    _xlfn.LET(
        _xlpm.is_data_present, $A179&lt;&gt;0,
        _xlpm.is_camera_present, COUNTIFS(Log!$C:$C, $A179, Log!$D:$D, J$4, Log!$A:$A, "Daily", Log!$B:$B, "n/a"),
        _xlpm.we_camera_on_date, IFERROR(AVERAGEIFS(Log!$F:$F, Log!$D:$D,J$4, Log!$C:$C, $A179, Log!$A:$A, "Daily", Log!$B:$B, "n/a"), 0),
        _xlpm.ie_camera_on_date, IFERROR(AVERAGEIFS(Log!$G:$G, Log!$D:$D,J$4,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79" s="68" t="str">
        <f>IFERROR(
    _xlfn.LET(
        _xlpm.is_data_present, $A179&lt;&gt;0,
        _xlpm.is_camera_present, COUNTIFS(Log!$C:$C, $A179, Log!$D:$D, K$4, Log!$A:$A, "Daily", Log!$B:$B, "n/a"),
        _xlpm.we_camera_on_date, IFERROR(AVERAGEIFS(Log!$F:$F, Log!$D:$D,K$4, Log!$C:$C, $A179, Log!$A:$A, "Daily", Log!$B:$B, "n/a"), 0),
        _xlpm.ie_camera_on_date, IFERROR(AVERAGEIFS(Log!$G:$G, Log!$D:$D,K$4,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79" s="68" t="str">
        <f>IFERROR(
    _xlfn.LET(
        _xlpm.is_data_present, $A179&lt;&gt;0,
        _xlpm.is_camera_present, COUNTIFS(Log!$C:$C, $A179, Log!$D:$D, L$4, Log!$A:$A, "Daily", Log!$B:$B, "n/a"),
        _xlpm.we_camera_on_date, IFERROR(AVERAGEIFS(Log!$F:$F, Log!$D:$D,L$4, Log!$C:$C, $A179, Log!$A:$A, "Daily", Log!$B:$B, "n/a"), 0),
        _xlpm.ie_camera_on_date, IFERROR(AVERAGEIFS(Log!$G:$G, Log!$D:$D,L$4,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79" s="68" t="str">
        <f>IFERROR(
    _xlfn.LET(
        _xlpm.is_data_present, $A179&lt;&gt;0,
        _xlpm.is_camera_present, COUNTIFS(Log!$C:$C, $A179, Log!$D:$D, M$4, Log!$A:$A, "Daily", Log!$B:$B, "n/a"),
        _xlpm.we_camera_on_date, IFERROR(AVERAGEIFS(Log!$F:$F, Log!$D:$D,M$4, Log!$C:$C, $A179, Log!$A:$A, "Daily", Log!$B:$B, "n/a"), 0),
        _xlpm.ie_camera_on_date, IFERROR(AVERAGEIFS(Log!$G:$G, Log!$D:$D,M$4,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79" s="68" t="str">
        <f>IFERROR(
    _xlfn.LET(
        _xlpm.is_data_present, $A179&lt;&gt;0,
        _xlpm.is_camera_present, COUNTIFS(Log!$C:$C, $A179, Log!$D:$D, N$4, Log!$A:$A, "Daily", Log!$B:$B, "n/a"),
        _xlpm.we_camera_on_date, IFERROR(AVERAGEIFS(Log!$F:$F, Log!$D:$D,N$4, Log!$C:$C, $A179, Log!$A:$A, "Daily", Log!$B:$B, "n/a"), 0),
        _xlpm.ie_camera_on_date, IFERROR(AVERAGEIFS(Log!$G:$G, Log!$D:$D,N$4,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79" s="68" t="str">
        <f>IFERROR(
    _xlfn.LET(
        _xlpm.is_data_present, $A179&lt;&gt;0,
        _xlpm.is_camera_present, COUNTIFS(Log!$C:$C, $A179, Log!$D:$D, O$4, Log!$A:$A, "Daily", Log!$B:$B, "n/a"),
        _xlpm.we_camera_on_date, IFERROR(AVERAGEIFS(Log!$F:$F, Log!$D:$D,O$4, Log!$C:$C, $A179, Log!$A:$A, "Daily", Log!$B:$B, "n/a"), 0),
        _xlpm.ie_camera_on_date, IFERROR(AVERAGEIFS(Log!$G:$G, Log!$D:$D,O$4,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79" s="68" t="str">
        <f>IFERROR(
    _xlfn.LET(
        _xlpm.is_data_present, $A179&lt;&gt;0,
        _xlpm.is_camera_present, COUNTIFS(Log!$C:$C, $A179, Log!$D:$D, P$4, Log!$A:$A, "Daily", Log!$B:$B, "n/a"),
        _xlpm.we_camera_on_date, IFERROR(AVERAGEIFS(Log!$F:$F, Log!$D:$D,P$4, Log!$C:$C, $A179, Log!$A:$A, "Daily", Log!$B:$B, "n/a"), 0),
        _xlpm.ie_camera_on_date, IFERROR(AVERAGEIFS(Log!$G:$G, Log!$D:$D,P$4,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79" s="68" t="str">
        <f>IFERROR(
    _xlfn.LET(
        _xlpm.is_data_present, $A179&lt;&gt;0,
        _xlpm.is_camera_present, COUNTIFS(Log!$C:$C, $A179, Log!$D:$D, Q$4, Log!$A:$A, "Daily", Log!$B:$B, "n/a"),
        _xlpm.we_camera_on_date, IFERROR(AVERAGEIFS(Log!$F:$F, Log!$D:$D,Q$4, Log!$C:$C, $A179, Log!$A:$A, "Daily", Log!$B:$B, "n/a"), 0),
        _xlpm.ie_camera_on_date, IFERROR(AVERAGEIFS(Log!$G:$G, Log!$D:$D,Q$4,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79" s="68" t="str">
        <f>IFERROR(
    _xlfn.LET(
        _xlpm.is_data_present, $A179&lt;&gt;0,
        _xlpm.is_camera_present, COUNTIFS(Log!$C:$C, $A179, Log!$D:$D, R$4, Log!$A:$A, "Daily", Log!$B:$B, "n/a"),
        _xlpm.we_camera_on_date, IFERROR(AVERAGEIFS(Log!$F:$F, Log!$D:$D,R$4, Log!$C:$C, $A179, Log!$A:$A, "Daily", Log!$B:$B, "n/a"), 0),
        _xlpm.ie_camera_on_date, IFERROR(AVERAGEIFS(Log!$G:$G, Log!$D:$D,R$4,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79" s="68" t="str">
        <f>IFERROR(
    _xlfn.LET(
        _xlpm.is_data_present, $A179&lt;&gt;0,
        _xlpm.is_camera_present, COUNTIFS(Log!$C:$C, $A179, Log!$D:$D, S$4, Log!$A:$A, "Daily", Log!$B:$B, "n/a"),
        _xlpm.we_camera_on_date, IFERROR(AVERAGEIFS(Log!$F:$F, Log!$D:$D,S$4, Log!$C:$C, $A179, Log!$A:$A, "Daily", Log!$B:$B, "n/a"), 0),
        _xlpm.ie_camera_on_date, IFERROR(AVERAGEIFS(Log!$G:$G, Log!$D:$D,S$4, Log!$C:$C, $A179, Log!$A:$A, "Daily", Log!$B:$B, "n/a"), 0),
        _xlpm.we_avg, IFERROR(AVERAGEIFS(Log!$F:$F,Log!$C:$C,$A179, Log!$A:$A, "Daily", Log!$B:$B, "n/a"),0),
        _xlpm.ie_avg, IFERROR(AVERAGEIFS(Log!$G:$G,Log!$C:$C,$A179,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0" spans="2:19" x14ac:dyDescent="0.3">
      <c r="B180" s="68" t="str">
        <f>IFERROR(
    _xlfn.LET(
        _xlpm.is_data_present, $A180&lt;&gt;0,
        _xlpm.is_camera_present, COUNTIFS(Log!$C:$C, $A180, Log!$D:$D, B$4, Log!$A:$A, "Daily", Log!$B:$B, "n/a"),
        _xlpm.we_camera_on_date, IFERROR(AVERAGEIFS(Log!$F:$F, Log!$D:$D,B$4, Log!$C:$C, $A180, Log!$A:$A, "Daily", Log!$B:$B, "n/a"), 0),
        _xlpm.ie_camera_on_date, IFERROR(AVERAGEIFS(Log!$G:$G, Log!$D:$D,B$4,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0" s="68" t="str">
        <f>IFERROR(
    _xlfn.LET(
        _xlpm.is_data_present, $A180&lt;&gt;0,
        _xlpm.is_camera_present, COUNTIFS(Log!$C:$C, $A180, Log!$D:$D, C$4, Log!$A:$A, "Daily", Log!$B:$B, "n/a"),
        _xlpm.we_camera_on_date, IFERROR(AVERAGEIFS(Log!$F:$F, Log!$D:$D,C$4, Log!$C:$C, $A180, Log!$A:$A, "Daily", Log!$B:$B, "n/a"), 0),
        _xlpm.ie_camera_on_date, IFERROR(AVERAGEIFS(Log!$G:$G, Log!$D:$D,C$4,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0" s="68" t="str">
        <f>IFERROR(
    _xlfn.LET(
        _xlpm.is_data_present, $A180&lt;&gt;0,
        _xlpm.is_camera_present, COUNTIFS(Log!$C:$C, $A180, Log!$D:$D, D$4, Log!$A:$A, "Daily", Log!$B:$B, "n/a"),
        _xlpm.we_camera_on_date, IFERROR(AVERAGEIFS(Log!$F:$F, Log!$D:$D,D$4, Log!$C:$C, $A180, Log!$A:$A, "Daily", Log!$B:$B, "n/a"), 0),
        _xlpm.ie_camera_on_date, IFERROR(AVERAGEIFS(Log!$G:$G, Log!$D:$D,D$4,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0" s="68" t="str">
        <f>IFERROR(
    _xlfn.LET(
        _xlpm.is_data_present, $A180&lt;&gt;0,
        _xlpm.is_camera_present, COUNTIFS(Log!$C:$C, $A180, Log!$D:$D, E$4, Log!$A:$A, "Daily", Log!$B:$B, "n/a"),
        _xlpm.we_camera_on_date, IFERROR(AVERAGEIFS(Log!$F:$F, Log!$D:$D,E$4, Log!$C:$C, $A180, Log!$A:$A, "Daily", Log!$B:$B, "n/a"), 0),
        _xlpm.ie_camera_on_date, IFERROR(AVERAGEIFS(Log!$G:$G, Log!$D:$D,E$4,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0" s="68" t="str">
        <f>IFERROR(
    _xlfn.LET(
        _xlpm.is_data_present, $A180&lt;&gt;0,
        _xlpm.is_camera_present, COUNTIFS(Log!$C:$C, $A180, Log!$D:$D, F$4, Log!$A:$A, "Daily", Log!$B:$B, "n/a"),
        _xlpm.we_camera_on_date, IFERROR(AVERAGEIFS(Log!$F:$F, Log!$D:$D,F$4, Log!$C:$C, $A180, Log!$A:$A, "Daily", Log!$B:$B, "n/a"), 0),
        _xlpm.ie_camera_on_date, IFERROR(AVERAGEIFS(Log!$G:$G, Log!$D:$D,F$4,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0" s="68" t="str">
        <f>IFERROR(
    _xlfn.LET(
        _xlpm.is_data_present, $A180&lt;&gt;0,
        _xlpm.is_camera_present, COUNTIFS(Log!$C:$C, $A180, Log!$D:$D, G$4, Log!$A:$A, "Daily", Log!$B:$B, "n/a"),
        _xlpm.we_camera_on_date, IFERROR(AVERAGEIFS(Log!$F:$F, Log!$D:$D,G$4, Log!$C:$C, $A180, Log!$A:$A, "Daily", Log!$B:$B, "n/a"), 0),
        _xlpm.ie_camera_on_date, IFERROR(AVERAGEIFS(Log!$G:$G, Log!$D:$D,G$4,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0" s="68" t="str">
        <f>IFERROR(
    _xlfn.LET(
        _xlpm.is_data_present, $A180&lt;&gt;0,
        _xlpm.is_camera_present, COUNTIFS(Log!$C:$C, $A180, Log!$D:$D, H$4, Log!$A:$A, "Daily", Log!$B:$B, "n/a"),
        _xlpm.we_camera_on_date, IFERROR(AVERAGEIFS(Log!$F:$F, Log!$D:$D,H$4, Log!$C:$C, $A180, Log!$A:$A, "Daily", Log!$B:$B, "n/a"), 0),
        _xlpm.ie_camera_on_date, IFERROR(AVERAGEIFS(Log!$G:$G, Log!$D:$D,H$4,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0" s="68" t="str">
        <f>IFERROR(
    _xlfn.LET(
        _xlpm.is_data_present, $A180&lt;&gt;0,
        _xlpm.is_camera_present, COUNTIFS(Log!$C:$C, $A180, Log!$D:$D, I$4, Log!$A:$A, "Daily", Log!$B:$B, "n/a"),
        _xlpm.we_camera_on_date, IFERROR(AVERAGEIFS(Log!$F:$F, Log!$D:$D,I$4, Log!$C:$C, $A180, Log!$A:$A, "Daily", Log!$B:$B, "n/a"), 0),
        _xlpm.ie_camera_on_date, IFERROR(AVERAGEIFS(Log!$G:$G, Log!$D:$D,I$4,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0" s="68" t="str">
        <f>IFERROR(
    _xlfn.LET(
        _xlpm.is_data_present, $A180&lt;&gt;0,
        _xlpm.is_camera_present, COUNTIFS(Log!$C:$C, $A180, Log!$D:$D, J$4, Log!$A:$A, "Daily", Log!$B:$B, "n/a"),
        _xlpm.we_camera_on_date, IFERROR(AVERAGEIFS(Log!$F:$F, Log!$D:$D,J$4, Log!$C:$C, $A180, Log!$A:$A, "Daily", Log!$B:$B, "n/a"), 0),
        _xlpm.ie_camera_on_date, IFERROR(AVERAGEIFS(Log!$G:$G, Log!$D:$D,J$4,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0" s="68" t="str">
        <f>IFERROR(
    _xlfn.LET(
        _xlpm.is_data_present, $A180&lt;&gt;0,
        _xlpm.is_camera_present, COUNTIFS(Log!$C:$C, $A180, Log!$D:$D, K$4, Log!$A:$A, "Daily", Log!$B:$B, "n/a"),
        _xlpm.we_camera_on_date, IFERROR(AVERAGEIFS(Log!$F:$F, Log!$D:$D,K$4, Log!$C:$C, $A180, Log!$A:$A, "Daily", Log!$B:$B, "n/a"), 0),
        _xlpm.ie_camera_on_date, IFERROR(AVERAGEIFS(Log!$G:$G, Log!$D:$D,K$4,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0" s="68" t="str">
        <f>IFERROR(
    _xlfn.LET(
        _xlpm.is_data_present, $A180&lt;&gt;0,
        _xlpm.is_camera_present, COUNTIFS(Log!$C:$C, $A180, Log!$D:$D, L$4, Log!$A:$A, "Daily", Log!$B:$B, "n/a"),
        _xlpm.we_camera_on_date, IFERROR(AVERAGEIFS(Log!$F:$F, Log!$D:$D,L$4, Log!$C:$C, $A180, Log!$A:$A, "Daily", Log!$B:$B, "n/a"), 0),
        _xlpm.ie_camera_on_date, IFERROR(AVERAGEIFS(Log!$G:$G, Log!$D:$D,L$4,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0" s="68" t="str">
        <f>IFERROR(
    _xlfn.LET(
        _xlpm.is_data_present, $A180&lt;&gt;0,
        _xlpm.is_camera_present, COUNTIFS(Log!$C:$C, $A180, Log!$D:$D, M$4, Log!$A:$A, "Daily", Log!$B:$B, "n/a"),
        _xlpm.we_camera_on_date, IFERROR(AVERAGEIFS(Log!$F:$F, Log!$D:$D,M$4, Log!$C:$C, $A180, Log!$A:$A, "Daily", Log!$B:$B, "n/a"), 0),
        _xlpm.ie_camera_on_date, IFERROR(AVERAGEIFS(Log!$G:$G, Log!$D:$D,M$4,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0" s="68" t="str">
        <f>IFERROR(
    _xlfn.LET(
        _xlpm.is_data_present, $A180&lt;&gt;0,
        _xlpm.is_camera_present, COUNTIFS(Log!$C:$C, $A180, Log!$D:$D, N$4, Log!$A:$A, "Daily", Log!$B:$B, "n/a"),
        _xlpm.we_camera_on_date, IFERROR(AVERAGEIFS(Log!$F:$F, Log!$D:$D,N$4, Log!$C:$C, $A180, Log!$A:$A, "Daily", Log!$B:$B, "n/a"), 0),
        _xlpm.ie_camera_on_date, IFERROR(AVERAGEIFS(Log!$G:$G, Log!$D:$D,N$4,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0" s="68" t="str">
        <f>IFERROR(
    _xlfn.LET(
        _xlpm.is_data_present, $A180&lt;&gt;0,
        _xlpm.is_camera_present, COUNTIFS(Log!$C:$C, $A180, Log!$D:$D, O$4, Log!$A:$A, "Daily", Log!$B:$B, "n/a"),
        _xlpm.we_camera_on_date, IFERROR(AVERAGEIFS(Log!$F:$F, Log!$D:$D,O$4, Log!$C:$C, $A180, Log!$A:$A, "Daily", Log!$B:$B, "n/a"), 0),
        _xlpm.ie_camera_on_date, IFERROR(AVERAGEIFS(Log!$G:$G, Log!$D:$D,O$4,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0" s="68" t="str">
        <f>IFERROR(
    _xlfn.LET(
        _xlpm.is_data_present, $A180&lt;&gt;0,
        _xlpm.is_camera_present, COUNTIFS(Log!$C:$C, $A180, Log!$D:$D, P$4, Log!$A:$A, "Daily", Log!$B:$B, "n/a"),
        _xlpm.we_camera_on_date, IFERROR(AVERAGEIFS(Log!$F:$F, Log!$D:$D,P$4, Log!$C:$C, $A180, Log!$A:$A, "Daily", Log!$B:$B, "n/a"), 0),
        _xlpm.ie_camera_on_date, IFERROR(AVERAGEIFS(Log!$G:$G, Log!$D:$D,P$4,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0" s="68" t="str">
        <f>IFERROR(
    _xlfn.LET(
        _xlpm.is_data_present, $A180&lt;&gt;0,
        _xlpm.is_camera_present, COUNTIFS(Log!$C:$C, $A180, Log!$D:$D, Q$4, Log!$A:$A, "Daily", Log!$B:$B, "n/a"),
        _xlpm.we_camera_on_date, IFERROR(AVERAGEIFS(Log!$F:$F, Log!$D:$D,Q$4, Log!$C:$C, $A180, Log!$A:$A, "Daily", Log!$B:$B, "n/a"), 0),
        _xlpm.ie_camera_on_date, IFERROR(AVERAGEIFS(Log!$G:$G, Log!$D:$D,Q$4,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0" s="68" t="str">
        <f>IFERROR(
    _xlfn.LET(
        _xlpm.is_data_present, $A180&lt;&gt;0,
        _xlpm.is_camera_present, COUNTIFS(Log!$C:$C, $A180, Log!$D:$D, R$4, Log!$A:$A, "Daily", Log!$B:$B, "n/a"),
        _xlpm.we_camera_on_date, IFERROR(AVERAGEIFS(Log!$F:$F, Log!$D:$D,R$4, Log!$C:$C, $A180, Log!$A:$A, "Daily", Log!$B:$B, "n/a"), 0),
        _xlpm.ie_camera_on_date, IFERROR(AVERAGEIFS(Log!$G:$G, Log!$D:$D,R$4,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0" s="68" t="str">
        <f>IFERROR(
    _xlfn.LET(
        _xlpm.is_data_present, $A180&lt;&gt;0,
        _xlpm.is_camera_present, COUNTIFS(Log!$C:$C, $A180, Log!$D:$D, S$4, Log!$A:$A, "Daily", Log!$B:$B, "n/a"),
        _xlpm.we_camera_on_date, IFERROR(AVERAGEIFS(Log!$F:$F, Log!$D:$D,S$4, Log!$C:$C, $A180, Log!$A:$A, "Daily", Log!$B:$B, "n/a"), 0),
        _xlpm.ie_camera_on_date, IFERROR(AVERAGEIFS(Log!$G:$G, Log!$D:$D,S$4, Log!$C:$C, $A180, Log!$A:$A, "Daily", Log!$B:$B, "n/a"), 0),
        _xlpm.we_avg, IFERROR(AVERAGEIFS(Log!$F:$F,Log!$C:$C,$A180, Log!$A:$A, "Daily", Log!$B:$B, "n/a"),0),
        _xlpm.ie_avg, IFERROR(AVERAGEIFS(Log!$G:$G,Log!$C:$C,$A180,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1" spans="2:19" x14ac:dyDescent="0.3">
      <c r="B181" s="68" t="str">
        <f>IFERROR(
    _xlfn.LET(
        _xlpm.is_data_present, $A181&lt;&gt;0,
        _xlpm.is_camera_present, COUNTIFS(Log!$C:$C, $A181, Log!$D:$D, B$4, Log!$A:$A, "Daily", Log!$B:$B, "n/a"),
        _xlpm.we_camera_on_date, IFERROR(AVERAGEIFS(Log!$F:$F, Log!$D:$D,B$4, Log!$C:$C, $A181, Log!$A:$A, "Daily", Log!$B:$B, "n/a"), 0),
        _xlpm.ie_camera_on_date, IFERROR(AVERAGEIFS(Log!$G:$G, Log!$D:$D,B$4,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1" s="68" t="str">
        <f>IFERROR(
    _xlfn.LET(
        _xlpm.is_data_present, $A181&lt;&gt;0,
        _xlpm.is_camera_present, COUNTIFS(Log!$C:$C, $A181, Log!$D:$D, C$4, Log!$A:$A, "Daily", Log!$B:$B, "n/a"),
        _xlpm.we_camera_on_date, IFERROR(AVERAGEIFS(Log!$F:$F, Log!$D:$D,C$4, Log!$C:$C, $A181, Log!$A:$A, "Daily", Log!$B:$B, "n/a"), 0),
        _xlpm.ie_camera_on_date, IFERROR(AVERAGEIFS(Log!$G:$G, Log!$D:$D,C$4,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1" s="68" t="str">
        <f>IFERROR(
    _xlfn.LET(
        _xlpm.is_data_present, $A181&lt;&gt;0,
        _xlpm.is_camera_present, COUNTIFS(Log!$C:$C, $A181, Log!$D:$D, D$4, Log!$A:$A, "Daily", Log!$B:$B, "n/a"),
        _xlpm.we_camera_on_date, IFERROR(AVERAGEIFS(Log!$F:$F, Log!$D:$D,D$4, Log!$C:$C, $A181, Log!$A:$A, "Daily", Log!$B:$B, "n/a"), 0),
        _xlpm.ie_camera_on_date, IFERROR(AVERAGEIFS(Log!$G:$G, Log!$D:$D,D$4,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1" s="68" t="str">
        <f>IFERROR(
    _xlfn.LET(
        _xlpm.is_data_present, $A181&lt;&gt;0,
        _xlpm.is_camera_present, COUNTIFS(Log!$C:$C, $A181, Log!$D:$D, E$4, Log!$A:$A, "Daily", Log!$B:$B, "n/a"),
        _xlpm.we_camera_on_date, IFERROR(AVERAGEIFS(Log!$F:$F, Log!$D:$D,E$4, Log!$C:$C, $A181, Log!$A:$A, "Daily", Log!$B:$B, "n/a"), 0),
        _xlpm.ie_camera_on_date, IFERROR(AVERAGEIFS(Log!$G:$G, Log!$D:$D,E$4,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1" s="68" t="str">
        <f>IFERROR(
    _xlfn.LET(
        _xlpm.is_data_present, $A181&lt;&gt;0,
        _xlpm.is_camera_present, COUNTIFS(Log!$C:$C, $A181, Log!$D:$D, F$4, Log!$A:$A, "Daily", Log!$B:$B, "n/a"),
        _xlpm.we_camera_on_date, IFERROR(AVERAGEIFS(Log!$F:$F, Log!$D:$D,F$4, Log!$C:$C, $A181, Log!$A:$A, "Daily", Log!$B:$B, "n/a"), 0),
        _xlpm.ie_camera_on_date, IFERROR(AVERAGEIFS(Log!$G:$G, Log!$D:$D,F$4,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1" s="68" t="str">
        <f>IFERROR(
    _xlfn.LET(
        _xlpm.is_data_present, $A181&lt;&gt;0,
        _xlpm.is_camera_present, COUNTIFS(Log!$C:$C, $A181, Log!$D:$D, G$4, Log!$A:$A, "Daily", Log!$B:$B, "n/a"),
        _xlpm.we_camera_on_date, IFERROR(AVERAGEIFS(Log!$F:$F, Log!$D:$D,G$4, Log!$C:$C, $A181, Log!$A:$A, "Daily", Log!$B:$B, "n/a"), 0),
        _xlpm.ie_camera_on_date, IFERROR(AVERAGEIFS(Log!$G:$G, Log!$D:$D,G$4,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1" s="68" t="str">
        <f>IFERROR(
    _xlfn.LET(
        _xlpm.is_data_present, $A181&lt;&gt;0,
        _xlpm.is_camera_present, COUNTIFS(Log!$C:$C, $A181, Log!$D:$D, H$4, Log!$A:$A, "Daily", Log!$B:$B, "n/a"),
        _xlpm.we_camera_on_date, IFERROR(AVERAGEIFS(Log!$F:$F, Log!$D:$D,H$4, Log!$C:$C, $A181, Log!$A:$A, "Daily", Log!$B:$B, "n/a"), 0),
        _xlpm.ie_camera_on_date, IFERROR(AVERAGEIFS(Log!$G:$G, Log!$D:$D,H$4,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1" s="68" t="str">
        <f>IFERROR(
    _xlfn.LET(
        _xlpm.is_data_present, $A181&lt;&gt;0,
        _xlpm.is_camera_present, COUNTIFS(Log!$C:$C, $A181, Log!$D:$D, I$4, Log!$A:$A, "Daily", Log!$B:$B, "n/a"),
        _xlpm.we_camera_on_date, IFERROR(AVERAGEIFS(Log!$F:$F, Log!$D:$D,I$4, Log!$C:$C, $A181, Log!$A:$A, "Daily", Log!$B:$B, "n/a"), 0),
        _xlpm.ie_camera_on_date, IFERROR(AVERAGEIFS(Log!$G:$G, Log!$D:$D,I$4,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1" s="68" t="str">
        <f>IFERROR(
    _xlfn.LET(
        _xlpm.is_data_present, $A181&lt;&gt;0,
        _xlpm.is_camera_present, COUNTIFS(Log!$C:$C, $A181, Log!$D:$D, J$4, Log!$A:$A, "Daily", Log!$B:$B, "n/a"),
        _xlpm.we_camera_on_date, IFERROR(AVERAGEIFS(Log!$F:$F, Log!$D:$D,J$4, Log!$C:$C, $A181, Log!$A:$A, "Daily", Log!$B:$B, "n/a"), 0),
        _xlpm.ie_camera_on_date, IFERROR(AVERAGEIFS(Log!$G:$G, Log!$D:$D,J$4,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1" s="68" t="str">
        <f>IFERROR(
    _xlfn.LET(
        _xlpm.is_data_present, $A181&lt;&gt;0,
        _xlpm.is_camera_present, COUNTIFS(Log!$C:$C, $A181, Log!$D:$D, K$4, Log!$A:$A, "Daily", Log!$B:$B, "n/a"),
        _xlpm.we_camera_on_date, IFERROR(AVERAGEIFS(Log!$F:$F, Log!$D:$D,K$4, Log!$C:$C, $A181, Log!$A:$A, "Daily", Log!$B:$B, "n/a"), 0),
        _xlpm.ie_camera_on_date, IFERROR(AVERAGEIFS(Log!$G:$G, Log!$D:$D,K$4,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1" s="68" t="str">
        <f>IFERROR(
    _xlfn.LET(
        _xlpm.is_data_present, $A181&lt;&gt;0,
        _xlpm.is_camera_present, COUNTIFS(Log!$C:$C, $A181, Log!$D:$D, L$4, Log!$A:$A, "Daily", Log!$B:$B, "n/a"),
        _xlpm.we_camera_on_date, IFERROR(AVERAGEIFS(Log!$F:$F, Log!$D:$D,L$4, Log!$C:$C, $A181, Log!$A:$A, "Daily", Log!$B:$B, "n/a"), 0),
        _xlpm.ie_camera_on_date, IFERROR(AVERAGEIFS(Log!$G:$G, Log!$D:$D,L$4,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1" s="68" t="str">
        <f>IFERROR(
    _xlfn.LET(
        _xlpm.is_data_present, $A181&lt;&gt;0,
        _xlpm.is_camera_present, COUNTIFS(Log!$C:$C, $A181, Log!$D:$D, M$4, Log!$A:$A, "Daily", Log!$B:$B, "n/a"),
        _xlpm.we_camera_on_date, IFERROR(AVERAGEIFS(Log!$F:$F, Log!$D:$D,M$4, Log!$C:$C, $A181, Log!$A:$A, "Daily", Log!$B:$B, "n/a"), 0),
        _xlpm.ie_camera_on_date, IFERROR(AVERAGEIFS(Log!$G:$G, Log!$D:$D,M$4,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1" s="68" t="str">
        <f>IFERROR(
    _xlfn.LET(
        _xlpm.is_data_present, $A181&lt;&gt;0,
        _xlpm.is_camera_present, COUNTIFS(Log!$C:$C, $A181, Log!$D:$D, N$4, Log!$A:$A, "Daily", Log!$B:$B, "n/a"),
        _xlpm.we_camera_on_date, IFERROR(AVERAGEIFS(Log!$F:$F, Log!$D:$D,N$4, Log!$C:$C, $A181, Log!$A:$A, "Daily", Log!$B:$B, "n/a"), 0),
        _xlpm.ie_camera_on_date, IFERROR(AVERAGEIFS(Log!$G:$G, Log!$D:$D,N$4,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1" s="68" t="str">
        <f>IFERROR(
    _xlfn.LET(
        _xlpm.is_data_present, $A181&lt;&gt;0,
        _xlpm.is_camera_present, COUNTIFS(Log!$C:$C, $A181, Log!$D:$D, O$4, Log!$A:$A, "Daily", Log!$B:$B, "n/a"),
        _xlpm.we_camera_on_date, IFERROR(AVERAGEIFS(Log!$F:$F, Log!$D:$D,O$4, Log!$C:$C, $A181, Log!$A:$A, "Daily", Log!$B:$B, "n/a"), 0),
        _xlpm.ie_camera_on_date, IFERROR(AVERAGEIFS(Log!$G:$G, Log!$D:$D,O$4,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1" s="68" t="str">
        <f>IFERROR(
    _xlfn.LET(
        _xlpm.is_data_present, $A181&lt;&gt;0,
        _xlpm.is_camera_present, COUNTIFS(Log!$C:$C, $A181, Log!$D:$D, P$4, Log!$A:$A, "Daily", Log!$B:$B, "n/a"),
        _xlpm.we_camera_on_date, IFERROR(AVERAGEIFS(Log!$F:$F, Log!$D:$D,P$4, Log!$C:$C, $A181, Log!$A:$A, "Daily", Log!$B:$B, "n/a"), 0),
        _xlpm.ie_camera_on_date, IFERROR(AVERAGEIFS(Log!$G:$G, Log!$D:$D,P$4,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1" s="68" t="str">
        <f>IFERROR(
    _xlfn.LET(
        _xlpm.is_data_present, $A181&lt;&gt;0,
        _xlpm.is_camera_present, COUNTIFS(Log!$C:$C, $A181, Log!$D:$D, Q$4, Log!$A:$A, "Daily", Log!$B:$B, "n/a"),
        _xlpm.we_camera_on_date, IFERROR(AVERAGEIFS(Log!$F:$F, Log!$D:$D,Q$4, Log!$C:$C, $A181, Log!$A:$A, "Daily", Log!$B:$B, "n/a"), 0),
        _xlpm.ie_camera_on_date, IFERROR(AVERAGEIFS(Log!$G:$G, Log!$D:$D,Q$4,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1" s="68" t="str">
        <f>IFERROR(
    _xlfn.LET(
        _xlpm.is_data_present, $A181&lt;&gt;0,
        _xlpm.is_camera_present, COUNTIFS(Log!$C:$C, $A181, Log!$D:$D, R$4, Log!$A:$A, "Daily", Log!$B:$B, "n/a"),
        _xlpm.we_camera_on_date, IFERROR(AVERAGEIFS(Log!$F:$F, Log!$D:$D,R$4, Log!$C:$C, $A181, Log!$A:$A, "Daily", Log!$B:$B, "n/a"), 0),
        _xlpm.ie_camera_on_date, IFERROR(AVERAGEIFS(Log!$G:$G, Log!$D:$D,R$4,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1" s="68" t="str">
        <f>IFERROR(
    _xlfn.LET(
        _xlpm.is_data_present, $A181&lt;&gt;0,
        _xlpm.is_camera_present, COUNTIFS(Log!$C:$C, $A181, Log!$D:$D, S$4, Log!$A:$A, "Daily", Log!$B:$B, "n/a"),
        _xlpm.we_camera_on_date, IFERROR(AVERAGEIFS(Log!$F:$F, Log!$D:$D,S$4, Log!$C:$C, $A181, Log!$A:$A, "Daily", Log!$B:$B, "n/a"), 0),
        _xlpm.ie_camera_on_date, IFERROR(AVERAGEIFS(Log!$G:$G, Log!$D:$D,S$4, Log!$C:$C, $A181, Log!$A:$A, "Daily", Log!$B:$B, "n/a"), 0),
        _xlpm.we_avg, IFERROR(AVERAGEIFS(Log!$F:$F,Log!$C:$C,$A181, Log!$A:$A, "Daily", Log!$B:$B, "n/a"),0),
        _xlpm.ie_avg, IFERROR(AVERAGEIFS(Log!$G:$G,Log!$C:$C,$A181,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2" spans="2:19" x14ac:dyDescent="0.3">
      <c r="B182" s="68" t="str">
        <f>IFERROR(
    _xlfn.LET(
        _xlpm.is_data_present, $A182&lt;&gt;0,
        _xlpm.is_camera_present, COUNTIFS(Log!$C:$C, $A182, Log!$D:$D, B$4, Log!$A:$A, "Daily", Log!$B:$B, "n/a"),
        _xlpm.we_camera_on_date, IFERROR(AVERAGEIFS(Log!$F:$F, Log!$D:$D,B$4, Log!$C:$C, $A182, Log!$A:$A, "Daily", Log!$B:$B, "n/a"), 0),
        _xlpm.ie_camera_on_date, IFERROR(AVERAGEIFS(Log!$G:$G, Log!$D:$D,B$4,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2" s="68" t="str">
        <f>IFERROR(
    _xlfn.LET(
        _xlpm.is_data_present, $A182&lt;&gt;0,
        _xlpm.is_camera_present, COUNTIFS(Log!$C:$C, $A182, Log!$D:$D, C$4, Log!$A:$A, "Daily", Log!$B:$B, "n/a"),
        _xlpm.we_camera_on_date, IFERROR(AVERAGEIFS(Log!$F:$F, Log!$D:$D,C$4, Log!$C:$C, $A182, Log!$A:$A, "Daily", Log!$B:$B, "n/a"), 0),
        _xlpm.ie_camera_on_date, IFERROR(AVERAGEIFS(Log!$G:$G, Log!$D:$D,C$4,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2" s="68" t="str">
        <f>IFERROR(
    _xlfn.LET(
        _xlpm.is_data_present, $A182&lt;&gt;0,
        _xlpm.is_camera_present, COUNTIFS(Log!$C:$C, $A182, Log!$D:$D, D$4, Log!$A:$A, "Daily", Log!$B:$B, "n/a"),
        _xlpm.we_camera_on_date, IFERROR(AVERAGEIFS(Log!$F:$F, Log!$D:$D,D$4, Log!$C:$C, $A182, Log!$A:$A, "Daily", Log!$B:$B, "n/a"), 0),
        _xlpm.ie_camera_on_date, IFERROR(AVERAGEIFS(Log!$G:$G, Log!$D:$D,D$4,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2" s="68" t="str">
        <f>IFERROR(
    _xlfn.LET(
        _xlpm.is_data_present, $A182&lt;&gt;0,
        _xlpm.is_camera_present, COUNTIFS(Log!$C:$C, $A182, Log!$D:$D, E$4, Log!$A:$A, "Daily", Log!$B:$B, "n/a"),
        _xlpm.we_camera_on_date, IFERROR(AVERAGEIFS(Log!$F:$F, Log!$D:$D,E$4, Log!$C:$C, $A182, Log!$A:$A, "Daily", Log!$B:$B, "n/a"), 0),
        _xlpm.ie_camera_on_date, IFERROR(AVERAGEIFS(Log!$G:$G, Log!$D:$D,E$4,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2" s="68" t="str">
        <f>IFERROR(
    _xlfn.LET(
        _xlpm.is_data_present, $A182&lt;&gt;0,
        _xlpm.is_camera_present, COUNTIFS(Log!$C:$C, $A182, Log!$D:$D, F$4, Log!$A:$A, "Daily", Log!$B:$B, "n/a"),
        _xlpm.we_camera_on_date, IFERROR(AVERAGEIFS(Log!$F:$F, Log!$D:$D,F$4, Log!$C:$C, $A182, Log!$A:$A, "Daily", Log!$B:$B, "n/a"), 0),
        _xlpm.ie_camera_on_date, IFERROR(AVERAGEIFS(Log!$G:$G, Log!$D:$D,F$4,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2" s="68" t="str">
        <f>IFERROR(
    _xlfn.LET(
        _xlpm.is_data_present, $A182&lt;&gt;0,
        _xlpm.is_camera_present, COUNTIFS(Log!$C:$C, $A182, Log!$D:$D, G$4, Log!$A:$A, "Daily", Log!$B:$B, "n/a"),
        _xlpm.we_camera_on_date, IFERROR(AVERAGEIFS(Log!$F:$F, Log!$D:$D,G$4, Log!$C:$C, $A182, Log!$A:$A, "Daily", Log!$B:$B, "n/a"), 0),
        _xlpm.ie_camera_on_date, IFERROR(AVERAGEIFS(Log!$G:$G, Log!$D:$D,G$4,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2" s="68" t="str">
        <f>IFERROR(
    _xlfn.LET(
        _xlpm.is_data_present, $A182&lt;&gt;0,
        _xlpm.is_camera_present, COUNTIFS(Log!$C:$C, $A182, Log!$D:$D, H$4, Log!$A:$A, "Daily", Log!$B:$B, "n/a"),
        _xlpm.we_camera_on_date, IFERROR(AVERAGEIFS(Log!$F:$F, Log!$D:$D,H$4, Log!$C:$C, $A182, Log!$A:$A, "Daily", Log!$B:$B, "n/a"), 0),
        _xlpm.ie_camera_on_date, IFERROR(AVERAGEIFS(Log!$G:$G, Log!$D:$D,H$4,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2" s="68" t="str">
        <f>IFERROR(
    _xlfn.LET(
        _xlpm.is_data_present, $A182&lt;&gt;0,
        _xlpm.is_camera_present, COUNTIFS(Log!$C:$C, $A182, Log!$D:$D, I$4, Log!$A:$A, "Daily", Log!$B:$B, "n/a"),
        _xlpm.we_camera_on_date, IFERROR(AVERAGEIFS(Log!$F:$F, Log!$D:$D,I$4, Log!$C:$C, $A182, Log!$A:$A, "Daily", Log!$B:$B, "n/a"), 0),
        _xlpm.ie_camera_on_date, IFERROR(AVERAGEIFS(Log!$G:$G, Log!$D:$D,I$4,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2" s="68" t="str">
        <f>IFERROR(
    _xlfn.LET(
        _xlpm.is_data_present, $A182&lt;&gt;0,
        _xlpm.is_camera_present, COUNTIFS(Log!$C:$C, $A182, Log!$D:$D, J$4, Log!$A:$A, "Daily", Log!$B:$B, "n/a"),
        _xlpm.we_camera_on_date, IFERROR(AVERAGEIFS(Log!$F:$F, Log!$D:$D,J$4, Log!$C:$C, $A182, Log!$A:$A, "Daily", Log!$B:$B, "n/a"), 0),
        _xlpm.ie_camera_on_date, IFERROR(AVERAGEIFS(Log!$G:$G, Log!$D:$D,J$4,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2" s="68" t="str">
        <f>IFERROR(
    _xlfn.LET(
        _xlpm.is_data_present, $A182&lt;&gt;0,
        _xlpm.is_camera_present, COUNTIFS(Log!$C:$C, $A182, Log!$D:$D, K$4, Log!$A:$A, "Daily", Log!$B:$B, "n/a"),
        _xlpm.we_camera_on_date, IFERROR(AVERAGEIFS(Log!$F:$F, Log!$D:$D,K$4, Log!$C:$C, $A182, Log!$A:$A, "Daily", Log!$B:$B, "n/a"), 0),
        _xlpm.ie_camera_on_date, IFERROR(AVERAGEIFS(Log!$G:$G, Log!$D:$D,K$4,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2" s="68" t="str">
        <f>IFERROR(
    _xlfn.LET(
        _xlpm.is_data_present, $A182&lt;&gt;0,
        _xlpm.is_camera_present, COUNTIFS(Log!$C:$C, $A182, Log!$D:$D, L$4, Log!$A:$A, "Daily", Log!$B:$B, "n/a"),
        _xlpm.we_camera_on_date, IFERROR(AVERAGEIFS(Log!$F:$F, Log!$D:$D,L$4, Log!$C:$C, $A182, Log!$A:$A, "Daily", Log!$B:$B, "n/a"), 0),
        _xlpm.ie_camera_on_date, IFERROR(AVERAGEIFS(Log!$G:$G, Log!$D:$D,L$4,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2" s="68" t="str">
        <f>IFERROR(
    _xlfn.LET(
        _xlpm.is_data_present, $A182&lt;&gt;0,
        _xlpm.is_camera_present, COUNTIFS(Log!$C:$C, $A182, Log!$D:$D, M$4, Log!$A:$A, "Daily", Log!$B:$B, "n/a"),
        _xlpm.we_camera_on_date, IFERROR(AVERAGEIFS(Log!$F:$F, Log!$D:$D,M$4, Log!$C:$C, $A182, Log!$A:$A, "Daily", Log!$B:$B, "n/a"), 0),
        _xlpm.ie_camera_on_date, IFERROR(AVERAGEIFS(Log!$G:$G, Log!$D:$D,M$4,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2" s="68" t="str">
        <f>IFERROR(
    _xlfn.LET(
        _xlpm.is_data_present, $A182&lt;&gt;0,
        _xlpm.is_camera_present, COUNTIFS(Log!$C:$C, $A182, Log!$D:$D, N$4, Log!$A:$A, "Daily", Log!$B:$B, "n/a"),
        _xlpm.we_camera_on_date, IFERROR(AVERAGEIFS(Log!$F:$F, Log!$D:$D,N$4, Log!$C:$C, $A182, Log!$A:$A, "Daily", Log!$B:$B, "n/a"), 0),
        _xlpm.ie_camera_on_date, IFERROR(AVERAGEIFS(Log!$G:$G, Log!$D:$D,N$4,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2" s="68" t="str">
        <f>IFERROR(
    _xlfn.LET(
        _xlpm.is_data_present, $A182&lt;&gt;0,
        _xlpm.is_camera_present, COUNTIFS(Log!$C:$C, $A182, Log!$D:$D, O$4, Log!$A:$A, "Daily", Log!$B:$B, "n/a"),
        _xlpm.we_camera_on_date, IFERROR(AVERAGEIFS(Log!$F:$F, Log!$D:$D,O$4, Log!$C:$C, $A182, Log!$A:$A, "Daily", Log!$B:$B, "n/a"), 0),
        _xlpm.ie_camera_on_date, IFERROR(AVERAGEIFS(Log!$G:$G, Log!$D:$D,O$4,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2" s="68" t="str">
        <f>IFERROR(
    _xlfn.LET(
        _xlpm.is_data_present, $A182&lt;&gt;0,
        _xlpm.is_camera_present, COUNTIFS(Log!$C:$C, $A182, Log!$D:$D, P$4, Log!$A:$A, "Daily", Log!$B:$B, "n/a"),
        _xlpm.we_camera_on_date, IFERROR(AVERAGEIFS(Log!$F:$F, Log!$D:$D,P$4, Log!$C:$C, $A182, Log!$A:$A, "Daily", Log!$B:$B, "n/a"), 0),
        _xlpm.ie_camera_on_date, IFERROR(AVERAGEIFS(Log!$G:$G, Log!$D:$D,P$4,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2" s="68" t="str">
        <f>IFERROR(
    _xlfn.LET(
        _xlpm.is_data_present, $A182&lt;&gt;0,
        _xlpm.is_camera_present, COUNTIFS(Log!$C:$C, $A182, Log!$D:$D, Q$4, Log!$A:$A, "Daily", Log!$B:$B, "n/a"),
        _xlpm.we_camera_on_date, IFERROR(AVERAGEIFS(Log!$F:$F, Log!$D:$D,Q$4, Log!$C:$C, $A182, Log!$A:$A, "Daily", Log!$B:$B, "n/a"), 0),
        _xlpm.ie_camera_on_date, IFERROR(AVERAGEIFS(Log!$G:$G, Log!$D:$D,Q$4,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2" s="68" t="str">
        <f>IFERROR(
    _xlfn.LET(
        _xlpm.is_data_present, $A182&lt;&gt;0,
        _xlpm.is_camera_present, COUNTIFS(Log!$C:$C, $A182, Log!$D:$D, R$4, Log!$A:$A, "Daily", Log!$B:$B, "n/a"),
        _xlpm.we_camera_on_date, IFERROR(AVERAGEIFS(Log!$F:$F, Log!$D:$D,R$4, Log!$C:$C, $A182, Log!$A:$A, "Daily", Log!$B:$B, "n/a"), 0),
        _xlpm.ie_camera_on_date, IFERROR(AVERAGEIFS(Log!$G:$G, Log!$D:$D,R$4,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2" s="68" t="str">
        <f>IFERROR(
    _xlfn.LET(
        _xlpm.is_data_present, $A182&lt;&gt;0,
        _xlpm.is_camera_present, COUNTIFS(Log!$C:$C, $A182, Log!$D:$D, S$4, Log!$A:$A, "Daily", Log!$B:$B, "n/a"),
        _xlpm.we_camera_on_date, IFERROR(AVERAGEIFS(Log!$F:$F, Log!$D:$D,S$4, Log!$C:$C, $A182, Log!$A:$A, "Daily", Log!$B:$B, "n/a"), 0),
        _xlpm.ie_camera_on_date, IFERROR(AVERAGEIFS(Log!$G:$G, Log!$D:$D,S$4, Log!$C:$C, $A182, Log!$A:$A, "Daily", Log!$B:$B, "n/a"), 0),
        _xlpm.we_avg, IFERROR(AVERAGEIFS(Log!$F:$F,Log!$C:$C,$A182, Log!$A:$A, "Daily", Log!$B:$B, "n/a"),0),
        _xlpm.ie_avg, IFERROR(AVERAGEIFS(Log!$G:$G,Log!$C:$C,$A182,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3" spans="2:19" x14ac:dyDescent="0.3">
      <c r="B183" s="68" t="str">
        <f>IFERROR(
    _xlfn.LET(
        _xlpm.is_data_present, $A183&lt;&gt;0,
        _xlpm.is_camera_present, COUNTIFS(Log!$C:$C, $A183, Log!$D:$D, B$4, Log!$A:$A, "Daily", Log!$B:$B, "n/a"),
        _xlpm.we_camera_on_date, IFERROR(AVERAGEIFS(Log!$F:$F, Log!$D:$D,B$4, Log!$C:$C, $A183, Log!$A:$A, "Daily", Log!$B:$B, "n/a"), 0),
        _xlpm.ie_camera_on_date, IFERROR(AVERAGEIFS(Log!$G:$G, Log!$D:$D,B$4,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3" s="68" t="str">
        <f>IFERROR(
    _xlfn.LET(
        _xlpm.is_data_present, $A183&lt;&gt;0,
        _xlpm.is_camera_present, COUNTIFS(Log!$C:$C, $A183, Log!$D:$D, C$4, Log!$A:$A, "Daily", Log!$B:$B, "n/a"),
        _xlpm.we_camera_on_date, IFERROR(AVERAGEIFS(Log!$F:$F, Log!$D:$D,C$4, Log!$C:$C, $A183, Log!$A:$A, "Daily", Log!$B:$B, "n/a"), 0),
        _xlpm.ie_camera_on_date, IFERROR(AVERAGEIFS(Log!$G:$G, Log!$D:$D,C$4,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3" s="68" t="str">
        <f>IFERROR(
    _xlfn.LET(
        _xlpm.is_data_present, $A183&lt;&gt;0,
        _xlpm.is_camera_present, COUNTIFS(Log!$C:$C, $A183, Log!$D:$D, D$4, Log!$A:$A, "Daily", Log!$B:$B, "n/a"),
        _xlpm.we_camera_on_date, IFERROR(AVERAGEIFS(Log!$F:$F, Log!$D:$D,D$4, Log!$C:$C, $A183, Log!$A:$A, "Daily", Log!$B:$B, "n/a"), 0),
        _xlpm.ie_camera_on_date, IFERROR(AVERAGEIFS(Log!$G:$G, Log!$D:$D,D$4,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3" s="68" t="str">
        <f>IFERROR(
    _xlfn.LET(
        _xlpm.is_data_present, $A183&lt;&gt;0,
        _xlpm.is_camera_present, COUNTIFS(Log!$C:$C, $A183, Log!$D:$D, E$4, Log!$A:$A, "Daily", Log!$B:$B, "n/a"),
        _xlpm.we_camera_on_date, IFERROR(AVERAGEIFS(Log!$F:$F, Log!$D:$D,E$4, Log!$C:$C, $A183, Log!$A:$A, "Daily", Log!$B:$B, "n/a"), 0),
        _xlpm.ie_camera_on_date, IFERROR(AVERAGEIFS(Log!$G:$G, Log!$D:$D,E$4,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3" s="68" t="str">
        <f>IFERROR(
    _xlfn.LET(
        _xlpm.is_data_present, $A183&lt;&gt;0,
        _xlpm.is_camera_present, COUNTIFS(Log!$C:$C, $A183, Log!$D:$D, F$4, Log!$A:$A, "Daily", Log!$B:$B, "n/a"),
        _xlpm.we_camera_on_date, IFERROR(AVERAGEIFS(Log!$F:$F, Log!$D:$D,F$4, Log!$C:$C, $A183, Log!$A:$A, "Daily", Log!$B:$B, "n/a"), 0),
        _xlpm.ie_camera_on_date, IFERROR(AVERAGEIFS(Log!$G:$G, Log!$D:$D,F$4,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3" s="68" t="str">
        <f>IFERROR(
    _xlfn.LET(
        _xlpm.is_data_present, $A183&lt;&gt;0,
        _xlpm.is_camera_present, COUNTIFS(Log!$C:$C, $A183, Log!$D:$D, G$4, Log!$A:$A, "Daily", Log!$B:$B, "n/a"),
        _xlpm.we_camera_on_date, IFERROR(AVERAGEIFS(Log!$F:$F, Log!$D:$D,G$4, Log!$C:$C, $A183, Log!$A:$A, "Daily", Log!$B:$B, "n/a"), 0),
        _xlpm.ie_camera_on_date, IFERROR(AVERAGEIFS(Log!$G:$G, Log!$D:$D,G$4,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3" s="68" t="str">
        <f>IFERROR(
    _xlfn.LET(
        _xlpm.is_data_present, $A183&lt;&gt;0,
        _xlpm.is_camera_present, COUNTIFS(Log!$C:$C, $A183, Log!$D:$D, H$4, Log!$A:$A, "Daily", Log!$B:$B, "n/a"),
        _xlpm.we_camera_on_date, IFERROR(AVERAGEIFS(Log!$F:$F, Log!$D:$D,H$4, Log!$C:$C, $A183, Log!$A:$A, "Daily", Log!$B:$B, "n/a"), 0),
        _xlpm.ie_camera_on_date, IFERROR(AVERAGEIFS(Log!$G:$G, Log!$D:$D,H$4,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3" s="68" t="str">
        <f>IFERROR(
    _xlfn.LET(
        _xlpm.is_data_present, $A183&lt;&gt;0,
        _xlpm.is_camera_present, COUNTIFS(Log!$C:$C, $A183, Log!$D:$D, I$4, Log!$A:$A, "Daily", Log!$B:$B, "n/a"),
        _xlpm.we_camera_on_date, IFERROR(AVERAGEIFS(Log!$F:$F, Log!$D:$D,I$4, Log!$C:$C, $A183, Log!$A:$A, "Daily", Log!$B:$B, "n/a"), 0),
        _xlpm.ie_camera_on_date, IFERROR(AVERAGEIFS(Log!$G:$G, Log!$D:$D,I$4,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3" s="68" t="str">
        <f>IFERROR(
    _xlfn.LET(
        _xlpm.is_data_present, $A183&lt;&gt;0,
        _xlpm.is_camera_present, COUNTIFS(Log!$C:$C, $A183, Log!$D:$D, J$4, Log!$A:$A, "Daily", Log!$B:$B, "n/a"),
        _xlpm.we_camera_on_date, IFERROR(AVERAGEIFS(Log!$F:$F, Log!$D:$D,J$4, Log!$C:$C, $A183, Log!$A:$A, "Daily", Log!$B:$B, "n/a"), 0),
        _xlpm.ie_camera_on_date, IFERROR(AVERAGEIFS(Log!$G:$G, Log!$D:$D,J$4,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3" s="68" t="str">
        <f>IFERROR(
    _xlfn.LET(
        _xlpm.is_data_present, $A183&lt;&gt;0,
        _xlpm.is_camera_present, COUNTIFS(Log!$C:$C, $A183, Log!$D:$D, K$4, Log!$A:$A, "Daily", Log!$B:$B, "n/a"),
        _xlpm.we_camera_on_date, IFERROR(AVERAGEIFS(Log!$F:$F, Log!$D:$D,K$4, Log!$C:$C, $A183, Log!$A:$A, "Daily", Log!$B:$B, "n/a"), 0),
        _xlpm.ie_camera_on_date, IFERROR(AVERAGEIFS(Log!$G:$G, Log!$D:$D,K$4,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3" s="68" t="str">
        <f>IFERROR(
    _xlfn.LET(
        _xlpm.is_data_present, $A183&lt;&gt;0,
        _xlpm.is_camera_present, COUNTIFS(Log!$C:$C, $A183, Log!$D:$D, L$4, Log!$A:$A, "Daily", Log!$B:$B, "n/a"),
        _xlpm.we_camera_on_date, IFERROR(AVERAGEIFS(Log!$F:$F, Log!$D:$D,L$4, Log!$C:$C, $A183, Log!$A:$A, "Daily", Log!$B:$B, "n/a"), 0),
        _xlpm.ie_camera_on_date, IFERROR(AVERAGEIFS(Log!$G:$G, Log!$D:$D,L$4,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3" s="68" t="str">
        <f>IFERROR(
    _xlfn.LET(
        _xlpm.is_data_present, $A183&lt;&gt;0,
        _xlpm.is_camera_present, COUNTIFS(Log!$C:$C, $A183, Log!$D:$D, M$4, Log!$A:$A, "Daily", Log!$B:$B, "n/a"),
        _xlpm.we_camera_on_date, IFERROR(AVERAGEIFS(Log!$F:$F, Log!$D:$D,M$4, Log!$C:$C, $A183, Log!$A:$A, "Daily", Log!$B:$B, "n/a"), 0),
        _xlpm.ie_camera_on_date, IFERROR(AVERAGEIFS(Log!$G:$G, Log!$D:$D,M$4,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3" s="68" t="str">
        <f>IFERROR(
    _xlfn.LET(
        _xlpm.is_data_present, $A183&lt;&gt;0,
        _xlpm.is_camera_present, COUNTIFS(Log!$C:$C, $A183, Log!$D:$D, N$4, Log!$A:$A, "Daily", Log!$B:$B, "n/a"),
        _xlpm.we_camera_on_date, IFERROR(AVERAGEIFS(Log!$F:$F, Log!$D:$D,N$4, Log!$C:$C, $A183, Log!$A:$A, "Daily", Log!$B:$B, "n/a"), 0),
        _xlpm.ie_camera_on_date, IFERROR(AVERAGEIFS(Log!$G:$G, Log!$D:$D,N$4,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3" s="68" t="str">
        <f>IFERROR(
    _xlfn.LET(
        _xlpm.is_data_present, $A183&lt;&gt;0,
        _xlpm.is_camera_present, COUNTIFS(Log!$C:$C, $A183, Log!$D:$D, O$4, Log!$A:$A, "Daily", Log!$B:$B, "n/a"),
        _xlpm.we_camera_on_date, IFERROR(AVERAGEIFS(Log!$F:$F, Log!$D:$D,O$4, Log!$C:$C, $A183, Log!$A:$A, "Daily", Log!$B:$B, "n/a"), 0),
        _xlpm.ie_camera_on_date, IFERROR(AVERAGEIFS(Log!$G:$G, Log!$D:$D,O$4,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3" s="68" t="str">
        <f>IFERROR(
    _xlfn.LET(
        _xlpm.is_data_present, $A183&lt;&gt;0,
        _xlpm.is_camera_present, COUNTIFS(Log!$C:$C, $A183, Log!$D:$D, P$4, Log!$A:$A, "Daily", Log!$B:$B, "n/a"),
        _xlpm.we_camera_on_date, IFERROR(AVERAGEIFS(Log!$F:$F, Log!$D:$D,P$4, Log!$C:$C, $A183, Log!$A:$A, "Daily", Log!$B:$B, "n/a"), 0),
        _xlpm.ie_camera_on_date, IFERROR(AVERAGEIFS(Log!$G:$G, Log!$D:$D,P$4,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3" s="68" t="str">
        <f>IFERROR(
    _xlfn.LET(
        _xlpm.is_data_present, $A183&lt;&gt;0,
        _xlpm.is_camera_present, COUNTIFS(Log!$C:$C, $A183, Log!$D:$D, Q$4, Log!$A:$A, "Daily", Log!$B:$B, "n/a"),
        _xlpm.we_camera_on_date, IFERROR(AVERAGEIFS(Log!$F:$F, Log!$D:$D,Q$4, Log!$C:$C, $A183, Log!$A:$A, "Daily", Log!$B:$B, "n/a"), 0),
        _xlpm.ie_camera_on_date, IFERROR(AVERAGEIFS(Log!$G:$G, Log!$D:$D,Q$4,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3" s="68" t="str">
        <f>IFERROR(
    _xlfn.LET(
        _xlpm.is_data_present, $A183&lt;&gt;0,
        _xlpm.is_camera_present, COUNTIFS(Log!$C:$C, $A183, Log!$D:$D, R$4, Log!$A:$A, "Daily", Log!$B:$B, "n/a"),
        _xlpm.we_camera_on_date, IFERROR(AVERAGEIFS(Log!$F:$F, Log!$D:$D,R$4, Log!$C:$C, $A183, Log!$A:$A, "Daily", Log!$B:$B, "n/a"), 0),
        _xlpm.ie_camera_on_date, IFERROR(AVERAGEIFS(Log!$G:$G, Log!$D:$D,R$4,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3" s="68" t="str">
        <f>IFERROR(
    _xlfn.LET(
        _xlpm.is_data_present, $A183&lt;&gt;0,
        _xlpm.is_camera_present, COUNTIFS(Log!$C:$C, $A183, Log!$D:$D, S$4, Log!$A:$A, "Daily", Log!$B:$B, "n/a"),
        _xlpm.we_camera_on_date, IFERROR(AVERAGEIFS(Log!$F:$F, Log!$D:$D,S$4, Log!$C:$C, $A183, Log!$A:$A, "Daily", Log!$B:$B, "n/a"), 0),
        _xlpm.ie_camera_on_date, IFERROR(AVERAGEIFS(Log!$G:$G, Log!$D:$D,S$4, Log!$C:$C, $A183, Log!$A:$A, "Daily", Log!$B:$B, "n/a"), 0),
        _xlpm.we_avg, IFERROR(AVERAGEIFS(Log!$F:$F,Log!$C:$C,$A183, Log!$A:$A, "Daily", Log!$B:$B, "n/a"),0),
        _xlpm.ie_avg, IFERROR(AVERAGEIFS(Log!$G:$G,Log!$C:$C,$A183,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4" spans="2:19" x14ac:dyDescent="0.3">
      <c r="B184" s="68" t="str">
        <f>IFERROR(
    _xlfn.LET(
        _xlpm.is_data_present, $A184&lt;&gt;0,
        _xlpm.is_camera_present, COUNTIFS(Log!$C:$C, $A184, Log!$D:$D, B$4, Log!$A:$A, "Daily", Log!$B:$B, "n/a"),
        _xlpm.we_camera_on_date, IFERROR(AVERAGEIFS(Log!$F:$F, Log!$D:$D,B$4, Log!$C:$C, $A184, Log!$A:$A, "Daily", Log!$B:$B, "n/a"), 0),
        _xlpm.ie_camera_on_date, IFERROR(AVERAGEIFS(Log!$G:$G, Log!$D:$D,B$4,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4" s="68" t="str">
        <f>IFERROR(
    _xlfn.LET(
        _xlpm.is_data_present, $A184&lt;&gt;0,
        _xlpm.is_camera_present, COUNTIFS(Log!$C:$C, $A184, Log!$D:$D, C$4, Log!$A:$A, "Daily", Log!$B:$B, "n/a"),
        _xlpm.we_camera_on_date, IFERROR(AVERAGEIFS(Log!$F:$F, Log!$D:$D,C$4, Log!$C:$C, $A184, Log!$A:$A, "Daily", Log!$B:$B, "n/a"), 0),
        _xlpm.ie_camera_on_date, IFERROR(AVERAGEIFS(Log!$G:$G, Log!$D:$D,C$4,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4" s="68" t="str">
        <f>IFERROR(
    _xlfn.LET(
        _xlpm.is_data_present, $A184&lt;&gt;0,
        _xlpm.is_camera_present, COUNTIFS(Log!$C:$C, $A184, Log!$D:$D, D$4, Log!$A:$A, "Daily", Log!$B:$B, "n/a"),
        _xlpm.we_camera_on_date, IFERROR(AVERAGEIFS(Log!$F:$F, Log!$D:$D,D$4, Log!$C:$C, $A184, Log!$A:$A, "Daily", Log!$B:$B, "n/a"), 0),
        _xlpm.ie_camera_on_date, IFERROR(AVERAGEIFS(Log!$G:$G, Log!$D:$D,D$4,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4" s="68" t="str">
        <f>IFERROR(
    _xlfn.LET(
        _xlpm.is_data_present, $A184&lt;&gt;0,
        _xlpm.is_camera_present, COUNTIFS(Log!$C:$C, $A184, Log!$D:$D, E$4, Log!$A:$A, "Daily", Log!$B:$B, "n/a"),
        _xlpm.we_camera_on_date, IFERROR(AVERAGEIFS(Log!$F:$F, Log!$D:$D,E$4, Log!$C:$C, $A184, Log!$A:$A, "Daily", Log!$B:$B, "n/a"), 0),
        _xlpm.ie_camera_on_date, IFERROR(AVERAGEIFS(Log!$G:$G, Log!$D:$D,E$4,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4" s="68" t="str">
        <f>IFERROR(
    _xlfn.LET(
        _xlpm.is_data_present, $A184&lt;&gt;0,
        _xlpm.is_camera_present, COUNTIFS(Log!$C:$C, $A184, Log!$D:$D, F$4, Log!$A:$A, "Daily", Log!$B:$B, "n/a"),
        _xlpm.we_camera_on_date, IFERROR(AVERAGEIFS(Log!$F:$F, Log!$D:$D,F$4, Log!$C:$C, $A184, Log!$A:$A, "Daily", Log!$B:$B, "n/a"), 0),
        _xlpm.ie_camera_on_date, IFERROR(AVERAGEIFS(Log!$G:$G, Log!$D:$D,F$4,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4" s="68" t="str">
        <f>IFERROR(
    _xlfn.LET(
        _xlpm.is_data_present, $A184&lt;&gt;0,
        _xlpm.is_camera_present, COUNTIFS(Log!$C:$C, $A184, Log!$D:$D, G$4, Log!$A:$A, "Daily", Log!$B:$B, "n/a"),
        _xlpm.we_camera_on_date, IFERROR(AVERAGEIFS(Log!$F:$F, Log!$D:$D,G$4, Log!$C:$C, $A184, Log!$A:$A, "Daily", Log!$B:$B, "n/a"), 0),
        _xlpm.ie_camera_on_date, IFERROR(AVERAGEIFS(Log!$G:$G, Log!$D:$D,G$4,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4" s="68" t="str">
        <f>IFERROR(
    _xlfn.LET(
        _xlpm.is_data_present, $A184&lt;&gt;0,
        _xlpm.is_camera_present, COUNTIFS(Log!$C:$C, $A184, Log!$D:$D, H$4, Log!$A:$A, "Daily", Log!$B:$B, "n/a"),
        _xlpm.we_camera_on_date, IFERROR(AVERAGEIFS(Log!$F:$F, Log!$D:$D,H$4, Log!$C:$C, $A184, Log!$A:$A, "Daily", Log!$B:$B, "n/a"), 0),
        _xlpm.ie_camera_on_date, IFERROR(AVERAGEIFS(Log!$G:$G, Log!$D:$D,H$4,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4" s="68" t="str">
        <f>IFERROR(
    _xlfn.LET(
        _xlpm.is_data_present, $A184&lt;&gt;0,
        _xlpm.is_camera_present, COUNTIFS(Log!$C:$C, $A184, Log!$D:$D, I$4, Log!$A:$A, "Daily", Log!$B:$B, "n/a"),
        _xlpm.we_camera_on_date, IFERROR(AVERAGEIFS(Log!$F:$F, Log!$D:$D,I$4, Log!$C:$C, $A184, Log!$A:$A, "Daily", Log!$B:$B, "n/a"), 0),
        _xlpm.ie_camera_on_date, IFERROR(AVERAGEIFS(Log!$G:$G, Log!$D:$D,I$4,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4" s="68" t="str">
        <f>IFERROR(
    _xlfn.LET(
        _xlpm.is_data_present, $A184&lt;&gt;0,
        _xlpm.is_camera_present, COUNTIFS(Log!$C:$C, $A184, Log!$D:$D, J$4, Log!$A:$A, "Daily", Log!$B:$B, "n/a"),
        _xlpm.we_camera_on_date, IFERROR(AVERAGEIFS(Log!$F:$F, Log!$D:$D,J$4, Log!$C:$C, $A184, Log!$A:$A, "Daily", Log!$B:$B, "n/a"), 0),
        _xlpm.ie_camera_on_date, IFERROR(AVERAGEIFS(Log!$G:$G, Log!$D:$D,J$4,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4" s="68" t="str">
        <f>IFERROR(
    _xlfn.LET(
        _xlpm.is_data_present, $A184&lt;&gt;0,
        _xlpm.is_camera_present, COUNTIFS(Log!$C:$C, $A184, Log!$D:$D, K$4, Log!$A:$A, "Daily", Log!$B:$B, "n/a"),
        _xlpm.we_camera_on_date, IFERROR(AVERAGEIFS(Log!$F:$F, Log!$D:$D,K$4, Log!$C:$C, $A184, Log!$A:$A, "Daily", Log!$B:$B, "n/a"), 0),
        _xlpm.ie_camera_on_date, IFERROR(AVERAGEIFS(Log!$G:$G, Log!$D:$D,K$4,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4" s="68" t="str">
        <f>IFERROR(
    _xlfn.LET(
        _xlpm.is_data_present, $A184&lt;&gt;0,
        _xlpm.is_camera_present, COUNTIFS(Log!$C:$C, $A184, Log!$D:$D, L$4, Log!$A:$A, "Daily", Log!$B:$B, "n/a"),
        _xlpm.we_camera_on_date, IFERROR(AVERAGEIFS(Log!$F:$F, Log!$D:$D,L$4, Log!$C:$C, $A184, Log!$A:$A, "Daily", Log!$B:$B, "n/a"), 0),
        _xlpm.ie_camera_on_date, IFERROR(AVERAGEIFS(Log!$G:$G, Log!$D:$D,L$4,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4" s="68" t="str">
        <f>IFERROR(
    _xlfn.LET(
        _xlpm.is_data_present, $A184&lt;&gt;0,
        _xlpm.is_camera_present, COUNTIFS(Log!$C:$C, $A184, Log!$D:$D, M$4, Log!$A:$A, "Daily", Log!$B:$B, "n/a"),
        _xlpm.we_camera_on_date, IFERROR(AVERAGEIFS(Log!$F:$F, Log!$D:$D,M$4, Log!$C:$C, $A184, Log!$A:$A, "Daily", Log!$B:$B, "n/a"), 0),
        _xlpm.ie_camera_on_date, IFERROR(AVERAGEIFS(Log!$G:$G, Log!$D:$D,M$4,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4" s="68" t="str">
        <f>IFERROR(
    _xlfn.LET(
        _xlpm.is_data_present, $A184&lt;&gt;0,
        _xlpm.is_camera_present, COUNTIFS(Log!$C:$C, $A184, Log!$D:$D, N$4, Log!$A:$A, "Daily", Log!$B:$B, "n/a"),
        _xlpm.we_camera_on_date, IFERROR(AVERAGEIFS(Log!$F:$F, Log!$D:$D,N$4, Log!$C:$C, $A184, Log!$A:$A, "Daily", Log!$B:$B, "n/a"), 0),
        _xlpm.ie_camera_on_date, IFERROR(AVERAGEIFS(Log!$G:$G, Log!$D:$D,N$4,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4" s="68" t="str">
        <f>IFERROR(
    _xlfn.LET(
        _xlpm.is_data_present, $A184&lt;&gt;0,
        _xlpm.is_camera_present, COUNTIFS(Log!$C:$C, $A184, Log!$D:$D, O$4, Log!$A:$A, "Daily", Log!$B:$B, "n/a"),
        _xlpm.we_camera_on_date, IFERROR(AVERAGEIFS(Log!$F:$F, Log!$D:$D,O$4, Log!$C:$C, $A184, Log!$A:$A, "Daily", Log!$B:$B, "n/a"), 0),
        _xlpm.ie_camera_on_date, IFERROR(AVERAGEIFS(Log!$G:$G, Log!$D:$D,O$4,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4" s="68" t="str">
        <f>IFERROR(
    _xlfn.LET(
        _xlpm.is_data_present, $A184&lt;&gt;0,
        _xlpm.is_camera_present, COUNTIFS(Log!$C:$C, $A184, Log!$D:$D, P$4, Log!$A:$A, "Daily", Log!$B:$B, "n/a"),
        _xlpm.we_camera_on_date, IFERROR(AVERAGEIFS(Log!$F:$F, Log!$D:$D,P$4, Log!$C:$C, $A184, Log!$A:$A, "Daily", Log!$B:$B, "n/a"), 0),
        _xlpm.ie_camera_on_date, IFERROR(AVERAGEIFS(Log!$G:$G, Log!$D:$D,P$4,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4" s="68" t="str">
        <f>IFERROR(
    _xlfn.LET(
        _xlpm.is_data_present, $A184&lt;&gt;0,
        _xlpm.is_camera_present, COUNTIFS(Log!$C:$C, $A184, Log!$D:$D, Q$4, Log!$A:$A, "Daily", Log!$B:$B, "n/a"),
        _xlpm.we_camera_on_date, IFERROR(AVERAGEIFS(Log!$F:$F, Log!$D:$D,Q$4, Log!$C:$C, $A184, Log!$A:$A, "Daily", Log!$B:$B, "n/a"), 0),
        _xlpm.ie_camera_on_date, IFERROR(AVERAGEIFS(Log!$G:$G, Log!$D:$D,Q$4,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4" s="68" t="str">
        <f>IFERROR(
    _xlfn.LET(
        _xlpm.is_data_present, $A184&lt;&gt;0,
        _xlpm.is_camera_present, COUNTIFS(Log!$C:$C, $A184, Log!$D:$D, R$4, Log!$A:$A, "Daily", Log!$B:$B, "n/a"),
        _xlpm.we_camera_on_date, IFERROR(AVERAGEIFS(Log!$F:$F, Log!$D:$D,R$4, Log!$C:$C, $A184, Log!$A:$A, "Daily", Log!$B:$B, "n/a"), 0),
        _xlpm.ie_camera_on_date, IFERROR(AVERAGEIFS(Log!$G:$G, Log!$D:$D,R$4,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4" s="68" t="str">
        <f>IFERROR(
    _xlfn.LET(
        _xlpm.is_data_present, $A184&lt;&gt;0,
        _xlpm.is_camera_present, COUNTIFS(Log!$C:$C, $A184, Log!$D:$D, S$4, Log!$A:$A, "Daily", Log!$B:$B, "n/a"),
        _xlpm.we_camera_on_date, IFERROR(AVERAGEIFS(Log!$F:$F, Log!$D:$D,S$4, Log!$C:$C, $A184, Log!$A:$A, "Daily", Log!$B:$B, "n/a"), 0),
        _xlpm.ie_camera_on_date, IFERROR(AVERAGEIFS(Log!$G:$G, Log!$D:$D,S$4, Log!$C:$C, $A184, Log!$A:$A, "Daily", Log!$B:$B, "n/a"), 0),
        _xlpm.we_avg, IFERROR(AVERAGEIFS(Log!$F:$F,Log!$C:$C,$A184, Log!$A:$A, "Daily", Log!$B:$B, "n/a"),0),
        _xlpm.ie_avg, IFERROR(AVERAGEIFS(Log!$G:$G,Log!$C:$C,$A184,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5" spans="2:19" x14ac:dyDescent="0.3">
      <c r="B185" s="68" t="str">
        <f>IFERROR(
    _xlfn.LET(
        _xlpm.is_data_present, $A185&lt;&gt;0,
        _xlpm.is_camera_present, COUNTIFS(Log!$C:$C, $A185, Log!$D:$D, B$4, Log!$A:$A, "Daily", Log!$B:$B, "n/a"),
        _xlpm.we_camera_on_date, IFERROR(AVERAGEIFS(Log!$F:$F, Log!$D:$D,B$4, Log!$C:$C, $A185, Log!$A:$A, "Daily", Log!$B:$B, "n/a"), 0),
        _xlpm.ie_camera_on_date, IFERROR(AVERAGEIFS(Log!$G:$G, Log!$D:$D,B$4,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5" s="68" t="str">
        <f>IFERROR(
    _xlfn.LET(
        _xlpm.is_data_present, $A185&lt;&gt;0,
        _xlpm.is_camera_present, COUNTIFS(Log!$C:$C, $A185, Log!$D:$D, C$4, Log!$A:$A, "Daily", Log!$B:$B, "n/a"),
        _xlpm.we_camera_on_date, IFERROR(AVERAGEIFS(Log!$F:$F, Log!$D:$D,C$4, Log!$C:$C, $A185, Log!$A:$A, "Daily", Log!$B:$B, "n/a"), 0),
        _xlpm.ie_camera_on_date, IFERROR(AVERAGEIFS(Log!$G:$G, Log!$D:$D,C$4,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5" s="68" t="str">
        <f>IFERROR(
    _xlfn.LET(
        _xlpm.is_data_present, $A185&lt;&gt;0,
        _xlpm.is_camera_present, COUNTIFS(Log!$C:$C, $A185, Log!$D:$D, D$4, Log!$A:$A, "Daily", Log!$B:$B, "n/a"),
        _xlpm.we_camera_on_date, IFERROR(AVERAGEIFS(Log!$F:$F, Log!$D:$D,D$4, Log!$C:$C, $A185, Log!$A:$A, "Daily", Log!$B:$B, "n/a"), 0),
        _xlpm.ie_camera_on_date, IFERROR(AVERAGEIFS(Log!$G:$G, Log!$D:$D,D$4,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5" s="68" t="str">
        <f>IFERROR(
    _xlfn.LET(
        _xlpm.is_data_present, $A185&lt;&gt;0,
        _xlpm.is_camera_present, COUNTIFS(Log!$C:$C, $A185, Log!$D:$D, E$4, Log!$A:$A, "Daily", Log!$B:$B, "n/a"),
        _xlpm.we_camera_on_date, IFERROR(AVERAGEIFS(Log!$F:$F, Log!$D:$D,E$4, Log!$C:$C, $A185, Log!$A:$A, "Daily", Log!$B:$B, "n/a"), 0),
        _xlpm.ie_camera_on_date, IFERROR(AVERAGEIFS(Log!$G:$G, Log!$D:$D,E$4,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5" s="68" t="str">
        <f>IFERROR(
    _xlfn.LET(
        _xlpm.is_data_present, $A185&lt;&gt;0,
        _xlpm.is_camera_present, COUNTIFS(Log!$C:$C, $A185, Log!$D:$D, F$4, Log!$A:$A, "Daily", Log!$B:$B, "n/a"),
        _xlpm.we_camera_on_date, IFERROR(AVERAGEIFS(Log!$F:$F, Log!$D:$D,F$4, Log!$C:$C, $A185, Log!$A:$A, "Daily", Log!$B:$B, "n/a"), 0),
        _xlpm.ie_camera_on_date, IFERROR(AVERAGEIFS(Log!$G:$G, Log!$D:$D,F$4,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5" s="68" t="str">
        <f>IFERROR(
    _xlfn.LET(
        _xlpm.is_data_present, $A185&lt;&gt;0,
        _xlpm.is_camera_present, COUNTIFS(Log!$C:$C, $A185, Log!$D:$D, G$4, Log!$A:$A, "Daily", Log!$B:$B, "n/a"),
        _xlpm.we_camera_on_date, IFERROR(AVERAGEIFS(Log!$F:$F, Log!$D:$D,G$4, Log!$C:$C, $A185, Log!$A:$A, "Daily", Log!$B:$B, "n/a"), 0),
        _xlpm.ie_camera_on_date, IFERROR(AVERAGEIFS(Log!$G:$G, Log!$D:$D,G$4,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5" s="68" t="str">
        <f>IFERROR(
    _xlfn.LET(
        _xlpm.is_data_present, $A185&lt;&gt;0,
        _xlpm.is_camera_present, COUNTIFS(Log!$C:$C, $A185, Log!$D:$D, H$4, Log!$A:$A, "Daily", Log!$B:$B, "n/a"),
        _xlpm.we_camera_on_date, IFERROR(AVERAGEIFS(Log!$F:$F, Log!$D:$D,H$4, Log!$C:$C, $A185, Log!$A:$A, "Daily", Log!$B:$B, "n/a"), 0),
        _xlpm.ie_camera_on_date, IFERROR(AVERAGEIFS(Log!$G:$G, Log!$D:$D,H$4,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5" s="68" t="str">
        <f>IFERROR(
    _xlfn.LET(
        _xlpm.is_data_present, $A185&lt;&gt;0,
        _xlpm.is_camera_present, COUNTIFS(Log!$C:$C, $A185, Log!$D:$D, I$4, Log!$A:$A, "Daily", Log!$B:$B, "n/a"),
        _xlpm.we_camera_on_date, IFERROR(AVERAGEIFS(Log!$F:$F, Log!$D:$D,I$4, Log!$C:$C, $A185, Log!$A:$A, "Daily", Log!$B:$B, "n/a"), 0),
        _xlpm.ie_camera_on_date, IFERROR(AVERAGEIFS(Log!$G:$G, Log!$D:$D,I$4,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5" s="68" t="str">
        <f>IFERROR(
    _xlfn.LET(
        _xlpm.is_data_present, $A185&lt;&gt;0,
        _xlpm.is_camera_present, COUNTIFS(Log!$C:$C, $A185, Log!$D:$D, J$4, Log!$A:$A, "Daily", Log!$B:$B, "n/a"),
        _xlpm.we_camera_on_date, IFERROR(AVERAGEIFS(Log!$F:$F, Log!$D:$D,J$4, Log!$C:$C, $A185, Log!$A:$A, "Daily", Log!$B:$B, "n/a"), 0),
        _xlpm.ie_camera_on_date, IFERROR(AVERAGEIFS(Log!$G:$G, Log!$D:$D,J$4,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5" s="68" t="str">
        <f>IFERROR(
    _xlfn.LET(
        _xlpm.is_data_present, $A185&lt;&gt;0,
        _xlpm.is_camera_present, COUNTIFS(Log!$C:$C, $A185, Log!$D:$D, K$4, Log!$A:$A, "Daily", Log!$B:$B, "n/a"),
        _xlpm.we_camera_on_date, IFERROR(AVERAGEIFS(Log!$F:$F, Log!$D:$D,K$4, Log!$C:$C, $A185, Log!$A:$A, "Daily", Log!$B:$B, "n/a"), 0),
        _xlpm.ie_camera_on_date, IFERROR(AVERAGEIFS(Log!$G:$G, Log!$D:$D,K$4,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5" s="68" t="str">
        <f>IFERROR(
    _xlfn.LET(
        _xlpm.is_data_present, $A185&lt;&gt;0,
        _xlpm.is_camera_present, COUNTIFS(Log!$C:$C, $A185, Log!$D:$D, L$4, Log!$A:$A, "Daily", Log!$B:$B, "n/a"),
        _xlpm.we_camera_on_date, IFERROR(AVERAGEIFS(Log!$F:$F, Log!$D:$D,L$4, Log!$C:$C, $A185, Log!$A:$A, "Daily", Log!$B:$B, "n/a"), 0),
        _xlpm.ie_camera_on_date, IFERROR(AVERAGEIFS(Log!$G:$G, Log!$D:$D,L$4,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5" s="68" t="str">
        <f>IFERROR(
    _xlfn.LET(
        _xlpm.is_data_present, $A185&lt;&gt;0,
        _xlpm.is_camera_present, COUNTIFS(Log!$C:$C, $A185, Log!$D:$D, M$4, Log!$A:$A, "Daily", Log!$B:$B, "n/a"),
        _xlpm.we_camera_on_date, IFERROR(AVERAGEIFS(Log!$F:$F, Log!$D:$D,M$4, Log!$C:$C, $A185, Log!$A:$A, "Daily", Log!$B:$B, "n/a"), 0),
        _xlpm.ie_camera_on_date, IFERROR(AVERAGEIFS(Log!$G:$G, Log!$D:$D,M$4,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5" s="68" t="str">
        <f>IFERROR(
    _xlfn.LET(
        _xlpm.is_data_present, $A185&lt;&gt;0,
        _xlpm.is_camera_present, COUNTIFS(Log!$C:$C, $A185, Log!$D:$D, N$4, Log!$A:$A, "Daily", Log!$B:$B, "n/a"),
        _xlpm.we_camera_on_date, IFERROR(AVERAGEIFS(Log!$F:$F, Log!$D:$D,N$4, Log!$C:$C, $A185, Log!$A:$A, "Daily", Log!$B:$B, "n/a"), 0),
        _xlpm.ie_camera_on_date, IFERROR(AVERAGEIFS(Log!$G:$G, Log!$D:$D,N$4,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5" s="68" t="str">
        <f>IFERROR(
    _xlfn.LET(
        _xlpm.is_data_present, $A185&lt;&gt;0,
        _xlpm.is_camera_present, COUNTIFS(Log!$C:$C, $A185, Log!$D:$D, O$4, Log!$A:$A, "Daily", Log!$B:$B, "n/a"),
        _xlpm.we_camera_on_date, IFERROR(AVERAGEIFS(Log!$F:$F, Log!$D:$D,O$4, Log!$C:$C, $A185, Log!$A:$A, "Daily", Log!$B:$B, "n/a"), 0),
        _xlpm.ie_camera_on_date, IFERROR(AVERAGEIFS(Log!$G:$G, Log!$D:$D,O$4,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5" s="68" t="str">
        <f>IFERROR(
    _xlfn.LET(
        _xlpm.is_data_present, $A185&lt;&gt;0,
        _xlpm.is_camera_present, COUNTIFS(Log!$C:$C, $A185, Log!$D:$D, P$4, Log!$A:$A, "Daily", Log!$B:$B, "n/a"),
        _xlpm.we_camera_on_date, IFERROR(AVERAGEIFS(Log!$F:$F, Log!$D:$D,P$4, Log!$C:$C, $A185, Log!$A:$A, "Daily", Log!$B:$B, "n/a"), 0),
        _xlpm.ie_camera_on_date, IFERROR(AVERAGEIFS(Log!$G:$G, Log!$D:$D,P$4,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5" s="68" t="str">
        <f>IFERROR(
    _xlfn.LET(
        _xlpm.is_data_present, $A185&lt;&gt;0,
        _xlpm.is_camera_present, COUNTIFS(Log!$C:$C, $A185, Log!$D:$D, Q$4, Log!$A:$A, "Daily", Log!$B:$B, "n/a"),
        _xlpm.we_camera_on_date, IFERROR(AVERAGEIFS(Log!$F:$F, Log!$D:$D,Q$4, Log!$C:$C, $A185, Log!$A:$A, "Daily", Log!$B:$B, "n/a"), 0),
        _xlpm.ie_camera_on_date, IFERROR(AVERAGEIFS(Log!$G:$G, Log!$D:$D,Q$4,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5" s="68" t="str">
        <f>IFERROR(
    _xlfn.LET(
        _xlpm.is_data_present, $A185&lt;&gt;0,
        _xlpm.is_camera_present, COUNTIFS(Log!$C:$C, $A185, Log!$D:$D, R$4, Log!$A:$A, "Daily", Log!$B:$B, "n/a"),
        _xlpm.we_camera_on_date, IFERROR(AVERAGEIFS(Log!$F:$F, Log!$D:$D,R$4, Log!$C:$C, $A185, Log!$A:$A, "Daily", Log!$B:$B, "n/a"), 0),
        _xlpm.ie_camera_on_date, IFERROR(AVERAGEIFS(Log!$G:$G, Log!$D:$D,R$4,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5" s="68" t="str">
        <f>IFERROR(
    _xlfn.LET(
        _xlpm.is_data_present, $A185&lt;&gt;0,
        _xlpm.is_camera_present, COUNTIFS(Log!$C:$C, $A185, Log!$D:$D, S$4, Log!$A:$A, "Daily", Log!$B:$B, "n/a"),
        _xlpm.we_camera_on_date, IFERROR(AVERAGEIFS(Log!$F:$F, Log!$D:$D,S$4, Log!$C:$C, $A185, Log!$A:$A, "Daily", Log!$B:$B, "n/a"), 0),
        _xlpm.ie_camera_on_date, IFERROR(AVERAGEIFS(Log!$G:$G, Log!$D:$D,S$4, Log!$C:$C, $A185, Log!$A:$A, "Daily", Log!$B:$B, "n/a"), 0),
        _xlpm.we_avg, IFERROR(AVERAGEIFS(Log!$F:$F,Log!$C:$C,$A185, Log!$A:$A, "Daily", Log!$B:$B, "n/a"),0),
        _xlpm.ie_avg, IFERROR(AVERAGEIFS(Log!$G:$G,Log!$C:$C,$A185,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6" spans="2:19" x14ac:dyDescent="0.3">
      <c r="B186" s="68" t="str">
        <f>IFERROR(
    _xlfn.LET(
        _xlpm.is_data_present, $A186&lt;&gt;0,
        _xlpm.is_camera_present, COUNTIFS(Log!$C:$C, $A186, Log!$D:$D, B$4, Log!$A:$A, "Daily", Log!$B:$B, "n/a"),
        _xlpm.we_camera_on_date, IFERROR(AVERAGEIFS(Log!$F:$F, Log!$D:$D,B$4, Log!$C:$C, $A186, Log!$A:$A, "Daily", Log!$B:$B, "n/a"), 0),
        _xlpm.ie_camera_on_date, IFERROR(AVERAGEIFS(Log!$G:$G, Log!$D:$D,B$4,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6" s="68" t="str">
        <f>IFERROR(
    _xlfn.LET(
        _xlpm.is_data_present, $A186&lt;&gt;0,
        _xlpm.is_camera_present, COUNTIFS(Log!$C:$C, $A186, Log!$D:$D, C$4, Log!$A:$A, "Daily", Log!$B:$B, "n/a"),
        _xlpm.we_camera_on_date, IFERROR(AVERAGEIFS(Log!$F:$F, Log!$D:$D,C$4, Log!$C:$C, $A186, Log!$A:$A, "Daily", Log!$B:$B, "n/a"), 0),
        _xlpm.ie_camera_on_date, IFERROR(AVERAGEIFS(Log!$G:$G, Log!$D:$D,C$4,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6" s="68" t="str">
        <f>IFERROR(
    _xlfn.LET(
        _xlpm.is_data_present, $A186&lt;&gt;0,
        _xlpm.is_camera_present, COUNTIFS(Log!$C:$C, $A186, Log!$D:$D, D$4, Log!$A:$A, "Daily", Log!$B:$B, "n/a"),
        _xlpm.we_camera_on_date, IFERROR(AVERAGEIFS(Log!$F:$F, Log!$D:$D,D$4, Log!$C:$C, $A186, Log!$A:$A, "Daily", Log!$B:$B, "n/a"), 0),
        _xlpm.ie_camera_on_date, IFERROR(AVERAGEIFS(Log!$G:$G, Log!$D:$D,D$4,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6" s="68" t="str">
        <f>IFERROR(
    _xlfn.LET(
        _xlpm.is_data_present, $A186&lt;&gt;0,
        _xlpm.is_camera_present, COUNTIFS(Log!$C:$C, $A186, Log!$D:$D, E$4, Log!$A:$A, "Daily", Log!$B:$B, "n/a"),
        _xlpm.we_camera_on_date, IFERROR(AVERAGEIFS(Log!$F:$F, Log!$D:$D,E$4, Log!$C:$C, $A186, Log!$A:$A, "Daily", Log!$B:$B, "n/a"), 0),
        _xlpm.ie_camera_on_date, IFERROR(AVERAGEIFS(Log!$G:$G, Log!$D:$D,E$4,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6" s="68" t="str">
        <f>IFERROR(
    _xlfn.LET(
        _xlpm.is_data_present, $A186&lt;&gt;0,
        _xlpm.is_camera_present, COUNTIFS(Log!$C:$C, $A186, Log!$D:$D, F$4, Log!$A:$A, "Daily", Log!$B:$B, "n/a"),
        _xlpm.we_camera_on_date, IFERROR(AVERAGEIFS(Log!$F:$F, Log!$D:$D,F$4, Log!$C:$C, $A186, Log!$A:$A, "Daily", Log!$B:$B, "n/a"), 0),
        _xlpm.ie_camera_on_date, IFERROR(AVERAGEIFS(Log!$G:$G, Log!$D:$D,F$4,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6" s="68" t="str">
        <f>IFERROR(
    _xlfn.LET(
        _xlpm.is_data_present, $A186&lt;&gt;0,
        _xlpm.is_camera_present, COUNTIFS(Log!$C:$C, $A186, Log!$D:$D, G$4, Log!$A:$A, "Daily", Log!$B:$B, "n/a"),
        _xlpm.we_camera_on_date, IFERROR(AVERAGEIFS(Log!$F:$F, Log!$D:$D,G$4, Log!$C:$C, $A186, Log!$A:$A, "Daily", Log!$B:$B, "n/a"), 0),
        _xlpm.ie_camera_on_date, IFERROR(AVERAGEIFS(Log!$G:$G, Log!$D:$D,G$4,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6" s="68" t="str">
        <f>IFERROR(
    _xlfn.LET(
        _xlpm.is_data_present, $A186&lt;&gt;0,
        _xlpm.is_camera_present, COUNTIFS(Log!$C:$C, $A186, Log!$D:$D, H$4, Log!$A:$A, "Daily", Log!$B:$B, "n/a"),
        _xlpm.we_camera_on_date, IFERROR(AVERAGEIFS(Log!$F:$F, Log!$D:$D,H$4, Log!$C:$C, $A186, Log!$A:$A, "Daily", Log!$B:$B, "n/a"), 0),
        _xlpm.ie_camera_on_date, IFERROR(AVERAGEIFS(Log!$G:$G, Log!$D:$D,H$4,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6" s="68" t="str">
        <f>IFERROR(
    _xlfn.LET(
        _xlpm.is_data_present, $A186&lt;&gt;0,
        _xlpm.is_camera_present, COUNTIFS(Log!$C:$C, $A186, Log!$D:$D, I$4, Log!$A:$A, "Daily", Log!$B:$B, "n/a"),
        _xlpm.we_camera_on_date, IFERROR(AVERAGEIFS(Log!$F:$F, Log!$D:$D,I$4, Log!$C:$C, $A186, Log!$A:$A, "Daily", Log!$B:$B, "n/a"), 0),
        _xlpm.ie_camera_on_date, IFERROR(AVERAGEIFS(Log!$G:$G, Log!$D:$D,I$4,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6" s="68" t="str">
        <f>IFERROR(
    _xlfn.LET(
        _xlpm.is_data_present, $A186&lt;&gt;0,
        _xlpm.is_camera_present, COUNTIFS(Log!$C:$C, $A186, Log!$D:$D, J$4, Log!$A:$A, "Daily", Log!$B:$B, "n/a"),
        _xlpm.we_camera_on_date, IFERROR(AVERAGEIFS(Log!$F:$F, Log!$D:$D,J$4, Log!$C:$C, $A186, Log!$A:$A, "Daily", Log!$B:$B, "n/a"), 0),
        _xlpm.ie_camera_on_date, IFERROR(AVERAGEIFS(Log!$G:$G, Log!$D:$D,J$4,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6" s="68" t="str">
        <f>IFERROR(
    _xlfn.LET(
        _xlpm.is_data_present, $A186&lt;&gt;0,
        _xlpm.is_camera_present, COUNTIFS(Log!$C:$C, $A186, Log!$D:$D, K$4, Log!$A:$A, "Daily", Log!$B:$B, "n/a"),
        _xlpm.we_camera_on_date, IFERROR(AVERAGEIFS(Log!$F:$F, Log!$D:$D,K$4, Log!$C:$C, $A186, Log!$A:$A, "Daily", Log!$B:$B, "n/a"), 0),
        _xlpm.ie_camera_on_date, IFERROR(AVERAGEIFS(Log!$G:$G, Log!$D:$D,K$4,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6" s="68" t="str">
        <f>IFERROR(
    _xlfn.LET(
        _xlpm.is_data_present, $A186&lt;&gt;0,
        _xlpm.is_camera_present, COUNTIFS(Log!$C:$C, $A186, Log!$D:$D, L$4, Log!$A:$A, "Daily", Log!$B:$B, "n/a"),
        _xlpm.we_camera_on_date, IFERROR(AVERAGEIFS(Log!$F:$F, Log!$D:$D,L$4, Log!$C:$C, $A186, Log!$A:$A, "Daily", Log!$B:$B, "n/a"), 0),
        _xlpm.ie_camera_on_date, IFERROR(AVERAGEIFS(Log!$G:$G, Log!$D:$D,L$4,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6" s="68" t="str">
        <f>IFERROR(
    _xlfn.LET(
        _xlpm.is_data_present, $A186&lt;&gt;0,
        _xlpm.is_camera_present, COUNTIFS(Log!$C:$C, $A186, Log!$D:$D, M$4, Log!$A:$A, "Daily", Log!$B:$B, "n/a"),
        _xlpm.we_camera_on_date, IFERROR(AVERAGEIFS(Log!$F:$F, Log!$D:$D,M$4, Log!$C:$C, $A186, Log!$A:$A, "Daily", Log!$B:$B, "n/a"), 0),
        _xlpm.ie_camera_on_date, IFERROR(AVERAGEIFS(Log!$G:$G, Log!$D:$D,M$4,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6" s="68" t="str">
        <f>IFERROR(
    _xlfn.LET(
        _xlpm.is_data_present, $A186&lt;&gt;0,
        _xlpm.is_camera_present, COUNTIFS(Log!$C:$C, $A186, Log!$D:$D, N$4, Log!$A:$A, "Daily", Log!$B:$B, "n/a"),
        _xlpm.we_camera_on_date, IFERROR(AVERAGEIFS(Log!$F:$F, Log!$D:$D,N$4, Log!$C:$C, $A186, Log!$A:$A, "Daily", Log!$B:$B, "n/a"), 0),
        _xlpm.ie_camera_on_date, IFERROR(AVERAGEIFS(Log!$G:$G, Log!$D:$D,N$4,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6" s="68" t="str">
        <f>IFERROR(
    _xlfn.LET(
        _xlpm.is_data_present, $A186&lt;&gt;0,
        _xlpm.is_camera_present, COUNTIFS(Log!$C:$C, $A186, Log!$D:$D, O$4, Log!$A:$A, "Daily", Log!$B:$B, "n/a"),
        _xlpm.we_camera_on_date, IFERROR(AVERAGEIFS(Log!$F:$F, Log!$D:$D,O$4, Log!$C:$C, $A186, Log!$A:$A, "Daily", Log!$B:$B, "n/a"), 0),
        _xlpm.ie_camera_on_date, IFERROR(AVERAGEIFS(Log!$G:$G, Log!$D:$D,O$4,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6" s="68" t="str">
        <f>IFERROR(
    _xlfn.LET(
        _xlpm.is_data_present, $A186&lt;&gt;0,
        _xlpm.is_camera_present, COUNTIFS(Log!$C:$C, $A186, Log!$D:$D, P$4, Log!$A:$A, "Daily", Log!$B:$B, "n/a"),
        _xlpm.we_camera_on_date, IFERROR(AVERAGEIFS(Log!$F:$F, Log!$D:$D,P$4, Log!$C:$C, $A186, Log!$A:$A, "Daily", Log!$B:$B, "n/a"), 0),
        _xlpm.ie_camera_on_date, IFERROR(AVERAGEIFS(Log!$G:$G, Log!$D:$D,P$4,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6" s="68" t="str">
        <f>IFERROR(
    _xlfn.LET(
        _xlpm.is_data_present, $A186&lt;&gt;0,
        _xlpm.is_camera_present, COUNTIFS(Log!$C:$C, $A186, Log!$D:$D, Q$4, Log!$A:$A, "Daily", Log!$B:$B, "n/a"),
        _xlpm.we_camera_on_date, IFERROR(AVERAGEIFS(Log!$F:$F, Log!$D:$D,Q$4, Log!$C:$C, $A186, Log!$A:$A, "Daily", Log!$B:$B, "n/a"), 0),
        _xlpm.ie_camera_on_date, IFERROR(AVERAGEIFS(Log!$G:$G, Log!$D:$D,Q$4,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6" s="68" t="str">
        <f>IFERROR(
    _xlfn.LET(
        _xlpm.is_data_present, $A186&lt;&gt;0,
        _xlpm.is_camera_present, COUNTIFS(Log!$C:$C, $A186, Log!$D:$D, R$4, Log!$A:$A, "Daily", Log!$B:$B, "n/a"),
        _xlpm.we_camera_on_date, IFERROR(AVERAGEIFS(Log!$F:$F, Log!$D:$D,R$4, Log!$C:$C, $A186, Log!$A:$A, "Daily", Log!$B:$B, "n/a"), 0),
        _xlpm.ie_camera_on_date, IFERROR(AVERAGEIFS(Log!$G:$G, Log!$D:$D,R$4,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6" s="68" t="str">
        <f>IFERROR(
    _xlfn.LET(
        _xlpm.is_data_present, $A186&lt;&gt;0,
        _xlpm.is_camera_present, COUNTIFS(Log!$C:$C, $A186, Log!$D:$D, S$4, Log!$A:$A, "Daily", Log!$B:$B, "n/a"),
        _xlpm.we_camera_on_date, IFERROR(AVERAGEIFS(Log!$F:$F, Log!$D:$D,S$4, Log!$C:$C, $A186, Log!$A:$A, "Daily", Log!$B:$B, "n/a"), 0),
        _xlpm.ie_camera_on_date, IFERROR(AVERAGEIFS(Log!$G:$G, Log!$D:$D,S$4, Log!$C:$C, $A186, Log!$A:$A, "Daily", Log!$B:$B, "n/a"), 0),
        _xlpm.we_avg, IFERROR(AVERAGEIFS(Log!$F:$F,Log!$C:$C,$A186, Log!$A:$A, "Daily", Log!$B:$B, "n/a"),0),
        _xlpm.ie_avg, IFERROR(AVERAGEIFS(Log!$G:$G,Log!$C:$C,$A186,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7" spans="2:19" x14ac:dyDescent="0.3">
      <c r="B187" s="68" t="str">
        <f>IFERROR(
    _xlfn.LET(
        _xlpm.is_data_present, $A187&lt;&gt;0,
        _xlpm.is_camera_present, COUNTIFS(Log!$C:$C, $A187, Log!$D:$D, B$4, Log!$A:$A, "Daily", Log!$B:$B, "n/a"),
        _xlpm.we_camera_on_date, IFERROR(AVERAGEIFS(Log!$F:$F, Log!$D:$D,B$4, Log!$C:$C, $A187, Log!$A:$A, "Daily", Log!$B:$B, "n/a"), 0),
        _xlpm.ie_camera_on_date, IFERROR(AVERAGEIFS(Log!$G:$G, Log!$D:$D,B$4,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7" s="68" t="str">
        <f>IFERROR(
    _xlfn.LET(
        _xlpm.is_data_present, $A187&lt;&gt;0,
        _xlpm.is_camera_present, COUNTIFS(Log!$C:$C, $A187, Log!$D:$D, C$4, Log!$A:$A, "Daily", Log!$B:$B, "n/a"),
        _xlpm.we_camera_on_date, IFERROR(AVERAGEIFS(Log!$F:$F, Log!$D:$D,C$4, Log!$C:$C, $A187, Log!$A:$A, "Daily", Log!$B:$B, "n/a"), 0),
        _xlpm.ie_camera_on_date, IFERROR(AVERAGEIFS(Log!$G:$G, Log!$D:$D,C$4,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7" s="68" t="str">
        <f>IFERROR(
    _xlfn.LET(
        _xlpm.is_data_present, $A187&lt;&gt;0,
        _xlpm.is_camera_present, COUNTIFS(Log!$C:$C, $A187, Log!$D:$D, D$4, Log!$A:$A, "Daily", Log!$B:$B, "n/a"),
        _xlpm.we_camera_on_date, IFERROR(AVERAGEIFS(Log!$F:$F, Log!$D:$D,D$4, Log!$C:$C, $A187, Log!$A:$A, "Daily", Log!$B:$B, "n/a"), 0),
        _xlpm.ie_camera_on_date, IFERROR(AVERAGEIFS(Log!$G:$G, Log!$D:$D,D$4,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7" s="68" t="str">
        <f>IFERROR(
    _xlfn.LET(
        _xlpm.is_data_present, $A187&lt;&gt;0,
        _xlpm.is_camera_present, COUNTIFS(Log!$C:$C, $A187, Log!$D:$D, E$4, Log!$A:$A, "Daily", Log!$B:$B, "n/a"),
        _xlpm.we_camera_on_date, IFERROR(AVERAGEIFS(Log!$F:$F, Log!$D:$D,E$4, Log!$C:$C, $A187, Log!$A:$A, "Daily", Log!$B:$B, "n/a"), 0),
        _xlpm.ie_camera_on_date, IFERROR(AVERAGEIFS(Log!$G:$G, Log!$D:$D,E$4,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7" s="68" t="str">
        <f>IFERROR(
    _xlfn.LET(
        _xlpm.is_data_present, $A187&lt;&gt;0,
        _xlpm.is_camera_present, COUNTIFS(Log!$C:$C, $A187, Log!$D:$D, F$4, Log!$A:$A, "Daily", Log!$B:$B, "n/a"),
        _xlpm.we_camera_on_date, IFERROR(AVERAGEIFS(Log!$F:$F, Log!$D:$D,F$4, Log!$C:$C, $A187, Log!$A:$A, "Daily", Log!$B:$B, "n/a"), 0),
        _xlpm.ie_camera_on_date, IFERROR(AVERAGEIFS(Log!$G:$G, Log!$D:$D,F$4,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7" s="68" t="str">
        <f>IFERROR(
    _xlfn.LET(
        _xlpm.is_data_present, $A187&lt;&gt;0,
        _xlpm.is_camera_present, COUNTIFS(Log!$C:$C, $A187, Log!$D:$D, G$4, Log!$A:$A, "Daily", Log!$B:$B, "n/a"),
        _xlpm.we_camera_on_date, IFERROR(AVERAGEIFS(Log!$F:$F, Log!$D:$D,G$4, Log!$C:$C, $A187, Log!$A:$A, "Daily", Log!$B:$B, "n/a"), 0),
        _xlpm.ie_camera_on_date, IFERROR(AVERAGEIFS(Log!$G:$G, Log!$D:$D,G$4,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7" s="68" t="str">
        <f>IFERROR(
    _xlfn.LET(
        _xlpm.is_data_present, $A187&lt;&gt;0,
        _xlpm.is_camera_present, COUNTIFS(Log!$C:$C, $A187, Log!$D:$D, H$4, Log!$A:$A, "Daily", Log!$B:$B, "n/a"),
        _xlpm.we_camera_on_date, IFERROR(AVERAGEIFS(Log!$F:$F, Log!$D:$D,H$4, Log!$C:$C, $A187, Log!$A:$A, "Daily", Log!$B:$B, "n/a"), 0),
        _xlpm.ie_camera_on_date, IFERROR(AVERAGEIFS(Log!$G:$G, Log!$D:$D,H$4,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7" s="68" t="str">
        <f>IFERROR(
    _xlfn.LET(
        _xlpm.is_data_present, $A187&lt;&gt;0,
        _xlpm.is_camera_present, COUNTIFS(Log!$C:$C, $A187, Log!$D:$D, I$4, Log!$A:$A, "Daily", Log!$B:$B, "n/a"),
        _xlpm.we_camera_on_date, IFERROR(AVERAGEIFS(Log!$F:$F, Log!$D:$D,I$4, Log!$C:$C, $A187, Log!$A:$A, "Daily", Log!$B:$B, "n/a"), 0),
        _xlpm.ie_camera_on_date, IFERROR(AVERAGEIFS(Log!$G:$G, Log!$D:$D,I$4,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7" s="68" t="str">
        <f>IFERROR(
    _xlfn.LET(
        _xlpm.is_data_present, $A187&lt;&gt;0,
        _xlpm.is_camera_present, COUNTIFS(Log!$C:$C, $A187, Log!$D:$D, J$4, Log!$A:$A, "Daily", Log!$B:$B, "n/a"),
        _xlpm.we_camera_on_date, IFERROR(AVERAGEIFS(Log!$F:$F, Log!$D:$D,J$4, Log!$C:$C, $A187, Log!$A:$A, "Daily", Log!$B:$B, "n/a"), 0),
        _xlpm.ie_camera_on_date, IFERROR(AVERAGEIFS(Log!$G:$G, Log!$D:$D,J$4,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7" s="68" t="str">
        <f>IFERROR(
    _xlfn.LET(
        _xlpm.is_data_present, $A187&lt;&gt;0,
        _xlpm.is_camera_present, COUNTIFS(Log!$C:$C, $A187, Log!$D:$D, K$4, Log!$A:$A, "Daily", Log!$B:$B, "n/a"),
        _xlpm.we_camera_on_date, IFERROR(AVERAGEIFS(Log!$F:$F, Log!$D:$D,K$4, Log!$C:$C, $A187, Log!$A:$A, "Daily", Log!$B:$B, "n/a"), 0),
        _xlpm.ie_camera_on_date, IFERROR(AVERAGEIFS(Log!$G:$G, Log!$D:$D,K$4,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7" s="68" t="str">
        <f>IFERROR(
    _xlfn.LET(
        _xlpm.is_data_present, $A187&lt;&gt;0,
        _xlpm.is_camera_present, COUNTIFS(Log!$C:$C, $A187, Log!$D:$D, L$4, Log!$A:$A, "Daily", Log!$B:$B, "n/a"),
        _xlpm.we_camera_on_date, IFERROR(AVERAGEIFS(Log!$F:$F, Log!$D:$D,L$4, Log!$C:$C, $A187, Log!$A:$A, "Daily", Log!$B:$B, "n/a"), 0),
        _xlpm.ie_camera_on_date, IFERROR(AVERAGEIFS(Log!$G:$G, Log!$D:$D,L$4,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7" s="68" t="str">
        <f>IFERROR(
    _xlfn.LET(
        _xlpm.is_data_present, $A187&lt;&gt;0,
        _xlpm.is_camera_present, COUNTIFS(Log!$C:$C, $A187, Log!$D:$D, M$4, Log!$A:$A, "Daily", Log!$B:$B, "n/a"),
        _xlpm.we_camera_on_date, IFERROR(AVERAGEIFS(Log!$F:$F, Log!$D:$D,M$4, Log!$C:$C, $A187, Log!$A:$A, "Daily", Log!$B:$B, "n/a"), 0),
        _xlpm.ie_camera_on_date, IFERROR(AVERAGEIFS(Log!$G:$G, Log!$D:$D,M$4,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7" s="68" t="str">
        <f>IFERROR(
    _xlfn.LET(
        _xlpm.is_data_present, $A187&lt;&gt;0,
        _xlpm.is_camera_present, COUNTIFS(Log!$C:$C, $A187, Log!$D:$D, N$4, Log!$A:$A, "Daily", Log!$B:$B, "n/a"),
        _xlpm.we_camera_on_date, IFERROR(AVERAGEIFS(Log!$F:$F, Log!$D:$D,N$4, Log!$C:$C, $A187, Log!$A:$A, "Daily", Log!$B:$B, "n/a"), 0),
        _xlpm.ie_camera_on_date, IFERROR(AVERAGEIFS(Log!$G:$G, Log!$D:$D,N$4,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7" s="68" t="str">
        <f>IFERROR(
    _xlfn.LET(
        _xlpm.is_data_present, $A187&lt;&gt;0,
        _xlpm.is_camera_present, COUNTIFS(Log!$C:$C, $A187, Log!$D:$D, O$4, Log!$A:$A, "Daily", Log!$B:$B, "n/a"),
        _xlpm.we_camera_on_date, IFERROR(AVERAGEIFS(Log!$F:$F, Log!$D:$D,O$4, Log!$C:$C, $A187, Log!$A:$A, "Daily", Log!$B:$B, "n/a"), 0),
        _xlpm.ie_camera_on_date, IFERROR(AVERAGEIFS(Log!$G:$G, Log!$D:$D,O$4,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7" s="68" t="str">
        <f>IFERROR(
    _xlfn.LET(
        _xlpm.is_data_present, $A187&lt;&gt;0,
        _xlpm.is_camera_present, COUNTIFS(Log!$C:$C, $A187, Log!$D:$D, P$4, Log!$A:$A, "Daily", Log!$B:$B, "n/a"),
        _xlpm.we_camera_on_date, IFERROR(AVERAGEIFS(Log!$F:$F, Log!$D:$D,P$4, Log!$C:$C, $A187, Log!$A:$A, "Daily", Log!$B:$B, "n/a"), 0),
        _xlpm.ie_camera_on_date, IFERROR(AVERAGEIFS(Log!$G:$G, Log!$D:$D,P$4,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7" s="68" t="str">
        <f>IFERROR(
    _xlfn.LET(
        _xlpm.is_data_present, $A187&lt;&gt;0,
        _xlpm.is_camera_present, COUNTIFS(Log!$C:$C, $A187, Log!$D:$D, Q$4, Log!$A:$A, "Daily", Log!$B:$B, "n/a"),
        _xlpm.we_camera_on_date, IFERROR(AVERAGEIFS(Log!$F:$F, Log!$D:$D,Q$4, Log!$C:$C, $A187, Log!$A:$A, "Daily", Log!$B:$B, "n/a"), 0),
        _xlpm.ie_camera_on_date, IFERROR(AVERAGEIFS(Log!$G:$G, Log!$D:$D,Q$4,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7" s="68" t="str">
        <f>IFERROR(
    _xlfn.LET(
        _xlpm.is_data_present, $A187&lt;&gt;0,
        _xlpm.is_camera_present, COUNTIFS(Log!$C:$C, $A187, Log!$D:$D, R$4, Log!$A:$A, "Daily", Log!$B:$B, "n/a"),
        _xlpm.we_camera_on_date, IFERROR(AVERAGEIFS(Log!$F:$F, Log!$D:$D,R$4, Log!$C:$C, $A187, Log!$A:$A, "Daily", Log!$B:$B, "n/a"), 0),
        _xlpm.ie_camera_on_date, IFERROR(AVERAGEIFS(Log!$G:$G, Log!$D:$D,R$4,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7" s="68" t="str">
        <f>IFERROR(
    _xlfn.LET(
        _xlpm.is_data_present, $A187&lt;&gt;0,
        _xlpm.is_camera_present, COUNTIFS(Log!$C:$C, $A187, Log!$D:$D, S$4, Log!$A:$A, "Daily", Log!$B:$B, "n/a"),
        _xlpm.we_camera_on_date, IFERROR(AVERAGEIFS(Log!$F:$F, Log!$D:$D,S$4, Log!$C:$C, $A187, Log!$A:$A, "Daily", Log!$B:$B, "n/a"), 0),
        _xlpm.ie_camera_on_date, IFERROR(AVERAGEIFS(Log!$G:$G, Log!$D:$D,S$4, Log!$C:$C, $A187, Log!$A:$A, "Daily", Log!$B:$B, "n/a"), 0),
        _xlpm.we_avg, IFERROR(AVERAGEIFS(Log!$F:$F,Log!$C:$C,$A187, Log!$A:$A, "Daily", Log!$B:$B, "n/a"),0),
        _xlpm.ie_avg, IFERROR(AVERAGEIFS(Log!$G:$G,Log!$C:$C,$A187,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8" spans="2:19" x14ac:dyDescent="0.3">
      <c r="B188" s="68" t="str">
        <f>IFERROR(
    _xlfn.LET(
        _xlpm.is_data_present, $A188&lt;&gt;0,
        _xlpm.is_camera_present, COUNTIFS(Log!$C:$C, $A188, Log!$D:$D, B$4, Log!$A:$A, "Daily", Log!$B:$B, "n/a"),
        _xlpm.we_camera_on_date, IFERROR(AVERAGEIFS(Log!$F:$F, Log!$D:$D,B$4, Log!$C:$C, $A188, Log!$A:$A, "Daily", Log!$B:$B, "n/a"), 0),
        _xlpm.ie_camera_on_date, IFERROR(AVERAGEIFS(Log!$G:$G, Log!$D:$D,B$4,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8" s="68" t="str">
        <f>IFERROR(
    _xlfn.LET(
        _xlpm.is_data_present, $A188&lt;&gt;0,
        _xlpm.is_camera_present, COUNTIFS(Log!$C:$C, $A188, Log!$D:$D, C$4, Log!$A:$A, "Daily", Log!$B:$B, "n/a"),
        _xlpm.we_camera_on_date, IFERROR(AVERAGEIFS(Log!$F:$F, Log!$D:$D,C$4, Log!$C:$C, $A188, Log!$A:$A, "Daily", Log!$B:$B, "n/a"), 0),
        _xlpm.ie_camera_on_date, IFERROR(AVERAGEIFS(Log!$G:$G, Log!$D:$D,C$4,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8" s="68" t="str">
        <f>IFERROR(
    _xlfn.LET(
        _xlpm.is_data_present, $A188&lt;&gt;0,
        _xlpm.is_camera_present, COUNTIFS(Log!$C:$C, $A188, Log!$D:$D, D$4, Log!$A:$A, "Daily", Log!$B:$B, "n/a"),
        _xlpm.we_camera_on_date, IFERROR(AVERAGEIFS(Log!$F:$F, Log!$D:$D,D$4, Log!$C:$C, $A188, Log!$A:$A, "Daily", Log!$B:$B, "n/a"), 0),
        _xlpm.ie_camera_on_date, IFERROR(AVERAGEIFS(Log!$G:$G, Log!$D:$D,D$4,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8" s="68" t="str">
        <f>IFERROR(
    _xlfn.LET(
        _xlpm.is_data_present, $A188&lt;&gt;0,
        _xlpm.is_camera_present, COUNTIFS(Log!$C:$C, $A188, Log!$D:$D, E$4, Log!$A:$A, "Daily", Log!$B:$B, "n/a"),
        _xlpm.we_camera_on_date, IFERROR(AVERAGEIFS(Log!$F:$F, Log!$D:$D,E$4, Log!$C:$C, $A188, Log!$A:$A, "Daily", Log!$B:$B, "n/a"), 0),
        _xlpm.ie_camera_on_date, IFERROR(AVERAGEIFS(Log!$G:$G, Log!$D:$D,E$4,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8" s="68" t="str">
        <f>IFERROR(
    _xlfn.LET(
        _xlpm.is_data_present, $A188&lt;&gt;0,
        _xlpm.is_camera_present, COUNTIFS(Log!$C:$C, $A188, Log!$D:$D, F$4, Log!$A:$A, "Daily", Log!$B:$B, "n/a"),
        _xlpm.we_camera_on_date, IFERROR(AVERAGEIFS(Log!$F:$F, Log!$D:$D,F$4, Log!$C:$C, $A188, Log!$A:$A, "Daily", Log!$B:$B, "n/a"), 0),
        _xlpm.ie_camera_on_date, IFERROR(AVERAGEIFS(Log!$G:$G, Log!$D:$D,F$4,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8" s="68" t="str">
        <f>IFERROR(
    _xlfn.LET(
        _xlpm.is_data_present, $A188&lt;&gt;0,
        _xlpm.is_camera_present, COUNTIFS(Log!$C:$C, $A188, Log!$D:$D, G$4, Log!$A:$A, "Daily", Log!$B:$B, "n/a"),
        _xlpm.we_camera_on_date, IFERROR(AVERAGEIFS(Log!$F:$F, Log!$D:$D,G$4, Log!$C:$C, $A188, Log!$A:$A, "Daily", Log!$B:$B, "n/a"), 0),
        _xlpm.ie_camera_on_date, IFERROR(AVERAGEIFS(Log!$G:$G, Log!$D:$D,G$4,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8" s="68" t="str">
        <f>IFERROR(
    _xlfn.LET(
        _xlpm.is_data_present, $A188&lt;&gt;0,
        _xlpm.is_camera_present, COUNTIFS(Log!$C:$C, $A188, Log!$D:$D, H$4, Log!$A:$A, "Daily", Log!$B:$B, "n/a"),
        _xlpm.we_camera_on_date, IFERROR(AVERAGEIFS(Log!$F:$F, Log!$D:$D,H$4, Log!$C:$C, $A188, Log!$A:$A, "Daily", Log!$B:$B, "n/a"), 0),
        _xlpm.ie_camera_on_date, IFERROR(AVERAGEIFS(Log!$G:$G, Log!$D:$D,H$4,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8" s="68" t="str">
        <f>IFERROR(
    _xlfn.LET(
        _xlpm.is_data_present, $A188&lt;&gt;0,
        _xlpm.is_camera_present, COUNTIFS(Log!$C:$C, $A188, Log!$D:$D, I$4, Log!$A:$A, "Daily", Log!$B:$B, "n/a"),
        _xlpm.we_camera_on_date, IFERROR(AVERAGEIFS(Log!$F:$F, Log!$D:$D,I$4, Log!$C:$C, $A188, Log!$A:$A, "Daily", Log!$B:$B, "n/a"), 0),
        _xlpm.ie_camera_on_date, IFERROR(AVERAGEIFS(Log!$G:$G, Log!$D:$D,I$4,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8" s="68" t="str">
        <f>IFERROR(
    _xlfn.LET(
        _xlpm.is_data_present, $A188&lt;&gt;0,
        _xlpm.is_camera_present, COUNTIFS(Log!$C:$C, $A188, Log!$D:$D, J$4, Log!$A:$A, "Daily", Log!$B:$B, "n/a"),
        _xlpm.we_camera_on_date, IFERROR(AVERAGEIFS(Log!$F:$F, Log!$D:$D,J$4, Log!$C:$C, $A188, Log!$A:$A, "Daily", Log!$B:$B, "n/a"), 0),
        _xlpm.ie_camera_on_date, IFERROR(AVERAGEIFS(Log!$G:$G, Log!$D:$D,J$4,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8" s="68" t="str">
        <f>IFERROR(
    _xlfn.LET(
        _xlpm.is_data_present, $A188&lt;&gt;0,
        _xlpm.is_camera_present, COUNTIFS(Log!$C:$C, $A188, Log!$D:$D, K$4, Log!$A:$A, "Daily", Log!$B:$B, "n/a"),
        _xlpm.we_camera_on_date, IFERROR(AVERAGEIFS(Log!$F:$F, Log!$D:$D,K$4, Log!$C:$C, $A188, Log!$A:$A, "Daily", Log!$B:$B, "n/a"), 0),
        _xlpm.ie_camera_on_date, IFERROR(AVERAGEIFS(Log!$G:$G, Log!$D:$D,K$4,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8" s="68" t="str">
        <f>IFERROR(
    _xlfn.LET(
        _xlpm.is_data_present, $A188&lt;&gt;0,
        _xlpm.is_camera_present, COUNTIFS(Log!$C:$C, $A188, Log!$D:$D, L$4, Log!$A:$A, "Daily", Log!$B:$B, "n/a"),
        _xlpm.we_camera_on_date, IFERROR(AVERAGEIFS(Log!$F:$F, Log!$D:$D,L$4, Log!$C:$C, $A188, Log!$A:$A, "Daily", Log!$B:$B, "n/a"), 0),
        _xlpm.ie_camera_on_date, IFERROR(AVERAGEIFS(Log!$G:$G, Log!$D:$D,L$4,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8" s="68" t="str">
        <f>IFERROR(
    _xlfn.LET(
        _xlpm.is_data_present, $A188&lt;&gt;0,
        _xlpm.is_camera_present, COUNTIFS(Log!$C:$C, $A188, Log!$D:$D, M$4, Log!$A:$A, "Daily", Log!$B:$B, "n/a"),
        _xlpm.we_camera_on_date, IFERROR(AVERAGEIFS(Log!$F:$F, Log!$D:$D,M$4, Log!$C:$C, $A188, Log!$A:$A, "Daily", Log!$B:$B, "n/a"), 0),
        _xlpm.ie_camera_on_date, IFERROR(AVERAGEIFS(Log!$G:$G, Log!$D:$D,M$4,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8" s="68" t="str">
        <f>IFERROR(
    _xlfn.LET(
        _xlpm.is_data_present, $A188&lt;&gt;0,
        _xlpm.is_camera_present, COUNTIFS(Log!$C:$C, $A188, Log!$D:$D, N$4, Log!$A:$A, "Daily", Log!$B:$B, "n/a"),
        _xlpm.we_camera_on_date, IFERROR(AVERAGEIFS(Log!$F:$F, Log!$D:$D,N$4, Log!$C:$C, $A188, Log!$A:$A, "Daily", Log!$B:$B, "n/a"), 0),
        _xlpm.ie_camera_on_date, IFERROR(AVERAGEIFS(Log!$G:$G, Log!$D:$D,N$4,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8" s="68" t="str">
        <f>IFERROR(
    _xlfn.LET(
        _xlpm.is_data_present, $A188&lt;&gt;0,
        _xlpm.is_camera_present, COUNTIFS(Log!$C:$C, $A188, Log!$D:$D, O$4, Log!$A:$A, "Daily", Log!$B:$B, "n/a"),
        _xlpm.we_camera_on_date, IFERROR(AVERAGEIFS(Log!$F:$F, Log!$D:$D,O$4, Log!$C:$C, $A188, Log!$A:$A, "Daily", Log!$B:$B, "n/a"), 0),
        _xlpm.ie_camera_on_date, IFERROR(AVERAGEIFS(Log!$G:$G, Log!$D:$D,O$4,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8" s="68" t="str">
        <f>IFERROR(
    _xlfn.LET(
        _xlpm.is_data_present, $A188&lt;&gt;0,
        _xlpm.is_camera_present, COUNTIFS(Log!$C:$C, $A188, Log!$D:$D, P$4, Log!$A:$A, "Daily", Log!$B:$B, "n/a"),
        _xlpm.we_camera_on_date, IFERROR(AVERAGEIFS(Log!$F:$F, Log!$D:$D,P$4, Log!$C:$C, $A188, Log!$A:$A, "Daily", Log!$B:$B, "n/a"), 0),
        _xlpm.ie_camera_on_date, IFERROR(AVERAGEIFS(Log!$G:$G, Log!$D:$D,P$4,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8" s="68" t="str">
        <f>IFERROR(
    _xlfn.LET(
        _xlpm.is_data_present, $A188&lt;&gt;0,
        _xlpm.is_camera_present, COUNTIFS(Log!$C:$C, $A188, Log!$D:$D, Q$4, Log!$A:$A, "Daily", Log!$B:$B, "n/a"),
        _xlpm.we_camera_on_date, IFERROR(AVERAGEIFS(Log!$F:$F, Log!$D:$D,Q$4, Log!$C:$C, $A188, Log!$A:$A, "Daily", Log!$B:$B, "n/a"), 0),
        _xlpm.ie_camera_on_date, IFERROR(AVERAGEIFS(Log!$G:$G, Log!$D:$D,Q$4,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8" s="68" t="str">
        <f>IFERROR(
    _xlfn.LET(
        _xlpm.is_data_present, $A188&lt;&gt;0,
        _xlpm.is_camera_present, COUNTIFS(Log!$C:$C, $A188, Log!$D:$D, R$4, Log!$A:$A, "Daily", Log!$B:$B, "n/a"),
        _xlpm.we_camera_on_date, IFERROR(AVERAGEIFS(Log!$F:$F, Log!$D:$D,R$4, Log!$C:$C, $A188, Log!$A:$A, "Daily", Log!$B:$B, "n/a"), 0),
        _xlpm.ie_camera_on_date, IFERROR(AVERAGEIFS(Log!$G:$G, Log!$D:$D,R$4,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8" s="68" t="str">
        <f>IFERROR(
    _xlfn.LET(
        _xlpm.is_data_present, $A188&lt;&gt;0,
        _xlpm.is_camera_present, COUNTIFS(Log!$C:$C, $A188, Log!$D:$D, S$4, Log!$A:$A, "Daily", Log!$B:$B, "n/a"),
        _xlpm.we_camera_on_date, IFERROR(AVERAGEIFS(Log!$F:$F, Log!$D:$D,S$4, Log!$C:$C, $A188, Log!$A:$A, "Daily", Log!$B:$B, "n/a"), 0),
        _xlpm.ie_camera_on_date, IFERROR(AVERAGEIFS(Log!$G:$G, Log!$D:$D,S$4, Log!$C:$C, $A188, Log!$A:$A, "Daily", Log!$B:$B, "n/a"), 0),
        _xlpm.we_avg, IFERROR(AVERAGEIFS(Log!$F:$F,Log!$C:$C,$A188, Log!$A:$A, "Daily", Log!$B:$B, "n/a"),0),
        _xlpm.ie_avg, IFERROR(AVERAGEIFS(Log!$G:$G,Log!$C:$C,$A188,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89" spans="2:19" x14ac:dyDescent="0.3">
      <c r="B189" s="68" t="str">
        <f>IFERROR(
    _xlfn.LET(
        _xlpm.is_data_present, $A189&lt;&gt;0,
        _xlpm.is_camera_present, COUNTIFS(Log!$C:$C, $A189, Log!$D:$D, B$4, Log!$A:$A, "Daily", Log!$B:$B, "n/a"),
        _xlpm.we_camera_on_date, IFERROR(AVERAGEIFS(Log!$F:$F, Log!$D:$D,B$4, Log!$C:$C, $A189, Log!$A:$A, "Daily", Log!$B:$B, "n/a"), 0),
        _xlpm.ie_camera_on_date, IFERROR(AVERAGEIFS(Log!$G:$G, Log!$D:$D,B$4,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89" s="68" t="str">
        <f>IFERROR(
    _xlfn.LET(
        _xlpm.is_data_present, $A189&lt;&gt;0,
        _xlpm.is_camera_present, COUNTIFS(Log!$C:$C, $A189, Log!$D:$D, C$4, Log!$A:$A, "Daily", Log!$B:$B, "n/a"),
        _xlpm.we_camera_on_date, IFERROR(AVERAGEIFS(Log!$F:$F, Log!$D:$D,C$4, Log!$C:$C, $A189, Log!$A:$A, "Daily", Log!$B:$B, "n/a"), 0),
        _xlpm.ie_camera_on_date, IFERROR(AVERAGEIFS(Log!$G:$G, Log!$D:$D,C$4,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89" s="68" t="str">
        <f>IFERROR(
    _xlfn.LET(
        _xlpm.is_data_present, $A189&lt;&gt;0,
        _xlpm.is_camera_present, COUNTIFS(Log!$C:$C, $A189, Log!$D:$D, D$4, Log!$A:$A, "Daily", Log!$B:$B, "n/a"),
        _xlpm.we_camera_on_date, IFERROR(AVERAGEIFS(Log!$F:$F, Log!$D:$D,D$4, Log!$C:$C, $A189, Log!$A:$A, "Daily", Log!$B:$B, "n/a"), 0),
        _xlpm.ie_camera_on_date, IFERROR(AVERAGEIFS(Log!$G:$G, Log!$D:$D,D$4,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89" s="68" t="str">
        <f>IFERROR(
    _xlfn.LET(
        _xlpm.is_data_present, $A189&lt;&gt;0,
        _xlpm.is_camera_present, COUNTIFS(Log!$C:$C, $A189, Log!$D:$D, E$4, Log!$A:$A, "Daily", Log!$B:$B, "n/a"),
        _xlpm.we_camera_on_date, IFERROR(AVERAGEIFS(Log!$F:$F, Log!$D:$D,E$4, Log!$C:$C, $A189, Log!$A:$A, "Daily", Log!$B:$B, "n/a"), 0),
        _xlpm.ie_camera_on_date, IFERROR(AVERAGEIFS(Log!$G:$G, Log!$D:$D,E$4,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89" s="68" t="str">
        <f>IFERROR(
    _xlfn.LET(
        _xlpm.is_data_present, $A189&lt;&gt;0,
        _xlpm.is_camera_present, COUNTIFS(Log!$C:$C, $A189, Log!$D:$D, F$4, Log!$A:$A, "Daily", Log!$B:$B, "n/a"),
        _xlpm.we_camera_on_date, IFERROR(AVERAGEIFS(Log!$F:$F, Log!$D:$D,F$4, Log!$C:$C, $A189, Log!$A:$A, "Daily", Log!$B:$B, "n/a"), 0),
        _xlpm.ie_camera_on_date, IFERROR(AVERAGEIFS(Log!$G:$G, Log!$D:$D,F$4,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89" s="68" t="str">
        <f>IFERROR(
    _xlfn.LET(
        _xlpm.is_data_present, $A189&lt;&gt;0,
        _xlpm.is_camera_present, COUNTIFS(Log!$C:$C, $A189, Log!$D:$D, G$4, Log!$A:$A, "Daily", Log!$B:$B, "n/a"),
        _xlpm.we_camera_on_date, IFERROR(AVERAGEIFS(Log!$F:$F, Log!$D:$D,G$4, Log!$C:$C, $A189, Log!$A:$A, "Daily", Log!$B:$B, "n/a"), 0),
        _xlpm.ie_camera_on_date, IFERROR(AVERAGEIFS(Log!$G:$G, Log!$D:$D,G$4,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89" s="68" t="str">
        <f>IFERROR(
    _xlfn.LET(
        _xlpm.is_data_present, $A189&lt;&gt;0,
        _xlpm.is_camera_present, COUNTIFS(Log!$C:$C, $A189, Log!$D:$D, H$4, Log!$A:$A, "Daily", Log!$B:$B, "n/a"),
        _xlpm.we_camera_on_date, IFERROR(AVERAGEIFS(Log!$F:$F, Log!$D:$D,H$4, Log!$C:$C, $A189, Log!$A:$A, "Daily", Log!$B:$B, "n/a"), 0),
        _xlpm.ie_camera_on_date, IFERROR(AVERAGEIFS(Log!$G:$G, Log!$D:$D,H$4,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89" s="68" t="str">
        <f>IFERROR(
    _xlfn.LET(
        _xlpm.is_data_present, $A189&lt;&gt;0,
        _xlpm.is_camera_present, COUNTIFS(Log!$C:$C, $A189, Log!$D:$D, I$4, Log!$A:$A, "Daily", Log!$B:$B, "n/a"),
        _xlpm.we_camera_on_date, IFERROR(AVERAGEIFS(Log!$F:$F, Log!$D:$D,I$4, Log!$C:$C, $A189, Log!$A:$A, "Daily", Log!$B:$B, "n/a"), 0),
        _xlpm.ie_camera_on_date, IFERROR(AVERAGEIFS(Log!$G:$G, Log!$D:$D,I$4,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89" s="68" t="str">
        <f>IFERROR(
    _xlfn.LET(
        _xlpm.is_data_present, $A189&lt;&gt;0,
        _xlpm.is_camera_present, COUNTIFS(Log!$C:$C, $A189, Log!$D:$D, J$4, Log!$A:$A, "Daily", Log!$B:$B, "n/a"),
        _xlpm.we_camera_on_date, IFERROR(AVERAGEIFS(Log!$F:$F, Log!$D:$D,J$4, Log!$C:$C, $A189, Log!$A:$A, "Daily", Log!$B:$B, "n/a"), 0),
        _xlpm.ie_camera_on_date, IFERROR(AVERAGEIFS(Log!$G:$G, Log!$D:$D,J$4,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89" s="68" t="str">
        <f>IFERROR(
    _xlfn.LET(
        _xlpm.is_data_present, $A189&lt;&gt;0,
        _xlpm.is_camera_present, COUNTIFS(Log!$C:$C, $A189, Log!$D:$D, K$4, Log!$A:$A, "Daily", Log!$B:$B, "n/a"),
        _xlpm.we_camera_on_date, IFERROR(AVERAGEIFS(Log!$F:$F, Log!$D:$D,K$4, Log!$C:$C, $A189, Log!$A:$A, "Daily", Log!$B:$B, "n/a"), 0),
        _xlpm.ie_camera_on_date, IFERROR(AVERAGEIFS(Log!$G:$G, Log!$D:$D,K$4,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89" s="68" t="str">
        <f>IFERROR(
    _xlfn.LET(
        _xlpm.is_data_present, $A189&lt;&gt;0,
        _xlpm.is_camera_present, COUNTIFS(Log!$C:$C, $A189, Log!$D:$D, L$4, Log!$A:$A, "Daily", Log!$B:$B, "n/a"),
        _xlpm.we_camera_on_date, IFERROR(AVERAGEIFS(Log!$F:$F, Log!$D:$D,L$4, Log!$C:$C, $A189, Log!$A:$A, "Daily", Log!$B:$B, "n/a"), 0),
        _xlpm.ie_camera_on_date, IFERROR(AVERAGEIFS(Log!$G:$G, Log!$D:$D,L$4,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89" s="68" t="str">
        <f>IFERROR(
    _xlfn.LET(
        _xlpm.is_data_present, $A189&lt;&gt;0,
        _xlpm.is_camera_present, COUNTIFS(Log!$C:$C, $A189, Log!$D:$D, M$4, Log!$A:$A, "Daily", Log!$B:$B, "n/a"),
        _xlpm.we_camera_on_date, IFERROR(AVERAGEIFS(Log!$F:$F, Log!$D:$D,M$4, Log!$C:$C, $A189, Log!$A:$A, "Daily", Log!$B:$B, "n/a"), 0),
        _xlpm.ie_camera_on_date, IFERROR(AVERAGEIFS(Log!$G:$G, Log!$D:$D,M$4,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89" s="68" t="str">
        <f>IFERROR(
    _xlfn.LET(
        _xlpm.is_data_present, $A189&lt;&gt;0,
        _xlpm.is_camera_present, COUNTIFS(Log!$C:$C, $A189, Log!$D:$D, N$4, Log!$A:$A, "Daily", Log!$B:$B, "n/a"),
        _xlpm.we_camera_on_date, IFERROR(AVERAGEIFS(Log!$F:$F, Log!$D:$D,N$4, Log!$C:$C, $A189, Log!$A:$A, "Daily", Log!$B:$B, "n/a"), 0),
        _xlpm.ie_camera_on_date, IFERROR(AVERAGEIFS(Log!$G:$G, Log!$D:$D,N$4,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89" s="68" t="str">
        <f>IFERROR(
    _xlfn.LET(
        _xlpm.is_data_present, $A189&lt;&gt;0,
        _xlpm.is_camera_present, COUNTIFS(Log!$C:$C, $A189, Log!$D:$D, O$4, Log!$A:$A, "Daily", Log!$B:$B, "n/a"),
        _xlpm.we_camera_on_date, IFERROR(AVERAGEIFS(Log!$F:$F, Log!$D:$D,O$4, Log!$C:$C, $A189, Log!$A:$A, "Daily", Log!$B:$B, "n/a"), 0),
        _xlpm.ie_camera_on_date, IFERROR(AVERAGEIFS(Log!$G:$G, Log!$D:$D,O$4,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89" s="68" t="str">
        <f>IFERROR(
    _xlfn.LET(
        _xlpm.is_data_present, $A189&lt;&gt;0,
        _xlpm.is_camera_present, COUNTIFS(Log!$C:$C, $A189, Log!$D:$D, P$4, Log!$A:$A, "Daily", Log!$B:$B, "n/a"),
        _xlpm.we_camera_on_date, IFERROR(AVERAGEIFS(Log!$F:$F, Log!$D:$D,P$4, Log!$C:$C, $A189, Log!$A:$A, "Daily", Log!$B:$B, "n/a"), 0),
        _xlpm.ie_camera_on_date, IFERROR(AVERAGEIFS(Log!$G:$G, Log!$D:$D,P$4,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89" s="68" t="str">
        <f>IFERROR(
    _xlfn.LET(
        _xlpm.is_data_present, $A189&lt;&gt;0,
        _xlpm.is_camera_present, COUNTIFS(Log!$C:$C, $A189, Log!$D:$D, Q$4, Log!$A:$A, "Daily", Log!$B:$B, "n/a"),
        _xlpm.we_camera_on_date, IFERROR(AVERAGEIFS(Log!$F:$F, Log!$D:$D,Q$4, Log!$C:$C, $A189, Log!$A:$A, "Daily", Log!$B:$B, "n/a"), 0),
        _xlpm.ie_camera_on_date, IFERROR(AVERAGEIFS(Log!$G:$G, Log!$D:$D,Q$4,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89" s="68" t="str">
        <f>IFERROR(
    _xlfn.LET(
        _xlpm.is_data_present, $A189&lt;&gt;0,
        _xlpm.is_camera_present, COUNTIFS(Log!$C:$C, $A189, Log!$D:$D, R$4, Log!$A:$A, "Daily", Log!$B:$B, "n/a"),
        _xlpm.we_camera_on_date, IFERROR(AVERAGEIFS(Log!$F:$F, Log!$D:$D,R$4, Log!$C:$C, $A189, Log!$A:$A, "Daily", Log!$B:$B, "n/a"), 0),
        _xlpm.ie_camera_on_date, IFERROR(AVERAGEIFS(Log!$G:$G, Log!$D:$D,R$4,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89" s="68" t="str">
        <f>IFERROR(
    _xlfn.LET(
        _xlpm.is_data_present, $A189&lt;&gt;0,
        _xlpm.is_camera_present, COUNTIFS(Log!$C:$C, $A189, Log!$D:$D, S$4, Log!$A:$A, "Daily", Log!$B:$B, "n/a"),
        _xlpm.we_camera_on_date, IFERROR(AVERAGEIFS(Log!$F:$F, Log!$D:$D,S$4, Log!$C:$C, $A189, Log!$A:$A, "Daily", Log!$B:$B, "n/a"), 0),
        _xlpm.ie_camera_on_date, IFERROR(AVERAGEIFS(Log!$G:$G, Log!$D:$D,S$4, Log!$C:$C, $A189, Log!$A:$A, "Daily", Log!$B:$B, "n/a"), 0),
        _xlpm.we_avg, IFERROR(AVERAGEIFS(Log!$F:$F,Log!$C:$C,$A189, Log!$A:$A, "Daily", Log!$B:$B, "n/a"),0),
        _xlpm.ie_avg, IFERROR(AVERAGEIFS(Log!$G:$G,Log!$C:$C,$A189,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0" spans="2:19" x14ac:dyDescent="0.3">
      <c r="B190" s="68" t="str">
        <f>IFERROR(
    _xlfn.LET(
        _xlpm.is_data_present, $A190&lt;&gt;0,
        _xlpm.is_camera_present, COUNTIFS(Log!$C:$C, $A190, Log!$D:$D, B$4, Log!$A:$A, "Daily", Log!$B:$B, "n/a"),
        _xlpm.we_camera_on_date, IFERROR(AVERAGEIFS(Log!$F:$F, Log!$D:$D,B$4, Log!$C:$C, $A190, Log!$A:$A, "Daily", Log!$B:$B, "n/a"), 0),
        _xlpm.ie_camera_on_date, IFERROR(AVERAGEIFS(Log!$G:$G, Log!$D:$D,B$4,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0" s="68" t="str">
        <f>IFERROR(
    _xlfn.LET(
        _xlpm.is_data_present, $A190&lt;&gt;0,
        _xlpm.is_camera_present, COUNTIFS(Log!$C:$C, $A190, Log!$D:$D, C$4, Log!$A:$A, "Daily", Log!$B:$B, "n/a"),
        _xlpm.we_camera_on_date, IFERROR(AVERAGEIFS(Log!$F:$F, Log!$D:$D,C$4, Log!$C:$C, $A190, Log!$A:$A, "Daily", Log!$B:$B, "n/a"), 0),
        _xlpm.ie_camera_on_date, IFERROR(AVERAGEIFS(Log!$G:$G, Log!$D:$D,C$4,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0" s="68" t="str">
        <f>IFERROR(
    _xlfn.LET(
        _xlpm.is_data_present, $A190&lt;&gt;0,
        _xlpm.is_camera_present, COUNTIFS(Log!$C:$C, $A190, Log!$D:$D, D$4, Log!$A:$A, "Daily", Log!$B:$B, "n/a"),
        _xlpm.we_camera_on_date, IFERROR(AVERAGEIFS(Log!$F:$F, Log!$D:$D,D$4, Log!$C:$C, $A190, Log!$A:$A, "Daily", Log!$B:$B, "n/a"), 0),
        _xlpm.ie_camera_on_date, IFERROR(AVERAGEIFS(Log!$G:$G, Log!$D:$D,D$4,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0" s="68" t="str">
        <f>IFERROR(
    _xlfn.LET(
        _xlpm.is_data_present, $A190&lt;&gt;0,
        _xlpm.is_camera_present, COUNTIFS(Log!$C:$C, $A190, Log!$D:$D, E$4, Log!$A:$A, "Daily", Log!$B:$B, "n/a"),
        _xlpm.we_camera_on_date, IFERROR(AVERAGEIFS(Log!$F:$F, Log!$D:$D,E$4, Log!$C:$C, $A190, Log!$A:$A, "Daily", Log!$B:$B, "n/a"), 0),
        _xlpm.ie_camera_on_date, IFERROR(AVERAGEIFS(Log!$G:$G, Log!$D:$D,E$4,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0" s="68" t="str">
        <f>IFERROR(
    _xlfn.LET(
        _xlpm.is_data_present, $A190&lt;&gt;0,
        _xlpm.is_camera_present, COUNTIFS(Log!$C:$C, $A190, Log!$D:$D, F$4, Log!$A:$A, "Daily", Log!$B:$B, "n/a"),
        _xlpm.we_camera_on_date, IFERROR(AVERAGEIFS(Log!$F:$F, Log!$D:$D,F$4, Log!$C:$C, $A190, Log!$A:$A, "Daily", Log!$B:$B, "n/a"), 0),
        _xlpm.ie_camera_on_date, IFERROR(AVERAGEIFS(Log!$G:$G, Log!$D:$D,F$4,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0" s="68" t="str">
        <f>IFERROR(
    _xlfn.LET(
        _xlpm.is_data_present, $A190&lt;&gt;0,
        _xlpm.is_camera_present, COUNTIFS(Log!$C:$C, $A190, Log!$D:$D, G$4, Log!$A:$A, "Daily", Log!$B:$B, "n/a"),
        _xlpm.we_camera_on_date, IFERROR(AVERAGEIFS(Log!$F:$F, Log!$D:$D,G$4, Log!$C:$C, $A190, Log!$A:$A, "Daily", Log!$B:$B, "n/a"), 0),
        _xlpm.ie_camera_on_date, IFERROR(AVERAGEIFS(Log!$G:$G, Log!$D:$D,G$4,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0" s="68" t="str">
        <f>IFERROR(
    _xlfn.LET(
        _xlpm.is_data_present, $A190&lt;&gt;0,
        _xlpm.is_camera_present, COUNTIFS(Log!$C:$C, $A190, Log!$D:$D, H$4, Log!$A:$A, "Daily", Log!$B:$B, "n/a"),
        _xlpm.we_camera_on_date, IFERROR(AVERAGEIFS(Log!$F:$F, Log!$D:$D,H$4, Log!$C:$C, $A190, Log!$A:$A, "Daily", Log!$B:$B, "n/a"), 0),
        _xlpm.ie_camera_on_date, IFERROR(AVERAGEIFS(Log!$G:$G, Log!$D:$D,H$4,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0" s="68" t="str">
        <f>IFERROR(
    _xlfn.LET(
        _xlpm.is_data_present, $A190&lt;&gt;0,
        _xlpm.is_camera_present, COUNTIFS(Log!$C:$C, $A190, Log!$D:$D, I$4, Log!$A:$A, "Daily", Log!$B:$B, "n/a"),
        _xlpm.we_camera_on_date, IFERROR(AVERAGEIFS(Log!$F:$F, Log!$D:$D,I$4, Log!$C:$C, $A190, Log!$A:$A, "Daily", Log!$B:$B, "n/a"), 0),
        _xlpm.ie_camera_on_date, IFERROR(AVERAGEIFS(Log!$G:$G, Log!$D:$D,I$4,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0" s="68" t="str">
        <f>IFERROR(
    _xlfn.LET(
        _xlpm.is_data_present, $A190&lt;&gt;0,
        _xlpm.is_camera_present, COUNTIFS(Log!$C:$C, $A190, Log!$D:$D, J$4, Log!$A:$A, "Daily", Log!$B:$B, "n/a"),
        _xlpm.we_camera_on_date, IFERROR(AVERAGEIFS(Log!$F:$F, Log!$D:$D,J$4, Log!$C:$C, $A190, Log!$A:$A, "Daily", Log!$B:$B, "n/a"), 0),
        _xlpm.ie_camera_on_date, IFERROR(AVERAGEIFS(Log!$G:$G, Log!$D:$D,J$4,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0" s="68" t="str">
        <f>IFERROR(
    _xlfn.LET(
        _xlpm.is_data_present, $A190&lt;&gt;0,
        _xlpm.is_camera_present, COUNTIFS(Log!$C:$C, $A190, Log!$D:$D, K$4, Log!$A:$A, "Daily", Log!$B:$B, "n/a"),
        _xlpm.we_camera_on_date, IFERROR(AVERAGEIFS(Log!$F:$F, Log!$D:$D,K$4, Log!$C:$C, $A190, Log!$A:$A, "Daily", Log!$B:$B, "n/a"), 0),
        _xlpm.ie_camera_on_date, IFERROR(AVERAGEIFS(Log!$G:$G, Log!$D:$D,K$4,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0" s="68" t="str">
        <f>IFERROR(
    _xlfn.LET(
        _xlpm.is_data_present, $A190&lt;&gt;0,
        _xlpm.is_camera_present, COUNTIFS(Log!$C:$C, $A190, Log!$D:$D, L$4, Log!$A:$A, "Daily", Log!$B:$B, "n/a"),
        _xlpm.we_camera_on_date, IFERROR(AVERAGEIFS(Log!$F:$F, Log!$D:$D,L$4, Log!$C:$C, $A190, Log!$A:$A, "Daily", Log!$B:$B, "n/a"), 0),
        _xlpm.ie_camera_on_date, IFERROR(AVERAGEIFS(Log!$G:$G, Log!$D:$D,L$4,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0" s="68" t="str">
        <f>IFERROR(
    _xlfn.LET(
        _xlpm.is_data_present, $A190&lt;&gt;0,
        _xlpm.is_camera_present, COUNTIFS(Log!$C:$C, $A190, Log!$D:$D, M$4, Log!$A:$A, "Daily", Log!$B:$B, "n/a"),
        _xlpm.we_camera_on_date, IFERROR(AVERAGEIFS(Log!$F:$F, Log!$D:$D,M$4, Log!$C:$C, $A190, Log!$A:$A, "Daily", Log!$B:$B, "n/a"), 0),
        _xlpm.ie_camera_on_date, IFERROR(AVERAGEIFS(Log!$G:$G, Log!$D:$D,M$4,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0" s="68" t="str">
        <f>IFERROR(
    _xlfn.LET(
        _xlpm.is_data_present, $A190&lt;&gt;0,
        _xlpm.is_camera_present, COUNTIFS(Log!$C:$C, $A190, Log!$D:$D, N$4, Log!$A:$A, "Daily", Log!$B:$B, "n/a"),
        _xlpm.we_camera_on_date, IFERROR(AVERAGEIFS(Log!$F:$F, Log!$D:$D,N$4, Log!$C:$C, $A190, Log!$A:$A, "Daily", Log!$B:$B, "n/a"), 0),
        _xlpm.ie_camera_on_date, IFERROR(AVERAGEIFS(Log!$G:$G, Log!$D:$D,N$4,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0" s="68" t="str">
        <f>IFERROR(
    _xlfn.LET(
        _xlpm.is_data_present, $A190&lt;&gt;0,
        _xlpm.is_camera_present, COUNTIFS(Log!$C:$C, $A190, Log!$D:$D, O$4, Log!$A:$A, "Daily", Log!$B:$B, "n/a"),
        _xlpm.we_camera_on_date, IFERROR(AVERAGEIFS(Log!$F:$F, Log!$D:$D,O$4, Log!$C:$C, $A190, Log!$A:$A, "Daily", Log!$B:$B, "n/a"), 0),
        _xlpm.ie_camera_on_date, IFERROR(AVERAGEIFS(Log!$G:$G, Log!$D:$D,O$4,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0" s="68" t="str">
        <f>IFERROR(
    _xlfn.LET(
        _xlpm.is_data_present, $A190&lt;&gt;0,
        _xlpm.is_camera_present, COUNTIFS(Log!$C:$C, $A190, Log!$D:$D, P$4, Log!$A:$A, "Daily", Log!$B:$B, "n/a"),
        _xlpm.we_camera_on_date, IFERROR(AVERAGEIFS(Log!$F:$F, Log!$D:$D,P$4, Log!$C:$C, $A190, Log!$A:$A, "Daily", Log!$B:$B, "n/a"), 0),
        _xlpm.ie_camera_on_date, IFERROR(AVERAGEIFS(Log!$G:$G, Log!$D:$D,P$4,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0" s="68" t="str">
        <f>IFERROR(
    _xlfn.LET(
        _xlpm.is_data_present, $A190&lt;&gt;0,
        _xlpm.is_camera_present, COUNTIFS(Log!$C:$C, $A190, Log!$D:$D, Q$4, Log!$A:$A, "Daily", Log!$B:$B, "n/a"),
        _xlpm.we_camera_on_date, IFERROR(AVERAGEIFS(Log!$F:$F, Log!$D:$D,Q$4, Log!$C:$C, $A190, Log!$A:$A, "Daily", Log!$B:$B, "n/a"), 0),
        _xlpm.ie_camera_on_date, IFERROR(AVERAGEIFS(Log!$G:$G, Log!$D:$D,Q$4,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0" s="68" t="str">
        <f>IFERROR(
    _xlfn.LET(
        _xlpm.is_data_present, $A190&lt;&gt;0,
        _xlpm.is_camera_present, COUNTIFS(Log!$C:$C, $A190, Log!$D:$D, R$4, Log!$A:$A, "Daily", Log!$B:$B, "n/a"),
        _xlpm.we_camera_on_date, IFERROR(AVERAGEIFS(Log!$F:$F, Log!$D:$D,R$4, Log!$C:$C, $A190, Log!$A:$A, "Daily", Log!$B:$B, "n/a"), 0),
        _xlpm.ie_camera_on_date, IFERROR(AVERAGEIFS(Log!$G:$G, Log!$D:$D,R$4,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0" s="68" t="str">
        <f>IFERROR(
    _xlfn.LET(
        _xlpm.is_data_present, $A190&lt;&gt;0,
        _xlpm.is_camera_present, COUNTIFS(Log!$C:$C, $A190, Log!$D:$D, S$4, Log!$A:$A, "Daily", Log!$B:$B, "n/a"),
        _xlpm.we_camera_on_date, IFERROR(AVERAGEIFS(Log!$F:$F, Log!$D:$D,S$4, Log!$C:$C, $A190, Log!$A:$A, "Daily", Log!$B:$B, "n/a"), 0),
        _xlpm.ie_camera_on_date, IFERROR(AVERAGEIFS(Log!$G:$G, Log!$D:$D,S$4, Log!$C:$C, $A190, Log!$A:$A, "Daily", Log!$B:$B, "n/a"), 0),
        _xlpm.we_avg, IFERROR(AVERAGEIFS(Log!$F:$F,Log!$C:$C,$A190, Log!$A:$A, "Daily", Log!$B:$B, "n/a"),0),
        _xlpm.ie_avg, IFERROR(AVERAGEIFS(Log!$G:$G,Log!$C:$C,$A190,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1" spans="2:19" x14ac:dyDescent="0.3">
      <c r="B191" s="68" t="str">
        <f>IFERROR(
    _xlfn.LET(
        _xlpm.is_data_present, $A191&lt;&gt;0,
        _xlpm.is_camera_present, COUNTIFS(Log!$C:$C, $A191, Log!$D:$D, B$4, Log!$A:$A, "Daily", Log!$B:$B, "n/a"),
        _xlpm.we_camera_on_date, IFERROR(AVERAGEIFS(Log!$F:$F, Log!$D:$D,B$4, Log!$C:$C, $A191, Log!$A:$A, "Daily", Log!$B:$B, "n/a"), 0),
        _xlpm.ie_camera_on_date, IFERROR(AVERAGEIFS(Log!$G:$G, Log!$D:$D,B$4,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1" s="68" t="str">
        <f>IFERROR(
    _xlfn.LET(
        _xlpm.is_data_present, $A191&lt;&gt;0,
        _xlpm.is_camera_present, COUNTIFS(Log!$C:$C, $A191, Log!$D:$D, C$4, Log!$A:$A, "Daily", Log!$B:$B, "n/a"),
        _xlpm.we_camera_on_date, IFERROR(AVERAGEIFS(Log!$F:$F, Log!$D:$D,C$4, Log!$C:$C, $A191, Log!$A:$A, "Daily", Log!$B:$B, "n/a"), 0),
        _xlpm.ie_camera_on_date, IFERROR(AVERAGEIFS(Log!$G:$G, Log!$D:$D,C$4,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1" s="68" t="str">
        <f>IFERROR(
    _xlfn.LET(
        _xlpm.is_data_present, $A191&lt;&gt;0,
        _xlpm.is_camera_present, COUNTIFS(Log!$C:$C, $A191, Log!$D:$D, D$4, Log!$A:$A, "Daily", Log!$B:$B, "n/a"),
        _xlpm.we_camera_on_date, IFERROR(AVERAGEIFS(Log!$F:$F, Log!$D:$D,D$4, Log!$C:$C, $A191, Log!$A:$A, "Daily", Log!$B:$B, "n/a"), 0),
        _xlpm.ie_camera_on_date, IFERROR(AVERAGEIFS(Log!$G:$G, Log!$D:$D,D$4,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1" s="68" t="str">
        <f>IFERROR(
    _xlfn.LET(
        _xlpm.is_data_present, $A191&lt;&gt;0,
        _xlpm.is_camera_present, COUNTIFS(Log!$C:$C, $A191, Log!$D:$D, E$4, Log!$A:$A, "Daily", Log!$B:$B, "n/a"),
        _xlpm.we_camera_on_date, IFERROR(AVERAGEIFS(Log!$F:$F, Log!$D:$D,E$4, Log!$C:$C, $A191, Log!$A:$A, "Daily", Log!$B:$B, "n/a"), 0),
        _xlpm.ie_camera_on_date, IFERROR(AVERAGEIFS(Log!$G:$G, Log!$D:$D,E$4,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1" s="68" t="str">
        <f>IFERROR(
    _xlfn.LET(
        _xlpm.is_data_present, $A191&lt;&gt;0,
        _xlpm.is_camera_present, COUNTIFS(Log!$C:$C, $A191, Log!$D:$D, F$4, Log!$A:$A, "Daily", Log!$B:$B, "n/a"),
        _xlpm.we_camera_on_date, IFERROR(AVERAGEIFS(Log!$F:$F, Log!$D:$D,F$4, Log!$C:$C, $A191, Log!$A:$A, "Daily", Log!$B:$B, "n/a"), 0),
        _xlpm.ie_camera_on_date, IFERROR(AVERAGEIFS(Log!$G:$G, Log!$D:$D,F$4,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1" s="68" t="str">
        <f>IFERROR(
    _xlfn.LET(
        _xlpm.is_data_present, $A191&lt;&gt;0,
        _xlpm.is_camera_present, COUNTIFS(Log!$C:$C, $A191, Log!$D:$D, G$4, Log!$A:$A, "Daily", Log!$B:$B, "n/a"),
        _xlpm.we_camera_on_date, IFERROR(AVERAGEIFS(Log!$F:$F, Log!$D:$D,G$4, Log!$C:$C, $A191, Log!$A:$A, "Daily", Log!$B:$B, "n/a"), 0),
        _xlpm.ie_camera_on_date, IFERROR(AVERAGEIFS(Log!$G:$G, Log!$D:$D,G$4,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1" s="68" t="str">
        <f>IFERROR(
    _xlfn.LET(
        _xlpm.is_data_present, $A191&lt;&gt;0,
        _xlpm.is_camera_present, COUNTIFS(Log!$C:$C, $A191, Log!$D:$D, H$4, Log!$A:$A, "Daily", Log!$B:$B, "n/a"),
        _xlpm.we_camera_on_date, IFERROR(AVERAGEIFS(Log!$F:$F, Log!$D:$D,H$4, Log!$C:$C, $A191, Log!$A:$A, "Daily", Log!$B:$B, "n/a"), 0),
        _xlpm.ie_camera_on_date, IFERROR(AVERAGEIFS(Log!$G:$G, Log!$D:$D,H$4,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1" s="68" t="str">
        <f>IFERROR(
    _xlfn.LET(
        _xlpm.is_data_present, $A191&lt;&gt;0,
        _xlpm.is_camera_present, COUNTIFS(Log!$C:$C, $A191, Log!$D:$D, I$4, Log!$A:$A, "Daily", Log!$B:$B, "n/a"),
        _xlpm.we_camera_on_date, IFERROR(AVERAGEIFS(Log!$F:$F, Log!$D:$D,I$4, Log!$C:$C, $A191, Log!$A:$A, "Daily", Log!$B:$B, "n/a"), 0),
        _xlpm.ie_camera_on_date, IFERROR(AVERAGEIFS(Log!$G:$G, Log!$D:$D,I$4,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1" s="68" t="str">
        <f>IFERROR(
    _xlfn.LET(
        _xlpm.is_data_present, $A191&lt;&gt;0,
        _xlpm.is_camera_present, COUNTIFS(Log!$C:$C, $A191, Log!$D:$D, J$4, Log!$A:$A, "Daily", Log!$B:$B, "n/a"),
        _xlpm.we_camera_on_date, IFERROR(AVERAGEIFS(Log!$F:$F, Log!$D:$D,J$4, Log!$C:$C, $A191, Log!$A:$A, "Daily", Log!$B:$B, "n/a"), 0),
        _xlpm.ie_camera_on_date, IFERROR(AVERAGEIFS(Log!$G:$G, Log!$D:$D,J$4,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1" s="68" t="str">
        <f>IFERROR(
    _xlfn.LET(
        _xlpm.is_data_present, $A191&lt;&gt;0,
        _xlpm.is_camera_present, COUNTIFS(Log!$C:$C, $A191, Log!$D:$D, K$4, Log!$A:$A, "Daily", Log!$B:$B, "n/a"),
        _xlpm.we_camera_on_date, IFERROR(AVERAGEIFS(Log!$F:$F, Log!$D:$D,K$4, Log!$C:$C, $A191, Log!$A:$A, "Daily", Log!$B:$B, "n/a"), 0),
        _xlpm.ie_camera_on_date, IFERROR(AVERAGEIFS(Log!$G:$G, Log!$D:$D,K$4,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1" s="68" t="str">
        <f>IFERROR(
    _xlfn.LET(
        _xlpm.is_data_present, $A191&lt;&gt;0,
        _xlpm.is_camera_present, COUNTIFS(Log!$C:$C, $A191, Log!$D:$D, L$4, Log!$A:$A, "Daily", Log!$B:$B, "n/a"),
        _xlpm.we_camera_on_date, IFERROR(AVERAGEIFS(Log!$F:$F, Log!$D:$D,L$4, Log!$C:$C, $A191, Log!$A:$A, "Daily", Log!$B:$B, "n/a"), 0),
        _xlpm.ie_camera_on_date, IFERROR(AVERAGEIFS(Log!$G:$G, Log!$D:$D,L$4,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1" s="68" t="str">
        <f>IFERROR(
    _xlfn.LET(
        _xlpm.is_data_present, $A191&lt;&gt;0,
        _xlpm.is_camera_present, COUNTIFS(Log!$C:$C, $A191, Log!$D:$D, M$4, Log!$A:$A, "Daily", Log!$B:$B, "n/a"),
        _xlpm.we_camera_on_date, IFERROR(AVERAGEIFS(Log!$F:$F, Log!$D:$D,M$4, Log!$C:$C, $A191, Log!$A:$A, "Daily", Log!$B:$B, "n/a"), 0),
        _xlpm.ie_camera_on_date, IFERROR(AVERAGEIFS(Log!$G:$G, Log!$D:$D,M$4,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1" s="68" t="str">
        <f>IFERROR(
    _xlfn.LET(
        _xlpm.is_data_present, $A191&lt;&gt;0,
        _xlpm.is_camera_present, COUNTIFS(Log!$C:$C, $A191, Log!$D:$D, N$4, Log!$A:$A, "Daily", Log!$B:$B, "n/a"),
        _xlpm.we_camera_on_date, IFERROR(AVERAGEIFS(Log!$F:$F, Log!$D:$D,N$4, Log!$C:$C, $A191, Log!$A:$A, "Daily", Log!$B:$B, "n/a"), 0),
        _xlpm.ie_camera_on_date, IFERROR(AVERAGEIFS(Log!$G:$G, Log!$D:$D,N$4,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1" s="68" t="str">
        <f>IFERROR(
    _xlfn.LET(
        _xlpm.is_data_present, $A191&lt;&gt;0,
        _xlpm.is_camera_present, COUNTIFS(Log!$C:$C, $A191, Log!$D:$D, O$4, Log!$A:$A, "Daily", Log!$B:$B, "n/a"),
        _xlpm.we_camera_on_date, IFERROR(AVERAGEIFS(Log!$F:$F, Log!$D:$D,O$4, Log!$C:$C, $A191, Log!$A:$A, "Daily", Log!$B:$B, "n/a"), 0),
        _xlpm.ie_camera_on_date, IFERROR(AVERAGEIFS(Log!$G:$G, Log!$D:$D,O$4,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1" s="68" t="str">
        <f>IFERROR(
    _xlfn.LET(
        _xlpm.is_data_present, $A191&lt;&gt;0,
        _xlpm.is_camera_present, COUNTIFS(Log!$C:$C, $A191, Log!$D:$D, P$4, Log!$A:$A, "Daily", Log!$B:$B, "n/a"),
        _xlpm.we_camera_on_date, IFERROR(AVERAGEIFS(Log!$F:$F, Log!$D:$D,P$4, Log!$C:$C, $A191, Log!$A:$A, "Daily", Log!$B:$B, "n/a"), 0),
        _xlpm.ie_camera_on_date, IFERROR(AVERAGEIFS(Log!$G:$G, Log!$D:$D,P$4,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1" s="68" t="str">
        <f>IFERROR(
    _xlfn.LET(
        _xlpm.is_data_present, $A191&lt;&gt;0,
        _xlpm.is_camera_present, COUNTIFS(Log!$C:$C, $A191, Log!$D:$D, Q$4, Log!$A:$A, "Daily", Log!$B:$B, "n/a"),
        _xlpm.we_camera_on_date, IFERROR(AVERAGEIFS(Log!$F:$F, Log!$D:$D,Q$4, Log!$C:$C, $A191, Log!$A:$A, "Daily", Log!$B:$B, "n/a"), 0),
        _xlpm.ie_camera_on_date, IFERROR(AVERAGEIFS(Log!$G:$G, Log!$D:$D,Q$4,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1" s="68" t="str">
        <f>IFERROR(
    _xlfn.LET(
        _xlpm.is_data_present, $A191&lt;&gt;0,
        _xlpm.is_camera_present, COUNTIFS(Log!$C:$C, $A191, Log!$D:$D, R$4, Log!$A:$A, "Daily", Log!$B:$B, "n/a"),
        _xlpm.we_camera_on_date, IFERROR(AVERAGEIFS(Log!$F:$F, Log!$D:$D,R$4, Log!$C:$C, $A191, Log!$A:$A, "Daily", Log!$B:$B, "n/a"), 0),
        _xlpm.ie_camera_on_date, IFERROR(AVERAGEIFS(Log!$G:$G, Log!$D:$D,R$4,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1" s="68" t="str">
        <f>IFERROR(
    _xlfn.LET(
        _xlpm.is_data_present, $A191&lt;&gt;0,
        _xlpm.is_camera_present, COUNTIFS(Log!$C:$C, $A191, Log!$D:$D, S$4, Log!$A:$A, "Daily", Log!$B:$B, "n/a"),
        _xlpm.we_camera_on_date, IFERROR(AVERAGEIFS(Log!$F:$F, Log!$D:$D,S$4, Log!$C:$C, $A191, Log!$A:$A, "Daily", Log!$B:$B, "n/a"), 0),
        _xlpm.ie_camera_on_date, IFERROR(AVERAGEIFS(Log!$G:$G, Log!$D:$D,S$4, Log!$C:$C, $A191, Log!$A:$A, "Daily", Log!$B:$B, "n/a"), 0),
        _xlpm.we_avg, IFERROR(AVERAGEIFS(Log!$F:$F,Log!$C:$C,$A191, Log!$A:$A, "Daily", Log!$B:$B, "n/a"),0),
        _xlpm.ie_avg, IFERROR(AVERAGEIFS(Log!$G:$G,Log!$C:$C,$A191,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2" spans="2:19" x14ac:dyDescent="0.3">
      <c r="B192" s="68" t="str">
        <f>IFERROR(
    _xlfn.LET(
        _xlpm.is_data_present, $A192&lt;&gt;0,
        _xlpm.is_camera_present, COUNTIFS(Log!$C:$C, $A192, Log!$D:$D, B$4, Log!$A:$A, "Daily", Log!$B:$B, "n/a"),
        _xlpm.we_camera_on_date, IFERROR(AVERAGEIFS(Log!$F:$F, Log!$D:$D,B$4, Log!$C:$C, $A192, Log!$A:$A, "Daily", Log!$B:$B, "n/a"), 0),
        _xlpm.ie_camera_on_date, IFERROR(AVERAGEIFS(Log!$G:$G, Log!$D:$D,B$4,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2" s="68" t="str">
        <f>IFERROR(
    _xlfn.LET(
        _xlpm.is_data_present, $A192&lt;&gt;0,
        _xlpm.is_camera_present, COUNTIFS(Log!$C:$C, $A192, Log!$D:$D, C$4, Log!$A:$A, "Daily", Log!$B:$B, "n/a"),
        _xlpm.we_camera_on_date, IFERROR(AVERAGEIFS(Log!$F:$F, Log!$D:$D,C$4, Log!$C:$C, $A192, Log!$A:$A, "Daily", Log!$B:$B, "n/a"), 0),
        _xlpm.ie_camera_on_date, IFERROR(AVERAGEIFS(Log!$G:$G, Log!$D:$D,C$4,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2" s="68" t="str">
        <f>IFERROR(
    _xlfn.LET(
        _xlpm.is_data_present, $A192&lt;&gt;0,
        _xlpm.is_camera_present, COUNTIFS(Log!$C:$C, $A192, Log!$D:$D, D$4, Log!$A:$A, "Daily", Log!$B:$B, "n/a"),
        _xlpm.we_camera_on_date, IFERROR(AVERAGEIFS(Log!$F:$F, Log!$D:$D,D$4, Log!$C:$C, $A192, Log!$A:$A, "Daily", Log!$B:$B, "n/a"), 0),
        _xlpm.ie_camera_on_date, IFERROR(AVERAGEIFS(Log!$G:$G, Log!$D:$D,D$4,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2" s="68" t="str">
        <f>IFERROR(
    _xlfn.LET(
        _xlpm.is_data_present, $A192&lt;&gt;0,
        _xlpm.is_camera_present, COUNTIFS(Log!$C:$C, $A192, Log!$D:$D, E$4, Log!$A:$A, "Daily", Log!$B:$B, "n/a"),
        _xlpm.we_camera_on_date, IFERROR(AVERAGEIFS(Log!$F:$F, Log!$D:$D,E$4, Log!$C:$C, $A192, Log!$A:$A, "Daily", Log!$B:$B, "n/a"), 0),
        _xlpm.ie_camera_on_date, IFERROR(AVERAGEIFS(Log!$G:$G, Log!$D:$D,E$4,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2" s="68" t="str">
        <f>IFERROR(
    _xlfn.LET(
        _xlpm.is_data_present, $A192&lt;&gt;0,
        _xlpm.is_camera_present, COUNTIFS(Log!$C:$C, $A192, Log!$D:$D, F$4, Log!$A:$A, "Daily", Log!$B:$B, "n/a"),
        _xlpm.we_camera_on_date, IFERROR(AVERAGEIFS(Log!$F:$F, Log!$D:$D,F$4, Log!$C:$C, $A192, Log!$A:$A, "Daily", Log!$B:$B, "n/a"), 0),
        _xlpm.ie_camera_on_date, IFERROR(AVERAGEIFS(Log!$G:$G, Log!$D:$D,F$4,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2" s="68" t="str">
        <f>IFERROR(
    _xlfn.LET(
        _xlpm.is_data_present, $A192&lt;&gt;0,
        _xlpm.is_camera_present, COUNTIFS(Log!$C:$C, $A192, Log!$D:$D, G$4, Log!$A:$A, "Daily", Log!$B:$B, "n/a"),
        _xlpm.we_camera_on_date, IFERROR(AVERAGEIFS(Log!$F:$F, Log!$D:$D,G$4, Log!$C:$C, $A192, Log!$A:$A, "Daily", Log!$B:$B, "n/a"), 0),
        _xlpm.ie_camera_on_date, IFERROR(AVERAGEIFS(Log!$G:$G, Log!$D:$D,G$4,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2" s="68" t="str">
        <f>IFERROR(
    _xlfn.LET(
        _xlpm.is_data_present, $A192&lt;&gt;0,
        _xlpm.is_camera_present, COUNTIFS(Log!$C:$C, $A192, Log!$D:$D, H$4, Log!$A:$A, "Daily", Log!$B:$B, "n/a"),
        _xlpm.we_camera_on_date, IFERROR(AVERAGEIFS(Log!$F:$F, Log!$D:$D,H$4, Log!$C:$C, $A192, Log!$A:$A, "Daily", Log!$B:$B, "n/a"), 0),
        _xlpm.ie_camera_on_date, IFERROR(AVERAGEIFS(Log!$G:$G, Log!$D:$D,H$4,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2" s="68" t="str">
        <f>IFERROR(
    _xlfn.LET(
        _xlpm.is_data_present, $A192&lt;&gt;0,
        _xlpm.is_camera_present, COUNTIFS(Log!$C:$C, $A192, Log!$D:$D, I$4, Log!$A:$A, "Daily", Log!$B:$B, "n/a"),
        _xlpm.we_camera_on_date, IFERROR(AVERAGEIFS(Log!$F:$F, Log!$D:$D,I$4, Log!$C:$C, $A192, Log!$A:$A, "Daily", Log!$B:$B, "n/a"), 0),
        _xlpm.ie_camera_on_date, IFERROR(AVERAGEIFS(Log!$G:$G, Log!$D:$D,I$4,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2" s="68" t="str">
        <f>IFERROR(
    _xlfn.LET(
        _xlpm.is_data_present, $A192&lt;&gt;0,
        _xlpm.is_camera_present, COUNTIFS(Log!$C:$C, $A192, Log!$D:$D, J$4, Log!$A:$A, "Daily", Log!$B:$B, "n/a"),
        _xlpm.we_camera_on_date, IFERROR(AVERAGEIFS(Log!$F:$F, Log!$D:$D,J$4, Log!$C:$C, $A192, Log!$A:$A, "Daily", Log!$B:$B, "n/a"), 0),
        _xlpm.ie_camera_on_date, IFERROR(AVERAGEIFS(Log!$G:$G, Log!$D:$D,J$4,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2" s="68" t="str">
        <f>IFERROR(
    _xlfn.LET(
        _xlpm.is_data_present, $A192&lt;&gt;0,
        _xlpm.is_camera_present, COUNTIFS(Log!$C:$C, $A192, Log!$D:$D, K$4, Log!$A:$A, "Daily", Log!$B:$B, "n/a"),
        _xlpm.we_camera_on_date, IFERROR(AVERAGEIFS(Log!$F:$F, Log!$D:$D,K$4, Log!$C:$C, $A192, Log!$A:$A, "Daily", Log!$B:$B, "n/a"), 0),
        _xlpm.ie_camera_on_date, IFERROR(AVERAGEIFS(Log!$G:$G, Log!$D:$D,K$4,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2" s="68" t="str">
        <f>IFERROR(
    _xlfn.LET(
        _xlpm.is_data_present, $A192&lt;&gt;0,
        _xlpm.is_camera_present, COUNTIFS(Log!$C:$C, $A192, Log!$D:$D, L$4, Log!$A:$A, "Daily", Log!$B:$B, "n/a"),
        _xlpm.we_camera_on_date, IFERROR(AVERAGEIFS(Log!$F:$F, Log!$D:$D,L$4, Log!$C:$C, $A192, Log!$A:$A, "Daily", Log!$B:$B, "n/a"), 0),
        _xlpm.ie_camera_on_date, IFERROR(AVERAGEIFS(Log!$G:$G, Log!$D:$D,L$4,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2" s="68" t="str">
        <f>IFERROR(
    _xlfn.LET(
        _xlpm.is_data_present, $A192&lt;&gt;0,
        _xlpm.is_camera_present, COUNTIFS(Log!$C:$C, $A192, Log!$D:$D, M$4, Log!$A:$A, "Daily", Log!$B:$B, "n/a"),
        _xlpm.we_camera_on_date, IFERROR(AVERAGEIFS(Log!$F:$F, Log!$D:$D,M$4, Log!$C:$C, $A192, Log!$A:$A, "Daily", Log!$B:$B, "n/a"), 0),
        _xlpm.ie_camera_on_date, IFERROR(AVERAGEIFS(Log!$G:$G, Log!$D:$D,M$4,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2" s="68" t="str">
        <f>IFERROR(
    _xlfn.LET(
        _xlpm.is_data_present, $A192&lt;&gt;0,
        _xlpm.is_camera_present, COUNTIFS(Log!$C:$C, $A192, Log!$D:$D, N$4, Log!$A:$A, "Daily", Log!$B:$B, "n/a"),
        _xlpm.we_camera_on_date, IFERROR(AVERAGEIFS(Log!$F:$F, Log!$D:$D,N$4, Log!$C:$C, $A192, Log!$A:$A, "Daily", Log!$B:$B, "n/a"), 0),
        _xlpm.ie_camera_on_date, IFERROR(AVERAGEIFS(Log!$G:$G, Log!$D:$D,N$4,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2" s="68" t="str">
        <f>IFERROR(
    _xlfn.LET(
        _xlpm.is_data_present, $A192&lt;&gt;0,
        _xlpm.is_camera_present, COUNTIFS(Log!$C:$C, $A192, Log!$D:$D, O$4, Log!$A:$A, "Daily", Log!$B:$B, "n/a"),
        _xlpm.we_camera_on_date, IFERROR(AVERAGEIFS(Log!$F:$F, Log!$D:$D,O$4, Log!$C:$C, $A192, Log!$A:$A, "Daily", Log!$B:$B, "n/a"), 0),
        _xlpm.ie_camera_on_date, IFERROR(AVERAGEIFS(Log!$G:$G, Log!$D:$D,O$4,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2" s="68" t="str">
        <f>IFERROR(
    _xlfn.LET(
        _xlpm.is_data_present, $A192&lt;&gt;0,
        _xlpm.is_camera_present, COUNTIFS(Log!$C:$C, $A192, Log!$D:$D, P$4, Log!$A:$A, "Daily", Log!$B:$B, "n/a"),
        _xlpm.we_camera_on_date, IFERROR(AVERAGEIFS(Log!$F:$F, Log!$D:$D,P$4, Log!$C:$C, $A192, Log!$A:$A, "Daily", Log!$B:$B, "n/a"), 0),
        _xlpm.ie_camera_on_date, IFERROR(AVERAGEIFS(Log!$G:$G, Log!$D:$D,P$4,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2" s="68" t="str">
        <f>IFERROR(
    _xlfn.LET(
        _xlpm.is_data_present, $A192&lt;&gt;0,
        _xlpm.is_camera_present, COUNTIFS(Log!$C:$C, $A192, Log!$D:$D, Q$4, Log!$A:$A, "Daily", Log!$B:$B, "n/a"),
        _xlpm.we_camera_on_date, IFERROR(AVERAGEIFS(Log!$F:$F, Log!$D:$D,Q$4, Log!$C:$C, $A192, Log!$A:$A, "Daily", Log!$B:$B, "n/a"), 0),
        _xlpm.ie_camera_on_date, IFERROR(AVERAGEIFS(Log!$G:$G, Log!$D:$D,Q$4,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2" s="68" t="str">
        <f>IFERROR(
    _xlfn.LET(
        _xlpm.is_data_present, $A192&lt;&gt;0,
        _xlpm.is_camera_present, COUNTIFS(Log!$C:$C, $A192, Log!$D:$D, R$4, Log!$A:$A, "Daily", Log!$B:$B, "n/a"),
        _xlpm.we_camera_on_date, IFERROR(AVERAGEIFS(Log!$F:$F, Log!$D:$D,R$4, Log!$C:$C, $A192, Log!$A:$A, "Daily", Log!$B:$B, "n/a"), 0),
        _xlpm.ie_camera_on_date, IFERROR(AVERAGEIFS(Log!$G:$G, Log!$D:$D,R$4,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2" s="68" t="str">
        <f>IFERROR(
    _xlfn.LET(
        _xlpm.is_data_present, $A192&lt;&gt;0,
        _xlpm.is_camera_present, COUNTIFS(Log!$C:$C, $A192, Log!$D:$D, S$4, Log!$A:$A, "Daily", Log!$B:$B, "n/a"),
        _xlpm.we_camera_on_date, IFERROR(AVERAGEIFS(Log!$F:$F, Log!$D:$D,S$4, Log!$C:$C, $A192, Log!$A:$A, "Daily", Log!$B:$B, "n/a"), 0),
        _xlpm.ie_camera_on_date, IFERROR(AVERAGEIFS(Log!$G:$G, Log!$D:$D,S$4, Log!$C:$C, $A192, Log!$A:$A, "Daily", Log!$B:$B, "n/a"), 0),
        _xlpm.we_avg, IFERROR(AVERAGEIFS(Log!$F:$F,Log!$C:$C,$A192, Log!$A:$A, "Daily", Log!$B:$B, "n/a"),0),
        _xlpm.ie_avg, IFERROR(AVERAGEIFS(Log!$G:$G,Log!$C:$C,$A192,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3" spans="2:19" x14ac:dyDescent="0.3">
      <c r="B193" s="68" t="str">
        <f>IFERROR(
    _xlfn.LET(
        _xlpm.is_data_present, $A193&lt;&gt;0,
        _xlpm.is_camera_present, COUNTIFS(Log!$C:$C, $A193, Log!$D:$D, B$4, Log!$A:$A, "Daily", Log!$B:$B, "n/a"),
        _xlpm.we_camera_on_date, IFERROR(AVERAGEIFS(Log!$F:$F, Log!$D:$D,B$4, Log!$C:$C, $A193, Log!$A:$A, "Daily", Log!$B:$B, "n/a"), 0),
        _xlpm.ie_camera_on_date, IFERROR(AVERAGEIFS(Log!$G:$G, Log!$D:$D,B$4,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3" s="68" t="str">
        <f>IFERROR(
    _xlfn.LET(
        _xlpm.is_data_present, $A193&lt;&gt;0,
        _xlpm.is_camera_present, COUNTIFS(Log!$C:$C, $A193, Log!$D:$D, C$4, Log!$A:$A, "Daily", Log!$B:$B, "n/a"),
        _xlpm.we_camera_on_date, IFERROR(AVERAGEIFS(Log!$F:$F, Log!$D:$D,C$4, Log!$C:$C, $A193, Log!$A:$A, "Daily", Log!$B:$B, "n/a"), 0),
        _xlpm.ie_camera_on_date, IFERROR(AVERAGEIFS(Log!$G:$G, Log!$D:$D,C$4,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3" s="68" t="str">
        <f>IFERROR(
    _xlfn.LET(
        _xlpm.is_data_present, $A193&lt;&gt;0,
        _xlpm.is_camera_present, COUNTIFS(Log!$C:$C, $A193, Log!$D:$D, D$4, Log!$A:$A, "Daily", Log!$B:$B, "n/a"),
        _xlpm.we_camera_on_date, IFERROR(AVERAGEIFS(Log!$F:$F, Log!$D:$D,D$4, Log!$C:$C, $A193, Log!$A:$A, "Daily", Log!$B:$B, "n/a"), 0),
        _xlpm.ie_camera_on_date, IFERROR(AVERAGEIFS(Log!$G:$G, Log!$D:$D,D$4,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3" s="68" t="str">
        <f>IFERROR(
    _xlfn.LET(
        _xlpm.is_data_present, $A193&lt;&gt;0,
        _xlpm.is_camera_present, COUNTIFS(Log!$C:$C, $A193, Log!$D:$D, E$4, Log!$A:$A, "Daily", Log!$B:$B, "n/a"),
        _xlpm.we_camera_on_date, IFERROR(AVERAGEIFS(Log!$F:$F, Log!$D:$D,E$4, Log!$C:$C, $A193, Log!$A:$A, "Daily", Log!$B:$B, "n/a"), 0),
        _xlpm.ie_camera_on_date, IFERROR(AVERAGEIFS(Log!$G:$G, Log!$D:$D,E$4,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3" s="68" t="str">
        <f>IFERROR(
    _xlfn.LET(
        _xlpm.is_data_present, $A193&lt;&gt;0,
        _xlpm.is_camera_present, COUNTIFS(Log!$C:$C, $A193, Log!$D:$D, F$4, Log!$A:$A, "Daily", Log!$B:$B, "n/a"),
        _xlpm.we_camera_on_date, IFERROR(AVERAGEIFS(Log!$F:$F, Log!$D:$D,F$4, Log!$C:$C, $A193, Log!$A:$A, "Daily", Log!$B:$B, "n/a"), 0),
        _xlpm.ie_camera_on_date, IFERROR(AVERAGEIFS(Log!$G:$G, Log!$D:$D,F$4,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3" s="68" t="str">
        <f>IFERROR(
    _xlfn.LET(
        _xlpm.is_data_present, $A193&lt;&gt;0,
        _xlpm.is_camera_present, COUNTIFS(Log!$C:$C, $A193, Log!$D:$D, G$4, Log!$A:$A, "Daily", Log!$B:$B, "n/a"),
        _xlpm.we_camera_on_date, IFERROR(AVERAGEIFS(Log!$F:$F, Log!$D:$D,G$4, Log!$C:$C, $A193, Log!$A:$A, "Daily", Log!$B:$B, "n/a"), 0),
        _xlpm.ie_camera_on_date, IFERROR(AVERAGEIFS(Log!$G:$G, Log!$D:$D,G$4,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3" s="68" t="str">
        <f>IFERROR(
    _xlfn.LET(
        _xlpm.is_data_present, $A193&lt;&gt;0,
        _xlpm.is_camera_present, COUNTIFS(Log!$C:$C, $A193, Log!$D:$D, H$4, Log!$A:$A, "Daily", Log!$B:$B, "n/a"),
        _xlpm.we_camera_on_date, IFERROR(AVERAGEIFS(Log!$F:$F, Log!$D:$D,H$4, Log!$C:$C, $A193, Log!$A:$A, "Daily", Log!$B:$B, "n/a"), 0),
        _xlpm.ie_camera_on_date, IFERROR(AVERAGEIFS(Log!$G:$G, Log!$D:$D,H$4,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3" s="68" t="str">
        <f>IFERROR(
    _xlfn.LET(
        _xlpm.is_data_present, $A193&lt;&gt;0,
        _xlpm.is_camera_present, COUNTIFS(Log!$C:$C, $A193, Log!$D:$D, I$4, Log!$A:$A, "Daily", Log!$B:$B, "n/a"),
        _xlpm.we_camera_on_date, IFERROR(AVERAGEIFS(Log!$F:$F, Log!$D:$D,I$4, Log!$C:$C, $A193, Log!$A:$A, "Daily", Log!$B:$B, "n/a"), 0),
        _xlpm.ie_camera_on_date, IFERROR(AVERAGEIFS(Log!$G:$G, Log!$D:$D,I$4,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3" s="68" t="str">
        <f>IFERROR(
    _xlfn.LET(
        _xlpm.is_data_present, $A193&lt;&gt;0,
        _xlpm.is_camera_present, COUNTIFS(Log!$C:$C, $A193, Log!$D:$D, J$4, Log!$A:$A, "Daily", Log!$B:$B, "n/a"),
        _xlpm.we_camera_on_date, IFERROR(AVERAGEIFS(Log!$F:$F, Log!$D:$D,J$4, Log!$C:$C, $A193, Log!$A:$A, "Daily", Log!$B:$B, "n/a"), 0),
        _xlpm.ie_camera_on_date, IFERROR(AVERAGEIFS(Log!$G:$G, Log!$D:$D,J$4,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3" s="68" t="str">
        <f>IFERROR(
    _xlfn.LET(
        _xlpm.is_data_present, $A193&lt;&gt;0,
        _xlpm.is_camera_present, COUNTIFS(Log!$C:$C, $A193, Log!$D:$D, K$4, Log!$A:$A, "Daily", Log!$B:$B, "n/a"),
        _xlpm.we_camera_on_date, IFERROR(AVERAGEIFS(Log!$F:$F, Log!$D:$D,K$4, Log!$C:$C, $A193, Log!$A:$A, "Daily", Log!$B:$B, "n/a"), 0),
        _xlpm.ie_camera_on_date, IFERROR(AVERAGEIFS(Log!$G:$G, Log!$D:$D,K$4,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3" s="68" t="str">
        <f>IFERROR(
    _xlfn.LET(
        _xlpm.is_data_present, $A193&lt;&gt;0,
        _xlpm.is_camera_present, COUNTIFS(Log!$C:$C, $A193, Log!$D:$D, L$4, Log!$A:$A, "Daily", Log!$B:$B, "n/a"),
        _xlpm.we_camera_on_date, IFERROR(AVERAGEIFS(Log!$F:$F, Log!$D:$D,L$4, Log!$C:$C, $A193, Log!$A:$A, "Daily", Log!$B:$B, "n/a"), 0),
        _xlpm.ie_camera_on_date, IFERROR(AVERAGEIFS(Log!$G:$G, Log!$D:$D,L$4,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3" s="68" t="str">
        <f>IFERROR(
    _xlfn.LET(
        _xlpm.is_data_present, $A193&lt;&gt;0,
        _xlpm.is_camera_present, COUNTIFS(Log!$C:$C, $A193, Log!$D:$D, M$4, Log!$A:$A, "Daily", Log!$B:$B, "n/a"),
        _xlpm.we_camera_on_date, IFERROR(AVERAGEIFS(Log!$F:$F, Log!$D:$D,M$4, Log!$C:$C, $A193, Log!$A:$A, "Daily", Log!$B:$B, "n/a"), 0),
        _xlpm.ie_camera_on_date, IFERROR(AVERAGEIFS(Log!$G:$G, Log!$D:$D,M$4,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3" s="68" t="str">
        <f>IFERROR(
    _xlfn.LET(
        _xlpm.is_data_present, $A193&lt;&gt;0,
        _xlpm.is_camera_present, COUNTIFS(Log!$C:$C, $A193, Log!$D:$D, N$4, Log!$A:$A, "Daily", Log!$B:$B, "n/a"),
        _xlpm.we_camera_on_date, IFERROR(AVERAGEIFS(Log!$F:$F, Log!$D:$D,N$4, Log!$C:$C, $A193, Log!$A:$A, "Daily", Log!$B:$B, "n/a"), 0),
        _xlpm.ie_camera_on_date, IFERROR(AVERAGEIFS(Log!$G:$G, Log!$D:$D,N$4,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3" s="68" t="str">
        <f>IFERROR(
    _xlfn.LET(
        _xlpm.is_data_present, $A193&lt;&gt;0,
        _xlpm.is_camera_present, COUNTIFS(Log!$C:$C, $A193, Log!$D:$D, O$4, Log!$A:$A, "Daily", Log!$B:$B, "n/a"),
        _xlpm.we_camera_on_date, IFERROR(AVERAGEIFS(Log!$F:$F, Log!$D:$D,O$4, Log!$C:$C, $A193, Log!$A:$A, "Daily", Log!$B:$B, "n/a"), 0),
        _xlpm.ie_camera_on_date, IFERROR(AVERAGEIFS(Log!$G:$G, Log!$D:$D,O$4,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3" s="68" t="str">
        <f>IFERROR(
    _xlfn.LET(
        _xlpm.is_data_present, $A193&lt;&gt;0,
        _xlpm.is_camera_present, COUNTIFS(Log!$C:$C, $A193, Log!$D:$D, P$4, Log!$A:$A, "Daily", Log!$B:$B, "n/a"),
        _xlpm.we_camera_on_date, IFERROR(AVERAGEIFS(Log!$F:$F, Log!$D:$D,P$4, Log!$C:$C, $A193, Log!$A:$A, "Daily", Log!$B:$B, "n/a"), 0),
        _xlpm.ie_camera_on_date, IFERROR(AVERAGEIFS(Log!$G:$G, Log!$D:$D,P$4,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3" s="68" t="str">
        <f>IFERROR(
    _xlfn.LET(
        _xlpm.is_data_present, $A193&lt;&gt;0,
        _xlpm.is_camera_present, COUNTIFS(Log!$C:$C, $A193, Log!$D:$D, Q$4, Log!$A:$A, "Daily", Log!$B:$B, "n/a"),
        _xlpm.we_camera_on_date, IFERROR(AVERAGEIFS(Log!$F:$F, Log!$D:$D,Q$4, Log!$C:$C, $A193, Log!$A:$A, "Daily", Log!$B:$B, "n/a"), 0),
        _xlpm.ie_camera_on_date, IFERROR(AVERAGEIFS(Log!$G:$G, Log!$D:$D,Q$4,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3" s="68" t="str">
        <f>IFERROR(
    _xlfn.LET(
        _xlpm.is_data_present, $A193&lt;&gt;0,
        _xlpm.is_camera_present, COUNTIFS(Log!$C:$C, $A193, Log!$D:$D, R$4, Log!$A:$A, "Daily", Log!$B:$B, "n/a"),
        _xlpm.we_camera_on_date, IFERROR(AVERAGEIFS(Log!$F:$F, Log!$D:$D,R$4, Log!$C:$C, $A193, Log!$A:$A, "Daily", Log!$B:$B, "n/a"), 0),
        _xlpm.ie_camera_on_date, IFERROR(AVERAGEIFS(Log!$G:$G, Log!$D:$D,R$4,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3" s="68" t="str">
        <f>IFERROR(
    _xlfn.LET(
        _xlpm.is_data_present, $A193&lt;&gt;0,
        _xlpm.is_camera_present, COUNTIFS(Log!$C:$C, $A193, Log!$D:$D, S$4, Log!$A:$A, "Daily", Log!$B:$B, "n/a"),
        _xlpm.we_camera_on_date, IFERROR(AVERAGEIFS(Log!$F:$F, Log!$D:$D,S$4, Log!$C:$C, $A193, Log!$A:$A, "Daily", Log!$B:$B, "n/a"), 0),
        _xlpm.ie_camera_on_date, IFERROR(AVERAGEIFS(Log!$G:$G, Log!$D:$D,S$4, Log!$C:$C, $A193, Log!$A:$A, "Daily", Log!$B:$B, "n/a"), 0),
        _xlpm.we_avg, IFERROR(AVERAGEIFS(Log!$F:$F,Log!$C:$C,$A193, Log!$A:$A, "Daily", Log!$B:$B, "n/a"),0),
        _xlpm.ie_avg, IFERROR(AVERAGEIFS(Log!$G:$G,Log!$C:$C,$A193,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4" spans="2:19" x14ac:dyDescent="0.3">
      <c r="B194" s="68" t="str">
        <f>IFERROR(
    _xlfn.LET(
        _xlpm.is_data_present, $A194&lt;&gt;0,
        _xlpm.is_camera_present, COUNTIFS(Log!$C:$C, $A194, Log!$D:$D, B$4, Log!$A:$A, "Daily", Log!$B:$B, "n/a"),
        _xlpm.we_camera_on_date, IFERROR(AVERAGEIFS(Log!$F:$F, Log!$D:$D,B$4, Log!$C:$C, $A194, Log!$A:$A, "Daily", Log!$B:$B, "n/a"), 0),
        _xlpm.ie_camera_on_date, IFERROR(AVERAGEIFS(Log!$G:$G, Log!$D:$D,B$4,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4" s="68" t="str">
        <f>IFERROR(
    _xlfn.LET(
        _xlpm.is_data_present, $A194&lt;&gt;0,
        _xlpm.is_camera_present, COUNTIFS(Log!$C:$C, $A194, Log!$D:$D, C$4, Log!$A:$A, "Daily", Log!$B:$B, "n/a"),
        _xlpm.we_camera_on_date, IFERROR(AVERAGEIFS(Log!$F:$F, Log!$D:$D,C$4, Log!$C:$C, $A194, Log!$A:$A, "Daily", Log!$B:$B, "n/a"), 0),
        _xlpm.ie_camera_on_date, IFERROR(AVERAGEIFS(Log!$G:$G, Log!$D:$D,C$4,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4" s="68" t="str">
        <f>IFERROR(
    _xlfn.LET(
        _xlpm.is_data_present, $A194&lt;&gt;0,
        _xlpm.is_camera_present, COUNTIFS(Log!$C:$C, $A194, Log!$D:$D, D$4, Log!$A:$A, "Daily", Log!$B:$B, "n/a"),
        _xlpm.we_camera_on_date, IFERROR(AVERAGEIFS(Log!$F:$F, Log!$D:$D,D$4, Log!$C:$C, $A194, Log!$A:$A, "Daily", Log!$B:$B, "n/a"), 0),
        _xlpm.ie_camera_on_date, IFERROR(AVERAGEIFS(Log!$G:$G, Log!$D:$D,D$4,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4" s="68" t="str">
        <f>IFERROR(
    _xlfn.LET(
        _xlpm.is_data_present, $A194&lt;&gt;0,
        _xlpm.is_camera_present, COUNTIFS(Log!$C:$C, $A194, Log!$D:$D, E$4, Log!$A:$A, "Daily", Log!$B:$B, "n/a"),
        _xlpm.we_camera_on_date, IFERROR(AVERAGEIFS(Log!$F:$F, Log!$D:$D,E$4, Log!$C:$C, $A194, Log!$A:$A, "Daily", Log!$B:$B, "n/a"), 0),
        _xlpm.ie_camera_on_date, IFERROR(AVERAGEIFS(Log!$G:$G, Log!$D:$D,E$4,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4" s="68" t="str">
        <f>IFERROR(
    _xlfn.LET(
        _xlpm.is_data_present, $A194&lt;&gt;0,
        _xlpm.is_camera_present, COUNTIFS(Log!$C:$C, $A194, Log!$D:$D, F$4, Log!$A:$A, "Daily", Log!$B:$B, "n/a"),
        _xlpm.we_camera_on_date, IFERROR(AVERAGEIFS(Log!$F:$F, Log!$D:$D,F$4, Log!$C:$C, $A194, Log!$A:$A, "Daily", Log!$B:$B, "n/a"), 0),
        _xlpm.ie_camera_on_date, IFERROR(AVERAGEIFS(Log!$G:$G, Log!$D:$D,F$4,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4" s="68" t="str">
        <f>IFERROR(
    _xlfn.LET(
        _xlpm.is_data_present, $A194&lt;&gt;0,
        _xlpm.is_camera_present, COUNTIFS(Log!$C:$C, $A194, Log!$D:$D, G$4, Log!$A:$A, "Daily", Log!$B:$B, "n/a"),
        _xlpm.we_camera_on_date, IFERROR(AVERAGEIFS(Log!$F:$F, Log!$D:$D,G$4, Log!$C:$C, $A194, Log!$A:$A, "Daily", Log!$B:$B, "n/a"), 0),
        _xlpm.ie_camera_on_date, IFERROR(AVERAGEIFS(Log!$G:$G, Log!$D:$D,G$4,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4" s="68" t="str">
        <f>IFERROR(
    _xlfn.LET(
        _xlpm.is_data_present, $A194&lt;&gt;0,
        _xlpm.is_camera_present, COUNTIFS(Log!$C:$C, $A194, Log!$D:$D, H$4, Log!$A:$A, "Daily", Log!$B:$B, "n/a"),
        _xlpm.we_camera_on_date, IFERROR(AVERAGEIFS(Log!$F:$F, Log!$D:$D,H$4, Log!$C:$C, $A194, Log!$A:$A, "Daily", Log!$B:$B, "n/a"), 0),
        _xlpm.ie_camera_on_date, IFERROR(AVERAGEIFS(Log!$G:$G, Log!$D:$D,H$4,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4" s="68" t="str">
        <f>IFERROR(
    _xlfn.LET(
        _xlpm.is_data_present, $A194&lt;&gt;0,
        _xlpm.is_camera_present, COUNTIFS(Log!$C:$C, $A194, Log!$D:$D, I$4, Log!$A:$A, "Daily", Log!$B:$B, "n/a"),
        _xlpm.we_camera_on_date, IFERROR(AVERAGEIFS(Log!$F:$F, Log!$D:$D,I$4, Log!$C:$C, $A194, Log!$A:$A, "Daily", Log!$B:$B, "n/a"), 0),
        _xlpm.ie_camera_on_date, IFERROR(AVERAGEIFS(Log!$G:$G, Log!$D:$D,I$4,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4" s="68" t="str">
        <f>IFERROR(
    _xlfn.LET(
        _xlpm.is_data_present, $A194&lt;&gt;0,
        _xlpm.is_camera_present, COUNTIFS(Log!$C:$C, $A194, Log!$D:$D, J$4, Log!$A:$A, "Daily", Log!$B:$B, "n/a"),
        _xlpm.we_camera_on_date, IFERROR(AVERAGEIFS(Log!$F:$F, Log!$D:$D,J$4, Log!$C:$C, $A194, Log!$A:$A, "Daily", Log!$B:$B, "n/a"), 0),
        _xlpm.ie_camera_on_date, IFERROR(AVERAGEIFS(Log!$G:$G, Log!$D:$D,J$4,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4" s="68" t="str">
        <f>IFERROR(
    _xlfn.LET(
        _xlpm.is_data_present, $A194&lt;&gt;0,
        _xlpm.is_camera_present, COUNTIFS(Log!$C:$C, $A194, Log!$D:$D, K$4, Log!$A:$A, "Daily", Log!$B:$B, "n/a"),
        _xlpm.we_camera_on_date, IFERROR(AVERAGEIFS(Log!$F:$F, Log!$D:$D,K$4, Log!$C:$C, $A194, Log!$A:$A, "Daily", Log!$B:$B, "n/a"), 0),
        _xlpm.ie_camera_on_date, IFERROR(AVERAGEIFS(Log!$G:$G, Log!$D:$D,K$4,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4" s="68" t="str">
        <f>IFERROR(
    _xlfn.LET(
        _xlpm.is_data_present, $A194&lt;&gt;0,
        _xlpm.is_camera_present, COUNTIFS(Log!$C:$C, $A194, Log!$D:$D, L$4, Log!$A:$A, "Daily", Log!$B:$B, "n/a"),
        _xlpm.we_camera_on_date, IFERROR(AVERAGEIFS(Log!$F:$F, Log!$D:$D,L$4, Log!$C:$C, $A194, Log!$A:$A, "Daily", Log!$B:$B, "n/a"), 0),
        _xlpm.ie_camera_on_date, IFERROR(AVERAGEIFS(Log!$G:$G, Log!$D:$D,L$4,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4" s="68" t="str">
        <f>IFERROR(
    _xlfn.LET(
        _xlpm.is_data_present, $A194&lt;&gt;0,
        _xlpm.is_camera_present, COUNTIFS(Log!$C:$C, $A194, Log!$D:$D, M$4, Log!$A:$A, "Daily", Log!$B:$B, "n/a"),
        _xlpm.we_camera_on_date, IFERROR(AVERAGEIFS(Log!$F:$F, Log!$D:$D,M$4, Log!$C:$C, $A194, Log!$A:$A, "Daily", Log!$B:$B, "n/a"), 0),
        _xlpm.ie_camera_on_date, IFERROR(AVERAGEIFS(Log!$G:$G, Log!$D:$D,M$4,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4" s="68" t="str">
        <f>IFERROR(
    _xlfn.LET(
        _xlpm.is_data_present, $A194&lt;&gt;0,
        _xlpm.is_camera_present, COUNTIFS(Log!$C:$C, $A194, Log!$D:$D, N$4, Log!$A:$A, "Daily", Log!$B:$B, "n/a"),
        _xlpm.we_camera_on_date, IFERROR(AVERAGEIFS(Log!$F:$F, Log!$D:$D,N$4, Log!$C:$C, $A194, Log!$A:$A, "Daily", Log!$B:$B, "n/a"), 0),
        _xlpm.ie_camera_on_date, IFERROR(AVERAGEIFS(Log!$G:$G, Log!$D:$D,N$4,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4" s="68" t="str">
        <f>IFERROR(
    _xlfn.LET(
        _xlpm.is_data_present, $A194&lt;&gt;0,
        _xlpm.is_camera_present, COUNTIFS(Log!$C:$C, $A194, Log!$D:$D, O$4, Log!$A:$A, "Daily", Log!$B:$B, "n/a"),
        _xlpm.we_camera_on_date, IFERROR(AVERAGEIFS(Log!$F:$F, Log!$D:$D,O$4, Log!$C:$C, $A194, Log!$A:$A, "Daily", Log!$B:$B, "n/a"), 0),
        _xlpm.ie_camera_on_date, IFERROR(AVERAGEIFS(Log!$G:$G, Log!$D:$D,O$4,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4" s="68" t="str">
        <f>IFERROR(
    _xlfn.LET(
        _xlpm.is_data_present, $A194&lt;&gt;0,
        _xlpm.is_camera_present, COUNTIFS(Log!$C:$C, $A194, Log!$D:$D, P$4, Log!$A:$A, "Daily", Log!$B:$B, "n/a"),
        _xlpm.we_camera_on_date, IFERROR(AVERAGEIFS(Log!$F:$F, Log!$D:$D,P$4, Log!$C:$C, $A194, Log!$A:$A, "Daily", Log!$B:$B, "n/a"), 0),
        _xlpm.ie_camera_on_date, IFERROR(AVERAGEIFS(Log!$G:$G, Log!$D:$D,P$4,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4" s="68" t="str">
        <f>IFERROR(
    _xlfn.LET(
        _xlpm.is_data_present, $A194&lt;&gt;0,
        _xlpm.is_camera_present, COUNTIFS(Log!$C:$C, $A194, Log!$D:$D, Q$4, Log!$A:$A, "Daily", Log!$B:$B, "n/a"),
        _xlpm.we_camera_on_date, IFERROR(AVERAGEIFS(Log!$F:$F, Log!$D:$D,Q$4, Log!$C:$C, $A194, Log!$A:$A, "Daily", Log!$B:$B, "n/a"), 0),
        _xlpm.ie_camera_on_date, IFERROR(AVERAGEIFS(Log!$G:$G, Log!$D:$D,Q$4,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4" s="68" t="str">
        <f>IFERROR(
    _xlfn.LET(
        _xlpm.is_data_present, $A194&lt;&gt;0,
        _xlpm.is_camera_present, COUNTIFS(Log!$C:$C, $A194, Log!$D:$D, R$4, Log!$A:$A, "Daily", Log!$B:$B, "n/a"),
        _xlpm.we_camera_on_date, IFERROR(AVERAGEIFS(Log!$F:$F, Log!$D:$D,R$4, Log!$C:$C, $A194, Log!$A:$A, "Daily", Log!$B:$B, "n/a"), 0),
        _xlpm.ie_camera_on_date, IFERROR(AVERAGEIFS(Log!$G:$G, Log!$D:$D,R$4,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4" s="68" t="str">
        <f>IFERROR(
    _xlfn.LET(
        _xlpm.is_data_present, $A194&lt;&gt;0,
        _xlpm.is_camera_present, COUNTIFS(Log!$C:$C, $A194, Log!$D:$D, S$4, Log!$A:$A, "Daily", Log!$B:$B, "n/a"),
        _xlpm.we_camera_on_date, IFERROR(AVERAGEIFS(Log!$F:$F, Log!$D:$D,S$4, Log!$C:$C, $A194, Log!$A:$A, "Daily", Log!$B:$B, "n/a"), 0),
        _xlpm.ie_camera_on_date, IFERROR(AVERAGEIFS(Log!$G:$G, Log!$D:$D,S$4, Log!$C:$C, $A194, Log!$A:$A, "Daily", Log!$B:$B, "n/a"), 0),
        _xlpm.we_avg, IFERROR(AVERAGEIFS(Log!$F:$F,Log!$C:$C,$A194, Log!$A:$A, "Daily", Log!$B:$B, "n/a"),0),
        _xlpm.ie_avg, IFERROR(AVERAGEIFS(Log!$G:$G,Log!$C:$C,$A194,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5" spans="2:19" x14ac:dyDescent="0.3">
      <c r="B195" s="68" t="str">
        <f>IFERROR(
    _xlfn.LET(
        _xlpm.is_data_present, $A195&lt;&gt;0,
        _xlpm.is_camera_present, COUNTIFS(Log!$C:$C, $A195, Log!$D:$D, B$4, Log!$A:$A, "Daily", Log!$B:$B, "n/a"),
        _xlpm.we_camera_on_date, IFERROR(AVERAGEIFS(Log!$F:$F, Log!$D:$D,B$4, Log!$C:$C, $A195, Log!$A:$A, "Daily", Log!$B:$B, "n/a"), 0),
        _xlpm.ie_camera_on_date, IFERROR(AVERAGEIFS(Log!$G:$G, Log!$D:$D,B$4,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5" s="68" t="str">
        <f>IFERROR(
    _xlfn.LET(
        _xlpm.is_data_present, $A195&lt;&gt;0,
        _xlpm.is_camera_present, COUNTIFS(Log!$C:$C, $A195, Log!$D:$D, C$4, Log!$A:$A, "Daily", Log!$B:$B, "n/a"),
        _xlpm.we_camera_on_date, IFERROR(AVERAGEIFS(Log!$F:$F, Log!$D:$D,C$4, Log!$C:$C, $A195, Log!$A:$A, "Daily", Log!$B:$B, "n/a"), 0),
        _xlpm.ie_camera_on_date, IFERROR(AVERAGEIFS(Log!$G:$G, Log!$D:$D,C$4,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5" s="68" t="str">
        <f>IFERROR(
    _xlfn.LET(
        _xlpm.is_data_present, $A195&lt;&gt;0,
        _xlpm.is_camera_present, COUNTIFS(Log!$C:$C, $A195, Log!$D:$D, D$4, Log!$A:$A, "Daily", Log!$B:$B, "n/a"),
        _xlpm.we_camera_on_date, IFERROR(AVERAGEIFS(Log!$F:$F, Log!$D:$D,D$4, Log!$C:$C, $A195, Log!$A:$A, "Daily", Log!$B:$B, "n/a"), 0),
        _xlpm.ie_camera_on_date, IFERROR(AVERAGEIFS(Log!$G:$G, Log!$D:$D,D$4,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5" s="68" t="str">
        <f>IFERROR(
    _xlfn.LET(
        _xlpm.is_data_present, $A195&lt;&gt;0,
        _xlpm.is_camera_present, COUNTIFS(Log!$C:$C, $A195, Log!$D:$D, E$4, Log!$A:$A, "Daily", Log!$B:$B, "n/a"),
        _xlpm.we_camera_on_date, IFERROR(AVERAGEIFS(Log!$F:$F, Log!$D:$D,E$4, Log!$C:$C, $A195, Log!$A:$A, "Daily", Log!$B:$B, "n/a"), 0),
        _xlpm.ie_camera_on_date, IFERROR(AVERAGEIFS(Log!$G:$G, Log!$D:$D,E$4,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5" s="68" t="str">
        <f>IFERROR(
    _xlfn.LET(
        _xlpm.is_data_present, $A195&lt;&gt;0,
        _xlpm.is_camera_present, COUNTIFS(Log!$C:$C, $A195, Log!$D:$D, F$4, Log!$A:$A, "Daily", Log!$B:$B, "n/a"),
        _xlpm.we_camera_on_date, IFERROR(AVERAGEIFS(Log!$F:$F, Log!$D:$D,F$4, Log!$C:$C, $A195, Log!$A:$A, "Daily", Log!$B:$B, "n/a"), 0),
        _xlpm.ie_camera_on_date, IFERROR(AVERAGEIFS(Log!$G:$G, Log!$D:$D,F$4,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5" s="68" t="str">
        <f>IFERROR(
    _xlfn.LET(
        _xlpm.is_data_present, $A195&lt;&gt;0,
        _xlpm.is_camera_present, COUNTIFS(Log!$C:$C, $A195, Log!$D:$D, G$4, Log!$A:$A, "Daily", Log!$B:$B, "n/a"),
        _xlpm.we_camera_on_date, IFERROR(AVERAGEIFS(Log!$F:$F, Log!$D:$D,G$4, Log!$C:$C, $A195, Log!$A:$A, "Daily", Log!$B:$B, "n/a"), 0),
        _xlpm.ie_camera_on_date, IFERROR(AVERAGEIFS(Log!$G:$G, Log!$D:$D,G$4,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5" s="68" t="str">
        <f>IFERROR(
    _xlfn.LET(
        _xlpm.is_data_present, $A195&lt;&gt;0,
        _xlpm.is_camera_present, COUNTIFS(Log!$C:$C, $A195, Log!$D:$D, H$4, Log!$A:$A, "Daily", Log!$B:$B, "n/a"),
        _xlpm.we_camera_on_date, IFERROR(AVERAGEIFS(Log!$F:$F, Log!$D:$D,H$4, Log!$C:$C, $A195, Log!$A:$A, "Daily", Log!$B:$B, "n/a"), 0),
        _xlpm.ie_camera_on_date, IFERROR(AVERAGEIFS(Log!$G:$G, Log!$D:$D,H$4,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5" s="68" t="str">
        <f>IFERROR(
    _xlfn.LET(
        _xlpm.is_data_present, $A195&lt;&gt;0,
        _xlpm.is_camera_present, COUNTIFS(Log!$C:$C, $A195, Log!$D:$D, I$4, Log!$A:$A, "Daily", Log!$B:$B, "n/a"),
        _xlpm.we_camera_on_date, IFERROR(AVERAGEIFS(Log!$F:$F, Log!$D:$D,I$4, Log!$C:$C, $A195, Log!$A:$A, "Daily", Log!$B:$B, "n/a"), 0),
        _xlpm.ie_camera_on_date, IFERROR(AVERAGEIFS(Log!$G:$G, Log!$D:$D,I$4,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5" s="68" t="str">
        <f>IFERROR(
    _xlfn.LET(
        _xlpm.is_data_present, $A195&lt;&gt;0,
        _xlpm.is_camera_present, COUNTIFS(Log!$C:$C, $A195, Log!$D:$D, J$4, Log!$A:$A, "Daily", Log!$B:$B, "n/a"),
        _xlpm.we_camera_on_date, IFERROR(AVERAGEIFS(Log!$F:$F, Log!$D:$D,J$4, Log!$C:$C, $A195, Log!$A:$A, "Daily", Log!$B:$B, "n/a"), 0),
        _xlpm.ie_camera_on_date, IFERROR(AVERAGEIFS(Log!$G:$G, Log!$D:$D,J$4,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5" s="68" t="str">
        <f>IFERROR(
    _xlfn.LET(
        _xlpm.is_data_present, $A195&lt;&gt;0,
        _xlpm.is_camera_present, COUNTIFS(Log!$C:$C, $A195, Log!$D:$D, K$4, Log!$A:$A, "Daily", Log!$B:$B, "n/a"),
        _xlpm.we_camera_on_date, IFERROR(AVERAGEIFS(Log!$F:$F, Log!$D:$D,K$4, Log!$C:$C, $A195, Log!$A:$A, "Daily", Log!$B:$B, "n/a"), 0),
        _xlpm.ie_camera_on_date, IFERROR(AVERAGEIFS(Log!$G:$G, Log!$D:$D,K$4,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5" s="68" t="str">
        <f>IFERROR(
    _xlfn.LET(
        _xlpm.is_data_present, $A195&lt;&gt;0,
        _xlpm.is_camera_present, COUNTIFS(Log!$C:$C, $A195, Log!$D:$D, L$4, Log!$A:$A, "Daily", Log!$B:$B, "n/a"),
        _xlpm.we_camera_on_date, IFERROR(AVERAGEIFS(Log!$F:$F, Log!$D:$D,L$4, Log!$C:$C, $A195, Log!$A:$A, "Daily", Log!$B:$B, "n/a"), 0),
        _xlpm.ie_camera_on_date, IFERROR(AVERAGEIFS(Log!$G:$G, Log!$D:$D,L$4,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5" s="68" t="str">
        <f>IFERROR(
    _xlfn.LET(
        _xlpm.is_data_present, $A195&lt;&gt;0,
        _xlpm.is_camera_present, COUNTIFS(Log!$C:$C, $A195, Log!$D:$D, M$4, Log!$A:$A, "Daily", Log!$B:$B, "n/a"),
        _xlpm.we_camera_on_date, IFERROR(AVERAGEIFS(Log!$F:$F, Log!$D:$D,M$4, Log!$C:$C, $A195, Log!$A:$A, "Daily", Log!$B:$B, "n/a"), 0),
        _xlpm.ie_camera_on_date, IFERROR(AVERAGEIFS(Log!$G:$G, Log!$D:$D,M$4,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5" s="68" t="str">
        <f>IFERROR(
    _xlfn.LET(
        _xlpm.is_data_present, $A195&lt;&gt;0,
        _xlpm.is_camera_present, COUNTIFS(Log!$C:$C, $A195, Log!$D:$D, N$4, Log!$A:$A, "Daily", Log!$B:$B, "n/a"),
        _xlpm.we_camera_on_date, IFERROR(AVERAGEIFS(Log!$F:$F, Log!$D:$D,N$4, Log!$C:$C, $A195, Log!$A:$A, "Daily", Log!$B:$B, "n/a"), 0),
        _xlpm.ie_camera_on_date, IFERROR(AVERAGEIFS(Log!$G:$G, Log!$D:$D,N$4,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5" s="68" t="str">
        <f>IFERROR(
    _xlfn.LET(
        _xlpm.is_data_present, $A195&lt;&gt;0,
        _xlpm.is_camera_present, COUNTIFS(Log!$C:$C, $A195, Log!$D:$D, O$4, Log!$A:$A, "Daily", Log!$B:$B, "n/a"),
        _xlpm.we_camera_on_date, IFERROR(AVERAGEIFS(Log!$F:$F, Log!$D:$D,O$4, Log!$C:$C, $A195, Log!$A:$A, "Daily", Log!$B:$B, "n/a"), 0),
        _xlpm.ie_camera_on_date, IFERROR(AVERAGEIFS(Log!$G:$G, Log!$D:$D,O$4,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5" s="68" t="str">
        <f>IFERROR(
    _xlfn.LET(
        _xlpm.is_data_present, $A195&lt;&gt;0,
        _xlpm.is_camera_present, COUNTIFS(Log!$C:$C, $A195, Log!$D:$D, P$4, Log!$A:$A, "Daily", Log!$B:$B, "n/a"),
        _xlpm.we_camera_on_date, IFERROR(AVERAGEIFS(Log!$F:$F, Log!$D:$D,P$4, Log!$C:$C, $A195, Log!$A:$A, "Daily", Log!$B:$B, "n/a"), 0),
        _xlpm.ie_camera_on_date, IFERROR(AVERAGEIFS(Log!$G:$G, Log!$D:$D,P$4,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5" s="68" t="str">
        <f>IFERROR(
    _xlfn.LET(
        _xlpm.is_data_present, $A195&lt;&gt;0,
        _xlpm.is_camera_present, COUNTIFS(Log!$C:$C, $A195, Log!$D:$D, Q$4, Log!$A:$A, "Daily", Log!$B:$B, "n/a"),
        _xlpm.we_camera_on_date, IFERROR(AVERAGEIFS(Log!$F:$F, Log!$D:$D,Q$4, Log!$C:$C, $A195, Log!$A:$A, "Daily", Log!$B:$B, "n/a"), 0),
        _xlpm.ie_camera_on_date, IFERROR(AVERAGEIFS(Log!$G:$G, Log!$D:$D,Q$4,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5" s="68" t="str">
        <f>IFERROR(
    _xlfn.LET(
        _xlpm.is_data_present, $A195&lt;&gt;0,
        _xlpm.is_camera_present, COUNTIFS(Log!$C:$C, $A195, Log!$D:$D, R$4, Log!$A:$A, "Daily", Log!$B:$B, "n/a"),
        _xlpm.we_camera_on_date, IFERROR(AVERAGEIFS(Log!$F:$F, Log!$D:$D,R$4, Log!$C:$C, $A195, Log!$A:$A, "Daily", Log!$B:$B, "n/a"), 0),
        _xlpm.ie_camera_on_date, IFERROR(AVERAGEIFS(Log!$G:$G, Log!$D:$D,R$4,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5" s="68" t="str">
        <f>IFERROR(
    _xlfn.LET(
        _xlpm.is_data_present, $A195&lt;&gt;0,
        _xlpm.is_camera_present, COUNTIFS(Log!$C:$C, $A195, Log!$D:$D, S$4, Log!$A:$A, "Daily", Log!$B:$B, "n/a"),
        _xlpm.we_camera_on_date, IFERROR(AVERAGEIFS(Log!$F:$F, Log!$D:$D,S$4, Log!$C:$C, $A195, Log!$A:$A, "Daily", Log!$B:$B, "n/a"), 0),
        _xlpm.ie_camera_on_date, IFERROR(AVERAGEIFS(Log!$G:$G, Log!$D:$D,S$4, Log!$C:$C, $A195, Log!$A:$A, "Daily", Log!$B:$B, "n/a"), 0),
        _xlpm.we_avg, IFERROR(AVERAGEIFS(Log!$F:$F,Log!$C:$C,$A195, Log!$A:$A, "Daily", Log!$B:$B, "n/a"),0),
        _xlpm.ie_avg, IFERROR(AVERAGEIFS(Log!$G:$G,Log!$C:$C,$A195,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6" spans="2:19" x14ac:dyDescent="0.3">
      <c r="B196" s="68" t="str">
        <f>IFERROR(
    _xlfn.LET(
        _xlpm.is_data_present, $A196&lt;&gt;0,
        _xlpm.is_camera_present, COUNTIFS(Log!$C:$C, $A196, Log!$D:$D, B$4, Log!$A:$A, "Daily", Log!$B:$B, "n/a"),
        _xlpm.we_camera_on_date, IFERROR(AVERAGEIFS(Log!$F:$F, Log!$D:$D,B$4, Log!$C:$C, $A196, Log!$A:$A, "Daily", Log!$B:$B, "n/a"), 0),
        _xlpm.ie_camera_on_date, IFERROR(AVERAGEIFS(Log!$G:$G, Log!$D:$D,B$4,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6" s="68" t="str">
        <f>IFERROR(
    _xlfn.LET(
        _xlpm.is_data_present, $A196&lt;&gt;0,
        _xlpm.is_camera_present, COUNTIFS(Log!$C:$C, $A196, Log!$D:$D, C$4, Log!$A:$A, "Daily", Log!$B:$B, "n/a"),
        _xlpm.we_camera_on_date, IFERROR(AVERAGEIFS(Log!$F:$F, Log!$D:$D,C$4, Log!$C:$C, $A196, Log!$A:$A, "Daily", Log!$B:$B, "n/a"), 0),
        _xlpm.ie_camera_on_date, IFERROR(AVERAGEIFS(Log!$G:$G, Log!$D:$D,C$4,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6" s="68" t="str">
        <f>IFERROR(
    _xlfn.LET(
        _xlpm.is_data_present, $A196&lt;&gt;0,
        _xlpm.is_camera_present, COUNTIFS(Log!$C:$C, $A196, Log!$D:$D, D$4, Log!$A:$A, "Daily", Log!$B:$B, "n/a"),
        _xlpm.we_camera_on_date, IFERROR(AVERAGEIFS(Log!$F:$F, Log!$D:$D,D$4, Log!$C:$C, $A196, Log!$A:$A, "Daily", Log!$B:$B, "n/a"), 0),
        _xlpm.ie_camera_on_date, IFERROR(AVERAGEIFS(Log!$G:$G, Log!$D:$D,D$4,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6" s="68" t="str">
        <f>IFERROR(
    _xlfn.LET(
        _xlpm.is_data_present, $A196&lt;&gt;0,
        _xlpm.is_camera_present, COUNTIFS(Log!$C:$C, $A196, Log!$D:$D, E$4, Log!$A:$A, "Daily", Log!$B:$B, "n/a"),
        _xlpm.we_camera_on_date, IFERROR(AVERAGEIFS(Log!$F:$F, Log!$D:$D,E$4, Log!$C:$C, $A196, Log!$A:$A, "Daily", Log!$B:$B, "n/a"), 0),
        _xlpm.ie_camera_on_date, IFERROR(AVERAGEIFS(Log!$G:$G, Log!$D:$D,E$4,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6" s="68" t="str">
        <f>IFERROR(
    _xlfn.LET(
        _xlpm.is_data_present, $A196&lt;&gt;0,
        _xlpm.is_camera_present, COUNTIFS(Log!$C:$C, $A196, Log!$D:$D, F$4, Log!$A:$A, "Daily", Log!$B:$B, "n/a"),
        _xlpm.we_camera_on_date, IFERROR(AVERAGEIFS(Log!$F:$F, Log!$D:$D,F$4, Log!$C:$C, $A196, Log!$A:$A, "Daily", Log!$B:$B, "n/a"), 0),
        _xlpm.ie_camera_on_date, IFERROR(AVERAGEIFS(Log!$G:$G, Log!$D:$D,F$4,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6" s="68" t="str">
        <f>IFERROR(
    _xlfn.LET(
        _xlpm.is_data_present, $A196&lt;&gt;0,
        _xlpm.is_camera_present, COUNTIFS(Log!$C:$C, $A196, Log!$D:$D, G$4, Log!$A:$A, "Daily", Log!$B:$B, "n/a"),
        _xlpm.we_camera_on_date, IFERROR(AVERAGEIFS(Log!$F:$F, Log!$D:$D,G$4, Log!$C:$C, $A196, Log!$A:$A, "Daily", Log!$B:$B, "n/a"), 0),
        _xlpm.ie_camera_on_date, IFERROR(AVERAGEIFS(Log!$G:$G, Log!$D:$D,G$4,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6" s="68" t="str">
        <f>IFERROR(
    _xlfn.LET(
        _xlpm.is_data_present, $A196&lt;&gt;0,
        _xlpm.is_camera_present, COUNTIFS(Log!$C:$C, $A196, Log!$D:$D, H$4, Log!$A:$A, "Daily", Log!$B:$B, "n/a"),
        _xlpm.we_camera_on_date, IFERROR(AVERAGEIFS(Log!$F:$F, Log!$D:$D,H$4, Log!$C:$C, $A196, Log!$A:$A, "Daily", Log!$B:$B, "n/a"), 0),
        _xlpm.ie_camera_on_date, IFERROR(AVERAGEIFS(Log!$G:$G, Log!$D:$D,H$4,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6" s="68" t="str">
        <f>IFERROR(
    _xlfn.LET(
        _xlpm.is_data_present, $A196&lt;&gt;0,
        _xlpm.is_camera_present, COUNTIFS(Log!$C:$C, $A196, Log!$D:$D, I$4, Log!$A:$A, "Daily", Log!$B:$B, "n/a"),
        _xlpm.we_camera_on_date, IFERROR(AVERAGEIFS(Log!$F:$F, Log!$D:$D,I$4, Log!$C:$C, $A196, Log!$A:$A, "Daily", Log!$B:$B, "n/a"), 0),
        _xlpm.ie_camera_on_date, IFERROR(AVERAGEIFS(Log!$G:$G, Log!$D:$D,I$4,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6" s="68" t="str">
        <f>IFERROR(
    _xlfn.LET(
        _xlpm.is_data_present, $A196&lt;&gt;0,
        _xlpm.is_camera_present, COUNTIFS(Log!$C:$C, $A196, Log!$D:$D, J$4, Log!$A:$A, "Daily", Log!$B:$B, "n/a"),
        _xlpm.we_camera_on_date, IFERROR(AVERAGEIFS(Log!$F:$F, Log!$D:$D,J$4, Log!$C:$C, $A196, Log!$A:$A, "Daily", Log!$B:$B, "n/a"), 0),
        _xlpm.ie_camera_on_date, IFERROR(AVERAGEIFS(Log!$G:$G, Log!$D:$D,J$4,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6" s="68" t="str">
        <f>IFERROR(
    _xlfn.LET(
        _xlpm.is_data_present, $A196&lt;&gt;0,
        _xlpm.is_camera_present, COUNTIFS(Log!$C:$C, $A196, Log!$D:$D, K$4, Log!$A:$A, "Daily", Log!$B:$B, "n/a"),
        _xlpm.we_camera_on_date, IFERROR(AVERAGEIFS(Log!$F:$F, Log!$D:$D,K$4, Log!$C:$C, $A196, Log!$A:$A, "Daily", Log!$B:$B, "n/a"), 0),
        _xlpm.ie_camera_on_date, IFERROR(AVERAGEIFS(Log!$G:$G, Log!$D:$D,K$4,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6" s="68" t="str">
        <f>IFERROR(
    _xlfn.LET(
        _xlpm.is_data_present, $A196&lt;&gt;0,
        _xlpm.is_camera_present, COUNTIFS(Log!$C:$C, $A196, Log!$D:$D, L$4, Log!$A:$A, "Daily", Log!$B:$B, "n/a"),
        _xlpm.we_camera_on_date, IFERROR(AVERAGEIFS(Log!$F:$F, Log!$D:$D,L$4, Log!$C:$C, $A196, Log!$A:$A, "Daily", Log!$B:$B, "n/a"), 0),
        _xlpm.ie_camera_on_date, IFERROR(AVERAGEIFS(Log!$G:$G, Log!$D:$D,L$4,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6" s="68" t="str">
        <f>IFERROR(
    _xlfn.LET(
        _xlpm.is_data_present, $A196&lt;&gt;0,
        _xlpm.is_camera_present, COUNTIFS(Log!$C:$C, $A196, Log!$D:$D, M$4, Log!$A:$A, "Daily", Log!$B:$B, "n/a"),
        _xlpm.we_camera_on_date, IFERROR(AVERAGEIFS(Log!$F:$F, Log!$D:$D,M$4, Log!$C:$C, $A196, Log!$A:$A, "Daily", Log!$B:$B, "n/a"), 0),
        _xlpm.ie_camera_on_date, IFERROR(AVERAGEIFS(Log!$G:$G, Log!$D:$D,M$4,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6" s="68" t="str">
        <f>IFERROR(
    _xlfn.LET(
        _xlpm.is_data_present, $A196&lt;&gt;0,
        _xlpm.is_camera_present, COUNTIFS(Log!$C:$C, $A196, Log!$D:$D, N$4, Log!$A:$A, "Daily", Log!$B:$B, "n/a"),
        _xlpm.we_camera_on_date, IFERROR(AVERAGEIFS(Log!$F:$F, Log!$D:$D,N$4, Log!$C:$C, $A196, Log!$A:$A, "Daily", Log!$B:$B, "n/a"), 0),
        _xlpm.ie_camera_on_date, IFERROR(AVERAGEIFS(Log!$G:$G, Log!$D:$D,N$4,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6" s="68" t="str">
        <f>IFERROR(
    _xlfn.LET(
        _xlpm.is_data_present, $A196&lt;&gt;0,
        _xlpm.is_camera_present, COUNTIFS(Log!$C:$C, $A196, Log!$D:$D, O$4, Log!$A:$A, "Daily", Log!$B:$B, "n/a"),
        _xlpm.we_camera_on_date, IFERROR(AVERAGEIFS(Log!$F:$F, Log!$D:$D,O$4, Log!$C:$C, $A196, Log!$A:$A, "Daily", Log!$B:$B, "n/a"), 0),
        _xlpm.ie_camera_on_date, IFERROR(AVERAGEIFS(Log!$G:$G, Log!$D:$D,O$4,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6" s="68" t="str">
        <f>IFERROR(
    _xlfn.LET(
        _xlpm.is_data_present, $A196&lt;&gt;0,
        _xlpm.is_camera_present, COUNTIFS(Log!$C:$C, $A196, Log!$D:$D, P$4, Log!$A:$A, "Daily", Log!$B:$B, "n/a"),
        _xlpm.we_camera_on_date, IFERROR(AVERAGEIFS(Log!$F:$F, Log!$D:$D,P$4, Log!$C:$C, $A196, Log!$A:$A, "Daily", Log!$B:$B, "n/a"), 0),
        _xlpm.ie_camera_on_date, IFERROR(AVERAGEIFS(Log!$G:$G, Log!$D:$D,P$4,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6" s="68" t="str">
        <f>IFERROR(
    _xlfn.LET(
        _xlpm.is_data_present, $A196&lt;&gt;0,
        _xlpm.is_camera_present, COUNTIFS(Log!$C:$C, $A196, Log!$D:$D, Q$4, Log!$A:$A, "Daily", Log!$B:$B, "n/a"),
        _xlpm.we_camera_on_date, IFERROR(AVERAGEIFS(Log!$F:$F, Log!$D:$D,Q$4, Log!$C:$C, $A196, Log!$A:$A, "Daily", Log!$B:$B, "n/a"), 0),
        _xlpm.ie_camera_on_date, IFERROR(AVERAGEIFS(Log!$G:$G, Log!$D:$D,Q$4,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6" s="68" t="str">
        <f>IFERROR(
    _xlfn.LET(
        _xlpm.is_data_present, $A196&lt;&gt;0,
        _xlpm.is_camera_present, COUNTIFS(Log!$C:$C, $A196, Log!$D:$D, R$4, Log!$A:$A, "Daily", Log!$B:$B, "n/a"),
        _xlpm.we_camera_on_date, IFERROR(AVERAGEIFS(Log!$F:$F, Log!$D:$D,R$4, Log!$C:$C, $A196, Log!$A:$A, "Daily", Log!$B:$B, "n/a"), 0),
        _xlpm.ie_camera_on_date, IFERROR(AVERAGEIFS(Log!$G:$G, Log!$D:$D,R$4,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6" s="68" t="str">
        <f>IFERROR(
    _xlfn.LET(
        _xlpm.is_data_present, $A196&lt;&gt;0,
        _xlpm.is_camera_present, COUNTIFS(Log!$C:$C, $A196, Log!$D:$D, S$4, Log!$A:$A, "Daily", Log!$B:$B, "n/a"),
        _xlpm.we_camera_on_date, IFERROR(AVERAGEIFS(Log!$F:$F, Log!$D:$D,S$4, Log!$C:$C, $A196, Log!$A:$A, "Daily", Log!$B:$B, "n/a"), 0),
        _xlpm.ie_camera_on_date, IFERROR(AVERAGEIFS(Log!$G:$G, Log!$D:$D,S$4, Log!$C:$C, $A196, Log!$A:$A, "Daily", Log!$B:$B, "n/a"), 0),
        _xlpm.we_avg, IFERROR(AVERAGEIFS(Log!$F:$F,Log!$C:$C,$A196, Log!$A:$A, "Daily", Log!$B:$B, "n/a"),0),
        _xlpm.ie_avg, IFERROR(AVERAGEIFS(Log!$G:$G,Log!$C:$C,$A196,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7" spans="2:19" x14ac:dyDescent="0.3">
      <c r="B197" s="68" t="str">
        <f>IFERROR(
    _xlfn.LET(
        _xlpm.is_data_present, $A197&lt;&gt;0,
        _xlpm.is_camera_present, COUNTIFS(Log!$C:$C, $A197, Log!$D:$D, B$4, Log!$A:$A, "Daily", Log!$B:$B, "n/a"),
        _xlpm.we_camera_on_date, IFERROR(AVERAGEIFS(Log!$F:$F, Log!$D:$D,B$4, Log!$C:$C, $A197, Log!$A:$A, "Daily", Log!$B:$B, "n/a"), 0),
        _xlpm.ie_camera_on_date, IFERROR(AVERAGEIFS(Log!$G:$G, Log!$D:$D,B$4,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7" s="68" t="str">
        <f>IFERROR(
    _xlfn.LET(
        _xlpm.is_data_present, $A197&lt;&gt;0,
        _xlpm.is_camera_present, COUNTIFS(Log!$C:$C, $A197, Log!$D:$D, C$4, Log!$A:$A, "Daily", Log!$B:$B, "n/a"),
        _xlpm.we_camera_on_date, IFERROR(AVERAGEIFS(Log!$F:$F, Log!$D:$D,C$4, Log!$C:$C, $A197, Log!$A:$A, "Daily", Log!$B:$B, "n/a"), 0),
        _xlpm.ie_camera_on_date, IFERROR(AVERAGEIFS(Log!$G:$G, Log!$D:$D,C$4,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7" s="68" t="str">
        <f>IFERROR(
    _xlfn.LET(
        _xlpm.is_data_present, $A197&lt;&gt;0,
        _xlpm.is_camera_present, COUNTIFS(Log!$C:$C, $A197, Log!$D:$D, D$4, Log!$A:$A, "Daily", Log!$B:$B, "n/a"),
        _xlpm.we_camera_on_date, IFERROR(AVERAGEIFS(Log!$F:$F, Log!$D:$D,D$4, Log!$C:$C, $A197, Log!$A:$A, "Daily", Log!$B:$B, "n/a"), 0),
        _xlpm.ie_camera_on_date, IFERROR(AVERAGEIFS(Log!$G:$G, Log!$D:$D,D$4,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7" s="68" t="str">
        <f>IFERROR(
    _xlfn.LET(
        _xlpm.is_data_present, $A197&lt;&gt;0,
        _xlpm.is_camera_present, COUNTIFS(Log!$C:$C, $A197, Log!$D:$D, E$4, Log!$A:$A, "Daily", Log!$B:$B, "n/a"),
        _xlpm.we_camera_on_date, IFERROR(AVERAGEIFS(Log!$F:$F, Log!$D:$D,E$4, Log!$C:$C, $A197, Log!$A:$A, "Daily", Log!$B:$B, "n/a"), 0),
        _xlpm.ie_camera_on_date, IFERROR(AVERAGEIFS(Log!$G:$G, Log!$D:$D,E$4,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7" s="68" t="str">
        <f>IFERROR(
    _xlfn.LET(
        _xlpm.is_data_present, $A197&lt;&gt;0,
        _xlpm.is_camera_present, COUNTIFS(Log!$C:$C, $A197, Log!$D:$D, F$4, Log!$A:$A, "Daily", Log!$B:$B, "n/a"),
        _xlpm.we_camera_on_date, IFERROR(AVERAGEIFS(Log!$F:$F, Log!$D:$D,F$4, Log!$C:$C, $A197, Log!$A:$A, "Daily", Log!$B:$B, "n/a"), 0),
        _xlpm.ie_camera_on_date, IFERROR(AVERAGEIFS(Log!$G:$G, Log!$D:$D,F$4,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7" s="68" t="str">
        <f>IFERROR(
    _xlfn.LET(
        _xlpm.is_data_present, $A197&lt;&gt;0,
        _xlpm.is_camera_present, COUNTIFS(Log!$C:$C, $A197, Log!$D:$D, G$4, Log!$A:$A, "Daily", Log!$B:$B, "n/a"),
        _xlpm.we_camera_on_date, IFERROR(AVERAGEIFS(Log!$F:$F, Log!$D:$D,G$4, Log!$C:$C, $A197, Log!$A:$A, "Daily", Log!$B:$B, "n/a"), 0),
        _xlpm.ie_camera_on_date, IFERROR(AVERAGEIFS(Log!$G:$G, Log!$D:$D,G$4,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7" s="68" t="str">
        <f>IFERROR(
    _xlfn.LET(
        _xlpm.is_data_present, $A197&lt;&gt;0,
        _xlpm.is_camera_present, COUNTIFS(Log!$C:$C, $A197, Log!$D:$D, H$4, Log!$A:$A, "Daily", Log!$B:$B, "n/a"),
        _xlpm.we_camera_on_date, IFERROR(AVERAGEIFS(Log!$F:$F, Log!$D:$D,H$4, Log!$C:$C, $A197, Log!$A:$A, "Daily", Log!$B:$B, "n/a"), 0),
        _xlpm.ie_camera_on_date, IFERROR(AVERAGEIFS(Log!$G:$G, Log!$D:$D,H$4,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7" s="68" t="str">
        <f>IFERROR(
    _xlfn.LET(
        _xlpm.is_data_present, $A197&lt;&gt;0,
        _xlpm.is_camera_present, COUNTIFS(Log!$C:$C, $A197, Log!$D:$D, I$4, Log!$A:$A, "Daily", Log!$B:$B, "n/a"),
        _xlpm.we_camera_on_date, IFERROR(AVERAGEIFS(Log!$F:$F, Log!$D:$D,I$4, Log!$C:$C, $A197, Log!$A:$A, "Daily", Log!$B:$B, "n/a"), 0),
        _xlpm.ie_camera_on_date, IFERROR(AVERAGEIFS(Log!$G:$G, Log!$D:$D,I$4,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7" s="68" t="str">
        <f>IFERROR(
    _xlfn.LET(
        _xlpm.is_data_present, $A197&lt;&gt;0,
        _xlpm.is_camera_present, COUNTIFS(Log!$C:$C, $A197, Log!$D:$D, J$4, Log!$A:$A, "Daily", Log!$B:$B, "n/a"),
        _xlpm.we_camera_on_date, IFERROR(AVERAGEIFS(Log!$F:$F, Log!$D:$D,J$4, Log!$C:$C, $A197, Log!$A:$A, "Daily", Log!$B:$B, "n/a"), 0),
        _xlpm.ie_camera_on_date, IFERROR(AVERAGEIFS(Log!$G:$G, Log!$D:$D,J$4,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7" s="68" t="str">
        <f>IFERROR(
    _xlfn.LET(
        _xlpm.is_data_present, $A197&lt;&gt;0,
        _xlpm.is_camera_present, COUNTIFS(Log!$C:$C, $A197, Log!$D:$D, K$4, Log!$A:$A, "Daily", Log!$B:$B, "n/a"),
        _xlpm.we_camera_on_date, IFERROR(AVERAGEIFS(Log!$F:$F, Log!$D:$D,K$4, Log!$C:$C, $A197, Log!$A:$A, "Daily", Log!$B:$B, "n/a"), 0),
        _xlpm.ie_camera_on_date, IFERROR(AVERAGEIFS(Log!$G:$G, Log!$D:$D,K$4,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7" s="68" t="str">
        <f>IFERROR(
    _xlfn.LET(
        _xlpm.is_data_present, $A197&lt;&gt;0,
        _xlpm.is_camera_present, COUNTIFS(Log!$C:$C, $A197, Log!$D:$D, L$4, Log!$A:$A, "Daily", Log!$B:$B, "n/a"),
        _xlpm.we_camera_on_date, IFERROR(AVERAGEIFS(Log!$F:$F, Log!$D:$D,L$4, Log!$C:$C, $A197, Log!$A:$A, "Daily", Log!$B:$B, "n/a"), 0),
        _xlpm.ie_camera_on_date, IFERROR(AVERAGEIFS(Log!$G:$G, Log!$D:$D,L$4,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7" s="68" t="str">
        <f>IFERROR(
    _xlfn.LET(
        _xlpm.is_data_present, $A197&lt;&gt;0,
        _xlpm.is_camera_present, COUNTIFS(Log!$C:$C, $A197, Log!$D:$D, M$4, Log!$A:$A, "Daily", Log!$B:$B, "n/a"),
        _xlpm.we_camera_on_date, IFERROR(AVERAGEIFS(Log!$F:$F, Log!$D:$D,M$4, Log!$C:$C, $A197, Log!$A:$A, "Daily", Log!$B:$B, "n/a"), 0),
        _xlpm.ie_camera_on_date, IFERROR(AVERAGEIFS(Log!$G:$G, Log!$D:$D,M$4,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7" s="68" t="str">
        <f>IFERROR(
    _xlfn.LET(
        _xlpm.is_data_present, $A197&lt;&gt;0,
        _xlpm.is_camera_present, COUNTIFS(Log!$C:$C, $A197, Log!$D:$D, N$4, Log!$A:$A, "Daily", Log!$B:$B, "n/a"),
        _xlpm.we_camera_on_date, IFERROR(AVERAGEIFS(Log!$F:$F, Log!$D:$D,N$4, Log!$C:$C, $A197, Log!$A:$A, "Daily", Log!$B:$B, "n/a"), 0),
        _xlpm.ie_camera_on_date, IFERROR(AVERAGEIFS(Log!$G:$G, Log!$D:$D,N$4,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7" s="68" t="str">
        <f>IFERROR(
    _xlfn.LET(
        _xlpm.is_data_present, $A197&lt;&gt;0,
        _xlpm.is_camera_present, COUNTIFS(Log!$C:$C, $A197, Log!$D:$D, O$4, Log!$A:$A, "Daily", Log!$B:$B, "n/a"),
        _xlpm.we_camera_on_date, IFERROR(AVERAGEIFS(Log!$F:$F, Log!$D:$D,O$4, Log!$C:$C, $A197, Log!$A:$A, "Daily", Log!$B:$B, "n/a"), 0),
        _xlpm.ie_camera_on_date, IFERROR(AVERAGEIFS(Log!$G:$G, Log!$D:$D,O$4,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7" s="68" t="str">
        <f>IFERROR(
    _xlfn.LET(
        _xlpm.is_data_present, $A197&lt;&gt;0,
        _xlpm.is_camera_present, COUNTIFS(Log!$C:$C, $A197, Log!$D:$D, P$4, Log!$A:$A, "Daily", Log!$B:$B, "n/a"),
        _xlpm.we_camera_on_date, IFERROR(AVERAGEIFS(Log!$F:$F, Log!$D:$D,P$4, Log!$C:$C, $A197, Log!$A:$A, "Daily", Log!$B:$B, "n/a"), 0),
        _xlpm.ie_camera_on_date, IFERROR(AVERAGEIFS(Log!$G:$G, Log!$D:$D,P$4,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7" s="68" t="str">
        <f>IFERROR(
    _xlfn.LET(
        _xlpm.is_data_present, $A197&lt;&gt;0,
        _xlpm.is_camera_present, COUNTIFS(Log!$C:$C, $A197, Log!$D:$D, Q$4, Log!$A:$A, "Daily", Log!$B:$B, "n/a"),
        _xlpm.we_camera_on_date, IFERROR(AVERAGEIFS(Log!$F:$F, Log!$D:$D,Q$4, Log!$C:$C, $A197, Log!$A:$A, "Daily", Log!$B:$B, "n/a"), 0),
        _xlpm.ie_camera_on_date, IFERROR(AVERAGEIFS(Log!$G:$G, Log!$D:$D,Q$4,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7" s="68" t="str">
        <f>IFERROR(
    _xlfn.LET(
        _xlpm.is_data_present, $A197&lt;&gt;0,
        _xlpm.is_camera_present, COUNTIFS(Log!$C:$C, $A197, Log!$D:$D, R$4, Log!$A:$A, "Daily", Log!$B:$B, "n/a"),
        _xlpm.we_camera_on_date, IFERROR(AVERAGEIFS(Log!$F:$F, Log!$D:$D,R$4, Log!$C:$C, $A197, Log!$A:$A, "Daily", Log!$B:$B, "n/a"), 0),
        _xlpm.ie_camera_on_date, IFERROR(AVERAGEIFS(Log!$G:$G, Log!$D:$D,R$4,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7" s="68" t="str">
        <f>IFERROR(
    _xlfn.LET(
        _xlpm.is_data_present, $A197&lt;&gt;0,
        _xlpm.is_camera_present, COUNTIFS(Log!$C:$C, $A197, Log!$D:$D, S$4, Log!$A:$A, "Daily", Log!$B:$B, "n/a"),
        _xlpm.we_camera_on_date, IFERROR(AVERAGEIFS(Log!$F:$F, Log!$D:$D,S$4, Log!$C:$C, $A197, Log!$A:$A, "Daily", Log!$B:$B, "n/a"), 0),
        _xlpm.ie_camera_on_date, IFERROR(AVERAGEIFS(Log!$G:$G, Log!$D:$D,S$4, Log!$C:$C, $A197, Log!$A:$A, "Daily", Log!$B:$B, "n/a"), 0),
        _xlpm.we_avg, IFERROR(AVERAGEIFS(Log!$F:$F,Log!$C:$C,$A197, Log!$A:$A, "Daily", Log!$B:$B, "n/a"),0),
        _xlpm.ie_avg, IFERROR(AVERAGEIFS(Log!$G:$G,Log!$C:$C,$A197,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8" spans="2:19" x14ac:dyDescent="0.3">
      <c r="B198" s="68" t="str">
        <f>IFERROR(
    _xlfn.LET(
        _xlpm.is_data_present, $A198&lt;&gt;0,
        _xlpm.is_camera_present, COUNTIFS(Log!$C:$C, $A198, Log!$D:$D, B$4, Log!$A:$A, "Daily", Log!$B:$B, "n/a"),
        _xlpm.we_camera_on_date, IFERROR(AVERAGEIFS(Log!$F:$F, Log!$D:$D,B$4, Log!$C:$C, $A198, Log!$A:$A, "Daily", Log!$B:$B, "n/a"), 0),
        _xlpm.ie_camera_on_date, IFERROR(AVERAGEIFS(Log!$G:$G, Log!$D:$D,B$4,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8" s="68" t="str">
        <f>IFERROR(
    _xlfn.LET(
        _xlpm.is_data_present, $A198&lt;&gt;0,
        _xlpm.is_camera_present, COUNTIFS(Log!$C:$C, $A198, Log!$D:$D, C$4, Log!$A:$A, "Daily", Log!$B:$B, "n/a"),
        _xlpm.we_camera_on_date, IFERROR(AVERAGEIFS(Log!$F:$F, Log!$D:$D,C$4, Log!$C:$C, $A198, Log!$A:$A, "Daily", Log!$B:$B, "n/a"), 0),
        _xlpm.ie_camera_on_date, IFERROR(AVERAGEIFS(Log!$G:$G, Log!$D:$D,C$4,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8" s="68" t="str">
        <f>IFERROR(
    _xlfn.LET(
        _xlpm.is_data_present, $A198&lt;&gt;0,
        _xlpm.is_camera_present, COUNTIFS(Log!$C:$C, $A198, Log!$D:$D, D$4, Log!$A:$A, "Daily", Log!$B:$B, "n/a"),
        _xlpm.we_camera_on_date, IFERROR(AVERAGEIFS(Log!$F:$F, Log!$D:$D,D$4, Log!$C:$C, $A198, Log!$A:$A, "Daily", Log!$B:$B, "n/a"), 0),
        _xlpm.ie_camera_on_date, IFERROR(AVERAGEIFS(Log!$G:$G, Log!$D:$D,D$4,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8" s="68" t="str">
        <f>IFERROR(
    _xlfn.LET(
        _xlpm.is_data_present, $A198&lt;&gt;0,
        _xlpm.is_camera_present, COUNTIFS(Log!$C:$C, $A198, Log!$D:$D, E$4, Log!$A:$A, "Daily", Log!$B:$B, "n/a"),
        _xlpm.we_camera_on_date, IFERROR(AVERAGEIFS(Log!$F:$F, Log!$D:$D,E$4, Log!$C:$C, $A198, Log!$A:$A, "Daily", Log!$B:$B, "n/a"), 0),
        _xlpm.ie_camera_on_date, IFERROR(AVERAGEIFS(Log!$G:$G, Log!$D:$D,E$4,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8" s="68" t="str">
        <f>IFERROR(
    _xlfn.LET(
        _xlpm.is_data_present, $A198&lt;&gt;0,
        _xlpm.is_camera_present, COUNTIFS(Log!$C:$C, $A198, Log!$D:$D, F$4, Log!$A:$A, "Daily", Log!$B:$B, "n/a"),
        _xlpm.we_camera_on_date, IFERROR(AVERAGEIFS(Log!$F:$F, Log!$D:$D,F$4, Log!$C:$C, $A198, Log!$A:$A, "Daily", Log!$B:$B, "n/a"), 0),
        _xlpm.ie_camera_on_date, IFERROR(AVERAGEIFS(Log!$G:$G, Log!$D:$D,F$4,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8" s="68" t="str">
        <f>IFERROR(
    _xlfn.LET(
        _xlpm.is_data_present, $A198&lt;&gt;0,
        _xlpm.is_camera_present, COUNTIFS(Log!$C:$C, $A198, Log!$D:$D, G$4, Log!$A:$A, "Daily", Log!$B:$B, "n/a"),
        _xlpm.we_camera_on_date, IFERROR(AVERAGEIFS(Log!$F:$F, Log!$D:$D,G$4, Log!$C:$C, $A198, Log!$A:$A, "Daily", Log!$B:$B, "n/a"), 0),
        _xlpm.ie_camera_on_date, IFERROR(AVERAGEIFS(Log!$G:$G, Log!$D:$D,G$4,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8" s="68" t="str">
        <f>IFERROR(
    _xlfn.LET(
        _xlpm.is_data_present, $A198&lt;&gt;0,
        _xlpm.is_camera_present, COUNTIFS(Log!$C:$C, $A198, Log!$D:$D, H$4, Log!$A:$A, "Daily", Log!$B:$B, "n/a"),
        _xlpm.we_camera_on_date, IFERROR(AVERAGEIFS(Log!$F:$F, Log!$D:$D,H$4, Log!$C:$C, $A198, Log!$A:$A, "Daily", Log!$B:$B, "n/a"), 0),
        _xlpm.ie_camera_on_date, IFERROR(AVERAGEIFS(Log!$G:$G, Log!$D:$D,H$4,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8" s="68" t="str">
        <f>IFERROR(
    _xlfn.LET(
        _xlpm.is_data_present, $A198&lt;&gt;0,
        _xlpm.is_camera_present, COUNTIFS(Log!$C:$C, $A198, Log!$D:$D, I$4, Log!$A:$A, "Daily", Log!$B:$B, "n/a"),
        _xlpm.we_camera_on_date, IFERROR(AVERAGEIFS(Log!$F:$F, Log!$D:$D,I$4, Log!$C:$C, $A198, Log!$A:$A, "Daily", Log!$B:$B, "n/a"), 0),
        _xlpm.ie_camera_on_date, IFERROR(AVERAGEIFS(Log!$G:$G, Log!$D:$D,I$4,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8" s="68" t="str">
        <f>IFERROR(
    _xlfn.LET(
        _xlpm.is_data_present, $A198&lt;&gt;0,
        _xlpm.is_camera_present, COUNTIFS(Log!$C:$C, $A198, Log!$D:$D, J$4, Log!$A:$A, "Daily", Log!$B:$B, "n/a"),
        _xlpm.we_camera_on_date, IFERROR(AVERAGEIFS(Log!$F:$F, Log!$D:$D,J$4, Log!$C:$C, $A198, Log!$A:$A, "Daily", Log!$B:$B, "n/a"), 0),
        _xlpm.ie_camera_on_date, IFERROR(AVERAGEIFS(Log!$G:$G, Log!$D:$D,J$4,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8" s="68" t="str">
        <f>IFERROR(
    _xlfn.LET(
        _xlpm.is_data_present, $A198&lt;&gt;0,
        _xlpm.is_camera_present, COUNTIFS(Log!$C:$C, $A198, Log!$D:$D, K$4, Log!$A:$A, "Daily", Log!$B:$B, "n/a"),
        _xlpm.we_camera_on_date, IFERROR(AVERAGEIFS(Log!$F:$F, Log!$D:$D,K$4, Log!$C:$C, $A198, Log!$A:$A, "Daily", Log!$B:$B, "n/a"), 0),
        _xlpm.ie_camera_on_date, IFERROR(AVERAGEIFS(Log!$G:$G, Log!$D:$D,K$4,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8" s="68" t="str">
        <f>IFERROR(
    _xlfn.LET(
        _xlpm.is_data_present, $A198&lt;&gt;0,
        _xlpm.is_camera_present, COUNTIFS(Log!$C:$C, $A198, Log!$D:$D, L$4, Log!$A:$A, "Daily", Log!$B:$B, "n/a"),
        _xlpm.we_camera_on_date, IFERROR(AVERAGEIFS(Log!$F:$F, Log!$D:$D,L$4, Log!$C:$C, $A198, Log!$A:$A, "Daily", Log!$B:$B, "n/a"), 0),
        _xlpm.ie_camera_on_date, IFERROR(AVERAGEIFS(Log!$G:$G, Log!$D:$D,L$4,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8" s="68" t="str">
        <f>IFERROR(
    _xlfn.LET(
        _xlpm.is_data_present, $A198&lt;&gt;0,
        _xlpm.is_camera_present, COUNTIFS(Log!$C:$C, $A198, Log!$D:$D, M$4, Log!$A:$A, "Daily", Log!$B:$B, "n/a"),
        _xlpm.we_camera_on_date, IFERROR(AVERAGEIFS(Log!$F:$F, Log!$D:$D,M$4, Log!$C:$C, $A198, Log!$A:$A, "Daily", Log!$B:$B, "n/a"), 0),
        _xlpm.ie_camera_on_date, IFERROR(AVERAGEIFS(Log!$G:$G, Log!$D:$D,M$4,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8" s="68" t="str">
        <f>IFERROR(
    _xlfn.LET(
        _xlpm.is_data_present, $A198&lt;&gt;0,
        _xlpm.is_camera_present, COUNTIFS(Log!$C:$C, $A198, Log!$D:$D, N$4, Log!$A:$A, "Daily", Log!$B:$B, "n/a"),
        _xlpm.we_camera_on_date, IFERROR(AVERAGEIFS(Log!$F:$F, Log!$D:$D,N$4, Log!$C:$C, $A198, Log!$A:$A, "Daily", Log!$B:$B, "n/a"), 0),
        _xlpm.ie_camera_on_date, IFERROR(AVERAGEIFS(Log!$G:$G, Log!$D:$D,N$4,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8" s="68" t="str">
        <f>IFERROR(
    _xlfn.LET(
        _xlpm.is_data_present, $A198&lt;&gt;0,
        _xlpm.is_camera_present, COUNTIFS(Log!$C:$C, $A198, Log!$D:$D, O$4, Log!$A:$A, "Daily", Log!$B:$B, "n/a"),
        _xlpm.we_camera_on_date, IFERROR(AVERAGEIFS(Log!$F:$F, Log!$D:$D,O$4, Log!$C:$C, $A198, Log!$A:$A, "Daily", Log!$B:$B, "n/a"), 0),
        _xlpm.ie_camera_on_date, IFERROR(AVERAGEIFS(Log!$G:$G, Log!$D:$D,O$4,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8" s="68" t="str">
        <f>IFERROR(
    _xlfn.LET(
        _xlpm.is_data_present, $A198&lt;&gt;0,
        _xlpm.is_camera_present, COUNTIFS(Log!$C:$C, $A198, Log!$D:$D, P$4, Log!$A:$A, "Daily", Log!$B:$B, "n/a"),
        _xlpm.we_camera_on_date, IFERROR(AVERAGEIFS(Log!$F:$F, Log!$D:$D,P$4, Log!$C:$C, $A198, Log!$A:$A, "Daily", Log!$B:$B, "n/a"), 0),
        _xlpm.ie_camera_on_date, IFERROR(AVERAGEIFS(Log!$G:$G, Log!$D:$D,P$4,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8" s="68" t="str">
        <f>IFERROR(
    _xlfn.LET(
        _xlpm.is_data_present, $A198&lt;&gt;0,
        _xlpm.is_camera_present, COUNTIFS(Log!$C:$C, $A198, Log!$D:$D, Q$4, Log!$A:$A, "Daily", Log!$B:$B, "n/a"),
        _xlpm.we_camera_on_date, IFERROR(AVERAGEIFS(Log!$F:$F, Log!$D:$D,Q$4, Log!$C:$C, $A198, Log!$A:$A, "Daily", Log!$B:$B, "n/a"), 0),
        _xlpm.ie_camera_on_date, IFERROR(AVERAGEIFS(Log!$G:$G, Log!$D:$D,Q$4,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8" s="68" t="str">
        <f>IFERROR(
    _xlfn.LET(
        _xlpm.is_data_present, $A198&lt;&gt;0,
        _xlpm.is_camera_present, COUNTIFS(Log!$C:$C, $A198, Log!$D:$D, R$4, Log!$A:$A, "Daily", Log!$B:$B, "n/a"),
        _xlpm.we_camera_on_date, IFERROR(AVERAGEIFS(Log!$F:$F, Log!$D:$D,R$4, Log!$C:$C, $A198, Log!$A:$A, "Daily", Log!$B:$B, "n/a"), 0),
        _xlpm.ie_camera_on_date, IFERROR(AVERAGEIFS(Log!$G:$G, Log!$D:$D,R$4,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8" s="68" t="str">
        <f>IFERROR(
    _xlfn.LET(
        _xlpm.is_data_present, $A198&lt;&gt;0,
        _xlpm.is_camera_present, COUNTIFS(Log!$C:$C, $A198, Log!$D:$D, S$4, Log!$A:$A, "Daily", Log!$B:$B, "n/a"),
        _xlpm.we_camera_on_date, IFERROR(AVERAGEIFS(Log!$F:$F, Log!$D:$D,S$4, Log!$C:$C, $A198, Log!$A:$A, "Daily", Log!$B:$B, "n/a"), 0),
        _xlpm.ie_camera_on_date, IFERROR(AVERAGEIFS(Log!$G:$G, Log!$D:$D,S$4, Log!$C:$C, $A198, Log!$A:$A, "Daily", Log!$B:$B, "n/a"), 0),
        _xlpm.we_avg, IFERROR(AVERAGEIFS(Log!$F:$F,Log!$C:$C,$A198, Log!$A:$A, "Daily", Log!$B:$B, "n/a"),0),
        _xlpm.ie_avg, IFERROR(AVERAGEIFS(Log!$G:$G,Log!$C:$C,$A198,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199" spans="2:19" x14ac:dyDescent="0.3">
      <c r="B199" s="68" t="str">
        <f>IFERROR(
    _xlfn.LET(
        _xlpm.is_data_present, $A199&lt;&gt;0,
        _xlpm.is_camera_present, COUNTIFS(Log!$C:$C, $A199, Log!$D:$D, B$4, Log!$A:$A, "Daily", Log!$B:$B, "n/a"),
        _xlpm.we_camera_on_date, IFERROR(AVERAGEIFS(Log!$F:$F, Log!$D:$D,B$4, Log!$C:$C, $A199, Log!$A:$A, "Daily", Log!$B:$B, "n/a"), 0),
        _xlpm.ie_camera_on_date, IFERROR(AVERAGEIFS(Log!$G:$G, Log!$D:$D,B$4,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199" s="68" t="str">
        <f>IFERROR(
    _xlfn.LET(
        _xlpm.is_data_present, $A199&lt;&gt;0,
        _xlpm.is_camera_present, COUNTIFS(Log!$C:$C, $A199, Log!$D:$D, C$4, Log!$A:$A, "Daily", Log!$B:$B, "n/a"),
        _xlpm.we_camera_on_date, IFERROR(AVERAGEIFS(Log!$F:$F, Log!$D:$D,C$4, Log!$C:$C, $A199, Log!$A:$A, "Daily", Log!$B:$B, "n/a"), 0),
        _xlpm.ie_camera_on_date, IFERROR(AVERAGEIFS(Log!$G:$G, Log!$D:$D,C$4,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199" s="68" t="str">
        <f>IFERROR(
    _xlfn.LET(
        _xlpm.is_data_present, $A199&lt;&gt;0,
        _xlpm.is_camera_present, COUNTIFS(Log!$C:$C, $A199, Log!$D:$D, D$4, Log!$A:$A, "Daily", Log!$B:$B, "n/a"),
        _xlpm.we_camera_on_date, IFERROR(AVERAGEIFS(Log!$F:$F, Log!$D:$D,D$4, Log!$C:$C, $A199, Log!$A:$A, "Daily", Log!$B:$B, "n/a"), 0),
        _xlpm.ie_camera_on_date, IFERROR(AVERAGEIFS(Log!$G:$G, Log!$D:$D,D$4,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199" s="68" t="str">
        <f>IFERROR(
    _xlfn.LET(
        _xlpm.is_data_present, $A199&lt;&gt;0,
        _xlpm.is_camera_present, COUNTIFS(Log!$C:$C, $A199, Log!$D:$D, E$4, Log!$A:$A, "Daily", Log!$B:$B, "n/a"),
        _xlpm.we_camera_on_date, IFERROR(AVERAGEIFS(Log!$F:$F, Log!$D:$D,E$4, Log!$C:$C, $A199, Log!$A:$A, "Daily", Log!$B:$B, "n/a"), 0),
        _xlpm.ie_camera_on_date, IFERROR(AVERAGEIFS(Log!$G:$G, Log!$D:$D,E$4,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199" s="68" t="str">
        <f>IFERROR(
    _xlfn.LET(
        _xlpm.is_data_present, $A199&lt;&gt;0,
        _xlpm.is_camera_present, COUNTIFS(Log!$C:$C, $A199, Log!$D:$D, F$4, Log!$A:$A, "Daily", Log!$B:$B, "n/a"),
        _xlpm.we_camera_on_date, IFERROR(AVERAGEIFS(Log!$F:$F, Log!$D:$D,F$4, Log!$C:$C, $A199, Log!$A:$A, "Daily", Log!$B:$B, "n/a"), 0),
        _xlpm.ie_camera_on_date, IFERROR(AVERAGEIFS(Log!$G:$G, Log!$D:$D,F$4,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199" s="68" t="str">
        <f>IFERROR(
    _xlfn.LET(
        _xlpm.is_data_present, $A199&lt;&gt;0,
        _xlpm.is_camera_present, COUNTIFS(Log!$C:$C, $A199, Log!$D:$D, G$4, Log!$A:$A, "Daily", Log!$B:$B, "n/a"),
        _xlpm.we_camera_on_date, IFERROR(AVERAGEIFS(Log!$F:$F, Log!$D:$D,G$4, Log!$C:$C, $A199, Log!$A:$A, "Daily", Log!$B:$B, "n/a"), 0),
        _xlpm.ie_camera_on_date, IFERROR(AVERAGEIFS(Log!$G:$G, Log!$D:$D,G$4,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199" s="68" t="str">
        <f>IFERROR(
    _xlfn.LET(
        _xlpm.is_data_present, $A199&lt;&gt;0,
        _xlpm.is_camera_present, COUNTIFS(Log!$C:$C, $A199, Log!$D:$D, H$4, Log!$A:$A, "Daily", Log!$B:$B, "n/a"),
        _xlpm.we_camera_on_date, IFERROR(AVERAGEIFS(Log!$F:$F, Log!$D:$D,H$4, Log!$C:$C, $A199, Log!$A:$A, "Daily", Log!$B:$B, "n/a"), 0),
        _xlpm.ie_camera_on_date, IFERROR(AVERAGEIFS(Log!$G:$G, Log!$D:$D,H$4,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199" s="68" t="str">
        <f>IFERROR(
    _xlfn.LET(
        _xlpm.is_data_present, $A199&lt;&gt;0,
        _xlpm.is_camera_present, COUNTIFS(Log!$C:$C, $A199, Log!$D:$D, I$4, Log!$A:$A, "Daily", Log!$B:$B, "n/a"),
        _xlpm.we_camera_on_date, IFERROR(AVERAGEIFS(Log!$F:$F, Log!$D:$D,I$4, Log!$C:$C, $A199, Log!$A:$A, "Daily", Log!$B:$B, "n/a"), 0),
        _xlpm.ie_camera_on_date, IFERROR(AVERAGEIFS(Log!$G:$G, Log!$D:$D,I$4,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199" s="68" t="str">
        <f>IFERROR(
    _xlfn.LET(
        _xlpm.is_data_present, $A199&lt;&gt;0,
        _xlpm.is_camera_present, COUNTIFS(Log!$C:$C, $A199, Log!$D:$D, J$4, Log!$A:$A, "Daily", Log!$B:$B, "n/a"),
        _xlpm.we_camera_on_date, IFERROR(AVERAGEIFS(Log!$F:$F, Log!$D:$D,J$4, Log!$C:$C, $A199, Log!$A:$A, "Daily", Log!$B:$B, "n/a"), 0),
        _xlpm.ie_camera_on_date, IFERROR(AVERAGEIFS(Log!$G:$G, Log!$D:$D,J$4,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199" s="68" t="str">
        <f>IFERROR(
    _xlfn.LET(
        _xlpm.is_data_present, $A199&lt;&gt;0,
        _xlpm.is_camera_present, COUNTIFS(Log!$C:$C, $A199, Log!$D:$D, K$4, Log!$A:$A, "Daily", Log!$B:$B, "n/a"),
        _xlpm.we_camera_on_date, IFERROR(AVERAGEIFS(Log!$F:$F, Log!$D:$D,K$4, Log!$C:$C, $A199, Log!$A:$A, "Daily", Log!$B:$B, "n/a"), 0),
        _xlpm.ie_camera_on_date, IFERROR(AVERAGEIFS(Log!$G:$G, Log!$D:$D,K$4,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199" s="68" t="str">
        <f>IFERROR(
    _xlfn.LET(
        _xlpm.is_data_present, $A199&lt;&gt;0,
        _xlpm.is_camera_present, COUNTIFS(Log!$C:$C, $A199, Log!$D:$D, L$4, Log!$A:$A, "Daily", Log!$B:$B, "n/a"),
        _xlpm.we_camera_on_date, IFERROR(AVERAGEIFS(Log!$F:$F, Log!$D:$D,L$4, Log!$C:$C, $A199, Log!$A:$A, "Daily", Log!$B:$B, "n/a"), 0),
        _xlpm.ie_camera_on_date, IFERROR(AVERAGEIFS(Log!$G:$G, Log!$D:$D,L$4,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199" s="68" t="str">
        <f>IFERROR(
    _xlfn.LET(
        _xlpm.is_data_present, $A199&lt;&gt;0,
        _xlpm.is_camera_present, COUNTIFS(Log!$C:$C, $A199, Log!$D:$D, M$4, Log!$A:$A, "Daily", Log!$B:$B, "n/a"),
        _xlpm.we_camera_on_date, IFERROR(AVERAGEIFS(Log!$F:$F, Log!$D:$D,M$4, Log!$C:$C, $A199, Log!$A:$A, "Daily", Log!$B:$B, "n/a"), 0),
        _xlpm.ie_camera_on_date, IFERROR(AVERAGEIFS(Log!$G:$G, Log!$D:$D,M$4,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199" s="68" t="str">
        <f>IFERROR(
    _xlfn.LET(
        _xlpm.is_data_present, $A199&lt;&gt;0,
        _xlpm.is_camera_present, COUNTIFS(Log!$C:$C, $A199, Log!$D:$D, N$4, Log!$A:$A, "Daily", Log!$B:$B, "n/a"),
        _xlpm.we_camera_on_date, IFERROR(AVERAGEIFS(Log!$F:$F, Log!$D:$D,N$4, Log!$C:$C, $A199, Log!$A:$A, "Daily", Log!$B:$B, "n/a"), 0),
        _xlpm.ie_camera_on_date, IFERROR(AVERAGEIFS(Log!$G:$G, Log!$D:$D,N$4,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199" s="68" t="str">
        <f>IFERROR(
    _xlfn.LET(
        _xlpm.is_data_present, $A199&lt;&gt;0,
        _xlpm.is_camera_present, COUNTIFS(Log!$C:$C, $A199, Log!$D:$D, O$4, Log!$A:$A, "Daily", Log!$B:$B, "n/a"),
        _xlpm.we_camera_on_date, IFERROR(AVERAGEIFS(Log!$F:$F, Log!$D:$D,O$4, Log!$C:$C, $A199, Log!$A:$A, "Daily", Log!$B:$B, "n/a"), 0),
        _xlpm.ie_camera_on_date, IFERROR(AVERAGEIFS(Log!$G:$G, Log!$D:$D,O$4,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199" s="68" t="str">
        <f>IFERROR(
    _xlfn.LET(
        _xlpm.is_data_present, $A199&lt;&gt;0,
        _xlpm.is_camera_present, COUNTIFS(Log!$C:$C, $A199, Log!$D:$D, P$4, Log!$A:$A, "Daily", Log!$B:$B, "n/a"),
        _xlpm.we_camera_on_date, IFERROR(AVERAGEIFS(Log!$F:$F, Log!$D:$D,P$4, Log!$C:$C, $A199, Log!$A:$A, "Daily", Log!$B:$B, "n/a"), 0),
        _xlpm.ie_camera_on_date, IFERROR(AVERAGEIFS(Log!$G:$G, Log!$D:$D,P$4,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199" s="68" t="str">
        <f>IFERROR(
    _xlfn.LET(
        _xlpm.is_data_present, $A199&lt;&gt;0,
        _xlpm.is_camera_present, COUNTIFS(Log!$C:$C, $A199, Log!$D:$D, Q$4, Log!$A:$A, "Daily", Log!$B:$B, "n/a"),
        _xlpm.we_camera_on_date, IFERROR(AVERAGEIFS(Log!$F:$F, Log!$D:$D,Q$4, Log!$C:$C, $A199, Log!$A:$A, "Daily", Log!$B:$B, "n/a"), 0),
        _xlpm.ie_camera_on_date, IFERROR(AVERAGEIFS(Log!$G:$G, Log!$D:$D,Q$4,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199" s="68" t="str">
        <f>IFERROR(
    _xlfn.LET(
        _xlpm.is_data_present, $A199&lt;&gt;0,
        _xlpm.is_camera_present, COUNTIFS(Log!$C:$C, $A199, Log!$D:$D, R$4, Log!$A:$A, "Daily", Log!$B:$B, "n/a"),
        _xlpm.we_camera_on_date, IFERROR(AVERAGEIFS(Log!$F:$F, Log!$D:$D,R$4, Log!$C:$C, $A199, Log!$A:$A, "Daily", Log!$B:$B, "n/a"), 0),
        _xlpm.ie_camera_on_date, IFERROR(AVERAGEIFS(Log!$G:$G, Log!$D:$D,R$4,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199" s="68" t="str">
        <f>IFERROR(
    _xlfn.LET(
        _xlpm.is_data_present, $A199&lt;&gt;0,
        _xlpm.is_camera_present, COUNTIFS(Log!$C:$C, $A199, Log!$D:$D, S$4, Log!$A:$A, "Daily", Log!$B:$B, "n/a"),
        _xlpm.we_camera_on_date, IFERROR(AVERAGEIFS(Log!$F:$F, Log!$D:$D,S$4, Log!$C:$C, $A199, Log!$A:$A, "Daily", Log!$B:$B, "n/a"), 0),
        _xlpm.ie_camera_on_date, IFERROR(AVERAGEIFS(Log!$G:$G, Log!$D:$D,S$4, Log!$C:$C, $A199, Log!$A:$A, "Daily", Log!$B:$B, "n/a"), 0),
        _xlpm.we_avg, IFERROR(AVERAGEIFS(Log!$F:$F,Log!$C:$C,$A199, Log!$A:$A, "Daily", Log!$B:$B, "n/a"),0),
        _xlpm.ie_avg, IFERROR(AVERAGEIFS(Log!$G:$G,Log!$C:$C,$A199,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0" spans="2:19" x14ac:dyDescent="0.3">
      <c r="B200" s="68" t="str">
        <f>IFERROR(
    _xlfn.LET(
        _xlpm.is_data_present, $A200&lt;&gt;0,
        _xlpm.is_camera_present, COUNTIFS(Log!$C:$C, $A200, Log!$D:$D, B$4, Log!$A:$A, "Daily", Log!$B:$B, "n/a"),
        _xlpm.we_camera_on_date, IFERROR(AVERAGEIFS(Log!$F:$F, Log!$D:$D,B$4, Log!$C:$C, $A200, Log!$A:$A, "Daily", Log!$B:$B, "n/a"), 0),
        _xlpm.ie_camera_on_date, IFERROR(AVERAGEIFS(Log!$G:$G, Log!$D:$D,B$4,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0" s="68" t="str">
        <f>IFERROR(
    _xlfn.LET(
        _xlpm.is_data_present, $A200&lt;&gt;0,
        _xlpm.is_camera_present, COUNTIFS(Log!$C:$C, $A200, Log!$D:$D, C$4, Log!$A:$A, "Daily", Log!$B:$B, "n/a"),
        _xlpm.we_camera_on_date, IFERROR(AVERAGEIFS(Log!$F:$F, Log!$D:$D,C$4, Log!$C:$C, $A200, Log!$A:$A, "Daily", Log!$B:$B, "n/a"), 0),
        _xlpm.ie_camera_on_date, IFERROR(AVERAGEIFS(Log!$G:$G, Log!$D:$D,C$4,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0" s="68" t="str">
        <f>IFERROR(
    _xlfn.LET(
        _xlpm.is_data_present, $A200&lt;&gt;0,
        _xlpm.is_camera_present, COUNTIFS(Log!$C:$C, $A200, Log!$D:$D, D$4, Log!$A:$A, "Daily", Log!$B:$B, "n/a"),
        _xlpm.we_camera_on_date, IFERROR(AVERAGEIFS(Log!$F:$F, Log!$D:$D,D$4, Log!$C:$C, $A200, Log!$A:$A, "Daily", Log!$B:$B, "n/a"), 0),
        _xlpm.ie_camera_on_date, IFERROR(AVERAGEIFS(Log!$G:$G, Log!$D:$D,D$4,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0" s="68" t="str">
        <f>IFERROR(
    _xlfn.LET(
        _xlpm.is_data_present, $A200&lt;&gt;0,
        _xlpm.is_camera_present, COUNTIFS(Log!$C:$C, $A200, Log!$D:$D, E$4, Log!$A:$A, "Daily", Log!$B:$B, "n/a"),
        _xlpm.we_camera_on_date, IFERROR(AVERAGEIFS(Log!$F:$F, Log!$D:$D,E$4, Log!$C:$C, $A200, Log!$A:$A, "Daily", Log!$B:$B, "n/a"), 0),
        _xlpm.ie_camera_on_date, IFERROR(AVERAGEIFS(Log!$G:$G, Log!$D:$D,E$4,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0" s="68" t="str">
        <f>IFERROR(
    _xlfn.LET(
        _xlpm.is_data_present, $A200&lt;&gt;0,
        _xlpm.is_camera_present, COUNTIFS(Log!$C:$C, $A200, Log!$D:$D, F$4, Log!$A:$A, "Daily", Log!$B:$B, "n/a"),
        _xlpm.we_camera_on_date, IFERROR(AVERAGEIFS(Log!$F:$F, Log!$D:$D,F$4, Log!$C:$C, $A200, Log!$A:$A, "Daily", Log!$B:$B, "n/a"), 0),
        _xlpm.ie_camera_on_date, IFERROR(AVERAGEIFS(Log!$G:$G, Log!$D:$D,F$4,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0" s="68" t="str">
        <f>IFERROR(
    _xlfn.LET(
        _xlpm.is_data_present, $A200&lt;&gt;0,
        _xlpm.is_camera_present, COUNTIFS(Log!$C:$C, $A200, Log!$D:$D, G$4, Log!$A:$A, "Daily", Log!$B:$B, "n/a"),
        _xlpm.we_camera_on_date, IFERROR(AVERAGEIFS(Log!$F:$F, Log!$D:$D,G$4, Log!$C:$C, $A200, Log!$A:$A, "Daily", Log!$B:$B, "n/a"), 0),
        _xlpm.ie_camera_on_date, IFERROR(AVERAGEIFS(Log!$G:$G, Log!$D:$D,G$4,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0" s="68" t="str">
        <f>IFERROR(
    _xlfn.LET(
        _xlpm.is_data_present, $A200&lt;&gt;0,
        _xlpm.is_camera_present, COUNTIFS(Log!$C:$C, $A200, Log!$D:$D, H$4, Log!$A:$A, "Daily", Log!$B:$B, "n/a"),
        _xlpm.we_camera_on_date, IFERROR(AVERAGEIFS(Log!$F:$F, Log!$D:$D,H$4, Log!$C:$C, $A200, Log!$A:$A, "Daily", Log!$B:$B, "n/a"), 0),
        _xlpm.ie_camera_on_date, IFERROR(AVERAGEIFS(Log!$G:$G, Log!$D:$D,H$4,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0" s="68" t="str">
        <f>IFERROR(
    _xlfn.LET(
        _xlpm.is_data_present, $A200&lt;&gt;0,
        _xlpm.is_camera_present, COUNTIFS(Log!$C:$C, $A200, Log!$D:$D, I$4, Log!$A:$A, "Daily", Log!$B:$B, "n/a"),
        _xlpm.we_camera_on_date, IFERROR(AVERAGEIFS(Log!$F:$F, Log!$D:$D,I$4, Log!$C:$C, $A200, Log!$A:$A, "Daily", Log!$B:$B, "n/a"), 0),
        _xlpm.ie_camera_on_date, IFERROR(AVERAGEIFS(Log!$G:$G, Log!$D:$D,I$4,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0" s="68" t="str">
        <f>IFERROR(
    _xlfn.LET(
        _xlpm.is_data_present, $A200&lt;&gt;0,
        _xlpm.is_camera_present, COUNTIFS(Log!$C:$C, $A200, Log!$D:$D, J$4, Log!$A:$A, "Daily", Log!$B:$B, "n/a"),
        _xlpm.we_camera_on_date, IFERROR(AVERAGEIFS(Log!$F:$F, Log!$D:$D,J$4, Log!$C:$C, $A200, Log!$A:$A, "Daily", Log!$B:$B, "n/a"), 0),
        _xlpm.ie_camera_on_date, IFERROR(AVERAGEIFS(Log!$G:$G, Log!$D:$D,J$4,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0" s="68" t="str">
        <f>IFERROR(
    _xlfn.LET(
        _xlpm.is_data_present, $A200&lt;&gt;0,
        _xlpm.is_camera_present, COUNTIFS(Log!$C:$C, $A200, Log!$D:$D, K$4, Log!$A:$A, "Daily", Log!$B:$B, "n/a"),
        _xlpm.we_camera_on_date, IFERROR(AVERAGEIFS(Log!$F:$F, Log!$D:$D,K$4, Log!$C:$C, $A200, Log!$A:$A, "Daily", Log!$B:$B, "n/a"), 0),
        _xlpm.ie_camera_on_date, IFERROR(AVERAGEIFS(Log!$G:$G, Log!$D:$D,K$4,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0" s="68" t="str">
        <f>IFERROR(
    _xlfn.LET(
        _xlpm.is_data_present, $A200&lt;&gt;0,
        _xlpm.is_camera_present, COUNTIFS(Log!$C:$C, $A200, Log!$D:$D, L$4, Log!$A:$A, "Daily", Log!$B:$B, "n/a"),
        _xlpm.we_camera_on_date, IFERROR(AVERAGEIFS(Log!$F:$F, Log!$D:$D,L$4, Log!$C:$C, $A200, Log!$A:$A, "Daily", Log!$B:$B, "n/a"), 0),
        _xlpm.ie_camera_on_date, IFERROR(AVERAGEIFS(Log!$G:$G, Log!$D:$D,L$4,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0" s="68" t="str">
        <f>IFERROR(
    _xlfn.LET(
        _xlpm.is_data_present, $A200&lt;&gt;0,
        _xlpm.is_camera_present, COUNTIFS(Log!$C:$C, $A200, Log!$D:$D, M$4, Log!$A:$A, "Daily", Log!$B:$B, "n/a"),
        _xlpm.we_camera_on_date, IFERROR(AVERAGEIFS(Log!$F:$F, Log!$D:$D,M$4, Log!$C:$C, $A200, Log!$A:$A, "Daily", Log!$B:$B, "n/a"), 0),
        _xlpm.ie_camera_on_date, IFERROR(AVERAGEIFS(Log!$G:$G, Log!$D:$D,M$4,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0" s="68" t="str">
        <f>IFERROR(
    _xlfn.LET(
        _xlpm.is_data_present, $A200&lt;&gt;0,
        _xlpm.is_camera_present, COUNTIFS(Log!$C:$C, $A200, Log!$D:$D, N$4, Log!$A:$A, "Daily", Log!$B:$B, "n/a"),
        _xlpm.we_camera_on_date, IFERROR(AVERAGEIFS(Log!$F:$F, Log!$D:$D,N$4, Log!$C:$C, $A200, Log!$A:$A, "Daily", Log!$B:$B, "n/a"), 0),
        _xlpm.ie_camera_on_date, IFERROR(AVERAGEIFS(Log!$G:$G, Log!$D:$D,N$4,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0" s="68" t="str">
        <f>IFERROR(
    _xlfn.LET(
        _xlpm.is_data_present, $A200&lt;&gt;0,
        _xlpm.is_camera_present, COUNTIFS(Log!$C:$C, $A200, Log!$D:$D, O$4, Log!$A:$A, "Daily", Log!$B:$B, "n/a"),
        _xlpm.we_camera_on_date, IFERROR(AVERAGEIFS(Log!$F:$F, Log!$D:$D,O$4, Log!$C:$C, $A200, Log!$A:$A, "Daily", Log!$B:$B, "n/a"), 0),
        _xlpm.ie_camera_on_date, IFERROR(AVERAGEIFS(Log!$G:$G, Log!$D:$D,O$4,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0" s="68" t="str">
        <f>IFERROR(
    _xlfn.LET(
        _xlpm.is_data_present, $A200&lt;&gt;0,
        _xlpm.is_camera_present, COUNTIFS(Log!$C:$C, $A200, Log!$D:$D, P$4, Log!$A:$A, "Daily", Log!$B:$B, "n/a"),
        _xlpm.we_camera_on_date, IFERROR(AVERAGEIFS(Log!$F:$F, Log!$D:$D,P$4, Log!$C:$C, $A200, Log!$A:$A, "Daily", Log!$B:$B, "n/a"), 0),
        _xlpm.ie_camera_on_date, IFERROR(AVERAGEIFS(Log!$G:$G, Log!$D:$D,P$4,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0" s="68" t="str">
        <f>IFERROR(
    _xlfn.LET(
        _xlpm.is_data_present, $A200&lt;&gt;0,
        _xlpm.is_camera_present, COUNTIFS(Log!$C:$C, $A200, Log!$D:$D, Q$4, Log!$A:$A, "Daily", Log!$B:$B, "n/a"),
        _xlpm.we_camera_on_date, IFERROR(AVERAGEIFS(Log!$F:$F, Log!$D:$D,Q$4, Log!$C:$C, $A200, Log!$A:$A, "Daily", Log!$B:$B, "n/a"), 0),
        _xlpm.ie_camera_on_date, IFERROR(AVERAGEIFS(Log!$G:$G, Log!$D:$D,Q$4,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0" s="68" t="str">
        <f>IFERROR(
    _xlfn.LET(
        _xlpm.is_data_present, $A200&lt;&gt;0,
        _xlpm.is_camera_present, COUNTIFS(Log!$C:$C, $A200, Log!$D:$D, R$4, Log!$A:$A, "Daily", Log!$B:$B, "n/a"),
        _xlpm.we_camera_on_date, IFERROR(AVERAGEIFS(Log!$F:$F, Log!$D:$D,R$4, Log!$C:$C, $A200, Log!$A:$A, "Daily", Log!$B:$B, "n/a"), 0),
        _xlpm.ie_camera_on_date, IFERROR(AVERAGEIFS(Log!$G:$G, Log!$D:$D,R$4,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0" s="68" t="str">
        <f>IFERROR(
    _xlfn.LET(
        _xlpm.is_data_present, $A200&lt;&gt;0,
        _xlpm.is_camera_present, COUNTIFS(Log!$C:$C, $A200, Log!$D:$D, S$4, Log!$A:$A, "Daily", Log!$B:$B, "n/a"),
        _xlpm.we_camera_on_date, IFERROR(AVERAGEIFS(Log!$F:$F, Log!$D:$D,S$4, Log!$C:$C, $A200, Log!$A:$A, "Daily", Log!$B:$B, "n/a"), 0),
        _xlpm.ie_camera_on_date, IFERROR(AVERAGEIFS(Log!$G:$G, Log!$D:$D,S$4, Log!$C:$C, $A200, Log!$A:$A, "Daily", Log!$B:$B, "n/a"), 0),
        _xlpm.we_avg, IFERROR(AVERAGEIFS(Log!$F:$F,Log!$C:$C,$A200, Log!$A:$A, "Daily", Log!$B:$B, "n/a"),0),
        _xlpm.ie_avg, IFERROR(AVERAGEIFS(Log!$G:$G,Log!$C:$C,$A200,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1" spans="2:19" x14ac:dyDescent="0.3">
      <c r="B201" s="68" t="str">
        <f>IFERROR(
    _xlfn.LET(
        _xlpm.is_data_present, $A201&lt;&gt;0,
        _xlpm.is_camera_present, COUNTIFS(Log!$C:$C, $A201, Log!$D:$D, B$4, Log!$A:$A, "Daily", Log!$B:$B, "n/a"),
        _xlpm.we_camera_on_date, IFERROR(AVERAGEIFS(Log!$F:$F, Log!$D:$D,B$4, Log!$C:$C, $A201, Log!$A:$A, "Daily", Log!$B:$B, "n/a"), 0),
        _xlpm.ie_camera_on_date, IFERROR(AVERAGEIFS(Log!$G:$G, Log!$D:$D,B$4,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1" s="68" t="str">
        <f>IFERROR(
    _xlfn.LET(
        _xlpm.is_data_present, $A201&lt;&gt;0,
        _xlpm.is_camera_present, COUNTIFS(Log!$C:$C, $A201, Log!$D:$D, C$4, Log!$A:$A, "Daily", Log!$B:$B, "n/a"),
        _xlpm.we_camera_on_date, IFERROR(AVERAGEIFS(Log!$F:$F, Log!$D:$D,C$4, Log!$C:$C, $A201, Log!$A:$A, "Daily", Log!$B:$B, "n/a"), 0),
        _xlpm.ie_camera_on_date, IFERROR(AVERAGEIFS(Log!$G:$G, Log!$D:$D,C$4,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1" s="68" t="str">
        <f>IFERROR(
    _xlfn.LET(
        _xlpm.is_data_present, $A201&lt;&gt;0,
        _xlpm.is_camera_present, COUNTIFS(Log!$C:$C, $A201, Log!$D:$D, D$4, Log!$A:$A, "Daily", Log!$B:$B, "n/a"),
        _xlpm.we_camera_on_date, IFERROR(AVERAGEIFS(Log!$F:$F, Log!$D:$D,D$4, Log!$C:$C, $A201, Log!$A:$A, "Daily", Log!$B:$B, "n/a"), 0),
        _xlpm.ie_camera_on_date, IFERROR(AVERAGEIFS(Log!$G:$G, Log!$D:$D,D$4,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1" s="68" t="str">
        <f>IFERROR(
    _xlfn.LET(
        _xlpm.is_data_present, $A201&lt;&gt;0,
        _xlpm.is_camera_present, COUNTIFS(Log!$C:$C, $A201, Log!$D:$D, E$4, Log!$A:$A, "Daily", Log!$B:$B, "n/a"),
        _xlpm.we_camera_on_date, IFERROR(AVERAGEIFS(Log!$F:$F, Log!$D:$D,E$4, Log!$C:$C, $A201, Log!$A:$A, "Daily", Log!$B:$B, "n/a"), 0),
        _xlpm.ie_camera_on_date, IFERROR(AVERAGEIFS(Log!$G:$G, Log!$D:$D,E$4,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1" s="68" t="str">
        <f>IFERROR(
    _xlfn.LET(
        _xlpm.is_data_present, $A201&lt;&gt;0,
        _xlpm.is_camera_present, COUNTIFS(Log!$C:$C, $A201, Log!$D:$D, F$4, Log!$A:$A, "Daily", Log!$B:$B, "n/a"),
        _xlpm.we_camera_on_date, IFERROR(AVERAGEIFS(Log!$F:$F, Log!$D:$D,F$4, Log!$C:$C, $A201, Log!$A:$A, "Daily", Log!$B:$B, "n/a"), 0),
        _xlpm.ie_camera_on_date, IFERROR(AVERAGEIFS(Log!$G:$G, Log!$D:$D,F$4,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1" s="68" t="str">
        <f>IFERROR(
    _xlfn.LET(
        _xlpm.is_data_present, $A201&lt;&gt;0,
        _xlpm.is_camera_present, COUNTIFS(Log!$C:$C, $A201, Log!$D:$D, G$4, Log!$A:$A, "Daily", Log!$B:$B, "n/a"),
        _xlpm.we_camera_on_date, IFERROR(AVERAGEIFS(Log!$F:$F, Log!$D:$D,G$4, Log!$C:$C, $A201, Log!$A:$A, "Daily", Log!$B:$B, "n/a"), 0),
        _xlpm.ie_camera_on_date, IFERROR(AVERAGEIFS(Log!$G:$G, Log!$D:$D,G$4,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1" s="68" t="str">
        <f>IFERROR(
    _xlfn.LET(
        _xlpm.is_data_present, $A201&lt;&gt;0,
        _xlpm.is_camera_present, COUNTIFS(Log!$C:$C, $A201, Log!$D:$D, H$4, Log!$A:$A, "Daily", Log!$B:$B, "n/a"),
        _xlpm.we_camera_on_date, IFERROR(AVERAGEIFS(Log!$F:$F, Log!$D:$D,H$4, Log!$C:$C, $A201, Log!$A:$A, "Daily", Log!$B:$B, "n/a"), 0),
        _xlpm.ie_camera_on_date, IFERROR(AVERAGEIFS(Log!$G:$G, Log!$D:$D,H$4,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1" s="68" t="str">
        <f>IFERROR(
    _xlfn.LET(
        _xlpm.is_data_present, $A201&lt;&gt;0,
        _xlpm.is_camera_present, COUNTIFS(Log!$C:$C, $A201, Log!$D:$D, I$4, Log!$A:$A, "Daily", Log!$B:$B, "n/a"),
        _xlpm.we_camera_on_date, IFERROR(AVERAGEIFS(Log!$F:$F, Log!$D:$D,I$4, Log!$C:$C, $A201, Log!$A:$A, "Daily", Log!$B:$B, "n/a"), 0),
        _xlpm.ie_camera_on_date, IFERROR(AVERAGEIFS(Log!$G:$G, Log!$D:$D,I$4,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1" s="68" t="str">
        <f>IFERROR(
    _xlfn.LET(
        _xlpm.is_data_present, $A201&lt;&gt;0,
        _xlpm.is_camera_present, COUNTIFS(Log!$C:$C, $A201, Log!$D:$D, J$4, Log!$A:$A, "Daily", Log!$B:$B, "n/a"),
        _xlpm.we_camera_on_date, IFERROR(AVERAGEIFS(Log!$F:$F, Log!$D:$D,J$4, Log!$C:$C, $A201, Log!$A:$A, "Daily", Log!$B:$B, "n/a"), 0),
        _xlpm.ie_camera_on_date, IFERROR(AVERAGEIFS(Log!$G:$G, Log!$D:$D,J$4,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1" s="68" t="str">
        <f>IFERROR(
    _xlfn.LET(
        _xlpm.is_data_present, $A201&lt;&gt;0,
        _xlpm.is_camera_present, COUNTIFS(Log!$C:$C, $A201, Log!$D:$D, K$4, Log!$A:$A, "Daily", Log!$B:$B, "n/a"),
        _xlpm.we_camera_on_date, IFERROR(AVERAGEIFS(Log!$F:$F, Log!$D:$D,K$4, Log!$C:$C, $A201, Log!$A:$A, "Daily", Log!$B:$B, "n/a"), 0),
        _xlpm.ie_camera_on_date, IFERROR(AVERAGEIFS(Log!$G:$G, Log!$D:$D,K$4,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1" s="68" t="str">
        <f>IFERROR(
    _xlfn.LET(
        _xlpm.is_data_present, $A201&lt;&gt;0,
        _xlpm.is_camera_present, COUNTIFS(Log!$C:$C, $A201, Log!$D:$D, L$4, Log!$A:$A, "Daily", Log!$B:$B, "n/a"),
        _xlpm.we_camera_on_date, IFERROR(AVERAGEIFS(Log!$F:$F, Log!$D:$D,L$4, Log!$C:$C, $A201, Log!$A:$A, "Daily", Log!$B:$B, "n/a"), 0),
        _xlpm.ie_camera_on_date, IFERROR(AVERAGEIFS(Log!$G:$G, Log!$D:$D,L$4,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1" s="68" t="str">
        <f>IFERROR(
    _xlfn.LET(
        _xlpm.is_data_present, $A201&lt;&gt;0,
        _xlpm.is_camera_present, COUNTIFS(Log!$C:$C, $A201, Log!$D:$D, M$4, Log!$A:$A, "Daily", Log!$B:$B, "n/a"),
        _xlpm.we_camera_on_date, IFERROR(AVERAGEIFS(Log!$F:$F, Log!$D:$D,M$4, Log!$C:$C, $A201, Log!$A:$A, "Daily", Log!$B:$B, "n/a"), 0),
        _xlpm.ie_camera_on_date, IFERROR(AVERAGEIFS(Log!$G:$G, Log!$D:$D,M$4,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1" s="68" t="str">
        <f>IFERROR(
    _xlfn.LET(
        _xlpm.is_data_present, $A201&lt;&gt;0,
        _xlpm.is_camera_present, COUNTIFS(Log!$C:$C, $A201, Log!$D:$D, N$4, Log!$A:$A, "Daily", Log!$B:$B, "n/a"),
        _xlpm.we_camera_on_date, IFERROR(AVERAGEIFS(Log!$F:$F, Log!$D:$D,N$4, Log!$C:$C, $A201, Log!$A:$A, "Daily", Log!$B:$B, "n/a"), 0),
        _xlpm.ie_camera_on_date, IFERROR(AVERAGEIFS(Log!$G:$G, Log!$D:$D,N$4,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1" s="68" t="str">
        <f>IFERROR(
    _xlfn.LET(
        _xlpm.is_data_present, $A201&lt;&gt;0,
        _xlpm.is_camera_present, COUNTIFS(Log!$C:$C, $A201, Log!$D:$D, O$4, Log!$A:$A, "Daily", Log!$B:$B, "n/a"),
        _xlpm.we_camera_on_date, IFERROR(AVERAGEIFS(Log!$F:$F, Log!$D:$D,O$4, Log!$C:$C, $A201, Log!$A:$A, "Daily", Log!$B:$B, "n/a"), 0),
        _xlpm.ie_camera_on_date, IFERROR(AVERAGEIFS(Log!$G:$G, Log!$D:$D,O$4,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1" s="68" t="str">
        <f>IFERROR(
    _xlfn.LET(
        _xlpm.is_data_present, $A201&lt;&gt;0,
        _xlpm.is_camera_present, COUNTIFS(Log!$C:$C, $A201, Log!$D:$D, P$4, Log!$A:$A, "Daily", Log!$B:$B, "n/a"),
        _xlpm.we_camera_on_date, IFERROR(AVERAGEIFS(Log!$F:$F, Log!$D:$D,P$4, Log!$C:$C, $A201, Log!$A:$A, "Daily", Log!$B:$B, "n/a"), 0),
        _xlpm.ie_camera_on_date, IFERROR(AVERAGEIFS(Log!$G:$G, Log!$D:$D,P$4,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1" s="68" t="str">
        <f>IFERROR(
    _xlfn.LET(
        _xlpm.is_data_present, $A201&lt;&gt;0,
        _xlpm.is_camera_present, COUNTIFS(Log!$C:$C, $A201, Log!$D:$D, Q$4, Log!$A:$A, "Daily", Log!$B:$B, "n/a"),
        _xlpm.we_camera_on_date, IFERROR(AVERAGEIFS(Log!$F:$F, Log!$D:$D,Q$4, Log!$C:$C, $A201, Log!$A:$A, "Daily", Log!$B:$B, "n/a"), 0),
        _xlpm.ie_camera_on_date, IFERROR(AVERAGEIFS(Log!$G:$G, Log!$D:$D,Q$4,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1" s="68" t="str">
        <f>IFERROR(
    _xlfn.LET(
        _xlpm.is_data_present, $A201&lt;&gt;0,
        _xlpm.is_camera_present, COUNTIFS(Log!$C:$C, $A201, Log!$D:$D, R$4, Log!$A:$A, "Daily", Log!$B:$B, "n/a"),
        _xlpm.we_camera_on_date, IFERROR(AVERAGEIFS(Log!$F:$F, Log!$D:$D,R$4, Log!$C:$C, $A201, Log!$A:$A, "Daily", Log!$B:$B, "n/a"), 0),
        _xlpm.ie_camera_on_date, IFERROR(AVERAGEIFS(Log!$G:$G, Log!$D:$D,R$4,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1" s="68" t="str">
        <f>IFERROR(
    _xlfn.LET(
        _xlpm.is_data_present, $A201&lt;&gt;0,
        _xlpm.is_camera_present, COUNTIFS(Log!$C:$C, $A201, Log!$D:$D, S$4, Log!$A:$A, "Daily", Log!$B:$B, "n/a"),
        _xlpm.we_camera_on_date, IFERROR(AVERAGEIFS(Log!$F:$F, Log!$D:$D,S$4, Log!$C:$C, $A201, Log!$A:$A, "Daily", Log!$B:$B, "n/a"), 0),
        _xlpm.ie_camera_on_date, IFERROR(AVERAGEIFS(Log!$G:$G, Log!$D:$D,S$4, Log!$C:$C, $A201, Log!$A:$A, "Daily", Log!$B:$B, "n/a"), 0),
        _xlpm.we_avg, IFERROR(AVERAGEIFS(Log!$F:$F,Log!$C:$C,$A201, Log!$A:$A, "Daily", Log!$B:$B, "n/a"),0),
        _xlpm.ie_avg, IFERROR(AVERAGEIFS(Log!$G:$G,Log!$C:$C,$A201,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2" spans="2:19" x14ac:dyDescent="0.3">
      <c r="B202" s="68" t="str">
        <f>IFERROR(
    _xlfn.LET(
        _xlpm.is_data_present, $A202&lt;&gt;0,
        _xlpm.is_camera_present, COUNTIFS(Log!$C:$C, $A202, Log!$D:$D, B$4, Log!$A:$A, "Daily", Log!$B:$B, "n/a"),
        _xlpm.we_camera_on_date, IFERROR(AVERAGEIFS(Log!$F:$F, Log!$D:$D,B$4, Log!$C:$C, $A202, Log!$A:$A, "Daily", Log!$B:$B, "n/a"), 0),
        _xlpm.ie_camera_on_date, IFERROR(AVERAGEIFS(Log!$G:$G, Log!$D:$D,B$4,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2" s="68" t="str">
        <f>IFERROR(
    _xlfn.LET(
        _xlpm.is_data_present, $A202&lt;&gt;0,
        _xlpm.is_camera_present, COUNTIFS(Log!$C:$C, $A202, Log!$D:$D, C$4, Log!$A:$A, "Daily", Log!$B:$B, "n/a"),
        _xlpm.we_camera_on_date, IFERROR(AVERAGEIFS(Log!$F:$F, Log!$D:$D,C$4, Log!$C:$C, $A202, Log!$A:$A, "Daily", Log!$B:$B, "n/a"), 0),
        _xlpm.ie_camera_on_date, IFERROR(AVERAGEIFS(Log!$G:$G, Log!$D:$D,C$4,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2" s="68" t="str">
        <f>IFERROR(
    _xlfn.LET(
        _xlpm.is_data_present, $A202&lt;&gt;0,
        _xlpm.is_camera_present, COUNTIFS(Log!$C:$C, $A202, Log!$D:$D, D$4, Log!$A:$A, "Daily", Log!$B:$B, "n/a"),
        _xlpm.we_camera_on_date, IFERROR(AVERAGEIFS(Log!$F:$F, Log!$D:$D,D$4, Log!$C:$C, $A202, Log!$A:$A, "Daily", Log!$B:$B, "n/a"), 0),
        _xlpm.ie_camera_on_date, IFERROR(AVERAGEIFS(Log!$G:$G, Log!$D:$D,D$4,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2" s="68" t="str">
        <f>IFERROR(
    _xlfn.LET(
        _xlpm.is_data_present, $A202&lt;&gt;0,
        _xlpm.is_camera_present, COUNTIFS(Log!$C:$C, $A202, Log!$D:$D, E$4, Log!$A:$A, "Daily", Log!$B:$B, "n/a"),
        _xlpm.we_camera_on_date, IFERROR(AVERAGEIFS(Log!$F:$F, Log!$D:$D,E$4, Log!$C:$C, $A202, Log!$A:$A, "Daily", Log!$B:$B, "n/a"), 0),
        _xlpm.ie_camera_on_date, IFERROR(AVERAGEIFS(Log!$G:$G, Log!$D:$D,E$4,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2" s="68" t="str">
        <f>IFERROR(
    _xlfn.LET(
        _xlpm.is_data_present, $A202&lt;&gt;0,
        _xlpm.is_camera_present, COUNTIFS(Log!$C:$C, $A202, Log!$D:$D, F$4, Log!$A:$A, "Daily", Log!$B:$B, "n/a"),
        _xlpm.we_camera_on_date, IFERROR(AVERAGEIFS(Log!$F:$F, Log!$D:$D,F$4, Log!$C:$C, $A202, Log!$A:$A, "Daily", Log!$B:$B, "n/a"), 0),
        _xlpm.ie_camera_on_date, IFERROR(AVERAGEIFS(Log!$G:$G, Log!$D:$D,F$4,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2" s="68" t="str">
        <f>IFERROR(
    _xlfn.LET(
        _xlpm.is_data_present, $A202&lt;&gt;0,
        _xlpm.is_camera_present, COUNTIFS(Log!$C:$C, $A202, Log!$D:$D, G$4, Log!$A:$A, "Daily", Log!$B:$B, "n/a"),
        _xlpm.we_camera_on_date, IFERROR(AVERAGEIFS(Log!$F:$F, Log!$D:$D,G$4, Log!$C:$C, $A202, Log!$A:$A, "Daily", Log!$B:$B, "n/a"), 0),
        _xlpm.ie_camera_on_date, IFERROR(AVERAGEIFS(Log!$G:$G, Log!$D:$D,G$4,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2" s="68" t="str">
        <f>IFERROR(
    _xlfn.LET(
        _xlpm.is_data_present, $A202&lt;&gt;0,
        _xlpm.is_camera_present, COUNTIFS(Log!$C:$C, $A202, Log!$D:$D, H$4, Log!$A:$A, "Daily", Log!$B:$B, "n/a"),
        _xlpm.we_camera_on_date, IFERROR(AVERAGEIFS(Log!$F:$F, Log!$D:$D,H$4, Log!$C:$C, $A202, Log!$A:$A, "Daily", Log!$B:$B, "n/a"), 0),
        _xlpm.ie_camera_on_date, IFERROR(AVERAGEIFS(Log!$G:$G, Log!$D:$D,H$4,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2" s="68" t="str">
        <f>IFERROR(
    _xlfn.LET(
        _xlpm.is_data_present, $A202&lt;&gt;0,
        _xlpm.is_camera_present, COUNTIFS(Log!$C:$C, $A202, Log!$D:$D, I$4, Log!$A:$A, "Daily", Log!$B:$B, "n/a"),
        _xlpm.we_camera_on_date, IFERROR(AVERAGEIFS(Log!$F:$F, Log!$D:$D,I$4, Log!$C:$C, $A202, Log!$A:$A, "Daily", Log!$B:$B, "n/a"), 0),
        _xlpm.ie_camera_on_date, IFERROR(AVERAGEIFS(Log!$G:$G, Log!$D:$D,I$4,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2" s="68" t="str">
        <f>IFERROR(
    _xlfn.LET(
        _xlpm.is_data_present, $A202&lt;&gt;0,
        _xlpm.is_camera_present, COUNTIFS(Log!$C:$C, $A202, Log!$D:$D, J$4, Log!$A:$A, "Daily", Log!$B:$B, "n/a"),
        _xlpm.we_camera_on_date, IFERROR(AVERAGEIFS(Log!$F:$F, Log!$D:$D,J$4, Log!$C:$C, $A202, Log!$A:$A, "Daily", Log!$B:$B, "n/a"), 0),
        _xlpm.ie_camera_on_date, IFERROR(AVERAGEIFS(Log!$G:$G, Log!$D:$D,J$4,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2" s="68" t="str">
        <f>IFERROR(
    _xlfn.LET(
        _xlpm.is_data_present, $A202&lt;&gt;0,
        _xlpm.is_camera_present, COUNTIFS(Log!$C:$C, $A202, Log!$D:$D, K$4, Log!$A:$A, "Daily", Log!$B:$B, "n/a"),
        _xlpm.we_camera_on_date, IFERROR(AVERAGEIFS(Log!$F:$F, Log!$D:$D,K$4, Log!$C:$C, $A202, Log!$A:$A, "Daily", Log!$B:$B, "n/a"), 0),
        _xlpm.ie_camera_on_date, IFERROR(AVERAGEIFS(Log!$G:$G, Log!$D:$D,K$4,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2" s="68" t="str">
        <f>IFERROR(
    _xlfn.LET(
        _xlpm.is_data_present, $A202&lt;&gt;0,
        _xlpm.is_camera_present, COUNTIFS(Log!$C:$C, $A202, Log!$D:$D, L$4, Log!$A:$A, "Daily", Log!$B:$B, "n/a"),
        _xlpm.we_camera_on_date, IFERROR(AVERAGEIFS(Log!$F:$F, Log!$D:$D,L$4, Log!$C:$C, $A202, Log!$A:$A, "Daily", Log!$B:$B, "n/a"), 0),
        _xlpm.ie_camera_on_date, IFERROR(AVERAGEIFS(Log!$G:$G, Log!$D:$D,L$4,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2" s="68" t="str">
        <f>IFERROR(
    _xlfn.LET(
        _xlpm.is_data_present, $A202&lt;&gt;0,
        _xlpm.is_camera_present, COUNTIFS(Log!$C:$C, $A202, Log!$D:$D, M$4, Log!$A:$A, "Daily", Log!$B:$B, "n/a"),
        _xlpm.we_camera_on_date, IFERROR(AVERAGEIFS(Log!$F:$F, Log!$D:$D,M$4, Log!$C:$C, $A202, Log!$A:$A, "Daily", Log!$B:$B, "n/a"), 0),
        _xlpm.ie_camera_on_date, IFERROR(AVERAGEIFS(Log!$G:$G, Log!$D:$D,M$4,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2" s="68" t="str">
        <f>IFERROR(
    _xlfn.LET(
        _xlpm.is_data_present, $A202&lt;&gt;0,
        _xlpm.is_camera_present, COUNTIFS(Log!$C:$C, $A202, Log!$D:$D, N$4, Log!$A:$A, "Daily", Log!$B:$B, "n/a"),
        _xlpm.we_camera_on_date, IFERROR(AVERAGEIFS(Log!$F:$F, Log!$D:$D,N$4, Log!$C:$C, $A202, Log!$A:$A, "Daily", Log!$B:$B, "n/a"), 0),
        _xlpm.ie_camera_on_date, IFERROR(AVERAGEIFS(Log!$G:$G, Log!$D:$D,N$4,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2" s="68" t="str">
        <f>IFERROR(
    _xlfn.LET(
        _xlpm.is_data_present, $A202&lt;&gt;0,
        _xlpm.is_camera_present, COUNTIFS(Log!$C:$C, $A202, Log!$D:$D, O$4, Log!$A:$A, "Daily", Log!$B:$B, "n/a"),
        _xlpm.we_camera_on_date, IFERROR(AVERAGEIFS(Log!$F:$F, Log!$D:$D,O$4, Log!$C:$C, $A202, Log!$A:$A, "Daily", Log!$B:$B, "n/a"), 0),
        _xlpm.ie_camera_on_date, IFERROR(AVERAGEIFS(Log!$G:$G, Log!$D:$D,O$4,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2" s="68" t="str">
        <f>IFERROR(
    _xlfn.LET(
        _xlpm.is_data_present, $A202&lt;&gt;0,
        _xlpm.is_camera_present, COUNTIFS(Log!$C:$C, $A202, Log!$D:$D, P$4, Log!$A:$A, "Daily", Log!$B:$B, "n/a"),
        _xlpm.we_camera_on_date, IFERROR(AVERAGEIFS(Log!$F:$F, Log!$D:$D,P$4, Log!$C:$C, $A202, Log!$A:$A, "Daily", Log!$B:$B, "n/a"), 0),
        _xlpm.ie_camera_on_date, IFERROR(AVERAGEIFS(Log!$G:$G, Log!$D:$D,P$4,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2" s="68" t="str">
        <f>IFERROR(
    _xlfn.LET(
        _xlpm.is_data_present, $A202&lt;&gt;0,
        _xlpm.is_camera_present, COUNTIFS(Log!$C:$C, $A202, Log!$D:$D, Q$4, Log!$A:$A, "Daily", Log!$B:$B, "n/a"),
        _xlpm.we_camera_on_date, IFERROR(AVERAGEIFS(Log!$F:$F, Log!$D:$D,Q$4, Log!$C:$C, $A202, Log!$A:$A, "Daily", Log!$B:$B, "n/a"), 0),
        _xlpm.ie_camera_on_date, IFERROR(AVERAGEIFS(Log!$G:$G, Log!$D:$D,Q$4,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2" s="68" t="str">
        <f>IFERROR(
    _xlfn.LET(
        _xlpm.is_data_present, $A202&lt;&gt;0,
        _xlpm.is_camera_present, COUNTIFS(Log!$C:$C, $A202, Log!$D:$D, R$4, Log!$A:$A, "Daily", Log!$B:$B, "n/a"),
        _xlpm.we_camera_on_date, IFERROR(AVERAGEIFS(Log!$F:$F, Log!$D:$D,R$4, Log!$C:$C, $A202, Log!$A:$A, "Daily", Log!$B:$B, "n/a"), 0),
        _xlpm.ie_camera_on_date, IFERROR(AVERAGEIFS(Log!$G:$G, Log!$D:$D,R$4,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2" s="68" t="str">
        <f>IFERROR(
    _xlfn.LET(
        _xlpm.is_data_present, $A202&lt;&gt;0,
        _xlpm.is_camera_present, COUNTIFS(Log!$C:$C, $A202, Log!$D:$D, S$4, Log!$A:$A, "Daily", Log!$B:$B, "n/a"),
        _xlpm.we_camera_on_date, IFERROR(AVERAGEIFS(Log!$F:$F, Log!$D:$D,S$4, Log!$C:$C, $A202, Log!$A:$A, "Daily", Log!$B:$B, "n/a"), 0),
        _xlpm.ie_camera_on_date, IFERROR(AVERAGEIFS(Log!$G:$G, Log!$D:$D,S$4, Log!$C:$C, $A202, Log!$A:$A, "Daily", Log!$B:$B, "n/a"), 0),
        _xlpm.we_avg, IFERROR(AVERAGEIFS(Log!$F:$F,Log!$C:$C,$A202, Log!$A:$A, "Daily", Log!$B:$B, "n/a"),0),
        _xlpm.ie_avg, IFERROR(AVERAGEIFS(Log!$G:$G,Log!$C:$C,$A202,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3" spans="2:19" x14ac:dyDescent="0.3">
      <c r="B203" s="68" t="str">
        <f>IFERROR(
    _xlfn.LET(
        _xlpm.is_data_present, $A203&lt;&gt;0,
        _xlpm.is_camera_present, COUNTIFS(Log!$C:$C, $A203, Log!$D:$D, B$4, Log!$A:$A, "Daily", Log!$B:$B, "n/a"),
        _xlpm.we_camera_on_date, IFERROR(AVERAGEIFS(Log!$F:$F, Log!$D:$D,B$4, Log!$C:$C, $A203, Log!$A:$A, "Daily", Log!$B:$B, "n/a"), 0),
        _xlpm.ie_camera_on_date, IFERROR(AVERAGEIFS(Log!$G:$G, Log!$D:$D,B$4,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3" s="68" t="str">
        <f>IFERROR(
    _xlfn.LET(
        _xlpm.is_data_present, $A203&lt;&gt;0,
        _xlpm.is_camera_present, COUNTIFS(Log!$C:$C, $A203, Log!$D:$D, C$4, Log!$A:$A, "Daily", Log!$B:$B, "n/a"),
        _xlpm.we_camera_on_date, IFERROR(AVERAGEIFS(Log!$F:$F, Log!$D:$D,C$4, Log!$C:$C, $A203, Log!$A:$A, "Daily", Log!$B:$B, "n/a"), 0),
        _xlpm.ie_camera_on_date, IFERROR(AVERAGEIFS(Log!$G:$G, Log!$D:$D,C$4,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3" s="68" t="str">
        <f>IFERROR(
    _xlfn.LET(
        _xlpm.is_data_present, $A203&lt;&gt;0,
        _xlpm.is_camera_present, COUNTIFS(Log!$C:$C, $A203, Log!$D:$D, D$4, Log!$A:$A, "Daily", Log!$B:$B, "n/a"),
        _xlpm.we_camera_on_date, IFERROR(AVERAGEIFS(Log!$F:$F, Log!$D:$D,D$4, Log!$C:$C, $A203, Log!$A:$A, "Daily", Log!$B:$B, "n/a"), 0),
        _xlpm.ie_camera_on_date, IFERROR(AVERAGEIFS(Log!$G:$G, Log!$D:$D,D$4,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3" s="68" t="str">
        <f>IFERROR(
    _xlfn.LET(
        _xlpm.is_data_present, $A203&lt;&gt;0,
        _xlpm.is_camera_present, COUNTIFS(Log!$C:$C, $A203, Log!$D:$D, E$4, Log!$A:$A, "Daily", Log!$B:$B, "n/a"),
        _xlpm.we_camera_on_date, IFERROR(AVERAGEIFS(Log!$F:$F, Log!$D:$D,E$4, Log!$C:$C, $A203, Log!$A:$A, "Daily", Log!$B:$B, "n/a"), 0),
        _xlpm.ie_camera_on_date, IFERROR(AVERAGEIFS(Log!$G:$G, Log!$D:$D,E$4,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3" s="68" t="str">
        <f>IFERROR(
    _xlfn.LET(
        _xlpm.is_data_present, $A203&lt;&gt;0,
        _xlpm.is_camera_present, COUNTIFS(Log!$C:$C, $A203, Log!$D:$D, F$4, Log!$A:$A, "Daily", Log!$B:$B, "n/a"),
        _xlpm.we_camera_on_date, IFERROR(AVERAGEIFS(Log!$F:$F, Log!$D:$D,F$4, Log!$C:$C, $A203, Log!$A:$A, "Daily", Log!$B:$B, "n/a"), 0),
        _xlpm.ie_camera_on_date, IFERROR(AVERAGEIFS(Log!$G:$G, Log!$D:$D,F$4,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3" s="68" t="str">
        <f>IFERROR(
    _xlfn.LET(
        _xlpm.is_data_present, $A203&lt;&gt;0,
        _xlpm.is_camera_present, COUNTIFS(Log!$C:$C, $A203, Log!$D:$D, G$4, Log!$A:$A, "Daily", Log!$B:$B, "n/a"),
        _xlpm.we_camera_on_date, IFERROR(AVERAGEIFS(Log!$F:$F, Log!$D:$D,G$4, Log!$C:$C, $A203, Log!$A:$A, "Daily", Log!$B:$B, "n/a"), 0),
        _xlpm.ie_camera_on_date, IFERROR(AVERAGEIFS(Log!$G:$G, Log!$D:$D,G$4,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3" s="68" t="str">
        <f>IFERROR(
    _xlfn.LET(
        _xlpm.is_data_present, $A203&lt;&gt;0,
        _xlpm.is_camera_present, COUNTIFS(Log!$C:$C, $A203, Log!$D:$D, H$4, Log!$A:$A, "Daily", Log!$B:$B, "n/a"),
        _xlpm.we_camera_on_date, IFERROR(AVERAGEIFS(Log!$F:$F, Log!$D:$D,H$4, Log!$C:$C, $A203, Log!$A:$A, "Daily", Log!$B:$B, "n/a"), 0),
        _xlpm.ie_camera_on_date, IFERROR(AVERAGEIFS(Log!$G:$G, Log!$D:$D,H$4,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3" s="68" t="str">
        <f>IFERROR(
    _xlfn.LET(
        _xlpm.is_data_present, $A203&lt;&gt;0,
        _xlpm.is_camera_present, COUNTIFS(Log!$C:$C, $A203, Log!$D:$D, I$4, Log!$A:$A, "Daily", Log!$B:$B, "n/a"),
        _xlpm.we_camera_on_date, IFERROR(AVERAGEIFS(Log!$F:$F, Log!$D:$D,I$4, Log!$C:$C, $A203, Log!$A:$A, "Daily", Log!$B:$B, "n/a"), 0),
        _xlpm.ie_camera_on_date, IFERROR(AVERAGEIFS(Log!$G:$G, Log!$D:$D,I$4,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3" s="68" t="str">
        <f>IFERROR(
    _xlfn.LET(
        _xlpm.is_data_present, $A203&lt;&gt;0,
        _xlpm.is_camera_present, COUNTIFS(Log!$C:$C, $A203, Log!$D:$D, J$4, Log!$A:$A, "Daily", Log!$B:$B, "n/a"),
        _xlpm.we_camera_on_date, IFERROR(AVERAGEIFS(Log!$F:$F, Log!$D:$D,J$4, Log!$C:$C, $A203, Log!$A:$A, "Daily", Log!$B:$B, "n/a"), 0),
        _xlpm.ie_camera_on_date, IFERROR(AVERAGEIFS(Log!$G:$G, Log!$D:$D,J$4,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3" s="68" t="str">
        <f>IFERROR(
    _xlfn.LET(
        _xlpm.is_data_present, $A203&lt;&gt;0,
        _xlpm.is_camera_present, COUNTIFS(Log!$C:$C, $A203, Log!$D:$D, K$4, Log!$A:$A, "Daily", Log!$B:$B, "n/a"),
        _xlpm.we_camera_on_date, IFERROR(AVERAGEIFS(Log!$F:$F, Log!$D:$D,K$4, Log!$C:$C, $A203, Log!$A:$A, "Daily", Log!$B:$B, "n/a"), 0),
        _xlpm.ie_camera_on_date, IFERROR(AVERAGEIFS(Log!$G:$G, Log!$D:$D,K$4,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3" s="68" t="str">
        <f>IFERROR(
    _xlfn.LET(
        _xlpm.is_data_present, $A203&lt;&gt;0,
        _xlpm.is_camera_present, COUNTIFS(Log!$C:$C, $A203, Log!$D:$D, L$4, Log!$A:$A, "Daily", Log!$B:$B, "n/a"),
        _xlpm.we_camera_on_date, IFERROR(AVERAGEIFS(Log!$F:$F, Log!$D:$D,L$4, Log!$C:$C, $A203, Log!$A:$A, "Daily", Log!$B:$B, "n/a"), 0),
        _xlpm.ie_camera_on_date, IFERROR(AVERAGEIFS(Log!$G:$G, Log!$D:$D,L$4,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3" s="68" t="str">
        <f>IFERROR(
    _xlfn.LET(
        _xlpm.is_data_present, $A203&lt;&gt;0,
        _xlpm.is_camera_present, COUNTIFS(Log!$C:$C, $A203, Log!$D:$D, M$4, Log!$A:$A, "Daily", Log!$B:$B, "n/a"),
        _xlpm.we_camera_on_date, IFERROR(AVERAGEIFS(Log!$F:$F, Log!$D:$D,M$4, Log!$C:$C, $A203, Log!$A:$A, "Daily", Log!$B:$B, "n/a"), 0),
        _xlpm.ie_camera_on_date, IFERROR(AVERAGEIFS(Log!$G:$G, Log!$D:$D,M$4,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3" s="68" t="str">
        <f>IFERROR(
    _xlfn.LET(
        _xlpm.is_data_present, $A203&lt;&gt;0,
        _xlpm.is_camera_present, COUNTIFS(Log!$C:$C, $A203, Log!$D:$D, N$4, Log!$A:$A, "Daily", Log!$B:$B, "n/a"),
        _xlpm.we_camera_on_date, IFERROR(AVERAGEIFS(Log!$F:$F, Log!$D:$D,N$4, Log!$C:$C, $A203, Log!$A:$A, "Daily", Log!$B:$B, "n/a"), 0),
        _xlpm.ie_camera_on_date, IFERROR(AVERAGEIFS(Log!$G:$G, Log!$D:$D,N$4,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3" s="68" t="str">
        <f>IFERROR(
    _xlfn.LET(
        _xlpm.is_data_present, $A203&lt;&gt;0,
        _xlpm.is_camera_present, COUNTIFS(Log!$C:$C, $A203, Log!$D:$D, O$4, Log!$A:$A, "Daily", Log!$B:$B, "n/a"),
        _xlpm.we_camera_on_date, IFERROR(AVERAGEIFS(Log!$F:$F, Log!$D:$D,O$4, Log!$C:$C, $A203, Log!$A:$A, "Daily", Log!$B:$B, "n/a"), 0),
        _xlpm.ie_camera_on_date, IFERROR(AVERAGEIFS(Log!$G:$G, Log!$D:$D,O$4,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3" s="68" t="str">
        <f>IFERROR(
    _xlfn.LET(
        _xlpm.is_data_present, $A203&lt;&gt;0,
        _xlpm.is_camera_present, COUNTIFS(Log!$C:$C, $A203, Log!$D:$D, P$4, Log!$A:$A, "Daily", Log!$B:$B, "n/a"),
        _xlpm.we_camera_on_date, IFERROR(AVERAGEIFS(Log!$F:$F, Log!$D:$D,P$4, Log!$C:$C, $A203, Log!$A:$A, "Daily", Log!$B:$B, "n/a"), 0),
        _xlpm.ie_camera_on_date, IFERROR(AVERAGEIFS(Log!$G:$G, Log!$D:$D,P$4,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3" s="68" t="str">
        <f>IFERROR(
    _xlfn.LET(
        _xlpm.is_data_present, $A203&lt;&gt;0,
        _xlpm.is_camera_present, COUNTIFS(Log!$C:$C, $A203, Log!$D:$D, Q$4, Log!$A:$A, "Daily", Log!$B:$B, "n/a"),
        _xlpm.we_camera_on_date, IFERROR(AVERAGEIFS(Log!$F:$F, Log!$D:$D,Q$4, Log!$C:$C, $A203, Log!$A:$A, "Daily", Log!$B:$B, "n/a"), 0),
        _xlpm.ie_camera_on_date, IFERROR(AVERAGEIFS(Log!$G:$G, Log!$D:$D,Q$4,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3" s="68" t="str">
        <f>IFERROR(
    _xlfn.LET(
        _xlpm.is_data_present, $A203&lt;&gt;0,
        _xlpm.is_camera_present, COUNTIFS(Log!$C:$C, $A203, Log!$D:$D, R$4, Log!$A:$A, "Daily", Log!$B:$B, "n/a"),
        _xlpm.we_camera_on_date, IFERROR(AVERAGEIFS(Log!$F:$F, Log!$D:$D,R$4, Log!$C:$C, $A203, Log!$A:$A, "Daily", Log!$B:$B, "n/a"), 0),
        _xlpm.ie_camera_on_date, IFERROR(AVERAGEIFS(Log!$G:$G, Log!$D:$D,R$4,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3" s="68" t="str">
        <f>IFERROR(
    _xlfn.LET(
        _xlpm.is_data_present, $A203&lt;&gt;0,
        _xlpm.is_camera_present, COUNTIFS(Log!$C:$C, $A203, Log!$D:$D, S$4, Log!$A:$A, "Daily", Log!$B:$B, "n/a"),
        _xlpm.we_camera_on_date, IFERROR(AVERAGEIFS(Log!$F:$F, Log!$D:$D,S$4, Log!$C:$C, $A203, Log!$A:$A, "Daily", Log!$B:$B, "n/a"), 0),
        _xlpm.ie_camera_on_date, IFERROR(AVERAGEIFS(Log!$G:$G, Log!$D:$D,S$4, Log!$C:$C, $A203, Log!$A:$A, "Daily", Log!$B:$B, "n/a"), 0),
        _xlpm.we_avg, IFERROR(AVERAGEIFS(Log!$F:$F,Log!$C:$C,$A203, Log!$A:$A, "Daily", Log!$B:$B, "n/a"),0),
        _xlpm.ie_avg, IFERROR(AVERAGEIFS(Log!$G:$G,Log!$C:$C,$A203,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4" spans="2:19" x14ac:dyDescent="0.3">
      <c r="B204" s="68" t="str">
        <f>IFERROR(
    _xlfn.LET(
        _xlpm.is_data_present, $A204&lt;&gt;0,
        _xlpm.is_camera_present, COUNTIFS(Log!$C:$C, $A204, Log!$D:$D, B$4, Log!$A:$A, "Daily", Log!$B:$B, "n/a"),
        _xlpm.we_camera_on_date, IFERROR(AVERAGEIFS(Log!$F:$F, Log!$D:$D,B$4, Log!$C:$C, $A204, Log!$A:$A, "Daily", Log!$B:$B, "n/a"), 0),
        _xlpm.ie_camera_on_date, IFERROR(AVERAGEIFS(Log!$G:$G, Log!$D:$D,B$4,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4" s="68" t="str">
        <f>IFERROR(
    _xlfn.LET(
        _xlpm.is_data_present, $A204&lt;&gt;0,
        _xlpm.is_camera_present, COUNTIFS(Log!$C:$C, $A204, Log!$D:$D, C$4, Log!$A:$A, "Daily", Log!$B:$B, "n/a"),
        _xlpm.we_camera_on_date, IFERROR(AVERAGEIFS(Log!$F:$F, Log!$D:$D,C$4, Log!$C:$C, $A204, Log!$A:$A, "Daily", Log!$B:$B, "n/a"), 0),
        _xlpm.ie_camera_on_date, IFERROR(AVERAGEIFS(Log!$G:$G, Log!$D:$D,C$4,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4" s="68" t="str">
        <f>IFERROR(
    _xlfn.LET(
        _xlpm.is_data_present, $A204&lt;&gt;0,
        _xlpm.is_camera_present, COUNTIFS(Log!$C:$C, $A204, Log!$D:$D, D$4, Log!$A:$A, "Daily", Log!$B:$B, "n/a"),
        _xlpm.we_camera_on_date, IFERROR(AVERAGEIFS(Log!$F:$F, Log!$D:$D,D$4, Log!$C:$C, $A204, Log!$A:$A, "Daily", Log!$B:$B, "n/a"), 0),
        _xlpm.ie_camera_on_date, IFERROR(AVERAGEIFS(Log!$G:$G, Log!$D:$D,D$4,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4" s="68" t="str">
        <f>IFERROR(
    _xlfn.LET(
        _xlpm.is_data_present, $A204&lt;&gt;0,
        _xlpm.is_camera_present, COUNTIFS(Log!$C:$C, $A204, Log!$D:$D, E$4, Log!$A:$A, "Daily", Log!$B:$B, "n/a"),
        _xlpm.we_camera_on_date, IFERROR(AVERAGEIFS(Log!$F:$F, Log!$D:$D,E$4, Log!$C:$C, $A204, Log!$A:$A, "Daily", Log!$B:$B, "n/a"), 0),
        _xlpm.ie_camera_on_date, IFERROR(AVERAGEIFS(Log!$G:$G, Log!$D:$D,E$4,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4" s="68" t="str">
        <f>IFERROR(
    _xlfn.LET(
        _xlpm.is_data_present, $A204&lt;&gt;0,
        _xlpm.is_camera_present, COUNTIFS(Log!$C:$C, $A204, Log!$D:$D, F$4, Log!$A:$A, "Daily", Log!$B:$B, "n/a"),
        _xlpm.we_camera_on_date, IFERROR(AVERAGEIFS(Log!$F:$F, Log!$D:$D,F$4, Log!$C:$C, $A204, Log!$A:$A, "Daily", Log!$B:$B, "n/a"), 0),
        _xlpm.ie_camera_on_date, IFERROR(AVERAGEIFS(Log!$G:$G, Log!$D:$D,F$4,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4" s="68" t="str">
        <f>IFERROR(
    _xlfn.LET(
        _xlpm.is_data_present, $A204&lt;&gt;0,
        _xlpm.is_camera_present, COUNTIFS(Log!$C:$C, $A204, Log!$D:$D, G$4, Log!$A:$A, "Daily", Log!$B:$B, "n/a"),
        _xlpm.we_camera_on_date, IFERROR(AVERAGEIFS(Log!$F:$F, Log!$D:$D,G$4, Log!$C:$C, $A204, Log!$A:$A, "Daily", Log!$B:$B, "n/a"), 0),
        _xlpm.ie_camera_on_date, IFERROR(AVERAGEIFS(Log!$G:$G, Log!$D:$D,G$4,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4" s="68" t="str">
        <f>IFERROR(
    _xlfn.LET(
        _xlpm.is_data_present, $A204&lt;&gt;0,
        _xlpm.is_camera_present, COUNTIFS(Log!$C:$C, $A204, Log!$D:$D, H$4, Log!$A:$A, "Daily", Log!$B:$B, "n/a"),
        _xlpm.we_camera_on_date, IFERROR(AVERAGEIFS(Log!$F:$F, Log!$D:$D,H$4, Log!$C:$C, $A204, Log!$A:$A, "Daily", Log!$B:$B, "n/a"), 0),
        _xlpm.ie_camera_on_date, IFERROR(AVERAGEIFS(Log!$G:$G, Log!$D:$D,H$4,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4" s="68" t="str">
        <f>IFERROR(
    _xlfn.LET(
        _xlpm.is_data_present, $A204&lt;&gt;0,
        _xlpm.is_camera_present, COUNTIFS(Log!$C:$C, $A204, Log!$D:$D, I$4, Log!$A:$A, "Daily", Log!$B:$B, "n/a"),
        _xlpm.we_camera_on_date, IFERROR(AVERAGEIFS(Log!$F:$F, Log!$D:$D,I$4, Log!$C:$C, $A204, Log!$A:$A, "Daily", Log!$B:$B, "n/a"), 0),
        _xlpm.ie_camera_on_date, IFERROR(AVERAGEIFS(Log!$G:$G, Log!$D:$D,I$4,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4" s="68" t="str">
        <f>IFERROR(
    _xlfn.LET(
        _xlpm.is_data_present, $A204&lt;&gt;0,
        _xlpm.is_camera_present, COUNTIFS(Log!$C:$C, $A204, Log!$D:$D, J$4, Log!$A:$A, "Daily", Log!$B:$B, "n/a"),
        _xlpm.we_camera_on_date, IFERROR(AVERAGEIFS(Log!$F:$F, Log!$D:$D,J$4, Log!$C:$C, $A204, Log!$A:$A, "Daily", Log!$B:$B, "n/a"), 0),
        _xlpm.ie_camera_on_date, IFERROR(AVERAGEIFS(Log!$G:$G, Log!$D:$D,J$4,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4" s="68" t="str">
        <f>IFERROR(
    _xlfn.LET(
        _xlpm.is_data_present, $A204&lt;&gt;0,
        _xlpm.is_camera_present, COUNTIFS(Log!$C:$C, $A204, Log!$D:$D, K$4, Log!$A:$A, "Daily", Log!$B:$B, "n/a"),
        _xlpm.we_camera_on_date, IFERROR(AVERAGEIFS(Log!$F:$F, Log!$D:$D,K$4, Log!$C:$C, $A204, Log!$A:$A, "Daily", Log!$B:$B, "n/a"), 0),
        _xlpm.ie_camera_on_date, IFERROR(AVERAGEIFS(Log!$G:$G, Log!$D:$D,K$4,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4" s="68" t="str">
        <f>IFERROR(
    _xlfn.LET(
        _xlpm.is_data_present, $A204&lt;&gt;0,
        _xlpm.is_camera_present, COUNTIFS(Log!$C:$C, $A204, Log!$D:$D, L$4, Log!$A:$A, "Daily", Log!$B:$B, "n/a"),
        _xlpm.we_camera_on_date, IFERROR(AVERAGEIFS(Log!$F:$F, Log!$D:$D,L$4, Log!$C:$C, $A204, Log!$A:$A, "Daily", Log!$B:$B, "n/a"), 0),
        _xlpm.ie_camera_on_date, IFERROR(AVERAGEIFS(Log!$G:$G, Log!$D:$D,L$4,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4" s="68" t="str">
        <f>IFERROR(
    _xlfn.LET(
        _xlpm.is_data_present, $A204&lt;&gt;0,
        _xlpm.is_camera_present, COUNTIFS(Log!$C:$C, $A204, Log!$D:$D, M$4, Log!$A:$A, "Daily", Log!$B:$B, "n/a"),
        _xlpm.we_camera_on_date, IFERROR(AVERAGEIFS(Log!$F:$F, Log!$D:$D,M$4, Log!$C:$C, $A204, Log!$A:$A, "Daily", Log!$B:$B, "n/a"), 0),
        _xlpm.ie_camera_on_date, IFERROR(AVERAGEIFS(Log!$G:$G, Log!$D:$D,M$4,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4" s="68" t="str">
        <f>IFERROR(
    _xlfn.LET(
        _xlpm.is_data_present, $A204&lt;&gt;0,
        _xlpm.is_camera_present, COUNTIFS(Log!$C:$C, $A204, Log!$D:$D, N$4, Log!$A:$A, "Daily", Log!$B:$B, "n/a"),
        _xlpm.we_camera_on_date, IFERROR(AVERAGEIFS(Log!$F:$F, Log!$D:$D,N$4, Log!$C:$C, $A204, Log!$A:$A, "Daily", Log!$B:$B, "n/a"), 0),
        _xlpm.ie_camera_on_date, IFERROR(AVERAGEIFS(Log!$G:$G, Log!$D:$D,N$4,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4" s="68" t="str">
        <f>IFERROR(
    _xlfn.LET(
        _xlpm.is_data_present, $A204&lt;&gt;0,
        _xlpm.is_camera_present, COUNTIFS(Log!$C:$C, $A204, Log!$D:$D, O$4, Log!$A:$A, "Daily", Log!$B:$B, "n/a"),
        _xlpm.we_camera_on_date, IFERROR(AVERAGEIFS(Log!$F:$F, Log!$D:$D,O$4, Log!$C:$C, $A204, Log!$A:$A, "Daily", Log!$B:$B, "n/a"), 0),
        _xlpm.ie_camera_on_date, IFERROR(AVERAGEIFS(Log!$G:$G, Log!$D:$D,O$4,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4" s="68" t="str">
        <f>IFERROR(
    _xlfn.LET(
        _xlpm.is_data_present, $A204&lt;&gt;0,
        _xlpm.is_camera_present, COUNTIFS(Log!$C:$C, $A204, Log!$D:$D, P$4, Log!$A:$A, "Daily", Log!$B:$B, "n/a"),
        _xlpm.we_camera_on_date, IFERROR(AVERAGEIFS(Log!$F:$F, Log!$D:$D,P$4, Log!$C:$C, $A204, Log!$A:$A, "Daily", Log!$B:$B, "n/a"), 0),
        _xlpm.ie_camera_on_date, IFERROR(AVERAGEIFS(Log!$G:$G, Log!$D:$D,P$4,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4" s="68" t="str">
        <f>IFERROR(
    _xlfn.LET(
        _xlpm.is_data_present, $A204&lt;&gt;0,
        _xlpm.is_camera_present, COUNTIFS(Log!$C:$C, $A204, Log!$D:$D, Q$4, Log!$A:$A, "Daily", Log!$B:$B, "n/a"),
        _xlpm.we_camera_on_date, IFERROR(AVERAGEIFS(Log!$F:$F, Log!$D:$D,Q$4, Log!$C:$C, $A204, Log!$A:$A, "Daily", Log!$B:$B, "n/a"), 0),
        _xlpm.ie_camera_on_date, IFERROR(AVERAGEIFS(Log!$G:$G, Log!$D:$D,Q$4,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4" s="68" t="str">
        <f>IFERROR(
    _xlfn.LET(
        _xlpm.is_data_present, $A204&lt;&gt;0,
        _xlpm.is_camera_present, COUNTIFS(Log!$C:$C, $A204, Log!$D:$D, R$4, Log!$A:$A, "Daily", Log!$B:$B, "n/a"),
        _xlpm.we_camera_on_date, IFERROR(AVERAGEIFS(Log!$F:$F, Log!$D:$D,R$4, Log!$C:$C, $A204, Log!$A:$A, "Daily", Log!$B:$B, "n/a"), 0),
        _xlpm.ie_camera_on_date, IFERROR(AVERAGEIFS(Log!$G:$G, Log!$D:$D,R$4,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4" s="68" t="str">
        <f>IFERROR(
    _xlfn.LET(
        _xlpm.is_data_present, $A204&lt;&gt;0,
        _xlpm.is_camera_present, COUNTIFS(Log!$C:$C, $A204, Log!$D:$D, S$4, Log!$A:$A, "Daily", Log!$B:$B, "n/a"),
        _xlpm.we_camera_on_date, IFERROR(AVERAGEIFS(Log!$F:$F, Log!$D:$D,S$4, Log!$C:$C, $A204, Log!$A:$A, "Daily", Log!$B:$B, "n/a"), 0),
        _xlpm.ie_camera_on_date, IFERROR(AVERAGEIFS(Log!$G:$G, Log!$D:$D,S$4, Log!$C:$C, $A204, Log!$A:$A, "Daily", Log!$B:$B, "n/a"), 0),
        _xlpm.we_avg, IFERROR(AVERAGEIFS(Log!$F:$F,Log!$C:$C,$A204, Log!$A:$A, "Daily", Log!$B:$B, "n/a"),0),
        _xlpm.ie_avg, IFERROR(AVERAGEIFS(Log!$G:$G,Log!$C:$C,$A204,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5" spans="2:19" x14ac:dyDescent="0.3">
      <c r="B205" s="68" t="str">
        <f>IFERROR(
    _xlfn.LET(
        _xlpm.is_data_present, $A205&lt;&gt;0,
        _xlpm.is_camera_present, COUNTIFS(Log!$C:$C, $A205, Log!$D:$D, B$4, Log!$A:$A, "Daily", Log!$B:$B, "n/a"),
        _xlpm.we_camera_on_date, IFERROR(AVERAGEIFS(Log!$F:$F, Log!$D:$D,B$4, Log!$C:$C, $A205, Log!$A:$A, "Daily", Log!$B:$B, "n/a"), 0),
        _xlpm.ie_camera_on_date, IFERROR(AVERAGEIFS(Log!$G:$G, Log!$D:$D,B$4,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5" s="68" t="str">
        <f>IFERROR(
    _xlfn.LET(
        _xlpm.is_data_present, $A205&lt;&gt;0,
        _xlpm.is_camera_present, COUNTIFS(Log!$C:$C, $A205, Log!$D:$D, C$4, Log!$A:$A, "Daily", Log!$B:$B, "n/a"),
        _xlpm.we_camera_on_date, IFERROR(AVERAGEIFS(Log!$F:$F, Log!$D:$D,C$4, Log!$C:$C, $A205, Log!$A:$A, "Daily", Log!$B:$B, "n/a"), 0),
        _xlpm.ie_camera_on_date, IFERROR(AVERAGEIFS(Log!$G:$G, Log!$D:$D,C$4,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5" s="68" t="str">
        <f>IFERROR(
    _xlfn.LET(
        _xlpm.is_data_present, $A205&lt;&gt;0,
        _xlpm.is_camera_present, COUNTIFS(Log!$C:$C, $A205, Log!$D:$D, D$4, Log!$A:$A, "Daily", Log!$B:$B, "n/a"),
        _xlpm.we_camera_on_date, IFERROR(AVERAGEIFS(Log!$F:$F, Log!$D:$D,D$4, Log!$C:$C, $A205, Log!$A:$A, "Daily", Log!$B:$B, "n/a"), 0),
        _xlpm.ie_camera_on_date, IFERROR(AVERAGEIFS(Log!$G:$G, Log!$D:$D,D$4,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5" s="68" t="str">
        <f>IFERROR(
    _xlfn.LET(
        _xlpm.is_data_present, $A205&lt;&gt;0,
        _xlpm.is_camera_present, COUNTIFS(Log!$C:$C, $A205, Log!$D:$D, E$4, Log!$A:$A, "Daily", Log!$B:$B, "n/a"),
        _xlpm.we_camera_on_date, IFERROR(AVERAGEIFS(Log!$F:$F, Log!$D:$D,E$4, Log!$C:$C, $A205, Log!$A:$A, "Daily", Log!$B:$B, "n/a"), 0),
        _xlpm.ie_camera_on_date, IFERROR(AVERAGEIFS(Log!$G:$G, Log!$D:$D,E$4,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5" s="68" t="str">
        <f>IFERROR(
    _xlfn.LET(
        _xlpm.is_data_present, $A205&lt;&gt;0,
        _xlpm.is_camera_present, COUNTIFS(Log!$C:$C, $A205, Log!$D:$D, F$4, Log!$A:$A, "Daily", Log!$B:$B, "n/a"),
        _xlpm.we_camera_on_date, IFERROR(AVERAGEIFS(Log!$F:$F, Log!$D:$D,F$4, Log!$C:$C, $A205, Log!$A:$A, "Daily", Log!$B:$B, "n/a"), 0),
        _xlpm.ie_camera_on_date, IFERROR(AVERAGEIFS(Log!$G:$G, Log!$D:$D,F$4,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5" s="68" t="str">
        <f>IFERROR(
    _xlfn.LET(
        _xlpm.is_data_present, $A205&lt;&gt;0,
        _xlpm.is_camera_present, COUNTIFS(Log!$C:$C, $A205, Log!$D:$D, G$4, Log!$A:$A, "Daily", Log!$B:$B, "n/a"),
        _xlpm.we_camera_on_date, IFERROR(AVERAGEIFS(Log!$F:$F, Log!$D:$D,G$4, Log!$C:$C, $A205, Log!$A:$A, "Daily", Log!$B:$B, "n/a"), 0),
        _xlpm.ie_camera_on_date, IFERROR(AVERAGEIFS(Log!$G:$G, Log!$D:$D,G$4,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5" s="68" t="str">
        <f>IFERROR(
    _xlfn.LET(
        _xlpm.is_data_present, $A205&lt;&gt;0,
        _xlpm.is_camera_present, COUNTIFS(Log!$C:$C, $A205, Log!$D:$D, H$4, Log!$A:$A, "Daily", Log!$B:$B, "n/a"),
        _xlpm.we_camera_on_date, IFERROR(AVERAGEIFS(Log!$F:$F, Log!$D:$D,H$4, Log!$C:$C, $A205, Log!$A:$A, "Daily", Log!$B:$B, "n/a"), 0),
        _xlpm.ie_camera_on_date, IFERROR(AVERAGEIFS(Log!$G:$G, Log!$D:$D,H$4,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5" s="68" t="str">
        <f>IFERROR(
    _xlfn.LET(
        _xlpm.is_data_present, $A205&lt;&gt;0,
        _xlpm.is_camera_present, COUNTIFS(Log!$C:$C, $A205, Log!$D:$D, I$4, Log!$A:$A, "Daily", Log!$B:$B, "n/a"),
        _xlpm.we_camera_on_date, IFERROR(AVERAGEIFS(Log!$F:$F, Log!$D:$D,I$4, Log!$C:$C, $A205, Log!$A:$A, "Daily", Log!$B:$B, "n/a"), 0),
        _xlpm.ie_camera_on_date, IFERROR(AVERAGEIFS(Log!$G:$G, Log!$D:$D,I$4,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5" s="68" t="str">
        <f>IFERROR(
    _xlfn.LET(
        _xlpm.is_data_present, $A205&lt;&gt;0,
        _xlpm.is_camera_present, COUNTIFS(Log!$C:$C, $A205, Log!$D:$D, J$4, Log!$A:$A, "Daily", Log!$B:$B, "n/a"),
        _xlpm.we_camera_on_date, IFERROR(AVERAGEIFS(Log!$F:$F, Log!$D:$D,J$4, Log!$C:$C, $A205, Log!$A:$A, "Daily", Log!$B:$B, "n/a"), 0),
        _xlpm.ie_camera_on_date, IFERROR(AVERAGEIFS(Log!$G:$G, Log!$D:$D,J$4,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5" s="68" t="str">
        <f>IFERROR(
    _xlfn.LET(
        _xlpm.is_data_present, $A205&lt;&gt;0,
        _xlpm.is_camera_present, COUNTIFS(Log!$C:$C, $A205, Log!$D:$D, K$4, Log!$A:$A, "Daily", Log!$B:$B, "n/a"),
        _xlpm.we_camera_on_date, IFERROR(AVERAGEIFS(Log!$F:$F, Log!$D:$D,K$4, Log!$C:$C, $A205, Log!$A:$A, "Daily", Log!$B:$B, "n/a"), 0),
        _xlpm.ie_camera_on_date, IFERROR(AVERAGEIFS(Log!$G:$G, Log!$D:$D,K$4,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5" s="68" t="str">
        <f>IFERROR(
    _xlfn.LET(
        _xlpm.is_data_present, $A205&lt;&gt;0,
        _xlpm.is_camera_present, COUNTIFS(Log!$C:$C, $A205, Log!$D:$D, L$4, Log!$A:$A, "Daily", Log!$B:$B, "n/a"),
        _xlpm.we_camera_on_date, IFERROR(AVERAGEIFS(Log!$F:$F, Log!$D:$D,L$4, Log!$C:$C, $A205, Log!$A:$A, "Daily", Log!$B:$B, "n/a"), 0),
        _xlpm.ie_camera_on_date, IFERROR(AVERAGEIFS(Log!$G:$G, Log!$D:$D,L$4,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5" s="68" t="str">
        <f>IFERROR(
    _xlfn.LET(
        _xlpm.is_data_present, $A205&lt;&gt;0,
        _xlpm.is_camera_present, COUNTIFS(Log!$C:$C, $A205, Log!$D:$D, M$4, Log!$A:$A, "Daily", Log!$B:$B, "n/a"),
        _xlpm.we_camera_on_date, IFERROR(AVERAGEIFS(Log!$F:$F, Log!$D:$D,M$4, Log!$C:$C, $A205, Log!$A:$A, "Daily", Log!$B:$B, "n/a"), 0),
        _xlpm.ie_camera_on_date, IFERROR(AVERAGEIFS(Log!$G:$G, Log!$D:$D,M$4,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5" s="68" t="str">
        <f>IFERROR(
    _xlfn.LET(
        _xlpm.is_data_present, $A205&lt;&gt;0,
        _xlpm.is_camera_present, COUNTIFS(Log!$C:$C, $A205, Log!$D:$D, N$4, Log!$A:$A, "Daily", Log!$B:$B, "n/a"),
        _xlpm.we_camera_on_date, IFERROR(AVERAGEIFS(Log!$F:$F, Log!$D:$D,N$4, Log!$C:$C, $A205, Log!$A:$A, "Daily", Log!$B:$B, "n/a"), 0),
        _xlpm.ie_camera_on_date, IFERROR(AVERAGEIFS(Log!$G:$G, Log!$D:$D,N$4,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5" s="68" t="str">
        <f>IFERROR(
    _xlfn.LET(
        _xlpm.is_data_present, $A205&lt;&gt;0,
        _xlpm.is_camera_present, COUNTIFS(Log!$C:$C, $A205, Log!$D:$D, O$4, Log!$A:$A, "Daily", Log!$B:$B, "n/a"),
        _xlpm.we_camera_on_date, IFERROR(AVERAGEIFS(Log!$F:$F, Log!$D:$D,O$4, Log!$C:$C, $A205, Log!$A:$A, "Daily", Log!$B:$B, "n/a"), 0),
        _xlpm.ie_camera_on_date, IFERROR(AVERAGEIFS(Log!$G:$G, Log!$D:$D,O$4,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5" s="68" t="str">
        <f>IFERROR(
    _xlfn.LET(
        _xlpm.is_data_present, $A205&lt;&gt;0,
        _xlpm.is_camera_present, COUNTIFS(Log!$C:$C, $A205, Log!$D:$D, P$4, Log!$A:$A, "Daily", Log!$B:$B, "n/a"),
        _xlpm.we_camera_on_date, IFERROR(AVERAGEIFS(Log!$F:$F, Log!$D:$D,P$4, Log!$C:$C, $A205, Log!$A:$A, "Daily", Log!$B:$B, "n/a"), 0),
        _xlpm.ie_camera_on_date, IFERROR(AVERAGEIFS(Log!$G:$G, Log!$D:$D,P$4,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5" s="68" t="str">
        <f>IFERROR(
    _xlfn.LET(
        _xlpm.is_data_present, $A205&lt;&gt;0,
        _xlpm.is_camera_present, COUNTIFS(Log!$C:$C, $A205, Log!$D:$D, Q$4, Log!$A:$A, "Daily", Log!$B:$B, "n/a"),
        _xlpm.we_camera_on_date, IFERROR(AVERAGEIFS(Log!$F:$F, Log!$D:$D,Q$4, Log!$C:$C, $A205, Log!$A:$A, "Daily", Log!$B:$B, "n/a"), 0),
        _xlpm.ie_camera_on_date, IFERROR(AVERAGEIFS(Log!$G:$G, Log!$D:$D,Q$4,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5" s="68" t="str">
        <f>IFERROR(
    _xlfn.LET(
        _xlpm.is_data_present, $A205&lt;&gt;0,
        _xlpm.is_camera_present, COUNTIFS(Log!$C:$C, $A205, Log!$D:$D, R$4, Log!$A:$A, "Daily", Log!$B:$B, "n/a"),
        _xlpm.we_camera_on_date, IFERROR(AVERAGEIFS(Log!$F:$F, Log!$D:$D,R$4, Log!$C:$C, $A205, Log!$A:$A, "Daily", Log!$B:$B, "n/a"), 0),
        _xlpm.ie_camera_on_date, IFERROR(AVERAGEIFS(Log!$G:$G, Log!$D:$D,R$4,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5" s="68" t="str">
        <f>IFERROR(
    _xlfn.LET(
        _xlpm.is_data_present, $A205&lt;&gt;0,
        _xlpm.is_camera_present, COUNTIFS(Log!$C:$C, $A205, Log!$D:$D, S$4, Log!$A:$A, "Daily", Log!$B:$B, "n/a"),
        _xlpm.we_camera_on_date, IFERROR(AVERAGEIFS(Log!$F:$F, Log!$D:$D,S$4, Log!$C:$C, $A205, Log!$A:$A, "Daily", Log!$B:$B, "n/a"), 0),
        _xlpm.ie_camera_on_date, IFERROR(AVERAGEIFS(Log!$G:$G, Log!$D:$D,S$4, Log!$C:$C, $A205, Log!$A:$A, "Daily", Log!$B:$B, "n/a"), 0),
        _xlpm.we_avg, IFERROR(AVERAGEIFS(Log!$F:$F,Log!$C:$C,$A205, Log!$A:$A, "Daily", Log!$B:$B, "n/a"),0),
        _xlpm.ie_avg, IFERROR(AVERAGEIFS(Log!$G:$G,Log!$C:$C,$A205,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6" spans="2:19" x14ac:dyDescent="0.3">
      <c r="B206" s="68" t="str">
        <f>IFERROR(
    _xlfn.LET(
        _xlpm.is_data_present, $A206&lt;&gt;0,
        _xlpm.is_camera_present, COUNTIFS(Log!$C:$C, $A206, Log!$D:$D, B$4, Log!$A:$A, "Daily", Log!$B:$B, "n/a"),
        _xlpm.we_camera_on_date, IFERROR(AVERAGEIFS(Log!$F:$F, Log!$D:$D,B$4, Log!$C:$C, $A206, Log!$A:$A, "Daily", Log!$B:$B, "n/a"), 0),
        _xlpm.ie_camera_on_date, IFERROR(AVERAGEIFS(Log!$G:$G, Log!$D:$D,B$4,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6" s="68" t="str">
        <f>IFERROR(
    _xlfn.LET(
        _xlpm.is_data_present, $A206&lt;&gt;0,
        _xlpm.is_camera_present, COUNTIFS(Log!$C:$C, $A206, Log!$D:$D, C$4, Log!$A:$A, "Daily", Log!$B:$B, "n/a"),
        _xlpm.we_camera_on_date, IFERROR(AVERAGEIFS(Log!$F:$F, Log!$D:$D,C$4, Log!$C:$C, $A206, Log!$A:$A, "Daily", Log!$B:$B, "n/a"), 0),
        _xlpm.ie_camera_on_date, IFERROR(AVERAGEIFS(Log!$G:$G, Log!$D:$D,C$4,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6" s="68" t="str">
        <f>IFERROR(
    _xlfn.LET(
        _xlpm.is_data_present, $A206&lt;&gt;0,
        _xlpm.is_camera_present, COUNTIFS(Log!$C:$C, $A206, Log!$D:$D, D$4, Log!$A:$A, "Daily", Log!$B:$B, "n/a"),
        _xlpm.we_camera_on_date, IFERROR(AVERAGEIFS(Log!$F:$F, Log!$D:$D,D$4, Log!$C:$C, $A206, Log!$A:$A, "Daily", Log!$B:$B, "n/a"), 0),
        _xlpm.ie_camera_on_date, IFERROR(AVERAGEIFS(Log!$G:$G, Log!$D:$D,D$4,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6" s="68" t="str">
        <f>IFERROR(
    _xlfn.LET(
        _xlpm.is_data_present, $A206&lt;&gt;0,
        _xlpm.is_camera_present, COUNTIFS(Log!$C:$C, $A206, Log!$D:$D, E$4, Log!$A:$A, "Daily", Log!$B:$B, "n/a"),
        _xlpm.we_camera_on_date, IFERROR(AVERAGEIFS(Log!$F:$F, Log!$D:$D,E$4, Log!$C:$C, $A206, Log!$A:$A, "Daily", Log!$B:$B, "n/a"), 0),
        _xlpm.ie_camera_on_date, IFERROR(AVERAGEIFS(Log!$G:$G, Log!$D:$D,E$4,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6" s="68" t="str">
        <f>IFERROR(
    _xlfn.LET(
        _xlpm.is_data_present, $A206&lt;&gt;0,
        _xlpm.is_camera_present, COUNTIFS(Log!$C:$C, $A206, Log!$D:$D, F$4, Log!$A:$A, "Daily", Log!$B:$B, "n/a"),
        _xlpm.we_camera_on_date, IFERROR(AVERAGEIFS(Log!$F:$F, Log!$D:$D,F$4, Log!$C:$C, $A206, Log!$A:$A, "Daily", Log!$B:$B, "n/a"), 0),
        _xlpm.ie_camera_on_date, IFERROR(AVERAGEIFS(Log!$G:$G, Log!$D:$D,F$4,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6" s="68" t="str">
        <f>IFERROR(
    _xlfn.LET(
        _xlpm.is_data_present, $A206&lt;&gt;0,
        _xlpm.is_camera_present, COUNTIFS(Log!$C:$C, $A206, Log!$D:$D, G$4, Log!$A:$A, "Daily", Log!$B:$B, "n/a"),
        _xlpm.we_camera_on_date, IFERROR(AVERAGEIFS(Log!$F:$F, Log!$D:$D,G$4, Log!$C:$C, $A206, Log!$A:$A, "Daily", Log!$B:$B, "n/a"), 0),
        _xlpm.ie_camera_on_date, IFERROR(AVERAGEIFS(Log!$G:$G, Log!$D:$D,G$4,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6" s="68" t="str">
        <f>IFERROR(
    _xlfn.LET(
        _xlpm.is_data_present, $A206&lt;&gt;0,
        _xlpm.is_camera_present, COUNTIFS(Log!$C:$C, $A206, Log!$D:$D, H$4, Log!$A:$A, "Daily", Log!$B:$B, "n/a"),
        _xlpm.we_camera_on_date, IFERROR(AVERAGEIFS(Log!$F:$F, Log!$D:$D,H$4, Log!$C:$C, $A206, Log!$A:$A, "Daily", Log!$B:$B, "n/a"), 0),
        _xlpm.ie_camera_on_date, IFERROR(AVERAGEIFS(Log!$G:$G, Log!$D:$D,H$4,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6" s="68" t="str">
        <f>IFERROR(
    _xlfn.LET(
        _xlpm.is_data_present, $A206&lt;&gt;0,
        _xlpm.is_camera_present, COUNTIFS(Log!$C:$C, $A206, Log!$D:$D, I$4, Log!$A:$A, "Daily", Log!$B:$B, "n/a"),
        _xlpm.we_camera_on_date, IFERROR(AVERAGEIFS(Log!$F:$F, Log!$D:$D,I$4, Log!$C:$C, $A206, Log!$A:$A, "Daily", Log!$B:$B, "n/a"), 0),
        _xlpm.ie_camera_on_date, IFERROR(AVERAGEIFS(Log!$G:$G, Log!$D:$D,I$4,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6" s="68" t="str">
        <f>IFERROR(
    _xlfn.LET(
        _xlpm.is_data_present, $A206&lt;&gt;0,
        _xlpm.is_camera_present, COUNTIFS(Log!$C:$C, $A206, Log!$D:$D, J$4, Log!$A:$A, "Daily", Log!$B:$B, "n/a"),
        _xlpm.we_camera_on_date, IFERROR(AVERAGEIFS(Log!$F:$F, Log!$D:$D,J$4, Log!$C:$C, $A206, Log!$A:$A, "Daily", Log!$B:$B, "n/a"), 0),
        _xlpm.ie_camera_on_date, IFERROR(AVERAGEIFS(Log!$G:$G, Log!$D:$D,J$4,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6" s="68" t="str">
        <f>IFERROR(
    _xlfn.LET(
        _xlpm.is_data_present, $A206&lt;&gt;0,
        _xlpm.is_camera_present, COUNTIFS(Log!$C:$C, $A206, Log!$D:$D, K$4, Log!$A:$A, "Daily", Log!$B:$B, "n/a"),
        _xlpm.we_camera_on_date, IFERROR(AVERAGEIFS(Log!$F:$F, Log!$D:$D,K$4, Log!$C:$C, $A206, Log!$A:$A, "Daily", Log!$B:$B, "n/a"), 0),
        _xlpm.ie_camera_on_date, IFERROR(AVERAGEIFS(Log!$G:$G, Log!$D:$D,K$4,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6" s="68" t="str">
        <f>IFERROR(
    _xlfn.LET(
        _xlpm.is_data_present, $A206&lt;&gt;0,
        _xlpm.is_camera_present, COUNTIFS(Log!$C:$C, $A206, Log!$D:$D, L$4, Log!$A:$A, "Daily", Log!$B:$B, "n/a"),
        _xlpm.we_camera_on_date, IFERROR(AVERAGEIFS(Log!$F:$F, Log!$D:$D,L$4, Log!$C:$C, $A206, Log!$A:$A, "Daily", Log!$B:$B, "n/a"), 0),
        _xlpm.ie_camera_on_date, IFERROR(AVERAGEIFS(Log!$G:$G, Log!$D:$D,L$4,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6" s="68" t="str">
        <f>IFERROR(
    _xlfn.LET(
        _xlpm.is_data_present, $A206&lt;&gt;0,
        _xlpm.is_camera_present, COUNTIFS(Log!$C:$C, $A206, Log!$D:$D, M$4, Log!$A:$A, "Daily", Log!$B:$B, "n/a"),
        _xlpm.we_camera_on_date, IFERROR(AVERAGEIFS(Log!$F:$F, Log!$D:$D,M$4, Log!$C:$C, $A206, Log!$A:$A, "Daily", Log!$B:$B, "n/a"), 0),
        _xlpm.ie_camera_on_date, IFERROR(AVERAGEIFS(Log!$G:$G, Log!$D:$D,M$4,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6" s="68" t="str">
        <f>IFERROR(
    _xlfn.LET(
        _xlpm.is_data_present, $A206&lt;&gt;0,
        _xlpm.is_camera_present, COUNTIFS(Log!$C:$C, $A206, Log!$D:$D, N$4, Log!$A:$A, "Daily", Log!$B:$B, "n/a"),
        _xlpm.we_camera_on_date, IFERROR(AVERAGEIFS(Log!$F:$F, Log!$D:$D,N$4, Log!$C:$C, $A206, Log!$A:$A, "Daily", Log!$B:$B, "n/a"), 0),
        _xlpm.ie_camera_on_date, IFERROR(AVERAGEIFS(Log!$G:$G, Log!$D:$D,N$4,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6" s="68" t="str">
        <f>IFERROR(
    _xlfn.LET(
        _xlpm.is_data_present, $A206&lt;&gt;0,
        _xlpm.is_camera_present, COUNTIFS(Log!$C:$C, $A206, Log!$D:$D, O$4, Log!$A:$A, "Daily", Log!$B:$B, "n/a"),
        _xlpm.we_camera_on_date, IFERROR(AVERAGEIFS(Log!$F:$F, Log!$D:$D,O$4, Log!$C:$C, $A206, Log!$A:$A, "Daily", Log!$B:$B, "n/a"), 0),
        _xlpm.ie_camera_on_date, IFERROR(AVERAGEIFS(Log!$G:$G, Log!$D:$D,O$4,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6" s="68" t="str">
        <f>IFERROR(
    _xlfn.LET(
        _xlpm.is_data_present, $A206&lt;&gt;0,
        _xlpm.is_camera_present, COUNTIFS(Log!$C:$C, $A206, Log!$D:$D, P$4, Log!$A:$A, "Daily", Log!$B:$B, "n/a"),
        _xlpm.we_camera_on_date, IFERROR(AVERAGEIFS(Log!$F:$F, Log!$D:$D,P$4, Log!$C:$C, $A206, Log!$A:$A, "Daily", Log!$B:$B, "n/a"), 0),
        _xlpm.ie_camera_on_date, IFERROR(AVERAGEIFS(Log!$G:$G, Log!$D:$D,P$4,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6" s="68" t="str">
        <f>IFERROR(
    _xlfn.LET(
        _xlpm.is_data_present, $A206&lt;&gt;0,
        _xlpm.is_camera_present, COUNTIFS(Log!$C:$C, $A206, Log!$D:$D, Q$4, Log!$A:$A, "Daily", Log!$B:$B, "n/a"),
        _xlpm.we_camera_on_date, IFERROR(AVERAGEIFS(Log!$F:$F, Log!$D:$D,Q$4, Log!$C:$C, $A206, Log!$A:$A, "Daily", Log!$B:$B, "n/a"), 0),
        _xlpm.ie_camera_on_date, IFERROR(AVERAGEIFS(Log!$G:$G, Log!$D:$D,Q$4,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6" s="68" t="str">
        <f>IFERROR(
    _xlfn.LET(
        _xlpm.is_data_present, $A206&lt;&gt;0,
        _xlpm.is_camera_present, COUNTIFS(Log!$C:$C, $A206, Log!$D:$D, R$4, Log!$A:$A, "Daily", Log!$B:$B, "n/a"),
        _xlpm.we_camera_on_date, IFERROR(AVERAGEIFS(Log!$F:$F, Log!$D:$D,R$4, Log!$C:$C, $A206, Log!$A:$A, "Daily", Log!$B:$B, "n/a"), 0),
        _xlpm.ie_camera_on_date, IFERROR(AVERAGEIFS(Log!$G:$G, Log!$D:$D,R$4,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6" s="68" t="str">
        <f>IFERROR(
    _xlfn.LET(
        _xlpm.is_data_present, $A206&lt;&gt;0,
        _xlpm.is_camera_present, COUNTIFS(Log!$C:$C, $A206, Log!$D:$D, S$4, Log!$A:$A, "Daily", Log!$B:$B, "n/a"),
        _xlpm.we_camera_on_date, IFERROR(AVERAGEIFS(Log!$F:$F, Log!$D:$D,S$4, Log!$C:$C, $A206, Log!$A:$A, "Daily", Log!$B:$B, "n/a"), 0),
        _xlpm.ie_camera_on_date, IFERROR(AVERAGEIFS(Log!$G:$G, Log!$D:$D,S$4, Log!$C:$C, $A206, Log!$A:$A, "Daily", Log!$B:$B, "n/a"), 0),
        _xlpm.we_avg, IFERROR(AVERAGEIFS(Log!$F:$F,Log!$C:$C,$A206, Log!$A:$A, "Daily", Log!$B:$B, "n/a"),0),
        _xlpm.ie_avg, IFERROR(AVERAGEIFS(Log!$G:$G,Log!$C:$C,$A206,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7" spans="2:19" x14ac:dyDescent="0.3">
      <c r="B207" s="68" t="str">
        <f>IFERROR(
    _xlfn.LET(
        _xlpm.is_data_present, $A207&lt;&gt;0,
        _xlpm.is_camera_present, COUNTIFS(Log!$C:$C, $A207, Log!$D:$D, B$4, Log!$A:$A, "Daily", Log!$B:$B, "n/a"),
        _xlpm.we_camera_on_date, IFERROR(AVERAGEIFS(Log!$F:$F, Log!$D:$D,B$4, Log!$C:$C, $A207, Log!$A:$A, "Daily", Log!$B:$B, "n/a"), 0),
        _xlpm.ie_camera_on_date, IFERROR(AVERAGEIFS(Log!$G:$G, Log!$D:$D,B$4,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7" s="68" t="str">
        <f>IFERROR(
    _xlfn.LET(
        _xlpm.is_data_present, $A207&lt;&gt;0,
        _xlpm.is_camera_present, COUNTIFS(Log!$C:$C, $A207, Log!$D:$D, C$4, Log!$A:$A, "Daily", Log!$B:$B, "n/a"),
        _xlpm.we_camera_on_date, IFERROR(AVERAGEIFS(Log!$F:$F, Log!$D:$D,C$4, Log!$C:$C, $A207, Log!$A:$A, "Daily", Log!$B:$B, "n/a"), 0),
        _xlpm.ie_camera_on_date, IFERROR(AVERAGEIFS(Log!$G:$G, Log!$D:$D,C$4,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7" s="68" t="str">
        <f>IFERROR(
    _xlfn.LET(
        _xlpm.is_data_present, $A207&lt;&gt;0,
        _xlpm.is_camera_present, COUNTIFS(Log!$C:$C, $A207, Log!$D:$D, D$4, Log!$A:$A, "Daily", Log!$B:$B, "n/a"),
        _xlpm.we_camera_on_date, IFERROR(AVERAGEIFS(Log!$F:$F, Log!$D:$D,D$4, Log!$C:$C, $A207, Log!$A:$A, "Daily", Log!$B:$B, "n/a"), 0),
        _xlpm.ie_camera_on_date, IFERROR(AVERAGEIFS(Log!$G:$G, Log!$D:$D,D$4,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7" s="68" t="str">
        <f>IFERROR(
    _xlfn.LET(
        _xlpm.is_data_present, $A207&lt;&gt;0,
        _xlpm.is_camera_present, COUNTIFS(Log!$C:$C, $A207, Log!$D:$D, E$4, Log!$A:$A, "Daily", Log!$B:$B, "n/a"),
        _xlpm.we_camera_on_date, IFERROR(AVERAGEIFS(Log!$F:$F, Log!$D:$D,E$4, Log!$C:$C, $A207, Log!$A:$A, "Daily", Log!$B:$B, "n/a"), 0),
        _xlpm.ie_camera_on_date, IFERROR(AVERAGEIFS(Log!$G:$G, Log!$D:$D,E$4,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7" s="68" t="str">
        <f>IFERROR(
    _xlfn.LET(
        _xlpm.is_data_present, $A207&lt;&gt;0,
        _xlpm.is_camera_present, COUNTIFS(Log!$C:$C, $A207, Log!$D:$D, F$4, Log!$A:$A, "Daily", Log!$B:$B, "n/a"),
        _xlpm.we_camera_on_date, IFERROR(AVERAGEIFS(Log!$F:$F, Log!$D:$D,F$4, Log!$C:$C, $A207, Log!$A:$A, "Daily", Log!$B:$B, "n/a"), 0),
        _xlpm.ie_camera_on_date, IFERROR(AVERAGEIFS(Log!$G:$G, Log!$D:$D,F$4,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7" s="68" t="str">
        <f>IFERROR(
    _xlfn.LET(
        _xlpm.is_data_present, $A207&lt;&gt;0,
        _xlpm.is_camera_present, COUNTIFS(Log!$C:$C, $A207, Log!$D:$D, G$4, Log!$A:$A, "Daily", Log!$B:$B, "n/a"),
        _xlpm.we_camera_on_date, IFERROR(AVERAGEIFS(Log!$F:$F, Log!$D:$D,G$4, Log!$C:$C, $A207, Log!$A:$A, "Daily", Log!$B:$B, "n/a"), 0),
        _xlpm.ie_camera_on_date, IFERROR(AVERAGEIFS(Log!$G:$G, Log!$D:$D,G$4,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7" s="68" t="str">
        <f>IFERROR(
    _xlfn.LET(
        _xlpm.is_data_present, $A207&lt;&gt;0,
        _xlpm.is_camera_present, COUNTIFS(Log!$C:$C, $A207, Log!$D:$D, H$4, Log!$A:$A, "Daily", Log!$B:$B, "n/a"),
        _xlpm.we_camera_on_date, IFERROR(AVERAGEIFS(Log!$F:$F, Log!$D:$D,H$4, Log!$C:$C, $A207, Log!$A:$A, "Daily", Log!$B:$B, "n/a"), 0),
        _xlpm.ie_camera_on_date, IFERROR(AVERAGEIFS(Log!$G:$G, Log!$D:$D,H$4,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7" s="68" t="str">
        <f>IFERROR(
    _xlfn.LET(
        _xlpm.is_data_present, $A207&lt;&gt;0,
        _xlpm.is_camera_present, COUNTIFS(Log!$C:$C, $A207, Log!$D:$D, I$4, Log!$A:$A, "Daily", Log!$B:$B, "n/a"),
        _xlpm.we_camera_on_date, IFERROR(AVERAGEIFS(Log!$F:$F, Log!$D:$D,I$4, Log!$C:$C, $A207, Log!$A:$A, "Daily", Log!$B:$B, "n/a"), 0),
        _xlpm.ie_camera_on_date, IFERROR(AVERAGEIFS(Log!$G:$G, Log!$D:$D,I$4,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7" s="68" t="str">
        <f>IFERROR(
    _xlfn.LET(
        _xlpm.is_data_present, $A207&lt;&gt;0,
        _xlpm.is_camera_present, COUNTIFS(Log!$C:$C, $A207, Log!$D:$D, J$4, Log!$A:$A, "Daily", Log!$B:$B, "n/a"),
        _xlpm.we_camera_on_date, IFERROR(AVERAGEIFS(Log!$F:$F, Log!$D:$D,J$4, Log!$C:$C, $A207, Log!$A:$A, "Daily", Log!$B:$B, "n/a"), 0),
        _xlpm.ie_camera_on_date, IFERROR(AVERAGEIFS(Log!$G:$G, Log!$D:$D,J$4,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7" s="68" t="str">
        <f>IFERROR(
    _xlfn.LET(
        _xlpm.is_data_present, $A207&lt;&gt;0,
        _xlpm.is_camera_present, COUNTIFS(Log!$C:$C, $A207, Log!$D:$D, K$4, Log!$A:$A, "Daily", Log!$B:$B, "n/a"),
        _xlpm.we_camera_on_date, IFERROR(AVERAGEIFS(Log!$F:$F, Log!$D:$D,K$4, Log!$C:$C, $A207, Log!$A:$A, "Daily", Log!$B:$B, "n/a"), 0),
        _xlpm.ie_camera_on_date, IFERROR(AVERAGEIFS(Log!$G:$G, Log!$D:$D,K$4,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7" s="68" t="str">
        <f>IFERROR(
    _xlfn.LET(
        _xlpm.is_data_present, $A207&lt;&gt;0,
        _xlpm.is_camera_present, COUNTIFS(Log!$C:$C, $A207, Log!$D:$D, L$4, Log!$A:$A, "Daily", Log!$B:$B, "n/a"),
        _xlpm.we_camera_on_date, IFERROR(AVERAGEIFS(Log!$F:$F, Log!$D:$D,L$4, Log!$C:$C, $A207, Log!$A:$A, "Daily", Log!$B:$B, "n/a"), 0),
        _xlpm.ie_camera_on_date, IFERROR(AVERAGEIFS(Log!$G:$G, Log!$D:$D,L$4,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7" s="68" t="str">
        <f>IFERROR(
    _xlfn.LET(
        _xlpm.is_data_present, $A207&lt;&gt;0,
        _xlpm.is_camera_present, COUNTIFS(Log!$C:$C, $A207, Log!$D:$D, M$4, Log!$A:$A, "Daily", Log!$B:$B, "n/a"),
        _xlpm.we_camera_on_date, IFERROR(AVERAGEIFS(Log!$F:$F, Log!$D:$D,M$4, Log!$C:$C, $A207, Log!$A:$A, "Daily", Log!$B:$B, "n/a"), 0),
        _xlpm.ie_camera_on_date, IFERROR(AVERAGEIFS(Log!$G:$G, Log!$D:$D,M$4,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7" s="68" t="str">
        <f>IFERROR(
    _xlfn.LET(
        _xlpm.is_data_present, $A207&lt;&gt;0,
        _xlpm.is_camera_present, COUNTIFS(Log!$C:$C, $A207, Log!$D:$D, N$4, Log!$A:$A, "Daily", Log!$B:$B, "n/a"),
        _xlpm.we_camera_on_date, IFERROR(AVERAGEIFS(Log!$F:$F, Log!$D:$D,N$4, Log!$C:$C, $A207, Log!$A:$A, "Daily", Log!$B:$B, "n/a"), 0),
        _xlpm.ie_camera_on_date, IFERROR(AVERAGEIFS(Log!$G:$G, Log!$D:$D,N$4,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7" s="68" t="str">
        <f>IFERROR(
    _xlfn.LET(
        _xlpm.is_data_present, $A207&lt;&gt;0,
        _xlpm.is_camera_present, COUNTIFS(Log!$C:$C, $A207, Log!$D:$D, O$4, Log!$A:$A, "Daily", Log!$B:$B, "n/a"),
        _xlpm.we_camera_on_date, IFERROR(AVERAGEIFS(Log!$F:$F, Log!$D:$D,O$4, Log!$C:$C, $A207, Log!$A:$A, "Daily", Log!$B:$B, "n/a"), 0),
        _xlpm.ie_camera_on_date, IFERROR(AVERAGEIFS(Log!$G:$G, Log!$D:$D,O$4,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7" s="68" t="str">
        <f>IFERROR(
    _xlfn.LET(
        _xlpm.is_data_present, $A207&lt;&gt;0,
        _xlpm.is_camera_present, COUNTIFS(Log!$C:$C, $A207, Log!$D:$D, P$4, Log!$A:$A, "Daily", Log!$B:$B, "n/a"),
        _xlpm.we_camera_on_date, IFERROR(AVERAGEIFS(Log!$F:$F, Log!$D:$D,P$4, Log!$C:$C, $A207, Log!$A:$A, "Daily", Log!$B:$B, "n/a"), 0),
        _xlpm.ie_camera_on_date, IFERROR(AVERAGEIFS(Log!$G:$G, Log!$D:$D,P$4,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7" s="68" t="str">
        <f>IFERROR(
    _xlfn.LET(
        _xlpm.is_data_present, $A207&lt;&gt;0,
        _xlpm.is_camera_present, COUNTIFS(Log!$C:$C, $A207, Log!$D:$D, Q$4, Log!$A:$A, "Daily", Log!$B:$B, "n/a"),
        _xlpm.we_camera_on_date, IFERROR(AVERAGEIFS(Log!$F:$F, Log!$D:$D,Q$4, Log!$C:$C, $A207, Log!$A:$A, "Daily", Log!$B:$B, "n/a"), 0),
        _xlpm.ie_camera_on_date, IFERROR(AVERAGEIFS(Log!$G:$G, Log!$D:$D,Q$4,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7" s="68" t="str">
        <f>IFERROR(
    _xlfn.LET(
        _xlpm.is_data_present, $A207&lt;&gt;0,
        _xlpm.is_camera_present, COUNTIFS(Log!$C:$C, $A207, Log!$D:$D, R$4, Log!$A:$A, "Daily", Log!$B:$B, "n/a"),
        _xlpm.we_camera_on_date, IFERROR(AVERAGEIFS(Log!$F:$F, Log!$D:$D,R$4, Log!$C:$C, $A207, Log!$A:$A, "Daily", Log!$B:$B, "n/a"), 0),
        _xlpm.ie_camera_on_date, IFERROR(AVERAGEIFS(Log!$G:$G, Log!$D:$D,R$4,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7" s="68" t="str">
        <f>IFERROR(
    _xlfn.LET(
        _xlpm.is_data_present, $A207&lt;&gt;0,
        _xlpm.is_camera_present, COUNTIFS(Log!$C:$C, $A207, Log!$D:$D, S$4, Log!$A:$A, "Daily", Log!$B:$B, "n/a"),
        _xlpm.we_camera_on_date, IFERROR(AVERAGEIFS(Log!$F:$F, Log!$D:$D,S$4, Log!$C:$C, $A207, Log!$A:$A, "Daily", Log!$B:$B, "n/a"), 0),
        _xlpm.ie_camera_on_date, IFERROR(AVERAGEIFS(Log!$G:$G, Log!$D:$D,S$4, Log!$C:$C, $A207, Log!$A:$A, "Daily", Log!$B:$B, "n/a"), 0),
        _xlpm.we_avg, IFERROR(AVERAGEIFS(Log!$F:$F,Log!$C:$C,$A207, Log!$A:$A, "Daily", Log!$B:$B, "n/a"),0),
        _xlpm.ie_avg, IFERROR(AVERAGEIFS(Log!$G:$G,Log!$C:$C,$A207,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8" spans="2:19" x14ac:dyDescent="0.3">
      <c r="B208" s="68" t="str">
        <f>IFERROR(
    _xlfn.LET(
        _xlpm.is_data_present, $A208&lt;&gt;0,
        _xlpm.is_camera_present, COUNTIFS(Log!$C:$C, $A208, Log!$D:$D, B$4, Log!$A:$A, "Daily", Log!$B:$B, "n/a"),
        _xlpm.we_camera_on_date, IFERROR(AVERAGEIFS(Log!$F:$F, Log!$D:$D,B$4, Log!$C:$C, $A208, Log!$A:$A, "Daily", Log!$B:$B, "n/a"), 0),
        _xlpm.ie_camera_on_date, IFERROR(AVERAGEIFS(Log!$G:$G, Log!$D:$D,B$4,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8" s="68" t="str">
        <f>IFERROR(
    _xlfn.LET(
        _xlpm.is_data_present, $A208&lt;&gt;0,
        _xlpm.is_camera_present, COUNTIFS(Log!$C:$C, $A208, Log!$D:$D, C$4, Log!$A:$A, "Daily", Log!$B:$B, "n/a"),
        _xlpm.we_camera_on_date, IFERROR(AVERAGEIFS(Log!$F:$F, Log!$D:$D,C$4, Log!$C:$C, $A208, Log!$A:$A, "Daily", Log!$B:$B, "n/a"), 0),
        _xlpm.ie_camera_on_date, IFERROR(AVERAGEIFS(Log!$G:$G, Log!$D:$D,C$4,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8" s="68" t="str">
        <f>IFERROR(
    _xlfn.LET(
        _xlpm.is_data_present, $A208&lt;&gt;0,
        _xlpm.is_camera_present, COUNTIFS(Log!$C:$C, $A208, Log!$D:$D, D$4, Log!$A:$A, "Daily", Log!$B:$B, "n/a"),
        _xlpm.we_camera_on_date, IFERROR(AVERAGEIFS(Log!$F:$F, Log!$D:$D,D$4, Log!$C:$C, $A208, Log!$A:$A, "Daily", Log!$B:$B, "n/a"), 0),
        _xlpm.ie_camera_on_date, IFERROR(AVERAGEIFS(Log!$G:$G, Log!$D:$D,D$4,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8" s="68" t="str">
        <f>IFERROR(
    _xlfn.LET(
        _xlpm.is_data_present, $A208&lt;&gt;0,
        _xlpm.is_camera_present, COUNTIFS(Log!$C:$C, $A208, Log!$D:$D, E$4, Log!$A:$A, "Daily", Log!$B:$B, "n/a"),
        _xlpm.we_camera_on_date, IFERROR(AVERAGEIFS(Log!$F:$F, Log!$D:$D,E$4, Log!$C:$C, $A208, Log!$A:$A, "Daily", Log!$B:$B, "n/a"), 0),
        _xlpm.ie_camera_on_date, IFERROR(AVERAGEIFS(Log!$G:$G, Log!$D:$D,E$4,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8" s="68" t="str">
        <f>IFERROR(
    _xlfn.LET(
        _xlpm.is_data_present, $A208&lt;&gt;0,
        _xlpm.is_camera_present, COUNTIFS(Log!$C:$C, $A208, Log!$D:$D, F$4, Log!$A:$A, "Daily", Log!$B:$B, "n/a"),
        _xlpm.we_camera_on_date, IFERROR(AVERAGEIFS(Log!$F:$F, Log!$D:$D,F$4, Log!$C:$C, $A208, Log!$A:$A, "Daily", Log!$B:$B, "n/a"), 0),
        _xlpm.ie_camera_on_date, IFERROR(AVERAGEIFS(Log!$G:$G, Log!$D:$D,F$4,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8" s="68" t="str">
        <f>IFERROR(
    _xlfn.LET(
        _xlpm.is_data_present, $A208&lt;&gt;0,
        _xlpm.is_camera_present, COUNTIFS(Log!$C:$C, $A208, Log!$D:$D, G$4, Log!$A:$A, "Daily", Log!$B:$B, "n/a"),
        _xlpm.we_camera_on_date, IFERROR(AVERAGEIFS(Log!$F:$F, Log!$D:$D,G$4, Log!$C:$C, $A208, Log!$A:$A, "Daily", Log!$B:$B, "n/a"), 0),
        _xlpm.ie_camera_on_date, IFERROR(AVERAGEIFS(Log!$G:$G, Log!$D:$D,G$4,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8" s="68" t="str">
        <f>IFERROR(
    _xlfn.LET(
        _xlpm.is_data_present, $A208&lt;&gt;0,
        _xlpm.is_camera_present, COUNTIFS(Log!$C:$C, $A208, Log!$D:$D, H$4, Log!$A:$A, "Daily", Log!$B:$B, "n/a"),
        _xlpm.we_camera_on_date, IFERROR(AVERAGEIFS(Log!$F:$F, Log!$D:$D,H$4, Log!$C:$C, $A208, Log!$A:$A, "Daily", Log!$B:$B, "n/a"), 0),
        _xlpm.ie_camera_on_date, IFERROR(AVERAGEIFS(Log!$G:$G, Log!$D:$D,H$4,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8" s="68" t="str">
        <f>IFERROR(
    _xlfn.LET(
        _xlpm.is_data_present, $A208&lt;&gt;0,
        _xlpm.is_camera_present, COUNTIFS(Log!$C:$C, $A208, Log!$D:$D, I$4, Log!$A:$A, "Daily", Log!$B:$B, "n/a"),
        _xlpm.we_camera_on_date, IFERROR(AVERAGEIFS(Log!$F:$F, Log!$D:$D,I$4, Log!$C:$C, $A208, Log!$A:$A, "Daily", Log!$B:$B, "n/a"), 0),
        _xlpm.ie_camera_on_date, IFERROR(AVERAGEIFS(Log!$G:$G, Log!$D:$D,I$4,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8" s="68" t="str">
        <f>IFERROR(
    _xlfn.LET(
        _xlpm.is_data_present, $A208&lt;&gt;0,
        _xlpm.is_camera_present, COUNTIFS(Log!$C:$C, $A208, Log!$D:$D, J$4, Log!$A:$A, "Daily", Log!$B:$B, "n/a"),
        _xlpm.we_camera_on_date, IFERROR(AVERAGEIFS(Log!$F:$F, Log!$D:$D,J$4, Log!$C:$C, $A208, Log!$A:$A, "Daily", Log!$B:$B, "n/a"), 0),
        _xlpm.ie_camera_on_date, IFERROR(AVERAGEIFS(Log!$G:$G, Log!$D:$D,J$4,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8" s="68" t="str">
        <f>IFERROR(
    _xlfn.LET(
        _xlpm.is_data_present, $A208&lt;&gt;0,
        _xlpm.is_camera_present, COUNTIFS(Log!$C:$C, $A208, Log!$D:$D, K$4, Log!$A:$A, "Daily", Log!$B:$B, "n/a"),
        _xlpm.we_camera_on_date, IFERROR(AVERAGEIFS(Log!$F:$F, Log!$D:$D,K$4, Log!$C:$C, $A208, Log!$A:$A, "Daily", Log!$B:$B, "n/a"), 0),
        _xlpm.ie_camera_on_date, IFERROR(AVERAGEIFS(Log!$G:$G, Log!$D:$D,K$4,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8" s="68" t="str">
        <f>IFERROR(
    _xlfn.LET(
        _xlpm.is_data_present, $A208&lt;&gt;0,
        _xlpm.is_camera_present, COUNTIFS(Log!$C:$C, $A208, Log!$D:$D, L$4, Log!$A:$A, "Daily", Log!$B:$B, "n/a"),
        _xlpm.we_camera_on_date, IFERROR(AVERAGEIFS(Log!$F:$F, Log!$D:$D,L$4, Log!$C:$C, $A208, Log!$A:$A, "Daily", Log!$B:$B, "n/a"), 0),
        _xlpm.ie_camera_on_date, IFERROR(AVERAGEIFS(Log!$G:$G, Log!$D:$D,L$4,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8" s="68" t="str">
        <f>IFERROR(
    _xlfn.LET(
        _xlpm.is_data_present, $A208&lt;&gt;0,
        _xlpm.is_camera_present, COUNTIFS(Log!$C:$C, $A208, Log!$D:$D, M$4, Log!$A:$A, "Daily", Log!$B:$B, "n/a"),
        _xlpm.we_camera_on_date, IFERROR(AVERAGEIFS(Log!$F:$F, Log!$D:$D,M$4, Log!$C:$C, $A208, Log!$A:$A, "Daily", Log!$B:$B, "n/a"), 0),
        _xlpm.ie_camera_on_date, IFERROR(AVERAGEIFS(Log!$G:$G, Log!$D:$D,M$4,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8" s="68" t="str">
        <f>IFERROR(
    _xlfn.LET(
        _xlpm.is_data_present, $A208&lt;&gt;0,
        _xlpm.is_camera_present, COUNTIFS(Log!$C:$C, $A208, Log!$D:$D, N$4, Log!$A:$A, "Daily", Log!$B:$B, "n/a"),
        _xlpm.we_camera_on_date, IFERROR(AVERAGEIFS(Log!$F:$F, Log!$D:$D,N$4, Log!$C:$C, $A208, Log!$A:$A, "Daily", Log!$B:$B, "n/a"), 0),
        _xlpm.ie_camera_on_date, IFERROR(AVERAGEIFS(Log!$G:$G, Log!$D:$D,N$4,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8" s="68" t="str">
        <f>IFERROR(
    _xlfn.LET(
        _xlpm.is_data_present, $A208&lt;&gt;0,
        _xlpm.is_camera_present, COUNTIFS(Log!$C:$C, $A208, Log!$D:$D, O$4, Log!$A:$A, "Daily", Log!$B:$B, "n/a"),
        _xlpm.we_camera_on_date, IFERROR(AVERAGEIFS(Log!$F:$F, Log!$D:$D,O$4, Log!$C:$C, $A208, Log!$A:$A, "Daily", Log!$B:$B, "n/a"), 0),
        _xlpm.ie_camera_on_date, IFERROR(AVERAGEIFS(Log!$G:$G, Log!$D:$D,O$4,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8" s="68" t="str">
        <f>IFERROR(
    _xlfn.LET(
        _xlpm.is_data_present, $A208&lt;&gt;0,
        _xlpm.is_camera_present, COUNTIFS(Log!$C:$C, $A208, Log!$D:$D, P$4, Log!$A:$A, "Daily", Log!$B:$B, "n/a"),
        _xlpm.we_camera_on_date, IFERROR(AVERAGEIFS(Log!$F:$F, Log!$D:$D,P$4, Log!$C:$C, $A208, Log!$A:$A, "Daily", Log!$B:$B, "n/a"), 0),
        _xlpm.ie_camera_on_date, IFERROR(AVERAGEIFS(Log!$G:$G, Log!$D:$D,P$4,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8" s="68" t="str">
        <f>IFERROR(
    _xlfn.LET(
        _xlpm.is_data_present, $A208&lt;&gt;0,
        _xlpm.is_camera_present, COUNTIFS(Log!$C:$C, $A208, Log!$D:$D, Q$4, Log!$A:$A, "Daily", Log!$B:$B, "n/a"),
        _xlpm.we_camera_on_date, IFERROR(AVERAGEIFS(Log!$F:$F, Log!$D:$D,Q$4, Log!$C:$C, $A208, Log!$A:$A, "Daily", Log!$B:$B, "n/a"), 0),
        _xlpm.ie_camera_on_date, IFERROR(AVERAGEIFS(Log!$G:$G, Log!$D:$D,Q$4,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8" s="68" t="str">
        <f>IFERROR(
    _xlfn.LET(
        _xlpm.is_data_present, $A208&lt;&gt;0,
        _xlpm.is_camera_present, COUNTIFS(Log!$C:$C, $A208, Log!$D:$D, R$4, Log!$A:$A, "Daily", Log!$B:$B, "n/a"),
        _xlpm.we_camera_on_date, IFERROR(AVERAGEIFS(Log!$F:$F, Log!$D:$D,R$4, Log!$C:$C, $A208, Log!$A:$A, "Daily", Log!$B:$B, "n/a"), 0),
        _xlpm.ie_camera_on_date, IFERROR(AVERAGEIFS(Log!$G:$G, Log!$D:$D,R$4,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8" s="68" t="str">
        <f>IFERROR(
    _xlfn.LET(
        _xlpm.is_data_present, $A208&lt;&gt;0,
        _xlpm.is_camera_present, COUNTIFS(Log!$C:$C, $A208, Log!$D:$D, S$4, Log!$A:$A, "Daily", Log!$B:$B, "n/a"),
        _xlpm.we_camera_on_date, IFERROR(AVERAGEIFS(Log!$F:$F, Log!$D:$D,S$4, Log!$C:$C, $A208, Log!$A:$A, "Daily", Log!$B:$B, "n/a"), 0),
        _xlpm.ie_camera_on_date, IFERROR(AVERAGEIFS(Log!$G:$G, Log!$D:$D,S$4, Log!$C:$C, $A208, Log!$A:$A, "Daily", Log!$B:$B, "n/a"), 0),
        _xlpm.we_avg, IFERROR(AVERAGEIFS(Log!$F:$F,Log!$C:$C,$A208, Log!$A:$A, "Daily", Log!$B:$B, "n/a"),0),
        _xlpm.ie_avg, IFERROR(AVERAGEIFS(Log!$G:$G,Log!$C:$C,$A208,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09" spans="2:19" x14ac:dyDescent="0.3">
      <c r="B209" s="68" t="str">
        <f>IFERROR(
    _xlfn.LET(
        _xlpm.is_data_present, $A209&lt;&gt;0,
        _xlpm.is_camera_present, COUNTIFS(Log!$C:$C, $A209, Log!$D:$D, B$4, Log!$A:$A, "Daily", Log!$B:$B, "n/a"),
        _xlpm.we_camera_on_date, IFERROR(AVERAGEIFS(Log!$F:$F, Log!$D:$D,B$4, Log!$C:$C, $A209, Log!$A:$A, "Daily", Log!$B:$B, "n/a"), 0),
        _xlpm.ie_camera_on_date, IFERROR(AVERAGEIFS(Log!$G:$G, Log!$D:$D,B$4,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09" s="68" t="str">
        <f>IFERROR(
    _xlfn.LET(
        _xlpm.is_data_present, $A209&lt;&gt;0,
        _xlpm.is_camera_present, COUNTIFS(Log!$C:$C, $A209, Log!$D:$D, C$4, Log!$A:$A, "Daily", Log!$B:$B, "n/a"),
        _xlpm.we_camera_on_date, IFERROR(AVERAGEIFS(Log!$F:$F, Log!$D:$D,C$4, Log!$C:$C, $A209, Log!$A:$A, "Daily", Log!$B:$B, "n/a"), 0),
        _xlpm.ie_camera_on_date, IFERROR(AVERAGEIFS(Log!$G:$G, Log!$D:$D,C$4,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09" s="68" t="str">
        <f>IFERROR(
    _xlfn.LET(
        _xlpm.is_data_present, $A209&lt;&gt;0,
        _xlpm.is_camera_present, COUNTIFS(Log!$C:$C, $A209, Log!$D:$D, D$4, Log!$A:$A, "Daily", Log!$B:$B, "n/a"),
        _xlpm.we_camera_on_date, IFERROR(AVERAGEIFS(Log!$F:$F, Log!$D:$D,D$4, Log!$C:$C, $A209, Log!$A:$A, "Daily", Log!$B:$B, "n/a"), 0),
        _xlpm.ie_camera_on_date, IFERROR(AVERAGEIFS(Log!$G:$G, Log!$D:$D,D$4,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09" s="68" t="str">
        <f>IFERROR(
    _xlfn.LET(
        _xlpm.is_data_present, $A209&lt;&gt;0,
        _xlpm.is_camera_present, COUNTIFS(Log!$C:$C, $A209, Log!$D:$D, E$4, Log!$A:$A, "Daily", Log!$B:$B, "n/a"),
        _xlpm.we_camera_on_date, IFERROR(AVERAGEIFS(Log!$F:$F, Log!$D:$D,E$4, Log!$C:$C, $A209, Log!$A:$A, "Daily", Log!$B:$B, "n/a"), 0),
        _xlpm.ie_camera_on_date, IFERROR(AVERAGEIFS(Log!$G:$G, Log!$D:$D,E$4,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09" s="68" t="str">
        <f>IFERROR(
    _xlfn.LET(
        _xlpm.is_data_present, $A209&lt;&gt;0,
        _xlpm.is_camera_present, COUNTIFS(Log!$C:$C, $A209, Log!$D:$D, F$4, Log!$A:$A, "Daily", Log!$B:$B, "n/a"),
        _xlpm.we_camera_on_date, IFERROR(AVERAGEIFS(Log!$F:$F, Log!$D:$D,F$4, Log!$C:$C, $A209, Log!$A:$A, "Daily", Log!$B:$B, "n/a"), 0),
        _xlpm.ie_camera_on_date, IFERROR(AVERAGEIFS(Log!$G:$G, Log!$D:$D,F$4,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09" s="68" t="str">
        <f>IFERROR(
    _xlfn.LET(
        _xlpm.is_data_present, $A209&lt;&gt;0,
        _xlpm.is_camera_present, COUNTIFS(Log!$C:$C, $A209, Log!$D:$D, G$4, Log!$A:$A, "Daily", Log!$B:$B, "n/a"),
        _xlpm.we_camera_on_date, IFERROR(AVERAGEIFS(Log!$F:$F, Log!$D:$D,G$4, Log!$C:$C, $A209, Log!$A:$A, "Daily", Log!$B:$B, "n/a"), 0),
        _xlpm.ie_camera_on_date, IFERROR(AVERAGEIFS(Log!$G:$G, Log!$D:$D,G$4,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09" s="68" t="str">
        <f>IFERROR(
    _xlfn.LET(
        _xlpm.is_data_present, $A209&lt;&gt;0,
        _xlpm.is_camera_present, COUNTIFS(Log!$C:$C, $A209, Log!$D:$D, H$4, Log!$A:$A, "Daily", Log!$B:$B, "n/a"),
        _xlpm.we_camera_on_date, IFERROR(AVERAGEIFS(Log!$F:$F, Log!$D:$D,H$4, Log!$C:$C, $A209, Log!$A:$A, "Daily", Log!$B:$B, "n/a"), 0),
        _xlpm.ie_camera_on_date, IFERROR(AVERAGEIFS(Log!$G:$G, Log!$D:$D,H$4,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09" s="68" t="str">
        <f>IFERROR(
    _xlfn.LET(
        _xlpm.is_data_present, $A209&lt;&gt;0,
        _xlpm.is_camera_present, COUNTIFS(Log!$C:$C, $A209, Log!$D:$D, I$4, Log!$A:$A, "Daily", Log!$B:$B, "n/a"),
        _xlpm.we_camera_on_date, IFERROR(AVERAGEIFS(Log!$F:$F, Log!$D:$D,I$4, Log!$C:$C, $A209, Log!$A:$A, "Daily", Log!$B:$B, "n/a"), 0),
        _xlpm.ie_camera_on_date, IFERROR(AVERAGEIFS(Log!$G:$G, Log!$D:$D,I$4,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09" s="68" t="str">
        <f>IFERROR(
    _xlfn.LET(
        _xlpm.is_data_present, $A209&lt;&gt;0,
        _xlpm.is_camera_present, COUNTIFS(Log!$C:$C, $A209, Log!$D:$D, J$4, Log!$A:$A, "Daily", Log!$B:$B, "n/a"),
        _xlpm.we_camera_on_date, IFERROR(AVERAGEIFS(Log!$F:$F, Log!$D:$D,J$4, Log!$C:$C, $A209, Log!$A:$A, "Daily", Log!$B:$B, "n/a"), 0),
        _xlpm.ie_camera_on_date, IFERROR(AVERAGEIFS(Log!$G:$G, Log!$D:$D,J$4,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09" s="68" t="str">
        <f>IFERROR(
    _xlfn.LET(
        _xlpm.is_data_present, $A209&lt;&gt;0,
        _xlpm.is_camera_present, COUNTIFS(Log!$C:$C, $A209, Log!$D:$D, K$4, Log!$A:$A, "Daily", Log!$B:$B, "n/a"),
        _xlpm.we_camera_on_date, IFERROR(AVERAGEIFS(Log!$F:$F, Log!$D:$D,K$4, Log!$C:$C, $A209, Log!$A:$A, "Daily", Log!$B:$B, "n/a"), 0),
        _xlpm.ie_camera_on_date, IFERROR(AVERAGEIFS(Log!$G:$G, Log!$D:$D,K$4,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09" s="68" t="str">
        <f>IFERROR(
    _xlfn.LET(
        _xlpm.is_data_present, $A209&lt;&gt;0,
        _xlpm.is_camera_present, COUNTIFS(Log!$C:$C, $A209, Log!$D:$D, L$4, Log!$A:$A, "Daily", Log!$B:$B, "n/a"),
        _xlpm.we_camera_on_date, IFERROR(AVERAGEIFS(Log!$F:$F, Log!$D:$D,L$4, Log!$C:$C, $A209, Log!$A:$A, "Daily", Log!$B:$B, "n/a"), 0),
        _xlpm.ie_camera_on_date, IFERROR(AVERAGEIFS(Log!$G:$G, Log!$D:$D,L$4,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09" s="68" t="str">
        <f>IFERROR(
    _xlfn.LET(
        _xlpm.is_data_present, $A209&lt;&gt;0,
        _xlpm.is_camera_present, COUNTIFS(Log!$C:$C, $A209, Log!$D:$D, M$4, Log!$A:$A, "Daily", Log!$B:$B, "n/a"),
        _xlpm.we_camera_on_date, IFERROR(AVERAGEIFS(Log!$F:$F, Log!$D:$D,M$4, Log!$C:$C, $A209, Log!$A:$A, "Daily", Log!$B:$B, "n/a"), 0),
        _xlpm.ie_camera_on_date, IFERROR(AVERAGEIFS(Log!$G:$G, Log!$D:$D,M$4,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09" s="68" t="str">
        <f>IFERROR(
    _xlfn.LET(
        _xlpm.is_data_present, $A209&lt;&gt;0,
        _xlpm.is_camera_present, COUNTIFS(Log!$C:$C, $A209, Log!$D:$D, N$4, Log!$A:$A, "Daily", Log!$B:$B, "n/a"),
        _xlpm.we_camera_on_date, IFERROR(AVERAGEIFS(Log!$F:$F, Log!$D:$D,N$4, Log!$C:$C, $A209, Log!$A:$A, "Daily", Log!$B:$B, "n/a"), 0),
        _xlpm.ie_camera_on_date, IFERROR(AVERAGEIFS(Log!$G:$G, Log!$D:$D,N$4,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09" s="68" t="str">
        <f>IFERROR(
    _xlfn.LET(
        _xlpm.is_data_present, $A209&lt;&gt;0,
        _xlpm.is_camera_present, COUNTIFS(Log!$C:$C, $A209, Log!$D:$D, O$4, Log!$A:$A, "Daily", Log!$B:$B, "n/a"),
        _xlpm.we_camera_on_date, IFERROR(AVERAGEIFS(Log!$F:$F, Log!$D:$D,O$4, Log!$C:$C, $A209, Log!$A:$A, "Daily", Log!$B:$B, "n/a"), 0),
        _xlpm.ie_camera_on_date, IFERROR(AVERAGEIFS(Log!$G:$G, Log!$D:$D,O$4,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09" s="68" t="str">
        <f>IFERROR(
    _xlfn.LET(
        _xlpm.is_data_present, $A209&lt;&gt;0,
        _xlpm.is_camera_present, COUNTIFS(Log!$C:$C, $A209, Log!$D:$D, P$4, Log!$A:$A, "Daily", Log!$B:$B, "n/a"),
        _xlpm.we_camera_on_date, IFERROR(AVERAGEIFS(Log!$F:$F, Log!$D:$D,P$4, Log!$C:$C, $A209, Log!$A:$A, "Daily", Log!$B:$B, "n/a"), 0),
        _xlpm.ie_camera_on_date, IFERROR(AVERAGEIFS(Log!$G:$G, Log!$D:$D,P$4,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09" s="68" t="str">
        <f>IFERROR(
    _xlfn.LET(
        _xlpm.is_data_present, $A209&lt;&gt;0,
        _xlpm.is_camera_present, COUNTIFS(Log!$C:$C, $A209, Log!$D:$D, Q$4, Log!$A:$A, "Daily", Log!$B:$B, "n/a"),
        _xlpm.we_camera_on_date, IFERROR(AVERAGEIFS(Log!$F:$F, Log!$D:$D,Q$4, Log!$C:$C, $A209, Log!$A:$A, "Daily", Log!$B:$B, "n/a"), 0),
        _xlpm.ie_camera_on_date, IFERROR(AVERAGEIFS(Log!$G:$G, Log!$D:$D,Q$4,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09" s="68" t="str">
        <f>IFERROR(
    _xlfn.LET(
        _xlpm.is_data_present, $A209&lt;&gt;0,
        _xlpm.is_camera_present, COUNTIFS(Log!$C:$C, $A209, Log!$D:$D, R$4, Log!$A:$A, "Daily", Log!$B:$B, "n/a"),
        _xlpm.we_camera_on_date, IFERROR(AVERAGEIFS(Log!$F:$F, Log!$D:$D,R$4, Log!$C:$C, $A209, Log!$A:$A, "Daily", Log!$B:$B, "n/a"), 0),
        _xlpm.ie_camera_on_date, IFERROR(AVERAGEIFS(Log!$G:$G, Log!$D:$D,R$4,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09" s="68" t="str">
        <f>IFERROR(
    _xlfn.LET(
        _xlpm.is_data_present, $A209&lt;&gt;0,
        _xlpm.is_camera_present, COUNTIFS(Log!$C:$C, $A209, Log!$D:$D, S$4, Log!$A:$A, "Daily", Log!$B:$B, "n/a"),
        _xlpm.we_camera_on_date, IFERROR(AVERAGEIFS(Log!$F:$F, Log!$D:$D,S$4, Log!$C:$C, $A209, Log!$A:$A, "Daily", Log!$B:$B, "n/a"), 0),
        _xlpm.ie_camera_on_date, IFERROR(AVERAGEIFS(Log!$G:$G, Log!$D:$D,S$4, Log!$C:$C, $A209, Log!$A:$A, "Daily", Log!$B:$B, "n/a"), 0),
        _xlpm.we_avg, IFERROR(AVERAGEIFS(Log!$F:$F,Log!$C:$C,$A209, Log!$A:$A, "Daily", Log!$B:$B, "n/a"),0),
        _xlpm.ie_avg, IFERROR(AVERAGEIFS(Log!$G:$G,Log!$C:$C,$A209,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0" spans="2:19" x14ac:dyDescent="0.3">
      <c r="B210" s="68" t="str">
        <f>IFERROR(
    _xlfn.LET(
        _xlpm.is_data_present, $A210&lt;&gt;0,
        _xlpm.is_camera_present, COUNTIFS(Log!$C:$C, $A210, Log!$D:$D, B$4, Log!$A:$A, "Daily", Log!$B:$B, "n/a"),
        _xlpm.we_camera_on_date, IFERROR(AVERAGEIFS(Log!$F:$F, Log!$D:$D,B$4, Log!$C:$C, $A210, Log!$A:$A, "Daily", Log!$B:$B, "n/a"), 0),
        _xlpm.ie_camera_on_date, IFERROR(AVERAGEIFS(Log!$G:$G, Log!$D:$D,B$4,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0" s="68" t="str">
        <f>IFERROR(
    _xlfn.LET(
        _xlpm.is_data_present, $A210&lt;&gt;0,
        _xlpm.is_camera_present, COUNTIFS(Log!$C:$C, $A210, Log!$D:$D, C$4, Log!$A:$A, "Daily", Log!$B:$B, "n/a"),
        _xlpm.we_camera_on_date, IFERROR(AVERAGEIFS(Log!$F:$F, Log!$D:$D,C$4, Log!$C:$C, $A210, Log!$A:$A, "Daily", Log!$B:$B, "n/a"), 0),
        _xlpm.ie_camera_on_date, IFERROR(AVERAGEIFS(Log!$G:$G, Log!$D:$D,C$4,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0" s="68" t="str">
        <f>IFERROR(
    _xlfn.LET(
        _xlpm.is_data_present, $A210&lt;&gt;0,
        _xlpm.is_camera_present, COUNTIFS(Log!$C:$C, $A210, Log!$D:$D, D$4, Log!$A:$A, "Daily", Log!$B:$B, "n/a"),
        _xlpm.we_camera_on_date, IFERROR(AVERAGEIFS(Log!$F:$F, Log!$D:$D,D$4, Log!$C:$C, $A210, Log!$A:$A, "Daily", Log!$B:$B, "n/a"), 0),
        _xlpm.ie_camera_on_date, IFERROR(AVERAGEIFS(Log!$G:$G, Log!$D:$D,D$4,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0" s="68" t="str">
        <f>IFERROR(
    _xlfn.LET(
        _xlpm.is_data_present, $A210&lt;&gt;0,
        _xlpm.is_camera_present, COUNTIFS(Log!$C:$C, $A210, Log!$D:$D, E$4, Log!$A:$A, "Daily", Log!$B:$B, "n/a"),
        _xlpm.we_camera_on_date, IFERROR(AVERAGEIFS(Log!$F:$F, Log!$D:$D,E$4, Log!$C:$C, $A210, Log!$A:$A, "Daily", Log!$B:$B, "n/a"), 0),
        _xlpm.ie_camera_on_date, IFERROR(AVERAGEIFS(Log!$G:$G, Log!$D:$D,E$4,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0" s="68" t="str">
        <f>IFERROR(
    _xlfn.LET(
        _xlpm.is_data_present, $A210&lt;&gt;0,
        _xlpm.is_camera_present, COUNTIFS(Log!$C:$C, $A210, Log!$D:$D, F$4, Log!$A:$A, "Daily", Log!$B:$B, "n/a"),
        _xlpm.we_camera_on_date, IFERROR(AVERAGEIFS(Log!$F:$F, Log!$D:$D,F$4, Log!$C:$C, $A210, Log!$A:$A, "Daily", Log!$B:$B, "n/a"), 0),
        _xlpm.ie_camera_on_date, IFERROR(AVERAGEIFS(Log!$G:$G, Log!$D:$D,F$4,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0" s="68" t="str">
        <f>IFERROR(
    _xlfn.LET(
        _xlpm.is_data_present, $A210&lt;&gt;0,
        _xlpm.is_camera_present, COUNTIFS(Log!$C:$C, $A210, Log!$D:$D, G$4, Log!$A:$A, "Daily", Log!$B:$B, "n/a"),
        _xlpm.we_camera_on_date, IFERROR(AVERAGEIFS(Log!$F:$F, Log!$D:$D,G$4, Log!$C:$C, $A210, Log!$A:$A, "Daily", Log!$B:$B, "n/a"), 0),
        _xlpm.ie_camera_on_date, IFERROR(AVERAGEIFS(Log!$G:$G, Log!$D:$D,G$4,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0" s="68" t="str">
        <f>IFERROR(
    _xlfn.LET(
        _xlpm.is_data_present, $A210&lt;&gt;0,
        _xlpm.is_camera_present, COUNTIFS(Log!$C:$C, $A210, Log!$D:$D, H$4, Log!$A:$A, "Daily", Log!$B:$B, "n/a"),
        _xlpm.we_camera_on_date, IFERROR(AVERAGEIFS(Log!$F:$F, Log!$D:$D,H$4, Log!$C:$C, $A210, Log!$A:$A, "Daily", Log!$B:$B, "n/a"), 0),
        _xlpm.ie_camera_on_date, IFERROR(AVERAGEIFS(Log!$G:$G, Log!$D:$D,H$4,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0" s="68" t="str">
        <f>IFERROR(
    _xlfn.LET(
        _xlpm.is_data_present, $A210&lt;&gt;0,
        _xlpm.is_camera_present, COUNTIFS(Log!$C:$C, $A210, Log!$D:$D, I$4, Log!$A:$A, "Daily", Log!$B:$B, "n/a"),
        _xlpm.we_camera_on_date, IFERROR(AVERAGEIFS(Log!$F:$F, Log!$D:$D,I$4, Log!$C:$C, $A210, Log!$A:$A, "Daily", Log!$B:$B, "n/a"), 0),
        _xlpm.ie_camera_on_date, IFERROR(AVERAGEIFS(Log!$G:$G, Log!$D:$D,I$4,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0" s="68" t="str">
        <f>IFERROR(
    _xlfn.LET(
        _xlpm.is_data_present, $A210&lt;&gt;0,
        _xlpm.is_camera_present, COUNTIFS(Log!$C:$C, $A210, Log!$D:$D, J$4, Log!$A:$A, "Daily", Log!$B:$B, "n/a"),
        _xlpm.we_camera_on_date, IFERROR(AVERAGEIFS(Log!$F:$F, Log!$D:$D,J$4, Log!$C:$C, $A210, Log!$A:$A, "Daily", Log!$B:$B, "n/a"), 0),
        _xlpm.ie_camera_on_date, IFERROR(AVERAGEIFS(Log!$G:$G, Log!$D:$D,J$4,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0" s="68" t="str">
        <f>IFERROR(
    _xlfn.LET(
        _xlpm.is_data_present, $A210&lt;&gt;0,
        _xlpm.is_camera_present, COUNTIFS(Log!$C:$C, $A210, Log!$D:$D, K$4, Log!$A:$A, "Daily", Log!$B:$B, "n/a"),
        _xlpm.we_camera_on_date, IFERROR(AVERAGEIFS(Log!$F:$F, Log!$D:$D,K$4, Log!$C:$C, $A210, Log!$A:$A, "Daily", Log!$B:$B, "n/a"), 0),
        _xlpm.ie_camera_on_date, IFERROR(AVERAGEIFS(Log!$G:$G, Log!$D:$D,K$4,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0" s="68" t="str">
        <f>IFERROR(
    _xlfn.LET(
        _xlpm.is_data_present, $A210&lt;&gt;0,
        _xlpm.is_camera_present, COUNTIFS(Log!$C:$C, $A210, Log!$D:$D, L$4, Log!$A:$A, "Daily", Log!$B:$B, "n/a"),
        _xlpm.we_camera_on_date, IFERROR(AVERAGEIFS(Log!$F:$F, Log!$D:$D,L$4, Log!$C:$C, $A210, Log!$A:$A, "Daily", Log!$B:$B, "n/a"), 0),
        _xlpm.ie_camera_on_date, IFERROR(AVERAGEIFS(Log!$G:$G, Log!$D:$D,L$4,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0" s="68" t="str">
        <f>IFERROR(
    _xlfn.LET(
        _xlpm.is_data_present, $A210&lt;&gt;0,
        _xlpm.is_camera_present, COUNTIFS(Log!$C:$C, $A210, Log!$D:$D, M$4, Log!$A:$A, "Daily", Log!$B:$B, "n/a"),
        _xlpm.we_camera_on_date, IFERROR(AVERAGEIFS(Log!$F:$F, Log!$D:$D,M$4, Log!$C:$C, $A210, Log!$A:$A, "Daily", Log!$B:$B, "n/a"), 0),
        _xlpm.ie_camera_on_date, IFERROR(AVERAGEIFS(Log!$G:$G, Log!$D:$D,M$4,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0" s="68" t="str">
        <f>IFERROR(
    _xlfn.LET(
        _xlpm.is_data_present, $A210&lt;&gt;0,
        _xlpm.is_camera_present, COUNTIFS(Log!$C:$C, $A210, Log!$D:$D, N$4, Log!$A:$A, "Daily", Log!$B:$B, "n/a"),
        _xlpm.we_camera_on_date, IFERROR(AVERAGEIFS(Log!$F:$F, Log!$D:$D,N$4, Log!$C:$C, $A210, Log!$A:$A, "Daily", Log!$B:$B, "n/a"), 0),
        _xlpm.ie_camera_on_date, IFERROR(AVERAGEIFS(Log!$G:$G, Log!$D:$D,N$4,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0" s="68" t="str">
        <f>IFERROR(
    _xlfn.LET(
        _xlpm.is_data_present, $A210&lt;&gt;0,
        _xlpm.is_camera_present, COUNTIFS(Log!$C:$C, $A210, Log!$D:$D, O$4, Log!$A:$A, "Daily", Log!$B:$B, "n/a"),
        _xlpm.we_camera_on_date, IFERROR(AVERAGEIFS(Log!$F:$F, Log!$D:$D,O$4, Log!$C:$C, $A210, Log!$A:$A, "Daily", Log!$B:$B, "n/a"), 0),
        _xlpm.ie_camera_on_date, IFERROR(AVERAGEIFS(Log!$G:$G, Log!$D:$D,O$4,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0" s="68" t="str">
        <f>IFERROR(
    _xlfn.LET(
        _xlpm.is_data_present, $A210&lt;&gt;0,
        _xlpm.is_camera_present, COUNTIFS(Log!$C:$C, $A210, Log!$D:$D, P$4, Log!$A:$A, "Daily", Log!$B:$B, "n/a"),
        _xlpm.we_camera_on_date, IFERROR(AVERAGEIFS(Log!$F:$F, Log!$D:$D,P$4, Log!$C:$C, $A210, Log!$A:$A, "Daily", Log!$B:$B, "n/a"), 0),
        _xlpm.ie_camera_on_date, IFERROR(AVERAGEIFS(Log!$G:$G, Log!$D:$D,P$4,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0" s="68" t="str">
        <f>IFERROR(
    _xlfn.LET(
        _xlpm.is_data_present, $A210&lt;&gt;0,
        _xlpm.is_camera_present, COUNTIFS(Log!$C:$C, $A210, Log!$D:$D, Q$4, Log!$A:$A, "Daily", Log!$B:$B, "n/a"),
        _xlpm.we_camera_on_date, IFERROR(AVERAGEIFS(Log!$F:$F, Log!$D:$D,Q$4, Log!$C:$C, $A210, Log!$A:$A, "Daily", Log!$B:$B, "n/a"), 0),
        _xlpm.ie_camera_on_date, IFERROR(AVERAGEIFS(Log!$G:$G, Log!$D:$D,Q$4,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0" s="68" t="str">
        <f>IFERROR(
    _xlfn.LET(
        _xlpm.is_data_present, $A210&lt;&gt;0,
        _xlpm.is_camera_present, COUNTIFS(Log!$C:$C, $A210, Log!$D:$D, R$4, Log!$A:$A, "Daily", Log!$B:$B, "n/a"),
        _xlpm.we_camera_on_date, IFERROR(AVERAGEIFS(Log!$F:$F, Log!$D:$D,R$4, Log!$C:$C, $A210, Log!$A:$A, "Daily", Log!$B:$B, "n/a"), 0),
        _xlpm.ie_camera_on_date, IFERROR(AVERAGEIFS(Log!$G:$G, Log!$D:$D,R$4,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0" s="68" t="str">
        <f>IFERROR(
    _xlfn.LET(
        _xlpm.is_data_present, $A210&lt;&gt;0,
        _xlpm.is_camera_present, COUNTIFS(Log!$C:$C, $A210, Log!$D:$D, S$4, Log!$A:$A, "Daily", Log!$B:$B, "n/a"),
        _xlpm.we_camera_on_date, IFERROR(AVERAGEIFS(Log!$F:$F, Log!$D:$D,S$4, Log!$C:$C, $A210, Log!$A:$A, "Daily", Log!$B:$B, "n/a"), 0),
        _xlpm.ie_camera_on_date, IFERROR(AVERAGEIFS(Log!$G:$G, Log!$D:$D,S$4, Log!$C:$C, $A210, Log!$A:$A, "Daily", Log!$B:$B, "n/a"), 0),
        _xlpm.we_avg, IFERROR(AVERAGEIFS(Log!$F:$F,Log!$C:$C,$A210, Log!$A:$A, "Daily", Log!$B:$B, "n/a"),0),
        _xlpm.ie_avg, IFERROR(AVERAGEIFS(Log!$G:$G,Log!$C:$C,$A210,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1" spans="2:19" x14ac:dyDescent="0.3">
      <c r="B211" s="68" t="str">
        <f>IFERROR(
    _xlfn.LET(
        _xlpm.is_data_present, $A211&lt;&gt;0,
        _xlpm.is_camera_present, COUNTIFS(Log!$C:$C, $A211, Log!$D:$D, B$4, Log!$A:$A, "Daily", Log!$B:$B, "n/a"),
        _xlpm.we_camera_on_date, IFERROR(AVERAGEIFS(Log!$F:$F, Log!$D:$D,B$4, Log!$C:$C, $A211, Log!$A:$A, "Daily", Log!$B:$B, "n/a"), 0),
        _xlpm.ie_camera_on_date, IFERROR(AVERAGEIFS(Log!$G:$G, Log!$D:$D,B$4,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1" s="68" t="str">
        <f>IFERROR(
    _xlfn.LET(
        _xlpm.is_data_present, $A211&lt;&gt;0,
        _xlpm.is_camera_present, COUNTIFS(Log!$C:$C, $A211, Log!$D:$D, C$4, Log!$A:$A, "Daily", Log!$B:$B, "n/a"),
        _xlpm.we_camera_on_date, IFERROR(AVERAGEIFS(Log!$F:$F, Log!$D:$D,C$4, Log!$C:$C, $A211, Log!$A:$A, "Daily", Log!$B:$B, "n/a"), 0),
        _xlpm.ie_camera_on_date, IFERROR(AVERAGEIFS(Log!$G:$G, Log!$D:$D,C$4,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1" s="68" t="str">
        <f>IFERROR(
    _xlfn.LET(
        _xlpm.is_data_present, $A211&lt;&gt;0,
        _xlpm.is_camera_present, COUNTIFS(Log!$C:$C, $A211, Log!$D:$D, D$4, Log!$A:$A, "Daily", Log!$B:$B, "n/a"),
        _xlpm.we_camera_on_date, IFERROR(AVERAGEIFS(Log!$F:$F, Log!$D:$D,D$4, Log!$C:$C, $A211, Log!$A:$A, "Daily", Log!$B:$B, "n/a"), 0),
        _xlpm.ie_camera_on_date, IFERROR(AVERAGEIFS(Log!$G:$G, Log!$D:$D,D$4,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1" s="68" t="str">
        <f>IFERROR(
    _xlfn.LET(
        _xlpm.is_data_present, $A211&lt;&gt;0,
        _xlpm.is_camera_present, COUNTIFS(Log!$C:$C, $A211, Log!$D:$D, E$4, Log!$A:$A, "Daily", Log!$B:$B, "n/a"),
        _xlpm.we_camera_on_date, IFERROR(AVERAGEIFS(Log!$F:$F, Log!$D:$D,E$4, Log!$C:$C, $A211, Log!$A:$A, "Daily", Log!$B:$B, "n/a"), 0),
        _xlpm.ie_camera_on_date, IFERROR(AVERAGEIFS(Log!$G:$G, Log!$D:$D,E$4,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1" s="68" t="str">
        <f>IFERROR(
    _xlfn.LET(
        _xlpm.is_data_present, $A211&lt;&gt;0,
        _xlpm.is_camera_present, COUNTIFS(Log!$C:$C, $A211, Log!$D:$D, F$4, Log!$A:$A, "Daily", Log!$B:$B, "n/a"),
        _xlpm.we_camera_on_date, IFERROR(AVERAGEIFS(Log!$F:$F, Log!$D:$D,F$4, Log!$C:$C, $A211, Log!$A:$A, "Daily", Log!$B:$B, "n/a"), 0),
        _xlpm.ie_camera_on_date, IFERROR(AVERAGEIFS(Log!$G:$G, Log!$D:$D,F$4,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1" s="68" t="str">
        <f>IFERROR(
    _xlfn.LET(
        _xlpm.is_data_present, $A211&lt;&gt;0,
        _xlpm.is_camera_present, COUNTIFS(Log!$C:$C, $A211, Log!$D:$D, G$4, Log!$A:$A, "Daily", Log!$B:$B, "n/a"),
        _xlpm.we_camera_on_date, IFERROR(AVERAGEIFS(Log!$F:$F, Log!$D:$D,G$4, Log!$C:$C, $A211, Log!$A:$A, "Daily", Log!$B:$B, "n/a"), 0),
        _xlpm.ie_camera_on_date, IFERROR(AVERAGEIFS(Log!$G:$G, Log!$D:$D,G$4,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1" s="68" t="str">
        <f>IFERROR(
    _xlfn.LET(
        _xlpm.is_data_present, $A211&lt;&gt;0,
        _xlpm.is_camera_present, COUNTIFS(Log!$C:$C, $A211, Log!$D:$D, H$4, Log!$A:$A, "Daily", Log!$B:$B, "n/a"),
        _xlpm.we_camera_on_date, IFERROR(AVERAGEIFS(Log!$F:$F, Log!$D:$D,H$4, Log!$C:$C, $A211, Log!$A:$A, "Daily", Log!$B:$B, "n/a"), 0),
        _xlpm.ie_camera_on_date, IFERROR(AVERAGEIFS(Log!$G:$G, Log!$D:$D,H$4,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1" s="68" t="str">
        <f>IFERROR(
    _xlfn.LET(
        _xlpm.is_data_present, $A211&lt;&gt;0,
        _xlpm.is_camera_present, COUNTIFS(Log!$C:$C, $A211, Log!$D:$D, I$4, Log!$A:$A, "Daily", Log!$B:$B, "n/a"),
        _xlpm.we_camera_on_date, IFERROR(AVERAGEIFS(Log!$F:$F, Log!$D:$D,I$4, Log!$C:$C, $A211, Log!$A:$A, "Daily", Log!$B:$B, "n/a"), 0),
        _xlpm.ie_camera_on_date, IFERROR(AVERAGEIFS(Log!$G:$G, Log!$D:$D,I$4,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1" s="68" t="str">
        <f>IFERROR(
    _xlfn.LET(
        _xlpm.is_data_present, $A211&lt;&gt;0,
        _xlpm.is_camera_present, COUNTIFS(Log!$C:$C, $A211, Log!$D:$D, J$4, Log!$A:$A, "Daily", Log!$B:$B, "n/a"),
        _xlpm.we_camera_on_date, IFERROR(AVERAGEIFS(Log!$F:$F, Log!$D:$D,J$4, Log!$C:$C, $A211, Log!$A:$A, "Daily", Log!$B:$B, "n/a"), 0),
        _xlpm.ie_camera_on_date, IFERROR(AVERAGEIFS(Log!$G:$G, Log!$D:$D,J$4,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1" s="68" t="str">
        <f>IFERROR(
    _xlfn.LET(
        _xlpm.is_data_present, $A211&lt;&gt;0,
        _xlpm.is_camera_present, COUNTIFS(Log!$C:$C, $A211, Log!$D:$D, K$4, Log!$A:$A, "Daily", Log!$B:$B, "n/a"),
        _xlpm.we_camera_on_date, IFERROR(AVERAGEIFS(Log!$F:$F, Log!$D:$D,K$4, Log!$C:$C, $A211, Log!$A:$A, "Daily", Log!$B:$B, "n/a"), 0),
        _xlpm.ie_camera_on_date, IFERROR(AVERAGEIFS(Log!$G:$G, Log!$D:$D,K$4,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1" s="68" t="str">
        <f>IFERROR(
    _xlfn.LET(
        _xlpm.is_data_present, $A211&lt;&gt;0,
        _xlpm.is_camera_present, COUNTIFS(Log!$C:$C, $A211, Log!$D:$D, L$4, Log!$A:$A, "Daily", Log!$B:$B, "n/a"),
        _xlpm.we_camera_on_date, IFERROR(AVERAGEIFS(Log!$F:$F, Log!$D:$D,L$4, Log!$C:$C, $A211, Log!$A:$A, "Daily", Log!$B:$B, "n/a"), 0),
        _xlpm.ie_camera_on_date, IFERROR(AVERAGEIFS(Log!$G:$G, Log!$D:$D,L$4,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1" s="68" t="str">
        <f>IFERROR(
    _xlfn.LET(
        _xlpm.is_data_present, $A211&lt;&gt;0,
        _xlpm.is_camera_present, COUNTIFS(Log!$C:$C, $A211, Log!$D:$D, M$4, Log!$A:$A, "Daily", Log!$B:$B, "n/a"),
        _xlpm.we_camera_on_date, IFERROR(AVERAGEIFS(Log!$F:$F, Log!$D:$D,M$4, Log!$C:$C, $A211, Log!$A:$A, "Daily", Log!$B:$B, "n/a"), 0),
        _xlpm.ie_camera_on_date, IFERROR(AVERAGEIFS(Log!$G:$G, Log!$D:$D,M$4,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1" s="68" t="str">
        <f>IFERROR(
    _xlfn.LET(
        _xlpm.is_data_present, $A211&lt;&gt;0,
        _xlpm.is_camera_present, COUNTIFS(Log!$C:$C, $A211, Log!$D:$D, N$4, Log!$A:$A, "Daily", Log!$B:$B, "n/a"),
        _xlpm.we_camera_on_date, IFERROR(AVERAGEIFS(Log!$F:$F, Log!$D:$D,N$4, Log!$C:$C, $A211, Log!$A:$A, "Daily", Log!$B:$B, "n/a"), 0),
        _xlpm.ie_camera_on_date, IFERROR(AVERAGEIFS(Log!$G:$G, Log!$D:$D,N$4,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1" s="68" t="str">
        <f>IFERROR(
    _xlfn.LET(
        _xlpm.is_data_present, $A211&lt;&gt;0,
        _xlpm.is_camera_present, COUNTIFS(Log!$C:$C, $A211, Log!$D:$D, O$4, Log!$A:$A, "Daily", Log!$B:$B, "n/a"),
        _xlpm.we_camera_on_date, IFERROR(AVERAGEIFS(Log!$F:$F, Log!$D:$D,O$4, Log!$C:$C, $A211, Log!$A:$A, "Daily", Log!$B:$B, "n/a"), 0),
        _xlpm.ie_camera_on_date, IFERROR(AVERAGEIFS(Log!$G:$G, Log!$D:$D,O$4,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1" s="68" t="str">
        <f>IFERROR(
    _xlfn.LET(
        _xlpm.is_data_present, $A211&lt;&gt;0,
        _xlpm.is_camera_present, COUNTIFS(Log!$C:$C, $A211, Log!$D:$D, P$4, Log!$A:$A, "Daily", Log!$B:$B, "n/a"),
        _xlpm.we_camera_on_date, IFERROR(AVERAGEIFS(Log!$F:$F, Log!$D:$D,P$4, Log!$C:$C, $A211, Log!$A:$A, "Daily", Log!$B:$B, "n/a"), 0),
        _xlpm.ie_camera_on_date, IFERROR(AVERAGEIFS(Log!$G:$G, Log!$D:$D,P$4,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1" s="68" t="str">
        <f>IFERROR(
    _xlfn.LET(
        _xlpm.is_data_present, $A211&lt;&gt;0,
        _xlpm.is_camera_present, COUNTIFS(Log!$C:$C, $A211, Log!$D:$D, Q$4, Log!$A:$A, "Daily", Log!$B:$B, "n/a"),
        _xlpm.we_camera_on_date, IFERROR(AVERAGEIFS(Log!$F:$F, Log!$D:$D,Q$4, Log!$C:$C, $A211, Log!$A:$A, "Daily", Log!$B:$B, "n/a"), 0),
        _xlpm.ie_camera_on_date, IFERROR(AVERAGEIFS(Log!$G:$G, Log!$D:$D,Q$4,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1" s="68" t="str">
        <f>IFERROR(
    _xlfn.LET(
        _xlpm.is_data_present, $A211&lt;&gt;0,
        _xlpm.is_camera_present, COUNTIFS(Log!$C:$C, $A211, Log!$D:$D, R$4, Log!$A:$A, "Daily", Log!$B:$B, "n/a"),
        _xlpm.we_camera_on_date, IFERROR(AVERAGEIFS(Log!$F:$F, Log!$D:$D,R$4, Log!$C:$C, $A211, Log!$A:$A, "Daily", Log!$B:$B, "n/a"), 0),
        _xlpm.ie_camera_on_date, IFERROR(AVERAGEIFS(Log!$G:$G, Log!$D:$D,R$4,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1" s="68" t="str">
        <f>IFERROR(
    _xlfn.LET(
        _xlpm.is_data_present, $A211&lt;&gt;0,
        _xlpm.is_camera_present, COUNTIFS(Log!$C:$C, $A211, Log!$D:$D, S$4, Log!$A:$A, "Daily", Log!$B:$B, "n/a"),
        _xlpm.we_camera_on_date, IFERROR(AVERAGEIFS(Log!$F:$F, Log!$D:$D,S$4, Log!$C:$C, $A211, Log!$A:$A, "Daily", Log!$B:$B, "n/a"), 0),
        _xlpm.ie_camera_on_date, IFERROR(AVERAGEIFS(Log!$G:$G, Log!$D:$D,S$4, Log!$C:$C, $A211, Log!$A:$A, "Daily", Log!$B:$B, "n/a"), 0),
        _xlpm.we_avg, IFERROR(AVERAGEIFS(Log!$F:$F,Log!$C:$C,$A211, Log!$A:$A, "Daily", Log!$B:$B, "n/a"),0),
        _xlpm.ie_avg, IFERROR(AVERAGEIFS(Log!$G:$G,Log!$C:$C,$A211,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2" spans="2:19" x14ac:dyDescent="0.3">
      <c r="B212" s="68" t="str">
        <f>IFERROR(
    _xlfn.LET(
        _xlpm.is_data_present, $A212&lt;&gt;0,
        _xlpm.is_camera_present, COUNTIFS(Log!$C:$C, $A212, Log!$D:$D, B$4, Log!$A:$A, "Daily", Log!$B:$B, "n/a"),
        _xlpm.we_camera_on_date, IFERROR(AVERAGEIFS(Log!$F:$F, Log!$D:$D,B$4, Log!$C:$C, $A212, Log!$A:$A, "Daily", Log!$B:$B, "n/a"), 0),
        _xlpm.ie_camera_on_date, IFERROR(AVERAGEIFS(Log!$G:$G, Log!$D:$D,B$4,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2" s="68" t="str">
        <f>IFERROR(
    _xlfn.LET(
        _xlpm.is_data_present, $A212&lt;&gt;0,
        _xlpm.is_camera_present, COUNTIFS(Log!$C:$C, $A212, Log!$D:$D, C$4, Log!$A:$A, "Daily", Log!$B:$B, "n/a"),
        _xlpm.we_camera_on_date, IFERROR(AVERAGEIFS(Log!$F:$F, Log!$D:$D,C$4, Log!$C:$C, $A212, Log!$A:$A, "Daily", Log!$B:$B, "n/a"), 0),
        _xlpm.ie_camera_on_date, IFERROR(AVERAGEIFS(Log!$G:$G, Log!$D:$D,C$4,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2" s="68" t="str">
        <f>IFERROR(
    _xlfn.LET(
        _xlpm.is_data_present, $A212&lt;&gt;0,
        _xlpm.is_camera_present, COUNTIFS(Log!$C:$C, $A212, Log!$D:$D, D$4, Log!$A:$A, "Daily", Log!$B:$B, "n/a"),
        _xlpm.we_camera_on_date, IFERROR(AVERAGEIFS(Log!$F:$F, Log!$D:$D,D$4, Log!$C:$C, $A212, Log!$A:$A, "Daily", Log!$B:$B, "n/a"), 0),
        _xlpm.ie_camera_on_date, IFERROR(AVERAGEIFS(Log!$G:$G, Log!$D:$D,D$4,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2" s="68" t="str">
        <f>IFERROR(
    _xlfn.LET(
        _xlpm.is_data_present, $A212&lt;&gt;0,
        _xlpm.is_camera_present, COUNTIFS(Log!$C:$C, $A212, Log!$D:$D, E$4, Log!$A:$A, "Daily", Log!$B:$B, "n/a"),
        _xlpm.we_camera_on_date, IFERROR(AVERAGEIFS(Log!$F:$F, Log!$D:$D,E$4, Log!$C:$C, $A212, Log!$A:$A, "Daily", Log!$B:$B, "n/a"), 0),
        _xlpm.ie_camera_on_date, IFERROR(AVERAGEIFS(Log!$G:$G, Log!$D:$D,E$4,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2" s="68" t="str">
        <f>IFERROR(
    _xlfn.LET(
        _xlpm.is_data_present, $A212&lt;&gt;0,
        _xlpm.is_camera_present, COUNTIFS(Log!$C:$C, $A212, Log!$D:$D, F$4, Log!$A:$A, "Daily", Log!$B:$B, "n/a"),
        _xlpm.we_camera_on_date, IFERROR(AVERAGEIFS(Log!$F:$F, Log!$D:$D,F$4, Log!$C:$C, $A212, Log!$A:$A, "Daily", Log!$B:$B, "n/a"), 0),
        _xlpm.ie_camera_on_date, IFERROR(AVERAGEIFS(Log!$G:$G, Log!$D:$D,F$4,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2" s="68" t="str">
        <f>IFERROR(
    _xlfn.LET(
        _xlpm.is_data_present, $A212&lt;&gt;0,
        _xlpm.is_camera_present, COUNTIFS(Log!$C:$C, $A212, Log!$D:$D, G$4, Log!$A:$A, "Daily", Log!$B:$B, "n/a"),
        _xlpm.we_camera_on_date, IFERROR(AVERAGEIFS(Log!$F:$F, Log!$D:$D,G$4, Log!$C:$C, $A212, Log!$A:$A, "Daily", Log!$B:$B, "n/a"), 0),
        _xlpm.ie_camera_on_date, IFERROR(AVERAGEIFS(Log!$G:$G, Log!$D:$D,G$4,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2" s="68" t="str">
        <f>IFERROR(
    _xlfn.LET(
        _xlpm.is_data_present, $A212&lt;&gt;0,
        _xlpm.is_camera_present, COUNTIFS(Log!$C:$C, $A212, Log!$D:$D, H$4, Log!$A:$A, "Daily", Log!$B:$B, "n/a"),
        _xlpm.we_camera_on_date, IFERROR(AVERAGEIFS(Log!$F:$F, Log!$D:$D,H$4, Log!$C:$C, $A212, Log!$A:$A, "Daily", Log!$B:$B, "n/a"), 0),
        _xlpm.ie_camera_on_date, IFERROR(AVERAGEIFS(Log!$G:$G, Log!$D:$D,H$4,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2" s="68" t="str">
        <f>IFERROR(
    _xlfn.LET(
        _xlpm.is_data_present, $A212&lt;&gt;0,
        _xlpm.is_camera_present, COUNTIFS(Log!$C:$C, $A212, Log!$D:$D, I$4, Log!$A:$A, "Daily", Log!$B:$B, "n/a"),
        _xlpm.we_camera_on_date, IFERROR(AVERAGEIFS(Log!$F:$F, Log!$D:$D,I$4, Log!$C:$C, $A212, Log!$A:$A, "Daily", Log!$B:$B, "n/a"), 0),
        _xlpm.ie_camera_on_date, IFERROR(AVERAGEIFS(Log!$G:$G, Log!$D:$D,I$4,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2" s="68" t="str">
        <f>IFERROR(
    _xlfn.LET(
        _xlpm.is_data_present, $A212&lt;&gt;0,
        _xlpm.is_camera_present, COUNTIFS(Log!$C:$C, $A212, Log!$D:$D, J$4, Log!$A:$A, "Daily", Log!$B:$B, "n/a"),
        _xlpm.we_camera_on_date, IFERROR(AVERAGEIFS(Log!$F:$F, Log!$D:$D,J$4, Log!$C:$C, $A212, Log!$A:$A, "Daily", Log!$B:$B, "n/a"), 0),
        _xlpm.ie_camera_on_date, IFERROR(AVERAGEIFS(Log!$G:$G, Log!$D:$D,J$4,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2" s="68" t="str">
        <f>IFERROR(
    _xlfn.LET(
        _xlpm.is_data_present, $A212&lt;&gt;0,
        _xlpm.is_camera_present, COUNTIFS(Log!$C:$C, $A212, Log!$D:$D, K$4, Log!$A:$A, "Daily", Log!$B:$B, "n/a"),
        _xlpm.we_camera_on_date, IFERROR(AVERAGEIFS(Log!$F:$F, Log!$D:$D,K$4, Log!$C:$C, $A212, Log!$A:$A, "Daily", Log!$B:$B, "n/a"), 0),
        _xlpm.ie_camera_on_date, IFERROR(AVERAGEIFS(Log!$G:$G, Log!$D:$D,K$4,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2" s="68" t="str">
        <f>IFERROR(
    _xlfn.LET(
        _xlpm.is_data_present, $A212&lt;&gt;0,
        _xlpm.is_camera_present, COUNTIFS(Log!$C:$C, $A212, Log!$D:$D, L$4, Log!$A:$A, "Daily", Log!$B:$B, "n/a"),
        _xlpm.we_camera_on_date, IFERROR(AVERAGEIFS(Log!$F:$F, Log!$D:$D,L$4, Log!$C:$C, $A212, Log!$A:$A, "Daily", Log!$B:$B, "n/a"), 0),
        _xlpm.ie_camera_on_date, IFERROR(AVERAGEIFS(Log!$G:$G, Log!$D:$D,L$4,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2" s="68" t="str">
        <f>IFERROR(
    _xlfn.LET(
        _xlpm.is_data_present, $A212&lt;&gt;0,
        _xlpm.is_camera_present, COUNTIFS(Log!$C:$C, $A212, Log!$D:$D, M$4, Log!$A:$A, "Daily", Log!$B:$B, "n/a"),
        _xlpm.we_camera_on_date, IFERROR(AVERAGEIFS(Log!$F:$F, Log!$D:$D,M$4, Log!$C:$C, $A212, Log!$A:$A, "Daily", Log!$B:$B, "n/a"), 0),
        _xlpm.ie_camera_on_date, IFERROR(AVERAGEIFS(Log!$G:$G, Log!$D:$D,M$4,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2" s="68" t="str">
        <f>IFERROR(
    _xlfn.LET(
        _xlpm.is_data_present, $A212&lt;&gt;0,
        _xlpm.is_camera_present, COUNTIFS(Log!$C:$C, $A212, Log!$D:$D, N$4, Log!$A:$A, "Daily", Log!$B:$B, "n/a"),
        _xlpm.we_camera_on_date, IFERROR(AVERAGEIFS(Log!$F:$F, Log!$D:$D,N$4, Log!$C:$C, $A212, Log!$A:$A, "Daily", Log!$B:$B, "n/a"), 0),
        _xlpm.ie_camera_on_date, IFERROR(AVERAGEIFS(Log!$G:$G, Log!$D:$D,N$4,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2" s="68" t="str">
        <f>IFERROR(
    _xlfn.LET(
        _xlpm.is_data_present, $A212&lt;&gt;0,
        _xlpm.is_camera_present, COUNTIFS(Log!$C:$C, $A212, Log!$D:$D, O$4, Log!$A:$A, "Daily", Log!$B:$B, "n/a"),
        _xlpm.we_camera_on_date, IFERROR(AVERAGEIFS(Log!$F:$F, Log!$D:$D,O$4, Log!$C:$C, $A212, Log!$A:$A, "Daily", Log!$B:$B, "n/a"), 0),
        _xlpm.ie_camera_on_date, IFERROR(AVERAGEIFS(Log!$G:$G, Log!$D:$D,O$4,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2" s="68" t="str">
        <f>IFERROR(
    _xlfn.LET(
        _xlpm.is_data_present, $A212&lt;&gt;0,
        _xlpm.is_camera_present, COUNTIFS(Log!$C:$C, $A212, Log!$D:$D, P$4, Log!$A:$A, "Daily", Log!$B:$B, "n/a"),
        _xlpm.we_camera_on_date, IFERROR(AVERAGEIFS(Log!$F:$F, Log!$D:$D,P$4, Log!$C:$C, $A212, Log!$A:$A, "Daily", Log!$B:$B, "n/a"), 0),
        _xlpm.ie_camera_on_date, IFERROR(AVERAGEIFS(Log!$G:$G, Log!$D:$D,P$4,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2" s="68" t="str">
        <f>IFERROR(
    _xlfn.LET(
        _xlpm.is_data_present, $A212&lt;&gt;0,
        _xlpm.is_camera_present, COUNTIFS(Log!$C:$C, $A212, Log!$D:$D, Q$4, Log!$A:$A, "Daily", Log!$B:$B, "n/a"),
        _xlpm.we_camera_on_date, IFERROR(AVERAGEIFS(Log!$F:$F, Log!$D:$D,Q$4, Log!$C:$C, $A212, Log!$A:$A, "Daily", Log!$B:$B, "n/a"), 0),
        _xlpm.ie_camera_on_date, IFERROR(AVERAGEIFS(Log!$G:$G, Log!$D:$D,Q$4,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2" s="68" t="str">
        <f>IFERROR(
    _xlfn.LET(
        _xlpm.is_data_present, $A212&lt;&gt;0,
        _xlpm.is_camera_present, COUNTIFS(Log!$C:$C, $A212, Log!$D:$D, R$4, Log!$A:$A, "Daily", Log!$B:$B, "n/a"),
        _xlpm.we_camera_on_date, IFERROR(AVERAGEIFS(Log!$F:$F, Log!$D:$D,R$4, Log!$C:$C, $A212, Log!$A:$A, "Daily", Log!$B:$B, "n/a"), 0),
        _xlpm.ie_camera_on_date, IFERROR(AVERAGEIFS(Log!$G:$G, Log!$D:$D,R$4,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2" s="68" t="str">
        <f>IFERROR(
    _xlfn.LET(
        _xlpm.is_data_present, $A212&lt;&gt;0,
        _xlpm.is_camera_present, COUNTIFS(Log!$C:$C, $A212, Log!$D:$D, S$4, Log!$A:$A, "Daily", Log!$B:$B, "n/a"),
        _xlpm.we_camera_on_date, IFERROR(AVERAGEIFS(Log!$F:$F, Log!$D:$D,S$4, Log!$C:$C, $A212, Log!$A:$A, "Daily", Log!$B:$B, "n/a"), 0),
        _xlpm.ie_camera_on_date, IFERROR(AVERAGEIFS(Log!$G:$G, Log!$D:$D,S$4, Log!$C:$C, $A212, Log!$A:$A, "Daily", Log!$B:$B, "n/a"), 0),
        _xlpm.we_avg, IFERROR(AVERAGEIFS(Log!$F:$F,Log!$C:$C,$A212, Log!$A:$A, "Daily", Log!$B:$B, "n/a"),0),
        _xlpm.ie_avg, IFERROR(AVERAGEIFS(Log!$G:$G,Log!$C:$C,$A212,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3" spans="2:19" x14ac:dyDescent="0.3">
      <c r="B213" s="68" t="str">
        <f>IFERROR(
    _xlfn.LET(
        _xlpm.is_data_present, $A213&lt;&gt;0,
        _xlpm.is_camera_present, COUNTIFS(Log!$C:$C, $A213, Log!$D:$D, B$4, Log!$A:$A, "Daily", Log!$B:$B, "n/a"),
        _xlpm.we_camera_on_date, IFERROR(AVERAGEIFS(Log!$F:$F, Log!$D:$D,B$4, Log!$C:$C, $A213, Log!$A:$A, "Daily", Log!$B:$B, "n/a"), 0),
        _xlpm.ie_camera_on_date, IFERROR(AVERAGEIFS(Log!$G:$G, Log!$D:$D,B$4,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3" s="68" t="str">
        <f>IFERROR(
    _xlfn.LET(
        _xlpm.is_data_present, $A213&lt;&gt;0,
        _xlpm.is_camera_present, COUNTIFS(Log!$C:$C, $A213, Log!$D:$D, C$4, Log!$A:$A, "Daily", Log!$B:$B, "n/a"),
        _xlpm.we_camera_on_date, IFERROR(AVERAGEIFS(Log!$F:$F, Log!$D:$D,C$4, Log!$C:$C, $A213, Log!$A:$A, "Daily", Log!$B:$B, "n/a"), 0),
        _xlpm.ie_camera_on_date, IFERROR(AVERAGEIFS(Log!$G:$G, Log!$D:$D,C$4,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3" s="68" t="str">
        <f>IFERROR(
    _xlfn.LET(
        _xlpm.is_data_present, $A213&lt;&gt;0,
        _xlpm.is_camera_present, COUNTIFS(Log!$C:$C, $A213, Log!$D:$D, D$4, Log!$A:$A, "Daily", Log!$B:$B, "n/a"),
        _xlpm.we_camera_on_date, IFERROR(AVERAGEIFS(Log!$F:$F, Log!$D:$D,D$4, Log!$C:$C, $A213, Log!$A:$A, "Daily", Log!$B:$B, "n/a"), 0),
        _xlpm.ie_camera_on_date, IFERROR(AVERAGEIFS(Log!$G:$G, Log!$D:$D,D$4,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3" s="68" t="str">
        <f>IFERROR(
    _xlfn.LET(
        _xlpm.is_data_present, $A213&lt;&gt;0,
        _xlpm.is_camera_present, COUNTIFS(Log!$C:$C, $A213, Log!$D:$D, E$4, Log!$A:$A, "Daily", Log!$B:$B, "n/a"),
        _xlpm.we_camera_on_date, IFERROR(AVERAGEIFS(Log!$F:$F, Log!$D:$D,E$4, Log!$C:$C, $A213, Log!$A:$A, "Daily", Log!$B:$B, "n/a"), 0),
        _xlpm.ie_camera_on_date, IFERROR(AVERAGEIFS(Log!$G:$G, Log!$D:$D,E$4,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3" s="68" t="str">
        <f>IFERROR(
    _xlfn.LET(
        _xlpm.is_data_present, $A213&lt;&gt;0,
        _xlpm.is_camera_present, COUNTIFS(Log!$C:$C, $A213, Log!$D:$D, F$4, Log!$A:$A, "Daily", Log!$B:$B, "n/a"),
        _xlpm.we_camera_on_date, IFERROR(AVERAGEIFS(Log!$F:$F, Log!$D:$D,F$4, Log!$C:$C, $A213, Log!$A:$A, "Daily", Log!$B:$B, "n/a"), 0),
        _xlpm.ie_camera_on_date, IFERROR(AVERAGEIFS(Log!$G:$G, Log!$D:$D,F$4,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3" s="68" t="str">
        <f>IFERROR(
    _xlfn.LET(
        _xlpm.is_data_present, $A213&lt;&gt;0,
        _xlpm.is_camera_present, COUNTIFS(Log!$C:$C, $A213, Log!$D:$D, G$4, Log!$A:$A, "Daily", Log!$B:$B, "n/a"),
        _xlpm.we_camera_on_date, IFERROR(AVERAGEIFS(Log!$F:$F, Log!$D:$D,G$4, Log!$C:$C, $A213, Log!$A:$A, "Daily", Log!$B:$B, "n/a"), 0),
        _xlpm.ie_camera_on_date, IFERROR(AVERAGEIFS(Log!$G:$G, Log!$D:$D,G$4,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3" s="68" t="str">
        <f>IFERROR(
    _xlfn.LET(
        _xlpm.is_data_present, $A213&lt;&gt;0,
        _xlpm.is_camera_present, COUNTIFS(Log!$C:$C, $A213, Log!$D:$D, H$4, Log!$A:$A, "Daily", Log!$B:$B, "n/a"),
        _xlpm.we_camera_on_date, IFERROR(AVERAGEIFS(Log!$F:$F, Log!$D:$D,H$4, Log!$C:$C, $A213, Log!$A:$A, "Daily", Log!$B:$B, "n/a"), 0),
        _xlpm.ie_camera_on_date, IFERROR(AVERAGEIFS(Log!$G:$G, Log!$D:$D,H$4,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3" s="68" t="str">
        <f>IFERROR(
    _xlfn.LET(
        _xlpm.is_data_present, $A213&lt;&gt;0,
        _xlpm.is_camera_present, COUNTIFS(Log!$C:$C, $A213, Log!$D:$D, I$4, Log!$A:$A, "Daily", Log!$B:$B, "n/a"),
        _xlpm.we_camera_on_date, IFERROR(AVERAGEIFS(Log!$F:$F, Log!$D:$D,I$4, Log!$C:$C, $A213, Log!$A:$A, "Daily", Log!$B:$B, "n/a"), 0),
        _xlpm.ie_camera_on_date, IFERROR(AVERAGEIFS(Log!$G:$G, Log!$D:$D,I$4,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3" s="68" t="str">
        <f>IFERROR(
    _xlfn.LET(
        _xlpm.is_data_present, $A213&lt;&gt;0,
        _xlpm.is_camera_present, COUNTIFS(Log!$C:$C, $A213, Log!$D:$D, J$4, Log!$A:$A, "Daily", Log!$B:$B, "n/a"),
        _xlpm.we_camera_on_date, IFERROR(AVERAGEIFS(Log!$F:$F, Log!$D:$D,J$4, Log!$C:$C, $A213, Log!$A:$A, "Daily", Log!$B:$B, "n/a"), 0),
        _xlpm.ie_camera_on_date, IFERROR(AVERAGEIFS(Log!$G:$G, Log!$D:$D,J$4,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3" s="68" t="str">
        <f>IFERROR(
    _xlfn.LET(
        _xlpm.is_data_present, $A213&lt;&gt;0,
        _xlpm.is_camera_present, COUNTIFS(Log!$C:$C, $A213, Log!$D:$D, K$4, Log!$A:$A, "Daily", Log!$B:$B, "n/a"),
        _xlpm.we_camera_on_date, IFERROR(AVERAGEIFS(Log!$F:$F, Log!$D:$D,K$4, Log!$C:$C, $A213, Log!$A:$A, "Daily", Log!$B:$B, "n/a"), 0),
        _xlpm.ie_camera_on_date, IFERROR(AVERAGEIFS(Log!$G:$G, Log!$D:$D,K$4,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3" s="68" t="str">
        <f>IFERROR(
    _xlfn.LET(
        _xlpm.is_data_present, $A213&lt;&gt;0,
        _xlpm.is_camera_present, COUNTIFS(Log!$C:$C, $A213, Log!$D:$D, L$4, Log!$A:$A, "Daily", Log!$B:$B, "n/a"),
        _xlpm.we_camera_on_date, IFERROR(AVERAGEIFS(Log!$F:$F, Log!$D:$D,L$4, Log!$C:$C, $A213, Log!$A:$A, "Daily", Log!$B:$B, "n/a"), 0),
        _xlpm.ie_camera_on_date, IFERROR(AVERAGEIFS(Log!$G:$G, Log!$D:$D,L$4,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3" s="68" t="str">
        <f>IFERROR(
    _xlfn.LET(
        _xlpm.is_data_present, $A213&lt;&gt;0,
        _xlpm.is_camera_present, COUNTIFS(Log!$C:$C, $A213, Log!$D:$D, M$4, Log!$A:$A, "Daily", Log!$B:$B, "n/a"),
        _xlpm.we_camera_on_date, IFERROR(AVERAGEIFS(Log!$F:$F, Log!$D:$D,M$4, Log!$C:$C, $A213, Log!$A:$A, "Daily", Log!$B:$B, "n/a"), 0),
        _xlpm.ie_camera_on_date, IFERROR(AVERAGEIFS(Log!$G:$G, Log!$D:$D,M$4,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3" s="68" t="str">
        <f>IFERROR(
    _xlfn.LET(
        _xlpm.is_data_present, $A213&lt;&gt;0,
        _xlpm.is_camera_present, COUNTIFS(Log!$C:$C, $A213, Log!$D:$D, N$4, Log!$A:$A, "Daily", Log!$B:$B, "n/a"),
        _xlpm.we_camera_on_date, IFERROR(AVERAGEIFS(Log!$F:$F, Log!$D:$D,N$4, Log!$C:$C, $A213, Log!$A:$A, "Daily", Log!$B:$B, "n/a"), 0),
        _xlpm.ie_camera_on_date, IFERROR(AVERAGEIFS(Log!$G:$G, Log!$D:$D,N$4,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3" s="68" t="str">
        <f>IFERROR(
    _xlfn.LET(
        _xlpm.is_data_present, $A213&lt;&gt;0,
        _xlpm.is_camera_present, COUNTIFS(Log!$C:$C, $A213, Log!$D:$D, O$4, Log!$A:$A, "Daily", Log!$B:$B, "n/a"),
        _xlpm.we_camera_on_date, IFERROR(AVERAGEIFS(Log!$F:$F, Log!$D:$D,O$4, Log!$C:$C, $A213, Log!$A:$A, "Daily", Log!$B:$B, "n/a"), 0),
        _xlpm.ie_camera_on_date, IFERROR(AVERAGEIFS(Log!$G:$G, Log!$D:$D,O$4,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3" s="68" t="str">
        <f>IFERROR(
    _xlfn.LET(
        _xlpm.is_data_present, $A213&lt;&gt;0,
        _xlpm.is_camera_present, COUNTIFS(Log!$C:$C, $A213, Log!$D:$D, P$4, Log!$A:$A, "Daily", Log!$B:$B, "n/a"),
        _xlpm.we_camera_on_date, IFERROR(AVERAGEIFS(Log!$F:$F, Log!$D:$D,P$4, Log!$C:$C, $A213, Log!$A:$A, "Daily", Log!$B:$B, "n/a"), 0),
        _xlpm.ie_camera_on_date, IFERROR(AVERAGEIFS(Log!$G:$G, Log!$D:$D,P$4,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3" s="68" t="str">
        <f>IFERROR(
    _xlfn.LET(
        _xlpm.is_data_present, $A213&lt;&gt;0,
        _xlpm.is_camera_present, COUNTIFS(Log!$C:$C, $A213, Log!$D:$D, Q$4, Log!$A:$A, "Daily", Log!$B:$B, "n/a"),
        _xlpm.we_camera_on_date, IFERROR(AVERAGEIFS(Log!$F:$F, Log!$D:$D,Q$4, Log!$C:$C, $A213, Log!$A:$A, "Daily", Log!$B:$B, "n/a"), 0),
        _xlpm.ie_camera_on_date, IFERROR(AVERAGEIFS(Log!$G:$G, Log!$D:$D,Q$4,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3" s="68" t="str">
        <f>IFERROR(
    _xlfn.LET(
        _xlpm.is_data_present, $A213&lt;&gt;0,
        _xlpm.is_camera_present, COUNTIFS(Log!$C:$C, $A213, Log!$D:$D, R$4, Log!$A:$A, "Daily", Log!$B:$B, "n/a"),
        _xlpm.we_camera_on_date, IFERROR(AVERAGEIFS(Log!$F:$F, Log!$D:$D,R$4, Log!$C:$C, $A213, Log!$A:$A, "Daily", Log!$B:$B, "n/a"), 0),
        _xlpm.ie_camera_on_date, IFERROR(AVERAGEIFS(Log!$G:$G, Log!$D:$D,R$4,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3" s="68" t="str">
        <f>IFERROR(
    _xlfn.LET(
        _xlpm.is_data_present, $A213&lt;&gt;0,
        _xlpm.is_camera_present, COUNTIFS(Log!$C:$C, $A213, Log!$D:$D, S$4, Log!$A:$A, "Daily", Log!$B:$B, "n/a"),
        _xlpm.we_camera_on_date, IFERROR(AVERAGEIFS(Log!$F:$F, Log!$D:$D,S$4, Log!$C:$C, $A213, Log!$A:$A, "Daily", Log!$B:$B, "n/a"), 0),
        _xlpm.ie_camera_on_date, IFERROR(AVERAGEIFS(Log!$G:$G, Log!$D:$D,S$4, Log!$C:$C, $A213, Log!$A:$A, "Daily", Log!$B:$B, "n/a"), 0),
        _xlpm.we_avg, IFERROR(AVERAGEIFS(Log!$F:$F,Log!$C:$C,$A213, Log!$A:$A, "Daily", Log!$B:$B, "n/a"),0),
        _xlpm.ie_avg, IFERROR(AVERAGEIFS(Log!$G:$G,Log!$C:$C,$A213,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4" spans="2:19" x14ac:dyDescent="0.3">
      <c r="B214" s="68" t="str">
        <f>IFERROR(
    _xlfn.LET(
        _xlpm.is_data_present, $A214&lt;&gt;0,
        _xlpm.is_camera_present, COUNTIFS(Log!$C:$C, $A214, Log!$D:$D, B$4, Log!$A:$A, "Daily", Log!$B:$B, "n/a"),
        _xlpm.we_camera_on_date, IFERROR(AVERAGEIFS(Log!$F:$F, Log!$D:$D,B$4, Log!$C:$C, $A214, Log!$A:$A, "Daily", Log!$B:$B, "n/a"), 0),
        _xlpm.ie_camera_on_date, IFERROR(AVERAGEIFS(Log!$G:$G, Log!$D:$D,B$4,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4" s="68" t="str">
        <f>IFERROR(
    _xlfn.LET(
        _xlpm.is_data_present, $A214&lt;&gt;0,
        _xlpm.is_camera_present, COUNTIFS(Log!$C:$C, $A214, Log!$D:$D, C$4, Log!$A:$A, "Daily", Log!$B:$B, "n/a"),
        _xlpm.we_camera_on_date, IFERROR(AVERAGEIFS(Log!$F:$F, Log!$D:$D,C$4, Log!$C:$C, $A214, Log!$A:$A, "Daily", Log!$B:$B, "n/a"), 0),
        _xlpm.ie_camera_on_date, IFERROR(AVERAGEIFS(Log!$G:$G, Log!$D:$D,C$4,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4" s="68" t="str">
        <f>IFERROR(
    _xlfn.LET(
        _xlpm.is_data_present, $A214&lt;&gt;0,
        _xlpm.is_camera_present, COUNTIFS(Log!$C:$C, $A214, Log!$D:$D, D$4, Log!$A:$A, "Daily", Log!$B:$B, "n/a"),
        _xlpm.we_camera_on_date, IFERROR(AVERAGEIFS(Log!$F:$F, Log!$D:$D,D$4, Log!$C:$C, $A214, Log!$A:$A, "Daily", Log!$B:$B, "n/a"), 0),
        _xlpm.ie_camera_on_date, IFERROR(AVERAGEIFS(Log!$G:$G, Log!$D:$D,D$4,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4" s="68" t="str">
        <f>IFERROR(
    _xlfn.LET(
        _xlpm.is_data_present, $A214&lt;&gt;0,
        _xlpm.is_camera_present, COUNTIFS(Log!$C:$C, $A214, Log!$D:$D, E$4, Log!$A:$A, "Daily", Log!$B:$B, "n/a"),
        _xlpm.we_camera_on_date, IFERROR(AVERAGEIFS(Log!$F:$F, Log!$D:$D,E$4, Log!$C:$C, $A214, Log!$A:$A, "Daily", Log!$B:$B, "n/a"), 0),
        _xlpm.ie_camera_on_date, IFERROR(AVERAGEIFS(Log!$G:$G, Log!$D:$D,E$4,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4" s="68" t="str">
        <f>IFERROR(
    _xlfn.LET(
        _xlpm.is_data_present, $A214&lt;&gt;0,
        _xlpm.is_camera_present, COUNTIFS(Log!$C:$C, $A214, Log!$D:$D, F$4, Log!$A:$A, "Daily", Log!$B:$B, "n/a"),
        _xlpm.we_camera_on_date, IFERROR(AVERAGEIFS(Log!$F:$F, Log!$D:$D,F$4, Log!$C:$C, $A214, Log!$A:$A, "Daily", Log!$B:$B, "n/a"), 0),
        _xlpm.ie_camera_on_date, IFERROR(AVERAGEIFS(Log!$G:$G, Log!$D:$D,F$4,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4" s="68" t="str">
        <f>IFERROR(
    _xlfn.LET(
        _xlpm.is_data_present, $A214&lt;&gt;0,
        _xlpm.is_camera_present, COUNTIFS(Log!$C:$C, $A214, Log!$D:$D, G$4, Log!$A:$A, "Daily", Log!$B:$B, "n/a"),
        _xlpm.we_camera_on_date, IFERROR(AVERAGEIFS(Log!$F:$F, Log!$D:$D,G$4, Log!$C:$C, $A214, Log!$A:$A, "Daily", Log!$B:$B, "n/a"), 0),
        _xlpm.ie_camera_on_date, IFERROR(AVERAGEIFS(Log!$G:$G, Log!$D:$D,G$4,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4" s="68" t="str">
        <f>IFERROR(
    _xlfn.LET(
        _xlpm.is_data_present, $A214&lt;&gt;0,
        _xlpm.is_camera_present, COUNTIFS(Log!$C:$C, $A214, Log!$D:$D, H$4, Log!$A:$A, "Daily", Log!$B:$B, "n/a"),
        _xlpm.we_camera_on_date, IFERROR(AVERAGEIFS(Log!$F:$F, Log!$D:$D,H$4, Log!$C:$C, $A214, Log!$A:$A, "Daily", Log!$B:$B, "n/a"), 0),
        _xlpm.ie_camera_on_date, IFERROR(AVERAGEIFS(Log!$G:$G, Log!$D:$D,H$4,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4" s="68" t="str">
        <f>IFERROR(
    _xlfn.LET(
        _xlpm.is_data_present, $A214&lt;&gt;0,
        _xlpm.is_camera_present, COUNTIFS(Log!$C:$C, $A214, Log!$D:$D, I$4, Log!$A:$A, "Daily", Log!$B:$B, "n/a"),
        _xlpm.we_camera_on_date, IFERROR(AVERAGEIFS(Log!$F:$F, Log!$D:$D,I$4, Log!$C:$C, $A214, Log!$A:$A, "Daily", Log!$B:$B, "n/a"), 0),
        _xlpm.ie_camera_on_date, IFERROR(AVERAGEIFS(Log!$G:$G, Log!$D:$D,I$4,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4" s="68" t="str">
        <f>IFERROR(
    _xlfn.LET(
        _xlpm.is_data_present, $A214&lt;&gt;0,
        _xlpm.is_camera_present, COUNTIFS(Log!$C:$C, $A214, Log!$D:$D, J$4, Log!$A:$A, "Daily", Log!$B:$B, "n/a"),
        _xlpm.we_camera_on_date, IFERROR(AVERAGEIFS(Log!$F:$F, Log!$D:$D,J$4, Log!$C:$C, $A214, Log!$A:$A, "Daily", Log!$B:$B, "n/a"), 0),
        _xlpm.ie_camera_on_date, IFERROR(AVERAGEIFS(Log!$G:$G, Log!$D:$D,J$4,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4" s="68" t="str">
        <f>IFERROR(
    _xlfn.LET(
        _xlpm.is_data_present, $A214&lt;&gt;0,
        _xlpm.is_camera_present, COUNTIFS(Log!$C:$C, $A214, Log!$D:$D, K$4, Log!$A:$A, "Daily", Log!$B:$B, "n/a"),
        _xlpm.we_camera_on_date, IFERROR(AVERAGEIFS(Log!$F:$F, Log!$D:$D,K$4, Log!$C:$C, $A214, Log!$A:$A, "Daily", Log!$B:$B, "n/a"), 0),
        _xlpm.ie_camera_on_date, IFERROR(AVERAGEIFS(Log!$G:$G, Log!$D:$D,K$4,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4" s="68" t="str">
        <f>IFERROR(
    _xlfn.LET(
        _xlpm.is_data_present, $A214&lt;&gt;0,
        _xlpm.is_camera_present, COUNTIFS(Log!$C:$C, $A214, Log!$D:$D, L$4, Log!$A:$A, "Daily", Log!$B:$B, "n/a"),
        _xlpm.we_camera_on_date, IFERROR(AVERAGEIFS(Log!$F:$F, Log!$D:$D,L$4, Log!$C:$C, $A214, Log!$A:$A, "Daily", Log!$B:$B, "n/a"), 0),
        _xlpm.ie_camera_on_date, IFERROR(AVERAGEIFS(Log!$G:$G, Log!$D:$D,L$4,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4" s="68" t="str">
        <f>IFERROR(
    _xlfn.LET(
        _xlpm.is_data_present, $A214&lt;&gt;0,
        _xlpm.is_camera_present, COUNTIFS(Log!$C:$C, $A214, Log!$D:$D, M$4, Log!$A:$A, "Daily", Log!$B:$B, "n/a"),
        _xlpm.we_camera_on_date, IFERROR(AVERAGEIFS(Log!$F:$F, Log!$D:$D,M$4, Log!$C:$C, $A214, Log!$A:$A, "Daily", Log!$B:$B, "n/a"), 0),
        _xlpm.ie_camera_on_date, IFERROR(AVERAGEIFS(Log!$G:$G, Log!$D:$D,M$4,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4" s="68" t="str">
        <f>IFERROR(
    _xlfn.LET(
        _xlpm.is_data_present, $A214&lt;&gt;0,
        _xlpm.is_camera_present, COUNTIFS(Log!$C:$C, $A214, Log!$D:$D, N$4, Log!$A:$A, "Daily", Log!$B:$B, "n/a"),
        _xlpm.we_camera_on_date, IFERROR(AVERAGEIFS(Log!$F:$F, Log!$D:$D,N$4, Log!$C:$C, $A214, Log!$A:$A, "Daily", Log!$B:$B, "n/a"), 0),
        _xlpm.ie_camera_on_date, IFERROR(AVERAGEIFS(Log!$G:$G, Log!$D:$D,N$4,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4" s="68" t="str">
        <f>IFERROR(
    _xlfn.LET(
        _xlpm.is_data_present, $A214&lt;&gt;0,
        _xlpm.is_camera_present, COUNTIFS(Log!$C:$C, $A214, Log!$D:$D, O$4, Log!$A:$A, "Daily", Log!$B:$B, "n/a"),
        _xlpm.we_camera_on_date, IFERROR(AVERAGEIFS(Log!$F:$F, Log!$D:$D,O$4, Log!$C:$C, $A214, Log!$A:$A, "Daily", Log!$B:$B, "n/a"), 0),
        _xlpm.ie_camera_on_date, IFERROR(AVERAGEIFS(Log!$G:$G, Log!$D:$D,O$4,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4" s="68" t="str">
        <f>IFERROR(
    _xlfn.LET(
        _xlpm.is_data_present, $A214&lt;&gt;0,
        _xlpm.is_camera_present, COUNTIFS(Log!$C:$C, $A214, Log!$D:$D, P$4, Log!$A:$A, "Daily", Log!$B:$B, "n/a"),
        _xlpm.we_camera_on_date, IFERROR(AVERAGEIFS(Log!$F:$F, Log!$D:$D,P$4, Log!$C:$C, $A214, Log!$A:$A, "Daily", Log!$B:$B, "n/a"), 0),
        _xlpm.ie_camera_on_date, IFERROR(AVERAGEIFS(Log!$G:$G, Log!$D:$D,P$4,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4" s="68" t="str">
        <f>IFERROR(
    _xlfn.LET(
        _xlpm.is_data_present, $A214&lt;&gt;0,
        _xlpm.is_camera_present, COUNTIFS(Log!$C:$C, $A214, Log!$D:$D, Q$4, Log!$A:$A, "Daily", Log!$B:$B, "n/a"),
        _xlpm.we_camera_on_date, IFERROR(AVERAGEIFS(Log!$F:$F, Log!$D:$D,Q$4, Log!$C:$C, $A214, Log!$A:$A, "Daily", Log!$B:$B, "n/a"), 0),
        _xlpm.ie_camera_on_date, IFERROR(AVERAGEIFS(Log!$G:$G, Log!$D:$D,Q$4,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4" s="68" t="str">
        <f>IFERROR(
    _xlfn.LET(
        _xlpm.is_data_present, $A214&lt;&gt;0,
        _xlpm.is_camera_present, COUNTIFS(Log!$C:$C, $A214, Log!$D:$D, R$4, Log!$A:$A, "Daily", Log!$B:$B, "n/a"),
        _xlpm.we_camera_on_date, IFERROR(AVERAGEIFS(Log!$F:$F, Log!$D:$D,R$4, Log!$C:$C, $A214, Log!$A:$A, "Daily", Log!$B:$B, "n/a"), 0),
        _xlpm.ie_camera_on_date, IFERROR(AVERAGEIFS(Log!$G:$G, Log!$D:$D,R$4,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4" s="68" t="str">
        <f>IFERROR(
    _xlfn.LET(
        _xlpm.is_data_present, $A214&lt;&gt;0,
        _xlpm.is_camera_present, COUNTIFS(Log!$C:$C, $A214, Log!$D:$D, S$4, Log!$A:$A, "Daily", Log!$B:$B, "n/a"),
        _xlpm.we_camera_on_date, IFERROR(AVERAGEIFS(Log!$F:$F, Log!$D:$D,S$4, Log!$C:$C, $A214, Log!$A:$A, "Daily", Log!$B:$B, "n/a"), 0),
        _xlpm.ie_camera_on_date, IFERROR(AVERAGEIFS(Log!$G:$G, Log!$D:$D,S$4, Log!$C:$C, $A214, Log!$A:$A, "Daily", Log!$B:$B, "n/a"), 0),
        _xlpm.we_avg, IFERROR(AVERAGEIFS(Log!$F:$F,Log!$C:$C,$A214, Log!$A:$A, "Daily", Log!$B:$B, "n/a"),0),
        _xlpm.ie_avg, IFERROR(AVERAGEIFS(Log!$G:$G,Log!$C:$C,$A214,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5" spans="2:19" x14ac:dyDescent="0.3">
      <c r="B215" s="68" t="str">
        <f>IFERROR(
    _xlfn.LET(
        _xlpm.is_data_present, $A215&lt;&gt;0,
        _xlpm.is_camera_present, COUNTIFS(Log!$C:$C, $A215, Log!$D:$D, B$4, Log!$A:$A, "Daily", Log!$B:$B, "n/a"),
        _xlpm.we_camera_on_date, IFERROR(AVERAGEIFS(Log!$F:$F, Log!$D:$D,B$4, Log!$C:$C, $A215, Log!$A:$A, "Daily", Log!$B:$B, "n/a"), 0),
        _xlpm.ie_camera_on_date, IFERROR(AVERAGEIFS(Log!$G:$G, Log!$D:$D,B$4,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5" s="68" t="str">
        <f>IFERROR(
    _xlfn.LET(
        _xlpm.is_data_present, $A215&lt;&gt;0,
        _xlpm.is_camera_present, COUNTIFS(Log!$C:$C, $A215, Log!$D:$D, C$4, Log!$A:$A, "Daily", Log!$B:$B, "n/a"),
        _xlpm.we_camera_on_date, IFERROR(AVERAGEIFS(Log!$F:$F, Log!$D:$D,C$4, Log!$C:$C, $A215, Log!$A:$A, "Daily", Log!$B:$B, "n/a"), 0),
        _xlpm.ie_camera_on_date, IFERROR(AVERAGEIFS(Log!$G:$G, Log!$D:$D,C$4,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5" s="68" t="str">
        <f>IFERROR(
    _xlfn.LET(
        _xlpm.is_data_present, $A215&lt;&gt;0,
        _xlpm.is_camera_present, COUNTIFS(Log!$C:$C, $A215, Log!$D:$D, D$4, Log!$A:$A, "Daily", Log!$B:$B, "n/a"),
        _xlpm.we_camera_on_date, IFERROR(AVERAGEIFS(Log!$F:$F, Log!$D:$D,D$4, Log!$C:$C, $A215, Log!$A:$A, "Daily", Log!$B:$B, "n/a"), 0),
        _xlpm.ie_camera_on_date, IFERROR(AVERAGEIFS(Log!$G:$G, Log!$D:$D,D$4,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5" s="68" t="str">
        <f>IFERROR(
    _xlfn.LET(
        _xlpm.is_data_present, $A215&lt;&gt;0,
        _xlpm.is_camera_present, COUNTIFS(Log!$C:$C, $A215, Log!$D:$D, E$4, Log!$A:$A, "Daily", Log!$B:$B, "n/a"),
        _xlpm.we_camera_on_date, IFERROR(AVERAGEIFS(Log!$F:$F, Log!$D:$D,E$4, Log!$C:$C, $A215, Log!$A:$A, "Daily", Log!$B:$B, "n/a"), 0),
        _xlpm.ie_camera_on_date, IFERROR(AVERAGEIFS(Log!$G:$G, Log!$D:$D,E$4,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5" s="68" t="str">
        <f>IFERROR(
    _xlfn.LET(
        _xlpm.is_data_present, $A215&lt;&gt;0,
        _xlpm.is_camera_present, COUNTIFS(Log!$C:$C, $A215, Log!$D:$D, F$4, Log!$A:$A, "Daily", Log!$B:$B, "n/a"),
        _xlpm.we_camera_on_date, IFERROR(AVERAGEIFS(Log!$F:$F, Log!$D:$D,F$4, Log!$C:$C, $A215, Log!$A:$A, "Daily", Log!$B:$B, "n/a"), 0),
        _xlpm.ie_camera_on_date, IFERROR(AVERAGEIFS(Log!$G:$G, Log!$D:$D,F$4,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5" s="68" t="str">
        <f>IFERROR(
    _xlfn.LET(
        _xlpm.is_data_present, $A215&lt;&gt;0,
        _xlpm.is_camera_present, COUNTIFS(Log!$C:$C, $A215, Log!$D:$D, G$4, Log!$A:$A, "Daily", Log!$B:$B, "n/a"),
        _xlpm.we_camera_on_date, IFERROR(AVERAGEIFS(Log!$F:$F, Log!$D:$D,G$4, Log!$C:$C, $A215, Log!$A:$A, "Daily", Log!$B:$B, "n/a"), 0),
        _xlpm.ie_camera_on_date, IFERROR(AVERAGEIFS(Log!$G:$G, Log!$D:$D,G$4,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5" s="68" t="str">
        <f>IFERROR(
    _xlfn.LET(
        _xlpm.is_data_present, $A215&lt;&gt;0,
        _xlpm.is_camera_present, COUNTIFS(Log!$C:$C, $A215, Log!$D:$D, H$4, Log!$A:$A, "Daily", Log!$B:$B, "n/a"),
        _xlpm.we_camera_on_date, IFERROR(AVERAGEIFS(Log!$F:$F, Log!$D:$D,H$4, Log!$C:$C, $A215, Log!$A:$A, "Daily", Log!$B:$B, "n/a"), 0),
        _xlpm.ie_camera_on_date, IFERROR(AVERAGEIFS(Log!$G:$G, Log!$D:$D,H$4,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5" s="68" t="str">
        <f>IFERROR(
    _xlfn.LET(
        _xlpm.is_data_present, $A215&lt;&gt;0,
        _xlpm.is_camera_present, COUNTIFS(Log!$C:$C, $A215, Log!$D:$D, I$4, Log!$A:$A, "Daily", Log!$B:$B, "n/a"),
        _xlpm.we_camera_on_date, IFERROR(AVERAGEIFS(Log!$F:$F, Log!$D:$D,I$4, Log!$C:$C, $A215, Log!$A:$A, "Daily", Log!$B:$B, "n/a"), 0),
        _xlpm.ie_camera_on_date, IFERROR(AVERAGEIFS(Log!$G:$G, Log!$D:$D,I$4,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5" s="68" t="str">
        <f>IFERROR(
    _xlfn.LET(
        _xlpm.is_data_present, $A215&lt;&gt;0,
        _xlpm.is_camera_present, COUNTIFS(Log!$C:$C, $A215, Log!$D:$D, J$4, Log!$A:$A, "Daily", Log!$B:$B, "n/a"),
        _xlpm.we_camera_on_date, IFERROR(AVERAGEIFS(Log!$F:$F, Log!$D:$D,J$4, Log!$C:$C, $A215, Log!$A:$A, "Daily", Log!$B:$B, "n/a"), 0),
        _xlpm.ie_camera_on_date, IFERROR(AVERAGEIFS(Log!$G:$G, Log!$D:$D,J$4,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5" s="68" t="str">
        <f>IFERROR(
    _xlfn.LET(
        _xlpm.is_data_present, $A215&lt;&gt;0,
        _xlpm.is_camera_present, COUNTIFS(Log!$C:$C, $A215, Log!$D:$D, K$4, Log!$A:$A, "Daily", Log!$B:$B, "n/a"),
        _xlpm.we_camera_on_date, IFERROR(AVERAGEIFS(Log!$F:$F, Log!$D:$D,K$4, Log!$C:$C, $A215, Log!$A:$A, "Daily", Log!$B:$B, "n/a"), 0),
        _xlpm.ie_camera_on_date, IFERROR(AVERAGEIFS(Log!$G:$G, Log!$D:$D,K$4,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5" s="68" t="str">
        <f>IFERROR(
    _xlfn.LET(
        _xlpm.is_data_present, $A215&lt;&gt;0,
        _xlpm.is_camera_present, COUNTIFS(Log!$C:$C, $A215, Log!$D:$D, L$4, Log!$A:$A, "Daily", Log!$B:$B, "n/a"),
        _xlpm.we_camera_on_date, IFERROR(AVERAGEIFS(Log!$F:$F, Log!$D:$D,L$4, Log!$C:$C, $A215, Log!$A:$A, "Daily", Log!$B:$B, "n/a"), 0),
        _xlpm.ie_camera_on_date, IFERROR(AVERAGEIFS(Log!$G:$G, Log!$D:$D,L$4,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5" s="68" t="str">
        <f>IFERROR(
    _xlfn.LET(
        _xlpm.is_data_present, $A215&lt;&gt;0,
        _xlpm.is_camera_present, COUNTIFS(Log!$C:$C, $A215, Log!$D:$D, M$4, Log!$A:$A, "Daily", Log!$B:$B, "n/a"),
        _xlpm.we_camera_on_date, IFERROR(AVERAGEIFS(Log!$F:$F, Log!$D:$D,M$4, Log!$C:$C, $A215, Log!$A:$A, "Daily", Log!$B:$B, "n/a"), 0),
        _xlpm.ie_camera_on_date, IFERROR(AVERAGEIFS(Log!$G:$G, Log!$D:$D,M$4,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5" s="68" t="str">
        <f>IFERROR(
    _xlfn.LET(
        _xlpm.is_data_present, $A215&lt;&gt;0,
        _xlpm.is_camera_present, COUNTIFS(Log!$C:$C, $A215, Log!$D:$D, N$4, Log!$A:$A, "Daily", Log!$B:$B, "n/a"),
        _xlpm.we_camera_on_date, IFERROR(AVERAGEIFS(Log!$F:$F, Log!$D:$D,N$4, Log!$C:$C, $A215, Log!$A:$A, "Daily", Log!$B:$B, "n/a"), 0),
        _xlpm.ie_camera_on_date, IFERROR(AVERAGEIFS(Log!$G:$G, Log!$D:$D,N$4,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5" s="68" t="str">
        <f>IFERROR(
    _xlfn.LET(
        _xlpm.is_data_present, $A215&lt;&gt;0,
        _xlpm.is_camera_present, COUNTIFS(Log!$C:$C, $A215, Log!$D:$D, O$4, Log!$A:$A, "Daily", Log!$B:$B, "n/a"),
        _xlpm.we_camera_on_date, IFERROR(AVERAGEIFS(Log!$F:$F, Log!$D:$D,O$4, Log!$C:$C, $A215, Log!$A:$A, "Daily", Log!$B:$B, "n/a"), 0),
        _xlpm.ie_camera_on_date, IFERROR(AVERAGEIFS(Log!$G:$G, Log!$D:$D,O$4,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5" s="68" t="str">
        <f>IFERROR(
    _xlfn.LET(
        _xlpm.is_data_present, $A215&lt;&gt;0,
        _xlpm.is_camera_present, COUNTIFS(Log!$C:$C, $A215, Log!$D:$D, P$4, Log!$A:$A, "Daily", Log!$B:$B, "n/a"),
        _xlpm.we_camera_on_date, IFERROR(AVERAGEIFS(Log!$F:$F, Log!$D:$D,P$4, Log!$C:$C, $A215, Log!$A:$A, "Daily", Log!$B:$B, "n/a"), 0),
        _xlpm.ie_camera_on_date, IFERROR(AVERAGEIFS(Log!$G:$G, Log!$D:$D,P$4,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5" s="68" t="str">
        <f>IFERROR(
    _xlfn.LET(
        _xlpm.is_data_present, $A215&lt;&gt;0,
        _xlpm.is_camera_present, COUNTIFS(Log!$C:$C, $A215, Log!$D:$D, Q$4, Log!$A:$A, "Daily", Log!$B:$B, "n/a"),
        _xlpm.we_camera_on_date, IFERROR(AVERAGEIFS(Log!$F:$F, Log!$D:$D,Q$4, Log!$C:$C, $A215, Log!$A:$A, "Daily", Log!$B:$B, "n/a"), 0),
        _xlpm.ie_camera_on_date, IFERROR(AVERAGEIFS(Log!$G:$G, Log!$D:$D,Q$4,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5" s="68" t="str">
        <f>IFERROR(
    _xlfn.LET(
        _xlpm.is_data_present, $A215&lt;&gt;0,
        _xlpm.is_camera_present, COUNTIFS(Log!$C:$C, $A215, Log!$D:$D, R$4, Log!$A:$A, "Daily", Log!$B:$B, "n/a"),
        _xlpm.we_camera_on_date, IFERROR(AVERAGEIFS(Log!$F:$F, Log!$D:$D,R$4, Log!$C:$C, $A215, Log!$A:$A, "Daily", Log!$B:$B, "n/a"), 0),
        _xlpm.ie_camera_on_date, IFERROR(AVERAGEIFS(Log!$G:$G, Log!$D:$D,R$4,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5" s="68" t="str">
        <f>IFERROR(
    _xlfn.LET(
        _xlpm.is_data_present, $A215&lt;&gt;0,
        _xlpm.is_camera_present, COUNTIFS(Log!$C:$C, $A215, Log!$D:$D, S$4, Log!$A:$A, "Daily", Log!$B:$B, "n/a"),
        _xlpm.we_camera_on_date, IFERROR(AVERAGEIFS(Log!$F:$F, Log!$D:$D,S$4, Log!$C:$C, $A215, Log!$A:$A, "Daily", Log!$B:$B, "n/a"), 0),
        _xlpm.ie_camera_on_date, IFERROR(AVERAGEIFS(Log!$G:$G, Log!$D:$D,S$4, Log!$C:$C, $A215, Log!$A:$A, "Daily", Log!$B:$B, "n/a"), 0),
        _xlpm.we_avg, IFERROR(AVERAGEIFS(Log!$F:$F,Log!$C:$C,$A215, Log!$A:$A, "Daily", Log!$B:$B, "n/a"),0),
        _xlpm.ie_avg, IFERROR(AVERAGEIFS(Log!$G:$G,Log!$C:$C,$A215,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6" spans="2:19" x14ac:dyDescent="0.3">
      <c r="B216" s="68" t="str">
        <f>IFERROR(
    _xlfn.LET(
        _xlpm.is_data_present, $A216&lt;&gt;0,
        _xlpm.is_camera_present, COUNTIFS(Log!$C:$C, $A216, Log!$D:$D, B$4, Log!$A:$A, "Daily", Log!$B:$B, "n/a"),
        _xlpm.we_camera_on_date, IFERROR(AVERAGEIFS(Log!$F:$F, Log!$D:$D,B$4, Log!$C:$C, $A216, Log!$A:$A, "Daily", Log!$B:$B, "n/a"), 0),
        _xlpm.ie_camera_on_date, IFERROR(AVERAGEIFS(Log!$G:$G, Log!$D:$D,B$4,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6" s="68" t="str">
        <f>IFERROR(
    _xlfn.LET(
        _xlpm.is_data_present, $A216&lt;&gt;0,
        _xlpm.is_camera_present, COUNTIFS(Log!$C:$C, $A216, Log!$D:$D, C$4, Log!$A:$A, "Daily", Log!$B:$B, "n/a"),
        _xlpm.we_camera_on_date, IFERROR(AVERAGEIFS(Log!$F:$F, Log!$D:$D,C$4, Log!$C:$C, $A216, Log!$A:$A, "Daily", Log!$B:$B, "n/a"), 0),
        _xlpm.ie_camera_on_date, IFERROR(AVERAGEIFS(Log!$G:$G, Log!$D:$D,C$4,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6" s="68" t="str">
        <f>IFERROR(
    _xlfn.LET(
        _xlpm.is_data_present, $A216&lt;&gt;0,
        _xlpm.is_camera_present, COUNTIFS(Log!$C:$C, $A216, Log!$D:$D, D$4, Log!$A:$A, "Daily", Log!$B:$B, "n/a"),
        _xlpm.we_camera_on_date, IFERROR(AVERAGEIFS(Log!$F:$F, Log!$D:$D,D$4, Log!$C:$C, $A216, Log!$A:$A, "Daily", Log!$B:$B, "n/a"), 0),
        _xlpm.ie_camera_on_date, IFERROR(AVERAGEIFS(Log!$G:$G, Log!$D:$D,D$4,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6" s="68" t="str">
        <f>IFERROR(
    _xlfn.LET(
        _xlpm.is_data_present, $A216&lt;&gt;0,
        _xlpm.is_camera_present, COUNTIFS(Log!$C:$C, $A216, Log!$D:$D, E$4, Log!$A:$A, "Daily", Log!$B:$B, "n/a"),
        _xlpm.we_camera_on_date, IFERROR(AVERAGEIFS(Log!$F:$F, Log!$D:$D,E$4, Log!$C:$C, $A216, Log!$A:$A, "Daily", Log!$B:$B, "n/a"), 0),
        _xlpm.ie_camera_on_date, IFERROR(AVERAGEIFS(Log!$G:$G, Log!$D:$D,E$4,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6" s="68" t="str">
        <f>IFERROR(
    _xlfn.LET(
        _xlpm.is_data_present, $A216&lt;&gt;0,
        _xlpm.is_camera_present, COUNTIFS(Log!$C:$C, $A216, Log!$D:$D, F$4, Log!$A:$A, "Daily", Log!$B:$B, "n/a"),
        _xlpm.we_camera_on_date, IFERROR(AVERAGEIFS(Log!$F:$F, Log!$D:$D,F$4, Log!$C:$C, $A216, Log!$A:$A, "Daily", Log!$B:$B, "n/a"), 0),
        _xlpm.ie_camera_on_date, IFERROR(AVERAGEIFS(Log!$G:$G, Log!$D:$D,F$4,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6" s="68" t="str">
        <f>IFERROR(
    _xlfn.LET(
        _xlpm.is_data_present, $A216&lt;&gt;0,
        _xlpm.is_camera_present, COUNTIFS(Log!$C:$C, $A216, Log!$D:$D, G$4, Log!$A:$A, "Daily", Log!$B:$B, "n/a"),
        _xlpm.we_camera_on_date, IFERROR(AVERAGEIFS(Log!$F:$F, Log!$D:$D,G$4, Log!$C:$C, $A216, Log!$A:$A, "Daily", Log!$B:$B, "n/a"), 0),
        _xlpm.ie_camera_on_date, IFERROR(AVERAGEIFS(Log!$G:$G, Log!$D:$D,G$4,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6" s="68" t="str">
        <f>IFERROR(
    _xlfn.LET(
        _xlpm.is_data_present, $A216&lt;&gt;0,
        _xlpm.is_camera_present, COUNTIFS(Log!$C:$C, $A216, Log!$D:$D, H$4, Log!$A:$A, "Daily", Log!$B:$B, "n/a"),
        _xlpm.we_camera_on_date, IFERROR(AVERAGEIFS(Log!$F:$F, Log!$D:$D,H$4, Log!$C:$C, $A216, Log!$A:$A, "Daily", Log!$B:$B, "n/a"), 0),
        _xlpm.ie_camera_on_date, IFERROR(AVERAGEIFS(Log!$G:$G, Log!$D:$D,H$4,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6" s="68" t="str">
        <f>IFERROR(
    _xlfn.LET(
        _xlpm.is_data_present, $A216&lt;&gt;0,
        _xlpm.is_camera_present, COUNTIFS(Log!$C:$C, $A216, Log!$D:$D, I$4, Log!$A:$A, "Daily", Log!$B:$B, "n/a"),
        _xlpm.we_camera_on_date, IFERROR(AVERAGEIFS(Log!$F:$F, Log!$D:$D,I$4, Log!$C:$C, $A216, Log!$A:$A, "Daily", Log!$B:$B, "n/a"), 0),
        _xlpm.ie_camera_on_date, IFERROR(AVERAGEIFS(Log!$G:$G, Log!$D:$D,I$4,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6" s="68" t="str">
        <f>IFERROR(
    _xlfn.LET(
        _xlpm.is_data_present, $A216&lt;&gt;0,
        _xlpm.is_camera_present, COUNTIFS(Log!$C:$C, $A216, Log!$D:$D, J$4, Log!$A:$A, "Daily", Log!$B:$B, "n/a"),
        _xlpm.we_camera_on_date, IFERROR(AVERAGEIFS(Log!$F:$F, Log!$D:$D,J$4, Log!$C:$C, $A216, Log!$A:$A, "Daily", Log!$B:$B, "n/a"), 0),
        _xlpm.ie_camera_on_date, IFERROR(AVERAGEIFS(Log!$G:$G, Log!$D:$D,J$4,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6" s="68" t="str">
        <f>IFERROR(
    _xlfn.LET(
        _xlpm.is_data_present, $A216&lt;&gt;0,
        _xlpm.is_camera_present, COUNTIFS(Log!$C:$C, $A216, Log!$D:$D, K$4, Log!$A:$A, "Daily", Log!$B:$B, "n/a"),
        _xlpm.we_camera_on_date, IFERROR(AVERAGEIFS(Log!$F:$F, Log!$D:$D,K$4, Log!$C:$C, $A216, Log!$A:$A, "Daily", Log!$B:$B, "n/a"), 0),
        _xlpm.ie_camera_on_date, IFERROR(AVERAGEIFS(Log!$G:$G, Log!$D:$D,K$4,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6" s="68" t="str">
        <f>IFERROR(
    _xlfn.LET(
        _xlpm.is_data_present, $A216&lt;&gt;0,
        _xlpm.is_camera_present, COUNTIFS(Log!$C:$C, $A216, Log!$D:$D, L$4, Log!$A:$A, "Daily", Log!$B:$B, "n/a"),
        _xlpm.we_camera_on_date, IFERROR(AVERAGEIFS(Log!$F:$F, Log!$D:$D,L$4, Log!$C:$C, $A216, Log!$A:$A, "Daily", Log!$B:$B, "n/a"), 0),
        _xlpm.ie_camera_on_date, IFERROR(AVERAGEIFS(Log!$G:$G, Log!$D:$D,L$4,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6" s="68" t="str">
        <f>IFERROR(
    _xlfn.LET(
        _xlpm.is_data_present, $A216&lt;&gt;0,
        _xlpm.is_camera_present, COUNTIFS(Log!$C:$C, $A216, Log!$D:$D, M$4, Log!$A:$A, "Daily", Log!$B:$B, "n/a"),
        _xlpm.we_camera_on_date, IFERROR(AVERAGEIFS(Log!$F:$F, Log!$D:$D,M$4, Log!$C:$C, $A216, Log!$A:$A, "Daily", Log!$B:$B, "n/a"), 0),
        _xlpm.ie_camera_on_date, IFERROR(AVERAGEIFS(Log!$G:$G, Log!$D:$D,M$4,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6" s="68" t="str">
        <f>IFERROR(
    _xlfn.LET(
        _xlpm.is_data_present, $A216&lt;&gt;0,
        _xlpm.is_camera_present, COUNTIFS(Log!$C:$C, $A216, Log!$D:$D, N$4, Log!$A:$A, "Daily", Log!$B:$B, "n/a"),
        _xlpm.we_camera_on_date, IFERROR(AVERAGEIFS(Log!$F:$F, Log!$D:$D,N$4, Log!$C:$C, $A216, Log!$A:$A, "Daily", Log!$B:$B, "n/a"), 0),
        _xlpm.ie_camera_on_date, IFERROR(AVERAGEIFS(Log!$G:$G, Log!$D:$D,N$4,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6" s="68" t="str">
        <f>IFERROR(
    _xlfn.LET(
        _xlpm.is_data_present, $A216&lt;&gt;0,
        _xlpm.is_camera_present, COUNTIFS(Log!$C:$C, $A216, Log!$D:$D, O$4, Log!$A:$A, "Daily", Log!$B:$B, "n/a"),
        _xlpm.we_camera_on_date, IFERROR(AVERAGEIFS(Log!$F:$F, Log!$D:$D,O$4, Log!$C:$C, $A216, Log!$A:$A, "Daily", Log!$B:$B, "n/a"), 0),
        _xlpm.ie_camera_on_date, IFERROR(AVERAGEIFS(Log!$G:$G, Log!$D:$D,O$4,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6" s="68" t="str">
        <f>IFERROR(
    _xlfn.LET(
        _xlpm.is_data_present, $A216&lt;&gt;0,
        _xlpm.is_camera_present, COUNTIFS(Log!$C:$C, $A216, Log!$D:$D, P$4, Log!$A:$A, "Daily", Log!$B:$B, "n/a"),
        _xlpm.we_camera_on_date, IFERROR(AVERAGEIFS(Log!$F:$F, Log!$D:$D,P$4, Log!$C:$C, $A216, Log!$A:$A, "Daily", Log!$B:$B, "n/a"), 0),
        _xlpm.ie_camera_on_date, IFERROR(AVERAGEIFS(Log!$G:$G, Log!$D:$D,P$4,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6" s="68" t="str">
        <f>IFERROR(
    _xlfn.LET(
        _xlpm.is_data_present, $A216&lt;&gt;0,
        _xlpm.is_camera_present, COUNTIFS(Log!$C:$C, $A216, Log!$D:$D, Q$4, Log!$A:$A, "Daily", Log!$B:$B, "n/a"),
        _xlpm.we_camera_on_date, IFERROR(AVERAGEIFS(Log!$F:$F, Log!$D:$D,Q$4, Log!$C:$C, $A216, Log!$A:$A, "Daily", Log!$B:$B, "n/a"), 0),
        _xlpm.ie_camera_on_date, IFERROR(AVERAGEIFS(Log!$G:$G, Log!$D:$D,Q$4,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6" s="68" t="str">
        <f>IFERROR(
    _xlfn.LET(
        _xlpm.is_data_present, $A216&lt;&gt;0,
        _xlpm.is_camera_present, COUNTIFS(Log!$C:$C, $A216, Log!$D:$D, R$4, Log!$A:$A, "Daily", Log!$B:$B, "n/a"),
        _xlpm.we_camera_on_date, IFERROR(AVERAGEIFS(Log!$F:$F, Log!$D:$D,R$4, Log!$C:$C, $A216, Log!$A:$A, "Daily", Log!$B:$B, "n/a"), 0),
        _xlpm.ie_camera_on_date, IFERROR(AVERAGEIFS(Log!$G:$G, Log!$D:$D,R$4,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6" s="68" t="str">
        <f>IFERROR(
    _xlfn.LET(
        _xlpm.is_data_present, $A216&lt;&gt;0,
        _xlpm.is_camera_present, COUNTIFS(Log!$C:$C, $A216, Log!$D:$D, S$4, Log!$A:$A, "Daily", Log!$B:$B, "n/a"),
        _xlpm.we_camera_on_date, IFERROR(AVERAGEIFS(Log!$F:$F, Log!$D:$D,S$4, Log!$C:$C, $A216, Log!$A:$A, "Daily", Log!$B:$B, "n/a"), 0),
        _xlpm.ie_camera_on_date, IFERROR(AVERAGEIFS(Log!$G:$G, Log!$D:$D,S$4, Log!$C:$C, $A216, Log!$A:$A, "Daily", Log!$B:$B, "n/a"), 0),
        _xlpm.we_avg, IFERROR(AVERAGEIFS(Log!$F:$F,Log!$C:$C,$A216, Log!$A:$A, "Daily", Log!$B:$B, "n/a"),0),
        _xlpm.ie_avg, IFERROR(AVERAGEIFS(Log!$G:$G,Log!$C:$C,$A216,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7" spans="2:19" x14ac:dyDescent="0.3">
      <c r="B217" s="68" t="str">
        <f>IFERROR(
    _xlfn.LET(
        _xlpm.is_data_present, $A217&lt;&gt;0,
        _xlpm.is_camera_present, COUNTIFS(Log!$C:$C, $A217, Log!$D:$D, B$4, Log!$A:$A, "Daily", Log!$B:$B, "n/a"),
        _xlpm.we_camera_on_date, IFERROR(AVERAGEIFS(Log!$F:$F, Log!$D:$D,B$4, Log!$C:$C, $A217, Log!$A:$A, "Daily", Log!$B:$B, "n/a"), 0),
        _xlpm.ie_camera_on_date, IFERROR(AVERAGEIFS(Log!$G:$G, Log!$D:$D,B$4,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7" s="68" t="str">
        <f>IFERROR(
    _xlfn.LET(
        _xlpm.is_data_present, $A217&lt;&gt;0,
        _xlpm.is_camera_present, COUNTIFS(Log!$C:$C, $A217, Log!$D:$D, C$4, Log!$A:$A, "Daily", Log!$B:$B, "n/a"),
        _xlpm.we_camera_on_date, IFERROR(AVERAGEIFS(Log!$F:$F, Log!$D:$D,C$4, Log!$C:$C, $A217, Log!$A:$A, "Daily", Log!$B:$B, "n/a"), 0),
        _xlpm.ie_camera_on_date, IFERROR(AVERAGEIFS(Log!$G:$G, Log!$D:$D,C$4,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7" s="68" t="str">
        <f>IFERROR(
    _xlfn.LET(
        _xlpm.is_data_present, $A217&lt;&gt;0,
        _xlpm.is_camera_present, COUNTIFS(Log!$C:$C, $A217, Log!$D:$D, D$4, Log!$A:$A, "Daily", Log!$B:$B, "n/a"),
        _xlpm.we_camera_on_date, IFERROR(AVERAGEIFS(Log!$F:$F, Log!$D:$D,D$4, Log!$C:$C, $A217, Log!$A:$A, "Daily", Log!$B:$B, "n/a"), 0),
        _xlpm.ie_camera_on_date, IFERROR(AVERAGEIFS(Log!$G:$G, Log!$D:$D,D$4,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7" s="68" t="str">
        <f>IFERROR(
    _xlfn.LET(
        _xlpm.is_data_present, $A217&lt;&gt;0,
        _xlpm.is_camera_present, COUNTIFS(Log!$C:$C, $A217, Log!$D:$D, E$4, Log!$A:$A, "Daily", Log!$B:$B, "n/a"),
        _xlpm.we_camera_on_date, IFERROR(AVERAGEIFS(Log!$F:$F, Log!$D:$D,E$4, Log!$C:$C, $A217, Log!$A:$A, "Daily", Log!$B:$B, "n/a"), 0),
        _xlpm.ie_camera_on_date, IFERROR(AVERAGEIFS(Log!$G:$G, Log!$D:$D,E$4,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7" s="68" t="str">
        <f>IFERROR(
    _xlfn.LET(
        _xlpm.is_data_present, $A217&lt;&gt;0,
        _xlpm.is_camera_present, COUNTIFS(Log!$C:$C, $A217, Log!$D:$D, F$4, Log!$A:$A, "Daily", Log!$B:$B, "n/a"),
        _xlpm.we_camera_on_date, IFERROR(AVERAGEIFS(Log!$F:$F, Log!$D:$D,F$4, Log!$C:$C, $A217, Log!$A:$A, "Daily", Log!$B:$B, "n/a"), 0),
        _xlpm.ie_camera_on_date, IFERROR(AVERAGEIFS(Log!$G:$G, Log!$D:$D,F$4,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7" s="68" t="str">
        <f>IFERROR(
    _xlfn.LET(
        _xlpm.is_data_present, $A217&lt;&gt;0,
        _xlpm.is_camera_present, COUNTIFS(Log!$C:$C, $A217, Log!$D:$D, G$4, Log!$A:$A, "Daily", Log!$B:$B, "n/a"),
        _xlpm.we_camera_on_date, IFERROR(AVERAGEIFS(Log!$F:$F, Log!$D:$D,G$4, Log!$C:$C, $A217, Log!$A:$A, "Daily", Log!$B:$B, "n/a"), 0),
        _xlpm.ie_camera_on_date, IFERROR(AVERAGEIFS(Log!$G:$G, Log!$D:$D,G$4,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7" s="68" t="str">
        <f>IFERROR(
    _xlfn.LET(
        _xlpm.is_data_present, $A217&lt;&gt;0,
        _xlpm.is_camera_present, COUNTIFS(Log!$C:$C, $A217, Log!$D:$D, H$4, Log!$A:$A, "Daily", Log!$B:$B, "n/a"),
        _xlpm.we_camera_on_date, IFERROR(AVERAGEIFS(Log!$F:$F, Log!$D:$D,H$4, Log!$C:$C, $A217, Log!$A:$A, "Daily", Log!$B:$B, "n/a"), 0),
        _xlpm.ie_camera_on_date, IFERROR(AVERAGEIFS(Log!$G:$G, Log!$D:$D,H$4,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7" s="68" t="str">
        <f>IFERROR(
    _xlfn.LET(
        _xlpm.is_data_present, $A217&lt;&gt;0,
        _xlpm.is_camera_present, COUNTIFS(Log!$C:$C, $A217, Log!$D:$D, I$4, Log!$A:$A, "Daily", Log!$B:$B, "n/a"),
        _xlpm.we_camera_on_date, IFERROR(AVERAGEIFS(Log!$F:$F, Log!$D:$D,I$4, Log!$C:$C, $A217, Log!$A:$A, "Daily", Log!$B:$B, "n/a"), 0),
        _xlpm.ie_camera_on_date, IFERROR(AVERAGEIFS(Log!$G:$G, Log!$D:$D,I$4,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7" s="68" t="str">
        <f>IFERROR(
    _xlfn.LET(
        _xlpm.is_data_present, $A217&lt;&gt;0,
        _xlpm.is_camera_present, COUNTIFS(Log!$C:$C, $A217, Log!$D:$D, J$4, Log!$A:$A, "Daily", Log!$B:$B, "n/a"),
        _xlpm.we_camera_on_date, IFERROR(AVERAGEIFS(Log!$F:$F, Log!$D:$D,J$4, Log!$C:$C, $A217, Log!$A:$A, "Daily", Log!$B:$B, "n/a"), 0),
        _xlpm.ie_camera_on_date, IFERROR(AVERAGEIFS(Log!$G:$G, Log!$D:$D,J$4,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7" s="68" t="str">
        <f>IFERROR(
    _xlfn.LET(
        _xlpm.is_data_present, $A217&lt;&gt;0,
        _xlpm.is_camera_present, COUNTIFS(Log!$C:$C, $A217, Log!$D:$D, K$4, Log!$A:$A, "Daily", Log!$B:$B, "n/a"),
        _xlpm.we_camera_on_date, IFERROR(AVERAGEIFS(Log!$F:$F, Log!$D:$D,K$4, Log!$C:$C, $A217, Log!$A:$A, "Daily", Log!$B:$B, "n/a"), 0),
        _xlpm.ie_camera_on_date, IFERROR(AVERAGEIFS(Log!$G:$G, Log!$D:$D,K$4,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7" s="68" t="str">
        <f>IFERROR(
    _xlfn.LET(
        _xlpm.is_data_present, $A217&lt;&gt;0,
        _xlpm.is_camera_present, COUNTIFS(Log!$C:$C, $A217, Log!$D:$D, L$4, Log!$A:$A, "Daily", Log!$B:$B, "n/a"),
        _xlpm.we_camera_on_date, IFERROR(AVERAGEIFS(Log!$F:$F, Log!$D:$D,L$4, Log!$C:$C, $A217, Log!$A:$A, "Daily", Log!$B:$B, "n/a"), 0),
        _xlpm.ie_camera_on_date, IFERROR(AVERAGEIFS(Log!$G:$G, Log!$D:$D,L$4,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7" s="68" t="str">
        <f>IFERROR(
    _xlfn.LET(
        _xlpm.is_data_present, $A217&lt;&gt;0,
        _xlpm.is_camera_present, COUNTIFS(Log!$C:$C, $A217, Log!$D:$D, M$4, Log!$A:$A, "Daily", Log!$B:$B, "n/a"),
        _xlpm.we_camera_on_date, IFERROR(AVERAGEIFS(Log!$F:$F, Log!$D:$D,M$4, Log!$C:$C, $A217, Log!$A:$A, "Daily", Log!$B:$B, "n/a"), 0),
        _xlpm.ie_camera_on_date, IFERROR(AVERAGEIFS(Log!$G:$G, Log!$D:$D,M$4,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7" s="68" t="str">
        <f>IFERROR(
    _xlfn.LET(
        _xlpm.is_data_present, $A217&lt;&gt;0,
        _xlpm.is_camera_present, COUNTIFS(Log!$C:$C, $A217, Log!$D:$D, N$4, Log!$A:$A, "Daily", Log!$B:$B, "n/a"),
        _xlpm.we_camera_on_date, IFERROR(AVERAGEIFS(Log!$F:$F, Log!$D:$D,N$4, Log!$C:$C, $A217, Log!$A:$A, "Daily", Log!$B:$B, "n/a"), 0),
        _xlpm.ie_camera_on_date, IFERROR(AVERAGEIFS(Log!$G:$G, Log!$D:$D,N$4,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7" s="68" t="str">
        <f>IFERROR(
    _xlfn.LET(
        _xlpm.is_data_present, $A217&lt;&gt;0,
        _xlpm.is_camera_present, COUNTIFS(Log!$C:$C, $A217, Log!$D:$D, O$4, Log!$A:$A, "Daily", Log!$B:$B, "n/a"),
        _xlpm.we_camera_on_date, IFERROR(AVERAGEIFS(Log!$F:$F, Log!$D:$D,O$4, Log!$C:$C, $A217, Log!$A:$A, "Daily", Log!$B:$B, "n/a"), 0),
        _xlpm.ie_camera_on_date, IFERROR(AVERAGEIFS(Log!$G:$G, Log!$D:$D,O$4,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7" s="68" t="str">
        <f>IFERROR(
    _xlfn.LET(
        _xlpm.is_data_present, $A217&lt;&gt;0,
        _xlpm.is_camera_present, COUNTIFS(Log!$C:$C, $A217, Log!$D:$D, P$4, Log!$A:$A, "Daily", Log!$B:$B, "n/a"),
        _xlpm.we_camera_on_date, IFERROR(AVERAGEIFS(Log!$F:$F, Log!$D:$D,P$4, Log!$C:$C, $A217, Log!$A:$A, "Daily", Log!$B:$B, "n/a"), 0),
        _xlpm.ie_camera_on_date, IFERROR(AVERAGEIFS(Log!$G:$G, Log!$D:$D,P$4,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7" s="68" t="str">
        <f>IFERROR(
    _xlfn.LET(
        _xlpm.is_data_present, $A217&lt;&gt;0,
        _xlpm.is_camera_present, COUNTIFS(Log!$C:$C, $A217, Log!$D:$D, Q$4, Log!$A:$A, "Daily", Log!$B:$B, "n/a"),
        _xlpm.we_camera_on_date, IFERROR(AVERAGEIFS(Log!$F:$F, Log!$D:$D,Q$4, Log!$C:$C, $A217, Log!$A:$A, "Daily", Log!$B:$B, "n/a"), 0),
        _xlpm.ie_camera_on_date, IFERROR(AVERAGEIFS(Log!$G:$G, Log!$D:$D,Q$4,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7" s="68" t="str">
        <f>IFERROR(
    _xlfn.LET(
        _xlpm.is_data_present, $A217&lt;&gt;0,
        _xlpm.is_camera_present, COUNTIFS(Log!$C:$C, $A217, Log!$D:$D, R$4, Log!$A:$A, "Daily", Log!$B:$B, "n/a"),
        _xlpm.we_camera_on_date, IFERROR(AVERAGEIFS(Log!$F:$F, Log!$D:$D,R$4, Log!$C:$C, $A217, Log!$A:$A, "Daily", Log!$B:$B, "n/a"), 0),
        _xlpm.ie_camera_on_date, IFERROR(AVERAGEIFS(Log!$G:$G, Log!$D:$D,R$4,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7" s="68" t="str">
        <f>IFERROR(
    _xlfn.LET(
        _xlpm.is_data_present, $A217&lt;&gt;0,
        _xlpm.is_camera_present, COUNTIFS(Log!$C:$C, $A217, Log!$D:$D, S$4, Log!$A:$A, "Daily", Log!$B:$B, "n/a"),
        _xlpm.we_camera_on_date, IFERROR(AVERAGEIFS(Log!$F:$F, Log!$D:$D,S$4, Log!$C:$C, $A217, Log!$A:$A, "Daily", Log!$B:$B, "n/a"), 0),
        _xlpm.ie_camera_on_date, IFERROR(AVERAGEIFS(Log!$G:$G, Log!$D:$D,S$4, Log!$C:$C, $A217, Log!$A:$A, "Daily", Log!$B:$B, "n/a"), 0),
        _xlpm.we_avg, IFERROR(AVERAGEIFS(Log!$F:$F,Log!$C:$C,$A217, Log!$A:$A, "Daily", Log!$B:$B, "n/a"),0),
        _xlpm.ie_avg, IFERROR(AVERAGEIFS(Log!$G:$G,Log!$C:$C,$A217,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8" spans="2:19" x14ac:dyDescent="0.3">
      <c r="B218" s="68" t="str">
        <f>IFERROR(
    _xlfn.LET(
        _xlpm.is_data_present, $A218&lt;&gt;0,
        _xlpm.is_camera_present, COUNTIFS(Log!$C:$C, $A218, Log!$D:$D, B$4, Log!$A:$A, "Daily", Log!$B:$B, "n/a"),
        _xlpm.we_camera_on_date, IFERROR(AVERAGEIFS(Log!$F:$F, Log!$D:$D,B$4, Log!$C:$C, $A218, Log!$A:$A, "Daily", Log!$B:$B, "n/a"), 0),
        _xlpm.ie_camera_on_date, IFERROR(AVERAGEIFS(Log!$G:$G, Log!$D:$D,B$4,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8" s="68" t="str">
        <f>IFERROR(
    _xlfn.LET(
        _xlpm.is_data_present, $A218&lt;&gt;0,
        _xlpm.is_camera_present, COUNTIFS(Log!$C:$C, $A218, Log!$D:$D, C$4, Log!$A:$A, "Daily", Log!$B:$B, "n/a"),
        _xlpm.we_camera_on_date, IFERROR(AVERAGEIFS(Log!$F:$F, Log!$D:$D,C$4, Log!$C:$C, $A218, Log!$A:$A, "Daily", Log!$B:$B, "n/a"), 0),
        _xlpm.ie_camera_on_date, IFERROR(AVERAGEIFS(Log!$G:$G, Log!$D:$D,C$4,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8" s="68" t="str">
        <f>IFERROR(
    _xlfn.LET(
        _xlpm.is_data_present, $A218&lt;&gt;0,
        _xlpm.is_camera_present, COUNTIFS(Log!$C:$C, $A218, Log!$D:$D, D$4, Log!$A:$A, "Daily", Log!$B:$B, "n/a"),
        _xlpm.we_camera_on_date, IFERROR(AVERAGEIFS(Log!$F:$F, Log!$D:$D,D$4, Log!$C:$C, $A218, Log!$A:$A, "Daily", Log!$B:$B, "n/a"), 0),
        _xlpm.ie_camera_on_date, IFERROR(AVERAGEIFS(Log!$G:$G, Log!$D:$D,D$4,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8" s="68" t="str">
        <f>IFERROR(
    _xlfn.LET(
        _xlpm.is_data_present, $A218&lt;&gt;0,
        _xlpm.is_camera_present, COUNTIFS(Log!$C:$C, $A218, Log!$D:$D, E$4, Log!$A:$A, "Daily", Log!$B:$B, "n/a"),
        _xlpm.we_camera_on_date, IFERROR(AVERAGEIFS(Log!$F:$F, Log!$D:$D,E$4, Log!$C:$C, $A218, Log!$A:$A, "Daily", Log!$B:$B, "n/a"), 0),
        _xlpm.ie_camera_on_date, IFERROR(AVERAGEIFS(Log!$G:$G, Log!$D:$D,E$4,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8" s="68" t="str">
        <f>IFERROR(
    _xlfn.LET(
        _xlpm.is_data_present, $A218&lt;&gt;0,
        _xlpm.is_camera_present, COUNTIFS(Log!$C:$C, $A218, Log!$D:$D, F$4, Log!$A:$A, "Daily", Log!$B:$B, "n/a"),
        _xlpm.we_camera_on_date, IFERROR(AVERAGEIFS(Log!$F:$F, Log!$D:$D,F$4, Log!$C:$C, $A218, Log!$A:$A, "Daily", Log!$B:$B, "n/a"), 0),
        _xlpm.ie_camera_on_date, IFERROR(AVERAGEIFS(Log!$G:$G, Log!$D:$D,F$4,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8" s="68" t="str">
        <f>IFERROR(
    _xlfn.LET(
        _xlpm.is_data_present, $A218&lt;&gt;0,
        _xlpm.is_camera_present, COUNTIFS(Log!$C:$C, $A218, Log!$D:$D, G$4, Log!$A:$A, "Daily", Log!$B:$B, "n/a"),
        _xlpm.we_camera_on_date, IFERROR(AVERAGEIFS(Log!$F:$F, Log!$D:$D,G$4, Log!$C:$C, $A218, Log!$A:$A, "Daily", Log!$B:$B, "n/a"), 0),
        _xlpm.ie_camera_on_date, IFERROR(AVERAGEIFS(Log!$G:$G, Log!$D:$D,G$4,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8" s="68" t="str">
        <f>IFERROR(
    _xlfn.LET(
        _xlpm.is_data_present, $A218&lt;&gt;0,
        _xlpm.is_camera_present, COUNTIFS(Log!$C:$C, $A218, Log!$D:$D, H$4, Log!$A:$A, "Daily", Log!$B:$B, "n/a"),
        _xlpm.we_camera_on_date, IFERROR(AVERAGEIFS(Log!$F:$F, Log!$D:$D,H$4, Log!$C:$C, $A218, Log!$A:$A, "Daily", Log!$B:$B, "n/a"), 0),
        _xlpm.ie_camera_on_date, IFERROR(AVERAGEIFS(Log!$G:$G, Log!$D:$D,H$4,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8" s="68" t="str">
        <f>IFERROR(
    _xlfn.LET(
        _xlpm.is_data_present, $A218&lt;&gt;0,
        _xlpm.is_camera_present, COUNTIFS(Log!$C:$C, $A218, Log!$D:$D, I$4, Log!$A:$A, "Daily", Log!$B:$B, "n/a"),
        _xlpm.we_camera_on_date, IFERROR(AVERAGEIFS(Log!$F:$F, Log!$D:$D,I$4, Log!$C:$C, $A218, Log!$A:$A, "Daily", Log!$B:$B, "n/a"), 0),
        _xlpm.ie_camera_on_date, IFERROR(AVERAGEIFS(Log!$G:$G, Log!$D:$D,I$4,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8" s="68" t="str">
        <f>IFERROR(
    _xlfn.LET(
        _xlpm.is_data_present, $A218&lt;&gt;0,
        _xlpm.is_camera_present, COUNTIFS(Log!$C:$C, $A218, Log!$D:$D, J$4, Log!$A:$A, "Daily", Log!$B:$B, "n/a"),
        _xlpm.we_camera_on_date, IFERROR(AVERAGEIFS(Log!$F:$F, Log!$D:$D,J$4, Log!$C:$C, $A218, Log!$A:$A, "Daily", Log!$B:$B, "n/a"), 0),
        _xlpm.ie_camera_on_date, IFERROR(AVERAGEIFS(Log!$G:$G, Log!$D:$D,J$4,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8" s="68" t="str">
        <f>IFERROR(
    _xlfn.LET(
        _xlpm.is_data_present, $A218&lt;&gt;0,
        _xlpm.is_camera_present, COUNTIFS(Log!$C:$C, $A218, Log!$D:$D, K$4, Log!$A:$A, "Daily", Log!$B:$B, "n/a"),
        _xlpm.we_camera_on_date, IFERROR(AVERAGEIFS(Log!$F:$F, Log!$D:$D,K$4, Log!$C:$C, $A218, Log!$A:$A, "Daily", Log!$B:$B, "n/a"), 0),
        _xlpm.ie_camera_on_date, IFERROR(AVERAGEIFS(Log!$G:$G, Log!$D:$D,K$4,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8" s="68" t="str">
        <f>IFERROR(
    _xlfn.LET(
        _xlpm.is_data_present, $A218&lt;&gt;0,
        _xlpm.is_camera_present, COUNTIFS(Log!$C:$C, $A218, Log!$D:$D, L$4, Log!$A:$A, "Daily", Log!$B:$B, "n/a"),
        _xlpm.we_camera_on_date, IFERROR(AVERAGEIFS(Log!$F:$F, Log!$D:$D,L$4, Log!$C:$C, $A218, Log!$A:$A, "Daily", Log!$B:$B, "n/a"), 0),
        _xlpm.ie_camera_on_date, IFERROR(AVERAGEIFS(Log!$G:$G, Log!$D:$D,L$4,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8" s="68" t="str">
        <f>IFERROR(
    _xlfn.LET(
        _xlpm.is_data_present, $A218&lt;&gt;0,
        _xlpm.is_camera_present, COUNTIFS(Log!$C:$C, $A218, Log!$D:$D, M$4, Log!$A:$A, "Daily", Log!$B:$B, "n/a"),
        _xlpm.we_camera_on_date, IFERROR(AVERAGEIFS(Log!$F:$F, Log!$D:$D,M$4, Log!$C:$C, $A218, Log!$A:$A, "Daily", Log!$B:$B, "n/a"), 0),
        _xlpm.ie_camera_on_date, IFERROR(AVERAGEIFS(Log!$G:$G, Log!$D:$D,M$4,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8" s="68" t="str">
        <f>IFERROR(
    _xlfn.LET(
        _xlpm.is_data_present, $A218&lt;&gt;0,
        _xlpm.is_camera_present, COUNTIFS(Log!$C:$C, $A218, Log!$D:$D, N$4, Log!$A:$A, "Daily", Log!$B:$B, "n/a"),
        _xlpm.we_camera_on_date, IFERROR(AVERAGEIFS(Log!$F:$F, Log!$D:$D,N$4, Log!$C:$C, $A218, Log!$A:$A, "Daily", Log!$B:$B, "n/a"), 0),
        _xlpm.ie_camera_on_date, IFERROR(AVERAGEIFS(Log!$G:$G, Log!$D:$D,N$4,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8" s="68" t="str">
        <f>IFERROR(
    _xlfn.LET(
        _xlpm.is_data_present, $A218&lt;&gt;0,
        _xlpm.is_camera_present, COUNTIFS(Log!$C:$C, $A218, Log!$D:$D, O$4, Log!$A:$A, "Daily", Log!$B:$B, "n/a"),
        _xlpm.we_camera_on_date, IFERROR(AVERAGEIFS(Log!$F:$F, Log!$D:$D,O$4, Log!$C:$C, $A218, Log!$A:$A, "Daily", Log!$B:$B, "n/a"), 0),
        _xlpm.ie_camera_on_date, IFERROR(AVERAGEIFS(Log!$G:$G, Log!$D:$D,O$4,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8" s="68" t="str">
        <f>IFERROR(
    _xlfn.LET(
        _xlpm.is_data_present, $A218&lt;&gt;0,
        _xlpm.is_camera_present, COUNTIFS(Log!$C:$C, $A218, Log!$D:$D, P$4, Log!$A:$A, "Daily", Log!$B:$B, "n/a"),
        _xlpm.we_camera_on_date, IFERROR(AVERAGEIFS(Log!$F:$F, Log!$D:$D,P$4, Log!$C:$C, $A218, Log!$A:$A, "Daily", Log!$B:$B, "n/a"), 0),
        _xlpm.ie_camera_on_date, IFERROR(AVERAGEIFS(Log!$G:$G, Log!$D:$D,P$4,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8" s="68" t="str">
        <f>IFERROR(
    _xlfn.LET(
        _xlpm.is_data_present, $A218&lt;&gt;0,
        _xlpm.is_camera_present, COUNTIFS(Log!$C:$C, $A218, Log!$D:$D, Q$4, Log!$A:$A, "Daily", Log!$B:$B, "n/a"),
        _xlpm.we_camera_on_date, IFERROR(AVERAGEIFS(Log!$F:$F, Log!$D:$D,Q$4, Log!$C:$C, $A218, Log!$A:$A, "Daily", Log!$B:$B, "n/a"), 0),
        _xlpm.ie_camera_on_date, IFERROR(AVERAGEIFS(Log!$G:$G, Log!$D:$D,Q$4,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8" s="68" t="str">
        <f>IFERROR(
    _xlfn.LET(
        _xlpm.is_data_present, $A218&lt;&gt;0,
        _xlpm.is_camera_present, COUNTIFS(Log!$C:$C, $A218, Log!$D:$D, R$4, Log!$A:$A, "Daily", Log!$B:$B, "n/a"),
        _xlpm.we_camera_on_date, IFERROR(AVERAGEIFS(Log!$F:$F, Log!$D:$D,R$4, Log!$C:$C, $A218, Log!$A:$A, "Daily", Log!$B:$B, "n/a"), 0),
        _xlpm.ie_camera_on_date, IFERROR(AVERAGEIFS(Log!$G:$G, Log!$D:$D,R$4,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8" s="68" t="str">
        <f>IFERROR(
    _xlfn.LET(
        _xlpm.is_data_present, $A218&lt;&gt;0,
        _xlpm.is_camera_present, COUNTIFS(Log!$C:$C, $A218, Log!$D:$D, S$4, Log!$A:$A, "Daily", Log!$B:$B, "n/a"),
        _xlpm.we_camera_on_date, IFERROR(AVERAGEIFS(Log!$F:$F, Log!$D:$D,S$4, Log!$C:$C, $A218, Log!$A:$A, "Daily", Log!$B:$B, "n/a"), 0),
        _xlpm.ie_camera_on_date, IFERROR(AVERAGEIFS(Log!$G:$G, Log!$D:$D,S$4, Log!$C:$C, $A218, Log!$A:$A, "Daily", Log!$B:$B, "n/a"), 0),
        _xlpm.we_avg, IFERROR(AVERAGEIFS(Log!$F:$F,Log!$C:$C,$A218, Log!$A:$A, "Daily", Log!$B:$B, "n/a"),0),
        _xlpm.ie_avg, IFERROR(AVERAGEIFS(Log!$G:$G,Log!$C:$C,$A218,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19" spans="2:19" x14ac:dyDescent="0.3">
      <c r="B219" s="68" t="str">
        <f>IFERROR(
    _xlfn.LET(
        _xlpm.is_data_present, $A219&lt;&gt;0,
        _xlpm.is_camera_present, COUNTIFS(Log!$C:$C, $A219, Log!$D:$D, B$4, Log!$A:$A, "Daily", Log!$B:$B, "n/a"),
        _xlpm.we_camera_on_date, IFERROR(AVERAGEIFS(Log!$F:$F, Log!$D:$D,B$4, Log!$C:$C, $A219, Log!$A:$A, "Daily", Log!$B:$B, "n/a"), 0),
        _xlpm.ie_camera_on_date, IFERROR(AVERAGEIFS(Log!$G:$G, Log!$D:$D,B$4,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19" s="68" t="str">
        <f>IFERROR(
    _xlfn.LET(
        _xlpm.is_data_present, $A219&lt;&gt;0,
        _xlpm.is_camera_present, COUNTIFS(Log!$C:$C, $A219, Log!$D:$D, C$4, Log!$A:$A, "Daily", Log!$B:$B, "n/a"),
        _xlpm.we_camera_on_date, IFERROR(AVERAGEIFS(Log!$F:$F, Log!$D:$D,C$4, Log!$C:$C, $A219, Log!$A:$A, "Daily", Log!$B:$B, "n/a"), 0),
        _xlpm.ie_camera_on_date, IFERROR(AVERAGEIFS(Log!$G:$G, Log!$D:$D,C$4,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19" s="68" t="str">
        <f>IFERROR(
    _xlfn.LET(
        _xlpm.is_data_present, $A219&lt;&gt;0,
        _xlpm.is_camera_present, COUNTIFS(Log!$C:$C, $A219, Log!$D:$D, D$4, Log!$A:$A, "Daily", Log!$B:$B, "n/a"),
        _xlpm.we_camera_on_date, IFERROR(AVERAGEIFS(Log!$F:$F, Log!$D:$D,D$4, Log!$C:$C, $A219, Log!$A:$A, "Daily", Log!$B:$B, "n/a"), 0),
        _xlpm.ie_camera_on_date, IFERROR(AVERAGEIFS(Log!$G:$G, Log!$D:$D,D$4,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19" s="68" t="str">
        <f>IFERROR(
    _xlfn.LET(
        _xlpm.is_data_present, $A219&lt;&gt;0,
        _xlpm.is_camera_present, COUNTIFS(Log!$C:$C, $A219, Log!$D:$D, E$4, Log!$A:$A, "Daily", Log!$B:$B, "n/a"),
        _xlpm.we_camera_on_date, IFERROR(AVERAGEIFS(Log!$F:$F, Log!$D:$D,E$4, Log!$C:$C, $A219, Log!$A:$A, "Daily", Log!$B:$B, "n/a"), 0),
        _xlpm.ie_camera_on_date, IFERROR(AVERAGEIFS(Log!$G:$G, Log!$D:$D,E$4,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19" s="68" t="str">
        <f>IFERROR(
    _xlfn.LET(
        _xlpm.is_data_present, $A219&lt;&gt;0,
        _xlpm.is_camera_present, COUNTIFS(Log!$C:$C, $A219, Log!$D:$D, F$4, Log!$A:$A, "Daily", Log!$B:$B, "n/a"),
        _xlpm.we_camera_on_date, IFERROR(AVERAGEIFS(Log!$F:$F, Log!$D:$D,F$4, Log!$C:$C, $A219, Log!$A:$A, "Daily", Log!$B:$B, "n/a"), 0),
        _xlpm.ie_camera_on_date, IFERROR(AVERAGEIFS(Log!$G:$G, Log!$D:$D,F$4,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19" s="68" t="str">
        <f>IFERROR(
    _xlfn.LET(
        _xlpm.is_data_present, $A219&lt;&gt;0,
        _xlpm.is_camera_present, COUNTIFS(Log!$C:$C, $A219, Log!$D:$D, G$4, Log!$A:$A, "Daily", Log!$B:$B, "n/a"),
        _xlpm.we_camera_on_date, IFERROR(AVERAGEIFS(Log!$F:$F, Log!$D:$D,G$4, Log!$C:$C, $A219, Log!$A:$A, "Daily", Log!$B:$B, "n/a"), 0),
        _xlpm.ie_camera_on_date, IFERROR(AVERAGEIFS(Log!$G:$G, Log!$D:$D,G$4,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19" s="68" t="str">
        <f>IFERROR(
    _xlfn.LET(
        _xlpm.is_data_present, $A219&lt;&gt;0,
        _xlpm.is_camera_present, COUNTIFS(Log!$C:$C, $A219, Log!$D:$D, H$4, Log!$A:$A, "Daily", Log!$B:$B, "n/a"),
        _xlpm.we_camera_on_date, IFERROR(AVERAGEIFS(Log!$F:$F, Log!$D:$D,H$4, Log!$C:$C, $A219, Log!$A:$A, "Daily", Log!$B:$B, "n/a"), 0),
        _xlpm.ie_camera_on_date, IFERROR(AVERAGEIFS(Log!$G:$G, Log!$D:$D,H$4,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19" s="68" t="str">
        <f>IFERROR(
    _xlfn.LET(
        _xlpm.is_data_present, $A219&lt;&gt;0,
        _xlpm.is_camera_present, COUNTIFS(Log!$C:$C, $A219, Log!$D:$D, I$4, Log!$A:$A, "Daily", Log!$B:$B, "n/a"),
        _xlpm.we_camera_on_date, IFERROR(AVERAGEIFS(Log!$F:$F, Log!$D:$D,I$4, Log!$C:$C, $A219, Log!$A:$A, "Daily", Log!$B:$B, "n/a"), 0),
        _xlpm.ie_camera_on_date, IFERROR(AVERAGEIFS(Log!$G:$G, Log!$D:$D,I$4,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19" s="68" t="str">
        <f>IFERROR(
    _xlfn.LET(
        _xlpm.is_data_present, $A219&lt;&gt;0,
        _xlpm.is_camera_present, COUNTIFS(Log!$C:$C, $A219, Log!$D:$D, J$4, Log!$A:$A, "Daily", Log!$B:$B, "n/a"),
        _xlpm.we_camera_on_date, IFERROR(AVERAGEIFS(Log!$F:$F, Log!$D:$D,J$4, Log!$C:$C, $A219, Log!$A:$A, "Daily", Log!$B:$B, "n/a"), 0),
        _xlpm.ie_camera_on_date, IFERROR(AVERAGEIFS(Log!$G:$G, Log!$D:$D,J$4,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19" s="68" t="str">
        <f>IFERROR(
    _xlfn.LET(
        _xlpm.is_data_present, $A219&lt;&gt;0,
        _xlpm.is_camera_present, COUNTIFS(Log!$C:$C, $A219, Log!$D:$D, K$4, Log!$A:$A, "Daily", Log!$B:$B, "n/a"),
        _xlpm.we_camera_on_date, IFERROR(AVERAGEIFS(Log!$F:$F, Log!$D:$D,K$4, Log!$C:$C, $A219, Log!$A:$A, "Daily", Log!$B:$B, "n/a"), 0),
        _xlpm.ie_camera_on_date, IFERROR(AVERAGEIFS(Log!$G:$G, Log!$D:$D,K$4,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19" s="68" t="str">
        <f>IFERROR(
    _xlfn.LET(
        _xlpm.is_data_present, $A219&lt;&gt;0,
        _xlpm.is_camera_present, COUNTIFS(Log!$C:$C, $A219, Log!$D:$D, L$4, Log!$A:$A, "Daily", Log!$B:$B, "n/a"),
        _xlpm.we_camera_on_date, IFERROR(AVERAGEIFS(Log!$F:$F, Log!$D:$D,L$4, Log!$C:$C, $A219, Log!$A:$A, "Daily", Log!$B:$B, "n/a"), 0),
        _xlpm.ie_camera_on_date, IFERROR(AVERAGEIFS(Log!$G:$G, Log!$D:$D,L$4,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19" s="68" t="str">
        <f>IFERROR(
    _xlfn.LET(
        _xlpm.is_data_present, $A219&lt;&gt;0,
        _xlpm.is_camera_present, COUNTIFS(Log!$C:$C, $A219, Log!$D:$D, M$4, Log!$A:$A, "Daily", Log!$B:$B, "n/a"),
        _xlpm.we_camera_on_date, IFERROR(AVERAGEIFS(Log!$F:$F, Log!$D:$D,M$4, Log!$C:$C, $A219, Log!$A:$A, "Daily", Log!$B:$B, "n/a"), 0),
        _xlpm.ie_camera_on_date, IFERROR(AVERAGEIFS(Log!$G:$G, Log!$D:$D,M$4,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19" s="68" t="str">
        <f>IFERROR(
    _xlfn.LET(
        _xlpm.is_data_present, $A219&lt;&gt;0,
        _xlpm.is_camera_present, COUNTIFS(Log!$C:$C, $A219, Log!$D:$D, N$4, Log!$A:$A, "Daily", Log!$B:$B, "n/a"),
        _xlpm.we_camera_on_date, IFERROR(AVERAGEIFS(Log!$F:$F, Log!$D:$D,N$4, Log!$C:$C, $A219, Log!$A:$A, "Daily", Log!$B:$B, "n/a"), 0),
        _xlpm.ie_camera_on_date, IFERROR(AVERAGEIFS(Log!$G:$G, Log!$D:$D,N$4,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19" s="68" t="str">
        <f>IFERROR(
    _xlfn.LET(
        _xlpm.is_data_present, $A219&lt;&gt;0,
        _xlpm.is_camera_present, COUNTIFS(Log!$C:$C, $A219, Log!$D:$D, O$4, Log!$A:$A, "Daily", Log!$B:$B, "n/a"),
        _xlpm.we_camera_on_date, IFERROR(AVERAGEIFS(Log!$F:$F, Log!$D:$D,O$4, Log!$C:$C, $A219, Log!$A:$A, "Daily", Log!$B:$B, "n/a"), 0),
        _xlpm.ie_camera_on_date, IFERROR(AVERAGEIFS(Log!$G:$G, Log!$D:$D,O$4,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19" s="68" t="str">
        <f>IFERROR(
    _xlfn.LET(
        _xlpm.is_data_present, $A219&lt;&gt;0,
        _xlpm.is_camera_present, COUNTIFS(Log!$C:$C, $A219, Log!$D:$D, P$4, Log!$A:$A, "Daily", Log!$B:$B, "n/a"),
        _xlpm.we_camera_on_date, IFERROR(AVERAGEIFS(Log!$F:$F, Log!$D:$D,P$4, Log!$C:$C, $A219, Log!$A:$A, "Daily", Log!$B:$B, "n/a"), 0),
        _xlpm.ie_camera_on_date, IFERROR(AVERAGEIFS(Log!$G:$G, Log!$D:$D,P$4,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19" s="68" t="str">
        <f>IFERROR(
    _xlfn.LET(
        _xlpm.is_data_present, $A219&lt;&gt;0,
        _xlpm.is_camera_present, COUNTIFS(Log!$C:$C, $A219, Log!$D:$D, Q$4, Log!$A:$A, "Daily", Log!$B:$B, "n/a"),
        _xlpm.we_camera_on_date, IFERROR(AVERAGEIFS(Log!$F:$F, Log!$D:$D,Q$4, Log!$C:$C, $A219, Log!$A:$A, "Daily", Log!$B:$B, "n/a"), 0),
        _xlpm.ie_camera_on_date, IFERROR(AVERAGEIFS(Log!$G:$G, Log!$D:$D,Q$4,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19" s="68" t="str">
        <f>IFERROR(
    _xlfn.LET(
        _xlpm.is_data_present, $A219&lt;&gt;0,
        _xlpm.is_camera_present, COUNTIFS(Log!$C:$C, $A219, Log!$D:$D, R$4, Log!$A:$A, "Daily", Log!$B:$B, "n/a"),
        _xlpm.we_camera_on_date, IFERROR(AVERAGEIFS(Log!$F:$F, Log!$D:$D,R$4, Log!$C:$C, $A219, Log!$A:$A, "Daily", Log!$B:$B, "n/a"), 0),
        _xlpm.ie_camera_on_date, IFERROR(AVERAGEIFS(Log!$G:$G, Log!$D:$D,R$4,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19" s="68" t="str">
        <f>IFERROR(
    _xlfn.LET(
        _xlpm.is_data_present, $A219&lt;&gt;0,
        _xlpm.is_camera_present, COUNTIFS(Log!$C:$C, $A219, Log!$D:$D, S$4, Log!$A:$A, "Daily", Log!$B:$B, "n/a"),
        _xlpm.we_camera_on_date, IFERROR(AVERAGEIFS(Log!$F:$F, Log!$D:$D,S$4, Log!$C:$C, $A219, Log!$A:$A, "Daily", Log!$B:$B, "n/a"), 0),
        _xlpm.ie_camera_on_date, IFERROR(AVERAGEIFS(Log!$G:$G, Log!$D:$D,S$4, Log!$C:$C, $A219, Log!$A:$A, "Daily", Log!$B:$B, "n/a"), 0),
        _xlpm.we_avg, IFERROR(AVERAGEIFS(Log!$F:$F,Log!$C:$C,$A219, Log!$A:$A, "Daily", Log!$B:$B, "n/a"),0),
        _xlpm.ie_avg, IFERROR(AVERAGEIFS(Log!$G:$G,Log!$C:$C,$A219,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0" spans="2:19" x14ac:dyDescent="0.3">
      <c r="B220" s="68" t="str">
        <f>IFERROR(
    _xlfn.LET(
        _xlpm.is_data_present, $A220&lt;&gt;0,
        _xlpm.is_camera_present, COUNTIFS(Log!$C:$C, $A220, Log!$D:$D, B$4, Log!$A:$A, "Daily", Log!$B:$B, "n/a"),
        _xlpm.we_camera_on_date, IFERROR(AVERAGEIFS(Log!$F:$F, Log!$D:$D,B$4, Log!$C:$C, $A220, Log!$A:$A, "Daily", Log!$B:$B, "n/a"), 0),
        _xlpm.ie_camera_on_date, IFERROR(AVERAGEIFS(Log!$G:$G, Log!$D:$D,B$4,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0" s="68" t="str">
        <f>IFERROR(
    _xlfn.LET(
        _xlpm.is_data_present, $A220&lt;&gt;0,
        _xlpm.is_camera_present, COUNTIFS(Log!$C:$C, $A220, Log!$D:$D, C$4, Log!$A:$A, "Daily", Log!$B:$B, "n/a"),
        _xlpm.we_camera_on_date, IFERROR(AVERAGEIFS(Log!$F:$F, Log!$D:$D,C$4, Log!$C:$C, $A220, Log!$A:$A, "Daily", Log!$B:$B, "n/a"), 0),
        _xlpm.ie_camera_on_date, IFERROR(AVERAGEIFS(Log!$G:$G, Log!$D:$D,C$4,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0" s="68" t="str">
        <f>IFERROR(
    _xlfn.LET(
        _xlpm.is_data_present, $A220&lt;&gt;0,
        _xlpm.is_camera_present, COUNTIFS(Log!$C:$C, $A220, Log!$D:$D, D$4, Log!$A:$A, "Daily", Log!$B:$B, "n/a"),
        _xlpm.we_camera_on_date, IFERROR(AVERAGEIFS(Log!$F:$F, Log!$D:$D,D$4, Log!$C:$C, $A220, Log!$A:$A, "Daily", Log!$B:$B, "n/a"), 0),
        _xlpm.ie_camera_on_date, IFERROR(AVERAGEIFS(Log!$G:$G, Log!$D:$D,D$4,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0" s="68" t="str">
        <f>IFERROR(
    _xlfn.LET(
        _xlpm.is_data_present, $A220&lt;&gt;0,
        _xlpm.is_camera_present, COUNTIFS(Log!$C:$C, $A220, Log!$D:$D, E$4, Log!$A:$A, "Daily", Log!$B:$B, "n/a"),
        _xlpm.we_camera_on_date, IFERROR(AVERAGEIFS(Log!$F:$F, Log!$D:$D,E$4, Log!$C:$C, $A220, Log!$A:$A, "Daily", Log!$B:$B, "n/a"), 0),
        _xlpm.ie_camera_on_date, IFERROR(AVERAGEIFS(Log!$G:$G, Log!$D:$D,E$4,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0" s="68" t="str">
        <f>IFERROR(
    _xlfn.LET(
        _xlpm.is_data_present, $A220&lt;&gt;0,
        _xlpm.is_camera_present, COUNTIFS(Log!$C:$C, $A220, Log!$D:$D, F$4, Log!$A:$A, "Daily", Log!$B:$B, "n/a"),
        _xlpm.we_camera_on_date, IFERROR(AVERAGEIFS(Log!$F:$F, Log!$D:$D,F$4, Log!$C:$C, $A220, Log!$A:$A, "Daily", Log!$B:$B, "n/a"), 0),
        _xlpm.ie_camera_on_date, IFERROR(AVERAGEIFS(Log!$G:$G, Log!$D:$D,F$4,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0" s="68" t="str">
        <f>IFERROR(
    _xlfn.LET(
        _xlpm.is_data_present, $A220&lt;&gt;0,
        _xlpm.is_camera_present, COUNTIFS(Log!$C:$C, $A220, Log!$D:$D, G$4, Log!$A:$A, "Daily", Log!$B:$B, "n/a"),
        _xlpm.we_camera_on_date, IFERROR(AVERAGEIFS(Log!$F:$F, Log!$D:$D,G$4, Log!$C:$C, $A220, Log!$A:$A, "Daily", Log!$B:$B, "n/a"), 0),
        _xlpm.ie_camera_on_date, IFERROR(AVERAGEIFS(Log!$G:$G, Log!$D:$D,G$4,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0" s="68" t="str">
        <f>IFERROR(
    _xlfn.LET(
        _xlpm.is_data_present, $A220&lt;&gt;0,
        _xlpm.is_camera_present, COUNTIFS(Log!$C:$C, $A220, Log!$D:$D, H$4, Log!$A:$A, "Daily", Log!$B:$B, "n/a"),
        _xlpm.we_camera_on_date, IFERROR(AVERAGEIFS(Log!$F:$F, Log!$D:$D,H$4, Log!$C:$C, $A220, Log!$A:$A, "Daily", Log!$B:$B, "n/a"), 0),
        _xlpm.ie_camera_on_date, IFERROR(AVERAGEIFS(Log!$G:$G, Log!$D:$D,H$4,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0" s="68" t="str">
        <f>IFERROR(
    _xlfn.LET(
        _xlpm.is_data_present, $A220&lt;&gt;0,
        _xlpm.is_camera_present, COUNTIFS(Log!$C:$C, $A220, Log!$D:$D, I$4, Log!$A:$A, "Daily", Log!$B:$B, "n/a"),
        _xlpm.we_camera_on_date, IFERROR(AVERAGEIFS(Log!$F:$F, Log!$D:$D,I$4, Log!$C:$C, $A220, Log!$A:$A, "Daily", Log!$B:$B, "n/a"), 0),
        _xlpm.ie_camera_on_date, IFERROR(AVERAGEIFS(Log!$G:$G, Log!$D:$D,I$4,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0" s="68" t="str">
        <f>IFERROR(
    _xlfn.LET(
        _xlpm.is_data_present, $A220&lt;&gt;0,
        _xlpm.is_camera_present, COUNTIFS(Log!$C:$C, $A220, Log!$D:$D, J$4, Log!$A:$A, "Daily", Log!$B:$B, "n/a"),
        _xlpm.we_camera_on_date, IFERROR(AVERAGEIFS(Log!$F:$F, Log!$D:$D,J$4, Log!$C:$C, $A220, Log!$A:$A, "Daily", Log!$B:$B, "n/a"), 0),
        _xlpm.ie_camera_on_date, IFERROR(AVERAGEIFS(Log!$G:$G, Log!$D:$D,J$4,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0" s="68" t="str">
        <f>IFERROR(
    _xlfn.LET(
        _xlpm.is_data_present, $A220&lt;&gt;0,
        _xlpm.is_camera_present, COUNTIFS(Log!$C:$C, $A220, Log!$D:$D, K$4, Log!$A:$A, "Daily", Log!$B:$B, "n/a"),
        _xlpm.we_camera_on_date, IFERROR(AVERAGEIFS(Log!$F:$F, Log!$D:$D,K$4, Log!$C:$C, $A220, Log!$A:$A, "Daily", Log!$B:$B, "n/a"), 0),
        _xlpm.ie_camera_on_date, IFERROR(AVERAGEIFS(Log!$G:$G, Log!$D:$D,K$4,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0" s="68" t="str">
        <f>IFERROR(
    _xlfn.LET(
        _xlpm.is_data_present, $A220&lt;&gt;0,
        _xlpm.is_camera_present, COUNTIFS(Log!$C:$C, $A220, Log!$D:$D, L$4, Log!$A:$A, "Daily", Log!$B:$B, "n/a"),
        _xlpm.we_camera_on_date, IFERROR(AVERAGEIFS(Log!$F:$F, Log!$D:$D,L$4, Log!$C:$C, $A220, Log!$A:$A, "Daily", Log!$B:$B, "n/a"), 0),
        _xlpm.ie_camera_on_date, IFERROR(AVERAGEIFS(Log!$G:$G, Log!$D:$D,L$4,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0" s="68" t="str">
        <f>IFERROR(
    _xlfn.LET(
        _xlpm.is_data_present, $A220&lt;&gt;0,
        _xlpm.is_camera_present, COUNTIFS(Log!$C:$C, $A220, Log!$D:$D, M$4, Log!$A:$A, "Daily", Log!$B:$B, "n/a"),
        _xlpm.we_camera_on_date, IFERROR(AVERAGEIFS(Log!$F:$F, Log!$D:$D,M$4, Log!$C:$C, $A220, Log!$A:$A, "Daily", Log!$B:$B, "n/a"), 0),
        _xlpm.ie_camera_on_date, IFERROR(AVERAGEIFS(Log!$G:$G, Log!$D:$D,M$4,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0" s="68" t="str">
        <f>IFERROR(
    _xlfn.LET(
        _xlpm.is_data_present, $A220&lt;&gt;0,
        _xlpm.is_camera_present, COUNTIFS(Log!$C:$C, $A220, Log!$D:$D, N$4, Log!$A:$A, "Daily", Log!$B:$B, "n/a"),
        _xlpm.we_camera_on_date, IFERROR(AVERAGEIFS(Log!$F:$F, Log!$D:$D,N$4, Log!$C:$C, $A220, Log!$A:$A, "Daily", Log!$B:$B, "n/a"), 0),
        _xlpm.ie_camera_on_date, IFERROR(AVERAGEIFS(Log!$G:$G, Log!$D:$D,N$4,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0" s="68" t="str">
        <f>IFERROR(
    _xlfn.LET(
        _xlpm.is_data_present, $A220&lt;&gt;0,
        _xlpm.is_camera_present, COUNTIFS(Log!$C:$C, $A220, Log!$D:$D, O$4, Log!$A:$A, "Daily", Log!$B:$B, "n/a"),
        _xlpm.we_camera_on_date, IFERROR(AVERAGEIFS(Log!$F:$F, Log!$D:$D,O$4, Log!$C:$C, $A220, Log!$A:$A, "Daily", Log!$B:$B, "n/a"), 0),
        _xlpm.ie_camera_on_date, IFERROR(AVERAGEIFS(Log!$G:$G, Log!$D:$D,O$4,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0" s="68" t="str">
        <f>IFERROR(
    _xlfn.LET(
        _xlpm.is_data_present, $A220&lt;&gt;0,
        _xlpm.is_camera_present, COUNTIFS(Log!$C:$C, $A220, Log!$D:$D, P$4, Log!$A:$A, "Daily", Log!$B:$B, "n/a"),
        _xlpm.we_camera_on_date, IFERROR(AVERAGEIFS(Log!$F:$F, Log!$D:$D,P$4, Log!$C:$C, $A220, Log!$A:$A, "Daily", Log!$B:$B, "n/a"), 0),
        _xlpm.ie_camera_on_date, IFERROR(AVERAGEIFS(Log!$G:$G, Log!$D:$D,P$4,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0" s="68" t="str">
        <f>IFERROR(
    _xlfn.LET(
        _xlpm.is_data_present, $A220&lt;&gt;0,
        _xlpm.is_camera_present, COUNTIFS(Log!$C:$C, $A220, Log!$D:$D, Q$4, Log!$A:$A, "Daily", Log!$B:$B, "n/a"),
        _xlpm.we_camera_on_date, IFERROR(AVERAGEIFS(Log!$F:$F, Log!$D:$D,Q$4, Log!$C:$C, $A220, Log!$A:$A, "Daily", Log!$B:$B, "n/a"), 0),
        _xlpm.ie_camera_on_date, IFERROR(AVERAGEIFS(Log!$G:$G, Log!$D:$D,Q$4,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0" s="68" t="str">
        <f>IFERROR(
    _xlfn.LET(
        _xlpm.is_data_present, $A220&lt;&gt;0,
        _xlpm.is_camera_present, COUNTIFS(Log!$C:$C, $A220, Log!$D:$D, R$4, Log!$A:$A, "Daily", Log!$B:$B, "n/a"),
        _xlpm.we_camera_on_date, IFERROR(AVERAGEIFS(Log!$F:$F, Log!$D:$D,R$4, Log!$C:$C, $A220, Log!$A:$A, "Daily", Log!$B:$B, "n/a"), 0),
        _xlpm.ie_camera_on_date, IFERROR(AVERAGEIFS(Log!$G:$G, Log!$D:$D,R$4,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0" s="68" t="str">
        <f>IFERROR(
    _xlfn.LET(
        _xlpm.is_data_present, $A220&lt;&gt;0,
        _xlpm.is_camera_present, COUNTIFS(Log!$C:$C, $A220, Log!$D:$D, S$4, Log!$A:$A, "Daily", Log!$B:$B, "n/a"),
        _xlpm.we_camera_on_date, IFERROR(AVERAGEIFS(Log!$F:$F, Log!$D:$D,S$4, Log!$C:$C, $A220, Log!$A:$A, "Daily", Log!$B:$B, "n/a"), 0),
        _xlpm.ie_camera_on_date, IFERROR(AVERAGEIFS(Log!$G:$G, Log!$D:$D,S$4, Log!$C:$C, $A220, Log!$A:$A, "Daily", Log!$B:$B, "n/a"), 0),
        _xlpm.we_avg, IFERROR(AVERAGEIFS(Log!$F:$F,Log!$C:$C,$A220, Log!$A:$A, "Daily", Log!$B:$B, "n/a"),0),
        _xlpm.ie_avg, IFERROR(AVERAGEIFS(Log!$G:$G,Log!$C:$C,$A220,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1" spans="2:19" x14ac:dyDescent="0.3">
      <c r="B221" s="68" t="str">
        <f>IFERROR(
    _xlfn.LET(
        _xlpm.is_data_present, $A221&lt;&gt;0,
        _xlpm.is_camera_present, COUNTIFS(Log!$C:$C, $A221, Log!$D:$D, B$4, Log!$A:$A, "Daily", Log!$B:$B, "n/a"),
        _xlpm.we_camera_on_date, IFERROR(AVERAGEIFS(Log!$F:$F, Log!$D:$D,B$4, Log!$C:$C, $A221, Log!$A:$A, "Daily", Log!$B:$B, "n/a"), 0),
        _xlpm.ie_camera_on_date, IFERROR(AVERAGEIFS(Log!$G:$G, Log!$D:$D,B$4,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1" s="68" t="str">
        <f>IFERROR(
    _xlfn.LET(
        _xlpm.is_data_present, $A221&lt;&gt;0,
        _xlpm.is_camera_present, COUNTIFS(Log!$C:$C, $A221, Log!$D:$D, C$4, Log!$A:$A, "Daily", Log!$B:$B, "n/a"),
        _xlpm.we_camera_on_date, IFERROR(AVERAGEIFS(Log!$F:$F, Log!$D:$D,C$4, Log!$C:$C, $A221, Log!$A:$A, "Daily", Log!$B:$B, "n/a"), 0),
        _xlpm.ie_camera_on_date, IFERROR(AVERAGEIFS(Log!$G:$G, Log!$D:$D,C$4,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1" s="68" t="str">
        <f>IFERROR(
    _xlfn.LET(
        _xlpm.is_data_present, $A221&lt;&gt;0,
        _xlpm.is_camera_present, COUNTIFS(Log!$C:$C, $A221, Log!$D:$D, D$4, Log!$A:$A, "Daily", Log!$B:$B, "n/a"),
        _xlpm.we_camera_on_date, IFERROR(AVERAGEIFS(Log!$F:$F, Log!$D:$D,D$4, Log!$C:$C, $A221, Log!$A:$A, "Daily", Log!$B:$B, "n/a"), 0),
        _xlpm.ie_camera_on_date, IFERROR(AVERAGEIFS(Log!$G:$G, Log!$D:$D,D$4,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1" s="68" t="str">
        <f>IFERROR(
    _xlfn.LET(
        _xlpm.is_data_present, $A221&lt;&gt;0,
        _xlpm.is_camera_present, COUNTIFS(Log!$C:$C, $A221, Log!$D:$D, E$4, Log!$A:$A, "Daily", Log!$B:$B, "n/a"),
        _xlpm.we_camera_on_date, IFERROR(AVERAGEIFS(Log!$F:$F, Log!$D:$D,E$4, Log!$C:$C, $A221, Log!$A:$A, "Daily", Log!$B:$B, "n/a"), 0),
        _xlpm.ie_camera_on_date, IFERROR(AVERAGEIFS(Log!$G:$G, Log!$D:$D,E$4,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1" s="68" t="str">
        <f>IFERROR(
    _xlfn.LET(
        _xlpm.is_data_present, $A221&lt;&gt;0,
        _xlpm.is_camera_present, COUNTIFS(Log!$C:$C, $A221, Log!$D:$D, F$4, Log!$A:$A, "Daily", Log!$B:$B, "n/a"),
        _xlpm.we_camera_on_date, IFERROR(AVERAGEIFS(Log!$F:$F, Log!$D:$D,F$4, Log!$C:$C, $A221, Log!$A:$A, "Daily", Log!$B:$B, "n/a"), 0),
        _xlpm.ie_camera_on_date, IFERROR(AVERAGEIFS(Log!$G:$G, Log!$D:$D,F$4,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1" s="68" t="str">
        <f>IFERROR(
    _xlfn.LET(
        _xlpm.is_data_present, $A221&lt;&gt;0,
        _xlpm.is_camera_present, COUNTIFS(Log!$C:$C, $A221, Log!$D:$D, G$4, Log!$A:$A, "Daily", Log!$B:$B, "n/a"),
        _xlpm.we_camera_on_date, IFERROR(AVERAGEIFS(Log!$F:$F, Log!$D:$D,G$4, Log!$C:$C, $A221, Log!$A:$A, "Daily", Log!$B:$B, "n/a"), 0),
        _xlpm.ie_camera_on_date, IFERROR(AVERAGEIFS(Log!$G:$G, Log!$D:$D,G$4,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1" s="68" t="str">
        <f>IFERROR(
    _xlfn.LET(
        _xlpm.is_data_present, $A221&lt;&gt;0,
        _xlpm.is_camera_present, COUNTIFS(Log!$C:$C, $A221, Log!$D:$D, H$4, Log!$A:$A, "Daily", Log!$B:$B, "n/a"),
        _xlpm.we_camera_on_date, IFERROR(AVERAGEIFS(Log!$F:$F, Log!$D:$D,H$4, Log!$C:$C, $A221, Log!$A:$A, "Daily", Log!$B:$B, "n/a"), 0),
        _xlpm.ie_camera_on_date, IFERROR(AVERAGEIFS(Log!$G:$G, Log!$D:$D,H$4,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1" s="68" t="str">
        <f>IFERROR(
    _xlfn.LET(
        _xlpm.is_data_present, $A221&lt;&gt;0,
        _xlpm.is_camera_present, COUNTIFS(Log!$C:$C, $A221, Log!$D:$D, I$4, Log!$A:$A, "Daily", Log!$B:$B, "n/a"),
        _xlpm.we_camera_on_date, IFERROR(AVERAGEIFS(Log!$F:$F, Log!$D:$D,I$4, Log!$C:$C, $A221, Log!$A:$A, "Daily", Log!$B:$B, "n/a"), 0),
        _xlpm.ie_camera_on_date, IFERROR(AVERAGEIFS(Log!$G:$G, Log!$D:$D,I$4,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1" s="68" t="str">
        <f>IFERROR(
    _xlfn.LET(
        _xlpm.is_data_present, $A221&lt;&gt;0,
        _xlpm.is_camera_present, COUNTIFS(Log!$C:$C, $A221, Log!$D:$D, J$4, Log!$A:$A, "Daily", Log!$B:$B, "n/a"),
        _xlpm.we_camera_on_date, IFERROR(AVERAGEIFS(Log!$F:$F, Log!$D:$D,J$4, Log!$C:$C, $A221, Log!$A:$A, "Daily", Log!$B:$B, "n/a"), 0),
        _xlpm.ie_camera_on_date, IFERROR(AVERAGEIFS(Log!$G:$G, Log!$D:$D,J$4,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1" s="68" t="str">
        <f>IFERROR(
    _xlfn.LET(
        _xlpm.is_data_present, $A221&lt;&gt;0,
        _xlpm.is_camera_present, COUNTIFS(Log!$C:$C, $A221, Log!$D:$D, K$4, Log!$A:$A, "Daily", Log!$B:$B, "n/a"),
        _xlpm.we_camera_on_date, IFERROR(AVERAGEIFS(Log!$F:$F, Log!$D:$D,K$4, Log!$C:$C, $A221, Log!$A:$A, "Daily", Log!$B:$B, "n/a"), 0),
        _xlpm.ie_camera_on_date, IFERROR(AVERAGEIFS(Log!$G:$G, Log!$D:$D,K$4,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1" s="68" t="str">
        <f>IFERROR(
    _xlfn.LET(
        _xlpm.is_data_present, $A221&lt;&gt;0,
        _xlpm.is_camera_present, COUNTIFS(Log!$C:$C, $A221, Log!$D:$D, L$4, Log!$A:$A, "Daily", Log!$B:$B, "n/a"),
        _xlpm.we_camera_on_date, IFERROR(AVERAGEIFS(Log!$F:$F, Log!$D:$D,L$4, Log!$C:$C, $A221, Log!$A:$A, "Daily", Log!$B:$B, "n/a"), 0),
        _xlpm.ie_camera_on_date, IFERROR(AVERAGEIFS(Log!$G:$G, Log!$D:$D,L$4,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1" s="68" t="str">
        <f>IFERROR(
    _xlfn.LET(
        _xlpm.is_data_present, $A221&lt;&gt;0,
        _xlpm.is_camera_present, COUNTIFS(Log!$C:$C, $A221, Log!$D:$D, M$4, Log!$A:$A, "Daily", Log!$B:$B, "n/a"),
        _xlpm.we_camera_on_date, IFERROR(AVERAGEIFS(Log!$F:$F, Log!$D:$D,M$4, Log!$C:$C, $A221, Log!$A:$A, "Daily", Log!$B:$B, "n/a"), 0),
        _xlpm.ie_camera_on_date, IFERROR(AVERAGEIFS(Log!$G:$G, Log!$D:$D,M$4,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1" s="68" t="str">
        <f>IFERROR(
    _xlfn.LET(
        _xlpm.is_data_present, $A221&lt;&gt;0,
        _xlpm.is_camera_present, COUNTIFS(Log!$C:$C, $A221, Log!$D:$D, N$4, Log!$A:$A, "Daily", Log!$B:$B, "n/a"),
        _xlpm.we_camera_on_date, IFERROR(AVERAGEIFS(Log!$F:$F, Log!$D:$D,N$4, Log!$C:$C, $A221, Log!$A:$A, "Daily", Log!$B:$B, "n/a"), 0),
        _xlpm.ie_camera_on_date, IFERROR(AVERAGEIFS(Log!$G:$G, Log!$D:$D,N$4,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1" s="68" t="str">
        <f>IFERROR(
    _xlfn.LET(
        _xlpm.is_data_present, $A221&lt;&gt;0,
        _xlpm.is_camera_present, COUNTIFS(Log!$C:$C, $A221, Log!$D:$D, O$4, Log!$A:$A, "Daily", Log!$B:$B, "n/a"),
        _xlpm.we_camera_on_date, IFERROR(AVERAGEIFS(Log!$F:$F, Log!$D:$D,O$4, Log!$C:$C, $A221, Log!$A:$A, "Daily", Log!$B:$B, "n/a"), 0),
        _xlpm.ie_camera_on_date, IFERROR(AVERAGEIFS(Log!$G:$G, Log!$D:$D,O$4,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1" s="68" t="str">
        <f>IFERROR(
    _xlfn.LET(
        _xlpm.is_data_present, $A221&lt;&gt;0,
        _xlpm.is_camera_present, COUNTIFS(Log!$C:$C, $A221, Log!$D:$D, P$4, Log!$A:$A, "Daily", Log!$B:$B, "n/a"),
        _xlpm.we_camera_on_date, IFERROR(AVERAGEIFS(Log!$F:$F, Log!$D:$D,P$4, Log!$C:$C, $A221, Log!$A:$A, "Daily", Log!$B:$B, "n/a"), 0),
        _xlpm.ie_camera_on_date, IFERROR(AVERAGEIFS(Log!$G:$G, Log!$D:$D,P$4,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1" s="68" t="str">
        <f>IFERROR(
    _xlfn.LET(
        _xlpm.is_data_present, $A221&lt;&gt;0,
        _xlpm.is_camera_present, COUNTIFS(Log!$C:$C, $A221, Log!$D:$D, Q$4, Log!$A:$A, "Daily", Log!$B:$B, "n/a"),
        _xlpm.we_camera_on_date, IFERROR(AVERAGEIFS(Log!$F:$F, Log!$D:$D,Q$4, Log!$C:$C, $A221, Log!$A:$A, "Daily", Log!$B:$B, "n/a"), 0),
        _xlpm.ie_camera_on_date, IFERROR(AVERAGEIFS(Log!$G:$G, Log!$D:$D,Q$4,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1" s="68" t="str">
        <f>IFERROR(
    _xlfn.LET(
        _xlpm.is_data_present, $A221&lt;&gt;0,
        _xlpm.is_camera_present, COUNTIFS(Log!$C:$C, $A221, Log!$D:$D, R$4, Log!$A:$A, "Daily", Log!$B:$B, "n/a"),
        _xlpm.we_camera_on_date, IFERROR(AVERAGEIFS(Log!$F:$F, Log!$D:$D,R$4, Log!$C:$C, $A221, Log!$A:$A, "Daily", Log!$B:$B, "n/a"), 0),
        _xlpm.ie_camera_on_date, IFERROR(AVERAGEIFS(Log!$G:$G, Log!$D:$D,R$4,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1" s="68" t="str">
        <f>IFERROR(
    _xlfn.LET(
        _xlpm.is_data_present, $A221&lt;&gt;0,
        _xlpm.is_camera_present, COUNTIFS(Log!$C:$C, $A221, Log!$D:$D, S$4, Log!$A:$A, "Daily", Log!$B:$B, "n/a"),
        _xlpm.we_camera_on_date, IFERROR(AVERAGEIFS(Log!$F:$F, Log!$D:$D,S$4, Log!$C:$C, $A221, Log!$A:$A, "Daily", Log!$B:$B, "n/a"), 0),
        _xlpm.ie_camera_on_date, IFERROR(AVERAGEIFS(Log!$G:$G, Log!$D:$D,S$4, Log!$C:$C, $A221, Log!$A:$A, "Daily", Log!$B:$B, "n/a"), 0),
        _xlpm.we_avg, IFERROR(AVERAGEIFS(Log!$F:$F,Log!$C:$C,$A221, Log!$A:$A, "Daily", Log!$B:$B, "n/a"),0),
        _xlpm.ie_avg, IFERROR(AVERAGEIFS(Log!$G:$G,Log!$C:$C,$A221,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2" spans="2:19" x14ac:dyDescent="0.3">
      <c r="B222" s="68" t="str">
        <f>IFERROR(
    _xlfn.LET(
        _xlpm.is_data_present, $A222&lt;&gt;0,
        _xlpm.is_camera_present, COUNTIFS(Log!$C:$C, $A222, Log!$D:$D, B$4, Log!$A:$A, "Daily", Log!$B:$B, "n/a"),
        _xlpm.we_camera_on_date, IFERROR(AVERAGEIFS(Log!$F:$F, Log!$D:$D,B$4, Log!$C:$C, $A222, Log!$A:$A, "Daily", Log!$B:$B, "n/a"), 0),
        _xlpm.ie_camera_on_date, IFERROR(AVERAGEIFS(Log!$G:$G, Log!$D:$D,B$4,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2" s="68" t="str">
        <f>IFERROR(
    _xlfn.LET(
        _xlpm.is_data_present, $A222&lt;&gt;0,
        _xlpm.is_camera_present, COUNTIFS(Log!$C:$C, $A222, Log!$D:$D, C$4, Log!$A:$A, "Daily", Log!$B:$B, "n/a"),
        _xlpm.we_camera_on_date, IFERROR(AVERAGEIFS(Log!$F:$F, Log!$D:$D,C$4, Log!$C:$C, $A222, Log!$A:$A, "Daily", Log!$B:$B, "n/a"), 0),
        _xlpm.ie_camera_on_date, IFERROR(AVERAGEIFS(Log!$G:$G, Log!$D:$D,C$4,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2" s="68" t="str">
        <f>IFERROR(
    _xlfn.LET(
        _xlpm.is_data_present, $A222&lt;&gt;0,
        _xlpm.is_camera_present, COUNTIFS(Log!$C:$C, $A222, Log!$D:$D, D$4, Log!$A:$A, "Daily", Log!$B:$B, "n/a"),
        _xlpm.we_camera_on_date, IFERROR(AVERAGEIFS(Log!$F:$F, Log!$D:$D,D$4, Log!$C:$C, $A222, Log!$A:$A, "Daily", Log!$B:$B, "n/a"), 0),
        _xlpm.ie_camera_on_date, IFERROR(AVERAGEIFS(Log!$G:$G, Log!$D:$D,D$4,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2" s="68" t="str">
        <f>IFERROR(
    _xlfn.LET(
        _xlpm.is_data_present, $A222&lt;&gt;0,
        _xlpm.is_camera_present, COUNTIFS(Log!$C:$C, $A222, Log!$D:$D, E$4, Log!$A:$A, "Daily", Log!$B:$B, "n/a"),
        _xlpm.we_camera_on_date, IFERROR(AVERAGEIFS(Log!$F:$F, Log!$D:$D,E$4, Log!$C:$C, $A222, Log!$A:$A, "Daily", Log!$B:$B, "n/a"), 0),
        _xlpm.ie_camera_on_date, IFERROR(AVERAGEIFS(Log!$G:$G, Log!$D:$D,E$4,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2" s="68" t="str">
        <f>IFERROR(
    _xlfn.LET(
        _xlpm.is_data_present, $A222&lt;&gt;0,
        _xlpm.is_camera_present, COUNTIFS(Log!$C:$C, $A222, Log!$D:$D, F$4, Log!$A:$A, "Daily", Log!$B:$B, "n/a"),
        _xlpm.we_camera_on_date, IFERROR(AVERAGEIFS(Log!$F:$F, Log!$D:$D,F$4, Log!$C:$C, $A222, Log!$A:$A, "Daily", Log!$B:$B, "n/a"), 0),
        _xlpm.ie_camera_on_date, IFERROR(AVERAGEIFS(Log!$G:$G, Log!$D:$D,F$4,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2" s="68" t="str">
        <f>IFERROR(
    _xlfn.LET(
        _xlpm.is_data_present, $A222&lt;&gt;0,
        _xlpm.is_camera_present, COUNTIFS(Log!$C:$C, $A222, Log!$D:$D, G$4, Log!$A:$A, "Daily", Log!$B:$B, "n/a"),
        _xlpm.we_camera_on_date, IFERROR(AVERAGEIFS(Log!$F:$F, Log!$D:$D,G$4, Log!$C:$C, $A222, Log!$A:$A, "Daily", Log!$B:$B, "n/a"), 0),
        _xlpm.ie_camera_on_date, IFERROR(AVERAGEIFS(Log!$G:$G, Log!$D:$D,G$4,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2" s="68" t="str">
        <f>IFERROR(
    _xlfn.LET(
        _xlpm.is_data_present, $A222&lt;&gt;0,
        _xlpm.is_camera_present, COUNTIFS(Log!$C:$C, $A222, Log!$D:$D, H$4, Log!$A:$A, "Daily", Log!$B:$B, "n/a"),
        _xlpm.we_camera_on_date, IFERROR(AVERAGEIFS(Log!$F:$F, Log!$D:$D,H$4, Log!$C:$C, $A222, Log!$A:$A, "Daily", Log!$B:$B, "n/a"), 0),
        _xlpm.ie_camera_on_date, IFERROR(AVERAGEIFS(Log!$G:$G, Log!$D:$D,H$4,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2" s="68" t="str">
        <f>IFERROR(
    _xlfn.LET(
        _xlpm.is_data_present, $A222&lt;&gt;0,
        _xlpm.is_camera_present, COUNTIFS(Log!$C:$C, $A222, Log!$D:$D, I$4, Log!$A:$A, "Daily", Log!$B:$B, "n/a"),
        _xlpm.we_camera_on_date, IFERROR(AVERAGEIFS(Log!$F:$F, Log!$D:$D,I$4, Log!$C:$C, $A222, Log!$A:$A, "Daily", Log!$B:$B, "n/a"), 0),
        _xlpm.ie_camera_on_date, IFERROR(AVERAGEIFS(Log!$G:$G, Log!$D:$D,I$4,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2" s="68" t="str">
        <f>IFERROR(
    _xlfn.LET(
        _xlpm.is_data_present, $A222&lt;&gt;0,
        _xlpm.is_camera_present, COUNTIFS(Log!$C:$C, $A222, Log!$D:$D, J$4, Log!$A:$A, "Daily", Log!$B:$B, "n/a"),
        _xlpm.we_camera_on_date, IFERROR(AVERAGEIFS(Log!$F:$F, Log!$D:$D,J$4, Log!$C:$C, $A222, Log!$A:$A, "Daily", Log!$B:$B, "n/a"), 0),
        _xlpm.ie_camera_on_date, IFERROR(AVERAGEIFS(Log!$G:$G, Log!$D:$D,J$4,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2" s="68" t="str">
        <f>IFERROR(
    _xlfn.LET(
        _xlpm.is_data_present, $A222&lt;&gt;0,
        _xlpm.is_camera_present, COUNTIFS(Log!$C:$C, $A222, Log!$D:$D, K$4, Log!$A:$A, "Daily", Log!$B:$B, "n/a"),
        _xlpm.we_camera_on_date, IFERROR(AVERAGEIFS(Log!$F:$F, Log!$D:$D,K$4, Log!$C:$C, $A222, Log!$A:$A, "Daily", Log!$B:$B, "n/a"), 0),
        _xlpm.ie_camera_on_date, IFERROR(AVERAGEIFS(Log!$G:$G, Log!$D:$D,K$4,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2" s="68" t="str">
        <f>IFERROR(
    _xlfn.LET(
        _xlpm.is_data_present, $A222&lt;&gt;0,
        _xlpm.is_camera_present, COUNTIFS(Log!$C:$C, $A222, Log!$D:$D, L$4, Log!$A:$A, "Daily", Log!$B:$B, "n/a"),
        _xlpm.we_camera_on_date, IFERROR(AVERAGEIFS(Log!$F:$F, Log!$D:$D,L$4, Log!$C:$C, $A222, Log!$A:$A, "Daily", Log!$B:$B, "n/a"), 0),
        _xlpm.ie_camera_on_date, IFERROR(AVERAGEIFS(Log!$G:$G, Log!$D:$D,L$4,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2" s="68" t="str">
        <f>IFERROR(
    _xlfn.LET(
        _xlpm.is_data_present, $A222&lt;&gt;0,
        _xlpm.is_camera_present, COUNTIFS(Log!$C:$C, $A222, Log!$D:$D, M$4, Log!$A:$A, "Daily", Log!$B:$B, "n/a"),
        _xlpm.we_camera_on_date, IFERROR(AVERAGEIFS(Log!$F:$F, Log!$D:$D,M$4, Log!$C:$C, $A222, Log!$A:$A, "Daily", Log!$B:$B, "n/a"), 0),
        _xlpm.ie_camera_on_date, IFERROR(AVERAGEIFS(Log!$G:$G, Log!$D:$D,M$4,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2" s="68" t="str">
        <f>IFERROR(
    _xlfn.LET(
        _xlpm.is_data_present, $A222&lt;&gt;0,
        _xlpm.is_camera_present, COUNTIFS(Log!$C:$C, $A222, Log!$D:$D, N$4, Log!$A:$A, "Daily", Log!$B:$B, "n/a"),
        _xlpm.we_camera_on_date, IFERROR(AVERAGEIFS(Log!$F:$F, Log!$D:$D,N$4, Log!$C:$C, $A222, Log!$A:$A, "Daily", Log!$B:$B, "n/a"), 0),
        _xlpm.ie_camera_on_date, IFERROR(AVERAGEIFS(Log!$G:$G, Log!$D:$D,N$4,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2" s="68" t="str">
        <f>IFERROR(
    _xlfn.LET(
        _xlpm.is_data_present, $A222&lt;&gt;0,
        _xlpm.is_camera_present, COUNTIFS(Log!$C:$C, $A222, Log!$D:$D, O$4, Log!$A:$A, "Daily", Log!$B:$B, "n/a"),
        _xlpm.we_camera_on_date, IFERROR(AVERAGEIFS(Log!$F:$F, Log!$D:$D,O$4, Log!$C:$C, $A222, Log!$A:$A, "Daily", Log!$B:$B, "n/a"), 0),
        _xlpm.ie_camera_on_date, IFERROR(AVERAGEIFS(Log!$G:$G, Log!$D:$D,O$4,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2" s="68" t="str">
        <f>IFERROR(
    _xlfn.LET(
        _xlpm.is_data_present, $A222&lt;&gt;0,
        _xlpm.is_camera_present, COUNTIFS(Log!$C:$C, $A222, Log!$D:$D, P$4, Log!$A:$A, "Daily", Log!$B:$B, "n/a"),
        _xlpm.we_camera_on_date, IFERROR(AVERAGEIFS(Log!$F:$F, Log!$D:$D,P$4, Log!$C:$C, $A222, Log!$A:$A, "Daily", Log!$B:$B, "n/a"), 0),
        _xlpm.ie_camera_on_date, IFERROR(AVERAGEIFS(Log!$G:$G, Log!$D:$D,P$4,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2" s="68" t="str">
        <f>IFERROR(
    _xlfn.LET(
        _xlpm.is_data_present, $A222&lt;&gt;0,
        _xlpm.is_camera_present, COUNTIFS(Log!$C:$C, $A222, Log!$D:$D, Q$4, Log!$A:$A, "Daily", Log!$B:$B, "n/a"),
        _xlpm.we_camera_on_date, IFERROR(AVERAGEIFS(Log!$F:$F, Log!$D:$D,Q$4, Log!$C:$C, $A222, Log!$A:$A, "Daily", Log!$B:$B, "n/a"), 0),
        _xlpm.ie_camera_on_date, IFERROR(AVERAGEIFS(Log!$G:$G, Log!$D:$D,Q$4,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2" s="68" t="str">
        <f>IFERROR(
    _xlfn.LET(
        _xlpm.is_data_present, $A222&lt;&gt;0,
        _xlpm.is_camera_present, COUNTIFS(Log!$C:$C, $A222, Log!$D:$D, R$4, Log!$A:$A, "Daily", Log!$B:$B, "n/a"),
        _xlpm.we_camera_on_date, IFERROR(AVERAGEIFS(Log!$F:$F, Log!$D:$D,R$4, Log!$C:$C, $A222, Log!$A:$A, "Daily", Log!$B:$B, "n/a"), 0),
        _xlpm.ie_camera_on_date, IFERROR(AVERAGEIFS(Log!$G:$G, Log!$D:$D,R$4,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2" s="68" t="str">
        <f>IFERROR(
    _xlfn.LET(
        _xlpm.is_data_present, $A222&lt;&gt;0,
        _xlpm.is_camera_present, COUNTIFS(Log!$C:$C, $A222, Log!$D:$D, S$4, Log!$A:$A, "Daily", Log!$B:$B, "n/a"),
        _xlpm.we_camera_on_date, IFERROR(AVERAGEIFS(Log!$F:$F, Log!$D:$D,S$4, Log!$C:$C, $A222, Log!$A:$A, "Daily", Log!$B:$B, "n/a"), 0),
        _xlpm.ie_camera_on_date, IFERROR(AVERAGEIFS(Log!$G:$G, Log!$D:$D,S$4, Log!$C:$C, $A222, Log!$A:$A, "Daily", Log!$B:$B, "n/a"), 0),
        _xlpm.we_avg, IFERROR(AVERAGEIFS(Log!$F:$F,Log!$C:$C,$A222, Log!$A:$A, "Daily", Log!$B:$B, "n/a"),0),
        _xlpm.ie_avg, IFERROR(AVERAGEIFS(Log!$G:$G,Log!$C:$C,$A222,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3" spans="2:19" x14ac:dyDescent="0.3">
      <c r="B223" s="68" t="str">
        <f>IFERROR(
    _xlfn.LET(
        _xlpm.is_data_present, $A223&lt;&gt;0,
        _xlpm.is_camera_present, COUNTIFS(Log!$C:$C, $A223, Log!$D:$D, B$4, Log!$A:$A, "Daily", Log!$B:$B, "n/a"),
        _xlpm.we_camera_on_date, IFERROR(AVERAGEIFS(Log!$F:$F, Log!$D:$D,B$4, Log!$C:$C, $A223, Log!$A:$A, "Daily", Log!$B:$B, "n/a"), 0),
        _xlpm.ie_camera_on_date, IFERROR(AVERAGEIFS(Log!$G:$G, Log!$D:$D,B$4,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3" s="68" t="str">
        <f>IFERROR(
    _xlfn.LET(
        _xlpm.is_data_present, $A223&lt;&gt;0,
        _xlpm.is_camera_present, COUNTIFS(Log!$C:$C, $A223, Log!$D:$D, C$4, Log!$A:$A, "Daily", Log!$B:$B, "n/a"),
        _xlpm.we_camera_on_date, IFERROR(AVERAGEIFS(Log!$F:$F, Log!$D:$D,C$4, Log!$C:$C, $A223, Log!$A:$A, "Daily", Log!$B:$B, "n/a"), 0),
        _xlpm.ie_camera_on_date, IFERROR(AVERAGEIFS(Log!$G:$G, Log!$D:$D,C$4,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3" s="68" t="str">
        <f>IFERROR(
    _xlfn.LET(
        _xlpm.is_data_present, $A223&lt;&gt;0,
        _xlpm.is_camera_present, COUNTIFS(Log!$C:$C, $A223, Log!$D:$D, D$4, Log!$A:$A, "Daily", Log!$B:$B, "n/a"),
        _xlpm.we_camera_on_date, IFERROR(AVERAGEIFS(Log!$F:$F, Log!$D:$D,D$4, Log!$C:$C, $A223, Log!$A:$A, "Daily", Log!$B:$B, "n/a"), 0),
        _xlpm.ie_camera_on_date, IFERROR(AVERAGEIFS(Log!$G:$G, Log!$D:$D,D$4,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3" s="68" t="str">
        <f>IFERROR(
    _xlfn.LET(
        _xlpm.is_data_present, $A223&lt;&gt;0,
        _xlpm.is_camera_present, COUNTIFS(Log!$C:$C, $A223, Log!$D:$D, E$4, Log!$A:$A, "Daily", Log!$B:$B, "n/a"),
        _xlpm.we_camera_on_date, IFERROR(AVERAGEIFS(Log!$F:$F, Log!$D:$D,E$4, Log!$C:$C, $A223, Log!$A:$A, "Daily", Log!$B:$B, "n/a"), 0),
        _xlpm.ie_camera_on_date, IFERROR(AVERAGEIFS(Log!$G:$G, Log!$D:$D,E$4,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3" s="68" t="str">
        <f>IFERROR(
    _xlfn.LET(
        _xlpm.is_data_present, $A223&lt;&gt;0,
        _xlpm.is_camera_present, COUNTIFS(Log!$C:$C, $A223, Log!$D:$D, F$4, Log!$A:$A, "Daily", Log!$B:$B, "n/a"),
        _xlpm.we_camera_on_date, IFERROR(AVERAGEIFS(Log!$F:$F, Log!$D:$D,F$4, Log!$C:$C, $A223, Log!$A:$A, "Daily", Log!$B:$B, "n/a"), 0),
        _xlpm.ie_camera_on_date, IFERROR(AVERAGEIFS(Log!$G:$G, Log!$D:$D,F$4,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3" s="68" t="str">
        <f>IFERROR(
    _xlfn.LET(
        _xlpm.is_data_present, $A223&lt;&gt;0,
        _xlpm.is_camera_present, COUNTIFS(Log!$C:$C, $A223, Log!$D:$D, G$4, Log!$A:$A, "Daily", Log!$B:$B, "n/a"),
        _xlpm.we_camera_on_date, IFERROR(AVERAGEIFS(Log!$F:$F, Log!$D:$D,G$4, Log!$C:$C, $A223, Log!$A:$A, "Daily", Log!$B:$B, "n/a"), 0),
        _xlpm.ie_camera_on_date, IFERROR(AVERAGEIFS(Log!$G:$G, Log!$D:$D,G$4,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3" s="68" t="str">
        <f>IFERROR(
    _xlfn.LET(
        _xlpm.is_data_present, $A223&lt;&gt;0,
        _xlpm.is_camera_present, COUNTIFS(Log!$C:$C, $A223, Log!$D:$D, H$4, Log!$A:$A, "Daily", Log!$B:$B, "n/a"),
        _xlpm.we_camera_on_date, IFERROR(AVERAGEIFS(Log!$F:$F, Log!$D:$D,H$4, Log!$C:$C, $A223, Log!$A:$A, "Daily", Log!$B:$B, "n/a"), 0),
        _xlpm.ie_camera_on_date, IFERROR(AVERAGEIFS(Log!$G:$G, Log!$D:$D,H$4,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3" s="68" t="str">
        <f>IFERROR(
    _xlfn.LET(
        _xlpm.is_data_present, $A223&lt;&gt;0,
        _xlpm.is_camera_present, COUNTIFS(Log!$C:$C, $A223, Log!$D:$D, I$4, Log!$A:$A, "Daily", Log!$B:$B, "n/a"),
        _xlpm.we_camera_on_date, IFERROR(AVERAGEIFS(Log!$F:$F, Log!$D:$D,I$4, Log!$C:$C, $A223, Log!$A:$A, "Daily", Log!$B:$B, "n/a"), 0),
        _xlpm.ie_camera_on_date, IFERROR(AVERAGEIFS(Log!$G:$G, Log!$D:$D,I$4,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3" s="68" t="str">
        <f>IFERROR(
    _xlfn.LET(
        _xlpm.is_data_present, $A223&lt;&gt;0,
        _xlpm.is_camera_present, COUNTIFS(Log!$C:$C, $A223, Log!$D:$D, J$4, Log!$A:$A, "Daily", Log!$B:$B, "n/a"),
        _xlpm.we_camera_on_date, IFERROR(AVERAGEIFS(Log!$F:$F, Log!$D:$D,J$4, Log!$C:$C, $A223, Log!$A:$A, "Daily", Log!$B:$B, "n/a"), 0),
        _xlpm.ie_camera_on_date, IFERROR(AVERAGEIFS(Log!$G:$G, Log!$D:$D,J$4,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3" s="68" t="str">
        <f>IFERROR(
    _xlfn.LET(
        _xlpm.is_data_present, $A223&lt;&gt;0,
        _xlpm.is_camera_present, COUNTIFS(Log!$C:$C, $A223, Log!$D:$D, K$4, Log!$A:$A, "Daily", Log!$B:$B, "n/a"),
        _xlpm.we_camera_on_date, IFERROR(AVERAGEIFS(Log!$F:$F, Log!$D:$D,K$4, Log!$C:$C, $A223, Log!$A:$A, "Daily", Log!$B:$B, "n/a"), 0),
        _xlpm.ie_camera_on_date, IFERROR(AVERAGEIFS(Log!$G:$G, Log!$D:$D,K$4,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3" s="68" t="str">
        <f>IFERROR(
    _xlfn.LET(
        _xlpm.is_data_present, $A223&lt;&gt;0,
        _xlpm.is_camera_present, COUNTIFS(Log!$C:$C, $A223, Log!$D:$D, L$4, Log!$A:$A, "Daily", Log!$B:$B, "n/a"),
        _xlpm.we_camera_on_date, IFERROR(AVERAGEIFS(Log!$F:$F, Log!$D:$D,L$4, Log!$C:$C, $A223, Log!$A:$A, "Daily", Log!$B:$B, "n/a"), 0),
        _xlpm.ie_camera_on_date, IFERROR(AVERAGEIFS(Log!$G:$G, Log!$D:$D,L$4,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3" s="68" t="str">
        <f>IFERROR(
    _xlfn.LET(
        _xlpm.is_data_present, $A223&lt;&gt;0,
        _xlpm.is_camera_present, COUNTIFS(Log!$C:$C, $A223, Log!$D:$D, M$4, Log!$A:$A, "Daily", Log!$B:$B, "n/a"),
        _xlpm.we_camera_on_date, IFERROR(AVERAGEIFS(Log!$F:$F, Log!$D:$D,M$4, Log!$C:$C, $A223, Log!$A:$A, "Daily", Log!$B:$B, "n/a"), 0),
        _xlpm.ie_camera_on_date, IFERROR(AVERAGEIFS(Log!$G:$G, Log!$D:$D,M$4,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3" s="68" t="str">
        <f>IFERROR(
    _xlfn.LET(
        _xlpm.is_data_present, $A223&lt;&gt;0,
        _xlpm.is_camera_present, COUNTIFS(Log!$C:$C, $A223, Log!$D:$D, N$4, Log!$A:$A, "Daily", Log!$B:$B, "n/a"),
        _xlpm.we_camera_on_date, IFERROR(AVERAGEIFS(Log!$F:$F, Log!$D:$D,N$4, Log!$C:$C, $A223, Log!$A:$A, "Daily", Log!$B:$B, "n/a"), 0),
        _xlpm.ie_camera_on_date, IFERROR(AVERAGEIFS(Log!$G:$G, Log!$D:$D,N$4,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3" s="68" t="str">
        <f>IFERROR(
    _xlfn.LET(
        _xlpm.is_data_present, $A223&lt;&gt;0,
        _xlpm.is_camera_present, COUNTIFS(Log!$C:$C, $A223, Log!$D:$D, O$4, Log!$A:$A, "Daily", Log!$B:$B, "n/a"),
        _xlpm.we_camera_on_date, IFERROR(AVERAGEIFS(Log!$F:$F, Log!$D:$D,O$4, Log!$C:$C, $A223, Log!$A:$A, "Daily", Log!$B:$B, "n/a"), 0),
        _xlpm.ie_camera_on_date, IFERROR(AVERAGEIFS(Log!$G:$G, Log!$D:$D,O$4,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3" s="68" t="str">
        <f>IFERROR(
    _xlfn.LET(
        _xlpm.is_data_present, $A223&lt;&gt;0,
        _xlpm.is_camera_present, COUNTIFS(Log!$C:$C, $A223, Log!$D:$D, P$4, Log!$A:$A, "Daily", Log!$B:$B, "n/a"),
        _xlpm.we_camera_on_date, IFERROR(AVERAGEIFS(Log!$F:$F, Log!$D:$D,P$4, Log!$C:$C, $A223, Log!$A:$A, "Daily", Log!$B:$B, "n/a"), 0),
        _xlpm.ie_camera_on_date, IFERROR(AVERAGEIFS(Log!$G:$G, Log!$D:$D,P$4,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3" s="68" t="str">
        <f>IFERROR(
    _xlfn.LET(
        _xlpm.is_data_present, $A223&lt;&gt;0,
        _xlpm.is_camera_present, COUNTIFS(Log!$C:$C, $A223, Log!$D:$D, Q$4, Log!$A:$A, "Daily", Log!$B:$B, "n/a"),
        _xlpm.we_camera_on_date, IFERROR(AVERAGEIFS(Log!$F:$F, Log!$D:$D,Q$4, Log!$C:$C, $A223, Log!$A:$A, "Daily", Log!$B:$B, "n/a"), 0),
        _xlpm.ie_camera_on_date, IFERROR(AVERAGEIFS(Log!$G:$G, Log!$D:$D,Q$4,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3" s="68" t="str">
        <f>IFERROR(
    _xlfn.LET(
        _xlpm.is_data_present, $A223&lt;&gt;0,
        _xlpm.is_camera_present, COUNTIFS(Log!$C:$C, $A223, Log!$D:$D, R$4, Log!$A:$A, "Daily", Log!$B:$B, "n/a"),
        _xlpm.we_camera_on_date, IFERROR(AVERAGEIFS(Log!$F:$F, Log!$D:$D,R$4, Log!$C:$C, $A223, Log!$A:$A, "Daily", Log!$B:$B, "n/a"), 0),
        _xlpm.ie_camera_on_date, IFERROR(AVERAGEIFS(Log!$G:$G, Log!$D:$D,R$4,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3" s="68" t="str">
        <f>IFERROR(
    _xlfn.LET(
        _xlpm.is_data_present, $A223&lt;&gt;0,
        _xlpm.is_camera_present, COUNTIFS(Log!$C:$C, $A223, Log!$D:$D, S$4, Log!$A:$A, "Daily", Log!$B:$B, "n/a"),
        _xlpm.we_camera_on_date, IFERROR(AVERAGEIFS(Log!$F:$F, Log!$D:$D,S$4, Log!$C:$C, $A223, Log!$A:$A, "Daily", Log!$B:$B, "n/a"), 0),
        _xlpm.ie_camera_on_date, IFERROR(AVERAGEIFS(Log!$G:$G, Log!$D:$D,S$4, Log!$C:$C, $A223, Log!$A:$A, "Daily", Log!$B:$B, "n/a"), 0),
        _xlpm.we_avg, IFERROR(AVERAGEIFS(Log!$F:$F,Log!$C:$C,$A223, Log!$A:$A, "Daily", Log!$B:$B, "n/a"),0),
        _xlpm.ie_avg, IFERROR(AVERAGEIFS(Log!$G:$G,Log!$C:$C,$A223,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4" spans="2:19" x14ac:dyDescent="0.3">
      <c r="B224" s="68" t="str">
        <f>IFERROR(
    _xlfn.LET(
        _xlpm.is_data_present, $A224&lt;&gt;0,
        _xlpm.is_camera_present, COUNTIFS(Log!$C:$C, $A224, Log!$D:$D, B$4, Log!$A:$A, "Daily", Log!$B:$B, "n/a"),
        _xlpm.we_camera_on_date, IFERROR(AVERAGEIFS(Log!$F:$F, Log!$D:$D,B$4, Log!$C:$C, $A224, Log!$A:$A, "Daily", Log!$B:$B, "n/a"), 0),
        _xlpm.ie_camera_on_date, IFERROR(AVERAGEIFS(Log!$G:$G, Log!$D:$D,B$4,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4" s="68" t="str">
        <f>IFERROR(
    _xlfn.LET(
        _xlpm.is_data_present, $A224&lt;&gt;0,
        _xlpm.is_camera_present, COUNTIFS(Log!$C:$C, $A224, Log!$D:$D, C$4, Log!$A:$A, "Daily", Log!$B:$B, "n/a"),
        _xlpm.we_camera_on_date, IFERROR(AVERAGEIFS(Log!$F:$F, Log!$D:$D,C$4, Log!$C:$C, $A224, Log!$A:$A, "Daily", Log!$B:$B, "n/a"), 0),
        _xlpm.ie_camera_on_date, IFERROR(AVERAGEIFS(Log!$G:$G, Log!$D:$D,C$4,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4" s="68" t="str">
        <f>IFERROR(
    _xlfn.LET(
        _xlpm.is_data_present, $A224&lt;&gt;0,
        _xlpm.is_camera_present, COUNTIFS(Log!$C:$C, $A224, Log!$D:$D, D$4, Log!$A:$A, "Daily", Log!$B:$B, "n/a"),
        _xlpm.we_camera_on_date, IFERROR(AVERAGEIFS(Log!$F:$F, Log!$D:$D,D$4, Log!$C:$C, $A224, Log!$A:$A, "Daily", Log!$B:$B, "n/a"), 0),
        _xlpm.ie_camera_on_date, IFERROR(AVERAGEIFS(Log!$G:$G, Log!$D:$D,D$4,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4" s="68" t="str">
        <f>IFERROR(
    _xlfn.LET(
        _xlpm.is_data_present, $A224&lt;&gt;0,
        _xlpm.is_camera_present, COUNTIFS(Log!$C:$C, $A224, Log!$D:$D, E$4, Log!$A:$A, "Daily", Log!$B:$B, "n/a"),
        _xlpm.we_camera_on_date, IFERROR(AVERAGEIFS(Log!$F:$F, Log!$D:$D,E$4, Log!$C:$C, $A224, Log!$A:$A, "Daily", Log!$B:$B, "n/a"), 0),
        _xlpm.ie_camera_on_date, IFERROR(AVERAGEIFS(Log!$G:$G, Log!$D:$D,E$4,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4" s="68" t="str">
        <f>IFERROR(
    _xlfn.LET(
        _xlpm.is_data_present, $A224&lt;&gt;0,
        _xlpm.is_camera_present, COUNTIFS(Log!$C:$C, $A224, Log!$D:$D, F$4, Log!$A:$A, "Daily", Log!$B:$B, "n/a"),
        _xlpm.we_camera_on_date, IFERROR(AVERAGEIFS(Log!$F:$F, Log!$D:$D,F$4, Log!$C:$C, $A224, Log!$A:$A, "Daily", Log!$B:$B, "n/a"), 0),
        _xlpm.ie_camera_on_date, IFERROR(AVERAGEIFS(Log!$G:$G, Log!$D:$D,F$4,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4" s="68" t="str">
        <f>IFERROR(
    _xlfn.LET(
        _xlpm.is_data_present, $A224&lt;&gt;0,
        _xlpm.is_camera_present, COUNTIFS(Log!$C:$C, $A224, Log!$D:$D, G$4, Log!$A:$A, "Daily", Log!$B:$B, "n/a"),
        _xlpm.we_camera_on_date, IFERROR(AVERAGEIFS(Log!$F:$F, Log!$D:$D,G$4, Log!$C:$C, $A224, Log!$A:$A, "Daily", Log!$B:$B, "n/a"), 0),
        _xlpm.ie_camera_on_date, IFERROR(AVERAGEIFS(Log!$G:$G, Log!$D:$D,G$4,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4" s="68" t="str">
        <f>IFERROR(
    _xlfn.LET(
        _xlpm.is_data_present, $A224&lt;&gt;0,
        _xlpm.is_camera_present, COUNTIFS(Log!$C:$C, $A224, Log!$D:$D, H$4, Log!$A:$A, "Daily", Log!$B:$B, "n/a"),
        _xlpm.we_camera_on_date, IFERROR(AVERAGEIFS(Log!$F:$F, Log!$D:$D,H$4, Log!$C:$C, $A224, Log!$A:$A, "Daily", Log!$B:$B, "n/a"), 0),
        _xlpm.ie_camera_on_date, IFERROR(AVERAGEIFS(Log!$G:$G, Log!$D:$D,H$4,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4" s="68" t="str">
        <f>IFERROR(
    _xlfn.LET(
        _xlpm.is_data_present, $A224&lt;&gt;0,
        _xlpm.is_camera_present, COUNTIFS(Log!$C:$C, $A224, Log!$D:$D, I$4, Log!$A:$A, "Daily", Log!$B:$B, "n/a"),
        _xlpm.we_camera_on_date, IFERROR(AVERAGEIFS(Log!$F:$F, Log!$D:$D,I$4, Log!$C:$C, $A224, Log!$A:$A, "Daily", Log!$B:$B, "n/a"), 0),
        _xlpm.ie_camera_on_date, IFERROR(AVERAGEIFS(Log!$G:$G, Log!$D:$D,I$4,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4" s="68" t="str">
        <f>IFERROR(
    _xlfn.LET(
        _xlpm.is_data_present, $A224&lt;&gt;0,
        _xlpm.is_camera_present, COUNTIFS(Log!$C:$C, $A224, Log!$D:$D, J$4, Log!$A:$A, "Daily", Log!$B:$B, "n/a"),
        _xlpm.we_camera_on_date, IFERROR(AVERAGEIFS(Log!$F:$F, Log!$D:$D,J$4, Log!$C:$C, $A224, Log!$A:$A, "Daily", Log!$B:$B, "n/a"), 0),
        _xlpm.ie_camera_on_date, IFERROR(AVERAGEIFS(Log!$G:$G, Log!$D:$D,J$4,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4" s="68" t="str">
        <f>IFERROR(
    _xlfn.LET(
        _xlpm.is_data_present, $A224&lt;&gt;0,
        _xlpm.is_camera_present, COUNTIFS(Log!$C:$C, $A224, Log!$D:$D, K$4, Log!$A:$A, "Daily", Log!$B:$B, "n/a"),
        _xlpm.we_camera_on_date, IFERROR(AVERAGEIFS(Log!$F:$F, Log!$D:$D,K$4, Log!$C:$C, $A224, Log!$A:$A, "Daily", Log!$B:$B, "n/a"), 0),
        _xlpm.ie_camera_on_date, IFERROR(AVERAGEIFS(Log!$G:$G, Log!$D:$D,K$4,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4" s="68" t="str">
        <f>IFERROR(
    _xlfn.LET(
        _xlpm.is_data_present, $A224&lt;&gt;0,
        _xlpm.is_camera_present, COUNTIFS(Log!$C:$C, $A224, Log!$D:$D, L$4, Log!$A:$A, "Daily", Log!$B:$B, "n/a"),
        _xlpm.we_camera_on_date, IFERROR(AVERAGEIFS(Log!$F:$F, Log!$D:$D,L$4, Log!$C:$C, $A224, Log!$A:$A, "Daily", Log!$B:$B, "n/a"), 0),
        _xlpm.ie_camera_on_date, IFERROR(AVERAGEIFS(Log!$G:$G, Log!$D:$D,L$4,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4" s="68" t="str">
        <f>IFERROR(
    _xlfn.LET(
        _xlpm.is_data_present, $A224&lt;&gt;0,
        _xlpm.is_camera_present, COUNTIFS(Log!$C:$C, $A224, Log!$D:$D, M$4, Log!$A:$A, "Daily", Log!$B:$B, "n/a"),
        _xlpm.we_camera_on_date, IFERROR(AVERAGEIFS(Log!$F:$F, Log!$D:$D,M$4, Log!$C:$C, $A224, Log!$A:$A, "Daily", Log!$B:$B, "n/a"), 0),
        _xlpm.ie_camera_on_date, IFERROR(AVERAGEIFS(Log!$G:$G, Log!$D:$D,M$4,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4" s="68" t="str">
        <f>IFERROR(
    _xlfn.LET(
        _xlpm.is_data_present, $A224&lt;&gt;0,
        _xlpm.is_camera_present, COUNTIFS(Log!$C:$C, $A224, Log!$D:$D, N$4, Log!$A:$A, "Daily", Log!$B:$B, "n/a"),
        _xlpm.we_camera_on_date, IFERROR(AVERAGEIFS(Log!$F:$F, Log!$D:$D,N$4, Log!$C:$C, $A224, Log!$A:$A, "Daily", Log!$B:$B, "n/a"), 0),
        _xlpm.ie_camera_on_date, IFERROR(AVERAGEIFS(Log!$G:$G, Log!$D:$D,N$4,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4" s="68" t="str">
        <f>IFERROR(
    _xlfn.LET(
        _xlpm.is_data_present, $A224&lt;&gt;0,
        _xlpm.is_camera_present, COUNTIFS(Log!$C:$C, $A224, Log!$D:$D, O$4, Log!$A:$A, "Daily", Log!$B:$B, "n/a"),
        _xlpm.we_camera_on_date, IFERROR(AVERAGEIFS(Log!$F:$F, Log!$D:$D,O$4, Log!$C:$C, $A224, Log!$A:$A, "Daily", Log!$B:$B, "n/a"), 0),
        _xlpm.ie_camera_on_date, IFERROR(AVERAGEIFS(Log!$G:$G, Log!$D:$D,O$4,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4" s="68" t="str">
        <f>IFERROR(
    _xlfn.LET(
        _xlpm.is_data_present, $A224&lt;&gt;0,
        _xlpm.is_camera_present, COUNTIFS(Log!$C:$C, $A224, Log!$D:$D, P$4, Log!$A:$A, "Daily", Log!$B:$B, "n/a"),
        _xlpm.we_camera_on_date, IFERROR(AVERAGEIFS(Log!$F:$F, Log!$D:$D,P$4, Log!$C:$C, $A224, Log!$A:$A, "Daily", Log!$B:$B, "n/a"), 0),
        _xlpm.ie_camera_on_date, IFERROR(AVERAGEIFS(Log!$G:$G, Log!$D:$D,P$4,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4" s="68" t="str">
        <f>IFERROR(
    _xlfn.LET(
        _xlpm.is_data_present, $A224&lt;&gt;0,
        _xlpm.is_camera_present, COUNTIFS(Log!$C:$C, $A224, Log!$D:$D, Q$4, Log!$A:$A, "Daily", Log!$B:$B, "n/a"),
        _xlpm.we_camera_on_date, IFERROR(AVERAGEIFS(Log!$F:$F, Log!$D:$D,Q$4, Log!$C:$C, $A224, Log!$A:$A, "Daily", Log!$B:$B, "n/a"), 0),
        _xlpm.ie_camera_on_date, IFERROR(AVERAGEIFS(Log!$G:$G, Log!$D:$D,Q$4,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4" s="68" t="str">
        <f>IFERROR(
    _xlfn.LET(
        _xlpm.is_data_present, $A224&lt;&gt;0,
        _xlpm.is_camera_present, COUNTIFS(Log!$C:$C, $A224, Log!$D:$D, R$4, Log!$A:$A, "Daily", Log!$B:$B, "n/a"),
        _xlpm.we_camera_on_date, IFERROR(AVERAGEIFS(Log!$F:$F, Log!$D:$D,R$4, Log!$C:$C, $A224, Log!$A:$A, "Daily", Log!$B:$B, "n/a"), 0),
        _xlpm.ie_camera_on_date, IFERROR(AVERAGEIFS(Log!$G:$G, Log!$D:$D,R$4,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4" s="68" t="str">
        <f>IFERROR(
    _xlfn.LET(
        _xlpm.is_data_present, $A224&lt;&gt;0,
        _xlpm.is_camera_present, COUNTIFS(Log!$C:$C, $A224, Log!$D:$D, S$4, Log!$A:$A, "Daily", Log!$B:$B, "n/a"),
        _xlpm.we_camera_on_date, IFERROR(AVERAGEIFS(Log!$F:$F, Log!$D:$D,S$4, Log!$C:$C, $A224, Log!$A:$A, "Daily", Log!$B:$B, "n/a"), 0),
        _xlpm.ie_camera_on_date, IFERROR(AVERAGEIFS(Log!$G:$G, Log!$D:$D,S$4, Log!$C:$C, $A224, Log!$A:$A, "Daily", Log!$B:$B, "n/a"), 0),
        _xlpm.we_avg, IFERROR(AVERAGEIFS(Log!$F:$F,Log!$C:$C,$A224, Log!$A:$A, "Daily", Log!$B:$B, "n/a"),0),
        _xlpm.ie_avg, IFERROR(AVERAGEIFS(Log!$G:$G,Log!$C:$C,$A224,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5" spans="2:19" x14ac:dyDescent="0.3">
      <c r="B225" s="68" t="str">
        <f>IFERROR(
    _xlfn.LET(
        _xlpm.is_data_present, $A225&lt;&gt;0,
        _xlpm.is_camera_present, COUNTIFS(Log!$C:$C, $A225, Log!$D:$D, B$4, Log!$A:$A, "Daily", Log!$B:$B, "n/a"),
        _xlpm.we_camera_on_date, IFERROR(AVERAGEIFS(Log!$F:$F, Log!$D:$D,B$4, Log!$C:$C, $A225, Log!$A:$A, "Daily", Log!$B:$B, "n/a"), 0),
        _xlpm.ie_camera_on_date, IFERROR(AVERAGEIFS(Log!$G:$G, Log!$D:$D,B$4,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5" s="68" t="str">
        <f>IFERROR(
    _xlfn.LET(
        _xlpm.is_data_present, $A225&lt;&gt;0,
        _xlpm.is_camera_present, COUNTIFS(Log!$C:$C, $A225, Log!$D:$D, C$4, Log!$A:$A, "Daily", Log!$B:$B, "n/a"),
        _xlpm.we_camera_on_date, IFERROR(AVERAGEIFS(Log!$F:$F, Log!$D:$D,C$4, Log!$C:$C, $A225, Log!$A:$A, "Daily", Log!$B:$B, "n/a"), 0),
        _xlpm.ie_camera_on_date, IFERROR(AVERAGEIFS(Log!$G:$G, Log!$D:$D,C$4,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5" s="68" t="str">
        <f>IFERROR(
    _xlfn.LET(
        _xlpm.is_data_present, $A225&lt;&gt;0,
        _xlpm.is_camera_present, COUNTIFS(Log!$C:$C, $A225, Log!$D:$D, D$4, Log!$A:$A, "Daily", Log!$B:$B, "n/a"),
        _xlpm.we_camera_on_date, IFERROR(AVERAGEIFS(Log!$F:$F, Log!$D:$D,D$4, Log!$C:$C, $A225, Log!$A:$A, "Daily", Log!$B:$B, "n/a"), 0),
        _xlpm.ie_camera_on_date, IFERROR(AVERAGEIFS(Log!$G:$G, Log!$D:$D,D$4,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5" s="68" t="str">
        <f>IFERROR(
    _xlfn.LET(
        _xlpm.is_data_present, $A225&lt;&gt;0,
        _xlpm.is_camera_present, COUNTIFS(Log!$C:$C, $A225, Log!$D:$D, E$4, Log!$A:$A, "Daily", Log!$B:$B, "n/a"),
        _xlpm.we_camera_on_date, IFERROR(AVERAGEIFS(Log!$F:$F, Log!$D:$D,E$4, Log!$C:$C, $A225, Log!$A:$A, "Daily", Log!$B:$B, "n/a"), 0),
        _xlpm.ie_camera_on_date, IFERROR(AVERAGEIFS(Log!$G:$G, Log!$D:$D,E$4,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5" s="68" t="str">
        <f>IFERROR(
    _xlfn.LET(
        _xlpm.is_data_present, $A225&lt;&gt;0,
        _xlpm.is_camera_present, COUNTIFS(Log!$C:$C, $A225, Log!$D:$D, F$4, Log!$A:$A, "Daily", Log!$B:$B, "n/a"),
        _xlpm.we_camera_on_date, IFERROR(AVERAGEIFS(Log!$F:$F, Log!$D:$D,F$4, Log!$C:$C, $A225, Log!$A:$A, "Daily", Log!$B:$B, "n/a"), 0),
        _xlpm.ie_camera_on_date, IFERROR(AVERAGEIFS(Log!$G:$G, Log!$D:$D,F$4,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5" s="68" t="str">
        <f>IFERROR(
    _xlfn.LET(
        _xlpm.is_data_present, $A225&lt;&gt;0,
        _xlpm.is_camera_present, COUNTIFS(Log!$C:$C, $A225, Log!$D:$D, G$4, Log!$A:$A, "Daily", Log!$B:$B, "n/a"),
        _xlpm.we_camera_on_date, IFERROR(AVERAGEIFS(Log!$F:$F, Log!$D:$D,G$4, Log!$C:$C, $A225, Log!$A:$A, "Daily", Log!$B:$B, "n/a"), 0),
        _xlpm.ie_camera_on_date, IFERROR(AVERAGEIFS(Log!$G:$G, Log!$D:$D,G$4,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5" s="68" t="str">
        <f>IFERROR(
    _xlfn.LET(
        _xlpm.is_data_present, $A225&lt;&gt;0,
        _xlpm.is_camera_present, COUNTIFS(Log!$C:$C, $A225, Log!$D:$D, H$4, Log!$A:$A, "Daily", Log!$B:$B, "n/a"),
        _xlpm.we_camera_on_date, IFERROR(AVERAGEIFS(Log!$F:$F, Log!$D:$D,H$4, Log!$C:$C, $A225, Log!$A:$A, "Daily", Log!$B:$B, "n/a"), 0),
        _xlpm.ie_camera_on_date, IFERROR(AVERAGEIFS(Log!$G:$G, Log!$D:$D,H$4,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5" s="68" t="str">
        <f>IFERROR(
    _xlfn.LET(
        _xlpm.is_data_present, $A225&lt;&gt;0,
        _xlpm.is_camera_present, COUNTIFS(Log!$C:$C, $A225, Log!$D:$D, I$4, Log!$A:$A, "Daily", Log!$B:$B, "n/a"),
        _xlpm.we_camera_on_date, IFERROR(AVERAGEIFS(Log!$F:$F, Log!$D:$D,I$4, Log!$C:$C, $A225, Log!$A:$A, "Daily", Log!$B:$B, "n/a"), 0),
        _xlpm.ie_camera_on_date, IFERROR(AVERAGEIFS(Log!$G:$G, Log!$D:$D,I$4,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5" s="68" t="str">
        <f>IFERROR(
    _xlfn.LET(
        _xlpm.is_data_present, $A225&lt;&gt;0,
        _xlpm.is_camera_present, COUNTIFS(Log!$C:$C, $A225, Log!$D:$D, J$4, Log!$A:$A, "Daily", Log!$B:$B, "n/a"),
        _xlpm.we_camera_on_date, IFERROR(AVERAGEIFS(Log!$F:$F, Log!$D:$D,J$4, Log!$C:$C, $A225, Log!$A:$A, "Daily", Log!$B:$B, "n/a"), 0),
        _xlpm.ie_camera_on_date, IFERROR(AVERAGEIFS(Log!$G:$G, Log!$D:$D,J$4,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5" s="68" t="str">
        <f>IFERROR(
    _xlfn.LET(
        _xlpm.is_data_present, $A225&lt;&gt;0,
        _xlpm.is_camera_present, COUNTIFS(Log!$C:$C, $A225, Log!$D:$D, K$4, Log!$A:$A, "Daily", Log!$B:$B, "n/a"),
        _xlpm.we_camera_on_date, IFERROR(AVERAGEIFS(Log!$F:$F, Log!$D:$D,K$4, Log!$C:$C, $A225, Log!$A:$A, "Daily", Log!$B:$B, "n/a"), 0),
        _xlpm.ie_camera_on_date, IFERROR(AVERAGEIFS(Log!$G:$G, Log!$D:$D,K$4,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5" s="68" t="str">
        <f>IFERROR(
    _xlfn.LET(
        _xlpm.is_data_present, $A225&lt;&gt;0,
        _xlpm.is_camera_present, COUNTIFS(Log!$C:$C, $A225, Log!$D:$D, L$4, Log!$A:$A, "Daily", Log!$B:$B, "n/a"),
        _xlpm.we_camera_on_date, IFERROR(AVERAGEIFS(Log!$F:$F, Log!$D:$D,L$4, Log!$C:$C, $A225, Log!$A:$A, "Daily", Log!$B:$B, "n/a"), 0),
        _xlpm.ie_camera_on_date, IFERROR(AVERAGEIFS(Log!$G:$G, Log!$D:$D,L$4,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5" s="68" t="str">
        <f>IFERROR(
    _xlfn.LET(
        _xlpm.is_data_present, $A225&lt;&gt;0,
        _xlpm.is_camera_present, COUNTIFS(Log!$C:$C, $A225, Log!$D:$D, M$4, Log!$A:$A, "Daily", Log!$B:$B, "n/a"),
        _xlpm.we_camera_on_date, IFERROR(AVERAGEIFS(Log!$F:$F, Log!$D:$D,M$4, Log!$C:$C, $A225, Log!$A:$A, "Daily", Log!$B:$B, "n/a"), 0),
        _xlpm.ie_camera_on_date, IFERROR(AVERAGEIFS(Log!$G:$G, Log!$D:$D,M$4,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5" s="68" t="str">
        <f>IFERROR(
    _xlfn.LET(
        _xlpm.is_data_present, $A225&lt;&gt;0,
        _xlpm.is_camera_present, COUNTIFS(Log!$C:$C, $A225, Log!$D:$D, N$4, Log!$A:$A, "Daily", Log!$B:$B, "n/a"),
        _xlpm.we_camera_on_date, IFERROR(AVERAGEIFS(Log!$F:$F, Log!$D:$D,N$4, Log!$C:$C, $A225, Log!$A:$A, "Daily", Log!$B:$B, "n/a"), 0),
        _xlpm.ie_camera_on_date, IFERROR(AVERAGEIFS(Log!$G:$G, Log!$D:$D,N$4,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5" s="68" t="str">
        <f>IFERROR(
    _xlfn.LET(
        _xlpm.is_data_present, $A225&lt;&gt;0,
        _xlpm.is_camera_present, COUNTIFS(Log!$C:$C, $A225, Log!$D:$D, O$4, Log!$A:$A, "Daily", Log!$B:$B, "n/a"),
        _xlpm.we_camera_on_date, IFERROR(AVERAGEIFS(Log!$F:$F, Log!$D:$D,O$4, Log!$C:$C, $A225, Log!$A:$A, "Daily", Log!$B:$B, "n/a"), 0),
        _xlpm.ie_camera_on_date, IFERROR(AVERAGEIFS(Log!$G:$G, Log!$D:$D,O$4,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5" s="68" t="str">
        <f>IFERROR(
    _xlfn.LET(
        _xlpm.is_data_present, $A225&lt;&gt;0,
        _xlpm.is_camera_present, COUNTIFS(Log!$C:$C, $A225, Log!$D:$D, P$4, Log!$A:$A, "Daily", Log!$B:$B, "n/a"),
        _xlpm.we_camera_on_date, IFERROR(AVERAGEIFS(Log!$F:$F, Log!$D:$D,P$4, Log!$C:$C, $A225, Log!$A:$A, "Daily", Log!$B:$B, "n/a"), 0),
        _xlpm.ie_camera_on_date, IFERROR(AVERAGEIFS(Log!$G:$G, Log!$D:$D,P$4,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5" s="68" t="str">
        <f>IFERROR(
    _xlfn.LET(
        _xlpm.is_data_present, $A225&lt;&gt;0,
        _xlpm.is_camera_present, COUNTIFS(Log!$C:$C, $A225, Log!$D:$D, Q$4, Log!$A:$A, "Daily", Log!$B:$B, "n/a"),
        _xlpm.we_camera_on_date, IFERROR(AVERAGEIFS(Log!$F:$F, Log!$D:$D,Q$4, Log!$C:$C, $A225, Log!$A:$A, "Daily", Log!$B:$B, "n/a"), 0),
        _xlpm.ie_camera_on_date, IFERROR(AVERAGEIFS(Log!$G:$G, Log!$D:$D,Q$4,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5" s="68" t="str">
        <f>IFERROR(
    _xlfn.LET(
        _xlpm.is_data_present, $A225&lt;&gt;0,
        _xlpm.is_camera_present, COUNTIFS(Log!$C:$C, $A225, Log!$D:$D, R$4, Log!$A:$A, "Daily", Log!$B:$B, "n/a"),
        _xlpm.we_camera_on_date, IFERROR(AVERAGEIFS(Log!$F:$F, Log!$D:$D,R$4, Log!$C:$C, $A225, Log!$A:$A, "Daily", Log!$B:$B, "n/a"), 0),
        _xlpm.ie_camera_on_date, IFERROR(AVERAGEIFS(Log!$G:$G, Log!$D:$D,R$4,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5" s="68" t="str">
        <f>IFERROR(
    _xlfn.LET(
        _xlpm.is_data_present, $A225&lt;&gt;0,
        _xlpm.is_camera_present, COUNTIFS(Log!$C:$C, $A225, Log!$D:$D, S$4, Log!$A:$A, "Daily", Log!$B:$B, "n/a"),
        _xlpm.we_camera_on_date, IFERROR(AVERAGEIFS(Log!$F:$F, Log!$D:$D,S$4, Log!$C:$C, $A225, Log!$A:$A, "Daily", Log!$B:$B, "n/a"), 0),
        _xlpm.ie_camera_on_date, IFERROR(AVERAGEIFS(Log!$G:$G, Log!$D:$D,S$4, Log!$C:$C, $A225, Log!$A:$A, "Daily", Log!$B:$B, "n/a"), 0),
        _xlpm.we_avg, IFERROR(AVERAGEIFS(Log!$F:$F,Log!$C:$C,$A225, Log!$A:$A, "Daily", Log!$B:$B, "n/a"),0),
        _xlpm.ie_avg, IFERROR(AVERAGEIFS(Log!$G:$G,Log!$C:$C,$A225,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6" spans="2:19" x14ac:dyDescent="0.3">
      <c r="B226" s="68" t="str">
        <f>IFERROR(
    _xlfn.LET(
        _xlpm.is_data_present, $A226&lt;&gt;0,
        _xlpm.is_camera_present, COUNTIFS(Log!$C:$C, $A226, Log!$D:$D, B$4, Log!$A:$A, "Daily", Log!$B:$B, "n/a"),
        _xlpm.we_camera_on_date, IFERROR(AVERAGEIFS(Log!$F:$F, Log!$D:$D,B$4, Log!$C:$C, $A226, Log!$A:$A, "Daily", Log!$B:$B, "n/a"), 0),
        _xlpm.ie_camera_on_date, IFERROR(AVERAGEIFS(Log!$G:$G, Log!$D:$D,B$4,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6" s="68" t="str">
        <f>IFERROR(
    _xlfn.LET(
        _xlpm.is_data_present, $A226&lt;&gt;0,
        _xlpm.is_camera_present, COUNTIFS(Log!$C:$C, $A226, Log!$D:$D, C$4, Log!$A:$A, "Daily", Log!$B:$B, "n/a"),
        _xlpm.we_camera_on_date, IFERROR(AVERAGEIFS(Log!$F:$F, Log!$D:$D,C$4, Log!$C:$C, $A226, Log!$A:$A, "Daily", Log!$B:$B, "n/a"), 0),
        _xlpm.ie_camera_on_date, IFERROR(AVERAGEIFS(Log!$G:$G, Log!$D:$D,C$4,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6" s="68" t="str">
        <f>IFERROR(
    _xlfn.LET(
        _xlpm.is_data_present, $A226&lt;&gt;0,
        _xlpm.is_camera_present, COUNTIFS(Log!$C:$C, $A226, Log!$D:$D, D$4, Log!$A:$A, "Daily", Log!$B:$B, "n/a"),
        _xlpm.we_camera_on_date, IFERROR(AVERAGEIFS(Log!$F:$F, Log!$D:$D,D$4, Log!$C:$C, $A226, Log!$A:$A, "Daily", Log!$B:$B, "n/a"), 0),
        _xlpm.ie_camera_on_date, IFERROR(AVERAGEIFS(Log!$G:$G, Log!$D:$D,D$4,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6" s="68" t="str">
        <f>IFERROR(
    _xlfn.LET(
        _xlpm.is_data_present, $A226&lt;&gt;0,
        _xlpm.is_camera_present, COUNTIFS(Log!$C:$C, $A226, Log!$D:$D, E$4, Log!$A:$A, "Daily", Log!$B:$B, "n/a"),
        _xlpm.we_camera_on_date, IFERROR(AVERAGEIFS(Log!$F:$F, Log!$D:$D,E$4, Log!$C:$C, $A226, Log!$A:$A, "Daily", Log!$B:$B, "n/a"), 0),
        _xlpm.ie_camera_on_date, IFERROR(AVERAGEIFS(Log!$G:$G, Log!$D:$D,E$4,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6" s="68" t="str">
        <f>IFERROR(
    _xlfn.LET(
        _xlpm.is_data_present, $A226&lt;&gt;0,
        _xlpm.is_camera_present, COUNTIFS(Log!$C:$C, $A226, Log!$D:$D, F$4, Log!$A:$A, "Daily", Log!$B:$B, "n/a"),
        _xlpm.we_camera_on_date, IFERROR(AVERAGEIFS(Log!$F:$F, Log!$D:$D,F$4, Log!$C:$C, $A226, Log!$A:$A, "Daily", Log!$B:$B, "n/a"), 0),
        _xlpm.ie_camera_on_date, IFERROR(AVERAGEIFS(Log!$G:$G, Log!$D:$D,F$4,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6" s="68" t="str">
        <f>IFERROR(
    _xlfn.LET(
        _xlpm.is_data_present, $A226&lt;&gt;0,
        _xlpm.is_camera_present, COUNTIFS(Log!$C:$C, $A226, Log!$D:$D, G$4, Log!$A:$A, "Daily", Log!$B:$B, "n/a"),
        _xlpm.we_camera_on_date, IFERROR(AVERAGEIFS(Log!$F:$F, Log!$D:$D,G$4, Log!$C:$C, $A226, Log!$A:$A, "Daily", Log!$B:$B, "n/a"), 0),
        _xlpm.ie_camera_on_date, IFERROR(AVERAGEIFS(Log!$G:$G, Log!$D:$D,G$4,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6" s="68" t="str">
        <f>IFERROR(
    _xlfn.LET(
        _xlpm.is_data_present, $A226&lt;&gt;0,
        _xlpm.is_camera_present, COUNTIFS(Log!$C:$C, $A226, Log!$D:$D, H$4, Log!$A:$A, "Daily", Log!$B:$B, "n/a"),
        _xlpm.we_camera_on_date, IFERROR(AVERAGEIFS(Log!$F:$F, Log!$D:$D,H$4, Log!$C:$C, $A226, Log!$A:$A, "Daily", Log!$B:$B, "n/a"), 0),
        _xlpm.ie_camera_on_date, IFERROR(AVERAGEIFS(Log!$G:$G, Log!$D:$D,H$4,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6" s="68" t="str">
        <f>IFERROR(
    _xlfn.LET(
        _xlpm.is_data_present, $A226&lt;&gt;0,
        _xlpm.is_camera_present, COUNTIFS(Log!$C:$C, $A226, Log!$D:$D, I$4, Log!$A:$A, "Daily", Log!$B:$B, "n/a"),
        _xlpm.we_camera_on_date, IFERROR(AVERAGEIFS(Log!$F:$F, Log!$D:$D,I$4, Log!$C:$C, $A226, Log!$A:$A, "Daily", Log!$B:$B, "n/a"), 0),
        _xlpm.ie_camera_on_date, IFERROR(AVERAGEIFS(Log!$G:$G, Log!$D:$D,I$4,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6" s="68" t="str">
        <f>IFERROR(
    _xlfn.LET(
        _xlpm.is_data_present, $A226&lt;&gt;0,
        _xlpm.is_camera_present, COUNTIFS(Log!$C:$C, $A226, Log!$D:$D, J$4, Log!$A:$A, "Daily", Log!$B:$B, "n/a"),
        _xlpm.we_camera_on_date, IFERROR(AVERAGEIFS(Log!$F:$F, Log!$D:$D,J$4, Log!$C:$C, $A226, Log!$A:$A, "Daily", Log!$B:$B, "n/a"), 0),
        _xlpm.ie_camera_on_date, IFERROR(AVERAGEIFS(Log!$G:$G, Log!$D:$D,J$4,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6" s="68" t="str">
        <f>IFERROR(
    _xlfn.LET(
        _xlpm.is_data_present, $A226&lt;&gt;0,
        _xlpm.is_camera_present, COUNTIFS(Log!$C:$C, $A226, Log!$D:$D, K$4, Log!$A:$A, "Daily", Log!$B:$B, "n/a"),
        _xlpm.we_camera_on_date, IFERROR(AVERAGEIFS(Log!$F:$F, Log!$D:$D,K$4, Log!$C:$C, $A226, Log!$A:$A, "Daily", Log!$B:$B, "n/a"), 0),
        _xlpm.ie_camera_on_date, IFERROR(AVERAGEIFS(Log!$G:$G, Log!$D:$D,K$4,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6" s="68" t="str">
        <f>IFERROR(
    _xlfn.LET(
        _xlpm.is_data_present, $A226&lt;&gt;0,
        _xlpm.is_camera_present, COUNTIFS(Log!$C:$C, $A226, Log!$D:$D, L$4, Log!$A:$A, "Daily", Log!$B:$B, "n/a"),
        _xlpm.we_camera_on_date, IFERROR(AVERAGEIFS(Log!$F:$F, Log!$D:$D,L$4, Log!$C:$C, $A226, Log!$A:$A, "Daily", Log!$B:$B, "n/a"), 0),
        _xlpm.ie_camera_on_date, IFERROR(AVERAGEIFS(Log!$G:$G, Log!$D:$D,L$4,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6" s="68" t="str">
        <f>IFERROR(
    _xlfn.LET(
        _xlpm.is_data_present, $A226&lt;&gt;0,
        _xlpm.is_camera_present, COUNTIFS(Log!$C:$C, $A226, Log!$D:$D, M$4, Log!$A:$A, "Daily", Log!$B:$B, "n/a"),
        _xlpm.we_camera_on_date, IFERROR(AVERAGEIFS(Log!$F:$F, Log!$D:$D,M$4, Log!$C:$C, $A226, Log!$A:$A, "Daily", Log!$B:$B, "n/a"), 0),
        _xlpm.ie_camera_on_date, IFERROR(AVERAGEIFS(Log!$G:$G, Log!$D:$D,M$4,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6" s="68" t="str">
        <f>IFERROR(
    _xlfn.LET(
        _xlpm.is_data_present, $A226&lt;&gt;0,
        _xlpm.is_camera_present, COUNTIFS(Log!$C:$C, $A226, Log!$D:$D, N$4, Log!$A:$A, "Daily", Log!$B:$B, "n/a"),
        _xlpm.we_camera_on_date, IFERROR(AVERAGEIFS(Log!$F:$F, Log!$D:$D,N$4, Log!$C:$C, $A226, Log!$A:$A, "Daily", Log!$B:$B, "n/a"), 0),
        _xlpm.ie_camera_on_date, IFERROR(AVERAGEIFS(Log!$G:$G, Log!$D:$D,N$4,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6" s="68" t="str">
        <f>IFERROR(
    _xlfn.LET(
        _xlpm.is_data_present, $A226&lt;&gt;0,
        _xlpm.is_camera_present, COUNTIFS(Log!$C:$C, $A226, Log!$D:$D, O$4, Log!$A:$A, "Daily", Log!$B:$B, "n/a"),
        _xlpm.we_camera_on_date, IFERROR(AVERAGEIFS(Log!$F:$F, Log!$D:$D,O$4, Log!$C:$C, $A226, Log!$A:$A, "Daily", Log!$B:$B, "n/a"), 0),
        _xlpm.ie_camera_on_date, IFERROR(AVERAGEIFS(Log!$G:$G, Log!$D:$D,O$4,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6" s="68" t="str">
        <f>IFERROR(
    _xlfn.LET(
        _xlpm.is_data_present, $A226&lt;&gt;0,
        _xlpm.is_camera_present, COUNTIFS(Log!$C:$C, $A226, Log!$D:$D, P$4, Log!$A:$A, "Daily", Log!$B:$B, "n/a"),
        _xlpm.we_camera_on_date, IFERROR(AVERAGEIFS(Log!$F:$F, Log!$D:$D,P$4, Log!$C:$C, $A226, Log!$A:$A, "Daily", Log!$B:$B, "n/a"), 0),
        _xlpm.ie_camera_on_date, IFERROR(AVERAGEIFS(Log!$G:$G, Log!$D:$D,P$4,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6" s="68" t="str">
        <f>IFERROR(
    _xlfn.LET(
        _xlpm.is_data_present, $A226&lt;&gt;0,
        _xlpm.is_camera_present, COUNTIFS(Log!$C:$C, $A226, Log!$D:$D, Q$4, Log!$A:$A, "Daily", Log!$B:$B, "n/a"),
        _xlpm.we_camera_on_date, IFERROR(AVERAGEIFS(Log!$F:$F, Log!$D:$D,Q$4, Log!$C:$C, $A226, Log!$A:$A, "Daily", Log!$B:$B, "n/a"), 0),
        _xlpm.ie_camera_on_date, IFERROR(AVERAGEIFS(Log!$G:$G, Log!$D:$D,Q$4,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6" s="68" t="str">
        <f>IFERROR(
    _xlfn.LET(
        _xlpm.is_data_present, $A226&lt;&gt;0,
        _xlpm.is_camera_present, COUNTIFS(Log!$C:$C, $A226, Log!$D:$D, R$4, Log!$A:$A, "Daily", Log!$B:$B, "n/a"),
        _xlpm.we_camera_on_date, IFERROR(AVERAGEIFS(Log!$F:$F, Log!$D:$D,R$4, Log!$C:$C, $A226, Log!$A:$A, "Daily", Log!$B:$B, "n/a"), 0),
        _xlpm.ie_camera_on_date, IFERROR(AVERAGEIFS(Log!$G:$G, Log!$D:$D,R$4,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6" s="68" t="str">
        <f>IFERROR(
    _xlfn.LET(
        _xlpm.is_data_present, $A226&lt;&gt;0,
        _xlpm.is_camera_present, COUNTIFS(Log!$C:$C, $A226, Log!$D:$D, S$4, Log!$A:$A, "Daily", Log!$B:$B, "n/a"),
        _xlpm.we_camera_on_date, IFERROR(AVERAGEIFS(Log!$F:$F, Log!$D:$D,S$4, Log!$C:$C, $A226, Log!$A:$A, "Daily", Log!$B:$B, "n/a"), 0),
        _xlpm.ie_camera_on_date, IFERROR(AVERAGEIFS(Log!$G:$G, Log!$D:$D,S$4, Log!$C:$C, $A226, Log!$A:$A, "Daily", Log!$B:$B, "n/a"), 0),
        _xlpm.we_avg, IFERROR(AVERAGEIFS(Log!$F:$F,Log!$C:$C,$A226, Log!$A:$A, "Daily", Log!$B:$B, "n/a"),0),
        _xlpm.ie_avg, IFERROR(AVERAGEIFS(Log!$G:$G,Log!$C:$C,$A226,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7" spans="2:19" x14ac:dyDescent="0.3">
      <c r="B227" s="68" t="str">
        <f>IFERROR(
    _xlfn.LET(
        _xlpm.is_data_present, $A227&lt;&gt;0,
        _xlpm.is_camera_present, COUNTIFS(Log!$C:$C, $A227, Log!$D:$D, B$4, Log!$A:$A, "Daily", Log!$B:$B, "n/a"),
        _xlpm.we_camera_on_date, IFERROR(AVERAGEIFS(Log!$F:$F, Log!$D:$D,B$4, Log!$C:$C, $A227, Log!$A:$A, "Daily", Log!$B:$B, "n/a"), 0),
        _xlpm.ie_camera_on_date, IFERROR(AVERAGEIFS(Log!$G:$G, Log!$D:$D,B$4,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7" s="68" t="str">
        <f>IFERROR(
    _xlfn.LET(
        _xlpm.is_data_present, $A227&lt;&gt;0,
        _xlpm.is_camera_present, COUNTIFS(Log!$C:$C, $A227, Log!$D:$D, C$4, Log!$A:$A, "Daily", Log!$B:$B, "n/a"),
        _xlpm.we_camera_on_date, IFERROR(AVERAGEIFS(Log!$F:$F, Log!$D:$D,C$4, Log!$C:$C, $A227, Log!$A:$A, "Daily", Log!$B:$B, "n/a"), 0),
        _xlpm.ie_camera_on_date, IFERROR(AVERAGEIFS(Log!$G:$G, Log!$D:$D,C$4,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7" s="68" t="str">
        <f>IFERROR(
    _xlfn.LET(
        _xlpm.is_data_present, $A227&lt;&gt;0,
        _xlpm.is_camera_present, COUNTIFS(Log!$C:$C, $A227, Log!$D:$D, D$4, Log!$A:$A, "Daily", Log!$B:$B, "n/a"),
        _xlpm.we_camera_on_date, IFERROR(AVERAGEIFS(Log!$F:$F, Log!$D:$D,D$4, Log!$C:$C, $A227, Log!$A:$A, "Daily", Log!$B:$B, "n/a"), 0),
        _xlpm.ie_camera_on_date, IFERROR(AVERAGEIFS(Log!$G:$G, Log!$D:$D,D$4,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7" s="68" t="str">
        <f>IFERROR(
    _xlfn.LET(
        _xlpm.is_data_present, $A227&lt;&gt;0,
        _xlpm.is_camera_present, COUNTIFS(Log!$C:$C, $A227, Log!$D:$D, E$4, Log!$A:$A, "Daily", Log!$B:$B, "n/a"),
        _xlpm.we_camera_on_date, IFERROR(AVERAGEIFS(Log!$F:$F, Log!$D:$D,E$4, Log!$C:$C, $A227, Log!$A:$A, "Daily", Log!$B:$B, "n/a"), 0),
        _xlpm.ie_camera_on_date, IFERROR(AVERAGEIFS(Log!$G:$G, Log!$D:$D,E$4,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7" s="68" t="str">
        <f>IFERROR(
    _xlfn.LET(
        _xlpm.is_data_present, $A227&lt;&gt;0,
        _xlpm.is_camera_present, COUNTIFS(Log!$C:$C, $A227, Log!$D:$D, F$4, Log!$A:$A, "Daily", Log!$B:$B, "n/a"),
        _xlpm.we_camera_on_date, IFERROR(AVERAGEIFS(Log!$F:$F, Log!$D:$D,F$4, Log!$C:$C, $A227, Log!$A:$A, "Daily", Log!$B:$B, "n/a"), 0),
        _xlpm.ie_camera_on_date, IFERROR(AVERAGEIFS(Log!$G:$G, Log!$D:$D,F$4,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7" s="68" t="str">
        <f>IFERROR(
    _xlfn.LET(
        _xlpm.is_data_present, $A227&lt;&gt;0,
        _xlpm.is_camera_present, COUNTIFS(Log!$C:$C, $A227, Log!$D:$D, G$4, Log!$A:$A, "Daily", Log!$B:$B, "n/a"),
        _xlpm.we_camera_on_date, IFERROR(AVERAGEIFS(Log!$F:$F, Log!$D:$D,G$4, Log!$C:$C, $A227, Log!$A:$A, "Daily", Log!$B:$B, "n/a"), 0),
        _xlpm.ie_camera_on_date, IFERROR(AVERAGEIFS(Log!$G:$G, Log!$D:$D,G$4,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7" s="68" t="str">
        <f>IFERROR(
    _xlfn.LET(
        _xlpm.is_data_present, $A227&lt;&gt;0,
        _xlpm.is_camera_present, COUNTIFS(Log!$C:$C, $A227, Log!$D:$D, H$4, Log!$A:$A, "Daily", Log!$B:$B, "n/a"),
        _xlpm.we_camera_on_date, IFERROR(AVERAGEIFS(Log!$F:$F, Log!$D:$D,H$4, Log!$C:$C, $A227, Log!$A:$A, "Daily", Log!$B:$B, "n/a"), 0),
        _xlpm.ie_camera_on_date, IFERROR(AVERAGEIFS(Log!$G:$G, Log!$D:$D,H$4,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7" s="68" t="str">
        <f>IFERROR(
    _xlfn.LET(
        _xlpm.is_data_present, $A227&lt;&gt;0,
        _xlpm.is_camera_present, COUNTIFS(Log!$C:$C, $A227, Log!$D:$D, I$4, Log!$A:$A, "Daily", Log!$B:$B, "n/a"),
        _xlpm.we_camera_on_date, IFERROR(AVERAGEIFS(Log!$F:$F, Log!$D:$D,I$4, Log!$C:$C, $A227, Log!$A:$A, "Daily", Log!$B:$B, "n/a"), 0),
        _xlpm.ie_camera_on_date, IFERROR(AVERAGEIFS(Log!$G:$G, Log!$D:$D,I$4,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7" s="68" t="str">
        <f>IFERROR(
    _xlfn.LET(
        _xlpm.is_data_present, $A227&lt;&gt;0,
        _xlpm.is_camera_present, COUNTIFS(Log!$C:$C, $A227, Log!$D:$D, J$4, Log!$A:$A, "Daily", Log!$B:$B, "n/a"),
        _xlpm.we_camera_on_date, IFERROR(AVERAGEIFS(Log!$F:$F, Log!$D:$D,J$4, Log!$C:$C, $A227, Log!$A:$A, "Daily", Log!$B:$B, "n/a"), 0),
        _xlpm.ie_camera_on_date, IFERROR(AVERAGEIFS(Log!$G:$G, Log!$D:$D,J$4,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7" s="68" t="str">
        <f>IFERROR(
    _xlfn.LET(
        _xlpm.is_data_present, $A227&lt;&gt;0,
        _xlpm.is_camera_present, COUNTIFS(Log!$C:$C, $A227, Log!$D:$D, K$4, Log!$A:$A, "Daily", Log!$B:$B, "n/a"),
        _xlpm.we_camera_on_date, IFERROR(AVERAGEIFS(Log!$F:$F, Log!$D:$D,K$4, Log!$C:$C, $A227, Log!$A:$A, "Daily", Log!$B:$B, "n/a"), 0),
        _xlpm.ie_camera_on_date, IFERROR(AVERAGEIFS(Log!$G:$G, Log!$D:$D,K$4,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7" s="68" t="str">
        <f>IFERROR(
    _xlfn.LET(
        _xlpm.is_data_present, $A227&lt;&gt;0,
        _xlpm.is_camera_present, COUNTIFS(Log!$C:$C, $A227, Log!$D:$D, L$4, Log!$A:$A, "Daily", Log!$B:$B, "n/a"),
        _xlpm.we_camera_on_date, IFERROR(AVERAGEIFS(Log!$F:$F, Log!$D:$D,L$4, Log!$C:$C, $A227, Log!$A:$A, "Daily", Log!$B:$B, "n/a"), 0),
        _xlpm.ie_camera_on_date, IFERROR(AVERAGEIFS(Log!$G:$G, Log!$D:$D,L$4,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7" s="68" t="str">
        <f>IFERROR(
    _xlfn.LET(
        _xlpm.is_data_present, $A227&lt;&gt;0,
        _xlpm.is_camera_present, COUNTIFS(Log!$C:$C, $A227, Log!$D:$D, M$4, Log!$A:$A, "Daily", Log!$B:$B, "n/a"),
        _xlpm.we_camera_on_date, IFERROR(AVERAGEIFS(Log!$F:$F, Log!$D:$D,M$4, Log!$C:$C, $A227, Log!$A:$A, "Daily", Log!$B:$B, "n/a"), 0),
        _xlpm.ie_camera_on_date, IFERROR(AVERAGEIFS(Log!$G:$G, Log!$D:$D,M$4,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7" s="68" t="str">
        <f>IFERROR(
    _xlfn.LET(
        _xlpm.is_data_present, $A227&lt;&gt;0,
        _xlpm.is_camera_present, COUNTIFS(Log!$C:$C, $A227, Log!$D:$D, N$4, Log!$A:$A, "Daily", Log!$B:$B, "n/a"),
        _xlpm.we_camera_on_date, IFERROR(AVERAGEIFS(Log!$F:$F, Log!$D:$D,N$4, Log!$C:$C, $A227, Log!$A:$A, "Daily", Log!$B:$B, "n/a"), 0),
        _xlpm.ie_camera_on_date, IFERROR(AVERAGEIFS(Log!$G:$G, Log!$D:$D,N$4,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7" s="68" t="str">
        <f>IFERROR(
    _xlfn.LET(
        _xlpm.is_data_present, $A227&lt;&gt;0,
        _xlpm.is_camera_present, COUNTIFS(Log!$C:$C, $A227, Log!$D:$D, O$4, Log!$A:$A, "Daily", Log!$B:$B, "n/a"),
        _xlpm.we_camera_on_date, IFERROR(AVERAGEIFS(Log!$F:$F, Log!$D:$D,O$4, Log!$C:$C, $A227, Log!$A:$A, "Daily", Log!$B:$B, "n/a"), 0),
        _xlpm.ie_camera_on_date, IFERROR(AVERAGEIFS(Log!$G:$G, Log!$D:$D,O$4,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7" s="68" t="str">
        <f>IFERROR(
    _xlfn.LET(
        _xlpm.is_data_present, $A227&lt;&gt;0,
        _xlpm.is_camera_present, COUNTIFS(Log!$C:$C, $A227, Log!$D:$D, P$4, Log!$A:$A, "Daily", Log!$B:$B, "n/a"),
        _xlpm.we_camera_on_date, IFERROR(AVERAGEIFS(Log!$F:$F, Log!$D:$D,P$4, Log!$C:$C, $A227, Log!$A:$A, "Daily", Log!$B:$B, "n/a"), 0),
        _xlpm.ie_camera_on_date, IFERROR(AVERAGEIFS(Log!$G:$G, Log!$D:$D,P$4,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7" s="68" t="str">
        <f>IFERROR(
    _xlfn.LET(
        _xlpm.is_data_present, $A227&lt;&gt;0,
        _xlpm.is_camera_present, COUNTIFS(Log!$C:$C, $A227, Log!$D:$D, Q$4, Log!$A:$A, "Daily", Log!$B:$B, "n/a"),
        _xlpm.we_camera_on_date, IFERROR(AVERAGEIFS(Log!$F:$F, Log!$D:$D,Q$4, Log!$C:$C, $A227, Log!$A:$A, "Daily", Log!$B:$B, "n/a"), 0),
        _xlpm.ie_camera_on_date, IFERROR(AVERAGEIFS(Log!$G:$G, Log!$D:$D,Q$4,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7" s="68" t="str">
        <f>IFERROR(
    _xlfn.LET(
        _xlpm.is_data_present, $A227&lt;&gt;0,
        _xlpm.is_camera_present, COUNTIFS(Log!$C:$C, $A227, Log!$D:$D, R$4, Log!$A:$A, "Daily", Log!$B:$B, "n/a"),
        _xlpm.we_camera_on_date, IFERROR(AVERAGEIFS(Log!$F:$F, Log!$D:$D,R$4, Log!$C:$C, $A227, Log!$A:$A, "Daily", Log!$B:$B, "n/a"), 0),
        _xlpm.ie_camera_on_date, IFERROR(AVERAGEIFS(Log!$G:$G, Log!$D:$D,R$4,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7" s="68" t="str">
        <f>IFERROR(
    _xlfn.LET(
        _xlpm.is_data_present, $A227&lt;&gt;0,
        _xlpm.is_camera_present, COUNTIFS(Log!$C:$C, $A227, Log!$D:$D, S$4, Log!$A:$A, "Daily", Log!$B:$B, "n/a"),
        _xlpm.we_camera_on_date, IFERROR(AVERAGEIFS(Log!$F:$F, Log!$D:$D,S$4, Log!$C:$C, $A227, Log!$A:$A, "Daily", Log!$B:$B, "n/a"), 0),
        _xlpm.ie_camera_on_date, IFERROR(AVERAGEIFS(Log!$G:$G, Log!$D:$D,S$4, Log!$C:$C, $A227, Log!$A:$A, "Daily", Log!$B:$B, "n/a"), 0),
        _xlpm.we_avg, IFERROR(AVERAGEIFS(Log!$F:$F,Log!$C:$C,$A227, Log!$A:$A, "Daily", Log!$B:$B, "n/a"),0),
        _xlpm.ie_avg, IFERROR(AVERAGEIFS(Log!$G:$G,Log!$C:$C,$A227,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8" spans="2:19" x14ac:dyDescent="0.3">
      <c r="B228" s="68" t="str">
        <f>IFERROR(
    _xlfn.LET(
        _xlpm.is_data_present, $A228&lt;&gt;0,
        _xlpm.is_camera_present, COUNTIFS(Log!$C:$C, $A228, Log!$D:$D, B$4, Log!$A:$A, "Daily", Log!$B:$B, "n/a"),
        _xlpm.we_camera_on_date, IFERROR(AVERAGEIFS(Log!$F:$F, Log!$D:$D,B$4, Log!$C:$C, $A228, Log!$A:$A, "Daily", Log!$B:$B, "n/a"), 0),
        _xlpm.ie_camera_on_date, IFERROR(AVERAGEIFS(Log!$G:$G, Log!$D:$D,B$4,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8" s="68" t="str">
        <f>IFERROR(
    _xlfn.LET(
        _xlpm.is_data_present, $A228&lt;&gt;0,
        _xlpm.is_camera_present, COUNTIFS(Log!$C:$C, $A228, Log!$D:$D, C$4, Log!$A:$A, "Daily", Log!$B:$B, "n/a"),
        _xlpm.we_camera_on_date, IFERROR(AVERAGEIFS(Log!$F:$F, Log!$D:$D,C$4, Log!$C:$C, $A228, Log!$A:$A, "Daily", Log!$B:$B, "n/a"), 0),
        _xlpm.ie_camera_on_date, IFERROR(AVERAGEIFS(Log!$G:$G, Log!$D:$D,C$4,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8" s="68" t="str">
        <f>IFERROR(
    _xlfn.LET(
        _xlpm.is_data_present, $A228&lt;&gt;0,
        _xlpm.is_camera_present, COUNTIFS(Log!$C:$C, $A228, Log!$D:$D, D$4, Log!$A:$A, "Daily", Log!$B:$B, "n/a"),
        _xlpm.we_camera_on_date, IFERROR(AVERAGEIFS(Log!$F:$F, Log!$D:$D,D$4, Log!$C:$C, $A228, Log!$A:$A, "Daily", Log!$B:$B, "n/a"), 0),
        _xlpm.ie_camera_on_date, IFERROR(AVERAGEIFS(Log!$G:$G, Log!$D:$D,D$4,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8" s="68" t="str">
        <f>IFERROR(
    _xlfn.LET(
        _xlpm.is_data_present, $A228&lt;&gt;0,
        _xlpm.is_camera_present, COUNTIFS(Log!$C:$C, $A228, Log!$D:$D, E$4, Log!$A:$A, "Daily", Log!$B:$B, "n/a"),
        _xlpm.we_camera_on_date, IFERROR(AVERAGEIFS(Log!$F:$F, Log!$D:$D,E$4, Log!$C:$C, $A228, Log!$A:$A, "Daily", Log!$B:$B, "n/a"), 0),
        _xlpm.ie_camera_on_date, IFERROR(AVERAGEIFS(Log!$G:$G, Log!$D:$D,E$4,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8" s="68" t="str">
        <f>IFERROR(
    _xlfn.LET(
        _xlpm.is_data_present, $A228&lt;&gt;0,
        _xlpm.is_camera_present, COUNTIFS(Log!$C:$C, $A228, Log!$D:$D, F$4, Log!$A:$A, "Daily", Log!$B:$B, "n/a"),
        _xlpm.we_camera_on_date, IFERROR(AVERAGEIFS(Log!$F:$F, Log!$D:$D,F$4, Log!$C:$C, $A228, Log!$A:$A, "Daily", Log!$B:$B, "n/a"), 0),
        _xlpm.ie_camera_on_date, IFERROR(AVERAGEIFS(Log!$G:$G, Log!$D:$D,F$4,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8" s="68" t="str">
        <f>IFERROR(
    _xlfn.LET(
        _xlpm.is_data_present, $A228&lt;&gt;0,
        _xlpm.is_camera_present, COUNTIFS(Log!$C:$C, $A228, Log!$D:$D, G$4, Log!$A:$A, "Daily", Log!$B:$B, "n/a"),
        _xlpm.we_camera_on_date, IFERROR(AVERAGEIFS(Log!$F:$F, Log!$D:$D,G$4, Log!$C:$C, $A228, Log!$A:$A, "Daily", Log!$B:$B, "n/a"), 0),
        _xlpm.ie_camera_on_date, IFERROR(AVERAGEIFS(Log!$G:$G, Log!$D:$D,G$4,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8" s="68" t="str">
        <f>IFERROR(
    _xlfn.LET(
        _xlpm.is_data_present, $A228&lt;&gt;0,
        _xlpm.is_camera_present, COUNTIFS(Log!$C:$C, $A228, Log!$D:$D, H$4, Log!$A:$A, "Daily", Log!$B:$B, "n/a"),
        _xlpm.we_camera_on_date, IFERROR(AVERAGEIFS(Log!$F:$F, Log!$D:$D,H$4, Log!$C:$C, $A228, Log!$A:$A, "Daily", Log!$B:$B, "n/a"), 0),
        _xlpm.ie_camera_on_date, IFERROR(AVERAGEIFS(Log!$G:$G, Log!$D:$D,H$4,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8" s="68" t="str">
        <f>IFERROR(
    _xlfn.LET(
        _xlpm.is_data_present, $A228&lt;&gt;0,
        _xlpm.is_camera_present, COUNTIFS(Log!$C:$C, $A228, Log!$D:$D, I$4, Log!$A:$A, "Daily", Log!$B:$B, "n/a"),
        _xlpm.we_camera_on_date, IFERROR(AVERAGEIFS(Log!$F:$F, Log!$D:$D,I$4, Log!$C:$C, $A228, Log!$A:$A, "Daily", Log!$B:$B, "n/a"), 0),
        _xlpm.ie_camera_on_date, IFERROR(AVERAGEIFS(Log!$G:$G, Log!$D:$D,I$4,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8" s="68" t="str">
        <f>IFERROR(
    _xlfn.LET(
        _xlpm.is_data_present, $A228&lt;&gt;0,
        _xlpm.is_camera_present, COUNTIFS(Log!$C:$C, $A228, Log!$D:$D, J$4, Log!$A:$A, "Daily", Log!$B:$B, "n/a"),
        _xlpm.we_camera_on_date, IFERROR(AVERAGEIFS(Log!$F:$F, Log!$D:$D,J$4, Log!$C:$C, $A228, Log!$A:$A, "Daily", Log!$B:$B, "n/a"), 0),
        _xlpm.ie_camera_on_date, IFERROR(AVERAGEIFS(Log!$G:$G, Log!$D:$D,J$4,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8" s="68" t="str">
        <f>IFERROR(
    _xlfn.LET(
        _xlpm.is_data_present, $A228&lt;&gt;0,
        _xlpm.is_camera_present, COUNTIFS(Log!$C:$C, $A228, Log!$D:$D, K$4, Log!$A:$A, "Daily", Log!$B:$B, "n/a"),
        _xlpm.we_camera_on_date, IFERROR(AVERAGEIFS(Log!$F:$F, Log!$D:$D,K$4, Log!$C:$C, $A228, Log!$A:$A, "Daily", Log!$B:$B, "n/a"), 0),
        _xlpm.ie_camera_on_date, IFERROR(AVERAGEIFS(Log!$G:$G, Log!$D:$D,K$4,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8" s="68" t="str">
        <f>IFERROR(
    _xlfn.LET(
        _xlpm.is_data_present, $A228&lt;&gt;0,
        _xlpm.is_camera_present, COUNTIFS(Log!$C:$C, $A228, Log!$D:$D, L$4, Log!$A:$A, "Daily", Log!$B:$B, "n/a"),
        _xlpm.we_camera_on_date, IFERROR(AVERAGEIFS(Log!$F:$F, Log!$D:$D,L$4, Log!$C:$C, $A228, Log!$A:$A, "Daily", Log!$B:$B, "n/a"), 0),
        _xlpm.ie_camera_on_date, IFERROR(AVERAGEIFS(Log!$G:$G, Log!$D:$D,L$4,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8" s="68" t="str">
        <f>IFERROR(
    _xlfn.LET(
        _xlpm.is_data_present, $A228&lt;&gt;0,
        _xlpm.is_camera_present, COUNTIFS(Log!$C:$C, $A228, Log!$D:$D, M$4, Log!$A:$A, "Daily", Log!$B:$B, "n/a"),
        _xlpm.we_camera_on_date, IFERROR(AVERAGEIFS(Log!$F:$F, Log!$D:$D,M$4, Log!$C:$C, $A228, Log!$A:$A, "Daily", Log!$B:$B, "n/a"), 0),
        _xlpm.ie_camera_on_date, IFERROR(AVERAGEIFS(Log!$G:$G, Log!$D:$D,M$4,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8" s="68" t="str">
        <f>IFERROR(
    _xlfn.LET(
        _xlpm.is_data_present, $A228&lt;&gt;0,
        _xlpm.is_camera_present, COUNTIFS(Log!$C:$C, $A228, Log!$D:$D, N$4, Log!$A:$A, "Daily", Log!$B:$B, "n/a"),
        _xlpm.we_camera_on_date, IFERROR(AVERAGEIFS(Log!$F:$F, Log!$D:$D,N$4, Log!$C:$C, $A228, Log!$A:$A, "Daily", Log!$B:$B, "n/a"), 0),
        _xlpm.ie_camera_on_date, IFERROR(AVERAGEIFS(Log!$G:$G, Log!$D:$D,N$4,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8" s="68" t="str">
        <f>IFERROR(
    _xlfn.LET(
        _xlpm.is_data_present, $A228&lt;&gt;0,
        _xlpm.is_camera_present, COUNTIFS(Log!$C:$C, $A228, Log!$D:$D, O$4, Log!$A:$A, "Daily", Log!$B:$B, "n/a"),
        _xlpm.we_camera_on_date, IFERROR(AVERAGEIFS(Log!$F:$F, Log!$D:$D,O$4, Log!$C:$C, $A228, Log!$A:$A, "Daily", Log!$B:$B, "n/a"), 0),
        _xlpm.ie_camera_on_date, IFERROR(AVERAGEIFS(Log!$G:$G, Log!$D:$D,O$4,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8" s="68" t="str">
        <f>IFERROR(
    _xlfn.LET(
        _xlpm.is_data_present, $A228&lt;&gt;0,
        _xlpm.is_camera_present, COUNTIFS(Log!$C:$C, $A228, Log!$D:$D, P$4, Log!$A:$A, "Daily", Log!$B:$B, "n/a"),
        _xlpm.we_camera_on_date, IFERROR(AVERAGEIFS(Log!$F:$F, Log!$D:$D,P$4, Log!$C:$C, $A228, Log!$A:$A, "Daily", Log!$B:$B, "n/a"), 0),
        _xlpm.ie_camera_on_date, IFERROR(AVERAGEIFS(Log!$G:$G, Log!$D:$D,P$4,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8" s="68" t="str">
        <f>IFERROR(
    _xlfn.LET(
        _xlpm.is_data_present, $A228&lt;&gt;0,
        _xlpm.is_camera_present, COUNTIFS(Log!$C:$C, $A228, Log!$D:$D, Q$4, Log!$A:$A, "Daily", Log!$B:$B, "n/a"),
        _xlpm.we_camera_on_date, IFERROR(AVERAGEIFS(Log!$F:$F, Log!$D:$D,Q$4, Log!$C:$C, $A228, Log!$A:$A, "Daily", Log!$B:$B, "n/a"), 0),
        _xlpm.ie_camera_on_date, IFERROR(AVERAGEIFS(Log!$G:$G, Log!$D:$D,Q$4,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8" s="68" t="str">
        <f>IFERROR(
    _xlfn.LET(
        _xlpm.is_data_present, $A228&lt;&gt;0,
        _xlpm.is_camera_present, COUNTIFS(Log!$C:$C, $A228, Log!$D:$D, R$4, Log!$A:$A, "Daily", Log!$B:$B, "n/a"),
        _xlpm.we_camera_on_date, IFERROR(AVERAGEIFS(Log!$F:$F, Log!$D:$D,R$4, Log!$C:$C, $A228, Log!$A:$A, "Daily", Log!$B:$B, "n/a"), 0),
        _xlpm.ie_camera_on_date, IFERROR(AVERAGEIFS(Log!$G:$G, Log!$D:$D,R$4,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8" s="68" t="str">
        <f>IFERROR(
    _xlfn.LET(
        _xlpm.is_data_present, $A228&lt;&gt;0,
        _xlpm.is_camera_present, COUNTIFS(Log!$C:$C, $A228, Log!$D:$D, S$4, Log!$A:$A, "Daily", Log!$B:$B, "n/a"),
        _xlpm.we_camera_on_date, IFERROR(AVERAGEIFS(Log!$F:$F, Log!$D:$D,S$4, Log!$C:$C, $A228, Log!$A:$A, "Daily", Log!$B:$B, "n/a"), 0),
        _xlpm.ie_camera_on_date, IFERROR(AVERAGEIFS(Log!$G:$G, Log!$D:$D,S$4, Log!$C:$C, $A228, Log!$A:$A, "Daily", Log!$B:$B, "n/a"), 0),
        _xlpm.we_avg, IFERROR(AVERAGEIFS(Log!$F:$F,Log!$C:$C,$A228, Log!$A:$A, "Daily", Log!$B:$B, "n/a"),0),
        _xlpm.ie_avg, IFERROR(AVERAGEIFS(Log!$G:$G,Log!$C:$C,$A228,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29" spans="2:19" x14ac:dyDescent="0.3">
      <c r="B229" s="68" t="str">
        <f>IFERROR(
    _xlfn.LET(
        _xlpm.is_data_present, $A229&lt;&gt;0,
        _xlpm.is_camera_present, COUNTIFS(Log!$C:$C, $A229, Log!$D:$D, B$4, Log!$A:$A, "Daily", Log!$B:$B, "n/a"),
        _xlpm.we_camera_on_date, IFERROR(AVERAGEIFS(Log!$F:$F, Log!$D:$D,B$4, Log!$C:$C, $A229, Log!$A:$A, "Daily", Log!$B:$B, "n/a"), 0),
        _xlpm.ie_camera_on_date, IFERROR(AVERAGEIFS(Log!$G:$G, Log!$D:$D,B$4,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29" s="68" t="str">
        <f>IFERROR(
    _xlfn.LET(
        _xlpm.is_data_present, $A229&lt;&gt;0,
        _xlpm.is_camera_present, COUNTIFS(Log!$C:$C, $A229, Log!$D:$D, C$4, Log!$A:$A, "Daily", Log!$B:$B, "n/a"),
        _xlpm.we_camera_on_date, IFERROR(AVERAGEIFS(Log!$F:$F, Log!$D:$D,C$4, Log!$C:$C, $A229, Log!$A:$A, "Daily", Log!$B:$B, "n/a"), 0),
        _xlpm.ie_camera_on_date, IFERROR(AVERAGEIFS(Log!$G:$G, Log!$D:$D,C$4,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29" s="68" t="str">
        <f>IFERROR(
    _xlfn.LET(
        _xlpm.is_data_present, $A229&lt;&gt;0,
        _xlpm.is_camera_present, COUNTIFS(Log!$C:$C, $A229, Log!$D:$D, D$4, Log!$A:$A, "Daily", Log!$B:$B, "n/a"),
        _xlpm.we_camera_on_date, IFERROR(AVERAGEIFS(Log!$F:$F, Log!$D:$D,D$4, Log!$C:$C, $A229, Log!$A:$A, "Daily", Log!$B:$B, "n/a"), 0),
        _xlpm.ie_camera_on_date, IFERROR(AVERAGEIFS(Log!$G:$G, Log!$D:$D,D$4,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29" s="68" t="str">
        <f>IFERROR(
    _xlfn.LET(
        _xlpm.is_data_present, $A229&lt;&gt;0,
        _xlpm.is_camera_present, COUNTIFS(Log!$C:$C, $A229, Log!$D:$D, E$4, Log!$A:$A, "Daily", Log!$B:$B, "n/a"),
        _xlpm.we_camera_on_date, IFERROR(AVERAGEIFS(Log!$F:$F, Log!$D:$D,E$4, Log!$C:$C, $A229, Log!$A:$A, "Daily", Log!$B:$B, "n/a"), 0),
        _xlpm.ie_camera_on_date, IFERROR(AVERAGEIFS(Log!$G:$G, Log!$D:$D,E$4,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29" s="68" t="str">
        <f>IFERROR(
    _xlfn.LET(
        _xlpm.is_data_present, $A229&lt;&gt;0,
        _xlpm.is_camera_present, COUNTIFS(Log!$C:$C, $A229, Log!$D:$D, F$4, Log!$A:$A, "Daily", Log!$B:$B, "n/a"),
        _xlpm.we_camera_on_date, IFERROR(AVERAGEIFS(Log!$F:$F, Log!$D:$D,F$4, Log!$C:$C, $A229, Log!$A:$A, "Daily", Log!$B:$B, "n/a"), 0),
        _xlpm.ie_camera_on_date, IFERROR(AVERAGEIFS(Log!$G:$G, Log!$D:$D,F$4,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29" s="68" t="str">
        <f>IFERROR(
    _xlfn.LET(
        _xlpm.is_data_present, $A229&lt;&gt;0,
        _xlpm.is_camera_present, COUNTIFS(Log!$C:$C, $A229, Log!$D:$D, G$4, Log!$A:$A, "Daily", Log!$B:$B, "n/a"),
        _xlpm.we_camera_on_date, IFERROR(AVERAGEIFS(Log!$F:$F, Log!$D:$D,G$4, Log!$C:$C, $A229, Log!$A:$A, "Daily", Log!$B:$B, "n/a"), 0),
        _xlpm.ie_camera_on_date, IFERROR(AVERAGEIFS(Log!$G:$G, Log!$D:$D,G$4,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29" s="68" t="str">
        <f>IFERROR(
    _xlfn.LET(
        _xlpm.is_data_present, $A229&lt;&gt;0,
        _xlpm.is_camera_present, COUNTIFS(Log!$C:$C, $A229, Log!$D:$D, H$4, Log!$A:$A, "Daily", Log!$B:$B, "n/a"),
        _xlpm.we_camera_on_date, IFERROR(AVERAGEIFS(Log!$F:$F, Log!$D:$D,H$4, Log!$C:$C, $A229, Log!$A:$A, "Daily", Log!$B:$B, "n/a"), 0),
        _xlpm.ie_camera_on_date, IFERROR(AVERAGEIFS(Log!$G:$G, Log!$D:$D,H$4,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29" s="68" t="str">
        <f>IFERROR(
    _xlfn.LET(
        _xlpm.is_data_present, $A229&lt;&gt;0,
        _xlpm.is_camera_present, COUNTIFS(Log!$C:$C, $A229, Log!$D:$D, I$4, Log!$A:$A, "Daily", Log!$B:$B, "n/a"),
        _xlpm.we_camera_on_date, IFERROR(AVERAGEIFS(Log!$F:$F, Log!$D:$D,I$4, Log!$C:$C, $A229, Log!$A:$A, "Daily", Log!$B:$B, "n/a"), 0),
        _xlpm.ie_camera_on_date, IFERROR(AVERAGEIFS(Log!$G:$G, Log!$D:$D,I$4,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29" s="68" t="str">
        <f>IFERROR(
    _xlfn.LET(
        _xlpm.is_data_present, $A229&lt;&gt;0,
        _xlpm.is_camera_present, COUNTIFS(Log!$C:$C, $A229, Log!$D:$D, J$4, Log!$A:$A, "Daily", Log!$B:$B, "n/a"),
        _xlpm.we_camera_on_date, IFERROR(AVERAGEIFS(Log!$F:$F, Log!$D:$D,J$4, Log!$C:$C, $A229, Log!$A:$A, "Daily", Log!$B:$B, "n/a"), 0),
        _xlpm.ie_camera_on_date, IFERROR(AVERAGEIFS(Log!$G:$G, Log!$D:$D,J$4,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29" s="68" t="str">
        <f>IFERROR(
    _xlfn.LET(
        _xlpm.is_data_present, $A229&lt;&gt;0,
        _xlpm.is_camera_present, COUNTIFS(Log!$C:$C, $A229, Log!$D:$D, K$4, Log!$A:$A, "Daily", Log!$B:$B, "n/a"),
        _xlpm.we_camera_on_date, IFERROR(AVERAGEIFS(Log!$F:$F, Log!$D:$D,K$4, Log!$C:$C, $A229, Log!$A:$A, "Daily", Log!$B:$B, "n/a"), 0),
        _xlpm.ie_camera_on_date, IFERROR(AVERAGEIFS(Log!$G:$G, Log!$D:$D,K$4,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29" s="68" t="str">
        <f>IFERROR(
    _xlfn.LET(
        _xlpm.is_data_present, $A229&lt;&gt;0,
        _xlpm.is_camera_present, COUNTIFS(Log!$C:$C, $A229, Log!$D:$D, L$4, Log!$A:$A, "Daily", Log!$B:$B, "n/a"),
        _xlpm.we_camera_on_date, IFERROR(AVERAGEIFS(Log!$F:$F, Log!$D:$D,L$4, Log!$C:$C, $A229, Log!$A:$A, "Daily", Log!$B:$B, "n/a"), 0),
        _xlpm.ie_camera_on_date, IFERROR(AVERAGEIFS(Log!$G:$G, Log!$D:$D,L$4,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29" s="68" t="str">
        <f>IFERROR(
    _xlfn.LET(
        _xlpm.is_data_present, $A229&lt;&gt;0,
        _xlpm.is_camera_present, COUNTIFS(Log!$C:$C, $A229, Log!$D:$D, M$4, Log!$A:$A, "Daily", Log!$B:$B, "n/a"),
        _xlpm.we_camera_on_date, IFERROR(AVERAGEIFS(Log!$F:$F, Log!$D:$D,M$4, Log!$C:$C, $A229, Log!$A:$A, "Daily", Log!$B:$B, "n/a"), 0),
        _xlpm.ie_camera_on_date, IFERROR(AVERAGEIFS(Log!$G:$G, Log!$D:$D,M$4,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29" s="68" t="str">
        <f>IFERROR(
    _xlfn.LET(
        _xlpm.is_data_present, $A229&lt;&gt;0,
        _xlpm.is_camera_present, COUNTIFS(Log!$C:$C, $A229, Log!$D:$D, N$4, Log!$A:$A, "Daily", Log!$B:$B, "n/a"),
        _xlpm.we_camera_on_date, IFERROR(AVERAGEIFS(Log!$F:$F, Log!$D:$D,N$4, Log!$C:$C, $A229, Log!$A:$A, "Daily", Log!$B:$B, "n/a"), 0),
        _xlpm.ie_camera_on_date, IFERROR(AVERAGEIFS(Log!$G:$G, Log!$D:$D,N$4,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29" s="68" t="str">
        <f>IFERROR(
    _xlfn.LET(
        _xlpm.is_data_present, $A229&lt;&gt;0,
        _xlpm.is_camera_present, COUNTIFS(Log!$C:$C, $A229, Log!$D:$D, O$4, Log!$A:$A, "Daily", Log!$B:$B, "n/a"),
        _xlpm.we_camera_on_date, IFERROR(AVERAGEIFS(Log!$F:$F, Log!$D:$D,O$4, Log!$C:$C, $A229, Log!$A:$A, "Daily", Log!$B:$B, "n/a"), 0),
        _xlpm.ie_camera_on_date, IFERROR(AVERAGEIFS(Log!$G:$G, Log!$D:$D,O$4,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29" s="68" t="str">
        <f>IFERROR(
    _xlfn.LET(
        _xlpm.is_data_present, $A229&lt;&gt;0,
        _xlpm.is_camera_present, COUNTIFS(Log!$C:$C, $A229, Log!$D:$D, P$4, Log!$A:$A, "Daily", Log!$B:$B, "n/a"),
        _xlpm.we_camera_on_date, IFERROR(AVERAGEIFS(Log!$F:$F, Log!$D:$D,P$4, Log!$C:$C, $A229, Log!$A:$A, "Daily", Log!$B:$B, "n/a"), 0),
        _xlpm.ie_camera_on_date, IFERROR(AVERAGEIFS(Log!$G:$G, Log!$D:$D,P$4,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29" s="68" t="str">
        <f>IFERROR(
    _xlfn.LET(
        _xlpm.is_data_present, $A229&lt;&gt;0,
        _xlpm.is_camera_present, COUNTIFS(Log!$C:$C, $A229, Log!$D:$D, Q$4, Log!$A:$A, "Daily", Log!$B:$B, "n/a"),
        _xlpm.we_camera_on_date, IFERROR(AVERAGEIFS(Log!$F:$F, Log!$D:$D,Q$4, Log!$C:$C, $A229, Log!$A:$A, "Daily", Log!$B:$B, "n/a"), 0),
        _xlpm.ie_camera_on_date, IFERROR(AVERAGEIFS(Log!$G:$G, Log!$D:$D,Q$4,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29" s="68" t="str">
        <f>IFERROR(
    _xlfn.LET(
        _xlpm.is_data_present, $A229&lt;&gt;0,
        _xlpm.is_camera_present, COUNTIFS(Log!$C:$C, $A229, Log!$D:$D, R$4, Log!$A:$A, "Daily", Log!$B:$B, "n/a"),
        _xlpm.we_camera_on_date, IFERROR(AVERAGEIFS(Log!$F:$F, Log!$D:$D,R$4, Log!$C:$C, $A229, Log!$A:$A, "Daily", Log!$B:$B, "n/a"), 0),
        _xlpm.ie_camera_on_date, IFERROR(AVERAGEIFS(Log!$G:$G, Log!$D:$D,R$4,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29" s="68" t="str">
        <f>IFERROR(
    _xlfn.LET(
        _xlpm.is_data_present, $A229&lt;&gt;0,
        _xlpm.is_camera_present, COUNTIFS(Log!$C:$C, $A229, Log!$D:$D, S$4, Log!$A:$A, "Daily", Log!$B:$B, "n/a"),
        _xlpm.we_camera_on_date, IFERROR(AVERAGEIFS(Log!$F:$F, Log!$D:$D,S$4, Log!$C:$C, $A229, Log!$A:$A, "Daily", Log!$B:$B, "n/a"), 0),
        _xlpm.ie_camera_on_date, IFERROR(AVERAGEIFS(Log!$G:$G, Log!$D:$D,S$4, Log!$C:$C, $A229, Log!$A:$A, "Daily", Log!$B:$B, "n/a"), 0),
        _xlpm.we_avg, IFERROR(AVERAGEIFS(Log!$F:$F,Log!$C:$C,$A229, Log!$A:$A, "Daily", Log!$B:$B, "n/a"),0),
        _xlpm.ie_avg, IFERROR(AVERAGEIFS(Log!$G:$G,Log!$C:$C,$A229,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0" spans="2:19" x14ac:dyDescent="0.3">
      <c r="B230" s="68" t="str">
        <f>IFERROR(
    _xlfn.LET(
        _xlpm.is_data_present, $A230&lt;&gt;0,
        _xlpm.is_camera_present, COUNTIFS(Log!$C:$C, $A230, Log!$D:$D, B$4, Log!$A:$A, "Daily", Log!$B:$B, "n/a"),
        _xlpm.we_camera_on_date, IFERROR(AVERAGEIFS(Log!$F:$F, Log!$D:$D,B$4, Log!$C:$C, $A230, Log!$A:$A, "Daily", Log!$B:$B, "n/a"), 0),
        _xlpm.ie_camera_on_date, IFERROR(AVERAGEIFS(Log!$G:$G, Log!$D:$D,B$4,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0" s="68" t="str">
        <f>IFERROR(
    _xlfn.LET(
        _xlpm.is_data_present, $A230&lt;&gt;0,
        _xlpm.is_camera_present, COUNTIFS(Log!$C:$C, $A230, Log!$D:$D, C$4, Log!$A:$A, "Daily", Log!$B:$B, "n/a"),
        _xlpm.we_camera_on_date, IFERROR(AVERAGEIFS(Log!$F:$F, Log!$D:$D,C$4, Log!$C:$C, $A230, Log!$A:$A, "Daily", Log!$B:$B, "n/a"), 0),
        _xlpm.ie_camera_on_date, IFERROR(AVERAGEIFS(Log!$G:$G, Log!$D:$D,C$4,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0" s="68" t="str">
        <f>IFERROR(
    _xlfn.LET(
        _xlpm.is_data_present, $A230&lt;&gt;0,
        _xlpm.is_camera_present, COUNTIFS(Log!$C:$C, $A230, Log!$D:$D, D$4, Log!$A:$A, "Daily", Log!$B:$B, "n/a"),
        _xlpm.we_camera_on_date, IFERROR(AVERAGEIFS(Log!$F:$F, Log!$D:$D,D$4, Log!$C:$C, $A230, Log!$A:$A, "Daily", Log!$B:$B, "n/a"), 0),
        _xlpm.ie_camera_on_date, IFERROR(AVERAGEIFS(Log!$G:$G, Log!$D:$D,D$4,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0" s="68" t="str">
        <f>IFERROR(
    _xlfn.LET(
        _xlpm.is_data_present, $A230&lt;&gt;0,
        _xlpm.is_camera_present, COUNTIFS(Log!$C:$C, $A230, Log!$D:$D, E$4, Log!$A:$A, "Daily", Log!$B:$B, "n/a"),
        _xlpm.we_camera_on_date, IFERROR(AVERAGEIFS(Log!$F:$F, Log!$D:$D,E$4, Log!$C:$C, $A230, Log!$A:$A, "Daily", Log!$B:$B, "n/a"), 0),
        _xlpm.ie_camera_on_date, IFERROR(AVERAGEIFS(Log!$G:$G, Log!$D:$D,E$4,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0" s="68" t="str">
        <f>IFERROR(
    _xlfn.LET(
        _xlpm.is_data_present, $A230&lt;&gt;0,
        _xlpm.is_camera_present, COUNTIFS(Log!$C:$C, $A230, Log!$D:$D, F$4, Log!$A:$A, "Daily", Log!$B:$B, "n/a"),
        _xlpm.we_camera_on_date, IFERROR(AVERAGEIFS(Log!$F:$F, Log!$D:$D,F$4, Log!$C:$C, $A230, Log!$A:$A, "Daily", Log!$B:$B, "n/a"), 0),
        _xlpm.ie_camera_on_date, IFERROR(AVERAGEIFS(Log!$G:$G, Log!$D:$D,F$4,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0" s="68" t="str">
        <f>IFERROR(
    _xlfn.LET(
        _xlpm.is_data_present, $A230&lt;&gt;0,
        _xlpm.is_camera_present, COUNTIFS(Log!$C:$C, $A230, Log!$D:$D, G$4, Log!$A:$A, "Daily", Log!$B:$B, "n/a"),
        _xlpm.we_camera_on_date, IFERROR(AVERAGEIFS(Log!$F:$F, Log!$D:$D,G$4, Log!$C:$C, $A230, Log!$A:$A, "Daily", Log!$B:$B, "n/a"), 0),
        _xlpm.ie_camera_on_date, IFERROR(AVERAGEIFS(Log!$G:$G, Log!$D:$D,G$4,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0" s="68" t="str">
        <f>IFERROR(
    _xlfn.LET(
        _xlpm.is_data_present, $A230&lt;&gt;0,
        _xlpm.is_camera_present, COUNTIFS(Log!$C:$C, $A230, Log!$D:$D, H$4, Log!$A:$A, "Daily", Log!$B:$B, "n/a"),
        _xlpm.we_camera_on_date, IFERROR(AVERAGEIFS(Log!$F:$F, Log!$D:$D,H$4, Log!$C:$C, $A230, Log!$A:$A, "Daily", Log!$B:$B, "n/a"), 0),
        _xlpm.ie_camera_on_date, IFERROR(AVERAGEIFS(Log!$G:$G, Log!$D:$D,H$4,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0" s="68" t="str">
        <f>IFERROR(
    _xlfn.LET(
        _xlpm.is_data_present, $A230&lt;&gt;0,
        _xlpm.is_camera_present, COUNTIFS(Log!$C:$C, $A230, Log!$D:$D, I$4, Log!$A:$A, "Daily", Log!$B:$B, "n/a"),
        _xlpm.we_camera_on_date, IFERROR(AVERAGEIFS(Log!$F:$F, Log!$D:$D,I$4, Log!$C:$C, $A230, Log!$A:$A, "Daily", Log!$B:$B, "n/a"), 0),
        _xlpm.ie_camera_on_date, IFERROR(AVERAGEIFS(Log!$G:$G, Log!$D:$D,I$4,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0" s="68" t="str">
        <f>IFERROR(
    _xlfn.LET(
        _xlpm.is_data_present, $A230&lt;&gt;0,
        _xlpm.is_camera_present, COUNTIFS(Log!$C:$C, $A230, Log!$D:$D, J$4, Log!$A:$A, "Daily", Log!$B:$B, "n/a"),
        _xlpm.we_camera_on_date, IFERROR(AVERAGEIFS(Log!$F:$F, Log!$D:$D,J$4, Log!$C:$C, $A230, Log!$A:$A, "Daily", Log!$B:$B, "n/a"), 0),
        _xlpm.ie_camera_on_date, IFERROR(AVERAGEIFS(Log!$G:$G, Log!$D:$D,J$4,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0" s="68" t="str">
        <f>IFERROR(
    _xlfn.LET(
        _xlpm.is_data_present, $A230&lt;&gt;0,
        _xlpm.is_camera_present, COUNTIFS(Log!$C:$C, $A230, Log!$D:$D, K$4, Log!$A:$A, "Daily", Log!$B:$B, "n/a"),
        _xlpm.we_camera_on_date, IFERROR(AVERAGEIFS(Log!$F:$F, Log!$D:$D,K$4, Log!$C:$C, $A230, Log!$A:$A, "Daily", Log!$B:$B, "n/a"), 0),
        _xlpm.ie_camera_on_date, IFERROR(AVERAGEIFS(Log!$G:$G, Log!$D:$D,K$4,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0" s="68" t="str">
        <f>IFERROR(
    _xlfn.LET(
        _xlpm.is_data_present, $A230&lt;&gt;0,
        _xlpm.is_camera_present, COUNTIFS(Log!$C:$C, $A230, Log!$D:$D, L$4, Log!$A:$A, "Daily", Log!$B:$B, "n/a"),
        _xlpm.we_camera_on_date, IFERROR(AVERAGEIFS(Log!$F:$F, Log!$D:$D,L$4, Log!$C:$C, $A230, Log!$A:$A, "Daily", Log!$B:$B, "n/a"), 0),
        _xlpm.ie_camera_on_date, IFERROR(AVERAGEIFS(Log!$G:$G, Log!$D:$D,L$4,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0" s="68" t="str">
        <f>IFERROR(
    _xlfn.LET(
        _xlpm.is_data_present, $A230&lt;&gt;0,
        _xlpm.is_camera_present, COUNTIFS(Log!$C:$C, $A230, Log!$D:$D, M$4, Log!$A:$A, "Daily", Log!$B:$B, "n/a"),
        _xlpm.we_camera_on_date, IFERROR(AVERAGEIFS(Log!$F:$F, Log!$D:$D,M$4, Log!$C:$C, $A230, Log!$A:$A, "Daily", Log!$B:$B, "n/a"), 0),
        _xlpm.ie_camera_on_date, IFERROR(AVERAGEIFS(Log!$G:$G, Log!$D:$D,M$4,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0" s="68" t="str">
        <f>IFERROR(
    _xlfn.LET(
        _xlpm.is_data_present, $A230&lt;&gt;0,
        _xlpm.is_camera_present, COUNTIFS(Log!$C:$C, $A230, Log!$D:$D, N$4, Log!$A:$A, "Daily", Log!$B:$B, "n/a"),
        _xlpm.we_camera_on_date, IFERROR(AVERAGEIFS(Log!$F:$F, Log!$D:$D,N$4, Log!$C:$C, $A230, Log!$A:$A, "Daily", Log!$B:$B, "n/a"), 0),
        _xlpm.ie_camera_on_date, IFERROR(AVERAGEIFS(Log!$G:$G, Log!$D:$D,N$4,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0" s="68" t="str">
        <f>IFERROR(
    _xlfn.LET(
        _xlpm.is_data_present, $A230&lt;&gt;0,
        _xlpm.is_camera_present, COUNTIFS(Log!$C:$C, $A230, Log!$D:$D, O$4, Log!$A:$A, "Daily", Log!$B:$B, "n/a"),
        _xlpm.we_camera_on_date, IFERROR(AVERAGEIFS(Log!$F:$F, Log!$D:$D,O$4, Log!$C:$C, $A230, Log!$A:$A, "Daily", Log!$B:$B, "n/a"), 0),
        _xlpm.ie_camera_on_date, IFERROR(AVERAGEIFS(Log!$G:$G, Log!$D:$D,O$4,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0" s="68" t="str">
        <f>IFERROR(
    _xlfn.LET(
        _xlpm.is_data_present, $A230&lt;&gt;0,
        _xlpm.is_camera_present, COUNTIFS(Log!$C:$C, $A230, Log!$D:$D, P$4, Log!$A:$A, "Daily", Log!$B:$B, "n/a"),
        _xlpm.we_camera_on_date, IFERROR(AVERAGEIFS(Log!$F:$F, Log!$D:$D,P$4, Log!$C:$C, $A230, Log!$A:$A, "Daily", Log!$B:$B, "n/a"), 0),
        _xlpm.ie_camera_on_date, IFERROR(AVERAGEIFS(Log!$G:$G, Log!$D:$D,P$4,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0" s="68" t="str">
        <f>IFERROR(
    _xlfn.LET(
        _xlpm.is_data_present, $A230&lt;&gt;0,
        _xlpm.is_camera_present, COUNTIFS(Log!$C:$C, $A230, Log!$D:$D, Q$4, Log!$A:$A, "Daily", Log!$B:$B, "n/a"),
        _xlpm.we_camera_on_date, IFERROR(AVERAGEIFS(Log!$F:$F, Log!$D:$D,Q$4, Log!$C:$C, $A230, Log!$A:$A, "Daily", Log!$B:$B, "n/a"), 0),
        _xlpm.ie_camera_on_date, IFERROR(AVERAGEIFS(Log!$G:$G, Log!$D:$D,Q$4,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0" s="68" t="str">
        <f>IFERROR(
    _xlfn.LET(
        _xlpm.is_data_present, $A230&lt;&gt;0,
        _xlpm.is_camera_present, COUNTIFS(Log!$C:$C, $A230, Log!$D:$D, R$4, Log!$A:$A, "Daily", Log!$B:$B, "n/a"),
        _xlpm.we_camera_on_date, IFERROR(AVERAGEIFS(Log!$F:$F, Log!$D:$D,R$4, Log!$C:$C, $A230, Log!$A:$A, "Daily", Log!$B:$B, "n/a"), 0),
        _xlpm.ie_camera_on_date, IFERROR(AVERAGEIFS(Log!$G:$G, Log!$D:$D,R$4,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0" s="68" t="str">
        <f>IFERROR(
    _xlfn.LET(
        _xlpm.is_data_present, $A230&lt;&gt;0,
        _xlpm.is_camera_present, COUNTIFS(Log!$C:$C, $A230, Log!$D:$D, S$4, Log!$A:$A, "Daily", Log!$B:$B, "n/a"),
        _xlpm.we_camera_on_date, IFERROR(AVERAGEIFS(Log!$F:$F, Log!$D:$D,S$4, Log!$C:$C, $A230, Log!$A:$A, "Daily", Log!$B:$B, "n/a"), 0),
        _xlpm.ie_camera_on_date, IFERROR(AVERAGEIFS(Log!$G:$G, Log!$D:$D,S$4, Log!$C:$C, $A230, Log!$A:$A, "Daily", Log!$B:$B, "n/a"), 0),
        _xlpm.we_avg, IFERROR(AVERAGEIFS(Log!$F:$F,Log!$C:$C,$A230, Log!$A:$A, "Daily", Log!$B:$B, "n/a"),0),
        _xlpm.ie_avg, IFERROR(AVERAGEIFS(Log!$G:$G,Log!$C:$C,$A230,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1" spans="2:19" x14ac:dyDescent="0.3">
      <c r="B231" s="68" t="str">
        <f>IFERROR(
    _xlfn.LET(
        _xlpm.is_data_present, $A231&lt;&gt;0,
        _xlpm.is_camera_present, COUNTIFS(Log!$C:$C, $A231, Log!$D:$D, B$4, Log!$A:$A, "Daily", Log!$B:$B, "n/a"),
        _xlpm.we_camera_on_date, IFERROR(AVERAGEIFS(Log!$F:$F, Log!$D:$D,B$4, Log!$C:$C, $A231, Log!$A:$A, "Daily", Log!$B:$B, "n/a"), 0),
        _xlpm.ie_camera_on_date, IFERROR(AVERAGEIFS(Log!$G:$G, Log!$D:$D,B$4,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1" s="68" t="str">
        <f>IFERROR(
    _xlfn.LET(
        _xlpm.is_data_present, $A231&lt;&gt;0,
        _xlpm.is_camera_present, COUNTIFS(Log!$C:$C, $A231, Log!$D:$D, C$4, Log!$A:$A, "Daily", Log!$B:$B, "n/a"),
        _xlpm.we_camera_on_date, IFERROR(AVERAGEIFS(Log!$F:$F, Log!$D:$D,C$4, Log!$C:$C, $A231, Log!$A:$A, "Daily", Log!$B:$B, "n/a"), 0),
        _xlpm.ie_camera_on_date, IFERROR(AVERAGEIFS(Log!$G:$G, Log!$D:$D,C$4,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1" s="68" t="str">
        <f>IFERROR(
    _xlfn.LET(
        _xlpm.is_data_present, $A231&lt;&gt;0,
        _xlpm.is_camera_present, COUNTIFS(Log!$C:$C, $A231, Log!$D:$D, D$4, Log!$A:$A, "Daily", Log!$B:$B, "n/a"),
        _xlpm.we_camera_on_date, IFERROR(AVERAGEIFS(Log!$F:$F, Log!$D:$D,D$4, Log!$C:$C, $A231, Log!$A:$A, "Daily", Log!$B:$B, "n/a"), 0),
        _xlpm.ie_camera_on_date, IFERROR(AVERAGEIFS(Log!$G:$G, Log!$D:$D,D$4,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1" s="68" t="str">
        <f>IFERROR(
    _xlfn.LET(
        _xlpm.is_data_present, $A231&lt;&gt;0,
        _xlpm.is_camera_present, COUNTIFS(Log!$C:$C, $A231, Log!$D:$D, E$4, Log!$A:$A, "Daily", Log!$B:$B, "n/a"),
        _xlpm.we_camera_on_date, IFERROR(AVERAGEIFS(Log!$F:$F, Log!$D:$D,E$4, Log!$C:$C, $A231, Log!$A:$A, "Daily", Log!$B:$B, "n/a"), 0),
        _xlpm.ie_camera_on_date, IFERROR(AVERAGEIFS(Log!$G:$G, Log!$D:$D,E$4,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1" s="68" t="str">
        <f>IFERROR(
    _xlfn.LET(
        _xlpm.is_data_present, $A231&lt;&gt;0,
        _xlpm.is_camera_present, COUNTIFS(Log!$C:$C, $A231, Log!$D:$D, F$4, Log!$A:$A, "Daily", Log!$B:$B, "n/a"),
        _xlpm.we_camera_on_date, IFERROR(AVERAGEIFS(Log!$F:$F, Log!$D:$D,F$4, Log!$C:$C, $A231, Log!$A:$A, "Daily", Log!$B:$B, "n/a"), 0),
        _xlpm.ie_camera_on_date, IFERROR(AVERAGEIFS(Log!$G:$G, Log!$D:$D,F$4,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1" s="68" t="str">
        <f>IFERROR(
    _xlfn.LET(
        _xlpm.is_data_present, $A231&lt;&gt;0,
        _xlpm.is_camera_present, COUNTIFS(Log!$C:$C, $A231, Log!$D:$D, G$4, Log!$A:$A, "Daily", Log!$B:$B, "n/a"),
        _xlpm.we_camera_on_date, IFERROR(AVERAGEIFS(Log!$F:$F, Log!$D:$D,G$4, Log!$C:$C, $A231, Log!$A:$A, "Daily", Log!$B:$B, "n/a"), 0),
        _xlpm.ie_camera_on_date, IFERROR(AVERAGEIFS(Log!$G:$G, Log!$D:$D,G$4,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1" s="68" t="str">
        <f>IFERROR(
    _xlfn.LET(
        _xlpm.is_data_present, $A231&lt;&gt;0,
        _xlpm.is_camera_present, COUNTIFS(Log!$C:$C, $A231, Log!$D:$D, H$4, Log!$A:$A, "Daily", Log!$B:$B, "n/a"),
        _xlpm.we_camera_on_date, IFERROR(AVERAGEIFS(Log!$F:$F, Log!$D:$D,H$4, Log!$C:$C, $A231, Log!$A:$A, "Daily", Log!$B:$B, "n/a"), 0),
        _xlpm.ie_camera_on_date, IFERROR(AVERAGEIFS(Log!$G:$G, Log!$D:$D,H$4,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1" s="68" t="str">
        <f>IFERROR(
    _xlfn.LET(
        _xlpm.is_data_present, $A231&lt;&gt;0,
        _xlpm.is_camera_present, COUNTIFS(Log!$C:$C, $A231, Log!$D:$D, I$4, Log!$A:$A, "Daily", Log!$B:$B, "n/a"),
        _xlpm.we_camera_on_date, IFERROR(AVERAGEIFS(Log!$F:$F, Log!$D:$D,I$4, Log!$C:$C, $A231, Log!$A:$A, "Daily", Log!$B:$B, "n/a"), 0),
        _xlpm.ie_camera_on_date, IFERROR(AVERAGEIFS(Log!$G:$G, Log!$D:$D,I$4,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1" s="68" t="str">
        <f>IFERROR(
    _xlfn.LET(
        _xlpm.is_data_present, $A231&lt;&gt;0,
        _xlpm.is_camera_present, COUNTIFS(Log!$C:$C, $A231, Log!$D:$D, J$4, Log!$A:$A, "Daily", Log!$B:$B, "n/a"),
        _xlpm.we_camera_on_date, IFERROR(AVERAGEIFS(Log!$F:$F, Log!$D:$D,J$4, Log!$C:$C, $A231, Log!$A:$A, "Daily", Log!$B:$B, "n/a"), 0),
        _xlpm.ie_camera_on_date, IFERROR(AVERAGEIFS(Log!$G:$G, Log!$D:$D,J$4,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1" s="68" t="str">
        <f>IFERROR(
    _xlfn.LET(
        _xlpm.is_data_present, $A231&lt;&gt;0,
        _xlpm.is_camera_present, COUNTIFS(Log!$C:$C, $A231, Log!$D:$D, K$4, Log!$A:$A, "Daily", Log!$B:$B, "n/a"),
        _xlpm.we_camera_on_date, IFERROR(AVERAGEIFS(Log!$F:$F, Log!$D:$D,K$4, Log!$C:$C, $A231, Log!$A:$A, "Daily", Log!$B:$B, "n/a"), 0),
        _xlpm.ie_camera_on_date, IFERROR(AVERAGEIFS(Log!$G:$G, Log!$D:$D,K$4,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1" s="68" t="str">
        <f>IFERROR(
    _xlfn.LET(
        _xlpm.is_data_present, $A231&lt;&gt;0,
        _xlpm.is_camera_present, COUNTIFS(Log!$C:$C, $A231, Log!$D:$D, L$4, Log!$A:$A, "Daily", Log!$B:$B, "n/a"),
        _xlpm.we_camera_on_date, IFERROR(AVERAGEIFS(Log!$F:$F, Log!$D:$D,L$4, Log!$C:$C, $A231, Log!$A:$A, "Daily", Log!$B:$B, "n/a"), 0),
        _xlpm.ie_camera_on_date, IFERROR(AVERAGEIFS(Log!$G:$G, Log!$D:$D,L$4,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1" s="68" t="str">
        <f>IFERROR(
    _xlfn.LET(
        _xlpm.is_data_present, $A231&lt;&gt;0,
        _xlpm.is_camera_present, COUNTIFS(Log!$C:$C, $A231, Log!$D:$D, M$4, Log!$A:$A, "Daily", Log!$B:$B, "n/a"),
        _xlpm.we_camera_on_date, IFERROR(AVERAGEIFS(Log!$F:$F, Log!$D:$D,M$4, Log!$C:$C, $A231, Log!$A:$A, "Daily", Log!$B:$B, "n/a"), 0),
        _xlpm.ie_camera_on_date, IFERROR(AVERAGEIFS(Log!$G:$G, Log!$D:$D,M$4,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1" s="68" t="str">
        <f>IFERROR(
    _xlfn.LET(
        _xlpm.is_data_present, $A231&lt;&gt;0,
        _xlpm.is_camera_present, COUNTIFS(Log!$C:$C, $A231, Log!$D:$D, N$4, Log!$A:$A, "Daily", Log!$B:$B, "n/a"),
        _xlpm.we_camera_on_date, IFERROR(AVERAGEIFS(Log!$F:$F, Log!$D:$D,N$4, Log!$C:$C, $A231, Log!$A:$A, "Daily", Log!$B:$B, "n/a"), 0),
        _xlpm.ie_camera_on_date, IFERROR(AVERAGEIFS(Log!$G:$G, Log!$D:$D,N$4,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1" s="68" t="str">
        <f>IFERROR(
    _xlfn.LET(
        _xlpm.is_data_present, $A231&lt;&gt;0,
        _xlpm.is_camera_present, COUNTIFS(Log!$C:$C, $A231, Log!$D:$D, O$4, Log!$A:$A, "Daily", Log!$B:$B, "n/a"),
        _xlpm.we_camera_on_date, IFERROR(AVERAGEIFS(Log!$F:$F, Log!$D:$D,O$4, Log!$C:$C, $A231, Log!$A:$A, "Daily", Log!$B:$B, "n/a"), 0),
        _xlpm.ie_camera_on_date, IFERROR(AVERAGEIFS(Log!$G:$G, Log!$D:$D,O$4,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1" s="68" t="str">
        <f>IFERROR(
    _xlfn.LET(
        _xlpm.is_data_present, $A231&lt;&gt;0,
        _xlpm.is_camera_present, COUNTIFS(Log!$C:$C, $A231, Log!$D:$D, P$4, Log!$A:$A, "Daily", Log!$B:$B, "n/a"),
        _xlpm.we_camera_on_date, IFERROR(AVERAGEIFS(Log!$F:$F, Log!$D:$D,P$4, Log!$C:$C, $A231, Log!$A:$A, "Daily", Log!$B:$B, "n/a"), 0),
        _xlpm.ie_camera_on_date, IFERROR(AVERAGEIFS(Log!$G:$G, Log!$D:$D,P$4,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1" s="68" t="str">
        <f>IFERROR(
    _xlfn.LET(
        _xlpm.is_data_present, $A231&lt;&gt;0,
        _xlpm.is_camera_present, COUNTIFS(Log!$C:$C, $A231, Log!$D:$D, Q$4, Log!$A:$A, "Daily", Log!$B:$B, "n/a"),
        _xlpm.we_camera_on_date, IFERROR(AVERAGEIFS(Log!$F:$F, Log!$D:$D,Q$4, Log!$C:$C, $A231, Log!$A:$A, "Daily", Log!$B:$B, "n/a"), 0),
        _xlpm.ie_camera_on_date, IFERROR(AVERAGEIFS(Log!$G:$G, Log!$D:$D,Q$4,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1" s="68" t="str">
        <f>IFERROR(
    _xlfn.LET(
        _xlpm.is_data_present, $A231&lt;&gt;0,
        _xlpm.is_camera_present, COUNTIFS(Log!$C:$C, $A231, Log!$D:$D, R$4, Log!$A:$A, "Daily", Log!$B:$B, "n/a"),
        _xlpm.we_camera_on_date, IFERROR(AVERAGEIFS(Log!$F:$F, Log!$D:$D,R$4, Log!$C:$C, $A231, Log!$A:$A, "Daily", Log!$B:$B, "n/a"), 0),
        _xlpm.ie_camera_on_date, IFERROR(AVERAGEIFS(Log!$G:$G, Log!$D:$D,R$4,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1" s="68" t="str">
        <f>IFERROR(
    _xlfn.LET(
        _xlpm.is_data_present, $A231&lt;&gt;0,
        _xlpm.is_camera_present, COUNTIFS(Log!$C:$C, $A231, Log!$D:$D, S$4, Log!$A:$A, "Daily", Log!$B:$B, "n/a"),
        _xlpm.we_camera_on_date, IFERROR(AVERAGEIFS(Log!$F:$F, Log!$D:$D,S$4, Log!$C:$C, $A231, Log!$A:$A, "Daily", Log!$B:$B, "n/a"), 0),
        _xlpm.ie_camera_on_date, IFERROR(AVERAGEIFS(Log!$G:$G, Log!$D:$D,S$4, Log!$C:$C, $A231, Log!$A:$A, "Daily", Log!$B:$B, "n/a"), 0),
        _xlpm.we_avg, IFERROR(AVERAGEIFS(Log!$F:$F,Log!$C:$C,$A231, Log!$A:$A, "Daily", Log!$B:$B, "n/a"),0),
        _xlpm.ie_avg, IFERROR(AVERAGEIFS(Log!$G:$G,Log!$C:$C,$A231,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2" spans="2:19" x14ac:dyDescent="0.3">
      <c r="B232" s="68" t="str">
        <f>IFERROR(
    _xlfn.LET(
        _xlpm.is_data_present, $A232&lt;&gt;0,
        _xlpm.is_camera_present, COUNTIFS(Log!$C:$C, $A232, Log!$D:$D, B$4, Log!$A:$A, "Daily", Log!$B:$B, "n/a"),
        _xlpm.we_camera_on_date, IFERROR(AVERAGEIFS(Log!$F:$F, Log!$D:$D,B$4, Log!$C:$C, $A232, Log!$A:$A, "Daily", Log!$B:$B, "n/a"), 0),
        _xlpm.ie_camera_on_date, IFERROR(AVERAGEIFS(Log!$G:$G, Log!$D:$D,B$4,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2" s="68" t="str">
        <f>IFERROR(
    _xlfn.LET(
        _xlpm.is_data_present, $A232&lt;&gt;0,
        _xlpm.is_camera_present, COUNTIFS(Log!$C:$C, $A232, Log!$D:$D, C$4, Log!$A:$A, "Daily", Log!$B:$B, "n/a"),
        _xlpm.we_camera_on_date, IFERROR(AVERAGEIFS(Log!$F:$F, Log!$D:$D,C$4, Log!$C:$C, $A232, Log!$A:$A, "Daily", Log!$B:$B, "n/a"), 0),
        _xlpm.ie_camera_on_date, IFERROR(AVERAGEIFS(Log!$G:$G, Log!$D:$D,C$4,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2" s="68" t="str">
        <f>IFERROR(
    _xlfn.LET(
        _xlpm.is_data_present, $A232&lt;&gt;0,
        _xlpm.is_camera_present, COUNTIFS(Log!$C:$C, $A232, Log!$D:$D, D$4, Log!$A:$A, "Daily", Log!$B:$B, "n/a"),
        _xlpm.we_camera_on_date, IFERROR(AVERAGEIFS(Log!$F:$F, Log!$D:$D,D$4, Log!$C:$C, $A232, Log!$A:$A, "Daily", Log!$B:$B, "n/a"), 0),
        _xlpm.ie_camera_on_date, IFERROR(AVERAGEIFS(Log!$G:$G, Log!$D:$D,D$4,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2" s="68" t="str">
        <f>IFERROR(
    _xlfn.LET(
        _xlpm.is_data_present, $A232&lt;&gt;0,
        _xlpm.is_camera_present, COUNTIFS(Log!$C:$C, $A232, Log!$D:$D, E$4, Log!$A:$A, "Daily", Log!$B:$B, "n/a"),
        _xlpm.we_camera_on_date, IFERROR(AVERAGEIFS(Log!$F:$F, Log!$D:$D,E$4, Log!$C:$C, $A232, Log!$A:$A, "Daily", Log!$B:$B, "n/a"), 0),
        _xlpm.ie_camera_on_date, IFERROR(AVERAGEIFS(Log!$G:$G, Log!$D:$D,E$4,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2" s="68" t="str">
        <f>IFERROR(
    _xlfn.LET(
        _xlpm.is_data_present, $A232&lt;&gt;0,
        _xlpm.is_camera_present, COUNTIFS(Log!$C:$C, $A232, Log!$D:$D, F$4, Log!$A:$A, "Daily", Log!$B:$B, "n/a"),
        _xlpm.we_camera_on_date, IFERROR(AVERAGEIFS(Log!$F:$F, Log!$D:$D,F$4, Log!$C:$C, $A232, Log!$A:$A, "Daily", Log!$B:$B, "n/a"), 0),
        _xlpm.ie_camera_on_date, IFERROR(AVERAGEIFS(Log!$G:$G, Log!$D:$D,F$4,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2" s="68" t="str">
        <f>IFERROR(
    _xlfn.LET(
        _xlpm.is_data_present, $A232&lt;&gt;0,
        _xlpm.is_camera_present, COUNTIFS(Log!$C:$C, $A232, Log!$D:$D, G$4, Log!$A:$A, "Daily", Log!$B:$B, "n/a"),
        _xlpm.we_camera_on_date, IFERROR(AVERAGEIFS(Log!$F:$F, Log!$D:$D,G$4, Log!$C:$C, $A232, Log!$A:$A, "Daily", Log!$B:$B, "n/a"), 0),
        _xlpm.ie_camera_on_date, IFERROR(AVERAGEIFS(Log!$G:$G, Log!$D:$D,G$4,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2" s="68" t="str">
        <f>IFERROR(
    _xlfn.LET(
        _xlpm.is_data_present, $A232&lt;&gt;0,
        _xlpm.is_camera_present, COUNTIFS(Log!$C:$C, $A232, Log!$D:$D, H$4, Log!$A:$A, "Daily", Log!$B:$B, "n/a"),
        _xlpm.we_camera_on_date, IFERROR(AVERAGEIFS(Log!$F:$F, Log!$D:$D,H$4, Log!$C:$C, $A232, Log!$A:$A, "Daily", Log!$B:$B, "n/a"), 0),
        _xlpm.ie_camera_on_date, IFERROR(AVERAGEIFS(Log!$G:$G, Log!$D:$D,H$4,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2" s="68" t="str">
        <f>IFERROR(
    _xlfn.LET(
        _xlpm.is_data_present, $A232&lt;&gt;0,
        _xlpm.is_camera_present, COUNTIFS(Log!$C:$C, $A232, Log!$D:$D, I$4, Log!$A:$A, "Daily", Log!$B:$B, "n/a"),
        _xlpm.we_camera_on_date, IFERROR(AVERAGEIFS(Log!$F:$F, Log!$D:$D,I$4, Log!$C:$C, $A232, Log!$A:$A, "Daily", Log!$B:$B, "n/a"), 0),
        _xlpm.ie_camera_on_date, IFERROR(AVERAGEIFS(Log!$G:$G, Log!$D:$D,I$4,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2" s="68" t="str">
        <f>IFERROR(
    _xlfn.LET(
        _xlpm.is_data_present, $A232&lt;&gt;0,
        _xlpm.is_camera_present, COUNTIFS(Log!$C:$C, $A232, Log!$D:$D, J$4, Log!$A:$A, "Daily", Log!$B:$B, "n/a"),
        _xlpm.we_camera_on_date, IFERROR(AVERAGEIFS(Log!$F:$F, Log!$D:$D,J$4, Log!$C:$C, $A232, Log!$A:$A, "Daily", Log!$B:$B, "n/a"), 0),
        _xlpm.ie_camera_on_date, IFERROR(AVERAGEIFS(Log!$G:$G, Log!$D:$D,J$4,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2" s="68" t="str">
        <f>IFERROR(
    _xlfn.LET(
        _xlpm.is_data_present, $A232&lt;&gt;0,
        _xlpm.is_camera_present, COUNTIFS(Log!$C:$C, $A232, Log!$D:$D, K$4, Log!$A:$A, "Daily", Log!$B:$B, "n/a"),
        _xlpm.we_camera_on_date, IFERROR(AVERAGEIFS(Log!$F:$F, Log!$D:$D,K$4, Log!$C:$C, $A232, Log!$A:$A, "Daily", Log!$B:$B, "n/a"), 0),
        _xlpm.ie_camera_on_date, IFERROR(AVERAGEIFS(Log!$G:$G, Log!$D:$D,K$4,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2" s="68" t="str">
        <f>IFERROR(
    _xlfn.LET(
        _xlpm.is_data_present, $A232&lt;&gt;0,
        _xlpm.is_camera_present, COUNTIFS(Log!$C:$C, $A232, Log!$D:$D, L$4, Log!$A:$A, "Daily", Log!$B:$B, "n/a"),
        _xlpm.we_camera_on_date, IFERROR(AVERAGEIFS(Log!$F:$F, Log!$D:$D,L$4, Log!$C:$C, $A232, Log!$A:$A, "Daily", Log!$B:$B, "n/a"), 0),
        _xlpm.ie_camera_on_date, IFERROR(AVERAGEIFS(Log!$G:$G, Log!$D:$D,L$4,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2" s="68" t="str">
        <f>IFERROR(
    _xlfn.LET(
        _xlpm.is_data_present, $A232&lt;&gt;0,
        _xlpm.is_camera_present, COUNTIFS(Log!$C:$C, $A232, Log!$D:$D, M$4, Log!$A:$A, "Daily", Log!$B:$B, "n/a"),
        _xlpm.we_camera_on_date, IFERROR(AVERAGEIFS(Log!$F:$F, Log!$D:$D,M$4, Log!$C:$C, $A232, Log!$A:$A, "Daily", Log!$B:$B, "n/a"), 0),
        _xlpm.ie_camera_on_date, IFERROR(AVERAGEIFS(Log!$G:$G, Log!$D:$D,M$4,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2" s="68" t="str">
        <f>IFERROR(
    _xlfn.LET(
        _xlpm.is_data_present, $A232&lt;&gt;0,
        _xlpm.is_camera_present, COUNTIFS(Log!$C:$C, $A232, Log!$D:$D, N$4, Log!$A:$A, "Daily", Log!$B:$B, "n/a"),
        _xlpm.we_camera_on_date, IFERROR(AVERAGEIFS(Log!$F:$F, Log!$D:$D,N$4, Log!$C:$C, $A232, Log!$A:$A, "Daily", Log!$B:$B, "n/a"), 0),
        _xlpm.ie_camera_on_date, IFERROR(AVERAGEIFS(Log!$G:$G, Log!$D:$D,N$4,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2" s="68" t="str">
        <f>IFERROR(
    _xlfn.LET(
        _xlpm.is_data_present, $A232&lt;&gt;0,
        _xlpm.is_camera_present, COUNTIFS(Log!$C:$C, $A232, Log!$D:$D, O$4, Log!$A:$A, "Daily", Log!$B:$B, "n/a"),
        _xlpm.we_camera_on_date, IFERROR(AVERAGEIFS(Log!$F:$F, Log!$D:$D,O$4, Log!$C:$C, $A232, Log!$A:$A, "Daily", Log!$B:$B, "n/a"), 0),
        _xlpm.ie_camera_on_date, IFERROR(AVERAGEIFS(Log!$G:$G, Log!$D:$D,O$4,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2" s="68" t="str">
        <f>IFERROR(
    _xlfn.LET(
        _xlpm.is_data_present, $A232&lt;&gt;0,
        _xlpm.is_camera_present, COUNTIFS(Log!$C:$C, $A232, Log!$D:$D, P$4, Log!$A:$A, "Daily", Log!$B:$B, "n/a"),
        _xlpm.we_camera_on_date, IFERROR(AVERAGEIFS(Log!$F:$F, Log!$D:$D,P$4, Log!$C:$C, $A232, Log!$A:$A, "Daily", Log!$B:$B, "n/a"), 0),
        _xlpm.ie_camera_on_date, IFERROR(AVERAGEIFS(Log!$G:$G, Log!$D:$D,P$4,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2" s="68" t="str">
        <f>IFERROR(
    _xlfn.LET(
        _xlpm.is_data_present, $A232&lt;&gt;0,
        _xlpm.is_camera_present, COUNTIFS(Log!$C:$C, $A232, Log!$D:$D, Q$4, Log!$A:$A, "Daily", Log!$B:$B, "n/a"),
        _xlpm.we_camera_on_date, IFERROR(AVERAGEIFS(Log!$F:$F, Log!$D:$D,Q$4, Log!$C:$C, $A232, Log!$A:$A, "Daily", Log!$B:$B, "n/a"), 0),
        _xlpm.ie_camera_on_date, IFERROR(AVERAGEIFS(Log!$G:$G, Log!$D:$D,Q$4,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2" s="68" t="str">
        <f>IFERROR(
    _xlfn.LET(
        _xlpm.is_data_present, $A232&lt;&gt;0,
        _xlpm.is_camera_present, COUNTIFS(Log!$C:$C, $A232, Log!$D:$D, R$4, Log!$A:$A, "Daily", Log!$B:$B, "n/a"),
        _xlpm.we_camera_on_date, IFERROR(AVERAGEIFS(Log!$F:$F, Log!$D:$D,R$4, Log!$C:$C, $A232, Log!$A:$A, "Daily", Log!$B:$B, "n/a"), 0),
        _xlpm.ie_camera_on_date, IFERROR(AVERAGEIFS(Log!$G:$G, Log!$D:$D,R$4,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2" s="68" t="str">
        <f>IFERROR(
    _xlfn.LET(
        _xlpm.is_data_present, $A232&lt;&gt;0,
        _xlpm.is_camera_present, COUNTIFS(Log!$C:$C, $A232, Log!$D:$D, S$4, Log!$A:$A, "Daily", Log!$B:$B, "n/a"),
        _xlpm.we_camera_on_date, IFERROR(AVERAGEIFS(Log!$F:$F, Log!$D:$D,S$4, Log!$C:$C, $A232, Log!$A:$A, "Daily", Log!$B:$B, "n/a"), 0),
        _xlpm.ie_camera_on_date, IFERROR(AVERAGEIFS(Log!$G:$G, Log!$D:$D,S$4, Log!$C:$C, $A232, Log!$A:$A, "Daily", Log!$B:$B, "n/a"), 0),
        _xlpm.we_avg, IFERROR(AVERAGEIFS(Log!$F:$F,Log!$C:$C,$A232, Log!$A:$A, "Daily", Log!$B:$B, "n/a"),0),
        _xlpm.ie_avg, IFERROR(AVERAGEIFS(Log!$G:$G,Log!$C:$C,$A232,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3" spans="2:19" x14ac:dyDescent="0.3">
      <c r="B233" s="68" t="str">
        <f>IFERROR(
    _xlfn.LET(
        _xlpm.is_data_present, $A233&lt;&gt;0,
        _xlpm.is_camera_present, COUNTIFS(Log!$C:$C, $A233, Log!$D:$D, B$4, Log!$A:$A, "Daily", Log!$B:$B, "n/a"),
        _xlpm.we_camera_on_date, IFERROR(AVERAGEIFS(Log!$F:$F, Log!$D:$D,B$4, Log!$C:$C, $A233, Log!$A:$A, "Daily", Log!$B:$B, "n/a"), 0),
        _xlpm.ie_camera_on_date, IFERROR(AVERAGEIFS(Log!$G:$G, Log!$D:$D,B$4,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3" s="68" t="str">
        <f>IFERROR(
    _xlfn.LET(
        _xlpm.is_data_present, $A233&lt;&gt;0,
        _xlpm.is_camera_present, COUNTIFS(Log!$C:$C, $A233, Log!$D:$D, C$4, Log!$A:$A, "Daily", Log!$B:$B, "n/a"),
        _xlpm.we_camera_on_date, IFERROR(AVERAGEIFS(Log!$F:$F, Log!$D:$D,C$4, Log!$C:$C, $A233, Log!$A:$A, "Daily", Log!$B:$B, "n/a"), 0),
        _xlpm.ie_camera_on_date, IFERROR(AVERAGEIFS(Log!$G:$G, Log!$D:$D,C$4,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3" s="68" t="str">
        <f>IFERROR(
    _xlfn.LET(
        _xlpm.is_data_present, $A233&lt;&gt;0,
        _xlpm.is_camera_present, COUNTIFS(Log!$C:$C, $A233, Log!$D:$D, D$4, Log!$A:$A, "Daily", Log!$B:$B, "n/a"),
        _xlpm.we_camera_on_date, IFERROR(AVERAGEIFS(Log!$F:$F, Log!$D:$D,D$4, Log!$C:$C, $A233, Log!$A:$A, "Daily", Log!$B:$B, "n/a"), 0),
        _xlpm.ie_camera_on_date, IFERROR(AVERAGEIFS(Log!$G:$G, Log!$D:$D,D$4,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3" s="68" t="str">
        <f>IFERROR(
    _xlfn.LET(
        _xlpm.is_data_present, $A233&lt;&gt;0,
        _xlpm.is_camera_present, COUNTIFS(Log!$C:$C, $A233, Log!$D:$D, E$4, Log!$A:$A, "Daily", Log!$B:$B, "n/a"),
        _xlpm.we_camera_on_date, IFERROR(AVERAGEIFS(Log!$F:$F, Log!$D:$D,E$4, Log!$C:$C, $A233, Log!$A:$A, "Daily", Log!$B:$B, "n/a"), 0),
        _xlpm.ie_camera_on_date, IFERROR(AVERAGEIFS(Log!$G:$G, Log!$D:$D,E$4,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3" s="68" t="str">
        <f>IFERROR(
    _xlfn.LET(
        _xlpm.is_data_present, $A233&lt;&gt;0,
        _xlpm.is_camera_present, COUNTIFS(Log!$C:$C, $A233, Log!$D:$D, F$4, Log!$A:$A, "Daily", Log!$B:$B, "n/a"),
        _xlpm.we_camera_on_date, IFERROR(AVERAGEIFS(Log!$F:$F, Log!$D:$D,F$4, Log!$C:$C, $A233, Log!$A:$A, "Daily", Log!$B:$B, "n/a"), 0),
        _xlpm.ie_camera_on_date, IFERROR(AVERAGEIFS(Log!$G:$G, Log!$D:$D,F$4,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3" s="68" t="str">
        <f>IFERROR(
    _xlfn.LET(
        _xlpm.is_data_present, $A233&lt;&gt;0,
        _xlpm.is_camera_present, COUNTIFS(Log!$C:$C, $A233, Log!$D:$D, G$4, Log!$A:$A, "Daily", Log!$B:$B, "n/a"),
        _xlpm.we_camera_on_date, IFERROR(AVERAGEIFS(Log!$F:$F, Log!$D:$D,G$4, Log!$C:$C, $A233, Log!$A:$A, "Daily", Log!$B:$B, "n/a"), 0),
        _xlpm.ie_camera_on_date, IFERROR(AVERAGEIFS(Log!$G:$G, Log!$D:$D,G$4,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3" s="68" t="str">
        <f>IFERROR(
    _xlfn.LET(
        _xlpm.is_data_present, $A233&lt;&gt;0,
        _xlpm.is_camera_present, COUNTIFS(Log!$C:$C, $A233, Log!$D:$D, H$4, Log!$A:$A, "Daily", Log!$B:$B, "n/a"),
        _xlpm.we_camera_on_date, IFERROR(AVERAGEIFS(Log!$F:$F, Log!$D:$D,H$4, Log!$C:$C, $A233, Log!$A:$A, "Daily", Log!$B:$B, "n/a"), 0),
        _xlpm.ie_camera_on_date, IFERROR(AVERAGEIFS(Log!$G:$G, Log!$D:$D,H$4,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3" s="68" t="str">
        <f>IFERROR(
    _xlfn.LET(
        _xlpm.is_data_present, $A233&lt;&gt;0,
        _xlpm.is_camera_present, COUNTIFS(Log!$C:$C, $A233, Log!$D:$D, I$4, Log!$A:$A, "Daily", Log!$B:$B, "n/a"),
        _xlpm.we_camera_on_date, IFERROR(AVERAGEIFS(Log!$F:$F, Log!$D:$D,I$4, Log!$C:$C, $A233, Log!$A:$A, "Daily", Log!$B:$B, "n/a"), 0),
        _xlpm.ie_camera_on_date, IFERROR(AVERAGEIFS(Log!$G:$G, Log!$D:$D,I$4,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3" s="68" t="str">
        <f>IFERROR(
    _xlfn.LET(
        _xlpm.is_data_present, $A233&lt;&gt;0,
        _xlpm.is_camera_present, COUNTIFS(Log!$C:$C, $A233, Log!$D:$D, J$4, Log!$A:$A, "Daily", Log!$B:$B, "n/a"),
        _xlpm.we_camera_on_date, IFERROR(AVERAGEIFS(Log!$F:$F, Log!$D:$D,J$4, Log!$C:$C, $A233, Log!$A:$A, "Daily", Log!$B:$B, "n/a"), 0),
        _xlpm.ie_camera_on_date, IFERROR(AVERAGEIFS(Log!$G:$G, Log!$D:$D,J$4,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3" s="68" t="str">
        <f>IFERROR(
    _xlfn.LET(
        _xlpm.is_data_present, $A233&lt;&gt;0,
        _xlpm.is_camera_present, COUNTIFS(Log!$C:$C, $A233, Log!$D:$D, K$4, Log!$A:$A, "Daily", Log!$B:$B, "n/a"),
        _xlpm.we_camera_on_date, IFERROR(AVERAGEIFS(Log!$F:$F, Log!$D:$D,K$4, Log!$C:$C, $A233, Log!$A:$A, "Daily", Log!$B:$B, "n/a"), 0),
        _xlpm.ie_camera_on_date, IFERROR(AVERAGEIFS(Log!$G:$G, Log!$D:$D,K$4,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3" s="68" t="str">
        <f>IFERROR(
    _xlfn.LET(
        _xlpm.is_data_present, $A233&lt;&gt;0,
        _xlpm.is_camera_present, COUNTIFS(Log!$C:$C, $A233, Log!$D:$D, L$4, Log!$A:$A, "Daily", Log!$B:$B, "n/a"),
        _xlpm.we_camera_on_date, IFERROR(AVERAGEIFS(Log!$F:$F, Log!$D:$D,L$4, Log!$C:$C, $A233, Log!$A:$A, "Daily", Log!$B:$B, "n/a"), 0),
        _xlpm.ie_camera_on_date, IFERROR(AVERAGEIFS(Log!$G:$G, Log!$D:$D,L$4,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3" s="68" t="str">
        <f>IFERROR(
    _xlfn.LET(
        _xlpm.is_data_present, $A233&lt;&gt;0,
        _xlpm.is_camera_present, COUNTIFS(Log!$C:$C, $A233, Log!$D:$D, M$4, Log!$A:$A, "Daily", Log!$B:$B, "n/a"),
        _xlpm.we_camera_on_date, IFERROR(AVERAGEIFS(Log!$F:$F, Log!$D:$D,M$4, Log!$C:$C, $A233, Log!$A:$A, "Daily", Log!$B:$B, "n/a"), 0),
        _xlpm.ie_camera_on_date, IFERROR(AVERAGEIFS(Log!$G:$G, Log!$D:$D,M$4,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3" s="68" t="str">
        <f>IFERROR(
    _xlfn.LET(
        _xlpm.is_data_present, $A233&lt;&gt;0,
        _xlpm.is_camera_present, COUNTIFS(Log!$C:$C, $A233, Log!$D:$D, N$4, Log!$A:$A, "Daily", Log!$B:$B, "n/a"),
        _xlpm.we_camera_on_date, IFERROR(AVERAGEIFS(Log!$F:$F, Log!$D:$D,N$4, Log!$C:$C, $A233, Log!$A:$A, "Daily", Log!$B:$B, "n/a"), 0),
        _xlpm.ie_camera_on_date, IFERROR(AVERAGEIFS(Log!$G:$G, Log!$D:$D,N$4,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3" s="68" t="str">
        <f>IFERROR(
    _xlfn.LET(
        _xlpm.is_data_present, $A233&lt;&gt;0,
        _xlpm.is_camera_present, COUNTIFS(Log!$C:$C, $A233, Log!$D:$D, O$4, Log!$A:$A, "Daily", Log!$B:$B, "n/a"),
        _xlpm.we_camera_on_date, IFERROR(AVERAGEIFS(Log!$F:$F, Log!$D:$D,O$4, Log!$C:$C, $A233, Log!$A:$A, "Daily", Log!$B:$B, "n/a"), 0),
        _xlpm.ie_camera_on_date, IFERROR(AVERAGEIFS(Log!$G:$G, Log!$D:$D,O$4,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3" s="68" t="str">
        <f>IFERROR(
    _xlfn.LET(
        _xlpm.is_data_present, $A233&lt;&gt;0,
        _xlpm.is_camera_present, COUNTIFS(Log!$C:$C, $A233, Log!$D:$D, P$4, Log!$A:$A, "Daily", Log!$B:$B, "n/a"),
        _xlpm.we_camera_on_date, IFERROR(AVERAGEIFS(Log!$F:$F, Log!$D:$D,P$4, Log!$C:$C, $A233, Log!$A:$A, "Daily", Log!$B:$B, "n/a"), 0),
        _xlpm.ie_camera_on_date, IFERROR(AVERAGEIFS(Log!$G:$G, Log!$D:$D,P$4,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3" s="68" t="str">
        <f>IFERROR(
    _xlfn.LET(
        _xlpm.is_data_present, $A233&lt;&gt;0,
        _xlpm.is_camera_present, COUNTIFS(Log!$C:$C, $A233, Log!$D:$D, Q$4, Log!$A:$A, "Daily", Log!$B:$B, "n/a"),
        _xlpm.we_camera_on_date, IFERROR(AVERAGEIFS(Log!$F:$F, Log!$D:$D,Q$4, Log!$C:$C, $A233, Log!$A:$A, "Daily", Log!$B:$B, "n/a"), 0),
        _xlpm.ie_camera_on_date, IFERROR(AVERAGEIFS(Log!$G:$G, Log!$D:$D,Q$4,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3" s="68" t="str">
        <f>IFERROR(
    _xlfn.LET(
        _xlpm.is_data_present, $A233&lt;&gt;0,
        _xlpm.is_camera_present, COUNTIFS(Log!$C:$C, $A233, Log!$D:$D, R$4, Log!$A:$A, "Daily", Log!$B:$B, "n/a"),
        _xlpm.we_camera_on_date, IFERROR(AVERAGEIFS(Log!$F:$F, Log!$D:$D,R$4, Log!$C:$C, $A233, Log!$A:$A, "Daily", Log!$B:$B, "n/a"), 0),
        _xlpm.ie_camera_on_date, IFERROR(AVERAGEIFS(Log!$G:$G, Log!$D:$D,R$4,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3" s="68" t="str">
        <f>IFERROR(
    _xlfn.LET(
        _xlpm.is_data_present, $A233&lt;&gt;0,
        _xlpm.is_camera_present, COUNTIFS(Log!$C:$C, $A233, Log!$D:$D, S$4, Log!$A:$A, "Daily", Log!$B:$B, "n/a"),
        _xlpm.we_camera_on_date, IFERROR(AVERAGEIFS(Log!$F:$F, Log!$D:$D,S$4, Log!$C:$C, $A233, Log!$A:$A, "Daily", Log!$B:$B, "n/a"), 0),
        _xlpm.ie_camera_on_date, IFERROR(AVERAGEIFS(Log!$G:$G, Log!$D:$D,S$4, Log!$C:$C, $A233, Log!$A:$A, "Daily", Log!$B:$B, "n/a"), 0),
        _xlpm.we_avg, IFERROR(AVERAGEIFS(Log!$F:$F,Log!$C:$C,$A233, Log!$A:$A, "Daily", Log!$B:$B, "n/a"),0),
        _xlpm.ie_avg, IFERROR(AVERAGEIFS(Log!$G:$G,Log!$C:$C,$A233,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4" spans="2:19" x14ac:dyDescent="0.3">
      <c r="B234" s="68" t="str">
        <f>IFERROR(
    _xlfn.LET(
        _xlpm.is_data_present, $A234&lt;&gt;0,
        _xlpm.is_camera_present, COUNTIFS(Log!$C:$C, $A234, Log!$D:$D, B$4, Log!$A:$A, "Daily", Log!$B:$B, "n/a"),
        _xlpm.we_camera_on_date, IFERROR(AVERAGEIFS(Log!$F:$F, Log!$D:$D,B$4, Log!$C:$C, $A234, Log!$A:$A, "Daily", Log!$B:$B, "n/a"), 0),
        _xlpm.ie_camera_on_date, IFERROR(AVERAGEIFS(Log!$G:$G, Log!$D:$D,B$4,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4" s="68" t="str">
        <f>IFERROR(
    _xlfn.LET(
        _xlpm.is_data_present, $A234&lt;&gt;0,
        _xlpm.is_camera_present, COUNTIFS(Log!$C:$C, $A234, Log!$D:$D, C$4, Log!$A:$A, "Daily", Log!$B:$B, "n/a"),
        _xlpm.we_camera_on_date, IFERROR(AVERAGEIFS(Log!$F:$F, Log!$D:$D,C$4, Log!$C:$C, $A234, Log!$A:$A, "Daily", Log!$B:$B, "n/a"), 0),
        _xlpm.ie_camera_on_date, IFERROR(AVERAGEIFS(Log!$G:$G, Log!$D:$D,C$4,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4" s="68" t="str">
        <f>IFERROR(
    _xlfn.LET(
        _xlpm.is_data_present, $A234&lt;&gt;0,
        _xlpm.is_camera_present, COUNTIFS(Log!$C:$C, $A234, Log!$D:$D, D$4, Log!$A:$A, "Daily", Log!$B:$B, "n/a"),
        _xlpm.we_camera_on_date, IFERROR(AVERAGEIFS(Log!$F:$F, Log!$D:$D,D$4, Log!$C:$C, $A234, Log!$A:$A, "Daily", Log!$B:$B, "n/a"), 0),
        _xlpm.ie_camera_on_date, IFERROR(AVERAGEIFS(Log!$G:$G, Log!$D:$D,D$4,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4" s="68" t="str">
        <f>IFERROR(
    _xlfn.LET(
        _xlpm.is_data_present, $A234&lt;&gt;0,
        _xlpm.is_camera_present, COUNTIFS(Log!$C:$C, $A234, Log!$D:$D, E$4, Log!$A:$A, "Daily", Log!$B:$B, "n/a"),
        _xlpm.we_camera_on_date, IFERROR(AVERAGEIFS(Log!$F:$F, Log!$D:$D,E$4, Log!$C:$C, $A234, Log!$A:$A, "Daily", Log!$B:$B, "n/a"), 0),
        _xlpm.ie_camera_on_date, IFERROR(AVERAGEIFS(Log!$G:$G, Log!$D:$D,E$4,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4" s="68" t="str">
        <f>IFERROR(
    _xlfn.LET(
        _xlpm.is_data_present, $A234&lt;&gt;0,
        _xlpm.is_camera_present, COUNTIFS(Log!$C:$C, $A234, Log!$D:$D, F$4, Log!$A:$A, "Daily", Log!$B:$B, "n/a"),
        _xlpm.we_camera_on_date, IFERROR(AVERAGEIFS(Log!$F:$F, Log!$D:$D,F$4, Log!$C:$C, $A234, Log!$A:$A, "Daily", Log!$B:$B, "n/a"), 0),
        _xlpm.ie_camera_on_date, IFERROR(AVERAGEIFS(Log!$G:$G, Log!$D:$D,F$4,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4" s="68" t="str">
        <f>IFERROR(
    _xlfn.LET(
        _xlpm.is_data_present, $A234&lt;&gt;0,
        _xlpm.is_camera_present, COUNTIFS(Log!$C:$C, $A234, Log!$D:$D, G$4, Log!$A:$A, "Daily", Log!$B:$B, "n/a"),
        _xlpm.we_camera_on_date, IFERROR(AVERAGEIFS(Log!$F:$F, Log!$D:$D,G$4, Log!$C:$C, $A234, Log!$A:$A, "Daily", Log!$B:$B, "n/a"), 0),
        _xlpm.ie_camera_on_date, IFERROR(AVERAGEIFS(Log!$G:$G, Log!$D:$D,G$4,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4" s="68" t="str">
        <f>IFERROR(
    _xlfn.LET(
        _xlpm.is_data_present, $A234&lt;&gt;0,
        _xlpm.is_camera_present, COUNTIFS(Log!$C:$C, $A234, Log!$D:$D, H$4, Log!$A:$A, "Daily", Log!$B:$B, "n/a"),
        _xlpm.we_camera_on_date, IFERROR(AVERAGEIFS(Log!$F:$F, Log!$D:$D,H$4, Log!$C:$C, $A234, Log!$A:$A, "Daily", Log!$B:$B, "n/a"), 0),
        _xlpm.ie_camera_on_date, IFERROR(AVERAGEIFS(Log!$G:$G, Log!$D:$D,H$4,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4" s="68" t="str">
        <f>IFERROR(
    _xlfn.LET(
        _xlpm.is_data_present, $A234&lt;&gt;0,
        _xlpm.is_camera_present, COUNTIFS(Log!$C:$C, $A234, Log!$D:$D, I$4, Log!$A:$A, "Daily", Log!$B:$B, "n/a"),
        _xlpm.we_camera_on_date, IFERROR(AVERAGEIFS(Log!$F:$F, Log!$D:$D,I$4, Log!$C:$C, $A234, Log!$A:$A, "Daily", Log!$B:$B, "n/a"), 0),
        _xlpm.ie_camera_on_date, IFERROR(AVERAGEIFS(Log!$G:$G, Log!$D:$D,I$4,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4" s="68" t="str">
        <f>IFERROR(
    _xlfn.LET(
        _xlpm.is_data_present, $A234&lt;&gt;0,
        _xlpm.is_camera_present, COUNTIFS(Log!$C:$C, $A234, Log!$D:$D, J$4, Log!$A:$A, "Daily", Log!$B:$B, "n/a"),
        _xlpm.we_camera_on_date, IFERROR(AVERAGEIFS(Log!$F:$F, Log!$D:$D,J$4, Log!$C:$C, $A234, Log!$A:$A, "Daily", Log!$B:$B, "n/a"), 0),
        _xlpm.ie_camera_on_date, IFERROR(AVERAGEIFS(Log!$G:$G, Log!$D:$D,J$4,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4" s="68" t="str">
        <f>IFERROR(
    _xlfn.LET(
        _xlpm.is_data_present, $A234&lt;&gt;0,
        _xlpm.is_camera_present, COUNTIFS(Log!$C:$C, $A234, Log!$D:$D, K$4, Log!$A:$A, "Daily", Log!$B:$B, "n/a"),
        _xlpm.we_camera_on_date, IFERROR(AVERAGEIFS(Log!$F:$F, Log!$D:$D,K$4, Log!$C:$C, $A234, Log!$A:$A, "Daily", Log!$B:$B, "n/a"), 0),
        _xlpm.ie_camera_on_date, IFERROR(AVERAGEIFS(Log!$G:$G, Log!$D:$D,K$4,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4" s="68" t="str">
        <f>IFERROR(
    _xlfn.LET(
        _xlpm.is_data_present, $A234&lt;&gt;0,
        _xlpm.is_camera_present, COUNTIFS(Log!$C:$C, $A234, Log!$D:$D, L$4, Log!$A:$A, "Daily", Log!$B:$B, "n/a"),
        _xlpm.we_camera_on_date, IFERROR(AVERAGEIFS(Log!$F:$F, Log!$D:$D,L$4, Log!$C:$C, $A234, Log!$A:$A, "Daily", Log!$B:$B, "n/a"), 0),
        _xlpm.ie_camera_on_date, IFERROR(AVERAGEIFS(Log!$G:$G, Log!$D:$D,L$4,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4" s="68" t="str">
        <f>IFERROR(
    _xlfn.LET(
        _xlpm.is_data_present, $A234&lt;&gt;0,
        _xlpm.is_camera_present, COUNTIFS(Log!$C:$C, $A234, Log!$D:$D, M$4, Log!$A:$A, "Daily", Log!$B:$B, "n/a"),
        _xlpm.we_camera_on_date, IFERROR(AVERAGEIFS(Log!$F:$F, Log!$D:$D,M$4, Log!$C:$C, $A234, Log!$A:$A, "Daily", Log!$B:$B, "n/a"), 0),
        _xlpm.ie_camera_on_date, IFERROR(AVERAGEIFS(Log!$G:$G, Log!$D:$D,M$4,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4" s="68" t="str">
        <f>IFERROR(
    _xlfn.LET(
        _xlpm.is_data_present, $A234&lt;&gt;0,
        _xlpm.is_camera_present, COUNTIFS(Log!$C:$C, $A234, Log!$D:$D, N$4, Log!$A:$A, "Daily", Log!$B:$B, "n/a"),
        _xlpm.we_camera_on_date, IFERROR(AVERAGEIFS(Log!$F:$F, Log!$D:$D,N$4, Log!$C:$C, $A234, Log!$A:$A, "Daily", Log!$B:$B, "n/a"), 0),
        _xlpm.ie_camera_on_date, IFERROR(AVERAGEIFS(Log!$G:$G, Log!$D:$D,N$4,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4" s="68" t="str">
        <f>IFERROR(
    _xlfn.LET(
        _xlpm.is_data_present, $A234&lt;&gt;0,
        _xlpm.is_camera_present, COUNTIFS(Log!$C:$C, $A234, Log!$D:$D, O$4, Log!$A:$A, "Daily", Log!$B:$B, "n/a"),
        _xlpm.we_camera_on_date, IFERROR(AVERAGEIFS(Log!$F:$F, Log!$D:$D,O$4, Log!$C:$C, $A234, Log!$A:$A, "Daily", Log!$B:$B, "n/a"), 0),
        _xlpm.ie_camera_on_date, IFERROR(AVERAGEIFS(Log!$G:$G, Log!$D:$D,O$4,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4" s="68" t="str">
        <f>IFERROR(
    _xlfn.LET(
        _xlpm.is_data_present, $A234&lt;&gt;0,
        _xlpm.is_camera_present, COUNTIFS(Log!$C:$C, $A234, Log!$D:$D, P$4, Log!$A:$A, "Daily", Log!$B:$B, "n/a"),
        _xlpm.we_camera_on_date, IFERROR(AVERAGEIFS(Log!$F:$F, Log!$D:$D,P$4, Log!$C:$C, $A234, Log!$A:$A, "Daily", Log!$B:$B, "n/a"), 0),
        _xlpm.ie_camera_on_date, IFERROR(AVERAGEIFS(Log!$G:$G, Log!$D:$D,P$4,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4" s="68" t="str">
        <f>IFERROR(
    _xlfn.LET(
        _xlpm.is_data_present, $A234&lt;&gt;0,
        _xlpm.is_camera_present, COUNTIFS(Log!$C:$C, $A234, Log!$D:$D, Q$4, Log!$A:$A, "Daily", Log!$B:$B, "n/a"),
        _xlpm.we_camera_on_date, IFERROR(AVERAGEIFS(Log!$F:$F, Log!$D:$D,Q$4, Log!$C:$C, $A234, Log!$A:$A, "Daily", Log!$B:$B, "n/a"), 0),
        _xlpm.ie_camera_on_date, IFERROR(AVERAGEIFS(Log!$G:$G, Log!$D:$D,Q$4,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4" s="68" t="str">
        <f>IFERROR(
    _xlfn.LET(
        _xlpm.is_data_present, $A234&lt;&gt;0,
        _xlpm.is_camera_present, COUNTIFS(Log!$C:$C, $A234, Log!$D:$D, R$4, Log!$A:$A, "Daily", Log!$B:$B, "n/a"),
        _xlpm.we_camera_on_date, IFERROR(AVERAGEIFS(Log!$F:$F, Log!$D:$D,R$4, Log!$C:$C, $A234, Log!$A:$A, "Daily", Log!$B:$B, "n/a"), 0),
        _xlpm.ie_camera_on_date, IFERROR(AVERAGEIFS(Log!$G:$G, Log!$D:$D,R$4,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4" s="68" t="str">
        <f>IFERROR(
    _xlfn.LET(
        _xlpm.is_data_present, $A234&lt;&gt;0,
        _xlpm.is_camera_present, COUNTIFS(Log!$C:$C, $A234, Log!$D:$D, S$4, Log!$A:$A, "Daily", Log!$B:$B, "n/a"),
        _xlpm.we_camera_on_date, IFERROR(AVERAGEIFS(Log!$F:$F, Log!$D:$D,S$4, Log!$C:$C, $A234, Log!$A:$A, "Daily", Log!$B:$B, "n/a"), 0),
        _xlpm.ie_camera_on_date, IFERROR(AVERAGEIFS(Log!$G:$G, Log!$D:$D,S$4, Log!$C:$C, $A234, Log!$A:$A, "Daily", Log!$B:$B, "n/a"), 0),
        _xlpm.we_avg, IFERROR(AVERAGEIFS(Log!$F:$F,Log!$C:$C,$A234, Log!$A:$A, "Daily", Log!$B:$B, "n/a"),0),
        _xlpm.ie_avg, IFERROR(AVERAGEIFS(Log!$G:$G,Log!$C:$C,$A234,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5" spans="2:19" x14ac:dyDescent="0.3">
      <c r="B235" s="68" t="str">
        <f>IFERROR(
    _xlfn.LET(
        _xlpm.is_data_present, $A235&lt;&gt;0,
        _xlpm.is_camera_present, COUNTIFS(Log!$C:$C, $A235, Log!$D:$D, B$4, Log!$A:$A, "Daily", Log!$B:$B, "n/a"),
        _xlpm.we_camera_on_date, IFERROR(AVERAGEIFS(Log!$F:$F, Log!$D:$D,B$4, Log!$C:$C, $A235, Log!$A:$A, "Daily", Log!$B:$B, "n/a"), 0),
        _xlpm.ie_camera_on_date, IFERROR(AVERAGEIFS(Log!$G:$G, Log!$D:$D,B$4,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5" s="68" t="str">
        <f>IFERROR(
    _xlfn.LET(
        _xlpm.is_data_present, $A235&lt;&gt;0,
        _xlpm.is_camera_present, COUNTIFS(Log!$C:$C, $A235, Log!$D:$D, C$4, Log!$A:$A, "Daily", Log!$B:$B, "n/a"),
        _xlpm.we_camera_on_date, IFERROR(AVERAGEIFS(Log!$F:$F, Log!$D:$D,C$4, Log!$C:$C, $A235, Log!$A:$A, "Daily", Log!$B:$B, "n/a"), 0),
        _xlpm.ie_camera_on_date, IFERROR(AVERAGEIFS(Log!$G:$G, Log!$D:$D,C$4,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5" s="68" t="str">
        <f>IFERROR(
    _xlfn.LET(
        _xlpm.is_data_present, $A235&lt;&gt;0,
        _xlpm.is_camera_present, COUNTIFS(Log!$C:$C, $A235, Log!$D:$D, D$4, Log!$A:$A, "Daily", Log!$B:$B, "n/a"),
        _xlpm.we_camera_on_date, IFERROR(AVERAGEIFS(Log!$F:$F, Log!$D:$D,D$4, Log!$C:$C, $A235, Log!$A:$A, "Daily", Log!$B:$B, "n/a"), 0),
        _xlpm.ie_camera_on_date, IFERROR(AVERAGEIFS(Log!$G:$G, Log!$D:$D,D$4,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5" s="68" t="str">
        <f>IFERROR(
    _xlfn.LET(
        _xlpm.is_data_present, $A235&lt;&gt;0,
        _xlpm.is_camera_present, COUNTIFS(Log!$C:$C, $A235, Log!$D:$D, E$4, Log!$A:$A, "Daily", Log!$B:$B, "n/a"),
        _xlpm.we_camera_on_date, IFERROR(AVERAGEIFS(Log!$F:$F, Log!$D:$D,E$4, Log!$C:$C, $A235, Log!$A:$A, "Daily", Log!$B:$B, "n/a"), 0),
        _xlpm.ie_camera_on_date, IFERROR(AVERAGEIFS(Log!$G:$G, Log!$D:$D,E$4,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5" s="68" t="str">
        <f>IFERROR(
    _xlfn.LET(
        _xlpm.is_data_present, $A235&lt;&gt;0,
        _xlpm.is_camera_present, COUNTIFS(Log!$C:$C, $A235, Log!$D:$D, F$4, Log!$A:$A, "Daily", Log!$B:$B, "n/a"),
        _xlpm.we_camera_on_date, IFERROR(AVERAGEIFS(Log!$F:$F, Log!$D:$D,F$4, Log!$C:$C, $A235, Log!$A:$A, "Daily", Log!$B:$B, "n/a"), 0),
        _xlpm.ie_camera_on_date, IFERROR(AVERAGEIFS(Log!$G:$G, Log!$D:$D,F$4,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5" s="68" t="str">
        <f>IFERROR(
    _xlfn.LET(
        _xlpm.is_data_present, $A235&lt;&gt;0,
        _xlpm.is_camera_present, COUNTIFS(Log!$C:$C, $A235, Log!$D:$D, G$4, Log!$A:$A, "Daily", Log!$B:$B, "n/a"),
        _xlpm.we_camera_on_date, IFERROR(AVERAGEIFS(Log!$F:$F, Log!$D:$D,G$4, Log!$C:$C, $A235, Log!$A:$A, "Daily", Log!$B:$B, "n/a"), 0),
        _xlpm.ie_camera_on_date, IFERROR(AVERAGEIFS(Log!$G:$G, Log!$D:$D,G$4,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5" s="68" t="str">
        <f>IFERROR(
    _xlfn.LET(
        _xlpm.is_data_present, $A235&lt;&gt;0,
        _xlpm.is_camera_present, COUNTIFS(Log!$C:$C, $A235, Log!$D:$D, H$4, Log!$A:$A, "Daily", Log!$B:$B, "n/a"),
        _xlpm.we_camera_on_date, IFERROR(AVERAGEIFS(Log!$F:$F, Log!$D:$D,H$4, Log!$C:$C, $A235, Log!$A:$A, "Daily", Log!$B:$B, "n/a"), 0),
        _xlpm.ie_camera_on_date, IFERROR(AVERAGEIFS(Log!$G:$G, Log!$D:$D,H$4,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5" s="68" t="str">
        <f>IFERROR(
    _xlfn.LET(
        _xlpm.is_data_present, $A235&lt;&gt;0,
        _xlpm.is_camera_present, COUNTIFS(Log!$C:$C, $A235, Log!$D:$D, I$4, Log!$A:$A, "Daily", Log!$B:$B, "n/a"),
        _xlpm.we_camera_on_date, IFERROR(AVERAGEIFS(Log!$F:$F, Log!$D:$D,I$4, Log!$C:$C, $A235, Log!$A:$A, "Daily", Log!$B:$B, "n/a"), 0),
        _xlpm.ie_camera_on_date, IFERROR(AVERAGEIFS(Log!$G:$G, Log!$D:$D,I$4,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5" s="68" t="str">
        <f>IFERROR(
    _xlfn.LET(
        _xlpm.is_data_present, $A235&lt;&gt;0,
        _xlpm.is_camera_present, COUNTIFS(Log!$C:$C, $A235, Log!$D:$D, J$4, Log!$A:$A, "Daily", Log!$B:$B, "n/a"),
        _xlpm.we_camera_on_date, IFERROR(AVERAGEIFS(Log!$F:$F, Log!$D:$D,J$4, Log!$C:$C, $A235, Log!$A:$A, "Daily", Log!$B:$B, "n/a"), 0),
        _xlpm.ie_camera_on_date, IFERROR(AVERAGEIFS(Log!$G:$G, Log!$D:$D,J$4,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5" s="68" t="str">
        <f>IFERROR(
    _xlfn.LET(
        _xlpm.is_data_present, $A235&lt;&gt;0,
        _xlpm.is_camera_present, COUNTIFS(Log!$C:$C, $A235, Log!$D:$D, K$4, Log!$A:$A, "Daily", Log!$B:$B, "n/a"),
        _xlpm.we_camera_on_date, IFERROR(AVERAGEIFS(Log!$F:$F, Log!$D:$D,K$4, Log!$C:$C, $A235, Log!$A:$A, "Daily", Log!$B:$B, "n/a"), 0),
        _xlpm.ie_camera_on_date, IFERROR(AVERAGEIFS(Log!$G:$G, Log!$D:$D,K$4,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5" s="68" t="str">
        <f>IFERROR(
    _xlfn.LET(
        _xlpm.is_data_present, $A235&lt;&gt;0,
        _xlpm.is_camera_present, COUNTIFS(Log!$C:$C, $A235, Log!$D:$D, L$4, Log!$A:$A, "Daily", Log!$B:$B, "n/a"),
        _xlpm.we_camera_on_date, IFERROR(AVERAGEIFS(Log!$F:$F, Log!$D:$D,L$4, Log!$C:$C, $A235, Log!$A:$A, "Daily", Log!$B:$B, "n/a"), 0),
        _xlpm.ie_camera_on_date, IFERROR(AVERAGEIFS(Log!$G:$G, Log!$D:$D,L$4,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5" s="68" t="str">
        <f>IFERROR(
    _xlfn.LET(
        _xlpm.is_data_present, $A235&lt;&gt;0,
        _xlpm.is_camera_present, COUNTIFS(Log!$C:$C, $A235, Log!$D:$D, M$4, Log!$A:$A, "Daily", Log!$B:$B, "n/a"),
        _xlpm.we_camera_on_date, IFERROR(AVERAGEIFS(Log!$F:$F, Log!$D:$D,M$4, Log!$C:$C, $A235, Log!$A:$A, "Daily", Log!$B:$B, "n/a"), 0),
        _xlpm.ie_camera_on_date, IFERROR(AVERAGEIFS(Log!$G:$G, Log!$D:$D,M$4,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5" s="68" t="str">
        <f>IFERROR(
    _xlfn.LET(
        _xlpm.is_data_present, $A235&lt;&gt;0,
        _xlpm.is_camera_present, COUNTIFS(Log!$C:$C, $A235, Log!$D:$D, N$4, Log!$A:$A, "Daily", Log!$B:$B, "n/a"),
        _xlpm.we_camera_on_date, IFERROR(AVERAGEIFS(Log!$F:$F, Log!$D:$D,N$4, Log!$C:$C, $A235, Log!$A:$A, "Daily", Log!$B:$B, "n/a"), 0),
        _xlpm.ie_camera_on_date, IFERROR(AVERAGEIFS(Log!$G:$G, Log!$D:$D,N$4,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5" s="68" t="str">
        <f>IFERROR(
    _xlfn.LET(
        _xlpm.is_data_present, $A235&lt;&gt;0,
        _xlpm.is_camera_present, COUNTIFS(Log!$C:$C, $A235, Log!$D:$D, O$4, Log!$A:$A, "Daily", Log!$B:$B, "n/a"),
        _xlpm.we_camera_on_date, IFERROR(AVERAGEIFS(Log!$F:$F, Log!$D:$D,O$4, Log!$C:$C, $A235, Log!$A:$A, "Daily", Log!$B:$B, "n/a"), 0),
        _xlpm.ie_camera_on_date, IFERROR(AVERAGEIFS(Log!$G:$G, Log!$D:$D,O$4,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5" s="68" t="str">
        <f>IFERROR(
    _xlfn.LET(
        _xlpm.is_data_present, $A235&lt;&gt;0,
        _xlpm.is_camera_present, COUNTIFS(Log!$C:$C, $A235, Log!$D:$D, P$4, Log!$A:$A, "Daily", Log!$B:$B, "n/a"),
        _xlpm.we_camera_on_date, IFERROR(AVERAGEIFS(Log!$F:$F, Log!$D:$D,P$4, Log!$C:$C, $A235, Log!$A:$A, "Daily", Log!$B:$B, "n/a"), 0),
        _xlpm.ie_camera_on_date, IFERROR(AVERAGEIFS(Log!$G:$G, Log!$D:$D,P$4,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5" s="68" t="str">
        <f>IFERROR(
    _xlfn.LET(
        _xlpm.is_data_present, $A235&lt;&gt;0,
        _xlpm.is_camera_present, COUNTIFS(Log!$C:$C, $A235, Log!$D:$D, Q$4, Log!$A:$A, "Daily", Log!$B:$B, "n/a"),
        _xlpm.we_camera_on_date, IFERROR(AVERAGEIFS(Log!$F:$F, Log!$D:$D,Q$4, Log!$C:$C, $A235, Log!$A:$A, "Daily", Log!$B:$B, "n/a"), 0),
        _xlpm.ie_camera_on_date, IFERROR(AVERAGEIFS(Log!$G:$G, Log!$D:$D,Q$4,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5" s="68" t="str">
        <f>IFERROR(
    _xlfn.LET(
        _xlpm.is_data_present, $A235&lt;&gt;0,
        _xlpm.is_camera_present, COUNTIFS(Log!$C:$C, $A235, Log!$D:$D, R$4, Log!$A:$A, "Daily", Log!$B:$B, "n/a"),
        _xlpm.we_camera_on_date, IFERROR(AVERAGEIFS(Log!$F:$F, Log!$D:$D,R$4, Log!$C:$C, $A235, Log!$A:$A, "Daily", Log!$B:$B, "n/a"), 0),
        _xlpm.ie_camera_on_date, IFERROR(AVERAGEIFS(Log!$G:$G, Log!$D:$D,R$4,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5" s="68" t="str">
        <f>IFERROR(
    _xlfn.LET(
        _xlpm.is_data_present, $A235&lt;&gt;0,
        _xlpm.is_camera_present, COUNTIFS(Log!$C:$C, $A235, Log!$D:$D, S$4, Log!$A:$A, "Daily", Log!$B:$B, "n/a"),
        _xlpm.we_camera_on_date, IFERROR(AVERAGEIFS(Log!$F:$F, Log!$D:$D,S$4, Log!$C:$C, $A235, Log!$A:$A, "Daily", Log!$B:$B, "n/a"), 0),
        _xlpm.ie_camera_on_date, IFERROR(AVERAGEIFS(Log!$G:$G, Log!$D:$D,S$4, Log!$C:$C, $A235, Log!$A:$A, "Daily", Log!$B:$B, "n/a"), 0),
        _xlpm.we_avg, IFERROR(AVERAGEIFS(Log!$F:$F,Log!$C:$C,$A235, Log!$A:$A, "Daily", Log!$B:$B, "n/a"),0),
        _xlpm.ie_avg, IFERROR(AVERAGEIFS(Log!$G:$G,Log!$C:$C,$A235,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6" spans="2:19" x14ac:dyDescent="0.3">
      <c r="B236" s="68" t="str">
        <f>IFERROR(
    _xlfn.LET(
        _xlpm.is_data_present, $A236&lt;&gt;0,
        _xlpm.is_camera_present, COUNTIFS(Log!$C:$C, $A236, Log!$D:$D, B$4, Log!$A:$A, "Daily", Log!$B:$B, "n/a"),
        _xlpm.we_camera_on_date, IFERROR(AVERAGEIFS(Log!$F:$F, Log!$D:$D,B$4, Log!$C:$C, $A236, Log!$A:$A, "Daily", Log!$B:$B, "n/a"), 0),
        _xlpm.ie_camera_on_date, IFERROR(AVERAGEIFS(Log!$G:$G, Log!$D:$D,B$4,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6" s="68" t="str">
        <f>IFERROR(
    _xlfn.LET(
        _xlpm.is_data_present, $A236&lt;&gt;0,
        _xlpm.is_camera_present, COUNTIFS(Log!$C:$C, $A236, Log!$D:$D, C$4, Log!$A:$A, "Daily", Log!$B:$B, "n/a"),
        _xlpm.we_camera_on_date, IFERROR(AVERAGEIFS(Log!$F:$F, Log!$D:$D,C$4, Log!$C:$C, $A236, Log!$A:$A, "Daily", Log!$B:$B, "n/a"), 0),
        _xlpm.ie_camera_on_date, IFERROR(AVERAGEIFS(Log!$G:$G, Log!$D:$D,C$4,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6" s="68" t="str">
        <f>IFERROR(
    _xlfn.LET(
        _xlpm.is_data_present, $A236&lt;&gt;0,
        _xlpm.is_camera_present, COUNTIFS(Log!$C:$C, $A236, Log!$D:$D, D$4, Log!$A:$A, "Daily", Log!$B:$B, "n/a"),
        _xlpm.we_camera_on_date, IFERROR(AVERAGEIFS(Log!$F:$F, Log!$D:$D,D$4, Log!$C:$C, $A236, Log!$A:$A, "Daily", Log!$B:$B, "n/a"), 0),
        _xlpm.ie_camera_on_date, IFERROR(AVERAGEIFS(Log!$G:$G, Log!$D:$D,D$4,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6" s="68" t="str">
        <f>IFERROR(
    _xlfn.LET(
        _xlpm.is_data_present, $A236&lt;&gt;0,
        _xlpm.is_camera_present, COUNTIFS(Log!$C:$C, $A236, Log!$D:$D, E$4, Log!$A:$A, "Daily", Log!$B:$B, "n/a"),
        _xlpm.we_camera_on_date, IFERROR(AVERAGEIFS(Log!$F:$F, Log!$D:$D,E$4, Log!$C:$C, $A236, Log!$A:$A, "Daily", Log!$B:$B, "n/a"), 0),
        _xlpm.ie_camera_on_date, IFERROR(AVERAGEIFS(Log!$G:$G, Log!$D:$D,E$4,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6" s="68" t="str">
        <f>IFERROR(
    _xlfn.LET(
        _xlpm.is_data_present, $A236&lt;&gt;0,
        _xlpm.is_camera_present, COUNTIFS(Log!$C:$C, $A236, Log!$D:$D, F$4, Log!$A:$A, "Daily", Log!$B:$B, "n/a"),
        _xlpm.we_camera_on_date, IFERROR(AVERAGEIFS(Log!$F:$F, Log!$D:$D,F$4, Log!$C:$C, $A236, Log!$A:$A, "Daily", Log!$B:$B, "n/a"), 0),
        _xlpm.ie_camera_on_date, IFERROR(AVERAGEIFS(Log!$G:$G, Log!$D:$D,F$4,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6" s="68" t="str">
        <f>IFERROR(
    _xlfn.LET(
        _xlpm.is_data_present, $A236&lt;&gt;0,
        _xlpm.is_camera_present, COUNTIFS(Log!$C:$C, $A236, Log!$D:$D, G$4, Log!$A:$A, "Daily", Log!$B:$B, "n/a"),
        _xlpm.we_camera_on_date, IFERROR(AVERAGEIFS(Log!$F:$F, Log!$D:$D,G$4, Log!$C:$C, $A236, Log!$A:$A, "Daily", Log!$B:$B, "n/a"), 0),
        _xlpm.ie_camera_on_date, IFERROR(AVERAGEIFS(Log!$G:$G, Log!$D:$D,G$4,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6" s="68" t="str">
        <f>IFERROR(
    _xlfn.LET(
        _xlpm.is_data_present, $A236&lt;&gt;0,
        _xlpm.is_camera_present, COUNTIFS(Log!$C:$C, $A236, Log!$D:$D, H$4, Log!$A:$A, "Daily", Log!$B:$B, "n/a"),
        _xlpm.we_camera_on_date, IFERROR(AVERAGEIFS(Log!$F:$F, Log!$D:$D,H$4, Log!$C:$C, $A236, Log!$A:$A, "Daily", Log!$B:$B, "n/a"), 0),
        _xlpm.ie_camera_on_date, IFERROR(AVERAGEIFS(Log!$G:$G, Log!$D:$D,H$4,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6" s="68" t="str">
        <f>IFERROR(
    _xlfn.LET(
        _xlpm.is_data_present, $A236&lt;&gt;0,
        _xlpm.is_camera_present, COUNTIFS(Log!$C:$C, $A236, Log!$D:$D, I$4, Log!$A:$A, "Daily", Log!$B:$B, "n/a"),
        _xlpm.we_camera_on_date, IFERROR(AVERAGEIFS(Log!$F:$F, Log!$D:$D,I$4, Log!$C:$C, $A236, Log!$A:$A, "Daily", Log!$B:$B, "n/a"), 0),
        _xlpm.ie_camera_on_date, IFERROR(AVERAGEIFS(Log!$G:$G, Log!$D:$D,I$4,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6" s="68" t="str">
        <f>IFERROR(
    _xlfn.LET(
        _xlpm.is_data_present, $A236&lt;&gt;0,
        _xlpm.is_camera_present, COUNTIFS(Log!$C:$C, $A236, Log!$D:$D, J$4, Log!$A:$A, "Daily", Log!$B:$B, "n/a"),
        _xlpm.we_camera_on_date, IFERROR(AVERAGEIFS(Log!$F:$F, Log!$D:$D,J$4, Log!$C:$C, $A236, Log!$A:$A, "Daily", Log!$B:$B, "n/a"), 0),
        _xlpm.ie_camera_on_date, IFERROR(AVERAGEIFS(Log!$G:$G, Log!$D:$D,J$4,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6" s="68" t="str">
        <f>IFERROR(
    _xlfn.LET(
        _xlpm.is_data_present, $A236&lt;&gt;0,
        _xlpm.is_camera_present, COUNTIFS(Log!$C:$C, $A236, Log!$D:$D, K$4, Log!$A:$A, "Daily", Log!$B:$B, "n/a"),
        _xlpm.we_camera_on_date, IFERROR(AVERAGEIFS(Log!$F:$F, Log!$D:$D,K$4, Log!$C:$C, $A236, Log!$A:$A, "Daily", Log!$B:$B, "n/a"), 0),
        _xlpm.ie_camera_on_date, IFERROR(AVERAGEIFS(Log!$G:$G, Log!$D:$D,K$4,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6" s="68" t="str">
        <f>IFERROR(
    _xlfn.LET(
        _xlpm.is_data_present, $A236&lt;&gt;0,
        _xlpm.is_camera_present, COUNTIFS(Log!$C:$C, $A236, Log!$D:$D, L$4, Log!$A:$A, "Daily", Log!$B:$B, "n/a"),
        _xlpm.we_camera_on_date, IFERROR(AVERAGEIFS(Log!$F:$F, Log!$D:$D,L$4, Log!$C:$C, $A236, Log!$A:$A, "Daily", Log!$B:$B, "n/a"), 0),
        _xlpm.ie_camera_on_date, IFERROR(AVERAGEIFS(Log!$G:$G, Log!$D:$D,L$4,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6" s="68" t="str">
        <f>IFERROR(
    _xlfn.LET(
        _xlpm.is_data_present, $A236&lt;&gt;0,
        _xlpm.is_camera_present, COUNTIFS(Log!$C:$C, $A236, Log!$D:$D, M$4, Log!$A:$A, "Daily", Log!$B:$B, "n/a"),
        _xlpm.we_camera_on_date, IFERROR(AVERAGEIFS(Log!$F:$F, Log!$D:$D,M$4, Log!$C:$C, $A236, Log!$A:$A, "Daily", Log!$B:$B, "n/a"), 0),
        _xlpm.ie_camera_on_date, IFERROR(AVERAGEIFS(Log!$G:$G, Log!$D:$D,M$4,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6" s="68" t="str">
        <f>IFERROR(
    _xlfn.LET(
        _xlpm.is_data_present, $A236&lt;&gt;0,
        _xlpm.is_camera_present, COUNTIFS(Log!$C:$C, $A236, Log!$D:$D, N$4, Log!$A:$A, "Daily", Log!$B:$B, "n/a"),
        _xlpm.we_camera_on_date, IFERROR(AVERAGEIFS(Log!$F:$F, Log!$D:$D,N$4, Log!$C:$C, $A236, Log!$A:$A, "Daily", Log!$B:$B, "n/a"), 0),
        _xlpm.ie_camera_on_date, IFERROR(AVERAGEIFS(Log!$G:$G, Log!$D:$D,N$4,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6" s="68" t="str">
        <f>IFERROR(
    _xlfn.LET(
        _xlpm.is_data_present, $A236&lt;&gt;0,
        _xlpm.is_camera_present, COUNTIFS(Log!$C:$C, $A236, Log!$D:$D, O$4, Log!$A:$A, "Daily", Log!$B:$B, "n/a"),
        _xlpm.we_camera_on_date, IFERROR(AVERAGEIFS(Log!$F:$F, Log!$D:$D,O$4, Log!$C:$C, $A236, Log!$A:$A, "Daily", Log!$B:$B, "n/a"), 0),
        _xlpm.ie_camera_on_date, IFERROR(AVERAGEIFS(Log!$G:$G, Log!$D:$D,O$4,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6" s="68" t="str">
        <f>IFERROR(
    _xlfn.LET(
        _xlpm.is_data_present, $A236&lt;&gt;0,
        _xlpm.is_camera_present, COUNTIFS(Log!$C:$C, $A236, Log!$D:$D, P$4, Log!$A:$A, "Daily", Log!$B:$B, "n/a"),
        _xlpm.we_camera_on_date, IFERROR(AVERAGEIFS(Log!$F:$F, Log!$D:$D,P$4, Log!$C:$C, $A236, Log!$A:$A, "Daily", Log!$B:$B, "n/a"), 0),
        _xlpm.ie_camera_on_date, IFERROR(AVERAGEIFS(Log!$G:$G, Log!$D:$D,P$4,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6" s="68" t="str">
        <f>IFERROR(
    _xlfn.LET(
        _xlpm.is_data_present, $A236&lt;&gt;0,
        _xlpm.is_camera_present, COUNTIFS(Log!$C:$C, $A236, Log!$D:$D, Q$4, Log!$A:$A, "Daily", Log!$B:$B, "n/a"),
        _xlpm.we_camera_on_date, IFERROR(AVERAGEIFS(Log!$F:$F, Log!$D:$D,Q$4, Log!$C:$C, $A236, Log!$A:$A, "Daily", Log!$B:$B, "n/a"), 0),
        _xlpm.ie_camera_on_date, IFERROR(AVERAGEIFS(Log!$G:$G, Log!$D:$D,Q$4,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6" s="68" t="str">
        <f>IFERROR(
    _xlfn.LET(
        _xlpm.is_data_present, $A236&lt;&gt;0,
        _xlpm.is_camera_present, COUNTIFS(Log!$C:$C, $A236, Log!$D:$D, R$4, Log!$A:$A, "Daily", Log!$B:$B, "n/a"),
        _xlpm.we_camera_on_date, IFERROR(AVERAGEIFS(Log!$F:$F, Log!$D:$D,R$4, Log!$C:$C, $A236, Log!$A:$A, "Daily", Log!$B:$B, "n/a"), 0),
        _xlpm.ie_camera_on_date, IFERROR(AVERAGEIFS(Log!$G:$G, Log!$D:$D,R$4,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6" s="68" t="str">
        <f>IFERROR(
    _xlfn.LET(
        _xlpm.is_data_present, $A236&lt;&gt;0,
        _xlpm.is_camera_present, COUNTIFS(Log!$C:$C, $A236, Log!$D:$D, S$4, Log!$A:$A, "Daily", Log!$B:$B, "n/a"),
        _xlpm.we_camera_on_date, IFERROR(AVERAGEIFS(Log!$F:$F, Log!$D:$D,S$4, Log!$C:$C, $A236, Log!$A:$A, "Daily", Log!$B:$B, "n/a"), 0),
        _xlpm.ie_camera_on_date, IFERROR(AVERAGEIFS(Log!$G:$G, Log!$D:$D,S$4, Log!$C:$C, $A236, Log!$A:$A, "Daily", Log!$B:$B, "n/a"), 0),
        _xlpm.we_avg, IFERROR(AVERAGEIFS(Log!$F:$F,Log!$C:$C,$A236, Log!$A:$A, "Daily", Log!$B:$B, "n/a"),0),
        _xlpm.ie_avg, IFERROR(AVERAGEIFS(Log!$G:$G,Log!$C:$C,$A236,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7" spans="2:19" x14ac:dyDescent="0.3">
      <c r="B237" s="68" t="str">
        <f>IFERROR(
    _xlfn.LET(
        _xlpm.is_data_present, $A237&lt;&gt;0,
        _xlpm.is_camera_present, COUNTIFS(Log!$C:$C, $A237, Log!$D:$D, B$4, Log!$A:$A, "Daily", Log!$B:$B, "n/a"),
        _xlpm.we_camera_on_date, IFERROR(AVERAGEIFS(Log!$F:$F, Log!$D:$D,B$4, Log!$C:$C, $A237, Log!$A:$A, "Daily", Log!$B:$B, "n/a"), 0),
        _xlpm.ie_camera_on_date, IFERROR(AVERAGEIFS(Log!$G:$G, Log!$D:$D,B$4,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7" s="68" t="str">
        <f>IFERROR(
    _xlfn.LET(
        _xlpm.is_data_present, $A237&lt;&gt;0,
        _xlpm.is_camera_present, COUNTIFS(Log!$C:$C, $A237, Log!$D:$D, C$4, Log!$A:$A, "Daily", Log!$B:$B, "n/a"),
        _xlpm.we_camera_on_date, IFERROR(AVERAGEIFS(Log!$F:$F, Log!$D:$D,C$4, Log!$C:$C, $A237, Log!$A:$A, "Daily", Log!$B:$B, "n/a"), 0),
        _xlpm.ie_camera_on_date, IFERROR(AVERAGEIFS(Log!$G:$G, Log!$D:$D,C$4,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7" s="68" t="str">
        <f>IFERROR(
    _xlfn.LET(
        _xlpm.is_data_present, $A237&lt;&gt;0,
        _xlpm.is_camera_present, COUNTIFS(Log!$C:$C, $A237, Log!$D:$D, D$4, Log!$A:$A, "Daily", Log!$B:$B, "n/a"),
        _xlpm.we_camera_on_date, IFERROR(AVERAGEIFS(Log!$F:$F, Log!$D:$D,D$4, Log!$C:$C, $A237, Log!$A:$A, "Daily", Log!$B:$B, "n/a"), 0),
        _xlpm.ie_camera_on_date, IFERROR(AVERAGEIFS(Log!$G:$G, Log!$D:$D,D$4,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7" s="68" t="str">
        <f>IFERROR(
    _xlfn.LET(
        _xlpm.is_data_present, $A237&lt;&gt;0,
        _xlpm.is_camera_present, COUNTIFS(Log!$C:$C, $A237, Log!$D:$D, E$4, Log!$A:$A, "Daily", Log!$B:$B, "n/a"),
        _xlpm.we_camera_on_date, IFERROR(AVERAGEIFS(Log!$F:$F, Log!$D:$D,E$4, Log!$C:$C, $A237, Log!$A:$A, "Daily", Log!$B:$B, "n/a"), 0),
        _xlpm.ie_camera_on_date, IFERROR(AVERAGEIFS(Log!$G:$G, Log!$D:$D,E$4,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7" s="68" t="str">
        <f>IFERROR(
    _xlfn.LET(
        _xlpm.is_data_present, $A237&lt;&gt;0,
        _xlpm.is_camera_present, COUNTIFS(Log!$C:$C, $A237, Log!$D:$D, F$4, Log!$A:$A, "Daily", Log!$B:$B, "n/a"),
        _xlpm.we_camera_on_date, IFERROR(AVERAGEIFS(Log!$F:$F, Log!$D:$D,F$4, Log!$C:$C, $A237, Log!$A:$A, "Daily", Log!$B:$B, "n/a"), 0),
        _xlpm.ie_camera_on_date, IFERROR(AVERAGEIFS(Log!$G:$G, Log!$D:$D,F$4,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7" s="68" t="str">
        <f>IFERROR(
    _xlfn.LET(
        _xlpm.is_data_present, $A237&lt;&gt;0,
        _xlpm.is_camera_present, COUNTIFS(Log!$C:$C, $A237, Log!$D:$D, G$4, Log!$A:$A, "Daily", Log!$B:$B, "n/a"),
        _xlpm.we_camera_on_date, IFERROR(AVERAGEIFS(Log!$F:$F, Log!$D:$D,G$4, Log!$C:$C, $A237, Log!$A:$A, "Daily", Log!$B:$B, "n/a"), 0),
        _xlpm.ie_camera_on_date, IFERROR(AVERAGEIFS(Log!$G:$G, Log!$D:$D,G$4,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7" s="68" t="str">
        <f>IFERROR(
    _xlfn.LET(
        _xlpm.is_data_present, $A237&lt;&gt;0,
        _xlpm.is_camera_present, COUNTIFS(Log!$C:$C, $A237, Log!$D:$D, H$4, Log!$A:$A, "Daily", Log!$B:$B, "n/a"),
        _xlpm.we_camera_on_date, IFERROR(AVERAGEIFS(Log!$F:$F, Log!$D:$D,H$4, Log!$C:$C, $A237, Log!$A:$A, "Daily", Log!$B:$B, "n/a"), 0),
        _xlpm.ie_camera_on_date, IFERROR(AVERAGEIFS(Log!$G:$G, Log!$D:$D,H$4,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7" s="68" t="str">
        <f>IFERROR(
    _xlfn.LET(
        _xlpm.is_data_present, $A237&lt;&gt;0,
        _xlpm.is_camera_present, COUNTIFS(Log!$C:$C, $A237, Log!$D:$D, I$4, Log!$A:$A, "Daily", Log!$B:$B, "n/a"),
        _xlpm.we_camera_on_date, IFERROR(AVERAGEIFS(Log!$F:$F, Log!$D:$D,I$4, Log!$C:$C, $A237, Log!$A:$A, "Daily", Log!$B:$B, "n/a"), 0),
        _xlpm.ie_camera_on_date, IFERROR(AVERAGEIFS(Log!$G:$G, Log!$D:$D,I$4,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7" s="68" t="str">
        <f>IFERROR(
    _xlfn.LET(
        _xlpm.is_data_present, $A237&lt;&gt;0,
        _xlpm.is_camera_present, COUNTIFS(Log!$C:$C, $A237, Log!$D:$D, J$4, Log!$A:$A, "Daily", Log!$B:$B, "n/a"),
        _xlpm.we_camera_on_date, IFERROR(AVERAGEIFS(Log!$F:$F, Log!$D:$D,J$4, Log!$C:$C, $A237, Log!$A:$A, "Daily", Log!$B:$B, "n/a"), 0),
        _xlpm.ie_camera_on_date, IFERROR(AVERAGEIFS(Log!$G:$G, Log!$D:$D,J$4,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7" s="68" t="str">
        <f>IFERROR(
    _xlfn.LET(
        _xlpm.is_data_present, $A237&lt;&gt;0,
        _xlpm.is_camera_present, COUNTIFS(Log!$C:$C, $A237, Log!$D:$D, K$4, Log!$A:$A, "Daily", Log!$B:$B, "n/a"),
        _xlpm.we_camera_on_date, IFERROR(AVERAGEIFS(Log!$F:$F, Log!$D:$D,K$4, Log!$C:$C, $A237, Log!$A:$A, "Daily", Log!$B:$B, "n/a"), 0),
        _xlpm.ie_camera_on_date, IFERROR(AVERAGEIFS(Log!$G:$G, Log!$D:$D,K$4,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7" s="68" t="str">
        <f>IFERROR(
    _xlfn.LET(
        _xlpm.is_data_present, $A237&lt;&gt;0,
        _xlpm.is_camera_present, COUNTIFS(Log!$C:$C, $A237, Log!$D:$D, L$4, Log!$A:$A, "Daily", Log!$B:$B, "n/a"),
        _xlpm.we_camera_on_date, IFERROR(AVERAGEIFS(Log!$F:$F, Log!$D:$D,L$4, Log!$C:$C, $A237, Log!$A:$A, "Daily", Log!$B:$B, "n/a"), 0),
        _xlpm.ie_camera_on_date, IFERROR(AVERAGEIFS(Log!$G:$G, Log!$D:$D,L$4,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7" s="68" t="str">
        <f>IFERROR(
    _xlfn.LET(
        _xlpm.is_data_present, $A237&lt;&gt;0,
        _xlpm.is_camera_present, COUNTIFS(Log!$C:$C, $A237, Log!$D:$D, M$4, Log!$A:$A, "Daily", Log!$B:$B, "n/a"),
        _xlpm.we_camera_on_date, IFERROR(AVERAGEIFS(Log!$F:$F, Log!$D:$D,M$4, Log!$C:$C, $A237, Log!$A:$A, "Daily", Log!$B:$B, "n/a"), 0),
        _xlpm.ie_camera_on_date, IFERROR(AVERAGEIFS(Log!$G:$G, Log!$D:$D,M$4,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7" s="68" t="str">
        <f>IFERROR(
    _xlfn.LET(
        _xlpm.is_data_present, $A237&lt;&gt;0,
        _xlpm.is_camera_present, COUNTIFS(Log!$C:$C, $A237, Log!$D:$D, N$4, Log!$A:$A, "Daily", Log!$B:$B, "n/a"),
        _xlpm.we_camera_on_date, IFERROR(AVERAGEIFS(Log!$F:$F, Log!$D:$D,N$4, Log!$C:$C, $A237, Log!$A:$A, "Daily", Log!$B:$B, "n/a"), 0),
        _xlpm.ie_camera_on_date, IFERROR(AVERAGEIFS(Log!$G:$G, Log!$D:$D,N$4,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7" s="68" t="str">
        <f>IFERROR(
    _xlfn.LET(
        _xlpm.is_data_present, $A237&lt;&gt;0,
        _xlpm.is_camera_present, COUNTIFS(Log!$C:$C, $A237, Log!$D:$D, O$4, Log!$A:$A, "Daily", Log!$B:$B, "n/a"),
        _xlpm.we_camera_on_date, IFERROR(AVERAGEIFS(Log!$F:$F, Log!$D:$D,O$4, Log!$C:$C, $A237, Log!$A:$A, "Daily", Log!$B:$B, "n/a"), 0),
        _xlpm.ie_camera_on_date, IFERROR(AVERAGEIFS(Log!$G:$G, Log!$D:$D,O$4,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7" s="68" t="str">
        <f>IFERROR(
    _xlfn.LET(
        _xlpm.is_data_present, $A237&lt;&gt;0,
        _xlpm.is_camera_present, COUNTIFS(Log!$C:$C, $A237, Log!$D:$D, P$4, Log!$A:$A, "Daily", Log!$B:$B, "n/a"),
        _xlpm.we_camera_on_date, IFERROR(AVERAGEIFS(Log!$F:$F, Log!$D:$D,P$4, Log!$C:$C, $A237, Log!$A:$A, "Daily", Log!$B:$B, "n/a"), 0),
        _xlpm.ie_camera_on_date, IFERROR(AVERAGEIFS(Log!$G:$G, Log!$D:$D,P$4,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7" s="68" t="str">
        <f>IFERROR(
    _xlfn.LET(
        _xlpm.is_data_present, $A237&lt;&gt;0,
        _xlpm.is_camera_present, COUNTIFS(Log!$C:$C, $A237, Log!$D:$D, Q$4, Log!$A:$A, "Daily", Log!$B:$B, "n/a"),
        _xlpm.we_camera_on_date, IFERROR(AVERAGEIFS(Log!$F:$F, Log!$D:$D,Q$4, Log!$C:$C, $A237, Log!$A:$A, "Daily", Log!$B:$B, "n/a"), 0),
        _xlpm.ie_camera_on_date, IFERROR(AVERAGEIFS(Log!$G:$G, Log!$D:$D,Q$4,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7" s="68" t="str">
        <f>IFERROR(
    _xlfn.LET(
        _xlpm.is_data_present, $A237&lt;&gt;0,
        _xlpm.is_camera_present, COUNTIFS(Log!$C:$C, $A237, Log!$D:$D, R$4, Log!$A:$A, "Daily", Log!$B:$B, "n/a"),
        _xlpm.we_camera_on_date, IFERROR(AVERAGEIFS(Log!$F:$F, Log!$D:$D,R$4, Log!$C:$C, $A237, Log!$A:$A, "Daily", Log!$B:$B, "n/a"), 0),
        _xlpm.ie_camera_on_date, IFERROR(AVERAGEIFS(Log!$G:$G, Log!$D:$D,R$4,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7" s="68" t="str">
        <f>IFERROR(
    _xlfn.LET(
        _xlpm.is_data_present, $A237&lt;&gt;0,
        _xlpm.is_camera_present, COUNTIFS(Log!$C:$C, $A237, Log!$D:$D, S$4, Log!$A:$A, "Daily", Log!$B:$B, "n/a"),
        _xlpm.we_camera_on_date, IFERROR(AVERAGEIFS(Log!$F:$F, Log!$D:$D,S$4, Log!$C:$C, $A237, Log!$A:$A, "Daily", Log!$B:$B, "n/a"), 0),
        _xlpm.ie_camera_on_date, IFERROR(AVERAGEIFS(Log!$G:$G, Log!$D:$D,S$4, Log!$C:$C, $A237, Log!$A:$A, "Daily", Log!$B:$B, "n/a"), 0),
        _xlpm.we_avg, IFERROR(AVERAGEIFS(Log!$F:$F,Log!$C:$C,$A237, Log!$A:$A, "Daily", Log!$B:$B, "n/a"),0),
        _xlpm.ie_avg, IFERROR(AVERAGEIFS(Log!$G:$G,Log!$C:$C,$A237,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8" spans="2:19" x14ac:dyDescent="0.3">
      <c r="B238" s="68" t="str">
        <f>IFERROR(
    _xlfn.LET(
        _xlpm.is_data_present, $A238&lt;&gt;0,
        _xlpm.is_camera_present, COUNTIFS(Log!$C:$C, $A238, Log!$D:$D, B$4, Log!$A:$A, "Daily", Log!$B:$B, "n/a"),
        _xlpm.we_camera_on_date, IFERROR(AVERAGEIFS(Log!$F:$F, Log!$D:$D,B$4, Log!$C:$C, $A238, Log!$A:$A, "Daily", Log!$B:$B, "n/a"), 0),
        _xlpm.ie_camera_on_date, IFERROR(AVERAGEIFS(Log!$G:$G, Log!$D:$D,B$4,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8" s="68" t="str">
        <f>IFERROR(
    _xlfn.LET(
        _xlpm.is_data_present, $A238&lt;&gt;0,
        _xlpm.is_camera_present, COUNTIFS(Log!$C:$C, $A238, Log!$D:$D, C$4, Log!$A:$A, "Daily", Log!$B:$B, "n/a"),
        _xlpm.we_camera_on_date, IFERROR(AVERAGEIFS(Log!$F:$F, Log!$D:$D,C$4, Log!$C:$C, $A238, Log!$A:$A, "Daily", Log!$B:$B, "n/a"), 0),
        _xlpm.ie_camera_on_date, IFERROR(AVERAGEIFS(Log!$G:$G, Log!$D:$D,C$4,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8" s="68" t="str">
        <f>IFERROR(
    _xlfn.LET(
        _xlpm.is_data_present, $A238&lt;&gt;0,
        _xlpm.is_camera_present, COUNTIFS(Log!$C:$C, $A238, Log!$D:$D, D$4, Log!$A:$A, "Daily", Log!$B:$B, "n/a"),
        _xlpm.we_camera_on_date, IFERROR(AVERAGEIFS(Log!$F:$F, Log!$D:$D,D$4, Log!$C:$C, $A238, Log!$A:$A, "Daily", Log!$B:$B, "n/a"), 0),
        _xlpm.ie_camera_on_date, IFERROR(AVERAGEIFS(Log!$G:$G, Log!$D:$D,D$4,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8" s="68" t="str">
        <f>IFERROR(
    _xlfn.LET(
        _xlpm.is_data_present, $A238&lt;&gt;0,
        _xlpm.is_camera_present, COUNTIFS(Log!$C:$C, $A238, Log!$D:$D, E$4, Log!$A:$A, "Daily", Log!$B:$B, "n/a"),
        _xlpm.we_camera_on_date, IFERROR(AVERAGEIFS(Log!$F:$F, Log!$D:$D,E$4, Log!$C:$C, $A238, Log!$A:$A, "Daily", Log!$B:$B, "n/a"), 0),
        _xlpm.ie_camera_on_date, IFERROR(AVERAGEIFS(Log!$G:$G, Log!$D:$D,E$4,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8" s="68" t="str">
        <f>IFERROR(
    _xlfn.LET(
        _xlpm.is_data_present, $A238&lt;&gt;0,
        _xlpm.is_camera_present, COUNTIFS(Log!$C:$C, $A238, Log!$D:$D, F$4, Log!$A:$A, "Daily", Log!$B:$B, "n/a"),
        _xlpm.we_camera_on_date, IFERROR(AVERAGEIFS(Log!$F:$F, Log!$D:$D,F$4, Log!$C:$C, $A238, Log!$A:$A, "Daily", Log!$B:$B, "n/a"), 0),
        _xlpm.ie_camera_on_date, IFERROR(AVERAGEIFS(Log!$G:$G, Log!$D:$D,F$4,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8" s="68" t="str">
        <f>IFERROR(
    _xlfn.LET(
        _xlpm.is_data_present, $A238&lt;&gt;0,
        _xlpm.is_camera_present, COUNTIFS(Log!$C:$C, $A238, Log!$D:$D, G$4, Log!$A:$A, "Daily", Log!$B:$B, "n/a"),
        _xlpm.we_camera_on_date, IFERROR(AVERAGEIFS(Log!$F:$F, Log!$D:$D,G$4, Log!$C:$C, $A238, Log!$A:$A, "Daily", Log!$B:$B, "n/a"), 0),
        _xlpm.ie_camera_on_date, IFERROR(AVERAGEIFS(Log!$G:$G, Log!$D:$D,G$4,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8" s="68" t="str">
        <f>IFERROR(
    _xlfn.LET(
        _xlpm.is_data_present, $A238&lt;&gt;0,
        _xlpm.is_camera_present, COUNTIFS(Log!$C:$C, $A238, Log!$D:$D, H$4, Log!$A:$A, "Daily", Log!$B:$B, "n/a"),
        _xlpm.we_camera_on_date, IFERROR(AVERAGEIFS(Log!$F:$F, Log!$D:$D,H$4, Log!$C:$C, $A238, Log!$A:$A, "Daily", Log!$B:$B, "n/a"), 0),
        _xlpm.ie_camera_on_date, IFERROR(AVERAGEIFS(Log!$G:$G, Log!$D:$D,H$4,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8" s="68" t="str">
        <f>IFERROR(
    _xlfn.LET(
        _xlpm.is_data_present, $A238&lt;&gt;0,
        _xlpm.is_camera_present, COUNTIFS(Log!$C:$C, $A238, Log!$D:$D, I$4, Log!$A:$A, "Daily", Log!$B:$B, "n/a"),
        _xlpm.we_camera_on_date, IFERROR(AVERAGEIFS(Log!$F:$F, Log!$D:$D,I$4, Log!$C:$C, $A238, Log!$A:$A, "Daily", Log!$B:$B, "n/a"), 0),
        _xlpm.ie_camera_on_date, IFERROR(AVERAGEIFS(Log!$G:$G, Log!$D:$D,I$4,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8" s="68" t="str">
        <f>IFERROR(
    _xlfn.LET(
        _xlpm.is_data_present, $A238&lt;&gt;0,
        _xlpm.is_camera_present, COUNTIFS(Log!$C:$C, $A238, Log!$D:$D, J$4, Log!$A:$A, "Daily", Log!$B:$B, "n/a"),
        _xlpm.we_camera_on_date, IFERROR(AVERAGEIFS(Log!$F:$F, Log!$D:$D,J$4, Log!$C:$C, $A238, Log!$A:$A, "Daily", Log!$B:$B, "n/a"), 0),
        _xlpm.ie_camera_on_date, IFERROR(AVERAGEIFS(Log!$G:$G, Log!$D:$D,J$4,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8" s="68" t="str">
        <f>IFERROR(
    _xlfn.LET(
        _xlpm.is_data_present, $A238&lt;&gt;0,
        _xlpm.is_camera_present, COUNTIFS(Log!$C:$C, $A238, Log!$D:$D, K$4, Log!$A:$A, "Daily", Log!$B:$B, "n/a"),
        _xlpm.we_camera_on_date, IFERROR(AVERAGEIFS(Log!$F:$F, Log!$D:$D,K$4, Log!$C:$C, $A238, Log!$A:$A, "Daily", Log!$B:$B, "n/a"), 0),
        _xlpm.ie_camera_on_date, IFERROR(AVERAGEIFS(Log!$G:$G, Log!$D:$D,K$4,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8" s="68" t="str">
        <f>IFERROR(
    _xlfn.LET(
        _xlpm.is_data_present, $A238&lt;&gt;0,
        _xlpm.is_camera_present, COUNTIFS(Log!$C:$C, $A238, Log!$D:$D, L$4, Log!$A:$A, "Daily", Log!$B:$B, "n/a"),
        _xlpm.we_camera_on_date, IFERROR(AVERAGEIFS(Log!$F:$F, Log!$D:$D,L$4, Log!$C:$C, $A238, Log!$A:$A, "Daily", Log!$B:$B, "n/a"), 0),
        _xlpm.ie_camera_on_date, IFERROR(AVERAGEIFS(Log!$G:$G, Log!$D:$D,L$4,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8" s="68" t="str">
        <f>IFERROR(
    _xlfn.LET(
        _xlpm.is_data_present, $A238&lt;&gt;0,
        _xlpm.is_camera_present, COUNTIFS(Log!$C:$C, $A238, Log!$D:$D, M$4, Log!$A:$A, "Daily", Log!$B:$B, "n/a"),
        _xlpm.we_camera_on_date, IFERROR(AVERAGEIFS(Log!$F:$F, Log!$D:$D,M$4, Log!$C:$C, $A238, Log!$A:$A, "Daily", Log!$B:$B, "n/a"), 0),
        _xlpm.ie_camera_on_date, IFERROR(AVERAGEIFS(Log!$G:$G, Log!$D:$D,M$4,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8" s="68" t="str">
        <f>IFERROR(
    _xlfn.LET(
        _xlpm.is_data_present, $A238&lt;&gt;0,
        _xlpm.is_camera_present, COUNTIFS(Log!$C:$C, $A238, Log!$D:$D, N$4, Log!$A:$A, "Daily", Log!$B:$B, "n/a"),
        _xlpm.we_camera_on_date, IFERROR(AVERAGEIFS(Log!$F:$F, Log!$D:$D,N$4, Log!$C:$C, $A238, Log!$A:$A, "Daily", Log!$B:$B, "n/a"), 0),
        _xlpm.ie_camera_on_date, IFERROR(AVERAGEIFS(Log!$G:$G, Log!$D:$D,N$4,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8" s="68" t="str">
        <f>IFERROR(
    _xlfn.LET(
        _xlpm.is_data_present, $A238&lt;&gt;0,
        _xlpm.is_camera_present, COUNTIFS(Log!$C:$C, $A238, Log!$D:$D, O$4, Log!$A:$A, "Daily", Log!$B:$B, "n/a"),
        _xlpm.we_camera_on_date, IFERROR(AVERAGEIFS(Log!$F:$F, Log!$D:$D,O$4, Log!$C:$C, $A238, Log!$A:$A, "Daily", Log!$B:$B, "n/a"), 0),
        _xlpm.ie_camera_on_date, IFERROR(AVERAGEIFS(Log!$G:$G, Log!$D:$D,O$4,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8" s="68" t="str">
        <f>IFERROR(
    _xlfn.LET(
        _xlpm.is_data_present, $A238&lt;&gt;0,
        _xlpm.is_camera_present, COUNTIFS(Log!$C:$C, $A238, Log!$D:$D, P$4, Log!$A:$A, "Daily", Log!$B:$B, "n/a"),
        _xlpm.we_camera_on_date, IFERROR(AVERAGEIFS(Log!$F:$F, Log!$D:$D,P$4, Log!$C:$C, $A238, Log!$A:$A, "Daily", Log!$B:$B, "n/a"), 0),
        _xlpm.ie_camera_on_date, IFERROR(AVERAGEIFS(Log!$G:$G, Log!$D:$D,P$4,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8" s="68" t="str">
        <f>IFERROR(
    _xlfn.LET(
        _xlpm.is_data_present, $A238&lt;&gt;0,
        _xlpm.is_camera_present, COUNTIFS(Log!$C:$C, $A238, Log!$D:$D, Q$4, Log!$A:$A, "Daily", Log!$B:$B, "n/a"),
        _xlpm.we_camera_on_date, IFERROR(AVERAGEIFS(Log!$F:$F, Log!$D:$D,Q$4, Log!$C:$C, $A238, Log!$A:$A, "Daily", Log!$B:$B, "n/a"), 0),
        _xlpm.ie_camera_on_date, IFERROR(AVERAGEIFS(Log!$G:$G, Log!$D:$D,Q$4,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8" s="68" t="str">
        <f>IFERROR(
    _xlfn.LET(
        _xlpm.is_data_present, $A238&lt;&gt;0,
        _xlpm.is_camera_present, COUNTIFS(Log!$C:$C, $A238, Log!$D:$D, R$4, Log!$A:$A, "Daily", Log!$B:$B, "n/a"),
        _xlpm.we_camera_on_date, IFERROR(AVERAGEIFS(Log!$F:$F, Log!$D:$D,R$4, Log!$C:$C, $A238, Log!$A:$A, "Daily", Log!$B:$B, "n/a"), 0),
        _xlpm.ie_camera_on_date, IFERROR(AVERAGEIFS(Log!$G:$G, Log!$D:$D,R$4,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8" s="68" t="str">
        <f>IFERROR(
    _xlfn.LET(
        _xlpm.is_data_present, $A238&lt;&gt;0,
        _xlpm.is_camera_present, COUNTIFS(Log!$C:$C, $A238, Log!$D:$D, S$4, Log!$A:$A, "Daily", Log!$B:$B, "n/a"),
        _xlpm.we_camera_on_date, IFERROR(AVERAGEIFS(Log!$F:$F, Log!$D:$D,S$4, Log!$C:$C, $A238, Log!$A:$A, "Daily", Log!$B:$B, "n/a"), 0),
        _xlpm.ie_camera_on_date, IFERROR(AVERAGEIFS(Log!$G:$G, Log!$D:$D,S$4, Log!$C:$C, $A238, Log!$A:$A, "Daily", Log!$B:$B, "n/a"), 0),
        _xlpm.we_avg, IFERROR(AVERAGEIFS(Log!$F:$F,Log!$C:$C,$A238, Log!$A:$A, "Daily", Log!$B:$B, "n/a"),0),
        _xlpm.ie_avg, IFERROR(AVERAGEIFS(Log!$G:$G,Log!$C:$C,$A238,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39" spans="2:19" x14ac:dyDescent="0.3">
      <c r="B239" s="68" t="str">
        <f>IFERROR(
    _xlfn.LET(
        _xlpm.is_data_present, $A239&lt;&gt;0,
        _xlpm.is_camera_present, COUNTIFS(Log!$C:$C, $A239, Log!$D:$D, B$4, Log!$A:$A, "Daily", Log!$B:$B, "n/a"),
        _xlpm.we_camera_on_date, IFERROR(AVERAGEIFS(Log!$F:$F, Log!$D:$D,B$4, Log!$C:$C, $A239, Log!$A:$A, "Daily", Log!$B:$B, "n/a"), 0),
        _xlpm.ie_camera_on_date, IFERROR(AVERAGEIFS(Log!$G:$G, Log!$D:$D,B$4,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39" s="68" t="str">
        <f>IFERROR(
    _xlfn.LET(
        _xlpm.is_data_present, $A239&lt;&gt;0,
        _xlpm.is_camera_present, COUNTIFS(Log!$C:$C, $A239, Log!$D:$D, C$4, Log!$A:$A, "Daily", Log!$B:$B, "n/a"),
        _xlpm.we_camera_on_date, IFERROR(AVERAGEIFS(Log!$F:$F, Log!$D:$D,C$4, Log!$C:$C, $A239, Log!$A:$A, "Daily", Log!$B:$B, "n/a"), 0),
        _xlpm.ie_camera_on_date, IFERROR(AVERAGEIFS(Log!$G:$G, Log!$D:$D,C$4,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39" s="68" t="str">
        <f>IFERROR(
    _xlfn.LET(
        _xlpm.is_data_present, $A239&lt;&gt;0,
        _xlpm.is_camera_present, COUNTIFS(Log!$C:$C, $A239, Log!$D:$D, D$4, Log!$A:$A, "Daily", Log!$B:$B, "n/a"),
        _xlpm.we_camera_on_date, IFERROR(AVERAGEIFS(Log!$F:$F, Log!$D:$D,D$4, Log!$C:$C, $A239, Log!$A:$A, "Daily", Log!$B:$B, "n/a"), 0),
        _xlpm.ie_camera_on_date, IFERROR(AVERAGEIFS(Log!$G:$G, Log!$D:$D,D$4,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39" s="68" t="str">
        <f>IFERROR(
    _xlfn.LET(
        _xlpm.is_data_present, $A239&lt;&gt;0,
        _xlpm.is_camera_present, COUNTIFS(Log!$C:$C, $A239, Log!$D:$D, E$4, Log!$A:$A, "Daily", Log!$B:$B, "n/a"),
        _xlpm.we_camera_on_date, IFERROR(AVERAGEIFS(Log!$F:$F, Log!$D:$D,E$4, Log!$C:$C, $A239, Log!$A:$A, "Daily", Log!$B:$B, "n/a"), 0),
        _xlpm.ie_camera_on_date, IFERROR(AVERAGEIFS(Log!$G:$G, Log!$D:$D,E$4,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39" s="68" t="str">
        <f>IFERROR(
    _xlfn.LET(
        _xlpm.is_data_present, $A239&lt;&gt;0,
        _xlpm.is_camera_present, COUNTIFS(Log!$C:$C, $A239, Log!$D:$D, F$4, Log!$A:$A, "Daily", Log!$B:$B, "n/a"),
        _xlpm.we_camera_on_date, IFERROR(AVERAGEIFS(Log!$F:$F, Log!$D:$D,F$4, Log!$C:$C, $A239, Log!$A:$A, "Daily", Log!$B:$B, "n/a"), 0),
        _xlpm.ie_camera_on_date, IFERROR(AVERAGEIFS(Log!$G:$G, Log!$D:$D,F$4,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39" s="68" t="str">
        <f>IFERROR(
    _xlfn.LET(
        _xlpm.is_data_present, $A239&lt;&gt;0,
        _xlpm.is_camera_present, COUNTIFS(Log!$C:$C, $A239, Log!$D:$D, G$4, Log!$A:$A, "Daily", Log!$B:$B, "n/a"),
        _xlpm.we_camera_on_date, IFERROR(AVERAGEIFS(Log!$F:$F, Log!$D:$D,G$4, Log!$C:$C, $A239, Log!$A:$A, "Daily", Log!$B:$B, "n/a"), 0),
        _xlpm.ie_camera_on_date, IFERROR(AVERAGEIFS(Log!$G:$G, Log!$D:$D,G$4,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39" s="68" t="str">
        <f>IFERROR(
    _xlfn.LET(
        _xlpm.is_data_present, $A239&lt;&gt;0,
        _xlpm.is_camera_present, COUNTIFS(Log!$C:$C, $A239, Log!$D:$D, H$4, Log!$A:$A, "Daily", Log!$B:$B, "n/a"),
        _xlpm.we_camera_on_date, IFERROR(AVERAGEIFS(Log!$F:$F, Log!$D:$D,H$4, Log!$C:$C, $A239, Log!$A:$A, "Daily", Log!$B:$B, "n/a"), 0),
        _xlpm.ie_camera_on_date, IFERROR(AVERAGEIFS(Log!$G:$G, Log!$D:$D,H$4,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39" s="68" t="str">
        <f>IFERROR(
    _xlfn.LET(
        _xlpm.is_data_present, $A239&lt;&gt;0,
        _xlpm.is_camera_present, COUNTIFS(Log!$C:$C, $A239, Log!$D:$D, I$4, Log!$A:$A, "Daily", Log!$B:$B, "n/a"),
        _xlpm.we_camera_on_date, IFERROR(AVERAGEIFS(Log!$F:$F, Log!$D:$D,I$4, Log!$C:$C, $A239, Log!$A:$A, "Daily", Log!$B:$B, "n/a"), 0),
        _xlpm.ie_camera_on_date, IFERROR(AVERAGEIFS(Log!$G:$G, Log!$D:$D,I$4,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39" s="68" t="str">
        <f>IFERROR(
    _xlfn.LET(
        _xlpm.is_data_present, $A239&lt;&gt;0,
        _xlpm.is_camera_present, COUNTIFS(Log!$C:$C, $A239, Log!$D:$D, J$4, Log!$A:$A, "Daily", Log!$B:$B, "n/a"),
        _xlpm.we_camera_on_date, IFERROR(AVERAGEIFS(Log!$F:$F, Log!$D:$D,J$4, Log!$C:$C, $A239, Log!$A:$A, "Daily", Log!$B:$B, "n/a"), 0),
        _xlpm.ie_camera_on_date, IFERROR(AVERAGEIFS(Log!$G:$G, Log!$D:$D,J$4,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39" s="68" t="str">
        <f>IFERROR(
    _xlfn.LET(
        _xlpm.is_data_present, $A239&lt;&gt;0,
        _xlpm.is_camera_present, COUNTIFS(Log!$C:$C, $A239, Log!$D:$D, K$4, Log!$A:$A, "Daily", Log!$B:$B, "n/a"),
        _xlpm.we_camera_on_date, IFERROR(AVERAGEIFS(Log!$F:$F, Log!$D:$D,K$4, Log!$C:$C, $A239, Log!$A:$A, "Daily", Log!$B:$B, "n/a"), 0),
        _xlpm.ie_camera_on_date, IFERROR(AVERAGEIFS(Log!$G:$G, Log!$D:$D,K$4,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39" s="68" t="str">
        <f>IFERROR(
    _xlfn.LET(
        _xlpm.is_data_present, $A239&lt;&gt;0,
        _xlpm.is_camera_present, COUNTIFS(Log!$C:$C, $A239, Log!$D:$D, L$4, Log!$A:$A, "Daily", Log!$B:$B, "n/a"),
        _xlpm.we_camera_on_date, IFERROR(AVERAGEIFS(Log!$F:$F, Log!$D:$D,L$4, Log!$C:$C, $A239, Log!$A:$A, "Daily", Log!$B:$B, "n/a"), 0),
        _xlpm.ie_camera_on_date, IFERROR(AVERAGEIFS(Log!$G:$G, Log!$D:$D,L$4,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39" s="68" t="str">
        <f>IFERROR(
    _xlfn.LET(
        _xlpm.is_data_present, $A239&lt;&gt;0,
        _xlpm.is_camera_present, COUNTIFS(Log!$C:$C, $A239, Log!$D:$D, M$4, Log!$A:$A, "Daily", Log!$B:$B, "n/a"),
        _xlpm.we_camera_on_date, IFERROR(AVERAGEIFS(Log!$F:$F, Log!$D:$D,M$4, Log!$C:$C, $A239, Log!$A:$A, "Daily", Log!$B:$B, "n/a"), 0),
        _xlpm.ie_camera_on_date, IFERROR(AVERAGEIFS(Log!$G:$G, Log!$D:$D,M$4,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39" s="68" t="str">
        <f>IFERROR(
    _xlfn.LET(
        _xlpm.is_data_present, $A239&lt;&gt;0,
        _xlpm.is_camera_present, COUNTIFS(Log!$C:$C, $A239, Log!$D:$D, N$4, Log!$A:$A, "Daily", Log!$B:$B, "n/a"),
        _xlpm.we_camera_on_date, IFERROR(AVERAGEIFS(Log!$F:$F, Log!$D:$D,N$4, Log!$C:$C, $A239, Log!$A:$A, "Daily", Log!$B:$B, "n/a"), 0),
        _xlpm.ie_camera_on_date, IFERROR(AVERAGEIFS(Log!$G:$G, Log!$D:$D,N$4,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39" s="68" t="str">
        <f>IFERROR(
    _xlfn.LET(
        _xlpm.is_data_present, $A239&lt;&gt;0,
        _xlpm.is_camera_present, COUNTIFS(Log!$C:$C, $A239, Log!$D:$D, O$4, Log!$A:$A, "Daily", Log!$B:$B, "n/a"),
        _xlpm.we_camera_on_date, IFERROR(AVERAGEIFS(Log!$F:$F, Log!$D:$D,O$4, Log!$C:$C, $A239, Log!$A:$A, "Daily", Log!$B:$B, "n/a"), 0),
        _xlpm.ie_camera_on_date, IFERROR(AVERAGEIFS(Log!$G:$G, Log!$D:$D,O$4,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39" s="68" t="str">
        <f>IFERROR(
    _xlfn.LET(
        _xlpm.is_data_present, $A239&lt;&gt;0,
        _xlpm.is_camera_present, COUNTIFS(Log!$C:$C, $A239, Log!$D:$D, P$4, Log!$A:$A, "Daily", Log!$B:$B, "n/a"),
        _xlpm.we_camera_on_date, IFERROR(AVERAGEIFS(Log!$F:$F, Log!$D:$D,P$4, Log!$C:$C, $A239, Log!$A:$A, "Daily", Log!$B:$B, "n/a"), 0),
        _xlpm.ie_camera_on_date, IFERROR(AVERAGEIFS(Log!$G:$G, Log!$D:$D,P$4,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39" s="68" t="str">
        <f>IFERROR(
    _xlfn.LET(
        _xlpm.is_data_present, $A239&lt;&gt;0,
        _xlpm.is_camera_present, COUNTIFS(Log!$C:$C, $A239, Log!$D:$D, Q$4, Log!$A:$A, "Daily", Log!$B:$B, "n/a"),
        _xlpm.we_camera_on_date, IFERROR(AVERAGEIFS(Log!$F:$F, Log!$D:$D,Q$4, Log!$C:$C, $A239, Log!$A:$A, "Daily", Log!$B:$B, "n/a"), 0),
        _xlpm.ie_camera_on_date, IFERROR(AVERAGEIFS(Log!$G:$G, Log!$D:$D,Q$4,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39" s="68" t="str">
        <f>IFERROR(
    _xlfn.LET(
        _xlpm.is_data_present, $A239&lt;&gt;0,
        _xlpm.is_camera_present, COUNTIFS(Log!$C:$C, $A239, Log!$D:$D, R$4, Log!$A:$A, "Daily", Log!$B:$B, "n/a"),
        _xlpm.we_camera_on_date, IFERROR(AVERAGEIFS(Log!$F:$F, Log!$D:$D,R$4, Log!$C:$C, $A239, Log!$A:$A, "Daily", Log!$B:$B, "n/a"), 0),
        _xlpm.ie_camera_on_date, IFERROR(AVERAGEIFS(Log!$G:$G, Log!$D:$D,R$4,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39" s="68" t="str">
        <f>IFERROR(
    _xlfn.LET(
        _xlpm.is_data_present, $A239&lt;&gt;0,
        _xlpm.is_camera_present, COUNTIFS(Log!$C:$C, $A239, Log!$D:$D, S$4, Log!$A:$A, "Daily", Log!$B:$B, "n/a"),
        _xlpm.we_camera_on_date, IFERROR(AVERAGEIFS(Log!$F:$F, Log!$D:$D,S$4, Log!$C:$C, $A239, Log!$A:$A, "Daily", Log!$B:$B, "n/a"), 0),
        _xlpm.ie_camera_on_date, IFERROR(AVERAGEIFS(Log!$G:$G, Log!$D:$D,S$4, Log!$C:$C, $A239, Log!$A:$A, "Daily", Log!$B:$B, "n/a"), 0),
        _xlpm.we_avg, IFERROR(AVERAGEIFS(Log!$F:$F,Log!$C:$C,$A239, Log!$A:$A, "Daily", Log!$B:$B, "n/a"),0),
        _xlpm.ie_avg, IFERROR(AVERAGEIFS(Log!$G:$G,Log!$C:$C,$A239,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0" spans="2:19" x14ac:dyDescent="0.3">
      <c r="B240" s="68" t="str">
        <f>IFERROR(
    _xlfn.LET(
        _xlpm.is_data_present, $A240&lt;&gt;0,
        _xlpm.is_camera_present, COUNTIFS(Log!$C:$C, $A240, Log!$D:$D, B$4, Log!$A:$A, "Daily", Log!$B:$B, "n/a"),
        _xlpm.we_camera_on_date, IFERROR(AVERAGEIFS(Log!$F:$F, Log!$D:$D,B$4, Log!$C:$C, $A240, Log!$A:$A, "Daily", Log!$B:$B, "n/a"), 0),
        _xlpm.ie_camera_on_date, IFERROR(AVERAGEIFS(Log!$G:$G, Log!$D:$D,B$4,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0" s="68" t="str">
        <f>IFERROR(
    _xlfn.LET(
        _xlpm.is_data_present, $A240&lt;&gt;0,
        _xlpm.is_camera_present, COUNTIFS(Log!$C:$C, $A240, Log!$D:$D, C$4, Log!$A:$A, "Daily", Log!$B:$B, "n/a"),
        _xlpm.we_camera_on_date, IFERROR(AVERAGEIFS(Log!$F:$F, Log!$D:$D,C$4, Log!$C:$C, $A240, Log!$A:$A, "Daily", Log!$B:$B, "n/a"), 0),
        _xlpm.ie_camera_on_date, IFERROR(AVERAGEIFS(Log!$G:$G, Log!$D:$D,C$4,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0" s="68" t="str">
        <f>IFERROR(
    _xlfn.LET(
        _xlpm.is_data_present, $A240&lt;&gt;0,
        _xlpm.is_camera_present, COUNTIFS(Log!$C:$C, $A240, Log!$D:$D, D$4, Log!$A:$A, "Daily", Log!$B:$B, "n/a"),
        _xlpm.we_camera_on_date, IFERROR(AVERAGEIFS(Log!$F:$F, Log!$D:$D,D$4, Log!$C:$C, $A240, Log!$A:$A, "Daily", Log!$B:$B, "n/a"), 0),
        _xlpm.ie_camera_on_date, IFERROR(AVERAGEIFS(Log!$G:$G, Log!$D:$D,D$4,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0" s="68" t="str">
        <f>IFERROR(
    _xlfn.LET(
        _xlpm.is_data_present, $A240&lt;&gt;0,
        _xlpm.is_camera_present, COUNTIFS(Log!$C:$C, $A240, Log!$D:$D, E$4, Log!$A:$A, "Daily", Log!$B:$B, "n/a"),
        _xlpm.we_camera_on_date, IFERROR(AVERAGEIFS(Log!$F:$F, Log!$D:$D,E$4, Log!$C:$C, $A240, Log!$A:$A, "Daily", Log!$B:$B, "n/a"), 0),
        _xlpm.ie_camera_on_date, IFERROR(AVERAGEIFS(Log!$G:$G, Log!$D:$D,E$4,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0" s="68" t="str">
        <f>IFERROR(
    _xlfn.LET(
        _xlpm.is_data_present, $A240&lt;&gt;0,
        _xlpm.is_camera_present, COUNTIFS(Log!$C:$C, $A240, Log!$D:$D, F$4, Log!$A:$A, "Daily", Log!$B:$B, "n/a"),
        _xlpm.we_camera_on_date, IFERROR(AVERAGEIFS(Log!$F:$F, Log!$D:$D,F$4, Log!$C:$C, $A240, Log!$A:$A, "Daily", Log!$B:$B, "n/a"), 0),
        _xlpm.ie_camera_on_date, IFERROR(AVERAGEIFS(Log!$G:$G, Log!$D:$D,F$4,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0" s="68" t="str">
        <f>IFERROR(
    _xlfn.LET(
        _xlpm.is_data_present, $A240&lt;&gt;0,
        _xlpm.is_camera_present, COUNTIFS(Log!$C:$C, $A240, Log!$D:$D, G$4, Log!$A:$A, "Daily", Log!$B:$B, "n/a"),
        _xlpm.we_camera_on_date, IFERROR(AVERAGEIFS(Log!$F:$F, Log!$D:$D,G$4, Log!$C:$C, $A240, Log!$A:$A, "Daily", Log!$B:$B, "n/a"), 0),
        _xlpm.ie_camera_on_date, IFERROR(AVERAGEIFS(Log!$G:$G, Log!$D:$D,G$4,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0" s="68" t="str">
        <f>IFERROR(
    _xlfn.LET(
        _xlpm.is_data_present, $A240&lt;&gt;0,
        _xlpm.is_camera_present, COUNTIFS(Log!$C:$C, $A240, Log!$D:$D, H$4, Log!$A:$A, "Daily", Log!$B:$B, "n/a"),
        _xlpm.we_camera_on_date, IFERROR(AVERAGEIFS(Log!$F:$F, Log!$D:$D,H$4, Log!$C:$C, $A240, Log!$A:$A, "Daily", Log!$B:$B, "n/a"), 0),
        _xlpm.ie_camera_on_date, IFERROR(AVERAGEIFS(Log!$G:$G, Log!$D:$D,H$4,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0" s="68" t="str">
        <f>IFERROR(
    _xlfn.LET(
        _xlpm.is_data_present, $A240&lt;&gt;0,
        _xlpm.is_camera_present, COUNTIFS(Log!$C:$C, $A240, Log!$D:$D, I$4, Log!$A:$A, "Daily", Log!$B:$B, "n/a"),
        _xlpm.we_camera_on_date, IFERROR(AVERAGEIFS(Log!$F:$F, Log!$D:$D,I$4, Log!$C:$C, $A240, Log!$A:$A, "Daily", Log!$B:$B, "n/a"), 0),
        _xlpm.ie_camera_on_date, IFERROR(AVERAGEIFS(Log!$G:$G, Log!$D:$D,I$4,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0" s="68" t="str">
        <f>IFERROR(
    _xlfn.LET(
        _xlpm.is_data_present, $A240&lt;&gt;0,
        _xlpm.is_camera_present, COUNTIFS(Log!$C:$C, $A240, Log!$D:$D, J$4, Log!$A:$A, "Daily", Log!$B:$B, "n/a"),
        _xlpm.we_camera_on_date, IFERROR(AVERAGEIFS(Log!$F:$F, Log!$D:$D,J$4, Log!$C:$C, $A240, Log!$A:$A, "Daily", Log!$B:$B, "n/a"), 0),
        _xlpm.ie_camera_on_date, IFERROR(AVERAGEIFS(Log!$G:$G, Log!$D:$D,J$4,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0" s="68" t="str">
        <f>IFERROR(
    _xlfn.LET(
        _xlpm.is_data_present, $A240&lt;&gt;0,
        _xlpm.is_camera_present, COUNTIFS(Log!$C:$C, $A240, Log!$D:$D, K$4, Log!$A:$A, "Daily", Log!$B:$B, "n/a"),
        _xlpm.we_camera_on_date, IFERROR(AVERAGEIFS(Log!$F:$F, Log!$D:$D,K$4, Log!$C:$C, $A240, Log!$A:$A, "Daily", Log!$B:$B, "n/a"), 0),
        _xlpm.ie_camera_on_date, IFERROR(AVERAGEIFS(Log!$G:$G, Log!$D:$D,K$4,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0" s="68" t="str">
        <f>IFERROR(
    _xlfn.LET(
        _xlpm.is_data_present, $A240&lt;&gt;0,
        _xlpm.is_camera_present, COUNTIFS(Log!$C:$C, $A240, Log!$D:$D, L$4, Log!$A:$A, "Daily", Log!$B:$B, "n/a"),
        _xlpm.we_camera_on_date, IFERROR(AVERAGEIFS(Log!$F:$F, Log!$D:$D,L$4, Log!$C:$C, $A240, Log!$A:$A, "Daily", Log!$B:$B, "n/a"), 0),
        _xlpm.ie_camera_on_date, IFERROR(AVERAGEIFS(Log!$G:$G, Log!$D:$D,L$4,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0" s="68" t="str">
        <f>IFERROR(
    _xlfn.LET(
        _xlpm.is_data_present, $A240&lt;&gt;0,
        _xlpm.is_camera_present, COUNTIFS(Log!$C:$C, $A240, Log!$D:$D, M$4, Log!$A:$A, "Daily", Log!$B:$B, "n/a"),
        _xlpm.we_camera_on_date, IFERROR(AVERAGEIFS(Log!$F:$F, Log!$D:$D,M$4, Log!$C:$C, $A240, Log!$A:$A, "Daily", Log!$B:$B, "n/a"), 0),
        _xlpm.ie_camera_on_date, IFERROR(AVERAGEIFS(Log!$G:$G, Log!$D:$D,M$4,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0" s="68" t="str">
        <f>IFERROR(
    _xlfn.LET(
        _xlpm.is_data_present, $A240&lt;&gt;0,
        _xlpm.is_camera_present, COUNTIFS(Log!$C:$C, $A240, Log!$D:$D, N$4, Log!$A:$A, "Daily", Log!$B:$B, "n/a"),
        _xlpm.we_camera_on_date, IFERROR(AVERAGEIFS(Log!$F:$F, Log!$D:$D,N$4, Log!$C:$C, $A240, Log!$A:$A, "Daily", Log!$B:$B, "n/a"), 0),
        _xlpm.ie_camera_on_date, IFERROR(AVERAGEIFS(Log!$G:$G, Log!$D:$D,N$4,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0" s="68" t="str">
        <f>IFERROR(
    _xlfn.LET(
        _xlpm.is_data_present, $A240&lt;&gt;0,
        _xlpm.is_camera_present, COUNTIFS(Log!$C:$C, $A240, Log!$D:$D, O$4, Log!$A:$A, "Daily", Log!$B:$B, "n/a"),
        _xlpm.we_camera_on_date, IFERROR(AVERAGEIFS(Log!$F:$F, Log!$D:$D,O$4, Log!$C:$C, $A240, Log!$A:$A, "Daily", Log!$B:$B, "n/a"), 0),
        _xlpm.ie_camera_on_date, IFERROR(AVERAGEIFS(Log!$G:$G, Log!$D:$D,O$4,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0" s="68" t="str">
        <f>IFERROR(
    _xlfn.LET(
        _xlpm.is_data_present, $A240&lt;&gt;0,
        _xlpm.is_camera_present, COUNTIFS(Log!$C:$C, $A240, Log!$D:$D, P$4, Log!$A:$A, "Daily", Log!$B:$B, "n/a"),
        _xlpm.we_camera_on_date, IFERROR(AVERAGEIFS(Log!$F:$F, Log!$D:$D,P$4, Log!$C:$C, $A240, Log!$A:$A, "Daily", Log!$B:$B, "n/a"), 0),
        _xlpm.ie_camera_on_date, IFERROR(AVERAGEIFS(Log!$G:$G, Log!$D:$D,P$4,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0" s="68" t="str">
        <f>IFERROR(
    _xlfn.LET(
        _xlpm.is_data_present, $A240&lt;&gt;0,
        _xlpm.is_camera_present, COUNTIFS(Log!$C:$C, $A240, Log!$D:$D, Q$4, Log!$A:$A, "Daily", Log!$B:$B, "n/a"),
        _xlpm.we_camera_on_date, IFERROR(AVERAGEIFS(Log!$F:$F, Log!$D:$D,Q$4, Log!$C:$C, $A240, Log!$A:$A, "Daily", Log!$B:$B, "n/a"), 0),
        _xlpm.ie_camera_on_date, IFERROR(AVERAGEIFS(Log!$G:$G, Log!$D:$D,Q$4,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0" s="68" t="str">
        <f>IFERROR(
    _xlfn.LET(
        _xlpm.is_data_present, $A240&lt;&gt;0,
        _xlpm.is_camera_present, COUNTIFS(Log!$C:$C, $A240, Log!$D:$D, R$4, Log!$A:$A, "Daily", Log!$B:$B, "n/a"),
        _xlpm.we_camera_on_date, IFERROR(AVERAGEIFS(Log!$F:$F, Log!$D:$D,R$4, Log!$C:$C, $A240, Log!$A:$A, "Daily", Log!$B:$B, "n/a"), 0),
        _xlpm.ie_camera_on_date, IFERROR(AVERAGEIFS(Log!$G:$G, Log!$D:$D,R$4,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0" s="68" t="str">
        <f>IFERROR(
    _xlfn.LET(
        _xlpm.is_data_present, $A240&lt;&gt;0,
        _xlpm.is_camera_present, COUNTIFS(Log!$C:$C, $A240, Log!$D:$D, S$4, Log!$A:$A, "Daily", Log!$B:$B, "n/a"),
        _xlpm.we_camera_on_date, IFERROR(AVERAGEIFS(Log!$F:$F, Log!$D:$D,S$4, Log!$C:$C, $A240, Log!$A:$A, "Daily", Log!$B:$B, "n/a"), 0),
        _xlpm.ie_camera_on_date, IFERROR(AVERAGEIFS(Log!$G:$G, Log!$D:$D,S$4, Log!$C:$C, $A240, Log!$A:$A, "Daily", Log!$B:$B, "n/a"), 0),
        _xlpm.we_avg, IFERROR(AVERAGEIFS(Log!$F:$F,Log!$C:$C,$A240, Log!$A:$A, "Daily", Log!$B:$B, "n/a"),0),
        _xlpm.ie_avg, IFERROR(AVERAGEIFS(Log!$G:$G,Log!$C:$C,$A240,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1" spans="2:19" x14ac:dyDescent="0.3">
      <c r="B241" s="68" t="str">
        <f>IFERROR(
    _xlfn.LET(
        _xlpm.is_data_present, $A241&lt;&gt;0,
        _xlpm.is_camera_present, COUNTIFS(Log!$C:$C, $A241, Log!$D:$D, B$4, Log!$A:$A, "Daily", Log!$B:$B, "n/a"),
        _xlpm.we_camera_on_date, IFERROR(AVERAGEIFS(Log!$F:$F, Log!$D:$D,B$4, Log!$C:$C, $A241, Log!$A:$A, "Daily", Log!$B:$B, "n/a"), 0),
        _xlpm.ie_camera_on_date, IFERROR(AVERAGEIFS(Log!$G:$G, Log!$D:$D,B$4,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1" s="68" t="str">
        <f>IFERROR(
    _xlfn.LET(
        _xlpm.is_data_present, $A241&lt;&gt;0,
        _xlpm.is_camera_present, COUNTIFS(Log!$C:$C, $A241, Log!$D:$D, C$4, Log!$A:$A, "Daily", Log!$B:$B, "n/a"),
        _xlpm.we_camera_on_date, IFERROR(AVERAGEIFS(Log!$F:$F, Log!$D:$D,C$4, Log!$C:$C, $A241, Log!$A:$A, "Daily", Log!$B:$B, "n/a"), 0),
        _xlpm.ie_camera_on_date, IFERROR(AVERAGEIFS(Log!$G:$G, Log!$D:$D,C$4,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1" s="68" t="str">
        <f>IFERROR(
    _xlfn.LET(
        _xlpm.is_data_present, $A241&lt;&gt;0,
        _xlpm.is_camera_present, COUNTIFS(Log!$C:$C, $A241, Log!$D:$D, D$4, Log!$A:$A, "Daily", Log!$B:$B, "n/a"),
        _xlpm.we_camera_on_date, IFERROR(AVERAGEIFS(Log!$F:$F, Log!$D:$D,D$4, Log!$C:$C, $A241, Log!$A:$A, "Daily", Log!$B:$B, "n/a"), 0),
        _xlpm.ie_camera_on_date, IFERROR(AVERAGEIFS(Log!$G:$G, Log!$D:$D,D$4,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1" s="68" t="str">
        <f>IFERROR(
    _xlfn.LET(
        _xlpm.is_data_present, $A241&lt;&gt;0,
        _xlpm.is_camera_present, COUNTIFS(Log!$C:$C, $A241, Log!$D:$D, E$4, Log!$A:$A, "Daily", Log!$B:$B, "n/a"),
        _xlpm.we_camera_on_date, IFERROR(AVERAGEIFS(Log!$F:$F, Log!$D:$D,E$4, Log!$C:$C, $A241, Log!$A:$A, "Daily", Log!$B:$B, "n/a"), 0),
        _xlpm.ie_camera_on_date, IFERROR(AVERAGEIFS(Log!$G:$G, Log!$D:$D,E$4,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1" s="68" t="str">
        <f>IFERROR(
    _xlfn.LET(
        _xlpm.is_data_present, $A241&lt;&gt;0,
        _xlpm.is_camera_present, COUNTIFS(Log!$C:$C, $A241, Log!$D:$D, F$4, Log!$A:$A, "Daily", Log!$B:$B, "n/a"),
        _xlpm.we_camera_on_date, IFERROR(AVERAGEIFS(Log!$F:$F, Log!$D:$D,F$4, Log!$C:$C, $A241, Log!$A:$A, "Daily", Log!$B:$B, "n/a"), 0),
        _xlpm.ie_camera_on_date, IFERROR(AVERAGEIFS(Log!$G:$G, Log!$D:$D,F$4,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1" s="68" t="str">
        <f>IFERROR(
    _xlfn.LET(
        _xlpm.is_data_present, $A241&lt;&gt;0,
        _xlpm.is_camera_present, COUNTIFS(Log!$C:$C, $A241, Log!$D:$D, G$4, Log!$A:$A, "Daily", Log!$B:$B, "n/a"),
        _xlpm.we_camera_on_date, IFERROR(AVERAGEIFS(Log!$F:$F, Log!$D:$D,G$4, Log!$C:$C, $A241, Log!$A:$A, "Daily", Log!$B:$B, "n/a"), 0),
        _xlpm.ie_camera_on_date, IFERROR(AVERAGEIFS(Log!$G:$G, Log!$D:$D,G$4,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1" s="68" t="str">
        <f>IFERROR(
    _xlfn.LET(
        _xlpm.is_data_present, $A241&lt;&gt;0,
        _xlpm.is_camera_present, COUNTIFS(Log!$C:$C, $A241, Log!$D:$D, H$4, Log!$A:$A, "Daily", Log!$B:$B, "n/a"),
        _xlpm.we_camera_on_date, IFERROR(AVERAGEIFS(Log!$F:$F, Log!$D:$D,H$4, Log!$C:$C, $A241, Log!$A:$A, "Daily", Log!$B:$B, "n/a"), 0),
        _xlpm.ie_camera_on_date, IFERROR(AVERAGEIFS(Log!$G:$G, Log!$D:$D,H$4,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1" s="68" t="str">
        <f>IFERROR(
    _xlfn.LET(
        _xlpm.is_data_present, $A241&lt;&gt;0,
        _xlpm.is_camera_present, COUNTIFS(Log!$C:$C, $A241, Log!$D:$D, I$4, Log!$A:$A, "Daily", Log!$B:$B, "n/a"),
        _xlpm.we_camera_on_date, IFERROR(AVERAGEIFS(Log!$F:$F, Log!$D:$D,I$4, Log!$C:$C, $A241, Log!$A:$A, "Daily", Log!$B:$B, "n/a"), 0),
        _xlpm.ie_camera_on_date, IFERROR(AVERAGEIFS(Log!$G:$G, Log!$D:$D,I$4,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1" s="68" t="str">
        <f>IFERROR(
    _xlfn.LET(
        _xlpm.is_data_present, $A241&lt;&gt;0,
        _xlpm.is_camera_present, COUNTIFS(Log!$C:$C, $A241, Log!$D:$D, J$4, Log!$A:$A, "Daily", Log!$B:$B, "n/a"),
        _xlpm.we_camera_on_date, IFERROR(AVERAGEIFS(Log!$F:$F, Log!$D:$D,J$4, Log!$C:$C, $A241, Log!$A:$A, "Daily", Log!$B:$B, "n/a"), 0),
        _xlpm.ie_camera_on_date, IFERROR(AVERAGEIFS(Log!$G:$G, Log!$D:$D,J$4,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1" s="68" t="str">
        <f>IFERROR(
    _xlfn.LET(
        _xlpm.is_data_present, $A241&lt;&gt;0,
        _xlpm.is_camera_present, COUNTIFS(Log!$C:$C, $A241, Log!$D:$D, K$4, Log!$A:$A, "Daily", Log!$B:$B, "n/a"),
        _xlpm.we_camera_on_date, IFERROR(AVERAGEIFS(Log!$F:$F, Log!$D:$D,K$4, Log!$C:$C, $A241, Log!$A:$A, "Daily", Log!$B:$B, "n/a"), 0),
        _xlpm.ie_camera_on_date, IFERROR(AVERAGEIFS(Log!$G:$G, Log!$D:$D,K$4,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1" s="68" t="str">
        <f>IFERROR(
    _xlfn.LET(
        _xlpm.is_data_present, $A241&lt;&gt;0,
        _xlpm.is_camera_present, COUNTIFS(Log!$C:$C, $A241, Log!$D:$D, L$4, Log!$A:$A, "Daily", Log!$B:$B, "n/a"),
        _xlpm.we_camera_on_date, IFERROR(AVERAGEIFS(Log!$F:$F, Log!$D:$D,L$4, Log!$C:$C, $A241, Log!$A:$A, "Daily", Log!$B:$B, "n/a"), 0),
        _xlpm.ie_camera_on_date, IFERROR(AVERAGEIFS(Log!$G:$G, Log!$D:$D,L$4,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1" s="68" t="str">
        <f>IFERROR(
    _xlfn.LET(
        _xlpm.is_data_present, $A241&lt;&gt;0,
        _xlpm.is_camera_present, COUNTIFS(Log!$C:$C, $A241, Log!$D:$D, M$4, Log!$A:$A, "Daily", Log!$B:$B, "n/a"),
        _xlpm.we_camera_on_date, IFERROR(AVERAGEIFS(Log!$F:$F, Log!$D:$D,M$4, Log!$C:$C, $A241, Log!$A:$A, "Daily", Log!$B:$B, "n/a"), 0),
        _xlpm.ie_camera_on_date, IFERROR(AVERAGEIFS(Log!$G:$G, Log!$D:$D,M$4,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1" s="68" t="str">
        <f>IFERROR(
    _xlfn.LET(
        _xlpm.is_data_present, $A241&lt;&gt;0,
        _xlpm.is_camera_present, COUNTIFS(Log!$C:$C, $A241, Log!$D:$D, N$4, Log!$A:$A, "Daily", Log!$B:$B, "n/a"),
        _xlpm.we_camera_on_date, IFERROR(AVERAGEIFS(Log!$F:$F, Log!$D:$D,N$4, Log!$C:$C, $A241, Log!$A:$A, "Daily", Log!$B:$B, "n/a"), 0),
        _xlpm.ie_camera_on_date, IFERROR(AVERAGEIFS(Log!$G:$G, Log!$D:$D,N$4,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1" s="68" t="str">
        <f>IFERROR(
    _xlfn.LET(
        _xlpm.is_data_present, $A241&lt;&gt;0,
        _xlpm.is_camera_present, COUNTIFS(Log!$C:$C, $A241, Log!$D:$D, O$4, Log!$A:$A, "Daily", Log!$B:$B, "n/a"),
        _xlpm.we_camera_on_date, IFERROR(AVERAGEIFS(Log!$F:$F, Log!$D:$D,O$4, Log!$C:$C, $A241, Log!$A:$A, "Daily", Log!$B:$B, "n/a"), 0),
        _xlpm.ie_camera_on_date, IFERROR(AVERAGEIFS(Log!$G:$G, Log!$D:$D,O$4,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1" s="68" t="str">
        <f>IFERROR(
    _xlfn.LET(
        _xlpm.is_data_present, $A241&lt;&gt;0,
        _xlpm.is_camera_present, COUNTIFS(Log!$C:$C, $A241, Log!$D:$D, P$4, Log!$A:$A, "Daily", Log!$B:$B, "n/a"),
        _xlpm.we_camera_on_date, IFERROR(AVERAGEIFS(Log!$F:$F, Log!$D:$D,P$4, Log!$C:$C, $A241, Log!$A:$A, "Daily", Log!$B:$B, "n/a"), 0),
        _xlpm.ie_camera_on_date, IFERROR(AVERAGEIFS(Log!$G:$G, Log!$D:$D,P$4,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1" s="68" t="str">
        <f>IFERROR(
    _xlfn.LET(
        _xlpm.is_data_present, $A241&lt;&gt;0,
        _xlpm.is_camera_present, COUNTIFS(Log!$C:$C, $A241, Log!$D:$D, Q$4, Log!$A:$A, "Daily", Log!$B:$B, "n/a"),
        _xlpm.we_camera_on_date, IFERROR(AVERAGEIFS(Log!$F:$F, Log!$D:$D,Q$4, Log!$C:$C, $A241, Log!$A:$A, "Daily", Log!$B:$B, "n/a"), 0),
        _xlpm.ie_camera_on_date, IFERROR(AVERAGEIFS(Log!$G:$G, Log!$D:$D,Q$4,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1" s="68" t="str">
        <f>IFERROR(
    _xlfn.LET(
        _xlpm.is_data_present, $A241&lt;&gt;0,
        _xlpm.is_camera_present, COUNTIFS(Log!$C:$C, $A241, Log!$D:$D, R$4, Log!$A:$A, "Daily", Log!$B:$B, "n/a"),
        _xlpm.we_camera_on_date, IFERROR(AVERAGEIFS(Log!$F:$F, Log!$D:$D,R$4, Log!$C:$C, $A241, Log!$A:$A, "Daily", Log!$B:$B, "n/a"), 0),
        _xlpm.ie_camera_on_date, IFERROR(AVERAGEIFS(Log!$G:$G, Log!$D:$D,R$4,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1" s="68" t="str">
        <f>IFERROR(
    _xlfn.LET(
        _xlpm.is_data_present, $A241&lt;&gt;0,
        _xlpm.is_camera_present, COUNTIFS(Log!$C:$C, $A241, Log!$D:$D, S$4, Log!$A:$A, "Daily", Log!$B:$B, "n/a"),
        _xlpm.we_camera_on_date, IFERROR(AVERAGEIFS(Log!$F:$F, Log!$D:$D,S$4, Log!$C:$C, $A241, Log!$A:$A, "Daily", Log!$B:$B, "n/a"), 0),
        _xlpm.ie_camera_on_date, IFERROR(AVERAGEIFS(Log!$G:$G, Log!$D:$D,S$4, Log!$C:$C, $A241, Log!$A:$A, "Daily", Log!$B:$B, "n/a"), 0),
        _xlpm.we_avg, IFERROR(AVERAGEIFS(Log!$F:$F,Log!$C:$C,$A241, Log!$A:$A, "Daily", Log!$B:$B, "n/a"),0),
        _xlpm.ie_avg, IFERROR(AVERAGEIFS(Log!$G:$G,Log!$C:$C,$A241,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2" spans="2:19" x14ac:dyDescent="0.3">
      <c r="B242" s="68" t="str">
        <f>IFERROR(
    _xlfn.LET(
        _xlpm.is_data_present, $A242&lt;&gt;0,
        _xlpm.is_camera_present, COUNTIFS(Log!$C:$C, $A242, Log!$D:$D, B$4, Log!$A:$A, "Daily", Log!$B:$B, "n/a"),
        _xlpm.we_camera_on_date, IFERROR(AVERAGEIFS(Log!$F:$F, Log!$D:$D,B$4, Log!$C:$C, $A242, Log!$A:$A, "Daily", Log!$B:$B, "n/a"), 0),
        _xlpm.ie_camera_on_date, IFERROR(AVERAGEIFS(Log!$G:$G, Log!$D:$D,B$4,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2" s="68" t="str">
        <f>IFERROR(
    _xlfn.LET(
        _xlpm.is_data_present, $A242&lt;&gt;0,
        _xlpm.is_camera_present, COUNTIFS(Log!$C:$C, $A242, Log!$D:$D, C$4, Log!$A:$A, "Daily", Log!$B:$B, "n/a"),
        _xlpm.we_camera_on_date, IFERROR(AVERAGEIFS(Log!$F:$F, Log!$D:$D,C$4, Log!$C:$C, $A242, Log!$A:$A, "Daily", Log!$B:$B, "n/a"), 0),
        _xlpm.ie_camera_on_date, IFERROR(AVERAGEIFS(Log!$G:$G, Log!$D:$D,C$4,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2" s="68" t="str">
        <f>IFERROR(
    _xlfn.LET(
        _xlpm.is_data_present, $A242&lt;&gt;0,
        _xlpm.is_camera_present, COUNTIFS(Log!$C:$C, $A242, Log!$D:$D, D$4, Log!$A:$A, "Daily", Log!$B:$B, "n/a"),
        _xlpm.we_camera_on_date, IFERROR(AVERAGEIFS(Log!$F:$F, Log!$D:$D,D$4, Log!$C:$C, $A242, Log!$A:$A, "Daily", Log!$B:$B, "n/a"), 0),
        _xlpm.ie_camera_on_date, IFERROR(AVERAGEIFS(Log!$G:$G, Log!$D:$D,D$4,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2" s="68" t="str">
        <f>IFERROR(
    _xlfn.LET(
        _xlpm.is_data_present, $A242&lt;&gt;0,
        _xlpm.is_camera_present, COUNTIFS(Log!$C:$C, $A242, Log!$D:$D, E$4, Log!$A:$A, "Daily", Log!$B:$B, "n/a"),
        _xlpm.we_camera_on_date, IFERROR(AVERAGEIFS(Log!$F:$F, Log!$D:$D,E$4, Log!$C:$C, $A242, Log!$A:$A, "Daily", Log!$B:$B, "n/a"), 0),
        _xlpm.ie_camera_on_date, IFERROR(AVERAGEIFS(Log!$G:$G, Log!$D:$D,E$4,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2" s="68" t="str">
        <f>IFERROR(
    _xlfn.LET(
        _xlpm.is_data_present, $A242&lt;&gt;0,
        _xlpm.is_camera_present, COUNTIFS(Log!$C:$C, $A242, Log!$D:$D, F$4, Log!$A:$A, "Daily", Log!$B:$B, "n/a"),
        _xlpm.we_camera_on_date, IFERROR(AVERAGEIFS(Log!$F:$F, Log!$D:$D,F$4, Log!$C:$C, $A242, Log!$A:$A, "Daily", Log!$B:$B, "n/a"), 0),
        _xlpm.ie_camera_on_date, IFERROR(AVERAGEIFS(Log!$G:$G, Log!$D:$D,F$4,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2" s="68" t="str">
        <f>IFERROR(
    _xlfn.LET(
        _xlpm.is_data_present, $A242&lt;&gt;0,
        _xlpm.is_camera_present, COUNTIFS(Log!$C:$C, $A242, Log!$D:$D, G$4, Log!$A:$A, "Daily", Log!$B:$B, "n/a"),
        _xlpm.we_camera_on_date, IFERROR(AVERAGEIFS(Log!$F:$F, Log!$D:$D,G$4, Log!$C:$C, $A242, Log!$A:$A, "Daily", Log!$B:$B, "n/a"), 0),
        _xlpm.ie_camera_on_date, IFERROR(AVERAGEIFS(Log!$G:$G, Log!$D:$D,G$4,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2" s="68" t="str">
        <f>IFERROR(
    _xlfn.LET(
        _xlpm.is_data_present, $A242&lt;&gt;0,
        _xlpm.is_camera_present, COUNTIFS(Log!$C:$C, $A242, Log!$D:$D, H$4, Log!$A:$A, "Daily", Log!$B:$B, "n/a"),
        _xlpm.we_camera_on_date, IFERROR(AVERAGEIFS(Log!$F:$F, Log!$D:$D,H$4, Log!$C:$C, $A242, Log!$A:$A, "Daily", Log!$B:$B, "n/a"), 0),
        _xlpm.ie_camera_on_date, IFERROR(AVERAGEIFS(Log!$G:$G, Log!$D:$D,H$4,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2" s="68" t="str">
        <f>IFERROR(
    _xlfn.LET(
        _xlpm.is_data_present, $A242&lt;&gt;0,
        _xlpm.is_camera_present, COUNTIFS(Log!$C:$C, $A242, Log!$D:$D, I$4, Log!$A:$A, "Daily", Log!$B:$B, "n/a"),
        _xlpm.we_camera_on_date, IFERROR(AVERAGEIFS(Log!$F:$F, Log!$D:$D,I$4, Log!$C:$C, $A242, Log!$A:$A, "Daily", Log!$B:$B, "n/a"), 0),
        _xlpm.ie_camera_on_date, IFERROR(AVERAGEIFS(Log!$G:$G, Log!$D:$D,I$4,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2" s="68" t="str">
        <f>IFERROR(
    _xlfn.LET(
        _xlpm.is_data_present, $A242&lt;&gt;0,
        _xlpm.is_camera_present, COUNTIFS(Log!$C:$C, $A242, Log!$D:$D, J$4, Log!$A:$A, "Daily", Log!$B:$B, "n/a"),
        _xlpm.we_camera_on_date, IFERROR(AVERAGEIFS(Log!$F:$F, Log!$D:$D,J$4, Log!$C:$C, $A242, Log!$A:$A, "Daily", Log!$B:$B, "n/a"), 0),
        _xlpm.ie_camera_on_date, IFERROR(AVERAGEIFS(Log!$G:$G, Log!$D:$D,J$4,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2" s="68" t="str">
        <f>IFERROR(
    _xlfn.LET(
        _xlpm.is_data_present, $A242&lt;&gt;0,
        _xlpm.is_camera_present, COUNTIFS(Log!$C:$C, $A242, Log!$D:$D, K$4, Log!$A:$A, "Daily", Log!$B:$B, "n/a"),
        _xlpm.we_camera_on_date, IFERROR(AVERAGEIFS(Log!$F:$F, Log!$D:$D,K$4, Log!$C:$C, $A242, Log!$A:$A, "Daily", Log!$B:$B, "n/a"), 0),
        _xlpm.ie_camera_on_date, IFERROR(AVERAGEIFS(Log!$G:$G, Log!$D:$D,K$4,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2" s="68" t="str">
        <f>IFERROR(
    _xlfn.LET(
        _xlpm.is_data_present, $A242&lt;&gt;0,
        _xlpm.is_camera_present, COUNTIFS(Log!$C:$C, $A242, Log!$D:$D, L$4, Log!$A:$A, "Daily", Log!$B:$B, "n/a"),
        _xlpm.we_camera_on_date, IFERROR(AVERAGEIFS(Log!$F:$F, Log!$D:$D,L$4, Log!$C:$C, $A242, Log!$A:$A, "Daily", Log!$B:$B, "n/a"), 0),
        _xlpm.ie_camera_on_date, IFERROR(AVERAGEIFS(Log!$G:$G, Log!$D:$D,L$4,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2" s="68" t="str">
        <f>IFERROR(
    _xlfn.LET(
        _xlpm.is_data_present, $A242&lt;&gt;0,
        _xlpm.is_camera_present, COUNTIFS(Log!$C:$C, $A242, Log!$D:$D, M$4, Log!$A:$A, "Daily", Log!$B:$B, "n/a"),
        _xlpm.we_camera_on_date, IFERROR(AVERAGEIFS(Log!$F:$F, Log!$D:$D,M$4, Log!$C:$C, $A242, Log!$A:$A, "Daily", Log!$B:$B, "n/a"), 0),
        _xlpm.ie_camera_on_date, IFERROR(AVERAGEIFS(Log!$G:$G, Log!$D:$D,M$4,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2" s="68" t="str">
        <f>IFERROR(
    _xlfn.LET(
        _xlpm.is_data_present, $A242&lt;&gt;0,
        _xlpm.is_camera_present, COUNTIFS(Log!$C:$C, $A242, Log!$D:$D, N$4, Log!$A:$A, "Daily", Log!$B:$B, "n/a"),
        _xlpm.we_camera_on_date, IFERROR(AVERAGEIFS(Log!$F:$F, Log!$D:$D,N$4, Log!$C:$C, $A242, Log!$A:$A, "Daily", Log!$B:$B, "n/a"), 0),
        _xlpm.ie_camera_on_date, IFERROR(AVERAGEIFS(Log!$G:$G, Log!$D:$D,N$4,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2" s="68" t="str">
        <f>IFERROR(
    _xlfn.LET(
        _xlpm.is_data_present, $A242&lt;&gt;0,
        _xlpm.is_camera_present, COUNTIFS(Log!$C:$C, $A242, Log!$D:$D, O$4, Log!$A:$A, "Daily", Log!$B:$B, "n/a"),
        _xlpm.we_camera_on_date, IFERROR(AVERAGEIFS(Log!$F:$F, Log!$D:$D,O$4, Log!$C:$C, $A242, Log!$A:$A, "Daily", Log!$B:$B, "n/a"), 0),
        _xlpm.ie_camera_on_date, IFERROR(AVERAGEIFS(Log!$G:$G, Log!$D:$D,O$4,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2" s="68" t="str">
        <f>IFERROR(
    _xlfn.LET(
        _xlpm.is_data_present, $A242&lt;&gt;0,
        _xlpm.is_camera_present, COUNTIFS(Log!$C:$C, $A242, Log!$D:$D, P$4, Log!$A:$A, "Daily", Log!$B:$B, "n/a"),
        _xlpm.we_camera_on_date, IFERROR(AVERAGEIFS(Log!$F:$F, Log!$D:$D,P$4, Log!$C:$C, $A242, Log!$A:$A, "Daily", Log!$B:$B, "n/a"), 0),
        _xlpm.ie_camera_on_date, IFERROR(AVERAGEIFS(Log!$G:$G, Log!$D:$D,P$4,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2" s="68" t="str">
        <f>IFERROR(
    _xlfn.LET(
        _xlpm.is_data_present, $A242&lt;&gt;0,
        _xlpm.is_camera_present, COUNTIFS(Log!$C:$C, $A242, Log!$D:$D, Q$4, Log!$A:$A, "Daily", Log!$B:$B, "n/a"),
        _xlpm.we_camera_on_date, IFERROR(AVERAGEIFS(Log!$F:$F, Log!$D:$D,Q$4, Log!$C:$C, $A242, Log!$A:$A, "Daily", Log!$B:$B, "n/a"), 0),
        _xlpm.ie_camera_on_date, IFERROR(AVERAGEIFS(Log!$G:$G, Log!$D:$D,Q$4,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2" s="68" t="str">
        <f>IFERROR(
    _xlfn.LET(
        _xlpm.is_data_present, $A242&lt;&gt;0,
        _xlpm.is_camera_present, COUNTIFS(Log!$C:$C, $A242, Log!$D:$D, R$4, Log!$A:$A, "Daily", Log!$B:$B, "n/a"),
        _xlpm.we_camera_on_date, IFERROR(AVERAGEIFS(Log!$F:$F, Log!$D:$D,R$4, Log!$C:$C, $A242, Log!$A:$A, "Daily", Log!$B:$B, "n/a"), 0),
        _xlpm.ie_camera_on_date, IFERROR(AVERAGEIFS(Log!$G:$G, Log!$D:$D,R$4,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2" s="68" t="str">
        <f>IFERROR(
    _xlfn.LET(
        _xlpm.is_data_present, $A242&lt;&gt;0,
        _xlpm.is_camera_present, COUNTIFS(Log!$C:$C, $A242, Log!$D:$D, S$4, Log!$A:$A, "Daily", Log!$B:$B, "n/a"),
        _xlpm.we_camera_on_date, IFERROR(AVERAGEIFS(Log!$F:$F, Log!$D:$D,S$4, Log!$C:$C, $A242, Log!$A:$A, "Daily", Log!$B:$B, "n/a"), 0),
        _xlpm.ie_camera_on_date, IFERROR(AVERAGEIFS(Log!$G:$G, Log!$D:$D,S$4, Log!$C:$C, $A242, Log!$A:$A, "Daily", Log!$B:$B, "n/a"), 0),
        _xlpm.we_avg, IFERROR(AVERAGEIFS(Log!$F:$F,Log!$C:$C,$A242, Log!$A:$A, "Daily", Log!$B:$B, "n/a"),0),
        _xlpm.ie_avg, IFERROR(AVERAGEIFS(Log!$G:$G,Log!$C:$C,$A242,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3" spans="2:19" x14ac:dyDescent="0.3">
      <c r="B243" s="68" t="str">
        <f>IFERROR(
    _xlfn.LET(
        _xlpm.is_data_present, $A243&lt;&gt;0,
        _xlpm.is_camera_present, COUNTIFS(Log!$C:$C, $A243, Log!$D:$D, B$4, Log!$A:$A, "Daily", Log!$B:$B, "n/a"),
        _xlpm.we_camera_on_date, IFERROR(AVERAGEIFS(Log!$F:$F, Log!$D:$D,B$4, Log!$C:$C, $A243, Log!$A:$A, "Daily", Log!$B:$B, "n/a"), 0),
        _xlpm.ie_camera_on_date, IFERROR(AVERAGEIFS(Log!$G:$G, Log!$D:$D,B$4,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3" s="68" t="str">
        <f>IFERROR(
    _xlfn.LET(
        _xlpm.is_data_present, $A243&lt;&gt;0,
        _xlpm.is_camera_present, COUNTIFS(Log!$C:$C, $A243, Log!$D:$D, C$4, Log!$A:$A, "Daily", Log!$B:$B, "n/a"),
        _xlpm.we_camera_on_date, IFERROR(AVERAGEIFS(Log!$F:$F, Log!$D:$D,C$4, Log!$C:$C, $A243, Log!$A:$A, "Daily", Log!$B:$B, "n/a"), 0),
        _xlpm.ie_camera_on_date, IFERROR(AVERAGEIFS(Log!$G:$G, Log!$D:$D,C$4,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3" s="68" t="str">
        <f>IFERROR(
    _xlfn.LET(
        _xlpm.is_data_present, $A243&lt;&gt;0,
        _xlpm.is_camera_present, COUNTIFS(Log!$C:$C, $A243, Log!$D:$D, D$4, Log!$A:$A, "Daily", Log!$B:$B, "n/a"),
        _xlpm.we_camera_on_date, IFERROR(AVERAGEIFS(Log!$F:$F, Log!$D:$D,D$4, Log!$C:$C, $A243, Log!$A:$A, "Daily", Log!$B:$B, "n/a"), 0),
        _xlpm.ie_camera_on_date, IFERROR(AVERAGEIFS(Log!$G:$G, Log!$D:$D,D$4,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3" s="68" t="str">
        <f>IFERROR(
    _xlfn.LET(
        _xlpm.is_data_present, $A243&lt;&gt;0,
        _xlpm.is_camera_present, COUNTIFS(Log!$C:$C, $A243, Log!$D:$D, E$4, Log!$A:$A, "Daily", Log!$B:$B, "n/a"),
        _xlpm.we_camera_on_date, IFERROR(AVERAGEIFS(Log!$F:$F, Log!$D:$D,E$4, Log!$C:$C, $A243, Log!$A:$A, "Daily", Log!$B:$B, "n/a"), 0),
        _xlpm.ie_camera_on_date, IFERROR(AVERAGEIFS(Log!$G:$G, Log!$D:$D,E$4,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3" s="68" t="str">
        <f>IFERROR(
    _xlfn.LET(
        _xlpm.is_data_present, $A243&lt;&gt;0,
        _xlpm.is_camera_present, COUNTIFS(Log!$C:$C, $A243, Log!$D:$D, F$4, Log!$A:$A, "Daily", Log!$B:$B, "n/a"),
        _xlpm.we_camera_on_date, IFERROR(AVERAGEIFS(Log!$F:$F, Log!$D:$D,F$4, Log!$C:$C, $A243, Log!$A:$A, "Daily", Log!$B:$B, "n/a"), 0),
        _xlpm.ie_camera_on_date, IFERROR(AVERAGEIFS(Log!$G:$G, Log!$D:$D,F$4,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3" s="68" t="str">
        <f>IFERROR(
    _xlfn.LET(
        _xlpm.is_data_present, $A243&lt;&gt;0,
        _xlpm.is_camera_present, COUNTIFS(Log!$C:$C, $A243, Log!$D:$D, G$4, Log!$A:$A, "Daily", Log!$B:$B, "n/a"),
        _xlpm.we_camera_on_date, IFERROR(AVERAGEIFS(Log!$F:$F, Log!$D:$D,G$4, Log!$C:$C, $A243, Log!$A:$A, "Daily", Log!$B:$B, "n/a"), 0),
        _xlpm.ie_camera_on_date, IFERROR(AVERAGEIFS(Log!$G:$G, Log!$D:$D,G$4,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3" s="68" t="str">
        <f>IFERROR(
    _xlfn.LET(
        _xlpm.is_data_present, $A243&lt;&gt;0,
        _xlpm.is_camera_present, COUNTIFS(Log!$C:$C, $A243, Log!$D:$D, H$4, Log!$A:$A, "Daily", Log!$B:$B, "n/a"),
        _xlpm.we_camera_on_date, IFERROR(AVERAGEIFS(Log!$F:$F, Log!$D:$D,H$4, Log!$C:$C, $A243, Log!$A:$A, "Daily", Log!$B:$B, "n/a"), 0),
        _xlpm.ie_camera_on_date, IFERROR(AVERAGEIFS(Log!$G:$G, Log!$D:$D,H$4,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3" s="68" t="str">
        <f>IFERROR(
    _xlfn.LET(
        _xlpm.is_data_present, $A243&lt;&gt;0,
        _xlpm.is_camera_present, COUNTIFS(Log!$C:$C, $A243, Log!$D:$D, I$4, Log!$A:$A, "Daily", Log!$B:$B, "n/a"),
        _xlpm.we_camera_on_date, IFERROR(AVERAGEIFS(Log!$F:$F, Log!$D:$D,I$4, Log!$C:$C, $A243, Log!$A:$A, "Daily", Log!$B:$B, "n/a"), 0),
        _xlpm.ie_camera_on_date, IFERROR(AVERAGEIFS(Log!$G:$G, Log!$D:$D,I$4,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3" s="68" t="str">
        <f>IFERROR(
    _xlfn.LET(
        _xlpm.is_data_present, $A243&lt;&gt;0,
        _xlpm.is_camera_present, COUNTIFS(Log!$C:$C, $A243, Log!$D:$D, J$4, Log!$A:$A, "Daily", Log!$B:$B, "n/a"),
        _xlpm.we_camera_on_date, IFERROR(AVERAGEIFS(Log!$F:$F, Log!$D:$D,J$4, Log!$C:$C, $A243, Log!$A:$A, "Daily", Log!$B:$B, "n/a"), 0),
        _xlpm.ie_camera_on_date, IFERROR(AVERAGEIFS(Log!$G:$G, Log!$D:$D,J$4,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3" s="68" t="str">
        <f>IFERROR(
    _xlfn.LET(
        _xlpm.is_data_present, $A243&lt;&gt;0,
        _xlpm.is_camera_present, COUNTIFS(Log!$C:$C, $A243, Log!$D:$D, K$4, Log!$A:$A, "Daily", Log!$B:$B, "n/a"),
        _xlpm.we_camera_on_date, IFERROR(AVERAGEIFS(Log!$F:$F, Log!$D:$D,K$4, Log!$C:$C, $A243, Log!$A:$A, "Daily", Log!$B:$B, "n/a"), 0),
        _xlpm.ie_camera_on_date, IFERROR(AVERAGEIFS(Log!$G:$G, Log!$D:$D,K$4,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3" s="68" t="str">
        <f>IFERROR(
    _xlfn.LET(
        _xlpm.is_data_present, $A243&lt;&gt;0,
        _xlpm.is_camera_present, COUNTIFS(Log!$C:$C, $A243, Log!$D:$D, L$4, Log!$A:$A, "Daily", Log!$B:$B, "n/a"),
        _xlpm.we_camera_on_date, IFERROR(AVERAGEIFS(Log!$F:$F, Log!$D:$D,L$4, Log!$C:$C, $A243, Log!$A:$A, "Daily", Log!$B:$B, "n/a"), 0),
        _xlpm.ie_camera_on_date, IFERROR(AVERAGEIFS(Log!$G:$G, Log!$D:$D,L$4,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3" s="68" t="str">
        <f>IFERROR(
    _xlfn.LET(
        _xlpm.is_data_present, $A243&lt;&gt;0,
        _xlpm.is_camera_present, COUNTIFS(Log!$C:$C, $A243, Log!$D:$D, M$4, Log!$A:$A, "Daily", Log!$B:$B, "n/a"),
        _xlpm.we_camera_on_date, IFERROR(AVERAGEIFS(Log!$F:$F, Log!$D:$D,M$4, Log!$C:$C, $A243, Log!$A:$A, "Daily", Log!$B:$B, "n/a"), 0),
        _xlpm.ie_camera_on_date, IFERROR(AVERAGEIFS(Log!$G:$G, Log!$D:$D,M$4,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3" s="68" t="str">
        <f>IFERROR(
    _xlfn.LET(
        _xlpm.is_data_present, $A243&lt;&gt;0,
        _xlpm.is_camera_present, COUNTIFS(Log!$C:$C, $A243, Log!$D:$D, N$4, Log!$A:$A, "Daily", Log!$B:$B, "n/a"),
        _xlpm.we_camera_on_date, IFERROR(AVERAGEIFS(Log!$F:$F, Log!$D:$D,N$4, Log!$C:$C, $A243, Log!$A:$A, "Daily", Log!$B:$B, "n/a"), 0),
        _xlpm.ie_camera_on_date, IFERROR(AVERAGEIFS(Log!$G:$G, Log!$D:$D,N$4,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3" s="68" t="str">
        <f>IFERROR(
    _xlfn.LET(
        _xlpm.is_data_present, $A243&lt;&gt;0,
        _xlpm.is_camera_present, COUNTIFS(Log!$C:$C, $A243, Log!$D:$D, O$4, Log!$A:$A, "Daily", Log!$B:$B, "n/a"),
        _xlpm.we_camera_on_date, IFERROR(AVERAGEIFS(Log!$F:$F, Log!$D:$D,O$4, Log!$C:$C, $A243, Log!$A:$A, "Daily", Log!$B:$B, "n/a"), 0),
        _xlpm.ie_camera_on_date, IFERROR(AVERAGEIFS(Log!$G:$G, Log!$D:$D,O$4,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3" s="68" t="str">
        <f>IFERROR(
    _xlfn.LET(
        _xlpm.is_data_present, $A243&lt;&gt;0,
        _xlpm.is_camera_present, COUNTIFS(Log!$C:$C, $A243, Log!$D:$D, P$4, Log!$A:$A, "Daily", Log!$B:$B, "n/a"),
        _xlpm.we_camera_on_date, IFERROR(AVERAGEIFS(Log!$F:$F, Log!$D:$D,P$4, Log!$C:$C, $A243, Log!$A:$A, "Daily", Log!$B:$B, "n/a"), 0),
        _xlpm.ie_camera_on_date, IFERROR(AVERAGEIFS(Log!$G:$G, Log!$D:$D,P$4,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3" s="68" t="str">
        <f>IFERROR(
    _xlfn.LET(
        _xlpm.is_data_present, $A243&lt;&gt;0,
        _xlpm.is_camera_present, COUNTIFS(Log!$C:$C, $A243, Log!$D:$D, Q$4, Log!$A:$A, "Daily", Log!$B:$B, "n/a"),
        _xlpm.we_camera_on_date, IFERROR(AVERAGEIFS(Log!$F:$F, Log!$D:$D,Q$4, Log!$C:$C, $A243, Log!$A:$A, "Daily", Log!$B:$B, "n/a"), 0),
        _xlpm.ie_camera_on_date, IFERROR(AVERAGEIFS(Log!$G:$G, Log!$D:$D,Q$4,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3" s="68" t="str">
        <f>IFERROR(
    _xlfn.LET(
        _xlpm.is_data_present, $A243&lt;&gt;0,
        _xlpm.is_camera_present, COUNTIFS(Log!$C:$C, $A243, Log!$D:$D, R$4, Log!$A:$A, "Daily", Log!$B:$B, "n/a"),
        _xlpm.we_camera_on_date, IFERROR(AVERAGEIFS(Log!$F:$F, Log!$D:$D,R$4, Log!$C:$C, $A243, Log!$A:$A, "Daily", Log!$B:$B, "n/a"), 0),
        _xlpm.ie_camera_on_date, IFERROR(AVERAGEIFS(Log!$G:$G, Log!$D:$D,R$4,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3" s="68" t="str">
        <f>IFERROR(
    _xlfn.LET(
        _xlpm.is_data_present, $A243&lt;&gt;0,
        _xlpm.is_camera_present, COUNTIFS(Log!$C:$C, $A243, Log!$D:$D, S$4, Log!$A:$A, "Daily", Log!$B:$B, "n/a"),
        _xlpm.we_camera_on_date, IFERROR(AVERAGEIFS(Log!$F:$F, Log!$D:$D,S$4, Log!$C:$C, $A243, Log!$A:$A, "Daily", Log!$B:$B, "n/a"), 0),
        _xlpm.ie_camera_on_date, IFERROR(AVERAGEIFS(Log!$G:$G, Log!$D:$D,S$4, Log!$C:$C, $A243, Log!$A:$A, "Daily", Log!$B:$B, "n/a"), 0),
        _xlpm.we_avg, IFERROR(AVERAGEIFS(Log!$F:$F,Log!$C:$C,$A243, Log!$A:$A, "Daily", Log!$B:$B, "n/a"),0),
        _xlpm.ie_avg, IFERROR(AVERAGEIFS(Log!$G:$G,Log!$C:$C,$A243,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row r="244" spans="2:19" x14ac:dyDescent="0.3">
      <c r="B244" s="68" t="str">
        <f>IFERROR(
    _xlfn.LET(
        _xlpm.is_data_present, $A244&lt;&gt;0,
        _xlpm.is_camera_present, COUNTIFS(Log!$C:$C, $A244, Log!$D:$D, B$4, Log!$A:$A, "Daily", Log!$B:$B, "n/a"),
        _xlpm.we_camera_on_date, IFERROR(AVERAGEIFS(Log!$F:$F, Log!$D:$D,B$4, Log!$C:$C, $A244, Log!$A:$A, "Daily", Log!$B:$B, "n/a"), 0),
        _xlpm.ie_camera_on_date, IFERROR(AVERAGEIFS(Log!$G:$G, Log!$D:$D,B$4,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C244" s="68" t="str">
        <f>IFERROR(
    _xlfn.LET(
        _xlpm.is_data_present, $A244&lt;&gt;0,
        _xlpm.is_camera_present, COUNTIFS(Log!$C:$C, $A244, Log!$D:$D, C$4, Log!$A:$A, "Daily", Log!$B:$B, "n/a"),
        _xlpm.we_camera_on_date, IFERROR(AVERAGEIFS(Log!$F:$F, Log!$D:$D,C$4, Log!$C:$C, $A244, Log!$A:$A, "Daily", Log!$B:$B, "n/a"), 0),
        _xlpm.ie_camera_on_date, IFERROR(AVERAGEIFS(Log!$G:$G, Log!$D:$D,C$4,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D244" s="68" t="str">
        <f>IFERROR(
    _xlfn.LET(
        _xlpm.is_data_present, $A244&lt;&gt;0,
        _xlpm.is_camera_present, COUNTIFS(Log!$C:$C, $A244, Log!$D:$D, D$4, Log!$A:$A, "Daily", Log!$B:$B, "n/a"),
        _xlpm.we_camera_on_date, IFERROR(AVERAGEIFS(Log!$F:$F, Log!$D:$D,D$4, Log!$C:$C, $A244, Log!$A:$A, "Daily", Log!$B:$B, "n/a"), 0),
        _xlpm.ie_camera_on_date, IFERROR(AVERAGEIFS(Log!$G:$G, Log!$D:$D,D$4,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E244" s="68" t="str">
        <f>IFERROR(
    _xlfn.LET(
        _xlpm.is_data_present, $A244&lt;&gt;0,
        _xlpm.is_camera_present, COUNTIFS(Log!$C:$C, $A244, Log!$D:$D, E$4, Log!$A:$A, "Daily", Log!$B:$B, "n/a"),
        _xlpm.we_camera_on_date, IFERROR(AVERAGEIFS(Log!$F:$F, Log!$D:$D,E$4, Log!$C:$C, $A244, Log!$A:$A, "Daily", Log!$B:$B, "n/a"), 0),
        _xlpm.ie_camera_on_date, IFERROR(AVERAGEIFS(Log!$G:$G, Log!$D:$D,E$4,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F244" s="68" t="str">
        <f>IFERROR(
    _xlfn.LET(
        _xlpm.is_data_present, $A244&lt;&gt;0,
        _xlpm.is_camera_present, COUNTIFS(Log!$C:$C, $A244, Log!$D:$D, F$4, Log!$A:$A, "Daily", Log!$B:$B, "n/a"),
        _xlpm.we_camera_on_date, IFERROR(AVERAGEIFS(Log!$F:$F, Log!$D:$D,F$4, Log!$C:$C, $A244, Log!$A:$A, "Daily", Log!$B:$B, "n/a"), 0),
        _xlpm.ie_camera_on_date, IFERROR(AVERAGEIFS(Log!$G:$G, Log!$D:$D,F$4,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G244" s="68" t="str">
        <f>IFERROR(
    _xlfn.LET(
        _xlpm.is_data_present, $A244&lt;&gt;0,
        _xlpm.is_camera_present, COUNTIFS(Log!$C:$C, $A244, Log!$D:$D, G$4, Log!$A:$A, "Daily", Log!$B:$B, "n/a"),
        _xlpm.we_camera_on_date, IFERROR(AVERAGEIFS(Log!$F:$F, Log!$D:$D,G$4, Log!$C:$C, $A244, Log!$A:$A, "Daily", Log!$B:$B, "n/a"), 0),
        _xlpm.ie_camera_on_date, IFERROR(AVERAGEIFS(Log!$G:$G, Log!$D:$D,G$4,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H244" s="68" t="str">
        <f>IFERROR(
    _xlfn.LET(
        _xlpm.is_data_present, $A244&lt;&gt;0,
        _xlpm.is_camera_present, COUNTIFS(Log!$C:$C, $A244, Log!$D:$D, H$4, Log!$A:$A, "Daily", Log!$B:$B, "n/a"),
        _xlpm.we_camera_on_date, IFERROR(AVERAGEIFS(Log!$F:$F, Log!$D:$D,H$4, Log!$C:$C, $A244, Log!$A:$A, "Daily", Log!$B:$B, "n/a"), 0),
        _xlpm.ie_camera_on_date, IFERROR(AVERAGEIFS(Log!$G:$G, Log!$D:$D,H$4,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I244" s="68" t="str">
        <f>IFERROR(
    _xlfn.LET(
        _xlpm.is_data_present, $A244&lt;&gt;0,
        _xlpm.is_camera_present, COUNTIFS(Log!$C:$C, $A244, Log!$D:$D, I$4, Log!$A:$A, "Daily", Log!$B:$B, "n/a"),
        _xlpm.we_camera_on_date, IFERROR(AVERAGEIFS(Log!$F:$F, Log!$D:$D,I$4, Log!$C:$C, $A244, Log!$A:$A, "Daily", Log!$B:$B, "n/a"), 0),
        _xlpm.ie_camera_on_date, IFERROR(AVERAGEIFS(Log!$G:$G, Log!$D:$D,I$4,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J244" s="68" t="str">
        <f>IFERROR(
    _xlfn.LET(
        _xlpm.is_data_present, $A244&lt;&gt;0,
        _xlpm.is_camera_present, COUNTIFS(Log!$C:$C, $A244, Log!$D:$D, J$4, Log!$A:$A, "Daily", Log!$B:$B, "n/a"),
        _xlpm.we_camera_on_date, IFERROR(AVERAGEIFS(Log!$F:$F, Log!$D:$D,J$4, Log!$C:$C, $A244, Log!$A:$A, "Daily", Log!$B:$B, "n/a"), 0),
        _xlpm.ie_camera_on_date, IFERROR(AVERAGEIFS(Log!$G:$G, Log!$D:$D,J$4,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K244" s="68" t="str">
        <f>IFERROR(
    _xlfn.LET(
        _xlpm.is_data_present, $A244&lt;&gt;0,
        _xlpm.is_camera_present, COUNTIFS(Log!$C:$C, $A244, Log!$D:$D, K$4, Log!$A:$A, "Daily", Log!$B:$B, "n/a"),
        _xlpm.we_camera_on_date, IFERROR(AVERAGEIFS(Log!$F:$F, Log!$D:$D,K$4, Log!$C:$C, $A244, Log!$A:$A, "Daily", Log!$B:$B, "n/a"), 0),
        _xlpm.ie_camera_on_date, IFERROR(AVERAGEIFS(Log!$G:$G, Log!$D:$D,K$4,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L244" s="68" t="str">
        <f>IFERROR(
    _xlfn.LET(
        _xlpm.is_data_present, $A244&lt;&gt;0,
        _xlpm.is_camera_present, COUNTIFS(Log!$C:$C, $A244, Log!$D:$D, L$4, Log!$A:$A, "Daily", Log!$B:$B, "n/a"),
        _xlpm.we_camera_on_date, IFERROR(AVERAGEIFS(Log!$F:$F, Log!$D:$D,L$4, Log!$C:$C, $A244, Log!$A:$A, "Daily", Log!$B:$B, "n/a"), 0),
        _xlpm.ie_camera_on_date, IFERROR(AVERAGEIFS(Log!$G:$G, Log!$D:$D,L$4,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M244" s="68" t="str">
        <f>IFERROR(
    _xlfn.LET(
        _xlpm.is_data_present, $A244&lt;&gt;0,
        _xlpm.is_camera_present, COUNTIFS(Log!$C:$C, $A244, Log!$D:$D, M$4, Log!$A:$A, "Daily", Log!$B:$B, "n/a"),
        _xlpm.we_camera_on_date, IFERROR(AVERAGEIFS(Log!$F:$F, Log!$D:$D,M$4, Log!$C:$C, $A244, Log!$A:$A, "Daily", Log!$B:$B, "n/a"), 0),
        _xlpm.ie_camera_on_date, IFERROR(AVERAGEIFS(Log!$G:$G, Log!$D:$D,M$4,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N244" s="68" t="str">
        <f>IFERROR(
    _xlfn.LET(
        _xlpm.is_data_present, $A244&lt;&gt;0,
        _xlpm.is_camera_present, COUNTIFS(Log!$C:$C, $A244, Log!$D:$D, N$4, Log!$A:$A, "Daily", Log!$B:$B, "n/a"),
        _xlpm.we_camera_on_date, IFERROR(AVERAGEIFS(Log!$F:$F, Log!$D:$D,N$4, Log!$C:$C, $A244, Log!$A:$A, "Daily", Log!$B:$B, "n/a"), 0),
        _xlpm.ie_camera_on_date, IFERROR(AVERAGEIFS(Log!$G:$G, Log!$D:$D,N$4,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O244" s="68" t="str">
        <f>IFERROR(
    _xlfn.LET(
        _xlpm.is_data_present, $A244&lt;&gt;0,
        _xlpm.is_camera_present, COUNTIFS(Log!$C:$C, $A244, Log!$D:$D, O$4, Log!$A:$A, "Daily", Log!$B:$B, "n/a"),
        _xlpm.we_camera_on_date, IFERROR(AVERAGEIFS(Log!$F:$F, Log!$D:$D,O$4, Log!$C:$C, $A244, Log!$A:$A, "Daily", Log!$B:$B, "n/a"), 0),
        _xlpm.ie_camera_on_date, IFERROR(AVERAGEIFS(Log!$G:$G, Log!$D:$D,O$4,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P244" s="68" t="str">
        <f>IFERROR(
    _xlfn.LET(
        _xlpm.is_data_present, $A244&lt;&gt;0,
        _xlpm.is_camera_present, COUNTIFS(Log!$C:$C, $A244, Log!$D:$D, P$4, Log!$A:$A, "Daily", Log!$B:$B, "n/a"),
        _xlpm.we_camera_on_date, IFERROR(AVERAGEIFS(Log!$F:$F, Log!$D:$D,P$4, Log!$C:$C, $A244, Log!$A:$A, "Daily", Log!$B:$B, "n/a"), 0),
        _xlpm.ie_camera_on_date, IFERROR(AVERAGEIFS(Log!$G:$G, Log!$D:$D,P$4,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Q244" s="68" t="str">
        <f>IFERROR(
    _xlfn.LET(
        _xlpm.is_data_present, $A244&lt;&gt;0,
        _xlpm.is_camera_present, COUNTIFS(Log!$C:$C, $A244, Log!$D:$D, Q$4, Log!$A:$A, "Daily", Log!$B:$B, "n/a"),
        _xlpm.we_camera_on_date, IFERROR(AVERAGEIFS(Log!$F:$F, Log!$D:$D,Q$4, Log!$C:$C, $A244, Log!$A:$A, "Daily", Log!$B:$B, "n/a"), 0),
        _xlpm.ie_camera_on_date, IFERROR(AVERAGEIFS(Log!$G:$G, Log!$D:$D,Q$4,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R244" s="68" t="str">
        <f>IFERROR(
    _xlfn.LET(
        _xlpm.is_data_present, $A244&lt;&gt;0,
        _xlpm.is_camera_present, COUNTIFS(Log!$C:$C, $A244, Log!$D:$D, R$4, Log!$A:$A, "Daily", Log!$B:$B, "n/a"),
        _xlpm.we_camera_on_date, IFERROR(AVERAGEIFS(Log!$F:$F, Log!$D:$D,R$4, Log!$C:$C, $A244, Log!$A:$A, "Daily", Log!$B:$B, "n/a"), 0),
        _xlpm.ie_camera_on_date, IFERROR(AVERAGEIFS(Log!$G:$G, Log!$D:$D,R$4,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c r="S244" s="68" t="str">
        <f>IFERROR(
    _xlfn.LET(
        _xlpm.is_data_present, $A244&lt;&gt;0,
        _xlpm.is_camera_present, COUNTIFS(Log!$C:$C, $A244, Log!$D:$D, S$4, Log!$A:$A, "Daily", Log!$B:$B, "n/a"),
        _xlpm.we_camera_on_date, IFERROR(AVERAGEIFS(Log!$F:$F, Log!$D:$D,S$4, Log!$C:$C, $A244, Log!$A:$A, "Daily", Log!$B:$B, "n/a"), 0),
        _xlpm.ie_camera_on_date, IFERROR(AVERAGEIFS(Log!$G:$G, Log!$D:$D,S$4, Log!$C:$C, $A244, Log!$A:$A, "Daily", Log!$B:$B, "n/a"), 0),
        _xlpm.we_avg, IFERROR(AVERAGEIFS(Log!$F:$F,Log!$C:$C,$A244, Log!$A:$A, "Daily", Log!$B:$B, "n/a"),0),
        _xlpm.ie_avg, IFERROR(AVERAGEIFS(Log!$G:$G,Log!$C:$C,$A244, Log!$A:$A, "Daily", Log!$B:$B, "n/a"),0),
        _xlpm.we_local_vs_average, (_xlpm.we_avg/_xlpm.we_camera_on_date),
        _xlpm.ie_local_vs_average, (_xlpm.ie_avg/_xlpm.ie_camera_on_date),
        _xlpm.we_score, IF(AND(ISNUMBER(_xlpm.we_camera_on_date), ISNUMBER(_xlpm.we_avg), _xlpm.we_camera_on_date &gt; _xlpm.we_avg), 1, 0),
        _xlpm.ie_score, IF(AND(ISNUMBER(_xlpm.ie_camera_on_date), ISNUMBER(_xlpm.ie_avg), _xlpm.ie_camera_on_date &gt; _xlpm.ie_avg), 1, 0),
        _xlpm.camera_check, IF(_xlpm.is_camera_present&lt;&gt;0, TRUE, FALSE),
        IF(_xlpm.is_data_present,
            IF(_xlpm.camera_check, _xlpm.we_score+_xlpm.ie_score, "n/a"),
            "")
        ),
        NA()
    )</f>
        <v/>
      </c>
    </row>
  </sheetData>
  <sheetProtection sheet="1" objects="1" scenarios="1" selectLockedCells="1" selectUnlockedCells="1"/>
  <mergeCells count="9">
    <mergeCell ref="A1:XFD1"/>
    <mergeCell ref="V11:W11"/>
    <mergeCell ref="V12:W12"/>
    <mergeCell ref="A2:S2"/>
    <mergeCell ref="U9:W9"/>
    <mergeCell ref="V10:W10"/>
    <mergeCell ref="A4:A6"/>
    <mergeCell ref="B5:S5"/>
    <mergeCell ref="U6:W6"/>
  </mergeCells>
  <conditionalFormatting sqref="B3:S3">
    <cfRule type="colorScale" priority="3">
      <colorScale>
        <cfvo type="min"/>
        <cfvo type="max"/>
        <color rgb="FFFFEF9C"/>
        <color rgb="FFFF7128"/>
      </colorScale>
    </cfRule>
  </conditionalFormatting>
  <conditionalFormatting sqref="B6:S6">
    <cfRule type="expression" dxfId="4" priority="2">
      <formula>B3&gt;=70%</formula>
    </cfRule>
  </conditionalFormatting>
  <conditionalFormatting sqref="B7:S926">
    <cfRule type="cellIs" dxfId="3" priority="4" operator="equal">
      <formula>2</formula>
    </cfRule>
    <cfRule type="cellIs" dxfId="2" priority="5" operator="equal">
      <formula>1</formula>
    </cfRule>
    <cfRule type="cellIs" dxfId="1" priority="6" operator="equal">
      <formula>0</formula>
    </cfRule>
  </conditionalFormatting>
  <conditionalFormatting sqref="U6">
    <cfRule type="expression" dxfId="0" priority="1">
      <formula>U3&gt;50%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36215A-EEF0-45EB-87C0-31D01E31B525}">
          <x14:formula1>
            <xm:f>'Data-Lists'!$F$4:$F$101</xm:f>
          </x14:formula1>
          <xm:sqref>F1</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A2F8-F5ED-4E7C-A866-8C803232A8B0}">
  <sheetPr>
    <tabColor theme="9" tint="0.59999389629810485"/>
  </sheetPr>
  <dimension ref="A1:Y26"/>
  <sheetViews>
    <sheetView showZeros="0" workbookViewId="0">
      <selection activeCell="D8" sqref="D8"/>
    </sheetView>
  </sheetViews>
  <sheetFormatPr defaultRowHeight="14.4" x14ac:dyDescent="0.3"/>
  <cols>
    <col min="1" max="1" width="25.77734375" style="39" customWidth="1"/>
    <col min="2" max="2" width="8.88671875" style="53"/>
    <col min="3" max="20" width="6.77734375" style="54" customWidth="1"/>
    <col min="21" max="21" width="2.77734375" style="51" customWidth="1"/>
    <col min="22" max="22" width="8.88671875" style="55"/>
    <col min="23" max="25" width="10.77734375" style="51" customWidth="1"/>
    <col min="26" max="16384" width="8.88671875" style="51"/>
  </cols>
  <sheetData>
    <row r="1" spans="1:25" s="359" customFormat="1" ht="24.6" thickTop="1" thickBot="1" x14ac:dyDescent="0.5">
      <c r="A1" s="358" t="s">
        <v>311</v>
      </c>
    </row>
    <row r="2" spans="1:25" s="63" customFormat="1" ht="15.6" thickTop="1" thickBot="1" x14ac:dyDescent="0.35">
      <c r="A2" s="78" t="s">
        <v>66</v>
      </c>
      <c r="B2" s="62"/>
      <c r="C2" s="62"/>
      <c r="D2" s="62"/>
      <c r="E2" s="62"/>
      <c r="F2" s="62"/>
      <c r="G2" s="62"/>
      <c r="H2" s="62"/>
      <c r="I2" s="62"/>
      <c r="J2" s="62"/>
      <c r="K2" s="62"/>
      <c r="L2" s="62"/>
      <c r="M2" s="62"/>
      <c r="N2" s="62"/>
      <c r="O2" s="62"/>
      <c r="P2" s="62"/>
      <c r="Q2" s="62"/>
      <c r="R2" s="62"/>
      <c r="S2" s="62"/>
      <c r="T2" s="62"/>
      <c r="V2" s="64"/>
    </row>
    <row r="3" spans="1:25" customFormat="1" ht="15" customHeight="1" x14ac:dyDescent="0.3">
      <c r="A3" s="356" t="s">
        <v>64</v>
      </c>
      <c r="B3" s="357"/>
      <c r="C3" s="65"/>
      <c r="D3" s="65"/>
      <c r="E3" s="65"/>
      <c r="F3" s="65">
        <v>12</v>
      </c>
      <c r="G3" s="65"/>
      <c r="H3" s="65">
        <v>1</v>
      </c>
      <c r="I3" s="65">
        <v>1</v>
      </c>
      <c r="J3" s="65">
        <v>4</v>
      </c>
      <c r="K3" s="65"/>
      <c r="L3" s="65">
        <v>7</v>
      </c>
      <c r="M3" s="65"/>
      <c r="N3" s="65"/>
      <c r="O3" s="65">
        <v>3</v>
      </c>
      <c r="P3" s="65">
        <v>8</v>
      </c>
      <c r="Q3" s="65"/>
      <c r="R3" s="65">
        <v>1</v>
      </c>
      <c r="S3" s="65"/>
      <c r="T3" s="65"/>
      <c r="V3" s="4"/>
    </row>
    <row r="4" spans="1:25" ht="26.4" x14ac:dyDescent="0.3">
      <c r="A4" s="77" t="s">
        <v>31</v>
      </c>
      <c r="B4" s="48" t="s">
        <v>60</v>
      </c>
      <c r="C4" s="49" t="str" cm="1">
        <f t="array" ref="C4:T4">LEFT(TRANSPOSE('Data-Lists'!A4:A21), 3)</f>
        <v xml:space="preserve">#1 </v>
      </c>
      <c r="D4" s="49" t="str">
        <v xml:space="preserve">#2 </v>
      </c>
      <c r="E4" s="49" t="str">
        <v xml:space="preserve">#3 </v>
      </c>
      <c r="F4" s="49" t="str">
        <v xml:space="preserve">#4 </v>
      </c>
      <c r="G4" s="49" t="str">
        <v xml:space="preserve">#5 </v>
      </c>
      <c r="H4" s="49" t="str">
        <v xml:space="preserve">#6 </v>
      </c>
      <c r="I4" s="49" t="str">
        <v xml:space="preserve">#7 </v>
      </c>
      <c r="J4" s="56" t="str">
        <v xml:space="preserve">#8 </v>
      </c>
      <c r="K4" s="49" t="str">
        <v xml:space="preserve">#9 </v>
      </c>
      <c r="L4" s="49" t="str">
        <v>#10</v>
      </c>
      <c r="M4" s="49" t="str">
        <v>#11</v>
      </c>
      <c r="N4" s="49" t="str">
        <v>#12</v>
      </c>
      <c r="O4" s="56" t="str">
        <v>#13</v>
      </c>
      <c r="P4" s="49" t="str">
        <v>#14</v>
      </c>
      <c r="Q4" s="49" t="str">
        <v>#15</v>
      </c>
      <c r="R4" s="49" t="str">
        <v>#16</v>
      </c>
      <c r="S4" s="49" t="str">
        <v>#17</v>
      </c>
      <c r="T4" s="49" t="str">
        <v>#18</v>
      </c>
    </row>
    <row r="5" spans="1:25" x14ac:dyDescent="0.3">
      <c r="A5" s="5" cm="1">
        <f t="array" ref="A5:A26">_xlfn.UNIQUE(_xlfn._xlws.FILTER(Log!$C:$C, (Log!$B:B="n/a") * (Log!$A:$A="Daily")))</f>
        <v>46228</v>
      </c>
    </row>
    <row r="6" spans="1:25" x14ac:dyDescent="0.3">
      <c r="A6" s="39">
        <v>46230</v>
      </c>
      <c r="W6" s="59" t="s">
        <v>61</v>
      </c>
      <c r="X6" s="52"/>
    </row>
    <row r="7" spans="1:25" x14ac:dyDescent="0.3">
      <c r="A7" s="39">
        <v>46231</v>
      </c>
      <c r="V7" s="60" t="s">
        <v>63</v>
      </c>
      <c r="W7" s="353" t="s">
        <v>65</v>
      </c>
      <c r="X7" s="354"/>
      <c r="Y7" s="355"/>
    </row>
    <row r="8" spans="1:25" x14ac:dyDescent="0.3">
      <c r="A8" s="39">
        <v>46232</v>
      </c>
      <c r="V8" s="61"/>
      <c r="W8" s="353" t="s">
        <v>62</v>
      </c>
      <c r="X8" s="354"/>
      <c r="Y8" s="355"/>
    </row>
    <row r="9" spans="1:25" x14ac:dyDescent="0.3">
      <c r="A9" s="39">
        <v>46233</v>
      </c>
      <c r="W9" s="52"/>
      <c r="X9" s="52"/>
    </row>
    <row r="10" spans="1:25" x14ac:dyDescent="0.3">
      <c r="A10" s="39">
        <v>46234</v>
      </c>
      <c r="G10" s="57">
        <v>1</v>
      </c>
      <c r="I10" s="58">
        <v>2</v>
      </c>
      <c r="V10" s="74"/>
      <c r="X10" s="52"/>
    </row>
    <row r="11" spans="1:25" x14ac:dyDescent="0.3">
      <c r="A11" s="39">
        <v>46235</v>
      </c>
      <c r="X11" s="52"/>
    </row>
    <row r="12" spans="1:25" x14ac:dyDescent="0.3">
      <c r="A12" s="39">
        <v>46237</v>
      </c>
      <c r="F12" s="57">
        <v>1</v>
      </c>
      <c r="G12" s="57">
        <v>1</v>
      </c>
      <c r="W12" s="50"/>
      <c r="X12" s="52"/>
    </row>
    <row r="13" spans="1:25" x14ac:dyDescent="0.3">
      <c r="A13" s="39">
        <v>46238</v>
      </c>
    </row>
    <row r="14" spans="1:25" x14ac:dyDescent="0.3">
      <c r="A14" s="39">
        <v>46239</v>
      </c>
      <c r="V14" s="74"/>
    </row>
    <row r="15" spans="1:25" x14ac:dyDescent="0.3">
      <c r="A15" s="39">
        <v>46240</v>
      </c>
      <c r="V15" s="84" t="str" cm="1">
        <f t="array" ref="V15:V17">_xlfn.TEXTSPLIT("Note: Need to explore earlier: calibrations for relative errors!", , ":")</f>
        <v>Note</v>
      </c>
      <c r="W15" s="81"/>
    </row>
    <row r="16" spans="1:25" x14ac:dyDescent="0.3">
      <c r="A16" s="39">
        <v>46242</v>
      </c>
      <c r="G16" s="57">
        <v>1</v>
      </c>
      <c r="V16" s="83" t="str">
        <v xml:space="preserve"> Need to explore earlier</v>
      </c>
    </row>
    <row r="17" spans="1:22" x14ac:dyDescent="0.3">
      <c r="A17" s="39">
        <v>46244</v>
      </c>
      <c r="V17" s="83" t="str">
        <v xml:space="preserve"> calibrations for relative errors!</v>
      </c>
    </row>
    <row r="18" spans="1:22" x14ac:dyDescent="0.3">
      <c r="A18" s="39">
        <v>46245</v>
      </c>
      <c r="V18" s="82"/>
    </row>
    <row r="19" spans="1:22" x14ac:dyDescent="0.3">
      <c r="A19" s="39">
        <v>46246</v>
      </c>
    </row>
    <row r="20" spans="1:22" x14ac:dyDescent="0.3">
      <c r="A20" s="39">
        <v>46247</v>
      </c>
    </row>
    <row r="21" spans="1:22" x14ac:dyDescent="0.3">
      <c r="A21" s="39">
        <v>46248</v>
      </c>
    </row>
    <row r="22" spans="1:22" x14ac:dyDescent="0.3">
      <c r="A22" s="39">
        <v>46251</v>
      </c>
    </row>
    <row r="23" spans="1:22" x14ac:dyDescent="0.3">
      <c r="A23" s="39">
        <v>46252</v>
      </c>
    </row>
    <row r="24" spans="1:22" x14ac:dyDescent="0.3">
      <c r="A24" s="39">
        <v>46253</v>
      </c>
    </row>
    <row r="25" spans="1:22" x14ac:dyDescent="0.3">
      <c r="A25" s="39">
        <v>46254</v>
      </c>
    </row>
    <row r="26" spans="1:22" x14ac:dyDescent="0.3">
      <c r="A26" s="39">
        <v>46255</v>
      </c>
    </row>
  </sheetData>
  <sheetProtection sheet="1" objects="1" scenarios="1" selectLockedCells="1" selectUnlockedCells="1"/>
  <mergeCells count="4">
    <mergeCell ref="W8:Y8"/>
    <mergeCell ref="A3:B3"/>
    <mergeCell ref="W7:Y7"/>
    <mergeCell ref="A1:XFD1"/>
  </mergeCell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462C287-26DE-4E51-ABA8-7C57A28F639F}">
          <x14:formula1>
            <xm:f>'Data-Lists'!$F$4:$F$101</xm:f>
          </x14:formula1>
          <xm:sqref>F1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3C9DD-A91C-4AA4-A92F-8D95DCC4FB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WIP</vt:lpstr>
      <vt:lpstr>Data-Lists</vt:lpstr>
      <vt:lpstr>Legend</vt:lpstr>
      <vt:lpstr>Log</vt:lpstr>
      <vt:lpstr>Daily IE</vt:lpstr>
      <vt:lpstr>Daily WE</vt:lpstr>
      <vt:lpstr>Errors</vt:lpstr>
      <vt:lpstr>Trials</vt:lpstr>
      <vt:lpstr>Visualisations</vt:lpstr>
      <vt:lpstr>Daily Camera Trends</vt:lpstr>
      <vt:lpstr>Daily Averages</vt:lpstr>
      <vt:lpstr>Daily Rank</vt:lpstr>
      <vt:lpstr>Daily Error Rates</vt:lpstr>
      <vt:lpstr>Problem Cameras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Daniel Newby</cp:lastModifiedBy>
  <cp:revision>1</cp:revision>
  <dcterms:created xsi:type="dcterms:W3CDTF">2026-07-27T09:50:39Z</dcterms:created>
  <dcterms:modified xsi:type="dcterms:W3CDTF">2026-08-28T13:19:31Z</dcterms:modified>
  <dc:language>en-US</dc:language>
</cp:coreProperties>
</file>