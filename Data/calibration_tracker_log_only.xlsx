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ables/table1.xml" ContentType="application/vnd.openxmlformats-officedocument.spreadsheetml.table+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newwb\Documents\brain\professional\university\LCAS\Vicon (EPSURIS) Main\Public Files\Data\"/>
    </mc:Choice>
  </mc:AlternateContent>
  <xr:revisionPtr revIDLastSave="0" documentId="13_ncr:1_{51595702-14B7-4C5B-9D9C-AE072D625A91}" xr6:coauthVersionLast="47" xr6:coauthVersionMax="47" xr10:uidLastSave="{00000000-0000-0000-0000-000000000000}"/>
  <bookViews>
    <workbookView xWindow="-108" yWindow="-108" windowWidth="23256" windowHeight="13896" tabRatio="713" activeTab="1" xr2:uid="{00000000-000D-0000-FFFF-FFFF00000000}"/>
  </bookViews>
  <sheets>
    <sheet name="WIP" sheetId="1" r:id="rId1"/>
    <sheet name="Data-Lists" sheetId="2" r:id="rId2"/>
    <sheet name="Legend" sheetId="7" r:id="rId3"/>
    <sheet name="Log" sheetId="19" r:id="rId4"/>
    <sheet name="Sets" sheetId="4" r:id="rId5"/>
    <sheet name="Problem Cameras" sheetId="23" r:id="rId6"/>
  </sheets>
  <externalReferences>
    <externalReference r:id="rId7"/>
  </externalReferences>
  <definedNames>
    <definedName name="_xlnm._FilterDatabase" localSheetId="4" hidden="1">Sets!$K$1:$V$652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E3" i="2" l="1" a="1"/>
  <c r="E3" i="2" s="1"/>
  <c r="D3" i="2" a="1"/>
  <c r="D3" i="2" s="1"/>
  <c r="B3" i="2" a="1"/>
  <c r="B3" i="2" s="1"/>
  <c r="A2" i="4" a="1"/>
  <c r="A2" i="4" s="1"/>
  <c r="V14" i="23" l="1" a="1"/>
  <c r="V14" i="23" s="1"/>
  <c r="C3" i="23" a="1"/>
  <c r="C3" i="23" s="1"/>
  <c r="A4" i="23" l="1" a="1"/>
  <c r="A4" i="23" s="1"/>
  <c r="F3" i="2" l="1" a="1"/>
  <c r="F3" i="2" s="1"/>
  <c r="B1119" i="19"/>
  <c r="B1120" i="19"/>
  <c r="B1121" i="19"/>
  <c r="B1122" i="19"/>
  <c r="B1123" i="19"/>
  <c r="B1124" i="19"/>
  <c r="B1125" i="19"/>
  <c r="B1126" i="19"/>
  <c r="B1127" i="19"/>
  <c r="B1128" i="19"/>
  <c r="B1129" i="19"/>
  <c r="B1130" i="19"/>
  <c r="B1131" i="19"/>
  <c r="B1132" i="19"/>
  <c r="B1133" i="19"/>
  <c r="B1134" i="19"/>
  <c r="B1135" i="19"/>
  <c r="B1118" i="19"/>
  <c r="B1028" i="19" l="1"/>
  <c r="B1029" i="19"/>
  <c r="B1030" i="19"/>
  <c r="B1031" i="19"/>
  <c r="B1032" i="19"/>
  <c r="B1033" i="19"/>
  <c r="B1034" i="19"/>
  <c r="B1035" i="19"/>
  <c r="B1036" i="19"/>
  <c r="B1037" i="19"/>
  <c r="B1038" i="19"/>
  <c r="B1039" i="19"/>
  <c r="B1040" i="19"/>
  <c r="B1041" i="19"/>
  <c r="B1042" i="19"/>
  <c r="B1043" i="19"/>
  <c r="B1044" i="19"/>
  <c r="B1045" i="19"/>
  <c r="B1064" i="19"/>
  <c r="B1065" i="19"/>
  <c r="B1066" i="19"/>
  <c r="B1067" i="19"/>
  <c r="B1068" i="19"/>
  <c r="B1069" i="19"/>
  <c r="B1070" i="19"/>
  <c r="B1071" i="19"/>
  <c r="B1072" i="19"/>
  <c r="B1073" i="19"/>
  <c r="B1074" i="19"/>
  <c r="B1075" i="19"/>
  <c r="B1076" i="19"/>
  <c r="B1077" i="19"/>
  <c r="B1078" i="19"/>
  <c r="B1079" i="19"/>
  <c r="B1080" i="19"/>
  <c r="B1081" i="19"/>
  <c r="B1232" i="19"/>
  <c r="B1233" i="19"/>
  <c r="B1234" i="19"/>
  <c r="B1235" i="19"/>
  <c r="B1236" i="19"/>
  <c r="B1237" i="19"/>
  <c r="B1238" i="19"/>
  <c r="B1239" i="19"/>
  <c r="B1240" i="19"/>
  <c r="B1241" i="19"/>
  <c r="B1242" i="19"/>
  <c r="B1243" i="19"/>
  <c r="B1244" i="19"/>
  <c r="B1245" i="19"/>
  <c r="B1246" i="19"/>
  <c r="B1247" i="19"/>
  <c r="B1248" i="19"/>
  <c r="B1249" i="19"/>
  <c r="B1268" i="19"/>
  <c r="B1269" i="19"/>
  <c r="B1270" i="19"/>
  <c r="B1271" i="19"/>
  <c r="B1272" i="19"/>
  <c r="B1273" i="19"/>
  <c r="B1274" i="19"/>
  <c r="B1275" i="19"/>
  <c r="B1276" i="19"/>
  <c r="B1277" i="19"/>
  <c r="B1278" i="19"/>
  <c r="B1279" i="19"/>
  <c r="B1280" i="19"/>
  <c r="B1281" i="19"/>
  <c r="B1282" i="19"/>
  <c r="B1283" i="19"/>
  <c r="B1284" i="19"/>
  <c r="B1285" i="19"/>
  <c r="B1286" i="19"/>
  <c r="B1287" i="19"/>
  <c r="B1288" i="19"/>
  <c r="B1289" i="19"/>
  <c r="B1290" i="19"/>
  <c r="B1291" i="19"/>
  <c r="B1292" i="19"/>
  <c r="B1293" i="19"/>
  <c r="B1294" i="19"/>
  <c r="B1295" i="19"/>
  <c r="B1296" i="19"/>
  <c r="B1297" i="19"/>
  <c r="B1298" i="19"/>
  <c r="B1299" i="19"/>
  <c r="B1300" i="19"/>
  <c r="B1301" i="19"/>
  <c r="B1302" i="19"/>
  <c r="B1303" i="19"/>
  <c r="B1304" i="19"/>
  <c r="B1305" i="19"/>
  <c r="B1306" i="19"/>
  <c r="B1307" i="19"/>
  <c r="B1308" i="19"/>
  <c r="B1309" i="19"/>
  <c r="B1310" i="19"/>
  <c r="B1311" i="19"/>
  <c r="B1312" i="19"/>
  <c r="B1313" i="19"/>
  <c r="B1314" i="19"/>
  <c r="B1315" i="19"/>
  <c r="B1316" i="19"/>
  <c r="B1317" i="19"/>
  <c r="B1318" i="19"/>
  <c r="B1319" i="19"/>
  <c r="B1320" i="19"/>
  <c r="B1321" i="19"/>
  <c r="B1322" i="19"/>
  <c r="B1323" i="19"/>
  <c r="B1324" i="19"/>
  <c r="B1325" i="19"/>
  <c r="B1326" i="19"/>
  <c r="B1327" i="19"/>
  <c r="B1328" i="19"/>
  <c r="B1329" i="19"/>
  <c r="B1330" i="19"/>
  <c r="B1331" i="19"/>
  <c r="B1332" i="19"/>
  <c r="B1333" i="19"/>
  <c r="B1334" i="19"/>
  <c r="B1335" i="19"/>
  <c r="B1336" i="19"/>
  <c r="B1337" i="19"/>
  <c r="B1338" i="19"/>
  <c r="B1339" i="19"/>
  <c r="B1340" i="19"/>
  <c r="B1341" i="19"/>
  <c r="B1342" i="19"/>
  <c r="B1343" i="19"/>
  <c r="B1344" i="19"/>
  <c r="B1345" i="19"/>
  <c r="B1346" i="19"/>
  <c r="B1347" i="19"/>
  <c r="B1348" i="19"/>
  <c r="B1349" i="19"/>
  <c r="B1350" i="19"/>
  <c r="B1351" i="19"/>
  <c r="B1352" i="19"/>
  <c r="B1353" i="19"/>
  <c r="B1354" i="19"/>
  <c r="B1355" i="19"/>
  <c r="B1356" i="19"/>
  <c r="B1357" i="19"/>
  <c r="B1358" i="19"/>
  <c r="B1359" i="19"/>
  <c r="B1360" i="19"/>
  <c r="B1361" i="19"/>
  <c r="B1362" i="19"/>
  <c r="B1363" i="19"/>
  <c r="B1364" i="19"/>
  <c r="B1365" i="19"/>
  <c r="B1366" i="19"/>
  <c r="B1367" i="19"/>
  <c r="B1368" i="19"/>
  <c r="B1369" i="19"/>
  <c r="B1370" i="19"/>
  <c r="B1371" i="19"/>
  <c r="B1372" i="19"/>
  <c r="B1373" i="19"/>
  <c r="B1374" i="19"/>
  <c r="B1375" i="19"/>
  <c r="B1376" i="19"/>
  <c r="B1377" i="19"/>
  <c r="B1378" i="19"/>
  <c r="B1379" i="19"/>
  <c r="B1380" i="19"/>
  <c r="B1381" i="19"/>
  <c r="B1382" i="19"/>
  <c r="B1383" i="19"/>
  <c r="B1384" i="19"/>
  <c r="B1385" i="19"/>
  <c r="B1386" i="19"/>
  <c r="B1387" i="19"/>
  <c r="B1388" i="19"/>
  <c r="B1389" i="19"/>
  <c r="B1390" i="19"/>
  <c r="B1391" i="19"/>
  <c r="B1392" i="19"/>
  <c r="B1393" i="19"/>
  <c r="B1394" i="19"/>
  <c r="B1395" i="19"/>
  <c r="B1396" i="19"/>
  <c r="B1397" i="19"/>
  <c r="B1398" i="19"/>
  <c r="B1399" i="19"/>
  <c r="B1400" i="19"/>
  <c r="B1401" i="19"/>
  <c r="B1402" i="19"/>
  <c r="B1403" i="19"/>
  <c r="B1404" i="19"/>
  <c r="B1405" i="19"/>
  <c r="B1406" i="19"/>
  <c r="B1407" i="19"/>
  <c r="B1408" i="19"/>
  <c r="B1409" i="19"/>
  <c r="B1410" i="19"/>
  <c r="B1411" i="19"/>
  <c r="B1412" i="19"/>
  <c r="B1413" i="19"/>
  <c r="B1414" i="19"/>
  <c r="B1415" i="19"/>
  <c r="B1416" i="19"/>
  <c r="B1417" i="19"/>
  <c r="B1418" i="19"/>
  <c r="B1419" i="19"/>
  <c r="B1420" i="19"/>
  <c r="B1421" i="19"/>
  <c r="B1422" i="19"/>
  <c r="B1423" i="19"/>
  <c r="B1424" i="19"/>
  <c r="B1425" i="19"/>
  <c r="B1426" i="19"/>
  <c r="B1427" i="19"/>
  <c r="B1428" i="19"/>
  <c r="B1429" i="19"/>
  <c r="B1430" i="19"/>
  <c r="B1431" i="19"/>
  <c r="B1432" i="19"/>
  <c r="B1433" i="19"/>
  <c r="B1434" i="19"/>
  <c r="B1435" i="19"/>
  <c r="B1436" i="19"/>
  <c r="B1437" i="19"/>
  <c r="B1438" i="19"/>
  <c r="B1439" i="19"/>
  <c r="B1440" i="19"/>
  <c r="B1441" i="19"/>
  <c r="B1442" i="19"/>
  <c r="B1443" i="19"/>
  <c r="B1444" i="19"/>
  <c r="B1445" i="19"/>
  <c r="B1446" i="19"/>
  <c r="B1447" i="19"/>
  <c r="B1448" i="19"/>
  <c r="B1449" i="19"/>
  <c r="B1450" i="19"/>
  <c r="B1451" i="19"/>
  <c r="B1452" i="19"/>
  <c r="B1453" i="19"/>
  <c r="B1454" i="19"/>
  <c r="B1455" i="19"/>
  <c r="B1456" i="19"/>
  <c r="B1457" i="19"/>
  <c r="B1458" i="19"/>
  <c r="B1459" i="19"/>
  <c r="B1460" i="19"/>
  <c r="B1461" i="19"/>
  <c r="B1462" i="19"/>
  <c r="B1463" i="19"/>
  <c r="B1464" i="19"/>
  <c r="B1465" i="19"/>
  <c r="B1466" i="19"/>
  <c r="B1467" i="19"/>
  <c r="B1468" i="19"/>
  <c r="B1469" i="19"/>
  <c r="B1470" i="19"/>
  <c r="B1471" i="19"/>
  <c r="B1472" i="19"/>
  <c r="B1473" i="19"/>
  <c r="B1474" i="19"/>
  <c r="B1475" i="19"/>
  <c r="B1476" i="19"/>
  <c r="B1477" i="19"/>
  <c r="B1478" i="19"/>
  <c r="B1479" i="19"/>
  <c r="B1480" i="19"/>
  <c r="B1481" i="19"/>
  <c r="B1482" i="19"/>
  <c r="B1483" i="19"/>
  <c r="B1484" i="19"/>
  <c r="B1485" i="19"/>
  <c r="B1486" i="19"/>
  <c r="B1487" i="19"/>
  <c r="B1488" i="19"/>
  <c r="B1489" i="19"/>
  <c r="B1490" i="19"/>
  <c r="B1491" i="19"/>
  <c r="B1492" i="19"/>
  <c r="B1493" i="19"/>
  <c r="B1494" i="19"/>
  <c r="B1495" i="19"/>
  <c r="B1496" i="19"/>
  <c r="B1497" i="19"/>
  <c r="B1498" i="19"/>
  <c r="B1499" i="19"/>
  <c r="B1500" i="19"/>
  <c r="B1501" i="19"/>
  <c r="B1502" i="19"/>
  <c r="B1503" i="19"/>
  <c r="B1504" i="19"/>
  <c r="B1505" i="19"/>
  <c r="B1506" i="19"/>
  <c r="B1507" i="19"/>
  <c r="B1508" i="19"/>
  <c r="B1509" i="19"/>
  <c r="B1510" i="19"/>
  <c r="B1511" i="19"/>
  <c r="B1512" i="19"/>
  <c r="B1513" i="19"/>
  <c r="B1514" i="19"/>
  <c r="B1515" i="19"/>
  <c r="B1516" i="19"/>
  <c r="B1517" i="19"/>
  <c r="B1518" i="19"/>
  <c r="B1519" i="19"/>
  <c r="B1520" i="19"/>
  <c r="B1521" i="19"/>
  <c r="B1522" i="19"/>
  <c r="B1523" i="19"/>
  <c r="B1524" i="19"/>
  <c r="B1525" i="19"/>
  <c r="B1526" i="19"/>
  <c r="B1527" i="19"/>
  <c r="B1528" i="19"/>
  <c r="B1529" i="19"/>
  <c r="B1530" i="19"/>
  <c r="B1531" i="19"/>
  <c r="B1532" i="19"/>
  <c r="B1533" i="19"/>
  <c r="B1534" i="19"/>
  <c r="B1535" i="19"/>
  <c r="B1536" i="19"/>
  <c r="B1537" i="19"/>
  <c r="B1538" i="19"/>
  <c r="B1539" i="19"/>
  <c r="B1540" i="19"/>
  <c r="B1541" i="19"/>
  <c r="B1542" i="19"/>
  <c r="B1543" i="19"/>
  <c r="B1544" i="19"/>
  <c r="B1545" i="19"/>
  <c r="B1546" i="19"/>
  <c r="B1547" i="19"/>
  <c r="B1548" i="19"/>
  <c r="B1549" i="19"/>
  <c r="B1550" i="19"/>
  <c r="B1551" i="19"/>
  <c r="B1552" i="19"/>
  <c r="B1553" i="19"/>
  <c r="B1554" i="19"/>
  <c r="B1555" i="19"/>
  <c r="B1556" i="19"/>
  <c r="B1557" i="19"/>
  <c r="B1558" i="19"/>
  <c r="B1559" i="19"/>
  <c r="B1560" i="19"/>
  <c r="B1561" i="19"/>
  <c r="B1562" i="19"/>
  <c r="B1563" i="19"/>
  <c r="B1564" i="19"/>
  <c r="B1565" i="19"/>
  <c r="B1566" i="19"/>
  <c r="B1567" i="19"/>
  <c r="B1568" i="19"/>
  <c r="B1569" i="19"/>
  <c r="B1570" i="19"/>
  <c r="B1571" i="19"/>
  <c r="B1572" i="19"/>
  <c r="B1573" i="19"/>
  <c r="B1574" i="19"/>
  <c r="B1575" i="19"/>
  <c r="B1576" i="19"/>
  <c r="B1577" i="19"/>
  <c r="B1578" i="19"/>
  <c r="B1579" i="19"/>
  <c r="B1580" i="19"/>
  <c r="B1581" i="19"/>
  <c r="B1582" i="19"/>
  <c r="B1583" i="19"/>
  <c r="B1584" i="19"/>
  <c r="B1585" i="19"/>
  <c r="B1586" i="19"/>
  <c r="B1587" i="19"/>
  <c r="B1588" i="19"/>
  <c r="B1589" i="19"/>
  <c r="B1590" i="19"/>
  <c r="B1591" i="19"/>
  <c r="B1592" i="19"/>
  <c r="B1593" i="19"/>
  <c r="B1594" i="19"/>
  <c r="B1595" i="19"/>
  <c r="B1596" i="19"/>
  <c r="B1597" i="19"/>
  <c r="B1598" i="19"/>
  <c r="B1599" i="19"/>
  <c r="B1600" i="19"/>
  <c r="B1601" i="19"/>
  <c r="B1602" i="19"/>
  <c r="B1603" i="19"/>
  <c r="B1604" i="19"/>
  <c r="B1605" i="19"/>
  <c r="B1606" i="19"/>
  <c r="B1607" i="19"/>
  <c r="B1608" i="19"/>
  <c r="B1609" i="19"/>
  <c r="B1610" i="19"/>
  <c r="B1611" i="19"/>
  <c r="B1612" i="19"/>
  <c r="B1613" i="19"/>
  <c r="B1614" i="19"/>
  <c r="B1615" i="19"/>
  <c r="B1616" i="19"/>
  <c r="B1617" i="19"/>
  <c r="B1618" i="19"/>
  <c r="B1619" i="19"/>
  <c r="B1620" i="19"/>
  <c r="B1621" i="19"/>
  <c r="B1622" i="19"/>
  <c r="B1623" i="19"/>
  <c r="B1624" i="19"/>
  <c r="B1625" i="19"/>
  <c r="B1626" i="19"/>
  <c r="B1627" i="19"/>
  <c r="B1628" i="19"/>
  <c r="B1629" i="19"/>
  <c r="B1630" i="19"/>
  <c r="B1631" i="19"/>
  <c r="B1632" i="19"/>
  <c r="B1633" i="19"/>
  <c r="B1634" i="19"/>
  <c r="B1635" i="19"/>
  <c r="B1636" i="19"/>
  <c r="B1637" i="19"/>
  <c r="B1638" i="19"/>
  <c r="B1639" i="19"/>
  <c r="B1640" i="19"/>
  <c r="B1641" i="19"/>
  <c r="B1642" i="19"/>
  <c r="B1643" i="19"/>
  <c r="B1644" i="19"/>
  <c r="B1645" i="19"/>
  <c r="B1646" i="19"/>
  <c r="B1647" i="19"/>
  <c r="B1648" i="19"/>
  <c r="B1649" i="19"/>
  <c r="B1650" i="19"/>
  <c r="B1651" i="19"/>
  <c r="B1652" i="19"/>
  <c r="B1653" i="19"/>
  <c r="B1654" i="19"/>
  <c r="B1655" i="19"/>
  <c r="B1656" i="19"/>
  <c r="B1657" i="19"/>
  <c r="B1658" i="19"/>
  <c r="B1659" i="19"/>
  <c r="B1660" i="19"/>
  <c r="B1661" i="19"/>
  <c r="B1662" i="19"/>
  <c r="B1663" i="19"/>
  <c r="B1664" i="19"/>
  <c r="B1665" i="19"/>
  <c r="B1666" i="19"/>
  <c r="B1667" i="19"/>
  <c r="B1668" i="19"/>
  <c r="B1669" i="19"/>
  <c r="B1670" i="19"/>
  <c r="B1671" i="19"/>
  <c r="B1672" i="19"/>
  <c r="B1673" i="19"/>
  <c r="B1674" i="19"/>
  <c r="B1675" i="19"/>
  <c r="B1676" i="19"/>
  <c r="B1677" i="19"/>
  <c r="B1678" i="19"/>
  <c r="B1679" i="19"/>
  <c r="B1680" i="19"/>
  <c r="B1681" i="19"/>
  <c r="B1682" i="19"/>
  <c r="B1683" i="19"/>
  <c r="B1684" i="19"/>
  <c r="B1685" i="19"/>
  <c r="B1686" i="19"/>
  <c r="B1687" i="19"/>
  <c r="B1688" i="19"/>
  <c r="B1689" i="19"/>
  <c r="B1690" i="19"/>
  <c r="B1691" i="19"/>
  <c r="B1692" i="19"/>
  <c r="B1693" i="19"/>
  <c r="B1694" i="19"/>
  <c r="B1695" i="19"/>
  <c r="B1696" i="19"/>
  <c r="B1697" i="19"/>
  <c r="B1698" i="19"/>
  <c r="B1699" i="19"/>
  <c r="B1700" i="19"/>
  <c r="B1701" i="19"/>
  <c r="B1702" i="19"/>
  <c r="B1703" i="19"/>
  <c r="B1704" i="19"/>
  <c r="B1705" i="19"/>
  <c r="B1706" i="19"/>
  <c r="B1707" i="19"/>
  <c r="B1708" i="19"/>
  <c r="B1709" i="19"/>
  <c r="B1710" i="19"/>
  <c r="B1711" i="19"/>
  <c r="B1712" i="19"/>
  <c r="B1713" i="19"/>
  <c r="B1714" i="19"/>
  <c r="B1715" i="19"/>
  <c r="B1716" i="19"/>
  <c r="B1717" i="19"/>
  <c r="B1718" i="19"/>
  <c r="B1719" i="19"/>
  <c r="B1720" i="19"/>
  <c r="B1721" i="19"/>
  <c r="B1722" i="19"/>
  <c r="B1723" i="19"/>
  <c r="B1724" i="19"/>
  <c r="B1725" i="19"/>
  <c r="B1726" i="19"/>
  <c r="B1727" i="19"/>
  <c r="B1728" i="19"/>
  <c r="B1729" i="19"/>
  <c r="B1730" i="19"/>
  <c r="B1731" i="19"/>
  <c r="B1732" i="19"/>
  <c r="B1733" i="19"/>
  <c r="B1734" i="19"/>
  <c r="B1735" i="19"/>
  <c r="B1736" i="19"/>
  <c r="B1737" i="19"/>
  <c r="B1738" i="19"/>
  <c r="B1739" i="19"/>
  <c r="B1740" i="19"/>
  <c r="B1741" i="19"/>
  <c r="B1742" i="19"/>
  <c r="B1743" i="19"/>
  <c r="B1744" i="19"/>
  <c r="B1745" i="19"/>
  <c r="B1746" i="19"/>
  <c r="B1747" i="19"/>
  <c r="B1748" i="19"/>
  <c r="B1749" i="19"/>
  <c r="B1750" i="19"/>
  <c r="B1751" i="19"/>
  <c r="B1752" i="19"/>
  <c r="B1753" i="19"/>
  <c r="B1754" i="19"/>
  <c r="B1755" i="19"/>
  <c r="B1756" i="19"/>
  <c r="B1757" i="19"/>
  <c r="B1758" i="19"/>
  <c r="B1759" i="19"/>
  <c r="B1760" i="19"/>
  <c r="B1761" i="19"/>
  <c r="B1762" i="19"/>
  <c r="B1763" i="19"/>
  <c r="B1764" i="19"/>
  <c r="B1765" i="19"/>
  <c r="B1766" i="19"/>
  <c r="B1767" i="19"/>
  <c r="B1768" i="19"/>
  <c r="B1769" i="19"/>
  <c r="B1770" i="19"/>
  <c r="B1771" i="19"/>
  <c r="B1772" i="19"/>
  <c r="B1773" i="19"/>
  <c r="B1774" i="19"/>
  <c r="B1775" i="19"/>
  <c r="B1776" i="19"/>
  <c r="B1777" i="19"/>
  <c r="B1778" i="19"/>
  <c r="B1779" i="19"/>
  <c r="B1780" i="19"/>
  <c r="B1781" i="19"/>
  <c r="B1782" i="19"/>
  <c r="B1783" i="19"/>
  <c r="B1784" i="19"/>
  <c r="B1785" i="19"/>
  <c r="B1786" i="19"/>
  <c r="B1787" i="19"/>
  <c r="B1788" i="19"/>
  <c r="B1789" i="19"/>
  <c r="B1790" i="19"/>
  <c r="B1791" i="19"/>
  <c r="B1792" i="19"/>
  <c r="B1793" i="19"/>
  <c r="B1794" i="19"/>
  <c r="B1795" i="19"/>
  <c r="B1796" i="19"/>
  <c r="B1797" i="19"/>
  <c r="B1798" i="19"/>
  <c r="B1799" i="19"/>
  <c r="B1800" i="19"/>
  <c r="B1801" i="19"/>
  <c r="B1802" i="19"/>
  <c r="B1803" i="19"/>
  <c r="B1804" i="19"/>
  <c r="B1805" i="19"/>
  <c r="B1806" i="19"/>
  <c r="B1807" i="19"/>
  <c r="B1808" i="19"/>
  <c r="B1809" i="19"/>
  <c r="B1810" i="19"/>
  <c r="B1811" i="19"/>
  <c r="B1812" i="19"/>
  <c r="B1813" i="19"/>
  <c r="B1814" i="19"/>
  <c r="B1815" i="19"/>
  <c r="B1816" i="19"/>
  <c r="B1817" i="19"/>
  <c r="B1818" i="19"/>
  <c r="B1819" i="19"/>
  <c r="B1820" i="19"/>
  <c r="B1821" i="19"/>
  <c r="B1822" i="19"/>
  <c r="B1823" i="19"/>
  <c r="B1824" i="19"/>
  <c r="B1825" i="19"/>
  <c r="B1826" i="19"/>
  <c r="B1827" i="19"/>
  <c r="B1828" i="19"/>
  <c r="B1829" i="19"/>
  <c r="B1830" i="19"/>
  <c r="B1831" i="19"/>
  <c r="B1832" i="19"/>
  <c r="B1833" i="19"/>
  <c r="B1834" i="19"/>
  <c r="B1835" i="19"/>
  <c r="B1836" i="19"/>
  <c r="B1837" i="19"/>
  <c r="B1838" i="19"/>
  <c r="B1839" i="19"/>
  <c r="B1840" i="19"/>
  <c r="B1841" i="19"/>
  <c r="B1842" i="19"/>
  <c r="B1843" i="19"/>
  <c r="B1844" i="19"/>
  <c r="B1845" i="19"/>
  <c r="B1846" i="19"/>
  <c r="B1847" i="19"/>
  <c r="B1848" i="19"/>
  <c r="B1849" i="19"/>
  <c r="B1850" i="19"/>
  <c r="B1851" i="19"/>
  <c r="B1852" i="19"/>
  <c r="B1853" i="19"/>
  <c r="B1854" i="19"/>
  <c r="B1855" i="19"/>
  <c r="B1856" i="19"/>
  <c r="B1857" i="19"/>
  <c r="B1858" i="19"/>
  <c r="B1859" i="19"/>
  <c r="B1860" i="19"/>
  <c r="B1861" i="19"/>
  <c r="B1862" i="19"/>
  <c r="B1863" i="19"/>
  <c r="B1864" i="19"/>
  <c r="B1865" i="19"/>
  <c r="B1866" i="19"/>
  <c r="B1867" i="19"/>
  <c r="B1868" i="19"/>
  <c r="B1869" i="19"/>
  <c r="B1870" i="19"/>
  <c r="B1871" i="19"/>
  <c r="B1872" i="19"/>
  <c r="B1873" i="19"/>
  <c r="B1874" i="19"/>
  <c r="B1875" i="19"/>
  <c r="B1876" i="19"/>
  <c r="B1877" i="19"/>
  <c r="B1878" i="19"/>
  <c r="B1879" i="19"/>
  <c r="B1880" i="19"/>
  <c r="B1881" i="19"/>
  <c r="B1882" i="19"/>
  <c r="B1883" i="19"/>
  <c r="B1884" i="19"/>
  <c r="B1885" i="19"/>
  <c r="B1886" i="19"/>
  <c r="B1887" i="19"/>
  <c r="B1888" i="19"/>
  <c r="B1889" i="19"/>
  <c r="B1890" i="19"/>
  <c r="B1891" i="19"/>
  <c r="B1892" i="19"/>
  <c r="B1893" i="19"/>
  <c r="B1894" i="19"/>
  <c r="B1895" i="19"/>
  <c r="B1896" i="19"/>
  <c r="B1897" i="19"/>
  <c r="B1898" i="19"/>
  <c r="B1899" i="19"/>
  <c r="B1900" i="19"/>
  <c r="B1901" i="19"/>
  <c r="B1902" i="19"/>
  <c r="B1903" i="19"/>
  <c r="B1904" i="19"/>
  <c r="B1905" i="19"/>
  <c r="B1906" i="19"/>
  <c r="B1907" i="19"/>
  <c r="B1908" i="19"/>
  <c r="B1909" i="19"/>
  <c r="B1910" i="19"/>
  <c r="B1911" i="19"/>
  <c r="B1912" i="19"/>
  <c r="B1913" i="19"/>
  <c r="B1914" i="19"/>
  <c r="B1915" i="19"/>
  <c r="B1916" i="19"/>
  <c r="B1917" i="19"/>
  <c r="B1918" i="19"/>
  <c r="B1919" i="19"/>
  <c r="B1920" i="19"/>
  <c r="B1921" i="19"/>
  <c r="B1922" i="19"/>
  <c r="B1923" i="19"/>
  <c r="B1924" i="19"/>
  <c r="B1925" i="19"/>
  <c r="B1926" i="19"/>
  <c r="B1927" i="19"/>
  <c r="B1928" i="19"/>
  <c r="B1929" i="19"/>
  <c r="B1930" i="19"/>
  <c r="B1931" i="19"/>
  <c r="B1932" i="19"/>
  <c r="B1933" i="19"/>
  <c r="B1934" i="19"/>
  <c r="B1935" i="19"/>
  <c r="B1936" i="19"/>
  <c r="B1937" i="19"/>
  <c r="B1938" i="19"/>
  <c r="B1939" i="19"/>
  <c r="B1940" i="19"/>
  <c r="B1941" i="19"/>
  <c r="B1942" i="19"/>
  <c r="B1943" i="19"/>
  <c r="B1944" i="19"/>
  <c r="B1945" i="19"/>
  <c r="B1946" i="19"/>
  <c r="B1947" i="19"/>
  <c r="B1948" i="19"/>
  <c r="B1949" i="19"/>
  <c r="B1950" i="19"/>
  <c r="B1951" i="19"/>
  <c r="B1952" i="19"/>
  <c r="B1953" i="19"/>
  <c r="B1954" i="19"/>
  <c r="B1955" i="19"/>
  <c r="B1956" i="19"/>
  <c r="B1957" i="19"/>
  <c r="B1958" i="19"/>
  <c r="B1959" i="19"/>
  <c r="B1960" i="19"/>
  <c r="B1961" i="19"/>
  <c r="B1962" i="19"/>
  <c r="B1963" i="19"/>
  <c r="B1964" i="19"/>
  <c r="B1965" i="19"/>
  <c r="B1966" i="19"/>
  <c r="B1967" i="19"/>
  <c r="B1968" i="19"/>
  <c r="B1969" i="19"/>
  <c r="B1970" i="19"/>
  <c r="B1971" i="19"/>
  <c r="B1972" i="19"/>
  <c r="B1973" i="19"/>
  <c r="B1974" i="19"/>
  <c r="B1975" i="19"/>
  <c r="B1976" i="19"/>
  <c r="B1977" i="19"/>
  <c r="B1978" i="19"/>
  <c r="B1979" i="19"/>
  <c r="B1980" i="19"/>
  <c r="B1981" i="19"/>
  <c r="B1982" i="19"/>
  <c r="B1983" i="19"/>
  <c r="B1984" i="19"/>
  <c r="B1985" i="19"/>
  <c r="B1986" i="19"/>
  <c r="B1987" i="19"/>
  <c r="B1988" i="19"/>
  <c r="B1989" i="19"/>
  <c r="B1990" i="19"/>
  <c r="B1991" i="19"/>
  <c r="B1992" i="19"/>
  <c r="B1993" i="19"/>
  <c r="B1994" i="19"/>
  <c r="B1995" i="19"/>
  <c r="B1996" i="19"/>
  <c r="B1997" i="19"/>
  <c r="B1998" i="19"/>
  <c r="B1999" i="19"/>
  <c r="B2000" i="19"/>
  <c r="B2001" i="19"/>
  <c r="B2002" i="19"/>
  <c r="B2003" i="19"/>
  <c r="B2004" i="19"/>
  <c r="B2005" i="19"/>
  <c r="B2006" i="19"/>
  <c r="B2007" i="19"/>
  <c r="B2008" i="19"/>
  <c r="B2009" i="19"/>
  <c r="B2010" i="19"/>
  <c r="B2011" i="19"/>
  <c r="B2012" i="19"/>
  <c r="B2013" i="19"/>
  <c r="B2014" i="19"/>
  <c r="B2015" i="19"/>
  <c r="B2016" i="19"/>
  <c r="B2017" i="19"/>
  <c r="B2018" i="19"/>
  <c r="B2019" i="19"/>
  <c r="B2020" i="19"/>
  <c r="B2021" i="19"/>
  <c r="B2022" i="19"/>
  <c r="B2023" i="19"/>
  <c r="B2024" i="19"/>
  <c r="B2025" i="19"/>
  <c r="B2026" i="19"/>
  <c r="B2027" i="19"/>
  <c r="B2028" i="19"/>
  <c r="B2029" i="19"/>
  <c r="B2030" i="19"/>
  <c r="B2031" i="19"/>
  <c r="B2032" i="19"/>
  <c r="B2033" i="19"/>
  <c r="B2034" i="19"/>
  <c r="B2035" i="19"/>
  <c r="B2036" i="19"/>
  <c r="B2037" i="19"/>
  <c r="B2038" i="19"/>
  <c r="B2039" i="19"/>
  <c r="B2040" i="19"/>
  <c r="B2041" i="19"/>
  <c r="B2042" i="19"/>
  <c r="B2043" i="19"/>
  <c r="B2044" i="19"/>
  <c r="B2045" i="19"/>
  <c r="B2046" i="19"/>
  <c r="B2047" i="19"/>
  <c r="B2048" i="19"/>
  <c r="B2049" i="19"/>
  <c r="B2050" i="19"/>
  <c r="B2051" i="19"/>
  <c r="B2052" i="19"/>
  <c r="B2053" i="19"/>
  <c r="B2054" i="19"/>
  <c r="B2055" i="19"/>
  <c r="B2056" i="19"/>
  <c r="B2057" i="19"/>
  <c r="B2058" i="19"/>
  <c r="B2059" i="19"/>
  <c r="B2060" i="19"/>
  <c r="B2061" i="19"/>
  <c r="B2062" i="19"/>
  <c r="B2063" i="19"/>
  <c r="B2064" i="19"/>
  <c r="B2065" i="19"/>
  <c r="B2066" i="19"/>
  <c r="B2067" i="19"/>
  <c r="B2068" i="19"/>
  <c r="B2069" i="19"/>
  <c r="B2070" i="19"/>
  <c r="B2071" i="19"/>
  <c r="B2072" i="19"/>
  <c r="B2073" i="19"/>
  <c r="B2074" i="19"/>
  <c r="B2075" i="19"/>
  <c r="B2076" i="19"/>
  <c r="B2077" i="19"/>
  <c r="B2078" i="19"/>
  <c r="B2079" i="19"/>
  <c r="B2080" i="19"/>
  <c r="B2081" i="19"/>
  <c r="B2082" i="19"/>
  <c r="B2083" i="19"/>
  <c r="B2084" i="19"/>
  <c r="B2085" i="19"/>
  <c r="B2086" i="19"/>
  <c r="B2087" i="19"/>
  <c r="B2088" i="19"/>
  <c r="B2089" i="19"/>
  <c r="B2090" i="19"/>
  <c r="B2091" i="19"/>
  <c r="B2092" i="19"/>
  <c r="B2093" i="19"/>
  <c r="B2094" i="19"/>
  <c r="B2095" i="19"/>
  <c r="B2096" i="19"/>
  <c r="B2097" i="19"/>
  <c r="B2098" i="19"/>
  <c r="B2099" i="19"/>
  <c r="B2100" i="19"/>
  <c r="B2101" i="19"/>
  <c r="B2102" i="19"/>
  <c r="B2103" i="19"/>
  <c r="B2104" i="19"/>
  <c r="B2105" i="19"/>
  <c r="B2106" i="19"/>
  <c r="B2107" i="19"/>
  <c r="B2108" i="19"/>
  <c r="B2109" i="19"/>
  <c r="B2110" i="19"/>
  <c r="B2111" i="19"/>
  <c r="B2112" i="19"/>
  <c r="B2113" i="19"/>
  <c r="B2114" i="19"/>
  <c r="B2115" i="19"/>
  <c r="B2116" i="19"/>
  <c r="B2117" i="19"/>
  <c r="B2118" i="19"/>
  <c r="B2119" i="19"/>
  <c r="B2120" i="19"/>
  <c r="B2121" i="19"/>
  <c r="B2122" i="19"/>
  <c r="B2123" i="19"/>
  <c r="B2124" i="19"/>
  <c r="B2125" i="19"/>
  <c r="B2126" i="19"/>
  <c r="B2127" i="19"/>
  <c r="B2128" i="19"/>
  <c r="B2129" i="19"/>
  <c r="B2130" i="19"/>
  <c r="B2131" i="19"/>
  <c r="B2132" i="19"/>
  <c r="B2133" i="19"/>
  <c r="B2134" i="19"/>
  <c r="B2135" i="19"/>
  <c r="B2136" i="19"/>
  <c r="B2137" i="19"/>
  <c r="B2138" i="19"/>
  <c r="B2139" i="19"/>
  <c r="B2140" i="19"/>
  <c r="B2141" i="19"/>
  <c r="B2142" i="19"/>
  <c r="B2143" i="19"/>
  <c r="B2144" i="19"/>
  <c r="B2145" i="19"/>
  <c r="B2146" i="19"/>
  <c r="B2147" i="19"/>
  <c r="B2148" i="19"/>
  <c r="B2149" i="19"/>
  <c r="B2150" i="19"/>
  <c r="B2151" i="19"/>
  <c r="B2152" i="19"/>
  <c r="B2153" i="19"/>
  <c r="B2154" i="19"/>
  <c r="B2155" i="19"/>
  <c r="B2156" i="19"/>
  <c r="B2157" i="19"/>
  <c r="B2158" i="19"/>
  <c r="B2159" i="19"/>
  <c r="B2160" i="19"/>
  <c r="B2161" i="19"/>
  <c r="B2162" i="19"/>
  <c r="B2163" i="19"/>
  <c r="B2164" i="19"/>
  <c r="B2165" i="19"/>
  <c r="B2166" i="19"/>
  <c r="B2167" i="19"/>
  <c r="B2168" i="19"/>
  <c r="B2169" i="19"/>
  <c r="B2170" i="19"/>
  <c r="B2171" i="19"/>
  <c r="B2172" i="19"/>
  <c r="B2173" i="19"/>
  <c r="B2174" i="19"/>
  <c r="B2175" i="19"/>
  <c r="B2176" i="19"/>
  <c r="B2177" i="19"/>
  <c r="B2178" i="19"/>
  <c r="B2179" i="19"/>
  <c r="B2180" i="19"/>
  <c r="B2181" i="19"/>
  <c r="B2182" i="19"/>
  <c r="B2183" i="19"/>
  <c r="B2184" i="19"/>
  <c r="B2185" i="19"/>
  <c r="B2186" i="19"/>
  <c r="B2187" i="19"/>
  <c r="B2188" i="19"/>
  <c r="B2189" i="19"/>
  <c r="B2190" i="19"/>
  <c r="B2191" i="19"/>
  <c r="B2192" i="19"/>
  <c r="B2193" i="19"/>
  <c r="B2194" i="19"/>
  <c r="B2195" i="19"/>
  <c r="B2196" i="19"/>
  <c r="B2197" i="19"/>
  <c r="B2198" i="19"/>
  <c r="B2199" i="19"/>
  <c r="B2200" i="19"/>
  <c r="B2201" i="19"/>
  <c r="B2202" i="19"/>
  <c r="B2203" i="19"/>
  <c r="B2204" i="19"/>
  <c r="B2205" i="19"/>
  <c r="B2206" i="19"/>
  <c r="B2207" i="19"/>
  <c r="B2208" i="19"/>
  <c r="B2209" i="19"/>
  <c r="B2210" i="19"/>
  <c r="B2211" i="19"/>
  <c r="B2212" i="19"/>
  <c r="B2213" i="19"/>
  <c r="B2214" i="19"/>
  <c r="B2215" i="19"/>
  <c r="B2216" i="19"/>
  <c r="B2217" i="19"/>
  <c r="B2218" i="19"/>
  <c r="B2219" i="19"/>
  <c r="B2220" i="19"/>
  <c r="B2221" i="19"/>
  <c r="B2222" i="19"/>
  <c r="B2223" i="19"/>
  <c r="B2224" i="19"/>
  <c r="B2225" i="19"/>
  <c r="B2226" i="19"/>
  <c r="B2227" i="19"/>
  <c r="B2228" i="19"/>
  <c r="B2229" i="19"/>
  <c r="B2230" i="19"/>
  <c r="B2231" i="19"/>
  <c r="B2232" i="19"/>
  <c r="B2233" i="19"/>
  <c r="B2234" i="19"/>
  <c r="B2235" i="19"/>
  <c r="B2236" i="19"/>
  <c r="B2237" i="19"/>
  <c r="B2238" i="19"/>
  <c r="B2239" i="19"/>
  <c r="B2240" i="19"/>
  <c r="B2241" i="19"/>
  <c r="B2242" i="19"/>
  <c r="B2243" i="19"/>
  <c r="B2244" i="19"/>
  <c r="B2245" i="19"/>
  <c r="B2246" i="19"/>
  <c r="B2247" i="19"/>
  <c r="B2248" i="19"/>
  <c r="B2249" i="19"/>
  <c r="B2250" i="19"/>
  <c r="B2251" i="19"/>
  <c r="B2252" i="19"/>
  <c r="B2253" i="19"/>
  <c r="B2254" i="19"/>
  <c r="B2255" i="19"/>
  <c r="B2256" i="19"/>
  <c r="B2257" i="19"/>
  <c r="B2258" i="19"/>
  <c r="B2259" i="19"/>
  <c r="B2260" i="19"/>
  <c r="B2261" i="19"/>
  <c r="B2262" i="19"/>
  <c r="B2263" i="19"/>
  <c r="B2264" i="19"/>
  <c r="B2265" i="19"/>
  <c r="B2266" i="19"/>
  <c r="B2267" i="19"/>
  <c r="B2268" i="19"/>
  <c r="B2269" i="19"/>
  <c r="B2270" i="19"/>
  <c r="B2271" i="19"/>
  <c r="B2272" i="19"/>
  <c r="B2273" i="19"/>
  <c r="B2274" i="19"/>
  <c r="B2275" i="19"/>
  <c r="B2276" i="19"/>
  <c r="B2277" i="19"/>
  <c r="B2278" i="19"/>
  <c r="B2279" i="19"/>
  <c r="B2280" i="19"/>
  <c r="B2281" i="19"/>
  <c r="B2282" i="19"/>
  <c r="B2283" i="19"/>
  <c r="B2284" i="19"/>
  <c r="B2285" i="19"/>
  <c r="B2286" i="19"/>
  <c r="B2287" i="19"/>
  <c r="B2288" i="19"/>
  <c r="B2289" i="19"/>
  <c r="B2290" i="19"/>
  <c r="B2291" i="19"/>
  <c r="B2292" i="19"/>
  <c r="B2293" i="19"/>
  <c r="B2294" i="19"/>
  <c r="B2295" i="19"/>
  <c r="B2296" i="19"/>
  <c r="B2297" i="19"/>
  <c r="B2298" i="19"/>
  <c r="B2299" i="19"/>
  <c r="B2300" i="19"/>
  <c r="B2301" i="19"/>
  <c r="B2302" i="19"/>
  <c r="B2303" i="19"/>
  <c r="B2304" i="19"/>
  <c r="B2305" i="19"/>
  <c r="B2306" i="19"/>
  <c r="B2307" i="19"/>
  <c r="B2308" i="19"/>
  <c r="B2309" i="19"/>
  <c r="B2310" i="19"/>
  <c r="B2311" i="19"/>
  <c r="B2312" i="19"/>
  <c r="B2313" i="19"/>
  <c r="B2314" i="19"/>
  <c r="B2315" i="19"/>
  <c r="B2316" i="19"/>
  <c r="B2317" i="19"/>
  <c r="B2318" i="19"/>
  <c r="B2319" i="19"/>
  <c r="B2320" i="19"/>
  <c r="B2321" i="19"/>
  <c r="B2322" i="19"/>
  <c r="B2323" i="19"/>
  <c r="B2324" i="19"/>
  <c r="B2325" i="19"/>
  <c r="B2326" i="19"/>
  <c r="B2327" i="19"/>
  <c r="B2328" i="19"/>
  <c r="B2329" i="19"/>
  <c r="B2330" i="19"/>
  <c r="B2331" i="19"/>
  <c r="B2332" i="19"/>
  <c r="B2333" i="19"/>
  <c r="B2334" i="19"/>
  <c r="B2335" i="19"/>
  <c r="B2336" i="19"/>
  <c r="B2337" i="19"/>
  <c r="B2338" i="19"/>
  <c r="B2339" i="19"/>
  <c r="B2340" i="19"/>
  <c r="B2341" i="19"/>
  <c r="B2342" i="19"/>
  <c r="B2343" i="19"/>
  <c r="B2344" i="19"/>
  <c r="B2345" i="19"/>
  <c r="B2346" i="19"/>
  <c r="B2347" i="19"/>
  <c r="B2348" i="19"/>
  <c r="B2349" i="19"/>
  <c r="B2350" i="19"/>
  <c r="B2351" i="19"/>
  <c r="B2352" i="19"/>
  <c r="B2353" i="19"/>
  <c r="B2354" i="19"/>
  <c r="B2355" i="19"/>
  <c r="B2356" i="19"/>
  <c r="B2357" i="19"/>
  <c r="B2358" i="19"/>
  <c r="B2359" i="19"/>
  <c r="B2360" i="19"/>
  <c r="B2361" i="19"/>
  <c r="B2362" i="19"/>
  <c r="B2363" i="19"/>
  <c r="B2364" i="19"/>
  <c r="B2365" i="19"/>
  <c r="B2366" i="19"/>
  <c r="B2367" i="19"/>
  <c r="B2368" i="19"/>
  <c r="B2369" i="19"/>
  <c r="B2370" i="19"/>
  <c r="B2371" i="19"/>
  <c r="B2372" i="19"/>
  <c r="B2373" i="19"/>
  <c r="B2374" i="19"/>
  <c r="B2375" i="19"/>
  <c r="B2376" i="19"/>
  <c r="B2377" i="19"/>
  <c r="B2378" i="19"/>
  <c r="B2379" i="19"/>
  <c r="B2380" i="19"/>
  <c r="B2381" i="19"/>
  <c r="B2382" i="19"/>
  <c r="B2383" i="19"/>
  <c r="B2384" i="19"/>
  <c r="B2385" i="19"/>
  <c r="B2386" i="19"/>
  <c r="B2387" i="19"/>
  <c r="B2388" i="19"/>
  <c r="B2389" i="19"/>
  <c r="B2390" i="19"/>
  <c r="B2391" i="19"/>
  <c r="B2392" i="19"/>
  <c r="B2393" i="19"/>
  <c r="B2394" i="19"/>
  <c r="B2395" i="19"/>
  <c r="B2396" i="19"/>
  <c r="B2397" i="19"/>
  <c r="B2398" i="19"/>
  <c r="B2399" i="19"/>
  <c r="B2400" i="19"/>
  <c r="B2401" i="19"/>
  <c r="B2402" i="19"/>
  <c r="B2403" i="19"/>
  <c r="B2404" i="19"/>
  <c r="B2405" i="19"/>
  <c r="B2406" i="19"/>
  <c r="B2407" i="19"/>
  <c r="B2408" i="19"/>
  <c r="B2409" i="19"/>
  <c r="B2410" i="19"/>
  <c r="B2411" i="19"/>
  <c r="B2412" i="19"/>
  <c r="B2413" i="19"/>
  <c r="B2414" i="19"/>
  <c r="B2415" i="19"/>
  <c r="B2416" i="19"/>
  <c r="B2417" i="19"/>
  <c r="B2418" i="19"/>
  <c r="B2419" i="19"/>
  <c r="B2420" i="19"/>
  <c r="B2421" i="19"/>
  <c r="B2422" i="19"/>
  <c r="B2423" i="19"/>
  <c r="B2424" i="19"/>
  <c r="B2425" i="19"/>
  <c r="B2426" i="19"/>
  <c r="B2427" i="19"/>
  <c r="B2428" i="19"/>
  <c r="B2429" i="19"/>
  <c r="B2430" i="19"/>
  <c r="B2431" i="19"/>
  <c r="B2432" i="19"/>
  <c r="B2433" i="19"/>
  <c r="B2434" i="19"/>
  <c r="B2435" i="19"/>
  <c r="B2436" i="19"/>
  <c r="B2437" i="19"/>
  <c r="B2438" i="19"/>
  <c r="B2439" i="19"/>
  <c r="B2440" i="19"/>
  <c r="B2441" i="19"/>
  <c r="B2442" i="19"/>
  <c r="B2443" i="19"/>
  <c r="B2444" i="19"/>
  <c r="B2445" i="19"/>
  <c r="B2446" i="19"/>
  <c r="B2447" i="19"/>
  <c r="B2448" i="19"/>
  <c r="B2449" i="19"/>
  <c r="B2450" i="19"/>
  <c r="B2451" i="19"/>
  <c r="B2452" i="19"/>
  <c r="B2453" i="19"/>
  <c r="B2454" i="19"/>
  <c r="B2455" i="19"/>
  <c r="B2456" i="19"/>
  <c r="B2457" i="19"/>
  <c r="B2458" i="19"/>
  <c r="B2459" i="19"/>
  <c r="B2460" i="19"/>
  <c r="B2461" i="19"/>
  <c r="B2462" i="19"/>
  <c r="B2463" i="19"/>
  <c r="B2464" i="19"/>
  <c r="B2465" i="19"/>
  <c r="B2466" i="19"/>
  <c r="B2467" i="19"/>
  <c r="B2468" i="19"/>
  <c r="B2469" i="19"/>
  <c r="B2470" i="19"/>
  <c r="B2471" i="19"/>
  <c r="B2472" i="19"/>
  <c r="B2473" i="19"/>
  <c r="B2474" i="19"/>
  <c r="B2475" i="19"/>
  <c r="B2476" i="19"/>
  <c r="B2477" i="19"/>
  <c r="B2478" i="19"/>
  <c r="B2479" i="19"/>
  <c r="B2480" i="19"/>
  <c r="B2481" i="19"/>
  <c r="B2482" i="19"/>
  <c r="B2483" i="19"/>
  <c r="B2484" i="19"/>
  <c r="B2485" i="19"/>
  <c r="B2486" i="19"/>
  <c r="B2487" i="19"/>
  <c r="B2488" i="19"/>
  <c r="B2489" i="19"/>
  <c r="B2490" i="19"/>
  <c r="B2491" i="19"/>
  <c r="B2492" i="19"/>
  <c r="B2493" i="19"/>
  <c r="B2494" i="19"/>
  <c r="B2495" i="19"/>
  <c r="B2496" i="19"/>
  <c r="B2497" i="19"/>
  <c r="B2498" i="19"/>
  <c r="B2499" i="19"/>
  <c r="B2500" i="19"/>
  <c r="B2501" i="19"/>
  <c r="B2502" i="19"/>
  <c r="B2503" i="19"/>
  <c r="B2504" i="19"/>
  <c r="B2505" i="19"/>
  <c r="B2506" i="19"/>
  <c r="B2507" i="19"/>
  <c r="B2508" i="19"/>
  <c r="B2509" i="19"/>
  <c r="B2510" i="19"/>
  <c r="B2511" i="19"/>
  <c r="B2512" i="19"/>
  <c r="B2513" i="19"/>
  <c r="B2514" i="19"/>
  <c r="B2515" i="19"/>
  <c r="B2516" i="19"/>
  <c r="B2517" i="19"/>
  <c r="B2518" i="19"/>
  <c r="B2519" i="19"/>
  <c r="B2520" i="19"/>
  <c r="B2521" i="19"/>
  <c r="B2522" i="19"/>
  <c r="B2523" i="19"/>
  <c r="B2524" i="19"/>
  <c r="B2525" i="19"/>
  <c r="B2526" i="19"/>
  <c r="B2527" i="19"/>
  <c r="B2528" i="19"/>
  <c r="B2529" i="19"/>
  <c r="B2530" i="19"/>
  <c r="B2531" i="19"/>
  <c r="B2532" i="19"/>
  <c r="B2533" i="19"/>
  <c r="B2534" i="19"/>
  <c r="B2535" i="19"/>
  <c r="B2536" i="19"/>
  <c r="B2537" i="19"/>
  <c r="B2538" i="19"/>
  <c r="B2539" i="19"/>
  <c r="B2540" i="19"/>
  <c r="B2541" i="19"/>
  <c r="B2542" i="19"/>
  <c r="B2543" i="19"/>
  <c r="B2544" i="19"/>
  <c r="B2545" i="19"/>
  <c r="B2546" i="19"/>
  <c r="B2547" i="19"/>
  <c r="B2548" i="19"/>
  <c r="B2549" i="19"/>
  <c r="B2550" i="19"/>
  <c r="B2551" i="19"/>
  <c r="B2552" i="19"/>
  <c r="B2553" i="19"/>
  <c r="B2554" i="19"/>
  <c r="B2555" i="19"/>
  <c r="B2556" i="19"/>
  <c r="B2557" i="19"/>
  <c r="B2558" i="19"/>
  <c r="B2559" i="19"/>
  <c r="B2560" i="19"/>
  <c r="B2561" i="19"/>
  <c r="B2562" i="19"/>
  <c r="B2563" i="19"/>
  <c r="B2564" i="19"/>
  <c r="B2565" i="19"/>
  <c r="B2566" i="19"/>
  <c r="B2567" i="19"/>
  <c r="B2568" i="19"/>
  <c r="B2569" i="19"/>
  <c r="B2570" i="19"/>
  <c r="B2571" i="19"/>
  <c r="B2572" i="19"/>
  <c r="B2573" i="19"/>
  <c r="B2574" i="19"/>
  <c r="B2575" i="19"/>
  <c r="B2576" i="19"/>
  <c r="B2577" i="19"/>
  <c r="B2578" i="19"/>
  <c r="B2579" i="19"/>
  <c r="B2580" i="19"/>
  <c r="B2581" i="19"/>
  <c r="B2582" i="19"/>
  <c r="B2583" i="19"/>
  <c r="B2584" i="19"/>
  <c r="B2585" i="19"/>
  <c r="B2586" i="19"/>
  <c r="B2587" i="19"/>
  <c r="B2588" i="19"/>
  <c r="B2589" i="19"/>
  <c r="B2590" i="19"/>
  <c r="B2591" i="19"/>
  <c r="B2592" i="19"/>
  <c r="B2593" i="19"/>
  <c r="B2594" i="19"/>
  <c r="B2595" i="19"/>
  <c r="B2596" i="19"/>
  <c r="B2597" i="19"/>
  <c r="B2598" i="19"/>
  <c r="B2599" i="19"/>
  <c r="B2600" i="19"/>
  <c r="B2601" i="19"/>
  <c r="B2602" i="19"/>
  <c r="B2603" i="19"/>
  <c r="B2604" i="19"/>
  <c r="B2605" i="19"/>
  <c r="B2606" i="19"/>
  <c r="B2607" i="19"/>
  <c r="B2608" i="19"/>
  <c r="B2609" i="19"/>
  <c r="B2610" i="19"/>
  <c r="B2611" i="19"/>
  <c r="B2612" i="19"/>
  <c r="B2613" i="19"/>
  <c r="B2614" i="19"/>
  <c r="B2615" i="19"/>
  <c r="B2616" i="19"/>
  <c r="B2617" i="19"/>
  <c r="B2618" i="19"/>
  <c r="B2619" i="19"/>
  <c r="B2620" i="19"/>
  <c r="B2621" i="19"/>
  <c r="B2622" i="19"/>
  <c r="B2623" i="19"/>
  <c r="B2624" i="19"/>
  <c r="B2625" i="19"/>
  <c r="B2626" i="19"/>
  <c r="B2627" i="19"/>
  <c r="B2628" i="19"/>
  <c r="B2629" i="19"/>
  <c r="B2630" i="19"/>
  <c r="B2631" i="19"/>
  <c r="B2632" i="19"/>
  <c r="B2633" i="19"/>
  <c r="B2634" i="19"/>
  <c r="B2635" i="19"/>
  <c r="B2636" i="19"/>
  <c r="B2637" i="19"/>
  <c r="B2638" i="19"/>
  <c r="B2639" i="19"/>
  <c r="B2640" i="19"/>
  <c r="B2641" i="19"/>
  <c r="B2642" i="19"/>
  <c r="B2643" i="19"/>
  <c r="B2644" i="19"/>
  <c r="B2645" i="19"/>
  <c r="B2646" i="19"/>
  <c r="B2647" i="19"/>
  <c r="B2648" i="19"/>
  <c r="B2649" i="19"/>
  <c r="B2650" i="19"/>
  <c r="B2651" i="19"/>
  <c r="B2652" i="19"/>
  <c r="B2653" i="19"/>
  <c r="B2654" i="19"/>
  <c r="B2655" i="19"/>
  <c r="B2656" i="19"/>
  <c r="B2657" i="19"/>
  <c r="B2658" i="19"/>
  <c r="B2659" i="19"/>
  <c r="B2660" i="19"/>
  <c r="B2661" i="19"/>
  <c r="B2662" i="19"/>
  <c r="B2663" i="19"/>
  <c r="B2664" i="19"/>
  <c r="B2665" i="19"/>
  <c r="B2666" i="19"/>
  <c r="B2667" i="19"/>
  <c r="B2668" i="19"/>
  <c r="B2669" i="19"/>
  <c r="B2670" i="19"/>
  <c r="B2671" i="19"/>
  <c r="B2672" i="19"/>
  <c r="B2673" i="19"/>
  <c r="B2674" i="19"/>
  <c r="B2675" i="19"/>
  <c r="B2676" i="19"/>
  <c r="B2677" i="19"/>
  <c r="B2678" i="19"/>
  <c r="B2679" i="19"/>
  <c r="B2680" i="19"/>
  <c r="B2681" i="19"/>
  <c r="B2682" i="19"/>
  <c r="B2683" i="19"/>
  <c r="B2684" i="19"/>
  <c r="B2685" i="19"/>
  <c r="B2686" i="19"/>
  <c r="B2687" i="19"/>
  <c r="B2688" i="19"/>
  <c r="B2689" i="19"/>
  <c r="B2690" i="19"/>
  <c r="B2691" i="19"/>
  <c r="B2692" i="19"/>
  <c r="B2693" i="19"/>
  <c r="B2694" i="19"/>
  <c r="B2695" i="19"/>
  <c r="B2696" i="19"/>
  <c r="B2697" i="19"/>
  <c r="B2698" i="19"/>
  <c r="B2699" i="19"/>
  <c r="B2700" i="19"/>
  <c r="B2701" i="19"/>
  <c r="B2702" i="19"/>
  <c r="B2703" i="19"/>
  <c r="B2704" i="19"/>
  <c r="B2705" i="19"/>
  <c r="B2706" i="19"/>
  <c r="B2707" i="19"/>
  <c r="B2708" i="19"/>
  <c r="B2709" i="19"/>
  <c r="B2710" i="19"/>
  <c r="B2711" i="19"/>
  <c r="B2712" i="19"/>
  <c r="B2713" i="19"/>
  <c r="B2714" i="19"/>
  <c r="B2715" i="19"/>
  <c r="B2716" i="19"/>
  <c r="B2717" i="19"/>
  <c r="B2718" i="19"/>
  <c r="B2719" i="19"/>
  <c r="B2720" i="19"/>
  <c r="B2721" i="19"/>
  <c r="B2722" i="19"/>
  <c r="B2723" i="19"/>
  <c r="B2724" i="19"/>
  <c r="B2725" i="19"/>
  <c r="B2726" i="19"/>
  <c r="B2727" i="19"/>
  <c r="B2728" i="19"/>
  <c r="B2729" i="19"/>
  <c r="B2730" i="19"/>
  <c r="B2731" i="19"/>
  <c r="B2732" i="19"/>
  <c r="B2733" i="19"/>
  <c r="B2734" i="19"/>
  <c r="B2735" i="19"/>
  <c r="B2736" i="19"/>
  <c r="B2737" i="19"/>
  <c r="B2738" i="19"/>
  <c r="B2739" i="19"/>
  <c r="B2740" i="19"/>
  <c r="B2741" i="19"/>
  <c r="B2742" i="19"/>
  <c r="B2743" i="19"/>
  <c r="B2744" i="19"/>
  <c r="B2745" i="19"/>
  <c r="B2746" i="19"/>
  <c r="B2747" i="19"/>
  <c r="B2748" i="19"/>
  <c r="B2749" i="19"/>
  <c r="B2750" i="19"/>
  <c r="B2751" i="19"/>
  <c r="B2752" i="19"/>
  <c r="B2753" i="19"/>
  <c r="B2754" i="19"/>
  <c r="B2755" i="19"/>
  <c r="B2756" i="19"/>
  <c r="B2757" i="19"/>
  <c r="B2758" i="19"/>
  <c r="B2759" i="19"/>
  <c r="B2760" i="19"/>
  <c r="B2761" i="19"/>
  <c r="B2762" i="19"/>
  <c r="B2763" i="19"/>
  <c r="B2764" i="19"/>
  <c r="B2765" i="19"/>
  <c r="B2766" i="19"/>
  <c r="B2767" i="19"/>
  <c r="B2768" i="19"/>
  <c r="B2769" i="19"/>
  <c r="B2770" i="19"/>
  <c r="B2771" i="19"/>
  <c r="B2772" i="19"/>
  <c r="B2773" i="19"/>
  <c r="B2774" i="19"/>
  <c r="B2775" i="19"/>
  <c r="B2776" i="19"/>
  <c r="B2777" i="19"/>
  <c r="B2778" i="19"/>
  <c r="B2779" i="19"/>
  <c r="B2780" i="19"/>
  <c r="B2781" i="19"/>
  <c r="B2782" i="19"/>
  <c r="B2783" i="19"/>
  <c r="B2784" i="19"/>
  <c r="B2785" i="19"/>
  <c r="B2786" i="19"/>
  <c r="B2787" i="19"/>
  <c r="B2788" i="19"/>
  <c r="B2789" i="19"/>
  <c r="B2790" i="19"/>
  <c r="B2791" i="19"/>
  <c r="B2792" i="19"/>
  <c r="B2793" i="19"/>
  <c r="B2794" i="19"/>
  <c r="B2795" i="19"/>
  <c r="B2796" i="19"/>
  <c r="B2797" i="19"/>
  <c r="B2798" i="19"/>
  <c r="B2799" i="19"/>
  <c r="B2800" i="19"/>
  <c r="B2801" i="19"/>
  <c r="B2802" i="19"/>
  <c r="B2803" i="19"/>
  <c r="B2804" i="19"/>
  <c r="B2805" i="19"/>
  <c r="B2806" i="19"/>
  <c r="B2807" i="19"/>
  <c r="B2808" i="19"/>
  <c r="B2809" i="19"/>
  <c r="B2810" i="19"/>
  <c r="B2811" i="19"/>
  <c r="B2812" i="19"/>
  <c r="B2813" i="19"/>
  <c r="B2814" i="19"/>
  <c r="B2815" i="19"/>
  <c r="B2816" i="19"/>
  <c r="B2817" i="19"/>
  <c r="B2818" i="19"/>
  <c r="B2819" i="19"/>
  <c r="B2820" i="19"/>
  <c r="B2821" i="19"/>
  <c r="B2822" i="19"/>
  <c r="B2823" i="19"/>
  <c r="B2824" i="19"/>
  <c r="B2825" i="19"/>
  <c r="B2826" i="19"/>
  <c r="B2827" i="19"/>
  <c r="B2828" i="19"/>
  <c r="B2829" i="19"/>
  <c r="B2830" i="19"/>
  <c r="B2831" i="19"/>
  <c r="B2832" i="19"/>
  <c r="B2833" i="19"/>
  <c r="B2834" i="19"/>
  <c r="B2835" i="19"/>
  <c r="B2836" i="19"/>
  <c r="B2837" i="19"/>
  <c r="B2838" i="19"/>
  <c r="B2839" i="19"/>
  <c r="B2840" i="19"/>
  <c r="B2841" i="19"/>
  <c r="B2842" i="19"/>
  <c r="B2843" i="19"/>
  <c r="B2844" i="19"/>
  <c r="B2845" i="19"/>
  <c r="B2846" i="19"/>
  <c r="B2847" i="19"/>
  <c r="B2848" i="19"/>
  <c r="B2849" i="19"/>
  <c r="B2850" i="19"/>
  <c r="B2851" i="19"/>
  <c r="B2852" i="19"/>
  <c r="B2853" i="19"/>
  <c r="B2854" i="19"/>
  <c r="B2855" i="19"/>
  <c r="B2856" i="19"/>
  <c r="B2857" i="19"/>
  <c r="B2858" i="19"/>
  <c r="B2859" i="19"/>
  <c r="B2860" i="19"/>
  <c r="B2861" i="19"/>
  <c r="B2862" i="19"/>
  <c r="B2863" i="19"/>
  <c r="B2864" i="19"/>
  <c r="B2865" i="19"/>
  <c r="B2866" i="19"/>
  <c r="B2867" i="19"/>
  <c r="B2868" i="19"/>
  <c r="B2869" i="19"/>
  <c r="B2870" i="19"/>
  <c r="B2871" i="19"/>
  <c r="B2872" i="19"/>
  <c r="B2873" i="19"/>
  <c r="B2874" i="19"/>
  <c r="B2875" i="19"/>
  <c r="B2876" i="19"/>
  <c r="B2877" i="19"/>
  <c r="B2878" i="19"/>
  <c r="B2879" i="19"/>
  <c r="B2880" i="19"/>
  <c r="B2881" i="19"/>
  <c r="B2882" i="19"/>
  <c r="B2883" i="19"/>
  <c r="B2884" i="19"/>
  <c r="B2885" i="19"/>
  <c r="B2886" i="19"/>
  <c r="B2887" i="19"/>
  <c r="B2888" i="19"/>
  <c r="B2889" i="19"/>
  <c r="B2890" i="19"/>
  <c r="B2891" i="19"/>
  <c r="B2892" i="19"/>
  <c r="B2893" i="19"/>
  <c r="B2894" i="19"/>
  <c r="B2895" i="19"/>
  <c r="B2896" i="19"/>
  <c r="B2897" i="19"/>
  <c r="B2898" i="19"/>
  <c r="B2899" i="19"/>
  <c r="B2900" i="19"/>
  <c r="B2901" i="19"/>
  <c r="B2902" i="19"/>
  <c r="B2903" i="19"/>
  <c r="B2904" i="19"/>
  <c r="B2905" i="19"/>
  <c r="B2906" i="19"/>
  <c r="B2907" i="19"/>
  <c r="B2908" i="19"/>
  <c r="B2909" i="19"/>
  <c r="B2910" i="19"/>
  <c r="B2911" i="19"/>
  <c r="B2912" i="19"/>
  <c r="B2913" i="19"/>
  <c r="B2914" i="19"/>
  <c r="B2915" i="19"/>
  <c r="B2916" i="19"/>
  <c r="B2917" i="19"/>
  <c r="B2918" i="19"/>
  <c r="B2919" i="19"/>
  <c r="B2920" i="19"/>
  <c r="B2921" i="19"/>
  <c r="B2922" i="19"/>
  <c r="B2923" i="19"/>
  <c r="B2924" i="19"/>
  <c r="B2925" i="19"/>
  <c r="B2926" i="19"/>
  <c r="B2927" i="19"/>
  <c r="B2928" i="19"/>
  <c r="B2929" i="19"/>
  <c r="B2930" i="19"/>
  <c r="B2931" i="19"/>
  <c r="B2932" i="19"/>
  <c r="B2933" i="19"/>
  <c r="B2934" i="19"/>
  <c r="B2935" i="19"/>
  <c r="B2936" i="19"/>
  <c r="B2937" i="19"/>
  <c r="B2938" i="19"/>
  <c r="B2939" i="19"/>
  <c r="B2940" i="19"/>
  <c r="B2941" i="19"/>
  <c r="B2942" i="19"/>
  <c r="B2943" i="19"/>
  <c r="B2944" i="19"/>
  <c r="B2945" i="19"/>
  <c r="B2946" i="19"/>
  <c r="B2947" i="19"/>
  <c r="B2948" i="19"/>
  <c r="B2949" i="19"/>
  <c r="B2950" i="19"/>
  <c r="B2951" i="19"/>
  <c r="B2952" i="19"/>
  <c r="B2953" i="19"/>
  <c r="B2954" i="19"/>
  <c r="B2955" i="19"/>
  <c r="B2956" i="19"/>
  <c r="B2957" i="19"/>
  <c r="B2958" i="19"/>
  <c r="B2959" i="19"/>
  <c r="B2960" i="19"/>
  <c r="B2961" i="19"/>
  <c r="B2962" i="19"/>
  <c r="B2963" i="19"/>
  <c r="B2964" i="19"/>
  <c r="B2965" i="19"/>
  <c r="B2966" i="19"/>
  <c r="B2967" i="19"/>
  <c r="B2968" i="19"/>
  <c r="B2969" i="19"/>
  <c r="B2970" i="19"/>
  <c r="B2971" i="19"/>
  <c r="B2972" i="19"/>
  <c r="B2973" i="19"/>
  <c r="B2974" i="19"/>
  <c r="B2975" i="19"/>
  <c r="B2976" i="19"/>
  <c r="B2977" i="19"/>
  <c r="B2978" i="19"/>
  <c r="B2979" i="19"/>
  <c r="B2980" i="19"/>
  <c r="B2981" i="19"/>
  <c r="B2982" i="19"/>
  <c r="B2983" i="19"/>
  <c r="B2984" i="19"/>
  <c r="B2985" i="19"/>
  <c r="B2986" i="19"/>
  <c r="B2987" i="19"/>
  <c r="B2988" i="19"/>
  <c r="B2989" i="19"/>
  <c r="B2990" i="19"/>
  <c r="B2991" i="19"/>
  <c r="B2992" i="19"/>
  <c r="B2993" i="19"/>
  <c r="B2994" i="19"/>
  <c r="B2995" i="19"/>
  <c r="B2996" i="19"/>
  <c r="B2997" i="19"/>
  <c r="B2998" i="19"/>
  <c r="B2999" i="19"/>
  <c r="B3000" i="19"/>
  <c r="B3001" i="19"/>
  <c r="B3002" i="19"/>
  <c r="B3003" i="19"/>
  <c r="B3004" i="19"/>
  <c r="B3005" i="19"/>
  <c r="B3006" i="19"/>
  <c r="B3007" i="19"/>
  <c r="B3008" i="19"/>
  <c r="B3009" i="19"/>
  <c r="B3010" i="19"/>
  <c r="B3011" i="19"/>
  <c r="B3012" i="19"/>
  <c r="B3013" i="19"/>
  <c r="B3014" i="19"/>
  <c r="B3015" i="19"/>
  <c r="B3016" i="19"/>
  <c r="B3017" i="19"/>
  <c r="B3018" i="19"/>
  <c r="B3019" i="19"/>
  <c r="B3020" i="19"/>
  <c r="B3021" i="19"/>
  <c r="B3022" i="19"/>
  <c r="B3023" i="19"/>
  <c r="B3024" i="19"/>
  <c r="B3025" i="19"/>
  <c r="B3026" i="19"/>
  <c r="B3027" i="19"/>
  <c r="B3028" i="19"/>
  <c r="B3029" i="19"/>
  <c r="B3030" i="19"/>
  <c r="B3031" i="19"/>
  <c r="B3032" i="19"/>
  <c r="B3033" i="19"/>
  <c r="B3034" i="19"/>
  <c r="B3035" i="19"/>
  <c r="B3036" i="19"/>
  <c r="B3037" i="19"/>
  <c r="B3038" i="19"/>
  <c r="B3039" i="19"/>
  <c r="B3040" i="19"/>
  <c r="B3041" i="19"/>
  <c r="B3042" i="19"/>
  <c r="B3043" i="19"/>
  <c r="B3044" i="19"/>
  <c r="B3045" i="19"/>
  <c r="B3046" i="19"/>
  <c r="B3047" i="19"/>
  <c r="B3048" i="19"/>
  <c r="B3049" i="19"/>
  <c r="B3050" i="19"/>
  <c r="B3051" i="19"/>
  <c r="B3052" i="19"/>
  <c r="B3053" i="19"/>
  <c r="B3054" i="19"/>
  <c r="B3055" i="19"/>
  <c r="B3056" i="19"/>
  <c r="B3057" i="19"/>
  <c r="B3058" i="19"/>
  <c r="B3059" i="19"/>
  <c r="B3060" i="19"/>
  <c r="B3061" i="19"/>
  <c r="B3062" i="19"/>
  <c r="B3063" i="19"/>
  <c r="B3064" i="19"/>
  <c r="B3065" i="19"/>
  <c r="B3066" i="19"/>
  <c r="B3067" i="19"/>
  <c r="B3068" i="19"/>
  <c r="B3069" i="19"/>
  <c r="B3070" i="19"/>
  <c r="B3071" i="19"/>
  <c r="B3072" i="19"/>
  <c r="B3073" i="19"/>
  <c r="B3074" i="19"/>
  <c r="B3075" i="19"/>
  <c r="B3076" i="19"/>
  <c r="B3077" i="19"/>
  <c r="B3078" i="19"/>
  <c r="B3079" i="19"/>
  <c r="B3080" i="19"/>
  <c r="B3081" i="19"/>
  <c r="B3082" i="19"/>
  <c r="B3083" i="19"/>
  <c r="B3084" i="19"/>
  <c r="B3085" i="19"/>
  <c r="B3086" i="19"/>
  <c r="B3087" i="19"/>
  <c r="B3088" i="19"/>
  <c r="B3089" i="19"/>
  <c r="B3090" i="19"/>
  <c r="B3091" i="19"/>
  <c r="B3092" i="19"/>
  <c r="B3093" i="19"/>
  <c r="B3094" i="19"/>
  <c r="B3095" i="19"/>
  <c r="B3096" i="19"/>
  <c r="B3097" i="19"/>
  <c r="B3098" i="19"/>
  <c r="B3099" i="19"/>
  <c r="B3100" i="19"/>
  <c r="B3101" i="19"/>
  <c r="B3102" i="19"/>
  <c r="B3103" i="19"/>
  <c r="B3104" i="19"/>
  <c r="B3105" i="19"/>
  <c r="B3106" i="19"/>
  <c r="B3107" i="19"/>
  <c r="B3108" i="19"/>
  <c r="B3109" i="19"/>
  <c r="B3110" i="19"/>
  <c r="B3111" i="19"/>
  <c r="B3112" i="19"/>
  <c r="B3113" i="19"/>
  <c r="B3114" i="19"/>
  <c r="B3115" i="19"/>
  <c r="B3116" i="19"/>
  <c r="D2" i="2" l="1"/>
  <c r="E2" i="2"/>
  <c r="E6" i="7" l="1"/>
  <c r="E7" i="7"/>
  <c r="E8" i="7"/>
  <c r="E9" i="7"/>
  <c r="E10" i="7"/>
  <c r="E11" i="7"/>
  <c r="E12" i="7"/>
  <c r="E13" i="7"/>
  <c r="E14" i="7"/>
  <c r="E15" i="7"/>
  <c r="E16" i="7"/>
  <c r="E17" i="7"/>
  <c r="E18" i="7"/>
  <c r="E19" i="7"/>
  <c r="E20" i="7"/>
  <c r="E21" i="7"/>
  <c r="E22" i="7"/>
  <c r="E5"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Daniel Newby</author>
  </authors>
  <commentList>
    <comment ref="C2" authorId="0" shapeId="0" xr:uid="{08935FB1-44C7-484D-BFBE-EF654E073B3D}">
      <text>
        <r>
          <rPr>
            <b/>
            <sz val="9"/>
            <color indexed="81"/>
            <rFont val="Tahoma"/>
            <family val="2"/>
          </rPr>
          <t>Daniel Newby:</t>
        </r>
        <r>
          <rPr>
            <sz val="9"/>
            <color indexed="81"/>
            <rFont val="Tahoma"/>
            <family val="2"/>
          </rPr>
          <t xml:space="preserve">
Hardcoded due to columns to the right.</t>
        </r>
      </text>
    </comment>
    <comment ref="F2" authorId="0" shapeId="0" xr:uid="{7FE6CCC9-1165-4C37-B869-4FF31DAABE71}">
      <text>
        <r>
          <rPr>
            <b/>
            <sz val="9"/>
            <color indexed="81"/>
            <rFont val="Tahoma"/>
            <family val="2"/>
          </rPr>
          <t>Daniel Newby:</t>
        </r>
        <r>
          <rPr>
            <sz val="9"/>
            <color indexed="81"/>
            <rFont val="Tahoma"/>
            <family val="2"/>
          </rPr>
          <t xml:space="preserve">
Saved on Daily Sheet due to formatting.</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Daniel Newby</author>
  </authors>
  <commentList>
    <comment ref="F1" authorId="0" shapeId="0" xr:uid="{6CD9A207-EF53-4586-8DCF-8C0CFEF41A17}">
      <text>
        <r>
          <rPr>
            <b/>
            <sz val="9"/>
            <color indexed="81"/>
            <rFont val="Tahoma"/>
            <family val="2"/>
          </rPr>
          <t>Daniel Newby:</t>
        </r>
        <r>
          <rPr>
            <sz val="9"/>
            <color indexed="81"/>
            <rFont val="Tahoma"/>
            <family val="2"/>
          </rPr>
          <t xml:space="preserve">
See table for descriptions - TODO capture demonstrations with wand</t>
        </r>
      </text>
    </comment>
    <comment ref="G1" authorId="0" shapeId="0" xr:uid="{AA05E7C9-38EF-4408-AD85-9D4D2E673CC8}">
      <text>
        <r>
          <rPr>
            <b/>
            <sz val="9"/>
            <color indexed="81"/>
            <rFont val="Tahoma"/>
            <family val="2"/>
          </rPr>
          <t>Daniel Newby:</t>
        </r>
        <r>
          <rPr>
            <sz val="9"/>
            <color indexed="81"/>
            <rFont val="Tahoma"/>
            <family val="2"/>
          </rPr>
          <t xml:space="preserve">
Minimum wand tracking frame count</t>
        </r>
      </text>
    </comment>
    <comment ref="L1" authorId="0" shapeId="0" xr:uid="{0D76CDF8-0E0A-45F3-BA3C-021B80532A32}">
      <text>
        <r>
          <rPr>
            <b/>
            <sz val="9"/>
            <color indexed="81"/>
            <rFont val="Tahoma"/>
            <family val="2"/>
          </rPr>
          <t>Daniel Newby:</t>
        </r>
        <r>
          <rPr>
            <sz val="9"/>
            <color indexed="81"/>
            <rFont val="Tahoma"/>
            <family val="2"/>
          </rPr>
          <t xml:space="preserve">
Number of Camera Wand Count Frames / Daily 'Auto-Stop at this many frames' - Represents how well all cameras (as an average) tracked the wand during calibration.</t>
        </r>
      </text>
    </comment>
    <comment ref="O1" authorId="0" shapeId="0" xr:uid="{79BC7589-DFEB-4163-B34A-CA9166EBE7F4}">
      <text>
        <r>
          <rPr>
            <b/>
            <sz val="9"/>
            <color indexed="81"/>
            <rFont val="Tahoma"/>
            <family val="2"/>
          </rPr>
          <t>Daniel Newby:</t>
        </r>
        <r>
          <rPr>
            <sz val="9"/>
            <color indexed="81"/>
            <rFont val="Tahoma"/>
            <family val="2"/>
          </rPr>
          <t xml:space="preserve">
Best/Worse WE/IE column cells will render green if they match the camera with least frames.</t>
        </r>
      </text>
    </comment>
    <comment ref="P1" authorId="0" shapeId="0" xr:uid="{9EBB2BCF-0D52-4172-A101-16E633176572}">
      <text>
        <r>
          <rPr>
            <b/>
            <sz val="9"/>
            <color indexed="81"/>
            <rFont val="Tahoma"/>
            <family val="2"/>
          </rPr>
          <t>Daniel Newby:</t>
        </r>
        <r>
          <rPr>
            <sz val="9"/>
            <color indexed="81"/>
            <rFont val="Tahoma"/>
            <family val="2"/>
          </rPr>
          <t xml:space="preserve">
Best/Worse WE/IE column cells will render red if they match the camera with least frames.</t>
        </r>
      </text>
    </comment>
    <comment ref="D75" authorId="0" shapeId="0" xr:uid="{566FC6D7-C251-4201-9829-B9C550101540}">
      <text>
        <r>
          <rPr>
            <b/>
            <sz val="9"/>
            <color indexed="81"/>
            <rFont val="Tahoma"/>
            <family val="2"/>
          </rPr>
          <t>Daniel Newby:</t>
        </r>
        <r>
          <rPr>
            <sz val="9"/>
            <color indexed="81"/>
            <rFont val="Tahoma"/>
            <family val="2"/>
          </rPr>
          <t xml:space="preserve">
Data missing</t>
        </r>
      </text>
    </comment>
    <comment ref="D76" authorId="0" shapeId="0" xr:uid="{171D0E6C-C7FD-4D16-8FB0-9C301CDBBEB5}">
      <text>
        <r>
          <rPr>
            <b/>
            <sz val="9"/>
            <color indexed="81"/>
            <rFont val="Tahoma"/>
            <family val="2"/>
          </rPr>
          <t>Daniel Newby:</t>
        </r>
        <r>
          <rPr>
            <sz val="9"/>
            <color indexed="81"/>
            <rFont val="Tahoma"/>
            <family val="2"/>
          </rPr>
          <t xml:space="preserve">
Data missing</t>
        </r>
      </text>
    </comment>
    <comment ref="D77" authorId="0" shapeId="0" xr:uid="{1CACC5DA-4CCB-4D2D-808F-BB60D111C1C2}">
      <text>
        <r>
          <rPr>
            <b/>
            <sz val="9"/>
            <color indexed="81"/>
            <rFont val="Tahoma"/>
            <family val="2"/>
          </rPr>
          <t>Daniel Newby:</t>
        </r>
        <r>
          <rPr>
            <sz val="9"/>
            <color indexed="81"/>
            <rFont val="Tahoma"/>
            <family val="2"/>
          </rPr>
          <t xml:space="preserve">
Data missing</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Daniel Newby</author>
  </authors>
  <commentList>
    <comment ref="A2" authorId="0" shapeId="0" xr:uid="{58CCC96D-D481-4F4A-B53A-A8A818047486}">
      <text>
        <r>
          <rPr>
            <b/>
            <sz val="9"/>
            <color indexed="81"/>
            <rFont val="Tahoma"/>
            <family val="2"/>
          </rPr>
          <t>Daniel Newby:</t>
        </r>
        <r>
          <rPr>
            <sz val="9"/>
            <color indexed="81"/>
            <rFont val="Tahoma"/>
            <family val="2"/>
          </rPr>
          <t xml:space="preserve">
From 28/07/2026 bumping experiment, recorded above cameras. Cameras without a value were unaffected by disturbances in the room.</t>
        </r>
      </text>
    </comment>
    <comment ref="J3" authorId="0" shapeId="0" xr:uid="{4861662B-85D0-4BF9-9C52-C28B774E15C4}">
      <text>
        <r>
          <rPr>
            <b/>
            <sz val="9"/>
            <color indexed="81"/>
            <rFont val="Tahoma"/>
            <family val="2"/>
          </rPr>
          <t>Daniel Newby:</t>
        </r>
        <r>
          <rPr>
            <sz val="9"/>
            <color indexed="81"/>
            <rFont val="Tahoma"/>
            <family val="2"/>
          </rPr>
          <t xml:space="preserve">
persistently slow to auto-stop when calibrating</t>
        </r>
      </text>
    </comment>
    <comment ref="O3" authorId="0" shapeId="0" xr:uid="{4AE4B6C7-C137-4092-ABAB-9723FAD3716F}">
      <text>
        <r>
          <rPr>
            <b/>
            <sz val="9"/>
            <color indexed="81"/>
            <rFont val="Tahoma"/>
            <family val="2"/>
          </rPr>
          <t>Daniel Newby:</t>
        </r>
        <r>
          <rPr>
            <sz val="9"/>
            <color indexed="81"/>
            <rFont val="Tahoma"/>
            <family val="2"/>
          </rPr>
          <t xml:space="preserve">
persistently slow to auto-stop when calibrating</t>
        </r>
      </text>
    </comment>
    <comment ref="W6" authorId="0" shapeId="0" xr:uid="{46CB62C8-B49C-4E2D-9AC6-8ED1165BE723}">
      <text>
        <r>
          <rPr>
            <b/>
            <sz val="9"/>
            <color indexed="81"/>
            <rFont val="Tahoma"/>
            <family val="2"/>
          </rPr>
          <t>Daniel Newby:</t>
        </r>
        <r>
          <rPr>
            <sz val="9"/>
            <color indexed="81"/>
            <rFont val="Tahoma"/>
            <family val="2"/>
          </rPr>
          <t xml:space="preserve">
On the recorded date this camera was out of position relative to other cameras during a calibration attempt.</t>
        </r>
      </text>
    </comment>
    <comment ref="W7" authorId="0" shapeId="0" xr:uid="{FB1F185D-BAE8-4839-94AB-31F3733745A5}">
      <text>
        <r>
          <rPr>
            <b/>
            <sz val="9"/>
            <color indexed="81"/>
            <rFont val="Tahoma"/>
            <family val="2"/>
          </rPr>
          <t>Daniel Newby:</t>
        </r>
        <r>
          <rPr>
            <sz val="9"/>
            <color indexed="81"/>
            <rFont val="Tahoma"/>
            <family val="2"/>
          </rPr>
          <t xml:space="preserve">
Cameras marked with this colour are persistently much slower than others to capture frames during wand wave calibration.</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7EC1F97-DCE4-425B-85E1-F873AD741BD9}" keepAlive="1" name="Query - _combined_data" description="Connection to the '_combined_data' query in the workbook." type="5" refreshedVersion="0" background="1">
    <dbPr connection="Provider=Microsoft.Mashup.OleDb.1;Data Source=$Workbook$;Location=_combined_data;Extended Properties=&quot;&quot;" command="SELECT * FROM [_combined_data]"/>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<sst xmlns="http://schemas.openxmlformats.org/spreadsheetml/2006/main" count="4844" uniqueCount="239">
  <si>
    <t>How this workbook works</t>
  </si>
  <si>
    <t>1. Log sheet</t>
  </si>
  <si>
    <t xml:space="preserve">   Each day, add one new row per camera to the table (just type into the row directly below the last one - the table expands automatically).</t>
  </si>
  <si>
    <t xml:space="preserve">   Columns: Date, Camera, Wand Count, World Error, Image Error.</t>
  </si>
  <si>
    <t xml:space="preserve">   The Camera column has a dropdown so names stay consistent.</t>
  </si>
  <si>
    <t>2. Daily Summary sheet</t>
  </si>
  <si>
    <t xml:space="preserve">   Automatically averages World Error and Image Error across all cameras for each date, and counts how many cameras were logged that day (flags red if it isn't 17, so you notice a missed camera). Pre-built with formulas for the next ~150 days - nothing to edit.</t>
  </si>
  <si>
    <t xml:space="preserve">   Chart: average error trend over time, across the whole rig.</t>
  </si>
  <si>
    <t>3. Camera Trend sheet</t>
  </si>
  <si>
    <t xml:space="preserve">   Pick a camera from the dropdown in the highlighted cell and its own error history over time appears in the table and chart below. Useful for spotting a camera that's drifting or degrading.</t>
  </si>
  <si>
    <t>4. Lists sheet</t>
  </si>
  <si>
    <t xml:space="preserve">   Just holds the camera name list that powers the dropdowns. Hidden by default - unhide it (right-click any sheet tab) if you add or retire a camera.</t>
  </si>
  <si>
    <t>Cells you edit day-to-day are highlighted in pale yellow. Everything else is a formula and updates itself.</t>
  </si>
  <si>
    <t>Camera</t>
  </si>
  <si>
    <t>#1 (Vero v2.2)</t>
  </si>
  <si>
    <t>#2 (Vero v2.2)</t>
  </si>
  <si>
    <t>#3 (Vero v2.2)</t>
  </si>
  <si>
    <t>#4 (Vero v2.2)</t>
  </si>
  <si>
    <t>#5 (Vero v2.2)</t>
  </si>
  <si>
    <t>#6 (Vero v2.2)</t>
  </si>
  <si>
    <t>#7 (Vero v2.2)</t>
  </si>
  <si>
    <t>#9 (Vero v2.2)</t>
  </si>
  <si>
    <t>#10 (Vero v2.2)</t>
  </si>
  <si>
    <t>#11 (Vero v2.2)</t>
  </si>
  <si>
    <t>#12 (Vero v2.2)</t>
  </si>
  <si>
    <t>#13 (Vero v2.2)</t>
  </si>
  <si>
    <t>#14 (Vero v2.2)</t>
  </si>
  <si>
    <t>#15 (Vero v2.2)</t>
  </si>
  <si>
    <t>#16 (Vero v2.2)</t>
  </si>
  <si>
    <t>#17 (Vero v2.2)</t>
  </si>
  <si>
    <t>#18 (Vero v2.2)</t>
  </si>
  <si>
    <t>Date</t>
  </si>
  <si>
    <t>World Error</t>
  </si>
  <si>
    <t>Image Error</t>
  </si>
  <si>
    <t>#8 (Vero v2.2)</t>
  </si>
  <si>
    <t>Match</t>
  </si>
  <si>
    <t>Camera Name</t>
  </si>
  <si>
    <t>Physical Label</t>
  </si>
  <si>
    <t>Nexus Software ID</t>
  </si>
  <si>
    <t>Notes on daily calibration attempt</t>
  </si>
  <si>
    <t>Did not create a box with markers, scattered randomly, adjusted auto detect tolerance for set volume down to 2mm</t>
  </si>
  <si>
    <t>Starting Temperature</t>
  </si>
  <si>
    <t>Starting Time</t>
  </si>
  <si>
    <t>Mostly focused on fixing the calibration data pollution bug from sample data (camera IDs reorganised) but sweeping movements around the main volume, with markers scattered in clusters no box outline</t>
  </si>
  <si>
    <t>After calibration modified level of the L-Frame as floor wasn't level, so this may affect volume capture in future</t>
  </si>
  <si>
    <t>People kept coming in room, interrupting calibration attempts - along with poor wand wave &amp; previous wand level modification could not set volume</t>
  </si>
  <si>
    <t>Minor wand wave not according to technique (folding wave) but otherwise going left/right and keeping away from body. Some camera error outliers and ghost markers during floor plane calibration.</t>
  </si>
  <si>
    <t>Wand wave technique is semi-radial extended from body but facing/relative degree° equal to facing (rocking side to side drawing a semi-circle basically) with some squatting or bending down</t>
  </si>
  <si>
    <t>Wand wave technique as above</t>
  </si>
  <si>
    <t>Camera 5 not relative to rest</t>
  </si>
  <si>
    <t>Camera 4 not relative to rest</t>
  </si>
  <si>
    <t>A</t>
  </si>
  <si>
    <t>B</t>
  </si>
  <si>
    <t>Wand Technique</t>
  </si>
  <si>
    <t>C</t>
  </si>
  <si>
    <t xml:space="preserve">Scattered markers randomly in the volume, completely reset calibration and masking beforehand, manually masked reflective pipe in camera 5. </t>
  </si>
  <si>
    <t>No box; markers were in a rough isoclees triangle shape outline, of 4x clusters of 3 markers, no issue</t>
  </si>
  <si>
    <t>Daily</t>
  </si>
  <si>
    <t>Error</t>
  </si>
  <si>
    <t>UPDATE THIS TAB</t>
  </si>
  <si>
    <t>VERY OUT OF DATE</t>
  </si>
  <si>
    <r>
      <t xml:space="preserve">Key 1
</t>
    </r>
    <r>
      <rPr>
        <sz val="10"/>
        <color rgb="FFFFFFFF"/>
        <rFont val="Arial"/>
        <family val="2"/>
      </rPr>
      <t>(Category)</t>
    </r>
  </si>
  <si>
    <t>Key Category</t>
  </si>
  <si>
    <t>Trial</t>
  </si>
  <si>
    <t>n/a</t>
  </si>
  <si>
    <t>Error (Camera Entry)</t>
  </si>
  <si>
    <r>
      <rPr>
        <b/>
        <sz val="8"/>
        <color theme="1"/>
        <rFont val="Calibri"/>
        <family val="2"/>
      </rPr>
      <t>Automatic formula</t>
    </r>
    <r>
      <rPr>
        <sz val="8"/>
        <color theme="1"/>
        <rFont val="Calibri"/>
        <family val="2"/>
      </rPr>
      <t xml:space="preserve"> - do not modify this column.</t>
    </r>
  </si>
  <si>
    <t>HEADER COLOURS</t>
  </si>
  <si>
    <r>
      <rPr>
        <b/>
        <sz val="8"/>
        <color theme="0"/>
        <rFont val="Arial"/>
        <family val="2"/>
      </rPr>
      <t>Instructions</t>
    </r>
    <r>
      <rPr>
        <sz val="8"/>
        <color theme="0"/>
        <rFont val="Arial"/>
        <family val="2"/>
      </rPr>
      <t xml:space="preserve"> - Input Vicon Nexus error sets after any new calibration. </t>
    </r>
    <r>
      <rPr>
        <u/>
        <sz val="8"/>
        <color theme="0"/>
        <rFont val="Arial"/>
        <family val="2"/>
      </rPr>
      <t>Refer to header key tables for more info</t>
    </r>
    <r>
      <rPr>
        <sz val="8"/>
        <color theme="0"/>
        <rFont val="Arial"/>
        <family val="2"/>
      </rPr>
      <t>.</t>
    </r>
  </si>
  <si>
    <t>HIDDEN SHEETS</t>
  </si>
  <si>
    <t>Data-Lists</t>
  </si>
  <si>
    <t>Sheets</t>
  </si>
  <si>
    <t>Labelling</t>
  </si>
  <si>
    <t>Log</t>
  </si>
  <si>
    <t>Recap Pages</t>
  </si>
  <si>
    <t>Daily, Trial, Error</t>
  </si>
  <si>
    <t>Daily Trends</t>
  </si>
  <si>
    <t>Daily Performance</t>
  </si>
  <si>
    <t>Daily Error Rates</t>
  </si>
  <si>
    <t>Problem Cameras</t>
  </si>
  <si>
    <t>Sheets should have own to-dos</t>
  </si>
  <si>
    <t>Daily Tracking Dates</t>
  </si>
  <si>
    <r>
      <rPr>
        <b/>
        <sz val="8"/>
        <color theme="1"/>
        <rFont val="Arial"/>
        <family val="2"/>
      </rPr>
      <t>As technique A except</t>
    </r>
    <r>
      <rPr>
        <sz val="8"/>
        <color theme="1"/>
        <rFont val="Arial"/>
        <family val="2"/>
      </rPr>
      <t xml:space="preserve"> - bringing the wand in and out by stretching arm, and stooping/lunging as moving (in order to vary distance from the body)</t>
    </r>
  </si>
  <si>
    <t>3 clusters of markers in each corner (4 sets)</t>
  </si>
  <si>
    <t>9 Markers, in 3 clusters of 3 -- two clusters spaced from origin, one in a far corner. This caused floor plane error for furthest markers so added a 4th cluster in opposite far corner, which fixed it. Documented in note '2026-08-05 Marker Cluster Layout (v1)'</t>
  </si>
  <si>
    <r>
      <t xml:space="preserve">Camera 8 not enabled by mistake -- </t>
    </r>
    <r>
      <rPr>
        <b/>
        <sz val="10"/>
        <color theme="1"/>
        <rFont val="Arial"/>
        <family val="2"/>
      </rPr>
      <t>may wish to disregard results</t>
    </r>
    <r>
      <rPr>
        <sz val="10"/>
        <color theme="1"/>
        <rFont val="Arial"/>
        <family val="2"/>
      </rPr>
      <t>, no manual masking or marker removal attempted - attempting to establish baselines</t>
    </r>
  </si>
  <si>
    <r>
      <t xml:space="preserve">Reverted wand wave technique after 2 calibration errors
</t>
    </r>
    <r>
      <rPr>
        <sz val="10"/>
        <color theme="1"/>
        <rFont val="Arial"/>
        <family val="2"/>
      </rPr>
      <t>Opting to put clusters of 3 in volume corners and spacing out pairs elsewhere in centre of volume floor plane</t>
    </r>
  </si>
  <si>
    <t>todo - check calibration data for camera relativity</t>
  </si>
  <si>
    <r>
      <t xml:space="preserve">Key 2
</t>
    </r>
    <r>
      <rPr>
        <sz val="8"/>
        <color rgb="FFFFFFFF"/>
        <rFont val="Arial"/>
        <family val="2"/>
      </rPr>
      <t>(Precision)</t>
    </r>
  </si>
  <si>
    <t>shelf-baseline</t>
  </si>
  <si>
    <t>shelf-trial</t>
  </si>
  <si>
    <t>31/07-error1</t>
  </si>
  <si>
    <t>31/07-error2</t>
  </si>
  <si>
    <t>03/08-error1</t>
  </si>
  <si>
    <t>03/08-error2</t>
  </si>
  <si>
    <r>
      <t xml:space="preserve">Choose data value from </t>
    </r>
    <r>
      <rPr>
        <b/>
        <sz val="8"/>
        <color theme="1"/>
        <rFont val="Calibri"/>
        <family val="2"/>
      </rPr>
      <t>dropdown</t>
    </r>
    <r>
      <rPr>
        <sz val="8"/>
        <color theme="1"/>
        <rFont val="Calibri"/>
        <family val="2"/>
      </rPr>
      <t>!</t>
    </r>
  </si>
  <si>
    <r>
      <t xml:space="preserve">Data should be </t>
    </r>
    <r>
      <rPr>
        <b/>
        <sz val="8"/>
        <color theme="1"/>
        <rFont val="Calibri"/>
        <family val="2"/>
      </rPr>
      <t>input</t>
    </r>
    <r>
      <rPr>
        <sz val="8"/>
        <color theme="1"/>
        <rFont val="Calibri"/>
        <family val="2"/>
      </rPr>
      <t xml:space="preserve"> in this column.</t>
    </r>
  </si>
  <si>
    <t>Determine the calibration impact of the reflective metal shelving at the edge of the volume space</t>
  </si>
  <si>
    <t>Figure 8 waving, no floor plane setting as just interested in calibration data</t>
  </si>
  <si>
    <t>Using as experiment base-set (duplicated for auto-stop-base) as immediately before so maintaining '3 clusters of markers in each corner (4 sets)' and wave technique A as controls</t>
  </si>
  <si>
    <t>Calibration health degraded. Culprit may be that a reflective shelf may have still been caught in view of a camera</t>
  </si>
  <si>
    <t>Investigate effectiveness of auto-stop and wand frames on calibration health</t>
  </si>
  <si>
    <t>auto-stop-2000-v1</t>
  </si>
  <si>
    <t>auto-stop-1000-base</t>
  </si>
  <si>
    <t>auto-stop-2000-v2</t>
  </si>
  <si>
    <t>auto-stop-1500-v1</t>
  </si>
  <si>
    <t>auto-stop-1500-v2</t>
  </si>
  <si>
    <t>auto-stop-1000-v2</t>
  </si>
  <si>
    <t>auto-stop-1000-v3</t>
  </si>
  <si>
    <t>Using daily calibration as base-set (duplicated from 08/08/2026) as immediately before so maintaining '3 clusters of markers in each corner (4 sets)' and wave technique A as controls. Environment unchanged but masked cameras at start of each wand wave to prevent light change impact. Did not set floor plane as just interested in calibration data.
Minor mistake in 1000v2 where a camera was still trying to calibrate - didn't notice and had to get up again to fix. Repeated trial for bias check.</t>
  </si>
  <si>
    <r>
      <t xml:space="preserve">see calibration notes.md, but rough findings are more frames = faster calibration, longer taken in wand wave, better camera health.
</t>
    </r>
    <r>
      <rPr>
        <b/>
        <sz val="11"/>
        <color theme="1"/>
        <rFont val="Calibri"/>
        <family val="2"/>
      </rPr>
      <t>auto-stop 2000</t>
    </r>
    <r>
      <rPr>
        <sz val="11"/>
        <color theme="1"/>
        <rFont val="Calibri"/>
        <family val="2"/>
        <charset val="1"/>
      </rPr>
      <t xml:space="preserve"> = 3m feedback, 2:25 wand wave
</t>
    </r>
    <r>
      <rPr>
        <b/>
        <sz val="11"/>
        <color theme="1"/>
        <rFont val="Calibri"/>
        <family val="2"/>
      </rPr>
      <t>auto-stop 1500</t>
    </r>
    <r>
      <rPr>
        <sz val="11"/>
        <color theme="1"/>
        <rFont val="Calibri"/>
        <family val="2"/>
        <charset val="1"/>
      </rPr>
      <t xml:space="preserve"> = 3-5m feedback, 1:57 wand wave
</t>
    </r>
    <r>
      <rPr>
        <b/>
        <sz val="11"/>
        <color theme="1"/>
        <rFont val="Calibri"/>
        <family val="2"/>
      </rPr>
      <t>auto-stop 1000</t>
    </r>
    <r>
      <rPr>
        <sz val="11"/>
        <color theme="1"/>
        <rFont val="Calibri"/>
        <family val="2"/>
        <charset val="1"/>
      </rPr>
      <t xml:space="preserve"> = 3-6m feedback, 1:32 wand wave
Worth looking at problem camera health specifically as disproprtionate wand wave time spent focused on these
</t>
    </r>
    <r>
      <rPr>
        <b/>
        <sz val="11"/>
        <color theme="1"/>
        <rFont val="Calibri"/>
        <family val="2"/>
      </rPr>
      <t>auto-stop-2000-v1</t>
    </r>
    <r>
      <rPr>
        <sz val="11"/>
        <color theme="1"/>
        <rFont val="Calibri"/>
        <family val="2"/>
        <charset val="1"/>
      </rPr>
      <t xml:space="preserve"> has relative camera error (cam 5)</t>
    </r>
  </si>
  <si>
    <t>All-Time Mean Values</t>
  </si>
  <si>
    <t>FOR CHART</t>
  </si>
  <si>
    <t>DO NOT TOUCH</t>
  </si>
  <si>
    <t>D</t>
  </si>
  <si>
    <t>E</t>
  </si>
  <si>
    <r>
      <rPr>
        <b/>
        <sz val="8"/>
        <color theme="1"/>
        <rFont val="Arial"/>
        <family val="2"/>
      </rPr>
      <t xml:space="preserve">Figure 8 with the wand facing up </t>
    </r>
    <r>
      <rPr>
        <sz val="8"/>
        <color theme="1"/>
        <rFont val="Arial"/>
        <family val="2"/>
      </rPr>
      <t>- reccommended by the Vicon trainer during system installation</t>
    </r>
  </si>
  <si>
    <t>F</t>
  </si>
  <si>
    <t>G</t>
  </si>
  <si>
    <r>
      <rPr>
        <b/>
        <sz val="8"/>
        <color theme="1"/>
        <rFont val="Arial"/>
        <family val="2"/>
      </rPr>
      <t xml:space="preserve">Wave wand up and down </t>
    </r>
    <r>
      <rPr>
        <sz val="8"/>
        <color theme="1"/>
        <rFont val="Arial"/>
        <family val="2"/>
      </rPr>
      <t>(chopping axe motion, AWIR2 docs)</t>
    </r>
  </si>
  <si>
    <t>Dates auto-populate from data-lists tab (apply to all daily sheets). Data keys &amp; config settings must be manually entered.
Other data will automatically populate by formula and apply conditional formatting.</t>
  </si>
  <si>
    <t>Mean
World Error</t>
  </si>
  <si>
    <t>Lowest
World Error</t>
  </si>
  <si>
    <t>Highest
World Error</t>
  </si>
  <si>
    <t>Mean
Image Error</t>
  </si>
  <si>
    <t>Lowest
Image Error</t>
  </si>
  <si>
    <t>Highest
Image Error</t>
  </si>
  <si>
    <t>Markers in 4x cluters of 3 around volume origin (creating a rough box)</t>
  </si>
  <si>
    <t>Wand-Wave-A1</t>
  </si>
  <si>
    <t>Wand-Wave-A2</t>
  </si>
  <si>
    <t>Wand-Wave-A3</t>
  </si>
  <si>
    <t>Wand-Wave-B1</t>
  </si>
  <si>
    <t>Wand-Wave-B2</t>
  </si>
  <si>
    <t>Wand-Wave-B3</t>
  </si>
  <si>
    <t>Wand-Wave-D1</t>
  </si>
  <si>
    <t>Wand-Wave-E1</t>
  </si>
  <si>
    <t>Wand-Wave-F1</t>
  </si>
  <si>
    <t>Wand-Wave-D2</t>
  </si>
  <si>
    <t>Wand-Wave-D3</t>
  </si>
  <si>
    <t>Wand-Wave-E2</t>
  </si>
  <si>
    <t>Wand-Wave-E3</t>
  </si>
  <si>
    <t>Wand-Wave-F2</t>
  </si>
  <si>
    <t>Wand-Wave-F3</t>
  </si>
  <si>
    <t>Wand Wave Type</t>
  </si>
  <si>
    <t>The spreadsheet relies on this information don't tinker with it if you aren't prepared to fix it afterwards!
Bolded entries are hardcoded. Other entries are formulas or lookups.</t>
  </si>
  <si>
    <t>Wand-Wave-G1</t>
  </si>
  <si>
    <t>Wand-Wave-G2</t>
  </si>
  <si>
    <t>Wand-Wave-G3</t>
  </si>
  <si>
    <t>Determine the most effective wand waving technique for camera health &amp; tracking improvement</t>
  </si>
  <si>
    <r>
      <rPr>
        <b/>
        <sz val="8"/>
        <color theme="1"/>
        <rFont val="Arial"/>
        <family val="2"/>
      </rPr>
      <t>Spinning the wand extended from body</t>
    </r>
    <r>
      <rPr>
        <sz val="8"/>
        <color theme="1"/>
        <rFont val="Arial"/>
        <family val="2"/>
      </rPr>
      <t xml:space="preserve"> (rotating around center 360deg holding wand in middle but spinning it)</t>
    </r>
  </si>
  <si>
    <r>
      <rPr>
        <b/>
        <sz val="8"/>
        <color theme="1"/>
        <rFont val="Arial"/>
        <family val="2"/>
      </rPr>
      <t>Circling the wand extended from body</t>
    </r>
    <r>
      <rPr>
        <sz val="8"/>
        <color theme="1"/>
        <rFont val="Arial"/>
        <family val="2"/>
      </rPr>
      <t xml:space="preserve"> (hold forward &amp; draw circle, rotating around center 360deg holding handle - full circle vs C semi-circle)</t>
    </r>
  </si>
  <si>
    <r>
      <rPr>
        <b/>
        <sz val="8"/>
        <color theme="1"/>
        <rFont val="Arial"/>
        <family val="2"/>
      </rPr>
      <t>Guidance from active wand v4</t>
    </r>
    <r>
      <rPr>
        <sz val="8"/>
        <color theme="1"/>
        <rFont val="Arial"/>
        <family val="2"/>
      </rPr>
      <t xml:space="preserve"> (away from body, half circles, facing camera, no turning wand keep parallel to yourself, watch for objects)</t>
    </r>
  </si>
  <si>
    <t>didn't-set-volume</t>
  </si>
  <si>
    <r>
      <rPr>
        <b/>
        <sz val="10"/>
        <color theme="1"/>
        <rFont val="Arial"/>
        <family val="2"/>
      </rPr>
      <t xml:space="preserve">Missing XCP File! </t>
    </r>
    <r>
      <rPr>
        <sz val="10"/>
        <color theme="1"/>
        <rFont val="Arial"/>
        <family val="2"/>
      </rPr>
      <t xml:space="preserve">Following 2 wand count errors increased auto stop min frames to 1500 and spread time more equally in volume.
</t>
    </r>
    <r>
      <rPr>
        <b/>
        <sz val="10"/>
        <color theme="1"/>
        <rFont val="Arial"/>
        <family val="2"/>
      </rPr>
      <t>Worsening world and image errors!</t>
    </r>
    <r>
      <rPr>
        <sz val="10"/>
        <color theme="1"/>
        <rFont val="Arial"/>
        <family val="2"/>
      </rPr>
      <t xml:space="preserve"> To repeat on 1-2 tests to confirm</t>
    </r>
  </si>
  <si>
    <t>Calibrated out of daily habit and moved on to wand-wave trial resume before setting origin/plane in volume as wasn't needed, then environment was changed and calibrations were stale</t>
  </si>
  <si>
    <t>No swish/figure 8, followed active wand v4 docs which suggested keeping wand away from body due to occlusion, and facing cameras. Waved in mostly large (sometimes small) circles</t>
  </si>
  <si>
    <t>Wand-Wave-A4</t>
  </si>
  <si>
    <t>Wand-Wave-B4</t>
  </si>
  <si>
    <t>Wand-Wave-C1</t>
  </si>
  <si>
    <t>Wand-Wave-C2</t>
  </si>
  <si>
    <t>Wand-Wave-C3</t>
  </si>
  <si>
    <t>Wand-Wave-C4</t>
  </si>
  <si>
    <t>Wand-Wave-D4</t>
  </si>
  <si>
    <t>Wand-Wave-E4</t>
  </si>
  <si>
    <t>Wand-Wave-F4</t>
  </si>
  <si>
    <t>Wand-Wave-G4</t>
  </si>
  <si>
    <t>Markers in 4x cluters of 3 closely around volume origin (creating a rough box)</t>
  </si>
  <si>
    <t>Markers in 4x cluters of 3 further spaced from volume origin (creating a rough box)</t>
  </si>
  <si>
    <t>Auto-Stop Setting</t>
  </si>
  <si>
    <t>Frame Count</t>
  </si>
  <si>
    <r>
      <t>Frame Ratio</t>
    </r>
    <r>
      <rPr>
        <b/>
        <sz val="10"/>
        <color rgb="FFFFFFFF"/>
        <rFont val="Arial"/>
        <family val="2"/>
      </rPr>
      <t xml:space="preserve">
</t>
    </r>
    <r>
      <rPr>
        <sz val="10"/>
        <color rgb="FFFFFFFF"/>
        <rFont val="Arial"/>
        <family val="2"/>
      </rPr>
      <t>(% of Auto-Stop)</t>
    </r>
  </si>
  <si>
    <t>See markdown notes</t>
  </si>
  <si>
    <t>same volume
walking strategy out round volume from workstation (walking anticlockwise), walking the exterior before moving inwards and then back outwards to focus on problem/uncalibrated cameras
setting mask before each trial to ensure environment isn't changing due to sunlight
no floor plane or origin setting - purely interested in camera health
manually saving wand wave visual data after calibration &amp; checking 3d perspective for relative calibration</t>
  </si>
  <si>
    <r>
      <t xml:space="preserve">Most Frames
</t>
    </r>
    <r>
      <rPr>
        <sz val="10"/>
        <color rgb="FFFFFFFF"/>
        <rFont val="Arial"/>
        <family val="2"/>
      </rPr>
      <t>(Camera ID)</t>
    </r>
  </si>
  <si>
    <t>Mean Frame
Count</t>
  </si>
  <si>
    <t>Highest Frame Count</t>
  </si>
  <si>
    <t>Lowest Frame Count</t>
  </si>
  <si>
    <r>
      <t xml:space="preserve">Least Frames
</t>
    </r>
    <r>
      <rPr>
        <sz val="10"/>
        <color rgb="FFFFFFFF"/>
        <rFont val="Arial"/>
        <family val="2"/>
      </rPr>
      <t>(Camera ID)</t>
    </r>
  </si>
  <si>
    <t>H</t>
  </si>
  <si>
    <t>New technique utilised after wand wave experiment this week - excellent coverage from wand wave frame data, reasonably quick calibration, but harder on the wrist due to extension of the wand</t>
  </si>
  <si>
    <r>
      <t xml:space="preserve">Wand Techniques
</t>
    </r>
    <r>
      <rPr>
        <sz val="8"/>
        <color theme="0"/>
        <rFont val="Arial"/>
        <family val="2"/>
      </rPr>
      <t>(documented by motion capture on 13/08/2026)</t>
    </r>
  </si>
  <si>
    <t>Error could not set origin, re-attempted</t>
  </si>
  <si>
    <t>cannot-set-volume</t>
  </si>
  <si>
    <r>
      <t xml:space="preserve">New technique post wand wave experiment this week - excellent coverage from wand wave frame data, fairly quick calibration, wrist ache (due to wand extension)
</t>
    </r>
    <r>
      <rPr>
        <b/>
        <sz val="10"/>
        <color theme="1"/>
        <rFont val="Arial"/>
        <family val="2"/>
      </rPr>
      <t>Had to repeat due to set origin error - used 3 marker method on origin+floor plane</t>
    </r>
  </si>
  <si>
    <t>Cameras in the INB Robotics/Vicon lab are labelled differently to the Nexus software, I've recorded the differences here. If this ever changes, correct this and keep record for data.</t>
  </si>
  <si>
    <t>Sheet legend to identify the colours and labels used throughout the sheet</t>
  </si>
  <si>
    <r>
      <rPr>
        <b/>
        <u/>
        <sz val="8"/>
        <color theme="1"/>
        <rFont val="Arial"/>
        <family val="2"/>
      </rPr>
      <t>New technique after wand wave experiment - not captured yet</t>
    </r>
    <r>
      <rPr>
        <b/>
        <sz val="8"/>
        <color theme="1"/>
        <rFont val="Arial"/>
        <family val="2"/>
      </rPr>
      <t xml:space="preserve"> - </t>
    </r>
    <r>
      <rPr>
        <sz val="8"/>
        <color theme="1"/>
        <rFont val="Arial"/>
        <family val="2"/>
      </rPr>
      <t xml:space="preserve">per </t>
    </r>
    <r>
      <rPr>
        <b/>
        <sz val="8"/>
        <color theme="1"/>
        <rFont val="Arial"/>
        <family val="2"/>
      </rPr>
      <t xml:space="preserve">technique D </t>
    </r>
    <r>
      <rPr>
        <sz val="8"/>
        <color theme="1"/>
        <rFont val="Arial"/>
        <family val="2"/>
      </rPr>
      <t>except wider figure 8 and more vertical/horizontal movement, held further away from user body to prevent occlusion.</t>
    </r>
  </si>
  <si>
    <t>I</t>
  </si>
  <si>
    <t>pre-calibrate-1</t>
  </si>
  <si>
    <t>pre-calibrate-2</t>
  </si>
  <si>
    <r>
      <rPr>
        <b/>
        <sz val="12"/>
        <color rgb="FFFFFFFF"/>
        <rFont val="Arial"/>
        <family val="2"/>
      </rPr>
      <t>Key 2</t>
    </r>
    <r>
      <rPr>
        <b/>
        <sz val="10"/>
        <color rgb="FFFFFFFF"/>
        <rFont val="Arial"/>
        <family val="2"/>
      </rPr>
      <t xml:space="preserve">
</t>
    </r>
    <r>
      <rPr>
        <sz val="10"/>
        <color rgb="FFFFFFFF"/>
        <rFont val="Arial"/>
        <family val="2"/>
      </rPr>
      <t>(Precision)</t>
    </r>
  </si>
  <si>
    <t>No set origin. cal1 to cal2 most improvements, broadly the WE improved
#1, #11, #15, #17 all improved - #1/#11 historically bad
#12, #18, #6, #9, #2 all worsened - #12 historically good</t>
  </si>
  <si>
    <t>No set origin. cal2 to cal3, less improvement
#2, #4, #6 all improved
#1, #13, #14, #18 all worsened - #1 reversed, previous biggest improvement</t>
  </si>
  <si>
    <t>New technique based on wand wave experiment last week, variation of technique H by 'painting' known volume and working from inside out. Plan to trial refining calibration. 3 marker calibration for origin &amp; plane.</t>
  </si>
  <si>
    <r>
      <t xml:space="preserve">Not attempting recalibration today but did remember to </t>
    </r>
    <r>
      <rPr>
        <b/>
        <sz val="10"/>
        <color theme="1"/>
        <rFont val="Arial"/>
        <family val="2"/>
      </rPr>
      <t xml:space="preserve">reset calibration </t>
    </r>
    <r>
      <rPr>
        <sz val="10"/>
        <color theme="1"/>
        <rFont val="Arial"/>
        <family val="2"/>
      </rPr>
      <t>today</t>
    </r>
  </si>
  <si>
    <r>
      <t xml:space="preserve">reset calibration - technique is hated by north wall cameras, very slow to calibrate. High body occlusion. Could not extend wand as far as wanted due to technique.
</t>
    </r>
    <r>
      <rPr>
        <b/>
        <sz val="10"/>
        <color theme="1"/>
        <rFont val="Arial"/>
        <family val="2"/>
      </rPr>
      <t>Brought new room thermostat - measuring temp at 25.6°C</t>
    </r>
  </si>
  <si>
    <t>20/08-error1</t>
  </si>
  <si>
    <r>
      <rPr>
        <b/>
        <u/>
        <sz val="8"/>
        <color theme="1"/>
        <rFont val="Arial"/>
        <family val="2"/>
      </rPr>
      <t>New technique after wand wave experiment - not captured yet</t>
    </r>
    <r>
      <rPr>
        <b/>
        <sz val="8"/>
        <color theme="1"/>
        <rFont val="Arial"/>
        <family val="2"/>
      </rPr>
      <t xml:space="preserve"> - </t>
    </r>
    <r>
      <rPr>
        <sz val="8"/>
        <color theme="1"/>
        <rFont val="Arial"/>
        <family val="2"/>
      </rPr>
      <t xml:space="preserve">per </t>
    </r>
    <r>
      <rPr>
        <b/>
        <sz val="8"/>
        <color theme="1"/>
        <rFont val="Arial"/>
        <family val="2"/>
      </rPr>
      <t>technique H</t>
    </r>
    <r>
      <rPr>
        <sz val="8"/>
        <color theme="1"/>
        <rFont val="Arial"/>
        <family val="2"/>
      </rPr>
      <t xml:space="preserve"> except attempting to paint space, turning body profile to prevent occlusion, and starting from inside of volume.</t>
    </r>
  </si>
  <si>
    <r>
      <rPr>
        <b/>
        <sz val="10"/>
        <color theme="1"/>
        <rFont val="Arial"/>
        <family val="2"/>
      </rPr>
      <t>remapped volume yesterday (18/08/2026)</t>
    </r>
    <r>
      <rPr>
        <sz val="10"/>
        <color theme="1"/>
        <rFont val="Arial"/>
        <family val="2"/>
      </rPr>
      <t xml:space="preserve"> - used wand to set origin &amp; 3 markers nearby to set plane</t>
    </r>
  </si>
  <si>
    <r>
      <t xml:space="preserve">reset calibration - to set floor plane had to use 9 markers over 3 due to several cameras (behind shelving) not sending rays at them
</t>
    </r>
    <r>
      <rPr>
        <b/>
        <sz val="10"/>
        <color theme="1"/>
        <rFont val="Arial"/>
        <family val="2"/>
      </rPr>
      <t>Brought new room thermostat - measuring temp at 25.6°C</t>
    </r>
  </si>
  <si>
    <r>
      <t xml:space="preserve">Camera 9 (SW corner), 13 (W wall), 15 (S wall) &amp; 16 (S wall) were all missing after having calibration reset. These were all bscured by metal shelving and near edge of volume.
</t>
    </r>
    <r>
      <rPr>
        <b/>
        <sz val="10"/>
        <color theme="1"/>
        <rFont val="Arial"/>
        <family val="2"/>
      </rPr>
      <t>Note no error for several of the cameras</t>
    </r>
  </si>
  <si>
    <t>3 markers to set floor plane - no rays captured from specific cameras (15/16/18 on s wall to se corner), however set accurately</t>
  </si>
  <si>
    <t>Shelving removal test repeat</t>
  </si>
  <si>
    <t>3 markers to set floor plane - no rays captured from specific cameras (18 on SE corner &amp; 7 on NE corner), different to the daily calibration recording</t>
  </si>
  <si>
    <t>speed_cam11_slow_1</t>
  </si>
  <si>
    <t>speed_cam11_slow_2</t>
  </si>
  <si>
    <t>speed_cam11_fast_1</t>
  </si>
  <si>
    <t>speed_cam11_fast_2</t>
  </si>
  <si>
    <t>speed_cam11_slow_3</t>
  </si>
  <si>
    <t>speed_cam11_fast_3</t>
  </si>
  <si>
    <r>
      <t xml:space="preserve">3 markers to set floor plane - no rays captured from specific cameras (15/16/18 on s wall to se corner), however set accurately
</t>
    </r>
    <r>
      <rPr>
        <b/>
        <sz val="10"/>
        <color theme="1"/>
        <rFont val="Arial"/>
        <family val="2"/>
      </rPr>
      <t>Temperature note missing</t>
    </r>
  </si>
  <si>
    <t>no-reset-grayscale-all</t>
  </si>
  <si>
    <r>
      <t xml:space="preserve">Forgot to reset calibration
Left greyscale mode all on from doing reflection/preview capturing
</t>
    </r>
    <r>
      <rPr>
        <b/>
        <sz val="10"/>
        <color theme="1"/>
        <rFont val="Arial"/>
        <family val="2"/>
      </rPr>
      <t>Temperature missing from this and daily entry</t>
    </r>
  </si>
  <si>
    <t>WE/IE ratio shows camera is stable throughout trials - this is a good finding; camera isn't in drift over time it is fixed. Earlier logs show camera #11 as persistent faults (steady, low-variance, consistently above median), but speed trials focused on it look good</t>
  </si>
  <si>
    <t>Determine whether waving the wand faster or slower is better for camera health/calibration</t>
  </si>
  <si>
    <r>
      <t xml:space="preserve">Fast beats slow but not significantly. Using auto-stop so the error difference between fast and slow isn't a frame-count effect, it's wave dynamics from coverage per t, blur/visibility etc
</t>
    </r>
    <r>
      <rPr>
        <b/>
        <sz val="11"/>
        <color theme="1"/>
        <rFont val="Calibri"/>
        <family val="2"/>
      </rPr>
      <t>To repeat 5-6 reps per condition, with defined wand wave methodology</t>
    </r>
  </si>
  <si>
    <t>reflection-trial-2</t>
  </si>
  <si>
    <r>
      <rPr>
        <b/>
        <sz val="8"/>
        <color theme="1"/>
        <rFont val="Arial"/>
        <family val="2"/>
      </rPr>
      <t>Waving in figure 8</t>
    </r>
    <r>
      <rPr>
        <sz val="8"/>
        <color theme="1"/>
        <rFont val="Arial"/>
        <family val="2"/>
      </rPr>
      <t>, slowly - as though you're pushing water - pushing downards whilst walking around the room in a square</t>
    </r>
  </si>
  <si>
    <t/>
  </si>
  <si>
    <t>Other notes - error results, experiment process, etc.</t>
  </si>
  <si>
    <t>Other notes to combine</t>
  </si>
  <si>
    <t>Calibrations earlier to 31/07/26 discarded error data &amp; predate error tracking tabs</t>
  </si>
  <si>
    <t>Camera Bumping Error Count</t>
  </si>
  <si>
    <t>Camera by ID</t>
  </si>
  <si>
    <t>KEY</t>
  </si>
  <si>
    <t>x</t>
  </si>
  <si>
    <t>Relative position calibration error</t>
  </si>
  <si>
    <t>Auto-stop straggler</t>
  </si>
  <si>
    <t>daily 13/08</t>
  </si>
  <si>
    <t>daily 14/08</t>
  </si>
  <si>
    <t>daily 18/08</t>
  </si>
  <si>
    <t>daily 19/08</t>
  </si>
  <si>
    <t>daily 17/08 calibrate 2</t>
  </si>
  <si>
    <t>daily 17/08 calibrate 1</t>
  </si>
  <si>
    <t>daily 17/08 calibrate 3 (n/a)</t>
  </si>
  <si>
    <t>daily 28/08</t>
  </si>
  <si>
    <t>daily 21/08</t>
  </si>
  <si>
    <t>error 21/08</t>
  </si>
  <si>
    <t>baseline is the same day's daily 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</si>
</sst>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 \(\C\)"/>
    <numFmt numFmtId="166" formatCode="hh:mm:ss;@"/>
  </numFmts>
  <fonts count="50" x14ac:knownFonts="1">
    <font>
      <sz val="11"/>
      <color theme="1"/>
      <name val="Calibri"/>
      <family val="2"/>
      <charset val="1"/>
    </font>
    <font>
      <b/>
      <sz val="14"/>
      <name val="Arial"/>
      <family val="2"/>
    </font>
    <font>
      <sz val="11"/>
      <name val="Arial"/>
      <family val="2"/>
    </font>
    <font>
      <b/>
      <sz val="11"/>
      <name val="Arial"/>
      <family val="2"/>
    </font>
    <font>
      <b/>
      <sz val="12"/>
      <color rgb="FFFFFFFF"/>
      <name val="Arial"/>
      <family val="2"/>
    </font>
    <font>
      <b/>
      <sz val="10"/>
      <color rgb="FFFFFFFF"/>
      <name val="Arial"/>
      <family val="2"/>
    </font>
    <font>
      <b/>
      <sz val="11"/>
      <color theme="1"/>
      <name val="Calibri"/>
      <family val="2"/>
    </font>
    <font>
      <b/>
      <sz val="11"/>
      <color theme="0"/>
      <name val="Arial"/>
      <family val="2"/>
    </font>
    <font>
      <b/>
      <sz val="12"/>
      <color theme="1"/>
      <name val="Calibri"/>
      <family val="2"/>
    </font>
    <font>
      <sz val="10"/>
      <color rgb="FFFFFFFF"/>
      <name val="Arial"/>
      <family val="2"/>
    </font>
    <font>
      <sz val="9"/>
      <color indexed="81"/>
      <name val="Tahoma"/>
      <family val="2"/>
    </font>
    <font>
      <b/>
      <sz val="9"/>
      <color indexed="81"/>
      <name val="Tahoma"/>
      <family val="2"/>
    </font>
    <font>
      <sz val="11"/>
      <color theme="1"/>
      <name val="Arial"/>
      <family val="2"/>
    </font>
    <font>
      <sz val="10"/>
      <color theme="1"/>
      <name val="Arial"/>
      <family val="2"/>
    </font>
    <font>
      <b/>
      <sz val="11"/>
      <color theme="1"/>
      <name val="Arial"/>
      <family val="2"/>
    </font>
    <font>
      <sz val="11"/>
      <color theme="0"/>
      <name val="Calibri"/>
      <family val="2"/>
      <charset val="1"/>
    </font>
    <font>
      <b/>
      <sz val="10"/>
      <color theme="1"/>
      <name val="Arial"/>
      <family val="2"/>
    </font>
    <font>
      <b/>
      <sz val="10"/>
      <color theme="0"/>
      <name val="Arial"/>
      <family val="2"/>
    </font>
    <font>
      <b/>
      <sz val="12"/>
      <color theme="0"/>
      <name val="Arial"/>
      <family val="2"/>
    </font>
    <font>
      <b/>
      <sz val="10"/>
      <color theme="0"/>
      <name val="Calibri"/>
      <family val="2"/>
    </font>
    <font>
      <b/>
      <sz val="24"/>
      <color rgb="FFFF0000"/>
      <name val="Calibri"/>
      <family val="2"/>
    </font>
    <font>
      <sz val="8"/>
      <color rgb="FFFFFFFF"/>
      <name val="Arial"/>
      <family val="2"/>
    </font>
    <font>
      <sz val="10"/>
      <name val="Arial"/>
      <family val="2"/>
    </font>
    <font>
      <sz val="10"/>
      <color theme="0"/>
      <name val="Arial"/>
      <family val="2"/>
    </font>
    <font>
      <sz val="8"/>
      <color theme="1"/>
      <name val="Calibri"/>
      <family val="2"/>
      <charset val="1"/>
    </font>
    <font>
      <sz val="8"/>
      <color theme="1"/>
      <name val="Calibri"/>
      <family val="2"/>
    </font>
    <font>
      <b/>
      <sz val="8"/>
      <color theme="1"/>
      <name val="Calibri"/>
      <family val="2"/>
    </font>
    <font>
      <sz val="8"/>
      <name val="Arial"/>
      <family val="2"/>
    </font>
    <font>
      <sz val="8"/>
      <color theme="0"/>
      <name val="Arial"/>
      <family val="2"/>
    </font>
    <font>
      <b/>
      <sz val="8"/>
      <color theme="0"/>
      <name val="Arial"/>
      <family val="2"/>
    </font>
    <font>
      <u/>
      <sz val="8"/>
      <color theme="0"/>
      <name val="Arial"/>
      <family val="2"/>
    </font>
    <font>
      <sz val="8"/>
      <color theme="1"/>
      <name val="Arial"/>
      <family val="2"/>
    </font>
    <font>
      <b/>
      <sz val="8"/>
      <color theme="1"/>
      <name val="Arial"/>
      <family val="2"/>
    </font>
    <font>
      <b/>
      <sz val="8"/>
      <color rgb="FFFFFFFF"/>
      <name val="Arial"/>
      <family val="2"/>
    </font>
    <font>
      <b/>
      <sz val="11"/>
      <color rgb="FFFF0000"/>
      <name val="Arial"/>
      <family val="2"/>
    </font>
    <font>
      <b/>
      <sz val="12"/>
      <color theme="1"/>
      <name val="Arial"/>
      <family val="2"/>
    </font>
    <font>
      <b/>
      <u/>
      <sz val="8"/>
      <color theme="1"/>
      <name val="Arial"/>
      <family val="2"/>
    </font>
    <font>
      <b/>
      <sz val="8"/>
      <color theme="0"/>
      <name val="Calibri"/>
      <family val="2"/>
    </font>
    <font>
      <sz val="8"/>
      <name val="Calibri"/>
      <family val="2"/>
      <charset val="1"/>
    </font>
    <font>
      <b/>
      <sz val="11"/>
      <color theme="0"/>
      <name val="Calibri"/>
      <family val="2"/>
      <charset val="1"/>
    </font>
    <font>
      <sz val="11"/>
      <color rgb="FFFF0000"/>
      <name val="Calibri"/>
      <family val="2"/>
      <charset val="1"/>
    </font>
    <font>
      <i/>
      <sz val="11"/>
      <color theme="1"/>
      <name val="Arial"/>
      <family val="2"/>
    </font>
    <font>
      <b/>
      <sz val="10"/>
      <color theme="1"/>
      <name val="Calibri"/>
      <family val="2"/>
    </font>
    <font>
      <b/>
      <sz val="11"/>
      <color theme="0"/>
      <name val="Calibri"/>
      <family val="2"/>
    </font>
    <font>
      <sz val="11"/>
      <color theme="1"/>
      <name val="Calibri"/>
      <family val="2"/>
    </font>
    <font>
      <sz val="10"/>
      <color theme="1"/>
      <name val="Calibri"/>
      <family val="2"/>
    </font>
    <font>
      <b/>
      <u/>
      <sz val="11"/>
      <name val="Calibri"/>
      <family val="2"/>
    </font>
    <font>
      <i/>
      <sz val="11"/>
      <name val="Calibri"/>
      <family val="2"/>
    </font>
    <font>
      <sz val="11"/>
      <color theme="1" tint="0.249977111117893"/>
      <name val="Calibri"/>
      <family val="2"/>
      <charset val="1"/>
    </font>
    <font>
      <sz val="11"/>
      <name val="Calibri"/>
      <family val="2"/>
    </font>
  </fonts>
  <fills count="28">
    <fill>
      <patternFill patternType="none"/>
    </fill>
    <fill>
      <patternFill patternType="gray125"/>
    </fill>
    <fill>
      <patternFill patternType="solid">
        <fgColor rgb="FF1F4E78"/>
        <bgColor rgb="FF003366"/>
      </patternFill>
    </fill>
    <fill>
      <patternFill patternType="solid">
        <fgColor rgb="FF8BB8E1"/>
        <bgColor rgb="FF003366"/>
      </patternFill>
    </fill>
    <fill>
      <patternFill patternType="solid">
        <fgColor theme="0" tint="-4.9989318521683403E-2"/>
        <bgColor indexed="64"/>
      </patternFill>
    </fill>
    <fill>
      <patternFill patternType="solid">
        <fgColor theme="1" tint="0.34998626667073579"/>
        <bgColor indexed="64"/>
      </patternFill>
    </fill>
    <fill>
      <patternFill patternType="solid">
        <fgColor theme="0"/>
        <bgColor indexed="64"/>
      </patternFill>
    </fill>
    <fill>
      <patternFill patternType="solid">
        <fgColor theme="0" tint="-0.14999847407452621"/>
        <bgColor indexed="64"/>
      </patternFill>
    </fill>
    <fill>
      <patternFill patternType="solid">
        <fgColor theme="5" tint="-0.249977111117893"/>
        <bgColor rgb="FF003366"/>
      </patternFill>
    </fill>
    <fill>
      <patternFill patternType="solid">
        <fgColor rgb="FFFF7128"/>
        <bgColor indexed="64"/>
      </patternFill>
    </fill>
    <fill>
      <patternFill patternType="solid">
        <fgColor theme="6" tint="0.39997558519241921"/>
        <bgColor indexed="64"/>
      </patternFill>
    </fill>
    <fill>
      <patternFill patternType="solid">
        <fgColor theme="3"/>
        <bgColor indexed="64"/>
      </patternFill>
    </fill>
    <fill>
      <patternFill patternType="solid">
        <fgColor rgb="FFFFCCCC"/>
        <bgColor indexed="64"/>
      </patternFill>
    </fill>
    <fill>
      <patternFill patternType="solid">
        <fgColor rgb="FFFF7128"/>
        <bgColor rgb="FF003366"/>
      </patternFill>
    </fill>
    <fill>
      <patternFill patternType="solid">
        <fgColor theme="1" tint="0.249977111117893"/>
        <bgColor indexed="64"/>
      </patternFill>
    </fill>
    <fill>
      <patternFill patternType="solid">
        <fgColor rgb="FF1F4E78"/>
        <bgColor indexed="64"/>
      </patternFill>
    </fill>
    <fill>
      <patternFill patternType="solid">
        <fgColor theme="3" tint="0.39997558519241921"/>
        <bgColor indexed="64"/>
      </patternFill>
    </fill>
    <fill>
      <patternFill patternType="solid">
        <fgColor theme="1" tint="0.14999847407452621"/>
        <bgColor indexed="64"/>
      </patternFill>
    </fill>
    <fill>
      <patternFill patternType="solid">
        <fgColor rgb="FFF2F2F2"/>
        <bgColor indexed="64"/>
      </patternFill>
    </fill>
    <fill>
      <patternFill patternType="solid">
        <fgColor theme="6" tint="-0.249977111117893"/>
        <bgColor indexed="64"/>
      </patternFill>
    </fill>
    <fill>
      <patternFill patternType="solid">
        <fgColor theme="5" tint="0.59999389629810485"/>
        <bgColor indexed="64"/>
      </patternFill>
    </fill>
    <fill>
      <patternFill patternType="solid">
        <fgColor rgb="FF92D050"/>
        <bgColor indexed="64"/>
      </patternFill>
    </fill>
    <fill>
      <patternFill patternType="solid">
        <fgColor theme="2" tint="-0.499984740745262"/>
        <bgColor rgb="FF003366"/>
      </patternFill>
    </fill>
    <fill>
      <patternFill patternType="solid">
        <fgColor theme="5" tint="0.39997558519241921"/>
        <bgColor indexed="64"/>
      </patternFill>
    </fill>
    <fill>
      <patternFill patternType="solid">
        <fgColor theme="4" tint="0.39997558519241921"/>
        <bgColor rgb="FF003366"/>
      </patternFill>
    </fill>
    <fill>
      <patternFill patternType="solid">
        <fgColor theme="4" tint="0.59999389629810485"/>
        <bgColor indexed="64"/>
      </patternFill>
    </fill>
    <fill>
      <patternFill patternType="solid">
        <fgColor theme="0" tint="-0.499984740745262"/>
        <bgColor indexed="64"/>
      </patternFill>
    </fill>
    <fill>
      <patternFill patternType="solid">
        <fgColor theme="9" tint="-0.249977111117893"/>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style="medium">
        <color indexed="64"/>
      </bottom>
      <diagonal/>
    </border>
    <border>
      <left/>
      <right/>
      <top style="thin">
        <color indexed="64"/>
      </top>
      <bottom/>
      <diagonal/>
    </border>
    <border>
      <left/>
      <right/>
      <top/>
      <bottom style="medium">
        <color indexed="64"/>
      </bottom>
      <diagonal/>
    </border>
    <border>
      <left style="thin">
        <color indexed="64"/>
      </left>
      <right style="thin">
        <color indexed="64"/>
      </right>
      <top/>
      <bottom style="thin">
        <color indexed="64"/>
      </bottom>
      <diagonal/>
    </border>
  </borders>
  <cellStyleXfs count="1">
    <xf numFmtId="0" fontId="0" fillId="0" borderId="0"/>
  </cellStyleXfs>
  <cellXfs count="152">
    <xf numFmtId="0" fontId="0" fillId="0" borderId="0" xfId="0"/>
    <xf numFmtId="0" fontId="1" fillId="0" borderId="0" xfId="0" applyFont="1"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0" fillId="0" borderId="0" xfId="0" applyAlignment="1">
      <alignment horizontal="center" vertical="center"/>
    </xf>
    <xf numFmtId="14" fontId="2" fillId="0" borderId="0" xfId="0" applyNumberFormat="1" applyFont="1" applyAlignment="1">
      <alignment horizontal="center" vertical="center"/>
    </xf>
    <xf numFmtId="164" fontId="2" fillId="0" borderId="0" xfId="0" applyNumberFormat="1" applyFont="1" applyAlignment="1">
      <alignment horizontal="center" vertical="center"/>
    </xf>
    <xf numFmtId="3" fontId="2" fillId="0" borderId="0" xfId="0" applyNumberFormat="1" applyFont="1" applyAlignment="1">
      <alignment horizontal="center" vertical="center"/>
    </xf>
    <xf numFmtId="0" fontId="0" fillId="4" borderId="0" xfId="0" applyFill="1"/>
    <xf numFmtId="0" fontId="0" fillId="4" borderId="0" xfId="0" applyFill="1" applyAlignment="1">
      <alignment horizontal="center" vertical="center"/>
    </xf>
    <xf numFmtId="0" fontId="0" fillId="4" borderId="0" xfId="0" applyFill="1" applyAlignment="1">
      <alignment horizontal="left" vertical="center"/>
    </xf>
    <xf numFmtId="0" fontId="8" fillId="6" borderId="1" xfId="0" applyFont="1" applyFill="1" applyBorder="1" applyAlignment="1">
      <alignment horizontal="center" vertical="center" wrapText="1"/>
    </xf>
    <xf numFmtId="0" fontId="8" fillId="6" borderId="1" xfId="0" applyFont="1" applyFill="1" applyBorder="1" applyAlignment="1">
      <alignment horizontal="center" vertical="center"/>
    </xf>
    <xf numFmtId="0" fontId="6" fillId="6" borderId="1" xfId="0" applyFont="1" applyFill="1" applyBorder="1" applyAlignment="1">
      <alignment horizontal="center" vertical="center"/>
    </xf>
    <xf numFmtId="0" fontId="0" fillId="6" borderId="1" xfId="0" applyFill="1" applyBorder="1" applyAlignment="1">
      <alignment horizontal="center" vertical="center"/>
    </xf>
    <xf numFmtId="165" fontId="2" fillId="0" borderId="0" xfId="0" applyNumberFormat="1" applyFont="1" applyAlignment="1">
      <alignment horizontal="center" vertical="center"/>
    </xf>
    <xf numFmtId="166" fontId="2" fillId="0" borderId="0" xfId="0" applyNumberFormat="1" applyFont="1" applyAlignment="1">
      <alignment horizontal="center" vertical="center"/>
    </xf>
    <xf numFmtId="1" fontId="2" fillId="0" borderId="0" xfId="0" applyNumberFormat="1" applyFont="1" applyAlignment="1">
      <alignment horizontal="center" vertical="center"/>
    </xf>
    <xf numFmtId="10" fontId="2" fillId="0" borderId="0" xfId="0" applyNumberFormat="1" applyFont="1" applyAlignment="1">
      <alignment horizontal="center" vertical="center"/>
    </xf>
    <xf numFmtId="14" fontId="12" fillId="0" borderId="0" xfId="0" applyNumberFormat="1" applyFont="1" applyAlignment="1">
      <alignment horizontal="center" vertical="center"/>
    </xf>
    <xf numFmtId="0" fontId="12" fillId="0" borderId="0" xfId="0" applyFont="1" applyAlignment="1">
      <alignment horizontal="center" vertical="center"/>
    </xf>
    <xf numFmtId="165" fontId="12" fillId="0" borderId="0" xfId="0" applyNumberFormat="1" applyFont="1" applyAlignment="1">
      <alignment horizontal="center" vertical="center"/>
    </xf>
    <xf numFmtId="0" fontId="12" fillId="0" borderId="0" xfId="0" applyFont="1" applyAlignment="1">
      <alignment horizontal="center" vertical="center" wrapText="1"/>
    </xf>
    <xf numFmtId="166" fontId="12" fillId="0" borderId="0" xfId="0" applyNumberFormat="1" applyFont="1" applyAlignment="1">
      <alignment horizontal="center" vertical="center"/>
    </xf>
    <xf numFmtId="1" fontId="12" fillId="0" borderId="0" xfId="0" applyNumberFormat="1" applyFont="1" applyAlignment="1">
      <alignment horizontal="center" vertical="center"/>
    </xf>
    <xf numFmtId="10" fontId="12" fillId="0" borderId="0" xfId="0" applyNumberFormat="1" applyFont="1" applyAlignment="1">
      <alignment horizontal="center" vertical="center"/>
    </xf>
    <xf numFmtId="0" fontId="14" fillId="0" borderId="0" xfId="0" applyFont="1" applyAlignment="1">
      <alignment horizontal="center" vertical="center" wrapText="1"/>
    </xf>
    <xf numFmtId="0" fontId="6" fillId="0" borderId="0" xfId="0" applyFont="1"/>
    <xf numFmtId="0" fontId="15" fillId="0" borderId="0" xfId="0" applyFont="1" applyAlignment="1">
      <alignment horizontal="center" vertical="center"/>
    </xf>
    <xf numFmtId="0" fontId="14" fillId="0" borderId="0" xfId="0" applyFont="1" applyAlignment="1">
      <alignment horizontal="center" vertical="center"/>
    </xf>
    <xf numFmtId="0" fontId="14" fillId="10" borderId="1" xfId="0" applyFont="1" applyFill="1" applyBorder="1" applyAlignment="1">
      <alignment horizontal="center" vertical="center"/>
    </xf>
    <xf numFmtId="0" fontId="20" fillId="0" borderId="0" xfId="0" applyFont="1"/>
    <xf numFmtId="0" fontId="0" fillId="0" borderId="0" xfId="0" applyAlignment="1">
      <alignment vertical="center"/>
    </xf>
    <xf numFmtId="0" fontId="13" fillId="0" borderId="5" xfId="0" applyFont="1" applyBorder="1" applyAlignment="1">
      <alignment horizontal="center" vertical="center"/>
    </xf>
    <xf numFmtId="0" fontId="13" fillId="0" borderId="9" xfId="0" applyFont="1" applyBorder="1" applyAlignment="1">
      <alignment horizontal="center" vertical="center"/>
    </xf>
    <xf numFmtId="0" fontId="13" fillId="0" borderId="4" xfId="0" applyFont="1" applyBorder="1" applyAlignment="1">
      <alignment horizontal="center" vertical="center"/>
    </xf>
    <xf numFmtId="1" fontId="22" fillId="0" borderId="0" xfId="0" applyNumberFormat="1" applyFont="1" applyAlignment="1">
      <alignment horizontal="center" vertical="center"/>
    </xf>
    <xf numFmtId="14" fontId="22" fillId="0" borderId="0" xfId="0" applyNumberFormat="1" applyFont="1" applyAlignment="1">
      <alignment horizontal="center" vertical="center"/>
    </xf>
    <xf numFmtId="0" fontId="22" fillId="0" borderId="9" xfId="0" applyFont="1" applyBorder="1" applyAlignment="1">
      <alignment horizontal="center" vertical="center"/>
    </xf>
    <xf numFmtId="164" fontId="22" fillId="0" borderId="5" xfId="0" applyNumberFormat="1" applyFont="1" applyBorder="1" applyAlignment="1">
      <alignment horizontal="center" vertical="center"/>
    </xf>
    <xf numFmtId="164" fontId="22" fillId="0" borderId="4" xfId="0" applyNumberFormat="1" applyFont="1" applyBorder="1" applyAlignment="1">
      <alignment horizontal="center" vertical="center"/>
    </xf>
    <xf numFmtId="1" fontId="13" fillId="0" borderId="0" xfId="0" applyNumberFormat="1" applyFont="1" applyAlignment="1">
      <alignment horizontal="center" vertical="center"/>
    </xf>
    <xf numFmtId="14" fontId="18" fillId="15" borderId="6" xfId="0" applyNumberFormat="1" applyFont="1" applyFill="1" applyBorder="1" applyAlignment="1">
      <alignment horizontal="center" vertical="center" wrapText="1"/>
    </xf>
    <xf numFmtId="0" fontId="4" fillId="15" borderId="1" xfId="0" applyFont="1" applyFill="1" applyBorder="1" applyAlignment="1">
      <alignment horizontal="center" vertical="center" wrapText="1"/>
    </xf>
    <xf numFmtId="0" fontId="5" fillId="15" borderId="1" xfId="0" applyFont="1" applyFill="1" applyBorder="1" applyAlignment="1">
      <alignment horizontal="center" vertical="center" wrapText="1"/>
    </xf>
    <xf numFmtId="1" fontId="2" fillId="7" borderId="0" xfId="0" applyNumberFormat="1" applyFont="1" applyFill="1" applyAlignment="1">
      <alignment horizontal="center" vertical="center"/>
    </xf>
    <xf numFmtId="0" fontId="18" fillId="9" borderId="1" xfId="0" applyFont="1" applyFill="1" applyBorder="1" applyAlignment="1">
      <alignment horizontal="center" vertical="center"/>
    </xf>
    <xf numFmtId="0" fontId="27" fillId="0" borderId="0" xfId="0" applyFont="1" applyAlignment="1">
      <alignment horizontal="center" vertical="center"/>
    </xf>
    <xf numFmtId="0" fontId="31" fillId="0" borderId="0" xfId="0" applyFont="1" applyAlignment="1">
      <alignment horizontal="center" vertical="center"/>
    </xf>
    <xf numFmtId="0" fontId="33" fillId="15" borderId="6" xfId="0" applyFont="1" applyFill="1" applyBorder="1" applyAlignment="1">
      <alignment horizontal="center" vertical="center" wrapText="1"/>
    </xf>
    <xf numFmtId="1" fontId="4" fillId="16" borderId="6" xfId="0" applyNumberFormat="1" applyFont="1" applyFill="1" applyBorder="1" applyAlignment="1">
      <alignment horizontal="center" vertical="center" wrapText="1"/>
    </xf>
    <xf numFmtId="14" fontId="18" fillId="9" borderId="1" xfId="0" applyNumberFormat="1" applyFont="1" applyFill="1" applyBorder="1" applyAlignment="1">
      <alignment horizontal="center" vertical="center"/>
    </xf>
    <xf numFmtId="0" fontId="3" fillId="0" borderId="0" xfId="0" applyFont="1" applyAlignment="1">
      <alignment horizontal="center" vertical="center"/>
    </xf>
    <xf numFmtId="0" fontId="13" fillId="0" borderId="0" xfId="0" applyFont="1" applyAlignment="1">
      <alignment horizontal="left" vertical="center" wrapText="1" indent="1"/>
    </xf>
    <xf numFmtId="0" fontId="16" fillId="0" borderId="0" xfId="0" applyFont="1" applyAlignment="1">
      <alignment horizontal="left" vertical="center" wrapText="1" indent="1"/>
    </xf>
    <xf numFmtId="14" fontId="13" fillId="0" borderId="0" xfId="0" applyNumberFormat="1" applyFont="1" applyAlignment="1">
      <alignment horizontal="left" vertical="center" wrapText="1" indent="1"/>
    </xf>
    <xf numFmtId="0" fontId="0" fillId="0" borderId="0" xfId="0" applyAlignment="1">
      <alignment horizontal="left" vertical="center" wrapText="1" indent="1"/>
    </xf>
    <xf numFmtId="0" fontId="0" fillId="9" borderId="6" xfId="0" applyFill="1" applyBorder="1" applyAlignment="1">
      <alignment horizontal="center" vertical="center"/>
    </xf>
    <xf numFmtId="1" fontId="4" fillId="9" borderId="13" xfId="0" applyNumberFormat="1" applyFont="1" applyFill="1" applyBorder="1" applyAlignment="1">
      <alignment horizontal="center" vertical="center" wrapText="1"/>
    </xf>
    <xf numFmtId="0" fontId="13" fillId="0" borderId="0" xfId="0" applyFont="1" applyAlignment="1">
      <alignment horizontal="left" vertical="center" indent="1"/>
    </xf>
    <xf numFmtId="0" fontId="35" fillId="0" borderId="0" xfId="0" applyFont="1" applyAlignment="1">
      <alignment horizontal="center" vertical="center" wrapText="1"/>
    </xf>
    <xf numFmtId="20" fontId="35" fillId="0" borderId="0" xfId="0" applyNumberFormat="1" applyFont="1" applyAlignment="1">
      <alignment horizontal="center" vertical="center" wrapText="1"/>
    </xf>
    <xf numFmtId="0" fontId="12" fillId="0" borderId="0" xfId="0" applyFont="1" applyAlignment="1">
      <alignment horizontal="left" vertical="center"/>
    </xf>
    <xf numFmtId="0" fontId="4" fillId="13" borderId="13" xfId="0" applyFont="1" applyFill="1" applyBorder="1" applyAlignment="1">
      <alignment horizontal="center" vertical="center" wrapText="1"/>
    </xf>
    <xf numFmtId="165" fontId="4" fillId="2" borderId="13" xfId="0" applyNumberFormat="1" applyFont="1" applyFill="1" applyBorder="1" applyAlignment="1">
      <alignment horizontal="center" vertical="center" wrapText="1"/>
    </xf>
    <xf numFmtId="0" fontId="18" fillId="15" borderId="13" xfId="0" applyFont="1" applyFill="1" applyBorder="1" applyAlignment="1">
      <alignment horizontal="center" vertical="center" wrapText="1"/>
    </xf>
    <xf numFmtId="1" fontId="4" fillId="2" borderId="13" xfId="0" applyNumberFormat="1" applyFont="1" applyFill="1" applyBorder="1" applyAlignment="1">
      <alignment horizontal="center" vertical="center" wrapText="1"/>
    </xf>
    <xf numFmtId="10" fontId="4" fillId="13" borderId="13" xfId="0" applyNumberFormat="1" applyFont="1" applyFill="1" applyBorder="1" applyAlignment="1">
      <alignment horizontal="center" vertical="center" wrapText="1"/>
    </xf>
    <xf numFmtId="164" fontId="3" fillId="0" borderId="0" xfId="0" applyNumberFormat="1" applyFont="1" applyAlignment="1">
      <alignment horizontal="center" vertical="center"/>
    </xf>
    <xf numFmtId="1" fontId="4" fillId="13" borderId="13" xfId="0" applyNumberFormat="1" applyFont="1" applyFill="1" applyBorder="1" applyAlignment="1">
      <alignment horizontal="center" vertical="center" wrapText="1"/>
    </xf>
    <xf numFmtId="1" fontId="4" fillId="15" borderId="8" xfId="0" applyNumberFormat="1" applyFont="1" applyFill="1" applyBorder="1" applyAlignment="1">
      <alignment horizontal="center" vertical="center" wrapText="1"/>
    </xf>
    <xf numFmtId="0" fontId="0" fillId="15" borderId="6" xfId="0" applyFill="1" applyBorder="1" applyAlignment="1">
      <alignment horizontal="left" vertical="center" indent="1"/>
    </xf>
    <xf numFmtId="0" fontId="0" fillId="16" borderId="6" xfId="0" applyFill="1" applyBorder="1" applyAlignment="1">
      <alignment horizontal="left" vertical="center" indent="1"/>
    </xf>
    <xf numFmtId="0" fontId="0" fillId="18" borderId="0" xfId="0" applyFill="1" applyAlignment="1">
      <alignment horizontal="center" vertical="center"/>
    </xf>
    <xf numFmtId="0" fontId="8" fillId="18" borderId="0" xfId="0" applyFont="1" applyFill="1" applyAlignment="1">
      <alignment horizontal="center" vertical="center"/>
    </xf>
    <xf numFmtId="0" fontId="12" fillId="18" borderId="0" xfId="0" applyFont="1" applyFill="1" applyAlignment="1">
      <alignment horizontal="center" vertical="center"/>
    </xf>
    <xf numFmtId="0" fontId="0" fillId="18" borderId="0" xfId="0" applyFill="1"/>
    <xf numFmtId="0" fontId="14" fillId="19" borderId="1" xfId="0" applyFont="1" applyFill="1" applyBorder="1" applyAlignment="1">
      <alignment horizontal="center" vertical="center"/>
    </xf>
    <xf numFmtId="14" fontId="3" fillId="0" borderId="0" xfId="0" applyNumberFormat="1" applyFont="1" applyAlignment="1">
      <alignment horizontal="center" vertical="center"/>
    </xf>
    <xf numFmtId="1" fontId="5" fillId="15" borderId="13" xfId="0" applyNumberFormat="1" applyFont="1" applyFill="1" applyBorder="1" applyAlignment="1">
      <alignment horizontal="center" vertical="center" wrapText="1"/>
    </xf>
    <xf numFmtId="14" fontId="27" fillId="0" borderId="0" xfId="0" applyNumberFormat="1" applyFont="1" applyAlignment="1">
      <alignment horizontal="center" vertical="center"/>
    </xf>
    <xf numFmtId="164" fontId="22" fillId="0" borderId="0" xfId="0" applyNumberFormat="1" applyFont="1" applyAlignment="1">
      <alignment horizontal="center" vertical="center"/>
    </xf>
    <xf numFmtId="165" fontId="3" fillId="20" borderId="0" xfId="0" applyNumberFormat="1" applyFont="1" applyFill="1" applyAlignment="1">
      <alignment horizontal="center" vertical="center"/>
    </xf>
    <xf numFmtId="0" fontId="0" fillId="0" borderId="0" xfId="0" applyAlignment="1">
      <alignment horizontal="center" vertical="center" wrapText="1"/>
    </xf>
    <xf numFmtId="0" fontId="34" fillId="7" borderId="1" xfId="0" applyFont="1" applyFill="1" applyBorder="1" applyAlignment="1">
      <alignment horizontal="left" vertical="center" wrapText="1" indent="1"/>
    </xf>
    <xf numFmtId="0" fontId="34" fillId="7" borderId="1" xfId="0" applyFont="1" applyFill="1" applyBorder="1" applyAlignment="1">
      <alignment horizontal="left" vertical="center" indent="1"/>
    </xf>
    <xf numFmtId="0" fontId="19" fillId="14" borderId="6" xfId="0" applyFont="1" applyFill="1" applyBorder="1" applyAlignment="1">
      <alignment horizontal="left" vertical="center" indent="1"/>
    </xf>
    <xf numFmtId="0" fontId="19" fillId="14" borderId="8" xfId="0" applyFont="1" applyFill="1" applyBorder="1" applyAlignment="1">
      <alignment horizontal="left" vertical="center" indent="1"/>
    </xf>
    <xf numFmtId="0" fontId="19" fillId="14" borderId="7" xfId="0" applyFont="1" applyFill="1" applyBorder="1" applyAlignment="1">
      <alignment horizontal="left" vertical="center" indent="1"/>
    </xf>
    <xf numFmtId="0" fontId="19" fillId="14" borderId="1" xfId="0" applyFont="1" applyFill="1" applyBorder="1" applyAlignment="1">
      <alignment horizontal="left" vertical="center" indent="1"/>
    </xf>
    <xf numFmtId="0" fontId="37" fillId="14" borderId="2" xfId="0" applyFont="1" applyFill="1" applyBorder="1" applyAlignment="1">
      <alignment horizontal="left" vertical="center" wrapText="1" indent="1"/>
    </xf>
    <xf numFmtId="0" fontId="37" fillId="14" borderId="11" xfId="0" applyFont="1" applyFill="1" applyBorder="1" applyAlignment="1">
      <alignment horizontal="left" vertical="center" wrapText="1" indent="1"/>
    </xf>
    <xf numFmtId="0" fontId="19" fillId="14" borderId="1" xfId="0" applyFont="1" applyFill="1" applyBorder="1" applyAlignment="1">
      <alignment horizontal="center" vertical="center"/>
    </xf>
    <xf numFmtId="0" fontId="25" fillId="12" borderId="6" xfId="0" applyFont="1" applyFill="1" applyBorder="1" applyAlignment="1">
      <alignment horizontal="center" vertical="center"/>
    </xf>
    <xf numFmtId="0" fontId="25" fillId="12" borderId="8" xfId="0" applyFont="1" applyFill="1" applyBorder="1" applyAlignment="1">
      <alignment horizontal="center" vertical="center"/>
    </xf>
    <xf numFmtId="0" fontId="25" fillId="12" borderId="7" xfId="0" applyFont="1" applyFill="1" applyBorder="1" applyAlignment="1">
      <alignment horizontal="center" vertical="center"/>
    </xf>
    <xf numFmtId="0" fontId="32" fillId="0" borderId="1" xfId="0" applyFont="1" applyBorder="1" applyAlignment="1">
      <alignment horizontal="left" vertical="center" wrapText="1" indent="1"/>
    </xf>
    <xf numFmtId="0" fontId="7" fillId="11" borderId="1" xfId="0" applyFont="1" applyFill="1" applyBorder="1" applyAlignment="1">
      <alignment horizontal="center" vertical="center" wrapText="1"/>
    </xf>
    <xf numFmtId="0" fontId="7" fillId="11" borderId="10" xfId="0" applyFont="1" applyFill="1" applyBorder="1" applyAlignment="1">
      <alignment horizontal="center" vertical="center"/>
    </xf>
    <xf numFmtId="0" fontId="31" fillId="0" borderId="1" xfId="0" applyFont="1" applyBorder="1" applyAlignment="1">
      <alignment horizontal="left" vertical="center" wrapText="1" indent="1"/>
    </xf>
    <xf numFmtId="0" fontId="24" fillId="7" borderId="8" xfId="0" applyFont="1" applyFill="1" applyBorder="1" applyAlignment="1">
      <alignment horizontal="left" indent="1"/>
    </xf>
    <xf numFmtId="0" fontId="24" fillId="7" borderId="7" xfId="0" applyFont="1" applyFill="1" applyBorder="1" applyAlignment="1">
      <alignment horizontal="left" indent="1"/>
    </xf>
    <xf numFmtId="0" fontId="25" fillId="12" borderId="8" xfId="0" applyFont="1" applyFill="1" applyBorder="1" applyAlignment="1">
      <alignment horizontal="left" indent="1"/>
    </xf>
    <xf numFmtId="0" fontId="25" fillId="12" borderId="7" xfId="0" applyFont="1" applyFill="1" applyBorder="1" applyAlignment="1">
      <alignment horizontal="left" indent="1"/>
    </xf>
    <xf numFmtId="0" fontId="28" fillId="5" borderId="11" xfId="0" applyFont="1" applyFill="1" applyBorder="1" applyAlignment="1">
      <alignment horizontal="left" vertical="center" wrapText="1" indent="1"/>
    </xf>
    <xf numFmtId="0" fontId="23" fillId="5" borderId="11" xfId="0" applyFont="1" applyFill="1" applyBorder="1" applyAlignment="1">
      <alignment horizontal="left" vertical="center" wrapText="1" indent="1"/>
    </xf>
    <xf numFmtId="0" fontId="23" fillId="5" borderId="3" xfId="0" applyFont="1" applyFill="1" applyBorder="1" applyAlignment="1">
      <alignment horizontal="left" vertical="center" wrapText="1" indent="1"/>
    </xf>
    <xf numFmtId="0" fontId="4" fillId="15" borderId="1" xfId="0" applyFont="1" applyFill="1" applyBorder="1" applyAlignment="1">
      <alignment horizontal="center" vertical="center"/>
    </xf>
    <xf numFmtId="0" fontId="24" fillId="7" borderId="14" xfId="0" applyFont="1" applyFill="1" applyBorder="1" applyAlignment="1">
      <alignment horizontal="left" vertical="center" wrapText="1" indent="1"/>
    </xf>
    <xf numFmtId="0" fontId="24" fillId="7" borderId="12" xfId="0" applyFont="1" applyFill="1" applyBorder="1" applyAlignment="1">
      <alignment horizontal="left" vertical="center" wrapText="1" indent="1"/>
    </xf>
    <xf numFmtId="0" fontId="24" fillId="7" borderId="11" xfId="0" applyFont="1" applyFill="1" applyBorder="1" applyAlignment="1">
      <alignment horizontal="left" vertical="center" wrapText="1" indent="1"/>
    </xf>
    <xf numFmtId="0" fontId="24" fillId="7" borderId="3" xfId="0" applyFont="1" applyFill="1" applyBorder="1" applyAlignment="1">
      <alignment horizontal="left" vertical="center" wrapText="1" indent="1"/>
    </xf>
    <xf numFmtId="14" fontId="14" fillId="0" borderId="0" xfId="0" applyNumberFormat="1" applyFont="1" applyAlignment="1">
      <alignment horizontal="center" vertical="center"/>
    </xf>
    <xf numFmtId="0" fontId="13" fillId="0" borderId="0" xfId="0" applyFont="1" applyBorder="1" applyAlignment="1">
      <alignment horizontal="left" vertical="center" wrapText="1" indent="1"/>
    </xf>
    <xf numFmtId="0" fontId="16" fillId="0" borderId="0" xfId="0" applyFont="1" applyBorder="1" applyAlignment="1">
      <alignment horizontal="left" vertical="center" wrapText="1" indent="1"/>
    </xf>
    <xf numFmtId="164" fontId="13" fillId="0" borderId="0" xfId="0" applyNumberFormat="1" applyFont="1" applyBorder="1" applyAlignment="1">
      <alignment horizontal="left" vertical="center" wrapText="1" indent="1"/>
    </xf>
    <xf numFmtId="14" fontId="13" fillId="0" borderId="0" xfId="0" applyNumberFormat="1" applyFont="1" applyBorder="1" applyAlignment="1">
      <alignment horizontal="left" vertical="center" wrapText="1" indent="1"/>
    </xf>
    <xf numFmtId="14" fontId="4" fillId="13" borderId="13" xfId="0" applyNumberFormat="1" applyFont="1" applyFill="1" applyBorder="1" applyAlignment="1">
      <alignment horizontal="center" vertical="center" wrapText="1"/>
    </xf>
    <xf numFmtId="0" fontId="4" fillId="3" borderId="13" xfId="0" applyFont="1" applyFill="1" applyBorder="1" applyAlignment="1">
      <alignment horizontal="left" vertical="center" wrapText="1" indent="1"/>
    </xf>
    <xf numFmtId="0" fontId="4" fillId="8" borderId="13" xfId="0" applyFont="1" applyFill="1" applyBorder="1" applyAlignment="1">
      <alignment horizontal="left" vertical="center" wrapText="1" indent="1"/>
    </xf>
    <xf numFmtId="0" fontId="4" fillId="13" borderId="13" xfId="0" applyFont="1" applyFill="1" applyBorder="1" applyAlignment="1">
      <alignment horizontal="center" vertical="center" wrapText="1"/>
    </xf>
    <xf numFmtId="0" fontId="29" fillId="17" borderId="13" xfId="0" applyFont="1" applyFill="1" applyBorder="1" applyAlignment="1">
      <alignment horizontal="left" vertical="center" wrapText="1" indent="1"/>
    </xf>
    <xf numFmtId="0" fontId="12" fillId="0" borderId="13" xfId="0" applyFont="1" applyBorder="1" applyAlignment="1">
      <alignment horizontal="center" vertical="center"/>
    </xf>
    <xf numFmtId="0" fontId="4" fillId="22" borderId="13" xfId="0" applyFont="1" applyFill="1" applyBorder="1" applyAlignment="1">
      <alignment horizontal="left" vertical="center" wrapText="1" indent="1"/>
    </xf>
    <xf numFmtId="14" fontId="41" fillId="7" borderId="15" xfId="0" applyNumberFormat="1" applyFont="1" applyFill="1" applyBorder="1" applyAlignment="1">
      <alignment horizontal="center" vertical="center"/>
    </xf>
    <xf numFmtId="14" fontId="41" fillId="7" borderId="15" xfId="0" applyNumberFormat="1" applyFont="1" applyFill="1" applyBorder="1" applyAlignment="1">
      <alignment horizontal="left" vertical="center" indent="1"/>
    </xf>
    <xf numFmtId="0" fontId="15" fillId="7" borderId="15" xfId="0" applyFont="1" applyFill="1" applyBorder="1" applyAlignment="1">
      <alignment horizontal="left" indent="1"/>
    </xf>
    <xf numFmtId="0" fontId="15" fillId="7" borderId="15" xfId="0" applyFont="1" applyFill="1" applyBorder="1" applyAlignment="1">
      <alignment horizontal="left" vertical="center" indent="1"/>
    </xf>
    <xf numFmtId="0" fontId="17" fillId="8" borderId="2" xfId="0" applyFont="1" applyFill="1" applyBorder="1" applyAlignment="1">
      <alignment horizontal="center" vertical="center" wrapText="1"/>
    </xf>
    <xf numFmtId="0" fontId="17" fillId="8" borderId="3" xfId="0" applyFont="1" applyFill="1" applyBorder="1" applyAlignment="1">
      <alignment horizontal="center" vertical="center" wrapText="1"/>
    </xf>
    <xf numFmtId="0" fontId="39" fillId="23" borderId="16"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16" fillId="24" borderId="1" xfId="0" applyFont="1" applyFill="1" applyBorder="1" applyAlignment="1">
      <alignment horizontal="center" vertical="center" wrapText="1"/>
    </xf>
    <xf numFmtId="0" fontId="42" fillId="25" borderId="1" xfId="0" applyFont="1" applyFill="1" applyBorder="1" applyAlignment="1">
      <alignment horizontal="center" vertical="center" wrapText="1"/>
    </xf>
    <xf numFmtId="0" fontId="42" fillId="21" borderId="1" xfId="0" applyFont="1" applyFill="1" applyBorder="1" applyAlignment="1">
      <alignment horizontal="center" vertical="center" wrapText="1"/>
    </xf>
    <xf numFmtId="0" fontId="15" fillId="0" borderId="0" xfId="0" applyFont="1"/>
    <xf numFmtId="0" fontId="39" fillId="0" borderId="0" xfId="0" applyFont="1"/>
    <xf numFmtId="0" fontId="39" fillId="0" borderId="0" xfId="0" applyFont="1" applyAlignment="1">
      <alignment horizontal="center" vertical="center" wrapText="1"/>
    </xf>
    <xf numFmtId="0" fontId="43" fillId="26" borderId="10" xfId="0" applyFont="1" applyFill="1" applyBorder="1" applyAlignment="1">
      <alignment horizontal="left" indent="1"/>
    </xf>
    <xf numFmtId="0" fontId="44" fillId="0" borderId="0" xfId="0" applyFont="1"/>
    <xf numFmtId="0" fontId="15" fillId="27" borderId="1" xfId="0" applyFont="1" applyFill="1" applyBorder="1" applyAlignment="1">
      <alignment horizontal="center" vertical="center"/>
    </xf>
    <xf numFmtId="0" fontId="45" fillId="0" borderId="6" xfId="0" applyFont="1" applyBorder="1" applyAlignment="1">
      <alignment horizontal="left" indent="1"/>
    </xf>
    <xf numFmtId="0" fontId="45" fillId="0" borderId="8" xfId="0" applyFont="1" applyBorder="1" applyAlignment="1">
      <alignment horizontal="left" indent="1"/>
    </xf>
    <xf numFmtId="0" fontId="45" fillId="0" borderId="7" xfId="0" applyFont="1" applyBorder="1" applyAlignment="1">
      <alignment horizontal="left" indent="1"/>
    </xf>
    <xf numFmtId="0" fontId="15" fillId="21" borderId="1" xfId="0" applyFont="1" applyFill="1" applyBorder="1" applyAlignment="1">
      <alignment horizontal="center" vertical="center"/>
    </xf>
    <xf numFmtId="0" fontId="39" fillId="27" borderId="0" xfId="0" applyFont="1" applyFill="1" applyAlignment="1">
      <alignment horizontal="center" vertical="center" wrapText="1"/>
    </xf>
    <xf numFmtId="0" fontId="43" fillId="27" borderId="0" xfId="0" applyFont="1" applyFill="1" applyAlignment="1">
      <alignment horizontal="center" vertical="center" wrapText="1"/>
    </xf>
    <xf numFmtId="0" fontId="40" fillId="0" borderId="0" xfId="0" applyFont="1" applyAlignment="1">
      <alignment horizontal="center" vertical="center"/>
    </xf>
    <xf numFmtId="0" fontId="46" fillId="7" borderId="1" xfId="0" applyFont="1" applyFill="1" applyBorder="1" applyAlignment="1">
      <alignment horizontal="center" vertical="center"/>
    </xf>
    <xf numFmtId="0" fontId="47" fillId="0" borderId="0" xfId="0" applyFont="1" applyAlignment="1">
      <alignment vertical="center"/>
    </xf>
    <xf numFmtId="0" fontId="48" fillId="0" borderId="0" xfId="0" applyFont="1"/>
    <xf numFmtId="0" fontId="49" fillId="0" borderId="0" xfId="0" applyFont="1" applyAlignment="1">
      <alignment horizontal="center" vertical="center"/>
    </xf>
  </cellXfs>
  <cellStyles count="1">
    <cellStyle name="Normal" xfId="0" builtinId="0"/>
  </cellStyles>
  <dxfs count="14">
    <dxf>
      <fill>
        <patternFill>
          <bgColor rgb="FFC5D9F1"/>
        </patternFill>
      </fill>
      <border>
        <left style="thin">
          <color auto="1"/>
        </left>
        <right style="thin">
          <color auto="1"/>
        </right>
        <top style="thin">
          <color auto="1"/>
        </top>
        <bottom style="thin">
          <color auto="1"/>
        </bottom>
      </border>
    </dxf>
    <dxf>
      <fill>
        <patternFill>
          <bgColor rgb="FFFFCCCC"/>
        </patternFill>
      </fill>
      <border>
        <left style="thin">
          <color auto="1"/>
        </left>
        <right style="thin">
          <color auto="1"/>
        </right>
        <top style="thin">
          <color auto="1"/>
        </top>
        <bottom style="thin">
          <color auto="1"/>
        </bottom>
      </border>
    </dxf>
    <dxf>
      <fill>
        <patternFill>
          <bgColor rgb="FFFDE9D9"/>
        </patternFill>
      </fill>
      <border>
        <left style="thin">
          <color auto="1"/>
        </left>
        <right style="thin">
          <color auto="1"/>
        </right>
        <top style="thin">
          <color auto="1"/>
        </top>
        <bottom style="thin">
          <color auto="1"/>
        </bottom>
      </border>
    </dxf>
    <dxf>
      <fill>
        <patternFill>
          <bgColor rgb="FFC5D9F1"/>
        </patternFill>
      </fill>
    </dxf>
    <dxf>
      <fill>
        <patternFill>
          <bgColor rgb="FFFFCCCC"/>
        </patternFill>
      </fill>
    </dxf>
    <dxf>
      <fill>
        <patternFill>
          <bgColor rgb="FFFDE9D9"/>
        </patternFill>
      </fill>
    </dxf>
    <dxf>
      <fill>
        <patternFill>
          <bgColor rgb="FFFF9797"/>
        </patternFill>
      </fill>
    </dxf>
    <dxf>
      <font>
        <b val="0"/>
        <i val="0"/>
        <strike val="0"/>
        <outline val="0"/>
        <shadow val="0"/>
        <u val="none"/>
        <vertAlign val="baseline"/>
        <sz val="10"/>
        <name val="Arial"/>
        <family val="2"/>
        <scheme val="none"/>
      </font>
      <fill>
        <patternFill patternType="none">
          <bgColor auto="1"/>
        </patternFill>
      </fill>
      <alignment horizontal="center" vertical="center" textRotation="0" wrapText="0" indent="0" justifyLastLine="0" shrinkToFit="0" readingOrder="0"/>
    </dxf>
    <dxf>
      <font>
        <b val="0"/>
        <i val="0"/>
        <strike val="0"/>
        <outline val="0"/>
        <shadow val="0"/>
        <u val="none"/>
        <vertAlign val="baseline"/>
        <sz val="10"/>
        <name val="Arial"/>
        <family val="2"/>
        <scheme val="none"/>
      </font>
      <fill>
        <patternFill patternType="none">
          <bgColor auto="1"/>
        </patternFill>
      </fill>
      <alignment horizontal="center" vertical="center" textRotation="0" wrapText="0" indent="0" justifyLastLine="0" shrinkToFit="0" readingOrder="0"/>
    </dxf>
    <dxf>
      <font>
        <b val="0"/>
        <i val="0"/>
        <strike val="0"/>
        <outline val="0"/>
        <shadow val="0"/>
        <u val="none"/>
        <vertAlign val="baseline"/>
        <sz val="10"/>
        <name val="Arial"/>
        <family val="2"/>
        <scheme val="none"/>
      </font>
      <numFmt numFmtId="1" formatCode="0"/>
      <fill>
        <patternFill patternType="none">
          <bgColor auto="1"/>
        </patternFill>
      </fill>
      <alignment horizontal="center" vertical="center" textRotation="0" wrapText="0" indent="0" justifyLastLine="0" shrinkToFit="0" readingOrder="0"/>
    </dxf>
    <dxf>
      <font>
        <b val="0"/>
        <i val="0"/>
        <strike val="0"/>
        <outline val="0"/>
        <shadow val="0"/>
        <u val="none"/>
        <vertAlign val="baseline"/>
        <sz val="10"/>
        <name val="Arial"/>
        <family val="2"/>
        <scheme val="none"/>
      </font>
      <fill>
        <patternFill patternType="none">
          <fgColor rgb="FFFFFFFF"/>
          <bgColor auto="1"/>
        </patternFill>
      </fill>
      <alignment horizontal="center" vertical="center" textRotation="0" wrapText="0" indent="0" justifyLastLine="0" shrinkToFit="0" readingOrder="0"/>
    </dxf>
    <dxf>
      <font>
        <b val="0"/>
        <i val="0"/>
        <strike val="0"/>
        <outline val="0"/>
        <shadow val="0"/>
        <u val="none"/>
        <vertAlign val="baseline"/>
        <sz val="10"/>
        <color auto="1"/>
        <name val="Arial"/>
        <family val="2"/>
        <scheme val="none"/>
      </font>
      <numFmt numFmtId="19" formatCode="dd/mm/yyyy"/>
      <fill>
        <patternFill patternType="none">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rgb="FFFFFFFF"/>
        <name val="Arial"/>
        <scheme val="none"/>
      </font>
      <alignment horizontal="center" vertical="center" textRotation="0" wrapText="1" indent="0" justifyLastLine="0" shrinkToFit="0" readingOrder="0"/>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78787"/>
      <rgbColor rgb="FF9999FF"/>
      <rgbColor rgb="FFBE4B48"/>
      <rgbColor rgb="FFFFF9DB"/>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7CE"/>
      <rgbColor rgb="FF4A7EBB"/>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mruColors>
      <color rgb="FFFDE9D9"/>
      <color rgb="FFFF7128"/>
      <color rgb="FFF8696B"/>
      <color rgb="FF63BE7B"/>
      <color rgb="FF1F4E78"/>
      <color rgb="FFFFEB84"/>
      <color rgb="FFFFEF9C"/>
      <color rgb="FFF2F2F2"/>
      <color rgb="FFE26B0A"/>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 Id="rId14"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newwb\Documents\brain\professional\university\LCAS\Vicon%20(EPSURIS)%20Main\Public%20Files\Data\calibration_tracker_old.xlsx" TargetMode="External"/><Relationship Id="rId1" Type="http://schemas.openxmlformats.org/officeDocument/2006/relationships/externalLinkPath" Target="calibration_tracker_ol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WIP"/>
      <sheetName val="Data-Lists"/>
      <sheetName val="Legend"/>
      <sheetName val="Log"/>
      <sheetName val="Daily IE"/>
      <sheetName val="Daily WE"/>
      <sheetName val="Errors"/>
      <sheetName val="Trials"/>
      <sheetName val="Visualisations"/>
      <sheetName val="Daily Camera Trends"/>
      <sheetName val="Daily Averages"/>
      <sheetName val="Daily Rank"/>
      <sheetName val="Daily Error Rates"/>
      <sheetName val="Problem Cameras"/>
    </sheetNames>
    <sheetDataSet>
      <sheetData sheetId="0" refreshError="1"/>
      <sheetData sheetId="1">
        <row r="4">
          <cell r="A4" t="str">
            <v>#1 (Vero v2.2)</v>
          </cell>
        </row>
        <row r="5">
          <cell r="A5" t="str">
            <v>#2 (Vero v2.2)</v>
          </cell>
        </row>
        <row r="6">
          <cell r="A6" t="str">
            <v>#3 (Vero v2.2)</v>
          </cell>
        </row>
        <row r="7">
          <cell r="A7" t="str">
            <v>#4 (Vero v2.2)</v>
          </cell>
        </row>
        <row r="8">
          <cell r="A8" t="str">
            <v>#5 (Vero v2.2)</v>
          </cell>
        </row>
        <row r="9">
          <cell r="A9" t="str">
            <v>#6 (Vero v2.2)</v>
          </cell>
        </row>
        <row r="10">
          <cell r="A10" t="str">
            <v>#7 (Vero v2.2)</v>
          </cell>
        </row>
        <row r="11">
          <cell r="A11" t="str">
            <v>#8 (Vero v2.2)</v>
          </cell>
        </row>
        <row r="12">
          <cell r="A12" t="str">
            <v>#9 (Vero v2.2)</v>
          </cell>
        </row>
        <row r="13">
          <cell r="A13" t="str">
            <v>#10 (Vero v2.2)</v>
          </cell>
        </row>
        <row r="14">
          <cell r="A14" t="str">
            <v>#11 (Vero v2.2)</v>
          </cell>
        </row>
        <row r="15">
          <cell r="A15" t="str">
            <v>#12 (Vero v2.2)</v>
          </cell>
        </row>
        <row r="16">
          <cell r="A16" t="str">
            <v>#13 (Vero v2.2)</v>
          </cell>
        </row>
        <row r="17">
          <cell r="A17" t="str">
            <v>#14 (Vero v2.2)</v>
          </cell>
        </row>
        <row r="18">
          <cell r="A18" t="str">
            <v>#15 (Vero v2.2)</v>
          </cell>
        </row>
        <row r="19">
          <cell r="A19" t="str">
            <v>#16 (Vero v2.2)</v>
          </cell>
        </row>
        <row r="20">
          <cell r="A20" t="str">
            <v>#17 (Vero v2.2)</v>
          </cell>
        </row>
        <row r="21">
          <cell r="A21" t="str">
            <v>#18 (Vero v2.2)</v>
          </cell>
        </row>
      </sheetData>
      <sheetData sheetId="2" refreshError="1"/>
      <sheetData sheetId="3">
        <row r="1">
          <cell r="A1" t="str">
            <v>DO NOT USE THIS SPREADSHEET, IT IS DEPRECATED AND KEPT ONLY AS REFERENCE FOR FINAL DATA REPRESENTATIONS</v>
          </cell>
        </row>
        <row r="2">
          <cell r="A2" t="str">
            <v>Instructions - Input Vicon Nexus error sets after any new calibration. Refer to header key tables for more info.</v>
          </cell>
        </row>
        <row r="3">
          <cell r="A3" t="str">
            <v>Key 1
(Category)</v>
          </cell>
          <cell r="B3" t="str">
            <v>Key 2
(Precision)</v>
          </cell>
          <cell r="C3" t="str">
            <v>Date</v>
          </cell>
        </row>
        <row r="4">
          <cell r="A4" t="str">
            <v>Daily</v>
          </cell>
          <cell r="B4" t="str">
            <v>n/a</v>
          </cell>
          <cell r="C4">
            <v>46228</v>
          </cell>
        </row>
        <row r="5">
          <cell r="A5" t="str">
            <v>Daily</v>
          </cell>
          <cell r="B5" t="str">
            <v>n/a</v>
          </cell>
          <cell r="C5">
            <v>46228</v>
          </cell>
        </row>
        <row r="6">
          <cell r="A6" t="str">
            <v>Daily</v>
          </cell>
          <cell r="B6" t="str">
            <v>n/a</v>
          </cell>
          <cell r="C6">
            <v>46228</v>
          </cell>
        </row>
        <row r="7">
          <cell r="A7" t="str">
            <v>Daily</v>
          </cell>
          <cell r="B7" t="str">
            <v>n/a</v>
          </cell>
          <cell r="C7">
            <v>46228</v>
          </cell>
        </row>
        <row r="8">
          <cell r="A8" t="str">
            <v>Daily</v>
          </cell>
          <cell r="B8" t="str">
            <v>n/a</v>
          </cell>
          <cell r="C8">
            <v>46228</v>
          </cell>
        </row>
        <row r="9">
          <cell r="A9" t="str">
            <v>Daily</v>
          </cell>
          <cell r="B9" t="str">
            <v>n/a</v>
          </cell>
          <cell r="C9">
            <v>46228</v>
          </cell>
        </row>
        <row r="10">
          <cell r="A10" t="str">
            <v>Daily</v>
          </cell>
          <cell r="B10" t="str">
            <v>n/a</v>
          </cell>
          <cell r="C10">
            <v>46228</v>
          </cell>
        </row>
        <row r="11">
          <cell r="A11" t="str">
            <v>Daily</v>
          </cell>
          <cell r="B11" t="str">
            <v>n/a</v>
          </cell>
          <cell r="C11">
            <v>46228</v>
          </cell>
        </row>
        <row r="12">
          <cell r="A12" t="str">
            <v>Daily</v>
          </cell>
          <cell r="B12" t="str">
            <v>n/a</v>
          </cell>
          <cell r="C12">
            <v>46228</v>
          </cell>
        </row>
        <row r="13">
          <cell r="A13" t="str">
            <v>Daily</v>
          </cell>
          <cell r="B13" t="str">
            <v>n/a</v>
          </cell>
          <cell r="C13">
            <v>46228</v>
          </cell>
        </row>
        <row r="14">
          <cell r="A14" t="str">
            <v>Daily</v>
          </cell>
          <cell r="B14" t="str">
            <v>n/a</v>
          </cell>
          <cell r="C14">
            <v>46228</v>
          </cell>
        </row>
        <row r="15">
          <cell r="A15" t="str">
            <v>Daily</v>
          </cell>
          <cell r="B15" t="str">
            <v>n/a</v>
          </cell>
          <cell r="C15">
            <v>46228</v>
          </cell>
        </row>
        <row r="16">
          <cell r="A16" t="str">
            <v>Daily</v>
          </cell>
          <cell r="B16" t="str">
            <v>n/a</v>
          </cell>
          <cell r="C16">
            <v>46228</v>
          </cell>
        </row>
        <row r="17">
          <cell r="A17" t="str">
            <v>Daily</v>
          </cell>
          <cell r="B17" t="str">
            <v>n/a</v>
          </cell>
          <cell r="C17">
            <v>46228</v>
          </cell>
        </row>
        <row r="18">
          <cell r="A18" t="str">
            <v>Daily</v>
          </cell>
          <cell r="B18" t="str">
            <v>n/a</v>
          </cell>
          <cell r="C18">
            <v>46228</v>
          </cell>
        </row>
        <row r="19">
          <cell r="A19" t="str">
            <v>Daily</v>
          </cell>
          <cell r="B19" t="str">
            <v>n/a</v>
          </cell>
          <cell r="C19">
            <v>46228</v>
          </cell>
        </row>
        <row r="20">
          <cell r="A20" t="str">
            <v>Daily</v>
          </cell>
          <cell r="B20" t="str">
            <v>n/a</v>
          </cell>
          <cell r="C20">
            <v>46228</v>
          </cell>
        </row>
        <row r="21">
          <cell r="A21" t="str">
            <v>Daily</v>
          </cell>
          <cell r="B21" t="str">
            <v>n/a</v>
          </cell>
          <cell r="C21">
            <v>46230</v>
          </cell>
        </row>
        <row r="22">
          <cell r="A22" t="str">
            <v>Daily</v>
          </cell>
          <cell r="B22" t="str">
            <v>n/a</v>
          </cell>
          <cell r="C22">
            <v>46230</v>
          </cell>
        </row>
        <row r="23">
          <cell r="A23" t="str">
            <v>Daily</v>
          </cell>
          <cell r="B23" t="str">
            <v>n/a</v>
          </cell>
          <cell r="C23">
            <v>46230</v>
          </cell>
        </row>
        <row r="24">
          <cell r="A24" t="str">
            <v>Daily</v>
          </cell>
          <cell r="B24" t="str">
            <v>n/a</v>
          </cell>
          <cell r="C24">
            <v>46230</v>
          </cell>
        </row>
        <row r="25">
          <cell r="A25" t="str">
            <v>Daily</v>
          </cell>
          <cell r="B25" t="str">
            <v>n/a</v>
          </cell>
          <cell r="C25">
            <v>46230</v>
          </cell>
        </row>
        <row r="26">
          <cell r="A26" t="str">
            <v>Daily</v>
          </cell>
          <cell r="B26" t="str">
            <v>n/a</v>
          </cell>
          <cell r="C26">
            <v>46230</v>
          </cell>
        </row>
        <row r="27">
          <cell r="A27" t="str">
            <v>Daily</v>
          </cell>
          <cell r="B27" t="str">
            <v>n/a</v>
          </cell>
          <cell r="C27">
            <v>46230</v>
          </cell>
        </row>
        <row r="28">
          <cell r="A28" t="str">
            <v>Daily</v>
          </cell>
          <cell r="B28" t="str">
            <v>n/a</v>
          </cell>
          <cell r="C28">
            <v>46230</v>
          </cell>
        </row>
        <row r="29">
          <cell r="A29" t="str">
            <v>Daily</v>
          </cell>
          <cell r="B29" t="str">
            <v>n/a</v>
          </cell>
          <cell r="C29">
            <v>46230</v>
          </cell>
        </row>
        <row r="30">
          <cell r="A30" t="str">
            <v>Daily</v>
          </cell>
          <cell r="B30" t="str">
            <v>n/a</v>
          </cell>
          <cell r="C30">
            <v>46230</v>
          </cell>
        </row>
        <row r="31">
          <cell r="A31" t="str">
            <v>Daily</v>
          </cell>
          <cell r="B31" t="str">
            <v>n/a</v>
          </cell>
          <cell r="C31">
            <v>46230</v>
          </cell>
        </row>
        <row r="32">
          <cell r="A32" t="str">
            <v>Daily</v>
          </cell>
          <cell r="B32" t="str">
            <v>n/a</v>
          </cell>
          <cell r="C32">
            <v>46230</v>
          </cell>
        </row>
        <row r="33">
          <cell r="A33" t="str">
            <v>Daily</v>
          </cell>
          <cell r="B33" t="str">
            <v>n/a</v>
          </cell>
          <cell r="C33">
            <v>46230</v>
          </cell>
        </row>
        <row r="34">
          <cell r="A34" t="str">
            <v>Daily</v>
          </cell>
          <cell r="B34" t="str">
            <v>n/a</v>
          </cell>
          <cell r="C34">
            <v>46230</v>
          </cell>
        </row>
        <row r="35">
          <cell r="A35" t="str">
            <v>Daily</v>
          </cell>
          <cell r="B35" t="str">
            <v>n/a</v>
          </cell>
          <cell r="C35">
            <v>46230</v>
          </cell>
        </row>
        <row r="36">
          <cell r="A36" t="str">
            <v>Daily</v>
          </cell>
          <cell r="B36" t="str">
            <v>n/a</v>
          </cell>
          <cell r="C36">
            <v>46230</v>
          </cell>
        </row>
        <row r="37">
          <cell r="A37" t="str">
            <v>Daily</v>
          </cell>
          <cell r="B37" t="str">
            <v>n/a</v>
          </cell>
          <cell r="C37">
            <v>46230</v>
          </cell>
        </row>
        <row r="38">
          <cell r="A38" t="str">
            <v>Daily</v>
          </cell>
          <cell r="B38" t="str">
            <v>n/a</v>
          </cell>
          <cell r="C38">
            <v>46230</v>
          </cell>
        </row>
        <row r="39">
          <cell r="A39" t="str">
            <v>Daily</v>
          </cell>
          <cell r="B39" t="str">
            <v>n/a</v>
          </cell>
          <cell r="C39">
            <v>46231</v>
          </cell>
        </row>
        <row r="40">
          <cell r="A40" t="str">
            <v>Daily</v>
          </cell>
          <cell r="B40" t="str">
            <v>n/a</v>
          </cell>
          <cell r="C40">
            <v>46231</v>
          </cell>
        </row>
        <row r="41">
          <cell r="A41" t="str">
            <v>Daily</v>
          </cell>
          <cell r="B41" t="str">
            <v>n/a</v>
          </cell>
          <cell r="C41">
            <v>46231</v>
          </cell>
        </row>
        <row r="42">
          <cell r="A42" t="str">
            <v>Daily</v>
          </cell>
          <cell r="B42" t="str">
            <v>n/a</v>
          </cell>
          <cell r="C42">
            <v>46231</v>
          </cell>
        </row>
        <row r="43">
          <cell r="A43" t="str">
            <v>Daily</v>
          </cell>
          <cell r="B43" t="str">
            <v>n/a</v>
          </cell>
          <cell r="C43">
            <v>46231</v>
          </cell>
        </row>
        <row r="44">
          <cell r="A44" t="str">
            <v>Daily</v>
          </cell>
          <cell r="B44" t="str">
            <v>n/a</v>
          </cell>
          <cell r="C44">
            <v>46231</v>
          </cell>
        </row>
        <row r="45">
          <cell r="A45" t="str">
            <v>Daily</v>
          </cell>
          <cell r="B45" t="str">
            <v>n/a</v>
          </cell>
          <cell r="C45">
            <v>46231</v>
          </cell>
        </row>
        <row r="46">
          <cell r="A46" t="str">
            <v>Daily</v>
          </cell>
          <cell r="B46" t="str">
            <v>n/a</v>
          </cell>
          <cell r="C46">
            <v>46231</v>
          </cell>
        </row>
        <row r="47">
          <cell r="A47" t="str">
            <v>Daily</v>
          </cell>
          <cell r="B47" t="str">
            <v>n/a</v>
          </cell>
          <cell r="C47">
            <v>46231</v>
          </cell>
        </row>
        <row r="48">
          <cell r="A48" t="str">
            <v>Daily</v>
          </cell>
          <cell r="B48" t="str">
            <v>n/a</v>
          </cell>
          <cell r="C48">
            <v>46231</v>
          </cell>
        </row>
        <row r="49">
          <cell r="A49" t="str">
            <v>Daily</v>
          </cell>
          <cell r="B49" t="str">
            <v>n/a</v>
          </cell>
          <cell r="C49">
            <v>46231</v>
          </cell>
        </row>
        <row r="50">
          <cell r="A50" t="str">
            <v>Daily</v>
          </cell>
          <cell r="B50" t="str">
            <v>n/a</v>
          </cell>
          <cell r="C50">
            <v>46231</v>
          </cell>
        </row>
        <row r="51">
          <cell r="A51" t="str">
            <v>Daily</v>
          </cell>
          <cell r="B51" t="str">
            <v>n/a</v>
          </cell>
          <cell r="C51">
            <v>46231</v>
          </cell>
        </row>
        <row r="52">
          <cell r="A52" t="str">
            <v>Daily</v>
          </cell>
          <cell r="B52" t="str">
            <v>n/a</v>
          </cell>
          <cell r="C52">
            <v>46231</v>
          </cell>
        </row>
        <row r="53">
          <cell r="A53" t="str">
            <v>Daily</v>
          </cell>
          <cell r="B53" t="str">
            <v>n/a</v>
          </cell>
          <cell r="C53">
            <v>46231</v>
          </cell>
        </row>
        <row r="54">
          <cell r="A54" t="str">
            <v>Daily</v>
          </cell>
          <cell r="B54" t="str">
            <v>n/a</v>
          </cell>
          <cell r="C54">
            <v>46231</v>
          </cell>
        </row>
        <row r="55">
          <cell r="A55" t="str">
            <v>Daily</v>
          </cell>
          <cell r="B55" t="str">
            <v>n/a</v>
          </cell>
          <cell r="C55">
            <v>46231</v>
          </cell>
        </row>
        <row r="56">
          <cell r="A56" t="str">
            <v>Daily</v>
          </cell>
          <cell r="B56" t="str">
            <v>n/a</v>
          </cell>
          <cell r="C56">
            <v>46231</v>
          </cell>
        </row>
        <row r="57">
          <cell r="A57" t="str">
            <v>Daily</v>
          </cell>
          <cell r="B57" t="str">
            <v>n/a</v>
          </cell>
          <cell r="C57">
            <v>46232</v>
          </cell>
        </row>
        <row r="58">
          <cell r="A58" t="str">
            <v>Daily</v>
          </cell>
          <cell r="B58" t="str">
            <v>n/a</v>
          </cell>
          <cell r="C58">
            <v>46232</v>
          </cell>
        </row>
        <row r="59">
          <cell r="A59" t="str">
            <v>Daily</v>
          </cell>
          <cell r="B59" t="str">
            <v>n/a</v>
          </cell>
          <cell r="C59">
            <v>46232</v>
          </cell>
        </row>
        <row r="60">
          <cell r="A60" t="str">
            <v>Daily</v>
          </cell>
          <cell r="B60" t="str">
            <v>n/a</v>
          </cell>
          <cell r="C60">
            <v>46232</v>
          </cell>
        </row>
        <row r="61">
          <cell r="A61" t="str">
            <v>Daily</v>
          </cell>
          <cell r="B61" t="str">
            <v>n/a</v>
          </cell>
          <cell r="C61">
            <v>46232</v>
          </cell>
        </row>
        <row r="62">
          <cell r="A62" t="str">
            <v>Daily</v>
          </cell>
          <cell r="B62" t="str">
            <v>n/a</v>
          </cell>
          <cell r="C62">
            <v>46232</v>
          </cell>
        </row>
        <row r="63">
          <cell r="A63" t="str">
            <v>Daily</v>
          </cell>
          <cell r="B63" t="str">
            <v>n/a</v>
          </cell>
          <cell r="C63">
            <v>46232</v>
          </cell>
        </row>
        <row r="64">
          <cell r="A64" t="str">
            <v>Daily</v>
          </cell>
          <cell r="B64" t="str">
            <v>n/a</v>
          </cell>
          <cell r="C64">
            <v>46232</v>
          </cell>
        </row>
        <row r="65">
          <cell r="A65" t="str">
            <v>Daily</v>
          </cell>
          <cell r="B65" t="str">
            <v>n/a</v>
          </cell>
          <cell r="C65">
            <v>46232</v>
          </cell>
        </row>
        <row r="66">
          <cell r="A66" t="str">
            <v>Daily</v>
          </cell>
          <cell r="B66" t="str">
            <v>n/a</v>
          </cell>
          <cell r="C66">
            <v>46232</v>
          </cell>
        </row>
        <row r="67">
          <cell r="A67" t="str">
            <v>Daily</v>
          </cell>
          <cell r="B67" t="str">
            <v>n/a</v>
          </cell>
          <cell r="C67">
            <v>46232</v>
          </cell>
        </row>
        <row r="68">
          <cell r="A68" t="str">
            <v>Daily</v>
          </cell>
          <cell r="B68" t="str">
            <v>n/a</v>
          </cell>
          <cell r="C68">
            <v>46232</v>
          </cell>
        </row>
        <row r="69">
          <cell r="A69" t="str">
            <v>Daily</v>
          </cell>
          <cell r="B69" t="str">
            <v>n/a</v>
          </cell>
          <cell r="C69">
            <v>46232</v>
          </cell>
        </row>
        <row r="70">
          <cell r="A70" t="str">
            <v>Daily</v>
          </cell>
          <cell r="B70" t="str">
            <v>n/a</v>
          </cell>
          <cell r="C70">
            <v>46232</v>
          </cell>
        </row>
        <row r="71">
          <cell r="A71" t="str">
            <v>Daily</v>
          </cell>
          <cell r="B71" t="str">
            <v>n/a</v>
          </cell>
          <cell r="C71">
            <v>46232</v>
          </cell>
        </row>
        <row r="72">
          <cell r="A72" t="str">
            <v>Daily</v>
          </cell>
          <cell r="B72" t="str">
            <v>n/a</v>
          </cell>
          <cell r="C72">
            <v>46232</v>
          </cell>
        </row>
        <row r="73">
          <cell r="A73" t="str">
            <v>Daily</v>
          </cell>
          <cell r="B73" t="str">
            <v>n/a</v>
          </cell>
          <cell r="C73">
            <v>46232</v>
          </cell>
        </row>
        <row r="74">
          <cell r="A74" t="str">
            <v>Daily</v>
          </cell>
          <cell r="B74" t="str">
            <v>n/a</v>
          </cell>
          <cell r="C74">
            <v>46232</v>
          </cell>
        </row>
        <row r="75">
          <cell r="A75" t="str">
            <v>Daily</v>
          </cell>
          <cell r="B75" t="str">
            <v>n/a</v>
          </cell>
          <cell r="C75">
            <v>46233</v>
          </cell>
        </row>
        <row r="76">
          <cell r="A76" t="str">
            <v>Daily</v>
          </cell>
          <cell r="B76" t="str">
            <v>n/a</v>
          </cell>
          <cell r="C76">
            <v>46233</v>
          </cell>
        </row>
        <row r="77">
          <cell r="A77" t="str">
            <v>Daily</v>
          </cell>
          <cell r="B77" t="str">
            <v>n/a</v>
          </cell>
          <cell r="C77">
            <v>46233</v>
          </cell>
        </row>
        <row r="78">
          <cell r="A78" t="str">
            <v>Daily</v>
          </cell>
          <cell r="B78" t="str">
            <v>n/a</v>
          </cell>
          <cell r="C78">
            <v>46233</v>
          </cell>
        </row>
        <row r="79">
          <cell r="A79" t="str">
            <v>Daily</v>
          </cell>
          <cell r="B79" t="str">
            <v>n/a</v>
          </cell>
          <cell r="C79">
            <v>46233</v>
          </cell>
        </row>
        <row r="80">
          <cell r="A80" t="str">
            <v>Daily</v>
          </cell>
          <cell r="B80" t="str">
            <v>n/a</v>
          </cell>
          <cell r="C80">
            <v>46233</v>
          </cell>
        </row>
        <row r="81">
          <cell r="A81" t="str">
            <v>Daily</v>
          </cell>
          <cell r="B81" t="str">
            <v>n/a</v>
          </cell>
          <cell r="C81">
            <v>46233</v>
          </cell>
        </row>
        <row r="82">
          <cell r="A82" t="str">
            <v>Daily</v>
          </cell>
          <cell r="B82" t="str">
            <v>n/a</v>
          </cell>
          <cell r="C82">
            <v>46233</v>
          </cell>
        </row>
        <row r="83">
          <cell r="A83" t="str">
            <v>Daily</v>
          </cell>
          <cell r="B83" t="str">
            <v>n/a</v>
          </cell>
          <cell r="C83">
            <v>46233</v>
          </cell>
        </row>
        <row r="84">
          <cell r="A84" t="str">
            <v>Daily</v>
          </cell>
          <cell r="B84" t="str">
            <v>n/a</v>
          </cell>
          <cell r="C84">
            <v>46233</v>
          </cell>
        </row>
        <row r="85">
          <cell r="A85" t="str">
            <v>Daily</v>
          </cell>
          <cell r="B85" t="str">
            <v>n/a</v>
          </cell>
          <cell r="C85">
            <v>46233</v>
          </cell>
        </row>
        <row r="86">
          <cell r="A86" t="str">
            <v>Daily</v>
          </cell>
          <cell r="B86" t="str">
            <v>n/a</v>
          </cell>
          <cell r="C86">
            <v>46233</v>
          </cell>
        </row>
        <row r="87">
          <cell r="A87" t="str">
            <v>Daily</v>
          </cell>
          <cell r="B87" t="str">
            <v>n/a</v>
          </cell>
          <cell r="C87">
            <v>46233</v>
          </cell>
        </row>
        <row r="88">
          <cell r="A88" t="str">
            <v>Daily</v>
          </cell>
          <cell r="B88" t="str">
            <v>n/a</v>
          </cell>
          <cell r="C88">
            <v>46233</v>
          </cell>
        </row>
        <row r="89">
          <cell r="A89" t="str">
            <v>Daily</v>
          </cell>
          <cell r="B89" t="str">
            <v>n/a</v>
          </cell>
          <cell r="C89">
            <v>46233</v>
          </cell>
        </row>
        <row r="90">
          <cell r="A90" t="str">
            <v>Daily</v>
          </cell>
          <cell r="B90" t="str">
            <v>n/a</v>
          </cell>
          <cell r="C90">
            <v>46233</v>
          </cell>
        </row>
        <row r="91">
          <cell r="A91" t="str">
            <v>Daily</v>
          </cell>
          <cell r="B91" t="str">
            <v>n/a</v>
          </cell>
          <cell r="C91">
            <v>46233</v>
          </cell>
        </row>
        <row r="92">
          <cell r="A92" t="str">
            <v>Daily</v>
          </cell>
          <cell r="B92" t="str">
            <v>n/a</v>
          </cell>
          <cell r="C92">
            <v>46233</v>
          </cell>
        </row>
        <row r="93">
          <cell r="A93" t="str">
            <v>Error</v>
          </cell>
          <cell r="B93" t="str">
            <v>31/07-error1</v>
          </cell>
          <cell r="C93">
            <v>46234</v>
          </cell>
        </row>
        <row r="94">
          <cell r="A94" t="str">
            <v>Error</v>
          </cell>
          <cell r="B94" t="str">
            <v>31/07-error1</v>
          </cell>
          <cell r="C94">
            <v>46234</v>
          </cell>
        </row>
        <row r="95">
          <cell r="A95" t="str">
            <v>Error</v>
          </cell>
          <cell r="B95" t="str">
            <v>31/07-error1</v>
          </cell>
          <cell r="C95">
            <v>46234</v>
          </cell>
        </row>
        <row r="96">
          <cell r="A96" t="str">
            <v>Error</v>
          </cell>
          <cell r="B96" t="str">
            <v>31/07-error1</v>
          </cell>
          <cell r="C96">
            <v>46234</v>
          </cell>
        </row>
        <row r="97">
          <cell r="A97" t="str">
            <v>Error</v>
          </cell>
          <cell r="B97" t="str">
            <v>31/07-error1</v>
          </cell>
          <cell r="C97">
            <v>46234</v>
          </cell>
        </row>
        <row r="98">
          <cell r="A98" t="str">
            <v>Error</v>
          </cell>
          <cell r="B98" t="str">
            <v>31/07-error1</v>
          </cell>
          <cell r="C98">
            <v>46234</v>
          </cell>
        </row>
        <row r="99">
          <cell r="A99" t="str">
            <v>Error</v>
          </cell>
          <cell r="B99" t="str">
            <v>31/07-error1</v>
          </cell>
          <cell r="C99">
            <v>46234</v>
          </cell>
        </row>
        <row r="100">
          <cell r="A100" t="str">
            <v>Error</v>
          </cell>
          <cell r="B100" t="str">
            <v>31/07-error1</v>
          </cell>
          <cell r="C100">
            <v>46234</v>
          </cell>
        </row>
        <row r="101">
          <cell r="A101" t="str">
            <v>Error</v>
          </cell>
          <cell r="B101" t="str">
            <v>31/07-error1</v>
          </cell>
          <cell r="C101">
            <v>46234</v>
          </cell>
        </row>
        <row r="102">
          <cell r="A102" t="str">
            <v>Error</v>
          </cell>
          <cell r="B102" t="str">
            <v>31/07-error1</v>
          </cell>
          <cell r="C102">
            <v>46234</v>
          </cell>
        </row>
        <row r="103">
          <cell r="A103" t="str">
            <v>Error</v>
          </cell>
          <cell r="B103" t="str">
            <v>31/07-error1</v>
          </cell>
          <cell r="C103">
            <v>46234</v>
          </cell>
        </row>
        <row r="104">
          <cell r="A104" t="str">
            <v>Error</v>
          </cell>
          <cell r="B104" t="str">
            <v>31/07-error1</v>
          </cell>
          <cell r="C104">
            <v>46234</v>
          </cell>
        </row>
        <row r="105">
          <cell r="A105" t="str">
            <v>Error</v>
          </cell>
          <cell r="B105" t="str">
            <v>31/07-error1</v>
          </cell>
          <cell r="C105">
            <v>46234</v>
          </cell>
        </row>
        <row r="106">
          <cell r="A106" t="str">
            <v>Error</v>
          </cell>
          <cell r="B106" t="str">
            <v>31/07-error1</v>
          </cell>
          <cell r="C106">
            <v>46234</v>
          </cell>
        </row>
        <row r="107">
          <cell r="A107" t="str">
            <v>Error</v>
          </cell>
          <cell r="B107" t="str">
            <v>31/07-error1</v>
          </cell>
          <cell r="C107">
            <v>46234</v>
          </cell>
        </row>
        <row r="108">
          <cell r="A108" t="str">
            <v>Error</v>
          </cell>
          <cell r="B108" t="str">
            <v>31/07-error1</v>
          </cell>
          <cell r="C108">
            <v>46234</v>
          </cell>
        </row>
        <row r="109">
          <cell r="A109" t="str">
            <v>Error</v>
          </cell>
          <cell r="B109" t="str">
            <v>31/07-error1</v>
          </cell>
          <cell r="C109">
            <v>46234</v>
          </cell>
        </row>
        <row r="110">
          <cell r="A110" t="str">
            <v>Error</v>
          </cell>
          <cell r="B110" t="str">
            <v>31/07-error1</v>
          </cell>
          <cell r="C110">
            <v>46234</v>
          </cell>
        </row>
        <row r="111">
          <cell r="A111" t="str">
            <v>Error</v>
          </cell>
          <cell r="B111" t="str">
            <v>31/07-error2</v>
          </cell>
          <cell r="C111">
            <v>46234</v>
          </cell>
        </row>
        <row r="112">
          <cell r="A112" t="str">
            <v>Error</v>
          </cell>
          <cell r="B112" t="str">
            <v>31/07-error2</v>
          </cell>
          <cell r="C112">
            <v>46234</v>
          </cell>
        </row>
        <row r="113">
          <cell r="A113" t="str">
            <v>Error</v>
          </cell>
          <cell r="B113" t="str">
            <v>31/07-error2</v>
          </cell>
          <cell r="C113">
            <v>46234</v>
          </cell>
        </row>
        <row r="114">
          <cell r="A114" t="str">
            <v>Error</v>
          </cell>
          <cell r="B114" t="str">
            <v>31/07-error2</v>
          </cell>
          <cell r="C114">
            <v>46234</v>
          </cell>
        </row>
        <row r="115">
          <cell r="A115" t="str">
            <v>Error</v>
          </cell>
          <cell r="B115" t="str">
            <v>31/07-error2</v>
          </cell>
          <cell r="C115">
            <v>46234</v>
          </cell>
        </row>
        <row r="116">
          <cell r="A116" t="str">
            <v>Error</v>
          </cell>
          <cell r="B116" t="str">
            <v>31/07-error2</v>
          </cell>
          <cell r="C116">
            <v>46234</v>
          </cell>
        </row>
        <row r="117">
          <cell r="A117" t="str">
            <v>Error</v>
          </cell>
          <cell r="B117" t="str">
            <v>31/07-error2</v>
          </cell>
          <cell r="C117">
            <v>46234</v>
          </cell>
        </row>
        <row r="118">
          <cell r="A118" t="str">
            <v>Error</v>
          </cell>
          <cell r="B118" t="str">
            <v>31/07-error2</v>
          </cell>
          <cell r="C118">
            <v>46234</v>
          </cell>
        </row>
        <row r="119">
          <cell r="A119" t="str">
            <v>Error</v>
          </cell>
          <cell r="B119" t="str">
            <v>31/07-error2</v>
          </cell>
          <cell r="C119">
            <v>46234</v>
          </cell>
        </row>
        <row r="120">
          <cell r="A120" t="str">
            <v>Error</v>
          </cell>
          <cell r="B120" t="str">
            <v>31/07-error2</v>
          </cell>
          <cell r="C120">
            <v>46234</v>
          </cell>
        </row>
        <row r="121">
          <cell r="A121" t="str">
            <v>Error</v>
          </cell>
          <cell r="B121" t="str">
            <v>31/07-error2</v>
          </cell>
          <cell r="C121">
            <v>46234</v>
          </cell>
        </row>
        <row r="122">
          <cell r="A122" t="str">
            <v>Error</v>
          </cell>
          <cell r="B122" t="str">
            <v>31/07-error2</v>
          </cell>
          <cell r="C122">
            <v>46234</v>
          </cell>
        </row>
        <row r="123">
          <cell r="A123" t="str">
            <v>Error</v>
          </cell>
          <cell r="B123" t="str">
            <v>31/07-error2</v>
          </cell>
          <cell r="C123">
            <v>46234</v>
          </cell>
        </row>
        <row r="124">
          <cell r="A124" t="str">
            <v>Error</v>
          </cell>
          <cell r="B124" t="str">
            <v>31/07-error2</v>
          </cell>
          <cell r="C124">
            <v>46234</v>
          </cell>
        </row>
        <row r="125">
          <cell r="A125" t="str">
            <v>Error</v>
          </cell>
          <cell r="B125" t="str">
            <v>31/07-error2</v>
          </cell>
          <cell r="C125">
            <v>46234</v>
          </cell>
        </row>
        <row r="126">
          <cell r="A126" t="str">
            <v>Error</v>
          </cell>
          <cell r="B126" t="str">
            <v>31/07-error2</v>
          </cell>
          <cell r="C126">
            <v>46234</v>
          </cell>
        </row>
        <row r="127">
          <cell r="A127" t="str">
            <v>Error</v>
          </cell>
          <cell r="B127" t="str">
            <v>31/07-error2</v>
          </cell>
          <cell r="C127">
            <v>46234</v>
          </cell>
        </row>
        <row r="128">
          <cell r="A128" t="str">
            <v>Error</v>
          </cell>
          <cell r="B128" t="str">
            <v>31/07-error2</v>
          </cell>
          <cell r="C128">
            <v>46234</v>
          </cell>
        </row>
        <row r="129">
          <cell r="A129" t="str">
            <v>Daily</v>
          </cell>
          <cell r="B129" t="str">
            <v>n/a</v>
          </cell>
          <cell r="C129">
            <v>46234</v>
          </cell>
        </row>
        <row r="130">
          <cell r="A130" t="str">
            <v>Daily</v>
          </cell>
          <cell r="B130" t="str">
            <v>n/a</v>
          </cell>
          <cell r="C130">
            <v>46234</v>
          </cell>
        </row>
        <row r="131">
          <cell r="A131" t="str">
            <v>Daily</v>
          </cell>
          <cell r="B131" t="str">
            <v>n/a</v>
          </cell>
          <cell r="C131">
            <v>46234</v>
          </cell>
        </row>
        <row r="132">
          <cell r="A132" t="str">
            <v>Daily</v>
          </cell>
          <cell r="B132" t="str">
            <v>n/a</v>
          </cell>
          <cell r="C132">
            <v>46234</v>
          </cell>
        </row>
        <row r="133">
          <cell r="A133" t="str">
            <v>Daily</v>
          </cell>
          <cell r="B133" t="str">
            <v>n/a</v>
          </cell>
          <cell r="C133">
            <v>46234</v>
          </cell>
        </row>
        <row r="134">
          <cell r="A134" t="str">
            <v>Daily</v>
          </cell>
          <cell r="B134" t="str">
            <v>n/a</v>
          </cell>
          <cell r="C134">
            <v>46234</v>
          </cell>
        </row>
        <row r="135">
          <cell r="A135" t="str">
            <v>Daily</v>
          </cell>
          <cell r="B135" t="str">
            <v>n/a</v>
          </cell>
          <cell r="C135">
            <v>46234</v>
          </cell>
        </row>
        <row r="136">
          <cell r="A136" t="str">
            <v>Daily</v>
          </cell>
          <cell r="B136" t="str">
            <v>n/a</v>
          </cell>
          <cell r="C136">
            <v>46234</v>
          </cell>
        </row>
        <row r="137">
          <cell r="A137" t="str">
            <v>Daily</v>
          </cell>
          <cell r="B137" t="str">
            <v>n/a</v>
          </cell>
          <cell r="C137">
            <v>46234</v>
          </cell>
        </row>
        <row r="138">
          <cell r="A138" t="str">
            <v>Daily</v>
          </cell>
          <cell r="B138" t="str">
            <v>n/a</v>
          </cell>
          <cell r="C138">
            <v>46234</v>
          </cell>
        </row>
        <row r="139">
          <cell r="A139" t="str">
            <v>Daily</v>
          </cell>
          <cell r="B139" t="str">
            <v>n/a</v>
          </cell>
          <cell r="C139">
            <v>46234</v>
          </cell>
        </row>
        <row r="140">
          <cell r="A140" t="str">
            <v>Daily</v>
          </cell>
          <cell r="B140" t="str">
            <v>n/a</v>
          </cell>
          <cell r="C140">
            <v>46234</v>
          </cell>
        </row>
        <row r="141">
          <cell r="A141" t="str">
            <v>Daily</v>
          </cell>
          <cell r="B141" t="str">
            <v>n/a</v>
          </cell>
          <cell r="C141">
            <v>46234</v>
          </cell>
        </row>
        <row r="142">
          <cell r="A142" t="str">
            <v>Daily</v>
          </cell>
          <cell r="B142" t="str">
            <v>n/a</v>
          </cell>
          <cell r="C142">
            <v>46234</v>
          </cell>
        </row>
        <row r="143">
          <cell r="A143" t="str">
            <v>Daily</v>
          </cell>
          <cell r="B143" t="str">
            <v>n/a</v>
          </cell>
          <cell r="C143">
            <v>46234</v>
          </cell>
        </row>
        <row r="144">
          <cell r="A144" t="str">
            <v>Daily</v>
          </cell>
          <cell r="B144" t="str">
            <v>n/a</v>
          </cell>
          <cell r="C144">
            <v>46234</v>
          </cell>
        </row>
        <row r="145">
          <cell r="A145" t="str">
            <v>Daily</v>
          </cell>
          <cell r="B145" t="str">
            <v>n/a</v>
          </cell>
          <cell r="C145">
            <v>46234</v>
          </cell>
        </row>
        <row r="146">
          <cell r="A146" t="str">
            <v>Daily</v>
          </cell>
          <cell r="B146" t="str">
            <v>n/a</v>
          </cell>
          <cell r="C146">
            <v>46234</v>
          </cell>
        </row>
        <row r="147">
          <cell r="A147" t="str">
            <v>Daily</v>
          </cell>
          <cell r="B147" t="str">
            <v>n/a</v>
          </cell>
          <cell r="C147">
            <v>46235</v>
          </cell>
        </row>
        <row r="148">
          <cell r="A148" t="str">
            <v>Daily</v>
          </cell>
          <cell r="B148" t="str">
            <v>n/a</v>
          </cell>
          <cell r="C148">
            <v>46235</v>
          </cell>
        </row>
        <row r="149">
          <cell r="A149" t="str">
            <v>Daily</v>
          </cell>
          <cell r="B149" t="str">
            <v>n/a</v>
          </cell>
          <cell r="C149">
            <v>46235</v>
          </cell>
        </row>
        <row r="150">
          <cell r="A150" t="str">
            <v>Daily</v>
          </cell>
          <cell r="B150" t="str">
            <v>n/a</v>
          </cell>
          <cell r="C150">
            <v>46235</v>
          </cell>
        </row>
        <row r="151">
          <cell r="A151" t="str">
            <v>Daily</v>
          </cell>
          <cell r="B151" t="str">
            <v>n/a</v>
          </cell>
          <cell r="C151">
            <v>46235</v>
          </cell>
        </row>
        <row r="152">
          <cell r="A152" t="str">
            <v>Daily</v>
          </cell>
          <cell r="B152" t="str">
            <v>n/a</v>
          </cell>
          <cell r="C152">
            <v>46235</v>
          </cell>
        </row>
        <row r="153">
          <cell r="A153" t="str">
            <v>Daily</v>
          </cell>
          <cell r="B153" t="str">
            <v>n/a</v>
          </cell>
          <cell r="C153">
            <v>46235</v>
          </cell>
        </row>
        <row r="154">
          <cell r="A154" t="str">
            <v>Daily</v>
          </cell>
          <cell r="B154" t="str">
            <v>n/a</v>
          </cell>
          <cell r="C154">
            <v>46235</v>
          </cell>
        </row>
        <row r="155">
          <cell r="A155" t="str">
            <v>Daily</v>
          </cell>
          <cell r="B155" t="str">
            <v>n/a</v>
          </cell>
          <cell r="C155">
            <v>46235</v>
          </cell>
        </row>
        <row r="156">
          <cell r="A156" t="str">
            <v>Daily</v>
          </cell>
          <cell r="B156" t="str">
            <v>n/a</v>
          </cell>
          <cell r="C156">
            <v>46235</v>
          </cell>
        </row>
        <row r="157">
          <cell r="A157" t="str">
            <v>Daily</v>
          </cell>
          <cell r="B157" t="str">
            <v>n/a</v>
          </cell>
          <cell r="C157">
            <v>46235</v>
          </cell>
        </row>
        <row r="158">
          <cell r="A158" t="str">
            <v>Daily</v>
          </cell>
          <cell r="B158" t="str">
            <v>n/a</v>
          </cell>
          <cell r="C158">
            <v>46235</v>
          </cell>
        </row>
        <row r="159">
          <cell r="A159" t="str">
            <v>Daily</v>
          </cell>
          <cell r="B159" t="str">
            <v>n/a</v>
          </cell>
          <cell r="C159">
            <v>46235</v>
          </cell>
        </row>
        <row r="160">
          <cell r="A160" t="str">
            <v>Daily</v>
          </cell>
          <cell r="B160" t="str">
            <v>n/a</v>
          </cell>
          <cell r="C160">
            <v>46235</v>
          </cell>
        </row>
        <row r="161">
          <cell r="A161" t="str">
            <v>Daily</v>
          </cell>
          <cell r="B161" t="str">
            <v>n/a</v>
          </cell>
          <cell r="C161">
            <v>46235</v>
          </cell>
        </row>
        <row r="162">
          <cell r="A162" t="str">
            <v>Daily</v>
          </cell>
          <cell r="B162" t="str">
            <v>n/a</v>
          </cell>
          <cell r="C162">
            <v>46235</v>
          </cell>
        </row>
        <row r="163">
          <cell r="A163" t="str">
            <v>Daily</v>
          </cell>
          <cell r="B163" t="str">
            <v>n/a</v>
          </cell>
          <cell r="C163">
            <v>46235</v>
          </cell>
        </row>
        <row r="164">
          <cell r="A164" t="str">
            <v>Daily</v>
          </cell>
          <cell r="B164" t="str">
            <v>n/a</v>
          </cell>
          <cell r="C164">
            <v>46235</v>
          </cell>
        </row>
        <row r="165">
          <cell r="A165" t="str">
            <v>Error</v>
          </cell>
          <cell r="B165" t="str">
            <v>03/08-error1</v>
          </cell>
          <cell r="C165">
            <v>46237</v>
          </cell>
        </row>
        <row r="166">
          <cell r="A166" t="str">
            <v>Error</v>
          </cell>
          <cell r="B166" t="str">
            <v>03/08-error1</v>
          </cell>
          <cell r="C166">
            <v>46237</v>
          </cell>
        </row>
        <row r="167">
          <cell r="A167" t="str">
            <v>Error</v>
          </cell>
          <cell r="B167" t="str">
            <v>03/08-error1</v>
          </cell>
          <cell r="C167">
            <v>46237</v>
          </cell>
        </row>
        <row r="168">
          <cell r="A168" t="str">
            <v>Error</v>
          </cell>
          <cell r="B168" t="str">
            <v>03/08-error1</v>
          </cell>
          <cell r="C168">
            <v>46237</v>
          </cell>
        </row>
        <row r="169">
          <cell r="A169" t="str">
            <v>Error</v>
          </cell>
          <cell r="B169" t="str">
            <v>03/08-error1</v>
          </cell>
          <cell r="C169">
            <v>46237</v>
          </cell>
        </row>
        <row r="170">
          <cell r="A170" t="str">
            <v>Error</v>
          </cell>
          <cell r="B170" t="str">
            <v>03/08-error1</v>
          </cell>
          <cell r="C170">
            <v>46237</v>
          </cell>
        </row>
        <row r="171">
          <cell r="A171" t="str">
            <v>Error</v>
          </cell>
          <cell r="B171" t="str">
            <v>03/08-error1</v>
          </cell>
          <cell r="C171">
            <v>46237</v>
          </cell>
        </row>
        <row r="172">
          <cell r="A172" t="str">
            <v>Error</v>
          </cell>
          <cell r="B172" t="str">
            <v>03/08-error1</v>
          </cell>
          <cell r="C172">
            <v>46237</v>
          </cell>
        </row>
        <row r="173">
          <cell r="A173" t="str">
            <v>Error</v>
          </cell>
          <cell r="B173" t="str">
            <v>03/08-error1</v>
          </cell>
          <cell r="C173">
            <v>46237</v>
          </cell>
        </row>
        <row r="174">
          <cell r="A174" t="str">
            <v>Error</v>
          </cell>
          <cell r="B174" t="str">
            <v>03/08-error1</v>
          </cell>
          <cell r="C174">
            <v>46237</v>
          </cell>
        </row>
        <row r="175">
          <cell r="A175" t="str">
            <v>Error</v>
          </cell>
          <cell r="B175" t="str">
            <v>03/08-error1</v>
          </cell>
          <cell r="C175">
            <v>46237</v>
          </cell>
        </row>
        <row r="176">
          <cell r="A176" t="str">
            <v>Error</v>
          </cell>
          <cell r="B176" t="str">
            <v>03/08-error1</v>
          </cell>
          <cell r="C176">
            <v>46237</v>
          </cell>
        </row>
        <row r="177">
          <cell r="A177" t="str">
            <v>Error</v>
          </cell>
          <cell r="B177" t="str">
            <v>03/08-error1</v>
          </cell>
          <cell r="C177">
            <v>46237</v>
          </cell>
        </row>
        <row r="178">
          <cell r="A178" t="str">
            <v>Error</v>
          </cell>
          <cell r="B178" t="str">
            <v>03/08-error1</v>
          </cell>
          <cell r="C178">
            <v>46237</v>
          </cell>
        </row>
        <row r="179">
          <cell r="A179" t="str">
            <v>Error</v>
          </cell>
          <cell r="B179" t="str">
            <v>03/08-error1</v>
          </cell>
          <cell r="C179">
            <v>46237</v>
          </cell>
        </row>
        <row r="180">
          <cell r="A180" t="str">
            <v>Error</v>
          </cell>
          <cell r="B180" t="str">
            <v>03/08-error1</v>
          </cell>
          <cell r="C180">
            <v>46237</v>
          </cell>
        </row>
        <row r="181">
          <cell r="A181" t="str">
            <v>Error</v>
          </cell>
          <cell r="B181" t="str">
            <v>03/08-error1</v>
          </cell>
          <cell r="C181">
            <v>46237</v>
          </cell>
        </row>
        <row r="182">
          <cell r="A182" t="str">
            <v>Error</v>
          </cell>
          <cell r="B182" t="str">
            <v>03/08-error1</v>
          </cell>
          <cell r="C182">
            <v>46237</v>
          </cell>
        </row>
        <row r="183">
          <cell r="A183" t="str">
            <v>Error</v>
          </cell>
          <cell r="B183" t="str">
            <v>03/08-error2</v>
          </cell>
          <cell r="C183">
            <v>46237</v>
          </cell>
        </row>
        <row r="184">
          <cell r="A184" t="str">
            <v>Error</v>
          </cell>
          <cell r="B184" t="str">
            <v>03/08-error2</v>
          </cell>
          <cell r="C184">
            <v>46237</v>
          </cell>
        </row>
        <row r="185">
          <cell r="A185" t="str">
            <v>Error</v>
          </cell>
          <cell r="B185" t="str">
            <v>03/08-error2</v>
          </cell>
          <cell r="C185">
            <v>46237</v>
          </cell>
        </row>
        <row r="186">
          <cell r="A186" t="str">
            <v>Error</v>
          </cell>
          <cell r="B186" t="str">
            <v>03/08-error2</v>
          </cell>
          <cell r="C186">
            <v>46237</v>
          </cell>
        </row>
        <row r="187">
          <cell r="A187" t="str">
            <v>Error</v>
          </cell>
          <cell r="B187" t="str">
            <v>03/08-error2</v>
          </cell>
          <cell r="C187">
            <v>46237</v>
          </cell>
        </row>
        <row r="188">
          <cell r="A188" t="str">
            <v>Error</v>
          </cell>
          <cell r="B188" t="str">
            <v>03/08-error2</v>
          </cell>
          <cell r="C188">
            <v>46237</v>
          </cell>
        </row>
        <row r="189">
          <cell r="A189" t="str">
            <v>Error</v>
          </cell>
          <cell r="B189" t="str">
            <v>03/08-error2</v>
          </cell>
          <cell r="C189">
            <v>46237</v>
          </cell>
        </row>
        <row r="190">
          <cell r="A190" t="str">
            <v>Error</v>
          </cell>
          <cell r="B190" t="str">
            <v>03/08-error2</v>
          </cell>
          <cell r="C190">
            <v>46237</v>
          </cell>
        </row>
        <row r="191">
          <cell r="A191" t="str">
            <v>Error</v>
          </cell>
          <cell r="B191" t="str">
            <v>03/08-error2</v>
          </cell>
          <cell r="C191">
            <v>46237</v>
          </cell>
        </row>
        <row r="192">
          <cell r="A192" t="str">
            <v>Error</v>
          </cell>
          <cell r="B192" t="str">
            <v>03/08-error2</v>
          </cell>
          <cell r="C192">
            <v>46237</v>
          </cell>
        </row>
        <row r="193">
          <cell r="A193" t="str">
            <v>Error</v>
          </cell>
          <cell r="B193" t="str">
            <v>03/08-error2</v>
          </cell>
          <cell r="C193">
            <v>46237</v>
          </cell>
        </row>
        <row r="194">
          <cell r="A194" t="str">
            <v>Error</v>
          </cell>
          <cell r="B194" t="str">
            <v>03/08-error2</v>
          </cell>
          <cell r="C194">
            <v>46237</v>
          </cell>
        </row>
        <row r="195">
          <cell r="A195" t="str">
            <v>Error</v>
          </cell>
          <cell r="B195" t="str">
            <v>03/08-error2</v>
          </cell>
          <cell r="C195">
            <v>46237</v>
          </cell>
        </row>
        <row r="196">
          <cell r="A196" t="str">
            <v>Error</v>
          </cell>
          <cell r="B196" t="str">
            <v>03/08-error2</v>
          </cell>
          <cell r="C196">
            <v>46237</v>
          </cell>
        </row>
        <row r="197">
          <cell r="A197" t="str">
            <v>Error</v>
          </cell>
          <cell r="B197" t="str">
            <v>03/08-error2</v>
          </cell>
          <cell r="C197">
            <v>46237</v>
          </cell>
        </row>
        <row r="198">
          <cell r="A198" t="str">
            <v>Error</v>
          </cell>
          <cell r="B198" t="str">
            <v>03/08-error2</v>
          </cell>
          <cell r="C198">
            <v>46237</v>
          </cell>
        </row>
        <row r="199">
          <cell r="A199" t="str">
            <v>Error</v>
          </cell>
          <cell r="B199" t="str">
            <v>03/08-error2</v>
          </cell>
          <cell r="C199">
            <v>46237</v>
          </cell>
        </row>
        <row r="200">
          <cell r="A200" t="str">
            <v>Error</v>
          </cell>
          <cell r="B200" t="str">
            <v>03/08-error2</v>
          </cell>
          <cell r="C200">
            <v>46237</v>
          </cell>
        </row>
        <row r="201">
          <cell r="A201" t="str">
            <v>Daily</v>
          </cell>
          <cell r="B201" t="str">
            <v>n/a</v>
          </cell>
          <cell r="C201">
            <v>46237</v>
          </cell>
        </row>
        <row r="202">
          <cell r="A202" t="str">
            <v>Daily</v>
          </cell>
          <cell r="B202" t="str">
            <v>n/a</v>
          </cell>
          <cell r="C202">
            <v>46237</v>
          </cell>
        </row>
        <row r="203">
          <cell r="A203" t="str">
            <v>Daily</v>
          </cell>
          <cell r="B203" t="str">
            <v>n/a</v>
          </cell>
          <cell r="C203">
            <v>46237</v>
          </cell>
        </row>
        <row r="204">
          <cell r="A204" t="str">
            <v>Daily</v>
          </cell>
          <cell r="B204" t="str">
            <v>n/a</v>
          </cell>
          <cell r="C204">
            <v>46237</v>
          </cell>
        </row>
        <row r="205">
          <cell r="A205" t="str">
            <v>Daily</v>
          </cell>
          <cell r="B205" t="str">
            <v>n/a</v>
          </cell>
          <cell r="C205">
            <v>46237</v>
          </cell>
        </row>
        <row r="206">
          <cell r="A206" t="str">
            <v>Daily</v>
          </cell>
          <cell r="B206" t="str">
            <v>n/a</v>
          </cell>
          <cell r="C206">
            <v>46237</v>
          </cell>
        </row>
        <row r="207">
          <cell r="A207" t="str">
            <v>Daily</v>
          </cell>
          <cell r="B207" t="str">
            <v>n/a</v>
          </cell>
          <cell r="C207">
            <v>46237</v>
          </cell>
        </row>
        <row r="208">
          <cell r="A208" t="str">
            <v>Daily</v>
          </cell>
          <cell r="B208" t="str">
            <v>n/a</v>
          </cell>
          <cell r="C208">
            <v>46237</v>
          </cell>
        </row>
        <row r="209">
          <cell r="A209" t="str">
            <v>Daily</v>
          </cell>
          <cell r="B209" t="str">
            <v>n/a</v>
          </cell>
          <cell r="C209">
            <v>46237</v>
          </cell>
        </row>
        <row r="210">
          <cell r="A210" t="str">
            <v>Daily</v>
          </cell>
          <cell r="B210" t="str">
            <v>n/a</v>
          </cell>
          <cell r="C210">
            <v>46237</v>
          </cell>
        </row>
        <row r="211">
          <cell r="A211" t="str">
            <v>Daily</v>
          </cell>
          <cell r="B211" t="str">
            <v>n/a</v>
          </cell>
          <cell r="C211">
            <v>46237</v>
          </cell>
        </row>
        <row r="212">
          <cell r="A212" t="str">
            <v>Daily</v>
          </cell>
          <cell r="B212" t="str">
            <v>n/a</v>
          </cell>
          <cell r="C212">
            <v>46237</v>
          </cell>
        </row>
        <row r="213">
          <cell r="A213" t="str">
            <v>Daily</v>
          </cell>
          <cell r="B213" t="str">
            <v>n/a</v>
          </cell>
          <cell r="C213">
            <v>46237</v>
          </cell>
        </row>
        <row r="214">
          <cell r="A214" t="str">
            <v>Daily</v>
          </cell>
          <cell r="B214" t="str">
            <v>n/a</v>
          </cell>
          <cell r="C214">
            <v>46237</v>
          </cell>
        </row>
        <row r="215">
          <cell r="A215" t="str">
            <v>Daily</v>
          </cell>
          <cell r="B215" t="str">
            <v>n/a</v>
          </cell>
          <cell r="C215">
            <v>46237</v>
          </cell>
        </row>
        <row r="216">
          <cell r="A216" t="str">
            <v>Daily</v>
          </cell>
          <cell r="B216" t="str">
            <v>n/a</v>
          </cell>
          <cell r="C216">
            <v>46237</v>
          </cell>
        </row>
        <row r="217">
          <cell r="A217" t="str">
            <v>Daily</v>
          </cell>
          <cell r="B217" t="str">
            <v>n/a</v>
          </cell>
          <cell r="C217">
            <v>46237</v>
          </cell>
        </row>
        <row r="218">
          <cell r="A218" t="str">
            <v>Daily</v>
          </cell>
          <cell r="B218" t="str">
            <v>n/a</v>
          </cell>
          <cell r="C218">
            <v>46237</v>
          </cell>
        </row>
        <row r="219">
          <cell r="A219" t="str">
            <v>Daily</v>
          </cell>
          <cell r="B219" t="str">
            <v>n/a</v>
          </cell>
          <cell r="C219">
            <v>46238</v>
          </cell>
        </row>
        <row r="220">
          <cell r="A220" t="str">
            <v>Daily</v>
          </cell>
          <cell r="B220" t="str">
            <v>n/a</v>
          </cell>
          <cell r="C220">
            <v>46238</v>
          </cell>
        </row>
        <row r="221">
          <cell r="A221" t="str">
            <v>Daily</v>
          </cell>
          <cell r="B221" t="str">
            <v>n/a</v>
          </cell>
          <cell r="C221">
            <v>46238</v>
          </cell>
        </row>
        <row r="222">
          <cell r="A222" t="str">
            <v>Daily</v>
          </cell>
          <cell r="B222" t="str">
            <v>n/a</v>
          </cell>
          <cell r="C222">
            <v>46238</v>
          </cell>
        </row>
        <row r="223">
          <cell r="A223" t="str">
            <v>Daily</v>
          </cell>
          <cell r="B223" t="str">
            <v>n/a</v>
          </cell>
          <cell r="C223">
            <v>46238</v>
          </cell>
        </row>
        <row r="224">
          <cell r="A224" t="str">
            <v>Daily</v>
          </cell>
          <cell r="B224" t="str">
            <v>n/a</v>
          </cell>
          <cell r="C224">
            <v>46238</v>
          </cell>
        </row>
        <row r="225">
          <cell r="A225" t="str">
            <v>Daily</v>
          </cell>
          <cell r="B225" t="str">
            <v>n/a</v>
          </cell>
          <cell r="C225">
            <v>46238</v>
          </cell>
        </row>
        <row r="226">
          <cell r="A226" t="str">
            <v>Daily</v>
          </cell>
          <cell r="B226" t="str">
            <v>n/a</v>
          </cell>
          <cell r="C226">
            <v>46238</v>
          </cell>
        </row>
        <row r="227">
          <cell r="A227" t="str">
            <v>Daily</v>
          </cell>
          <cell r="B227" t="str">
            <v>n/a</v>
          </cell>
          <cell r="C227">
            <v>46238</v>
          </cell>
        </row>
        <row r="228">
          <cell r="A228" t="str">
            <v>Daily</v>
          </cell>
          <cell r="B228" t="str">
            <v>n/a</v>
          </cell>
          <cell r="C228">
            <v>46238</v>
          </cell>
        </row>
        <row r="229">
          <cell r="A229" t="str">
            <v>Daily</v>
          </cell>
          <cell r="B229" t="str">
            <v>n/a</v>
          </cell>
          <cell r="C229">
            <v>46238</v>
          </cell>
        </row>
        <row r="230">
          <cell r="A230" t="str">
            <v>Daily</v>
          </cell>
          <cell r="B230" t="str">
            <v>n/a</v>
          </cell>
          <cell r="C230">
            <v>46238</v>
          </cell>
        </row>
        <row r="231">
          <cell r="A231" t="str">
            <v>Daily</v>
          </cell>
          <cell r="B231" t="str">
            <v>n/a</v>
          </cell>
          <cell r="C231">
            <v>46238</v>
          </cell>
        </row>
        <row r="232">
          <cell r="A232" t="str">
            <v>Daily</v>
          </cell>
          <cell r="B232" t="str">
            <v>n/a</v>
          </cell>
          <cell r="C232">
            <v>46238</v>
          </cell>
        </row>
        <row r="233">
          <cell r="A233" t="str">
            <v>Daily</v>
          </cell>
          <cell r="B233" t="str">
            <v>n/a</v>
          </cell>
          <cell r="C233">
            <v>46238</v>
          </cell>
        </row>
        <row r="234">
          <cell r="A234" t="str">
            <v>Daily</v>
          </cell>
          <cell r="B234" t="str">
            <v>n/a</v>
          </cell>
          <cell r="C234">
            <v>46238</v>
          </cell>
        </row>
        <row r="235">
          <cell r="A235" t="str">
            <v>Daily</v>
          </cell>
          <cell r="B235" t="str">
            <v>n/a</v>
          </cell>
          <cell r="C235">
            <v>46238</v>
          </cell>
        </row>
        <row r="236">
          <cell r="A236" t="str">
            <v>Daily</v>
          </cell>
          <cell r="B236" t="str">
            <v>n/a</v>
          </cell>
          <cell r="C236">
            <v>46238</v>
          </cell>
        </row>
        <row r="237">
          <cell r="A237" t="str">
            <v>Daily</v>
          </cell>
          <cell r="B237" t="str">
            <v>n/a</v>
          </cell>
          <cell r="C237">
            <v>46239</v>
          </cell>
        </row>
        <row r="238">
          <cell r="A238" t="str">
            <v>Daily</v>
          </cell>
          <cell r="B238" t="str">
            <v>n/a</v>
          </cell>
          <cell r="C238">
            <v>46239</v>
          </cell>
        </row>
        <row r="239">
          <cell r="A239" t="str">
            <v>Daily</v>
          </cell>
          <cell r="B239" t="str">
            <v>n/a</v>
          </cell>
          <cell r="C239">
            <v>46239</v>
          </cell>
        </row>
        <row r="240">
          <cell r="A240" t="str">
            <v>Daily</v>
          </cell>
          <cell r="B240" t="str">
            <v>n/a</v>
          </cell>
          <cell r="C240">
            <v>46239</v>
          </cell>
        </row>
        <row r="241">
          <cell r="A241" t="str">
            <v>Daily</v>
          </cell>
          <cell r="B241" t="str">
            <v>n/a</v>
          </cell>
          <cell r="C241">
            <v>46239</v>
          </cell>
        </row>
        <row r="242">
          <cell r="A242" t="str">
            <v>Daily</v>
          </cell>
          <cell r="B242" t="str">
            <v>n/a</v>
          </cell>
          <cell r="C242">
            <v>46239</v>
          </cell>
        </row>
        <row r="243">
          <cell r="A243" t="str">
            <v>Daily</v>
          </cell>
          <cell r="B243" t="str">
            <v>n/a</v>
          </cell>
          <cell r="C243">
            <v>46239</v>
          </cell>
        </row>
        <row r="244">
          <cell r="A244" t="str">
            <v>Daily</v>
          </cell>
          <cell r="B244" t="str">
            <v>n/a</v>
          </cell>
          <cell r="C244">
            <v>46239</v>
          </cell>
        </row>
        <row r="245">
          <cell r="A245" t="str">
            <v>Daily</v>
          </cell>
          <cell r="B245" t="str">
            <v>n/a</v>
          </cell>
          <cell r="C245">
            <v>46239</v>
          </cell>
        </row>
        <row r="246">
          <cell r="A246" t="str">
            <v>Daily</v>
          </cell>
          <cell r="B246" t="str">
            <v>n/a</v>
          </cell>
          <cell r="C246">
            <v>46239</v>
          </cell>
        </row>
        <row r="247">
          <cell r="A247" t="str">
            <v>Daily</v>
          </cell>
          <cell r="B247" t="str">
            <v>n/a</v>
          </cell>
          <cell r="C247">
            <v>46239</v>
          </cell>
        </row>
        <row r="248">
          <cell r="A248" t="str">
            <v>Daily</v>
          </cell>
          <cell r="B248" t="str">
            <v>n/a</v>
          </cell>
          <cell r="C248">
            <v>46239</v>
          </cell>
        </row>
        <row r="249">
          <cell r="A249" t="str">
            <v>Daily</v>
          </cell>
          <cell r="B249" t="str">
            <v>n/a</v>
          </cell>
          <cell r="C249">
            <v>46239</v>
          </cell>
        </row>
        <row r="250">
          <cell r="A250" t="str">
            <v>Daily</v>
          </cell>
          <cell r="B250" t="str">
            <v>n/a</v>
          </cell>
          <cell r="C250">
            <v>46239</v>
          </cell>
        </row>
        <row r="251">
          <cell r="A251" t="str">
            <v>Daily</v>
          </cell>
          <cell r="B251" t="str">
            <v>n/a</v>
          </cell>
          <cell r="C251">
            <v>46239</v>
          </cell>
        </row>
        <row r="252">
          <cell r="A252" t="str">
            <v>Daily</v>
          </cell>
          <cell r="B252" t="str">
            <v>n/a</v>
          </cell>
          <cell r="C252">
            <v>46239</v>
          </cell>
        </row>
        <row r="253">
          <cell r="A253" t="str">
            <v>Daily</v>
          </cell>
          <cell r="B253" t="str">
            <v>n/a</v>
          </cell>
          <cell r="C253">
            <v>46239</v>
          </cell>
        </row>
        <row r="254">
          <cell r="A254" t="str">
            <v>Daily</v>
          </cell>
          <cell r="B254" t="str">
            <v>n/a</v>
          </cell>
          <cell r="C254">
            <v>46239</v>
          </cell>
        </row>
        <row r="255">
          <cell r="A255" t="str">
            <v>Daily</v>
          </cell>
          <cell r="B255" t="str">
            <v>n/a</v>
          </cell>
          <cell r="C255">
            <v>46240</v>
          </cell>
        </row>
        <row r="256">
          <cell r="A256" t="str">
            <v>Daily</v>
          </cell>
          <cell r="B256" t="str">
            <v>n/a</v>
          </cell>
          <cell r="C256">
            <v>46240</v>
          </cell>
        </row>
        <row r="257">
          <cell r="A257" t="str">
            <v>Daily</v>
          </cell>
          <cell r="B257" t="str">
            <v>n/a</v>
          </cell>
          <cell r="C257">
            <v>46240</v>
          </cell>
        </row>
        <row r="258">
          <cell r="A258" t="str">
            <v>Daily</v>
          </cell>
          <cell r="B258" t="str">
            <v>n/a</v>
          </cell>
          <cell r="C258">
            <v>46240</v>
          </cell>
        </row>
        <row r="259">
          <cell r="A259" t="str">
            <v>Daily</v>
          </cell>
          <cell r="B259" t="str">
            <v>n/a</v>
          </cell>
          <cell r="C259">
            <v>46240</v>
          </cell>
        </row>
        <row r="260">
          <cell r="A260" t="str">
            <v>Daily</v>
          </cell>
          <cell r="B260" t="str">
            <v>n/a</v>
          </cell>
          <cell r="C260">
            <v>46240</v>
          </cell>
        </row>
        <row r="261">
          <cell r="A261" t="str">
            <v>Daily</v>
          </cell>
          <cell r="B261" t="str">
            <v>n/a</v>
          </cell>
          <cell r="C261">
            <v>46240</v>
          </cell>
        </row>
        <row r="262">
          <cell r="A262" t="str">
            <v>Daily</v>
          </cell>
          <cell r="B262" t="str">
            <v>n/a</v>
          </cell>
          <cell r="C262">
            <v>46240</v>
          </cell>
        </row>
        <row r="263">
          <cell r="A263" t="str">
            <v>Daily</v>
          </cell>
          <cell r="B263" t="str">
            <v>n/a</v>
          </cell>
          <cell r="C263">
            <v>46240</v>
          </cell>
        </row>
        <row r="264">
          <cell r="A264" t="str">
            <v>Daily</v>
          </cell>
          <cell r="B264" t="str">
            <v>n/a</v>
          </cell>
          <cell r="C264">
            <v>46240</v>
          </cell>
        </row>
        <row r="265">
          <cell r="A265" t="str">
            <v>Daily</v>
          </cell>
          <cell r="B265" t="str">
            <v>n/a</v>
          </cell>
          <cell r="C265">
            <v>46240</v>
          </cell>
        </row>
        <row r="266">
          <cell r="A266" t="str">
            <v>Daily</v>
          </cell>
          <cell r="B266" t="str">
            <v>n/a</v>
          </cell>
          <cell r="C266">
            <v>46240</v>
          </cell>
        </row>
        <row r="267">
          <cell r="A267" t="str">
            <v>Daily</v>
          </cell>
          <cell r="B267" t="str">
            <v>n/a</v>
          </cell>
          <cell r="C267">
            <v>46240</v>
          </cell>
        </row>
        <row r="268">
          <cell r="A268" t="str">
            <v>Daily</v>
          </cell>
          <cell r="B268" t="str">
            <v>n/a</v>
          </cell>
          <cell r="C268">
            <v>46240</v>
          </cell>
        </row>
        <row r="269">
          <cell r="A269" t="str">
            <v>Daily</v>
          </cell>
          <cell r="B269" t="str">
            <v>n/a</v>
          </cell>
          <cell r="C269">
            <v>46240</v>
          </cell>
        </row>
        <row r="270">
          <cell r="A270" t="str">
            <v>Daily</v>
          </cell>
          <cell r="B270" t="str">
            <v>n/a</v>
          </cell>
          <cell r="C270">
            <v>46240</v>
          </cell>
        </row>
        <row r="271">
          <cell r="A271" t="str">
            <v>Daily</v>
          </cell>
          <cell r="B271" t="str">
            <v>n/a</v>
          </cell>
          <cell r="C271">
            <v>46240</v>
          </cell>
        </row>
        <row r="272">
          <cell r="A272" t="str">
            <v>Daily</v>
          </cell>
          <cell r="B272" t="str">
            <v>n/a</v>
          </cell>
          <cell r="C272">
            <v>46240</v>
          </cell>
        </row>
        <row r="273">
          <cell r="A273" t="str">
            <v>Trial</v>
          </cell>
          <cell r="B273" t="str">
            <v>shelf-baseline</v>
          </cell>
          <cell r="C273">
            <v>46240</v>
          </cell>
        </row>
        <row r="274">
          <cell r="A274" t="str">
            <v>Trial</v>
          </cell>
          <cell r="B274" t="str">
            <v>shelf-baseline</v>
          </cell>
          <cell r="C274">
            <v>46240</v>
          </cell>
        </row>
        <row r="275">
          <cell r="A275" t="str">
            <v>Trial</v>
          </cell>
          <cell r="B275" t="str">
            <v>shelf-baseline</v>
          </cell>
          <cell r="C275">
            <v>46240</v>
          </cell>
        </row>
        <row r="276">
          <cell r="A276" t="str">
            <v>Trial</v>
          </cell>
          <cell r="B276" t="str">
            <v>shelf-baseline</v>
          </cell>
          <cell r="C276">
            <v>46240</v>
          </cell>
        </row>
        <row r="277">
          <cell r="A277" t="str">
            <v>Trial</v>
          </cell>
          <cell r="B277" t="str">
            <v>shelf-baseline</v>
          </cell>
          <cell r="C277">
            <v>46240</v>
          </cell>
        </row>
        <row r="278">
          <cell r="A278" t="str">
            <v>Trial</v>
          </cell>
          <cell r="B278" t="str">
            <v>shelf-baseline</v>
          </cell>
          <cell r="C278">
            <v>46240</v>
          </cell>
        </row>
        <row r="279">
          <cell r="A279" t="str">
            <v>Trial</v>
          </cell>
          <cell r="B279" t="str">
            <v>shelf-baseline</v>
          </cell>
          <cell r="C279">
            <v>46240</v>
          </cell>
        </row>
        <row r="280">
          <cell r="A280" t="str">
            <v>Trial</v>
          </cell>
          <cell r="B280" t="str">
            <v>shelf-baseline</v>
          </cell>
          <cell r="C280">
            <v>46240</v>
          </cell>
        </row>
        <row r="281">
          <cell r="A281" t="str">
            <v>Trial</v>
          </cell>
          <cell r="B281" t="str">
            <v>shelf-baseline</v>
          </cell>
          <cell r="C281">
            <v>46240</v>
          </cell>
        </row>
        <row r="282">
          <cell r="A282" t="str">
            <v>Trial</v>
          </cell>
          <cell r="B282" t="str">
            <v>shelf-baseline</v>
          </cell>
          <cell r="C282">
            <v>46240</v>
          </cell>
        </row>
        <row r="283">
          <cell r="A283" t="str">
            <v>Trial</v>
          </cell>
          <cell r="B283" t="str">
            <v>shelf-baseline</v>
          </cell>
          <cell r="C283">
            <v>46240</v>
          </cell>
        </row>
        <row r="284">
          <cell r="A284" t="str">
            <v>Trial</v>
          </cell>
          <cell r="B284" t="str">
            <v>shelf-baseline</v>
          </cell>
          <cell r="C284">
            <v>46240</v>
          </cell>
        </row>
        <row r="285">
          <cell r="A285" t="str">
            <v>Trial</v>
          </cell>
          <cell r="B285" t="str">
            <v>shelf-baseline</v>
          </cell>
          <cell r="C285">
            <v>46240</v>
          </cell>
        </row>
        <row r="286">
          <cell r="A286" t="str">
            <v>Trial</v>
          </cell>
          <cell r="B286" t="str">
            <v>shelf-baseline</v>
          </cell>
          <cell r="C286">
            <v>46240</v>
          </cell>
        </row>
        <row r="287">
          <cell r="A287" t="str">
            <v>Trial</v>
          </cell>
          <cell r="B287" t="str">
            <v>shelf-baseline</v>
          </cell>
          <cell r="C287">
            <v>46240</v>
          </cell>
        </row>
        <row r="288">
          <cell r="A288" t="str">
            <v>Trial</v>
          </cell>
          <cell r="B288" t="str">
            <v>shelf-baseline</v>
          </cell>
          <cell r="C288">
            <v>46240</v>
          </cell>
        </row>
        <row r="289">
          <cell r="A289" t="str">
            <v>Trial</v>
          </cell>
          <cell r="B289" t="str">
            <v>shelf-baseline</v>
          </cell>
          <cell r="C289">
            <v>46240</v>
          </cell>
        </row>
        <row r="290">
          <cell r="A290" t="str">
            <v>Trial</v>
          </cell>
          <cell r="B290" t="str">
            <v>shelf-baseline</v>
          </cell>
          <cell r="C290">
            <v>46240</v>
          </cell>
        </row>
        <row r="291">
          <cell r="A291" t="str">
            <v>Trial</v>
          </cell>
          <cell r="B291" t="str">
            <v>shelf-trial</v>
          </cell>
          <cell r="C291">
            <v>46240</v>
          </cell>
        </row>
        <row r="292">
          <cell r="A292" t="str">
            <v>Trial</v>
          </cell>
          <cell r="B292" t="str">
            <v>shelf-trial</v>
          </cell>
          <cell r="C292">
            <v>46240</v>
          </cell>
        </row>
        <row r="293">
          <cell r="A293" t="str">
            <v>Trial</v>
          </cell>
          <cell r="B293" t="str">
            <v>shelf-trial</v>
          </cell>
          <cell r="C293">
            <v>46240</v>
          </cell>
        </row>
        <row r="294">
          <cell r="A294" t="str">
            <v>Trial</v>
          </cell>
          <cell r="B294" t="str">
            <v>shelf-trial</v>
          </cell>
          <cell r="C294">
            <v>46240</v>
          </cell>
        </row>
        <row r="295">
          <cell r="A295" t="str">
            <v>Trial</v>
          </cell>
          <cell r="B295" t="str">
            <v>shelf-trial</v>
          </cell>
          <cell r="C295">
            <v>46240</v>
          </cell>
        </row>
        <row r="296">
          <cell r="A296" t="str">
            <v>Trial</v>
          </cell>
          <cell r="B296" t="str">
            <v>shelf-trial</v>
          </cell>
          <cell r="C296">
            <v>46240</v>
          </cell>
        </row>
        <row r="297">
          <cell r="A297" t="str">
            <v>Trial</v>
          </cell>
          <cell r="B297" t="str">
            <v>shelf-trial</v>
          </cell>
          <cell r="C297">
            <v>46240</v>
          </cell>
        </row>
        <row r="298">
          <cell r="A298" t="str">
            <v>Trial</v>
          </cell>
          <cell r="B298" t="str">
            <v>shelf-trial</v>
          </cell>
          <cell r="C298">
            <v>46240</v>
          </cell>
        </row>
        <row r="299">
          <cell r="A299" t="str">
            <v>Trial</v>
          </cell>
          <cell r="B299" t="str">
            <v>shelf-trial</v>
          </cell>
          <cell r="C299">
            <v>46240</v>
          </cell>
        </row>
        <row r="300">
          <cell r="A300" t="str">
            <v>Trial</v>
          </cell>
          <cell r="B300" t="str">
            <v>shelf-trial</v>
          </cell>
          <cell r="C300">
            <v>46240</v>
          </cell>
        </row>
        <row r="301">
          <cell r="A301" t="str">
            <v>Trial</v>
          </cell>
          <cell r="B301" t="str">
            <v>shelf-trial</v>
          </cell>
          <cell r="C301">
            <v>46240</v>
          </cell>
        </row>
        <row r="302">
          <cell r="A302" t="str">
            <v>Trial</v>
          </cell>
          <cell r="B302" t="str">
            <v>shelf-trial</v>
          </cell>
          <cell r="C302">
            <v>46240</v>
          </cell>
        </row>
        <row r="303">
          <cell r="A303" t="str">
            <v>Trial</v>
          </cell>
          <cell r="B303" t="str">
            <v>shelf-trial</v>
          </cell>
          <cell r="C303">
            <v>46240</v>
          </cell>
        </row>
        <row r="304">
          <cell r="A304" t="str">
            <v>Trial</v>
          </cell>
          <cell r="B304" t="str">
            <v>shelf-trial</v>
          </cell>
          <cell r="C304">
            <v>46240</v>
          </cell>
        </row>
        <row r="305">
          <cell r="A305" t="str">
            <v>Trial</v>
          </cell>
          <cell r="B305" t="str">
            <v>shelf-trial</v>
          </cell>
          <cell r="C305">
            <v>46240</v>
          </cell>
        </row>
        <row r="306">
          <cell r="A306" t="str">
            <v>Trial</v>
          </cell>
          <cell r="B306" t="str">
            <v>shelf-trial</v>
          </cell>
          <cell r="C306">
            <v>46240</v>
          </cell>
        </row>
        <row r="307">
          <cell r="A307" t="str">
            <v>Trial</v>
          </cell>
          <cell r="B307" t="str">
            <v>shelf-trial</v>
          </cell>
          <cell r="C307">
            <v>46240</v>
          </cell>
        </row>
        <row r="308">
          <cell r="A308" t="str">
            <v>Trial</v>
          </cell>
          <cell r="B308" t="str">
            <v>shelf-trial</v>
          </cell>
          <cell r="C308">
            <v>46240</v>
          </cell>
        </row>
        <row r="309">
          <cell r="A309" t="str">
            <v>Daily</v>
          </cell>
          <cell r="B309" t="str">
            <v>n/a</v>
          </cell>
          <cell r="C309">
            <v>46242</v>
          </cell>
        </row>
        <row r="310">
          <cell r="A310" t="str">
            <v>Daily</v>
          </cell>
          <cell r="B310" t="str">
            <v>n/a</v>
          </cell>
          <cell r="C310">
            <v>46242</v>
          </cell>
        </row>
        <row r="311">
          <cell r="A311" t="str">
            <v>Daily</v>
          </cell>
          <cell r="B311" t="str">
            <v>n/a</v>
          </cell>
          <cell r="C311">
            <v>46242</v>
          </cell>
        </row>
        <row r="312">
          <cell r="A312" t="str">
            <v>Daily</v>
          </cell>
          <cell r="B312" t="str">
            <v>n/a</v>
          </cell>
          <cell r="C312">
            <v>46242</v>
          </cell>
        </row>
        <row r="313">
          <cell r="A313" t="str">
            <v>Daily</v>
          </cell>
          <cell r="B313" t="str">
            <v>n/a</v>
          </cell>
          <cell r="C313">
            <v>46242</v>
          </cell>
        </row>
        <row r="314">
          <cell r="A314" t="str">
            <v>Daily</v>
          </cell>
          <cell r="B314" t="str">
            <v>n/a</v>
          </cell>
          <cell r="C314">
            <v>46242</v>
          </cell>
        </row>
        <row r="315">
          <cell r="A315" t="str">
            <v>Daily</v>
          </cell>
          <cell r="B315" t="str">
            <v>n/a</v>
          </cell>
          <cell r="C315">
            <v>46242</v>
          </cell>
        </row>
        <row r="316">
          <cell r="A316" t="str">
            <v>Daily</v>
          </cell>
          <cell r="B316" t="str">
            <v>n/a</v>
          </cell>
          <cell r="C316">
            <v>46242</v>
          </cell>
        </row>
        <row r="317">
          <cell r="A317" t="str">
            <v>Daily</v>
          </cell>
          <cell r="B317" t="str">
            <v>n/a</v>
          </cell>
          <cell r="C317">
            <v>46242</v>
          </cell>
        </row>
        <row r="318">
          <cell r="A318" t="str">
            <v>Daily</v>
          </cell>
          <cell r="B318" t="str">
            <v>n/a</v>
          </cell>
          <cell r="C318">
            <v>46242</v>
          </cell>
        </row>
        <row r="319">
          <cell r="A319" t="str">
            <v>Daily</v>
          </cell>
          <cell r="B319" t="str">
            <v>n/a</v>
          </cell>
          <cell r="C319">
            <v>46242</v>
          </cell>
        </row>
        <row r="320">
          <cell r="A320" t="str">
            <v>Daily</v>
          </cell>
          <cell r="B320" t="str">
            <v>n/a</v>
          </cell>
          <cell r="C320">
            <v>46242</v>
          </cell>
        </row>
        <row r="321">
          <cell r="A321" t="str">
            <v>Daily</v>
          </cell>
          <cell r="B321" t="str">
            <v>n/a</v>
          </cell>
          <cell r="C321">
            <v>46242</v>
          </cell>
        </row>
        <row r="322">
          <cell r="A322" t="str">
            <v>Daily</v>
          </cell>
          <cell r="B322" t="str">
            <v>n/a</v>
          </cell>
          <cell r="C322">
            <v>46242</v>
          </cell>
        </row>
        <row r="323">
          <cell r="A323" t="str">
            <v>Daily</v>
          </cell>
          <cell r="B323" t="str">
            <v>n/a</v>
          </cell>
          <cell r="C323">
            <v>46242</v>
          </cell>
        </row>
        <row r="324">
          <cell r="A324" t="str">
            <v>Daily</v>
          </cell>
          <cell r="B324" t="str">
            <v>n/a</v>
          </cell>
          <cell r="C324">
            <v>46242</v>
          </cell>
        </row>
        <row r="325">
          <cell r="A325" t="str">
            <v>Daily</v>
          </cell>
          <cell r="B325" t="str">
            <v>n/a</v>
          </cell>
          <cell r="C325">
            <v>46242</v>
          </cell>
        </row>
        <row r="326">
          <cell r="A326" t="str">
            <v>Daily</v>
          </cell>
          <cell r="B326" t="str">
            <v>n/a</v>
          </cell>
          <cell r="C326">
            <v>46242</v>
          </cell>
        </row>
        <row r="327">
          <cell r="A327" t="str">
            <v>Trial</v>
          </cell>
          <cell r="B327" t="str">
            <v>auto-stop-1000-base</v>
          </cell>
          <cell r="C327">
            <v>46242</v>
          </cell>
        </row>
        <row r="328">
          <cell r="A328" t="str">
            <v>Trial</v>
          </cell>
          <cell r="B328" t="str">
            <v>auto-stop-1000-base</v>
          </cell>
          <cell r="C328">
            <v>46242</v>
          </cell>
        </row>
        <row r="329">
          <cell r="A329" t="str">
            <v>Trial</v>
          </cell>
          <cell r="B329" t="str">
            <v>auto-stop-1000-base</v>
          </cell>
          <cell r="C329">
            <v>46242</v>
          </cell>
        </row>
        <row r="330">
          <cell r="A330" t="str">
            <v>Trial</v>
          </cell>
          <cell r="B330" t="str">
            <v>auto-stop-1000-base</v>
          </cell>
          <cell r="C330">
            <v>46242</v>
          </cell>
        </row>
        <row r="331">
          <cell r="A331" t="str">
            <v>Trial</v>
          </cell>
          <cell r="B331" t="str">
            <v>auto-stop-1000-base</v>
          </cell>
          <cell r="C331">
            <v>46242</v>
          </cell>
        </row>
        <row r="332">
          <cell r="A332" t="str">
            <v>Trial</v>
          </cell>
          <cell r="B332" t="str">
            <v>auto-stop-1000-base</v>
          </cell>
          <cell r="C332">
            <v>46242</v>
          </cell>
        </row>
        <row r="333">
          <cell r="A333" t="str">
            <v>Trial</v>
          </cell>
          <cell r="B333" t="str">
            <v>auto-stop-1000-base</v>
          </cell>
          <cell r="C333">
            <v>46242</v>
          </cell>
        </row>
        <row r="334">
          <cell r="A334" t="str">
            <v>Trial</v>
          </cell>
          <cell r="B334" t="str">
            <v>auto-stop-1000-base</v>
          </cell>
          <cell r="C334">
            <v>46242</v>
          </cell>
        </row>
        <row r="335">
          <cell r="A335" t="str">
            <v>Trial</v>
          </cell>
          <cell r="B335" t="str">
            <v>auto-stop-1000-base</v>
          </cell>
          <cell r="C335">
            <v>46242</v>
          </cell>
        </row>
        <row r="336">
          <cell r="A336" t="str">
            <v>Trial</v>
          </cell>
          <cell r="B336" t="str">
            <v>auto-stop-1000-base</v>
          </cell>
          <cell r="C336">
            <v>46242</v>
          </cell>
        </row>
        <row r="337">
          <cell r="A337" t="str">
            <v>Trial</v>
          </cell>
          <cell r="B337" t="str">
            <v>auto-stop-1000-base</v>
          </cell>
          <cell r="C337">
            <v>46242</v>
          </cell>
        </row>
        <row r="338">
          <cell r="A338" t="str">
            <v>Trial</v>
          </cell>
          <cell r="B338" t="str">
            <v>auto-stop-1000-base</v>
          </cell>
          <cell r="C338">
            <v>46242</v>
          </cell>
        </row>
        <row r="339">
          <cell r="A339" t="str">
            <v>Trial</v>
          </cell>
          <cell r="B339" t="str">
            <v>auto-stop-1000-base</v>
          </cell>
          <cell r="C339">
            <v>46242</v>
          </cell>
        </row>
        <row r="340">
          <cell r="A340" t="str">
            <v>Trial</v>
          </cell>
          <cell r="B340" t="str">
            <v>auto-stop-1000-base</v>
          </cell>
          <cell r="C340">
            <v>46242</v>
          </cell>
        </row>
        <row r="341">
          <cell r="A341" t="str">
            <v>Trial</v>
          </cell>
          <cell r="B341" t="str">
            <v>auto-stop-1000-base</v>
          </cell>
          <cell r="C341">
            <v>46242</v>
          </cell>
        </row>
        <row r="342">
          <cell r="A342" t="str">
            <v>Trial</v>
          </cell>
          <cell r="B342" t="str">
            <v>auto-stop-1000-base</v>
          </cell>
          <cell r="C342">
            <v>46242</v>
          </cell>
        </row>
        <row r="343">
          <cell r="A343" t="str">
            <v>Trial</v>
          </cell>
          <cell r="B343" t="str">
            <v>auto-stop-1000-base</v>
          </cell>
          <cell r="C343">
            <v>46242</v>
          </cell>
        </row>
        <row r="344">
          <cell r="A344" t="str">
            <v>Trial</v>
          </cell>
          <cell r="B344" t="str">
            <v>auto-stop-1000-base</v>
          </cell>
          <cell r="C344">
            <v>46242</v>
          </cell>
        </row>
        <row r="345">
          <cell r="A345" t="str">
            <v>Trial</v>
          </cell>
          <cell r="B345" t="str">
            <v>auto-stop-2000-v1</v>
          </cell>
          <cell r="C345">
            <v>46242</v>
          </cell>
        </row>
        <row r="346">
          <cell r="A346" t="str">
            <v>Trial</v>
          </cell>
          <cell r="B346" t="str">
            <v>auto-stop-2000-v1</v>
          </cell>
          <cell r="C346">
            <v>46242</v>
          </cell>
        </row>
        <row r="347">
          <cell r="A347" t="str">
            <v>Trial</v>
          </cell>
          <cell r="B347" t="str">
            <v>auto-stop-2000-v1</v>
          </cell>
          <cell r="C347">
            <v>46242</v>
          </cell>
        </row>
        <row r="348">
          <cell r="A348" t="str">
            <v>Trial</v>
          </cell>
          <cell r="B348" t="str">
            <v>auto-stop-2000-v1</v>
          </cell>
          <cell r="C348">
            <v>46242</v>
          </cell>
        </row>
        <row r="349">
          <cell r="A349" t="str">
            <v>Trial</v>
          </cell>
          <cell r="B349" t="str">
            <v>auto-stop-2000-v1</v>
          </cell>
          <cell r="C349">
            <v>46242</v>
          </cell>
        </row>
        <row r="350">
          <cell r="A350" t="str">
            <v>Trial</v>
          </cell>
          <cell r="B350" t="str">
            <v>auto-stop-2000-v1</v>
          </cell>
          <cell r="C350">
            <v>46242</v>
          </cell>
        </row>
        <row r="351">
          <cell r="A351" t="str">
            <v>Trial</v>
          </cell>
          <cell r="B351" t="str">
            <v>auto-stop-2000-v1</v>
          </cell>
          <cell r="C351">
            <v>46242</v>
          </cell>
        </row>
        <row r="352">
          <cell r="A352" t="str">
            <v>Trial</v>
          </cell>
          <cell r="B352" t="str">
            <v>auto-stop-2000-v1</v>
          </cell>
          <cell r="C352">
            <v>46242</v>
          </cell>
        </row>
        <row r="353">
          <cell r="A353" t="str">
            <v>Trial</v>
          </cell>
          <cell r="B353" t="str">
            <v>auto-stop-2000-v1</v>
          </cell>
          <cell r="C353">
            <v>46242</v>
          </cell>
        </row>
        <row r="354">
          <cell r="A354" t="str">
            <v>Trial</v>
          </cell>
          <cell r="B354" t="str">
            <v>auto-stop-2000-v1</v>
          </cell>
          <cell r="C354">
            <v>46242</v>
          </cell>
        </row>
        <row r="355">
          <cell r="A355" t="str">
            <v>Trial</v>
          </cell>
          <cell r="B355" t="str">
            <v>auto-stop-2000-v1</v>
          </cell>
          <cell r="C355">
            <v>46242</v>
          </cell>
        </row>
        <row r="356">
          <cell r="A356" t="str">
            <v>Trial</v>
          </cell>
          <cell r="B356" t="str">
            <v>auto-stop-2000-v1</v>
          </cell>
          <cell r="C356">
            <v>46242</v>
          </cell>
        </row>
        <row r="357">
          <cell r="A357" t="str">
            <v>Trial</v>
          </cell>
          <cell r="B357" t="str">
            <v>auto-stop-2000-v1</v>
          </cell>
          <cell r="C357">
            <v>46242</v>
          </cell>
        </row>
        <row r="358">
          <cell r="A358" t="str">
            <v>Trial</v>
          </cell>
          <cell r="B358" t="str">
            <v>auto-stop-2000-v1</v>
          </cell>
          <cell r="C358">
            <v>46242</v>
          </cell>
        </row>
        <row r="359">
          <cell r="A359" t="str">
            <v>Trial</v>
          </cell>
          <cell r="B359" t="str">
            <v>auto-stop-2000-v1</v>
          </cell>
          <cell r="C359">
            <v>46242</v>
          </cell>
        </row>
        <row r="360">
          <cell r="A360" t="str">
            <v>Trial</v>
          </cell>
          <cell r="B360" t="str">
            <v>auto-stop-2000-v1</v>
          </cell>
          <cell r="C360">
            <v>46242</v>
          </cell>
        </row>
        <row r="361">
          <cell r="A361" t="str">
            <v>Trial</v>
          </cell>
          <cell r="B361" t="str">
            <v>auto-stop-2000-v1</v>
          </cell>
          <cell r="C361">
            <v>46242</v>
          </cell>
        </row>
        <row r="362">
          <cell r="A362" t="str">
            <v>Trial</v>
          </cell>
          <cell r="B362" t="str">
            <v>auto-stop-2000-v1</v>
          </cell>
          <cell r="C362">
            <v>46242</v>
          </cell>
        </row>
        <row r="363">
          <cell r="A363" t="str">
            <v>Trial</v>
          </cell>
          <cell r="B363" t="str">
            <v>auto-stop-2000-v2</v>
          </cell>
          <cell r="C363">
            <v>46242</v>
          </cell>
        </row>
        <row r="364">
          <cell r="A364" t="str">
            <v>Trial</v>
          </cell>
          <cell r="B364" t="str">
            <v>auto-stop-2000-v2</v>
          </cell>
          <cell r="C364">
            <v>46242</v>
          </cell>
        </row>
        <row r="365">
          <cell r="A365" t="str">
            <v>Trial</v>
          </cell>
          <cell r="B365" t="str">
            <v>auto-stop-2000-v2</v>
          </cell>
          <cell r="C365">
            <v>46242</v>
          </cell>
        </row>
        <row r="366">
          <cell r="A366" t="str">
            <v>Trial</v>
          </cell>
          <cell r="B366" t="str">
            <v>auto-stop-2000-v2</v>
          </cell>
          <cell r="C366">
            <v>46242</v>
          </cell>
        </row>
        <row r="367">
          <cell r="A367" t="str">
            <v>Trial</v>
          </cell>
          <cell r="B367" t="str">
            <v>auto-stop-2000-v2</v>
          </cell>
          <cell r="C367">
            <v>46242</v>
          </cell>
        </row>
        <row r="368">
          <cell r="A368" t="str">
            <v>Trial</v>
          </cell>
          <cell r="B368" t="str">
            <v>auto-stop-2000-v2</v>
          </cell>
          <cell r="C368">
            <v>46242</v>
          </cell>
        </row>
        <row r="369">
          <cell r="A369" t="str">
            <v>Trial</v>
          </cell>
          <cell r="B369" t="str">
            <v>auto-stop-2000-v2</v>
          </cell>
          <cell r="C369">
            <v>46242</v>
          </cell>
        </row>
        <row r="370">
          <cell r="A370" t="str">
            <v>Trial</v>
          </cell>
          <cell r="B370" t="str">
            <v>auto-stop-2000-v2</v>
          </cell>
          <cell r="C370">
            <v>46242</v>
          </cell>
        </row>
        <row r="371">
          <cell r="A371" t="str">
            <v>Trial</v>
          </cell>
          <cell r="B371" t="str">
            <v>auto-stop-2000-v2</v>
          </cell>
          <cell r="C371">
            <v>46242</v>
          </cell>
        </row>
        <row r="372">
          <cell r="A372" t="str">
            <v>Trial</v>
          </cell>
          <cell r="B372" t="str">
            <v>auto-stop-2000-v2</v>
          </cell>
          <cell r="C372">
            <v>46242</v>
          </cell>
        </row>
        <row r="373">
          <cell r="A373" t="str">
            <v>Trial</v>
          </cell>
          <cell r="B373" t="str">
            <v>auto-stop-2000-v2</v>
          </cell>
          <cell r="C373">
            <v>46242</v>
          </cell>
        </row>
        <row r="374">
          <cell r="A374" t="str">
            <v>Trial</v>
          </cell>
          <cell r="B374" t="str">
            <v>auto-stop-2000-v2</v>
          </cell>
          <cell r="C374">
            <v>46242</v>
          </cell>
        </row>
        <row r="375">
          <cell r="A375" t="str">
            <v>Trial</v>
          </cell>
          <cell r="B375" t="str">
            <v>auto-stop-2000-v2</v>
          </cell>
          <cell r="C375">
            <v>46242</v>
          </cell>
        </row>
        <row r="376">
          <cell r="A376" t="str">
            <v>Trial</v>
          </cell>
          <cell r="B376" t="str">
            <v>auto-stop-2000-v2</v>
          </cell>
          <cell r="C376">
            <v>46242</v>
          </cell>
        </row>
        <row r="377">
          <cell r="A377" t="str">
            <v>Trial</v>
          </cell>
          <cell r="B377" t="str">
            <v>auto-stop-2000-v2</v>
          </cell>
          <cell r="C377">
            <v>46242</v>
          </cell>
        </row>
        <row r="378">
          <cell r="A378" t="str">
            <v>Trial</v>
          </cell>
          <cell r="B378" t="str">
            <v>auto-stop-2000-v2</v>
          </cell>
          <cell r="C378">
            <v>46242</v>
          </cell>
        </row>
        <row r="379">
          <cell r="A379" t="str">
            <v>Trial</v>
          </cell>
          <cell r="B379" t="str">
            <v>auto-stop-2000-v2</v>
          </cell>
          <cell r="C379">
            <v>46242</v>
          </cell>
        </row>
        <row r="380">
          <cell r="A380" t="str">
            <v>Trial</v>
          </cell>
          <cell r="B380" t="str">
            <v>auto-stop-2000-v2</v>
          </cell>
          <cell r="C380">
            <v>46242</v>
          </cell>
        </row>
        <row r="381">
          <cell r="A381" t="str">
            <v>Trial</v>
          </cell>
          <cell r="B381" t="str">
            <v>auto-stop-1500-v1</v>
          </cell>
          <cell r="C381">
            <v>46242</v>
          </cell>
        </row>
        <row r="382">
          <cell r="A382" t="str">
            <v>Trial</v>
          </cell>
          <cell r="B382" t="str">
            <v>auto-stop-1500-v1</v>
          </cell>
          <cell r="C382">
            <v>46242</v>
          </cell>
        </row>
        <row r="383">
          <cell r="A383" t="str">
            <v>Trial</v>
          </cell>
          <cell r="B383" t="str">
            <v>auto-stop-1500-v1</v>
          </cell>
          <cell r="C383">
            <v>46242</v>
          </cell>
        </row>
        <row r="384">
          <cell r="A384" t="str">
            <v>Trial</v>
          </cell>
          <cell r="B384" t="str">
            <v>auto-stop-1500-v1</v>
          </cell>
          <cell r="C384">
            <v>46242</v>
          </cell>
        </row>
        <row r="385">
          <cell r="A385" t="str">
            <v>Trial</v>
          </cell>
          <cell r="B385" t="str">
            <v>auto-stop-1500-v1</v>
          </cell>
          <cell r="C385">
            <v>46242</v>
          </cell>
        </row>
        <row r="386">
          <cell r="A386" t="str">
            <v>Trial</v>
          </cell>
          <cell r="B386" t="str">
            <v>auto-stop-1500-v1</v>
          </cell>
          <cell r="C386">
            <v>46242</v>
          </cell>
        </row>
        <row r="387">
          <cell r="A387" t="str">
            <v>Trial</v>
          </cell>
          <cell r="B387" t="str">
            <v>auto-stop-1500-v1</v>
          </cell>
          <cell r="C387">
            <v>46242</v>
          </cell>
        </row>
        <row r="388">
          <cell r="A388" t="str">
            <v>Trial</v>
          </cell>
          <cell r="B388" t="str">
            <v>auto-stop-1500-v1</v>
          </cell>
          <cell r="C388">
            <v>46242</v>
          </cell>
        </row>
        <row r="389">
          <cell r="A389" t="str">
            <v>Trial</v>
          </cell>
          <cell r="B389" t="str">
            <v>auto-stop-1500-v1</v>
          </cell>
          <cell r="C389">
            <v>46242</v>
          </cell>
        </row>
        <row r="390">
          <cell r="A390" t="str">
            <v>Trial</v>
          </cell>
          <cell r="B390" t="str">
            <v>auto-stop-1500-v1</v>
          </cell>
          <cell r="C390">
            <v>46242</v>
          </cell>
        </row>
        <row r="391">
          <cell r="A391" t="str">
            <v>Trial</v>
          </cell>
          <cell r="B391" t="str">
            <v>auto-stop-1500-v1</v>
          </cell>
          <cell r="C391">
            <v>46242</v>
          </cell>
        </row>
        <row r="392">
          <cell r="A392" t="str">
            <v>Trial</v>
          </cell>
          <cell r="B392" t="str">
            <v>auto-stop-1500-v1</v>
          </cell>
          <cell r="C392">
            <v>46242</v>
          </cell>
        </row>
        <row r="393">
          <cell r="A393" t="str">
            <v>Trial</v>
          </cell>
          <cell r="B393" t="str">
            <v>auto-stop-1500-v1</v>
          </cell>
          <cell r="C393">
            <v>46242</v>
          </cell>
        </row>
        <row r="394">
          <cell r="A394" t="str">
            <v>Trial</v>
          </cell>
          <cell r="B394" t="str">
            <v>auto-stop-1500-v1</v>
          </cell>
          <cell r="C394">
            <v>46242</v>
          </cell>
        </row>
        <row r="395">
          <cell r="A395" t="str">
            <v>Trial</v>
          </cell>
          <cell r="B395" t="str">
            <v>auto-stop-1500-v1</v>
          </cell>
          <cell r="C395">
            <v>46242</v>
          </cell>
        </row>
        <row r="396">
          <cell r="A396" t="str">
            <v>Trial</v>
          </cell>
          <cell r="B396" t="str">
            <v>auto-stop-1500-v1</v>
          </cell>
          <cell r="C396">
            <v>46242</v>
          </cell>
        </row>
        <row r="397">
          <cell r="A397" t="str">
            <v>Trial</v>
          </cell>
          <cell r="B397" t="str">
            <v>auto-stop-1500-v1</v>
          </cell>
          <cell r="C397">
            <v>46242</v>
          </cell>
        </row>
        <row r="398">
          <cell r="A398" t="str">
            <v>Trial</v>
          </cell>
          <cell r="B398" t="str">
            <v>auto-stop-1500-v1</v>
          </cell>
          <cell r="C398">
            <v>46242</v>
          </cell>
        </row>
        <row r="399">
          <cell r="A399" t="str">
            <v>Trial</v>
          </cell>
          <cell r="B399" t="str">
            <v>auto-stop-1500-v2</v>
          </cell>
          <cell r="C399">
            <v>46242</v>
          </cell>
        </row>
        <row r="400">
          <cell r="A400" t="str">
            <v>Trial</v>
          </cell>
          <cell r="B400" t="str">
            <v>auto-stop-1500-v2</v>
          </cell>
          <cell r="C400">
            <v>46242</v>
          </cell>
        </row>
        <row r="401">
          <cell r="A401" t="str">
            <v>Trial</v>
          </cell>
          <cell r="B401" t="str">
            <v>auto-stop-1500-v2</v>
          </cell>
          <cell r="C401">
            <v>46242</v>
          </cell>
        </row>
        <row r="402">
          <cell r="A402" t="str">
            <v>Trial</v>
          </cell>
          <cell r="B402" t="str">
            <v>auto-stop-1500-v2</v>
          </cell>
          <cell r="C402">
            <v>46242</v>
          </cell>
        </row>
        <row r="403">
          <cell r="A403" t="str">
            <v>Trial</v>
          </cell>
          <cell r="B403" t="str">
            <v>auto-stop-1500-v2</v>
          </cell>
          <cell r="C403">
            <v>46242</v>
          </cell>
        </row>
        <row r="404">
          <cell r="A404" t="str">
            <v>Trial</v>
          </cell>
          <cell r="B404" t="str">
            <v>auto-stop-1500-v2</v>
          </cell>
          <cell r="C404">
            <v>46242</v>
          </cell>
        </row>
        <row r="405">
          <cell r="A405" t="str">
            <v>Trial</v>
          </cell>
          <cell r="B405" t="str">
            <v>auto-stop-1500-v2</v>
          </cell>
          <cell r="C405">
            <v>46242</v>
          </cell>
        </row>
        <row r="406">
          <cell r="A406" t="str">
            <v>Trial</v>
          </cell>
          <cell r="B406" t="str">
            <v>auto-stop-1500-v2</v>
          </cell>
          <cell r="C406">
            <v>46242</v>
          </cell>
        </row>
        <row r="407">
          <cell r="A407" t="str">
            <v>Trial</v>
          </cell>
          <cell r="B407" t="str">
            <v>auto-stop-1500-v2</v>
          </cell>
          <cell r="C407">
            <v>46242</v>
          </cell>
        </row>
        <row r="408">
          <cell r="A408" t="str">
            <v>Trial</v>
          </cell>
          <cell r="B408" t="str">
            <v>auto-stop-1500-v2</v>
          </cell>
          <cell r="C408">
            <v>46242</v>
          </cell>
        </row>
        <row r="409">
          <cell r="A409" t="str">
            <v>Trial</v>
          </cell>
          <cell r="B409" t="str">
            <v>auto-stop-1500-v2</v>
          </cell>
          <cell r="C409">
            <v>46242</v>
          </cell>
        </row>
        <row r="410">
          <cell r="A410" t="str">
            <v>Trial</v>
          </cell>
          <cell r="B410" t="str">
            <v>auto-stop-1500-v2</v>
          </cell>
          <cell r="C410">
            <v>46242</v>
          </cell>
        </row>
        <row r="411">
          <cell r="A411" t="str">
            <v>Trial</v>
          </cell>
          <cell r="B411" t="str">
            <v>auto-stop-1500-v2</v>
          </cell>
          <cell r="C411">
            <v>46242</v>
          </cell>
        </row>
        <row r="412">
          <cell r="A412" t="str">
            <v>Trial</v>
          </cell>
          <cell r="B412" t="str">
            <v>auto-stop-1500-v2</v>
          </cell>
          <cell r="C412">
            <v>46242</v>
          </cell>
        </row>
        <row r="413">
          <cell r="A413" t="str">
            <v>Trial</v>
          </cell>
          <cell r="B413" t="str">
            <v>auto-stop-1500-v2</v>
          </cell>
          <cell r="C413">
            <v>46242</v>
          </cell>
        </row>
        <row r="414">
          <cell r="A414" t="str">
            <v>Trial</v>
          </cell>
          <cell r="B414" t="str">
            <v>auto-stop-1500-v2</v>
          </cell>
          <cell r="C414">
            <v>46242</v>
          </cell>
        </row>
        <row r="415">
          <cell r="A415" t="str">
            <v>Trial</v>
          </cell>
          <cell r="B415" t="str">
            <v>auto-stop-1500-v2</v>
          </cell>
          <cell r="C415">
            <v>46242</v>
          </cell>
        </row>
        <row r="416">
          <cell r="A416" t="str">
            <v>Trial</v>
          </cell>
          <cell r="B416" t="str">
            <v>auto-stop-1500-v2</v>
          </cell>
          <cell r="C416">
            <v>46242</v>
          </cell>
        </row>
        <row r="417">
          <cell r="A417" t="str">
            <v>Trial</v>
          </cell>
          <cell r="B417" t="str">
            <v>auto-stop-1000-v2</v>
          </cell>
          <cell r="C417">
            <v>46242</v>
          </cell>
        </row>
        <row r="418">
          <cell r="A418" t="str">
            <v>Trial</v>
          </cell>
          <cell r="B418" t="str">
            <v>auto-stop-1000-v2</v>
          </cell>
          <cell r="C418">
            <v>46242</v>
          </cell>
        </row>
        <row r="419">
          <cell r="A419" t="str">
            <v>Trial</v>
          </cell>
          <cell r="B419" t="str">
            <v>auto-stop-1000-v2</v>
          </cell>
          <cell r="C419">
            <v>46242</v>
          </cell>
        </row>
        <row r="420">
          <cell r="A420" t="str">
            <v>Trial</v>
          </cell>
          <cell r="B420" t="str">
            <v>auto-stop-1000-v2</v>
          </cell>
          <cell r="C420">
            <v>46242</v>
          </cell>
        </row>
        <row r="421">
          <cell r="A421" t="str">
            <v>Trial</v>
          </cell>
          <cell r="B421" t="str">
            <v>auto-stop-1000-v2</v>
          </cell>
          <cell r="C421">
            <v>46242</v>
          </cell>
        </row>
        <row r="422">
          <cell r="A422" t="str">
            <v>Trial</v>
          </cell>
          <cell r="B422" t="str">
            <v>auto-stop-1000-v2</v>
          </cell>
          <cell r="C422">
            <v>46242</v>
          </cell>
        </row>
        <row r="423">
          <cell r="A423" t="str">
            <v>Trial</v>
          </cell>
          <cell r="B423" t="str">
            <v>auto-stop-1000-v2</v>
          </cell>
          <cell r="C423">
            <v>46242</v>
          </cell>
        </row>
        <row r="424">
          <cell r="A424" t="str">
            <v>Trial</v>
          </cell>
          <cell r="B424" t="str">
            <v>auto-stop-1000-v2</v>
          </cell>
          <cell r="C424">
            <v>46242</v>
          </cell>
        </row>
        <row r="425">
          <cell r="A425" t="str">
            <v>Trial</v>
          </cell>
          <cell r="B425" t="str">
            <v>auto-stop-1000-v2</v>
          </cell>
          <cell r="C425">
            <v>46242</v>
          </cell>
        </row>
        <row r="426">
          <cell r="A426" t="str">
            <v>Trial</v>
          </cell>
          <cell r="B426" t="str">
            <v>auto-stop-1000-v2</v>
          </cell>
          <cell r="C426">
            <v>46242</v>
          </cell>
        </row>
        <row r="427">
          <cell r="A427" t="str">
            <v>Trial</v>
          </cell>
          <cell r="B427" t="str">
            <v>auto-stop-1000-v2</v>
          </cell>
          <cell r="C427">
            <v>46242</v>
          </cell>
        </row>
        <row r="428">
          <cell r="A428" t="str">
            <v>Trial</v>
          </cell>
          <cell r="B428" t="str">
            <v>auto-stop-1000-v2</v>
          </cell>
          <cell r="C428">
            <v>46242</v>
          </cell>
        </row>
        <row r="429">
          <cell r="A429" t="str">
            <v>Trial</v>
          </cell>
          <cell r="B429" t="str">
            <v>auto-stop-1000-v2</v>
          </cell>
          <cell r="C429">
            <v>46242</v>
          </cell>
        </row>
        <row r="430">
          <cell r="A430" t="str">
            <v>Trial</v>
          </cell>
          <cell r="B430" t="str">
            <v>auto-stop-1000-v2</v>
          </cell>
          <cell r="C430">
            <v>46242</v>
          </cell>
        </row>
        <row r="431">
          <cell r="A431" t="str">
            <v>Trial</v>
          </cell>
          <cell r="B431" t="str">
            <v>auto-stop-1000-v2</v>
          </cell>
          <cell r="C431">
            <v>46242</v>
          </cell>
        </row>
        <row r="432">
          <cell r="A432" t="str">
            <v>Trial</v>
          </cell>
          <cell r="B432" t="str">
            <v>auto-stop-1000-v2</v>
          </cell>
          <cell r="C432">
            <v>46242</v>
          </cell>
        </row>
        <row r="433">
          <cell r="A433" t="str">
            <v>Trial</v>
          </cell>
          <cell r="B433" t="str">
            <v>auto-stop-1000-v2</v>
          </cell>
          <cell r="C433">
            <v>46242</v>
          </cell>
        </row>
        <row r="434">
          <cell r="A434" t="str">
            <v>Trial</v>
          </cell>
          <cell r="B434" t="str">
            <v>auto-stop-1000-v2</v>
          </cell>
          <cell r="C434">
            <v>46242</v>
          </cell>
        </row>
        <row r="435">
          <cell r="A435" t="str">
            <v>Trial</v>
          </cell>
          <cell r="B435" t="str">
            <v>auto-stop-1000-v3</v>
          </cell>
          <cell r="C435">
            <v>46242</v>
          </cell>
        </row>
        <row r="436">
          <cell r="A436" t="str">
            <v>Trial</v>
          </cell>
          <cell r="B436" t="str">
            <v>auto-stop-1000-v3</v>
          </cell>
          <cell r="C436">
            <v>46242</v>
          </cell>
        </row>
        <row r="437">
          <cell r="A437" t="str">
            <v>Trial</v>
          </cell>
          <cell r="B437" t="str">
            <v>auto-stop-1000-v3</v>
          </cell>
          <cell r="C437">
            <v>46242</v>
          </cell>
        </row>
        <row r="438">
          <cell r="A438" t="str">
            <v>Trial</v>
          </cell>
          <cell r="B438" t="str">
            <v>auto-stop-1000-v3</v>
          </cell>
          <cell r="C438">
            <v>46242</v>
          </cell>
        </row>
        <row r="439">
          <cell r="A439" t="str">
            <v>Trial</v>
          </cell>
          <cell r="B439" t="str">
            <v>auto-stop-1000-v3</v>
          </cell>
          <cell r="C439">
            <v>46242</v>
          </cell>
        </row>
        <row r="440">
          <cell r="A440" t="str">
            <v>Trial</v>
          </cell>
          <cell r="B440" t="str">
            <v>auto-stop-1000-v3</v>
          </cell>
          <cell r="C440">
            <v>46242</v>
          </cell>
        </row>
        <row r="441">
          <cell r="A441" t="str">
            <v>Trial</v>
          </cell>
          <cell r="B441" t="str">
            <v>auto-stop-1000-v3</v>
          </cell>
          <cell r="C441">
            <v>46242</v>
          </cell>
        </row>
        <row r="442">
          <cell r="A442" t="str">
            <v>Trial</v>
          </cell>
          <cell r="B442" t="str">
            <v>auto-stop-1000-v3</v>
          </cell>
          <cell r="C442">
            <v>46242</v>
          </cell>
        </row>
        <row r="443">
          <cell r="A443" t="str">
            <v>Trial</v>
          </cell>
          <cell r="B443" t="str">
            <v>auto-stop-1000-v3</v>
          </cell>
          <cell r="C443">
            <v>46242</v>
          </cell>
        </row>
        <row r="444">
          <cell r="A444" t="str">
            <v>Trial</v>
          </cell>
          <cell r="B444" t="str">
            <v>auto-stop-1000-v3</v>
          </cell>
          <cell r="C444">
            <v>46242</v>
          </cell>
        </row>
        <row r="445">
          <cell r="A445" t="str">
            <v>Trial</v>
          </cell>
          <cell r="B445" t="str">
            <v>auto-stop-1000-v3</v>
          </cell>
          <cell r="C445">
            <v>46242</v>
          </cell>
        </row>
        <row r="446">
          <cell r="A446" t="str">
            <v>Trial</v>
          </cell>
          <cell r="B446" t="str">
            <v>auto-stop-1000-v3</v>
          </cell>
          <cell r="C446">
            <v>46242</v>
          </cell>
        </row>
        <row r="447">
          <cell r="A447" t="str">
            <v>Trial</v>
          </cell>
          <cell r="B447" t="str">
            <v>auto-stop-1000-v3</v>
          </cell>
          <cell r="C447">
            <v>46242</v>
          </cell>
        </row>
        <row r="448">
          <cell r="A448" t="str">
            <v>Trial</v>
          </cell>
          <cell r="B448" t="str">
            <v>auto-stop-1000-v3</v>
          </cell>
          <cell r="C448">
            <v>46242</v>
          </cell>
        </row>
        <row r="449">
          <cell r="A449" t="str">
            <v>Trial</v>
          </cell>
          <cell r="B449" t="str">
            <v>auto-stop-1000-v3</v>
          </cell>
          <cell r="C449">
            <v>46242</v>
          </cell>
        </row>
        <row r="450">
          <cell r="A450" t="str">
            <v>Trial</v>
          </cell>
          <cell r="B450" t="str">
            <v>auto-stop-1000-v3</v>
          </cell>
          <cell r="C450">
            <v>46242</v>
          </cell>
        </row>
        <row r="451">
          <cell r="A451" t="str">
            <v>Trial</v>
          </cell>
          <cell r="B451" t="str">
            <v>auto-stop-1000-v3</v>
          </cell>
          <cell r="C451">
            <v>46242</v>
          </cell>
        </row>
        <row r="452">
          <cell r="A452" t="str">
            <v>Trial</v>
          </cell>
          <cell r="B452" t="str">
            <v>auto-stop-1000-v3</v>
          </cell>
          <cell r="C452">
            <v>46242</v>
          </cell>
        </row>
        <row r="453">
          <cell r="A453" t="str">
            <v>Daily</v>
          </cell>
          <cell r="B453" t="str">
            <v>n/a</v>
          </cell>
          <cell r="C453">
            <v>46244</v>
          </cell>
        </row>
        <row r="454">
          <cell r="A454" t="str">
            <v>Daily</v>
          </cell>
          <cell r="B454" t="str">
            <v>n/a</v>
          </cell>
          <cell r="C454">
            <v>46244</v>
          </cell>
        </row>
        <row r="455">
          <cell r="A455" t="str">
            <v>Daily</v>
          </cell>
          <cell r="B455" t="str">
            <v>n/a</v>
          </cell>
          <cell r="C455">
            <v>46244</v>
          </cell>
        </row>
        <row r="456">
          <cell r="A456" t="str">
            <v>Daily</v>
          </cell>
          <cell r="B456" t="str">
            <v>n/a</v>
          </cell>
          <cell r="C456">
            <v>46244</v>
          </cell>
        </row>
        <row r="457">
          <cell r="A457" t="str">
            <v>Daily</v>
          </cell>
          <cell r="B457" t="str">
            <v>n/a</v>
          </cell>
          <cell r="C457">
            <v>46244</v>
          </cell>
        </row>
        <row r="458">
          <cell r="A458" t="str">
            <v>Daily</v>
          </cell>
          <cell r="B458" t="str">
            <v>n/a</v>
          </cell>
          <cell r="C458">
            <v>46244</v>
          </cell>
        </row>
        <row r="459">
          <cell r="A459" t="str">
            <v>Daily</v>
          </cell>
          <cell r="B459" t="str">
            <v>n/a</v>
          </cell>
          <cell r="C459">
            <v>46244</v>
          </cell>
        </row>
        <row r="460">
          <cell r="A460" t="str">
            <v>Daily</v>
          </cell>
          <cell r="B460" t="str">
            <v>n/a</v>
          </cell>
          <cell r="C460">
            <v>46244</v>
          </cell>
        </row>
        <row r="461">
          <cell r="A461" t="str">
            <v>Daily</v>
          </cell>
          <cell r="B461" t="str">
            <v>n/a</v>
          </cell>
          <cell r="C461">
            <v>46244</v>
          </cell>
        </row>
        <row r="462">
          <cell r="A462" t="str">
            <v>Daily</v>
          </cell>
          <cell r="B462" t="str">
            <v>n/a</v>
          </cell>
          <cell r="C462">
            <v>46244</v>
          </cell>
        </row>
        <row r="463">
          <cell r="A463" t="str">
            <v>Daily</v>
          </cell>
          <cell r="B463" t="str">
            <v>n/a</v>
          </cell>
          <cell r="C463">
            <v>46244</v>
          </cell>
        </row>
        <row r="464">
          <cell r="A464" t="str">
            <v>Daily</v>
          </cell>
          <cell r="B464" t="str">
            <v>n/a</v>
          </cell>
          <cell r="C464">
            <v>46244</v>
          </cell>
        </row>
        <row r="465">
          <cell r="A465" t="str">
            <v>Daily</v>
          </cell>
          <cell r="B465" t="str">
            <v>n/a</v>
          </cell>
          <cell r="C465">
            <v>46244</v>
          </cell>
        </row>
        <row r="466">
          <cell r="A466" t="str">
            <v>Daily</v>
          </cell>
          <cell r="B466" t="str">
            <v>n/a</v>
          </cell>
          <cell r="C466">
            <v>46244</v>
          </cell>
        </row>
        <row r="467">
          <cell r="A467" t="str">
            <v>Daily</v>
          </cell>
          <cell r="B467" t="str">
            <v>n/a</v>
          </cell>
          <cell r="C467">
            <v>46244</v>
          </cell>
        </row>
        <row r="468">
          <cell r="A468" t="str">
            <v>Daily</v>
          </cell>
          <cell r="B468" t="str">
            <v>n/a</v>
          </cell>
          <cell r="C468">
            <v>46244</v>
          </cell>
        </row>
        <row r="469">
          <cell r="A469" t="str">
            <v>Daily</v>
          </cell>
          <cell r="B469" t="str">
            <v>n/a</v>
          </cell>
          <cell r="C469">
            <v>46244</v>
          </cell>
        </row>
        <row r="470">
          <cell r="A470" t="str">
            <v>Daily</v>
          </cell>
          <cell r="B470" t="str">
            <v>n/a</v>
          </cell>
          <cell r="C470">
            <v>46244</v>
          </cell>
        </row>
        <row r="471">
          <cell r="A471" t="str">
            <v>Daily</v>
          </cell>
          <cell r="B471" t="str">
            <v>n/a</v>
          </cell>
          <cell r="C471">
            <v>46245</v>
          </cell>
        </row>
        <row r="472">
          <cell r="A472" t="str">
            <v>Daily</v>
          </cell>
          <cell r="B472" t="str">
            <v>n/a</v>
          </cell>
          <cell r="C472">
            <v>46245</v>
          </cell>
        </row>
        <row r="473">
          <cell r="A473" t="str">
            <v>Daily</v>
          </cell>
          <cell r="B473" t="str">
            <v>n/a</v>
          </cell>
          <cell r="C473">
            <v>46245</v>
          </cell>
        </row>
        <row r="474">
          <cell r="A474" t="str">
            <v>Daily</v>
          </cell>
          <cell r="B474" t="str">
            <v>n/a</v>
          </cell>
          <cell r="C474">
            <v>46245</v>
          </cell>
        </row>
        <row r="475">
          <cell r="A475" t="str">
            <v>Daily</v>
          </cell>
          <cell r="B475" t="str">
            <v>n/a</v>
          </cell>
          <cell r="C475">
            <v>46245</v>
          </cell>
        </row>
        <row r="476">
          <cell r="A476" t="str">
            <v>Daily</v>
          </cell>
          <cell r="B476" t="str">
            <v>n/a</v>
          </cell>
          <cell r="C476">
            <v>46245</v>
          </cell>
        </row>
        <row r="477">
          <cell r="A477" t="str">
            <v>Daily</v>
          </cell>
          <cell r="B477" t="str">
            <v>n/a</v>
          </cell>
          <cell r="C477">
            <v>46245</v>
          </cell>
        </row>
        <row r="478">
          <cell r="A478" t="str">
            <v>Daily</v>
          </cell>
          <cell r="B478" t="str">
            <v>n/a</v>
          </cell>
          <cell r="C478">
            <v>46245</v>
          </cell>
        </row>
        <row r="479">
          <cell r="A479" t="str">
            <v>Daily</v>
          </cell>
          <cell r="B479" t="str">
            <v>n/a</v>
          </cell>
          <cell r="C479">
            <v>46245</v>
          </cell>
        </row>
        <row r="480">
          <cell r="A480" t="str">
            <v>Daily</v>
          </cell>
          <cell r="B480" t="str">
            <v>n/a</v>
          </cell>
          <cell r="C480">
            <v>46245</v>
          </cell>
        </row>
        <row r="481">
          <cell r="A481" t="str">
            <v>Daily</v>
          </cell>
          <cell r="B481" t="str">
            <v>n/a</v>
          </cell>
          <cell r="C481">
            <v>46245</v>
          </cell>
        </row>
        <row r="482">
          <cell r="A482" t="str">
            <v>Daily</v>
          </cell>
          <cell r="B482" t="str">
            <v>n/a</v>
          </cell>
          <cell r="C482">
            <v>46245</v>
          </cell>
        </row>
        <row r="483">
          <cell r="A483" t="str">
            <v>Daily</v>
          </cell>
          <cell r="B483" t="str">
            <v>n/a</v>
          </cell>
          <cell r="C483">
            <v>46245</v>
          </cell>
        </row>
        <row r="484">
          <cell r="A484" t="str">
            <v>Daily</v>
          </cell>
          <cell r="B484" t="str">
            <v>n/a</v>
          </cell>
          <cell r="C484">
            <v>46245</v>
          </cell>
        </row>
        <row r="485">
          <cell r="A485" t="str">
            <v>Daily</v>
          </cell>
          <cell r="B485" t="str">
            <v>n/a</v>
          </cell>
          <cell r="C485">
            <v>46245</v>
          </cell>
        </row>
        <row r="486">
          <cell r="A486" t="str">
            <v>Daily</v>
          </cell>
          <cell r="B486" t="str">
            <v>n/a</v>
          </cell>
          <cell r="C486">
            <v>46245</v>
          </cell>
        </row>
        <row r="487">
          <cell r="A487" t="str">
            <v>Daily</v>
          </cell>
          <cell r="B487" t="str">
            <v>n/a</v>
          </cell>
          <cell r="C487">
            <v>46245</v>
          </cell>
        </row>
        <row r="488">
          <cell r="A488" t="str">
            <v>Daily</v>
          </cell>
          <cell r="B488" t="str">
            <v>n/a</v>
          </cell>
          <cell r="C488">
            <v>46245</v>
          </cell>
        </row>
        <row r="489">
          <cell r="A489" t="str">
            <v>Error</v>
          </cell>
          <cell r="B489" t="str">
            <v>didn't-set-volume</v>
          </cell>
          <cell r="C489">
            <v>46246</v>
          </cell>
        </row>
        <row r="490">
          <cell r="A490" t="str">
            <v>Error</v>
          </cell>
          <cell r="B490" t="str">
            <v>didn't-set-volume</v>
          </cell>
          <cell r="C490">
            <v>46246</v>
          </cell>
        </row>
        <row r="491">
          <cell r="A491" t="str">
            <v>Error</v>
          </cell>
          <cell r="B491" t="str">
            <v>didn't-set-volume</v>
          </cell>
          <cell r="C491">
            <v>46246</v>
          </cell>
        </row>
        <row r="492">
          <cell r="A492" t="str">
            <v>Error</v>
          </cell>
          <cell r="B492" t="str">
            <v>didn't-set-volume</v>
          </cell>
          <cell r="C492">
            <v>46246</v>
          </cell>
        </row>
        <row r="493">
          <cell r="A493" t="str">
            <v>Error</v>
          </cell>
          <cell r="B493" t="str">
            <v>didn't-set-volume</v>
          </cell>
          <cell r="C493">
            <v>46246</v>
          </cell>
        </row>
        <row r="494">
          <cell r="A494" t="str">
            <v>Error</v>
          </cell>
          <cell r="B494" t="str">
            <v>didn't-set-volume</v>
          </cell>
          <cell r="C494">
            <v>46246</v>
          </cell>
        </row>
        <row r="495">
          <cell r="A495" t="str">
            <v>Error</v>
          </cell>
          <cell r="B495" t="str">
            <v>didn't-set-volume</v>
          </cell>
          <cell r="C495">
            <v>46246</v>
          </cell>
        </row>
        <row r="496">
          <cell r="A496" t="str">
            <v>Error</v>
          </cell>
          <cell r="B496" t="str">
            <v>didn't-set-volume</v>
          </cell>
          <cell r="C496">
            <v>46246</v>
          </cell>
        </row>
        <row r="497">
          <cell r="A497" t="str">
            <v>Error</v>
          </cell>
          <cell r="B497" t="str">
            <v>didn't-set-volume</v>
          </cell>
          <cell r="C497">
            <v>46246</v>
          </cell>
        </row>
        <row r="498">
          <cell r="A498" t="str">
            <v>Error</v>
          </cell>
          <cell r="B498" t="str">
            <v>didn't-set-volume</v>
          </cell>
          <cell r="C498">
            <v>46246</v>
          </cell>
        </row>
        <row r="499">
          <cell r="A499" t="str">
            <v>Error</v>
          </cell>
          <cell r="B499" t="str">
            <v>didn't-set-volume</v>
          </cell>
          <cell r="C499">
            <v>46246</v>
          </cell>
        </row>
        <row r="500">
          <cell r="A500" t="str">
            <v>Error</v>
          </cell>
          <cell r="B500" t="str">
            <v>didn't-set-volume</v>
          </cell>
          <cell r="C500">
            <v>46246</v>
          </cell>
        </row>
        <row r="501">
          <cell r="A501" t="str">
            <v>Error</v>
          </cell>
          <cell r="B501" t="str">
            <v>didn't-set-volume</v>
          </cell>
          <cell r="C501">
            <v>46246</v>
          </cell>
        </row>
        <row r="502">
          <cell r="A502" t="str">
            <v>Error</v>
          </cell>
          <cell r="B502" t="str">
            <v>didn't-set-volume</v>
          </cell>
          <cell r="C502">
            <v>46246</v>
          </cell>
        </row>
        <row r="503">
          <cell r="A503" t="str">
            <v>Error</v>
          </cell>
          <cell r="B503" t="str">
            <v>didn't-set-volume</v>
          </cell>
          <cell r="C503">
            <v>46246</v>
          </cell>
        </row>
        <row r="504">
          <cell r="A504" t="str">
            <v>Error</v>
          </cell>
          <cell r="B504" t="str">
            <v>didn't-set-volume</v>
          </cell>
          <cell r="C504">
            <v>46246</v>
          </cell>
        </row>
        <row r="505">
          <cell r="A505" t="str">
            <v>Error</v>
          </cell>
          <cell r="B505" t="str">
            <v>didn't-set-volume</v>
          </cell>
          <cell r="C505">
            <v>46246</v>
          </cell>
        </row>
        <row r="506">
          <cell r="A506" t="str">
            <v>Error</v>
          </cell>
          <cell r="B506" t="str">
            <v>didn't-set-volume</v>
          </cell>
          <cell r="C506">
            <v>46246</v>
          </cell>
        </row>
        <row r="507">
          <cell r="A507" t="str">
            <v>Daily</v>
          </cell>
          <cell r="B507" t="str">
            <v>n/a</v>
          </cell>
          <cell r="C507">
            <v>46246</v>
          </cell>
        </row>
        <row r="508">
          <cell r="A508" t="str">
            <v>Daily</v>
          </cell>
          <cell r="B508" t="str">
            <v>n/a</v>
          </cell>
          <cell r="C508">
            <v>46246</v>
          </cell>
        </row>
        <row r="509">
          <cell r="A509" t="str">
            <v>Daily</v>
          </cell>
          <cell r="B509" t="str">
            <v>n/a</v>
          </cell>
          <cell r="C509">
            <v>46246</v>
          </cell>
        </row>
        <row r="510">
          <cell r="A510" t="str">
            <v>Daily</v>
          </cell>
          <cell r="B510" t="str">
            <v>n/a</v>
          </cell>
          <cell r="C510">
            <v>46246</v>
          </cell>
        </row>
        <row r="511">
          <cell r="A511" t="str">
            <v>Daily</v>
          </cell>
          <cell r="B511" t="str">
            <v>n/a</v>
          </cell>
          <cell r="C511">
            <v>46246</v>
          </cell>
        </row>
        <row r="512">
          <cell r="A512" t="str">
            <v>Daily</v>
          </cell>
          <cell r="B512" t="str">
            <v>n/a</v>
          </cell>
          <cell r="C512">
            <v>46246</v>
          </cell>
        </row>
        <row r="513">
          <cell r="A513" t="str">
            <v>Daily</v>
          </cell>
          <cell r="B513" t="str">
            <v>n/a</v>
          </cell>
          <cell r="C513">
            <v>46246</v>
          </cell>
        </row>
        <row r="514">
          <cell r="A514" t="str">
            <v>Daily</v>
          </cell>
          <cell r="B514" t="str">
            <v>n/a</v>
          </cell>
          <cell r="C514">
            <v>46246</v>
          </cell>
        </row>
        <row r="515">
          <cell r="A515" t="str">
            <v>Daily</v>
          </cell>
          <cell r="B515" t="str">
            <v>n/a</v>
          </cell>
          <cell r="C515">
            <v>46246</v>
          </cell>
        </row>
        <row r="516">
          <cell r="A516" t="str">
            <v>Daily</v>
          </cell>
          <cell r="B516" t="str">
            <v>n/a</v>
          </cell>
          <cell r="C516">
            <v>46246</v>
          </cell>
        </row>
        <row r="517">
          <cell r="A517" t="str">
            <v>Daily</v>
          </cell>
          <cell r="B517" t="str">
            <v>n/a</v>
          </cell>
          <cell r="C517">
            <v>46246</v>
          </cell>
        </row>
        <row r="518">
          <cell r="A518" t="str">
            <v>Daily</v>
          </cell>
          <cell r="B518" t="str">
            <v>n/a</v>
          </cell>
          <cell r="C518">
            <v>46246</v>
          </cell>
        </row>
        <row r="519">
          <cell r="A519" t="str">
            <v>Daily</v>
          </cell>
          <cell r="B519" t="str">
            <v>n/a</v>
          </cell>
          <cell r="C519">
            <v>46246</v>
          </cell>
        </row>
        <row r="520">
          <cell r="A520" t="str">
            <v>Daily</v>
          </cell>
          <cell r="B520" t="str">
            <v>n/a</v>
          </cell>
          <cell r="C520">
            <v>46246</v>
          </cell>
        </row>
        <row r="521">
          <cell r="A521" t="str">
            <v>Daily</v>
          </cell>
          <cell r="B521" t="str">
            <v>n/a</v>
          </cell>
          <cell r="C521">
            <v>46246</v>
          </cell>
        </row>
        <row r="522">
          <cell r="A522" t="str">
            <v>Daily</v>
          </cell>
          <cell r="B522" t="str">
            <v>n/a</v>
          </cell>
          <cell r="C522">
            <v>46246</v>
          </cell>
        </row>
        <row r="523">
          <cell r="A523" t="str">
            <v>Daily</v>
          </cell>
          <cell r="B523" t="str">
            <v>n/a</v>
          </cell>
          <cell r="C523">
            <v>46246</v>
          </cell>
        </row>
        <row r="524">
          <cell r="A524" t="str">
            <v>Daily</v>
          </cell>
          <cell r="B524" t="str">
            <v>n/a</v>
          </cell>
          <cell r="C524">
            <v>46246</v>
          </cell>
        </row>
        <row r="525">
          <cell r="A525" t="str">
            <v>Trial</v>
          </cell>
          <cell r="B525" t="str">
            <v>Wand-Wave-A1</v>
          </cell>
          <cell r="C525">
            <v>46245</v>
          </cell>
        </row>
        <row r="526">
          <cell r="A526" t="str">
            <v>Trial</v>
          </cell>
          <cell r="B526" t="str">
            <v>Wand-Wave-A1</v>
          </cell>
          <cell r="C526">
            <v>46245</v>
          </cell>
        </row>
        <row r="527">
          <cell r="A527" t="str">
            <v>Trial</v>
          </cell>
          <cell r="B527" t="str">
            <v>Wand-Wave-A1</v>
          </cell>
          <cell r="C527">
            <v>46245</v>
          </cell>
        </row>
        <row r="528">
          <cell r="A528" t="str">
            <v>Trial</v>
          </cell>
          <cell r="B528" t="str">
            <v>Wand-Wave-A1</v>
          </cell>
          <cell r="C528">
            <v>46245</v>
          </cell>
        </row>
        <row r="529">
          <cell r="A529" t="str">
            <v>Trial</v>
          </cell>
          <cell r="B529" t="str">
            <v>Wand-Wave-A1</v>
          </cell>
          <cell r="C529">
            <v>46245</v>
          </cell>
        </row>
        <row r="530">
          <cell r="A530" t="str">
            <v>Trial</v>
          </cell>
          <cell r="B530" t="str">
            <v>Wand-Wave-A1</v>
          </cell>
          <cell r="C530">
            <v>46245</v>
          </cell>
        </row>
        <row r="531">
          <cell r="A531" t="str">
            <v>Trial</v>
          </cell>
          <cell r="B531" t="str">
            <v>Wand-Wave-A1</v>
          </cell>
          <cell r="C531">
            <v>46245</v>
          </cell>
        </row>
        <row r="532">
          <cell r="A532" t="str">
            <v>Trial</v>
          </cell>
          <cell r="B532" t="str">
            <v>Wand-Wave-A1</v>
          </cell>
          <cell r="C532">
            <v>46245</v>
          </cell>
        </row>
        <row r="533">
          <cell r="A533" t="str">
            <v>Trial</v>
          </cell>
          <cell r="B533" t="str">
            <v>Wand-Wave-A1</v>
          </cell>
          <cell r="C533">
            <v>46245</v>
          </cell>
        </row>
        <row r="534">
          <cell r="A534" t="str">
            <v>Trial</v>
          </cell>
          <cell r="B534" t="str">
            <v>Wand-Wave-A1</v>
          </cell>
          <cell r="C534">
            <v>46245</v>
          </cell>
        </row>
        <row r="535">
          <cell r="A535" t="str">
            <v>Trial</v>
          </cell>
          <cell r="B535" t="str">
            <v>Wand-Wave-A1</v>
          </cell>
          <cell r="C535">
            <v>46245</v>
          </cell>
        </row>
        <row r="536">
          <cell r="A536" t="str">
            <v>Trial</v>
          </cell>
          <cell r="B536" t="str">
            <v>Wand-Wave-A1</v>
          </cell>
          <cell r="C536">
            <v>46245</v>
          </cell>
        </row>
        <row r="537">
          <cell r="A537" t="str">
            <v>Trial</v>
          </cell>
          <cell r="B537" t="str">
            <v>Wand-Wave-A1</v>
          </cell>
          <cell r="C537">
            <v>46245</v>
          </cell>
        </row>
        <row r="538">
          <cell r="A538" t="str">
            <v>Trial</v>
          </cell>
          <cell r="B538" t="str">
            <v>Wand-Wave-A1</v>
          </cell>
          <cell r="C538">
            <v>46245</v>
          </cell>
        </row>
        <row r="539">
          <cell r="A539" t="str">
            <v>Trial</v>
          </cell>
          <cell r="B539" t="str">
            <v>Wand-Wave-A1</v>
          </cell>
          <cell r="C539">
            <v>46245</v>
          </cell>
        </row>
        <row r="540">
          <cell r="A540" t="str">
            <v>Trial</v>
          </cell>
          <cell r="B540" t="str">
            <v>Wand-Wave-A1</v>
          </cell>
          <cell r="C540">
            <v>46245</v>
          </cell>
        </row>
        <row r="541">
          <cell r="A541" t="str">
            <v>Trial</v>
          </cell>
          <cell r="B541" t="str">
            <v>Wand-Wave-A1</v>
          </cell>
          <cell r="C541">
            <v>46245</v>
          </cell>
        </row>
        <row r="542">
          <cell r="A542" t="str">
            <v>Trial</v>
          </cell>
          <cell r="B542" t="str">
            <v>Wand-Wave-A1</v>
          </cell>
          <cell r="C542">
            <v>46245</v>
          </cell>
        </row>
        <row r="543">
          <cell r="A543" t="str">
            <v>Trial</v>
          </cell>
          <cell r="B543" t="str">
            <v>Wand-Wave-A2</v>
          </cell>
          <cell r="C543">
            <v>46245</v>
          </cell>
        </row>
        <row r="544">
          <cell r="A544" t="str">
            <v>Trial</v>
          </cell>
          <cell r="B544" t="str">
            <v>Wand-Wave-A2</v>
          </cell>
          <cell r="C544">
            <v>46245</v>
          </cell>
        </row>
        <row r="545">
          <cell r="A545" t="str">
            <v>Trial</v>
          </cell>
          <cell r="B545" t="str">
            <v>Wand-Wave-A2</v>
          </cell>
          <cell r="C545">
            <v>46245</v>
          </cell>
        </row>
        <row r="546">
          <cell r="A546" t="str">
            <v>Trial</v>
          </cell>
          <cell r="B546" t="str">
            <v>Wand-Wave-A2</v>
          </cell>
          <cell r="C546">
            <v>46245</v>
          </cell>
        </row>
        <row r="547">
          <cell r="A547" t="str">
            <v>Trial</v>
          </cell>
          <cell r="B547" t="str">
            <v>Wand-Wave-A2</v>
          </cell>
          <cell r="C547">
            <v>46245</v>
          </cell>
        </row>
        <row r="548">
          <cell r="A548" t="str">
            <v>Trial</v>
          </cell>
          <cell r="B548" t="str">
            <v>Wand-Wave-A2</v>
          </cell>
          <cell r="C548">
            <v>46245</v>
          </cell>
        </row>
        <row r="549">
          <cell r="A549" t="str">
            <v>Trial</v>
          </cell>
          <cell r="B549" t="str">
            <v>Wand-Wave-A2</v>
          </cell>
          <cell r="C549">
            <v>46245</v>
          </cell>
        </row>
        <row r="550">
          <cell r="A550" t="str">
            <v>Trial</v>
          </cell>
          <cell r="B550" t="str">
            <v>Wand-Wave-A2</v>
          </cell>
          <cell r="C550">
            <v>46245</v>
          </cell>
        </row>
        <row r="551">
          <cell r="A551" t="str">
            <v>Trial</v>
          </cell>
          <cell r="B551" t="str">
            <v>Wand-Wave-A2</v>
          </cell>
          <cell r="C551">
            <v>46245</v>
          </cell>
        </row>
        <row r="552">
          <cell r="A552" t="str">
            <v>Trial</v>
          </cell>
          <cell r="B552" t="str">
            <v>Wand-Wave-A2</v>
          </cell>
          <cell r="C552">
            <v>46245</v>
          </cell>
        </row>
        <row r="553">
          <cell r="A553" t="str">
            <v>Trial</v>
          </cell>
          <cell r="B553" t="str">
            <v>Wand-Wave-A2</v>
          </cell>
          <cell r="C553">
            <v>46245</v>
          </cell>
        </row>
        <row r="554">
          <cell r="A554" t="str">
            <v>Trial</v>
          </cell>
          <cell r="B554" t="str">
            <v>Wand-Wave-A2</v>
          </cell>
          <cell r="C554">
            <v>46245</v>
          </cell>
        </row>
        <row r="555">
          <cell r="A555" t="str">
            <v>Trial</v>
          </cell>
          <cell r="B555" t="str">
            <v>Wand-Wave-A2</v>
          </cell>
          <cell r="C555">
            <v>46245</v>
          </cell>
        </row>
        <row r="556">
          <cell r="A556" t="str">
            <v>Trial</v>
          </cell>
          <cell r="B556" t="str">
            <v>Wand-Wave-A2</v>
          </cell>
          <cell r="C556">
            <v>46245</v>
          </cell>
        </row>
        <row r="557">
          <cell r="A557" t="str">
            <v>Trial</v>
          </cell>
          <cell r="B557" t="str">
            <v>Wand-Wave-A2</v>
          </cell>
          <cell r="C557">
            <v>46245</v>
          </cell>
        </row>
        <row r="558">
          <cell r="A558" t="str">
            <v>Trial</v>
          </cell>
          <cell r="B558" t="str">
            <v>Wand-Wave-A2</v>
          </cell>
          <cell r="C558">
            <v>46245</v>
          </cell>
        </row>
        <row r="559">
          <cell r="A559" t="str">
            <v>Trial</v>
          </cell>
          <cell r="B559" t="str">
            <v>Wand-Wave-A2</v>
          </cell>
          <cell r="C559">
            <v>46245</v>
          </cell>
        </row>
        <row r="560">
          <cell r="A560" t="str">
            <v>Trial</v>
          </cell>
          <cell r="B560" t="str">
            <v>Wand-Wave-A2</v>
          </cell>
          <cell r="C560">
            <v>46245</v>
          </cell>
        </row>
        <row r="561">
          <cell r="A561" t="str">
            <v>Trial</v>
          </cell>
          <cell r="B561" t="str">
            <v>Wand-Wave-A3</v>
          </cell>
          <cell r="C561">
            <v>46245</v>
          </cell>
        </row>
        <row r="562">
          <cell r="A562" t="str">
            <v>Trial</v>
          </cell>
          <cell r="B562" t="str">
            <v>Wand-Wave-A3</v>
          </cell>
          <cell r="C562">
            <v>46245</v>
          </cell>
        </row>
        <row r="563">
          <cell r="A563" t="str">
            <v>Trial</v>
          </cell>
          <cell r="B563" t="str">
            <v>Wand-Wave-A3</v>
          </cell>
          <cell r="C563">
            <v>46245</v>
          </cell>
        </row>
        <row r="564">
          <cell r="A564" t="str">
            <v>Trial</v>
          </cell>
          <cell r="B564" t="str">
            <v>Wand-Wave-A3</v>
          </cell>
          <cell r="C564">
            <v>46245</v>
          </cell>
        </row>
        <row r="565">
          <cell r="A565" t="str">
            <v>Trial</v>
          </cell>
          <cell r="B565" t="str">
            <v>Wand-Wave-A3</v>
          </cell>
          <cell r="C565">
            <v>46245</v>
          </cell>
        </row>
        <row r="566">
          <cell r="A566" t="str">
            <v>Trial</v>
          </cell>
          <cell r="B566" t="str">
            <v>Wand-Wave-A3</v>
          </cell>
          <cell r="C566">
            <v>46245</v>
          </cell>
        </row>
        <row r="567">
          <cell r="A567" t="str">
            <v>Trial</v>
          </cell>
          <cell r="B567" t="str">
            <v>Wand-Wave-A3</v>
          </cell>
          <cell r="C567">
            <v>46245</v>
          </cell>
        </row>
        <row r="568">
          <cell r="A568" t="str">
            <v>Trial</v>
          </cell>
          <cell r="B568" t="str">
            <v>Wand-Wave-A3</v>
          </cell>
          <cell r="C568">
            <v>46245</v>
          </cell>
        </row>
        <row r="569">
          <cell r="A569" t="str">
            <v>Trial</v>
          </cell>
          <cell r="B569" t="str">
            <v>Wand-Wave-A3</v>
          </cell>
          <cell r="C569">
            <v>46245</v>
          </cell>
        </row>
        <row r="570">
          <cell r="A570" t="str">
            <v>Trial</v>
          </cell>
          <cell r="B570" t="str">
            <v>Wand-Wave-A3</v>
          </cell>
          <cell r="C570">
            <v>46245</v>
          </cell>
        </row>
        <row r="571">
          <cell r="A571" t="str">
            <v>Trial</v>
          </cell>
          <cell r="B571" t="str">
            <v>Wand-Wave-A3</v>
          </cell>
          <cell r="C571">
            <v>46245</v>
          </cell>
        </row>
        <row r="572">
          <cell r="A572" t="str">
            <v>Trial</v>
          </cell>
          <cell r="B572" t="str">
            <v>Wand-Wave-A3</v>
          </cell>
          <cell r="C572">
            <v>46245</v>
          </cell>
        </row>
        <row r="573">
          <cell r="A573" t="str">
            <v>Trial</v>
          </cell>
          <cell r="B573" t="str">
            <v>Wand-Wave-A3</v>
          </cell>
          <cell r="C573">
            <v>46245</v>
          </cell>
        </row>
        <row r="574">
          <cell r="A574" t="str">
            <v>Trial</v>
          </cell>
          <cell r="B574" t="str">
            <v>Wand-Wave-A3</v>
          </cell>
          <cell r="C574">
            <v>46245</v>
          </cell>
        </row>
        <row r="575">
          <cell r="A575" t="str">
            <v>Trial</v>
          </cell>
          <cell r="B575" t="str">
            <v>Wand-Wave-A3</v>
          </cell>
          <cell r="C575">
            <v>46245</v>
          </cell>
        </row>
        <row r="576">
          <cell r="A576" t="str">
            <v>Trial</v>
          </cell>
          <cell r="B576" t="str">
            <v>Wand-Wave-A3</v>
          </cell>
          <cell r="C576">
            <v>46245</v>
          </cell>
        </row>
        <row r="577">
          <cell r="A577" t="str">
            <v>Trial</v>
          </cell>
          <cell r="B577" t="str">
            <v>Wand-Wave-A3</v>
          </cell>
          <cell r="C577">
            <v>46245</v>
          </cell>
        </row>
        <row r="578">
          <cell r="A578" t="str">
            <v>Trial</v>
          </cell>
          <cell r="B578" t="str">
            <v>Wand-Wave-A3</v>
          </cell>
          <cell r="C578">
            <v>46245</v>
          </cell>
        </row>
        <row r="579">
          <cell r="A579" t="str">
            <v>Trial</v>
          </cell>
          <cell r="B579" t="str">
            <v>Wand-Wave-A4</v>
          </cell>
          <cell r="C579">
            <v>46246</v>
          </cell>
        </row>
        <row r="580">
          <cell r="A580" t="str">
            <v>Trial</v>
          </cell>
          <cell r="B580" t="str">
            <v>Wand-Wave-A4</v>
          </cell>
          <cell r="C580">
            <v>46246</v>
          </cell>
        </row>
        <row r="581">
          <cell r="A581" t="str">
            <v>Trial</v>
          </cell>
          <cell r="B581" t="str">
            <v>Wand-Wave-A4</v>
          </cell>
          <cell r="C581">
            <v>46246</v>
          </cell>
        </row>
        <row r="582">
          <cell r="A582" t="str">
            <v>Trial</v>
          </cell>
          <cell r="B582" t="str">
            <v>Wand-Wave-A4</v>
          </cell>
          <cell r="C582">
            <v>46246</v>
          </cell>
        </row>
        <row r="583">
          <cell r="A583" t="str">
            <v>Trial</v>
          </cell>
          <cell r="B583" t="str">
            <v>Wand-Wave-A4</v>
          </cell>
          <cell r="C583">
            <v>46246</v>
          </cell>
        </row>
        <row r="584">
          <cell r="A584" t="str">
            <v>Trial</v>
          </cell>
          <cell r="B584" t="str">
            <v>Wand-Wave-A4</v>
          </cell>
          <cell r="C584">
            <v>46246</v>
          </cell>
        </row>
        <row r="585">
          <cell r="A585" t="str">
            <v>Trial</v>
          </cell>
          <cell r="B585" t="str">
            <v>Wand-Wave-A4</v>
          </cell>
          <cell r="C585">
            <v>46246</v>
          </cell>
        </row>
        <row r="586">
          <cell r="A586" t="str">
            <v>Trial</v>
          </cell>
          <cell r="B586" t="str">
            <v>Wand-Wave-A4</v>
          </cell>
          <cell r="C586">
            <v>46246</v>
          </cell>
        </row>
        <row r="587">
          <cell r="A587" t="str">
            <v>Trial</v>
          </cell>
          <cell r="B587" t="str">
            <v>Wand-Wave-A4</v>
          </cell>
          <cell r="C587">
            <v>46246</v>
          </cell>
        </row>
        <row r="588">
          <cell r="A588" t="str">
            <v>Trial</v>
          </cell>
          <cell r="B588" t="str">
            <v>Wand-Wave-A4</v>
          </cell>
          <cell r="C588">
            <v>46246</v>
          </cell>
        </row>
        <row r="589">
          <cell r="A589" t="str">
            <v>Trial</v>
          </cell>
          <cell r="B589" t="str">
            <v>Wand-Wave-A4</v>
          </cell>
          <cell r="C589">
            <v>46246</v>
          </cell>
        </row>
        <row r="590">
          <cell r="A590" t="str">
            <v>Trial</v>
          </cell>
          <cell r="B590" t="str">
            <v>Wand-Wave-A4</v>
          </cell>
          <cell r="C590">
            <v>46246</v>
          </cell>
        </row>
        <row r="591">
          <cell r="A591" t="str">
            <v>Trial</v>
          </cell>
          <cell r="B591" t="str">
            <v>Wand-Wave-A4</v>
          </cell>
          <cell r="C591">
            <v>46246</v>
          </cell>
        </row>
        <row r="592">
          <cell r="A592" t="str">
            <v>Trial</v>
          </cell>
          <cell r="B592" t="str">
            <v>Wand-Wave-A4</v>
          </cell>
          <cell r="C592">
            <v>46246</v>
          </cell>
        </row>
        <row r="593">
          <cell r="A593" t="str">
            <v>Trial</v>
          </cell>
          <cell r="B593" t="str">
            <v>Wand-Wave-A4</v>
          </cell>
          <cell r="C593">
            <v>46246</v>
          </cell>
        </row>
        <row r="594">
          <cell r="A594" t="str">
            <v>Trial</v>
          </cell>
          <cell r="B594" t="str">
            <v>Wand-Wave-A4</v>
          </cell>
          <cell r="C594">
            <v>46246</v>
          </cell>
        </row>
        <row r="595">
          <cell r="A595" t="str">
            <v>Trial</v>
          </cell>
          <cell r="B595" t="str">
            <v>Wand-Wave-A4</v>
          </cell>
          <cell r="C595">
            <v>46246</v>
          </cell>
        </row>
        <row r="596">
          <cell r="A596" t="str">
            <v>Trial</v>
          </cell>
          <cell r="B596" t="str">
            <v>Wand-Wave-A4</v>
          </cell>
          <cell r="C596">
            <v>46245</v>
          </cell>
        </row>
        <row r="597">
          <cell r="A597" t="str">
            <v>Trial</v>
          </cell>
          <cell r="B597" t="str">
            <v>Wand-Wave-B1</v>
          </cell>
          <cell r="C597">
            <v>46245</v>
          </cell>
        </row>
        <row r="598">
          <cell r="A598" t="str">
            <v>Trial</v>
          </cell>
          <cell r="B598" t="str">
            <v>Wand-Wave-B1</v>
          </cell>
          <cell r="C598">
            <v>46245</v>
          </cell>
        </row>
        <row r="599">
          <cell r="A599" t="str">
            <v>Trial</v>
          </cell>
          <cell r="B599" t="str">
            <v>Wand-Wave-B1</v>
          </cell>
          <cell r="C599">
            <v>46245</v>
          </cell>
        </row>
        <row r="600">
          <cell r="A600" t="str">
            <v>Trial</v>
          </cell>
          <cell r="B600" t="str">
            <v>Wand-Wave-B1</v>
          </cell>
          <cell r="C600">
            <v>46245</v>
          </cell>
        </row>
        <row r="601">
          <cell r="A601" t="str">
            <v>Trial</v>
          </cell>
          <cell r="B601" t="str">
            <v>Wand-Wave-B1</v>
          </cell>
          <cell r="C601">
            <v>46245</v>
          </cell>
        </row>
        <row r="602">
          <cell r="A602" t="str">
            <v>Trial</v>
          </cell>
          <cell r="B602" t="str">
            <v>Wand-Wave-B1</v>
          </cell>
          <cell r="C602">
            <v>46245</v>
          </cell>
        </row>
        <row r="603">
          <cell r="A603" t="str">
            <v>Trial</v>
          </cell>
          <cell r="B603" t="str">
            <v>Wand-Wave-B1</v>
          </cell>
          <cell r="C603">
            <v>46245</v>
          </cell>
        </row>
        <row r="604">
          <cell r="A604" t="str">
            <v>Trial</v>
          </cell>
          <cell r="B604" t="str">
            <v>Wand-Wave-B1</v>
          </cell>
          <cell r="C604">
            <v>46245</v>
          </cell>
        </row>
        <row r="605">
          <cell r="A605" t="str">
            <v>Trial</v>
          </cell>
          <cell r="B605" t="str">
            <v>Wand-Wave-B1</v>
          </cell>
          <cell r="C605">
            <v>46245</v>
          </cell>
        </row>
        <row r="606">
          <cell r="A606" t="str">
            <v>Trial</v>
          </cell>
          <cell r="B606" t="str">
            <v>Wand-Wave-B1</v>
          </cell>
          <cell r="C606">
            <v>46245</v>
          </cell>
        </row>
        <row r="607">
          <cell r="A607" t="str">
            <v>Trial</v>
          </cell>
          <cell r="B607" t="str">
            <v>Wand-Wave-B1</v>
          </cell>
          <cell r="C607">
            <v>46245</v>
          </cell>
        </row>
        <row r="608">
          <cell r="A608" t="str">
            <v>Trial</v>
          </cell>
          <cell r="B608" t="str">
            <v>Wand-Wave-B1</v>
          </cell>
          <cell r="C608">
            <v>46245</v>
          </cell>
        </row>
        <row r="609">
          <cell r="A609" t="str">
            <v>Trial</v>
          </cell>
          <cell r="B609" t="str">
            <v>Wand-Wave-B1</v>
          </cell>
          <cell r="C609">
            <v>46245</v>
          </cell>
        </row>
        <row r="610">
          <cell r="A610" t="str">
            <v>Trial</v>
          </cell>
          <cell r="B610" t="str">
            <v>Wand-Wave-B1</v>
          </cell>
          <cell r="C610">
            <v>46245</v>
          </cell>
        </row>
        <row r="611">
          <cell r="A611" t="str">
            <v>Trial</v>
          </cell>
          <cell r="B611" t="str">
            <v>Wand-Wave-B1</v>
          </cell>
          <cell r="C611">
            <v>46245</v>
          </cell>
        </row>
        <row r="612">
          <cell r="A612" t="str">
            <v>Trial</v>
          </cell>
          <cell r="B612" t="str">
            <v>Wand-Wave-B1</v>
          </cell>
          <cell r="C612">
            <v>46245</v>
          </cell>
        </row>
        <row r="613">
          <cell r="A613" t="str">
            <v>Trial</v>
          </cell>
          <cell r="B613" t="str">
            <v>Wand-Wave-B1</v>
          </cell>
          <cell r="C613">
            <v>46245</v>
          </cell>
        </row>
        <row r="614">
          <cell r="A614" t="str">
            <v>Trial</v>
          </cell>
          <cell r="B614" t="str">
            <v>Wand-Wave-B1</v>
          </cell>
          <cell r="C614">
            <v>46245</v>
          </cell>
        </row>
        <row r="615">
          <cell r="A615" t="str">
            <v>Trial</v>
          </cell>
          <cell r="B615" t="str">
            <v>Wand-Wave-B2</v>
          </cell>
          <cell r="C615">
            <v>46245</v>
          </cell>
        </row>
        <row r="616">
          <cell r="A616" t="str">
            <v>Trial</v>
          </cell>
          <cell r="B616" t="str">
            <v>Wand-Wave-B2</v>
          </cell>
          <cell r="C616">
            <v>46245</v>
          </cell>
        </row>
        <row r="617">
          <cell r="A617" t="str">
            <v>Trial</v>
          </cell>
          <cell r="B617" t="str">
            <v>Wand-Wave-B2</v>
          </cell>
          <cell r="C617">
            <v>46245</v>
          </cell>
        </row>
        <row r="618">
          <cell r="A618" t="str">
            <v>Trial</v>
          </cell>
          <cell r="B618" t="str">
            <v>Wand-Wave-B2</v>
          </cell>
          <cell r="C618">
            <v>46245</v>
          </cell>
        </row>
        <row r="619">
          <cell r="A619" t="str">
            <v>Trial</v>
          </cell>
          <cell r="B619" t="str">
            <v>Wand-Wave-B2</v>
          </cell>
          <cell r="C619">
            <v>46245</v>
          </cell>
        </row>
        <row r="620">
          <cell r="A620" t="str">
            <v>Trial</v>
          </cell>
          <cell r="B620" t="str">
            <v>Wand-Wave-B2</v>
          </cell>
          <cell r="C620">
            <v>46245</v>
          </cell>
        </row>
        <row r="621">
          <cell r="A621" t="str">
            <v>Trial</v>
          </cell>
          <cell r="B621" t="str">
            <v>Wand-Wave-B2</v>
          </cell>
          <cell r="C621">
            <v>46245</v>
          </cell>
        </row>
        <row r="622">
          <cell r="A622" t="str">
            <v>Trial</v>
          </cell>
          <cell r="B622" t="str">
            <v>Wand-Wave-B2</v>
          </cell>
          <cell r="C622">
            <v>46245</v>
          </cell>
        </row>
        <row r="623">
          <cell r="A623" t="str">
            <v>Trial</v>
          </cell>
          <cell r="B623" t="str">
            <v>Wand-Wave-B2</v>
          </cell>
          <cell r="C623">
            <v>46245</v>
          </cell>
        </row>
        <row r="624">
          <cell r="A624" t="str">
            <v>Trial</v>
          </cell>
          <cell r="B624" t="str">
            <v>Wand-Wave-B2</v>
          </cell>
          <cell r="C624">
            <v>46245</v>
          </cell>
        </row>
        <row r="625">
          <cell r="A625" t="str">
            <v>Trial</v>
          </cell>
          <cell r="B625" t="str">
            <v>Wand-Wave-B2</v>
          </cell>
          <cell r="C625">
            <v>46245</v>
          </cell>
        </row>
        <row r="626">
          <cell r="A626" t="str">
            <v>Trial</v>
          </cell>
          <cell r="B626" t="str">
            <v>Wand-Wave-B2</v>
          </cell>
          <cell r="C626">
            <v>46245</v>
          </cell>
        </row>
        <row r="627">
          <cell r="A627" t="str">
            <v>Trial</v>
          </cell>
          <cell r="B627" t="str">
            <v>Wand-Wave-B2</v>
          </cell>
          <cell r="C627">
            <v>46245</v>
          </cell>
        </row>
        <row r="628">
          <cell r="A628" t="str">
            <v>Trial</v>
          </cell>
          <cell r="B628" t="str">
            <v>Wand-Wave-B2</v>
          </cell>
          <cell r="C628">
            <v>46245</v>
          </cell>
        </row>
        <row r="629">
          <cell r="A629" t="str">
            <v>Trial</v>
          </cell>
          <cell r="B629" t="str">
            <v>Wand-Wave-B2</v>
          </cell>
          <cell r="C629">
            <v>46245</v>
          </cell>
        </row>
        <row r="630">
          <cell r="A630" t="str">
            <v>Trial</v>
          </cell>
          <cell r="B630" t="str">
            <v>Wand-Wave-B2</v>
          </cell>
          <cell r="C630">
            <v>46245</v>
          </cell>
        </row>
        <row r="631">
          <cell r="A631" t="str">
            <v>Trial</v>
          </cell>
          <cell r="B631" t="str">
            <v>Wand-Wave-B2</v>
          </cell>
          <cell r="C631">
            <v>46245</v>
          </cell>
        </row>
        <row r="632">
          <cell r="A632" t="str">
            <v>Trial</v>
          </cell>
          <cell r="B632" t="str">
            <v>Wand-Wave-B2</v>
          </cell>
          <cell r="C632">
            <v>46245</v>
          </cell>
        </row>
        <row r="633">
          <cell r="A633" t="str">
            <v>Trial</v>
          </cell>
          <cell r="B633" t="str">
            <v>Wand-Wave-B3</v>
          </cell>
          <cell r="C633">
            <v>46245</v>
          </cell>
        </row>
        <row r="634">
          <cell r="A634" t="str">
            <v>Trial</v>
          </cell>
          <cell r="B634" t="str">
            <v>Wand-Wave-B3</v>
          </cell>
          <cell r="C634">
            <v>46245</v>
          </cell>
        </row>
        <row r="635">
          <cell r="A635" t="str">
            <v>Trial</v>
          </cell>
          <cell r="B635" t="str">
            <v>Wand-Wave-B3</v>
          </cell>
          <cell r="C635">
            <v>46245</v>
          </cell>
        </row>
        <row r="636">
          <cell r="A636" t="str">
            <v>Trial</v>
          </cell>
          <cell r="B636" t="str">
            <v>Wand-Wave-B3</v>
          </cell>
          <cell r="C636">
            <v>46245</v>
          </cell>
        </row>
        <row r="637">
          <cell r="A637" t="str">
            <v>Trial</v>
          </cell>
          <cell r="B637" t="str">
            <v>Wand-Wave-B3</v>
          </cell>
          <cell r="C637">
            <v>46245</v>
          </cell>
        </row>
        <row r="638">
          <cell r="A638" t="str">
            <v>Trial</v>
          </cell>
          <cell r="B638" t="str">
            <v>Wand-Wave-B3</v>
          </cell>
          <cell r="C638">
            <v>46245</v>
          </cell>
        </row>
        <row r="639">
          <cell r="A639" t="str">
            <v>Trial</v>
          </cell>
          <cell r="B639" t="str">
            <v>Wand-Wave-B3</v>
          </cell>
          <cell r="C639">
            <v>46245</v>
          </cell>
        </row>
        <row r="640">
          <cell r="A640" t="str">
            <v>Trial</v>
          </cell>
          <cell r="B640" t="str">
            <v>Wand-Wave-B3</v>
          </cell>
          <cell r="C640">
            <v>46245</v>
          </cell>
        </row>
        <row r="641">
          <cell r="A641" t="str">
            <v>Trial</v>
          </cell>
          <cell r="B641" t="str">
            <v>Wand-Wave-B3</v>
          </cell>
          <cell r="C641">
            <v>46245</v>
          </cell>
        </row>
        <row r="642">
          <cell r="A642" t="str">
            <v>Trial</v>
          </cell>
          <cell r="B642" t="str">
            <v>Wand-Wave-B3</v>
          </cell>
          <cell r="C642">
            <v>46245</v>
          </cell>
        </row>
        <row r="643">
          <cell r="A643" t="str">
            <v>Trial</v>
          </cell>
          <cell r="B643" t="str">
            <v>Wand-Wave-B3</v>
          </cell>
          <cell r="C643">
            <v>46245</v>
          </cell>
        </row>
        <row r="644">
          <cell r="A644" t="str">
            <v>Trial</v>
          </cell>
          <cell r="B644" t="str">
            <v>Wand-Wave-B3</v>
          </cell>
          <cell r="C644">
            <v>46245</v>
          </cell>
        </row>
        <row r="645">
          <cell r="A645" t="str">
            <v>Trial</v>
          </cell>
          <cell r="B645" t="str">
            <v>Wand-Wave-B3</v>
          </cell>
          <cell r="C645">
            <v>46245</v>
          </cell>
        </row>
        <row r="646">
          <cell r="A646" t="str">
            <v>Trial</v>
          </cell>
          <cell r="B646" t="str">
            <v>Wand-Wave-B3</v>
          </cell>
          <cell r="C646">
            <v>46245</v>
          </cell>
        </row>
        <row r="647">
          <cell r="A647" t="str">
            <v>Trial</v>
          </cell>
          <cell r="B647" t="str">
            <v>Wand-Wave-B3</v>
          </cell>
          <cell r="C647">
            <v>46245</v>
          </cell>
        </row>
        <row r="648">
          <cell r="A648" t="str">
            <v>Trial</v>
          </cell>
          <cell r="B648" t="str">
            <v>Wand-Wave-B3</v>
          </cell>
          <cell r="C648">
            <v>46245</v>
          </cell>
        </row>
        <row r="649">
          <cell r="A649" t="str">
            <v>Trial</v>
          </cell>
          <cell r="B649" t="str">
            <v>Wand-Wave-B3</v>
          </cell>
          <cell r="C649">
            <v>46245</v>
          </cell>
        </row>
        <row r="650">
          <cell r="A650" t="str">
            <v>Trial</v>
          </cell>
          <cell r="B650" t="str">
            <v>Wand-Wave-B3</v>
          </cell>
          <cell r="C650">
            <v>46245</v>
          </cell>
        </row>
        <row r="651">
          <cell r="A651" t="str">
            <v>Trial</v>
          </cell>
          <cell r="B651" t="str">
            <v>Wand-Wave-B4</v>
          </cell>
          <cell r="C651">
            <v>46246</v>
          </cell>
        </row>
        <row r="652">
          <cell r="A652" t="str">
            <v>Trial</v>
          </cell>
          <cell r="B652" t="str">
            <v>Wand-Wave-B4</v>
          </cell>
          <cell r="C652">
            <v>46246</v>
          </cell>
        </row>
        <row r="653">
          <cell r="A653" t="str">
            <v>Trial</v>
          </cell>
          <cell r="B653" t="str">
            <v>Wand-Wave-B4</v>
          </cell>
          <cell r="C653">
            <v>46246</v>
          </cell>
        </row>
        <row r="654">
          <cell r="A654" t="str">
            <v>Trial</v>
          </cell>
          <cell r="B654" t="str">
            <v>Wand-Wave-B4</v>
          </cell>
          <cell r="C654">
            <v>46246</v>
          </cell>
        </row>
        <row r="655">
          <cell r="A655" t="str">
            <v>Trial</v>
          </cell>
          <cell r="B655" t="str">
            <v>Wand-Wave-B4</v>
          </cell>
          <cell r="C655">
            <v>46246</v>
          </cell>
        </row>
        <row r="656">
          <cell r="A656" t="str">
            <v>Trial</v>
          </cell>
          <cell r="B656" t="str">
            <v>Wand-Wave-B4</v>
          </cell>
          <cell r="C656">
            <v>46246</v>
          </cell>
        </row>
        <row r="657">
          <cell r="A657" t="str">
            <v>Trial</v>
          </cell>
          <cell r="B657" t="str">
            <v>Wand-Wave-B4</v>
          </cell>
          <cell r="C657">
            <v>46246</v>
          </cell>
        </row>
        <row r="658">
          <cell r="A658" t="str">
            <v>Trial</v>
          </cell>
          <cell r="B658" t="str">
            <v>Wand-Wave-B4</v>
          </cell>
          <cell r="C658">
            <v>46246</v>
          </cell>
        </row>
        <row r="659">
          <cell r="A659" t="str">
            <v>Trial</v>
          </cell>
          <cell r="B659" t="str">
            <v>Wand-Wave-B4</v>
          </cell>
          <cell r="C659">
            <v>46246</v>
          </cell>
        </row>
        <row r="660">
          <cell r="A660" t="str">
            <v>Trial</v>
          </cell>
          <cell r="B660" t="str">
            <v>Wand-Wave-B4</v>
          </cell>
          <cell r="C660">
            <v>46246</v>
          </cell>
        </row>
        <row r="661">
          <cell r="A661" t="str">
            <v>Trial</v>
          </cell>
          <cell r="B661" t="str">
            <v>Wand-Wave-B4</v>
          </cell>
          <cell r="C661">
            <v>46246</v>
          </cell>
        </row>
        <row r="662">
          <cell r="A662" t="str">
            <v>Trial</v>
          </cell>
          <cell r="B662" t="str">
            <v>Wand-Wave-B4</v>
          </cell>
          <cell r="C662">
            <v>46246</v>
          </cell>
        </row>
        <row r="663">
          <cell r="A663" t="str">
            <v>Trial</v>
          </cell>
          <cell r="B663" t="str">
            <v>Wand-Wave-B4</v>
          </cell>
          <cell r="C663">
            <v>46246</v>
          </cell>
        </row>
        <row r="664">
          <cell r="A664" t="str">
            <v>Trial</v>
          </cell>
          <cell r="B664" t="str">
            <v>Wand-Wave-B4</v>
          </cell>
          <cell r="C664">
            <v>46246</v>
          </cell>
        </row>
        <row r="665">
          <cell r="A665" t="str">
            <v>Trial</v>
          </cell>
          <cell r="B665" t="str">
            <v>Wand-Wave-B4</v>
          </cell>
          <cell r="C665">
            <v>46246</v>
          </cell>
        </row>
        <row r="666">
          <cell r="A666" t="str">
            <v>Trial</v>
          </cell>
          <cell r="B666" t="str">
            <v>Wand-Wave-B4</v>
          </cell>
          <cell r="C666">
            <v>46246</v>
          </cell>
        </row>
        <row r="667">
          <cell r="A667" t="str">
            <v>Trial</v>
          </cell>
          <cell r="B667" t="str">
            <v>Wand-Wave-B4</v>
          </cell>
          <cell r="C667">
            <v>46246</v>
          </cell>
        </row>
        <row r="668">
          <cell r="A668" t="str">
            <v>Trial</v>
          </cell>
          <cell r="B668" t="str">
            <v>Wand-Wave-B4</v>
          </cell>
          <cell r="C668">
            <v>46245</v>
          </cell>
        </row>
        <row r="669">
          <cell r="A669" t="str">
            <v>Trial</v>
          </cell>
          <cell r="B669" t="str">
            <v>Wand-Wave-C1</v>
          </cell>
          <cell r="C669">
            <v>46245</v>
          </cell>
        </row>
        <row r="670">
          <cell r="A670" t="str">
            <v>Trial</v>
          </cell>
          <cell r="B670" t="str">
            <v>Wand-Wave-C1</v>
          </cell>
          <cell r="C670">
            <v>46245</v>
          </cell>
        </row>
        <row r="671">
          <cell r="A671" t="str">
            <v>Trial</v>
          </cell>
          <cell r="B671" t="str">
            <v>Wand-Wave-C1</v>
          </cell>
          <cell r="C671">
            <v>46245</v>
          </cell>
        </row>
        <row r="672">
          <cell r="A672" t="str">
            <v>Trial</v>
          </cell>
          <cell r="B672" t="str">
            <v>Wand-Wave-C1</v>
          </cell>
          <cell r="C672">
            <v>46245</v>
          </cell>
        </row>
        <row r="673">
          <cell r="A673" t="str">
            <v>Trial</v>
          </cell>
          <cell r="B673" t="str">
            <v>Wand-Wave-C1</v>
          </cell>
          <cell r="C673">
            <v>46245</v>
          </cell>
        </row>
        <row r="674">
          <cell r="A674" t="str">
            <v>Trial</v>
          </cell>
          <cell r="B674" t="str">
            <v>Wand-Wave-C1</v>
          </cell>
          <cell r="C674">
            <v>46245</v>
          </cell>
        </row>
        <row r="675">
          <cell r="A675" t="str">
            <v>Trial</v>
          </cell>
          <cell r="B675" t="str">
            <v>Wand-Wave-C1</v>
          </cell>
          <cell r="C675">
            <v>46245</v>
          </cell>
        </row>
        <row r="676">
          <cell r="A676" t="str">
            <v>Trial</v>
          </cell>
          <cell r="B676" t="str">
            <v>Wand-Wave-C1</v>
          </cell>
          <cell r="C676">
            <v>46245</v>
          </cell>
        </row>
        <row r="677">
          <cell r="A677" t="str">
            <v>Trial</v>
          </cell>
          <cell r="B677" t="str">
            <v>Wand-Wave-C1</v>
          </cell>
          <cell r="C677">
            <v>46245</v>
          </cell>
        </row>
        <row r="678">
          <cell r="A678" t="str">
            <v>Trial</v>
          </cell>
          <cell r="B678" t="str">
            <v>Wand-Wave-C1</v>
          </cell>
          <cell r="C678">
            <v>46245</v>
          </cell>
        </row>
        <row r="679">
          <cell r="A679" t="str">
            <v>Trial</v>
          </cell>
          <cell r="B679" t="str">
            <v>Wand-Wave-C1</v>
          </cell>
          <cell r="C679">
            <v>46245</v>
          </cell>
        </row>
        <row r="680">
          <cell r="A680" t="str">
            <v>Trial</v>
          </cell>
          <cell r="B680" t="str">
            <v>Wand-Wave-C1</v>
          </cell>
          <cell r="C680">
            <v>46245</v>
          </cell>
        </row>
        <row r="681">
          <cell r="A681" t="str">
            <v>Trial</v>
          </cell>
          <cell r="B681" t="str">
            <v>Wand-Wave-C1</v>
          </cell>
          <cell r="C681">
            <v>46245</v>
          </cell>
        </row>
        <row r="682">
          <cell r="A682" t="str">
            <v>Trial</v>
          </cell>
          <cell r="B682" t="str">
            <v>Wand-Wave-C1</v>
          </cell>
          <cell r="C682">
            <v>46245</v>
          </cell>
        </row>
        <row r="683">
          <cell r="A683" t="str">
            <v>Trial</v>
          </cell>
          <cell r="B683" t="str">
            <v>Wand-Wave-C1</v>
          </cell>
          <cell r="C683">
            <v>46245</v>
          </cell>
        </row>
        <row r="684">
          <cell r="A684" t="str">
            <v>Trial</v>
          </cell>
          <cell r="B684" t="str">
            <v>Wand-Wave-C1</v>
          </cell>
          <cell r="C684">
            <v>46245</v>
          </cell>
        </row>
        <row r="685">
          <cell r="A685" t="str">
            <v>Trial</v>
          </cell>
          <cell r="B685" t="str">
            <v>Wand-Wave-C1</v>
          </cell>
          <cell r="C685">
            <v>46245</v>
          </cell>
        </row>
        <row r="686">
          <cell r="A686" t="str">
            <v>Trial</v>
          </cell>
          <cell r="B686" t="str">
            <v>Wand-Wave-C1</v>
          </cell>
          <cell r="C686">
            <v>46245</v>
          </cell>
        </row>
        <row r="687">
          <cell r="A687" t="str">
            <v>Trial</v>
          </cell>
          <cell r="B687" t="str">
            <v>Wand-Wave-C2</v>
          </cell>
          <cell r="C687">
            <v>46245</v>
          </cell>
        </row>
        <row r="688">
          <cell r="A688" t="str">
            <v>Trial</v>
          </cell>
          <cell r="B688" t="str">
            <v>Wand-Wave-C2</v>
          </cell>
          <cell r="C688">
            <v>46245</v>
          </cell>
        </row>
        <row r="689">
          <cell r="A689" t="str">
            <v>Trial</v>
          </cell>
          <cell r="B689" t="str">
            <v>Wand-Wave-C2</v>
          </cell>
          <cell r="C689">
            <v>46245</v>
          </cell>
        </row>
        <row r="690">
          <cell r="A690" t="str">
            <v>Trial</v>
          </cell>
          <cell r="B690" t="str">
            <v>Wand-Wave-C2</v>
          </cell>
          <cell r="C690">
            <v>46245</v>
          </cell>
        </row>
        <row r="691">
          <cell r="A691" t="str">
            <v>Trial</v>
          </cell>
          <cell r="B691" t="str">
            <v>Wand-Wave-C2</v>
          </cell>
          <cell r="C691">
            <v>46245</v>
          </cell>
        </row>
        <row r="692">
          <cell r="A692" t="str">
            <v>Trial</v>
          </cell>
          <cell r="B692" t="str">
            <v>Wand-Wave-C2</v>
          </cell>
          <cell r="C692">
            <v>46245</v>
          </cell>
        </row>
        <row r="693">
          <cell r="A693" t="str">
            <v>Trial</v>
          </cell>
          <cell r="B693" t="str">
            <v>Wand-Wave-C2</v>
          </cell>
          <cell r="C693">
            <v>46245</v>
          </cell>
        </row>
        <row r="694">
          <cell r="A694" t="str">
            <v>Trial</v>
          </cell>
          <cell r="B694" t="str">
            <v>Wand-Wave-C2</v>
          </cell>
          <cell r="C694">
            <v>46245</v>
          </cell>
        </row>
        <row r="695">
          <cell r="A695" t="str">
            <v>Trial</v>
          </cell>
          <cell r="B695" t="str">
            <v>Wand-Wave-C2</v>
          </cell>
          <cell r="C695">
            <v>46245</v>
          </cell>
        </row>
        <row r="696">
          <cell r="A696" t="str">
            <v>Trial</v>
          </cell>
          <cell r="B696" t="str">
            <v>Wand-Wave-C2</v>
          </cell>
          <cell r="C696">
            <v>46245</v>
          </cell>
        </row>
        <row r="697">
          <cell r="A697" t="str">
            <v>Trial</v>
          </cell>
          <cell r="B697" t="str">
            <v>Wand-Wave-C2</v>
          </cell>
          <cell r="C697">
            <v>46245</v>
          </cell>
        </row>
        <row r="698">
          <cell r="A698" t="str">
            <v>Trial</v>
          </cell>
          <cell r="B698" t="str">
            <v>Wand-Wave-C2</v>
          </cell>
          <cell r="C698">
            <v>46245</v>
          </cell>
        </row>
        <row r="699">
          <cell r="A699" t="str">
            <v>Trial</v>
          </cell>
          <cell r="B699" t="str">
            <v>Wand-Wave-C2</v>
          </cell>
          <cell r="C699">
            <v>46245</v>
          </cell>
        </row>
        <row r="700">
          <cell r="A700" t="str">
            <v>Trial</v>
          </cell>
          <cell r="B700" t="str">
            <v>Wand-Wave-C2</v>
          </cell>
          <cell r="C700">
            <v>46245</v>
          </cell>
        </row>
        <row r="701">
          <cell r="A701" t="str">
            <v>Trial</v>
          </cell>
          <cell r="B701" t="str">
            <v>Wand-Wave-C2</v>
          </cell>
          <cell r="C701">
            <v>46245</v>
          </cell>
        </row>
        <row r="702">
          <cell r="A702" t="str">
            <v>Trial</v>
          </cell>
          <cell r="B702" t="str">
            <v>Wand-Wave-C2</v>
          </cell>
          <cell r="C702">
            <v>46245</v>
          </cell>
        </row>
        <row r="703">
          <cell r="A703" t="str">
            <v>Trial</v>
          </cell>
          <cell r="B703" t="str">
            <v>Wand-Wave-C2</v>
          </cell>
          <cell r="C703">
            <v>46245</v>
          </cell>
        </row>
        <row r="704">
          <cell r="A704" t="str">
            <v>Trial</v>
          </cell>
          <cell r="B704" t="str">
            <v>Wand-Wave-C2</v>
          </cell>
          <cell r="C704">
            <v>46245</v>
          </cell>
        </row>
        <row r="705">
          <cell r="A705" t="str">
            <v>Trial</v>
          </cell>
          <cell r="B705" t="str">
            <v>Wand-Wave-C3</v>
          </cell>
          <cell r="C705">
            <v>46245</v>
          </cell>
        </row>
        <row r="706">
          <cell r="A706" t="str">
            <v>Trial</v>
          </cell>
          <cell r="B706" t="str">
            <v>Wand-Wave-C3</v>
          </cell>
          <cell r="C706">
            <v>46245</v>
          </cell>
        </row>
        <row r="707">
          <cell r="A707" t="str">
            <v>Trial</v>
          </cell>
          <cell r="B707" t="str">
            <v>Wand-Wave-C3</v>
          </cell>
          <cell r="C707">
            <v>46245</v>
          </cell>
        </row>
        <row r="708">
          <cell r="A708" t="str">
            <v>Trial</v>
          </cell>
          <cell r="B708" t="str">
            <v>Wand-Wave-C3</v>
          </cell>
          <cell r="C708">
            <v>46245</v>
          </cell>
        </row>
        <row r="709">
          <cell r="A709" t="str">
            <v>Trial</v>
          </cell>
          <cell r="B709" t="str">
            <v>Wand-Wave-C3</v>
          </cell>
          <cell r="C709">
            <v>46245</v>
          </cell>
        </row>
        <row r="710">
          <cell r="A710" t="str">
            <v>Trial</v>
          </cell>
          <cell r="B710" t="str">
            <v>Wand-Wave-C3</v>
          </cell>
          <cell r="C710">
            <v>46245</v>
          </cell>
        </row>
        <row r="711">
          <cell r="A711" t="str">
            <v>Trial</v>
          </cell>
          <cell r="B711" t="str">
            <v>Wand-Wave-C3</v>
          </cell>
          <cell r="C711">
            <v>46245</v>
          </cell>
        </row>
        <row r="712">
          <cell r="A712" t="str">
            <v>Trial</v>
          </cell>
          <cell r="B712" t="str">
            <v>Wand-Wave-C3</v>
          </cell>
          <cell r="C712">
            <v>46245</v>
          </cell>
        </row>
        <row r="713">
          <cell r="A713" t="str">
            <v>Trial</v>
          </cell>
          <cell r="B713" t="str">
            <v>Wand-Wave-C3</v>
          </cell>
          <cell r="C713">
            <v>46245</v>
          </cell>
        </row>
        <row r="714">
          <cell r="A714" t="str">
            <v>Trial</v>
          </cell>
          <cell r="B714" t="str">
            <v>Wand-Wave-C3</v>
          </cell>
          <cell r="C714">
            <v>46245</v>
          </cell>
        </row>
        <row r="715">
          <cell r="A715" t="str">
            <v>Trial</v>
          </cell>
          <cell r="B715" t="str">
            <v>Wand-Wave-C3</v>
          </cell>
          <cell r="C715">
            <v>46245</v>
          </cell>
        </row>
        <row r="716">
          <cell r="A716" t="str">
            <v>Trial</v>
          </cell>
          <cell r="B716" t="str">
            <v>Wand-Wave-C3</v>
          </cell>
          <cell r="C716">
            <v>46245</v>
          </cell>
        </row>
        <row r="717">
          <cell r="A717" t="str">
            <v>Trial</v>
          </cell>
          <cell r="B717" t="str">
            <v>Wand-Wave-C3</v>
          </cell>
          <cell r="C717">
            <v>46245</v>
          </cell>
        </row>
        <row r="718">
          <cell r="A718" t="str">
            <v>Trial</v>
          </cell>
          <cell r="B718" t="str">
            <v>Wand-Wave-C3</v>
          </cell>
          <cell r="C718">
            <v>46245</v>
          </cell>
        </row>
        <row r="719">
          <cell r="A719" t="str">
            <v>Trial</v>
          </cell>
          <cell r="B719" t="str">
            <v>Wand-Wave-C3</v>
          </cell>
          <cell r="C719">
            <v>46245</v>
          </cell>
        </row>
        <row r="720">
          <cell r="A720" t="str">
            <v>Trial</v>
          </cell>
          <cell r="B720" t="str">
            <v>Wand-Wave-C3</v>
          </cell>
          <cell r="C720">
            <v>46245</v>
          </cell>
        </row>
        <row r="721">
          <cell r="A721" t="str">
            <v>Trial</v>
          </cell>
          <cell r="B721" t="str">
            <v>Wand-Wave-C3</v>
          </cell>
          <cell r="C721">
            <v>46245</v>
          </cell>
        </row>
        <row r="722">
          <cell r="A722" t="str">
            <v>Trial</v>
          </cell>
          <cell r="B722" t="str">
            <v>Wand-Wave-C3</v>
          </cell>
          <cell r="C722">
            <v>46245</v>
          </cell>
        </row>
        <row r="723">
          <cell r="A723" t="str">
            <v>Trial</v>
          </cell>
          <cell r="B723" t="str">
            <v>Wand-Wave-C4</v>
          </cell>
          <cell r="C723">
            <v>46246</v>
          </cell>
        </row>
        <row r="724">
          <cell r="A724" t="str">
            <v>Trial</v>
          </cell>
          <cell r="B724" t="str">
            <v>Wand-Wave-C4</v>
          </cell>
          <cell r="C724">
            <v>46246</v>
          </cell>
        </row>
        <row r="725">
          <cell r="A725" t="str">
            <v>Trial</v>
          </cell>
          <cell r="B725" t="str">
            <v>Wand-Wave-C4</v>
          </cell>
          <cell r="C725">
            <v>46246</v>
          </cell>
        </row>
        <row r="726">
          <cell r="A726" t="str">
            <v>Trial</v>
          </cell>
          <cell r="B726" t="str">
            <v>Wand-Wave-C4</v>
          </cell>
          <cell r="C726">
            <v>46246</v>
          </cell>
        </row>
        <row r="727">
          <cell r="A727" t="str">
            <v>Trial</v>
          </cell>
          <cell r="B727" t="str">
            <v>Wand-Wave-C4</v>
          </cell>
          <cell r="C727">
            <v>46246</v>
          </cell>
        </row>
        <row r="728">
          <cell r="A728" t="str">
            <v>Trial</v>
          </cell>
          <cell r="B728" t="str">
            <v>Wand-Wave-C4</v>
          </cell>
          <cell r="C728">
            <v>46246</v>
          </cell>
        </row>
        <row r="729">
          <cell r="A729" t="str">
            <v>Trial</v>
          </cell>
          <cell r="B729" t="str">
            <v>Wand-Wave-C4</v>
          </cell>
          <cell r="C729">
            <v>46246</v>
          </cell>
        </row>
        <row r="730">
          <cell r="A730" t="str">
            <v>Trial</v>
          </cell>
          <cell r="B730" t="str">
            <v>Wand-Wave-C4</v>
          </cell>
          <cell r="C730">
            <v>46246</v>
          </cell>
        </row>
        <row r="731">
          <cell r="A731" t="str">
            <v>Trial</v>
          </cell>
          <cell r="B731" t="str">
            <v>Wand-Wave-C4</v>
          </cell>
          <cell r="C731">
            <v>46246</v>
          </cell>
        </row>
        <row r="732">
          <cell r="A732" t="str">
            <v>Trial</v>
          </cell>
          <cell r="B732" t="str">
            <v>Wand-Wave-C4</v>
          </cell>
          <cell r="C732">
            <v>46246</v>
          </cell>
        </row>
        <row r="733">
          <cell r="A733" t="str">
            <v>Trial</v>
          </cell>
          <cell r="B733" t="str">
            <v>Wand-Wave-C4</v>
          </cell>
          <cell r="C733">
            <v>46246</v>
          </cell>
        </row>
        <row r="734">
          <cell r="A734" t="str">
            <v>Trial</v>
          </cell>
          <cell r="B734" t="str">
            <v>Wand-Wave-C4</v>
          </cell>
          <cell r="C734">
            <v>46246</v>
          </cell>
        </row>
        <row r="735">
          <cell r="A735" t="str">
            <v>Trial</v>
          </cell>
          <cell r="B735" t="str">
            <v>Wand-Wave-C4</v>
          </cell>
          <cell r="C735">
            <v>46246</v>
          </cell>
        </row>
        <row r="736">
          <cell r="A736" t="str">
            <v>Trial</v>
          </cell>
          <cell r="B736" t="str">
            <v>Wand-Wave-C4</v>
          </cell>
          <cell r="C736">
            <v>46246</v>
          </cell>
        </row>
        <row r="737">
          <cell r="A737" t="str">
            <v>Trial</v>
          </cell>
          <cell r="B737" t="str">
            <v>Wand-Wave-C4</v>
          </cell>
          <cell r="C737">
            <v>46246</v>
          </cell>
        </row>
        <row r="738">
          <cell r="A738" t="str">
            <v>Trial</v>
          </cell>
          <cell r="B738" t="str">
            <v>Wand-Wave-C4</v>
          </cell>
          <cell r="C738">
            <v>46246</v>
          </cell>
        </row>
        <row r="739">
          <cell r="A739" t="str">
            <v>Trial</v>
          </cell>
          <cell r="B739" t="str">
            <v>Wand-Wave-C4</v>
          </cell>
          <cell r="C739">
            <v>46246</v>
          </cell>
        </row>
        <row r="740">
          <cell r="A740" t="str">
            <v>Trial</v>
          </cell>
          <cell r="B740" t="str">
            <v>Wand-Wave-C4</v>
          </cell>
          <cell r="C740">
            <v>46245</v>
          </cell>
        </row>
        <row r="741">
          <cell r="A741" t="str">
            <v>Trial</v>
          </cell>
          <cell r="B741" t="str">
            <v>Wand-Wave-D1</v>
          </cell>
          <cell r="C741">
            <v>46245</v>
          </cell>
        </row>
        <row r="742">
          <cell r="A742" t="str">
            <v>Trial</v>
          </cell>
          <cell r="B742" t="str">
            <v>Wand-Wave-D1</v>
          </cell>
          <cell r="C742">
            <v>46245</v>
          </cell>
        </row>
        <row r="743">
          <cell r="A743" t="str">
            <v>Trial</v>
          </cell>
          <cell r="B743" t="str">
            <v>Wand-Wave-D1</v>
          </cell>
          <cell r="C743">
            <v>46245</v>
          </cell>
        </row>
        <row r="744">
          <cell r="A744" t="str">
            <v>Trial</v>
          </cell>
          <cell r="B744" t="str">
            <v>Wand-Wave-D1</v>
          </cell>
          <cell r="C744">
            <v>46245</v>
          </cell>
        </row>
        <row r="745">
          <cell r="A745" t="str">
            <v>Trial</v>
          </cell>
          <cell r="B745" t="str">
            <v>Wand-Wave-D1</v>
          </cell>
          <cell r="C745">
            <v>46245</v>
          </cell>
        </row>
        <row r="746">
          <cell r="A746" t="str">
            <v>Trial</v>
          </cell>
          <cell r="B746" t="str">
            <v>Wand-Wave-D1</v>
          </cell>
          <cell r="C746">
            <v>46245</v>
          </cell>
        </row>
        <row r="747">
          <cell r="A747" t="str">
            <v>Trial</v>
          </cell>
          <cell r="B747" t="str">
            <v>Wand-Wave-D1</v>
          </cell>
          <cell r="C747">
            <v>46245</v>
          </cell>
        </row>
        <row r="748">
          <cell r="A748" t="str">
            <v>Trial</v>
          </cell>
          <cell r="B748" t="str">
            <v>Wand-Wave-D1</v>
          </cell>
          <cell r="C748">
            <v>46245</v>
          </cell>
        </row>
        <row r="749">
          <cell r="A749" t="str">
            <v>Trial</v>
          </cell>
          <cell r="B749" t="str">
            <v>Wand-Wave-D1</v>
          </cell>
          <cell r="C749">
            <v>46245</v>
          </cell>
        </row>
        <row r="750">
          <cell r="A750" t="str">
            <v>Trial</v>
          </cell>
          <cell r="B750" t="str">
            <v>Wand-Wave-D1</v>
          </cell>
          <cell r="C750">
            <v>46245</v>
          </cell>
        </row>
        <row r="751">
          <cell r="A751" t="str">
            <v>Trial</v>
          </cell>
          <cell r="B751" t="str">
            <v>Wand-Wave-D1</v>
          </cell>
          <cell r="C751">
            <v>46245</v>
          </cell>
        </row>
        <row r="752">
          <cell r="A752" t="str">
            <v>Trial</v>
          </cell>
          <cell r="B752" t="str">
            <v>Wand-Wave-D1</v>
          </cell>
          <cell r="C752">
            <v>46245</v>
          </cell>
        </row>
        <row r="753">
          <cell r="A753" t="str">
            <v>Trial</v>
          </cell>
          <cell r="B753" t="str">
            <v>Wand-Wave-D1</v>
          </cell>
          <cell r="C753">
            <v>46245</v>
          </cell>
        </row>
        <row r="754">
          <cell r="A754" t="str">
            <v>Trial</v>
          </cell>
          <cell r="B754" t="str">
            <v>Wand-Wave-D1</v>
          </cell>
          <cell r="C754">
            <v>46245</v>
          </cell>
        </row>
        <row r="755">
          <cell r="A755" t="str">
            <v>Trial</v>
          </cell>
          <cell r="B755" t="str">
            <v>Wand-Wave-D1</v>
          </cell>
          <cell r="C755">
            <v>46245</v>
          </cell>
        </row>
        <row r="756">
          <cell r="A756" t="str">
            <v>Trial</v>
          </cell>
          <cell r="B756" t="str">
            <v>Wand-Wave-D1</v>
          </cell>
          <cell r="C756">
            <v>46245</v>
          </cell>
        </row>
        <row r="757">
          <cell r="A757" t="str">
            <v>Trial</v>
          </cell>
          <cell r="B757" t="str">
            <v>Wand-Wave-D1</v>
          </cell>
          <cell r="C757">
            <v>46245</v>
          </cell>
        </row>
        <row r="758">
          <cell r="A758" t="str">
            <v>Trial</v>
          </cell>
          <cell r="B758" t="str">
            <v>Wand-Wave-D1</v>
          </cell>
          <cell r="C758">
            <v>46245</v>
          </cell>
        </row>
        <row r="759">
          <cell r="A759" t="str">
            <v>Trial</v>
          </cell>
          <cell r="B759" t="str">
            <v>Wand-Wave-D2</v>
          </cell>
          <cell r="C759">
            <v>46245</v>
          </cell>
        </row>
        <row r="760">
          <cell r="A760" t="str">
            <v>Trial</v>
          </cell>
          <cell r="B760" t="str">
            <v>Wand-Wave-D2</v>
          </cell>
          <cell r="C760">
            <v>46245</v>
          </cell>
        </row>
        <row r="761">
          <cell r="A761" t="str">
            <v>Trial</v>
          </cell>
          <cell r="B761" t="str">
            <v>Wand-Wave-D2</v>
          </cell>
          <cell r="C761">
            <v>46245</v>
          </cell>
        </row>
        <row r="762">
          <cell r="A762" t="str">
            <v>Trial</v>
          </cell>
          <cell r="B762" t="str">
            <v>Wand-Wave-D2</v>
          </cell>
          <cell r="C762">
            <v>46245</v>
          </cell>
        </row>
        <row r="763">
          <cell r="A763" t="str">
            <v>Trial</v>
          </cell>
          <cell r="B763" t="str">
            <v>Wand-Wave-D2</v>
          </cell>
          <cell r="C763">
            <v>46245</v>
          </cell>
        </row>
        <row r="764">
          <cell r="A764" t="str">
            <v>Trial</v>
          </cell>
          <cell r="B764" t="str">
            <v>Wand-Wave-D2</v>
          </cell>
          <cell r="C764">
            <v>46245</v>
          </cell>
        </row>
        <row r="765">
          <cell r="A765" t="str">
            <v>Trial</v>
          </cell>
          <cell r="B765" t="str">
            <v>Wand-Wave-D2</v>
          </cell>
          <cell r="C765">
            <v>46245</v>
          </cell>
        </row>
        <row r="766">
          <cell r="A766" t="str">
            <v>Trial</v>
          </cell>
          <cell r="B766" t="str">
            <v>Wand-Wave-D2</v>
          </cell>
          <cell r="C766">
            <v>46245</v>
          </cell>
        </row>
        <row r="767">
          <cell r="A767" t="str">
            <v>Trial</v>
          </cell>
          <cell r="B767" t="str">
            <v>Wand-Wave-D2</v>
          </cell>
          <cell r="C767">
            <v>46245</v>
          </cell>
        </row>
        <row r="768">
          <cell r="A768" t="str">
            <v>Trial</v>
          </cell>
          <cell r="B768" t="str">
            <v>Wand-Wave-D2</v>
          </cell>
          <cell r="C768">
            <v>46245</v>
          </cell>
        </row>
        <row r="769">
          <cell r="A769" t="str">
            <v>Trial</v>
          </cell>
          <cell r="B769" t="str">
            <v>Wand-Wave-D2</v>
          </cell>
          <cell r="C769">
            <v>46245</v>
          </cell>
        </row>
        <row r="770">
          <cell r="A770" t="str">
            <v>Trial</v>
          </cell>
          <cell r="B770" t="str">
            <v>Wand-Wave-D2</v>
          </cell>
          <cell r="C770">
            <v>46245</v>
          </cell>
        </row>
        <row r="771">
          <cell r="A771" t="str">
            <v>Trial</v>
          </cell>
          <cell r="B771" t="str">
            <v>Wand-Wave-D2</v>
          </cell>
          <cell r="C771">
            <v>46245</v>
          </cell>
        </row>
        <row r="772">
          <cell r="A772" t="str">
            <v>Trial</v>
          </cell>
          <cell r="B772" t="str">
            <v>Wand-Wave-D2</v>
          </cell>
          <cell r="C772">
            <v>46245</v>
          </cell>
        </row>
        <row r="773">
          <cell r="A773" t="str">
            <v>Trial</v>
          </cell>
          <cell r="B773" t="str">
            <v>Wand-Wave-D2</v>
          </cell>
          <cell r="C773">
            <v>46245</v>
          </cell>
        </row>
        <row r="774">
          <cell r="A774" t="str">
            <v>Trial</v>
          </cell>
          <cell r="B774" t="str">
            <v>Wand-Wave-D2</v>
          </cell>
          <cell r="C774">
            <v>46245</v>
          </cell>
        </row>
        <row r="775">
          <cell r="A775" t="str">
            <v>Trial</v>
          </cell>
          <cell r="B775" t="str">
            <v>Wand-Wave-D2</v>
          </cell>
          <cell r="C775">
            <v>46245</v>
          </cell>
        </row>
        <row r="776">
          <cell r="A776" t="str">
            <v>Trial</v>
          </cell>
          <cell r="B776" t="str">
            <v>Wand-Wave-D2</v>
          </cell>
          <cell r="C776">
            <v>46245</v>
          </cell>
        </row>
        <row r="777">
          <cell r="A777" t="str">
            <v>Trial</v>
          </cell>
          <cell r="B777" t="str">
            <v>Wand-Wave-D3</v>
          </cell>
          <cell r="C777">
            <v>46245</v>
          </cell>
        </row>
        <row r="778">
          <cell r="A778" t="str">
            <v>Trial</v>
          </cell>
          <cell r="B778" t="str">
            <v>Wand-Wave-D3</v>
          </cell>
          <cell r="C778">
            <v>46245</v>
          </cell>
        </row>
        <row r="779">
          <cell r="A779" t="str">
            <v>Trial</v>
          </cell>
          <cell r="B779" t="str">
            <v>Wand-Wave-D3</v>
          </cell>
          <cell r="C779">
            <v>46245</v>
          </cell>
        </row>
        <row r="780">
          <cell r="A780" t="str">
            <v>Trial</v>
          </cell>
          <cell r="B780" t="str">
            <v>Wand-Wave-D3</v>
          </cell>
          <cell r="C780">
            <v>46245</v>
          </cell>
        </row>
        <row r="781">
          <cell r="A781" t="str">
            <v>Trial</v>
          </cell>
          <cell r="B781" t="str">
            <v>Wand-Wave-D3</v>
          </cell>
          <cell r="C781">
            <v>46245</v>
          </cell>
        </row>
        <row r="782">
          <cell r="A782" t="str">
            <v>Trial</v>
          </cell>
          <cell r="B782" t="str">
            <v>Wand-Wave-D3</v>
          </cell>
          <cell r="C782">
            <v>46245</v>
          </cell>
        </row>
        <row r="783">
          <cell r="A783" t="str">
            <v>Trial</v>
          </cell>
          <cell r="B783" t="str">
            <v>Wand-Wave-D3</v>
          </cell>
          <cell r="C783">
            <v>46245</v>
          </cell>
        </row>
        <row r="784">
          <cell r="A784" t="str">
            <v>Trial</v>
          </cell>
          <cell r="B784" t="str">
            <v>Wand-Wave-D3</v>
          </cell>
          <cell r="C784">
            <v>46245</v>
          </cell>
        </row>
        <row r="785">
          <cell r="A785" t="str">
            <v>Trial</v>
          </cell>
          <cell r="B785" t="str">
            <v>Wand-Wave-D3</v>
          </cell>
          <cell r="C785">
            <v>46245</v>
          </cell>
        </row>
        <row r="786">
          <cell r="A786" t="str">
            <v>Trial</v>
          </cell>
          <cell r="B786" t="str">
            <v>Wand-Wave-D3</v>
          </cell>
          <cell r="C786">
            <v>46245</v>
          </cell>
        </row>
        <row r="787">
          <cell r="A787" t="str">
            <v>Trial</v>
          </cell>
          <cell r="B787" t="str">
            <v>Wand-Wave-D3</v>
          </cell>
          <cell r="C787">
            <v>46245</v>
          </cell>
        </row>
        <row r="788">
          <cell r="A788" t="str">
            <v>Trial</v>
          </cell>
          <cell r="B788" t="str">
            <v>Wand-Wave-D3</v>
          </cell>
          <cell r="C788">
            <v>46245</v>
          </cell>
        </row>
        <row r="789">
          <cell r="A789" t="str">
            <v>Trial</v>
          </cell>
          <cell r="B789" t="str">
            <v>Wand-Wave-D3</v>
          </cell>
          <cell r="C789">
            <v>46245</v>
          </cell>
        </row>
        <row r="790">
          <cell r="A790" t="str">
            <v>Trial</v>
          </cell>
          <cell r="B790" t="str">
            <v>Wand-Wave-D3</v>
          </cell>
          <cell r="C790">
            <v>46245</v>
          </cell>
        </row>
        <row r="791">
          <cell r="A791" t="str">
            <v>Trial</v>
          </cell>
          <cell r="B791" t="str">
            <v>Wand-Wave-D3</v>
          </cell>
          <cell r="C791">
            <v>46245</v>
          </cell>
        </row>
        <row r="792">
          <cell r="A792" t="str">
            <v>Trial</v>
          </cell>
          <cell r="B792" t="str">
            <v>Wand-Wave-D3</v>
          </cell>
          <cell r="C792">
            <v>46245</v>
          </cell>
        </row>
        <row r="793">
          <cell r="A793" t="str">
            <v>Trial</v>
          </cell>
          <cell r="B793" t="str">
            <v>Wand-Wave-D3</v>
          </cell>
          <cell r="C793">
            <v>46245</v>
          </cell>
        </row>
        <row r="794">
          <cell r="A794" t="str">
            <v>Trial</v>
          </cell>
          <cell r="B794" t="str">
            <v>Wand-Wave-D3</v>
          </cell>
          <cell r="C794">
            <v>46245</v>
          </cell>
        </row>
        <row r="795">
          <cell r="A795" t="str">
            <v>Trial</v>
          </cell>
          <cell r="B795" t="str">
            <v>Wand-Wave-D4</v>
          </cell>
          <cell r="C795">
            <v>46246</v>
          </cell>
        </row>
        <row r="796">
          <cell r="A796" t="str">
            <v>Trial</v>
          </cell>
          <cell r="B796" t="str">
            <v>Wand-Wave-D4</v>
          </cell>
          <cell r="C796">
            <v>46246</v>
          </cell>
        </row>
        <row r="797">
          <cell r="A797" t="str">
            <v>Trial</v>
          </cell>
          <cell r="B797" t="str">
            <v>Wand-Wave-D4</v>
          </cell>
          <cell r="C797">
            <v>46246</v>
          </cell>
        </row>
        <row r="798">
          <cell r="A798" t="str">
            <v>Trial</v>
          </cell>
          <cell r="B798" t="str">
            <v>Wand-Wave-D4</v>
          </cell>
          <cell r="C798">
            <v>46246</v>
          </cell>
        </row>
        <row r="799">
          <cell r="A799" t="str">
            <v>Trial</v>
          </cell>
          <cell r="B799" t="str">
            <v>Wand-Wave-D4</v>
          </cell>
          <cell r="C799">
            <v>46246</v>
          </cell>
        </row>
        <row r="800">
          <cell r="A800" t="str">
            <v>Trial</v>
          </cell>
          <cell r="B800" t="str">
            <v>Wand-Wave-D4</v>
          </cell>
          <cell r="C800">
            <v>46246</v>
          </cell>
        </row>
        <row r="801">
          <cell r="A801" t="str">
            <v>Trial</v>
          </cell>
          <cell r="B801" t="str">
            <v>Wand-Wave-D4</v>
          </cell>
          <cell r="C801">
            <v>46246</v>
          </cell>
        </row>
        <row r="802">
          <cell r="A802" t="str">
            <v>Trial</v>
          </cell>
          <cell r="B802" t="str">
            <v>Wand-Wave-D4</v>
          </cell>
          <cell r="C802">
            <v>46246</v>
          </cell>
        </row>
        <row r="803">
          <cell r="A803" t="str">
            <v>Trial</v>
          </cell>
          <cell r="B803" t="str">
            <v>Wand-Wave-D4</v>
          </cell>
          <cell r="C803">
            <v>46246</v>
          </cell>
        </row>
        <row r="804">
          <cell r="A804" t="str">
            <v>Trial</v>
          </cell>
          <cell r="B804" t="str">
            <v>Wand-Wave-D4</v>
          </cell>
          <cell r="C804">
            <v>46246</v>
          </cell>
        </row>
        <row r="805">
          <cell r="A805" t="str">
            <v>Trial</v>
          </cell>
          <cell r="B805" t="str">
            <v>Wand-Wave-D4</v>
          </cell>
          <cell r="C805">
            <v>46246</v>
          </cell>
        </row>
        <row r="806">
          <cell r="A806" t="str">
            <v>Trial</v>
          </cell>
          <cell r="B806" t="str">
            <v>Wand-Wave-D4</v>
          </cell>
          <cell r="C806">
            <v>46246</v>
          </cell>
        </row>
        <row r="807">
          <cell r="A807" t="str">
            <v>Trial</v>
          </cell>
          <cell r="B807" t="str">
            <v>Wand-Wave-D4</v>
          </cell>
          <cell r="C807">
            <v>46246</v>
          </cell>
        </row>
        <row r="808">
          <cell r="A808" t="str">
            <v>Trial</v>
          </cell>
          <cell r="B808" t="str">
            <v>Wand-Wave-D4</v>
          </cell>
          <cell r="C808">
            <v>46246</v>
          </cell>
        </row>
        <row r="809">
          <cell r="A809" t="str">
            <v>Trial</v>
          </cell>
          <cell r="B809" t="str">
            <v>Wand-Wave-D4</v>
          </cell>
          <cell r="C809">
            <v>46246</v>
          </cell>
        </row>
        <row r="810">
          <cell r="A810" t="str">
            <v>Trial</v>
          </cell>
          <cell r="B810" t="str">
            <v>Wand-Wave-D4</v>
          </cell>
          <cell r="C810">
            <v>46246</v>
          </cell>
        </row>
        <row r="811">
          <cell r="A811" t="str">
            <v>Trial</v>
          </cell>
          <cell r="B811" t="str">
            <v>Wand-Wave-D4</v>
          </cell>
          <cell r="C811">
            <v>46246</v>
          </cell>
        </row>
        <row r="812">
          <cell r="A812" t="str">
            <v>Trial</v>
          </cell>
          <cell r="B812" t="str">
            <v>Wand-Wave-D4</v>
          </cell>
          <cell r="C812">
            <v>46245</v>
          </cell>
        </row>
        <row r="813">
          <cell r="A813" t="str">
            <v>Trial</v>
          </cell>
          <cell r="B813" t="str">
            <v>Wand-Wave-E1</v>
          </cell>
          <cell r="C813">
            <v>46245</v>
          </cell>
        </row>
        <row r="814">
          <cell r="A814" t="str">
            <v>Trial</v>
          </cell>
          <cell r="B814" t="str">
            <v>Wand-Wave-E1</v>
          </cell>
          <cell r="C814">
            <v>46245</v>
          </cell>
        </row>
        <row r="815">
          <cell r="A815" t="str">
            <v>Trial</v>
          </cell>
          <cell r="B815" t="str">
            <v>Wand-Wave-E1</v>
          </cell>
          <cell r="C815">
            <v>46245</v>
          </cell>
        </row>
        <row r="816">
          <cell r="A816" t="str">
            <v>Trial</v>
          </cell>
          <cell r="B816" t="str">
            <v>Wand-Wave-E1</v>
          </cell>
          <cell r="C816">
            <v>46245</v>
          </cell>
        </row>
        <row r="817">
          <cell r="A817" t="str">
            <v>Trial</v>
          </cell>
          <cell r="B817" t="str">
            <v>Wand-Wave-E1</v>
          </cell>
          <cell r="C817">
            <v>46245</v>
          </cell>
        </row>
        <row r="818">
          <cell r="A818" t="str">
            <v>Trial</v>
          </cell>
          <cell r="B818" t="str">
            <v>Wand-Wave-E1</v>
          </cell>
          <cell r="C818">
            <v>46245</v>
          </cell>
        </row>
        <row r="819">
          <cell r="A819" t="str">
            <v>Trial</v>
          </cell>
          <cell r="B819" t="str">
            <v>Wand-Wave-E1</v>
          </cell>
          <cell r="C819">
            <v>46245</v>
          </cell>
        </row>
        <row r="820">
          <cell r="A820" t="str">
            <v>Trial</v>
          </cell>
          <cell r="B820" t="str">
            <v>Wand-Wave-E1</v>
          </cell>
          <cell r="C820">
            <v>46245</v>
          </cell>
        </row>
        <row r="821">
          <cell r="A821" t="str">
            <v>Trial</v>
          </cell>
          <cell r="B821" t="str">
            <v>Wand-Wave-E1</v>
          </cell>
          <cell r="C821">
            <v>46245</v>
          </cell>
        </row>
        <row r="822">
          <cell r="A822" t="str">
            <v>Trial</v>
          </cell>
          <cell r="B822" t="str">
            <v>Wand-Wave-E1</v>
          </cell>
          <cell r="C822">
            <v>46245</v>
          </cell>
        </row>
        <row r="823">
          <cell r="A823" t="str">
            <v>Trial</v>
          </cell>
          <cell r="B823" t="str">
            <v>Wand-Wave-E1</v>
          </cell>
          <cell r="C823">
            <v>46245</v>
          </cell>
        </row>
        <row r="824">
          <cell r="A824" t="str">
            <v>Trial</v>
          </cell>
          <cell r="B824" t="str">
            <v>Wand-Wave-E1</v>
          </cell>
          <cell r="C824">
            <v>46245</v>
          </cell>
        </row>
        <row r="825">
          <cell r="A825" t="str">
            <v>Trial</v>
          </cell>
          <cell r="B825" t="str">
            <v>Wand-Wave-E1</v>
          </cell>
          <cell r="C825">
            <v>46245</v>
          </cell>
        </row>
        <row r="826">
          <cell r="A826" t="str">
            <v>Trial</v>
          </cell>
          <cell r="B826" t="str">
            <v>Wand-Wave-E1</v>
          </cell>
          <cell r="C826">
            <v>46245</v>
          </cell>
        </row>
        <row r="827">
          <cell r="A827" t="str">
            <v>Trial</v>
          </cell>
          <cell r="B827" t="str">
            <v>Wand-Wave-E1</v>
          </cell>
          <cell r="C827">
            <v>46245</v>
          </cell>
        </row>
        <row r="828">
          <cell r="A828" t="str">
            <v>Trial</v>
          </cell>
          <cell r="B828" t="str">
            <v>Wand-Wave-E1</v>
          </cell>
          <cell r="C828">
            <v>46245</v>
          </cell>
        </row>
        <row r="829">
          <cell r="A829" t="str">
            <v>Trial</v>
          </cell>
          <cell r="B829" t="str">
            <v>Wand-Wave-E1</v>
          </cell>
          <cell r="C829">
            <v>46245</v>
          </cell>
        </row>
        <row r="830">
          <cell r="A830" t="str">
            <v>Trial</v>
          </cell>
          <cell r="B830" t="str">
            <v>Wand-Wave-E1</v>
          </cell>
          <cell r="C830">
            <v>46245</v>
          </cell>
        </row>
        <row r="831">
          <cell r="A831" t="str">
            <v>Trial</v>
          </cell>
          <cell r="B831" t="str">
            <v>Wand-Wave-E2</v>
          </cell>
          <cell r="C831">
            <v>46245</v>
          </cell>
        </row>
        <row r="832">
          <cell r="A832" t="str">
            <v>Trial</v>
          </cell>
          <cell r="B832" t="str">
            <v>Wand-Wave-E2</v>
          </cell>
          <cell r="C832">
            <v>46245</v>
          </cell>
        </row>
        <row r="833">
          <cell r="A833" t="str">
            <v>Trial</v>
          </cell>
          <cell r="B833" t="str">
            <v>Wand-Wave-E2</v>
          </cell>
          <cell r="C833">
            <v>46245</v>
          </cell>
        </row>
        <row r="834">
          <cell r="A834" t="str">
            <v>Trial</v>
          </cell>
          <cell r="B834" t="str">
            <v>Wand-Wave-E2</v>
          </cell>
          <cell r="C834">
            <v>46245</v>
          </cell>
        </row>
        <row r="835">
          <cell r="A835" t="str">
            <v>Trial</v>
          </cell>
          <cell r="B835" t="str">
            <v>Wand-Wave-E2</v>
          </cell>
          <cell r="C835">
            <v>46245</v>
          </cell>
        </row>
        <row r="836">
          <cell r="A836" t="str">
            <v>Trial</v>
          </cell>
          <cell r="B836" t="str">
            <v>Wand-Wave-E2</v>
          </cell>
          <cell r="C836">
            <v>46245</v>
          </cell>
        </row>
        <row r="837">
          <cell r="A837" t="str">
            <v>Trial</v>
          </cell>
          <cell r="B837" t="str">
            <v>Wand-Wave-E2</v>
          </cell>
          <cell r="C837">
            <v>46245</v>
          </cell>
        </row>
        <row r="838">
          <cell r="A838" t="str">
            <v>Trial</v>
          </cell>
          <cell r="B838" t="str">
            <v>Wand-Wave-E2</v>
          </cell>
          <cell r="C838">
            <v>46245</v>
          </cell>
        </row>
        <row r="839">
          <cell r="A839" t="str">
            <v>Trial</v>
          </cell>
          <cell r="B839" t="str">
            <v>Wand-Wave-E2</v>
          </cell>
          <cell r="C839">
            <v>46245</v>
          </cell>
        </row>
        <row r="840">
          <cell r="A840" t="str">
            <v>Trial</v>
          </cell>
          <cell r="B840" t="str">
            <v>Wand-Wave-E2</v>
          </cell>
          <cell r="C840">
            <v>46245</v>
          </cell>
        </row>
        <row r="841">
          <cell r="A841" t="str">
            <v>Trial</v>
          </cell>
          <cell r="B841" t="str">
            <v>Wand-Wave-E2</v>
          </cell>
          <cell r="C841">
            <v>46245</v>
          </cell>
        </row>
        <row r="842">
          <cell r="A842" t="str">
            <v>Trial</v>
          </cell>
          <cell r="B842" t="str">
            <v>Wand-Wave-E2</v>
          </cell>
          <cell r="C842">
            <v>46245</v>
          </cell>
        </row>
        <row r="843">
          <cell r="A843" t="str">
            <v>Trial</v>
          </cell>
          <cell r="B843" t="str">
            <v>Wand-Wave-E2</v>
          </cell>
          <cell r="C843">
            <v>46245</v>
          </cell>
        </row>
        <row r="844">
          <cell r="A844" t="str">
            <v>Trial</v>
          </cell>
          <cell r="B844" t="str">
            <v>Wand-Wave-E2</v>
          </cell>
          <cell r="C844">
            <v>46245</v>
          </cell>
        </row>
        <row r="845">
          <cell r="A845" t="str">
            <v>Trial</v>
          </cell>
          <cell r="B845" t="str">
            <v>Wand-Wave-E2</v>
          </cell>
          <cell r="C845">
            <v>46245</v>
          </cell>
        </row>
        <row r="846">
          <cell r="A846" t="str">
            <v>Trial</v>
          </cell>
          <cell r="B846" t="str">
            <v>Wand-Wave-E2</v>
          </cell>
          <cell r="C846">
            <v>46245</v>
          </cell>
        </row>
        <row r="847">
          <cell r="A847" t="str">
            <v>Trial</v>
          </cell>
          <cell r="B847" t="str">
            <v>Wand-Wave-E2</v>
          </cell>
          <cell r="C847">
            <v>46245</v>
          </cell>
        </row>
        <row r="848">
          <cell r="A848" t="str">
            <v>Trial</v>
          </cell>
          <cell r="B848" t="str">
            <v>Wand-Wave-E2</v>
          </cell>
          <cell r="C848">
            <v>46245</v>
          </cell>
        </row>
        <row r="849">
          <cell r="A849" t="str">
            <v>Trial</v>
          </cell>
          <cell r="B849" t="str">
            <v>Wand-Wave-E3</v>
          </cell>
          <cell r="C849">
            <v>46245</v>
          </cell>
        </row>
        <row r="850">
          <cell r="A850" t="str">
            <v>Trial</v>
          </cell>
          <cell r="B850" t="str">
            <v>Wand-Wave-E3</v>
          </cell>
          <cell r="C850">
            <v>46245</v>
          </cell>
        </row>
        <row r="851">
          <cell r="A851" t="str">
            <v>Trial</v>
          </cell>
          <cell r="B851" t="str">
            <v>Wand-Wave-E3</v>
          </cell>
          <cell r="C851">
            <v>46245</v>
          </cell>
        </row>
        <row r="852">
          <cell r="A852" t="str">
            <v>Trial</v>
          </cell>
          <cell r="B852" t="str">
            <v>Wand-Wave-E3</v>
          </cell>
          <cell r="C852">
            <v>46245</v>
          </cell>
        </row>
        <row r="853">
          <cell r="A853" t="str">
            <v>Trial</v>
          </cell>
          <cell r="B853" t="str">
            <v>Wand-Wave-E3</v>
          </cell>
          <cell r="C853">
            <v>46245</v>
          </cell>
        </row>
        <row r="854">
          <cell r="A854" t="str">
            <v>Trial</v>
          </cell>
          <cell r="B854" t="str">
            <v>Wand-Wave-E3</v>
          </cell>
          <cell r="C854">
            <v>46245</v>
          </cell>
        </row>
        <row r="855">
          <cell r="A855" t="str">
            <v>Trial</v>
          </cell>
          <cell r="B855" t="str">
            <v>Wand-Wave-E3</v>
          </cell>
          <cell r="C855">
            <v>46245</v>
          </cell>
        </row>
        <row r="856">
          <cell r="A856" t="str">
            <v>Trial</v>
          </cell>
          <cell r="B856" t="str">
            <v>Wand-Wave-E3</v>
          </cell>
          <cell r="C856">
            <v>46245</v>
          </cell>
        </row>
        <row r="857">
          <cell r="A857" t="str">
            <v>Trial</v>
          </cell>
          <cell r="B857" t="str">
            <v>Wand-Wave-E3</v>
          </cell>
          <cell r="C857">
            <v>46245</v>
          </cell>
        </row>
        <row r="858">
          <cell r="A858" t="str">
            <v>Trial</v>
          </cell>
          <cell r="B858" t="str">
            <v>Wand-Wave-E3</v>
          </cell>
          <cell r="C858">
            <v>46245</v>
          </cell>
        </row>
        <row r="859">
          <cell r="A859" t="str">
            <v>Trial</v>
          </cell>
          <cell r="B859" t="str">
            <v>Wand-Wave-E3</v>
          </cell>
          <cell r="C859">
            <v>46245</v>
          </cell>
        </row>
        <row r="860">
          <cell r="A860" t="str">
            <v>Trial</v>
          </cell>
          <cell r="B860" t="str">
            <v>Wand-Wave-E3</v>
          </cell>
          <cell r="C860">
            <v>46245</v>
          </cell>
        </row>
        <row r="861">
          <cell r="A861" t="str">
            <v>Trial</v>
          </cell>
          <cell r="B861" t="str">
            <v>Wand-Wave-E3</v>
          </cell>
          <cell r="C861">
            <v>46245</v>
          </cell>
        </row>
        <row r="862">
          <cell r="A862" t="str">
            <v>Trial</v>
          </cell>
          <cell r="B862" t="str">
            <v>Wand-Wave-E3</v>
          </cell>
          <cell r="C862">
            <v>46245</v>
          </cell>
        </row>
        <row r="863">
          <cell r="A863" t="str">
            <v>Trial</v>
          </cell>
          <cell r="B863" t="str">
            <v>Wand-Wave-E3</v>
          </cell>
          <cell r="C863">
            <v>46245</v>
          </cell>
        </row>
        <row r="864">
          <cell r="A864" t="str">
            <v>Trial</v>
          </cell>
          <cell r="B864" t="str">
            <v>Wand-Wave-E3</v>
          </cell>
          <cell r="C864">
            <v>46245</v>
          </cell>
        </row>
        <row r="865">
          <cell r="A865" t="str">
            <v>Trial</v>
          </cell>
          <cell r="B865" t="str">
            <v>Wand-Wave-E3</v>
          </cell>
          <cell r="C865">
            <v>46245</v>
          </cell>
        </row>
        <row r="866">
          <cell r="A866" t="str">
            <v>Trial</v>
          </cell>
          <cell r="B866" t="str">
            <v>Wand-Wave-E3</v>
          </cell>
          <cell r="C866">
            <v>46245</v>
          </cell>
        </row>
        <row r="867">
          <cell r="A867" t="str">
            <v>Trial</v>
          </cell>
          <cell r="B867" t="str">
            <v>Wand-Wave-E4</v>
          </cell>
          <cell r="C867">
            <v>46246</v>
          </cell>
        </row>
        <row r="868">
          <cell r="A868" t="str">
            <v>Trial</v>
          </cell>
          <cell r="B868" t="str">
            <v>Wand-Wave-E4</v>
          </cell>
          <cell r="C868">
            <v>46246</v>
          </cell>
        </row>
        <row r="869">
          <cell r="A869" t="str">
            <v>Trial</v>
          </cell>
          <cell r="B869" t="str">
            <v>Wand-Wave-E4</v>
          </cell>
          <cell r="C869">
            <v>46246</v>
          </cell>
        </row>
        <row r="870">
          <cell r="A870" t="str">
            <v>Trial</v>
          </cell>
          <cell r="B870" t="str">
            <v>Wand-Wave-E4</v>
          </cell>
          <cell r="C870">
            <v>46246</v>
          </cell>
        </row>
        <row r="871">
          <cell r="A871" t="str">
            <v>Trial</v>
          </cell>
          <cell r="B871" t="str">
            <v>Wand-Wave-E4</v>
          </cell>
          <cell r="C871">
            <v>46246</v>
          </cell>
        </row>
        <row r="872">
          <cell r="A872" t="str">
            <v>Trial</v>
          </cell>
          <cell r="B872" t="str">
            <v>Wand-Wave-E4</v>
          </cell>
          <cell r="C872">
            <v>46246</v>
          </cell>
        </row>
        <row r="873">
          <cell r="A873" t="str">
            <v>Trial</v>
          </cell>
          <cell r="B873" t="str">
            <v>Wand-Wave-E4</v>
          </cell>
          <cell r="C873">
            <v>46246</v>
          </cell>
        </row>
        <row r="874">
          <cell r="A874" t="str">
            <v>Trial</v>
          </cell>
          <cell r="B874" t="str">
            <v>Wand-Wave-E4</v>
          </cell>
          <cell r="C874">
            <v>46246</v>
          </cell>
        </row>
        <row r="875">
          <cell r="A875" t="str">
            <v>Trial</v>
          </cell>
          <cell r="B875" t="str">
            <v>Wand-Wave-E4</v>
          </cell>
          <cell r="C875">
            <v>46246</v>
          </cell>
        </row>
        <row r="876">
          <cell r="A876" t="str">
            <v>Trial</v>
          </cell>
          <cell r="B876" t="str">
            <v>Wand-Wave-E4</v>
          </cell>
          <cell r="C876">
            <v>46246</v>
          </cell>
        </row>
        <row r="877">
          <cell r="A877" t="str">
            <v>Trial</v>
          </cell>
          <cell r="B877" t="str">
            <v>Wand-Wave-E4</v>
          </cell>
          <cell r="C877">
            <v>46246</v>
          </cell>
        </row>
        <row r="878">
          <cell r="A878" t="str">
            <v>Trial</v>
          </cell>
          <cell r="B878" t="str">
            <v>Wand-Wave-E4</v>
          </cell>
          <cell r="C878">
            <v>46246</v>
          </cell>
        </row>
        <row r="879">
          <cell r="A879" t="str">
            <v>Trial</v>
          </cell>
          <cell r="B879" t="str">
            <v>Wand-Wave-E4</v>
          </cell>
          <cell r="C879">
            <v>46246</v>
          </cell>
        </row>
        <row r="880">
          <cell r="A880" t="str">
            <v>Trial</v>
          </cell>
          <cell r="B880" t="str">
            <v>Wand-Wave-E4</v>
          </cell>
          <cell r="C880">
            <v>46246</v>
          </cell>
        </row>
        <row r="881">
          <cell r="A881" t="str">
            <v>Trial</v>
          </cell>
          <cell r="B881" t="str">
            <v>Wand-Wave-E4</v>
          </cell>
          <cell r="C881">
            <v>46246</v>
          </cell>
        </row>
        <row r="882">
          <cell r="A882" t="str">
            <v>Trial</v>
          </cell>
          <cell r="B882" t="str">
            <v>Wand-Wave-E4</v>
          </cell>
          <cell r="C882">
            <v>46246</v>
          </cell>
        </row>
        <row r="883">
          <cell r="A883" t="str">
            <v>Trial</v>
          </cell>
          <cell r="B883" t="str">
            <v>Wand-Wave-E4</v>
          </cell>
          <cell r="C883">
            <v>46246</v>
          </cell>
        </row>
        <row r="884">
          <cell r="A884" t="str">
            <v>Trial</v>
          </cell>
          <cell r="B884" t="str">
            <v>Wand-Wave-E4</v>
          </cell>
          <cell r="C884">
            <v>46245</v>
          </cell>
        </row>
        <row r="885">
          <cell r="A885" t="str">
            <v>Trial</v>
          </cell>
          <cell r="B885" t="str">
            <v>Wand-Wave-F1</v>
          </cell>
          <cell r="C885">
            <v>46246</v>
          </cell>
        </row>
        <row r="886">
          <cell r="A886" t="str">
            <v>Trial</v>
          </cell>
          <cell r="B886" t="str">
            <v>Wand-Wave-F1</v>
          </cell>
          <cell r="C886">
            <v>46246</v>
          </cell>
        </row>
        <row r="887">
          <cell r="A887" t="str">
            <v>Trial</v>
          </cell>
          <cell r="B887" t="str">
            <v>Wand-Wave-F1</v>
          </cell>
          <cell r="C887">
            <v>46246</v>
          </cell>
        </row>
        <row r="888">
          <cell r="A888" t="str">
            <v>Trial</v>
          </cell>
          <cell r="B888" t="str">
            <v>Wand-Wave-F1</v>
          </cell>
          <cell r="C888">
            <v>46246</v>
          </cell>
        </row>
        <row r="889">
          <cell r="A889" t="str">
            <v>Trial</v>
          </cell>
          <cell r="B889" t="str">
            <v>Wand-Wave-F1</v>
          </cell>
          <cell r="C889">
            <v>46246</v>
          </cell>
        </row>
        <row r="890">
          <cell r="A890" t="str">
            <v>Trial</v>
          </cell>
          <cell r="B890" t="str">
            <v>Wand-Wave-F1</v>
          </cell>
          <cell r="C890">
            <v>46246</v>
          </cell>
        </row>
        <row r="891">
          <cell r="A891" t="str">
            <v>Trial</v>
          </cell>
          <cell r="B891" t="str">
            <v>Wand-Wave-F1</v>
          </cell>
          <cell r="C891">
            <v>46246</v>
          </cell>
        </row>
        <row r="892">
          <cell r="A892" t="str">
            <v>Trial</v>
          </cell>
          <cell r="B892" t="str">
            <v>Wand-Wave-F1</v>
          </cell>
          <cell r="C892">
            <v>46246</v>
          </cell>
        </row>
        <row r="893">
          <cell r="A893" t="str">
            <v>Trial</v>
          </cell>
          <cell r="B893" t="str">
            <v>Wand-Wave-F1</v>
          </cell>
          <cell r="C893">
            <v>46246</v>
          </cell>
        </row>
        <row r="894">
          <cell r="A894" t="str">
            <v>Trial</v>
          </cell>
          <cell r="B894" t="str">
            <v>Wand-Wave-F1</v>
          </cell>
          <cell r="C894">
            <v>46246</v>
          </cell>
        </row>
        <row r="895">
          <cell r="A895" t="str">
            <v>Trial</v>
          </cell>
          <cell r="B895" t="str">
            <v>Wand-Wave-F1</v>
          </cell>
          <cell r="C895">
            <v>46246</v>
          </cell>
        </row>
        <row r="896">
          <cell r="A896" t="str">
            <v>Trial</v>
          </cell>
          <cell r="B896" t="str">
            <v>Wand-Wave-F1</v>
          </cell>
          <cell r="C896">
            <v>46246</v>
          </cell>
        </row>
        <row r="897">
          <cell r="A897" t="str">
            <v>Trial</v>
          </cell>
          <cell r="B897" t="str">
            <v>Wand-Wave-F1</v>
          </cell>
          <cell r="C897">
            <v>46246</v>
          </cell>
        </row>
        <row r="898">
          <cell r="A898" t="str">
            <v>Trial</v>
          </cell>
          <cell r="B898" t="str">
            <v>Wand-Wave-F1</v>
          </cell>
          <cell r="C898">
            <v>46246</v>
          </cell>
        </row>
        <row r="899">
          <cell r="A899" t="str">
            <v>Trial</v>
          </cell>
          <cell r="B899" t="str">
            <v>Wand-Wave-F1</v>
          </cell>
          <cell r="C899">
            <v>46246</v>
          </cell>
        </row>
        <row r="900">
          <cell r="A900" t="str">
            <v>Trial</v>
          </cell>
          <cell r="B900" t="str">
            <v>Wand-Wave-F1</v>
          </cell>
          <cell r="C900">
            <v>46246</v>
          </cell>
        </row>
        <row r="901">
          <cell r="A901" t="str">
            <v>Trial</v>
          </cell>
          <cell r="B901" t="str">
            <v>Wand-Wave-F1</v>
          </cell>
          <cell r="C901">
            <v>46246</v>
          </cell>
        </row>
        <row r="902">
          <cell r="A902" t="str">
            <v>Trial</v>
          </cell>
          <cell r="B902" t="str">
            <v>Wand-Wave-F1</v>
          </cell>
          <cell r="C902">
            <v>46246</v>
          </cell>
        </row>
        <row r="903">
          <cell r="A903" t="str">
            <v>Trial</v>
          </cell>
          <cell r="B903" t="str">
            <v>Wand-Wave-F2</v>
          </cell>
          <cell r="C903">
            <v>46246</v>
          </cell>
        </row>
        <row r="904">
          <cell r="A904" t="str">
            <v>Trial</v>
          </cell>
          <cell r="B904" t="str">
            <v>Wand-Wave-F2</v>
          </cell>
          <cell r="C904">
            <v>46246</v>
          </cell>
        </row>
        <row r="905">
          <cell r="A905" t="str">
            <v>Trial</v>
          </cell>
          <cell r="B905" t="str">
            <v>Wand-Wave-F2</v>
          </cell>
          <cell r="C905">
            <v>46246</v>
          </cell>
        </row>
        <row r="906">
          <cell r="A906" t="str">
            <v>Trial</v>
          </cell>
          <cell r="B906" t="str">
            <v>Wand-Wave-F2</v>
          </cell>
          <cell r="C906">
            <v>46246</v>
          </cell>
        </row>
        <row r="907">
          <cell r="A907" t="str">
            <v>Trial</v>
          </cell>
          <cell r="B907" t="str">
            <v>Wand-Wave-F2</v>
          </cell>
          <cell r="C907">
            <v>46246</v>
          </cell>
        </row>
        <row r="908">
          <cell r="A908" t="str">
            <v>Trial</v>
          </cell>
          <cell r="B908" t="str">
            <v>Wand-Wave-F2</v>
          </cell>
          <cell r="C908">
            <v>46246</v>
          </cell>
        </row>
        <row r="909">
          <cell r="A909" t="str">
            <v>Trial</v>
          </cell>
          <cell r="B909" t="str">
            <v>Wand-Wave-F2</v>
          </cell>
          <cell r="C909">
            <v>46246</v>
          </cell>
        </row>
        <row r="910">
          <cell r="A910" t="str">
            <v>Trial</v>
          </cell>
          <cell r="B910" t="str">
            <v>Wand-Wave-F2</v>
          </cell>
          <cell r="C910">
            <v>46246</v>
          </cell>
        </row>
        <row r="911">
          <cell r="A911" t="str">
            <v>Trial</v>
          </cell>
          <cell r="B911" t="str">
            <v>Wand-Wave-F2</v>
          </cell>
          <cell r="C911">
            <v>46246</v>
          </cell>
        </row>
        <row r="912">
          <cell r="A912" t="str">
            <v>Trial</v>
          </cell>
          <cell r="B912" t="str">
            <v>Wand-Wave-F2</v>
          </cell>
          <cell r="C912">
            <v>46246</v>
          </cell>
        </row>
        <row r="913">
          <cell r="A913" t="str">
            <v>Trial</v>
          </cell>
          <cell r="B913" t="str">
            <v>Wand-Wave-F2</v>
          </cell>
          <cell r="C913">
            <v>46246</v>
          </cell>
        </row>
        <row r="914">
          <cell r="A914" t="str">
            <v>Trial</v>
          </cell>
          <cell r="B914" t="str">
            <v>Wand-Wave-F2</v>
          </cell>
          <cell r="C914">
            <v>46246</v>
          </cell>
        </row>
        <row r="915">
          <cell r="A915" t="str">
            <v>Trial</v>
          </cell>
          <cell r="B915" t="str">
            <v>Wand-Wave-F2</v>
          </cell>
          <cell r="C915">
            <v>46246</v>
          </cell>
        </row>
        <row r="916">
          <cell r="A916" t="str">
            <v>Trial</v>
          </cell>
          <cell r="B916" t="str">
            <v>Wand-Wave-F2</v>
          </cell>
          <cell r="C916">
            <v>46246</v>
          </cell>
        </row>
        <row r="917">
          <cell r="A917" t="str">
            <v>Trial</v>
          </cell>
          <cell r="B917" t="str">
            <v>Wand-Wave-F2</v>
          </cell>
          <cell r="C917">
            <v>46246</v>
          </cell>
        </row>
        <row r="918">
          <cell r="A918" t="str">
            <v>Trial</v>
          </cell>
          <cell r="B918" t="str">
            <v>Wand-Wave-F2</v>
          </cell>
          <cell r="C918">
            <v>46246</v>
          </cell>
        </row>
        <row r="919">
          <cell r="A919" t="str">
            <v>Trial</v>
          </cell>
          <cell r="B919" t="str">
            <v>Wand-Wave-F2</v>
          </cell>
          <cell r="C919">
            <v>46246</v>
          </cell>
        </row>
        <row r="920">
          <cell r="A920" t="str">
            <v>Trial</v>
          </cell>
          <cell r="B920" t="str">
            <v>Wand-Wave-F2</v>
          </cell>
          <cell r="C920">
            <v>46246</v>
          </cell>
        </row>
        <row r="921">
          <cell r="A921" t="str">
            <v>Trial</v>
          </cell>
          <cell r="B921" t="str">
            <v>Wand-Wave-F3</v>
          </cell>
          <cell r="C921">
            <v>46246</v>
          </cell>
        </row>
        <row r="922">
          <cell r="A922" t="str">
            <v>Trial</v>
          </cell>
          <cell r="B922" t="str">
            <v>Wand-Wave-F3</v>
          </cell>
          <cell r="C922">
            <v>46246</v>
          </cell>
        </row>
        <row r="923">
          <cell r="A923" t="str">
            <v>Trial</v>
          </cell>
          <cell r="B923" t="str">
            <v>Wand-Wave-F3</v>
          </cell>
          <cell r="C923">
            <v>46246</v>
          </cell>
        </row>
        <row r="924">
          <cell r="A924" t="str">
            <v>Trial</v>
          </cell>
          <cell r="B924" t="str">
            <v>Wand-Wave-F3</v>
          </cell>
          <cell r="C924">
            <v>46246</v>
          </cell>
        </row>
        <row r="925">
          <cell r="A925" t="str">
            <v>Trial</v>
          </cell>
          <cell r="B925" t="str">
            <v>Wand-Wave-F3</v>
          </cell>
          <cell r="C925">
            <v>46246</v>
          </cell>
        </row>
        <row r="926">
          <cell r="A926" t="str">
            <v>Trial</v>
          </cell>
          <cell r="B926" t="str">
            <v>Wand-Wave-F3</v>
          </cell>
          <cell r="C926">
            <v>46246</v>
          </cell>
        </row>
        <row r="927">
          <cell r="A927" t="str">
            <v>Trial</v>
          </cell>
          <cell r="B927" t="str">
            <v>Wand-Wave-F3</v>
          </cell>
          <cell r="C927">
            <v>46246</v>
          </cell>
        </row>
        <row r="928">
          <cell r="A928" t="str">
            <v>Trial</v>
          </cell>
          <cell r="B928" t="str">
            <v>Wand-Wave-F3</v>
          </cell>
          <cell r="C928">
            <v>46246</v>
          </cell>
        </row>
        <row r="929">
          <cell r="A929" t="str">
            <v>Trial</v>
          </cell>
          <cell r="B929" t="str">
            <v>Wand-Wave-F3</v>
          </cell>
          <cell r="C929">
            <v>46246</v>
          </cell>
        </row>
        <row r="930">
          <cell r="A930" t="str">
            <v>Trial</v>
          </cell>
          <cell r="B930" t="str">
            <v>Wand-Wave-F3</v>
          </cell>
          <cell r="C930">
            <v>46246</v>
          </cell>
        </row>
        <row r="931">
          <cell r="A931" t="str">
            <v>Trial</v>
          </cell>
          <cell r="B931" t="str">
            <v>Wand-Wave-F3</v>
          </cell>
          <cell r="C931">
            <v>46246</v>
          </cell>
        </row>
        <row r="932">
          <cell r="A932" t="str">
            <v>Trial</v>
          </cell>
          <cell r="B932" t="str">
            <v>Wand-Wave-F3</v>
          </cell>
          <cell r="C932">
            <v>46246</v>
          </cell>
        </row>
        <row r="933">
          <cell r="A933" t="str">
            <v>Trial</v>
          </cell>
          <cell r="B933" t="str">
            <v>Wand-Wave-F3</v>
          </cell>
          <cell r="C933">
            <v>46246</v>
          </cell>
        </row>
        <row r="934">
          <cell r="A934" t="str">
            <v>Trial</v>
          </cell>
          <cell r="B934" t="str">
            <v>Wand-Wave-F3</v>
          </cell>
          <cell r="C934">
            <v>46246</v>
          </cell>
        </row>
        <row r="935">
          <cell r="A935" t="str">
            <v>Trial</v>
          </cell>
          <cell r="B935" t="str">
            <v>Wand-Wave-F3</v>
          </cell>
          <cell r="C935">
            <v>46246</v>
          </cell>
        </row>
        <row r="936">
          <cell r="A936" t="str">
            <v>Trial</v>
          </cell>
          <cell r="B936" t="str">
            <v>Wand-Wave-F3</v>
          </cell>
          <cell r="C936">
            <v>46246</v>
          </cell>
        </row>
        <row r="937">
          <cell r="A937" t="str">
            <v>Trial</v>
          </cell>
          <cell r="B937" t="str">
            <v>Wand-Wave-F3</v>
          </cell>
          <cell r="C937">
            <v>46246</v>
          </cell>
        </row>
        <row r="938">
          <cell r="A938" t="str">
            <v>Trial</v>
          </cell>
          <cell r="B938" t="str">
            <v>Wand-Wave-F3</v>
          </cell>
          <cell r="C938">
            <v>46246</v>
          </cell>
        </row>
        <row r="939">
          <cell r="A939" t="str">
            <v>Trial</v>
          </cell>
          <cell r="B939" t="str">
            <v>Wand-Wave-F4</v>
          </cell>
          <cell r="C939">
            <v>46246</v>
          </cell>
        </row>
        <row r="940">
          <cell r="A940" t="str">
            <v>Trial</v>
          </cell>
          <cell r="B940" t="str">
            <v>Wand-Wave-F4</v>
          </cell>
          <cell r="C940">
            <v>46246</v>
          </cell>
        </row>
        <row r="941">
          <cell r="A941" t="str">
            <v>Trial</v>
          </cell>
          <cell r="B941" t="str">
            <v>Wand-Wave-F4</v>
          </cell>
          <cell r="C941">
            <v>46246</v>
          </cell>
        </row>
        <row r="942">
          <cell r="A942" t="str">
            <v>Trial</v>
          </cell>
          <cell r="B942" t="str">
            <v>Wand-Wave-F4</v>
          </cell>
          <cell r="C942">
            <v>46246</v>
          </cell>
        </row>
        <row r="943">
          <cell r="A943" t="str">
            <v>Trial</v>
          </cell>
          <cell r="B943" t="str">
            <v>Wand-Wave-F4</v>
          </cell>
          <cell r="C943">
            <v>46246</v>
          </cell>
        </row>
        <row r="944">
          <cell r="A944" t="str">
            <v>Trial</v>
          </cell>
          <cell r="B944" t="str">
            <v>Wand-Wave-F4</v>
          </cell>
          <cell r="C944">
            <v>46246</v>
          </cell>
        </row>
        <row r="945">
          <cell r="A945" t="str">
            <v>Trial</v>
          </cell>
          <cell r="B945" t="str">
            <v>Wand-Wave-F4</v>
          </cell>
          <cell r="C945">
            <v>46246</v>
          </cell>
        </row>
        <row r="946">
          <cell r="A946" t="str">
            <v>Trial</v>
          </cell>
          <cell r="B946" t="str">
            <v>Wand-Wave-F4</v>
          </cell>
          <cell r="C946">
            <v>46246</v>
          </cell>
        </row>
        <row r="947">
          <cell r="A947" t="str">
            <v>Trial</v>
          </cell>
          <cell r="B947" t="str">
            <v>Wand-Wave-F4</v>
          </cell>
          <cell r="C947">
            <v>46246</v>
          </cell>
        </row>
        <row r="948">
          <cell r="A948" t="str">
            <v>Trial</v>
          </cell>
          <cell r="B948" t="str">
            <v>Wand-Wave-F4</v>
          </cell>
          <cell r="C948">
            <v>46246</v>
          </cell>
        </row>
        <row r="949">
          <cell r="A949" t="str">
            <v>Trial</v>
          </cell>
          <cell r="B949" t="str">
            <v>Wand-Wave-F4</v>
          </cell>
          <cell r="C949">
            <v>46246</v>
          </cell>
        </row>
        <row r="950">
          <cell r="A950" t="str">
            <v>Trial</v>
          </cell>
          <cell r="B950" t="str">
            <v>Wand-Wave-F4</v>
          </cell>
          <cell r="C950">
            <v>46246</v>
          </cell>
        </row>
        <row r="951">
          <cell r="A951" t="str">
            <v>Trial</v>
          </cell>
          <cell r="B951" t="str">
            <v>Wand-Wave-F4</v>
          </cell>
          <cell r="C951">
            <v>46246</v>
          </cell>
        </row>
        <row r="952">
          <cell r="A952" t="str">
            <v>Trial</v>
          </cell>
          <cell r="B952" t="str">
            <v>Wand-Wave-F4</v>
          </cell>
          <cell r="C952">
            <v>46246</v>
          </cell>
        </row>
        <row r="953">
          <cell r="A953" t="str">
            <v>Trial</v>
          </cell>
          <cell r="B953" t="str">
            <v>Wand-Wave-F4</v>
          </cell>
          <cell r="C953">
            <v>46246</v>
          </cell>
        </row>
        <row r="954">
          <cell r="A954" t="str">
            <v>Trial</v>
          </cell>
          <cell r="B954" t="str">
            <v>Wand-Wave-F4</v>
          </cell>
          <cell r="C954">
            <v>46246</v>
          </cell>
        </row>
        <row r="955">
          <cell r="A955" t="str">
            <v>Trial</v>
          </cell>
          <cell r="B955" t="str">
            <v>Wand-Wave-F4</v>
          </cell>
          <cell r="C955">
            <v>46246</v>
          </cell>
        </row>
        <row r="956">
          <cell r="A956" t="str">
            <v>Trial</v>
          </cell>
          <cell r="B956" t="str">
            <v>Wand-Wave-F4</v>
          </cell>
          <cell r="C956">
            <v>46246</v>
          </cell>
        </row>
        <row r="957">
          <cell r="A957" t="str">
            <v>Trial</v>
          </cell>
          <cell r="B957" t="str">
            <v>Wand-Wave-G1</v>
          </cell>
          <cell r="C957">
            <v>46246</v>
          </cell>
        </row>
        <row r="958">
          <cell r="A958" t="str">
            <v>Trial</v>
          </cell>
          <cell r="B958" t="str">
            <v>Wand-Wave-G1</v>
          </cell>
          <cell r="C958">
            <v>46246</v>
          </cell>
        </row>
        <row r="959">
          <cell r="A959" t="str">
            <v>Trial</v>
          </cell>
          <cell r="B959" t="str">
            <v>Wand-Wave-G1</v>
          </cell>
          <cell r="C959">
            <v>46246</v>
          </cell>
        </row>
        <row r="960">
          <cell r="A960" t="str">
            <v>Trial</v>
          </cell>
          <cell r="B960" t="str">
            <v>Wand-Wave-G1</v>
          </cell>
          <cell r="C960">
            <v>46246</v>
          </cell>
        </row>
        <row r="961">
          <cell r="A961" t="str">
            <v>Trial</v>
          </cell>
          <cell r="B961" t="str">
            <v>Wand-Wave-G1</v>
          </cell>
          <cell r="C961">
            <v>46246</v>
          </cell>
        </row>
        <row r="962">
          <cell r="A962" t="str">
            <v>Trial</v>
          </cell>
          <cell r="B962" t="str">
            <v>Wand-Wave-G1</v>
          </cell>
          <cell r="C962">
            <v>46246</v>
          </cell>
        </row>
        <row r="963">
          <cell r="A963" t="str">
            <v>Trial</v>
          </cell>
          <cell r="B963" t="str">
            <v>Wand-Wave-G1</v>
          </cell>
          <cell r="C963">
            <v>46246</v>
          </cell>
        </row>
        <row r="964">
          <cell r="A964" t="str">
            <v>Trial</v>
          </cell>
          <cell r="B964" t="str">
            <v>Wand-Wave-G1</v>
          </cell>
          <cell r="C964">
            <v>46246</v>
          </cell>
        </row>
        <row r="965">
          <cell r="A965" t="str">
            <v>Trial</v>
          </cell>
          <cell r="B965" t="str">
            <v>Wand-Wave-G1</v>
          </cell>
          <cell r="C965">
            <v>46246</v>
          </cell>
        </row>
        <row r="966">
          <cell r="A966" t="str">
            <v>Trial</v>
          </cell>
          <cell r="B966" t="str">
            <v>Wand-Wave-G1</v>
          </cell>
          <cell r="C966">
            <v>46246</v>
          </cell>
        </row>
        <row r="967">
          <cell r="A967" t="str">
            <v>Trial</v>
          </cell>
          <cell r="B967" t="str">
            <v>Wand-Wave-G1</v>
          </cell>
          <cell r="C967">
            <v>46246</v>
          </cell>
        </row>
        <row r="968">
          <cell r="A968" t="str">
            <v>Trial</v>
          </cell>
          <cell r="B968" t="str">
            <v>Wand-Wave-G1</v>
          </cell>
          <cell r="C968">
            <v>46246</v>
          </cell>
        </row>
        <row r="969">
          <cell r="A969" t="str">
            <v>Trial</v>
          </cell>
          <cell r="B969" t="str">
            <v>Wand-Wave-G1</v>
          </cell>
          <cell r="C969">
            <v>46246</v>
          </cell>
        </row>
        <row r="970">
          <cell r="A970" t="str">
            <v>Trial</v>
          </cell>
          <cell r="B970" t="str">
            <v>Wand-Wave-G1</v>
          </cell>
          <cell r="C970">
            <v>46246</v>
          </cell>
        </row>
        <row r="971">
          <cell r="A971" t="str">
            <v>Trial</v>
          </cell>
          <cell r="B971" t="str">
            <v>Wand-Wave-G1</v>
          </cell>
          <cell r="C971">
            <v>46246</v>
          </cell>
        </row>
        <row r="972">
          <cell r="A972" t="str">
            <v>Trial</v>
          </cell>
          <cell r="B972" t="str">
            <v>Wand-Wave-G1</v>
          </cell>
          <cell r="C972">
            <v>46246</v>
          </cell>
        </row>
        <row r="973">
          <cell r="A973" t="str">
            <v>Trial</v>
          </cell>
          <cell r="B973" t="str">
            <v>Wand-Wave-G1</v>
          </cell>
          <cell r="C973">
            <v>46246</v>
          </cell>
        </row>
        <row r="974">
          <cell r="A974" t="str">
            <v>Trial</v>
          </cell>
          <cell r="B974" t="str">
            <v>Wand-Wave-G1</v>
          </cell>
          <cell r="C974">
            <v>46246</v>
          </cell>
        </row>
        <row r="975">
          <cell r="A975" t="str">
            <v>Trial</v>
          </cell>
          <cell r="B975" t="str">
            <v>Wand-Wave-G2</v>
          </cell>
          <cell r="C975">
            <v>46246</v>
          </cell>
        </row>
        <row r="976">
          <cell r="A976" t="str">
            <v>Trial</v>
          </cell>
          <cell r="B976" t="str">
            <v>Wand-Wave-G2</v>
          </cell>
          <cell r="C976">
            <v>46246</v>
          </cell>
        </row>
        <row r="977">
          <cell r="A977" t="str">
            <v>Trial</v>
          </cell>
          <cell r="B977" t="str">
            <v>Wand-Wave-G2</v>
          </cell>
          <cell r="C977">
            <v>46246</v>
          </cell>
        </row>
        <row r="978">
          <cell r="A978" t="str">
            <v>Trial</v>
          </cell>
          <cell r="B978" t="str">
            <v>Wand-Wave-G2</v>
          </cell>
          <cell r="C978">
            <v>46246</v>
          </cell>
        </row>
        <row r="979">
          <cell r="A979" t="str">
            <v>Trial</v>
          </cell>
          <cell r="B979" t="str">
            <v>Wand-Wave-G2</v>
          </cell>
          <cell r="C979">
            <v>46246</v>
          </cell>
        </row>
        <row r="980">
          <cell r="A980" t="str">
            <v>Trial</v>
          </cell>
          <cell r="B980" t="str">
            <v>Wand-Wave-G2</v>
          </cell>
          <cell r="C980">
            <v>46246</v>
          </cell>
        </row>
        <row r="981">
          <cell r="A981" t="str">
            <v>Trial</v>
          </cell>
          <cell r="B981" t="str">
            <v>Wand-Wave-G2</v>
          </cell>
          <cell r="C981">
            <v>46246</v>
          </cell>
        </row>
        <row r="982">
          <cell r="A982" t="str">
            <v>Trial</v>
          </cell>
          <cell r="B982" t="str">
            <v>Wand-Wave-G2</v>
          </cell>
          <cell r="C982">
            <v>46246</v>
          </cell>
        </row>
        <row r="983">
          <cell r="A983" t="str">
            <v>Trial</v>
          </cell>
          <cell r="B983" t="str">
            <v>Wand-Wave-G2</v>
          </cell>
          <cell r="C983">
            <v>46246</v>
          </cell>
        </row>
        <row r="984">
          <cell r="A984" t="str">
            <v>Trial</v>
          </cell>
          <cell r="B984" t="str">
            <v>Wand-Wave-G2</v>
          </cell>
          <cell r="C984">
            <v>46246</v>
          </cell>
        </row>
        <row r="985">
          <cell r="A985" t="str">
            <v>Trial</v>
          </cell>
          <cell r="B985" t="str">
            <v>Wand-Wave-G2</v>
          </cell>
          <cell r="C985">
            <v>46246</v>
          </cell>
        </row>
        <row r="986">
          <cell r="A986" t="str">
            <v>Trial</v>
          </cell>
          <cell r="B986" t="str">
            <v>Wand-Wave-G2</v>
          </cell>
          <cell r="C986">
            <v>46246</v>
          </cell>
        </row>
        <row r="987">
          <cell r="A987" t="str">
            <v>Trial</v>
          </cell>
          <cell r="B987" t="str">
            <v>Wand-Wave-G2</v>
          </cell>
          <cell r="C987">
            <v>46246</v>
          </cell>
        </row>
        <row r="988">
          <cell r="A988" t="str">
            <v>Trial</v>
          </cell>
          <cell r="B988" t="str">
            <v>Wand-Wave-G2</v>
          </cell>
          <cell r="C988">
            <v>46246</v>
          </cell>
        </row>
        <row r="989">
          <cell r="A989" t="str">
            <v>Trial</v>
          </cell>
          <cell r="B989" t="str">
            <v>Wand-Wave-G2</v>
          </cell>
          <cell r="C989">
            <v>46246</v>
          </cell>
        </row>
        <row r="990">
          <cell r="A990" t="str">
            <v>Trial</v>
          </cell>
          <cell r="B990" t="str">
            <v>Wand-Wave-G2</v>
          </cell>
          <cell r="C990">
            <v>46246</v>
          </cell>
        </row>
        <row r="991">
          <cell r="A991" t="str">
            <v>Trial</v>
          </cell>
          <cell r="B991" t="str">
            <v>Wand-Wave-G2</v>
          </cell>
          <cell r="C991">
            <v>46246</v>
          </cell>
        </row>
        <row r="992">
          <cell r="A992" t="str">
            <v>Trial</v>
          </cell>
          <cell r="B992" t="str">
            <v>Wand-Wave-G2</v>
          </cell>
          <cell r="C992">
            <v>46246</v>
          </cell>
        </row>
        <row r="993">
          <cell r="A993" t="str">
            <v>Trial</v>
          </cell>
          <cell r="B993" t="str">
            <v>Wand-Wave-G3</v>
          </cell>
          <cell r="C993">
            <v>46246</v>
          </cell>
        </row>
        <row r="994">
          <cell r="A994" t="str">
            <v>Trial</v>
          </cell>
          <cell r="B994" t="str">
            <v>Wand-Wave-G3</v>
          </cell>
          <cell r="C994">
            <v>46246</v>
          </cell>
        </row>
        <row r="995">
          <cell r="A995" t="str">
            <v>Trial</v>
          </cell>
          <cell r="B995" t="str">
            <v>Wand-Wave-G3</v>
          </cell>
          <cell r="C995">
            <v>46246</v>
          </cell>
        </row>
        <row r="996">
          <cell r="A996" t="str">
            <v>Trial</v>
          </cell>
          <cell r="B996" t="str">
            <v>Wand-Wave-G3</v>
          </cell>
          <cell r="C996">
            <v>46246</v>
          </cell>
        </row>
        <row r="997">
          <cell r="A997" t="str">
            <v>Trial</v>
          </cell>
          <cell r="B997" t="str">
            <v>Wand-Wave-G3</v>
          </cell>
          <cell r="C997">
            <v>46246</v>
          </cell>
        </row>
        <row r="998">
          <cell r="A998" t="str">
            <v>Trial</v>
          </cell>
          <cell r="B998" t="str">
            <v>Wand-Wave-G3</v>
          </cell>
          <cell r="C998">
            <v>46246</v>
          </cell>
        </row>
        <row r="999">
          <cell r="A999" t="str">
            <v>Trial</v>
          </cell>
          <cell r="B999" t="str">
            <v>Wand-Wave-G3</v>
          </cell>
          <cell r="C999">
            <v>46246</v>
          </cell>
        </row>
        <row r="1000">
          <cell r="A1000" t="str">
            <v>Trial</v>
          </cell>
          <cell r="B1000" t="str">
            <v>Wand-Wave-G3</v>
          </cell>
          <cell r="C1000">
            <v>46246</v>
          </cell>
        </row>
        <row r="1001">
          <cell r="A1001" t="str">
            <v>Trial</v>
          </cell>
          <cell r="B1001" t="str">
            <v>Wand-Wave-G3</v>
          </cell>
          <cell r="C1001">
            <v>46246</v>
          </cell>
        </row>
        <row r="1002">
          <cell r="A1002" t="str">
            <v>Trial</v>
          </cell>
          <cell r="B1002" t="str">
            <v>Wand-Wave-G3</v>
          </cell>
          <cell r="C1002">
            <v>46246</v>
          </cell>
        </row>
        <row r="1003">
          <cell r="A1003" t="str">
            <v>Trial</v>
          </cell>
          <cell r="B1003" t="str">
            <v>Wand-Wave-G3</v>
          </cell>
          <cell r="C1003">
            <v>46246</v>
          </cell>
        </row>
        <row r="1004">
          <cell r="A1004" t="str">
            <v>Trial</v>
          </cell>
          <cell r="B1004" t="str">
            <v>Wand-Wave-G3</v>
          </cell>
          <cell r="C1004">
            <v>46246</v>
          </cell>
        </row>
        <row r="1005">
          <cell r="A1005" t="str">
            <v>Trial</v>
          </cell>
          <cell r="B1005" t="str">
            <v>Wand-Wave-G3</v>
          </cell>
          <cell r="C1005">
            <v>46246</v>
          </cell>
        </row>
        <row r="1006">
          <cell r="A1006" t="str">
            <v>Trial</v>
          </cell>
          <cell r="B1006" t="str">
            <v>Wand-Wave-G3</v>
          </cell>
          <cell r="C1006">
            <v>46246</v>
          </cell>
        </row>
        <row r="1007">
          <cell r="A1007" t="str">
            <v>Trial</v>
          </cell>
          <cell r="B1007" t="str">
            <v>Wand-Wave-G3</v>
          </cell>
          <cell r="C1007">
            <v>46246</v>
          </cell>
        </row>
        <row r="1008">
          <cell r="A1008" t="str">
            <v>Trial</v>
          </cell>
          <cell r="B1008" t="str">
            <v>Wand-Wave-G3</v>
          </cell>
          <cell r="C1008">
            <v>46246</v>
          </cell>
        </row>
        <row r="1009">
          <cell r="A1009" t="str">
            <v>Trial</v>
          </cell>
          <cell r="B1009" t="str">
            <v>Wand-Wave-G3</v>
          </cell>
          <cell r="C1009">
            <v>46246</v>
          </cell>
        </row>
        <row r="1010">
          <cell r="A1010" t="str">
            <v>Trial</v>
          </cell>
          <cell r="B1010" t="str">
            <v>Wand-Wave-G3</v>
          </cell>
          <cell r="C1010">
            <v>46246</v>
          </cell>
        </row>
        <row r="1011">
          <cell r="A1011" t="str">
            <v>Trial</v>
          </cell>
          <cell r="B1011" t="str">
            <v>Wand-Wave-G4</v>
          </cell>
          <cell r="C1011">
            <v>46246</v>
          </cell>
        </row>
        <row r="1012">
          <cell r="A1012" t="str">
            <v>Trial</v>
          </cell>
          <cell r="B1012" t="str">
            <v>Wand-Wave-G4</v>
          </cell>
          <cell r="C1012">
            <v>46246</v>
          </cell>
        </row>
        <row r="1013">
          <cell r="A1013" t="str">
            <v>Trial</v>
          </cell>
          <cell r="B1013" t="str">
            <v>Wand-Wave-G4</v>
          </cell>
          <cell r="C1013">
            <v>46246</v>
          </cell>
        </row>
        <row r="1014">
          <cell r="A1014" t="str">
            <v>Trial</v>
          </cell>
          <cell r="B1014" t="str">
            <v>Wand-Wave-G4</v>
          </cell>
          <cell r="C1014">
            <v>46246</v>
          </cell>
        </row>
        <row r="1015">
          <cell r="A1015" t="str">
            <v>Trial</v>
          </cell>
          <cell r="B1015" t="str">
            <v>Wand-Wave-G4</v>
          </cell>
          <cell r="C1015">
            <v>46246</v>
          </cell>
        </row>
        <row r="1016">
          <cell r="A1016" t="str">
            <v>Trial</v>
          </cell>
          <cell r="B1016" t="str">
            <v>Wand-Wave-G4</v>
          </cell>
          <cell r="C1016">
            <v>46246</v>
          </cell>
        </row>
        <row r="1017">
          <cell r="A1017" t="str">
            <v>Trial</v>
          </cell>
          <cell r="B1017" t="str">
            <v>Wand-Wave-G4</v>
          </cell>
          <cell r="C1017">
            <v>46246</v>
          </cell>
        </row>
        <row r="1018">
          <cell r="A1018" t="str">
            <v>Trial</v>
          </cell>
          <cell r="B1018" t="str">
            <v>Wand-Wave-G4</v>
          </cell>
          <cell r="C1018">
            <v>46246</v>
          </cell>
        </row>
        <row r="1019">
          <cell r="A1019" t="str">
            <v>Trial</v>
          </cell>
          <cell r="B1019" t="str">
            <v>Wand-Wave-G4</v>
          </cell>
          <cell r="C1019">
            <v>46246</v>
          </cell>
        </row>
        <row r="1020">
          <cell r="A1020" t="str">
            <v>Trial</v>
          </cell>
          <cell r="B1020" t="str">
            <v>Wand-Wave-G4</v>
          </cell>
          <cell r="C1020">
            <v>46246</v>
          </cell>
        </row>
        <row r="1021">
          <cell r="A1021" t="str">
            <v>Trial</v>
          </cell>
          <cell r="B1021" t="str">
            <v>Wand-Wave-G4</v>
          </cell>
          <cell r="C1021">
            <v>46246</v>
          </cell>
        </row>
        <row r="1022">
          <cell r="A1022" t="str">
            <v>Trial</v>
          </cell>
          <cell r="B1022" t="str">
            <v>Wand-Wave-G4</v>
          </cell>
          <cell r="C1022">
            <v>46246</v>
          </cell>
        </row>
        <row r="1023">
          <cell r="A1023" t="str">
            <v>Trial</v>
          </cell>
          <cell r="B1023" t="str">
            <v>Wand-Wave-G4</v>
          </cell>
          <cell r="C1023">
            <v>46246</v>
          </cell>
        </row>
        <row r="1024">
          <cell r="A1024" t="str">
            <v>Trial</v>
          </cell>
          <cell r="B1024" t="str">
            <v>Wand-Wave-G4</v>
          </cell>
          <cell r="C1024">
            <v>46246</v>
          </cell>
        </row>
        <row r="1025">
          <cell r="A1025" t="str">
            <v>Trial</v>
          </cell>
          <cell r="B1025" t="str">
            <v>Wand-Wave-G4</v>
          </cell>
          <cell r="C1025">
            <v>46246</v>
          </cell>
        </row>
        <row r="1026">
          <cell r="A1026" t="str">
            <v>Trial</v>
          </cell>
          <cell r="B1026" t="str">
            <v>Wand-Wave-G4</v>
          </cell>
          <cell r="C1026">
            <v>46246</v>
          </cell>
        </row>
        <row r="1027">
          <cell r="A1027" t="str">
            <v>Trial</v>
          </cell>
          <cell r="B1027" t="str">
            <v>Wand-Wave-G4</v>
          </cell>
          <cell r="C1027">
            <v>46246</v>
          </cell>
        </row>
        <row r="1028">
          <cell r="A1028" t="str">
            <v>Trial</v>
          </cell>
          <cell r="B1028" t="str">
            <v>Wand-Wave-G4</v>
          </cell>
          <cell r="C1028">
            <v>46246</v>
          </cell>
        </row>
        <row r="1029">
          <cell r="A1029" t="str">
            <v>Daily</v>
          </cell>
          <cell r="B1029" t="str">
            <v>n/a</v>
          </cell>
          <cell r="C1029">
            <v>46247</v>
          </cell>
        </row>
        <row r="1030">
          <cell r="A1030" t="str">
            <v>Daily</v>
          </cell>
          <cell r="B1030" t="str">
            <v>n/a</v>
          </cell>
          <cell r="C1030">
            <v>46247</v>
          </cell>
        </row>
        <row r="1031">
          <cell r="A1031" t="str">
            <v>Daily</v>
          </cell>
          <cell r="B1031" t="str">
            <v>n/a</v>
          </cell>
          <cell r="C1031">
            <v>46247</v>
          </cell>
        </row>
        <row r="1032">
          <cell r="A1032" t="str">
            <v>Daily</v>
          </cell>
          <cell r="B1032" t="str">
            <v>n/a</v>
          </cell>
          <cell r="C1032">
            <v>46247</v>
          </cell>
        </row>
        <row r="1033">
          <cell r="A1033" t="str">
            <v>Daily</v>
          </cell>
          <cell r="B1033" t="str">
            <v>n/a</v>
          </cell>
          <cell r="C1033">
            <v>46247</v>
          </cell>
        </row>
        <row r="1034">
          <cell r="A1034" t="str">
            <v>Daily</v>
          </cell>
          <cell r="B1034" t="str">
            <v>n/a</v>
          </cell>
          <cell r="C1034">
            <v>46247</v>
          </cell>
        </row>
        <row r="1035">
          <cell r="A1035" t="str">
            <v>Daily</v>
          </cell>
          <cell r="B1035" t="str">
            <v>n/a</v>
          </cell>
          <cell r="C1035">
            <v>46247</v>
          </cell>
        </row>
        <row r="1036">
          <cell r="A1036" t="str">
            <v>Daily</v>
          </cell>
          <cell r="B1036" t="str">
            <v>n/a</v>
          </cell>
          <cell r="C1036">
            <v>46247</v>
          </cell>
        </row>
        <row r="1037">
          <cell r="A1037" t="str">
            <v>Daily</v>
          </cell>
          <cell r="B1037" t="str">
            <v>n/a</v>
          </cell>
          <cell r="C1037">
            <v>46247</v>
          </cell>
        </row>
        <row r="1038">
          <cell r="A1038" t="str">
            <v>Daily</v>
          </cell>
          <cell r="B1038" t="str">
            <v>n/a</v>
          </cell>
          <cell r="C1038">
            <v>46247</v>
          </cell>
        </row>
        <row r="1039">
          <cell r="A1039" t="str">
            <v>Daily</v>
          </cell>
          <cell r="B1039" t="str">
            <v>n/a</v>
          </cell>
          <cell r="C1039">
            <v>46247</v>
          </cell>
        </row>
        <row r="1040">
          <cell r="A1040" t="str">
            <v>Daily</v>
          </cell>
          <cell r="B1040" t="str">
            <v>n/a</v>
          </cell>
          <cell r="C1040">
            <v>46247</v>
          </cell>
        </row>
        <row r="1041">
          <cell r="A1041" t="str">
            <v>Daily</v>
          </cell>
          <cell r="B1041" t="str">
            <v>n/a</v>
          </cell>
          <cell r="C1041">
            <v>46247</v>
          </cell>
        </row>
        <row r="1042">
          <cell r="A1042" t="str">
            <v>Daily</v>
          </cell>
          <cell r="B1042" t="str">
            <v>n/a</v>
          </cell>
          <cell r="C1042">
            <v>46247</v>
          </cell>
        </row>
        <row r="1043">
          <cell r="A1043" t="str">
            <v>Daily</v>
          </cell>
          <cell r="B1043" t="str">
            <v>n/a</v>
          </cell>
          <cell r="C1043">
            <v>46247</v>
          </cell>
        </row>
        <row r="1044">
          <cell r="A1044" t="str">
            <v>Daily</v>
          </cell>
          <cell r="B1044" t="str">
            <v>n/a</v>
          </cell>
          <cell r="C1044">
            <v>46247</v>
          </cell>
        </row>
        <row r="1045">
          <cell r="A1045" t="str">
            <v>Daily</v>
          </cell>
          <cell r="B1045" t="str">
            <v>n/a</v>
          </cell>
          <cell r="C1045">
            <v>46247</v>
          </cell>
        </row>
        <row r="1046">
          <cell r="A1046" t="str">
            <v>Daily</v>
          </cell>
          <cell r="B1046" t="str">
            <v>n/a</v>
          </cell>
          <cell r="C1046">
            <v>46247</v>
          </cell>
        </row>
        <row r="1047">
          <cell r="A1047" t="str">
            <v>Error</v>
          </cell>
          <cell r="B1047" t="str">
            <v>cannot-set-volume</v>
          </cell>
          <cell r="C1047">
            <v>46248</v>
          </cell>
        </row>
        <row r="1048">
          <cell r="A1048" t="str">
            <v>Error</v>
          </cell>
          <cell r="B1048" t="str">
            <v>cannot-set-volume</v>
          </cell>
          <cell r="C1048">
            <v>46248</v>
          </cell>
        </row>
        <row r="1049">
          <cell r="A1049" t="str">
            <v>Error</v>
          </cell>
          <cell r="B1049" t="str">
            <v>cannot-set-volume</v>
          </cell>
          <cell r="C1049">
            <v>46248</v>
          </cell>
        </row>
        <row r="1050">
          <cell r="A1050" t="str">
            <v>Error</v>
          </cell>
          <cell r="B1050" t="str">
            <v>cannot-set-volume</v>
          </cell>
          <cell r="C1050">
            <v>46248</v>
          </cell>
        </row>
        <row r="1051">
          <cell r="A1051" t="str">
            <v>Error</v>
          </cell>
          <cell r="B1051" t="str">
            <v>cannot-set-volume</v>
          </cell>
          <cell r="C1051">
            <v>46248</v>
          </cell>
        </row>
        <row r="1052">
          <cell r="A1052" t="str">
            <v>Error</v>
          </cell>
          <cell r="B1052" t="str">
            <v>cannot-set-volume</v>
          </cell>
          <cell r="C1052">
            <v>46248</v>
          </cell>
        </row>
        <row r="1053">
          <cell r="A1053" t="str">
            <v>Error</v>
          </cell>
          <cell r="B1053" t="str">
            <v>cannot-set-volume</v>
          </cell>
          <cell r="C1053">
            <v>46248</v>
          </cell>
        </row>
        <row r="1054">
          <cell r="A1054" t="str">
            <v>Error</v>
          </cell>
          <cell r="B1054" t="str">
            <v>cannot-set-volume</v>
          </cell>
          <cell r="C1054">
            <v>46248</v>
          </cell>
        </row>
        <row r="1055">
          <cell r="A1055" t="str">
            <v>Error</v>
          </cell>
          <cell r="B1055" t="str">
            <v>cannot-set-volume</v>
          </cell>
          <cell r="C1055">
            <v>46248</v>
          </cell>
        </row>
        <row r="1056">
          <cell r="A1056" t="str">
            <v>Error</v>
          </cell>
          <cell r="B1056" t="str">
            <v>cannot-set-volume</v>
          </cell>
          <cell r="C1056">
            <v>46248</v>
          </cell>
        </row>
        <row r="1057">
          <cell r="A1057" t="str">
            <v>Error</v>
          </cell>
          <cell r="B1057" t="str">
            <v>cannot-set-volume</v>
          </cell>
          <cell r="C1057">
            <v>46248</v>
          </cell>
        </row>
        <row r="1058">
          <cell r="A1058" t="str">
            <v>Error</v>
          </cell>
          <cell r="B1058" t="str">
            <v>cannot-set-volume</v>
          </cell>
          <cell r="C1058">
            <v>46248</v>
          </cell>
        </row>
        <row r="1059">
          <cell r="A1059" t="str">
            <v>Error</v>
          </cell>
          <cell r="B1059" t="str">
            <v>cannot-set-volume</v>
          </cell>
          <cell r="C1059">
            <v>46248</v>
          </cell>
        </row>
        <row r="1060">
          <cell r="A1060" t="str">
            <v>Error</v>
          </cell>
          <cell r="B1060" t="str">
            <v>cannot-set-volume</v>
          </cell>
          <cell r="C1060">
            <v>46248</v>
          </cell>
        </row>
        <row r="1061">
          <cell r="A1061" t="str">
            <v>Error</v>
          </cell>
          <cell r="B1061" t="str">
            <v>cannot-set-volume</v>
          </cell>
          <cell r="C1061">
            <v>46248</v>
          </cell>
        </row>
        <row r="1062">
          <cell r="A1062" t="str">
            <v>Error</v>
          </cell>
          <cell r="B1062" t="str">
            <v>cannot-set-volume</v>
          </cell>
          <cell r="C1062">
            <v>46248</v>
          </cell>
        </row>
        <row r="1063">
          <cell r="A1063" t="str">
            <v>Error</v>
          </cell>
          <cell r="B1063" t="str">
            <v>cannot-set-volume</v>
          </cell>
          <cell r="C1063">
            <v>46248</v>
          </cell>
        </row>
        <row r="1064">
          <cell r="A1064" t="str">
            <v>Error</v>
          </cell>
          <cell r="B1064" t="str">
            <v>cannot-set-volume</v>
          </cell>
          <cell r="C1064">
            <v>46248</v>
          </cell>
        </row>
        <row r="1065">
          <cell r="A1065" t="str">
            <v>Daily</v>
          </cell>
          <cell r="B1065" t="str">
            <v>n/a</v>
          </cell>
          <cell r="C1065">
            <v>46248</v>
          </cell>
        </row>
        <row r="1066">
          <cell r="A1066" t="str">
            <v>Daily</v>
          </cell>
          <cell r="B1066" t="str">
            <v>n/a</v>
          </cell>
          <cell r="C1066">
            <v>46248</v>
          </cell>
        </row>
        <row r="1067">
          <cell r="A1067" t="str">
            <v>Daily</v>
          </cell>
          <cell r="B1067" t="str">
            <v>n/a</v>
          </cell>
          <cell r="C1067">
            <v>46248</v>
          </cell>
        </row>
        <row r="1068">
          <cell r="A1068" t="str">
            <v>Daily</v>
          </cell>
          <cell r="B1068" t="str">
            <v>n/a</v>
          </cell>
          <cell r="C1068">
            <v>46248</v>
          </cell>
        </row>
        <row r="1069">
          <cell r="A1069" t="str">
            <v>Daily</v>
          </cell>
          <cell r="B1069" t="str">
            <v>n/a</v>
          </cell>
          <cell r="C1069">
            <v>46248</v>
          </cell>
        </row>
        <row r="1070">
          <cell r="A1070" t="str">
            <v>Daily</v>
          </cell>
          <cell r="B1070" t="str">
            <v>n/a</v>
          </cell>
          <cell r="C1070">
            <v>46248</v>
          </cell>
        </row>
        <row r="1071">
          <cell r="A1071" t="str">
            <v>Daily</v>
          </cell>
          <cell r="B1071" t="str">
            <v>n/a</v>
          </cell>
          <cell r="C1071">
            <v>46248</v>
          </cell>
        </row>
        <row r="1072">
          <cell r="A1072" t="str">
            <v>Daily</v>
          </cell>
          <cell r="B1072" t="str">
            <v>n/a</v>
          </cell>
          <cell r="C1072">
            <v>46248</v>
          </cell>
        </row>
        <row r="1073">
          <cell r="A1073" t="str">
            <v>Daily</v>
          </cell>
          <cell r="B1073" t="str">
            <v>n/a</v>
          </cell>
          <cell r="C1073">
            <v>46248</v>
          </cell>
        </row>
        <row r="1074">
          <cell r="A1074" t="str">
            <v>Daily</v>
          </cell>
          <cell r="B1074" t="str">
            <v>n/a</v>
          </cell>
          <cell r="C1074">
            <v>46248</v>
          </cell>
        </row>
        <row r="1075">
          <cell r="A1075" t="str">
            <v>Daily</v>
          </cell>
          <cell r="B1075" t="str">
            <v>n/a</v>
          </cell>
          <cell r="C1075">
            <v>46248</v>
          </cell>
        </row>
        <row r="1076">
          <cell r="A1076" t="str">
            <v>Daily</v>
          </cell>
          <cell r="B1076" t="str">
            <v>n/a</v>
          </cell>
          <cell r="C1076">
            <v>46248</v>
          </cell>
        </row>
        <row r="1077">
          <cell r="A1077" t="str">
            <v>Daily</v>
          </cell>
          <cell r="B1077" t="str">
            <v>n/a</v>
          </cell>
          <cell r="C1077">
            <v>46248</v>
          </cell>
        </row>
        <row r="1078">
          <cell r="A1078" t="str">
            <v>Daily</v>
          </cell>
          <cell r="B1078" t="str">
            <v>n/a</v>
          </cell>
          <cell r="C1078">
            <v>46248</v>
          </cell>
        </row>
        <row r="1079">
          <cell r="A1079" t="str">
            <v>Daily</v>
          </cell>
          <cell r="B1079" t="str">
            <v>n/a</v>
          </cell>
          <cell r="C1079">
            <v>46248</v>
          </cell>
        </row>
        <row r="1080">
          <cell r="A1080" t="str">
            <v>Daily</v>
          </cell>
          <cell r="B1080" t="str">
            <v>n/a</v>
          </cell>
          <cell r="C1080">
            <v>46248</v>
          </cell>
        </row>
        <row r="1081">
          <cell r="A1081" t="str">
            <v>Daily</v>
          </cell>
          <cell r="B1081" t="str">
            <v>n/a</v>
          </cell>
          <cell r="C1081">
            <v>46248</v>
          </cell>
        </row>
        <row r="1082">
          <cell r="A1082" t="str">
            <v>Daily</v>
          </cell>
          <cell r="B1082" t="str">
            <v>n/a</v>
          </cell>
          <cell r="C1082">
            <v>46248</v>
          </cell>
        </row>
        <row r="1083">
          <cell r="A1083" t="str">
            <v>Daily</v>
          </cell>
          <cell r="B1083" t="str">
            <v>pre-calibrate-1</v>
          </cell>
          <cell r="C1083">
            <v>46251</v>
          </cell>
        </row>
        <row r="1084">
          <cell r="A1084" t="str">
            <v>Daily</v>
          </cell>
          <cell r="B1084" t="str">
            <v>pre-calibrate-1</v>
          </cell>
          <cell r="C1084">
            <v>46251</v>
          </cell>
        </row>
        <row r="1085">
          <cell r="A1085" t="str">
            <v>Daily</v>
          </cell>
          <cell r="B1085" t="str">
            <v>pre-calibrate-1</v>
          </cell>
          <cell r="C1085">
            <v>46251</v>
          </cell>
        </row>
        <row r="1086">
          <cell r="A1086" t="str">
            <v>Daily</v>
          </cell>
          <cell r="B1086" t="str">
            <v>pre-calibrate-1</v>
          </cell>
          <cell r="C1086">
            <v>46251</v>
          </cell>
        </row>
        <row r="1087">
          <cell r="A1087" t="str">
            <v>Daily</v>
          </cell>
          <cell r="B1087" t="str">
            <v>pre-calibrate-1</v>
          </cell>
          <cell r="C1087">
            <v>46251</v>
          </cell>
        </row>
        <row r="1088">
          <cell r="A1088" t="str">
            <v>Daily</v>
          </cell>
          <cell r="B1088" t="str">
            <v>pre-calibrate-1</v>
          </cell>
          <cell r="C1088">
            <v>46251</v>
          </cell>
        </row>
        <row r="1089">
          <cell r="A1089" t="str">
            <v>Daily</v>
          </cell>
          <cell r="B1089" t="str">
            <v>pre-calibrate-1</v>
          </cell>
          <cell r="C1089">
            <v>46251</v>
          </cell>
        </row>
        <row r="1090">
          <cell r="A1090" t="str">
            <v>Daily</v>
          </cell>
          <cell r="B1090" t="str">
            <v>pre-calibrate-1</v>
          </cell>
          <cell r="C1090">
            <v>46251</v>
          </cell>
        </row>
        <row r="1091">
          <cell r="A1091" t="str">
            <v>Daily</v>
          </cell>
          <cell r="B1091" t="str">
            <v>pre-calibrate-1</v>
          </cell>
          <cell r="C1091">
            <v>46251</v>
          </cell>
        </row>
        <row r="1092">
          <cell r="A1092" t="str">
            <v>Daily</v>
          </cell>
          <cell r="B1092" t="str">
            <v>pre-calibrate-1</v>
          </cell>
          <cell r="C1092">
            <v>46251</v>
          </cell>
        </row>
        <row r="1093">
          <cell r="A1093" t="str">
            <v>Daily</v>
          </cell>
          <cell r="B1093" t="str">
            <v>pre-calibrate-1</v>
          </cell>
          <cell r="C1093">
            <v>46251</v>
          </cell>
        </row>
        <row r="1094">
          <cell r="A1094" t="str">
            <v>Daily</v>
          </cell>
          <cell r="B1094" t="str">
            <v>pre-calibrate-1</v>
          </cell>
          <cell r="C1094">
            <v>46251</v>
          </cell>
        </row>
        <row r="1095">
          <cell r="A1095" t="str">
            <v>Daily</v>
          </cell>
          <cell r="B1095" t="str">
            <v>pre-calibrate-1</v>
          </cell>
          <cell r="C1095">
            <v>46251</v>
          </cell>
        </row>
        <row r="1096">
          <cell r="A1096" t="str">
            <v>Daily</v>
          </cell>
          <cell r="B1096" t="str">
            <v>pre-calibrate-1</v>
          </cell>
          <cell r="C1096">
            <v>46251</v>
          </cell>
        </row>
        <row r="1097">
          <cell r="A1097" t="str">
            <v>Daily</v>
          </cell>
          <cell r="B1097" t="str">
            <v>pre-calibrate-1</v>
          </cell>
          <cell r="C1097">
            <v>46251</v>
          </cell>
        </row>
        <row r="1098">
          <cell r="A1098" t="str">
            <v>Daily</v>
          </cell>
          <cell r="B1098" t="str">
            <v>pre-calibrate-1</v>
          </cell>
          <cell r="C1098">
            <v>46251</v>
          </cell>
        </row>
        <row r="1099">
          <cell r="A1099" t="str">
            <v>Daily</v>
          </cell>
          <cell r="B1099" t="str">
            <v>pre-calibrate-1</v>
          </cell>
          <cell r="C1099">
            <v>46251</v>
          </cell>
        </row>
        <row r="1100">
          <cell r="A1100" t="str">
            <v>Daily</v>
          </cell>
          <cell r="B1100" t="str">
            <v>pre-calibrate-1</v>
          </cell>
          <cell r="C1100">
            <v>46251</v>
          </cell>
        </row>
        <row r="1101">
          <cell r="A1101" t="str">
            <v>Daily</v>
          </cell>
          <cell r="B1101" t="str">
            <v>pre-calibrate-2</v>
          </cell>
          <cell r="C1101">
            <v>46251</v>
          </cell>
        </row>
        <row r="1102">
          <cell r="A1102" t="str">
            <v>Daily</v>
          </cell>
          <cell r="B1102" t="str">
            <v>pre-calibrate-2</v>
          </cell>
          <cell r="C1102">
            <v>46251</v>
          </cell>
        </row>
        <row r="1103">
          <cell r="A1103" t="str">
            <v>Daily</v>
          </cell>
          <cell r="B1103" t="str">
            <v>pre-calibrate-2</v>
          </cell>
          <cell r="C1103">
            <v>46251</v>
          </cell>
        </row>
        <row r="1104">
          <cell r="A1104" t="str">
            <v>Daily</v>
          </cell>
          <cell r="B1104" t="str">
            <v>pre-calibrate-2</v>
          </cell>
          <cell r="C1104">
            <v>46251</v>
          </cell>
        </row>
        <row r="1105">
          <cell r="A1105" t="str">
            <v>Daily</v>
          </cell>
          <cell r="B1105" t="str">
            <v>pre-calibrate-2</v>
          </cell>
          <cell r="C1105">
            <v>46251</v>
          </cell>
        </row>
        <row r="1106">
          <cell r="A1106" t="str">
            <v>Daily</v>
          </cell>
          <cell r="B1106" t="str">
            <v>pre-calibrate-2</v>
          </cell>
          <cell r="C1106">
            <v>46251</v>
          </cell>
        </row>
        <row r="1107">
          <cell r="A1107" t="str">
            <v>Daily</v>
          </cell>
          <cell r="B1107" t="str">
            <v>pre-calibrate-2</v>
          </cell>
          <cell r="C1107">
            <v>46251</v>
          </cell>
        </row>
        <row r="1108">
          <cell r="A1108" t="str">
            <v>Daily</v>
          </cell>
          <cell r="B1108" t="str">
            <v>pre-calibrate-2</v>
          </cell>
          <cell r="C1108">
            <v>46251</v>
          </cell>
        </row>
        <row r="1109">
          <cell r="A1109" t="str">
            <v>Daily</v>
          </cell>
          <cell r="B1109" t="str">
            <v>pre-calibrate-2</v>
          </cell>
          <cell r="C1109">
            <v>46251</v>
          </cell>
        </row>
        <row r="1110">
          <cell r="A1110" t="str">
            <v>Daily</v>
          </cell>
          <cell r="B1110" t="str">
            <v>pre-calibrate-2</v>
          </cell>
          <cell r="C1110">
            <v>46251</v>
          </cell>
        </row>
        <row r="1111">
          <cell r="A1111" t="str">
            <v>Daily</v>
          </cell>
          <cell r="B1111" t="str">
            <v>pre-calibrate-2</v>
          </cell>
          <cell r="C1111">
            <v>46251</v>
          </cell>
        </row>
        <row r="1112">
          <cell r="A1112" t="str">
            <v>Daily</v>
          </cell>
          <cell r="B1112" t="str">
            <v>pre-calibrate-2</v>
          </cell>
          <cell r="C1112">
            <v>46251</v>
          </cell>
        </row>
        <row r="1113">
          <cell r="A1113" t="str">
            <v>Daily</v>
          </cell>
          <cell r="B1113" t="str">
            <v>pre-calibrate-2</v>
          </cell>
          <cell r="C1113">
            <v>46251</v>
          </cell>
        </row>
        <row r="1114">
          <cell r="A1114" t="str">
            <v>Daily</v>
          </cell>
          <cell r="B1114" t="str">
            <v>pre-calibrate-2</v>
          </cell>
          <cell r="C1114">
            <v>46251</v>
          </cell>
        </row>
        <row r="1115">
          <cell r="A1115" t="str">
            <v>Daily</v>
          </cell>
          <cell r="B1115" t="str">
            <v>pre-calibrate-2</v>
          </cell>
          <cell r="C1115">
            <v>46251</v>
          </cell>
        </row>
        <row r="1116">
          <cell r="A1116" t="str">
            <v>Daily</v>
          </cell>
          <cell r="B1116" t="str">
            <v>pre-calibrate-2</v>
          </cell>
          <cell r="C1116">
            <v>46251</v>
          </cell>
        </row>
        <row r="1117">
          <cell r="A1117" t="str">
            <v>Daily</v>
          </cell>
          <cell r="B1117" t="str">
            <v>pre-calibrate-2</v>
          </cell>
          <cell r="C1117">
            <v>46251</v>
          </cell>
        </row>
        <row r="1118">
          <cell r="A1118" t="str">
            <v>Daily</v>
          </cell>
          <cell r="B1118" t="str">
            <v>pre-calibrate-2</v>
          </cell>
          <cell r="C1118">
            <v>46251</v>
          </cell>
        </row>
        <row r="1119">
          <cell r="A1119" t="str">
            <v>Daily</v>
          </cell>
          <cell r="B1119" t="str">
            <v>n/a</v>
          </cell>
          <cell r="C1119">
            <v>46251</v>
          </cell>
        </row>
        <row r="1120">
          <cell r="A1120" t="str">
            <v>Daily</v>
          </cell>
          <cell r="B1120" t="str">
            <v>n/a</v>
          </cell>
          <cell r="C1120">
            <v>46251</v>
          </cell>
        </row>
        <row r="1121">
          <cell r="A1121" t="str">
            <v>Daily</v>
          </cell>
          <cell r="B1121" t="str">
            <v>n/a</v>
          </cell>
          <cell r="C1121">
            <v>46251</v>
          </cell>
        </row>
        <row r="1122">
          <cell r="A1122" t="str">
            <v>Daily</v>
          </cell>
          <cell r="B1122" t="str">
            <v>n/a</v>
          </cell>
          <cell r="C1122">
            <v>46251</v>
          </cell>
        </row>
        <row r="1123">
          <cell r="A1123" t="str">
            <v>Daily</v>
          </cell>
          <cell r="B1123" t="str">
            <v>n/a</v>
          </cell>
          <cell r="C1123">
            <v>46251</v>
          </cell>
        </row>
        <row r="1124">
          <cell r="A1124" t="str">
            <v>Daily</v>
          </cell>
          <cell r="B1124" t="str">
            <v>n/a</v>
          </cell>
          <cell r="C1124">
            <v>46251</v>
          </cell>
        </row>
        <row r="1125">
          <cell r="A1125" t="str">
            <v>Daily</v>
          </cell>
          <cell r="B1125" t="str">
            <v>n/a</v>
          </cell>
          <cell r="C1125">
            <v>46251</v>
          </cell>
        </row>
        <row r="1126">
          <cell r="A1126" t="str">
            <v>Daily</v>
          </cell>
          <cell r="B1126" t="str">
            <v>n/a</v>
          </cell>
          <cell r="C1126">
            <v>46251</v>
          </cell>
        </row>
        <row r="1127">
          <cell r="A1127" t="str">
            <v>Daily</v>
          </cell>
          <cell r="B1127" t="str">
            <v>n/a</v>
          </cell>
          <cell r="C1127">
            <v>46251</v>
          </cell>
        </row>
        <row r="1128">
          <cell r="A1128" t="str">
            <v>Daily</v>
          </cell>
          <cell r="B1128" t="str">
            <v>n/a</v>
          </cell>
          <cell r="C1128">
            <v>46251</v>
          </cell>
        </row>
        <row r="1129">
          <cell r="A1129" t="str">
            <v>Daily</v>
          </cell>
          <cell r="B1129" t="str">
            <v>n/a</v>
          </cell>
          <cell r="C1129">
            <v>46251</v>
          </cell>
        </row>
        <row r="1130">
          <cell r="A1130" t="str">
            <v>Daily</v>
          </cell>
          <cell r="B1130" t="str">
            <v>n/a</v>
          </cell>
          <cell r="C1130">
            <v>46251</v>
          </cell>
        </row>
        <row r="1131">
          <cell r="A1131" t="str">
            <v>Daily</v>
          </cell>
          <cell r="B1131" t="str">
            <v>n/a</v>
          </cell>
          <cell r="C1131">
            <v>46251</v>
          </cell>
        </row>
        <row r="1132">
          <cell r="A1132" t="str">
            <v>Daily</v>
          </cell>
          <cell r="B1132" t="str">
            <v>n/a</v>
          </cell>
          <cell r="C1132">
            <v>46251</v>
          </cell>
        </row>
        <row r="1133">
          <cell r="A1133" t="str">
            <v>Daily</v>
          </cell>
          <cell r="B1133" t="str">
            <v>n/a</v>
          </cell>
          <cell r="C1133">
            <v>46251</v>
          </cell>
        </row>
        <row r="1134">
          <cell r="A1134" t="str">
            <v>Daily</v>
          </cell>
          <cell r="B1134" t="str">
            <v>n/a</v>
          </cell>
          <cell r="C1134">
            <v>46251</v>
          </cell>
        </row>
        <row r="1135">
          <cell r="A1135" t="str">
            <v>Daily</v>
          </cell>
          <cell r="B1135" t="str">
            <v>n/a</v>
          </cell>
          <cell r="C1135">
            <v>46251</v>
          </cell>
        </row>
        <row r="1136">
          <cell r="A1136" t="str">
            <v>Daily</v>
          </cell>
          <cell r="B1136" t="str">
            <v>n/a</v>
          </cell>
          <cell r="C1136">
            <v>46251</v>
          </cell>
        </row>
        <row r="1137">
          <cell r="A1137" t="str">
            <v>Daily</v>
          </cell>
          <cell r="B1137" t="str">
            <v>n/a</v>
          </cell>
          <cell r="C1137">
            <v>46252</v>
          </cell>
        </row>
        <row r="1138">
          <cell r="A1138" t="str">
            <v>Daily</v>
          </cell>
          <cell r="B1138" t="str">
            <v>n/a</v>
          </cell>
          <cell r="C1138">
            <v>46252</v>
          </cell>
        </row>
        <row r="1139">
          <cell r="A1139" t="str">
            <v>Daily</v>
          </cell>
          <cell r="B1139" t="str">
            <v>n/a</v>
          </cell>
          <cell r="C1139">
            <v>46252</v>
          </cell>
        </row>
        <row r="1140">
          <cell r="A1140" t="str">
            <v>Daily</v>
          </cell>
          <cell r="B1140" t="str">
            <v>n/a</v>
          </cell>
          <cell r="C1140">
            <v>46252</v>
          </cell>
        </row>
        <row r="1141">
          <cell r="A1141" t="str">
            <v>Daily</v>
          </cell>
          <cell r="B1141" t="str">
            <v>n/a</v>
          </cell>
          <cell r="C1141">
            <v>46252</v>
          </cell>
        </row>
        <row r="1142">
          <cell r="A1142" t="str">
            <v>Daily</v>
          </cell>
          <cell r="B1142" t="str">
            <v>n/a</v>
          </cell>
          <cell r="C1142">
            <v>46252</v>
          </cell>
        </row>
        <row r="1143">
          <cell r="A1143" t="str">
            <v>Daily</v>
          </cell>
          <cell r="B1143" t="str">
            <v>n/a</v>
          </cell>
          <cell r="C1143">
            <v>46252</v>
          </cell>
        </row>
        <row r="1144">
          <cell r="A1144" t="str">
            <v>Daily</v>
          </cell>
          <cell r="B1144" t="str">
            <v>n/a</v>
          </cell>
          <cell r="C1144">
            <v>46252</v>
          </cell>
        </row>
        <row r="1145">
          <cell r="A1145" t="str">
            <v>Daily</v>
          </cell>
          <cell r="B1145" t="str">
            <v>n/a</v>
          </cell>
          <cell r="C1145">
            <v>46252</v>
          </cell>
        </row>
        <row r="1146">
          <cell r="A1146" t="str">
            <v>Daily</v>
          </cell>
          <cell r="B1146" t="str">
            <v>n/a</v>
          </cell>
          <cell r="C1146">
            <v>46252</v>
          </cell>
        </row>
        <row r="1147">
          <cell r="A1147" t="str">
            <v>Daily</v>
          </cell>
          <cell r="B1147" t="str">
            <v>n/a</v>
          </cell>
          <cell r="C1147">
            <v>46252</v>
          </cell>
        </row>
        <row r="1148">
          <cell r="A1148" t="str">
            <v>Daily</v>
          </cell>
          <cell r="B1148" t="str">
            <v>n/a</v>
          </cell>
          <cell r="C1148">
            <v>46252</v>
          </cell>
        </row>
        <row r="1149">
          <cell r="A1149" t="str">
            <v>Daily</v>
          </cell>
          <cell r="B1149" t="str">
            <v>n/a</v>
          </cell>
          <cell r="C1149">
            <v>46252</v>
          </cell>
        </row>
        <row r="1150">
          <cell r="A1150" t="str">
            <v>Daily</v>
          </cell>
          <cell r="B1150" t="str">
            <v>n/a</v>
          </cell>
          <cell r="C1150">
            <v>46252</v>
          </cell>
        </row>
        <row r="1151">
          <cell r="A1151" t="str">
            <v>Daily</v>
          </cell>
          <cell r="B1151" t="str">
            <v>n/a</v>
          </cell>
          <cell r="C1151">
            <v>46252</v>
          </cell>
        </row>
        <row r="1152">
          <cell r="A1152" t="str">
            <v>Daily</v>
          </cell>
          <cell r="B1152" t="str">
            <v>n/a</v>
          </cell>
          <cell r="C1152">
            <v>46252</v>
          </cell>
        </row>
        <row r="1153">
          <cell r="A1153" t="str">
            <v>Daily</v>
          </cell>
          <cell r="B1153" t="str">
            <v>n/a</v>
          </cell>
          <cell r="C1153">
            <v>46252</v>
          </cell>
        </row>
        <row r="1154">
          <cell r="A1154" t="str">
            <v>Daily</v>
          </cell>
          <cell r="B1154" t="str">
            <v>n/a</v>
          </cell>
          <cell r="C1154">
            <v>46252</v>
          </cell>
        </row>
        <row r="1155">
          <cell r="A1155" t="str">
            <v>Daily</v>
          </cell>
          <cell r="B1155" t="str">
            <v>n/a</v>
          </cell>
          <cell r="C1155">
            <v>46253</v>
          </cell>
        </row>
        <row r="1156">
          <cell r="A1156" t="str">
            <v>Daily</v>
          </cell>
          <cell r="B1156" t="str">
            <v>n/a</v>
          </cell>
          <cell r="C1156">
            <v>46253</v>
          </cell>
        </row>
        <row r="1157">
          <cell r="A1157" t="str">
            <v>Daily</v>
          </cell>
          <cell r="B1157" t="str">
            <v>n/a</v>
          </cell>
          <cell r="C1157">
            <v>46253</v>
          </cell>
        </row>
        <row r="1158">
          <cell r="A1158" t="str">
            <v>Daily</v>
          </cell>
          <cell r="B1158" t="str">
            <v>n/a</v>
          </cell>
          <cell r="C1158">
            <v>46253</v>
          </cell>
        </row>
        <row r="1159">
          <cell r="A1159" t="str">
            <v>Daily</v>
          </cell>
          <cell r="B1159" t="str">
            <v>n/a</v>
          </cell>
          <cell r="C1159">
            <v>46253</v>
          </cell>
        </row>
        <row r="1160">
          <cell r="A1160" t="str">
            <v>Daily</v>
          </cell>
          <cell r="B1160" t="str">
            <v>n/a</v>
          </cell>
          <cell r="C1160">
            <v>46253</v>
          </cell>
        </row>
        <row r="1161">
          <cell r="A1161" t="str">
            <v>Daily</v>
          </cell>
          <cell r="B1161" t="str">
            <v>n/a</v>
          </cell>
          <cell r="C1161">
            <v>46253</v>
          </cell>
        </row>
        <row r="1162">
          <cell r="A1162" t="str">
            <v>Daily</v>
          </cell>
          <cell r="B1162" t="str">
            <v>n/a</v>
          </cell>
          <cell r="C1162">
            <v>46253</v>
          </cell>
        </row>
        <row r="1163">
          <cell r="A1163" t="str">
            <v>Daily</v>
          </cell>
          <cell r="B1163" t="str">
            <v>n/a</v>
          </cell>
          <cell r="C1163">
            <v>46253</v>
          </cell>
        </row>
        <row r="1164">
          <cell r="A1164" t="str">
            <v>Daily</v>
          </cell>
          <cell r="B1164" t="str">
            <v>n/a</v>
          </cell>
          <cell r="C1164">
            <v>46253</v>
          </cell>
        </row>
        <row r="1165">
          <cell r="A1165" t="str">
            <v>Daily</v>
          </cell>
          <cell r="B1165" t="str">
            <v>n/a</v>
          </cell>
          <cell r="C1165">
            <v>46253</v>
          </cell>
        </row>
        <row r="1166">
          <cell r="A1166" t="str">
            <v>Daily</v>
          </cell>
          <cell r="B1166" t="str">
            <v>n/a</v>
          </cell>
          <cell r="C1166">
            <v>46253</v>
          </cell>
        </row>
        <row r="1167">
          <cell r="A1167" t="str">
            <v>Daily</v>
          </cell>
          <cell r="B1167" t="str">
            <v>n/a</v>
          </cell>
          <cell r="C1167">
            <v>46253</v>
          </cell>
        </row>
        <row r="1168">
          <cell r="A1168" t="str">
            <v>Daily</v>
          </cell>
          <cell r="B1168" t="str">
            <v>n/a</v>
          </cell>
          <cell r="C1168">
            <v>46253</v>
          </cell>
        </row>
        <row r="1169">
          <cell r="A1169" t="str">
            <v>Daily</v>
          </cell>
          <cell r="B1169" t="str">
            <v>n/a</v>
          </cell>
          <cell r="C1169">
            <v>46253</v>
          </cell>
        </row>
        <row r="1170">
          <cell r="A1170" t="str">
            <v>Daily</v>
          </cell>
          <cell r="B1170" t="str">
            <v>n/a</v>
          </cell>
          <cell r="C1170">
            <v>46253</v>
          </cell>
        </row>
        <row r="1171">
          <cell r="A1171" t="str">
            <v>Daily</v>
          </cell>
          <cell r="B1171" t="str">
            <v>n/a</v>
          </cell>
          <cell r="C1171">
            <v>46253</v>
          </cell>
        </row>
        <row r="1172">
          <cell r="A1172" t="str">
            <v>Daily</v>
          </cell>
          <cell r="B1172" t="str">
            <v>n/a</v>
          </cell>
          <cell r="C1172">
            <v>46253</v>
          </cell>
        </row>
        <row r="1173">
          <cell r="A1173" t="str">
            <v>Error</v>
          </cell>
          <cell r="B1173" t="str">
            <v>20/08-error1</v>
          </cell>
          <cell r="C1173">
            <v>46254</v>
          </cell>
        </row>
        <row r="1174">
          <cell r="A1174" t="str">
            <v>Error</v>
          </cell>
          <cell r="B1174" t="str">
            <v>20/08-error1</v>
          </cell>
          <cell r="C1174">
            <v>46254</v>
          </cell>
        </row>
        <row r="1175">
          <cell r="A1175" t="str">
            <v>Error</v>
          </cell>
          <cell r="B1175" t="str">
            <v>20/08-error1</v>
          </cell>
          <cell r="C1175">
            <v>46254</v>
          </cell>
        </row>
        <row r="1176">
          <cell r="A1176" t="str">
            <v>Error</v>
          </cell>
          <cell r="B1176" t="str">
            <v>20/08-error1</v>
          </cell>
          <cell r="C1176">
            <v>46254</v>
          </cell>
        </row>
        <row r="1177">
          <cell r="A1177" t="str">
            <v>Error</v>
          </cell>
          <cell r="B1177" t="str">
            <v>20/08-error1</v>
          </cell>
          <cell r="C1177">
            <v>46254</v>
          </cell>
        </row>
        <row r="1178">
          <cell r="A1178" t="str">
            <v>Error</v>
          </cell>
          <cell r="B1178" t="str">
            <v>20/08-error1</v>
          </cell>
          <cell r="C1178">
            <v>46254</v>
          </cell>
        </row>
        <row r="1179">
          <cell r="A1179" t="str">
            <v>Error</v>
          </cell>
          <cell r="B1179" t="str">
            <v>20/08-error1</v>
          </cell>
          <cell r="C1179">
            <v>46254</v>
          </cell>
        </row>
        <row r="1180">
          <cell r="A1180" t="str">
            <v>Error</v>
          </cell>
          <cell r="B1180" t="str">
            <v>20/08-error1</v>
          </cell>
          <cell r="C1180">
            <v>46254</v>
          </cell>
        </row>
        <row r="1181">
          <cell r="A1181" t="str">
            <v>Error</v>
          </cell>
          <cell r="B1181" t="str">
            <v>20/08-error1</v>
          </cell>
          <cell r="C1181">
            <v>46254</v>
          </cell>
        </row>
        <row r="1182">
          <cell r="A1182" t="str">
            <v>Error</v>
          </cell>
          <cell r="B1182" t="str">
            <v>20/08-error1</v>
          </cell>
          <cell r="C1182">
            <v>46254</v>
          </cell>
        </row>
        <row r="1183">
          <cell r="A1183" t="str">
            <v>Error</v>
          </cell>
          <cell r="B1183" t="str">
            <v>20/08-error1</v>
          </cell>
          <cell r="C1183">
            <v>46254</v>
          </cell>
        </row>
        <row r="1184">
          <cell r="A1184" t="str">
            <v>Error</v>
          </cell>
          <cell r="B1184" t="str">
            <v>20/08-error1</v>
          </cell>
          <cell r="C1184">
            <v>46254</v>
          </cell>
        </row>
        <row r="1185">
          <cell r="A1185" t="str">
            <v>Error</v>
          </cell>
          <cell r="B1185" t="str">
            <v>20/08-error1</v>
          </cell>
          <cell r="C1185">
            <v>46254</v>
          </cell>
        </row>
        <row r="1186">
          <cell r="A1186" t="str">
            <v>Error</v>
          </cell>
          <cell r="B1186" t="str">
            <v>20/08-error1</v>
          </cell>
          <cell r="C1186">
            <v>46254</v>
          </cell>
        </row>
        <row r="1187">
          <cell r="A1187" t="str">
            <v>Error</v>
          </cell>
          <cell r="B1187" t="str">
            <v>20/08-error1</v>
          </cell>
          <cell r="C1187">
            <v>46254</v>
          </cell>
        </row>
        <row r="1188">
          <cell r="A1188" t="str">
            <v>Error</v>
          </cell>
          <cell r="B1188" t="str">
            <v>20/08-error1</v>
          </cell>
          <cell r="C1188">
            <v>46254</v>
          </cell>
        </row>
        <row r="1189">
          <cell r="A1189" t="str">
            <v>Error</v>
          </cell>
          <cell r="B1189" t="str">
            <v>20/08-error1</v>
          </cell>
          <cell r="C1189">
            <v>46254</v>
          </cell>
        </row>
        <row r="1190">
          <cell r="A1190" t="str">
            <v>Error</v>
          </cell>
          <cell r="B1190" t="str">
            <v>20/08-error1</v>
          </cell>
          <cell r="C1190">
            <v>46254</v>
          </cell>
        </row>
        <row r="1191">
          <cell r="A1191" t="str">
            <v>Daily</v>
          </cell>
          <cell r="B1191" t="str">
            <v>n/a</v>
          </cell>
          <cell r="C1191">
            <v>46254</v>
          </cell>
        </row>
        <row r="1192">
          <cell r="A1192" t="str">
            <v>Daily</v>
          </cell>
          <cell r="B1192" t="str">
            <v>n/a</v>
          </cell>
          <cell r="C1192">
            <v>46254</v>
          </cell>
        </row>
        <row r="1193">
          <cell r="A1193" t="str">
            <v>Daily</v>
          </cell>
          <cell r="B1193" t="str">
            <v>n/a</v>
          </cell>
          <cell r="C1193">
            <v>46254</v>
          </cell>
        </row>
        <row r="1194">
          <cell r="A1194" t="str">
            <v>Daily</v>
          </cell>
          <cell r="B1194" t="str">
            <v>n/a</v>
          </cell>
          <cell r="C1194">
            <v>46254</v>
          </cell>
        </row>
        <row r="1195">
          <cell r="A1195" t="str">
            <v>Daily</v>
          </cell>
          <cell r="B1195" t="str">
            <v>n/a</v>
          </cell>
          <cell r="C1195">
            <v>46254</v>
          </cell>
        </row>
        <row r="1196">
          <cell r="A1196" t="str">
            <v>Daily</v>
          </cell>
          <cell r="B1196" t="str">
            <v>n/a</v>
          </cell>
          <cell r="C1196">
            <v>46254</v>
          </cell>
        </row>
        <row r="1197">
          <cell r="A1197" t="str">
            <v>Daily</v>
          </cell>
          <cell r="B1197" t="str">
            <v>n/a</v>
          </cell>
          <cell r="C1197">
            <v>46254</v>
          </cell>
        </row>
        <row r="1198">
          <cell r="A1198" t="str">
            <v>Daily</v>
          </cell>
          <cell r="B1198" t="str">
            <v>n/a</v>
          </cell>
          <cell r="C1198">
            <v>46254</v>
          </cell>
        </row>
        <row r="1199">
          <cell r="A1199" t="str">
            <v>Daily</v>
          </cell>
          <cell r="B1199" t="str">
            <v>n/a</v>
          </cell>
          <cell r="C1199">
            <v>46254</v>
          </cell>
        </row>
        <row r="1200">
          <cell r="A1200" t="str">
            <v>Daily</v>
          </cell>
          <cell r="B1200" t="str">
            <v>n/a</v>
          </cell>
          <cell r="C1200">
            <v>46254</v>
          </cell>
        </row>
        <row r="1201">
          <cell r="A1201" t="str">
            <v>Daily</v>
          </cell>
          <cell r="B1201" t="str">
            <v>n/a</v>
          </cell>
          <cell r="C1201">
            <v>46254</v>
          </cell>
        </row>
        <row r="1202">
          <cell r="A1202" t="str">
            <v>Daily</v>
          </cell>
          <cell r="B1202" t="str">
            <v>n/a</v>
          </cell>
          <cell r="C1202">
            <v>46254</v>
          </cell>
        </row>
        <row r="1203">
          <cell r="A1203" t="str">
            <v>Daily</v>
          </cell>
          <cell r="B1203" t="str">
            <v>n/a</v>
          </cell>
          <cell r="C1203">
            <v>46254</v>
          </cell>
        </row>
        <row r="1204">
          <cell r="A1204" t="str">
            <v>Daily</v>
          </cell>
          <cell r="B1204" t="str">
            <v>n/a</v>
          </cell>
          <cell r="C1204">
            <v>46254</v>
          </cell>
        </row>
        <row r="1205">
          <cell r="A1205" t="str">
            <v>Daily</v>
          </cell>
          <cell r="B1205" t="str">
            <v>n/a</v>
          </cell>
          <cell r="C1205">
            <v>46254</v>
          </cell>
        </row>
        <row r="1206">
          <cell r="A1206" t="str">
            <v>Daily</v>
          </cell>
          <cell r="B1206" t="str">
            <v>n/a</v>
          </cell>
          <cell r="C1206">
            <v>46254</v>
          </cell>
        </row>
        <row r="1207">
          <cell r="A1207" t="str">
            <v>Daily</v>
          </cell>
          <cell r="B1207" t="str">
            <v>n/a</v>
          </cell>
          <cell r="C1207">
            <v>46254</v>
          </cell>
        </row>
        <row r="1208">
          <cell r="A1208" t="str">
            <v>Daily</v>
          </cell>
          <cell r="B1208" t="str">
            <v>n/a</v>
          </cell>
          <cell r="C1208">
            <v>46254</v>
          </cell>
        </row>
        <row r="1209">
          <cell r="A1209" t="str">
            <v>Trial</v>
          </cell>
          <cell r="B1209" t="str">
            <v>speed_cam11_slow_1</v>
          </cell>
          <cell r="C1209">
            <v>46253</v>
          </cell>
        </row>
        <row r="1210">
          <cell r="A1210" t="str">
            <v>Trial</v>
          </cell>
          <cell r="B1210" t="str">
            <v>speed_cam11_slow_2</v>
          </cell>
          <cell r="C1210">
            <v>46253</v>
          </cell>
        </row>
        <row r="1211">
          <cell r="A1211" t="str">
            <v>Trial</v>
          </cell>
          <cell r="B1211" t="str">
            <v>speed_cam11_fast_1</v>
          </cell>
          <cell r="C1211">
            <v>46253</v>
          </cell>
        </row>
        <row r="1212">
          <cell r="A1212" t="str">
            <v>Trial</v>
          </cell>
          <cell r="B1212" t="str">
            <v>speed_cam11_fast_2</v>
          </cell>
          <cell r="C1212">
            <v>46253</v>
          </cell>
        </row>
        <row r="1213">
          <cell r="A1213" t="str">
            <v>Trial</v>
          </cell>
          <cell r="B1213" t="str">
            <v>speed_cam11_slow_3</v>
          </cell>
          <cell r="C1213">
            <v>46253</v>
          </cell>
        </row>
        <row r="1214">
          <cell r="A1214" t="str">
            <v>Trial</v>
          </cell>
          <cell r="B1214" t="str">
            <v>speed_cam11_fast_3</v>
          </cell>
          <cell r="C1214">
            <v>46253</v>
          </cell>
        </row>
        <row r="1215">
          <cell r="A1215" t="str">
            <v>Error</v>
          </cell>
          <cell r="B1215" t="str">
            <v>no-reset-grayscale-all</v>
          </cell>
          <cell r="C1215">
            <v>46255</v>
          </cell>
        </row>
        <row r="1216">
          <cell r="A1216" t="str">
            <v>Error</v>
          </cell>
          <cell r="B1216" t="str">
            <v>no-reset-grayscale-all</v>
          </cell>
          <cell r="C1216">
            <v>46255</v>
          </cell>
        </row>
        <row r="1217">
          <cell r="A1217" t="str">
            <v>Error</v>
          </cell>
          <cell r="B1217" t="str">
            <v>no-reset-grayscale-all</v>
          </cell>
          <cell r="C1217">
            <v>46255</v>
          </cell>
        </row>
        <row r="1218">
          <cell r="A1218" t="str">
            <v>Error</v>
          </cell>
          <cell r="B1218" t="str">
            <v>no-reset-grayscale-all</v>
          </cell>
          <cell r="C1218">
            <v>46255</v>
          </cell>
        </row>
        <row r="1219">
          <cell r="A1219" t="str">
            <v>Error</v>
          </cell>
          <cell r="B1219" t="str">
            <v>no-reset-grayscale-all</v>
          </cell>
          <cell r="C1219">
            <v>46255</v>
          </cell>
        </row>
        <row r="1220">
          <cell r="A1220" t="str">
            <v>Error</v>
          </cell>
          <cell r="B1220" t="str">
            <v>no-reset-grayscale-all</v>
          </cell>
          <cell r="C1220">
            <v>46255</v>
          </cell>
        </row>
        <row r="1221">
          <cell r="A1221" t="str">
            <v>Error</v>
          </cell>
          <cell r="B1221" t="str">
            <v>no-reset-grayscale-all</v>
          </cell>
          <cell r="C1221">
            <v>46255</v>
          </cell>
        </row>
        <row r="1222">
          <cell r="A1222" t="str">
            <v>Error</v>
          </cell>
          <cell r="B1222" t="str">
            <v>no-reset-grayscale-all</v>
          </cell>
          <cell r="C1222">
            <v>46255</v>
          </cell>
        </row>
        <row r="1223">
          <cell r="A1223" t="str">
            <v>Error</v>
          </cell>
          <cell r="B1223" t="str">
            <v>no-reset-grayscale-all</v>
          </cell>
          <cell r="C1223">
            <v>46255</v>
          </cell>
        </row>
        <row r="1224">
          <cell r="A1224" t="str">
            <v>Error</v>
          </cell>
          <cell r="B1224" t="str">
            <v>no-reset-grayscale-all</v>
          </cell>
          <cell r="C1224">
            <v>46255</v>
          </cell>
        </row>
        <row r="1225">
          <cell r="A1225" t="str">
            <v>Error</v>
          </cell>
          <cell r="B1225" t="str">
            <v>no-reset-grayscale-all</v>
          </cell>
          <cell r="C1225">
            <v>46255</v>
          </cell>
        </row>
        <row r="1226">
          <cell r="A1226" t="str">
            <v>Error</v>
          </cell>
          <cell r="B1226" t="str">
            <v>no-reset-grayscale-all</v>
          </cell>
          <cell r="C1226">
            <v>46255</v>
          </cell>
        </row>
        <row r="1227">
          <cell r="A1227" t="str">
            <v>Error</v>
          </cell>
          <cell r="B1227" t="str">
            <v>no-reset-grayscale-all</v>
          </cell>
          <cell r="C1227">
            <v>46255</v>
          </cell>
        </row>
        <row r="1228">
          <cell r="A1228" t="str">
            <v>Error</v>
          </cell>
          <cell r="B1228" t="str">
            <v>no-reset-grayscale-all</v>
          </cell>
          <cell r="C1228">
            <v>46255</v>
          </cell>
        </row>
        <row r="1229">
          <cell r="A1229" t="str">
            <v>Error</v>
          </cell>
          <cell r="B1229" t="str">
            <v>no-reset-grayscale-all</v>
          </cell>
          <cell r="C1229">
            <v>46255</v>
          </cell>
        </row>
        <row r="1230">
          <cell r="A1230" t="str">
            <v>Error</v>
          </cell>
          <cell r="B1230" t="str">
            <v>no-reset-grayscale-all</v>
          </cell>
          <cell r="C1230">
            <v>46255</v>
          </cell>
        </row>
        <row r="1231">
          <cell r="A1231" t="str">
            <v>Error</v>
          </cell>
          <cell r="B1231" t="str">
            <v>no-reset-grayscale-all</v>
          </cell>
          <cell r="C1231">
            <v>46255</v>
          </cell>
        </row>
        <row r="1232">
          <cell r="A1232" t="str">
            <v>Error</v>
          </cell>
          <cell r="B1232" t="str">
            <v>no-reset-grayscale-all</v>
          </cell>
          <cell r="C1232">
            <v>46255</v>
          </cell>
        </row>
        <row r="1233">
          <cell r="A1233" t="str">
            <v>Daily</v>
          </cell>
          <cell r="B1233" t="str">
            <v>n/a</v>
          </cell>
          <cell r="C1233">
            <v>46255</v>
          </cell>
        </row>
        <row r="1234">
          <cell r="A1234" t="str">
            <v>Daily</v>
          </cell>
          <cell r="B1234" t="str">
            <v>n/a</v>
          </cell>
          <cell r="C1234">
            <v>46255</v>
          </cell>
        </row>
        <row r="1235">
          <cell r="A1235" t="str">
            <v>Daily</v>
          </cell>
          <cell r="B1235" t="str">
            <v>n/a</v>
          </cell>
          <cell r="C1235">
            <v>46255</v>
          </cell>
        </row>
        <row r="1236">
          <cell r="A1236" t="str">
            <v>Daily</v>
          </cell>
          <cell r="B1236" t="str">
            <v>n/a</v>
          </cell>
          <cell r="C1236">
            <v>46255</v>
          </cell>
        </row>
        <row r="1237">
          <cell r="A1237" t="str">
            <v>Daily</v>
          </cell>
          <cell r="B1237" t="str">
            <v>n/a</v>
          </cell>
          <cell r="C1237">
            <v>46255</v>
          </cell>
        </row>
        <row r="1238">
          <cell r="A1238" t="str">
            <v>Daily</v>
          </cell>
          <cell r="B1238" t="str">
            <v>n/a</v>
          </cell>
          <cell r="C1238">
            <v>46255</v>
          </cell>
        </row>
        <row r="1239">
          <cell r="A1239" t="str">
            <v>Daily</v>
          </cell>
          <cell r="B1239" t="str">
            <v>n/a</v>
          </cell>
          <cell r="C1239">
            <v>46255</v>
          </cell>
        </row>
        <row r="1240">
          <cell r="A1240" t="str">
            <v>Daily</v>
          </cell>
          <cell r="B1240" t="str">
            <v>n/a</v>
          </cell>
          <cell r="C1240">
            <v>46255</v>
          </cell>
        </row>
        <row r="1241">
          <cell r="A1241" t="str">
            <v>Daily</v>
          </cell>
          <cell r="B1241" t="str">
            <v>n/a</v>
          </cell>
          <cell r="C1241">
            <v>46255</v>
          </cell>
        </row>
        <row r="1242">
          <cell r="A1242" t="str">
            <v>Daily</v>
          </cell>
          <cell r="B1242" t="str">
            <v>n/a</v>
          </cell>
          <cell r="C1242">
            <v>46255</v>
          </cell>
        </row>
        <row r="1243">
          <cell r="A1243" t="str">
            <v>Daily</v>
          </cell>
          <cell r="B1243" t="str">
            <v>n/a</v>
          </cell>
          <cell r="C1243">
            <v>46255</v>
          </cell>
        </row>
        <row r="1244">
          <cell r="A1244" t="str">
            <v>Daily</v>
          </cell>
          <cell r="B1244" t="str">
            <v>n/a</v>
          </cell>
          <cell r="C1244">
            <v>46255</v>
          </cell>
        </row>
        <row r="1245">
          <cell r="A1245" t="str">
            <v>Daily</v>
          </cell>
          <cell r="B1245" t="str">
            <v>n/a</v>
          </cell>
          <cell r="C1245">
            <v>46255</v>
          </cell>
        </row>
        <row r="1246">
          <cell r="A1246" t="str">
            <v>Daily</v>
          </cell>
          <cell r="B1246" t="str">
            <v>n/a</v>
          </cell>
          <cell r="C1246">
            <v>46255</v>
          </cell>
        </row>
        <row r="1247">
          <cell r="A1247" t="str">
            <v>Daily</v>
          </cell>
          <cell r="B1247" t="str">
            <v>n/a</v>
          </cell>
          <cell r="C1247">
            <v>46255</v>
          </cell>
        </row>
        <row r="1248">
          <cell r="A1248" t="str">
            <v>Daily</v>
          </cell>
          <cell r="B1248" t="str">
            <v>n/a</v>
          </cell>
          <cell r="C1248">
            <v>46255</v>
          </cell>
        </row>
        <row r="1249">
          <cell r="A1249" t="str">
            <v>Daily</v>
          </cell>
          <cell r="B1249" t="str">
            <v>n/a</v>
          </cell>
          <cell r="C1249">
            <v>46255</v>
          </cell>
        </row>
        <row r="1250">
          <cell r="A1250" t="str">
            <v>Daily</v>
          </cell>
          <cell r="B1250" t="str">
            <v>n/a</v>
          </cell>
          <cell r="C1250">
            <v>46255</v>
          </cell>
        </row>
        <row r="1251">
          <cell r="A1251" t="str">
            <v>Trial</v>
          </cell>
          <cell r="B1251" t="str">
            <v>reflection-trial-2</v>
          </cell>
          <cell r="C1251">
            <v>46255</v>
          </cell>
        </row>
        <row r="1252">
          <cell r="A1252" t="str">
            <v>Trial</v>
          </cell>
          <cell r="B1252" t="str">
            <v>reflection-trial-2</v>
          </cell>
          <cell r="C1252">
            <v>46255</v>
          </cell>
        </row>
        <row r="1253">
          <cell r="A1253" t="str">
            <v>Trial</v>
          </cell>
          <cell r="B1253" t="str">
            <v>reflection-trial-2</v>
          </cell>
          <cell r="C1253">
            <v>46255</v>
          </cell>
        </row>
        <row r="1254">
          <cell r="A1254" t="str">
            <v>Trial</v>
          </cell>
          <cell r="B1254" t="str">
            <v>reflection-trial-2</v>
          </cell>
          <cell r="C1254">
            <v>46255</v>
          </cell>
        </row>
        <row r="1255">
          <cell r="A1255" t="str">
            <v>Trial</v>
          </cell>
          <cell r="B1255" t="str">
            <v>reflection-trial-2</v>
          </cell>
          <cell r="C1255">
            <v>46255</v>
          </cell>
        </row>
        <row r="1256">
          <cell r="A1256" t="str">
            <v>Trial</v>
          </cell>
          <cell r="B1256" t="str">
            <v>reflection-trial-2</v>
          </cell>
          <cell r="C1256">
            <v>46255</v>
          </cell>
        </row>
        <row r="1257">
          <cell r="A1257" t="str">
            <v>Trial</v>
          </cell>
          <cell r="B1257" t="str">
            <v>reflection-trial-2</v>
          </cell>
          <cell r="C1257">
            <v>46255</v>
          </cell>
        </row>
        <row r="1258">
          <cell r="A1258" t="str">
            <v>Trial</v>
          </cell>
          <cell r="B1258" t="str">
            <v>reflection-trial-2</v>
          </cell>
          <cell r="C1258">
            <v>46255</v>
          </cell>
        </row>
        <row r="1259">
          <cell r="A1259" t="str">
            <v>Trial</v>
          </cell>
          <cell r="B1259" t="str">
            <v>reflection-trial-2</v>
          </cell>
          <cell r="C1259">
            <v>46255</v>
          </cell>
        </row>
        <row r="1260">
          <cell r="A1260" t="str">
            <v>Trial</v>
          </cell>
          <cell r="B1260" t="str">
            <v>reflection-trial-2</v>
          </cell>
          <cell r="C1260">
            <v>46255</v>
          </cell>
        </row>
        <row r="1261">
          <cell r="A1261" t="str">
            <v>Trial</v>
          </cell>
          <cell r="B1261" t="str">
            <v>reflection-trial-2</v>
          </cell>
          <cell r="C1261">
            <v>46255</v>
          </cell>
        </row>
        <row r="1262">
          <cell r="A1262" t="str">
            <v>Trial</v>
          </cell>
          <cell r="B1262" t="str">
            <v>reflection-trial-2</v>
          </cell>
          <cell r="C1262">
            <v>46255</v>
          </cell>
        </row>
        <row r="1263">
          <cell r="A1263" t="str">
            <v>Trial</v>
          </cell>
          <cell r="B1263" t="str">
            <v>reflection-trial-2</v>
          </cell>
          <cell r="C1263">
            <v>46255</v>
          </cell>
        </row>
        <row r="1264">
          <cell r="A1264" t="str">
            <v>Trial</v>
          </cell>
          <cell r="B1264" t="str">
            <v>reflection-trial-2</v>
          </cell>
          <cell r="C1264">
            <v>46255</v>
          </cell>
        </row>
        <row r="1265">
          <cell r="A1265" t="str">
            <v>Trial</v>
          </cell>
          <cell r="B1265" t="str">
            <v>reflection-trial-2</v>
          </cell>
          <cell r="C1265">
            <v>46255</v>
          </cell>
        </row>
        <row r="1266">
          <cell r="A1266" t="str">
            <v>Trial</v>
          </cell>
          <cell r="B1266" t="str">
            <v>reflection-trial-2</v>
          </cell>
          <cell r="C1266">
            <v>46255</v>
          </cell>
        </row>
        <row r="1267">
          <cell r="A1267" t="str">
            <v>Trial</v>
          </cell>
          <cell r="B1267" t="str">
            <v>reflection-trial-2</v>
          </cell>
          <cell r="C1267">
            <v>46255</v>
          </cell>
        </row>
        <row r="1268">
          <cell r="A1268" t="str">
            <v>Trial</v>
          </cell>
          <cell r="B1268" t="str">
            <v>reflection-trial-2</v>
          </cell>
          <cell r="C1268">
            <v>46255</v>
          </cell>
        </row>
        <row r="1269">
          <cell r="B1269" t="str">
            <v/>
          </cell>
        </row>
        <row r="1270">
          <cell r="B1270" t="str">
            <v/>
          </cell>
        </row>
        <row r="1271">
          <cell r="B1271" t="str">
            <v/>
          </cell>
        </row>
        <row r="1272">
          <cell r="B1272" t="str">
            <v/>
          </cell>
        </row>
        <row r="1273">
          <cell r="B1273" t="str">
            <v/>
          </cell>
        </row>
        <row r="1274">
          <cell r="B1274" t="str">
            <v/>
          </cell>
        </row>
        <row r="1275">
          <cell r="B1275" t="str">
            <v/>
          </cell>
        </row>
        <row r="1276">
          <cell r="B1276" t="str">
            <v/>
          </cell>
        </row>
        <row r="1277">
          <cell r="B1277" t="str">
            <v/>
          </cell>
        </row>
        <row r="1278">
          <cell r="B1278" t="str">
            <v/>
          </cell>
        </row>
        <row r="1279">
          <cell r="B1279" t="str">
            <v/>
          </cell>
        </row>
        <row r="1280">
          <cell r="B1280" t="str">
            <v/>
          </cell>
        </row>
        <row r="1281">
          <cell r="B1281" t="str">
            <v/>
          </cell>
        </row>
        <row r="1282">
          <cell r="B1282" t="str">
            <v/>
          </cell>
        </row>
        <row r="1283">
          <cell r="B1283" t="str">
            <v/>
          </cell>
        </row>
        <row r="1284">
          <cell r="B1284" t="str">
            <v/>
          </cell>
        </row>
        <row r="1285">
          <cell r="B1285" t="str">
            <v/>
          </cell>
        </row>
        <row r="1286">
          <cell r="B1286" t="str">
            <v/>
          </cell>
        </row>
        <row r="1287">
          <cell r="B1287" t="str">
            <v/>
          </cell>
        </row>
        <row r="1288">
          <cell r="B1288" t="str">
            <v/>
          </cell>
        </row>
        <row r="1289">
          <cell r="B1289" t="str">
            <v/>
          </cell>
        </row>
        <row r="1290">
          <cell r="B1290" t="str">
            <v/>
          </cell>
        </row>
        <row r="1291">
          <cell r="B1291" t="str">
            <v/>
          </cell>
        </row>
        <row r="1292">
          <cell r="B1292" t="str">
            <v/>
          </cell>
        </row>
        <row r="1293">
          <cell r="B1293" t="str">
            <v/>
          </cell>
        </row>
        <row r="1294">
          <cell r="B1294" t="str">
            <v/>
          </cell>
        </row>
        <row r="1295">
          <cell r="B1295" t="str">
            <v/>
          </cell>
        </row>
        <row r="1296">
          <cell r="B1296" t="str">
            <v/>
          </cell>
        </row>
        <row r="1297">
          <cell r="B1297" t="str">
            <v/>
          </cell>
        </row>
        <row r="1298">
          <cell r="B1298" t="str">
            <v/>
          </cell>
        </row>
        <row r="1299">
          <cell r="B1299" t="str">
            <v/>
          </cell>
        </row>
        <row r="1300">
          <cell r="B1300" t="str">
            <v/>
          </cell>
        </row>
        <row r="1301">
          <cell r="B1301" t="str">
            <v/>
          </cell>
        </row>
        <row r="1302">
          <cell r="B1302" t="str">
            <v/>
          </cell>
        </row>
        <row r="1303">
          <cell r="B1303" t="str">
            <v/>
          </cell>
        </row>
        <row r="1304">
          <cell r="B1304" t="str">
            <v/>
          </cell>
        </row>
        <row r="1305">
          <cell r="B1305" t="str">
            <v/>
          </cell>
        </row>
        <row r="1306">
          <cell r="B1306" t="str">
            <v/>
          </cell>
        </row>
        <row r="1307">
          <cell r="B1307" t="str">
            <v/>
          </cell>
        </row>
        <row r="1308">
          <cell r="B1308" t="str">
            <v/>
          </cell>
        </row>
        <row r="1309">
          <cell r="B1309" t="str">
            <v/>
          </cell>
        </row>
        <row r="1310">
          <cell r="B1310" t="str">
            <v/>
          </cell>
        </row>
        <row r="1311">
          <cell r="B1311" t="str">
            <v/>
          </cell>
        </row>
        <row r="1312">
          <cell r="B1312" t="str">
            <v/>
          </cell>
        </row>
        <row r="1313">
          <cell r="B1313" t="str">
            <v/>
          </cell>
        </row>
        <row r="1314">
          <cell r="B1314" t="str">
            <v/>
          </cell>
        </row>
        <row r="1315">
          <cell r="B1315" t="str">
            <v/>
          </cell>
        </row>
        <row r="1316">
          <cell r="B1316" t="str">
            <v/>
          </cell>
        </row>
        <row r="1317">
          <cell r="B1317" t="str">
            <v/>
          </cell>
        </row>
        <row r="1318">
          <cell r="B1318" t="str">
            <v/>
          </cell>
        </row>
        <row r="1319">
          <cell r="B1319" t="str">
            <v/>
          </cell>
        </row>
        <row r="1320">
          <cell r="B1320" t="str">
            <v/>
          </cell>
        </row>
        <row r="1321">
          <cell r="B1321" t="str">
            <v/>
          </cell>
        </row>
        <row r="1322">
          <cell r="B1322" t="str">
            <v/>
          </cell>
        </row>
        <row r="1323">
          <cell r="B1323" t="str">
            <v/>
          </cell>
        </row>
        <row r="1324">
          <cell r="B1324" t="str">
            <v/>
          </cell>
        </row>
        <row r="1325">
          <cell r="B1325" t="str">
            <v/>
          </cell>
        </row>
        <row r="1326">
          <cell r="B1326" t="str">
            <v/>
          </cell>
        </row>
        <row r="1327">
          <cell r="B1327" t="str">
            <v/>
          </cell>
        </row>
        <row r="1328">
          <cell r="B1328" t="str">
            <v/>
          </cell>
        </row>
        <row r="1329">
          <cell r="B1329" t="str">
            <v/>
          </cell>
        </row>
        <row r="1330">
          <cell r="B1330" t="str">
            <v/>
          </cell>
        </row>
        <row r="1331">
          <cell r="B1331" t="str">
            <v/>
          </cell>
        </row>
        <row r="1332">
          <cell r="B1332" t="str">
            <v/>
          </cell>
        </row>
        <row r="1333">
          <cell r="B1333" t="str">
            <v/>
          </cell>
        </row>
        <row r="1334">
          <cell r="B1334" t="str">
            <v/>
          </cell>
        </row>
        <row r="1335">
          <cell r="B1335" t="str">
            <v/>
          </cell>
        </row>
        <row r="1336">
          <cell r="B1336" t="str">
            <v/>
          </cell>
        </row>
        <row r="1337">
          <cell r="B1337" t="str">
            <v/>
          </cell>
        </row>
        <row r="1338">
          <cell r="B1338" t="str">
            <v/>
          </cell>
        </row>
        <row r="1339">
          <cell r="B1339" t="str">
            <v/>
          </cell>
        </row>
        <row r="1340">
          <cell r="B1340" t="str">
            <v/>
          </cell>
        </row>
        <row r="1341">
          <cell r="B1341" t="str">
            <v/>
          </cell>
        </row>
        <row r="1342">
          <cell r="B1342" t="str">
            <v/>
          </cell>
        </row>
        <row r="1343">
          <cell r="B1343" t="str">
            <v/>
          </cell>
        </row>
        <row r="1344">
          <cell r="B1344" t="str">
            <v/>
          </cell>
        </row>
        <row r="1345">
          <cell r="B1345" t="str">
            <v/>
          </cell>
        </row>
        <row r="1346">
          <cell r="B1346" t="str">
            <v/>
          </cell>
        </row>
        <row r="1347">
          <cell r="B1347" t="str">
            <v/>
          </cell>
        </row>
        <row r="1348">
          <cell r="B1348" t="str">
            <v/>
          </cell>
        </row>
        <row r="1349">
          <cell r="B1349" t="str">
            <v/>
          </cell>
        </row>
        <row r="1350">
          <cell r="B1350" t="str">
            <v/>
          </cell>
        </row>
        <row r="1351">
          <cell r="B1351" t="str">
            <v/>
          </cell>
        </row>
        <row r="1352">
          <cell r="B1352" t="str">
            <v/>
          </cell>
        </row>
        <row r="1353">
          <cell r="B1353" t="str">
            <v/>
          </cell>
        </row>
        <row r="1354">
          <cell r="B1354" t="str">
            <v/>
          </cell>
        </row>
        <row r="1355">
          <cell r="B1355" t="str">
            <v/>
          </cell>
        </row>
        <row r="1356">
          <cell r="B1356" t="str">
            <v/>
          </cell>
        </row>
        <row r="1357">
          <cell r="B1357" t="str">
            <v/>
          </cell>
        </row>
        <row r="1358">
          <cell r="B1358" t="str">
            <v/>
          </cell>
        </row>
        <row r="1359">
          <cell r="B1359" t="str">
            <v/>
          </cell>
        </row>
        <row r="1360">
          <cell r="B1360" t="str">
            <v/>
          </cell>
        </row>
        <row r="1361">
          <cell r="B1361" t="str">
            <v/>
          </cell>
        </row>
        <row r="1362">
          <cell r="B1362" t="str">
            <v/>
          </cell>
        </row>
        <row r="1363">
          <cell r="B1363" t="str">
            <v/>
          </cell>
        </row>
        <row r="1364">
          <cell r="B1364" t="str">
            <v/>
          </cell>
        </row>
        <row r="1365">
          <cell r="B1365" t="str">
            <v/>
          </cell>
        </row>
        <row r="1366">
          <cell r="B1366" t="str">
            <v/>
          </cell>
        </row>
        <row r="1367">
          <cell r="B1367" t="str">
            <v/>
          </cell>
        </row>
        <row r="1368">
          <cell r="B1368" t="str">
            <v/>
          </cell>
        </row>
        <row r="1369">
          <cell r="B1369" t="str">
            <v/>
          </cell>
        </row>
        <row r="1370">
          <cell r="B1370" t="str">
            <v/>
          </cell>
        </row>
        <row r="1371">
          <cell r="B1371" t="str">
            <v/>
          </cell>
        </row>
        <row r="1372">
          <cell r="B1372" t="str">
            <v/>
          </cell>
        </row>
        <row r="1373">
          <cell r="B1373" t="str">
            <v/>
          </cell>
        </row>
        <row r="1374">
          <cell r="B1374" t="str">
            <v/>
          </cell>
        </row>
        <row r="1375">
          <cell r="B1375" t="str">
            <v/>
          </cell>
        </row>
        <row r="1376">
          <cell r="B1376" t="str">
            <v/>
          </cell>
        </row>
        <row r="1377">
          <cell r="B1377" t="str">
            <v/>
          </cell>
        </row>
        <row r="1378">
          <cell r="B1378" t="str">
            <v/>
          </cell>
        </row>
        <row r="1379">
          <cell r="B1379" t="str">
            <v/>
          </cell>
        </row>
        <row r="1380">
          <cell r="B1380" t="str">
            <v/>
          </cell>
        </row>
        <row r="1381">
          <cell r="B1381" t="str">
            <v/>
          </cell>
        </row>
        <row r="1382">
          <cell r="B1382" t="str">
            <v/>
          </cell>
        </row>
        <row r="1383">
          <cell r="B1383" t="str">
            <v/>
          </cell>
        </row>
        <row r="1384">
          <cell r="B1384" t="str">
            <v/>
          </cell>
        </row>
        <row r="1385">
          <cell r="B1385" t="str">
            <v/>
          </cell>
        </row>
        <row r="1386">
          <cell r="B1386" t="str">
            <v/>
          </cell>
        </row>
        <row r="1387">
          <cell r="B1387" t="str">
            <v/>
          </cell>
        </row>
        <row r="1388">
          <cell r="B1388" t="str">
            <v/>
          </cell>
        </row>
        <row r="1389">
          <cell r="B1389" t="str">
            <v/>
          </cell>
        </row>
        <row r="1390">
          <cell r="B1390" t="str">
            <v/>
          </cell>
        </row>
        <row r="1391">
          <cell r="B1391" t="str">
            <v/>
          </cell>
        </row>
        <row r="1392">
          <cell r="B1392" t="str">
            <v/>
          </cell>
        </row>
        <row r="1393">
          <cell r="B1393" t="str">
            <v/>
          </cell>
        </row>
        <row r="1394">
          <cell r="B1394" t="str">
            <v/>
          </cell>
        </row>
        <row r="1395">
          <cell r="B1395" t="str">
            <v/>
          </cell>
        </row>
        <row r="1396">
          <cell r="B1396" t="str">
            <v/>
          </cell>
        </row>
        <row r="1397">
          <cell r="B1397" t="str">
            <v/>
          </cell>
        </row>
        <row r="1398">
          <cell r="B1398" t="str">
            <v/>
          </cell>
        </row>
        <row r="1399">
          <cell r="B1399" t="str">
            <v/>
          </cell>
        </row>
        <row r="1400">
          <cell r="B1400" t="str">
            <v/>
          </cell>
        </row>
        <row r="1401">
          <cell r="B1401" t="str">
            <v/>
          </cell>
        </row>
        <row r="1402">
          <cell r="B1402" t="str">
            <v/>
          </cell>
        </row>
        <row r="1403">
          <cell r="B1403" t="str">
            <v/>
          </cell>
        </row>
        <row r="1404">
          <cell r="B1404" t="str">
            <v/>
          </cell>
        </row>
        <row r="1405">
          <cell r="B1405" t="str">
            <v/>
          </cell>
        </row>
        <row r="1406">
          <cell r="B1406" t="str">
            <v/>
          </cell>
        </row>
        <row r="1407">
          <cell r="B1407" t="str">
            <v/>
          </cell>
        </row>
        <row r="1408">
          <cell r="B1408" t="str">
            <v/>
          </cell>
        </row>
        <row r="1409">
          <cell r="B1409" t="str">
            <v/>
          </cell>
        </row>
        <row r="1410">
          <cell r="B1410" t="str">
            <v/>
          </cell>
        </row>
        <row r="1411">
          <cell r="B1411" t="str">
            <v/>
          </cell>
        </row>
        <row r="1412">
          <cell r="B1412" t="str">
            <v/>
          </cell>
        </row>
        <row r="1413">
          <cell r="B1413" t="str">
            <v/>
          </cell>
        </row>
        <row r="1414">
          <cell r="B1414" t="str">
            <v/>
          </cell>
        </row>
        <row r="1415">
          <cell r="B1415" t="str">
            <v/>
          </cell>
        </row>
        <row r="1416">
          <cell r="B1416" t="str">
            <v/>
          </cell>
        </row>
        <row r="1417">
          <cell r="B1417" t="str">
            <v/>
          </cell>
        </row>
        <row r="1418">
          <cell r="B1418" t="str">
            <v/>
          </cell>
        </row>
        <row r="1419">
          <cell r="B1419" t="str">
            <v/>
          </cell>
        </row>
        <row r="1420">
          <cell r="B1420" t="str">
            <v/>
          </cell>
        </row>
        <row r="1421">
          <cell r="B1421" t="str">
            <v/>
          </cell>
        </row>
        <row r="1422">
          <cell r="B1422" t="str">
            <v/>
          </cell>
        </row>
        <row r="1423">
          <cell r="B1423" t="str">
            <v/>
          </cell>
        </row>
        <row r="1424">
          <cell r="B1424" t="str">
            <v/>
          </cell>
        </row>
        <row r="1425">
          <cell r="B1425" t="str">
            <v/>
          </cell>
        </row>
        <row r="1426">
          <cell r="B1426" t="str">
            <v/>
          </cell>
        </row>
        <row r="1427">
          <cell r="B1427" t="str">
            <v/>
          </cell>
        </row>
        <row r="1428">
          <cell r="B1428" t="str">
            <v/>
          </cell>
        </row>
        <row r="1429">
          <cell r="B1429" t="str">
            <v/>
          </cell>
        </row>
        <row r="1430">
          <cell r="B1430" t="str">
            <v/>
          </cell>
        </row>
        <row r="1431">
          <cell r="B1431" t="str">
            <v/>
          </cell>
        </row>
        <row r="1432">
          <cell r="B1432" t="str">
            <v/>
          </cell>
        </row>
        <row r="1433">
          <cell r="B1433" t="str">
            <v/>
          </cell>
        </row>
        <row r="1434">
          <cell r="B1434" t="str">
            <v/>
          </cell>
        </row>
        <row r="1435">
          <cell r="B1435" t="str">
            <v/>
          </cell>
        </row>
        <row r="1436">
          <cell r="B1436" t="str">
            <v/>
          </cell>
        </row>
        <row r="1437">
          <cell r="B1437" t="str">
            <v/>
          </cell>
        </row>
        <row r="1438">
          <cell r="B1438" t="str">
            <v/>
          </cell>
        </row>
        <row r="1439">
          <cell r="B1439" t="str">
            <v/>
          </cell>
        </row>
        <row r="1440">
          <cell r="B1440" t="str">
            <v/>
          </cell>
        </row>
        <row r="1441">
          <cell r="B1441" t="str">
            <v/>
          </cell>
        </row>
        <row r="1442">
          <cell r="B1442" t="str">
            <v/>
          </cell>
        </row>
        <row r="1443">
          <cell r="B1443" t="str">
            <v/>
          </cell>
        </row>
        <row r="1444">
          <cell r="B1444" t="str">
            <v/>
          </cell>
        </row>
        <row r="1445">
          <cell r="B1445" t="str">
            <v/>
          </cell>
        </row>
        <row r="1446">
          <cell r="B1446" t="str">
            <v/>
          </cell>
        </row>
        <row r="1447">
          <cell r="B1447" t="str">
            <v/>
          </cell>
        </row>
        <row r="1448">
          <cell r="B1448" t="str">
            <v/>
          </cell>
        </row>
        <row r="1449">
          <cell r="B1449" t="str">
            <v/>
          </cell>
        </row>
        <row r="1450">
          <cell r="B1450" t="str">
            <v/>
          </cell>
        </row>
        <row r="1451">
          <cell r="B1451" t="str">
            <v/>
          </cell>
        </row>
        <row r="1452">
          <cell r="B1452" t="str">
            <v/>
          </cell>
        </row>
        <row r="1453">
          <cell r="B1453" t="str">
            <v/>
          </cell>
        </row>
        <row r="1454">
          <cell r="B1454" t="str">
            <v/>
          </cell>
        </row>
        <row r="1455">
          <cell r="B1455" t="str">
            <v/>
          </cell>
        </row>
        <row r="1456">
          <cell r="B1456" t="str">
            <v/>
          </cell>
        </row>
        <row r="1457">
          <cell r="B1457" t="str">
            <v/>
          </cell>
        </row>
        <row r="1458">
          <cell r="B1458" t="str">
            <v/>
          </cell>
        </row>
        <row r="1459">
          <cell r="B1459" t="str">
            <v/>
          </cell>
        </row>
        <row r="1460">
          <cell r="B1460" t="str">
            <v/>
          </cell>
        </row>
        <row r="1461">
          <cell r="B1461" t="str">
            <v/>
          </cell>
        </row>
        <row r="1462">
          <cell r="B1462" t="str">
            <v/>
          </cell>
        </row>
        <row r="1463">
          <cell r="B1463" t="str">
            <v/>
          </cell>
        </row>
        <row r="1464">
          <cell r="B1464" t="str">
            <v/>
          </cell>
        </row>
        <row r="1465">
          <cell r="B1465" t="str">
            <v/>
          </cell>
        </row>
        <row r="1466">
          <cell r="B1466" t="str">
            <v/>
          </cell>
        </row>
        <row r="1467">
          <cell r="B1467" t="str">
            <v/>
          </cell>
        </row>
        <row r="1468">
          <cell r="B1468" t="str">
            <v/>
          </cell>
        </row>
        <row r="1469">
          <cell r="B1469" t="str">
            <v/>
          </cell>
        </row>
        <row r="1470">
          <cell r="B1470" t="str">
            <v/>
          </cell>
        </row>
        <row r="1471">
          <cell r="B1471" t="str">
            <v/>
          </cell>
        </row>
        <row r="1472">
          <cell r="B1472" t="str">
            <v/>
          </cell>
        </row>
        <row r="1473">
          <cell r="B1473" t="str">
            <v/>
          </cell>
        </row>
        <row r="1474">
          <cell r="B1474" t="str">
            <v/>
          </cell>
        </row>
        <row r="1475">
          <cell r="B1475" t="str">
            <v/>
          </cell>
        </row>
        <row r="1476">
          <cell r="B1476" t="str">
            <v/>
          </cell>
        </row>
        <row r="1477">
          <cell r="B1477" t="str">
            <v/>
          </cell>
        </row>
        <row r="1478">
          <cell r="B1478" t="str">
            <v/>
          </cell>
        </row>
        <row r="1479">
          <cell r="B1479" t="str">
            <v/>
          </cell>
        </row>
        <row r="1480">
          <cell r="B1480" t="str">
            <v/>
          </cell>
        </row>
        <row r="1481">
          <cell r="B1481" t="str">
            <v/>
          </cell>
        </row>
        <row r="1482">
          <cell r="B1482" t="str">
            <v/>
          </cell>
        </row>
        <row r="1483">
          <cell r="B1483" t="str">
            <v/>
          </cell>
        </row>
        <row r="1484">
          <cell r="B1484" t="str">
            <v/>
          </cell>
        </row>
        <row r="1485">
          <cell r="B1485" t="str">
            <v/>
          </cell>
        </row>
        <row r="1486">
          <cell r="B1486" t="str">
            <v/>
          </cell>
        </row>
        <row r="1487">
          <cell r="B1487" t="str">
            <v/>
          </cell>
        </row>
        <row r="1488">
          <cell r="B1488" t="str">
            <v/>
          </cell>
        </row>
        <row r="1489">
          <cell r="B1489" t="str">
            <v/>
          </cell>
        </row>
        <row r="1490">
          <cell r="B1490" t="str">
            <v/>
          </cell>
        </row>
        <row r="1491">
          <cell r="B1491" t="str">
            <v/>
          </cell>
        </row>
        <row r="1492">
          <cell r="B1492" t="str">
            <v/>
          </cell>
        </row>
        <row r="1493">
          <cell r="B1493" t="str">
            <v/>
          </cell>
        </row>
        <row r="1494">
          <cell r="B1494" t="str">
            <v/>
          </cell>
        </row>
        <row r="1495">
          <cell r="B1495" t="str">
            <v/>
          </cell>
        </row>
        <row r="1496">
          <cell r="B1496" t="str">
            <v/>
          </cell>
        </row>
        <row r="1497">
          <cell r="B1497" t="str">
            <v/>
          </cell>
        </row>
        <row r="1498">
          <cell r="B1498" t="str">
            <v/>
          </cell>
        </row>
        <row r="1499">
          <cell r="B1499" t="str">
            <v/>
          </cell>
        </row>
        <row r="1500">
          <cell r="B1500" t="str">
            <v/>
          </cell>
        </row>
        <row r="1501">
          <cell r="B1501" t="str">
            <v/>
          </cell>
        </row>
        <row r="1502">
          <cell r="B1502" t="str">
            <v/>
          </cell>
        </row>
        <row r="1503">
          <cell r="B1503" t="str">
            <v/>
          </cell>
        </row>
        <row r="1504">
          <cell r="B1504" t="str">
            <v/>
          </cell>
        </row>
        <row r="1505">
          <cell r="B1505" t="str">
            <v/>
          </cell>
        </row>
        <row r="1506">
          <cell r="B1506" t="str">
            <v/>
          </cell>
        </row>
        <row r="1507">
          <cell r="B1507" t="str">
            <v/>
          </cell>
        </row>
        <row r="1508">
          <cell r="B1508" t="str">
            <v/>
          </cell>
        </row>
        <row r="1509">
          <cell r="B1509" t="str">
            <v/>
          </cell>
        </row>
        <row r="1510">
          <cell r="B1510" t="str">
            <v/>
          </cell>
        </row>
        <row r="1511">
          <cell r="B1511" t="str">
            <v/>
          </cell>
        </row>
        <row r="1512">
          <cell r="B1512" t="str">
            <v/>
          </cell>
        </row>
        <row r="1513">
          <cell r="B1513" t="str">
            <v/>
          </cell>
        </row>
        <row r="1514">
          <cell r="B1514" t="str">
            <v/>
          </cell>
        </row>
        <row r="1515">
          <cell r="B1515" t="str">
            <v/>
          </cell>
        </row>
        <row r="1516">
          <cell r="B1516" t="str">
            <v/>
          </cell>
        </row>
        <row r="1517">
          <cell r="B1517" t="str">
            <v/>
          </cell>
        </row>
        <row r="1518">
          <cell r="B1518" t="str">
            <v/>
          </cell>
        </row>
        <row r="1519">
          <cell r="B1519" t="str">
            <v/>
          </cell>
        </row>
        <row r="1520">
          <cell r="B1520" t="str">
            <v/>
          </cell>
        </row>
        <row r="1521">
          <cell r="B1521" t="str">
            <v/>
          </cell>
        </row>
        <row r="1522">
          <cell r="B1522" t="str">
            <v/>
          </cell>
        </row>
        <row r="1523">
          <cell r="B1523" t="str">
            <v/>
          </cell>
        </row>
        <row r="1524">
          <cell r="B1524" t="str">
            <v/>
          </cell>
        </row>
        <row r="1525">
          <cell r="B1525" t="str">
            <v/>
          </cell>
        </row>
        <row r="1526">
          <cell r="B1526" t="str">
            <v/>
          </cell>
        </row>
        <row r="1527">
          <cell r="B1527" t="str">
            <v/>
          </cell>
        </row>
        <row r="1528">
          <cell r="B1528" t="str">
            <v/>
          </cell>
        </row>
        <row r="1529">
          <cell r="B1529" t="str">
            <v/>
          </cell>
        </row>
        <row r="1530">
          <cell r="B1530" t="str">
            <v/>
          </cell>
        </row>
        <row r="1531">
          <cell r="B1531" t="str">
            <v/>
          </cell>
        </row>
        <row r="1532">
          <cell r="B1532" t="str">
            <v/>
          </cell>
        </row>
        <row r="1533">
          <cell r="B1533" t="str">
            <v/>
          </cell>
        </row>
        <row r="1534">
          <cell r="B1534" t="str">
            <v/>
          </cell>
        </row>
        <row r="1535">
          <cell r="B1535" t="str">
            <v/>
          </cell>
        </row>
        <row r="1536">
          <cell r="B1536" t="str">
            <v/>
          </cell>
        </row>
        <row r="1537">
          <cell r="B1537" t="str">
            <v/>
          </cell>
        </row>
        <row r="1538">
          <cell r="B1538" t="str">
            <v/>
          </cell>
        </row>
        <row r="1539">
          <cell r="B1539" t="str">
            <v/>
          </cell>
        </row>
        <row r="1540">
          <cell r="B1540" t="str">
            <v/>
          </cell>
        </row>
        <row r="1541">
          <cell r="B1541" t="str">
            <v/>
          </cell>
        </row>
        <row r="1542">
          <cell r="B1542" t="str">
            <v/>
          </cell>
        </row>
        <row r="1543">
          <cell r="B1543" t="str">
            <v/>
          </cell>
        </row>
        <row r="1544">
          <cell r="B1544" t="str">
            <v/>
          </cell>
        </row>
        <row r="1545">
          <cell r="B1545" t="str">
            <v/>
          </cell>
        </row>
        <row r="1546">
          <cell r="B1546" t="str">
            <v/>
          </cell>
        </row>
        <row r="1547">
          <cell r="B1547" t="str">
            <v/>
          </cell>
        </row>
        <row r="1548">
          <cell r="B1548" t="str">
            <v/>
          </cell>
        </row>
        <row r="1549">
          <cell r="B1549" t="str">
            <v/>
          </cell>
        </row>
        <row r="1550">
          <cell r="B1550" t="str">
            <v/>
          </cell>
        </row>
        <row r="1551">
          <cell r="B1551" t="str">
            <v/>
          </cell>
        </row>
        <row r="1552">
          <cell r="B1552" t="str">
            <v/>
          </cell>
        </row>
        <row r="1553">
          <cell r="B1553" t="str">
            <v/>
          </cell>
        </row>
        <row r="1554">
          <cell r="B1554" t="str">
            <v/>
          </cell>
        </row>
        <row r="1555">
          <cell r="B1555" t="str">
            <v/>
          </cell>
        </row>
        <row r="1556">
          <cell r="B1556" t="str">
            <v/>
          </cell>
        </row>
        <row r="1557">
          <cell r="B1557" t="str">
            <v/>
          </cell>
        </row>
        <row r="1558">
          <cell r="B1558" t="str">
            <v/>
          </cell>
        </row>
        <row r="1559">
          <cell r="B1559" t="str">
            <v/>
          </cell>
        </row>
        <row r="1560">
          <cell r="B1560" t="str">
            <v/>
          </cell>
        </row>
        <row r="1561">
          <cell r="B1561" t="str">
            <v/>
          </cell>
        </row>
        <row r="1562">
          <cell r="B1562" t="str">
            <v/>
          </cell>
        </row>
        <row r="1563">
          <cell r="B1563" t="str">
            <v/>
          </cell>
        </row>
        <row r="1564">
          <cell r="B1564" t="str">
            <v/>
          </cell>
        </row>
        <row r="1565">
          <cell r="B1565" t="str">
            <v/>
          </cell>
        </row>
        <row r="1566">
          <cell r="B1566" t="str">
            <v/>
          </cell>
        </row>
        <row r="1567">
          <cell r="B1567" t="str">
            <v/>
          </cell>
        </row>
        <row r="1568">
          <cell r="B1568" t="str">
            <v/>
          </cell>
        </row>
        <row r="1569">
          <cell r="B1569" t="str">
            <v/>
          </cell>
        </row>
        <row r="1570">
          <cell r="B1570" t="str">
            <v/>
          </cell>
        </row>
        <row r="1571">
          <cell r="B1571" t="str">
            <v/>
          </cell>
        </row>
        <row r="1572">
          <cell r="B1572" t="str">
            <v/>
          </cell>
        </row>
        <row r="1573">
          <cell r="B1573" t="str">
            <v/>
          </cell>
        </row>
        <row r="1574">
          <cell r="B1574" t="str">
            <v/>
          </cell>
        </row>
        <row r="1575">
          <cell r="B1575" t="str">
            <v/>
          </cell>
        </row>
        <row r="1576">
          <cell r="B1576" t="str">
            <v/>
          </cell>
        </row>
        <row r="1577">
          <cell r="B1577" t="str">
            <v/>
          </cell>
        </row>
        <row r="1578">
          <cell r="B1578" t="str">
            <v/>
          </cell>
        </row>
        <row r="1579">
          <cell r="B1579" t="str">
            <v/>
          </cell>
        </row>
        <row r="1580">
          <cell r="B1580" t="str">
            <v/>
          </cell>
        </row>
        <row r="1581">
          <cell r="B1581" t="str">
            <v/>
          </cell>
        </row>
        <row r="1582">
          <cell r="B1582" t="str">
            <v/>
          </cell>
        </row>
        <row r="1583">
          <cell r="B1583" t="str">
            <v/>
          </cell>
        </row>
        <row r="1584">
          <cell r="B1584" t="str">
            <v/>
          </cell>
        </row>
        <row r="1585">
          <cell r="B1585" t="str">
            <v/>
          </cell>
        </row>
        <row r="1586">
          <cell r="B1586" t="str">
            <v/>
          </cell>
        </row>
        <row r="1587">
          <cell r="B1587" t="str">
            <v/>
          </cell>
        </row>
        <row r="1588">
          <cell r="B1588" t="str">
            <v/>
          </cell>
        </row>
        <row r="1589">
          <cell r="B1589" t="str">
            <v/>
          </cell>
        </row>
        <row r="1590">
          <cell r="B1590" t="str">
            <v/>
          </cell>
        </row>
        <row r="1591">
          <cell r="B1591" t="str">
            <v/>
          </cell>
        </row>
        <row r="1592">
          <cell r="B1592" t="str">
            <v/>
          </cell>
        </row>
        <row r="1593">
          <cell r="B1593" t="str">
            <v/>
          </cell>
        </row>
        <row r="1594">
          <cell r="B1594" t="str">
            <v/>
          </cell>
        </row>
        <row r="1595">
          <cell r="B1595" t="str">
            <v/>
          </cell>
        </row>
        <row r="1596">
          <cell r="B1596" t="str">
            <v/>
          </cell>
        </row>
        <row r="1597">
          <cell r="B1597" t="str">
            <v/>
          </cell>
        </row>
        <row r="1598">
          <cell r="B1598" t="str">
            <v/>
          </cell>
        </row>
        <row r="1599">
          <cell r="B1599" t="str">
            <v/>
          </cell>
        </row>
        <row r="1600">
          <cell r="B1600" t="str">
            <v/>
          </cell>
        </row>
        <row r="1601">
          <cell r="B1601" t="str">
            <v/>
          </cell>
        </row>
        <row r="1602">
          <cell r="B1602" t="str">
            <v/>
          </cell>
        </row>
        <row r="1603">
          <cell r="B1603" t="str">
            <v/>
          </cell>
        </row>
        <row r="1604">
          <cell r="B1604" t="str">
            <v/>
          </cell>
        </row>
        <row r="1605">
          <cell r="B1605" t="str">
            <v/>
          </cell>
        </row>
        <row r="1606">
          <cell r="B1606" t="str">
            <v/>
          </cell>
        </row>
        <row r="1607">
          <cell r="B1607" t="str">
            <v/>
          </cell>
        </row>
        <row r="1608">
          <cell r="B1608" t="str">
            <v/>
          </cell>
        </row>
        <row r="1609">
          <cell r="B1609" t="str">
            <v/>
          </cell>
        </row>
        <row r="1610">
          <cell r="B1610" t="str">
            <v/>
          </cell>
        </row>
        <row r="1611">
          <cell r="B1611" t="str">
            <v/>
          </cell>
        </row>
        <row r="1612">
          <cell r="B1612" t="str">
            <v/>
          </cell>
        </row>
        <row r="1613">
          <cell r="B1613" t="str">
            <v/>
          </cell>
        </row>
        <row r="1614">
          <cell r="B1614" t="str">
            <v/>
          </cell>
        </row>
        <row r="1615">
          <cell r="B1615" t="str">
            <v/>
          </cell>
        </row>
        <row r="1616">
          <cell r="B1616" t="str">
            <v/>
          </cell>
        </row>
        <row r="1617">
          <cell r="B1617" t="str">
            <v/>
          </cell>
        </row>
        <row r="1618">
          <cell r="B1618" t="str">
            <v/>
          </cell>
        </row>
        <row r="1619">
          <cell r="B1619" t="str">
            <v/>
          </cell>
        </row>
        <row r="1620">
          <cell r="B1620" t="str">
            <v/>
          </cell>
        </row>
        <row r="1621">
          <cell r="B1621" t="str">
            <v/>
          </cell>
        </row>
        <row r="1622">
          <cell r="B1622" t="str">
            <v/>
          </cell>
        </row>
        <row r="1623">
          <cell r="B1623" t="str">
            <v/>
          </cell>
        </row>
        <row r="1624">
          <cell r="B1624" t="str">
            <v/>
          </cell>
        </row>
        <row r="1625">
          <cell r="B1625" t="str">
            <v/>
          </cell>
        </row>
        <row r="1626">
          <cell r="B1626" t="str">
            <v/>
          </cell>
        </row>
        <row r="1627">
          <cell r="B1627" t="str">
            <v/>
          </cell>
        </row>
        <row r="1628">
          <cell r="B1628" t="str">
            <v/>
          </cell>
        </row>
        <row r="1629">
          <cell r="B1629" t="str">
            <v/>
          </cell>
        </row>
        <row r="1630">
          <cell r="B1630" t="str">
            <v/>
          </cell>
        </row>
        <row r="1631">
          <cell r="B1631" t="str">
            <v/>
          </cell>
        </row>
        <row r="1632">
          <cell r="B1632" t="str">
            <v/>
          </cell>
        </row>
        <row r="1633">
          <cell r="B1633" t="str">
            <v/>
          </cell>
        </row>
        <row r="1634">
          <cell r="B1634" t="str">
            <v/>
          </cell>
        </row>
        <row r="1635">
          <cell r="B1635" t="str">
            <v/>
          </cell>
        </row>
        <row r="1636">
          <cell r="B1636" t="str">
            <v/>
          </cell>
        </row>
        <row r="1637">
          <cell r="B1637" t="str">
            <v/>
          </cell>
        </row>
        <row r="1638">
          <cell r="B1638" t="str">
            <v/>
          </cell>
        </row>
        <row r="1639">
          <cell r="B1639" t="str">
            <v/>
          </cell>
        </row>
        <row r="1640">
          <cell r="B1640" t="str">
            <v/>
          </cell>
        </row>
        <row r="1641">
          <cell r="B1641" t="str">
            <v/>
          </cell>
        </row>
        <row r="1642">
          <cell r="B1642" t="str">
            <v/>
          </cell>
        </row>
        <row r="1643">
          <cell r="B1643" t="str">
            <v/>
          </cell>
        </row>
        <row r="1644">
          <cell r="B1644" t="str">
            <v/>
          </cell>
        </row>
        <row r="1645">
          <cell r="B1645" t="str">
            <v/>
          </cell>
        </row>
        <row r="1646">
          <cell r="B1646" t="str">
            <v/>
          </cell>
        </row>
        <row r="1647">
          <cell r="B1647" t="str">
            <v/>
          </cell>
        </row>
        <row r="1648">
          <cell r="B1648" t="str">
            <v/>
          </cell>
        </row>
        <row r="1649">
          <cell r="B1649" t="str">
            <v/>
          </cell>
        </row>
        <row r="1650">
          <cell r="B1650" t="str">
            <v/>
          </cell>
        </row>
        <row r="1651">
          <cell r="B1651" t="str">
            <v/>
          </cell>
        </row>
        <row r="1652">
          <cell r="B1652" t="str">
            <v/>
          </cell>
        </row>
        <row r="1653">
          <cell r="B1653" t="str">
            <v/>
          </cell>
        </row>
        <row r="1654">
          <cell r="B1654" t="str">
            <v/>
          </cell>
        </row>
        <row r="1655">
          <cell r="B1655" t="str">
            <v/>
          </cell>
        </row>
        <row r="1656">
          <cell r="B1656" t="str">
            <v/>
          </cell>
        </row>
        <row r="1657">
          <cell r="B1657" t="str">
            <v/>
          </cell>
        </row>
        <row r="1658">
          <cell r="B1658" t="str">
            <v/>
          </cell>
        </row>
        <row r="1659">
          <cell r="B1659" t="str">
            <v/>
          </cell>
        </row>
        <row r="1660">
          <cell r="B1660" t="str">
            <v/>
          </cell>
        </row>
        <row r="1661">
          <cell r="B1661" t="str">
            <v/>
          </cell>
        </row>
        <row r="1662">
          <cell r="B1662" t="str">
            <v/>
          </cell>
        </row>
        <row r="1663">
          <cell r="B1663" t="str">
            <v/>
          </cell>
        </row>
        <row r="1664">
          <cell r="B1664" t="str">
            <v/>
          </cell>
        </row>
        <row r="1665">
          <cell r="B1665" t="str">
            <v/>
          </cell>
        </row>
        <row r="1666">
          <cell r="B1666" t="str">
            <v/>
          </cell>
        </row>
        <row r="1667">
          <cell r="B1667" t="str">
            <v/>
          </cell>
        </row>
        <row r="1668">
          <cell r="B1668" t="str">
            <v/>
          </cell>
        </row>
        <row r="1669">
          <cell r="B1669" t="str">
            <v/>
          </cell>
        </row>
        <row r="1670">
          <cell r="B1670" t="str">
            <v/>
          </cell>
        </row>
        <row r="1671">
          <cell r="B1671" t="str">
            <v/>
          </cell>
        </row>
        <row r="1672">
          <cell r="B1672" t="str">
            <v/>
          </cell>
        </row>
        <row r="1673">
          <cell r="B1673" t="str">
            <v/>
          </cell>
        </row>
        <row r="1674">
          <cell r="B1674" t="str">
            <v/>
          </cell>
        </row>
        <row r="1675">
          <cell r="B1675" t="str">
            <v/>
          </cell>
        </row>
        <row r="1676">
          <cell r="B1676" t="str">
            <v/>
          </cell>
        </row>
        <row r="1677">
          <cell r="B1677" t="str">
            <v/>
          </cell>
        </row>
        <row r="1678">
          <cell r="B1678" t="str">
            <v/>
          </cell>
        </row>
        <row r="1679">
          <cell r="B1679" t="str">
            <v/>
          </cell>
        </row>
        <row r="1680">
          <cell r="B1680" t="str">
            <v/>
          </cell>
        </row>
        <row r="1681">
          <cell r="B1681" t="str">
            <v/>
          </cell>
        </row>
        <row r="1682">
          <cell r="B1682" t="str">
            <v/>
          </cell>
        </row>
        <row r="1683">
          <cell r="B1683" t="str">
            <v/>
          </cell>
        </row>
        <row r="1684">
          <cell r="B1684" t="str">
            <v/>
          </cell>
        </row>
        <row r="1685">
          <cell r="B1685" t="str">
            <v/>
          </cell>
        </row>
        <row r="1686">
          <cell r="B1686" t="str">
            <v/>
          </cell>
        </row>
        <row r="1687">
          <cell r="B1687" t="str">
            <v/>
          </cell>
        </row>
        <row r="1688">
          <cell r="B1688" t="str">
            <v/>
          </cell>
        </row>
        <row r="1689">
          <cell r="B1689" t="str">
            <v/>
          </cell>
        </row>
        <row r="1690">
          <cell r="B1690" t="str">
            <v/>
          </cell>
        </row>
        <row r="1691">
          <cell r="B1691" t="str">
            <v/>
          </cell>
        </row>
        <row r="1692">
          <cell r="B1692" t="str">
            <v/>
          </cell>
        </row>
        <row r="1693">
          <cell r="B1693" t="str">
            <v/>
          </cell>
        </row>
        <row r="1694">
          <cell r="B1694" t="str">
            <v/>
          </cell>
        </row>
        <row r="1695">
          <cell r="B1695" t="str">
            <v/>
          </cell>
        </row>
        <row r="1696">
          <cell r="B1696" t="str">
            <v/>
          </cell>
        </row>
        <row r="1697">
          <cell r="B1697" t="str">
            <v/>
          </cell>
        </row>
        <row r="1698">
          <cell r="B1698" t="str">
            <v/>
          </cell>
        </row>
        <row r="1699">
          <cell r="B1699" t="str">
            <v/>
          </cell>
        </row>
        <row r="1700">
          <cell r="B1700" t="str">
            <v/>
          </cell>
        </row>
        <row r="1701">
          <cell r="B1701" t="str">
            <v/>
          </cell>
        </row>
        <row r="1702">
          <cell r="B1702" t="str">
            <v/>
          </cell>
        </row>
        <row r="1703">
          <cell r="B1703" t="str">
            <v/>
          </cell>
        </row>
        <row r="1704">
          <cell r="B1704" t="str">
            <v/>
          </cell>
        </row>
        <row r="1705">
          <cell r="B1705" t="str">
            <v/>
          </cell>
        </row>
        <row r="1706">
          <cell r="B1706" t="str">
            <v/>
          </cell>
        </row>
        <row r="1707">
          <cell r="B1707" t="str">
            <v/>
          </cell>
        </row>
        <row r="1708">
          <cell r="B1708" t="str">
            <v/>
          </cell>
        </row>
        <row r="1709">
          <cell r="B1709" t="str">
            <v/>
          </cell>
        </row>
        <row r="1710">
          <cell r="B1710" t="str">
            <v/>
          </cell>
        </row>
        <row r="1711">
          <cell r="B1711" t="str">
            <v/>
          </cell>
        </row>
        <row r="1712">
          <cell r="B1712" t="str">
            <v/>
          </cell>
        </row>
        <row r="1713">
          <cell r="B1713" t="str">
            <v/>
          </cell>
        </row>
        <row r="1714">
          <cell r="B1714" t="str">
            <v/>
          </cell>
        </row>
        <row r="1715">
          <cell r="B1715" t="str">
            <v/>
          </cell>
        </row>
        <row r="1716">
          <cell r="B1716" t="str">
            <v/>
          </cell>
        </row>
        <row r="1717">
          <cell r="B1717" t="str">
            <v/>
          </cell>
        </row>
        <row r="1718">
          <cell r="B1718" t="str">
            <v/>
          </cell>
        </row>
        <row r="1719">
          <cell r="B1719" t="str">
            <v/>
          </cell>
        </row>
        <row r="1720">
          <cell r="B1720" t="str">
            <v/>
          </cell>
        </row>
        <row r="1721">
          <cell r="B1721" t="str">
            <v/>
          </cell>
        </row>
        <row r="1722">
          <cell r="B1722" t="str">
            <v/>
          </cell>
        </row>
        <row r="1723">
          <cell r="B1723" t="str">
            <v/>
          </cell>
        </row>
        <row r="1724">
          <cell r="B1724" t="str">
            <v/>
          </cell>
        </row>
        <row r="1725">
          <cell r="B1725" t="str">
            <v/>
          </cell>
        </row>
        <row r="1726">
          <cell r="B1726" t="str">
            <v/>
          </cell>
        </row>
        <row r="1727">
          <cell r="B1727" t="str">
            <v/>
          </cell>
        </row>
        <row r="1728">
          <cell r="B1728" t="str">
            <v/>
          </cell>
        </row>
        <row r="1729">
          <cell r="B1729" t="str">
            <v/>
          </cell>
        </row>
        <row r="1730">
          <cell r="B1730" t="str">
            <v/>
          </cell>
        </row>
        <row r="1731">
          <cell r="B1731" t="str">
            <v/>
          </cell>
        </row>
        <row r="1732">
          <cell r="B1732" t="str">
            <v/>
          </cell>
        </row>
        <row r="1733">
          <cell r="B1733" t="str">
            <v/>
          </cell>
        </row>
        <row r="1734">
          <cell r="B1734" t="str">
            <v/>
          </cell>
        </row>
        <row r="1735">
          <cell r="B1735" t="str">
            <v/>
          </cell>
        </row>
        <row r="1736">
          <cell r="B1736" t="str">
            <v/>
          </cell>
        </row>
        <row r="1737">
          <cell r="B1737" t="str">
            <v/>
          </cell>
        </row>
        <row r="1738">
          <cell r="B1738" t="str">
            <v/>
          </cell>
        </row>
        <row r="1739">
          <cell r="B1739" t="str">
            <v/>
          </cell>
        </row>
        <row r="1740">
          <cell r="B1740" t="str">
            <v/>
          </cell>
        </row>
        <row r="1741">
          <cell r="B1741" t="str">
            <v/>
          </cell>
        </row>
        <row r="1742">
          <cell r="B1742" t="str">
            <v/>
          </cell>
        </row>
        <row r="1743">
          <cell r="B1743" t="str">
            <v/>
          </cell>
        </row>
        <row r="1744">
          <cell r="B1744" t="str">
            <v/>
          </cell>
        </row>
        <row r="1745">
          <cell r="B1745" t="str">
            <v/>
          </cell>
        </row>
        <row r="1746">
          <cell r="B1746" t="str">
            <v/>
          </cell>
        </row>
        <row r="1747">
          <cell r="B1747" t="str">
            <v/>
          </cell>
        </row>
        <row r="1748">
          <cell r="B1748" t="str">
            <v/>
          </cell>
        </row>
        <row r="1749">
          <cell r="B1749" t="str">
            <v/>
          </cell>
        </row>
        <row r="1750">
          <cell r="B1750" t="str">
            <v/>
          </cell>
        </row>
        <row r="1751">
          <cell r="B1751" t="str">
            <v/>
          </cell>
        </row>
        <row r="1752">
          <cell r="B1752" t="str">
            <v/>
          </cell>
        </row>
        <row r="1753">
          <cell r="B1753" t="str">
            <v/>
          </cell>
        </row>
        <row r="1754">
          <cell r="B1754" t="str">
            <v/>
          </cell>
        </row>
        <row r="1755">
          <cell r="B1755" t="str">
            <v/>
          </cell>
        </row>
        <row r="1756">
          <cell r="B1756" t="str">
            <v/>
          </cell>
        </row>
        <row r="1757">
          <cell r="B1757" t="str">
            <v/>
          </cell>
        </row>
        <row r="1758">
          <cell r="B1758" t="str">
            <v/>
          </cell>
        </row>
        <row r="1759">
          <cell r="B1759" t="str">
            <v/>
          </cell>
        </row>
        <row r="1760">
          <cell r="B1760" t="str">
            <v/>
          </cell>
        </row>
        <row r="1761">
          <cell r="B1761" t="str">
            <v/>
          </cell>
        </row>
        <row r="1762">
          <cell r="B1762" t="str">
            <v/>
          </cell>
        </row>
        <row r="1763">
          <cell r="B1763" t="str">
            <v/>
          </cell>
        </row>
        <row r="1764">
          <cell r="B1764" t="str">
            <v/>
          </cell>
        </row>
        <row r="1765">
          <cell r="B1765" t="str">
            <v/>
          </cell>
        </row>
        <row r="1766">
          <cell r="B1766" t="str">
            <v/>
          </cell>
        </row>
        <row r="1767">
          <cell r="B1767" t="str">
            <v/>
          </cell>
        </row>
        <row r="1768">
          <cell r="B1768" t="str">
            <v/>
          </cell>
        </row>
        <row r="1769">
          <cell r="B1769" t="str">
            <v/>
          </cell>
        </row>
        <row r="1770">
          <cell r="B1770" t="str">
            <v/>
          </cell>
        </row>
        <row r="1771">
          <cell r="B1771" t="str">
            <v/>
          </cell>
        </row>
        <row r="1772">
          <cell r="B1772" t="str">
            <v/>
          </cell>
        </row>
        <row r="1773">
          <cell r="B1773" t="str">
            <v/>
          </cell>
        </row>
        <row r="1774">
          <cell r="B1774" t="str">
            <v/>
          </cell>
        </row>
        <row r="1775">
          <cell r="B1775" t="str">
            <v/>
          </cell>
        </row>
        <row r="1776">
          <cell r="B1776" t="str">
            <v/>
          </cell>
        </row>
        <row r="1777">
          <cell r="B1777" t="str">
            <v/>
          </cell>
        </row>
        <row r="1778">
          <cell r="B1778" t="str">
            <v/>
          </cell>
        </row>
        <row r="1779">
          <cell r="B1779" t="str">
            <v/>
          </cell>
        </row>
        <row r="1780">
          <cell r="B1780" t="str">
            <v/>
          </cell>
        </row>
        <row r="1781">
          <cell r="B1781" t="str">
            <v/>
          </cell>
        </row>
        <row r="1782">
          <cell r="B1782" t="str">
            <v/>
          </cell>
        </row>
        <row r="1783">
          <cell r="B1783" t="str">
            <v/>
          </cell>
        </row>
        <row r="1784">
          <cell r="B1784" t="str">
            <v/>
          </cell>
        </row>
        <row r="1785">
          <cell r="B1785" t="str">
            <v/>
          </cell>
        </row>
        <row r="1786">
          <cell r="B1786" t="str">
            <v/>
          </cell>
        </row>
        <row r="1787">
          <cell r="B1787" t="str">
            <v/>
          </cell>
        </row>
        <row r="1788">
          <cell r="B1788" t="str">
            <v/>
          </cell>
        </row>
        <row r="1789">
          <cell r="B1789" t="str">
            <v/>
          </cell>
        </row>
        <row r="1790">
          <cell r="B1790" t="str">
            <v/>
          </cell>
        </row>
        <row r="1791">
          <cell r="B1791" t="str">
            <v/>
          </cell>
        </row>
        <row r="1792">
          <cell r="B1792" t="str">
            <v/>
          </cell>
        </row>
        <row r="1793">
          <cell r="B1793" t="str">
            <v/>
          </cell>
        </row>
        <row r="1794">
          <cell r="B1794" t="str">
            <v/>
          </cell>
        </row>
        <row r="1795">
          <cell r="B1795" t="str">
            <v/>
          </cell>
        </row>
        <row r="1796">
          <cell r="B1796" t="str">
            <v/>
          </cell>
        </row>
        <row r="1797">
          <cell r="B1797" t="str">
            <v/>
          </cell>
        </row>
        <row r="1798">
          <cell r="B1798" t="str">
            <v/>
          </cell>
        </row>
        <row r="1799">
          <cell r="B1799" t="str">
            <v/>
          </cell>
        </row>
        <row r="1800">
          <cell r="B1800" t="str">
            <v/>
          </cell>
        </row>
        <row r="1801">
          <cell r="B1801" t="str">
            <v/>
          </cell>
        </row>
        <row r="1802">
          <cell r="B1802" t="str">
            <v/>
          </cell>
        </row>
        <row r="1803">
          <cell r="B1803" t="str">
            <v/>
          </cell>
        </row>
        <row r="1804">
          <cell r="B1804" t="str">
            <v/>
          </cell>
        </row>
        <row r="1805">
          <cell r="B1805" t="str">
            <v/>
          </cell>
        </row>
        <row r="1806">
          <cell r="B1806" t="str">
            <v/>
          </cell>
        </row>
        <row r="1807">
          <cell r="B1807" t="str">
            <v/>
          </cell>
        </row>
        <row r="1808">
          <cell r="B1808" t="str">
            <v/>
          </cell>
        </row>
        <row r="1809">
          <cell r="B1809" t="str">
            <v/>
          </cell>
        </row>
        <row r="1810">
          <cell r="B1810" t="str">
            <v/>
          </cell>
        </row>
        <row r="1811">
          <cell r="B1811" t="str">
            <v/>
          </cell>
        </row>
        <row r="1812">
          <cell r="B1812" t="str">
            <v/>
          </cell>
        </row>
        <row r="1813">
          <cell r="B1813" t="str">
            <v/>
          </cell>
        </row>
        <row r="1814">
          <cell r="B1814" t="str">
            <v/>
          </cell>
        </row>
        <row r="1815">
          <cell r="B1815" t="str">
            <v/>
          </cell>
        </row>
        <row r="1816">
          <cell r="B1816" t="str">
            <v/>
          </cell>
        </row>
        <row r="1817">
          <cell r="B1817" t="str">
            <v/>
          </cell>
        </row>
        <row r="1818">
          <cell r="B1818" t="str">
            <v/>
          </cell>
        </row>
        <row r="1819">
          <cell r="B1819" t="str">
            <v/>
          </cell>
        </row>
        <row r="1820">
          <cell r="B1820" t="str">
            <v/>
          </cell>
        </row>
        <row r="1821">
          <cell r="B1821" t="str">
            <v/>
          </cell>
        </row>
        <row r="1822">
          <cell r="B1822" t="str">
            <v/>
          </cell>
        </row>
        <row r="1823">
          <cell r="B1823" t="str">
            <v/>
          </cell>
        </row>
        <row r="1824">
          <cell r="B1824" t="str">
            <v/>
          </cell>
        </row>
        <row r="1825">
          <cell r="B1825" t="str">
            <v/>
          </cell>
        </row>
        <row r="1826">
          <cell r="B1826" t="str">
            <v/>
          </cell>
        </row>
        <row r="1827">
          <cell r="B1827" t="str">
            <v/>
          </cell>
        </row>
        <row r="1828">
          <cell r="B1828" t="str">
            <v/>
          </cell>
        </row>
        <row r="1829">
          <cell r="B1829" t="str">
            <v/>
          </cell>
        </row>
        <row r="1830">
          <cell r="B1830" t="str">
            <v/>
          </cell>
        </row>
        <row r="1831">
          <cell r="B1831" t="str">
            <v/>
          </cell>
        </row>
        <row r="1832">
          <cell r="B1832" t="str">
            <v/>
          </cell>
        </row>
        <row r="1833">
          <cell r="B1833" t="str">
            <v/>
          </cell>
        </row>
        <row r="1834">
          <cell r="B1834" t="str">
            <v/>
          </cell>
        </row>
        <row r="1835">
          <cell r="B1835" t="str">
            <v/>
          </cell>
        </row>
        <row r="1836">
          <cell r="B1836" t="str">
            <v/>
          </cell>
        </row>
        <row r="1837">
          <cell r="B1837" t="str">
            <v/>
          </cell>
        </row>
        <row r="1838">
          <cell r="B1838" t="str">
            <v/>
          </cell>
        </row>
        <row r="1839">
          <cell r="B1839" t="str">
            <v/>
          </cell>
        </row>
        <row r="1840">
          <cell r="B1840" t="str">
            <v/>
          </cell>
        </row>
        <row r="1841">
          <cell r="B1841" t="str">
            <v/>
          </cell>
        </row>
        <row r="1842">
          <cell r="B1842" t="str">
            <v/>
          </cell>
        </row>
        <row r="1843">
          <cell r="B1843" t="str">
            <v/>
          </cell>
        </row>
        <row r="1844">
          <cell r="B1844" t="str">
            <v/>
          </cell>
        </row>
        <row r="1845">
          <cell r="B1845" t="str">
            <v/>
          </cell>
        </row>
        <row r="1846">
          <cell r="B1846" t="str">
            <v/>
          </cell>
        </row>
        <row r="1847">
          <cell r="B1847" t="str">
            <v/>
          </cell>
        </row>
        <row r="1848">
          <cell r="B1848" t="str">
            <v/>
          </cell>
        </row>
        <row r="1849">
          <cell r="B1849" t="str">
            <v/>
          </cell>
        </row>
        <row r="1850">
          <cell r="B1850" t="str">
            <v/>
          </cell>
        </row>
        <row r="1851">
          <cell r="B1851" t="str">
            <v/>
          </cell>
        </row>
        <row r="1852">
          <cell r="B1852" t="str">
            <v/>
          </cell>
        </row>
        <row r="1853">
          <cell r="B1853" t="str">
            <v/>
          </cell>
        </row>
        <row r="1854">
          <cell r="B1854" t="str">
            <v/>
          </cell>
        </row>
        <row r="1855">
          <cell r="B1855" t="str">
            <v/>
          </cell>
        </row>
        <row r="1856">
          <cell r="B1856" t="str">
            <v/>
          </cell>
        </row>
        <row r="1857">
          <cell r="B1857" t="str">
            <v/>
          </cell>
        </row>
        <row r="1858">
          <cell r="B1858" t="str">
            <v/>
          </cell>
        </row>
        <row r="1859">
          <cell r="B1859" t="str">
            <v/>
          </cell>
        </row>
        <row r="1860">
          <cell r="B1860" t="str">
            <v/>
          </cell>
        </row>
        <row r="1861">
          <cell r="B1861" t="str">
            <v/>
          </cell>
        </row>
        <row r="1862">
          <cell r="B1862" t="str">
            <v/>
          </cell>
        </row>
        <row r="1863">
          <cell r="B1863" t="str">
            <v/>
          </cell>
        </row>
        <row r="1864">
          <cell r="B1864" t="str">
            <v/>
          </cell>
        </row>
        <row r="1865">
          <cell r="B1865" t="str">
            <v/>
          </cell>
        </row>
        <row r="1866">
          <cell r="B1866" t="str">
            <v/>
          </cell>
        </row>
        <row r="1867">
          <cell r="B1867" t="str">
            <v/>
          </cell>
        </row>
        <row r="1868">
          <cell r="B1868" t="str">
            <v/>
          </cell>
        </row>
        <row r="1869">
          <cell r="B1869" t="str">
            <v/>
          </cell>
        </row>
        <row r="1870">
          <cell r="B1870" t="str">
            <v/>
          </cell>
        </row>
        <row r="1871">
          <cell r="B1871" t="str">
            <v/>
          </cell>
        </row>
        <row r="1872">
          <cell r="B1872" t="str">
            <v/>
          </cell>
        </row>
        <row r="1873">
          <cell r="B1873" t="str">
            <v/>
          </cell>
        </row>
        <row r="1874">
          <cell r="B1874" t="str">
            <v/>
          </cell>
        </row>
        <row r="1875">
          <cell r="B1875" t="str">
            <v/>
          </cell>
        </row>
        <row r="1876">
          <cell r="B1876" t="str">
            <v/>
          </cell>
        </row>
        <row r="1877">
          <cell r="B1877" t="str">
            <v/>
          </cell>
        </row>
        <row r="1878">
          <cell r="B1878" t="str">
            <v/>
          </cell>
        </row>
        <row r="1879">
          <cell r="B1879" t="str">
            <v/>
          </cell>
        </row>
        <row r="1880">
          <cell r="B1880" t="str">
            <v/>
          </cell>
        </row>
        <row r="1881">
          <cell r="B1881" t="str">
            <v/>
          </cell>
        </row>
        <row r="1882">
          <cell r="B1882" t="str">
            <v/>
          </cell>
        </row>
        <row r="1883">
          <cell r="B1883" t="str">
            <v/>
          </cell>
        </row>
        <row r="1884">
          <cell r="B1884" t="str">
            <v/>
          </cell>
        </row>
        <row r="1885">
          <cell r="B1885" t="str">
            <v/>
          </cell>
        </row>
        <row r="1886">
          <cell r="B1886" t="str">
            <v/>
          </cell>
        </row>
        <row r="1887">
          <cell r="B1887" t="str">
            <v/>
          </cell>
        </row>
        <row r="1888">
          <cell r="B1888" t="str">
            <v/>
          </cell>
        </row>
        <row r="1889">
          <cell r="B1889" t="str">
            <v/>
          </cell>
        </row>
        <row r="1890">
          <cell r="B1890" t="str">
            <v/>
          </cell>
        </row>
        <row r="1891">
          <cell r="B1891" t="str">
            <v/>
          </cell>
        </row>
        <row r="1892">
          <cell r="B1892" t="str">
            <v/>
          </cell>
        </row>
        <row r="1893">
          <cell r="B1893" t="str">
            <v/>
          </cell>
        </row>
        <row r="1894">
          <cell r="B1894" t="str">
            <v/>
          </cell>
        </row>
        <row r="1895">
          <cell r="B1895" t="str">
            <v/>
          </cell>
        </row>
        <row r="1896">
          <cell r="B1896" t="str">
            <v/>
          </cell>
        </row>
        <row r="1897">
          <cell r="B1897" t="str">
            <v/>
          </cell>
        </row>
        <row r="1898">
          <cell r="B1898" t="str">
            <v/>
          </cell>
        </row>
        <row r="1899">
          <cell r="B1899" t="str">
            <v/>
          </cell>
        </row>
        <row r="1900">
          <cell r="B1900" t="str">
            <v/>
          </cell>
        </row>
        <row r="1901">
          <cell r="B1901" t="str">
            <v/>
          </cell>
        </row>
        <row r="1902">
          <cell r="B1902" t="str">
            <v/>
          </cell>
        </row>
        <row r="1903">
          <cell r="B1903" t="str">
            <v/>
          </cell>
        </row>
        <row r="1904">
          <cell r="B1904" t="str">
            <v/>
          </cell>
        </row>
        <row r="1905">
          <cell r="B1905" t="str">
            <v/>
          </cell>
        </row>
        <row r="1906">
          <cell r="B1906" t="str">
            <v/>
          </cell>
        </row>
        <row r="1907">
          <cell r="B1907" t="str">
            <v/>
          </cell>
        </row>
        <row r="1908">
          <cell r="B1908" t="str">
            <v/>
          </cell>
        </row>
        <row r="1909">
          <cell r="B1909" t="str">
            <v/>
          </cell>
        </row>
        <row r="1910">
          <cell r="B1910" t="str">
            <v/>
          </cell>
        </row>
        <row r="1911">
          <cell r="B1911" t="str">
            <v/>
          </cell>
        </row>
        <row r="1912">
          <cell r="B1912" t="str">
            <v/>
          </cell>
        </row>
        <row r="1913">
          <cell r="B1913" t="str">
            <v/>
          </cell>
        </row>
        <row r="1914">
          <cell r="B1914" t="str">
            <v/>
          </cell>
        </row>
        <row r="1915">
          <cell r="B1915" t="str">
            <v/>
          </cell>
        </row>
        <row r="1916">
          <cell r="B1916" t="str">
            <v/>
          </cell>
        </row>
        <row r="1917">
          <cell r="B1917" t="str">
            <v/>
          </cell>
        </row>
        <row r="1918">
          <cell r="B1918" t="str">
            <v/>
          </cell>
        </row>
        <row r="1919">
          <cell r="B1919" t="str">
            <v/>
          </cell>
        </row>
        <row r="1920">
          <cell r="B1920" t="str">
            <v/>
          </cell>
        </row>
        <row r="1921">
          <cell r="B1921" t="str">
            <v/>
          </cell>
        </row>
        <row r="1922">
          <cell r="B1922" t="str">
            <v/>
          </cell>
        </row>
        <row r="1923">
          <cell r="B1923" t="str">
            <v/>
          </cell>
        </row>
        <row r="1924">
          <cell r="B1924" t="str">
            <v/>
          </cell>
        </row>
        <row r="1925">
          <cell r="B1925" t="str">
            <v/>
          </cell>
        </row>
        <row r="1926">
          <cell r="B1926" t="str">
            <v/>
          </cell>
        </row>
        <row r="1927">
          <cell r="B1927" t="str">
            <v/>
          </cell>
        </row>
        <row r="1928">
          <cell r="B1928" t="str">
            <v/>
          </cell>
        </row>
        <row r="1929">
          <cell r="B1929" t="str">
            <v/>
          </cell>
        </row>
        <row r="1930">
          <cell r="B1930" t="str">
            <v/>
          </cell>
        </row>
        <row r="1931">
          <cell r="B1931" t="str">
            <v/>
          </cell>
        </row>
        <row r="1932">
          <cell r="B1932" t="str">
            <v/>
          </cell>
        </row>
        <row r="1933">
          <cell r="B1933" t="str">
            <v/>
          </cell>
        </row>
        <row r="1934">
          <cell r="B1934" t="str">
            <v/>
          </cell>
        </row>
        <row r="1935">
          <cell r="B1935" t="str">
            <v/>
          </cell>
        </row>
        <row r="1936">
          <cell r="B1936" t="str">
            <v/>
          </cell>
        </row>
        <row r="1937">
          <cell r="B1937" t="str">
            <v/>
          </cell>
        </row>
        <row r="1938">
          <cell r="B1938" t="str">
            <v/>
          </cell>
        </row>
        <row r="1939">
          <cell r="B1939" t="str">
            <v/>
          </cell>
        </row>
        <row r="1940">
          <cell r="B1940" t="str">
            <v/>
          </cell>
        </row>
        <row r="1941">
          <cell r="B1941" t="str">
            <v/>
          </cell>
        </row>
        <row r="1942">
          <cell r="B1942" t="str">
            <v/>
          </cell>
        </row>
        <row r="1943">
          <cell r="B1943" t="str">
            <v/>
          </cell>
        </row>
        <row r="1944">
          <cell r="B1944" t="str">
            <v/>
          </cell>
        </row>
        <row r="1945">
          <cell r="B1945" t="str">
            <v/>
          </cell>
        </row>
        <row r="1946">
          <cell r="B1946" t="str">
            <v/>
          </cell>
        </row>
        <row r="1947">
          <cell r="B1947" t="str">
            <v/>
          </cell>
        </row>
        <row r="1948">
          <cell r="B1948" t="str">
            <v/>
          </cell>
        </row>
        <row r="1949">
          <cell r="B1949" t="str">
            <v/>
          </cell>
        </row>
        <row r="1950">
          <cell r="B1950" t="str">
            <v/>
          </cell>
        </row>
        <row r="1951">
          <cell r="B1951" t="str">
            <v/>
          </cell>
        </row>
        <row r="1952">
          <cell r="B1952" t="str">
            <v/>
          </cell>
        </row>
        <row r="1953">
          <cell r="B1953" t="str">
            <v/>
          </cell>
        </row>
        <row r="1954">
          <cell r="B1954" t="str">
            <v/>
          </cell>
        </row>
        <row r="1955">
          <cell r="B1955" t="str">
            <v/>
          </cell>
        </row>
        <row r="1956">
          <cell r="B1956" t="str">
            <v/>
          </cell>
        </row>
        <row r="1957">
          <cell r="B1957" t="str">
            <v/>
          </cell>
        </row>
        <row r="1958">
          <cell r="B1958" t="str">
            <v/>
          </cell>
        </row>
        <row r="1959">
          <cell r="B1959" t="str">
            <v/>
          </cell>
        </row>
        <row r="1960">
          <cell r="B1960" t="str">
            <v/>
          </cell>
        </row>
        <row r="1961">
          <cell r="B1961" t="str">
            <v/>
          </cell>
        </row>
        <row r="1962">
          <cell r="B1962" t="str">
            <v/>
          </cell>
        </row>
        <row r="1963">
          <cell r="B1963" t="str">
            <v/>
          </cell>
        </row>
        <row r="1964">
          <cell r="B1964" t="str">
            <v/>
          </cell>
        </row>
        <row r="1965">
          <cell r="B1965" t="str">
            <v/>
          </cell>
        </row>
        <row r="1966">
          <cell r="B1966" t="str">
            <v/>
          </cell>
        </row>
        <row r="1967">
          <cell r="B1967" t="str">
            <v/>
          </cell>
        </row>
        <row r="1968">
          <cell r="B1968" t="str">
            <v/>
          </cell>
        </row>
        <row r="1969">
          <cell r="B1969" t="str">
            <v/>
          </cell>
        </row>
        <row r="1970">
          <cell r="B1970" t="str">
            <v/>
          </cell>
        </row>
        <row r="1971">
          <cell r="B1971" t="str">
            <v/>
          </cell>
        </row>
        <row r="1972">
          <cell r="B1972" t="str">
            <v/>
          </cell>
        </row>
        <row r="1973">
          <cell r="B1973" t="str">
            <v/>
          </cell>
        </row>
        <row r="1974">
          <cell r="B1974" t="str">
            <v/>
          </cell>
        </row>
        <row r="1975">
          <cell r="B1975" t="str">
            <v/>
          </cell>
        </row>
        <row r="1976">
          <cell r="B1976" t="str">
            <v/>
          </cell>
        </row>
        <row r="1977">
          <cell r="B1977" t="str">
            <v/>
          </cell>
        </row>
        <row r="1978">
          <cell r="B1978" t="str">
            <v/>
          </cell>
        </row>
        <row r="1979">
          <cell r="B1979" t="str">
            <v/>
          </cell>
        </row>
        <row r="1980">
          <cell r="B1980" t="str">
            <v/>
          </cell>
        </row>
        <row r="1981">
          <cell r="B1981" t="str">
            <v/>
          </cell>
        </row>
        <row r="1982">
          <cell r="B1982" t="str">
            <v/>
          </cell>
        </row>
        <row r="1983">
          <cell r="B1983" t="str">
            <v/>
          </cell>
        </row>
        <row r="1984">
          <cell r="B1984" t="str">
            <v/>
          </cell>
        </row>
        <row r="1985">
          <cell r="B1985" t="str">
            <v/>
          </cell>
        </row>
        <row r="1986">
          <cell r="B1986" t="str">
            <v/>
          </cell>
        </row>
        <row r="1987">
          <cell r="B1987" t="str">
            <v/>
          </cell>
        </row>
        <row r="1988">
          <cell r="B1988" t="str">
            <v/>
          </cell>
        </row>
        <row r="1989">
          <cell r="B1989" t="str">
            <v/>
          </cell>
        </row>
        <row r="1990">
          <cell r="B1990" t="str">
            <v/>
          </cell>
        </row>
        <row r="1991">
          <cell r="B1991" t="str">
            <v/>
          </cell>
        </row>
        <row r="1992">
          <cell r="B1992" t="str">
            <v/>
          </cell>
        </row>
        <row r="1993">
          <cell r="B1993" t="str">
            <v/>
          </cell>
        </row>
        <row r="1994">
          <cell r="B1994" t="str">
            <v/>
          </cell>
        </row>
        <row r="1995">
          <cell r="B1995" t="str">
            <v/>
          </cell>
        </row>
        <row r="1996">
          <cell r="B1996" t="str">
            <v/>
          </cell>
        </row>
        <row r="1997">
          <cell r="B1997" t="str">
            <v/>
          </cell>
        </row>
        <row r="1998">
          <cell r="B1998" t="str">
            <v/>
          </cell>
        </row>
        <row r="1999">
          <cell r="B1999" t="str">
            <v/>
          </cell>
        </row>
        <row r="2000">
          <cell r="B2000" t="str">
            <v/>
          </cell>
        </row>
        <row r="2001">
          <cell r="B2001" t="str">
            <v/>
          </cell>
        </row>
        <row r="2002">
          <cell r="B2002" t="str">
            <v/>
          </cell>
        </row>
        <row r="2003">
          <cell r="B2003" t="str">
            <v/>
          </cell>
        </row>
        <row r="2004">
          <cell r="B2004" t="str">
            <v/>
          </cell>
        </row>
        <row r="2005">
          <cell r="B2005" t="str">
            <v/>
          </cell>
        </row>
        <row r="2006">
          <cell r="B2006" t="str">
            <v/>
          </cell>
        </row>
        <row r="2007">
          <cell r="B2007" t="str">
            <v/>
          </cell>
        </row>
        <row r="2008">
          <cell r="B2008" t="str">
            <v/>
          </cell>
        </row>
        <row r="2009">
          <cell r="B2009" t="str">
            <v/>
          </cell>
        </row>
        <row r="2010">
          <cell r="B2010" t="str">
            <v/>
          </cell>
        </row>
        <row r="2011">
          <cell r="B2011" t="str">
            <v/>
          </cell>
        </row>
        <row r="2012">
          <cell r="B2012" t="str">
            <v/>
          </cell>
        </row>
        <row r="2013">
          <cell r="B2013" t="str">
            <v/>
          </cell>
        </row>
        <row r="2014">
          <cell r="B2014" t="str">
            <v/>
          </cell>
        </row>
        <row r="2015">
          <cell r="B2015" t="str">
            <v/>
          </cell>
        </row>
        <row r="2016">
          <cell r="B2016" t="str">
            <v/>
          </cell>
        </row>
        <row r="2017">
          <cell r="B2017" t="str">
            <v/>
          </cell>
        </row>
        <row r="2018">
          <cell r="B2018" t="str">
            <v/>
          </cell>
        </row>
        <row r="2019">
          <cell r="B2019" t="str">
            <v/>
          </cell>
        </row>
        <row r="2020">
          <cell r="B2020" t="str">
            <v/>
          </cell>
        </row>
        <row r="2021">
          <cell r="B2021" t="str">
            <v/>
          </cell>
        </row>
        <row r="2022">
          <cell r="B2022" t="str">
            <v/>
          </cell>
        </row>
        <row r="2023">
          <cell r="B2023" t="str">
            <v/>
          </cell>
        </row>
        <row r="2024">
          <cell r="B2024" t="str">
            <v/>
          </cell>
        </row>
        <row r="2025">
          <cell r="B2025" t="str">
            <v/>
          </cell>
        </row>
        <row r="2026">
          <cell r="B2026" t="str">
            <v/>
          </cell>
        </row>
        <row r="2027">
          <cell r="B2027" t="str">
            <v/>
          </cell>
        </row>
        <row r="2028">
          <cell r="B2028" t="str">
            <v/>
          </cell>
        </row>
        <row r="2029">
          <cell r="B2029" t="str">
            <v/>
          </cell>
        </row>
        <row r="2030">
          <cell r="B2030" t="str">
            <v/>
          </cell>
        </row>
        <row r="2031">
          <cell r="B2031" t="str">
            <v/>
          </cell>
        </row>
        <row r="2032">
          <cell r="B2032" t="str">
            <v/>
          </cell>
        </row>
        <row r="2033">
          <cell r="B2033" t="str">
            <v/>
          </cell>
        </row>
        <row r="2034">
          <cell r="B2034" t="str">
            <v/>
          </cell>
        </row>
        <row r="2035">
          <cell r="B2035" t="str">
            <v/>
          </cell>
        </row>
        <row r="2036">
          <cell r="B2036" t="str">
            <v/>
          </cell>
        </row>
        <row r="2037">
          <cell r="B2037" t="str">
            <v/>
          </cell>
        </row>
        <row r="2038">
          <cell r="B2038" t="str">
            <v/>
          </cell>
        </row>
        <row r="2039">
          <cell r="B2039" t="str">
            <v/>
          </cell>
        </row>
        <row r="2040">
          <cell r="B2040" t="str">
            <v/>
          </cell>
        </row>
        <row r="2041">
          <cell r="B2041" t="str">
            <v/>
          </cell>
        </row>
        <row r="2042">
          <cell r="B2042" t="str">
            <v/>
          </cell>
        </row>
        <row r="2043">
          <cell r="B2043" t="str">
            <v/>
          </cell>
        </row>
        <row r="2044">
          <cell r="B2044" t="str">
            <v/>
          </cell>
        </row>
        <row r="2045">
          <cell r="B2045" t="str">
            <v/>
          </cell>
        </row>
        <row r="2046">
          <cell r="B2046" t="str">
            <v/>
          </cell>
        </row>
        <row r="2047">
          <cell r="B2047" t="str">
            <v/>
          </cell>
        </row>
        <row r="2048">
          <cell r="B2048" t="str">
            <v/>
          </cell>
        </row>
        <row r="2049">
          <cell r="B2049" t="str">
            <v/>
          </cell>
        </row>
        <row r="2050">
          <cell r="B2050" t="str">
            <v/>
          </cell>
        </row>
        <row r="2051">
          <cell r="B2051" t="str">
            <v/>
          </cell>
        </row>
        <row r="2052">
          <cell r="B2052" t="str">
            <v/>
          </cell>
        </row>
        <row r="2053">
          <cell r="B2053" t="str">
            <v/>
          </cell>
        </row>
        <row r="2054">
          <cell r="B2054" t="str">
            <v/>
          </cell>
        </row>
        <row r="2055">
          <cell r="B2055" t="str">
            <v/>
          </cell>
        </row>
        <row r="2056">
          <cell r="B2056" t="str">
            <v/>
          </cell>
        </row>
        <row r="2057">
          <cell r="B2057" t="str">
            <v/>
          </cell>
        </row>
        <row r="2058">
          <cell r="B2058" t="str">
            <v/>
          </cell>
        </row>
        <row r="2059">
          <cell r="B2059" t="str">
            <v/>
          </cell>
        </row>
        <row r="2060">
          <cell r="B2060" t="str">
            <v/>
          </cell>
        </row>
        <row r="2061">
          <cell r="B2061" t="str">
            <v/>
          </cell>
        </row>
        <row r="2062">
          <cell r="B2062" t="str">
            <v/>
          </cell>
        </row>
        <row r="2063">
          <cell r="B2063" t="str">
            <v/>
          </cell>
        </row>
        <row r="2064">
          <cell r="B2064" t="str">
            <v/>
          </cell>
        </row>
        <row r="2065">
          <cell r="B2065" t="str">
            <v/>
          </cell>
        </row>
        <row r="2066">
          <cell r="B2066" t="str">
            <v/>
          </cell>
        </row>
        <row r="2067">
          <cell r="B2067" t="str">
            <v/>
          </cell>
        </row>
        <row r="2068">
          <cell r="B2068" t="str">
            <v/>
          </cell>
        </row>
        <row r="2069">
          <cell r="B2069" t="str">
            <v/>
          </cell>
        </row>
        <row r="2070">
          <cell r="B2070" t="str">
            <v/>
          </cell>
        </row>
        <row r="2071">
          <cell r="B2071" t="str">
            <v/>
          </cell>
        </row>
        <row r="2072">
          <cell r="B2072" t="str">
            <v/>
          </cell>
        </row>
        <row r="2073">
          <cell r="B2073" t="str">
            <v/>
          </cell>
        </row>
        <row r="2074">
          <cell r="B2074" t="str">
            <v/>
          </cell>
        </row>
        <row r="2075">
          <cell r="B2075" t="str">
            <v/>
          </cell>
        </row>
        <row r="2076">
          <cell r="B2076" t="str">
            <v/>
          </cell>
        </row>
        <row r="2077">
          <cell r="B2077" t="str">
            <v/>
          </cell>
        </row>
        <row r="2078">
          <cell r="B2078" t="str">
            <v/>
          </cell>
        </row>
        <row r="2079">
          <cell r="B2079" t="str">
            <v/>
          </cell>
        </row>
        <row r="2080">
          <cell r="B2080" t="str">
            <v/>
          </cell>
        </row>
        <row r="2081">
          <cell r="B2081" t="str">
            <v/>
          </cell>
        </row>
        <row r="2082">
          <cell r="B2082" t="str">
            <v/>
          </cell>
        </row>
        <row r="2083">
          <cell r="B2083" t="str">
            <v/>
          </cell>
        </row>
        <row r="2084">
          <cell r="B2084" t="str">
            <v/>
          </cell>
        </row>
        <row r="2085">
          <cell r="B2085" t="str">
            <v/>
          </cell>
        </row>
        <row r="2086">
          <cell r="B2086" t="str">
            <v/>
          </cell>
        </row>
        <row r="2087">
          <cell r="B2087" t="str">
            <v/>
          </cell>
        </row>
        <row r="2088">
          <cell r="B2088" t="str">
            <v/>
          </cell>
        </row>
        <row r="2089">
          <cell r="B2089" t="str">
            <v/>
          </cell>
        </row>
        <row r="2090">
          <cell r="B2090" t="str">
            <v/>
          </cell>
        </row>
        <row r="2091">
          <cell r="B2091" t="str">
            <v/>
          </cell>
        </row>
        <row r="2092">
          <cell r="B2092" t="str">
            <v/>
          </cell>
        </row>
        <row r="2093">
          <cell r="B2093" t="str">
            <v/>
          </cell>
        </row>
        <row r="2094">
          <cell r="B2094" t="str">
            <v/>
          </cell>
        </row>
        <row r="2095">
          <cell r="B2095" t="str">
            <v/>
          </cell>
        </row>
        <row r="2096">
          <cell r="B2096" t="str">
            <v/>
          </cell>
        </row>
        <row r="2097">
          <cell r="B2097" t="str">
            <v/>
          </cell>
        </row>
        <row r="2098">
          <cell r="B2098" t="str">
            <v/>
          </cell>
        </row>
        <row r="2099">
          <cell r="B2099" t="str">
            <v/>
          </cell>
        </row>
        <row r="2100">
          <cell r="B2100" t="str">
            <v/>
          </cell>
        </row>
        <row r="2101">
          <cell r="B2101" t="str">
            <v/>
          </cell>
        </row>
        <row r="2102">
          <cell r="B2102" t="str">
            <v/>
          </cell>
        </row>
        <row r="2103">
          <cell r="B2103" t="str">
            <v/>
          </cell>
        </row>
        <row r="2104">
          <cell r="B2104" t="str">
            <v/>
          </cell>
        </row>
        <row r="2105">
          <cell r="B2105" t="str">
            <v/>
          </cell>
        </row>
        <row r="2106">
          <cell r="B2106" t="str">
            <v/>
          </cell>
        </row>
        <row r="2107">
          <cell r="B2107" t="str">
            <v/>
          </cell>
        </row>
        <row r="2108">
          <cell r="B2108" t="str">
            <v/>
          </cell>
        </row>
        <row r="2109">
          <cell r="B2109" t="str">
            <v/>
          </cell>
        </row>
        <row r="2110">
          <cell r="B2110" t="str">
            <v/>
          </cell>
        </row>
        <row r="2111">
          <cell r="B2111" t="str">
            <v/>
          </cell>
        </row>
        <row r="2112">
          <cell r="B2112" t="str">
            <v/>
          </cell>
        </row>
        <row r="2113">
          <cell r="B2113" t="str">
            <v/>
          </cell>
        </row>
        <row r="2114">
          <cell r="B2114" t="str">
            <v/>
          </cell>
        </row>
        <row r="2115">
          <cell r="B2115" t="str">
            <v/>
          </cell>
        </row>
        <row r="2116">
          <cell r="B2116" t="str">
            <v/>
          </cell>
        </row>
        <row r="2117">
          <cell r="B2117" t="str">
            <v/>
          </cell>
        </row>
        <row r="2118">
          <cell r="B2118" t="str">
            <v/>
          </cell>
        </row>
        <row r="2119">
          <cell r="B2119" t="str">
            <v/>
          </cell>
        </row>
        <row r="2120">
          <cell r="B2120" t="str">
            <v/>
          </cell>
        </row>
        <row r="2121">
          <cell r="B2121" t="str">
            <v/>
          </cell>
        </row>
        <row r="2122">
          <cell r="B2122" t="str">
            <v/>
          </cell>
        </row>
        <row r="2123">
          <cell r="B2123" t="str">
            <v/>
          </cell>
        </row>
        <row r="2124">
          <cell r="B2124" t="str">
            <v/>
          </cell>
        </row>
        <row r="2125">
          <cell r="B2125" t="str">
            <v/>
          </cell>
        </row>
        <row r="2126">
          <cell r="B2126" t="str">
            <v/>
          </cell>
        </row>
        <row r="2127">
          <cell r="B2127" t="str">
            <v/>
          </cell>
        </row>
        <row r="2128">
          <cell r="B2128" t="str">
            <v/>
          </cell>
        </row>
        <row r="2129">
          <cell r="B2129" t="str">
            <v/>
          </cell>
        </row>
        <row r="2130">
          <cell r="B2130" t="str">
            <v/>
          </cell>
        </row>
        <row r="2131">
          <cell r="B2131" t="str">
            <v/>
          </cell>
        </row>
        <row r="2132">
          <cell r="B2132" t="str">
            <v/>
          </cell>
        </row>
        <row r="2133">
          <cell r="B2133" t="str">
            <v/>
          </cell>
        </row>
        <row r="2134">
          <cell r="B2134" t="str">
            <v/>
          </cell>
        </row>
        <row r="2135">
          <cell r="B2135" t="str">
            <v/>
          </cell>
        </row>
        <row r="2136">
          <cell r="B2136" t="str">
            <v/>
          </cell>
        </row>
        <row r="2137">
          <cell r="B2137" t="str">
            <v/>
          </cell>
        </row>
        <row r="2138">
          <cell r="B2138" t="str">
            <v/>
          </cell>
        </row>
        <row r="2139">
          <cell r="B2139" t="str">
            <v/>
          </cell>
        </row>
        <row r="2140">
          <cell r="B2140" t="str">
            <v/>
          </cell>
        </row>
        <row r="2141">
          <cell r="B2141" t="str">
            <v/>
          </cell>
        </row>
        <row r="2142">
          <cell r="B2142" t="str">
            <v/>
          </cell>
        </row>
        <row r="2143">
          <cell r="B2143" t="str">
            <v/>
          </cell>
        </row>
        <row r="2144">
          <cell r="B2144" t="str">
            <v/>
          </cell>
        </row>
        <row r="2145">
          <cell r="B2145" t="str">
            <v/>
          </cell>
        </row>
        <row r="2146">
          <cell r="B2146" t="str">
            <v/>
          </cell>
        </row>
        <row r="2147">
          <cell r="B2147" t="str">
            <v/>
          </cell>
        </row>
        <row r="2148">
          <cell r="B2148" t="str">
            <v/>
          </cell>
        </row>
        <row r="2149">
          <cell r="B2149" t="str">
            <v/>
          </cell>
        </row>
        <row r="2150">
          <cell r="B2150" t="str">
            <v/>
          </cell>
        </row>
        <row r="2151">
          <cell r="B2151" t="str">
            <v/>
          </cell>
        </row>
        <row r="2152">
          <cell r="B2152" t="str">
            <v/>
          </cell>
        </row>
        <row r="2153">
          <cell r="B2153" t="str">
            <v/>
          </cell>
        </row>
        <row r="2154">
          <cell r="B2154" t="str">
            <v/>
          </cell>
        </row>
        <row r="2155">
          <cell r="B2155" t="str">
            <v/>
          </cell>
        </row>
        <row r="2156">
          <cell r="B2156" t="str">
            <v/>
          </cell>
        </row>
        <row r="2157">
          <cell r="B2157" t="str">
            <v/>
          </cell>
        </row>
        <row r="2158">
          <cell r="B2158" t="str">
            <v/>
          </cell>
        </row>
        <row r="2159">
          <cell r="B2159" t="str">
            <v/>
          </cell>
        </row>
        <row r="2160">
          <cell r="B2160" t="str">
            <v/>
          </cell>
        </row>
        <row r="2161">
          <cell r="B2161" t="str">
            <v/>
          </cell>
        </row>
        <row r="2162">
          <cell r="B2162" t="str">
            <v/>
          </cell>
        </row>
        <row r="2163">
          <cell r="B2163" t="str">
            <v/>
          </cell>
        </row>
        <row r="2164">
          <cell r="B2164" t="str">
            <v/>
          </cell>
        </row>
        <row r="2165">
          <cell r="B2165" t="str">
            <v/>
          </cell>
        </row>
        <row r="2166">
          <cell r="B2166" t="str">
            <v/>
          </cell>
        </row>
        <row r="2167">
          <cell r="B2167" t="str">
            <v/>
          </cell>
        </row>
        <row r="2168">
          <cell r="B2168" t="str">
            <v/>
          </cell>
        </row>
        <row r="2169">
          <cell r="B2169" t="str">
            <v/>
          </cell>
        </row>
        <row r="2170">
          <cell r="B2170" t="str">
            <v/>
          </cell>
        </row>
        <row r="2171">
          <cell r="B2171" t="str">
            <v/>
          </cell>
        </row>
        <row r="2172">
          <cell r="B2172" t="str">
            <v/>
          </cell>
        </row>
        <row r="2173">
          <cell r="B2173" t="str">
            <v/>
          </cell>
        </row>
        <row r="2174">
          <cell r="B2174" t="str">
            <v/>
          </cell>
        </row>
        <row r="2175">
          <cell r="B2175" t="str">
            <v/>
          </cell>
        </row>
        <row r="2176">
          <cell r="B2176" t="str">
            <v/>
          </cell>
        </row>
        <row r="2177">
          <cell r="B2177" t="str">
            <v/>
          </cell>
        </row>
        <row r="2178">
          <cell r="B2178" t="str">
            <v/>
          </cell>
        </row>
        <row r="2179">
          <cell r="B2179" t="str">
            <v/>
          </cell>
        </row>
        <row r="2180">
          <cell r="B2180" t="str">
            <v/>
          </cell>
        </row>
        <row r="2181">
          <cell r="B2181" t="str">
            <v/>
          </cell>
        </row>
        <row r="2182">
          <cell r="B2182" t="str">
            <v/>
          </cell>
        </row>
        <row r="2183">
          <cell r="B2183" t="str">
            <v/>
          </cell>
        </row>
        <row r="2184">
          <cell r="B2184" t="str">
            <v/>
          </cell>
        </row>
        <row r="2185">
          <cell r="B2185" t="str">
            <v/>
          </cell>
        </row>
        <row r="2186">
          <cell r="B2186" t="str">
            <v/>
          </cell>
        </row>
        <row r="2187">
          <cell r="B2187" t="str">
            <v/>
          </cell>
        </row>
        <row r="2188">
          <cell r="B2188" t="str">
            <v/>
          </cell>
        </row>
        <row r="2189">
          <cell r="B2189" t="str">
            <v/>
          </cell>
        </row>
        <row r="2190">
          <cell r="B2190" t="str">
            <v/>
          </cell>
        </row>
        <row r="2191">
          <cell r="B2191" t="str">
            <v/>
          </cell>
        </row>
        <row r="2192">
          <cell r="B2192" t="str">
            <v/>
          </cell>
        </row>
        <row r="2193">
          <cell r="B2193" t="str">
            <v/>
          </cell>
        </row>
        <row r="2194">
          <cell r="B2194" t="str">
            <v/>
          </cell>
        </row>
        <row r="2195">
          <cell r="B2195" t="str">
            <v/>
          </cell>
        </row>
        <row r="2196">
          <cell r="B2196" t="str">
            <v/>
          </cell>
        </row>
        <row r="2197">
          <cell r="B2197" t="str">
            <v/>
          </cell>
        </row>
        <row r="2198">
          <cell r="B2198" t="str">
            <v/>
          </cell>
        </row>
        <row r="2199">
          <cell r="B2199" t="str">
            <v/>
          </cell>
        </row>
        <row r="2200">
          <cell r="B2200" t="str">
            <v/>
          </cell>
        </row>
        <row r="2201">
          <cell r="B2201" t="str">
            <v/>
          </cell>
        </row>
        <row r="2202">
          <cell r="B2202" t="str">
            <v/>
          </cell>
        </row>
        <row r="2203">
          <cell r="B2203" t="str">
            <v/>
          </cell>
        </row>
        <row r="2204">
          <cell r="B2204" t="str">
            <v/>
          </cell>
        </row>
        <row r="2205">
          <cell r="B2205" t="str">
            <v/>
          </cell>
        </row>
        <row r="2206">
          <cell r="B2206" t="str">
            <v/>
          </cell>
        </row>
        <row r="2207">
          <cell r="B2207" t="str">
            <v/>
          </cell>
        </row>
        <row r="2208">
          <cell r="B2208" t="str">
            <v/>
          </cell>
        </row>
        <row r="2209">
          <cell r="B2209" t="str">
            <v/>
          </cell>
        </row>
        <row r="2210">
          <cell r="B2210" t="str">
            <v/>
          </cell>
        </row>
        <row r="2211">
          <cell r="B2211" t="str">
            <v/>
          </cell>
        </row>
        <row r="2212">
          <cell r="B2212" t="str">
            <v/>
          </cell>
        </row>
        <row r="2213">
          <cell r="B2213" t="str">
            <v/>
          </cell>
        </row>
        <row r="2214">
          <cell r="B2214" t="str">
            <v/>
          </cell>
        </row>
        <row r="2215">
          <cell r="B2215" t="str">
            <v/>
          </cell>
        </row>
        <row r="2216">
          <cell r="B2216" t="str">
            <v/>
          </cell>
        </row>
        <row r="2217">
          <cell r="B2217" t="str">
            <v/>
          </cell>
        </row>
        <row r="2218">
          <cell r="B2218" t="str">
            <v/>
          </cell>
        </row>
        <row r="2219">
          <cell r="B2219" t="str">
            <v/>
          </cell>
        </row>
        <row r="2220">
          <cell r="B2220" t="str">
            <v/>
          </cell>
        </row>
        <row r="2221">
          <cell r="B2221" t="str">
            <v/>
          </cell>
        </row>
        <row r="2222">
          <cell r="B2222" t="str">
            <v/>
          </cell>
        </row>
        <row r="2223">
          <cell r="B2223" t="str">
            <v/>
          </cell>
        </row>
        <row r="2224">
          <cell r="B2224" t="str">
            <v/>
          </cell>
        </row>
        <row r="2225">
          <cell r="B2225" t="str">
            <v/>
          </cell>
        </row>
        <row r="2226">
          <cell r="B2226" t="str">
            <v/>
          </cell>
        </row>
        <row r="2227">
          <cell r="B2227" t="str">
            <v/>
          </cell>
        </row>
        <row r="2228">
          <cell r="B2228" t="str">
            <v/>
          </cell>
        </row>
        <row r="2229">
          <cell r="B2229" t="str">
            <v/>
          </cell>
        </row>
        <row r="2230">
          <cell r="B2230" t="str">
            <v/>
          </cell>
        </row>
        <row r="2231">
          <cell r="B2231" t="str">
            <v/>
          </cell>
        </row>
        <row r="2232">
          <cell r="B2232" t="str">
            <v/>
          </cell>
        </row>
        <row r="2233">
          <cell r="B2233" t="str">
            <v/>
          </cell>
        </row>
        <row r="2234">
          <cell r="B2234" t="str">
            <v/>
          </cell>
        </row>
        <row r="2235">
          <cell r="B2235" t="str">
            <v/>
          </cell>
        </row>
        <row r="2236">
          <cell r="B2236" t="str">
            <v/>
          </cell>
        </row>
        <row r="2237">
          <cell r="B2237" t="str">
            <v/>
          </cell>
        </row>
        <row r="2238">
          <cell r="B2238" t="str">
            <v/>
          </cell>
        </row>
        <row r="2239">
          <cell r="B2239" t="str">
            <v/>
          </cell>
        </row>
        <row r="2240">
          <cell r="B2240" t="str">
            <v/>
          </cell>
        </row>
        <row r="2241">
          <cell r="B2241" t="str">
            <v/>
          </cell>
        </row>
        <row r="2242">
          <cell r="B2242" t="str">
            <v/>
          </cell>
        </row>
        <row r="2243">
          <cell r="B2243" t="str">
            <v/>
          </cell>
        </row>
        <row r="2244">
          <cell r="B2244" t="str">
            <v/>
          </cell>
        </row>
        <row r="2245">
          <cell r="B2245" t="str">
            <v/>
          </cell>
        </row>
        <row r="2246">
          <cell r="B2246" t="str">
            <v/>
          </cell>
        </row>
        <row r="2247">
          <cell r="B2247" t="str">
            <v/>
          </cell>
        </row>
        <row r="2248">
          <cell r="B2248" t="str">
            <v/>
          </cell>
        </row>
        <row r="2249">
          <cell r="B2249" t="str">
            <v/>
          </cell>
        </row>
        <row r="2250">
          <cell r="B2250" t="str">
            <v/>
          </cell>
        </row>
        <row r="2251">
          <cell r="B2251" t="str">
            <v/>
          </cell>
        </row>
        <row r="2252">
          <cell r="B2252" t="str">
            <v/>
          </cell>
        </row>
        <row r="2253">
          <cell r="B2253" t="str">
            <v/>
          </cell>
        </row>
        <row r="2254">
          <cell r="B2254" t="str">
            <v/>
          </cell>
        </row>
        <row r="2255">
          <cell r="B2255" t="str">
            <v/>
          </cell>
        </row>
        <row r="2256">
          <cell r="B2256" t="str">
            <v/>
          </cell>
        </row>
        <row r="2257">
          <cell r="B2257" t="str">
            <v/>
          </cell>
        </row>
        <row r="2258">
          <cell r="B2258" t="str">
            <v/>
          </cell>
        </row>
        <row r="2259">
          <cell r="B2259" t="str">
            <v/>
          </cell>
        </row>
        <row r="2260">
          <cell r="B2260" t="str">
            <v/>
          </cell>
        </row>
        <row r="2261">
          <cell r="B2261" t="str">
            <v/>
          </cell>
        </row>
        <row r="2262">
          <cell r="B2262" t="str">
            <v/>
          </cell>
        </row>
        <row r="2263">
          <cell r="B2263" t="str">
            <v/>
          </cell>
        </row>
        <row r="2264">
          <cell r="B2264" t="str">
            <v/>
          </cell>
        </row>
        <row r="2265">
          <cell r="B2265" t="str">
            <v/>
          </cell>
        </row>
        <row r="2266">
          <cell r="B2266" t="str">
            <v/>
          </cell>
        </row>
        <row r="2267">
          <cell r="B2267" t="str">
            <v/>
          </cell>
        </row>
        <row r="2268">
          <cell r="B2268" t="str">
            <v/>
          </cell>
        </row>
        <row r="2269">
          <cell r="B2269" t="str">
            <v/>
          </cell>
        </row>
        <row r="2270">
          <cell r="B2270" t="str">
            <v/>
          </cell>
        </row>
        <row r="2271">
          <cell r="B2271" t="str">
            <v/>
          </cell>
        </row>
        <row r="2272">
          <cell r="B2272" t="str">
            <v/>
          </cell>
        </row>
        <row r="2273">
          <cell r="B2273" t="str">
            <v/>
          </cell>
        </row>
        <row r="2274">
          <cell r="B2274" t="str">
            <v/>
          </cell>
        </row>
        <row r="2275">
          <cell r="B2275" t="str">
            <v/>
          </cell>
        </row>
        <row r="2276">
          <cell r="B2276" t="str">
            <v/>
          </cell>
        </row>
        <row r="2277">
          <cell r="B2277" t="str">
            <v/>
          </cell>
        </row>
        <row r="2278">
          <cell r="B2278" t="str">
            <v/>
          </cell>
        </row>
        <row r="2279">
          <cell r="B2279" t="str">
            <v/>
          </cell>
        </row>
        <row r="2280">
          <cell r="B2280" t="str">
            <v/>
          </cell>
        </row>
        <row r="2281">
          <cell r="B2281" t="str">
            <v/>
          </cell>
        </row>
        <row r="2282">
          <cell r="B2282" t="str">
            <v/>
          </cell>
        </row>
        <row r="2283">
          <cell r="B2283" t="str">
            <v/>
          </cell>
        </row>
        <row r="2284">
          <cell r="B2284" t="str">
            <v/>
          </cell>
        </row>
        <row r="2285">
          <cell r="B2285" t="str">
            <v/>
          </cell>
        </row>
        <row r="2286">
          <cell r="B2286" t="str">
            <v/>
          </cell>
        </row>
        <row r="2287">
          <cell r="B2287" t="str">
            <v/>
          </cell>
        </row>
        <row r="2288">
          <cell r="B2288" t="str">
            <v/>
          </cell>
        </row>
        <row r="2289">
          <cell r="B2289" t="str">
            <v/>
          </cell>
        </row>
        <row r="2290">
          <cell r="B2290" t="str">
            <v/>
          </cell>
        </row>
        <row r="2291">
          <cell r="B2291" t="str">
            <v/>
          </cell>
        </row>
        <row r="2292">
          <cell r="B2292" t="str">
            <v/>
          </cell>
        </row>
        <row r="2293">
          <cell r="B2293" t="str">
            <v/>
          </cell>
        </row>
        <row r="2294">
          <cell r="B2294" t="str">
            <v/>
          </cell>
        </row>
        <row r="2295">
          <cell r="B2295" t="str">
            <v/>
          </cell>
        </row>
        <row r="2296">
          <cell r="B2296" t="str">
            <v/>
          </cell>
        </row>
        <row r="2297">
          <cell r="B2297" t="str">
            <v/>
          </cell>
        </row>
        <row r="2298">
          <cell r="B2298" t="str">
            <v/>
          </cell>
        </row>
        <row r="2299">
          <cell r="B2299" t="str">
            <v/>
          </cell>
        </row>
        <row r="2300">
          <cell r="B2300" t="str">
            <v/>
          </cell>
        </row>
        <row r="2301">
          <cell r="B2301" t="str">
            <v/>
          </cell>
        </row>
        <row r="2302">
          <cell r="B2302" t="str">
            <v/>
          </cell>
        </row>
        <row r="2303">
          <cell r="B2303" t="str">
            <v/>
          </cell>
        </row>
        <row r="2304">
          <cell r="B2304" t="str">
            <v/>
          </cell>
        </row>
        <row r="2305">
          <cell r="B2305" t="str">
            <v/>
          </cell>
        </row>
        <row r="2306">
          <cell r="B2306" t="str">
            <v/>
          </cell>
        </row>
        <row r="2307">
          <cell r="B2307" t="str">
            <v/>
          </cell>
        </row>
        <row r="2308">
          <cell r="B2308" t="str">
            <v/>
          </cell>
        </row>
        <row r="2309">
          <cell r="B2309" t="str">
            <v/>
          </cell>
        </row>
        <row r="2310">
          <cell r="B2310" t="str">
            <v/>
          </cell>
        </row>
        <row r="2311">
          <cell r="B2311" t="str">
            <v/>
          </cell>
        </row>
        <row r="2312">
          <cell r="B2312" t="str">
            <v/>
          </cell>
        </row>
        <row r="2313">
          <cell r="B2313" t="str">
            <v/>
          </cell>
        </row>
        <row r="2314">
          <cell r="B2314" t="str">
            <v/>
          </cell>
        </row>
        <row r="2315">
          <cell r="B2315" t="str">
            <v/>
          </cell>
        </row>
        <row r="2316">
          <cell r="B2316" t="str">
            <v/>
          </cell>
        </row>
        <row r="2317">
          <cell r="B2317" t="str">
            <v/>
          </cell>
        </row>
        <row r="2318">
          <cell r="B2318" t="str">
            <v/>
          </cell>
        </row>
        <row r="2319">
          <cell r="B2319" t="str">
            <v/>
          </cell>
        </row>
        <row r="2320">
          <cell r="B2320" t="str">
            <v/>
          </cell>
        </row>
        <row r="2321">
          <cell r="B2321" t="str">
            <v/>
          </cell>
        </row>
        <row r="2322">
          <cell r="B2322" t="str">
            <v/>
          </cell>
        </row>
        <row r="2323">
          <cell r="B2323" t="str">
            <v/>
          </cell>
        </row>
        <row r="2324">
          <cell r="B2324" t="str">
            <v/>
          </cell>
        </row>
        <row r="2325">
          <cell r="B2325" t="str">
            <v/>
          </cell>
        </row>
        <row r="2326">
          <cell r="B2326" t="str">
            <v/>
          </cell>
        </row>
        <row r="2327">
          <cell r="B2327" t="str">
            <v/>
          </cell>
        </row>
        <row r="2328">
          <cell r="B2328" t="str">
            <v/>
          </cell>
        </row>
        <row r="2329">
          <cell r="B2329" t="str">
            <v/>
          </cell>
        </row>
        <row r="2330">
          <cell r="B2330" t="str">
            <v/>
          </cell>
        </row>
        <row r="2331">
          <cell r="B2331" t="str">
            <v/>
          </cell>
        </row>
        <row r="2332">
          <cell r="B2332" t="str">
            <v/>
          </cell>
        </row>
        <row r="2333">
          <cell r="B2333" t="str">
            <v/>
          </cell>
        </row>
        <row r="2334">
          <cell r="B2334" t="str">
            <v/>
          </cell>
        </row>
        <row r="2335">
          <cell r="B2335" t="str">
            <v/>
          </cell>
        </row>
        <row r="2336">
          <cell r="B2336" t="str">
            <v/>
          </cell>
        </row>
        <row r="2337">
          <cell r="B2337" t="str">
            <v/>
          </cell>
        </row>
        <row r="2338">
          <cell r="B2338" t="str">
            <v/>
          </cell>
        </row>
        <row r="2339">
          <cell r="B2339" t="str">
            <v/>
          </cell>
        </row>
        <row r="2340">
          <cell r="B2340" t="str">
            <v/>
          </cell>
        </row>
        <row r="2341">
          <cell r="B2341" t="str">
            <v/>
          </cell>
        </row>
        <row r="2342">
          <cell r="B2342" t="str">
            <v/>
          </cell>
        </row>
        <row r="2343">
          <cell r="B2343" t="str">
            <v/>
          </cell>
        </row>
        <row r="2344">
          <cell r="B2344" t="str">
            <v/>
          </cell>
        </row>
        <row r="2345">
          <cell r="B2345" t="str">
            <v/>
          </cell>
        </row>
        <row r="2346">
          <cell r="B2346" t="str">
            <v/>
          </cell>
        </row>
        <row r="2347">
          <cell r="B2347" t="str">
            <v/>
          </cell>
        </row>
        <row r="2348">
          <cell r="B2348" t="str">
            <v/>
          </cell>
        </row>
        <row r="2349">
          <cell r="B2349" t="str">
            <v/>
          </cell>
        </row>
        <row r="2350">
          <cell r="B2350" t="str">
            <v/>
          </cell>
        </row>
        <row r="2351">
          <cell r="B2351" t="str">
            <v/>
          </cell>
        </row>
        <row r="2352">
          <cell r="B2352" t="str">
            <v/>
          </cell>
        </row>
        <row r="2353">
          <cell r="B2353" t="str">
            <v/>
          </cell>
        </row>
        <row r="2354">
          <cell r="B2354" t="str">
            <v/>
          </cell>
        </row>
        <row r="2355">
          <cell r="B2355" t="str">
            <v/>
          </cell>
        </row>
        <row r="2356">
          <cell r="B2356" t="str">
            <v/>
          </cell>
        </row>
        <row r="2357">
          <cell r="B2357" t="str">
            <v/>
          </cell>
        </row>
        <row r="2358">
          <cell r="B2358" t="str">
            <v/>
          </cell>
        </row>
        <row r="2359">
          <cell r="B2359" t="str">
            <v/>
          </cell>
        </row>
        <row r="2360">
          <cell r="B2360" t="str">
            <v/>
          </cell>
        </row>
        <row r="2361">
          <cell r="B2361" t="str">
            <v/>
          </cell>
        </row>
        <row r="2362">
          <cell r="B2362" t="str">
            <v/>
          </cell>
        </row>
        <row r="2363">
          <cell r="B2363" t="str">
            <v/>
          </cell>
        </row>
        <row r="2364">
          <cell r="B2364" t="str">
            <v/>
          </cell>
        </row>
        <row r="2365">
          <cell r="B2365" t="str">
            <v/>
          </cell>
        </row>
        <row r="2366">
          <cell r="B2366" t="str">
            <v/>
          </cell>
        </row>
        <row r="2367">
          <cell r="B2367" t="str">
            <v/>
          </cell>
        </row>
        <row r="2368">
          <cell r="B2368" t="str">
            <v/>
          </cell>
        </row>
        <row r="2369">
          <cell r="B2369" t="str">
            <v/>
          </cell>
        </row>
        <row r="2370">
          <cell r="B2370" t="str">
            <v/>
          </cell>
        </row>
        <row r="2371">
          <cell r="B2371" t="str">
            <v/>
          </cell>
        </row>
        <row r="2372">
          <cell r="B2372" t="str">
            <v/>
          </cell>
        </row>
        <row r="2373">
          <cell r="B2373" t="str">
            <v/>
          </cell>
        </row>
        <row r="2374">
          <cell r="B2374" t="str">
            <v/>
          </cell>
        </row>
        <row r="2375">
          <cell r="B2375" t="str">
            <v/>
          </cell>
        </row>
        <row r="2376">
          <cell r="B2376" t="str">
            <v/>
          </cell>
        </row>
        <row r="2377">
          <cell r="B2377" t="str">
            <v/>
          </cell>
        </row>
        <row r="2378">
          <cell r="B2378" t="str">
            <v/>
          </cell>
        </row>
        <row r="2379">
          <cell r="B2379" t="str">
            <v/>
          </cell>
        </row>
        <row r="2380">
          <cell r="B2380" t="str">
            <v/>
          </cell>
        </row>
        <row r="2381">
          <cell r="B2381" t="str">
            <v/>
          </cell>
        </row>
        <row r="2382">
          <cell r="B2382" t="str">
            <v/>
          </cell>
        </row>
        <row r="2383">
          <cell r="B2383" t="str">
            <v/>
          </cell>
        </row>
        <row r="2384">
          <cell r="B2384" t="str">
            <v/>
          </cell>
        </row>
        <row r="2385">
          <cell r="B2385" t="str">
            <v/>
          </cell>
        </row>
        <row r="2386">
          <cell r="B2386" t="str">
            <v/>
          </cell>
        </row>
        <row r="2387">
          <cell r="B2387" t="str">
            <v/>
          </cell>
        </row>
        <row r="2388">
          <cell r="B2388" t="str">
            <v/>
          </cell>
        </row>
        <row r="2389">
          <cell r="B2389" t="str">
            <v/>
          </cell>
        </row>
        <row r="2390">
          <cell r="B2390" t="str">
            <v/>
          </cell>
        </row>
        <row r="2391">
          <cell r="B2391" t="str">
            <v/>
          </cell>
        </row>
        <row r="2392">
          <cell r="B2392" t="str">
            <v/>
          </cell>
        </row>
        <row r="2393">
          <cell r="B2393" t="str">
            <v/>
          </cell>
        </row>
        <row r="2394">
          <cell r="B2394" t="str">
            <v/>
          </cell>
        </row>
        <row r="2395">
          <cell r="B2395" t="str">
            <v/>
          </cell>
        </row>
        <row r="2396">
          <cell r="B2396" t="str">
            <v/>
          </cell>
        </row>
        <row r="2397">
          <cell r="B2397" t="str">
            <v/>
          </cell>
        </row>
        <row r="2398">
          <cell r="B2398" t="str">
            <v/>
          </cell>
        </row>
        <row r="2399">
          <cell r="B2399" t="str">
            <v/>
          </cell>
        </row>
        <row r="2400">
          <cell r="B2400" t="str">
            <v/>
          </cell>
        </row>
        <row r="2401">
          <cell r="B2401" t="str">
            <v/>
          </cell>
        </row>
        <row r="2402">
          <cell r="B2402" t="str">
            <v/>
          </cell>
        </row>
        <row r="2403">
          <cell r="B2403" t="str">
            <v/>
          </cell>
        </row>
        <row r="2404">
          <cell r="B2404" t="str">
            <v/>
          </cell>
        </row>
        <row r="2405">
          <cell r="B2405" t="str">
            <v/>
          </cell>
        </row>
        <row r="2406">
          <cell r="B2406" t="str">
            <v/>
          </cell>
        </row>
        <row r="2407">
          <cell r="B2407" t="str">
            <v/>
          </cell>
        </row>
        <row r="2408">
          <cell r="B2408" t="str">
            <v/>
          </cell>
        </row>
        <row r="2409">
          <cell r="B2409" t="str">
            <v/>
          </cell>
        </row>
        <row r="2410">
          <cell r="B2410" t="str">
            <v/>
          </cell>
        </row>
        <row r="2411">
          <cell r="B2411" t="str">
            <v/>
          </cell>
        </row>
        <row r="2412">
          <cell r="B2412" t="str">
            <v/>
          </cell>
        </row>
        <row r="2413">
          <cell r="B2413" t="str">
            <v/>
          </cell>
        </row>
        <row r="2414">
          <cell r="B2414" t="str">
            <v/>
          </cell>
        </row>
        <row r="2415">
          <cell r="B2415" t="str">
            <v/>
          </cell>
        </row>
        <row r="2416">
          <cell r="B2416" t="str">
            <v/>
          </cell>
        </row>
        <row r="2417">
          <cell r="B2417" t="str">
            <v/>
          </cell>
        </row>
        <row r="2418">
          <cell r="B2418" t="str">
            <v/>
          </cell>
        </row>
        <row r="2419">
          <cell r="B2419" t="str">
            <v/>
          </cell>
        </row>
        <row r="2420">
          <cell r="B2420" t="str">
            <v/>
          </cell>
        </row>
        <row r="2421">
          <cell r="B2421" t="str">
            <v/>
          </cell>
        </row>
        <row r="2422">
          <cell r="B2422" t="str">
            <v/>
          </cell>
        </row>
        <row r="2423">
          <cell r="B2423" t="str">
            <v/>
          </cell>
        </row>
        <row r="2424">
          <cell r="B2424" t="str">
            <v/>
          </cell>
        </row>
        <row r="2425">
          <cell r="B2425" t="str">
            <v/>
          </cell>
        </row>
        <row r="2426">
          <cell r="B2426" t="str">
            <v/>
          </cell>
        </row>
        <row r="2427">
          <cell r="B2427" t="str">
            <v/>
          </cell>
        </row>
        <row r="2428">
          <cell r="B2428" t="str">
            <v/>
          </cell>
        </row>
        <row r="2429">
          <cell r="B2429" t="str">
            <v/>
          </cell>
        </row>
        <row r="2430">
          <cell r="B2430" t="str">
            <v/>
          </cell>
        </row>
        <row r="2431">
          <cell r="B2431" t="str">
            <v/>
          </cell>
        </row>
        <row r="2432">
          <cell r="B2432" t="str">
            <v/>
          </cell>
        </row>
        <row r="2433">
          <cell r="B2433" t="str">
            <v/>
          </cell>
        </row>
        <row r="2434">
          <cell r="B2434" t="str">
            <v/>
          </cell>
        </row>
        <row r="2435">
          <cell r="B2435" t="str">
            <v/>
          </cell>
        </row>
        <row r="2436">
          <cell r="B2436" t="str">
            <v/>
          </cell>
        </row>
        <row r="2437">
          <cell r="B2437" t="str">
            <v/>
          </cell>
        </row>
        <row r="2438">
          <cell r="B2438" t="str">
            <v/>
          </cell>
        </row>
        <row r="2439">
          <cell r="B2439" t="str">
            <v/>
          </cell>
        </row>
        <row r="2440">
          <cell r="B2440" t="str">
            <v/>
          </cell>
        </row>
        <row r="2441">
          <cell r="B2441" t="str">
            <v/>
          </cell>
        </row>
        <row r="2442">
          <cell r="B2442" t="str">
            <v/>
          </cell>
        </row>
        <row r="2443">
          <cell r="B2443" t="str">
            <v/>
          </cell>
        </row>
        <row r="2444">
          <cell r="B2444" t="str">
            <v/>
          </cell>
        </row>
        <row r="2445">
          <cell r="B2445" t="str">
            <v/>
          </cell>
        </row>
        <row r="2446">
          <cell r="B2446" t="str">
            <v/>
          </cell>
        </row>
        <row r="2447">
          <cell r="B2447" t="str">
            <v/>
          </cell>
        </row>
        <row r="2448">
          <cell r="B2448" t="str">
            <v/>
          </cell>
        </row>
        <row r="2449">
          <cell r="B2449" t="str">
            <v/>
          </cell>
        </row>
        <row r="2450">
          <cell r="B2450" t="str">
            <v/>
          </cell>
        </row>
        <row r="2451">
          <cell r="B2451" t="str">
            <v/>
          </cell>
        </row>
        <row r="2452">
          <cell r="B2452" t="str">
            <v/>
          </cell>
        </row>
        <row r="2453">
          <cell r="B2453" t="str">
            <v/>
          </cell>
        </row>
        <row r="2454">
          <cell r="B2454" t="str">
            <v/>
          </cell>
        </row>
        <row r="2455">
          <cell r="B2455" t="str">
            <v/>
          </cell>
        </row>
        <row r="2456">
          <cell r="B2456" t="str">
            <v/>
          </cell>
        </row>
        <row r="2457">
          <cell r="B2457" t="str">
            <v/>
          </cell>
        </row>
        <row r="2458">
          <cell r="B2458" t="str">
            <v/>
          </cell>
        </row>
        <row r="2459">
          <cell r="B2459" t="str">
            <v/>
          </cell>
        </row>
        <row r="2460">
          <cell r="B2460" t="str">
            <v/>
          </cell>
        </row>
        <row r="2461">
          <cell r="B2461" t="str">
            <v/>
          </cell>
        </row>
        <row r="2462">
          <cell r="B2462" t="str">
            <v/>
          </cell>
        </row>
        <row r="2463">
          <cell r="B2463" t="str">
            <v/>
          </cell>
        </row>
        <row r="2464">
          <cell r="B2464" t="str">
            <v/>
          </cell>
        </row>
        <row r="2465">
          <cell r="B2465" t="str">
            <v/>
          </cell>
        </row>
        <row r="2466">
          <cell r="B2466" t="str">
            <v/>
          </cell>
        </row>
        <row r="2467">
          <cell r="B2467" t="str">
            <v/>
          </cell>
        </row>
        <row r="2468">
          <cell r="B2468" t="str">
            <v/>
          </cell>
        </row>
        <row r="2469">
          <cell r="B2469" t="str">
            <v/>
          </cell>
        </row>
        <row r="2470">
          <cell r="B2470" t="str">
            <v/>
          </cell>
        </row>
        <row r="2471">
          <cell r="B2471" t="str">
            <v/>
          </cell>
        </row>
        <row r="2472">
          <cell r="B2472" t="str">
            <v/>
          </cell>
        </row>
        <row r="2473">
          <cell r="B2473" t="str">
            <v/>
          </cell>
        </row>
        <row r="2474">
          <cell r="B2474" t="str">
            <v/>
          </cell>
        </row>
        <row r="2475">
          <cell r="B2475" t="str">
            <v/>
          </cell>
        </row>
        <row r="2476">
          <cell r="B2476" t="str">
            <v/>
          </cell>
        </row>
        <row r="2477">
          <cell r="B2477" t="str">
            <v/>
          </cell>
        </row>
        <row r="2478">
          <cell r="B2478" t="str">
            <v/>
          </cell>
        </row>
        <row r="2479">
          <cell r="B2479" t="str">
            <v/>
          </cell>
        </row>
        <row r="2480">
          <cell r="B2480" t="str">
            <v/>
          </cell>
        </row>
        <row r="2481">
          <cell r="B2481" t="str">
            <v/>
          </cell>
        </row>
        <row r="2482">
          <cell r="B2482" t="str">
            <v/>
          </cell>
        </row>
        <row r="2483">
          <cell r="B2483" t="str">
            <v/>
          </cell>
        </row>
        <row r="2484">
          <cell r="B2484" t="str">
            <v/>
          </cell>
        </row>
        <row r="2485">
          <cell r="B2485" t="str">
            <v/>
          </cell>
        </row>
        <row r="2486">
          <cell r="B2486" t="str">
            <v/>
          </cell>
        </row>
        <row r="2487">
          <cell r="B2487" t="str">
            <v/>
          </cell>
        </row>
        <row r="2488">
          <cell r="B2488" t="str">
            <v/>
          </cell>
        </row>
        <row r="2489">
          <cell r="B2489" t="str">
            <v/>
          </cell>
        </row>
        <row r="2490">
          <cell r="B2490" t="str">
            <v/>
          </cell>
        </row>
        <row r="2491">
          <cell r="B2491" t="str">
            <v/>
          </cell>
        </row>
        <row r="2492">
          <cell r="B2492" t="str">
            <v/>
          </cell>
        </row>
        <row r="2493">
          <cell r="B2493" t="str">
            <v/>
          </cell>
        </row>
        <row r="2494">
          <cell r="B2494" t="str">
            <v/>
          </cell>
        </row>
        <row r="2495">
          <cell r="B2495" t="str">
            <v/>
          </cell>
        </row>
        <row r="2496">
          <cell r="B2496" t="str">
            <v/>
          </cell>
        </row>
        <row r="2497">
          <cell r="B2497" t="str">
            <v/>
          </cell>
        </row>
        <row r="2498">
          <cell r="B2498" t="str">
            <v/>
          </cell>
        </row>
        <row r="2499">
          <cell r="B2499" t="str">
            <v/>
          </cell>
        </row>
        <row r="2500">
          <cell r="B2500" t="str">
            <v/>
          </cell>
        </row>
        <row r="2501">
          <cell r="B2501" t="str">
            <v/>
          </cell>
        </row>
        <row r="2502">
          <cell r="B2502" t="str">
            <v/>
          </cell>
        </row>
        <row r="2503">
          <cell r="B2503" t="str">
            <v/>
          </cell>
        </row>
        <row r="2504">
          <cell r="B2504" t="str">
            <v/>
          </cell>
        </row>
        <row r="2505">
          <cell r="B2505" t="str">
            <v/>
          </cell>
        </row>
        <row r="2506">
          <cell r="B2506" t="str">
            <v/>
          </cell>
        </row>
        <row r="2507">
          <cell r="B2507" t="str">
            <v/>
          </cell>
        </row>
        <row r="2508">
          <cell r="B2508" t="str">
            <v/>
          </cell>
        </row>
        <row r="2509">
          <cell r="B2509" t="str">
            <v/>
          </cell>
        </row>
        <row r="2510">
          <cell r="B2510" t="str">
            <v/>
          </cell>
        </row>
        <row r="2511">
          <cell r="B2511" t="str">
            <v/>
          </cell>
        </row>
        <row r="2512">
          <cell r="B2512" t="str">
            <v/>
          </cell>
        </row>
        <row r="2513">
          <cell r="B2513" t="str">
            <v/>
          </cell>
        </row>
        <row r="2514">
          <cell r="B2514" t="str">
            <v/>
          </cell>
        </row>
        <row r="2515">
          <cell r="B2515" t="str">
            <v/>
          </cell>
        </row>
        <row r="2516">
          <cell r="B2516" t="str">
            <v/>
          </cell>
        </row>
        <row r="2517">
          <cell r="B2517" t="str">
            <v/>
          </cell>
        </row>
        <row r="2518">
          <cell r="B2518" t="str">
            <v/>
          </cell>
        </row>
        <row r="2519">
          <cell r="B2519" t="str">
            <v/>
          </cell>
        </row>
        <row r="2520">
          <cell r="B2520" t="str">
            <v/>
          </cell>
        </row>
        <row r="2521">
          <cell r="B2521" t="str">
            <v/>
          </cell>
        </row>
        <row r="2522">
          <cell r="B2522" t="str">
            <v/>
          </cell>
        </row>
        <row r="2523">
          <cell r="B2523" t="str">
            <v/>
          </cell>
        </row>
        <row r="2524">
          <cell r="B2524" t="str">
            <v/>
          </cell>
        </row>
        <row r="2525">
          <cell r="B2525" t="str">
            <v/>
          </cell>
        </row>
        <row r="2526">
          <cell r="B2526" t="str">
            <v/>
          </cell>
        </row>
        <row r="2527">
          <cell r="B2527" t="str">
            <v/>
          </cell>
        </row>
        <row r="2528">
          <cell r="B2528" t="str">
            <v/>
          </cell>
        </row>
        <row r="2529">
          <cell r="B2529" t="str">
            <v/>
          </cell>
        </row>
        <row r="2530">
          <cell r="B2530" t="str">
            <v/>
          </cell>
        </row>
        <row r="2531">
          <cell r="B2531" t="str">
            <v/>
          </cell>
        </row>
        <row r="2532">
          <cell r="B2532" t="str">
            <v/>
          </cell>
        </row>
        <row r="2533">
          <cell r="B2533" t="str">
            <v/>
          </cell>
        </row>
        <row r="2534">
          <cell r="B2534" t="str">
            <v/>
          </cell>
        </row>
        <row r="2535">
          <cell r="B2535" t="str">
            <v/>
          </cell>
        </row>
        <row r="2536">
          <cell r="B2536" t="str">
            <v/>
          </cell>
        </row>
        <row r="2537">
          <cell r="B2537" t="str">
            <v/>
          </cell>
        </row>
        <row r="2538">
          <cell r="B2538" t="str">
            <v/>
          </cell>
        </row>
        <row r="2539">
          <cell r="B2539" t="str">
            <v/>
          </cell>
        </row>
        <row r="2540">
          <cell r="B2540" t="str">
            <v/>
          </cell>
        </row>
        <row r="2541">
          <cell r="B2541" t="str">
            <v/>
          </cell>
        </row>
        <row r="2542">
          <cell r="B2542" t="str">
            <v/>
          </cell>
        </row>
        <row r="2543">
          <cell r="B2543" t="str">
            <v/>
          </cell>
        </row>
        <row r="2544">
          <cell r="B2544" t="str">
            <v/>
          </cell>
        </row>
        <row r="2545">
          <cell r="B2545" t="str">
            <v/>
          </cell>
        </row>
        <row r="2546">
          <cell r="B2546" t="str">
            <v/>
          </cell>
        </row>
        <row r="2547">
          <cell r="B2547" t="str">
            <v/>
          </cell>
        </row>
        <row r="2548">
          <cell r="B2548" t="str">
            <v/>
          </cell>
        </row>
        <row r="2549">
          <cell r="B2549" t="str">
            <v/>
          </cell>
        </row>
        <row r="2550">
          <cell r="B2550" t="str">
            <v/>
          </cell>
        </row>
        <row r="2551">
          <cell r="B2551" t="str">
            <v/>
          </cell>
        </row>
        <row r="2552">
          <cell r="B2552" t="str">
            <v/>
          </cell>
        </row>
        <row r="2553">
          <cell r="B2553" t="str">
            <v/>
          </cell>
        </row>
        <row r="2554">
          <cell r="B2554" t="str">
            <v/>
          </cell>
        </row>
        <row r="2555">
          <cell r="B2555" t="str">
            <v/>
          </cell>
        </row>
        <row r="2556">
          <cell r="B2556" t="str">
            <v/>
          </cell>
        </row>
        <row r="2557">
          <cell r="B2557" t="str">
            <v/>
          </cell>
        </row>
        <row r="2558">
          <cell r="B2558" t="str">
            <v/>
          </cell>
        </row>
        <row r="2559">
          <cell r="B2559" t="str">
            <v/>
          </cell>
        </row>
        <row r="2560">
          <cell r="B2560" t="str">
            <v/>
          </cell>
        </row>
        <row r="2561">
          <cell r="B2561" t="str">
            <v/>
          </cell>
        </row>
        <row r="2562">
          <cell r="B2562" t="str">
            <v/>
          </cell>
        </row>
        <row r="2563">
          <cell r="B2563" t="str">
            <v/>
          </cell>
        </row>
        <row r="2564">
          <cell r="B2564" t="str">
            <v/>
          </cell>
        </row>
        <row r="2565">
          <cell r="B2565" t="str">
            <v/>
          </cell>
        </row>
        <row r="2566">
          <cell r="B2566" t="str">
            <v/>
          </cell>
        </row>
        <row r="2567">
          <cell r="B2567" t="str">
            <v/>
          </cell>
        </row>
        <row r="2568">
          <cell r="B2568" t="str">
            <v/>
          </cell>
        </row>
        <row r="2569">
          <cell r="B2569" t="str">
            <v/>
          </cell>
        </row>
        <row r="2570">
          <cell r="B2570" t="str">
            <v/>
          </cell>
        </row>
        <row r="2571">
          <cell r="B2571" t="str">
            <v/>
          </cell>
        </row>
        <row r="2572">
          <cell r="B2572" t="str">
            <v/>
          </cell>
        </row>
        <row r="2573">
          <cell r="B2573" t="str">
            <v/>
          </cell>
        </row>
        <row r="2574">
          <cell r="B2574" t="str">
            <v/>
          </cell>
        </row>
        <row r="2575">
          <cell r="B2575" t="str">
            <v/>
          </cell>
        </row>
        <row r="2576">
          <cell r="B2576" t="str">
            <v/>
          </cell>
        </row>
        <row r="2577">
          <cell r="B2577" t="str">
            <v/>
          </cell>
        </row>
        <row r="2578">
          <cell r="B2578" t="str">
            <v/>
          </cell>
        </row>
        <row r="2579">
          <cell r="B2579" t="str">
            <v/>
          </cell>
        </row>
        <row r="2580">
          <cell r="B2580" t="str">
            <v/>
          </cell>
        </row>
        <row r="2581">
          <cell r="B2581" t="str">
            <v/>
          </cell>
        </row>
        <row r="2582">
          <cell r="B2582" t="str">
            <v/>
          </cell>
        </row>
        <row r="2583">
          <cell r="B2583" t="str">
            <v/>
          </cell>
        </row>
        <row r="2584">
          <cell r="B2584" t="str">
            <v/>
          </cell>
        </row>
        <row r="2585">
          <cell r="B2585" t="str">
            <v/>
          </cell>
        </row>
        <row r="2586">
          <cell r="B2586" t="str">
            <v/>
          </cell>
        </row>
        <row r="2587">
          <cell r="B2587" t="str">
            <v/>
          </cell>
        </row>
        <row r="2588">
          <cell r="B2588" t="str">
            <v/>
          </cell>
        </row>
        <row r="2589">
          <cell r="B2589" t="str">
            <v/>
          </cell>
        </row>
        <row r="2590">
          <cell r="B2590" t="str">
            <v/>
          </cell>
        </row>
        <row r="2591">
          <cell r="B2591" t="str">
            <v/>
          </cell>
        </row>
        <row r="2592">
          <cell r="B2592" t="str">
            <v/>
          </cell>
        </row>
        <row r="2593">
          <cell r="B2593" t="str">
            <v/>
          </cell>
        </row>
        <row r="2594">
          <cell r="B2594" t="str">
            <v/>
          </cell>
        </row>
        <row r="2595">
          <cell r="B2595" t="str">
            <v/>
          </cell>
        </row>
        <row r="2596">
          <cell r="B2596" t="str">
            <v/>
          </cell>
        </row>
        <row r="2597">
          <cell r="B2597" t="str">
            <v/>
          </cell>
        </row>
        <row r="2598">
          <cell r="B2598" t="str">
            <v/>
          </cell>
        </row>
        <row r="2599">
          <cell r="B2599" t="str">
            <v/>
          </cell>
        </row>
        <row r="2600">
          <cell r="B2600" t="str">
            <v/>
          </cell>
        </row>
        <row r="2601">
          <cell r="B2601" t="str">
            <v/>
          </cell>
        </row>
        <row r="2602">
          <cell r="B2602" t="str">
            <v/>
          </cell>
        </row>
        <row r="2603">
          <cell r="B2603" t="str">
            <v/>
          </cell>
        </row>
        <row r="2604">
          <cell r="B2604" t="str">
            <v/>
          </cell>
        </row>
        <row r="2605">
          <cell r="B2605" t="str">
            <v/>
          </cell>
        </row>
        <row r="2606">
          <cell r="B2606" t="str">
            <v/>
          </cell>
        </row>
        <row r="2607">
          <cell r="B2607" t="str">
            <v/>
          </cell>
        </row>
        <row r="2608">
          <cell r="B2608" t="str">
            <v/>
          </cell>
        </row>
        <row r="2609">
          <cell r="B2609" t="str">
            <v/>
          </cell>
        </row>
        <row r="2610">
          <cell r="B2610" t="str">
            <v/>
          </cell>
        </row>
        <row r="2611">
          <cell r="B2611" t="str">
            <v/>
          </cell>
        </row>
        <row r="2612">
          <cell r="B2612" t="str">
            <v/>
          </cell>
        </row>
        <row r="2613">
          <cell r="B2613" t="str">
            <v/>
          </cell>
        </row>
        <row r="2614">
          <cell r="B2614" t="str">
            <v/>
          </cell>
        </row>
        <row r="2615">
          <cell r="B2615" t="str">
            <v/>
          </cell>
        </row>
        <row r="2616">
          <cell r="B2616" t="str">
            <v/>
          </cell>
        </row>
        <row r="2617">
          <cell r="B2617" t="str">
            <v/>
          </cell>
        </row>
        <row r="2618">
          <cell r="B2618" t="str">
            <v/>
          </cell>
        </row>
        <row r="2619">
          <cell r="B2619" t="str">
            <v/>
          </cell>
        </row>
        <row r="2620">
          <cell r="B2620" t="str">
            <v/>
          </cell>
        </row>
        <row r="2621">
          <cell r="B2621" t="str">
            <v/>
          </cell>
        </row>
        <row r="2622">
          <cell r="B2622" t="str">
            <v/>
          </cell>
        </row>
        <row r="2623">
          <cell r="B2623" t="str">
            <v/>
          </cell>
        </row>
        <row r="2624">
          <cell r="B2624" t="str">
            <v/>
          </cell>
        </row>
        <row r="2625">
          <cell r="B2625" t="str">
            <v/>
          </cell>
        </row>
        <row r="2626">
          <cell r="B2626" t="str">
            <v/>
          </cell>
        </row>
        <row r="2627">
          <cell r="B2627" t="str">
            <v/>
          </cell>
        </row>
        <row r="2628">
          <cell r="B2628" t="str">
            <v/>
          </cell>
        </row>
        <row r="2629">
          <cell r="B2629" t="str">
            <v/>
          </cell>
        </row>
        <row r="2630">
          <cell r="B2630" t="str">
            <v/>
          </cell>
        </row>
        <row r="2631">
          <cell r="B2631" t="str">
            <v/>
          </cell>
        </row>
        <row r="2632">
          <cell r="B2632" t="str">
            <v/>
          </cell>
        </row>
        <row r="2633">
          <cell r="B2633" t="str">
            <v/>
          </cell>
        </row>
        <row r="2634">
          <cell r="B2634" t="str">
            <v/>
          </cell>
        </row>
        <row r="2635">
          <cell r="B2635" t="str">
            <v/>
          </cell>
        </row>
        <row r="2636">
          <cell r="B2636" t="str">
            <v/>
          </cell>
        </row>
        <row r="2637">
          <cell r="B2637" t="str">
            <v/>
          </cell>
        </row>
        <row r="2638">
          <cell r="B2638" t="str">
            <v/>
          </cell>
        </row>
        <row r="2639">
          <cell r="B2639" t="str">
            <v/>
          </cell>
        </row>
        <row r="2640">
          <cell r="B2640" t="str">
            <v/>
          </cell>
        </row>
        <row r="2641">
          <cell r="B2641" t="str">
            <v/>
          </cell>
        </row>
        <row r="2642">
          <cell r="B2642" t="str">
            <v/>
          </cell>
        </row>
        <row r="2643">
          <cell r="B2643" t="str">
            <v/>
          </cell>
        </row>
        <row r="2644">
          <cell r="B2644" t="str">
            <v/>
          </cell>
        </row>
        <row r="2645">
          <cell r="B2645" t="str">
            <v/>
          </cell>
        </row>
        <row r="2646">
          <cell r="B2646" t="str">
            <v/>
          </cell>
        </row>
        <row r="2647">
          <cell r="B2647" t="str">
            <v/>
          </cell>
        </row>
        <row r="2648">
          <cell r="B2648" t="str">
            <v/>
          </cell>
        </row>
        <row r="2649">
          <cell r="B2649" t="str">
            <v/>
          </cell>
        </row>
        <row r="2650">
          <cell r="B2650" t="str">
            <v/>
          </cell>
        </row>
        <row r="2651">
          <cell r="B2651" t="str">
            <v/>
          </cell>
        </row>
        <row r="2652">
          <cell r="B2652" t="str">
            <v/>
          </cell>
        </row>
        <row r="2653">
          <cell r="B2653" t="str">
            <v/>
          </cell>
        </row>
        <row r="2654">
          <cell r="B2654" t="str">
            <v/>
          </cell>
        </row>
        <row r="2655">
          <cell r="B2655" t="str">
            <v/>
          </cell>
        </row>
        <row r="2656">
          <cell r="B2656" t="str">
            <v/>
          </cell>
        </row>
        <row r="2657">
          <cell r="B2657" t="str">
            <v/>
          </cell>
        </row>
        <row r="2658">
          <cell r="B2658" t="str">
            <v/>
          </cell>
        </row>
        <row r="2659">
          <cell r="B2659" t="str">
            <v/>
          </cell>
        </row>
        <row r="2660">
          <cell r="B2660" t="str">
            <v/>
          </cell>
        </row>
        <row r="2661">
          <cell r="B2661" t="str">
            <v/>
          </cell>
        </row>
        <row r="2662">
          <cell r="B2662" t="str">
            <v/>
          </cell>
        </row>
        <row r="2663">
          <cell r="B2663" t="str">
            <v/>
          </cell>
        </row>
        <row r="2664">
          <cell r="B2664" t="str">
            <v/>
          </cell>
        </row>
        <row r="2665">
          <cell r="B2665" t="str">
            <v/>
          </cell>
        </row>
        <row r="2666">
          <cell r="B2666" t="str">
            <v/>
          </cell>
        </row>
        <row r="2667">
          <cell r="B2667" t="str">
            <v/>
          </cell>
        </row>
        <row r="2668">
          <cell r="B2668" t="str">
            <v/>
          </cell>
        </row>
        <row r="2669">
          <cell r="B2669" t="str">
            <v/>
          </cell>
        </row>
        <row r="2670">
          <cell r="B2670" t="str">
            <v/>
          </cell>
        </row>
        <row r="2671">
          <cell r="B2671" t="str">
            <v/>
          </cell>
        </row>
        <row r="2672">
          <cell r="B2672" t="str">
            <v/>
          </cell>
        </row>
        <row r="2673">
          <cell r="B2673" t="str">
            <v/>
          </cell>
        </row>
        <row r="2674">
          <cell r="B2674" t="str">
            <v/>
          </cell>
        </row>
        <row r="2675">
          <cell r="B2675" t="str">
            <v/>
          </cell>
        </row>
        <row r="2676">
          <cell r="B2676" t="str">
            <v/>
          </cell>
        </row>
        <row r="2677">
          <cell r="B2677" t="str">
            <v/>
          </cell>
        </row>
        <row r="2678">
          <cell r="B2678" t="str">
            <v/>
          </cell>
        </row>
        <row r="2679">
          <cell r="B2679" t="str">
            <v/>
          </cell>
        </row>
        <row r="2680">
          <cell r="B2680" t="str">
            <v/>
          </cell>
        </row>
        <row r="2681">
          <cell r="B2681" t="str">
            <v/>
          </cell>
        </row>
        <row r="2682">
          <cell r="B2682" t="str">
            <v/>
          </cell>
        </row>
        <row r="2683">
          <cell r="B2683" t="str">
            <v/>
          </cell>
        </row>
        <row r="2684">
          <cell r="B2684" t="str">
            <v/>
          </cell>
        </row>
        <row r="2685">
          <cell r="B2685" t="str">
            <v/>
          </cell>
        </row>
        <row r="2686">
          <cell r="B2686" t="str">
            <v/>
          </cell>
        </row>
        <row r="2687">
          <cell r="B2687" t="str">
            <v/>
          </cell>
        </row>
        <row r="2688">
          <cell r="B2688" t="str">
            <v/>
          </cell>
        </row>
        <row r="2689">
          <cell r="B2689" t="str">
            <v/>
          </cell>
        </row>
        <row r="2690">
          <cell r="B2690" t="str">
            <v/>
          </cell>
        </row>
        <row r="2691">
          <cell r="B2691" t="str">
            <v/>
          </cell>
        </row>
        <row r="2692">
          <cell r="B2692" t="str">
            <v/>
          </cell>
        </row>
        <row r="2693">
          <cell r="B2693" t="str">
            <v/>
          </cell>
        </row>
        <row r="2694">
          <cell r="B2694" t="str">
            <v/>
          </cell>
        </row>
        <row r="2695">
          <cell r="B2695" t="str">
            <v/>
          </cell>
        </row>
        <row r="2696">
          <cell r="B2696" t="str">
            <v/>
          </cell>
        </row>
        <row r="2697">
          <cell r="B2697" t="str">
            <v/>
          </cell>
        </row>
        <row r="2698">
          <cell r="B2698" t="str">
            <v/>
          </cell>
        </row>
        <row r="2699">
          <cell r="B2699" t="str">
            <v/>
          </cell>
        </row>
        <row r="2700">
          <cell r="B2700" t="str">
            <v/>
          </cell>
        </row>
        <row r="2701">
          <cell r="B2701" t="str">
            <v/>
          </cell>
        </row>
        <row r="2702">
          <cell r="B2702" t="str">
            <v/>
          </cell>
        </row>
        <row r="2703">
          <cell r="B2703" t="str">
            <v/>
          </cell>
        </row>
        <row r="2704">
          <cell r="B2704" t="str">
            <v/>
          </cell>
        </row>
        <row r="2705">
          <cell r="B2705" t="str">
            <v/>
          </cell>
        </row>
        <row r="2706">
          <cell r="B2706" t="str">
            <v/>
          </cell>
        </row>
        <row r="2707">
          <cell r="B2707" t="str">
            <v/>
          </cell>
        </row>
        <row r="2708">
          <cell r="B2708" t="str">
            <v/>
          </cell>
        </row>
        <row r="2709">
          <cell r="B2709" t="str">
            <v/>
          </cell>
        </row>
        <row r="2710">
          <cell r="B2710" t="str">
            <v/>
          </cell>
        </row>
        <row r="2711">
          <cell r="B2711" t="str">
            <v/>
          </cell>
        </row>
        <row r="2712">
          <cell r="B2712" t="str">
            <v/>
          </cell>
        </row>
        <row r="2713">
          <cell r="B2713" t="str">
            <v/>
          </cell>
        </row>
        <row r="2714">
          <cell r="B2714" t="str">
            <v/>
          </cell>
        </row>
        <row r="2715">
          <cell r="B2715" t="str">
            <v/>
          </cell>
        </row>
        <row r="2716">
          <cell r="B2716" t="str">
            <v/>
          </cell>
        </row>
        <row r="2717">
          <cell r="B2717" t="str">
            <v/>
          </cell>
        </row>
        <row r="2718">
          <cell r="B2718" t="str">
            <v/>
          </cell>
        </row>
        <row r="2719">
          <cell r="B2719" t="str">
            <v/>
          </cell>
        </row>
        <row r="2720">
          <cell r="B2720" t="str">
            <v/>
          </cell>
        </row>
        <row r="2721">
          <cell r="B2721" t="str">
            <v/>
          </cell>
        </row>
        <row r="2722">
          <cell r="B2722" t="str">
            <v/>
          </cell>
        </row>
        <row r="2723">
          <cell r="B2723" t="str">
            <v/>
          </cell>
        </row>
        <row r="2724">
          <cell r="B2724" t="str">
            <v/>
          </cell>
        </row>
        <row r="2725">
          <cell r="B2725" t="str">
            <v/>
          </cell>
        </row>
        <row r="2726">
          <cell r="B2726" t="str">
            <v/>
          </cell>
        </row>
        <row r="2727">
          <cell r="B2727" t="str">
            <v/>
          </cell>
        </row>
        <row r="2728">
          <cell r="B2728" t="str">
            <v/>
          </cell>
        </row>
        <row r="2729">
          <cell r="B2729" t="str">
            <v/>
          </cell>
        </row>
        <row r="2730">
          <cell r="B2730" t="str">
            <v/>
          </cell>
        </row>
        <row r="2731">
          <cell r="B2731" t="str">
            <v/>
          </cell>
        </row>
        <row r="2732">
          <cell r="B2732" t="str">
            <v/>
          </cell>
        </row>
        <row r="2733">
          <cell r="B2733" t="str">
            <v/>
          </cell>
        </row>
        <row r="2734">
          <cell r="B2734" t="str">
            <v/>
          </cell>
        </row>
        <row r="2735">
          <cell r="B2735" t="str">
            <v/>
          </cell>
        </row>
        <row r="2736">
          <cell r="B2736" t="str">
            <v/>
          </cell>
        </row>
        <row r="2737">
          <cell r="B2737" t="str">
            <v/>
          </cell>
        </row>
        <row r="2738">
          <cell r="B2738" t="str">
            <v/>
          </cell>
        </row>
        <row r="2739">
          <cell r="B2739" t="str">
            <v/>
          </cell>
        </row>
        <row r="2740">
          <cell r="B2740" t="str">
            <v/>
          </cell>
        </row>
        <row r="2741">
          <cell r="B2741" t="str">
            <v/>
          </cell>
        </row>
        <row r="2742">
          <cell r="B2742" t="str">
            <v/>
          </cell>
        </row>
        <row r="2743">
          <cell r="B2743" t="str">
            <v/>
          </cell>
        </row>
        <row r="2744">
          <cell r="B2744" t="str">
            <v/>
          </cell>
        </row>
        <row r="2745">
          <cell r="B2745" t="str">
            <v/>
          </cell>
        </row>
        <row r="2746">
          <cell r="B2746" t="str">
            <v/>
          </cell>
        </row>
        <row r="2747">
          <cell r="B2747" t="str">
            <v/>
          </cell>
        </row>
        <row r="2748">
          <cell r="B2748" t="str">
            <v/>
          </cell>
        </row>
        <row r="2749">
          <cell r="B2749" t="str">
            <v/>
          </cell>
        </row>
        <row r="2750">
          <cell r="B2750" t="str">
            <v/>
          </cell>
        </row>
        <row r="2751">
          <cell r="B2751" t="str">
            <v/>
          </cell>
        </row>
        <row r="2752">
          <cell r="B2752" t="str">
            <v/>
          </cell>
        </row>
        <row r="2753">
          <cell r="B2753" t="str">
            <v/>
          </cell>
        </row>
        <row r="2754">
          <cell r="B2754" t="str">
            <v/>
          </cell>
        </row>
        <row r="2755">
          <cell r="B2755" t="str">
            <v/>
          </cell>
        </row>
        <row r="2756">
          <cell r="B2756" t="str">
            <v/>
          </cell>
        </row>
        <row r="2757">
          <cell r="B2757" t="str">
            <v/>
          </cell>
        </row>
        <row r="2758">
          <cell r="B2758" t="str">
            <v/>
          </cell>
        </row>
        <row r="2759">
          <cell r="B2759" t="str">
            <v/>
          </cell>
        </row>
        <row r="2760">
          <cell r="B2760" t="str">
            <v/>
          </cell>
        </row>
        <row r="2761">
          <cell r="B2761" t="str">
            <v/>
          </cell>
        </row>
        <row r="2762">
          <cell r="B2762" t="str">
            <v/>
          </cell>
        </row>
        <row r="2763">
          <cell r="B2763" t="str">
            <v/>
          </cell>
        </row>
        <row r="2764">
          <cell r="B2764" t="str">
            <v/>
          </cell>
        </row>
        <row r="2765">
          <cell r="B2765" t="str">
            <v/>
          </cell>
        </row>
        <row r="2766">
          <cell r="B2766" t="str">
            <v/>
          </cell>
        </row>
        <row r="2767">
          <cell r="B2767" t="str">
            <v/>
          </cell>
        </row>
        <row r="2768">
          <cell r="B2768" t="str">
            <v/>
          </cell>
        </row>
        <row r="2769">
          <cell r="B2769" t="str">
            <v/>
          </cell>
        </row>
        <row r="2770">
          <cell r="B2770" t="str">
            <v/>
          </cell>
        </row>
        <row r="2771">
          <cell r="B2771" t="str">
            <v/>
          </cell>
        </row>
        <row r="2772">
          <cell r="B2772" t="str">
            <v/>
          </cell>
        </row>
        <row r="2773">
          <cell r="B2773" t="str">
            <v/>
          </cell>
        </row>
        <row r="2774">
          <cell r="B2774" t="str">
            <v/>
          </cell>
        </row>
        <row r="2775">
          <cell r="B2775" t="str">
            <v/>
          </cell>
        </row>
        <row r="2776">
          <cell r="B2776" t="str">
            <v/>
          </cell>
        </row>
        <row r="2777">
          <cell r="B2777" t="str">
            <v/>
          </cell>
        </row>
        <row r="2778">
          <cell r="B2778" t="str">
            <v/>
          </cell>
        </row>
        <row r="2779">
          <cell r="B2779" t="str">
            <v/>
          </cell>
        </row>
        <row r="2780">
          <cell r="B2780" t="str">
            <v/>
          </cell>
        </row>
        <row r="2781">
          <cell r="B2781" t="str">
            <v/>
          </cell>
        </row>
        <row r="2782">
          <cell r="B2782" t="str">
            <v/>
          </cell>
        </row>
        <row r="2783">
          <cell r="B2783" t="str">
            <v/>
          </cell>
        </row>
        <row r="2784">
          <cell r="B2784" t="str">
            <v/>
          </cell>
        </row>
        <row r="2785">
          <cell r="B2785" t="str">
            <v/>
          </cell>
        </row>
        <row r="2786">
          <cell r="B2786" t="str">
            <v/>
          </cell>
        </row>
        <row r="2787">
          <cell r="B2787" t="str">
            <v/>
          </cell>
        </row>
        <row r="2788">
          <cell r="B2788" t="str">
            <v/>
          </cell>
        </row>
        <row r="2789">
          <cell r="B2789" t="str">
            <v/>
          </cell>
        </row>
        <row r="2790">
          <cell r="B2790" t="str">
            <v/>
          </cell>
        </row>
        <row r="2791">
          <cell r="B2791" t="str">
            <v/>
          </cell>
        </row>
        <row r="2792">
          <cell r="B2792" t="str">
            <v/>
          </cell>
        </row>
        <row r="2793">
          <cell r="B2793" t="str">
            <v/>
          </cell>
        </row>
        <row r="2794">
          <cell r="B2794" t="str">
            <v/>
          </cell>
        </row>
        <row r="2795">
          <cell r="B2795" t="str">
            <v/>
          </cell>
        </row>
        <row r="2796">
          <cell r="B2796" t="str">
            <v/>
          </cell>
        </row>
        <row r="2797">
          <cell r="B2797" t="str">
            <v/>
          </cell>
        </row>
        <row r="2798">
          <cell r="B2798" t="str">
            <v/>
          </cell>
        </row>
        <row r="2799">
          <cell r="B2799" t="str">
            <v/>
          </cell>
        </row>
        <row r="2800">
          <cell r="B2800" t="str">
            <v/>
          </cell>
        </row>
        <row r="2801">
          <cell r="B2801" t="str">
            <v/>
          </cell>
        </row>
        <row r="2802">
          <cell r="B2802" t="str">
            <v/>
          </cell>
        </row>
        <row r="2803">
          <cell r="B2803" t="str">
            <v/>
          </cell>
        </row>
        <row r="2804">
          <cell r="B2804" t="str">
            <v/>
          </cell>
        </row>
        <row r="2805">
          <cell r="B2805" t="str">
            <v/>
          </cell>
        </row>
        <row r="2806">
          <cell r="B2806" t="str">
            <v/>
          </cell>
        </row>
        <row r="2807">
          <cell r="B2807" t="str">
            <v/>
          </cell>
        </row>
        <row r="2808">
          <cell r="B2808" t="str">
            <v/>
          </cell>
        </row>
        <row r="2809">
          <cell r="B2809" t="str">
            <v/>
          </cell>
        </row>
        <row r="2810">
          <cell r="B2810" t="str">
            <v/>
          </cell>
        </row>
        <row r="2811">
          <cell r="B2811" t="str">
            <v/>
          </cell>
        </row>
        <row r="2812">
          <cell r="B2812" t="str">
            <v/>
          </cell>
        </row>
        <row r="2813">
          <cell r="B2813" t="str">
            <v/>
          </cell>
        </row>
        <row r="2814">
          <cell r="B2814" t="str">
            <v/>
          </cell>
        </row>
        <row r="2815">
          <cell r="B2815" t="str">
            <v/>
          </cell>
        </row>
        <row r="2816">
          <cell r="B2816" t="str">
            <v/>
          </cell>
        </row>
        <row r="2817">
          <cell r="B2817" t="str">
            <v/>
          </cell>
        </row>
        <row r="2818">
          <cell r="B2818" t="str">
            <v/>
          </cell>
        </row>
        <row r="2819">
          <cell r="B2819" t="str">
            <v/>
          </cell>
        </row>
        <row r="2820">
          <cell r="B2820" t="str">
            <v/>
          </cell>
        </row>
        <row r="2821">
          <cell r="B2821" t="str">
            <v/>
          </cell>
        </row>
        <row r="2822">
          <cell r="B2822" t="str">
            <v/>
          </cell>
        </row>
        <row r="2823">
          <cell r="B2823" t="str">
            <v/>
          </cell>
        </row>
        <row r="2824">
          <cell r="B2824" t="str">
            <v/>
          </cell>
        </row>
        <row r="2825">
          <cell r="B2825" t="str">
            <v/>
          </cell>
        </row>
        <row r="2826">
          <cell r="B2826" t="str">
            <v/>
          </cell>
        </row>
        <row r="2827">
          <cell r="B2827" t="str">
            <v/>
          </cell>
        </row>
        <row r="2828">
          <cell r="B2828" t="str">
            <v/>
          </cell>
        </row>
        <row r="2829">
          <cell r="B2829" t="str">
            <v/>
          </cell>
        </row>
        <row r="2830">
          <cell r="B2830" t="str">
            <v/>
          </cell>
        </row>
        <row r="2831">
          <cell r="B2831" t="str">
            <v/>
          </cell>
        </row>
        <row r="2832">
          <cell r="B2832" t="str">
            <v/>
          </cell>
        </row>
        <row r="2833">
          <cell r="B2833" t="str">
            <v/>
          </cell>
        </row>
        <row r="2834">
          <cell r="B2834" t="str">
            <v/>
          </cell>
        </row>
        <row r="2835">
          <cell r="B2835" t="str">
            <v/>
          </cell>
        </row>
        <row r="2836">
          <cell r="B2836" t="str">
            <v/>
          </cell>
        </row>
        <row r="2837">
          <cell r="B2837" t="str">
            <v/>
          </cell>
        </row>
        <row r="2838">
          <cell r="B2838" t="str">
            <v/>
          </cell>
        </row>
        <row r="2839">
          <cell r="B2839" t="str">
            <v/>
          </cell>
        </row>
        <row r="2840">
          <cell r="B2840" t="str">
            <v/>
          </cell>
        </row>
        <row r="2841">
          <cell r="B2841" t="str">
            <v/>
          </cell>
        </row>
        <row r="2842">
          <cell r="B2842" t="str">
            <v/>
          </cell>
        </row>
        <row r="2843">
          <cell r="B2843" t="str">
            <v/>
          </cell>
        </row>
        <row r="2844">
          <cell r="B2844" t="str">
            <v/>
          </cell>
        </row>
        <row r="2845">
          <cell r="B2845" t="str">
            <v/>
          </cell>
        </row>
        <row r="2846">
          <cell r="B2846" t="str">
            <v/>
          </cell>
        </row>
        <row r="2847">
          <cell r="B2847" t="str">
            <v/>
          </cell>
        </row>
        <row r="2848">
          <cell r="B2848" t="str">
            <v/>
          </cell>
        </row>
        <row r="2849">
          <cell r="B2849" t="str">
            <v/>
          </cell>
        </row>
        <row r="2850">
          <cell r="B2850" t="str">
            <v/>
          </cell>
        </row>
        <row r="2851">
          <cell r="B2851" t="str">
            <v/>
          </cell>
        </row>
        <row r="2852">
          <cell r="B2852" t="str">
            <v/>
          </cell>
        </row>
        <row r="2853">
          <cell r="B2853" t="str">
            <v/>
          </cell>
        </row>
        <row r="2854">
          <cell r="B2854" t="str">
            <v/>
          </cell>
        </row>
        <row r="2855">
          <cell r="B2855" t="str">
            <v/>
          </cell>
        </row>
        <row r="2856">
          <cell r="B2856" t="str">
            <v/>
          </cell>
        </row>
        <row r="2857">
          <cell r="B2857" t="str">
            <v/>
          </cell>
        </row>
        <row r="2858">
          <cell r="B2858" t="str">
            <v/>
          </cell>
        </row>
        <row r="2859">
          <cell r="B2859" t="str">
            <v/>
          </cell>
        </row>
        <row r="2860">
          <cell r="B2860" t="str">
            <v/>
          </cell>
        </row>
        <row r="2861">
          <cell r="B2861" t="str">
            <v/>
          </cell>
        </row>
        <row r="2862">
          <cell r="B2862" t="str">
            <v/>
          </cell>
        </row>
        <row r="2863">
          <cell r="B2863" t="str">
            <v/>
          </cell>
        </row>
        <row r="2864">
          <cell r="B2864" t="str">
            <v/>
          </cell>
        </row>
        <row r="2865">
          <cell r="B2865" t="str">
            <v/>
          </cell>
        </row>
        <row r="2866">
          <cell r="B2866" t="str">
            <v/>
          </cell>
        </row>
        <row r="2867">
          <cell r="B2867" t="str">
            <v/>
          </cell>
        </row>
        <row r="2868">
          <cell r="B2868" t="str">
            <v/>
          </cell>
        </row>
        <row r="2869">
          <cell r="B2869" t="str">
            <v/>
          </cell>
        </row>
        <row r="2870">
          <cell r="B2870" t="str">
            <v/>
          </cell>
        </row>
        <row r="2871">
          <cell r="B2871" t="str">
            <v/>
          </cell>
        </row>
        <row r="2872">
          <cell r="B2872" t="str">
            <v/>
          </cell>
        </row>
        <row r="2873">
          <cell r="B2873" t="str">
            <v/>
          </cell>
        </row>
        <row r="2874">
          <cell r="B2874" t="str">
            <v/>
          </cell>
        </row>
        <row r="2875">
          <cell r="B2875" t="str">
            <v/>
          </cell>
        </row>
        <row r="2876">
          <cell r="B2876" t="str">
            <v/>
          </cell>
        </row>
        <row r="2877">
          <cell r="B2877" t="str">
            <v/>
          </cell>
        </row>
        <row r="2878">
          <cell r="B2878" t="str">
            <v/>
          </cell>
        </row>
        <row r="2879">
          <cell r="B2879" t="str">
            <v/>
          </cell>
        </row>
        <row r="2880">
          <cell r="B2880" t="str">
            <v/>
          </cell>
        </row>
        <row r="2881">
          <cell r="B2881" t="str">
            <v/>
          </cell>
        </row>
        <row r="2882">
          <cell r="B2882" t="str">
            <v/>
          </cell>
        </row>
        <row r="2883">
          <cell r="B2883" t="str">
            <v/>
          </cell>
        </row>
        <row r="2884">
          <cell r="B2884" t="str">
            <v/>
          </cell>
        </row>
        <row r="2885">
          <cell r="B2885" t="str">
            <v/>
          </cell>
        </row>
        <row r="2886">
          <cell r="B2886" t="str">
            <v/>
          </cell>
        </row>
        <row r="2887">
          <cell r="B2887" t="str">
            <v/>
          </cell>
        </row>
        <row r="2888">
          <cell r="B2888" t="str">
            <v/>
          </cell>
        </row>
        <row r="2889">
          <cell r="B2889" t="str">
            <v/>
          </cell>
        </row>
        <row r="2890">
          <cell r="B2890" t="str">
            <v/>
          </cell>
        </row>
        <row r="2891">
          <cell r="B2891" t="str">
            <v/>
          </cell>
        </row>
        <row r="2892">
          <cell r="B2892" t="str">
            <v/>
          </cell>
        </row>
        <row r="2893">
          <cell r="B2893" t="str">
            <v/>
          </cell>
        </row>
        <row r="2894">
          <cell r="B2894" t="str">
            <v/>
          </cell>
        </row>
        <row r="2895">
          <cell r="B2895" t="str">
            <v/>
          </cell>
        </row>
        <row r="2896">
          <cell r="B2896" t="str">
            <v/>
          </cell>
        </row>
        <row r="2897">
          <cell r="B2897" t="str">
            <v/>
          </cell>
        </row>
        <row r="2898">
          <cell r="B2898" t="str">
            <v/>
          </cell>
        </row>
        <row r="2899">
          <cell r="B2899" t="str">
            <v/>
          </cell>
        </row>
        <row r="2900">
          <cell r="B2900" t="str">
            <v/>
          </cell>
        </row>
        <row r="2901">
          <cell r="B2901" t="str">
            <v/>
          </cell>
        </row>
        <row r="2902">
          <cell r="B2902" t="str">
            <v/>
          </cell>
        </row>
        <row r="2903">
          <cell r="B2903" t="str">
            <v/>
          </cell>
        </row>
        <row r="2904">
          <cell r="B2904" t="str">
            <v/>
          </cell>
        </row>
        <row r="2905">
          <cell r="B2905" t="str">
            <v/>
          </cell>
        </row>
        <row r="2906">
          <cell r="B2906" t="str">
            <v/>
          </cell>
        </row>
        <row r="2907">
          <cell r="B2907" t="str">
            <v/>
          </cell>
        </row>
        <row r="2908">
          <cell r="B2908" t="str">
            <v/>
          </cell>
        </row>
        <row r="2909">
          <cell r="B2909" t="str">
            <v/>
          </cell>
        </row>
        <row r="2910">
          <cell r="B2910" t="str">
            <v/>
          </cell>
        </row>
        <row r="2911">
          <cell r="B2911" t="str">
            <v/>
          </cell>
        </row>
        <row r="2912">
          <cell r="B2912" t="str">
            <v/>
          </cell>
        </row>
        <row r="2913">
          <cell r="B2913" t="str">
            <v/>
          </cell>
        </row>
        <row r="2914">
          <cell r="B2914" t="str">
            <v/>
          </cell>
        </row>
        <row r="2915">
          <cell r="B2915" t="str">
            <v/>
          </cell>
        </row>
        <row r="2916">
          <cell r="B2916" t="str">
            <v/>
          </cell>
        </row>
        <row r="2917">
          <cell r="B2917" t="str">
            <v/>
          </cell>
        </row>
        <row r="2918">
          <cell r="B2918" t="str">
            <v/>
          </cell>
        </row>
        <row r="2919">
          <cell r="B2919" t="str">
            <v/>
          </cell>
        </row>
        <row r="2920">
          <cell r="B2920" t="str">
            <v/>
          </cell>
        </row>
        <row r="2921">
          <cell r="B2921" t="str">
            <v/>
          </cell>
        </row>
        <row r="2922">
          <cell r="B2922" t="str">
            <v/>
          </cell>
        </row>
        <row r="2923">
          <cell r="B2923" t="str">
            <v/>
          </cell>
        </row>
        <row r="2924">
          <cell r="B2924" t="str">
            <v/>
          </cell>
        </row>
        <row r="2925">
          <cell r="B2925" t="str">
            <v/>
          </cell>
        </row>
        <row r="2926">
          <cell r="B2926" t="str">
            <v/>
          </cell>
        </row>
        <row r="2927">
          <cell r="B2927" t="str">
            <v/>
          </cell>
        </row>
        <row r="2928">
          <cell r="B2928" t="str">
            <v/>
          </cell>
        </row>
        <row r="2929">
          <cell r="B2929" t="str">
            <v/>
          </cell>
        </row>
        <row r="2930">
          <cell r="B2930" t="str">
            <v/>
          </cell>
        </row>
        <row r="2931">
          <cell r="B2931" t="str">
            <v/>
          </cell>
        </row>
        <row r="2932">
          <cell r="B2932" t="str">
            <v/>
          </cell>
        </row>
        <row r="2933">
          <cell r="B2933" t="str">
            <v/>
          </cell>
        </row>
        <row r="2934">
          <cell r="B2934" t="str">
            <v/>
          </cell>
        </row>
        <row r="2935">
          <cell r="B2935" t="str">
            <v/>
          </cell>
        </row>
        <row r="2936">
          <cell r="B2936" t="str">
            <v/>
          </cell>
        </row>
        <row r="2937">
          <cell r="B2937" t="str">
            <v/>
          </cell>
        </row>
        <row r="2938">
          <cell r="B2938" t="str">
            <v/>
          </cell>
        </row>
        <row r="2939">
          <cell r="B2939" t="str">
            <v/>
          </cell>
        </row>
        <row r="2940">
          <cell r="B2940" t="str">
            <v/>
          </cell>
        </row>
        <row r="2941">
          <cell r="B2941" t="str">
            <v/>
          </cell>
        </row>
        <row r="2942">
          <cell r="B2942" t="str">
            <v/>
          </cell>
        </row>
        <row r="2943">
          <cell r="B2943" t="str">
            <v/>
          </cell>
        </row>
        <row r="2944">
          <cell r="B2944" t="str">
            <v/>
          </cell>
        </row>
        <row r="2945">
          <cell r="B2945" t="str">
            <v/>
          </cell>
        </row>
        <row r="2946">
          <cell r="B2946" t="str">
            <v/>
          </cell>
        </row>
        <row r="2947">
          <cell r="B2947" t="str">
            <v/>
          </cell>
        </row>
        <row r="2948">
          <cell r="B2948" t="str">
            <v/>
          </cell>
        </row>
        <row r="2949">
          <cell r="B2949" t="str">
            <v/>
          </cell>
        </row>
        <row r="2950">
          <cell r="B2950" t="str">
            <v/>
          </cell>
        </row>
        <row r="2951">
          <cell r="B2951" t="str">
            <v/>
          </cell>
        </row>
        <row r="2952">
          <cell r="B2952" t="str">
            <v/>
          </cell>
        </row>
        <row r="2953">
          <cell r="B2953" t="str">
            <v/>
          </cell>
        </row>
        <row r="2954">
          <cell r="B2954" t="str">
            <v/>
          </cell>
        </row>
        <row r="2955">
          <cell r="B2955" t="str">
            <v/>
          </cell>
        </row>
        <row r="2956">
          <cell r="B2956" t="str">
            <v/>
          </cell>
        </row>
        <row r="2957">
          <cell r="B2957" t="str">
            <v/>
          </cell>
        </row>
        <row r="2958">
          <cell r="B2958" t="str">
            <v/>
          </cell>
        </row>
        <row r="2959">
          <cell r="B2959" t="str">
            <v/>
          </cell>
        </row>
        <row r="2960">
          <cell r="B2960" t="str">
            <v/>
          </cell>
        </row>
        <row r="2961">
          <cell r="B2961" t="str">
            <v/>
          </cell>
        </row>
        <row r="2962">
          <cell r="B2962" t="str">
            <v/>
          </cell>
        </row>
        <row r="2963">
          <cell r="B2963" t="str">
            <v/>
          </cell>
        </row>
        <row r="2964">
          <cell r="B2964" t="str">
            <v/>
          </cell>
        </row>
        <row r="2965">
          <cell r="B2965" t="str">
            <v/>
          </cell>
        </row>
        <row r="2966">
          <cell r="B2966" t="str">
            <v/>
          </cell>
        </row>
        <row r="2967">
          <cell r="B2967" t="str">
            <v/>
          </cell>
        </row>
        <row r="2968">
          <cell r="B2968" t="str">
            <v/>
          </cell>
        </row>
        <row r="2969">
          <cell r="B2969" t="str">
            <v/>
          </cell>
        </row>
        <row r="2970">
          <cell r="B2970" t="str">
            <v/>
          </cell>
        </row>
        <row r="2971">
          <cell r="B2971" t="str">
            <v/>
          </cell>
        </row>
        <row r="2972">
          <cell r="B2972" t="str">
            <v/>
          </cell>
        </row>
        <row r="2973">
          <cell r="B2973" t="str">
            <v/>
          </cell>
        </row>
        <row r="2974">
          <cell r="B2974" t="str">
            <v/>
          </cell>
        </row>
        <row r="2975">
          <cell r="B2975" t="str">
            <v/>
          </cell>
        </row>
        <row r="2976">
          <cell r="B2976" t="str">
            <v/>
          </cell>
        </row>
        <row r="2977">
          <cell r="B2977" t="str">
            <v/>
          </cell>
        </row>
        <row r="2978">
          <cell r="B2978" t="str">
            <v/>
          </cell>
        </row>
        <row r="2979">
          <cell r="B2979" t="str">
            <v/>
          </cell>
        </row>
        <row r="2980">
          <cell r="B2980" t="str">
            <v/>
          </cell>
        </row>
        <row r="2981">
          <cell r="B2981" t="str">
            <v/>
          </cell>
        </row>
        <row r="2982">
          <cell r="B2982" t="str">
            <v/>
          </cell>
        </row>
        <row r="2983">
          <cell r="B2983" t="str">
            <v/>
          </cell>
        </row>
        <row r="2984">
          <cell r="B2984" t="str">
            <v/>
          </cell>
        </row>
        <row r="2985">
          <cell r="B2985" t="str">
            <v/>
          </cell>
        </row>
        <row r="2986">
          <cell r="B2986" t="str">
            <v/>
          </cell>
        </row>
        <row r="2987">
          <cell r="B2987" t="str">
            <v/>
          </cell>
        </row>
        <row r="2988">
          <cell r="B2988" t="str">
            <v/>
          </cell>
        </row>
        <row r="2989">
          <cell r="B2989" t="str">
            <v/>
          </cell>
        </row>
        <row r="2990">
          <cell r="B2990" t="str">
            <v/>
          </cell>
        </row>
        <row r="2991">
          <cell r="B2991" t="str">
            <v/>
          </cell>
        </row>
        <row r="2992">
          <cell r="B2992" t="str">
            <v/>
          </cell>
        </row>
        <row r="2993">
          <cell r="B2993" t="str">
            <v/>
          </cell>
        </row>
        <row r="2994">
          <cell r="B2994" t="str">
            <v/>
          </cell>
        </row>
        <row r="2995">
          <cell r="B2995" t="str">
            <v/>
          </cell>
        </row>
        <row r="2996">
          <cell r="B2996" t="str">
            <v/>
          </cell>
        </row>
        <row r="2997">
          <cell r="B2997" t="str">
            <v/>
          </cell>
        </row>
        <row r="2998">
          <cell r="B2998" t="str">
            <v/>
          </cell>
        </row>
        <row r="2999">
          <cell r="B2999" t="str">
            <v/>
          </cell>
        </row>
        <row r="3000">
          <cell r="B3000" t="str">
            <v/>
          </cell>
        </row>
        <row r="3001">
          <cell r="B3001" t="str">
            <v/>
          </cell>
        </row>
        <row r="3002">
          <cell r="B3002" t="str">
            <v/>
          </cell>
        </row>
        <row r="3003">
          <cell r="B3003" t="str">
            <v/>
          </cell>
        </row>
        <row r="3004">
          <cell r="B3004" t="str">
            <v/>
          </cell>
        </row>
        <row r="3005">
          <cell r="B3005" t="str">
            <v/>
          </cell>
        </row>
        <row r="3006">
          <cell r="B3006" t="str">
            <v/>
          </cell>
        </row>
        <row r="3007">
          <cell r="B3007" t="str">
            <v/>
          </cell>
        </row>
        <row r="3008">
          <cell r="B3008" t="str">
            <v/>
          </cell>
        </row>
        <row r="3009">
          <cell r="B3009" t="str">
            <v/>
          </cell>
        </row>
        <row r="3010">
          <cell r="B3010" t="str">
            <v/>
          </cell>
        </row>
        <row r="3011">
          <cell r="B3011" t="str">
            <v/>
          </cell>
        </row>
        <row r="3012">
          <cell r="B3012" t="str">
            <v/>
          </cell>
        </row>
        <row r="3013">
          <cell r="B3013" t="str">
            <v/>
          </cell>
        </row>
        <row r="3014">
          <cell r="B3014" t="str">
            <v/>
          </cell>
        </row>
        <row r="3015">
          <cell r="B3015" t="str">
            <v/>
          </cell>
        </row>
        <row r="3016">
          <cell r="B3016" t="str">
            <v/>
          </cell>
        </row>
        <row r="3017">
          <cell r="B3017" t="str">
            <v/>
          </cell>
        </row>
        <row r="3018">
          <cell r="B3018" t="str">
            <v/>
          </cell>
        </row>
        <row r="3019">
          <cell r="B3019" t="str">
            <v/>
          </cell>
        </row>
        <row r="3020">
          <cell r="B3020" t="str">
            <v/>
          </cell>
        </row>
        <row r="3021">
          <cell r="B3021" t="str">
            <v/>
          </cell>
        </row>
        <row r="3022">
          <cell r="B3022" t="str">
            <v/>
          </cell>
        </row>
        <row r="3023">
          <cell r="B3023" t="str">
            <v/>
          </cell>
        </row>
        <row r="3024">
          <cell r="B3024" t="str">
            <v/>
          </cell>
        </row>
        <row r="3025">
          <cell r="B3025" t="str">
            <v/>
          </cell>
        </row>
        <row r="3026">
          <cell r="B3026" t="str">
            <v/>
          </cell>
        </row>
        <row r="3027">
          <cell r="B3027" t="str">
            <v/>
          </cell>
        </row>
        <row r="3028">
          <cell r="B3028" t="str">
            <v/>
          </cell>
        </row>
        <row r="3029">
          <cell r="B3029" t="str">
            <v/>
          </cell>
        </row>
        <row r="3030">
          <cell r="B3030" t="str">
            <v/>
          </cell>
        </row>
        <row r="3031">
          <cell r="B3031" t="str">
            <v/>
          </cell>
        </row>
        <row r="3032">
          <cell r="B3032" t="str">
            <v/>
          </cell>
        </row>
        <row r="3033">
          <cell r="B3033" t="str">
            <v/>
          </cell>
        </row>
        <row r="3034">
          <cell r="B3034" t="str">
            <v/>
          </cell>
        </row>
        <row r="3035">
          <cell r="B3035" t="str">
            <v/>
          </cell>
        </row>
        <row r="3036">
          <cell r="B3036" t="str">
            <v/>
          </cell>
        </row>
        <row r="3037">
          <cell r="B3037" t="str">
            <v/>
          </cell>
        </row>
        <row r="3038">
          <cell r="B3038" t="str">
            <v/>
          </cell>
        </row>
        <row r="3039">
          <cell r="B3039" t="str">
            <v/>
          </cell>
        </row>
        <row r="3040">
          <cell r="B3040" t="str">
            <v/>
          </cell>
        </row>
        <row r="3041">
          <cell r="B3041" t="str">
            <v/>
          </cell>
        </row>
        <row r="3042">
          <cell r="B3042" t="str">
            <v/>
          </cell>
        </row>
        <row r="3043">
          <cell r="B3043" t="str">
            <v/>
          </cell>
        </row>
        <row r="3044">
          <cell r="B3044" t="str">
            <v/>
          </cell>
        </row>
        <row r="3045">
          <cell r="B3045" t="str">
            <v/>
          </cell>
        </row>
        <row r="3046">
          <cell r="B3046" t="str">
            <v/>
          </cell>
        </row>
        <row r="3047">
          <cell r="B3047" t="str">
            <v/>
          </cell>
        </row>
        <row r="3048">
          <cell r="B3048" t="str">
            <v/>
          </cell>
        </row>
        <row r="3049">
          <cell r="B3049" t="str">
            <v/>
          </cell>
        </row>
        <row r="3050">
          <cell r="B3050" t="str">
            <v/>
          </cell>
        </row>
        <row r="3051">
          <cell r="B3051" t="str">
            <v/>
          </cell>
        </row>
        <row r="3052">
          <cell r="B3052" t="str">
            <v/>
          </cell>
        </row>
        <row r="3053">
          <cell r="B3053" t="str">
            <v/>
          </cell>
        </row>
        <row r="3054">
          <cell r="B3054" t="str">
            <v/>
          </cell>
        </row>
        <row r="3055">
          <cell r="B3055" t="str">
            <v/>
          </cell>
        </row>
        <row r="3056">
          <cell r="B3056" t="str">
            <v/>
          </cell>
        </row>
        <row r="3057">
          <cell r="B3057" t="str">
            <v/>
          </cell>
        </row>
        <row r="3058">
          <cell r="B3058" t="str">
            <v/>
          </cell>
        </row>
        <row r="3059">
          <cell r="B3059" t="str">
            <v/>
          </cell>
        </row>
        <row r="3060">
          <cell r="B3060" t="str">
            <v/>
          </cell>
        </row>
        <row r="3061">
          <cell r="B3061" t="str">
            <v/>
          </cell>
        </row>
        <row r="3062">
          <cell r="B3062" t="str">
            <v/>
          </cell>
        </row>
        <row r="3063">
          <cell r="B3063" t="str">
            <v/>
          </cell>
        </row>
        <row r="3064">
          <cell r="B3064" t="str">
            <v/>
          </cell>
        </row>
        <row r="3065">
          <cell r="B3065" t="str">
            <v/>
          </cell>
        </row>
        <row r="3066">
          <cell r="B3066" t="str">
            <v/>
          </cell>
        </row>
        <row r="3067">
          <cell r="B3067" t="str">
            <v/>
          </cell>
        </row>
        <row r="3068">
          <cell r="B3068" t="str">
            <v/>
          </cell>
        </row>
        <row r="3069">
          <cell r="B3069" t="str">
            <v/>
          </cell>
        </row>
        <row r="3070">
          <cell r="B3070" t="str">
            <v/>
          </cell>
        </row>
        <row r="3071">
          <cell r="B3071" t="str">
            <v/>
          </cell>
        </row>
        <row r="3072">
          <cell r="B3072" t="str">
            <v/>
          </cell>
        </row>
        <row r="3073">
          <cell r="B3073" t="str">
            <v/>
          </cell>
        </row>
        <row r="3074">
          <cell r="B3074" t="str">
            <v/>
          </cell>
        </row>
        <row r="3075">
          <cell r="B3075" t="str">
            <v/>
          </cell>
        </row>
        <row r="3076">
          <cell r="B3076" t="str">
            <v/>
          </cell>
        </row>
        <row r="3077">
          <cell r="B3077" t="str">
            <v/>
          </cell>
        </row>
        <row r="3078">
          <cell r="B3078" t="str">
            <v/>
          </cell>
        </row>
        <row r="3079">
          <cell r="B3079" t="str">
            <v/>
          </cell>
        </row>
        <row r="3080">
          <cell r="B3080" t="str">
            <v/>
          </cell>
        </row>
        <row r="3081">
          <cell r="B3081" t="str">
            <v/>
          </cell>
        </row>
        <row r="3082">
          <cell r="B3082" t="str">
            <v/>
          </cell>
        </row>
        <row r="3083">
          <cell r="B3083" t="str">
            <v/>
          </cell>
        </row>
        <row r="3084">
          <cell r="B3084" t="str">
            <v/>
          </cell>
        </row>
        <row r="3085">
          <cell r="B3085" t="str">
            <v/>
          </cell>
        </row>
        <row r="3086">
          <cell r="B3086" t="str">
            <v/>
          </cell>
        </row>
        <row r="3087">
          <cell r="B3087" t="str">
            <v/>
          </cell>
        </row>
        <row r="3088">
          <cell r="B3088" t="str">
            <v/>
          </cell>
        </row>
        <row r="3089">
          <cell r="B3089" t="str">
            <v/>
          </cell>
        </row>
        <row r="3090">
          <cell r="B3090" t="str">
            <v/>
          </cell>
        </row>
        <row r="3091">
          <cell r="B3091" t="str">
            <v/>
          </cell>
        </row>
        <row r="3092">
          <cell r="B3092" t="str">
            <v/>
          </cell>
        </row>
        <row r="3093">
          <cell r="B3093" t="str">
            <v/>
          </cell>
        </row>
        <row r="3094">
          <cell r="B3094" t="str">
            <v/>
          </cell>
        </row>
        <row r="3095">
          <cell r="B3095" t="str">
            <v/>
          </cell>
        </row>
        <row r="3096">
          <cell r="B3096" t="str">
            <v/>
          </cell>
        </row>
        <row r="3097">
          <cell r="B3097" t="str">
            <v/>
          </cell>
        </row>
        <row r="3098">
          <cell r="B3098" t="str">
            <v/>
          </cell>
        </row>
        <row r="3099">
          <cell r="B3099" t="str">
            <v/>
          </cell>
        </row>
        <row r="3100">
          <cell r="B3100" t="str">
            <v/>
          </cell>
        </row>
        <row r="3101">
          <cell r="B3101" t="str">
            <v/>
          </cell>
        </row>
        <row r="3102">
          <cell r="B3102" t="str">
            <v/>
          </cell>
        </row>
        <row r="3103">
          <cell r="B3103" t="str">
            <v/>
          </cell>
        </row>
        <row r="3104">
          <cell r="B3104" t="str">
            <v/>
          </cell>
        </row>
        <row r="3105">
          <cell r="B3105" t="str">
            <v/>
          </cell>
        </row>
        <row r="3106">
          <cell r="B3106" t="str">
            <v/>
          </cell>
        </row>
        <row r="3107">
          <cell r="B3107" t="str">
            <v/>
          </cell>
        </row>
        <row r="3108">
          <cell r="B3108" t="str">
            <v/>
          </cell>
        </row>
        <row r="3109">
          <cell r="B3109" t="str">
            <v/>
          </cell>
        </row>
        <row r="3110">
          <cell r="B3110" t="str">
            <v/>
          </cell>
        </row>
        <row r="3111">
          <cell r="B3111" t="str">
            <v/>
          </cell>
        </row>
        <row r="3112">
          <cell r="B3112" t="str">
            <v/>
          </cell>
        </row>
        <row r="3113">
          <cell r="B3113" t="str">
            <v/>
          </cell>
        </row>
        <row r="3114">
          <cell r="B3114" t="str">
            <v/>
          </cell>
        </row>
        <row r="3115">
          <cell r="B3115" t="str">
            <v/>
          </cell>
        </row>
        <row r="3116">
          <cell r="B3116" t="str">
            <v/>
          </cell>
        </row>
        <row r="3117">
          <cell r="B3117" t="str">
            <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11174E4-10B8-4B30-8B2E-2E9A5AE08333}" name="CalibrationLog3" displayName="CalibrationLog3" ref="C2:G549" totalsRowShown="0" headerRowDxfId="13" dataDxfId="12">
  <autoFilter ref="C2:G549" xr:uid="{00000000-0009-0000-0100-000001000000}"/>
  <tableColumns count="5">
    <tableColumn id="1" xr3:uid="{51B67423-B1B1-4A16-BBCC-834944FAE191}" name="Date" dataDxfId="11"/>
    <tableColumn id="2" xr3:uid="{FABEBB3C-66EB-4956-95C9-CBB40C9E32E4}" name="Camera" dataDxfId="10"/>
    <tableColumn id="3" xr3:uid="{766E62E6-E8D6-460F-BDF5-449F20A2F47C}" name="Frame Count" dataDxfId="9"/>
    <tableColumn id="4" xr3:uid="{132E3B4C-B94B-4FD9-BB91-C8476EF47049}" name="World Error" dataDxfId="8"/>
    <tableColumn id="5" xr3:uid="{9AE105E3-C1BC-4C8A-A3F2-7EACB47F9196}" name="Image Error" dataDxfId="7"/>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8"/>
  <sheetViews>
    <sheetView showGridLines="0" zoomScaleNormal="100" workbookViewId="0">
      <selection activeCell="D18" sqref="D18"/>
    </sheetView>
  </sheetViews>
  <sheetFormatPr defaultColWidth="8.6640625" defaultRowHeight="14.4" x14ac:dyDescent="0.3"/>
  <cols>
    <col min="1" max="1" width="100" customWidth="1"/>
  </cols>
  <sheetData>
    <row r="1" spans="1:5" ht="17.399999999999999" x14ac:dyDescent="0.3">
      <c r="A1" s="1" t="s">
        <v>0</v>
      </c>
    </row>
    <row r="2" spans="1:5" x14ac:dyDescent="0.3">
      <c r="A2" s="2"/>
    </row>
    <row r="3" spans="1:5" ht="31.2" x14ac:dyDescent="0.6">
      <c r="A3" s="3" t="s">
        <v>1</v>
      </c>
      <c r="C3" s="31" t="s">
        <v>59</v>
      </c>
    </row>
    <row r="4" spans="1:5" ht="31.2" x14ac:dyDescent="0.6">
      <c r="A4" s="2" t="s">
        <v>2</v>
      </c>
      <c r="C4" s="31" t="s">
        <v>60</v>
      </c>
    </row>
    <row r="5" spans="1:5" x14ac:dyDescent="0.3">
      <c r="A5" s="2" t="s">
        <v>3</v>
      </c>
    </row>
    <row r="6" spans="1:5" x14ac:dyDescent="0.3">
      <c r="A6" s="2" t="s">
        <v>4</v>
      </c>
      <c r="D6" t="s">
        <v>69</v>
      </c>
    </row>
    <row r="7" spans="1:5" x14ac:dyDescent="0.3">
      <c r="A7" s="2"/>
      <c r="D7" t="s">
        <v>70</v>
      </c>
    </row>
    <row r="8" spans="1:5" x14ac:dyDescent="0.3">
      <c r="A8" s="3" t="s">
        <v>5</v>
      </c>
    </row>
    <row r="9" spans="1:5" ht="41.4" x14ac:dyDescent="0.3">
      <c r="A9" s="2" t="s">
        <v>6</v>
      </c>
      <c r="D9" t="s">
        <v>71</v>
      </c>
    </row>
    <row r="10" spans="1:5" x14ac:dyDescent="0.3">
      <c r="A10" s="2" t="s">
        <v>7</v>
      </c>
      <c r="D10" t="s">
        <v>72</v>
      </c>
    </row>
    <row r="11" spans="1:5" x14ac:dyDescent="0.3">
      <c r="A11" s="2"/>
      <c r="D11" t="s">
        <v>73</v>
      </c>
    </row>
    <row r="12" spans="1:5" x14ac:dyDescent="0.3">
      <c r="A12" s="3" t="s">
        <v>8</v>
      </c>
      <c r="D12" t="s">
        <v>74</v>
      </c>
      <c r="E12" t="s">
        <v>75</v>
      </c>
    </row>
    <row r="13" spans="1:5" ht="27.6" x14ac:dyDescent="0.3">
      <c r="A13" s="2" t="s">
        <v>9</v>
      </c>
      <c r="D13" t="s">
        <v>76</v>
      </c>
    </row>
    <row r="14" spans="1:5" x14ac:dyDescent="0.3">
      <c r="A14" s="2"/>
      <c r="D14" t="s">
        <v>77</v>
      </c>
    </row>
    <row r="15" spans="1:5" x14ac:dyDescent="0.3">
      <c r="A15" s="3" t="s">
        <v>10</v>
      </c>
      <c r="D15" t="s">
        <v>78</v>
      </c>
    </row>
    <row r="16" spans="1:5" ht="27.6" x14ac:dyDescent="0.3">
      <c r="A16" s="2" t="s">
        <v>11</v>
      </c>
      <c r="D16" t="s">
        <v>79</v>
      </c>
    </row>
    <row r="17" spans="1:4" x14ac:dyDescent="0.3">
      <c r="A17" s="2"/>
    </row>
    <row r="18" spans="1:4" ht="27.6" x14ac:dyDescent="0.3">
      <c r="A18" s="3" t="s">
        <v>12</v>
      </c>
      <c r="D18" s="27" t="s">
        <v>80</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1"/>
  </sheetPr>
  <dimension ref="A1:N46"/>
  <sheetViews>
    <sheetView showZeros="0" tabSelected="1" zoomScaleNormal="100" workbookViewId="0">
      <selection activeCell="A3" sqref="A3"/>
    </sheetView>
  </sheetViews>
  <sheetFormatPr defaultColWidth="8.6640625" defaultRowHeight="13.8" x14ac:dyDescent="0.3"/>
  <cols>
    <col min="1" max="1" width="25.77734375" style="20" customWidth="1"/>
    <col min="2" max="2" width="25.77734375" style="19" customWidth="1"/>
    <col min="3" max="6" width="25.77734375" style="20" customWidth="1"/>
    <col min="7" max="16384" width="8.6640625" style="20"/>
  </cols>
  <sheetData>
    <row r="1" spans="1:14" ht="30" customHeight="1" x14ac:dyDescent="0.3">
      <c r="A1" s="84" t="s">
        <v>144</v>
      </c>
      <c r="B1" s="85"/>
      <c r="C1" s="85"/>
      <c r="D1" s="85"/>
      <c r="E1" s="85"/>
      <c r="F1" s="85"/>
      <c r="G1" s="85"/>
      <c r="H1" s="85"/>
      <c r="I1" s="85"/>
      <c r="J1" s="85"/>
      <c r="K1" s="85"/>
      <c r="L1" s="85"/>
      <c r="M1" s="85"/>
      <c r="N1" s="85"/>
    </row>
    <row r="2" spans="1:14" ht="15.6" x14ac:dyDescent="0.3">
      <c r="A2" s="46" t="s">
        <v>13</v>
      </c>
      <c r="B2" s="51" t="s">
        <v>81</v>
      </c>
      <c r="C2" s="46" t="s">
        <v>62</v>
      </c>
      <c r="D2" s="46" t="str">
        <f>CONCATENATE("Subkeys (", $C$4, ")")</f>
        <v>Subkeys (Error)</v>
      </c>
      <c r="E2" s="46" t="str">
        <f>CONCATENATE("Subkeys (", $C$5, ")")</f>
        <v>Subkeys (Trial)</v>
      </c>
      <c r="F2" s="46" t="s">
        <v>143</v>
      </c>
    </row>
    <row r="3" spans="1:14" x14ac:dyDescent="0.3">
      <c r="A3" s="52" t="s">
        <v>14</v>
      </c>
      <c r="B3" s="5" cm="1">
        <f t="array" ref="B3:B26">_xlfn.CHOOSECOLS(_xlfn.UNIQUE(_xlfn._xlws.FILTER(Log!$A3:$C5000,Log!$A3:$A5000="Daily")),3)</f>
        <v>46228</v>
      </c>
      <c r="C3" s="29" t="s">
        <v>57</v>
      </c>
      <c r="D3" s="20" t="str" cm="1">
        <f t="array" ref="D3:D10">_xlfn._xlws.SORT(_xlfn.UNIQUE(_xlfn._xlws.FILTER(Log!B3:B5000, Log!A3:A5000=C4)))</f>
        <v>03/08-error1</v>
      </c>
      <c r="E3" s="20" t="str" cm="1">
        <f t="array" ref="E3:E46">_xlfn._xlws.SORT(_xlfn.UNIQUE(_xlfn._xlws.FILTER(Log!B3:B5000, Log!A3:A5000=C5)))</f>
        <v>auto-stop-1000-base</v>
      </c>
      <c r="F3" s="20" t="str" cm="1">
        <f t="array" ref="F3:F43">Legend!$G$10:$G50</f>
        <v>A</v>
      </c>
    </row>
    <row r="4" spans="1:14" x14ac:dyDescent="0.3">
      <c r="A4" s="52" t="s">
        <v>15</v>
      </c>
      <c r="B4" s="5">
        <v>46230</v>
      </c>
      <c r="C4" s="29" t="s">
        <v>58</v>
      </c>
      <c r="D4" s="20" t="str">
        <v>03/08-error2</v>
      </c>
      <c r="E4" s="20" t="str">
        <v>auto-stop-1000-v2</v>
      </c>
      <c r="F4" s="20" t="str">
        <v>B</v>
      </c>
    </row>
    <row r="5" spans="1:14" x14ac:dyDescent="0.3">
      <c r="A5" s="52" t="s">
        <v>16</v>
      </c>
      <c r="B5" s="5">
        <v>46231</v>
      </c>
      <c r="C5" s="29" t="s">
        <v>63</v>
      </c>
      <c r="D5" s="20" t="str">
        <v>20/08-error1</v>
      </c>
      <c r="E5" s="20" t="str">
        <v>auto-stop-1000-v3</v>
      </c>
      <c r="F5" s="20" t="str">
        <v>C</v>
      </c>
    </row>
    <row r="6" spans="1:14" x14ac:dyDescent="0.3">
      <c r="A6" s="52" t="s">
        <v>17</v>
      </c>
      <c r="B6" s="5">
        <v>46232</v>
      </c>
      <c r="D6" s="20" t="str">
        <v>31/07-error1</v>
      </c>
      <c r="E6" s="20" t="str">
        <v>auto-stop-1500-v1</v>
      </c>
      <c r="F6" s="20" t="str">
        <v>D</v>
      </c>
    </row>
    <row r="7" spans="1:14" x14ac:dyDescent="0.3">
      <c r="A7" s="52" t="s">
        <v>18</v>
      </c>
      <c r="B7" s="5">
        <v>46233</v>
      </c>
      <c r="D7" s="20" t="str">
        <v>31/07-error2</v>
      </c>
      <c r="E7" s="20" t="str">
        <v>auto-stop-1500-v2</v>
      </c>
      <c r="F7" s="20" t="str">
        <v>E</v>
      </c>
    </row>
    <row r="8" spans="1:14" x14ac:dyDescent="0.3">
      <c r="A8" s="52" t="s">
        <v>19</v>
      </c>
      <c r="B8" s="5">
        <v>46234</v>
      </c>
      <c r="D8" s="20" t="str">
        <v>cannot-set-volume</v>
      </c>
      <c r="E8" s="20" t="str">
        <v>auto-stop-2000-v1</v>
      </c>
      <c r="F8" s="20" t="str">
        <v>F</v>
      </c>
    </row>
    <row r="9" spans="1:14" x14ac:dyDescent="0.3">
      <c r="A9" s="52" t="s">
        <v>20</v>
      </c>
      <c r="B9" s="5">
        <v>46235</v>
      </c>
      <c r="D9" s="20" t="str">
        <v>didn't-set-volume</v>
      </c>
      <c r="E9" s="20" t="str">
        <v>auto-stop-2000-v2</v>
      </c>
      <c r="F9" s="20" t="str">
        <v>G</v>
      </c>
    </row>
    <row r="10" spans="1:14" x14ac:dyDescent="0.3">
      <c r="A10" s="52" t="s">
        <v>34</v>
      </c>
      <c r="B10" s="5">
        <v>46237</v>
      </c>
      <c r="D10" s="20" t="str">
        <v>no-reset-grayscale-all</v>
      </c>
      <c r="E10" s="20" t="str">
        <v>reflection-trial-2</v>
      </c>
      <c r="F10" s="20" t="str">
        <v>H</v>
      </c>
    </row>
    <row r="11" spans="1:14" x14ac:dyDescent="0.3">
      <c r="A11" s="52" t="s">
        <v>21</v>
      </c>
      <c r="B11" s="5">
        <v>46238</v>
      </c>
      <c r="E11" s="20" t="str">
        <v>shelf-baseline</v>
      </c>
      <c r="F11" s="20" t="str">
        <v>I</v>
      </c>
    </row>
    <row r="12" spans="1:14" x14ac:dyDescent="0.3">
      <c r="A12" s="52" t="s">
        <v>22</v>
      </c>
      <c r="B12" s="5">
        <v>46239</v>
      </c>
      <c r="E12" s="20" t="str">
        <v>shelf-trial</v>
      </c>
      <c r="F12" s="20">
        <v>0</v>
      </c>
    </row>
    <row r="13" spans="1:14" x14ac:dyDescent="0.3">
      <c r="A13" s="52" t="s">
        <v>23</v>
      </c>
      <c r="B13" s="5">
        <v>46240</v>
      </c>
      <c r="E13" s="20" t="str">
        <v>speed_cam11_fast_1</v>
      </c>
      <c r="F13" s="20">
        <v>0</v>
      </c>
    </row>
    <row r="14" spans="1:14" x14ac:dyDescent="0.3">
      <c r="A14" s="52" t="s">
        <v>24</v>
      </c>
      <c r="B14" s="19">
        <v>46242</v>
      </c>
      <c r="E14" s="20" t="str">
        <v>speed_cam11_fast_2</v>
      </c>
      <c r="F14" s="20">
        <v>0</v>
      </c>
    </row>
    <row r="15" spans="1:14" x14ac:dyDescent="0.3">
      <c r="A15" s="52" t="s">
        <v>25</v>
      </c>
      <c r="B15" s="19">
        <v>46244</v>
      </c>
      <c r="E15" s="20" t="str">
        <v>speed_cam11_fast_3</v>
      </c>
      <c r="F15" s="20">
        <v>0</v>
      </c>
    </row>
    <row r="16" spans="1:14" x14ac:dyDescent="0.3">
      <c r="A16" s="52" t="s">
        <v>26</v>
      </c>
      <c r="B16" s="19">
        <v>46245</v>
      </c>
      <c r="E16" s="20" t="str">
        <v>speed_cam11_slow_1</v>
      </c>
      <c r="F16" s="20">
        <v>0</v>
      </c>
    </row>
    <row r="17" spans="1:6" x14ac:dyDescent="0.3">
      <c r="A17" s="52" t="s">
        <v>27</v>
      </c>
      <c r="B17" s="19">
        <v>46246</v>
      </c>
      <c r="E17" s="20" t="str">
        <v>speed_cam11_slow_2</v>
      </c>
      <c r="F17" s="20">
        <v>0</v>
      </c>
    </row>
    <row r="18" spans="1:6" x14ac:dyDescent="0.3">
      <c r="A18" s="52" t="s">
        <v>28</v>
      </c>
      <c r="B18" s="19">
        <v>46247</v>
      </c>
      <c r="E18" s="20" t="str">
        <v>speed_cam11_slow_3</v>
      </c>
      <c r="F18" s="20">
        <v>0</v>
      </c>
    </row>
    <row r="19" spans="1:6" x14ac:dyDescent="0.3">
      <c r="A19" s="52" t="s">
        <v>29</v>
      </c>
      <c r="B19" s="19">
        <v>46248</v>
      </c>
      <c r="E19" s="20" t="str">
        <v>Wand-Wave-A1</v>
      </c>
      <c r="F19" s="20">
        <v>0</v>
      </c>
    </row>
    <row r="20" spans="1:6" x14ac:dyDescent="0.3">
      <c r="A20" s="52" t="s">
        <v>30</v>
      </c>
      <c r="B20" s="19">
        <v>46251</v>
      </c>
      <c r="E20" s="20" t="str">
        <v>Wand-Wave-A2</v>
      </c>
      <c r="F20" s="20">
        <v>0</v>
      </c>
    </row>
    <row r="21" spans="1:6" x14ac:dyDescent="0.3">
      <c r="B21" s="19">
        <v>46251</v>
      </c>
      <c r="E21" s="20" t="str">
        <v>Wand-Wave-A3</v>
      </c>
      <c r="F21" s="20">
        <v>0</v>
      </c>
    </row>
    <row r="22" spans="1:6" x14ac:dyDescent="0.3">
      <c r="B22" s="19">
        <v>46251</v>
      </c>
      <c r="E22" s="20" t="str">
        <v>Wand-Wave-A4</v>
      </c>
      <c r="F22" s="20">
        <v>0</v>
      </c>
    </row>
    <row r="23" spans="1:6" x14ac:dyDescent="0.3">
      <c r="B23" s="19">
        <v>46252</v>
      </c>
      <c r="E23" s="20" t="str">
        <v>Wand-Wave-B1</v>
      </c>
      <c r="F23" s="20">
        <v>0</v>
      </c>
    </row>
    <row r="24" spans="1:6" x14ac:dyDescent="0.3">
      <c r="B24" s="19">
        <v>46253</v>
      </c>
      <c r="E24" s="20" t="str">
        <v>Wand-Wave-B2</v>
      </c>
      <c r="F24" s="20">
        <v>0</v>
      </c>
    </row>
    <row r="25" spans="1:6" x14ac:dyDescent="0.3">
      <c r="B25" s="19">
        <v>46254</v>
      </c>
      <c r="E25" s="20" t="str">
        <v>Wand-Wave-B3</v>
      </c>
      <c r="F25" s="20">
        <v>0</v>
      </c>
    </row>
    <row r="26" spans="1:6" x14ac:dyDescent="0.3">
      <c r="B26" s="19">
        <v>46255</v>
      </c>
      <c r="E26" s="20" t="str">
        <v>Wand-Wave-B4</v>
      </c>
      <c r="F26" s="20">
        <v>0</v>
      </c>
    </row>
    <row r="27" spans="1:6" x14ac:dyDescent="0.3">
      <c r="E27" s="20" t="str">
        <v>Wand-Wave-C1</v>
      </c>
      <c r="F27" s="20">
        <v>0</v>
      </c>
    </row>
    <row r="28" spans="1:6" x14ac:dyDescent="0.3">
      <c r="E28" s="20" t="str">
        <v>Wand-Wave-C2</v>
      </c>
      <c r="F28" s="20">
        <v>0</v>
      </c>
    </row>
    <row r="29" spans="1:6" x14ac:dyDescent="0.3">
      <c r="E29" s="20" t="str">
        <v>Wand-Wave-C3</v>
      </c>
      <c r="F29" s="20">
        <v>0</v>
      </c>
    </row>
    <row r="30" spans="1:6" x14ac:dyDescent="0.3">
      <c r="E30" s="20" t="str">
        <v>Wand-Wave-C4</v>
      </c>
      <c r="F30" s="20">
        <v>0</v>
      </c>
    </row>
    <row r="31" spans="1:6" x14ac:dyDescent="0.3">
      <c r="E31" s="20" t="str">
        <v>Wand-Wave-D1</v>
      </c>
      <c r="F31" s="20">
        <v>0</v>
      </c>
    </row>
    <row r="32" spans="1:6" x14ac:dyDescent="0.3">
      <c r="E32" s="20" t="str">
        <v>Wand-Wave-D2</v>
      </c>
      <c r="F32" s="20">
        <v>0</v>
      </c>
    </row>
    <row r="33" spans="5:6" x14ac:dyDescent="0.3">
      <c r="E33" s="20" t="str">
        <v>Wand-Wave-D3</v>
      </c>
      <c r="F33" s="20">
        <v>0</v>
      </c>
    </row>
    <row r="34" spans="5:6" x14ac:dyDescent="0.3">
      <c r="E34" s="20" t="str">
        <v>Wand-Wave-D4</v>
      </c>
      <c r="F34" s="20">
        <v>0</v>
      </c>
    </row>
    <row r="35" spans="5:6" x14ac:dyDescent="0.3">
      <c r="E35" s="20" t="str">
        <v>Wand-Wave-E1</v>
      </c>
      <c r="F35" s="20">
        <v>0</v>
      </c>
    </row>
    <row r="36" spans="5:6" x14ac:dyDescent="0.3">
      <c r="E36" s="20" t="str">
        <v>Wand-Wave-E2</v>
      </c>
      <c r="F36" s="20">
        <v>0</v>
      </c>
    </row>
    <row r="37" spans="5:6" x14ac:dyDescent="0.3">
      <c r="E37" s="20" t="str">
        <v>Wand-Wave-E3</v>
      </c>
      <c r="F37" s="20">
        <v>0</v>
      </c>
    </row>
    <row r="38" spans="5:6" x14ac:dyDescent="0.3">
      <c r="E38" s="20" t="str">
        <v>Wand-Wave-E4</v>
      </c>
      <c r="F38" s="20">
        <v>0</v>
      </c>
    </row>
    <row r="39" spans="5:6" x14ac:dyDescent="0.3">
      <c r="E39" s="20" t="str">
        <v>Wand-Wave-F1</v>
      </c>
      <c r="F39" s="20">
        <v>0</v>
      </c>
    </row>
    <row r="40" spans="5:6" x14ac:dyDescent="0.3">
      <c r="E40" s="20" t="str">
        <v>Wand-Wave-F2</v>
      </c>
      <c r="F40" s="20">
        <v>0</v>
      </c>
    </row>
    <row r="41" spans="5:6" x14ac:dyDescent="0.3">
      <c r="E41" s="20" t="str">
        <v>Wand-Wave-F3</v>
      </c>
      <c r="F41" s="20">
        <v>0</v>
      </c>
    </row>
    <row r="42" spans="5:6" x14ac:dyDescent="0.3">
      <c r="E42" s="20" t="str">
        <v>Wand-Wave-F4</v>
      </c>
      <c r="F42" s="20">
        <v>0</v>
      </c>
    </row>
    <row r="43" spans="5:6" x14ac:dyDescent="0.3">
      <c r="E43" s="20" t="str">
        <v>Wand-Wave-G1</v>
      </c>
      <c r="F43" s="20">
        <v>0</v>
      </c>
    </row>
    <row r="44" spans="5:6" x14ac:dyDescent="0.3">
      <c r="E44" s="20" t="str">
        <v>Wand-Wave-G2</v>
      </c>
    </row>
    <row r="45" spans="5:6" x14ac:dyDescent="0.3">
      <c r="E45" s="20" t="str">
        <v>Wand-Wave-G3</v>
      </c>
    </row>
    <row r="46" spans="5:6" x14ac:dyDescent="0.3">
      <c r="E46" s="20" t="str">
        <v>Wand-Wave-G4</v>
      </c>
    </row>
  </sheetData>
  <mergeCells count="1">
    <mergeCell ref="A1:N1"/>
  </mergeCells>
  <pageMargins left="0.75" right="0.75" top="1" bottom="1" header="0.511811023622047" footer="0.511811023622047"/>
  <pageSetup paperSize="9" orientation="portrait"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3D7B62-9DB4-4B3C-B240-3C03C9AF5852}">
  <sheetPr>
    <tabColor theme="9" tint="-0.249977111117893"/>
  </sheetPr>
  <dimension ref="A1:Q24"/>
  <sheetViews>
    <sheetView topLeftCell="B4" zoomScale="90" zoomScaleNormal="90" workbookViewId="0">
      <selection activeCell="H10" sqref="H10:N10"/>
    </sheetView>
  </sheetViews>
  <sheetFormatPr defaultColWidth="0" defaultRowHeight="25.05" customHeight="1" x14ac:dyDescent="0.3"/>
  <cols>
    <col min="1" max="1" width="8.88671875" style="76" customWidth="1"/>
    <col min="2" max="5" width="20.44140625" style="73" customWidth="1"/>
    <col min="6" max="9" width="10.77734375" style="73" customWidth="1"/>
    <col min="10" max="16" width="10.77734375" style="76" customWidth="1"/>
    <col min="17" max="17" width="0" style="76" hidden="1" customWidth="1"/>
    <col min="18" max="16384" width="8.88671875" style="76" hidden="1"/>
  </cols>
  <sheetData>
    <row r="1" spans="1:17" s="89" customFormat="1" ht="25.05" customHeight="1" x14ac:dyDescent="0.3">
      <c r="A1" s="86" t="s">
        <v>185</v>
      </c>
      <c r="B1" s="87"/>
      <c r="C1" s="87"/>
      <c r="D1" s="87"/>
      <c r="E1" s="87"/>
      <c r="F1" s="87"/>
      <c r="G1" s="87"/>
      <c r="H1" s="87"/>
      <c r="I1" s="87"/>
      <c r="J1" s="87"/>
      <c r="K1" s="87"/>
      <c r="L1" s="87"/>
      <c r="M1" s="87"/>
      <c r="N1" s="87"/>
      <c r="O1" s="87"/>
      <c r="P1" s="87"/>
      <c r="Q1" s="88"/>
    </row>
    <row r="2" spans="1:17" customFormat="1" ht="25.05" customHeight="1" x14ac:dyDescent="0.3">
      <c r="A2" s="8"/>
      <c r="B2" s="10"/>
      <c r="C2" s="9"/>
      <c r="D2" s="9"/>
      <c r="E2" s="9"/>
      <c r="F2" s="73"/>
      <c r="G2" s="9"/>
      <c r="H2" s="9"/>
      <c r="I2" s="9"/>
      <c r="J2" s="8"/>
      <c r="K2" s="8"/>
      <c r="L2" s="8"/>
      <c r="M2" s="8"/>
      <c r="N2" s="8"/>
      <c r="O2" s="8"/>
      <c r="P2" s="8"/>
    </row>
    <row r="3" spans="1:17" customFormat="1" ht="25.05" customHeight="1" x14ac:dyDescent="0.3">
      <c r="A3" s="8"/>
      <c r="B3" s="90" t="s">
        <v>184</v>
      </c>
      <c r="C3" s="91"/>
      <c r="D3" s="91"/>
      <c r="E3" s="91"/>
      <c r="F3" s="73"/>
      <c r="G3" s="9"/>
      <c r="H3" s="9"/>
      <c r="I3" s="9"/>
      <c r="J3" s="8"/>
      <c r="K3" s="8"/>
      <c r="L3" s="8"/>
      <c r="M3" s="8"/>
      <c r="N3" s="8"/>
      <c r="O3" s="8"/>
      <c r="P3" s="8"/>
    </row>
    <row r="4" spans="1:17" customFormat="1" ht="25.05" customHeight="1" x14ac:dyDescent="0.3">
      <c r="A4" s="8"/>
      <c r="B4" s="11" t="s">
        <v>36</v>
      </c>
      <c r="C4" s="11" t="s">
        <v>38</v>
      </c>
      <c r="D4" s="11" t="s">
        <v>37</v>
      </c>
      <c r="E4" s="12" t="s">
        <v>35</v>
      </c>
      <c r="F4" s="74"/>
      <c r="G4" s="92" t="s">
        <v>67</v>
      </c>
      <c r="H4" s="92"/>
      <c r="I4" s="76"/>
      <c r="J4" s="76"/>
      <c r="K4" s="75"/>
      <c r="L4" s="75"/>
      <c r="M4" s="75"/>
      <c r="N4" s="8"/>
      <c r="O4" s="8"/>
      <c r="P4" s="8"/>
    </row>
    <row r="5" spans="1:17" customFormat="1" ht="25.05" customHeight="1" x14ac:dyDescent="0.3">
      <c r="A5" s="8"/>
      <c r="B5" s="13" t="s">
        <v>14</v>
      </c>
      <c r="C5" s="14">
        <v>1</v>
      </c>
      <c r="D5" s="14">
        <v>1</v>
      </c>
      <c r="E5" s="14" t="str">
        <f>IF(C5=D5, "Yes", "No")</f>
        <v>Yes</v>
      </c>
      <c r="F5" s="73"/>
      <c r="G5" s="71"/>
      <c r="H5" s="93" t="s">
        <v>96</v>
      </c>
      <c r="I5" s="94"/>
      <c r="J5" s="95"/>
      <c r="K5" s="75"/>
      <c r="L5" s="75"/>
      <c r="M5" s="75"/>
      <c r="N5" s="8"/>
      <c r="O5" s="8"/>
      <c r="P5" s="8"/>
    </row>
    <row r="6" spans="1:17" customFormat="1" ht="25.05" customHeight="1" x14ac:dyDescent="0.3">
      <c r="A6" s="8"/>
      <c r="B6" s="13" t="s">
        <v>15</v>
      </c>
      <c r="C6" s="14">
        <v>2</v>
      </c>
      <c r="D6" s="14">
        <v>2</v>
      </c>
      <c r="E6" s="14" t="str">
        <f t="shared" ref="E6:E22" si="0">IF(C6=D6, "Yes", "No")</f>
        <v>Yes</v>
      </c>
      <c r="F6" s="73"/>
      <c r="G6" s="72"/>
      <c r="H6" s="93" t="s">
        <v>95</v>
      </c>
      <c r="I6" s="94"/>
      <c r="J6" s="95"/>
      <c r="K6" s="75"/>
      <c r="L6" s="75"/>
      <c r="M6" s="75"/>
      <c r="N6" s="8"/>
      <c r="O6" s="8"/>
      <c r="P6" s="8"/>
    </row>
    <row r="7" spans="1:17" customFormat="1" ht="25.05" customHeight="1" x14ac:dyDescent="0.3">
      <c r="A7" s="8"/>
      <c r="B7" s="13" t="s">
        <v>16</v>
      </c>
      <c r="C7" s="14">
        <v>3</v>
      </c>
      <c r="D7" s="14">
        <v>4</v>
      </c>
      <c r="E7" s="14" t="str">
        <f t="shared" si="0"/>
        <v>No</v>
      </c>
      <c r="F7" s="73"/>
      <c r="G7" s="57"/>
      <c r="H7" s="93" t="s">
        <v>66</v>
      </c>
      <c r="I7" s="94"/>
      <c r="J7" s="95"/>
      <c r="K7" s="75"/>
      <c r="L7" s="75"/>
      <c r="M7" s="75"/>
      <c r="N7" s="8"/>
      <c r="O7" s="8"/>
      <c r="P7" s="8"/>
    </row>
    <row r="8" spans="1:17" customFormat="1" ht="25.05" customHeight="1" x14ac:dyDescent="0.3">
      <c r="A8" s="8"/>
      <c r="B8" s="13" t="s">
        <v>17</v>
      </c>
      <c r="C8" s="14">
        <v>4</v>
      </c>
      <c r="D8" s="14">
        <v>18</v>
      </c>
      <c r="E8" s="14" t="str">
        <f t="shared" si="0"/>
        <v>No</v>
      </c>
      <c r="F8" s="73"/>
      <c r="G8" s="75"/>
      <c r="H8" s="75"/>
      <c r="I8" s="75"/>
      <c r="J8" s="75"/>
      <c r="K8" s="75"/>
      <c r="L8" s="75"/>
      <c r="M8" s="75"/>
      <c r="N8" s="8"/>
      <c r="O8" s="8"/>
      <c r="P8" s="8"/>
    </row>
    <row r="9" spans="1:17" customFormat="1" ht="25.05" customHeight="1" x14ac:dyDescent="0.3">
      <c r="A9" s="8"/>
      <c r="B9" s="13" t="s">
        <v>18</v>
      </c>
      <c r="C9" s="14">
        <v>5</v>
      </c>
      <c r="D9" s="14">
        <v>5</v>
      </c>
      <c r="E9" s="14" t="str">
        <f t="shared" si="0"/>
        <v>Yes</v>
      </c>
      <c r="F9" s="73"/>
      <c r="G9" s="97" t="s">
        <v>180</v>
      </c>
      <c r="H9" s="98"/>
      <c r="I9" s="98"/>
      <c r="J9" s="98"/>
      <c r="K9" s="98"/>
      <c r="L9" s="98"/>
      <c r="M9" s="75"/>
      <c r="N9" s="8"/>
      <c r="O9" s="8"/>
      <c r="P9" s="8"/>
    </row>
    <row r="10" spans="1:17" customFormat="1" ht="25.05" customHeight="1" x14ac:dyDescent="0.3">
      <c r="A10" s="8"/>
      <c r="B10" s="13" t="s">
        <v>19</v>
      </c>
      <c r="C10" s="14">
        <v>6</v>
      </c>
      <c r="D10" s="14">
        <v>6</v>
      </c>
      <c r="E10" s="14" t="str">
        <f t="shared" si="0"/>
        <v>Yes</v>
      </c>
      <c r="F10" s="73"/>
      <c r="G10" s="30" t="s">
        <v>51</v>
      </c>
      <c r="H10" s="99" t="s">
        <v>217</v>
      </c>
      <c r="I10" s="99"/>
      <c r="J10" s="99"/>
      <c r="K10" s="99"/>
      <c r="L10" s="99"/>
      <c r="M10" s="99"/>
      <c r="N10" s="99"/>
      <c r="O10" s="8"/>
      <c r="P10" s="8"/>
    </row>
    <row r="11" spans="1:17" customFormat="1" ht="25.05" customHeight="1" x14ac:dyDescent="0.3">
      <c r="A11" s="8"/>
      <c r="B11" s="13" t="s">
        <v>20</v>
      </c>
      <c r="C11" s="14">
        <v>7</v>
      </c>
      <c r="D11" s="14">
        <v>7</v>
      </c>
      <c r="E11" s="14" t="str">
        <f t="shared" si="0"/>
        <v>Yes</v>
      </c>
      <c r="F11" s="73"/>
      <c r="G11" s="30" t="s">
        <v>52</v>
      </c>
      <c r="H11" s="99" t="s">
        <v>82</v>
      </c>
      <c r="I11" s="99"/>
      <c r="J11" s="99"/>
      <c r="K11" s="99"/>
      <c r="L11" s="99"/>
      <c r="M11" s="99"/>
      <c r="N11" s="99"/>
      <c r="O11" s="8"/>
      <c r="P11" s="8"/>
    </row>
    <row r="12" spans="1:17" customFormat="1" ht="25.05" customHeight="1" x14ac:dyDescent="0.3">
      <c r="A12" s="8"/>
      <c r="B12" s="13" t="s">
        <v>34</v>
      </c>
      <c r="C12" s="14">
        <v>8</v>
      </c>
      <c r="D12" s="14">
        <v>8</v>
      </c>
      <c r="E12" s="14" t="str">
        <f t="shared" si="0"/>
        <v>Yes</v>
      </c>
      <c r="F12" s="73"/>
      <c r="G12" s="30" t="s">
        <v>54</v>
      </c>
      <c r="H12" s="99" t="s">
        <v>151</v>
      </c>
      <c r="I12" s="99"/>
      <c r="J12" s="99"/>
      <c r="K12" s="99"/>
      <c r="L12" s="99"/>
      <c r="M12" s="99"/>
      <c r="N12" s="99"/>
      <c r="O12" s="8"/>
      <c r="P12" s="8"/>
    </row>
    <row r="13" spans="1:17" customFormat="1" ht="25.05" customHeight="1" x14ac:dyDescent="0.3">
      <c r="A13" s="8"/>
      <c r="B13" s="13" t="s">
        <v>21</v>
      </c>
      <c r="C13" s="14">
        <v>9</v>
      </c>
      <c r="D13" s="14">
        <v>14</v>
      </c>
      <c r="E13" s="14" t="str">
        <f t="shared" si="0"/>
        <v>No</v>
      </c>
      <c r="F13" s="73"/>
      <c r="G13" s="30" t="s">
        <v>114</v>
      </c>
      <c r="H13" s="99" t="s">
        <v>116</v>
      </c>
      <c r="I13" s="99"/>
      <c r="J13" s="99"/>
      <c r="K13" s="99"/>
      <c r="L13" s="99"/>
      <c r="M13" s="99"/>
      <c r="N13" s="99"/>
      <c r="O13" s="8"/>
      <c r="P13" s="8"/>
    </row>
    <row r="14" spans="1:17" customFormat="1" ht="25.05" customHeight="1" x14ac:dyDescent="0.3">
      <c r="A14" s="8"/>
      <c r="B14" s="13" t="s">
        <v>22</v>
      </c>
      <c r="C14" s="14">
        <v>10</v>
      </c>
      <c r="D14" s="14">
        <v>10</v>
      </c>
      <c r="E14" s="14" t="str">
        <f t="shared" si="0"/>
        <v>Yes</v>
      </c>
      <c r="F14" s="73"/>
      <c r="G14" s="30" t="s">
        <v>115</v>
      </c>
      <c r="H14" s="99" t="s">
        <v>149</v>
      </c>
      <c r="I14" s="99"/>
      <c r="J14" s="99"/>
      <c r="K14" s="99"/>
      <c r="L14" s="99"/>
      <c r="M14" s="99"/>
      <c r="N14" s="99"/>
      <c r="O14" s="8"/>
      <c r="P14" s="8"/>
    </row>
    <row r="15" spans="1:17" customFormat="1" ht="25.05" customHeight="1" x14ac:dyDescent="0.3">
      <c r="A15" s="8"/>
      <c r="B15" s="13" t="s">
        <v>23</v>
      </c>
      <c r="C15" s="14">
        <v>11</v>
      </c>
      <c r="D15" s="14">
        <v>11</v>
      </c>
      <c r="E15" s="14" t="str">
        <f t="shared" si="0"/>
        <v>Yes</v>
      </c>
      <c r="F15" s="73"/>
      <c r="G15" s="30" t="s">
        <v>117</v>
      </c>
      <c r="H15" s="99" t="s">
        <v>119</v>
      </c>
      <c r="I15" s="99"/>
      <c r="J15" s="99"/>
      <c r="K15" s="99"/>
      <c r="L15" s="99"/>
      <c r="M15" s="99"/>
      <c r="N15" s="99"/>
      <c r="O15" s="8"/>
      <c r="P15" s="8"/>
    </row>
    <row r="16" spans="1:17" customFormat="1" ht="25.05" customHeight="1" x14ac:dyDescent="0.3">
      <c r="A16" s="8"/>
      <c r="B16" s="13" t="s">
        <v>24</v>
      </c>
      <c r="C16" s="14">
        <v>12</v>
      </c>
      <c r="D16" s="14">
        <v>12</v>
      </c>
      <c r="E16" s="14" t="str">
        <f t="shared" si="0"/>
        <v>Yes</v>
      </c>
      <c r="F16" s="73"/>
      <c r="G16" s="30" t="s">
        <v>118</v>
      </c>
      <c r="H16" s="99" t="s">
        <v>150</v>
      </c>
      <c r="I16" s="99"/>
      <c r="J16" s="99"/>
      <c r="K16" s="99"/>
      <c r="L16" s="99"/>
      <c r="M16" s="99"/>
      <c r="N16" s="99"/>
      <c r="O16" s="8"/>
      <c r="P16" s="8"/>
    </row>
    <row r="17" spans="1:16" customFormat="1" ht="25.05" customHeight="1" x14ac:dyDescent="0.3">
      <c r="A17" s="8"/>
      <c r="B17" s="13" t="s">
        <v>25</v>
      </c>
      <c r="C17" s="14">
        <v>13</v>
      </c>
      <c r="D17" s="14">
        <v>13</v>
      </c>
      <c r="E17" s="14" t="str">
        <f t="shared" si="0"/>
        <v>Yes</v>
      </c>
      <c r="F17" s="73"/>
      <c r="G17" s="77" t="s">
        <v>178</v>
      </c>
      <c r="H17" s="96" t="s">
        <v>186</v>
      </c>
      <c r="I17" s="96"/>
      <c r="J17" s="96"/>
      <c r="K17" s="96"/>
      <c r="L17" s="96"/>
      <c r="M17" s="96"/>
      <c r="N17" s="96"/>
      <c r="O17" s="8"/>
      <c r="P17" s="8"/>
    </row>
    <row r="18" spans="1:16" customFormat="1" ht="25.05" customHeight="1" x14ac:dyDescent="0.3">
      <c r="A18" s="8"/>
      <c r="B18" s="13" t="s">
        <v>26</v>
      </c>
      <c r="C18" s="14">
        <v>14</v>
      </c>
      <c r="D18" s="14">
        <v>14</v>
      </c>
      <c r="E18" s="14" t="str">
        <f t="shared" si="0"/>
        <v>Yes</v>
      </c>
      <c r="F18" s="73"/>
      <c r="G18" s="77" t="s">
        <v>187</v>
      </c>
      <c r="H18" s="96" t="s">
        <v>197</v>
      </c>
      <c r="I18" s="96"/>
      <c r="J18" s="96"/>
      <c r="K18" s="96"/>
      <c r="L18" s="96"/>
      <c r="M18" s="96"/>
      <c r="N18" s="96"/>
      <c r="O18" s="8"/>
      <c r="P18" s="8"/>
    </row>
    <row r="19" spans="1:16" customFormat="1" ht="25.05" customHeight="1" x14ac:dyDescent="0.3">
      <c r="A19" s="8"/>
      <c r="B19" s="13" t="s">
        <v>27</v>
      </c>
      <c r="C19" s="14">
        <v>15</v>
      </c>
      <c r="D19" s="14">
        <v>15</v>
      </c>
      <c r="E19" s="14" t="str">
        <f t="shared" si="0"/>
        <v>Yes</v>
      </c>
      <c r="F19" s="73"/>
      <c r="G19" s="73"/>
      <c r="H19" s="73"/>
      <c r="I19" s="73"/>
      <c r="J19" s="76"/>
      <c r="K19" s="8"/>
      <c r="L19" s="8"/>
      <c r="M19" s="8"/>
      <c r="N19" s="8"/>
      <c r="O19" s="8"/>
      <c r="P19" s="8"/>
    </row>
    <row r="20" spans="1:16" customFormat="1" ht="25.05" customHeight="1" x14ac:dyDescent="0.3">
      <c r="A20" s="8"/>
      <c r="B20" s="13" t="s">
        <v>28</v>
      </c>
      <c r="C20" s="14">
        <v>16</v>
      </c>
      <c r="D20" s="14">
        <v>16</v>
      </c>
      <c r="E20" s="14" t="str">
        <f t="shared" si="0"/>
        <v>Yes</v>
      </c>
      <c r="F20" s="73"/>
      <c r="G20" s="73"/>
      <c r="H20" s="73"/>
      <c r="I20" s="73"/>
      <c r="J20" s="76"/>
      <c r="K20" s="8"/>
      <c r="L20" s="8"/>
      <c r="M20" s="8"/>
      <c r="N20" s="8"/>
      <c r="O20" s="8"/>
      <c r="P20" s="8"/>
    </row>
    <row r="21" spans="1:16" customFormat="1" ht="25.05" customHeight="1" x14ac:dyDescent="0.3">
      <c r="A21" s="8"/>
      <c r="B21" s="13" t="s">
        <v>29</v>
      </c>
      <c r="C21" s="14">
        <v>17</v>
      </c>
      <c r="D21" s="14">
        <v>3</v>
      </c>
      <c r="E21" s="14" t="str">
        <f t="shared" si="0"/>
        <v>No</v>
      </c>
      <c r="F21" s="73"/>
      <c r="G21" s="73"/>
      <c r="H21" s="73"/>
      <c r="I21" s="73"/>
      <c r="J21" s="76"/>
      <c r="K21" s="8"/>
      <c r="L21" s="8"/>
      <c r="M21" s="8"/>
      <c r="N21" s="8"/>
      <c r="O21" s="8"/>
      <c r="P21" s="8"/>
    </row>
    <row r="22" spans="1:16" customFormat="1" ht="25.05" customHeight="1" x14ac:dyDescent="0.3">
      <c r="A22" s="8"/>
      <c r="B22" s="13" t="s">
        <v>30</v>
      </c>
      <c r="C22" s="14">
        <v>18</v>
      </c>
      <c r="D22" s="14">
        <v>17</v>
      </c>
      <c r="E22" s="14" t="str">
        <f t="shared" si="0"/>
        <v>No</v>
      </c>
      <c r="F22" s="73"/>
      <c r="G22" s="73"/>
      <c r="H22" s="73"/>
      <c r="I22" s="73"/>
      <c r="J22" s="76"/>
      <c r="K22" s="8"/>
      <c r="L22" s="8"/>
      <c r="M22" s="8"/>
      <c r="N22" s="8"/>
      <c r="O22" s="8"/>
      <c r="P22" s="8"/>
    </row>
    <row r="23" spans="1:16" customFormat="1" ht="25.05" customHeight="1" x14ac:dyDescent="0.3">
      <c r="A23" s="8"/>
      <c r="B23" s="9"/>
      <c r="C23" s="9"/>
      <c r="D23" s="9"/>
      <c r="E23" s="9"/>
      <c r="F23" s="73"/>
      <c r="G23" s="73"/>
      <c r="H23" s="73"/>
      <c r="I23" s="73"/>
      <c r="J23" s="76"/>
      <c r="K23" s="8"/>
      <c r="L23" s="8"/>
      <c r="M23" s="8"/>
      <c r="N23" s="8"/>
      <c r="O23" s="8"/>
      <c r="P23" s="8"/>
    </row>
    <row r="24" spans="1:16" customFormat="1" ht="25.05" customHeight="1" x14ac:dyDescent="0.3">
      <c r="A24" s="8"/>
      <c r="B24" s="9"/>
      <c r="C24" s="9"/>
      <c r="D24" s="9"/>
      <c r="E24" s="9"/>
      <c r="F24" s="73"/>
      <c r="G24" s="9"/>
      <c r="H24" s="9"/>
      <c r="I24" s="9"/>
      <c r="J24" s="8"/>
      <c r="K24" s="8"/>
      <c r="L24" s="8"/>
      <c r="M24" s="8"/>
      <c r="N24" s="8"/>
      <c r="O24" s="8"/>
      <c r="P24" s="8"/>
    </row>
  </sheetData>
  <sheetProtection selectLockedCells="1" selectUnlockedCells="1"/>
  <mergeCells count="16">
    <mergeCell ref="H18:N18"/>
    <mergeCell ref="H7:J7"/>
    <mergeCell ref="G9:L9"/>
    <mergeCell ref="H17:N17"/>
    <mergeCell ref="H15:N15"/>
    <mergeCell ref="H16:N16"/>
    <mergeCell ref="H13:N13"/>
    <mergeCell ref="H14:N14"/>
    <mergeCell ref="H10:N10"/>
    <mergeCell ref="H11:N11"/>
    <mergeCell ref="H12:N12"/>
    <mergeCell ref="A1:XFD1"/>
    <mergeCell ref="B3:E3"/>
    <mergeCell ref="G4:H4"/>
    <mergeCell ref="H5:J5"/>
    <mergeCell ref="H6:J6"/>
  </mergeCells>
  <conditionalFormatting sqref="B5:E22">
    <cfRule type="expression" dxfId="6" priority="1">
      <formula>$E5="No"</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6B0C6E-D617-4DC8-8712-B2E5391E139C}">
  <sheetPr>
    <tabColor theme="3" tint="-0.249977111117893"/>
  </sheetPr>
  <dimension ref="A1:M3116"/>
  <sheetViews>
    <sheetView showZeros="0" zoomScaleNormal="100" workbookViewId="0">
      <pane ySplit="2" topLeftCell="A1015" activePane="bottomLeft" state="frozen"/>
      <selection pane="bottomLeft" activeCell="C955" sqref="C955"/>
    </sheetView>
  </sheetViews>
  <sheetFormatPr defaultColWidth="8.6640625" defaultRowHeight="14.4" x14ac:dyDescent="0.3"/>
  <cols>
    <col min="1" max="1" width="10.77734375" style="41" customWidth="1"/>
    <col min="2" max="2" width="15.77734375" style="48" customWidth="1"/>
    <col min="3" max="3" width="17.109375" style="37" customWidth="1"/>
    <col min="4" max="4" width="19.33203125" style="34" customWidth="1"/>
    <col min="5" max="5" width="17.44140625" style="41" customWidth="1"/>
    <col min="6" max="6" width="17.44140625" style="33" customWidth="1"/>
    <col min="7" max="7" width="17.44140625" style="35" customWidth="1"/>
  </cols>
  <sheetData>
    <row r="1" spans="1:13" ht="19.95" customHeight="1" x14ac:dyDescent="0.3">
      <c r="A1" s="104" t="s">
        <v>68</v>
      </c>
      <c r="B1" s="105"/>
      <c r="C1" s="105"/>
      <c r="D1" s="105"/>
      <c r="E1" s="106"/>
      <c r="F1" s="107" t="s">
        <v>65</v>
      </c>
      <c r="G1" s="107"/>
    </row>
    <row r="2" spans="1:13" s="32" customFormat="1" ht="34.950000000000003" customHeight="1" x14ac:dyDescent="0.3">
      <c r="A2" s="50" t="s">
        <v>61</v>
      </c>
      <c r="B2" s="49" t="s">
        <v>88</v>
      </c>
      <c r="C2" s="42" t="s">
        <v>31</v>
      </c>
      <c r="D2" s="43" t="s">
        <v>13</v>
      </c>
      <c r="E2" s="70" t="s">
        <v>169</v>
      </c>
      <c r="F2" s="44" t="s">
        <v>32</v>
      </c>
      <c r="G2" s="44" t="s">
        <v>33</v>
      </c>
    </row>
    <row r="3" spans="1:13" x14ac:dyDescent="0.3">
      <c r="A3" s="36" t="s">
        <v>57</v>
      </c>
      <c r="B3" s="47" t="s">
        <v>64</v>
      </c>
      <c r="C3" s="37">
        <v>46228</v>
      </c>
      <c r="D3" s="38" t="s">
        <v>14</v>
      </c>
      <c r="E3" s="36">
        <v>2306</v>
      </c>
      <c r="F3" s="39">
        <v>0.274982</v>
      </c>
      <c r="G3" s="40">
        <v>7.9356800000000005E-2</v>
      </c>
    </row>
    <row r="4" spans="1:13" x14ac:dyDescent="0.3">
      <c r="A4" s="36" t="s">
        <v>57</v>
      </c>
      <c r="B4" s="47" t="s">
        <v>64</v>
      </c>
      <c r="C4" s="37">
        <v>46228</v>
      </c>
      <c r="D4" s="38" t="s">
        <v>15</v>
      </c>
      <c r="E4" s="36">
        <v>2392</v>
      </c>
      <c r="F4" s="39">
        <v>0.42184300000000002</v>
      </c>
      <c r="G4" s="40">
        <v>0.112306</v>
      </c>
    </row>
    <row r="5" spans="1:13" x14ac:dyDescent="0.3">
      <c r="A5" s="36" t="s">
        <v>57</v>
      </c>
      <c r="B5" s="47" t="s">
        <v>64</v>
      </c>
      <c r="C5" s="37">
        <v>46228</v>
      </c>
      <c r="D5" s="38" t="s">
        <v>16</v>
      </c>
      <c r="E5" s="36">
        <v>1810</v>
      </c>
      <c r="F5" s="39">
        <v>0.39858399999999999</v>
      </c>
      <c r="G5" s="40">
        <v>9.2427499999999996E-2</v>
      </c>
    </row>
    <row r="6" spans="1:13" x14ac:dyDescent="0.3">
      <c r="A6" s="36" t="s">
        <v>57</v>
      </c>
      <c r="B6" s="47" t="s">
        <v>64</v>
      </c>
      <c r="C6" s="37">
        <v>46228</v>
      </c>
      <c r="D6" s="38" t="s">
        <v>17</v>
      </c>
      <c r="E6" s="36">
        <v>2277</v>
      </c>
      <c r="F6" s="39">
        <v>0.62003600000000003</v>
      </c>
      <c r="G6" s="40">
        <v>0.12157900000000001</v>
      </c>
    </row>
    <row r="7" spans="1:13" x14ac:dyDescent="0.3">
      <c r="A7" s="36" t="s">
        <v>57</v>
      </c>
      <c r="B7" s="47" t="s">
        <v>64</v>
      </c>
      <c r="C7" s="37">
        <v>46228</v>
      </c>
      <c r="D7" s="38" t="s">
        <v>18</v>
      </c>
      <c r="E7" s="36">
        <v>2240</v>
      </c>
      <c r="F7" s="39">
        <v>0.19189300000000001</v>
      </c>
      <c r="G7" s="40">
        <v>4.4366900000000001E-2</v>
      </c>
      <c r="H7" s="100"/>
      <c r="I7" s="100"/>
      <c r="J7" s="100"/>
      <c r="K7" s="100"/>
      <c r="L7" s="100"/>
      <c r="M7" s="101"/>
    </row>
    <row r="8" spans="1:13" x14ac:dyDescent="0.3">
      <c r="A8" s="36" t="s">
        <v>57</v>
      </c>
      <c r="B8" s="47" t="s">
        <v>64</v>
      </c>
      <c r="C8" s="37">
        <v>46228</v>
      </c>
      <c r="D8" s="38" t="s">
        <v>19</v>
      </c>
      <c r="E8" s="36">
        <v>2754</v>
      </c>
      <c r="F8" s="39">
        <v>0.44223499999999999</v>
      </c>
      <c r="G8" s="40">
        <v>8.9975399999999997E-2</v>
      </c>
      <c r="H8" s="100"/>
      <c r="I8" s="100"/>
      <c r="J8" s="100"/>
      <c r="K8" s="100"/>
      <c r="L8" s="100"/>
      <c r="M8" s="101"/>
    </row>
    <row r="9" spans="1:13" x14ac:dyDescent="0.3">
      <c r="A9" s="36" t="s">
        <v>57</v>
      </c>
      <c r="B9" s="47" t="s">
        <v>64</v>
      </c>
      <c r="C9" s="37">
        <v>46228</v>
      </c>
      <c r="D9" s="38" t="s">
        <v>20</v>
      </c>
      <c r="E9" s="36">
        <v>3007</v>
      </c>
      <c r="F9" s="39">
        <v>0.50989600000000002</v>
      </c>
      <c r="G9" s="40">
        <v>0.102799</v>
      </c>
      <c r="H9" s="100"/>
      <c r="I9" s="100"/>
      <c r="J9" s="100"/>
      <c r="K9" s="100"/>
      <c r="L9" s="100"/>
      <c r="M9" s="101"/>
    </row>
    <row r="10" spans="1:13" x14ac:dyDescent="0.3">
      <c r="A10" s="36" t="s">
        <v>57</v>
      </c>
      <c r="B10" s="47" t="s">
        <v>64</v>
      </c>
      <c r="C10" s="37">
        <v>46228</v>
      </c>
      <c r="D10" s="38" t="s">
        <v>21</v>
      </c>
      <c r="E10" s="36">
        <v>2832</v>
      </c>
      <c r="F10" s="39">
        <v>0.39593499999999998</v>
      </c>
      <c r="G10" s="40">
        <v>7.95796E-2</v>
      </c>
      <c r="H10" s="100"/>
      <c r="I10" s="100"/>
      <c r="J10" s="100"/>
      <c r="K10" s="100"/>
      <c r="L10" s="100"/>
      <c r="M10" s="101"/>
    </row>
    <row r="11" spans="1:13" x14ac:dyDescent="0.3">
      <c r="A11" s="36" t="s">
        <v>57</v>
      </c>
      <c r="B11" s="47" t="s">
        <v>64</v>
      </c>
      <c r="C11" s="37">
        <v>46228</v>
      </c>
      <c r="D11" s="38" t="s">
        <v>22</v>
      </c>
      <c r="E11" s="36">
        <v>2120</v>
      </c>
      <c r="F11" s="39">
        <v>0.49960599999999999</v>
      </c>
      <c r="G11" s="40">
        <v>0.13203699999999999</v>
      </c>
      <c r="H11" s="100"/>
      <c r="I11" s="100"/>
      <c r="J11" s="100"/>
      <c r="K11" s="100"/>
      <c r="L11" s="100"/>
      <c r="M11" s="101"/>
    </row>
    <row r="12" spans="1:13" x14ac:dyDescent="0.3">
      <c r="A12" s="36" t="s">
        <v>57</v>
      </c>
      <c r="B12" s="47" t="s">
        <v>64</v>
      </c>
      <c r="C12" s="37">
        <v>46228</v>
      </c>
      <c r="D12" s="38" t="s">
        <v>23</v>
      </c>
      <c r="E12" s="36">
        <v>1471</v>
      </c>
      <c r="F12" s="39">
        <v>0.13059299999999999</v>
      </c>
      <c r="G12" s="40">
        <v>4.5056100000000002E-2</v>
      </c>
      <c r="H12" s="100"/>
      <c r="I12" s="100"/>
      <c r="J12" s="100"/>
      <c r="K12" s="100"/>
      <c r="L12" s="100"/>
      <c r="M12" s="101"/>
    </row>
    <row r="13" spans="1:13" x14ac:dyDescent="0.3">
      <c r="A13" s="36" t="s">
        <v>57</v>
      </c>
      <c r="B13" s="47" t="s">
        <v>64</v>
      </c>
      <c r="C13" s="37">
        <v>46228</v>
      </c>
      <c r="D13" s="38" t="s">
        <v>24</v>
      </c>
      <c r="E13" s="36">
        <v>1657</v>
      </c>
      <c r="F13" s="39">
        <v>0.428371</v>
      </c>
      <c r="G13" s="40">
        <v>0.14066300000000001</v>
      </c>
      <c r="H13" s="100"/>
      <c r="I13" s="100"/>
      <c r="J13" s="100"/>
      <c r="K13" s="100"/>
      <c r="L13" s="100"/>
      <c r="M13" s="101"/>
    </row>
    <row r="14" spans="1:13" ht="14.4" customHeight="1" x14ac:dyDescent="0.3">
      <c r="A14" s="36" t="s">
        <v>57</v>
      </c>
      <c r="B14" s="47" t="s">
        <v>64</v>
      </c>
      <c r="C14" s="37">
        <v>46228</v>
      </c>
      <c r="D14" s="38" t="s">
        <v>25</v>
      </c>
      <c r="E14" s="36">
        <v>1007</v>
      </c>
      <c r="F14" s="39">
        <v>0.16838600000000001</v>
      </c>
      <c r="G14" s="40">
        <v>4.2415799999999997E-2</v>
      </c>
      <c r="H14" s="108"/>
      <c r="I14" s="108"/>
      <c r="J14" s="108"/>
      <c r="K14" s="108"/>
      <c r="L14" s="108"/>
      <c r="M14" s="109"/>
    </row>
    <row r="15" spans="1:13" x14ac:dyDescent="0.3">
      <c r="A15" s="36" t="s">
        <v>57</v>
      </c>
      <c r="B15" s="47" t="s">
        <v>64</v>
      </c>
      <c r="C15" s="37">
        <v>46228</v>
      </c>
      <c r="D15" s="38" t="s">
        <v>26</v>
      </c>
      <c r="E15" s="36">
        <v>2022</v>
      </c>
      <c r="F15" s="39">
        <v>0.160743</v>
      </c>
      <c r="G15" s="40">
        <v>4.9050299999999998E-2</v>
      </c>
      <c r="H15" s="110"/>
      <c r="I15" s="110"/>
      <c r="J15" s="110"/>
      <c r="K15" s="110"/>
      <c r="L15" s="110"/>
      <c r="M15" s="111"/>
    </row>
    <row r="16" spans="1:13" x14ac:dyDescent="0.3">
      <c r="A16" s="36" t="s">
        <v>57</v>
      </c>
      <c r="B16" s="47" t="s">
        <v>64</v>
      </c>
      <c r="C16" s="37">
        <v>46228</v>
      </c>
      <c r="D16" s="38" t="s">
        <v>27</v>
      </c>
      <c r="E16" s="36">
        <v>1985</v>
      </c>
      <c r="F16" s="39">
        <v>0.43960500000000002</v>
      </c>
      <c r="G16" s="40">
        <v>0.10267900000000001</v>
      </c>
    </row>
    <row r="17" spans="1:10" x14ac:dyDescent="0.3">
      <c r="A17" s="36" t="s">
        <v>57</v>
      </c>
      <c r="B17" s="47" t="s">
        <v>64</v>
      </c>
      <c r="C17" s="37">
        <v>46228</v>
      </c>
      <c r="D17" s="38" t="s">
        <v>28</v>
      </c>
      <c r="E17" s="36">
        <v>1540</v>
      </c>
      <c r="F17" s="39">
        <v>0.64795899999999995</v>
      </c>
      <c r="G17" s="40">
        <v>0.147318</v>
      </c>
    </row>
    <row r="18" spans="1:10" x14ac:dyDescent="0.3">
      <c r="A18" s="36" t="s">
        <v>57</v>
      </c>
      <c r="B18" s="47" t="s">
        <v>64</v>
      </c>
      <c r="C18" s="37">
        <v>46228</v>
      </c>
      <c r="D18" s="38" t="s">
        <v>29</v>
      </c>
      <c r="E18" s="36">
        <v>1892</v>
      </c>
      <c r="F18" s="39">
        <v>0.37152299999999999</v>
      </c>
      <c r="G18" s="40">
        <v>7.7194100000000002E-2</v>
      </c>
      <c r="H18" s="102"/>
      <c r="I18" s="102"/>
      <c r="J18" s="103"/>
    </row>
    <row r="19" spans="1:10" x14ac:dyDescent="0.3">
      <c r="A19" s="36" t="s">
        <v>57</v>
      </c>
      <c r="B19" s="47" t="s">
        <v>64</v>
      </c>
      <c r="C19" s="37">
        <v>46228</v>
      </c>
      <c r="D19" s="38" t="s">
        <v>30</v>
      </c>
      <c r="E19" s="36">
        <v>1460</v>
      </c>
      <c r="F19" s="39">
        <v>0.54793400000000003</v>
      </c>
      <c r="G19" s="40">
        <v>0.109931</v>
      </c>
      <c r="H19" s="102"/>
      <c r="I19" s="102"/>
      <c r="J19" s="103"/>
    </row>
    <row r="20" spans="1:10" x14ac:dyDescent="0.3">
      <c r="A20" s="36" t="s">
        <v>57</v>
      </c>
      <c r="B20" s="47" t="s">
        <v>64</v>
      </c>
      <c r="C20" s="37">
        <v>46230</v>
      </c>
      <c r="D20" s="38" t="s">
        <v>14</v>
      </c>
      <c r="E20" s="36">
        <v>1939</v>
      </c>
      <c r="F20" s="39">
        <v>0.38631799999999999</v>
      </c>
      <c r="G20" s="40">
        <v>0.10861</v>
      </c>
    </row>
    <row r="21" spans="1:10" x14ac:dyDescent="0.3">
      <c r="A21" s="36" t="s">
        <v>57</v>
      </c>
      <c r="B21" s="47" t="s">
        <v>64</v>
      </c>
      <c r="C21" s="37">
        <v>46230</v>
      </c>
      <c r="D21" s="38" t="s">
        <v>15</v>
      </c>
      <c r="E21" s="36">
        <v>2172</v>
      </c>
      <c r="F21" s="39">
        <v>0.40509299999999998</v>
      </c>
      <c r="G21" s="40">
        <v>0.10678</v>
      </c>
    </row>
    <row r="22" spans="1:10" x14ac:dyDescent="0.3">
      <c r="A22" s="36" t="s">
        <v>57</v>
      </c>
      <c r="B22" s="47" t="s">
        <v>64</v>
      </c>
      <c r="C22" s="37">
        <v>46230</v>
      </c>
      <c r="D22" s="38" t="s">
        <v>16</v>
      </c>
      <c r="E22" s="36">
        <v>1359</v>
      </c>
      <c r="F22" s="39">
        <v>0.42063299999999998</v>
      </c>
      <c r="G22" s="40">
        <v>9.8741200000000001E-2</v>
      </c>
    </row>
    <row r="23" spans="1:10" x14ac:dyDescent="0.3">
      <c r="A23" s="36" t="s">
        <v>57</v>
      </c>
      <c r="B23" s="47" t="s">
        <v>64</v>
      </c>
      <c r="C23" s="37">
        <v>46230</v>
      </c>
      <c r="D23" s="38" t="s">
        <v>17</v>
      </c>
      <c r="E23" s="36">
        <v>1819</v>
      </c>
      <c r="F23" s="39">
        <v>0.610344</v>
      </c>
      <c r="G23" s="40">
        <v>0.120907</v>
      </c>
    </row>
    <row r="24" spans="1:10" x14ac:dyDescent="0.3">
      <c r="A24" s="36" t="s">
        <v>57</v>
      </c>
      <c r="B24" s="47" t="s">
        <v>64</v>
      </c>
      <c r="C24" s="37">
        <v>46230</v>
      </c>
      <c r="D24" s="38" t="s">
        <v>18</v>
      </c>
      <c r="E24" s="36">
        <v>1541</v>
      </c>
      <c r="F24" s="39">
        <v>0.28196100000000002</v>
      </c>
      <c r="G24" s="40">
        <v>6.7092299999999994E-2</v>
      </c>
    </row>
    <row r="25" spans="1:10" x14ac:dyDescent="0.3">
      <c r="A25" s="36" t="s">
        <v>57</v>
      </c>
      <c r="B25" s="47" t="s">
        <v>64</v>
      </c>
      <c r="C25" s="37">
        <v>46230</v>
      </c>
      <c r="D25" s="38" t="s">
        <v>19</v>
      </c>
      <c r="E25" s="36">
        <v>1296</v>
      </c>
      <c r="F25" s="39">
        <v>0.35003099999999998</v>
      </c>
      <c r="G25" s="40">
        <v>7.3608499999999993E-2</v>
      </c>
    </row>
    <row r="26" spans="1:10" x14ac:dyDescent="0.3">
      <c r="A26" s="36" t="s">
        <v>57</v>
      </c>
      <c r="B26" s="47" t="s">
        <v>64</v>
      </c>
      <c r="C26" s="37">
        <v>46230</v>
      </c>
      <c r="D26" s="38" t="s">
        <v>20</v>
      </c>
      <c r="E26" s="36">
        <v>1470</v>
      </c>
      <c r="F26" s="39">
        <v>0.36660399999999999</v>
      </c>
      <c r="G26" s="40">
        <v>7.6716000000000006E-2</v>
      </c>
    </row>
    <row r="27" spans="1:10" x14ac:dyDescent="0.3">
      <c r="A27" s="36" t="s">
        <v>57</v>
      </c>
      <c r="B27" s="47" t="s">
        <v>64</v>
      </c>
      <c r="C27" s="37">
        <v>46230</v>
      </c>
      <c r="D27" s="38" t="s">
        <v>34</v>
      </c>
      <c r="E27" s="36">
        <v>1162</v>
      </c>
      <c r="F27" s="39">
        <v>0.162101</v>
      </c>
      <c r="G27" s="40">
        <v>4.9118500000000002E-2</v>
      </c>
    </row>
    <row r="28" spans="1:10" x14ac:dyDescent="0.3">
      <c r="A28" s="36" t="s">
        <v>57</v>
      </c>
      <c r="B28" s="47" t="s">
        <v>64</v>
      </c>
      <c r="C28" s="37">
        <v>46230</v>
      </c>
      <c r="D28" s="38" t="s">
        <v>21</v>
      </c>
      <c r="E28" s="36">
        <v>2611</v>
      </c>
      <c r="F28" s="39">
        <v>0.42067700000000002</v>
      </c>
      <c r="G28" s="40">
        <v>8.1860199999999994E-2</v>
      </c>
    </row>
    <row r="29" spans="1:10" x14ac:dyDescent="0.3">
      <c r="A29" s="36" t="s">
        <v>57</v>
      </c>
      <c r="B29" s="47" t="s">
        <v>64</v>
      </c>
      <c r="C29" s="37">
        <v>46230</v>
      </c>
      <c r="D29" s="38" t="s">
        <v>22</v>
      </c>
      <c r="E29" s="36">
        <v>1449</v>
      </c>
      <c r="F29" s="39">
        <v>0.45557700000000001</v>
      </c>
      <c r="G29" s="40">
        <v>0.123795</v>
      </c>
    </row>
    <row r="30" spans="1:10" x14ac:dyDescent="0.3">
      <c r="A30" s="36" t="s">
        <v>57</v>
      </c>
      <c r="B30" s="47" t="s">
        <v>64</v>
      </c>
      <c r="C30" s="37">
        <v>46230</v>
      </c>
      <c r="D30" s="38" t="s">
        <v>23</v>
      </c>
      <c r="E30" s="36">
        <v>1005</v>
      </c>
      <c r="F30" s="39">
        <v>0.43718499999999999</v>
      </c>
      <c r="G30" s="40">
        <v>0.14344199999999999</v>
      </c>
    </row>
    <row r="31" spans="1:10" x14ac:dyDescent="0.3">
      <c r="A31" s="36" t="s">
        <v>57</v>
      </c>
      <c r="B31" s="47" t="s">
        <v>64</v>
      </c>
      <c r="C31" s="37">
        <v>46230</v>
      </c>
      <c r="D31" s="38" t="s">
        <v>24</v>
      </c>
      <c r="E31" s="36">
        <v>2076</v>
      </c>
      <c r="F31" s="39">
        <v>0.30209799999999998</v>
      </c>
      <c r="G31" s="40">
        <v>9.3080999999999997E-2</v>
      </c>
    </row>
    <row r="32" spans="1:10" x14ac:dyDescent="0.3">
      <c r="A32" s="36" t="s">
        <v>57</v>
      </c>
      <c r="B32" s="47" t="s">
        <v>64</v>
      </c>
      <c r="C32" s="37">
        <v>46230</v>
      </c>
      <c r="D32" s="38" t="s">
        <v>25</v>
      </c>
      <c r="E32" s="36">
        <v>1159</v>
      </c>
      <c r="F32" s="39">
        <v>0.18565499999999999</v>
      </c>
      <c r="G32" s="40">
        <v>4.46854E-2</v>
      </c>
    </row>
    <row r="33" spans="1:7" x14ac:dyDescent="0.3">
      <c r="A33" s="36" t="s">
        <v>57</v>
      </c>
      <c r="B33" s="47" t="s">
        <v>64</v>
      </c>
      <c r="C33" s="37">
        <v>46230</v>
      </c>
      <c r="D33" s="38" t="s">
        <v>26</v>
      </c>
      <c r="E33" s="36">
        <v>1409</v>
      </c>
      <c r="F33" s="39">
        <v>0.21656300000000001</v>
      </c>
      <c r="G33" s="40">
        <v>6.9651900000000003E-2</v>
      </c>
    </row>
    <row r="34" spans="1:7" x14ac:dyDescent="0.3">
      <c r="A34" s="36" t="s">
        <v>57</v>
      </c>
      <c r="B34" s="47" t="s">
        <v>64</v>
      </c>
      <c r="C34" s="37">
        <v>46230</v>
      </c>
      <c r="D34" s="38" t="s">
        <v>27</v>
      </c>
      <c r="E34" s="36">
        <v>1914</v>
      </c>
      <c r="F34" s="39">
        <v>0.46116299999999999</v>
      </c>
      <c r="G34" s="40">
        <v>0.104768</v>
      </c>
    </row>
    <row r="35" spans="1:7" x14ac:dyDescent="0.3">
      <c r="A35" s="36" t="s">
        <v>57</v>
      </c>
      <c r="B35" s="47" t="s">
        <v>64</v>
      </c>
      <c r="C35" s="37">
        <v>46230</v>
      </c>
      <c r="D35" s="38" t="s">
        <v>28</v>
      </c>
      <c r="E35" s="36">
        <v>1154</v>
      </c>
      <c r="F35" s="39">
        <v>0.49668299999999999</v>
      </c>
      <c r="G35" s="40">
        <v>0.111633</v>
      </c>
    </row>
    <row r="36" spans="1:7" x14ac:dyDescent="0.3">
      <c r="A36" s="36" t="s">
        <v>57</v>
      </c>
      <c r="B36" s="47" t="s">
        <v>64</v>
      </c>
      <c r="C36" s="37">
        <v>46230</v>
      </c>
      <c r="D36" s="38" t="s">
        <v>29</v>
      </c>
      <c r="E36" s="36">
        <v>1614</v>
      </c>
      <c r="F36" s="39">
        <v>0.32052799999999998</v>
      </c>
      <c r="G36" s="40">
        <v>6.6401399999999999E-2</v>
      </c>
    </row>
    <row r="37" spans="1:7" x14ac:dyDescent="0.3">
      <c r="A37" s="36" t="s">
        <v>57</v>
      </c>
      <c r="B37" s="47" t="s">
        <v>64</v>
      </c>
      <c r="C37" s="37">
        <v>46230</v>
      </c>
      <c r="D37" s="38" t="s">
        <v>30</v>
      </c>
      <c r="E37" s="36">
        <v>1342</v>
      </c>
      <c r="F37" s="39">
        <v>0.56830499999999995</v>
      </c>
      <c r="G37" s="40">
        <v>0.114508</v>
      </c>
    </row>
    <row r="38" spans="1:7" x14ac:dyDescent="0.3">
      <c r="A38" s="36" t="s">
        <v>57</v>
      </c>
      <c r="B38" s="47" t="s">
        <v>64</v>
      </c>
      <c r="C38" s="37">
        <v>46231</v>
      </c>
      <c r="D38" s="38" t="s">
        <v>14</v>
      </c>
      <c r="E38" s="36">
        <v>2192</v>
      </c>
      <c r="F38" s="39">
        <v>0.32684800000000003</v>
      </c>
      <c r="G38" s="40">
        <v>9.1957899999999995E-2</v>
      </c>
    </row>
    <row r="39" spans="1:7" x14ac:dyDescent="0.3">
      <c r="A39" s="36" t="s">
        <v>57</v>
      </c>
      <c r="B39" s="47" t="s">
        <v>64</v>
      </c>
      <c r="C39" s="37">
        <v>46231</v>
      </c>
      <c r="D39" s="38" t="s">
        <v>15</v>
      </c>
      <c r="E39" s="36">
        <v>2430</v>
      </c>
      <c r="F39" s="39">
        <v>0.55680700000000005</v>
      </c>
      <c r="G39" s="40">
        <v>0.14671400000000001</v>
      </c>
    </row>
    <row r="40" spans="1:7" x14ac:dyDescent="0.3">
      <c r="A40" s="36" t="s">
        <v>57</v>
      </c>
      <c r="B40" s="47" t="s">
        <v>64</v>
      </c>
      <c r="C40" s="37">
        <v>46231</v>
      </c>
      <c r="D40" s="38" t="s">
        <v>16</v>
      </c>
      <c r="E40" s="36">
        <v>1832</v>
      </c>
      <c r="F40" s="39">
        <v>0.34914299999999998</v>
      </c>
      <c r="G40" s="40">
        <v>8.1951999999999997E-2</v>
      </c>
    </row>
    <row r="41" spans="1:7" x14ac:dyDescent="0.3">
      <c r="A41" s="36" t="s">
        <v>57</v>
      </c>
      <c r="B41" s="47" t="s">
        <v>64</v>
      </c>
      <c r="C41" s="37">
        <v>46231</v>
      </c>
      <c r="D41" s="38" t="s">
        <v>17</v>
      </c>
      <c r="E41" s="36">
        <v>2081</v>
      </c>
      <c r="F41" s="39">
        <v>0.55386500000000005</v>
      </c>
      <c r="G41" s="40">
        <v>0.109685</v>
      </c>
    </row>
    <row r="42" spans="1:7" x14ac:dyDescent="0.3">
      <c r="A42" s="36" t="s">
        <v>57</v>
      </c>
      <c r="B42" s="47" t="s">
        <v>64</v>
      </c>
      <c r="C42" s="37">
        <v>46231</v>
      </c>
      <c r="D42" s="38" t="s">
        <v>18</v>
      </c>
      <c r="E42" s="36">
        <v>2109</v>
      </c>
      <c r="F42" s="39">
        <v>0.32659700000000003</v>
      </c>
      <c r="G42" s="40">
        <v>7.7769500000000005E-2</v>
      </c>
    </row>
    <row r="43" spans="1:7" x14ac:dyDescent="0.3">
      <c r="A43" s="36" t="s">
        <v>57</v>
      </c>
      <c r="B43" s="47" t="s">
        <v>64</v>
      </c>
      <c r="C43" s="37">
        <v>46231</v>
      </c>
      <c r="D43" s="38" t="s">
        <v>19</v>
      </c>
      <c r="E43" s="36">
        <v>2103</v>
      </c>
      <c r="F43" s="39">
        <v>0.39977800000000002</v>
      </c>
      <c r="G43" s="40">
        <v>8.4118100000000001E-2</v>
      </c>
    </row>
    <row r="44" spans="1:7" x14ac:dyDescent="0.3">
      <c r="A44" s="36" t="s">
        <v>57</v>
      </c>
      <c r="B44" s="47" t="s">
        <v>64</v>
      </c>
      <c r="C44" s="37">
        <v>46231</v>
      </c>
      <c r="D44" s="38" t="s">
        <v>20</v>
      </c>
      <c r="E44" s="36">
        <v>2171</v>
      </c>
      <c r="F44" s="39">
        <v>0.42612899999999998</v>
      </c>
      <c r="G44" s="40">
        <v>8.9207099999999998E-2</v>
      </c>
    </row>
    <row r="45" spans="1:7" x14ac:dyDescent="0.3">
      <c r="A45" s="36" t="s">
        <v>57</v>
      </c>
      <c r="B45" s="47" t="s">
        <v>64</v>
      </c>
      <c r="C45" s="37">
        <v>46231</v>
      </c>
      <c r="D45" s="38" t="s">
        <v>34</v>
      </c>
      <c r="E45" s="36">
        <v>1004</v>
      </c>
      <c r="F45" s="39">
        <v>0.157855</v>
      </c>
      <c r="G45" s="40">
        <v>4.7859600000000002E-2</v>
      </c>
    </row>
    <row r="46" spans="1:7" x14ac:dyDescent="0.3">
      <c r="A46" s="36" t="s">
        <v>57</v>
      </c>
      <c r="B46" s="47" t="s">
        <v>64</v>
      </c>
      <c r="C46" s="37">
        <v>46231</v>
      </c>
      <c r="D46" s="38" t="s">
        <v>21</v>
      </c>
      <c r="E46" s="36">
        <v>2717</v>
      </c>
      <c r="F46" s="39">
        <v>0.35114800000000002</v>
      </c>
      <c r="G46" s="40">
        <v>6.8267099999999997E-2</v>
      </c>
    </row>
    <row r="47" spans="1:7" x14ac:dyDescent="0.3">
      <c r="A47" s="36" t="s">
        <v>57</v>
      </c>
      <c r="B47" s="47" t="s">
        <v>64</v>
      </c>
      <c r="C47" s="37">
        <v>46231</v>
      </c>
      <c r="D47" s="38" t="s">
        <v>22</v>
      </c>
      <c r="E47" s="36">
        <v>1748</v>
      </c>
      <c r="F47" s="39">
        <v>0.508247</v>
      </c>
      <c r="G47" s="40">
        <v>0.13811000000000001</v>
      </c>
    </row>
    <row r="48" spans="1:7" x14ac:dyDescent="0.3">
      <c r="A48" s="36" t="s">
        <v>57</v>
      </c>
      <c r="B48" s="47" t="s">
        <v>64</v>
      </c>
      <c r="C48" s="37">
        <v>46231</v>
      </c>
      <c r="D48" s="38" t="s">
        <v>23</v>
      </c>
      <c r="E48" s="36">
        <v>1329</v>
      </c>
      <c r="F48" s="39">
        <v>0.36122100000000001</v>
      </c>
      <c r="G48" s="40">
        <v>0.118642</v>
      </c>
    </row>
    <row r="49" spans="1:7" x14ac:dyDescent="0.3">
      <c r="A49" s="36" t="s">
        <v>57</v>
      </c>
      <c r="B49" s="47" t="s">
        <v>64</v>
      </c>
      <c r="C49" s="37">
        <v>46231</v>
      </c>
      <c r="D49" s="38" t="s">
        <v>24</v>
      </c>
      <c r="E49" s="36">
        <v>1653</v>
      </c>
      <c r="F49" s="39">
        <v>0.19215299999999999</v>
      </c>
      <c r="G49" s="40">
        <v>5.9232199999999999E-2</v>
      </c>
    </row>
    <row r="50" spans="1:7" x14ac:dyDescent="0.3">
      <c r="A50" s="36" t="s">
        <v>57</v>
      </c>
      <c r="B50" s="47" t="s">
        <v>64</v>
      </c>
      <c r="C50" s="37">
        <v>46231</v>
      </c>
      <c r="D50" s="38" t="s">
        <v>25</v>
      </c>
      <c r="E50" s="36">
        <v>1260</v>
      </c>
      <c r="F50" s="39">
        <v>0.220161</v>
      </c>
      <c r="G50" s="40">
        <v>5.2973800000000001E-2</v>
      </c>
    </row>
    <row r="51" spans="1:7" x14ac:dyDescent="0.3">
      <c r="A51" s="36" t="s">
        <v>57</v>
      </c>
      <c r="B51" s="47" t="s">
        <v>64</v>
      </c>
      <c r="C51" s="37">
        <v>46231</v>
      </c>
      <c r="D51" s="38" t="s">
        <v>26</v>
      </c>
      <c r="E51" s="36">
        <v>1442</v>
      </c>
      <c r="F51" s="39">
        <v>0.19145999999999999</v>
      </c>
      <c r="G51" s="40">
        <v>6.1579000000000002E-2</v>
      </c>
    </row>
    <row r="52" spans="1:7" x14ac:dyDescent="0.3">
      <c r="A52" s="36" t="s">
        <v>57</v>
      </c>
      <c r="B52" s="47" t="s">
        <v>64</v>
      </c>
      <c r="C52" s="37">
        <v>46231</v>
      </c>
      <c r="D52" s="38" t="s">
        <v>27</v>
      </c>
      <c r="E52" s="36">
        <v>1990</v>
      </c>
      <c r="F52" s="39">
        <v>0.29572300000000001</v>
      </c>
      <c r="G52" s="40">
        <v>6.7059099999999996E-2</v>
      </c>
    </row>
    <row r="53" spans="1:7" x14ac:dyDescent="0.3">
      <c r="A53" s="36" t="s">
        <v>57</v>
      </c>
      <c r="B53" s="47" t="s">
        <v>64</v>
      </c>
      <c r="C53" s="37">
        <v>46231</v>
      </c>
      <c r="D53" s="38" t="s">
        <v>28</v>
      </c>
      <c r="E53" s="36">
        <v>1384</v>
      </c>
      <c r="F53" s="39">
        <v>0.29070200000000002</v>
      </c>
      <c r="G53" s="40">
        <v>6.5277500000000002E-2</v>
      </c>
    </row>
    <row r="54" spans="1:7" x14ac:dyDescent="0.3">
      <c r="A54" s="36" t="s">
        <v>57</v>
      </c>
      <c r="B54" s="47" t="s">
        <v>64</v>
      </c>
      <c r="C54" s="37">
        <v>46231</v>
      </c>
      <c r="D54" s="38" t="s">
        <v>29</v>
      </c>
      <c r="E54" s="36">
        <v>2118</v>
      </c>
      <c r="F54" s="39">
        <v>0.33533099999999999</v>
      </c>
      <c r="G54" s="40">
        <v>6.9472199999999998E-2</v>
      </c>
    </row>
    <row r="55" spans="1:7" x14ac:dyDescent="0.3">
      <c r="A55" s="36" t="s">
        <v>57</v>
      </c>
      <c r="B55" s="47" t="s">
        <v>64</v>
      </c>
      <c r="C55" s="37">
        <v>46231</v>
      </c>
      <c r="D55" s="38" t="s">
        <v>30</v>
      </c>
      <c r="E55" s="36">
        <v>1432</v>
      </c>
      <c r="F55" s="39">
        <v>0.47264099999999998</v>
      </c>
      <c r="G55" s="40">
        <v>9.5271300000000003E-2</v>
      </c>
    </row>
    <row r="56" spans="1:7" x14ac:dyDescent="0.3">
      <c r="A56" s="36" t="s">
        <v>57</v>
      </c>
      <c r="B56" s="47" t="s">
        <v>64</v>
      </c>
      <c r="C56" s="37">
        <v>46232</v>
      </c>
      <c r="D56" s="38" t="s">
        <v>14</v>
      </c>
      <c r="E56" s="36">
        <v>2734</v>
      </c>
      <c r="F56" s="39">
        <v>0.28613699999999997</v>
      </c>
      <c r="G56" s="40">
        <v>8.0479400000000006E-2</v>
      </c>
    </row>
    <row r="57" spans="1:7" x14ac:dyDescent="0.3">
      <c r="A57" s="36" t="s">
        <v>57</v>
      </c>
      <c r="B57" s="47" t="s">
        <v>64</v>
      </c>
      <c r="C57" s="37">
        <v>46232</v>
      </c>
      <c r="D57" s="38" t="s">
        <v>15</v>
      </c>
      <c r="E57" s="36">
        <v>2228</v>
      </c>
      <c r="F57" s="39">
        <v>0.39689600000000003</v>
      </c>
      <c r="G57" s="40">
        <v>0.104628</v>
      </c>
    </row>
    <row r="58" spans="1:7" x14ac:dyDescent="0.3">
      <c r="A58" s="36" t="s">
        <v>57</v>
      </c>
      <c r="B58" s="47" t="s">
        <v>64</v>
      </c>
      <c r="C58" s="37">
        <v>46232</v>
      </c>
      <c r="D58" s="38" t="s">
        <v>16</v>
      </c>
      <c r="E58" s="36">
        <v>1998</v>
      </c>
      <c r="F58" s="39">
        <v>0.45231500000000002</v>
      </c>
      <c r="G58" s="40">
        <v>0.106193</v>
      </c>
    </row>
    <row r="59" spans="1:7" x14ac:dyDescent="0.3">
      <c r="A59" s="36" t="s">
        <v>57</v>
      </c>
      <c r="B59" s="47" t="s">
        <v>64</v>
      </c>
      <c r="C59" s="37">
        <v>46232</v>
      </c>
      <c r="D59" s="38" t="s">
        <v>17</v>
      </c>
      <c r="E59" s="36">
        <v>2381</v>
      </c>
      <c r="F59" s="39">
        <v>0.56917399999999996</v>
      </c>
      <c r="G59" s="40">
        <v>0.112651</v>
      </c>
    </row>
    <row r="60" spans="1:7" x14ac:dyDescent="0.3">
      <c r="A60" s="36" t="s">
        <v>57</v>
      </c>
      <c r="B60" s="47" t="s">
        <v>64</v>
      </c>
      <c r="C60" s="37">
        <v>46232</v>
      </c>
      <c r="D60" s="38" t="s">
        <v>18</v>
      </c>
      <c r="E60" s="36">
        <v>1925</v>
      </c>
      <c r="F60" s="39">
        <v>0.27124799999999999</v>
      </c>
      <c r="G60" s="40">
        <v>6.4562400000000006E-2</v>
      </c>
    </row>
    <row r="61" spans="1:7" x14ac:dyDescent="0.3">
      <c r="A61" s="36" t="s">
        <v>57</v>
      </c>
      <c r="B61" s="47" t="s">
        <v>64</v>
      </c>
      <c r="C61" s="37">
        <v>46232</v>
      </c>
      <c r="D61" s="38" t="s">
        <v>19</v>
      </c>
      <c r="E61" s="36">
        <v>1532</v>
      </c>
      <c r="F61" s="39">
        <v>0.38306699999999999</v>
      </c>
      <c r="G61" s="40">
        <v>8.06085E-2</v>
      </c>
    </row>
    <row r="62" spans="1:7" x14ac:dyDescent="0.3">
      <c r="A62" s="36" t="s">
        <v>57</v>
      </c>
      <c r="B62" s="47" t="s">
        <v>64</v>
      </c>
      <c r="C62" s="37">
        <v>46232</v>
      </c>
      <c r="D62" s="38" t="s">
        <v>20</v>
      </c>
      <c r="E62" s="36">
        <v>1844</v>
      </c>
      <c r="F62" s="39">
        <v>0.39710200000000001</v>
      </c>
      <c r="G62" s="40">
        <v>8.3112099999999994E-2</v>
      </c>
    </row>
    <row r="63" spans="1:7" x14ac:dyDescent="0.3">
      <c r="A63" s="36" t="s">
        <v>57</v>
      </c>
      <c r="B63" s="47" t="s">
        <v>64</v>
      </c>
      <c r="C63" s="37">
        <v>46232</v>
      </c>
      <c r="D63" s="38" t="s">
        <v>34</v>
      </c>
      <c r="E63" s="36">
        <v>1024</v>
      </c>
      <c r="F63" s="39">
        <v>0.228356</v>
      </c>
      <c r="G63" s="40">
        <v>6.9231899999999999E-2</v>
      </c>
    </row>
    <row r="64" spans="1:7" x14ac:dyDescent="0.3">
      <c r="A64" s="36" t="s">
        <v>57</v>
      </c>
      <c r="B64" s="47" t="s">
        <v>64</v>
      </c>
      <c r="C64" s="37">
        <v>46232</v>
      </c>
      <c r="D64" s="38" t="s">
        <v>21</v>
      </c>
      <c r="E64" s="36">
        <v>3094</v>
      </c>
      <c r="F64" s="39">
        <v>0.439106</v>
      </c>
      <c r="G64" s="40">
        <v>8.5488999999999996E-2</v>
      </c>
    </row>
    <row r="65" spans="1:7" x14ac:dyDescent="0.3">
      <c r="A65" s="36" t="s">
        <v>57</v>
      </c>
      <c r="B65" s="47" t="s">
        <v>64</v>
      </c>
      <c r="C65" s="37">
        <v>46232</v>
      </c>
      <c r="D65" s="38" t="s">
        <v>22</v>
      </c>
      <c r="E65" s="36">
        <v>2382</v>
      </c>
      <c r="F65" s="39">
        <v>0.50203399999999998</v>
      </c>
      <c r="G65" s="40">
        <v>0.136459</v>
      </c>
    </row>
    <row r="66" spans="1:7" x14ac:dyDescent="0.3">
      <c r="A66" s="36" t="s">
        <v>57</v>
      </c>
      <c r="B66" s="47" t="s">
        <v>64</v>
      </c>
      <c r="C66" s="37">
        <v>46232</v>
      </c>
      <c r="D66" s="38" t="s">
        <v>23</v>
      </c>
      <c r="E66" s="36">
        <v>1548</v>
      </c>
      <c r="F66" s="39">
        <v>0.40054099999999998</v>
      </c>
      <c r="G66" s="40">
        <v>0.13156499999999999</v>
      </c>
    </row>
    <row r="67" spans="1:7" x14ac:dyDescent="0.3">
      <c r="A67" s="36" t="s">
        <v>57</v>
      </c>
      <c r="B67" s="47" t="s">
        <v>64</v>
      </c>
      <c r="C67" s="37">
        <v>46232</v>
      </c>
      <c r="D67" s="38" t="s">
        <v>24</v>
      </c>
      <c r="E67" s="36">
        <v>2980</v>
      </c>
      <c r="F67" s="39">
        <v>0.20336000000000001</v>
      </c>
      <c r="G67" s="40">
        <v>6.2631199999999998E-2</v>
      </c>
    </row>
    <row r="68" spans="1:7" x14ac:dyDescent="0.3">
      <c r="A68" s="36" t="s">
        <v>57</v>
      </c>
      <c r="B68" s="47" t="s">
        <v>64</v>
      </c>
      <c r="C68" s="37">
        <v>46232</v>
      </c>
      <c r="D68" s="38" t="s">
        <v>25</v>
      </c>
      <c r="E68" s="36">
        <v>1004</v>
      </c>
      <c r="F68" s="39">
        <v>0.25667299999999998</v>
      </c>
      <c r="G68" s="40">
        <v>6.1802799999999998E-2</v>
      </c>
    </row>
    <row r="69" spans="1:7" x14ac:dyDescent="0.3">
      <c r="A69" s="36" t="s">
        <v>57</v>
      </c>
      <c r="B69" s="47" t="s">
        <v>64</v>
      </c>
      <c r="C69" s="37">
        <v>46232</v>
      </c>
      <c r="D69" s="38" t="s">
        <v>26</v>
      </c>
      <c r="E69" s="36">
        <v>2309</v>
      </c>
      <c r="F69" s="39">
        <v>0.18460799999999999</v>
      </c>
      <c r="G69" s="40">
        <v>5.9381200000000002E-2</v>
      </c>
    </row>
    <row r="70" spans="1:7" x14ac:dyDescent="0.3">
      <c r="A70" s="36" t="s">
        <v>57</v>
      </c>
      <c r="B70" s="47" t="s">
        <v>64</v>
      </c>
      <c r="C70" s="37">
        <v>46232</v>
      </c>
      <c r="D70" s="38" t="s">
        <v>27</v>
      </c>
      <c r="E70" s="36">
        <v>2107</v>
      </c>
      <c r="F70" s="39">
        <v>0.437442</v>
      </c>
      <c r="G70" s="40">
        <v>9.9357200000000007E-2</v>
      </c>
    </row>
    <row r="71" spans="1:7" x14ac:dyDescent="0.3">
      <c r="A71" s="36" t="s">
        <v>57</v>
      </c>
      <c r="B71" s="47" t="s">
        <v>64</v>
      </c>
      <c r="C71" s="37">
        <v>46232</v>
      </c>
      <c r="D71" s="38" t="s">
        <v>28</v>
      </c>
      <c r="E71" s="36">
        <v>1476</v>
      </c>
      <c r="F71" s="39">
        <v>0.355014</v>
      </c>
      <c r="G71" s="40">
        <v>7.9746600000000001E-2</v>
      </c>
    </row>
    <row r="72" spans="1:7" x14ac:dyDescent="0.3">
      <c r="A72" s="36" t="s">
        <v>57</v>
      </c>
      <c r="B72" s="47" t="s">
        <v>64</v>
      </c>
      <c r="C72" s="37">
        <v>46232</v>
      </c>
      <c r="D72" s="38" t="s">
        <v>29</v>
      </c>
      <c r="E72" s="36">
        <v>1689</v>
      </c>
      <c r="F72" s="39">
        <v>0.354182</v>
      </c>
      <c r="G72" s="40">
        <v>7.3407E-2</v>
      </c>
    </row>
    <row r="73" spans="1:7" x14ac:dyDescent="0.3">
      <c r="A73" s="36" t="s">
        <v>57</v>
      </c>
      <c r="B73" s="47" t="s">
        <v>64</v>
      </c>
      <c r="C73" s="37">
        <v>46232</v>
      </c>
      <c r="D73" s="38" t="s">
        <v>30</v>
      </c>
      <c r="E73" s="36">
        <v>2001</v>
      </c>
      <c r="F73" s="39">
        <v>0.53930999999999996</v>
      </c>
      <c r="G73" s="40">
        <v>0.10856499999999999</v>
      </c>
    </row>
    <row r="74" spans="1:7" x14ac:dyDescent="0.3">
      <c r="A74" s="36" t="s">
        <v>57</v>
      </c>
      <c r="B74" s="47" t="s">
        <v>64</v>
      </c>
      <c r="C74" s="37">
        <v>46233</v>
      </c>
      <c r="D74" s="38" t="s">
        <v>14</v>
      </c>
      <c r="E74" s="36">
        <v>2638</v>
      </c>
      <c r="F74" s="39">
        <v>0.21954399999999999</v>
      </c>
      <c r="G74" s="40">
        <v>6.17744E-2</v>
      </c>
    </row>
    <row r="75" spans="1:7" x14ac:dyDescent="0.3">
      <c r="A75" s="36" t="s">
        <v>57</v>
      </c>
      <c r="B75" s="47" t="s">
        <v>64</v>
      </c>
      <c r="C75" s="37">
        <v>46233</v>
      </c>
      <c r="D75" s="38" t="s">
        <v>15</v>
      </c>
      <c r="E75" s="36">
        <v>2543</v>
      </c>
      <c r="F75" s="39">
        <v>0.37991200000000003</v>
      </c>
      <c r="G75" s="40">
        <v>0.10016</v>
      </c>
    </row>
    <row r="76" spans="1:7" x14ac:dyDescent="0.3">
      <c r="A76" s="36" t="s">
        <v>57</v>
      </c>
      <c r="B76" s="47" t="s">
        <v>64</v>
      </c>
      <c r="C76" s="37">
        <v>46233</v>
      </c>
      <c r="D76" s="38" t="s">
        <v>16</v>
      </c>
      <c r="E76" s="36">
        <v>2200</v>
      </c>
      <c r="F76" s="39">
        <v>0.43276999999999999</v>
      </c>
      <c r="G76" s="40">
        <v>0.101578</v>
      </c>
    </row>
    <row r="77" spans="1:7" x14ac:dyDescent="0.3">
      <c r="A77" s="36" t="s">
        <v>57</v>
      </c>
      <c r="B77" s="47" t="s">
        <v>64</v>
      </c>
      <c r="C77" s="37">
        <v>46233</v>
      </c>
      <c r="D77" s="38" t="s">
        <v>17</v>
      </c>
      <c r="E77" s="36">
        <v>2099</v>
      </c>
      <c r="F77" s="39">
        <v>0.45406200000000002</v>
      </c>
      <c r="G77" s="40">
        <v>8.9885099999999996E-2</v>
      </c>
    </row>
    <row r="78" spans="1:7" x14ac:dyDescent="0.3">
      <c r="A78" s="36" t="s">
        <v>57</v>
      </c>
      <c r="B78" s="47" t="s">
        <v>64</v>
      </c>
      <c r="C78" s="37">
        <v>46233</v>
      </c>
      <c r="D78" s="38" t="s">
        <v>18</v>
      </c>
      <c r="E78" s="36">
        <v>2275</v>
      </c>
      <c r="F78" s="39">
        <v>0.258108</v>
      </c>
      <c r="G78" s="40">
        <v>6.1423999999999999E-2</v>
      </c>
    </row>
    <row r="79" spans="1:7" x14ac:dyDescent="0.3">
      <c r="A79" s="36" t="s">
        <v>57</v>
      </c>
      <c r="B79" s="47" t="s">
        <v>64</v>
      </c>
      <c r="C79" s="37">
        <v>46233</v>
      </c>
      <c r="D79" s="38" t="s">
        <v>19</v>
      </c>
      <c r="E79" s="36">
        <v>1741</v>
      </c>
      <c r="F79" s="39">
        <v>0.33665899999999999</v>
      </c>
      <c r="G79" s="40">
        <v>7.0834300000000003E-2</v>
      </c>
    </row>
    <row r="80" spans="1:7" x14ac:dyDescent="0.3">
      <c r="A80" s="36" t="s">
        <v>57</v>
      </c>
      <c r="B80" s="47" t="s">
        <v>64</v>
      </c>
      <c r="C80" s="37">
        <v>46233</v>
      </c>
      <c r="D80" s="38" t="s">
        <v>20</v>
      </c>
      <c r="E80" s="36">
        <v>1921</v>
      </c>
      <c r="F80" s="39">
        <v>0.380859</v>
      </c>
      <c r="G80" s="40">
        <v>7.9699599999999995E-2</v>
      </c>
    </row>
    <row r="81" spans="1:7" x14ac:dyDescent="0.3">
      <c r="A81" s="36" t="s">
        <v>57</v>
      </c>
      <c r="B81" s="47" t="s">
        <v>64</v>
      </c>
      <c r="C81" s="37">
        <v>46233</v>
      </c>
      <c r="D81" s="38" t="s">
        <v>34</v>
      </c>
      <c r="E81" s="36">
        <v>1045</v>
      </c>
      <c r="F81" s="39">
        <v>0.211755</v>
      </c>
      <c r="G81" s="40">
        <v>6.4197799999999999E-2</v>
      </c>
    </row>
    <row r="82" spans="1:7" x14ac:dyDescent="0.3">
      <c r="A82" s="36" t="s">
        <v>57</v>
      </c>
      <c r="B82" s="47" t="s">
        <v>64</v>
      </c>
      <c r="C82" s="37">
        <v>46233</v>
      </c>
      <c r="D82" s="38" t="s">
        <v>21</v>
      </c>
      <c r="E82" s="36">
        <v>2515</v>
      </c>
      <c r="F82" s="39">
        <v>0.42335200000000001</v>
      </c>
      <c r="G82" s="40">
        <v>8.2395399999999994E-2</v>
      </c>
    </row>
    <row r="83" spans="1:7" x14ac:dyDescent="0.3">
      <c r="A83" s="36" t="s">
        <v>57</v>
      </c>
      <c r="B83" s="47" t="s">
        <v>64</v>
      </c>
      <c r="C83" s="37">
        <v>46233</v>
      </c>
      <c r="D83" s="38" t="s">
        <v>22</v>
      </c>
      <c r="E83" s="36">
        <v>2236</v>
      </c>
      <c r="F83" s="39">
        <v>0.26177600000000001</v>
      </c>
      <c r="G83" s="40">
        <v>7.1129800000000007E-2</v>
      </c>
    </row>
    <row r="84" spans="1:7" x14ac:dyDescent="0.3">
      <c r="A84" s="36" t="s">
        <v>57</v>
      </c>
      <c r="B84" s="47" t="s">
        <v>64</v>
      </c>
      <c r="C84" s="37">
        <v>46233</v>
      </c>
      <c r="D84" s="38" t="s">
        <v>23</v>
      </c>
      <c r="E84" s="36">
        <v>1438</v>
      </c>
      <c r="F84" s="39">
        <v>0.37280799999999997</v>
      </c>
      <c r="G84" s="40">
        <v>0.12241299999999999</v>
      </c>
    </row>
    <row r="85" spans="1:7" x14ac:dyDescent="0.3">
      <c r="A85" s="36" t="s">
        <v>57</v>
      </c>
      <c r="B85" s="47" t="s">
        <v>64</v>
      </c>
      <c r="C85" s="37">
        <v>46233</v>
      </c>
      <c r="D85" s="38" t="s">
        <v>24</v>
      </c>
      <c r="E85" s="36">
        <v>2455</v>
      </c>
      <c r="F85" s="39">
        <v>0.27420699999999998</v>
      </c>
      <c r="G85" s="40">
        <v>8.4493100000000002E-2</v>
      </c>
    </row>
    <row r="86" spans="1:7" x14ac:dyDescent="0.3">
      <c r="A86" s="36" t="s">
        <v>57</v>
      </c>
      <c r="B86" s="47" t="s">
        <v>64</v>
      </c>
      <c r="C86" s="37">
        <v>46233</v>
      </c>
      <c r="D86" s="38" t="s">
        <v>25</v>
      </c>
      <c r="E86" s="36">
        <v>1004</v>
      </c>
      <c r="F86" s="39">
        <v>0.21171599999999999</v>
      </c>
      <c r="G86" s="40">
        <v>5.0948300000000002E-2</v>
      </c>
    </row>
    <row r="87" spans="1:7" x14ac:dyDescent="0.3">
      <c r="A87" s="36" t="s">
        <v>57</v>
      </c>
      <c r="B87" s="47" t="s">
        <v>64</v>
      </c>
      <c r="C87" s="37">
        <v>46233</v>
      </c>
      <c r="D87" s="38" t="s">
        <v>26</v>
      </c>
      <c r="E87" s="36">
        <v>1995</v>
      </c>
      <c r="F87" s="39">
        <v>0.23136799999999999</v>
      </c>
      <c r="G87" s="40">
        <v>7.4430300000000005E-2</v>
      </c>
    </row>
    <row r="88" spans="1:7" x14ac:dyDescent="0.3">
      <c r="A88" s="36" t="s">
        <v>57</v>
      </c>
      <c r="B88" s="47" t="s">
        <v>64</v>
      </c>
      <c r="C88" s="37">
        <v>46233</v>
      </c>
      <c r="D88" s="38" t="s">
        <v>27</v>
      </c>
      <c r="E88" s="36">
        <v>1717</v>
      </c>
      <c r="F88" s="39">
        <v>0.34229399999999999</v>
      </c>
      <c r="G88" s="40">
        <v>7.7721700000000005E-2</v>
      </c>
    </row>
    <row r="89" spans="1:7" x14ac:dyDescent="0.3">
      <c r="A89" s="36" t="s">
        <v>57</v>
      </c>
      <c r="B89" s="47" t="s">
        <v>64</v>
      </c>
      <c r="C89" s="37">
        <v>46233</v>
      </c>
      <c r="D89" s="38" t="s">
        <v>28</v>
      </c>
      <c r="E89" s="36">
        <v>1307</v>
      </c>
      <c r="F89" s="39">
        <v>0.328457</v>
      </c>
      <c r="G89" s="40">
        <v>7.3749300000000004E-2</v>
      </c>
    </row>
    <row r="90" spans="1:7" x14ac:dyDescent="0.3">
      <c r="A90" s="36" t="s">
        <v>57</v>
      </c>
      <c r="B90" s="47" t="s">
        <v>64</v>
      </c>
      <c r="C90" s="37">
        <v>46233</v>
      </c>
      <c r="D90" s="38" t="s">
        <v>29</v>
      </c>
      <c r="E90" s="36">
        <v>2040</v>
      </c>
      <c r="F90" s="39">
        <v>0.33388400000000001</v>
      </c>
      <c r="G90" s="40">
        <v>6.9205000000000003E-2</v>
      </c>
    </row>
    <row r="91" spans="1:7" x14ac:dyDescent="0.3">
      <c r="A91" s="36" t="s">
        <v>57</v>
      </c>
      <c r="B91" s="47" t="s">
        <v>64</v>
      </c>
      <c r="C91" s="37">
        <v>46233</v>
      </c>
      <c r="D91" s="38" t="s">
        <v>30</v>
      </c>
      <c r="E91" s="36">
        <v>1599</v>
      </c>
      <c r="F91" s="39">
        <v>0.44470500000000002</v>
      </c>
      <c r="G91" s="40">
        <v>8.9530799999999994E-2</v>
      </c>
    </row>
    <row r="92" spans="1:7" x14ac:dyDescent="0.3">
      <c r="A92" s="36" t="s">
        <v>58</v>
      </c>
      <c r="B92" s="47" t="s">
        <v>91</v>
      </c>
      <c r="C92" s="37">
        <v>46234</v>
      </c>
      <c r="D92" s="38" t="s">
        <v>14</v>
      </c>
      <c r="E92" s="36">
        <v>1541</v>
      </c>
      <c r="F92" s="39">
        <v>0.18859999999999999</v>
      </c>
      <c r="G92" s="40">
        <v>5.1705500000000001E-2</v>
      </c>
    </row>
    <row r="93" spans="1:7" x14ac:dyDescent="0.3">
      <c r="A93" s="36" t="s">
        <v>58</v>
      </c>
      <c r="B93" s="47" t="s">
        <v>91</v>
      </c>
      <c r="C93" s="37">
        <v>46234</v>
      </c>
      <c r="D93" s="38" t="s">
        <v>15</v>
      </c>
      <c r="E93" s="36">
        <v>1446</v>
      </c>
      <c r="F93" s="39">
        <v>0.37837399999999999</v>
      </c>
      <c r="G93" s="40">
        <v>9.5171599999999995E-2</v>
      </c>
    </row>
    <row r="94" spans="1:7" x14ac:dyDescent="0.3">
      <c r="A94" s="36" t="s">
        <v>58</v>
      </c>
      <c r="B94" s="47" t="s">
        <v>91</v>
      </c>
      <c r="C94" s="37">
        <v>46234</v>
      </c>
      <c r="D94" s="38" t="s">
        <v>16</v>
      </c>
      <c r="E94" s="36">
        <v>1243</v>
      </c>
      <c r="F94" s="39">
        <v>0.459372</v>
      </c>
      <c r="G94" s="40">
        <v>9.7981299999999993E-2</v>
      </c>
    </row>
    <row r="95" spans="1:7" x14ac:dyDescent="0.3">
      <c r="A95" s="36" t="s">
        <v>58</v>
      </c>
      <c r="B95" s="47" t="s">
        <v>91</v>
      </c>
      <c r="C95" s="37">
        <v>46234</v>
      </c>
      <c r="D95" s="38" t="s">
        <v>17</v>
      </c>
      <c r="E95" s="36">
        <v>1644</v>
      </c>
      <c r="F95" s="39">
        <v>0.409022</v>
      </c>
      <c r="G95" s="40">
        <v>8.4034999999999999E-2</v>
      </c>
    </row>
    <row r="96" spans="1:7" x14ac:dyDescent="0.3">
      <c r="A96" s="36" t="s">
        <v>58</v>
      </c>
      <c r="B96" s="47" t="s">
        <v>91</v>
      </c>
      <c r="C96" s="37">
        <v>46234</v>
      </c>
      <c r="D96" s="38" t="s">
        <v>18</v>
      </c>
      <c r="E96" s="36">
        <v>1405</v>
      </c>
      <c r="F96" s="39">
        <v>0.258108</v>
      </c>
      <c r="G96" s="40">
        <v>6.1423999999999999E-2</v>
      </c>
    </row>
    <row r="97" spans="1:7" x14ac:dyDescent="0.3">
      <c r="A97" s="36" t="s">
        <v>58</v>
      </c>
      <c r="B97" s="47" t="s">
        <v>91</v>
      </c>
      <c r="C97" s="37">
        <v>46234</v>
      </c>
      <c r="D97" s="38" t="s">
        <v>19</v>
      </c>
      <c r="E97" s="36">
        <v>1581</v>
      </c>
      <c r="F97" s="39">
        <v>0.44827699999999998</v>
      </c>
      <c r="G97" s="40">
        <v>8.4727499999999997E-2</v>
      </c>
    </row>
    <row r="98" spans="1:7" x14ac:dyDescent="0.3">
      <c r="A98" s="36" t="s">
        <v>58</v>
      </c>
      <c r="B98" s="47" t="s">
        <v>91</v>
      </c>
      <c r="C98" s="37">
        <v>46234</v>
      </c>
      <c r="D98" s="38" t="s">
        <v>20</v>
      </c>
      <c r="E98" s="36">
        <v>1629</v>
      </c>
      <c r="F98" s="39">
        <v>0.380859</v>
      </c>
      <c r="G98" s="40">
        <v>7.9699599999999995E-2</v>
      </c>
    </row>
    <row r="99" spans="1:7" x14ac:dyDescent="0.3">
      <c r="A99" s="36" t="s">
        <v>58</v>
      </c>
      <c r="B99" s="47" t="s">
        <v>91</v>
      </c>
      <c r="C99" s="37">
        <v>46234</v>
      </c>
      <c r="D99" s="38" t="s">
        <v>34</v>
      </c>
      <c r="E99" s="36">
        <v>1169</v>
      </c>
      <c r="F99" s="39">
        <v>0.179396</v>
      </c>
      <c r="G99" s="40">
        <v>4.7875099999999997E-2</v>
      </c>
    </row>
    <row r="100" spans="1:7" x14ac:dyDescent="0.3">
      <c r="A100" s="36" t="s">
        <v>58</v>
      </c>
      <c r="B100" s="47" t="s">
        <v>91</v>
      </c>
      <c r="C100" s="37">
        <v>46234</v>
      </c>
      <c r="D100" s="38" t="s">
        <v>21</v>
      </c>
      <c r="E100" s="36">
        <v>2986</v>
      </c>
      <c r="F100" s="39">
        <v>0.386212</v>
      </c>
      <c r="G100" s="40">
        <v>8.4019499999999997E-2</v>
      </c>
    </row>
    <row r="101" spans="1:7" x14ac:dyDescent="0.3">
      <c r="A101" s="36" t="s">
        <v>58</v>
      </c>
      <c r="B101" s="47" t="s">
        <v>91</v>
      </c>
      <c r="C101" s="37">
        <v>46234</v>
      </c>
      <c r="D101" s="38" t="s">
        <v>22</v>
      </c>
      <c r="E101" s="36">
        <v>2137</v>
      </c>
      <c r="F101" s="39">
        <v>0.32669700000000002</v>
      </c>
      <c r="G101" s="40">
        <v>8.8852399999999998E-2</v>
      </c>
    </row>
    <row r="102" spans="1:7" x14ac:dyDescent="0.3">
      <c r="A102" s="36" t="s">
        <v>58</v>
      </c>
      <c r="B102" s="47" t="s">
        <v>91</v>
      </c>
      <c r="C102" s="37">
        <v>46234</v>
      </c>
      <c r="D102" s="38" t="s">
        <v>23</v>
      </c>
      <c r="E102" s="36">
        <v>1151</v>
      </c>
      <c r="F102" s="39">
        <v>0.45461600000000002</v>
      </c>
      <c r="G102" s="40">
        <v>0.15438299999999999</v>
      </c>
    </row>
    <row r="103" spans="1:7" x14ac:dyDescent="0.3">
      <c r="A103" s="36" t="s">
        <v>58</v>
      </c>
      <c r="B103" s="47" t="s">
        <v>91</v>
      </c>
      <c r="C103" s="37">
        <v>46234</v>
      </c>
      <c r="D103" s="38" t="s">
        <v>24</v>
      </c>
      <c r="E103" s="36">
        <v>2704</v>
      </c>
      <c r="F103" s="39">
        <v>0.20849699999999999</v>
      </c>
      <c r="G103" s="40">
        <v>7.3032299999999994E-2</v>
      </c>
    </row>
    <row r="104" spans="1:7" ht="15.6" customHeight="1" x14ac:dyDescent="0.3">
      <c r="A104" s="36" t="s">
        <v>58</v>
      </c>
      <c r="B104" s="47" t="s">
        <v>91</v>
      </c>
      <c r="C104" s="37">
        <v>46234</v>
      </c>
      <c r="D104" s="38" t="s">
        <v>25</v>
      </c>
      <c r="E104" s="36">
        <v>1078</v>
      </c>
      <c r="F104" s="39">
        <v>0.28194599999999997</v>
      </c>
      <c r="G104" s="40">
        <v>7.7457600000000001E-2</v>
      </c>
    </row>
    <row r="105" spans="1:7" ht="15.6" customHeight="1" x14ac:dyDescent="0.3">
      <c r="A105" s="36" t="s">
        <v>58</v>
      </c>
      <c r="B105" s="47" t="s">
        <v>91</v>
      </c>
      <c r="C105" s="37">
        <v>46234</v>
      </c>
      <c r="D105" s="38" t="s">
        <v>26</v>
      </c>
      <c r="E105" s="36">
        <v>2003</v>
      </c>
      <c r="F105" s="39">
        <v>0.2571</v>
      </c>
      <c r="G105" s="40">
        <v>7.6537599999999997E-2</v>
      </c>
    </row>
    <row r="106" spans="1:7" x14ac:dyDescent="0.3">
      <c r="A106" s="36" t="s">
        <v>58</v>
      </c>
      <c r="B106" s="47" t="s">
        <v>91</v>
      </c>
      <c r="C106" s="37">
        <v>46234</v>
      </c>
      <c r="D106" s="38" t="s">
        <v>27</v>
      </c>
      <c r="E106" s="36">
        <v>1623</v>
      </c>
      <c r="F106" s="39">
        <v>0.29575499999999999</v>
      </c>
      <c r="G106" s="40">
        <v>7.5998399999999994E-2</v>
      </c>
    </row>
    <row r="107" spans="1:7" x14ac:dyDescent="0.3">
      <c r="A107" s="36" t="s">
        <v>58</v>
      </c>
      <c r="B107" s="47" t="s">
        <v>91</v>
      </c>
      <c r="C107" s="37">
        <v>46234</v>
      </c>
      <c r="D107" s="38" t="s">
        <v>28</v>
      </c>
      <c r="E107" s="36">
        <v>1004</v>
      </c>
      <c r="F107" s="39">
        <v>0.310892</v>
      </c>
      <c r="G107" s="40">
        <v>7.6906100000000005E-2</v>
      </c>
    </row>
    <row r="108" spans="1:7" x14ac:dyDescent="0.3">
      <c r="A108" s="36" t="s">
        <v>58</v>
      </c>
      <c r="B108" s="47" t="s">
        <v>91</v>
      </c>
      <c r="C108" s="37">
        <v>46234</v>
      </c>
      <c r="D108" s="38" t="s">
        <v>29</v>
      </c>
      <c r="E108" s="36">
        <v>1142</v>
      </c>
      <c r="F108" s="39">
        <v>0.43532500000000002</v>
      </c>
      <c r="G108" s="40">
        <v>8.5073599999999999E-2</v>
      </c>
    </row>
    <row r="109" spans="1:7" x14ac:dyDescent="0.3">
      <c r="A109" s="36" t="s">
        <v>58</v>
      </c>
      <c r="B109" s="47" t="s">
        <v>91</v>
      </c>
      <c r="C109" s="37">
        <v>46234</v>
      </c>
      <c r="D109" s="38" t="s">
        <v>30</v>
      </c>
      <c r="E109" s="36">
        <v>1237</v>
      </c>
      <c r="F109" s="39">
        <v>0.46051599999999998</v>
      </c>
      <c r="G109" s="40">
        <v>9.7773799999999994E-2</v>
      </c>
    </row>
    <row r="110" spans="1:7" x14ac:dyDescent="0.3">
      <c r="A110" s="36" t="s">
        <v>58</v>
      </c>
      <c r="B110" s="47" t="s">
        <v>92</v>
      </c>
      <c r="C110" s="37">
        <v>46234</v>
      </c>
      <c r="D110" s="38" t="s">
        <v>14</v>
      </c>
      <c r="E110" s="36">
        <v>2967</v>
      </c>
      <c r="F110" s="39">
        <v>0.37851400000000002</v>
      </c>
      <c r="G110" s="40">
        <v>0.107513</v>
      </c>
    </row>
    <row r="111" spans="1:7" x14ac:dyDescent="0.3">
      <c r="A111" s="36" t="s">
        <v>58</v>
      </c>
      <c r="B111" s="47" t="s">
        <v>92</v>
      </c>
      <c r="C111" s="37">
        <v>46234</v>
      </c>
      <c r="D111" s="38" t="s">
        <v>15</v>
      </c>
      <c r="E111" s="36">
        <v>3153</v>
      </c>
      <c r="F111" s="39">
        <v>0.38189000000000001</v>
      </c>
      <c r="G111" s="40">
        <v>9.9818900000000002E-2</v>
      </c>
    </row>
    <row r="112" spans="1:7" x14ac:dyDescent="0.3">
      <c r="A112" s="36" t="s">
        <v>58</v>
      </c>
      <c r="B112" s="47" t="s">
        <v>92</v>
      </c>
      <c r="C112" s="37">
        <v>46234</v>
      </c>
      <c r="D112" s="38" t="s">
        <v>16</v>
      </c>
      <c r="E112" s="36">
        <v>2357</v>
      </c>
      <c r="F112" s="39">
        <v>0.44205800000000001</v>
      </c>
      <c r="G112" s="40">
        <v>9.9856100000000003E-2</v>
      </c>
    </row>
    <row r="113" spans="1:7" x14ac:dyDescent="0.3">
      <c r="A113" s="36" t="s">
        <v>58</v>
      </c>
      <c r="B113" s="47" t="s">
        <v>92</v>
      </c>
      <c r="C113" s="37">
        <v>46234</v>
      </c>
      <c r="D113" s="38" t="s">
        <v>17</v>
      </c>
      <c r="E113" s="36">
        <v>1635</v>
      </c>
      <c r="F113" s="39">
        <v>0.44906299999999999</v>
      </c>
      <c r="G113" s="40">
        <v>8.9386699999999999E-2</v>
      </c>
    </row>
    <row r="114" spans="1:7" x14ac:dyDescent="0.3">
      <c r="A114" s="36" t="s">
        <v>58</v>
      </c>
      <c r="B114" s="47" t="s">
        <v>92</v>
      </c>
      <c r="C114" s="37">
        <v>46234</v>
      </c>
      <c r="D114" s="38" t="s">
        <v>18</v>
      </c>
      <c r="E114" s="36">
        <v>2767</v>
      </c>
      <c r="F114" s="39">
        <v>0.29396899999999998</v>
      </c>
      <c r="G114" s="40">
        <v>6.61577E-2</v>
      </c>
    </row>
    <row r="115" spans="1:7" x14ac:dyDescent="0.3">
      <c r="A115" s="36" t="s">
        <v>58</v>
      </c>
      <c r="B115" s="47" t="s">
        <v>92</v>
      </c>
      <c r="C115" s="37">
        <v>46234</v>
      </c>
      <c r="D115" s="38" t="s">
        <v>19</v>
      </c>
      <c r="E115" s="36">
        <v>2209</v>
      </c>
      <c r="F115" s="39">
        <v>0.36777599999999999</v>
      </c>
      <c r="G115" s="40">
        <v>7.3182899999999995E-2</v>
      </c>
    </row>
    <row r="116" spans="1:7" x14ac:dyDescent="0.3">
      <c r="A116" s="36" t="s">
        <v>58</v>
      </c>
      <c r="B116" s="47" t="s">
        <v>92</v>
      </c>
      <c r="C116" s="37">
        <v>46234</v>
      </c>
      <c r="D116" s="38" t="s">
        <v>20</v>
      </c>
      <c r="E116" s="36">
        <v>2074</v>
      </c>
      <c r="F116" s="39">
        <v>0.380859</v>
      </c>
      <c r="G116" s="40">
        <v>7.9699599999999995E-2</v>
      </c>
    </row>
    <row r="117" spans="1:7" x14ac:dyDescent="0.3">
      <c r="A117" s="36" t="s">
        <v>58</v>
      </c>
      <c r="B117" s="47" t="s">
        <v>92</v>
      </c>
      <c r="C117" s="37">
        <v>46234</v>
      </c>
      <c r="D117" s="38" t="s">
        <v>34</v>
      </c>
      <c r="E117" s="36">
        <v>1315</v>
      </c>
      <c r="F117" s="39">
        <v>0.18341299999999999</v>
      </c>
      <c r="G117" s="40">
        <v>5.1520099999999999E-2</v>
      </c>
    </row>
    <row r="118" spans="1:7" x14ac:dyDescent="0.3">
      <c r="A118" s="36" t="s">
        <v>58</v>
      </c>
      <c r="B118" s="47" t="s">
        <v>92</v>
      </c>
      <c r="C118" s="37">
        <v>46234</v>
      </c>
      <c r="D118" s="38" t="s">
        <v>21</v>
      </c>
      <c r="E118" s="36">
        <v>2535</v>
      </c>
      <c r="F118" s="39">
        <v>0.38918999999999998</v>
      </c>
      <c r="G118" s="40">
        <v>8.0030699999999996E-2</v>
      </c>
    </row>
    <row r="119" spans="1:7" x14ac:dyDescent="0.3">
      <c r="A119" s="36" t="s">
        <v>58</v>
      </c>
      <c r="B119" s="47" t="s">
        <v>92</v>
      </c>
      <c r="C119" s="37">
        <v>46234</v>
      </c>
      <c r="D119" s="38" t="s">
        <v>22</v>
      </c>
      <c r="E119" s="36">
        <v>1694</v>
      </c>
      <c r="F119" s="39">
        <v>0.37492999999999999</v>
      </c>
      <c r="G119" s="40">
        <v>0.100217</v>
      </c>
    </row>
    <row r="120" spans="1:7" x14ac:dyDescent="0.3">
      <c r="A120" s="36" t="s">
        <v>58</v>
      </c>
      <c r="B120" s="47" t="s">
        <v>92</v>
      </c>
      <c r="C120" s="37">
        <v>46234</v>
      </c>
      <c r="D120" s="38" t="s">
        <v>23</v>
      </c>
      <c r="E120" s="36">
        <v>1603</v>
      </c>
      <c r="F120" s="39">
        <v>0.31156699999999998</v>
      </c>
      <c r="G120" s="40">
        <v>0.10693999999999999</v>
      </c>
    </row>
    <row r="121" spans="1:7" x14ac:dyDescent="0.3">
      <c r="A121" s="36" t="s">
        <v>58</v>
      </c>
      <c r="B121" s="47" t="s">
        <v>92</v>
      </c>
      <c r="C121" s="37">
        <v>46234</v>
      </c>
      <c r="D121" s="38" t="s">
        <v>24</v>
      </c>
      <c r="E121" s="36">
        <v>2651</v>
      </c>
      <c r="F121" s="39">
        <v>0.230654</v>
      </c>
      <c r="G121" s="40">
        <v>7.7063900000000005E-2</v>
      </c>
    </row>
    <row r="122" spans="1:7" x14ac:dyDescent="0.3">
      <c r="A122" s="36" t="s">
        <v>58</v>
      </c>
      <c r="B122" s="47" t="s">
        <v>92</v>
      </c>
      <c r="C122" s="37">
        <v>46234</v>
      </c>
      <c r="D122" s="38" t="s">
        <v>25</v>
      </c>
      <c r="E122" s="36">
        <v>1114</v>
      </c>
      <c r="F122" s="39">
        <v>0.27549600000000002</v>
      </c>
      <c r="G122" s="40">
        <v>7.1046899999999996E-2</v>
      </c>
    </row>
    <row r="123" spans="1:7" x14ac:dyDescent="0.3">
      <c r="A123" s="36" t="s">
        <v>58</v>
      </c>
      <c r="B123" s="47" t="s">
        <v>92</v>
      </c>
      <c r="C123" s="37">
        <v>46234</v>
      </c>
      <c r="D123" s="38" t="s">
        <v>26</v>
      </c>
      <c r="E123" s="36">
        <v>1709</v>
      </c>
      <c r="F123" s="39">
        <v>0.180475</v>
      </c>
      <c r="G123" s="40">
        <v>5.4836299999999998E-2</v>
      </c>
    </row>
    <row r="124" spans="1:7" x14ac:dyDescent="0.3">
      <c r="A124" s="36" t="s">
        <v>58</v>
      </c>
      <c r="B124" s="47" t="s">
        <v>92</v>
      </c>
      <c r="C124" s="37">
        <v>46234</v>
      </c>
      <c r="D124" s="38" t="s">
        <v>27</v>
      </c>
      <c r="E124" s="36">
        <v>1262</v>
      </c>
      <c r="F124" s="39">
        <v>0.42054999999999998</v>
      </c>
      <c r="G124" s="40">
        <v>0.10097399999999999</v>
      </c>
    </row>
    <row r="125" spans="1:7" x14ac:dyDescent="0.3">
      <c r="A125" s="36" t="s">
        <v>58</v>
      </c>
      <c r="B125" s="47" t="s">
        <v>92</v>
      </c>
      <c r="C125" s="37">
        <v>46234</v>
      </c>
      <c r="D125" s="38" t="s">
        <v>28</v>
      </c>
      <c r="E125" s="36">
        <v>1001</v>
      </c>
      <c r="F125" s="39">
        <v>0.40851799999999999</v>
      </c>
      <c r="G125" s="40">
        <v>9.5214099999999996E-2</v>
      </c>
    </row>
    <row r="126" spans="1:7" x14ac:dyDescent="0.3">
      <c r="A126" s="36" t="s">
        <v>58</v>
      </c>
      <c r="B126" s="47" t="s">
        <v>92</v>
      </c>
      <c r="C126" s="37">
        <v>46234</v>
      </c>
      <c r="D126" s="38" t="s">
        <v>29</v>
      </c>
      <c r="E126" s="36">
        <v>2829</v>
      </c>
      <c r="F126" s="39">
        <v>0.40667599999999998</v>
      </c>
      <c r="G126" s="40">
        <v>8.2854800000000006E-2</v>
      </c>
    </row>
    <row r="127" spans="1:7" x14ac:dyDescent="0.3">
      <c r="A127" s="36" t="s">
        <v>58</v>
      </c>
      <c r="B127" s="47" t="s">
        <v>92</v>
      </c>
      <c r="C127" s="37">
        <v>46234</v>
      </c>
      <c r="D127" s="38" t="s">
        <v>30</v>
      </c>
      <c r="E127" s="36">
        <v>1504</v>
      </c>
      <c r="F127" s="39">
        <v>0.495338</v>
      </c>
      <c r="G127" s="40">
        <v>0.101115</v>
      </c>
    </row>
    <row r="128" spans="1:7" x14ac:dyDescent="0.3">
      <c r="A128" s="36" t="s">
        <v>57</v>
      </c>
      <c r="B128" s="47" t="s">
        <v>64</v>
      </c>
      <c r="C128" s="37">
        <v>46234</v>
      </c>
      <c r="D128" s="38" t="s">
        <v>14</v>
      </c>
      <c r="E128" s="36">
        <v>3975</v>
      </c>
      <c r="F128" s="39">
        <v>0.52360899999999999</v>
      </c>
      <c r="G128" s="40">
        <v>0.147318</v>
      </c>
    </row>
    <row r="129" spans="1:7" x14ac:dyDescent="0.3">
      <c r="A129" s="36" t="s">
        <v>57</v>
      </c>
      <c r="B129" s="47" t="s">
        <v>64</v>
      </c>
      <c r="C129" s="37">
        <v>46234</v>
      </c>
      <c r="D129" s="38" t="s">
        <v>15</v>
      </c>
      <c r="E129" s="36">
        <v>3665</v>
      </c>
      <c r="F129" s="39">
        <v>0.45449699999999998</v>
      </c>
      <c r="G129" s="40">
        <v>0.119767</v>
      </c>
    </row>
    <row r="130" spans="1:7" x14ac:dyDescent="0.3">
      <c r="A130" s="36" t="s">
        <v>57</v>
      </c>
      <c r="B130" s="47" t="s">
        <v>64</v>
      </c>
      <c r="C130" s="37">
        <v>46234</v>
      </c>
      <c r="D130" s="38" t="s">
        <v>16</v>
      </c>
      <c r="E130" s="36">
        <v>2763</v>
      </c>
      <c r="F130" s="39">
        <v>0.40343299999999999</v>
      </c>
      <c r="G130" s="40">
        <v>9.4635200000000003E-2</v>
      </c>
    </row>
    <row r="131" spans="1:7" x14ac:dyDescent="0.3">
      <c r="A131" s="36" t="s">
        <v>57</v>
      </c>
      <c r="B131" s="47" t="s">
        <v>64</v>
      </c>
      <c r="C131" s="37">
        <v>46234</v>
      </c>
      <c r="D131" s="38" t="s">
        <v>17</v>
      </c>
      <c r="E131" s="36">
        <v>2377</v>
      </c>
      <c r="F131" s="39">
        <v>0.53664000000000001</v>
      </c>
      <c r="G131" s="40">
        <v>0.106142</v>
      </c>
    </row>
    <row r="132" spans="1:7" x14ac:dyDescent="0.3">
      <c r="A132" s="36" t="s">
        <v>57</v>
      </c>
      <c r="B132" s="47" t="s">
        <v>64</v>
      </c>
      <c r="C132" s="37">
        <v>46234</v>
      </c>
      <c r="D132" s="38" t="s">
        <v>18</v>
      </c>
      <c r="E132" s="36">
        <v>3135</v>
      </c>
      <c r="F132" s="39">
        <v>0.218719</v>
      </c>
      <c r="G132" s="40">
        <v>5.20276E-2</v>
      </c>
    </row>
    <row r="133" spans="1:7" x14ac:dyDescent="0.3">
      <c r="A133" s="36" t="s">
        <v>57</v>
      </c>
      <c r="B133" s="47" t="s">
        <v>64</v>
      </c>
      <c r="C133" s="37">
        <v>46234</v>
      </c>
      <c r="D133" s="38" t="s">
        <v>19</v>
      </c>
      <c r="E133" s="36">
        <v>2511</v>
      </c>
      <c r="F133" s="39">
        <v>0.355244</v>
      </c>
      <c r="G133" s="40">
        <v>7.4700000000000003E-2</v>
      </c>
    </row>
    <row r="134" spans="1:7" x14ac:dyDescent="0.3">
      <c r="A134" s="36" t="s">
        <v>57</v>
      </c>
      <c r="B134" s="47" t="s">
        <v>64</v>
      </c>
      <c r="C134" s="37">
        <v>46234</v>
      </c>
      <c r="D134" s="38" t="s">
        <v>20</v>
      </c>
      <c r="E134" s="36">
        <v>2587</v>
      </c>
      <c r="F134" s="39">
        <v>0.37267099999999997</v>
      </c>
      <c r="G134" s="40">
        <v>7.7942899999999996E-2</v>
      </c>
    </row>
    <row r="135" spans="1:7" x14ac:dyDescent="0.3">
      <c r="A135" s="36" t="s">
        <v>57</v>
      </c>
      <c r="B135" s="47" t="s">
        <v>64</v>
      </c>
      <c r="C135" s="37">
        <v>46234</v>
      </c>
      <c r="D135" s="38" t="s">
        <v>34</v>
      </c>
      <c r="E135" s="36">
        <v>1502</v>
      </c>
      <c r="F135" s="39">
        <v>0.264567</v>
      </c>
      <c r="G135" s="40">
        <v>8.0192100000000002E-2</v>
      </c>
    </row>
    <row r="136" spans="1:7" x14ac:dyDescent="0.3">
      <c r="A136" s="36" t="s">
        <v>57</v>
      </c>
      <c r="B136" s="47" t="s">
        <v>64</v>
      </c>
      <c r="C136" s="37">
        <v>46234</v>
      </c>
      <c r="D136" s="38" t="s">
        <v>21</v>
      </c>
      <c r="E136" s="36">
        <v>3787</v>
      </c>
      <c r="F136" s="39">
        <v>0.47795700000000002</v>
      </c>
      <c r="G136" s="40">
        <v>9.3003100000000005E-2</v>
      </c>
    </row>
    <row r="137" spans="1:7" x14ac:dyDescent="0.3">
      <c r="A137" s="36" t="s">
        <v>57</v>
      </c>
      <c r="B137" s="47" t="s">
        <v>64</v>
      </c>
      <c r="C137" s="37">
        <v>46234</v>
      </c>
      <c r="D137" s="38" t="s">
        <v>22</v>
      </c>
      <c r="E137" s="36">
        <v>2437</v>
      </c>
      <c r="F137" s="39">
        <v>0.51614400000000005</v>
      </c>
      <c r="G137" s="40">
        <v>0.14021400000000001</v>
      </c>
    </row>
    <row r="138" spans="1:7" x14ac:dyDescent="0.3">
      <c r="A138" s="36" t="s">
        <v>57</v>
      </c>
      <c r="B138" s="47" t="s">
        <v>64</v>
      </c>
      <c r="C138" s="37">
        <v>46234</v>
      </c>
      <c r="D138" s="38" t="s">
        <v>23</v>
      </c>
      <c r="E138" s="36">
        <v>2126</v>
      </c>
      <c r="F138" s="39">
        <v>0.61609199999999997</v>
      </c>
      <c r="G138" s="40">
        <v>0.202345</v>
      </c>
    </row>
    <row r="139" spans="1:7" x14ac:dyDescent="0.3">
      <c r="A139" s="36" t="s">
        <v>57</v>
      </c>
      <c r="B139" s="47" t="s">
        <v>64</v>
      </c>
      <c r="C139" s="37">
        <v>46234</v>
      </c>
      <c r="D139" s="38" t="s">
        <v>24</v>
      </c>
      <c r="E139" s="36">
        <v>4033</v>
      </c>
      <c r="F139" s="39">
        <v>0.26639000000000002</v>
      </c>
      <c r="G139" s="40">
        <v>8.19878E-2</v>
      </c>
    </row>
    <row r="140" spans="1:7" x14ac:dyDescent="0.3">
      <c r="A140" s="36" t="s">
        <v>57</v>
      </c>
      <c r="B140" s="47" t="s">
        <v>64</v>
      </c>
      <c r="C140" s="37">
        <v>46234</v>
      </c>
      <c r="D140" s="38" t="s">
        <v>25</v>
      </c>
      <c r="E140" s="36">
        <v>1548</v>
      </c>
      <c r="F140" s="39">
        <v>0.24405299999999999</v>
      </c>
      <c r="G140" s="40">
        <v>5.8651200000000001E-2</v>
      </c>
    </row>
    <row r="141" spans="1:7" x14ac:dyDescent="0.3">
      <c r="A141" s="36" t="s">
        <v>57</v>
      </c>
      <c r="B141" s="47" t="s">
        <v>64</v>
      </c>
      <c r="C141" s="37">
        <v>46234</v>
      </c>
      <c r="D141" s="38" t="s">
        <v>26</v>
      </c>
      <c r="E141" s="36">
        <v>2915</v>
      </c>
      <c r="F141" s="39">
        <v>0.163774</v>
      </c>
      <c r="G141" s="40">
        <v>5.2653600000000002E-2</v>
      </c>
    </row>
    <row r="142" spans="1:7" x14ac:dyDescent="0.3">
      <c r="A142" s="36" t="s">
        <v>57</v>
      </c>
      <c r="B142" s="47" t="s">
        <v>64</v>
      </c>
      <c r="C142" s="37">
        <v>46234</v>
      </c>
      <c r="D142" s="38" t="s">
        <v>27</v>
      </c>
      <c r="E142" s="36">
        <v>2017</v>
      </c>
      <c r="F142" s="39">
        <v>0.41799900000000001</v>
      </c>
      <c r="G142" s="40">
        <v>9.4883999999999996E-2</v>
      </c>
    </row>
    <row r="143" spans="1:7" x14ac:dyDescent="0.3">
      <c r="A143" s="36" t="s">
        <v>57</v>
      </c>
      <c r="B143" s="47" t="s">
        <v>64</v>
      </c>
      <c r="C143" s="37">
        <v>46234</v>
      </c>
      <c r="D143" s="38" t="s">
        <v>28</v>
      </c>
      <c r="E143" s="36">
        <v>1610</v>
      </c>
      <c r="F143" s="39">
        <v>0.32311099999999998</v>
      </c>
      <c r="G143" s="40">
        <v>7.2502700000000003E-2</v>
      </c>
    </row>
    <row r="144" spans="1:7" x14ac:dyDescent="0.3">
      <c r="A144" s="36" t="s">
        <v>57</v>
      </c>
      <c r="B144" s="47" t="s">
        <v>64</v>
      </c>
      <c r="C144" s="37">
        <v>46234</v>
      </c>
      <c r="D144" s="38" t="s">
        <v>29</v>
      </c>
      <c r="E144" s="36">
        <v>2718</v>
      </c>
      <c r="F144" s="39">
        <v>0.375027</v>
      </c>
      <c r="G144" s="40">
        <v>7.7646499999999993E-2</v>
      </c>
    </row>
    <row r="145" spans="1:7" x14ac:dyDescent="0.3">
      <c r="A145" s="36" t="s">
        <v>57</v>
      </c>
      <c r="B145" s="47" t="s">
        <v>64</v>
      </c>
      <c r="C145" s="37">
        <v>46234</v>
      </c>
      <c r="D145" s="38" t="s">
        <v>30</v>
      </c>
      <c r="E145" s="36">
        <v>2001</v>
      </c>
      <c r="F145" s="39">
        <v>0.52081699999999997</v>
      </c>
      <c r="G145" s="40">
        <v>0.104738</v>
      </c>
    </row>
    <row r="146" spans="1:7" x14ac:dyDescent="0.3">
      <c r="A146" s="36" t="s">
        <v>57</v>
      </c>
      <c r="B146" s="47" t="s">
        <v>64</v>
      </c>
      <c r="C146" s="37">
        <v>46235</v>
      </c>
      <c r="D146" s="38" t="s">
        <v>14</v>
      </c>
      <c r="E146" s="36">
        <v>3111</v>
      </c>
      <c r="F146" s="39">
        <v>0.38656600000000002</v>
      </c>
      <c r="G146" s="40">
        <v>0.10890900000000001</v>
      </c>
    </row>
    <row r="147" spans="1:7" x14ac:dyDescent="0.3">
      <c r="A147" s="36" t="s">
        <v>57</v>
      </c>
      <c r="B147" s="47" t="s">
        <v>64</v>
      </c>
      <c r="C147" s="37">
        <v>46235</v>
      </c>
      <c r="D147" s="38" t="s">
        <v>15</v>
      </c>
      <c r="E147" s="36">
        <v>2814</v>
      </c>
      <c r="F147" s="39">
        <v>0.48407099999999997</v>
      </c>
      <c r="G147" s="40">
        <v>0.127695</v>
      </c>
    </row>
    <row r="148" spans="1:7" x14ac:dyDescent="0.3">
      <c r="A148" s="36" t="s">
        <v>57</v>
      </c>
      <c r="B148" s="47" t="s">
        <v>64</v>
      </c>
      <c r="C148" s="37">
        <v>46235</v>
      </c>
      <c r="D148" s="38" t="s">
        <v>16</v>
      </c>
      <c r="E148" s="36">
        <v>2201</v>
      </c>
      <c r="F148" s="39">
        <v>0.54380600000000001</v>
      </c>
      <c r="G148" s="40">
        <v>0.12779199999999999</v>
      </c>
    </row>
    <row r="149" spans="1:7" x14ac:dyDescent="0.3">
      <c r="A149" s="36" t="s">
        <v>57</v>
      </c>
      <c r="B149" s="47" t="s">
        <v>64</v>
      </c>
      <c r="C149" s="37">
        <v>46235</v>
      </c>
      <c r="D149" s="38" t="s">
        <v>17</v>
      </c>
      <c r="E149" s="36">
        <v>2352</v>
      </c>
      <c r="F149" s="39">
        <v>0.47246100000000002</v>
      </c>
      <c r="G149" s="40">
        <v>9.3412599999999998E-2</v>
      </c>
    </row>
    <row r="150" spans="1:7" x14ac:dyDescent="0.3">
      <c r="A150" s="36" t="s">
        <v>57</v>
      </c>
      <c r="B150" s="47" t="s">
        <v>64</v>
      </c>
      <c r="C150" s="37">
        <v>46235</v>
      </c>
      <c r="D150" s="38" t="s">
        <v>18</v>
      </c>
      <c r="E150" s="36">
        <v>2814</v>
      </c>
      <c r="F150" s="39">
        <v>0.38531199999999999</v>
      </c>
      <c r="G150" s="40">
        <v>9.1877600000000004E-2</v>
      </c>
    </row>
    <row r="151" spans="1:7" x14ac:dyDescent="0.3">
      <c r="A151" s="36" t="s">
        <v>57</v>
      </c>
      <c r="B151" s="47" t="s">
        <v>64</v>
      </c>
      <c r="C151" s="37">
        <v>46235</v>
      </c>
      <c r="D151" s="38" t="s">
        <v>19</v>
      </c>
      <c r="E151" s="36">
        <v>2708</v>
      </c>
      <c r="F151" s="39">
        <v>1.47159</v>
      </c>
      <c r="G151" s="40">
        <v>0.31046400000000002</v>
      </c>
    </row>
    <row r="152" spans="1:7" x14ac:dyDescent="0.3">
      <c r="A152" s="36" t="s">
        <v>57</v>
      </c>
      <c r="B152" s="47" t="s">
        <v>64</v>
      </c>
      <c r="C152" s="37">
        <v>46235</v>
      </c>
      <c r="D152" s="38" t="s">
        <v>20</v>
      </c>
      <c r="E152" s="36">
        <v>2700</v>
      </c>
      <c r="F152" s="39">
        <v>0.81003099999999995</v>
      </c>
      <c r="G152" s="40">
        <v>0.169795</v>
      </c>
    </row>
    <row r="153" spans="1:7" x14ac:dyDescent="0.3">
      <c r="A153" s="36" t="s">
        <v>57</v>
      </c>
      <c r="B153" s="47" t="s">
        <v>64</v>
      </c>
      <c r="C153" s="37">
        <v>46235</v>
      </c>
      <c r="D153" s="38" t="s">
        <v>34</v>
      </c>
      <c r="E153" s="36">
        <v>1503</v>
      </c>
      <c r="F153" s="39">
        <v>0.204627</v>
      </c>
      <c r="G153" s="40">
        <v>6.2046299999999999E-2</v>
      </c>
    </row>
    <row r="154" spans="1:7" x14ac:dyDescent="0.3">
      <c r="A154" s="36" t="s">
        <v>57</v>
      </c>
      <c r="B154" s="47" t="s">
        <v>64</v>
      </c>
      <c r="C154" s="37">
        <v>46235</v>
      </c>
      <c r="D154" s="38" t="s">
        <v>21</v>
      </c>
      <c r="E154" s="36">
        <v>3742</v>
      </c>
      <c r="F154" s="39">
        <v>1.2650600000000001</v>
      </c>
      <c r="G154" s="40">
        <v>0.246172</v>
      </c>
    </row>
    <row r="155" spans="1:7" x14ac:dyDescent="0.3">
      <c r="A155" s="36" t="s">
        <v>57</v>
      </c>
      <c r="B155" s="47" t="s">
        <v>64</v>
      </c>
      <c r="C155" s="37">
        <v>46235</v>
      </c>
      <c r="D155" s="38" t="s">
        <v>22</v>
      </c>
      <c r="E155" s="36">
        <v>2339</v>
      </c>
      <c r="F155" s="39">
        <v>0.37946099999999999</v>
      </c>
      <c r="G155" s="40">
        <v>0.10304000000000001</v>
      </c>
    </row>
    <row r="156" spans="1:7" x14ac:dyDescent="0.3">
      <c r="A156" s="36" t="s">
        <v>57</v>
      </c>
      <c r="B156" s="47" t="s">
        <v>64</v>
      </c>
      <c r="C156" s="37">
        <v>46235</v>
      </c>
      <c r="D156" s="38" t="s">
        <v>23</v>
      </c>
      <c r="E156" s="36">
        <v>1576</v>
      </c>
      <c r="F156" s="39">
        <v>0.21701799999999999</v>
      </c>
      <c r="G156" s="40">
        <v>7.1269700000000005E-2</v>
      </c>
    </row>
    <row r="157" spans="1:7" x14ac:dyDescent="0.3">
      <c r="A157" s="36" t="s">
        <v>57</v>
      </c>
      <c r="B157" s="47" t="s">
        <v>64</v>
      </c>
      <c r="C157" s="37">
        <v>46235</v>
      </c>
      <c r="D157" s="38" t="s">
        <v>24</v>
      </c>
      <c r="E157" s="36">
        <v>2915</v>
      </c>
      <c r="F157" s="39">
        <v>0.22855900000000001</v>
      </c>
      <c r="G157" s="40">
        <v>7.0344799999999999E-2</v>
      </c>
    </row>
    <row r="158" spans="1:7" x14ac:dyDescent="0.3">
      <c r="A158" s="36" t="s">
        <v>57</v>
      </c>
      <c r="B158" s="47" t="s">
        <v>64</v>
      </c>
      <c r="C158" s="37">
        <v>46235</v>
      </c>
      <c r="D158" s="38" t="s">
        <v>25</v>
      </c>
      <c r="E158" s="36">
        <v>1546</v>
      </c>
      <c r="F158" s="39">
        <v>0.228106</v>
      </c>
      <c r="G158" s="40">
        <v>5.4853300000000001E-2</v>
      </c>
    </row>
    <row r="159" spans="1:7" x14ac:dyDescent="0.3">
      <c r="A159" s="36" t="s">
        <v>57</v>
      </c>
      <c r="B159" s="47" t="s">
        <v>64</v>
      </c>
      <c r="C159" s="37">
        <v>46235</v>
      </c>
      <c r="D159" s="38" t="s">
        <v>26</v>
      </c>
      <c r="E159" s="36">
        <v>2440</v>
      </c>
      <c r="F159" s="39">
        <v>0.24538699999999999</v>
      </c>
      <c r="G159" s="40">
        <v>7.8953300000000004E-2</v>
      </c>
    </row>
    <row r="160" spans="1:7" x14ac:dyDescent="0.3">
      <c r="A160" s="36" t="s">
        <v>57</v>
      </c>
      <c r="B160" s="47" t="s">
        <v>64</v>
      </c>
      <c r="C160" s="37">
        <v>46235</v>
      </c>
      <c r="D160" s="38" t="s">
        <v>27</v>
      </c>
      <c r="E160" s="36">
        <v>1812</v>
      </c>
      <c r="F160" s="39">
        <v>0.716615</v>
      </c>
      <c r="G160" s="40">
        <v>0.16242100000000001</v>
      </c>
    </row>
    <row r="161" spans="1:7" x14ac:dyDescent="0.3">
      <c r="A161" s="36" t="s">
        <v>57</v>
      </c>
      <c r="B161" s="47" t="s">
        <v>64</v>
      </c>
      <c r="C161" s="37">
        <v>46235</v>
      </c>
      <c r="D161" s="38" t="s">
        <v>28</v>
      </c>
      <c r="E161" s="36">
        <v>1530</v>
      </c>
      <c r="F161" s="39">
        <v>0.38388800000000001</v>
      </c>
      <c r="G161" s="40">
        <v>8.6132899999999998E-2</v>
      </c>
    </row>
    <row r="162" spans="1:7" x14ac:dyDescent="0.3">
      <c r="A162" s="36" t="s">
        <v>57</v>
      </c>
      <c r="B162" s="47" t="s">
        <v>64</v>
      </c>
      <c r="C162" s="37">
        <v>46235</v>
      </c>
      <c r="D162" s="38" t="s">
        <v>29</v>
      </c>
      <c r="E162" s="36">
        <v>2305</v>
      </c>
      <c r="F162" s="39">
        <v>1.05867</v>
      </c>
      <c r="G162" s="40">
        <v>0.22051299999999999</v>
      </c>
    </row>
    <row r="163" spans="1:7" x14ac:dyDescent="0.3">
      <c r="A163" s="36" t="s">
        <v>57</v>
      </c>
      <c r="B163" s="47" t="s">
        <v>64</v>
      </c>
      <c r="C163" s="37">
        <v>46235</v>
      </c>
      <c r="D163" s="38" t="s">
        <v>30</v>
      </c>
      <c r="E163" s="36">
        <v>2080</v>
      </c>
      <c r="F163" s="39">
        <v>0.47212599999999999</v>
      </c>
      <c r="G163" s="40">
        <v>9.48576E-2</v>
      </c>
    </row>
    <row r="164" spans="1:7" x14ac:dyDescent="0.3">
      <c r="A164" s="36" t="s">
        <v>58</v>
      </c>
      <c r="B164" s="47" t="s">
        <v>93</v>
      </c>
      <c r="C164" s="37">
        <v>46237</v>
      </c>
      <c r="D164" s="38" t="s">
        <v>14</v>
      </c>
      <c r="E164" s="36">
        <v>3346</v>
      </c>
      <c r="F164" s="39">
        <v>0.32430599999999998</v>
      </c>
      <c r="G164" s="40">
        <v>9.8802500000000001E-2</v>
      </c>
    </row>
    <row r="165" spans="1:7" x14ac:dyDescent="0.3">
      <c r="A165" s="36" t="s">
        <v>58</v>
      </c>
      <c r="B165" s="47" t="s">
        <v>93</v>
      </c>
      <c r="C165" s="37">
        <v>46237</v>
      </c>
      <c r="D165" s="38" t="s">
        <v>15</v>
      </c>
      <c r="E165" s="36">
        <v>3063</v>
      </c>
      <c r="F165" s="39">
        <v>0.35386699999999999</v>
      </c>
      <c r="G165" s="40">
        <v>9.9645899999999996E-2</v>
      </c>
    </row>
    <row r="166" spans="1:7" x14ac:dyDescent="0.3">
      <c r="A166" s="36" t="s">
        <v>58</v>
      </c>
      <c r="B166" s="47" t="s">
        <v>93</v>
      </c>
      <c r="C166" s="37">
        <v>46237</v>
      </c>
      <c r="D166" s="38" t="s">
        <v>16</v>
      </c>
      <c r="E166" s="36">
        <v>2034</v>
      </c>
      <c r="F166" s="39">
        <v>0.34923700000000002</v>
      </c>
      <c r="G166" s="40">
        <v>8.7392399999999995E-2</v>
      </c>
    </row>
    <row r="167" spans="1:7" x14ac:dyDescent="0.3">
      <c r="A167" s="36" t="s">
        <v>58</v>
      </c>
      <c r="B167" s="47" t="s">
        <v>93</v>
      </c>
      <c r="C167" s="37">
        <v>46237</v>
      </c>
      <c r="D167" s="38" t="s">
        <v>17</v>
      </c>
      <c r="E167" s="36">
        <v>2205</v>
      </c>
      <c r="F167" s="39">
        <v>0.47246100000000002</v>
      </c>
      <c r="G167" s="40">
        <v>9.3412599999999998E-2</v>
      </c>
    </row>
    <row r="168" spans="1:7" x14ac:dyDescent="0.3">
      <c r="A168" s="36" t="s">
        <v>58</v>
      </c>
      <c r="B168" s="47" t="s">
        <v>93</v>
      </c>
      <c r="C168" s="37">
        <v>46237</v>
      </c>
      <c r="D168" s="38" t="s">
        <v>18</v>
      </c>
      <c r="E168" s="36">
        <v>2383</v>
      </c>
      <c r="F168" s="39">
        <v>0.23527000000000001</v>
      </c>
      <c r="G168" s="40">
        <v>5.8520999999999997E-2</v>
      </c>
    </row>
    <row r="169" spans="1:7" x14ac:dyDescent="0.3">
      <c r="A169" s="36" t="s">
        <v>58</v>
      </c>
      <c r="B169" s="47" t="s">
        <v>93</v>
      </c>
      <c r="C169" s="37">
        <v>46237</v>
      </c>
      <c r="D169" s="38" t="s">
        <v>19</v>
      </c>
      <c r="E169" s="36">
        <v>2170</v>
      </c>
      <c r="F169" s="39">
        <v>0.31478899999999999</v>
      </c>
      <c r="G169" s="40">
        <v>6.7531099999999997E-2</v>
      </c>
    </row>
    <row r="170" spans="1:7" x14ac:dyDescent="0.3">
      <c r="A170" s="36" t="s">
        <v>58</v>
      </c>
      <c r="B170" s="47" t="s">
        <v>93</v>
      </c>
      <c r="C170" s="37">
        <v>46237</v>
      </c>
      <c r="D170" s="38" t="s">
        <v>20</v>
      </c>
      <c r="E170" s="36">
        <v>2313</v>
      </c>
      <c r="F170" s="39">
        <v>0.30069600000000002</v>
      </c>
      <c r="G170" s="40">
        <v>6.3357800000000006E-2</v>
      </c>
    </row>
    <row r="171" spans="1:7" x14ac:dyDescent="0.3">
      <c r="A171" s="36" t="s">
        <v>58</v>
      </c>
      <c r="B171" s="47" t="s">
        <v>93</v>
      </c>
      <c r="C171" s="37">
        <v>46237</v>
      </c>
      <c r="D171" s="38" t="s">
        <v>34</v>
      </c>
      <c r="E171" s="36">
        <v>1596</v>
      </c>
      <c r="F171" s="39">
        <v>0.167988</v>
      </c>
      <c r="G171" s="40">
        <v>4.9786400000000001E-2</v>
      </c>
    </row>
    <row r="172" spans="1:7" x14ac:dyDescent="0.3">
      <c r="A172" s="36" t="s">
        <v>58</v>
      </c>
      <c r="B172" s="47" t="s">
        <v>93</v>
      </c>
      <c r="C172" s="37">
        <v>46237</v>
      </c>
      <c r="D172" s="38" t="s">
        <v>21</v>
      </c>
      <c r="E172" s="36">
        <v>3368</v>
      </c>
      <c r="F172" s="39">
        <v>0.44997300000000001</v>
      </c>
      <c r="G172" s="40">
        <v>8.5777199999999998E-2</v>
      </c>
    </row>
    <row r="173" spans="1:7" x14ac:dyDescent="0.3">
      <c r="A173" s="36" t="s">
        <v>58</v>
      </c>
      <c r="B173" s="47" t="s">
        <v>93</v>
      </c>
      <c r="C173" s="37">
        <v>46237</v>
      </c>
      <c r="D173" s="38" t="s">
        <v>22</v>
      </c>
      <c r="E173" s="36">
        <v>1671</v>
      </c>
      <c r="F173" s="39">
        <v>0.47886200000000001</v>
      </c>
      <c r="G173" s="40">
        <v>0.12086</v>
      </c>
    </row>
    <row r="174" spans="1:7" x14ac:dyDescent="0.3">
      <c r="A174" s="36" t="s">
        <v>58</v>
      </c>
      <c r="B174" s="47" t="s">
        <v>93</v>
      </c>
      <c r="C174" s="37">
        <v>46237</v>
      </c>
      <c r="D174" s="38" t="s">
        <v>23</v>
      </c>
      <c r="E174" s="36">
        <v>1504</v>
      </c>
      <c r="F174" s="39">
        <v>0.31255899999999998</v>
      </c>
      <c r="G174" s="40">
        <v>0.110626</v>
      </c>
    </row>
    <row r="175" spans="1:7" x14ac:dyDescent="0.3">
      <c r="A175" s="36" t="s">
        <v>58</v>
      </c>
      <c r="B175" s="47" t="s">
        <v>93</v>
      </c>
      <c r="C175" s="37">
        <v>46237</v>
      </c>
      <c r="D175" s="38" t="s">
        <v>24</v>
      </c>
      <c r="E175" s="36">
        <v>2776</v>
      </c>
      <c r="F175" s="39">
        <v>0.242114</v>
      </c>
      <c r="G175" s="40">
        <v>7.6394299999999998E-2</v>
      </c>
    </row>
    <row r="176" spans="1:7" x14ac:dyDescent="0.3">
      <c r="A176" s="36" t="s">
        <v>58</v>
      </c>
      <c r="B176" s="47" t="s">
        <v>93</v>
      </c>
      <c r="C176" s="37">
        <v>46237</v>
      </c>
      <c r="D176" s="38" t="s">
        <v>25</v>
      </c>
      <c r="E176" s="36">
        <v>1564</v>
      </c>
      <c r="F176" s="39">
        <v>0.26510299999999998</v>
      </c>
      <c r="G176" s="40">
        <v>6.3127500000000003E-2</v>
      </c>
    </row>
    <row r="177" spans="1:7" x14ac:dyDescent="0.3">
      <c r="A177" s="36" t="s">
        <v>58</v>
      </c>
      <c r="B177" s="47" t="s">
        <v>93</v>
      </c>
      <c r="C177" s="37">
        <v>46237</v>
      </c>
      <c r="D177" s="38" t="s">
        <v>26</v>
      </c>
      <c r="E177" s="36">
        <v>2134</v>
      </c>
      <c r="F177" s="39">
        <v>0.18260199999999999</v>
      </c>
      <c r="G177" s="40">
        <v>5.5004400000000002E-2</v>
      </c>
    </row>
    <row r="178" spans="1:7" x14ac:dyDescent="0.3">
      <c r="A178" s="36" t="s">
        <v>58</v>
      </c>
      <c r="B178" s="47" t="s">
        <v>93</v>
      </c>
      <c r="C178" s="37">
        <v>46237</v>
      </c>
      <c r="D178" s="38" t="s">
        <v>27</v>
      </c>
      <c r="E178" s="36">
        <v>1805</v>
      </c>
      <c r="F178" s="39">
        <v>0.33567200000000003</v>
      </c>
      <c r="G178" s="40">
        <v>7.3140200000000002E-2</v>
      </c>
    </row>
    <row r="179" spans="1:7" x14ac:dyDescent="0.3">
      <c r="A179" s="36" t="s">
        <v>58</v>
      </c>
      <c r="B179" s="47" t="s">
        <v>93</v>
      </c>
      <c r="C179" s="37">
        <v>46237</v>
      </c>
      <c r="D179" s="38" t="s">
        <v>28</v>
      </c>
      <c r="E179" s="36">
        <v>1506</v>
      </c>
      <c r="F179" s="39">
        <v>0.237599</v>
      </c>
      <c r="G179" s="40">
        <v>5.0320799999999999E-2</v>
      </c>
    </row>
    <row r="180" spans="1:7" x14ac:dyDescent="0.3">
      <c r="A180" s="36" t="s">
        <v>58</v>
      </c>
      <c r="B180" s="47" t="s">
        <v>93</v>
      </c>
      <c r="C180" s="37">
        <v>46237</v>
      </c>
      <c r="D180" s="38" t="s">
        <v>29</v>
      </c>
      <c r="E180" s="36">
        <v>2592</v>
      </c>
      <c r="F180" s="39">
        <v>0.24665599999999999</v>
      </c>
      <c r="G180" s="40">
        <v>5.4342500000000002E-2</v>
      </c>
    </row>
    <row r="181" spans="1:7" x14ac:dyDescent="0.3">
      <c r="A181" s="36" t="s">
        <v>58</v>
      </c>
      <c r="B181" s="47" t="s">
        <v>93</v>
      </c>
      <c r="C181" s="37">
        <v>46237</v>
      </c>
      <c r="D181" s="38" t="s">
        <v>30</v>
      </c>
      <c r="E181" s="36">
        <v>1991</v>
      </c>
      <c r="F181" s="39">
        <v>0.364514</v>
      </c>
      <c r="G181" s="40">
        <v>6.9290500000000005E-2</v>
      </c>
    </row>
    <row r="182" spans="1:7" x14ac:dyDescent="0.3">
      <c r="A182" s="36" t="s">
        <v>58</v>
      </c>
      <c r="B182" s="47" t="s">
        <v>94</v>
      </c>
      <c r="C182" s="37">
        <v>46237</v>
      </c>
      <c r="D182" s="38" t="s">
        <v>14</v>
      </c>
      <c r="E182" s="36">
        <v>2529</v>
      </c>
      <c r="F182" s="39">
        <v>0.19736899999999999</v>
      </c>
      <c r="G182" s="40">
        <v>5.3979199999999998E-2</v>
      </c>
    </row>
    <row r="183" spans="1:7" x14ac:dyDescent="0.3">
      <c r="A183" s="36" t="s">
        <v>58</v>
      </c>
      <c r="B183" s="47" t="s">
        <v>94</v>
      </c>
      <c r="C183" s="37">
        <v>46237</v>
      </c>
      <c r="D183" s="38" t="s">
        <v>15</v>
      </c>
      <c r="E183" s="36">
        <v>2434</v>
      </c>
      <c r="F183" s="39">
        <v>0.40239999999999998</v>
      </c>
      <c r="G183" s="40">
        <v>0.102562</v>
      </c>
    </row>
    <row r="184" spans="1:7" x14ac:dyDescent="0.3">
      <c r="A184" s="36" t="s">
        <v>58</v>
      </c>
      <c r="B184" s="47" t="s">
        <v>94</v>
      </c>
      <c r="C184" s="37">
        <v>46237</v>
      </c>
      <c r="D184" s="38" t="s">
        <v>16</v>
      </c>
      <c r="E184" s="36">
        <v>2472</v>
      </c>
      <c r="F184" s="39">
        <v>0.373303</v>
      </c>
      <c r="G184" s="40">
        <v>8.31152E-2</v>
      </c>
    </row>
    <row r="185" spans="1:7" x14ac:dyDescent="0.3">
      <c r="A185" s="36" t="s">
        <v>58</v>
      </c>
      <c r="B185" s="47" t="s">
        <v>94</v>
      </c>
      <c r="C185" s="37">
        <v>46237</v>
      </c>
      <c r="D185" s="38" t="s">
        <v>17</v>
      </c>
      <c r="E185" s="36">
        <v>2227</v>
      </c>
      <c r="F185" s="39">
        <v>0.44384499999999999</v>
      </c>
      <c r="G185" s="40">
        <v>9.0625700000000003E-2</v>
      </c>
    </row>
    <row r="186" spans="1:7" x14ac:dyDescent="0.3">
      <c r="A186" s="36" t="s">
        <v>58</v>
      </c>
      <c r="B186" s="47" t="s">
        <v>94</v>
      </c>
      <c r="C186" s="37">
        <v>46237</v>
      </c>
      <c r="D186" s="38" t="s">
        <v>18</v>
      </c>
      <c r="E186" s="36">
        <v>2847</v>
      </c>
      <c r="F186" s="39">
        <v>0.23527000000000001</v>
      </c>
      <c r="G186" s="40">
        <v>5.8520999999999997E-2</v>
      </c>
    </row>
    <row r="187" spans="1:7" x14ac:dyDescent="0.3">
      <c r="A187" s="36" t="s">
        <v>58</v>
      </c>
      <c r="B187" s="47" t="s">
        <v>94</v>
      </c>
      <c r="C187" s="37">
        <v>46237</v>
      </c>
      <c r="D187" s="38" t="s">
        <v>19</v>
      </c>
      <c r="E187" s="36">
        <v>2586</v>
      </c>
      <c r="F187" s="39">
        <v>0.384272</v>
      </c>
      <c r="G187" s="40">
        <v>7.7091900000000005E-2</v>
      </c>
    </row>
    <row r="188" spans="1:7" x14ac:dyDescent="0.3">
      <c r="A188" s="36" t="s">
        <v>58</v>
      </c>
      <c r="B188" s="47" t="s">
        <v>94</v>
      </c>
      <c r="C188" s="37">
        <v>46237</v>
      </c>
      <c r="D188" s="38" t="s">
        <v>20</v>
      </c>
      <c r="E188" s="36">
        <v>2350</v>
      </c>
      <c r="F188" s="39">
        <v>0.36795899999999998</v>
      </c>
      <c r="G188" s="40">
        <v>7.3715699999999995E-2</v>
      </c>
    </row>
    <row r="189" spans="1:7" x14ac:dyDescent="0.3">
      <c r="A189" s="36" t="s">
        <v>58</v>
      </c>
      <c r="B189" s="47" t="s">
        <v>94</v>
      </c>
      <c r="C189" s="37">
        <v>46237</v>
      </c>
      <c r="D189" s="38" t="s">
        <v>34</v>
      </c>
      <c r="E189" s="36">
        <v>1620</v>
      </c>
      <c r="F189" s="39">
        <v>0.18529899999999999</v>
      </c>
      <c r="G189" s="40">
        <v>5.3656599999999999E-2</v>
      </c>
    </row>
    <row r="190" spans="1:7" x14ac:dyDescent="0.3">
      <c r="A190" s="36" t="s">
        <v>58</v>
      </c>
      <c r="B190" s="47" t="s">
        <v>94</v>
      </c>
      <c r="C190" s="37">
        <v>46237</v>
      </c>
      <c r="D190" s="38" t="s">
        <v>21</v>
      </c>
      <c r="E190" s="36">
        <v>4051</v>
      </c>
      <c r="F190" s="39">
        <v>0.44907000000000002</v>
      </c>
      <c r="G190" s="40">
        <v>9.1503399999999999E-2</v>
      </c>
    </row>
    <row r="191" spans="1:7" x14ac:dyDescent="0.3">
      <c r="A191" s="36" t="s">
        <v>58</v>
      </c>
      <c r="B191" s="47" t="s">
        <v>94</v>
      </c>
      <c r="C191" s="37">
        <v>46237</v>
      </c>
      <c r="D191" s="38" t="s">
        <v>22</v>
      </c>
      <c r="E191" s="36">
        <v>2289</v>
      </c>
      <c r="F191" s="39">
        <v>0.40045399999999998</v>
      </c>
      <c r="G191" s="40">
        <v>0.111335</v>
      </c>
    </row>
    <row r="192" spans="1:7" x14ac:dyDescent="0.3">
      <c r="A192" s="36" t="s">
        <v>58</v>
      </c>
      <c r="B192" s="47" t="s">
        <v>94</v>
      </c>
      <c r="C192" s="37">
        <v>46237</v>
      </c>
      <c r="D192" s="38" t="s">
        <v>23</v>
      </c>
      <c r="E192" s="36">
        <v>1649</v>
      </c>
      <c r="F192" s="39">
        <v>0.31080999999999998</v>
      </c>
      <c r="G192" s="40">
        <v>0.101536</v>
      </c>
    </row>
    <row r="193" spans="1:7" x14ac:dyDescent="0.3">
      <c r="A193" s="36" t="s">
        <v>58</v>
      </c>
      <c r="B193" s="47" t="s">
        <v>94</v>
      </c>
      <c r="C193" s="37">
        <v>46237</v>
      </c>
      <c r="D193" s="38" t="s">
        <v>24</v>
      </c>
      <c r="E193" s="36">
        <v>3170</v>
      </c>
      <c r="F193" s="39">
        <v>0.20591000000000001</v>
      </c>
      <c r="G193" s="40">
        <v>6.5986100000000006E-2</v>
      </c>
    </row>
    <row r="194" spans="1:7" x14ac:dyDescent="0.3">
      <c r="A194" s="36" t="s">
        <v>58</v>
      </c>
      <c r="B194" s="47" t="s">
        <v>94</v>
      </c>
      <c r="C194" s="37">
        <v>46237</v>
      </c>
      <c r="D194" s="38" t="s">
        <v>25</v>
      </c>
      <c r="E194" s="36">
        <v>1504</v>
      </c>
      <c r="F194" s="39">
        <v>0.21273800000000001</v>
      </c>
      <c r="G194" s="40">
        <v>5.37966E-2</v>
      </c>
    </row>
    <row r="195" spans="1:7" x14ac:dyDescent="0.3">
      <c r="A195" s="36" t="s">
        <v>58</v>
      </c>
      <c r="B195" s="47" t="s">
        <v>94</v>
      </c>
      <c r="C195" s="37">
        <v>46237</v>
      </c>
      <c r="D195" s="38" t="s">
        <v>26</v>
      </c>
      <c r="E195" s="36">
        <v>1926</v>
      </c>
      <c r="F195" s="39">
        <v>0.206868</v>
      </c>
      <c r="G195" s="40">
        <v>6.5720299999999995E-2</v>
      </c>
    </row>
    <row r="196" spans="1:7" x14ac:dyDescent="0.3">
      <c r="A196" s="36" t="s">
        <v>58</v>
      </c>
      <c r="B196" s="47" t="s">
        <v>94</v>
      </c>
      <c r="C196" s="37">
        <v>46237</v>
      </c>
      <c r="D196" s="38" t="s">
        <v>27</v>
      </c>
      <c r="E196" s="36">
        <v>2047</v>
      </c>
      <c r="F196" s="39">
        <v>0.34014499999999998</v>
      </c>
      <c r="G196" s="40">
        <v>8.1698800000000002E-2</v>
      </c>
    </row>
    <row r="197" spans="1:7" x14ac:dyDescent="0.3">
      <c r="A197" s="36" t="s">
        <v>58</v>
      </c>
      <c r="B197" s="47" t="s">
        <v>94</v>
      </c>
      <c r="C197" s="37">
        <v>46237</v>
      </c>
      <c r="D197" s="38" t="s">
        <v>28</v>
      </c>
      <c r="E197" s="36">
        <v>1611</v>
      </c>
      <c r="F197" s="39">
        <v>0.33842299999999997</v>
      </c>
      <c r="G197" s="40">
        <v>8.0177899999999996E-2</v>
      </c>
    </row>
    <row r="198" spans="1:7" x14ac:dyDescent="0.3">
      <c r="A198" s="36" t="s">
        <v>58</v>
      </c>
      <c r="B198" s="47" t="s">
        <v>94</v>
      </c>
      <c r="C198" s="37">
        <v>46237</v>
      </c>
      <c r="D198" s="38" t="s">
        <v>29</v>
      </c>
      <c r="E198" s="36">
        <v>2467</v>
      </c>
      <c r="F198" s="39">
        <v>0.383046</v>
      </c>
      <c r="G198" s="40">
        <v>7.6463900000000001E-2</v>
      </c>
    </row>
    <row r="199" spans="1:7" x14ac:dyDescent="0.3">
      <c r="A199" s="36" t="s">
        <v>58</v>
      </c>
      <c r="B199" s="47" t="s">
        <v>94</v>
      </c>
      <c r="C199" s="37">
        <v>46237</v>
      </c>
      <c r="D199" s="38" t="s">
        <v>30</v>
      </c>
      <c r="E199" s="36">
        <v>1997</v>
      </c>
      <c r="F199" s="39">
        <v>0.41350599999999998</v>
      </c>
      <c r="G199" s="40">
        <v>8.6338499999999999E-2</v>
      </c>
    </row>
    <row r="200" spans="1:7" x14ac:dyDescent="0.3">
      <c r="A200" s="36" t="s">
        <v>57</v>
      </c>
      <c r="B200" s="47" t="s">
        <v>64</v>
      </c>
      <c r="C200" s="37">
        <v>46237</v>
      </c>
      <c r="D200" s="38" t="s">
        <v>14</v>
      </c>
      <c r="E200" s="36">
        <v>2303</v>
      </c>
      <c r="F200" s="39">
        <v>0.18865100000000001</v>
      </c>
      <c r="G200" s="40">
        <v>5.7477100000000003E-2</v>
      </c>
    </row>
    <row r="201" spans="1:7" x14ac:dyDescent="0.3">
      <c r="A201" s="36" t="s">
        <v>57</v>
      </c>
      <c r="B201" s="47" t="s">
        <v>64</v>
      </c>
      <c r="C201" s="37">
        <v>46237</v>
      </c>
      <c r="D201" s="38" t="s">
        <v>15</v>
      </c>
      <c r="E201" s="36">
        <v>2379</v>
      </c>
      <c r="F201" s="39">
        <v>0.37706499999999998</v>
      </c>
      <c r="G201" s="40">
        <v>0.10617699999999999</v>
      </c>
    </row>
    <row r="202" spans="1:7" x14ac:dyDescent="0.3">
      <c r="A202" s="36" t="s">
        <v>57</v>
      </c>
      <c r="B202" s="47" t="s">
        <v>64</v>
      </c>
      <c r="C202" s="37">
        <v>46237</v>
      </c>
      <c r="D202" s="38" t="s">
        <v>16</v>
      </c>
      <c r="E202" s="36">
        <v>2183</v>
      </c>
      <c r="F202" s="39">
        <v>0.47255399999999997</v>
      </c>
      <c r="G202" s="40">
        <v>0.118227</v>
      </c>
    </row>
    <row r="203" spans="1:7" x14ac:dyDescent="0.3">
      <c r="A203" s="36" t="s">
        <v>57</v>
      </c>
      <c r="B203" s="47" t="s">
        <v>64</v>
      </c>
      <c r="C203" s="37">
        <v>46237</v>
      </c>
      <c r="D203" s="38" t="s">
        <v>17</v>
      </c>
      <c r="E203" s="36">
        <v>2342</v>
      </c>
      <c r="F203" s="39">
        <v>0.44384499999999999</v>
      </c>
      <c r="G203" s="40">
        <v>9.0625700000000003E-2</v>
      </c>
    </row>
    <row r="204" spans="1:7" x14ac:dyDescent="0.3">
      <c r="A204" s="36" t="s">
        <v>57</v>
      </c>
      <c r="B204" s="47" t="s">
        <v>64</v>
      </c>
      <c r="C204" s="37">
        <v>46237</v>
      </c>
      <c r="D204" s="38" t="s">
        <v>18</v>
      </c>
      <c r="E204" s="36">
        <v>2076</v>
      </c>
      <c r="F204" s="39">
        <v>0.28808499999999998</v>
      </c>
      <c r="G204" s="40">
        <v>7.16387E-2</v>
      </c>
    </row>
    <row r="205" spans="1:7" x14ac:dyDescent="0.3">
      <c r="A205" s="36" t="s">
        <v>57</v>
      </c>
      <c r="B205" s="47" t="s">
        <v>64</v>
      </c>
      <c r="C205" s="37">
        <v>46237</v>
      </c>
      <c r="D205" s="38" t="s">
        <v>19</v>
      </c>
      <c r="E205" s="36">
        <v>2133</v>
      </c>
      <c r="F205" s="39">
        <v>0.44758999999999999</v>
      </c>
      <c r="G205" s="40">
        <v>9.6034400000000006E-2</v>
      </c>
    </row>
    <row r="206" spans="1:7" x14ac:dyDescent="0.3">
      <c r="A206" s="36" t="s">
        <v>57</v>
      </c>
      <c r="B206" s="47" t="s">
        <v>64</v>
      </c>
      <c r="C206" s="37">
        <v>46237</v>
      </c>
      <c r="D206" s="38" t="s">
        <v>20</v>
      </c>
      <c r="E206" s="36">
        <v>2387</v>
      </c>
      <c r="F206" s="39">
        <v>0.48196299999999997</v>
      </c>
      <c r="G206" s="40">
        <v>0.10152</v>
      </c>
    </row>
    <row r="207" spans="1:7" x14ac:dyDescent="0.3">
      <c r="A207" s="36" t="s">
        <v>57</v>
      </c>
      <c r="B207" s="47" t="s">
        <v>64</v>
      </c>
      <c r="C207" s="37">
        <v>46237</v>
      </c>
      <c r="D207" s="38" t="s">
        <v>34</v>
      </c>
      <c r="E207" s="36">
        <v>1147</v>
      </c>
      <c r="F207" s="39">
        <v>0.29599300000000001</v>
      </c>
      <c r="G207" s="40">
        <v>8.7792800000000004E-2</v>
      </c>
    </row>
    <row r="208" spans="1:7" x14ac:dyDescent="0.3">
      <c r="A208" s="36" t="s">
        <v>57</v>
      </c>
      <c r="B208" s="47" t="s">
        <v>64</v>
      </c>
      <c r="C208" s="37">
        <v>46237</v>
      </c>
      <c r="D208" s="38" t="s">
        <v>21</v>
      </c>
      <c r="E208" s="36">
        <v>3654</v>
      </c>
      <c r="F208" s="39">
        <v>0.40145799999999998</v>
      </c>
      <c r="G208" s="40">
        <v>7.6540499999999997E-2</v>
      </c>
    </row>
    <row r="209" spans="1:7" x14ac:dyDescent="0.3">
      <c r="A209" s="36" t="s">
        <v>57</v>
      </c>
      <c r="B209" s="47" t="s">
        <v>64</v>
      </c>
      <c r="C209" s="37">
        <v>46237</v>
      </c>
      <c r="D209" s="38" t="s">
        <v>22</v>
      </c>
      <c r="E209" s="36">
        <v>2570</v>
      </c>
      <c r="F209" s="39">
        <v>0.32884799999999997</v>
      </c>
      <c r="G209" s="40">
        <v>8.3027799999999999E-2</v>
      </c>
    </row>
    <row r="210" spans="1:7" x14ac:dyDescent="0.3">
      <c r="A210" s="36" t="s">
        <v>57</v>
      </c>
      <c r="B210" s="47" t="s">
        <v>64</v>
      </c>
      <c r="C210" s="37">
        <v>46237</v>
      </c>
      <c r="D210" s="38" t="s">
        <v>23</v>
      </c>
      <c r="E210" s="36">
        <v>1090</v>
      </c>
      <c r="F210" s="39">
        <v>0.27263700000000002</v>
      </c>
      <c r="G210" s="40">
        <v>9.6549800000000005E-2</v>
      </c>
    </row>
    <row r="211" spans="1:7" x14ac:dyDescent="0.3">
      <c r="A211" s="36" t="s">
        <v>57</v>
      </c>
      <c r="B211" s="47" t="s">
        <v>64</v>
      </c>
      <c r="C211" s="37">
        <v>46237</v>
      </c>
      <c r="D211" s="38" t="s">
        <v>24</v>
      </c>
      <c r="E211" s="36">
        <v>2661</v>
      </c>
      <c r="F211" s="39">
        <v>0.389735</v>
      </c>
      <c r="G211" s="40">
        <v>0.12311800000000001</v>
      </c>
    </row>
    <row r="212" spans="1:7" x14ac:dyDescent="0.3">
      <c r="A212" s="36" t="s">
        <v>57</v>
      </c>
      <c r="B212" s="47" t="s">
        <v>64</v>
      </c>
      <c r="C212" s="37">
        <v>46237</v>
      </c>
      <c r="D212" s="38" t="s">
        <v>25</v>
      </c>
      <c r="E212" s="36">
        <v>1004</v>
      </c>
      <c r="F212" s="39">
        <v>0.179206</v>
      </c>
      <c r="G212" s="40">
        <v>4.2684399999999997E-2</v>
      </c>
    </row>
    <row r="213" spans="1:7" x14ac:dyDescent="0.3">
      <c r="A213" s="36" t="s">
        <v>57</v>
      </c>
      <c r="B213" s="47" t="s">
        <v>64</v>
      </c>
      <c r="C213" s="37">
        <v>46237</v>
      </c>
      <c r="D213" s="38" t="s">
        <v>26</v>
      </c>
      <c r="E213" s="36">
        <v>2844</v>
      </c>
      <c r="F213" s="39">
        <v>0.230881</v>
      </c>
      <c r="G213" s="40">
        <v>6.9537399999999999E-2</v>
      </c>
    </row>
    <row r="214" spans="1:7" x14ac:dyDescent="0.3">
      <c r="A214" s="36" t="s">
        <v>57</v>
      </c>
      <c r="B214" s="47" t="s">
        <v>64</v>
      </c>
      <c r="C214" s="37">
        <v>46237</v>
      </c>
      <c r="D214" s="38" t="s">
        <v>27</v>
      </c>
      <c r="E214" s="36">
        <v>2740</v>
      </c>
      <c r="F214" s="39">
        <v>0.37662899999999999</v>
      </c>
      <c r="G214" s="40">
        <v>8.2053500000000001E-2</v>
      </c>
    </row>
    <row r="215" spans="1:7" x14ac:dyDescent="0.3">
      <c r="A215" s="36" t="s">
        <v>57</v>
      </c>
      <c r="B215" s="47" t="s">
        <v>64</v>
      </c>
      <c r="C215" s="37">
        <v>46237</v>
      </c>
      <c r="D215" s="38" t="s">
        <v>28</v>
      </c>
      <c r="E215" s="36">
        <v>1675</v>
      </c>
      <c r="F215" s="39">
        <v>0.451706</v>
      </c>
      <c r="G215" s="40">
        <v>9.5755999999999994E-2</v>
      </c>
    </row>
    <row r="216" spans="1:7" x14ac:dyDescent="0.3">
      <c r="A216" s="36" t="s">
        <v>57</v>
      </c>
      <c r="B216" s="47" t="s">
        <v>64</v>
      </c>
      <c r="C216" s="37">
        <v>46237</v>
      </c>
      <c r="D216" s="38" t="s">
        <v>29</v>
      </c>
      <c r="E216" s="36">
        <v>1654</v>
      </c>
      <c r="F216" s="39">
        <v>0.34387499999999999</v>
      </c>
      <c r="G216" s="40">
        <v>7.5786900000000004E-2</v>
      </c>
    </row>
    <row r="217" spans="1:7" x14ac:dyDescent="0.3">
      <c r="A217" s="36" t="s">
        <v>57</v>
      </c>
      <c r="B217" s="47" t="s">
        <v>64</v>
      </c>
      <c r="C217" s="37">
        <v>46237</v>
      </c>
      <c r="D217" s="38" t="s">
        <v>30</v>
      </c>
      <c r="E217" s="36">
        <v>1257</v>
      </c>
      <c r="F217" s="39">
        <v>0.79732999999999998</v>
      </c>
      <c r="G217" s="40">
        <v>0.15168999999999999</v>
      </c>
    </row>
    <row r="218" spans="1:7" x14ac:dyDescent="0.3">
      <c r="A218" s="36" t="s">
        <v>57</v>
      </c>
      <c r="B218" s="47" t="s">
        <v>64</v>
      </c>
      <c r="C218" s="37">
        <v>46238</v>
      </c>
      <c r="D218" s="38" t="s">
        <v>14</v>
      </c>
      <c r="E218" s="36">
        <v>2658</v>
      </c>
      <c r="F218" s="39">
        <v>0.44472400000000001</v>
      </c>
      <c r="G218" s="40">
        <v>0.12504399999999999</v>
      </c>
    </row>
    <row r="219" spans="1:7" x14ac:dyDescent="0.3">
      <c r="A219" s="36" t="s">
        <v>57</v>
      </c>
      <c r="B219" s="47" t="s">
        <v>64</v>
      </c>
      <c r="C219" s="37">
        <v>46238</v>
      </c>
      <c r="D219" s="38" t="s">
        <v>15</v>
      </c>
      <c r="E219" s="36">
        <v>2455</v>
      </c>
      <c r="F219" s="39">
        <v>0.42122500000000002</v>
      </c>
      <c r="G219" s="40">
        <v>0.110958</v>
      </c>
    </row>
    <row r="220" spans="1:7" x14ac:dyDescent="0.3">
      <c r="A220" s="36" t="s">
        <v>57</v>
      </c>
      <c r="B220" s="47" t="s">
        <v>64</v>
      </c>
      <c r="C220" s="37">
        <v>46238</v>
      </c>
      <c r="D220" s="38" t="s">
        <v>16</v>
      </c>
      <c r="E220" s="36">
        <v>1886</v>
      </c>
      <c r="F220" s="39">
        <v>0.52118500000000001</v>
      </c>
      <c r="G220" s="40">
        <v>0.122268</v>
      </c>
    </row>
    <row r="221" spans="1:7" x14ac:dyDescent="0.3">
      <c r="A221" s="36" t="s">
        <v>57</v>
      </c>
      <c r="B221" s="47" t="s">
        <v>64</v>
      </c>
      <c r="C221" s="37">
        <v>46238</v>
      </c>
      <c r="D221" s="38" t="s">
        <v>17</v>
      </c>
      <c r="E221" s="36">
        <v>2407</v>
      </c>
      <c r="F221" s="39">
        <v>0.57407399999999997</v>
      </c>
      <c r="G221" s="40">
        <v>0.113594</v>
      </c>
    </row>
    <row r="222" spans="1:7" x14ac:dyDescent="0.3">
      <c r="A222" s="36" t="s">
        <v>57</v>
      </c>
      <c r="B222" s="47" t="s">
        <v>64</v>
      </c>
      <c r="C222" s="37">
        <v>46238</v>
      </c>
      <c r="D222" s="38" t="s">
        <v>18</v>
      </c>
      <c r="E222" s="36">
        <v>2194</v>
      </c>
      <c r="F222" s="39">
        <v>0.301788</v>
      </c>
      <c r="G222" s="40">
        <v>7.17666E-2</v>
      </c>
    </row>
    <row r="223" spans="1:7" x14ac:dyDescent="0.3">
      <c r="A223" s="36" t="s">
        <v>57</v>
      </c>
      <c r="B223" s="47" t="s">
        <v>64</v>
      </c>
      <c r="C223" s="37">
        <v>46238</v>
      </c>
      <c r="D223" s="38" t="s">
        <v>19</v>
      </c>
      <c r="E223" s="36">
        <v>2273</v>
      </c>
      <c r="F223" s="39">
        <v>0.49380499999999999</v>
      </c>
      <c r="G223" s="40">
        <v>0.103851</v>
      </c>
    </row>
    <row r="224" spans="1:7" x14ac:dyDescent="0.3">
      <c r="A224" s="36" t="s">
        <v>57</v>
      </c>
      <c r="B224" s="47" t="s">
        <v>64</v>
      </c>
      <c r="C224" s="37">
        <v>46238</v>
      </c>
      <c r="D224" s="38" t="s">
        <v>20</v>
      </c>
      <c r="E224" s="36">
        <v>2556</v>
      </c>
      <c r="F224" s="39">
        <v>0.50172899999999998</v>
      </c>
      <c r="G224" s="40">
        <v>0.10496</v>
      </c>
    </row>
    <row r="225" spans="1:7" x14ac:dyDescent="0.3">
      <c r="A225" s="36" t="s">
        <v>57</v>
      </c>
      <c r="B225" s="47" t="s">
        <v>64</v>
      </c>
      <c r="C225" s="37">
        <v>46238</v>
      </c>
      <c r="D225" s="38" t="s">
        <v>34</v>
      </c>
      <c r="E225" s="36">
        <v>1061</v>
      </c>
      <c r="F225" s="39">
        <v>0.28934799999999999</v>
      </c>
      <c r="G225" s="40">
        <v>8.7746599999999994E-2</v>
      </c>
    </row>
    <row r="226" spans="1:7" x14ac:dyDescent="0.3">
      <c r="A226" s="36" t="s">
        <v>57</v>
      </c>
      <c r="B226" s="47" t="s">
        <v>64</v>
      </c>
      <c r="C226" s="37">
        <v>46238</v>
      </c>
      <c r="D226" s="38" t="s">
        <v>21</v>
      </c>
      <c r="E226" s="36">
        <v>3274</v>
      </c>
      <c r="F226" s="39">
        <v>0.51152799999999998</v>
      </c>
      <c r="G226" s="40">
        <v>9.9526400000000001E-2</v>
      </c>
    </row>
    <row r="227" spans="1:7" x14ac:dyDescent="0.3">
      <c r="A227" s="36" t="s">
        <v>57</v>
      </c>
      <c r="B227" s="47" t="s">
        <v>64</v>
      </c>
      <c r="C227" s="37">
        <v>46238</v>
      </c>
      <c r="D227" s="38" t="s">
        <v>22</v>
      </c>
      <c r="E227" s="36">
        <v>2571</v>
      </c>
      <c r="F227" s="39">
        <v>0.39043499999999998</v>
      </c>
      <c r="G227" s="40">
        <v>0.106061</v>
      </c>
    </row>
    <row r="228" spans="1:7" x14ac:dyDescent="0.3">
      <c r="A228" s="36" t="s">
        <v>57</v>
      </c>
      <c r="B228" s="47" t="s">
        <v>64</v>
      </c>
      <c r="C228" s="37">
        <v>46238</v>
      </c>
      <c r="D228" s="38" t="s">
        <v>23</v>
      </c>
      <c r="E228" s="36">
        <v>1306</v>
      </c>
      <c r="F228" s="39">
        <v>0.38515700000000003</v>
      </c>
      <c r="G228" s="40">
        <v>0.12640199999999999</v>
      </c>
    </row>
    <row r="229" spans="1:7" x14ac:dyDescent="0.3">
      <c r="A229" s="36" t="s">
        <v>57</v>
      </c>
      <c r="B229" s="47" t="s">
        <v>64</v>
      </c>
      <c r="C229" s="37">
        <v>46238</v>
      </c>
      <c r="D229" s="38" t="s">
        <v>24</v>
      </c>
      <c r="E229" s="36">
        <v>2861</v>
      </c>
      <c r="F229" s="39">
        <v>0.22939999999999999</v>
      </c>
      <c r="G229" s="40">
        <v>7.0670399999999994E-2</v>
      </c>
    </row>
    <row r="230" spans="1:7" x14ac:dyDescent="0.3">
      <c r="A230" s="36" t="s">
        <v>57</v>
      </c>
      <c r="B230" s="47" t="s">
        <v>64</v>
      </c>
      <c r="C230" s="37">
        <v>46238</v>
      </c>
      <c r="D230" s="38" t="s">
        <v>25</v>
      </c>
      <c r="E230" s="36">
        <v>1006</v>
      </c>
      <c r="F230" s="39">
        <v>0.249472</v>
      </c>
      <c r="G230" s="40">
        <v>6.0045899999999999E-2</v>
      </c>
    </row>
    <row r="231" spans="1:7" x14ac:dyDescent="0.3">
      <c r="A231" s="36" t="s">
        <v>57</v>
      </c>
      <c r="B231" s="47" t="s">
        <v>64</v>
      </c>
      <c r="C231" s="37">
        <v>46238</v>
      </c>
      <c r="D231" s="38" t="s">
        <v>26</v>
      </c>
      <c r="E231" s="36">
        <v>2699</v>
      </c>
      <c r="F231" s="39">
        <v>0.174374</v>
      </c>
      <c r="G231" s="40">
        <v>5.6044799999999999E-2</v>
      </c>
    </row>
    <row r="232" spans="1:7" x14ac:dyDescent="0.3">
      <c r="A232" s="36" t="s">
        <v>57</v>
      </c>
      <c r="B232" s="47" t="s">
        <v>64</v>
      </c>
      <c r="C232" s="37">
        <v>46238</v>
      </c>
      <c r="D232" s="38" t="s">
        <v>27</v>
      </c>
      <c r="E232" s="36">
        <v>2638</v>
      </c>
      <c r="F232" s="39">
        <v>0.48188799999999998</v>
      </c>
      <c r="G232" s="40">
        <v>0.10938199999999999</v>
      </c>
    </row>
    <row r="233" spans="1:7" x14ac:dyDescent="0.3">
      <c r="A233" s="36" t="s">
        <v>57</v>
      </c>
      <c r="B233" s="47" t="s">
        <v>64</v>
      </c>
      <c r="C233" s="37">
        <v>46238</v>
      </c>
      <c r="D233" s="38" t="s">
        <v>28</v>
      </c>
      <c r="E233" s="36">
        <v>1563</v>
      </c>
      <c r="F233" s="39">
        <v>0.27595399999999998</v>
      </c>
      <c r="G233" s="40">
        <v>6.1940599999999998E-2</v>
      </c>
    </row>
    <row r="234" spans="1:7" x14ac:dyDescent="0.3">
      <c r="A234" s="36" t="s">
        <v>57</v>
      </c>
      <c r="B234" s="47" t="s">
        <v>64</v>
      </c>
      <c r="C234" s="37">
        <v>46238</v>
      </c>
      <c r="D234" s="38" t="s">
        <v>29</v>
      </c>
      <c r="E234" s="36">
        <v>1591</v>
      </c>
      <c r="F234" s="39">
        <v>0.43242900000000001</v>
      </c>
      <c r="G234" s="40">
        <v>8.9546899999999999E-2</v>
      </c>
    </row>
    <row r="235" spans="1:7" x14ac:dyDescent="0.3">
      <c r="A235" s="36" t="s">
        <v>57</v>
      </c>
      <c r="B235" s="47" t="s">
        <v>64</v>
      </c>
      <c r="C235" s="37">
        <v>46238</v>
      </c>
      <c r="D235" s="38" t="s">
        <v>30</v>
      </c>
      <c r="E235" s="36">
        <v>1604</v>
      </c>
      <c r="F235" s="39">
        <v>0.59375999999999995</v>
      </c>
      <c r="G235" s="40">
        <v>0.119522</v>
      </c>
    </row>
    <row r="236" spans="1:7" x14ac:dyDescent="0.3">
      <c r="A236" s="36" t="s">
        <v>57</v>
      </c>
      <c r="B236" s="47" t="s">
        <v>64</v>
      </c>
      <c r="C236" s="37">
        <v>46239</v>
      </c>
      <c r="D236" s="34" t="s">
        <v>14</v>
      </c>
      <c r="E236" s="41">
        <v>2808</v>
      </c>
      <c r="F236" s="33">
        <v>0.40617799999999998</v>
      </c>
      <c r="G236" s="35">
        <v>0.114288</v>
      </c>
    </row>
    <row r="237" spans="1:7" x14ac:dyDescent="0.3">
      <c r="A237" s="36" t="s">
        <v>57</v>
      </c>
      <c r="B237" s="47" t="s">
        <v>64</v>
      </c>
      <c r="C237" s="37">
        <v>46239</v>
      </c>
      <c r="D237" s="34" t="s">
        <v>15</v>
      </c>
      <c r="E237" s="41">
        <v>2452</v>
      </c>
      <c r="F237" s="33">
        <v>0.42817899999999998</v>
      </c>
      <c r="G237" s="35">
        <v>0.11280999999999999</v>
      </c>
    </row>
    <row r="238" spans="1:7" x14ac:dyDescent="0.3">
      <c r="A238" s="36" t="s">
        <v>57</v>
      </c>
      <c r="B238" s="47" t="s">
        <v>64</v>
      </c>
      <c r="C238" s="37">
        <v>46239</v>
      </c>
      <c r="D238" s="34" t="s">
        <v>16</v>
      </c>
      <c r="E238" s="41">
        <v>1825</v>
      </c>
      <c r="F238" s="33">
        <v>0.48584699999999997</v>
      </c>
      <c r="G238" s="35">
        <v>0.114023</v>
      </c>
    </row>
    <row r="239" spans="1:7" x14ac:dyDescent="0.3">
      <c r="A239" s="36" t="s">
        <v>57</v>
      </c>
      <c r="B239" s="47" t="s">
        <v>64</v>
      </c>
      <c r="C239" s="37">
        <v>46239</v>
      </c>
      <c r="D239" s="34" t="s">
        <v>17</v>
      </c>
      <c r="E239" s="41">
        <v>2023</v>
      </c>
      <c r="F239" s="33">
        <v>0.58760599999999996</v>
      </c>
      <c r="G239" s="35">
        <v>0.11620800000000001</v>
      </c>
    </row>
    <row r="240" spans="1:7" x14ac:dyDescent="0.3">
      <c r="A240" s="36" t="s">
        <v>57</v>
      </c>
      <c r="B240" s="47" t="s">
        <v>64</v>
      </c>
      <c r="C240" s="37">
        <v>46239</v>
      </c>
      <c r="D240" s="34" t="s">
        <v>18</v>
      </c>
      <c r="E240" s="41">
        <v>2020</v>
      </c>
      <c r="F240" s="33">
        <v>0.26507900000000001</v>
      </c>
      <c r="G240" s="35">
        <v>6.3077099999999997E-2</v>
      </c>
    </row>
    <row r="241" spans="1:7" x14ac:dyDescent="0.3">
      <c r="A241" s="36" t="s">
        <v>57</v>
      </c>
      <c r="B241" s="47" t="s">
        <v>64</v>
      </c>
      <c r="C241" s="37">
        <v>46239</v>
      </c>
      <c r="D241" s="34" t="s">
        <v>19</v>
      </c>
      <c r="E241" s="41">
        <v>2016</v>
      </c>
      <c r="F241" s="33">
        <v>0.46160000000000001</v>
      </c>
      <c r="G241" s="35">
        <v>9.7109000000000001E-2</v>
      </c>
    </row>
    <row r="242" spans="1:7" x14ac:dyDescent="0.3">
      <c r="A242" s="36" t="s">
        <v>57</v>
      </c>
      <c r="B242" s="47" t="s">
        <v>64</v>
      </c>
      <c r="C242" s="37">
        <v>46239</v>
      </c>
      <c r="D242" s="34" t="s">
        <v>20</v>
      </c>
      <c r="E242" s="41">
        <v>2117</v>
      </c>
      <c r="F242" s="33">
        <v>0.45994200000000002</v>
      </c>
      <c r="G242" s="35">
        <v>9.6224199999999996E-2</v>
      </c>
    </row>
    <row r="243" spans="1:7" x14ac:dyDescent="0.3">
      <c r="A243" s="36" t="s">
        <v>57</v>
      </c>
      <c r="B243" s="47" t="s">
        <v>64</v>
      </c>
      <c r="C243" s="37">
        <v>46239</v>
      </c>
      <c r="D243" s="34" t="s">
        <v>34</v>
      </c>
      <c r="E243" s="41">
        <v>1003</v>
      </c>
      <c r="F243" s="33">
        <v>0.19050800000000001</v>
      </c>
      <c r="G243" s="35">
        <v>5.7725699999999998E-2</v>
      </c>
    </row>
    <row r="244" spans="1:7" x14ac:dyDescent="0.3">
      <c r="A244" s="36" t="s">
        <v>57</v>
      </c>
      <c r="B244" s="47" t="s">
        <v>64</v>
      </c>
      <c r="C244" s="37">
        <v>46239</v>
      </c>
      <c r="D244" s="34" t="s">
        <v>21</v>
      </c>
      <c r="E244" s="41">
        <v>3247</v>
      </c>
      <c r="F244" s="33">
        <v>0.40866400000000003</v>
      </c>
      <c r="G244" s="35">
        <v>7.9509399999999994E-2</v>
      </c>
    </row>
    <row r="245" spans="1:7" x14ac:dyDescent="0.3">
      <c r="A245" s="36" t="s">
        <v>57</v>
      </c>
      <c r="B245" s="47" t="s">
        <v>64</v>
      </c>
      <c r="C245" s="37">
        <v>46239</v>
      </c>
      <c r="D245" s="34" t="s">
        <v>22</v>
      </c>
      <c r="E245" s="41">
        <v>2199</v>
      </c>
      <c r="F245" s="33">
        <v>0.37973400000000002</v>
      </c>
      <c r="G245" s="35">
        <v>0.10316400000000001</v>
      </c>
    </row>
    <row r="246" spans="1:7" x14ac:dyDescent="0.3">
      <c r="A246" s="36" t="s">
        <v>57</v>
      </c>
      <c r="B246" s="47" t="s">
        <v>64</v>
      </c>
      <c r="C246" s="37">
        <v>46239</v>
      </c>
      <c r="D246" s="34" t="s">
        <v>23</v>
      </c>
      <c r="E246" s="41">
        <v>1131</v>
      </c>
      <c r="F246" s="33">
        <v>0.31687300000000002</v>
      </c>
      <c r="G246" s="35">
        <v>0.103961</v>
      </c>
    </row>
    <row r="247" spans="1:7" x14ac:dyDescent="0.3">
      <c r="A247" s="36" t="s">
        <v>57</v>
      </c>
      <c r="B247" s="47" t="s">
        <v>64</v>
      </c>
      <c r="C247" s="37">
        <v>46239</v>
      </c>
      <c r="D247" s="34" t="s">
        <v>24</v>
      </c>
      <c r="E247" s="41">
        <v>2875</v>
      </c>
      <c r="F247" s="33">
        <v>0.16952999999999999</v>
      </c>
      <c r="G247" s="35">
        <v>5.22023E-2</v>
      </c>
    </row>
    <row r="248" spans="1:7" x14ac:dyDescent="0.3">
      <c r="A248" s="36" t="s">
        <v>57</v>
      </c>
      <c r="B248" s="47" t="s">
        <v>64</v>
      </c>
      <c r="C248" s="37">
        <v>46239</v>
      </c>
      <c r="D248" s="34" t="s">
        <v>25</v>
      </c>
      <c r="E248" s="41">
        <v>1068</v>
      </c>
      <c r="F248" s="33">
        <v>0.21698300000000001</v>
      </c>
      <c r="G248" s="35">
        <v>5.2189399999999997E-2</v>
      </c>
    </row>
    <row r="249" spans="1:7" x14ac:dyDescent="0.3">
      <c r="A249" s="36" t="s">
        <v>57</v>
      </c>
      <c r="B249" s="47" t="s">
        <v>64</v>
      </c>
      <c r="C249" s="37">
        <v>46239</v>
      </c>
      <c r="D249" s="34" t="s">
        <v>26</v>
      </c>
      <c r="E249" s="41">
        <v>2305</v>
      </c>
      <c r="F249" s="33">
        <v>0.23683999999999999</v>
      </c>
      <c r="G249" s="35">
        <v>7.6153299999999993E-2</v>
      </c>
    </row>
    <row r="250" spans="1:7" x14ac:dyDescent="0.3">
      <c r="A250" s="36" t="s">
        <v>57</v>
      </c>
      <c r="B250" s="47" t="s">
        <v>64</v>
      </c>
      <c r="C250" s="37">
        <v>46239</v>
      </c>
      <c r="D250" s="34" t="s">
        <v>27</v>
      </c>
      <c r="E250" s="41">
        <v>2082</v>
      </c>
      <c r="F250" s="33">
        <v>0.36638300000000001</v>
      </c>
      <c r="G250" s="35">
        <v>8.3133600000000002E-2</v>
      </c>
    </row>
    <row r="251" spans="1:7" x14ac:dyDescent="0.3">
      <c r="A251" s="36" t="s">
        <v>57</v>
      </c>
      <c r="B251" s="47" t="s">
        <v>64</v>
      </c>
      <c r="C251" s="37">
        <v>46239</v>
      </c>
      <c r="D251" s="34" t="s">
        <v>28</v>
      </c>
      <c r="E251" s="41">
        <v>1186</v>
      </c>
      <c r="F251" s="33">
        <v>0.45028400000000002</v>
      </c>
      <c r="G251" s="35">
        <v>0.101206</v>
      </c>
    </row>
    <row r="252" spans="1:7" x14ac:dyDescent="0.3">
      <c r="A252" s="36" t="s">
        <v>57</v>
      </c>
      <c r="B252" s="47" t="s">
        <v>64</v>
      </c>
      <c r="C252" s="37">
        <v>46239</v>
      </c>
      <c r="D252" s="34" t="s">
        <v>29</v>
      </c>
      <c r="E252" s="41">
        <v>1775</v>
      </c>
      <c r="F252" s="33">
        <v>0.33224999999999999</v>
      </c>
      <c r="G252" s="35">
        <v>6.8822900000000006E-2</v>
      </c>
    </row>
    <row r="253" spans="1:7" x14ac:dyDescent="0.3">
      <c r="A253" s="36" t="s">
        <v>57</v>
      </c>
      <c r="B253" s="47" t="s">
        <v>64</v>
      </c>
      <c r="C253" s="37">
        <v>46239</v>
      </c>
      <c r="D253" s="34" t="s">
        <v>30</v>
      </c>
      <c r="E253" s="41">
        <v>1426</v>
      </c>
      <c r="F253" s="33">
        <v>0.53237500000000004</v>
      </c>
      <c r="G253" s="35">
        <v>0.10704900000000001</v>
      </c>
    </row>
    <row r="254" spans="1:7" x14ac:dyDescent="0.3">
      <c r="A254" s="36" t="s">
        <v>57</v>
      </c>
      <c r="B254" s="47" t="s">
        <v>64</v>
      </c>
      <c r="C254" s="37">
        <v>46240</v>
      </c>
      <c r="D254" s="34" t="s">
        <v>14</v>
      </c>
      <c r="E254" s="41">
        <v>3135</v>
      </c>
      <c r="F254" s="33">
        <v>0.38012600000000002</v>
      </c>
      <c r="G254" s="35">
        <v>0.10691000000000001</v>
      </c>
    </row>
    <row r="255" spans="1:7" x14ac:dyDescent="0.3">
      <c r="A255" s="36" t="s">
        <v>57</v>
      </c>
      <c r="B255" s="47" t="s">
        <v>64</v>
      </c>
      <c r="C255" s="37">
        <v>46240</v>
      </c>
      <c r="D255" s="34" t="s">
        <v>15</v>
      </c>
      <c r="E255" s="41">
        <v>2636</v>
      </c>
      <c r="F255" s="33">
        <v>0.39143699999999998</v>
      </c>
      <c r="G255" s="35">
        <v>0.10311099999999999</v>
      </c>
    </row>
    <row r="256" spans="1:7" x14ac:dyDescent="0.3">
      <c r="A256" s="36" t="s">
        <v>57</v>
      </c>
      <c r="B256" s="47" t="s">
        <v>64</v>
      </c>
      <c r="C256" s="37">
        <v>46240</v>
      </c>
      <c r="D256" s="34" t="s">
        <v>16</v>
      </c>
      <c r="E256" s="41">
        <v>1995</v>
      </c>
      <c r="F256" s="33">
        <v>0.46648899999999999</v>
      </c>
      <c r="G256" s="35">
        <v>0.10940999999999999</v>
      </c>
    </row>
    <row r="257" spans="1:7" x14ac:dyDescent="0.3">
      <c r="A257" s="36" t="s">
        <v>57</v>
      </c>
      <c r="B257" s="47" t="s">
        <v>64</v>
      </c>
      <c r="C257" s="37">
        <v>46240</v>
      </c>
      <c r="D257" s="34" t="s">
        <v>17</v>
      </c>
      <c r="E257" s="41">
        <v>2105</v>
      </c>
      <c r="F257" s="33">
        <v>0.52784600000000004</v>
      </c>
      <c r="G257" s="35">
        <v>0.10437299999999999</v>
      </c>
    </row>
    <row r="258" spans="1:7" x14ac:dyDescent="0.3">
      <c r="A258" s="36" t="s">
        <v>57</v>
      </c>
      <c r="B258" s="47" t="s">
        <v>64</v>
      </c>
      <c r="C258" s="37">
        <v>46240</v>
      </c>
      <c r="D258" s="34" t="s">
        <v>18</v>
      </c>
      <c r="E258" s="41">
        <v>2401</v>
      </c>
      <c r="F258" s="33">
        <v>0.29474400000000001</v>
      </c>
      <c r="G258" s="35">
        <v>7.01209E-2</v>
      </c>
    </row>
    <row r="259" spans="1:7" x14ac:dyDescent="0.3">
      <c r="A259" s="36" t="s">
        <v>57</v>
      </c>
      <c r="B259" s="47" t="s">
        <v>64</v>
      </c>
      <c r="C259" s="37">
        <v>46240</v>
      </c>
      <c r="D259" s="34" t="s">
        <v>19</v>
      </c>
      <c r="E259" s="41">
        <v>2035</v>
      </c>
      <c r="F259" s="33">
        <v>0.469972</v>
      </c>
      <c r="G259" s="35">
        <v>9.88203E-2</v>
      </c>
    </row>
    <row r="260" spans="1:7" x14ac:dyDescent="0.3">
      <c r="A260" s="36" t="s">
        <v>57</v>
      </c>
      <c r="B260" s="47" t="s">
        <v>64</v>
      </c>
      <c r="C260" s="37">
        <v>46240</v>
      </c>
      <c r="D260" s="34" t="s">
        <v>20</v>
      </c>
      <c r="E260" s="41">
        <v>2155</v>
      </c>
      <c r="F260" s="33">
        <v>0.44455299999999998</v>
      </c>
      <c r="G260" s="35">
        <v>9.2985300000000007E-2</v>
      </c>
    </row>
    <row r="261" spans="1:7" x14ac:dyDescent="0.3">
      <c r="A261" s="36" t="s">
        <v>57</v>
      </c>
      <c r="B261" s="47" t="s">
        <v>64</v>
      </c>
      <c r="C261" s="37">
        <v>46240</v>
      </c>
      <c r="D261" s="34" t="s">
        <v>34</v>
      </c>
      <c r="E261" s="41">
        <v>1002</v>
      </c>
      <c r="F261" s="33">
        <v>0.239033</v>
      </c>
      <c r="G261" s="35">
        <v>7.24495E-2</v>
      </c>
    </row>
    <row r="262" spans="1:7" x14ac:dyDescent="0.3">
      <c r="A262" s="36" t="s">
        <v>57</v>
      </c>
      <c r="B262" s="47" t="s">
        <v>64</v>
      </c>
      <c r="C262" s="37">
        <v>46240</v>
      </c>
      <c r="D262" s="34" t="s">
        <v>21</v>
      </c>
      <c r="E262" s="41">
        <v>2691</v>
      </c>
      <c r="F262" s="33">
        <v>0.49062899999999998</v>
      </c>
      <c r="G262" s="35">
        <v>9.5427200000000004E-2</v>
      </c>
    </row>
    <row r="263" spans="1:7" x14ac:dyDescent="0.3">
      <c r="A263" s="36" t="s">
        <v>57</v>
      </c>
      <c r="B263" s="47" t="s">
        <v>64</v>
      </c>
      <c r="C263" s="37">
        <v>46240</v>
      </c>
      <c r="D263" s="34" t="s">
        <v>22</v>
      </c>
      <c r="E263" s="41">
        <v>2302</v>
      </c>
      <c r="F263" s="33">
        <v>0.313778</v>
      </c>
      <c r="G263" s="35">
        <v>8.52522E-2</v>
      </c>
    </row>
    <row r="264" spans="1:7" x14ac:dyDescent="0.3">
      <c r="A264" s="36" t="s">
        <v>57</v>
      </c>
      <c r="B264" s="47" t="s">
        <v>64</v>
      </c>
      <c r="C264" s="37">
        <v>46240</v>
      </c>
      <c r="D264" s="34" t="s">
        <v>23</v>
      </c>
      <c r="E264" s="41">
        <v>1549</v>
      </c>
      <c r="F264" s="33">
        <v>0.26917099999999999</v>
      </c>
      <c r="G264" s="35">
        <v>8.8343599999999994E-2</v>
      </c>
    </row>
    <row r="265" spans="1:7" x14ac:dyDescent="0.3">
      <c r="A265" s="36" t="s">
        <v>57</v>
      </c>
      <c r="B265" s="47" t="s">
        <v>64</v>
      </c>
      <c r="C265" s="37">
        <v>46240</v>
      </c>
      <c r="D265" s="34" t="s">
        <v>24</v>
      </c>
      <c r="E265" s="41">
        <v>2964</v>
      </c>
      <c r="F265" s="33">
        <v>0.23794100000000001</v>
      </c>
      <c r="G265" s="35">
        <v>7.3253399999999996E-2</v>
      </c>
    </row>
    <row r="266" spans="1:7" x14ac:dyDescent="0.3">
      <c r="A266" s="36" t="s">
        <v>57</v>
      </c>
      <c r="B266" s="47" t="s">
        <v>64</v>
      </c>
      <c r="C266" s="37">
        <v>46240</v>
      </c>
      <c r="D266" s="34" t="s">
        <v>25</v>
      </c>
      <c r="E266" s="41">
        <v>1027</v>
      </c>
      <c r="F266" s="33">
        <v>0.20263600000000001</v>
      </c>
      <c r="G266" s="35">
        <v>4.8736000000000002E-2</v>
      </c>
    </row>
    <row r="267" spans="1:7" x14ac:dyDescent="0.3">
      <c r="A267" s="36" t="s">
        <v>57</v>
      </c>
      <c r="B267" s="47" t="s">
        <v>64</v>
      </c>
      <c r="C267" s="37">
        <v>46240</v>
      </c>
      <c r="D267" s="34" t="s">
        <v>26</v>
      </c>
      <c r="E267" s="41">
        <v>2335</v>
      </c>
      <c r="F267" s="33">
        <v>0.27803099999999997</v>
      </c>
      <c r="G267" s="35">
        <v>8.9409199999999994E-2</v>
      </c>
    </row>
    <row r="268" spans="1:7" x14ac:dyDescent="0.3">
      <c r="A268" s="36" t="s">
        <v>57</v>
      </c>
      <c r="B268" s="47" t="s">
        <v>64</v>
      </c>
      <c r="C268" s="37">
        <v>46240</v>
      </c>
      <c r="D268" s="34" t="s">
        <v>27</v>
      </c>
      <c r="E268" s="41">
        <v>2212</v>
      </c>
      <c r="F268" s="33">
        <v>0.41084799999999999</v>
      </c>
      <c r="G268" s="35">
        <v>9.3203400000000006E-2</v>
      </c>
    </row>
    <row r="269" spans="1:7" x14ac:dyDescent="0.3">
      <c r="A269" s="36" t="s">
        <v>57</v>
      </c>
      <c r="B269" s="47" t="s">
        <v>64</v>
      </c>
      <c r="C269" s="37">
        <v>46240</v>
      </c>
      <c r="D269" s="34" t="s">
        <v>28</v>
      </c>
      <c r="E269" s="41">
        <v>1581</v>
      </c>
      <c r="F269" s="33">
        <v>0.38925500000000002</v>
      </c>
      <c r="G269" s="35">
        <v>8.7431800000000004E-2</v>
      </c>
    </row>
    <row r="270" spans="1:7" x14ac:dyDescent="0.3">
      <c r="A270" s="36" t="s">
        <v>57</v>
      </c>
      <c r="B270" s="47" t="s">
        <v>64</v>
      </c>
      <c r="C270" s="37">
        <v>46240</v>
      </c>
      <c r="D270" s="34" t="s">
        <v>29</v>
      </c>
      <c r="E270" s="41">
        <v>1639</v>
      </c>
      <c r="F270" s="33">
        <v>0.36172500000000002</v>
      </c>
      <c r="G270" s="35">
        <v>7.4926099999999995E-2</v>
      </c>
    </row>
    <row r="271" spans="1:7" x14ac:dyDescent="0.3">
      <c r="A271" s="36" t="s">
        <v>57</v>
      </c>
      <c r="B271" s="47" t="s">
        <v>64</v>
      </c>
      <c r="C271" s="37">
        <v>46240</v>
      </c>
      <c r="D271" s="34" t="s">
        <v>30</v>
      </c>
      <c r="E271" s="41">
        <v>1495</v>
      </c>
      <c r="F271" s="33">
        <v>0.51360899999999998</v>
      </c>
      <c r="G271" s="35">
        <v>0.103296</v>
      </c>
    </row>
    <row r="272" spans="1:7" x14ac:dyDescent="0.3">
      <c r="A272" s="36" t="s">
        <v>63</v>
      </c>
      <c r="B272" s="48" t="s">
        <v>89</v>
      </c>
      <c r="C272" s="37">
        <v>46240</v>
      </c>
      <c r="D272" s="34" t="s">
        <v>14</v>
      </c>
      <c r="E272" s="41">
        <v>2797</v>
      </c>
      <c r="F272" s="33">
        <v>0.43401499999999998</v>
      </c>
      <c r="G272" s="35">
        <v>0.122126</v>
      </c>
    </row>
    <row r="273" spans="1:7" x14ac:dyDescent="0.3">
      <c r="A273" s="36" t="s">
        <v>63</v>
      </c>
      <c r="B273" s="48" t="s">
        <v>89</v>
      </c>
      <c r="C273" s="37">
        <v>46240</v>
      </c>
      <c r="D273" s="34" t="s">
        <v>15</v>
      </c>
      <c r="E273" s="41">
        <v>2550</v>
      </c>
      <c r="F273" s="33">
        <v>0.44123600000000002</v>
      </c>
      <c r="G273" s="35">
        <v>0.11627899999999999</v>
      </c>
    </row>
    <row r="274" spans="1:7" x14ac:dyDescent="0.3">
      <c r="A274" s="36" t="s">
        <v>63</v>
      </c>
      <c r="B274" s="48" t="s">
        <v>89</v>
      </c>
      <c r="C274" s="37">
        <v>46240</v>
      </c>
      <c r="D274" s="34" t="s">
        <v>16</v>
      </c>
      <c r="E274" s="41">
        <v>1714</v>
      </c>
      <c r="F274" s="33">
        <v>0.546682</v>
      </c>
      <c r="G274" s="35">
        <v>0.128278</v>
      </c>
    </row>
    <row r="275" spans="1:7" x14ac:dyDescent="0.3">
      <c r="A275" s="36" t="s">
        <v>63</v>
      </c>
      <c r="B275" s="48" t="s">
        <v>89</v>
      </c>
      <c r="C275" s="37">
        <v>46240</v>
      </c>
      <c r="D275" s="34" t="s">
        <v>17</v>
      </c>
      <c r="E275" s="41">
        <v>2180</v>
      </c>
      <c r="F275" s="33">
        <v>0.615757</v>
      </c>
      <c r="G275" s="35">
        <v>0.12180100000000001</v>
      </c>
    </row>
    <row r="276" spans="1:7" x14ac:dyDescent="0.3">
      <c r="A276" s="36" t="s">
        <v>63</v>
      </c>
      <c r="B276" s="48" t="s">
        <v>89</v>
      </c>
      <c r="C276" s="37">
        <v>46240</v>
      </c>
      <c r="D276" s="34" t="s">
        <v>18</v>
      </c>
      <c r="E276" s="41">
        <v>1786</v>
      </c>
      <c r="F276" s="33">
        <v>0.38157099999999999</v>
      </c>
      <c r="G276" s="35">
        <v>9.0749499999999997E-2</v>
      </c>
    </row>
    <row r="277" spans="1:7" x14ac:dyDescent="0.3">
      <c r="A277" s="36" t="s">
        <v>63</v>
      </c>
      <c r="B277" s="48" t="s">
        <v>89</v>
      </c>
      <c r="C277" s="37">
        <v>46240</v>
      </c>
      <c r="D277" s="34" t="s">
        <v>19</v>
      </c>
      <c r="E277" s="41">
        <v>1846</v>
      </c>
      <c r="F277" s="33">
        <v>0.52055300000000004</v>
      </c>
      <c r="G277" s="35">
        <v>0.109483</v>
      </c>
    </row>
    <row r="278" spans="1:7" x14ac:dyDescent="0.3">
      <c r="A278" s="36" t="s">
        <v>63</v>
      </c>
      <c r="B278" s="48" t="s">
        <v>89</v>
      </c>
      <c r="C278" s="37">
        <v>46240</v>
      </c>
      <c r="D278" s="34" t="s">
        <v>20</v>
      </c>
      <c r="E278" s="41">
        <v>1966</v>
      </c>
      <c r="F278" s="33">
        <v>0.51282000000000005</v>
      </c>
      <c r="G278" s="35">
        <v>0.10731599999999999</v>
      </c>
    </row>
    <row r="279" spans="1:7" x14ac:dyDescent="0.3">
      <c r="A279" s="36" t="s">
        <v>63</v>
      </c>
      <c r="B279" s="48" t="s">
        <v>89</v>
      </c>
      <c r="C279" s="37">
        <v>46240</v>
      </c>
      <c r="D279" s="34" t="s">
        <v>34</v>
      </c>
      <c r="E279" s="41">
        <v>1119</v>
      </c>
      <c r="F279" s="33">
        <v>0.281113</v>
      </c>
      <c r="G279" s="35">
        <v>8.52189E-2</v>
      </c>
    </row>
    <row r="280" spans="1:7" x14ac:dyDescent="0.3">
      <c r="A280" s="36" t="s">
        <v>63</v>
      </c>
      <c r="B280" s="48" t="s">
        <v>89</v>
      </c>
      <c r="C280" s="37">
        <v>46240</v>
      </c>
      <c r="D280" s="34" t="s">
        <v>21</v>
      </c>
      <c r="E280" s="41">
        <v>3478</v>
      </c>
      <c r="F280" s="33">
        <v>0.44732899999999998</v>
      </c>
      <c r="G280" s="35">
        <v>8.7060100000000001E-2</v>
      </c>
    </row>
    <row r="281" spans="1:7" x14ac:dyDescent="0.3">
      <c r="A281" s="36" t="s">
        <v>63</v>
      </c>
      <c r="B281" s="48" t="s">
        <v>89</v>
      </c>
      <c r="C281" s="37">
        <v>46240</v>
      </c>
      <c r="D281" s="34" t="s">
        <v>22</v>
      </c>
      <c r="E281" s="41">
        <v>2482</v>
      </c>
      <c r="F281" s="33">
        <v>0.45203700000000002</v>
      </c>
      <c r="G281" s="35">
        <v>0.12279</v>
      </c>
    </row>
    <row r="282" spans="1:7" x14ac:dyDescent="0.3">
      <c r="A282" s="36" t="s">
        <v>63</v>
      </c>
      <c r="B282" s="48" t="s">
        <v>89</v>
      </c>
      <c r="C282" s="37">
        <v>46240</v>
      </c>
      <c r="D282" s="34" t="s">
        <v>23</v>
      </c>
      <c r="E282" s="41">
        <v>1228</v>
      </c>
      <c r="F282" s="33">
        <v>0.293929</v>
      </c>
      <c r="G282" s="35">
        <v>9.6478900000000006E-2</v>
      </c>
    </row>
    <row r="283" spans="1:7" x14ac:dyDescent="0.3">
      <c r="A283" s="36" t="s">
        <v>63</v>
      </c>
      <c r="B283" s="48" t="s">
        <v>89</v>
      </c>
      <c r="C283" s="37">
        <v>46240</v>
      </c>
      <c r="D283" s="34" t="s">
        <v>24</v>
      </c>
      <c r="E283" s="41">
        <v>2779</v>
      </c>
      <c r="F283" s="33">
        <v>0.19153899999999999</v>
      </c>
      <c r="G283" s="35">
        <v>5.9011300000000003E-2</v>
      </c>
    </row>
    <row r="284" spans="1:7" x14ac:dyDescent="0.3">
      <c r="A284" s="36" t="s">
        <v>63</v>
      </c>
      <c r="B284" s="48" t="s">
        <v>89</v>
      </c>
      <c r="C284" s="37">
        <v>46240</v>
      </c>
      <c r="D284" s="34" t="s">
        <v>25</v>
      </c>
      <c r="E284" s="41">
        <v>1058</v>
      </c>
      <c r="F284" s="33">
        <v>0.199429</v>
      </c>
      <c r="G284" s="35">
        <v>4.7962699999999997E-2</v>
      </c>
    </row>
    <row r="285" spans="1:7" x14ac:dyDescent="0.3">
      <c r="A285" s="36" t="s">
        <v>63</v>
      </c>
      <c r="B285" s="48" t="s">
        <v>89</v>
      </c>
      <c r="C285" s="37">
        <v>46240</v>
      </c>
      <c r="D285" s="34" t="s">
        <v>26</v>
      </c>
      <c r="E285" s="41">
        <v>2610</v>
      </c>
      <c r="F285" s="33">
        <v>0.19561600000000001</v>
      </c>
      <c r="G285" s="35">
        <v>6.2890600000000005E-2</v>
      </c>
    </row>
    <row r="286" spans="1:7" x14ac:dyDescent="0.3">
      <c r="A286" s="36" t="s">
        <v>63</v>
      </c>
      <c r="B286" s="48" t="s">
        <v>89</v>
      </c>
      <c r="C286" s="37">
        <v>46240</v>
      </c>
      <c r="D286" s="34" t="s">
        <v>27</v>
      </c>
      <c r="E286" s="41">
        <v>2508</v>
      </c>
      <c r="F286" s="33">
        <v>0.38116</v>
      </c>
      <c r="G286" s="35">
        <v>8.6512500000000006E-2</v>
      </c>
    </row>
    <row r="287" spans="1:7" x14ac:dyDescent="0.3">
      <c r="A287" s="36" t="s">
        <v>63</v>
      </c>
      <c r="B287" s="48" t="s">
        <v>89</v>
      </c>
      <c r="C287" s="37">
        <v>46240</v>
      </c>
      <c r="D287" s="34" t="s">
        <v>28</v>
      </c>
      <c r="E287" s="41">
        <v>1261</v>
      </c>
      <c r="F287" s="33">
        <v>0.54010899999999995</v>
      </c>
      <c r="G287" s="35">
        <v>0.121348</v>
      </c>
    </row>
    <row r="288" spans="1:7" x14ac:dyDescent="0.3">
      <c r="A288" s="36" t="s">
        <v>63</v>
      </c>
      <c r="B288" s="48" t="s">
        <v>89</v>
      </c>
      <c r="C288" s="37">
        <v>46240</v>
      </c>
      <c r="D288" s="34" t="s">
        <v>29</v>
      </c>
      <c r="E288" s="41">
        <v>1538</v>
      </c>
      <c r="F288" s="33">
        <v>0.45475500000000002</v>
      </c>
      <c r="G288" s="35">
        <v>9.4206300000000007E-2</v>
      </c>
    </row>
    <row r="289" spans="1:7" x14ac:dyDescent="0.3">
      <c r="A289" s="36" t="s">
        <v>63</v>
      </c>
      <c r="B289" s="48" t="s">
        <v>89</v>
      </c>
      <c r="C289" s="37">
        <v>46240</v>
      </c>
      <c r="D289" s="34" t="s">
        <v>30</v>
      </c>
      <c r="E289" s="41">
        <v>1002</v>
      </c>
      <c r="F289" s="33">
        <v>0.75186900000000001</v>
      </c>
      <c r="G289" s="35">
        <v>0.151252</v>
      </c>
    </row>
    <row r="290" spans="1:7" x14ac:dyDescent="0.3">
      <c r="A290" s="36" t="s">
        <v>63</v>
      </c>
      <c r="B290" s="48" t="s">
        <v>90</v>
      </c>
      <c r="C290" s="37">
        <v>46240</v>
      </c>
      <c r="D290" s="34" t="s">
        <v>14</v>
      </c>
      <c r="E290" s="41">
        <v>3201</v>
      </c>
      <c r="F290" s="33">
        <v>0.44218600000000002</v>
      </c>
      <c r="G290" s="35">
        <v>0.120863</v>
      </c>
    </row>
    <row r="291" spans="1:7" x14ac:dyDescent="0.3">
      <c r="A291" s="36" t="s">
        <v>63</v>
      </c>
      <c r="B291" s="48" t="s">
        <v>90</v>
      </c>
      <c r="C291" s="37">
        <v>46240</v>
      </c>
      <c r="D291" s="34" t="s">
        <v>15</v>
      </c>
      <c r="E291" s="41">
        <v>3040</v>
      </c>
      <c r="F291" s="33">
        <v>0.44613000000000003</v>
      </c>
      <c r="G291" s="35">
        <v>0.113722</v>
      </c>
    </row>
    <row r="292" spans="1:7" x14ac:dyDescent="0.3">
      <c r="A292" s="36" t="s">
        <v>63</v>
      </c>
      <c r="B292" s="48" t="s">
        <v>90</v>
      </c>
      <c r="C292" s="37">
        <v>46240</v>
      </c>
      <c r="D292" s="34" t="s">
        <v>16</v>
      </c>
      <c r="E292" s="41">
        <v>2087</v>
      </c>
      <c r="F292" s="33">
        <v>0.601603</v>
      </c>
      <c r="G292" s="35">
        <v>0.13392100000000001</v>
      </c>
    </row>
    <row r="293" spans="1:7" x14ac:dyDescent="0.3">
      <c r="A293" s="36" t="s">
        <v>63</v>
      </c>
      <c r="B293" s="48" t="s">
        <v>90</v>
      </c>
      <c r="C293" s="37">
        <v>46240</v>
      </c>
      <c r="D293" s="34" t="s">
        <v>17</v>
      </c>
      <c r="E293" s="41">
        <v>2579</v>
      </c>
      <c r="F293" s="33">
        <v>0.65812000000000004</v>
      </c>
      <c r="G293" s="35">
        <v>0.13445299999999999</v>
      </c>
    </row>
    <row r="294" spans="1:7" x14ac:dyDescent="0.3">
      <c r="A294" s="36" t="s">
        <v>63</v>
      </c>
      <c r="B294" s="48" t="s">
        <v>90</v>
      </c>
      <c r="C294" s="37">
        <v>46240</v>
      </c>
      <c r="D294" s="34" t="s">
        <v>18</v>
      </c>
      <c r="E294" s="41">
        <v>2328</v>
      </c>
      <c r="F294" s="33">
        <v>0.38157099999999999</v>
      </c>
      <c r="G294" s="35">
        <v>9.0749499999999997E-2</v>
      </c>
    </row>
    <row r="295" spans="1:7" x14ac:dyDescent="0.3">
      <c r="A295" s="36" t="s">
        <v>63</v>
      </c>
      <c r="B295" s="48" t="s">
        <v>90</v>
      </c>
      <c r="C295" s="37">
        <v>46240</v>
      </c>
      <c r="D295" s="34" t="s">
        <v>19</v>
      </c>
      <c r="E295" s="41">
        <v>2407</v>
      </c>
      <c r="F295" s="33">
        <v>0.58857599999999999</v>
      </c>
      <c r="G295" s="35">
        <v>0.118063</v>
      </c>
    </row>
    <row r="296" spans="1:7" x14ac:dyDescent="0.3">
      <c r="A296" s="36" t="s">
        <v>63</v>
      </c>
      <c r="B296" s="48" t="s">
        <v>90</v>
      </c>
      <c r="C296" s="37">
        <v>46240</v>
      </c>
      <c r="D296" s="34" t="s">
        <v>20</v>
      </c>
      <c r="E296" s="41">
        <v>2648</v>
      </c>
      <c r="F296" s="33">
        <v>0.66278000000000004</v>
      </c>
      <c r="G296" s="35">
        <v>0.13273699999999999</v>
      </c>
    </row>
    <row r="297" spans="1:7" x14ac:dyDescent="0.3">
      <c r="A297" s="36" t="s">
        <v>63</v>
      </c>
      <c r="B297" s="48" t="s">
        <v>90</v>
      </c>
      <c r="C297" s="37">
        <v>46240</v>
      </c>
      <c r="D297" s="34" t="s">
        <v>34</v>
      </c>
      <c r="E297" s="41">
        <v>1045</v>
      </c>
      <c r="F297" s="33">
        <v>0.30008299999999999</v>
      </c>
      <c r="G297" s="35">
        <v>8.6968599999999993E-2</v>
      </c>
    </row>
    <row r="298" spans="1:7" x14ac:dyDescent="0.3">
      <c r="A298" s="36" t="s">
        <v>63</v>
      </c>
      <c r="B298" s="48" t="s">
        <v>90</v>
      </c>
      <c r="C298" s="37">
        <v>46240</v>
      </c>
      <c r="D298" s="34" t="s">
        <v>21</v>
      </c>
      <c r="E298" s="41">
        <v>3707</v>
      </c>
      <c r="F298" s="33">
        <v>0.43379899999999999</v>
      </c>
      <c r="G298" s="35">
        <v>8.84128E-2</v>
      </c>
    </row>
    <row r="299" spans="1:7" x14ac:dyDescent="0.3">
      <c r="A299" s="36" t="s">
        <v>63</v>
      </c>
      <c r="B299" s="48" t="s">
        <v>90</v>
      </c>
      <c r="C299" s="37">
        <v>46240</v>
      </c>
      <c r="D299" s="34" t="s">
        <v>22</v>
      </c>
      <c r="E299" s="41">
        <v>2762</v>
      </c>
      <c r="F299" s="33">
        <v>0.46423999999999999</v>
      </c>
      <c r="G299" s="35">
        <v>0.12906100000000001</v>
      </c>
    </row>
    <row r="300" spans="1:7" x14ac:dyDescent="0.3">
      <c r="A300" s="36" t="s">
        <v>63</v>
      </c>
      <c r="B300" s="48" t="s">
        <v>90</v>
      </c>
      <c r="C300" s="37">
        <v>46240</v>
      </c>
      <c r="D300" s="34" t="s">
        <v>23</v>
      </c>
      <c r="E300" s="41">
        <v>1001</v>
      </c>
      <c r="F300" s="33">
        <v>0.40006399999999998</v>
      </c>
      <c r="G300" s="35">
        <v>0.13063900000000001</v>
      </c>
    </row>
    <row r="301" spans="1:7" x14ac:dyDescent="0.3">
      <c r="A301" s="36" t="s">
        <v>63</v>
      </c>
      <c r="B301" s="48" t="s">
        <v>90</v>
      </c>
      <c r="C301" s="37">
        <v>46240</v>
      </c>
      <c r="D301" s="34" t="s">
        <v>24</v>
      </c>
      <c r="E301" s="41">
        <v>3040</v>
      </c>
      <c r="F301" s="33">
        <v>0.25951999999999997</v>
      </c>
      <c r="G301" s="35">
        <v>8.3202100000000001E-2</v>
      </c>
    </row>
    <row r="302" spans="1:7" x14ac:dyDescent="0.3">
      <c r="A302" s="36" t="s">
        <v>63</v>
      </c>
      <c r="B302" s="48" t="s">
        <v>90</v>
      </c>
      <c r="C302" s="37">
        <v>46240</v>
      </c>
      <c r="D302" s="34" t="s">
        <v>25</v>
      </c>
      <c r="E302" s="41">
        <v>1081</v>
      </c>
      <c r="F302" s="33">
        <v>0.19483200000000001</v>
      </c>
      <c r="G302" s="35">
        <v>4.92673E-2</v>
      </c>
    </row>
    <row r="303" spans="1:7" x14ac:dyDescent="0.3">
      <c r="A303" s="36" t="s">
        <v>63</v>
      </c>
      <c r="B303" s="48" t="s">
        <v>90</v>
      </c>
      <c r="C303" s="37">
        <v>46240</v>
      </c>
      <c r="D303" s="34" t="s">
        <v>26</v>
      </c>
      <c r="E303" s="41">
        <v>2824</v>
      </c>
      <c r="F303" s="33">
        <v>0.257988</v>
      </c>
      <c r="G303" s="35">
        <v>8.1980600000000001E-2</v>
      </c>
    </row>
    <row r="304" spans="1:7" x14ac:dyDescent="0.3">
      <c r="A304" s="36" t="s">
        <v>63</v>
      </c>
      <c r="B304" s="48" t="s">
        <v>90</v>
      </c>
      <c r="C304" s="37">
        <v>46240</v>
      </c>
      <c r="D304" s="34" t="s">
        <v>27</v>
      </c>
      <c r="E304" s="41">
        <v>2935</v>
      </c>
      <c r="F304" s="33">
        <v>0.35716399999999998</v>
      </c>
      <c r="G304" s="35">
        <v>8.5796200000000003E-2</v>
      </c>
    </row>
    <row r="305" spans="1:7" x14ac:dyDescent="0.3">
      <c r="A305" s="36" t="s">
        <v>63</v>
      </c>
      <c r="B305" s="48" t="s">
        <v>90</v>
      </c>
      <c r="C305" s="37">
        <v>46240</v>
      </c>
      <c r="D305" s="34" t="s">
        <v>28</v>
      </c>
      <c r="E305" s="41">
        <v>2001</v>
      </c>
      <c r="F305" s="33">
        <v>0.32775199999999999</v>
      </c>
      <c r="G305" s="35">
        <v>7.7657400000000001E-2</v>
      </c>
    </row>
    <row r="306" spans="1:7" x14ac:dyDescent="0.3">
      <c r="A306" s="36" t="s">
        <v>63</v>
      </c>
      <c r="B306" s="48" t="s">
        <v>90</v>
      </c>
      <c r="C306" s="37">
        <v>46240</v>
      </c>
      <c r="D306" s="34" t="s">
        <v>29</v>
      </c>
      <c r="E306" s="41">
        <v>1747</v>
      </c>
      <c r="F306" s="33">
        <v>0.44507000000000002</v>
      </c>
      <c r="G306" s="35">
        <v>8.8841199999999995E-2</v>
      </c>
    </row>
    <row r="307" spans="1:7" x14ac:dyDescent="0.3">
      <c r="A307" s="36" t="s">
        <v>63</v>
      </c>
      <c r="B307" s="48" t="s">
        <v>90</v>
      </c>
      <c r="C307" s="37">
        <v>46240</v>
      </c>
      <c r="D307" s="34" t="s">
        <v>30</v>
      </c>
      <c r="E307" s="41">
        <v>1106</v>
      </c>
      <c r="F307" s="33">
        <v>0.94636500000000001</v>
      </c>
      <c r="G307" s="35">
        <v>0.197852</v>
      </c>
    </row>
    <row r="308" spans="1:7" x14ac:dyDescent="0.3">
      <c r="A308" s="36" t="s">
        <v>57</v>
      </c>
      <c r="B308" s="47" t="s">
        <v>64</v>
      </c>
      <c r="C308" s="37">
        <v>46242</v>
      </c>
      <c r="D308" s="34" t="s">
        <v>14</v>
      </c>
      <c r="E308" s="41">
        <v>2347</v>
      </c>
      <c r="F308" s="33">
        <v>0.44430900000000001</v>
      </c>
      <c r="G308" s="35">
        <v>0.121479</v>
      </c>
    </row>
    <row r="309" spans="1:7" x14ac:dyDescent="0.3">
      <c r="A309" s="36" t="s">
        <v>57</v>
      </c>
      <c r="B309" s="47" t="s">
        <v>64</v>
      </c>
      <c r="C309" s="37">
        <v>46242</v>
      </c>
      <c r="D309" s="34" t="s">
        <v>15</v>
      </c>
      <c r="E309" s="41">
        <v>2222</v>
      </c>
      <c r="F309" s="33">
        <v>0.42294799999999999</v>
      </c>
      <c r="G309" s="35">
        <v>0.107791</v>
      </c>
    </row>
    <row r="310" spans="1:7" x14ac:dyDescent="0.3">
      <c r="A310" s="36" t="s">
        <v>57</v>
      </c>
      <c r="B310" s="47" t="s">
        <v>64</v>
      </c>
      <c r="C310" s="37">
        <v>46242</v>
      </c>
      <c r="D310" s="34" t="s">
        <v>16</v>
      </c>
      <c r="E310" s="41">
        <v>2021</v>
      </c>
      <c r="F310" s="33">
        <v>0.51043099999999997</v>
      </c>
      <c r="G310" s="35">
        <v>0.113635</v>
      </c>
    </row>
    <row r="311" spans="1:7" x14ac:dyDescent="0.3">
      <c r="A311" s="36" t="s">
        <v>57</v>
      </c>
      <c r="B311" s="47" t="s">
        <v>64</v>
      </c>
      <c r="C311" s="37">
        <v>46242</v>
      </c>
      <c r="D311" s="34" t="s">
        <v>17</v>
      </c>
      <c r="E311" s="41">
        <v>1719</v>
      </c>
      <c r="F311" s="33">
        <v>0.54024799999999995</v>
      </c>
      <c r="G311" s="35">
        <v>0.11029799999999999</v>
      </c>
    </row>
    <row r="312" spans="1:7" x14ac:dyDescent="0.3">
      <c r="A312" s="36" t="s">
        <v>57</v>
      </c>
      <c r="B312" s="47" t="s">
        <v>64</v>
      </c>
      <c r="C312" s="37">
        <v>46242</v>
      </c>
      <c r="D312" s="34" t="s">
        <v>18</v>
      </c>
      <c r="E312" s="41">
        <v>1950</v>
      </c>
      <c r="F312" s="33">
        <v>0.38157099999999999</v>
      </c>
      <c r="G312" s="35">
        <v>9.0749499999999997E-2</v>
      </c>
    </row>
    <row r="313" spans="1:7" x14ac:dyDescent="0.3">
      <c r="A313" s="36" t="s">
        <v>57</v>
      </c>
      <c r="B313" s="47" t="s">
        <v>64</v>
      </c>
      <c r="C313" s="37">
        <v>46242</v>
      </c>
      <c r="D313" s="34" t="s">
        <v>19</v>
      </c>
      <c r="E313" s="41">
        <v>1979</v>
      </c>
      <c r="F313" s="33">
        <v>0.40723799999999999</v>
      </c>
      <c r="G313" s="35">
        <v>8.1662799999999994E-2</v>
      </c>
    </row>
    <row r="314" spans="1:7" x14ac:dyDescent="0.3">
      <c r="A314" s="36" t="s">
        <v>57</v>
      </c>
      <c r="B314" s="47" t="s">
        <v>64</v>
      </c>
      <c r="C314" s="37">
        <v>46242</v>
      </c>
      <c r="D314" s="34" t="s">
        <v>20</v>
      </c>
      <c r="E314" s="41">
        <v>2245</v>
      </c>
      <c r="F314" s="33">
        <v>0.44565500000000002</v>
      </c>
      <c r="G314" s="35">
        <v>8.9242699999999994E-2</v>
      </c>
    </row>
    <row r="315" spans="1:7" x14ac:dyDescent="0.3">
      <c r="A315" s="36" t="s">
        <v>57</v>
      </c>
      <c r="B315" s="47" t="s">
        <v>64</v>
      </c>
      <c r="C315" s="37">
        <v>46242</v>
      </c>
      <c r="D315" s="34" t="s">
        <v>34</v>
      </c>
      <c r="E315" s="41">
        <v>1145</v>
      </c>
      <c r="F315" s="33">
        <v>0.28156700000000001</v>
      </c>
      <c r="G315" s="35">
        <v>8.1516099999999994E-2</v>
      </c>
    </row>
    <row r="316" spans="1:7" x14ac:dyDescent="0.3">
      <c r="A316" s="36" t="s">
        <v>57</v>
      </c>
      <c r="B316" s="47" t="s">
        <v>64</v>
      </c>
      <c r="C316" s="37">
        <v>46242</v>
      </c>
      <c r="D316" s="34" t="s">
        <v>21</v>
      </c>
      <c r="E316" s="41">
        <v>2984</v>
      </c>
      <c r="F316" s="33">
        <v>0.42464800000000003</v>
      </c>
      <c r="G316" s="35">
        <v>8.65345E-2</v>
      </c>
    </row>
    <row r="317" spans="1:7" x14ac:dyDescent="0.3">
      <c r="A317" s="36" t="s">
        <v>57</v>
      </c>
      <c r="B317" s="47" t="s">
        <v>64</v>
      </c>
      <c r="C317" s="37">
        <v>46242</v>
      </c>
      <c r="D317" s="34" t="s">
        <v>22</v>
      </c>
      <c r="E317" s="41">
        <v>1992</v>
      </c>
      <c r="F317" s="33">
        <v>0.37770399999999998</v>
      </c>
      <c r="G317" s="35">
        <v>0.104974</v>
      </c>
    </row>
    <row r="318" spans="1:7" x14ac:dyDescent="0.3">
      <c r="A318" s="36" t="s">
        <v>57</v>
      </c>
      <c r="B318" s="47" t="s">
        <v>64</v>
      </c>
      <c r="C318" s="37">
        <v>46242</v>
      </c>
      <c r="D318" s="34" t="s">
        <v>23</v>
      </c>
      <c r="E318" s="41">
        <v>1328</v>
      </c>
      <c r="F318" s="33">
        <v>0.42462699999999998</v>
      </c>
      <c r="G318" s="35">
        <v>0.13869799999999999</v>
      </c>
    </row>
    <row r="319" spans="1:7" x14ac:dyDescent="0.3">
      <c r="A319" s="36" t="s">
        <v>57</v>
      </c>
      <c r="B319" s="47" t="s">
        <v>64</v>
      </c>
      <c r="C319" s="37">
        <v>46242</v>
      </c>
      <c r="D319" s="34" t="s">
        <v>24</v>
      </c>
      <c r="E319" s="41">
        <v>2725</v>
      </c>
      <c r="F319" s="33">
        <v>0.174926</v>
      </c>
      <c r="G319" s="35">
        <v>5.6090300000000003E-2</v>
      </c>
    </row>
    <row r="320" spans="1:7" x14ac:dyDescent="0.3">
      <c r="A320" s="36" t="s">
        <v>57</v>
      </c>
      <c r="B320" s="47" t="s">
        <v>64</v>
      </c>
      <c r="C320" s="37">
        <v>46242</v>
      </c>
      <c r="D320" s="34" t="s">
        <v>25</v>
      </c>
      <c r="E320" s="41">
        <v>1108</v>
      </c>
      <c r="F320" s="33">
        <v>0.17077700000000001</v>
      </c>
      <c r="G320" s="35">
        <v>4.3160200000000003E-2</v>
      </c>
    </row>
    <row r="321" spans="1:7" x14ac:dyDescent="0.3">
      <c r="A321" s="36" t="s">
        <v>57</v>
      </c>
      <c r="B321" s="47" t="s">
        <v>64</v>
      </c>
      <c r="C321" s="37">
        <v>46242</v>
      </c>
      <c r="D321" s="34" t="s">
        <v>26</v>
      </c>
      <c r="E321" s="41">
        <v>2406</v>
      </c>
      <c r="F321" s="33">
        <v>0.17474799999999999</v>
      </c>
      <c r="G321" s="35">
        <v>5.5523200000000002E-2</v>
      </c>
    </row>
    <row r="322" spans="1:7" x14ac:dyDescent="0.3">
      <c r="A322" s="36" t="s">
        <v>57</v>
      </c>
      <c r="B322" s="47" t="s">
        <v>64</v>
      </c>
      <c r="C322" s="37">
        <v>46242</v>
      </c>
      <c r="D322" s="34" t="s">
        <v>27</v>
      </c>
      <c r="E322" s="41">
        <v>1994</v>
      </c>
      <c r="F322" s="33">
        <v>0.33553899999999998</v>
      </c>
      <c r="G322" s="35">
        <v>8.0594700000000005E-2</v>
      </c>
    </row>
    <row r="323" spans="1:7" x14ac:dyDescent="0.3">
      <c r="A323" s="36" t="s">
        <v>57</v>
      </c>
      <c r="B323" s="47" t="s">
        <v>64</v>
      </c>
      <c r="C323" s="37">
        <v>46242</v>
      </c>
      <c r="D323" s="34" t="s">
        <v>28</v>
      </c>
      <c r="E323" s="41">
        <v>1075</v>
      </c>
      <c r="F323" s="33">
        <v>0.501197</v>
      </c>
      <c r="G323" s="35">
        <v>0.118765</v>
      </c>
    </row>
    <row r="324" spans="1:7" x14ac:dyDescent="0.3">
      <c r="A324" s="36" t="s">
        <v>57</v>
      </c>
      <c r="B324" s="47" t="s">
        <v>64</v>
      </c>
      <c r="C324" s="37">
        <v>46242</v>
      </c>
      <c r="D324" s="34" t="s">
        <v>29</v>
      </c>
      <c r="E324" s="41">
        <v>1623</v>
      </c>
      <c r="F324" s="33">
        <v>0.39379799999999998</v>
      </c>
      <c r="G324" s="35">
        <v>7.8585799999999997E-2</v>
      </c>
    </row>
    <row r="325" spans="1:7" x14ac:dyDescent="0.3">
      <c r="A325" s="36" t="s">
        <v>57</v>
      </c>
      <c r="B325" s="47" t="s">
        <v>64</v>
      </c>
      <c r="C325" s="37">
        <v>46242</v>
      </c>
      <c r="D325" s="34" t="s">
        <v>30</v>
      </c>
      <c r="E325" s="41">
        <v>1003</v>
      </c>
      <c r="F325" s="33">
        <v>0.53888800000000003</v>
      </c>
      <c r="G325" s="35">
        <v>0.11252</v>
      </c>
    </row>
    <row r="326" spans="1:7" x14ac:dyDescent="0.3">
      <c r="A326" s="36" t="s">
        <v>63</v>
      </c>
      <c r="B326" s="48" t="s">
        <v>103</v>
      </c>
      <c r="C326" s="37">
        <v>46242</v>
      </c>
      <c r="D326" s="34" t="s">
        <v>14</v>
      </c>
      <c r="E326" s="41">
        <v>2347</v>
      </c>
      <c r="F326" s="33">
        <v>0.44430900000000001</v>
      </c>
      <c r="G326" s="35">
        <v>0.121479</v>
      </c>
    </row>
    <row r="327" spans="1:7" x14ac:dyDescent="0.3">
      <c r="A327" s="36" t="s">
        <v>63</v>
      </c>
      <c r="B327" s="48" t="s">
        <v>103</v>
      </c>
      <c r="C327" s="37">
        <v>46242</v>
      </c>
      <c r="D327" s="34" t="s">
        <v>15</v>
      </c>
      <c r="E327" s="41">
        <v>2222</v>
      </c>
      <c r="F327" s="33">
        <v>0.42294799999999999</v>
      </c>
      <c r="G327" s="35">
        <v>0.107791</v>
      </c>
    </row>
    <row r="328" spans="1:7" x14ac:dyDescent="0.3">
      <c r="A328" s="36" t="s">
        <v>63</v>
      </c>
      <c r="B328" s="48" t="s">
        <v>103</v>
      </c>
      <c r="C328" s="37">
        <v>46242</v>
      </c>
      <c r="D328" s="34" t="s">
        <v>16</v>
      </c>
      <c r="E328" s="41">
        <v>2021</v>
      </c>
      <c r="F328" s="33">
        <v>0.51043099999999997</v>
      </c>
      <c r="G328" s="35">
        <v>0.113635</v>
      </c>
    </row>
    <row r="329" spans="1:7" x14ac:dyDescent="0.3">
      <c r="A329" s="36" t="s">
        <v>63</v>
      </c>
      <c r="B329" s="48" t="s">
        <v>103</v>
      </c>
      <c r="C329" s="37">
        <v>46242</v>
      </c>
      <c r="D329" s="34" t="s">
        <v>17</v>
      </c>
      <c r="E329" s="41">
        <v>1719</v>
      </c>
      <c r="F329" s="33">
        <v>0.54024799999999995</v>
      </c>
      <c r="G329" s="35">
        <v>0.11029799999999999</v>
      </c>
    </row>
    <row r="330" spans="1:7" x14ac:dyDescent="0.3">
      <c r="A330" s="36" t="s">
        <v>63</v>
      </c>
      <c r="B330" s="48" t="s">
        <v>103</v>
      </c>
      <c r="C330" s="37">
        <v>46242</v>
      </c>
      <c r="D330" s="34" t="s">
        <v>18</v>
      </c>
      <c r="E330" s="41">
        <v>1950</v>
      </c>
      <c r="F330" s="33">
        <v>0.38157099999999999</v>
      </c>
      <c r="G330" s="35">
        <v>9.0749499999999997E-2</v>
      </c>
    </row>
    <row r="331" spans="1:7" x14ac:dyDescent="0.3">
      <c r="A331" s="36" t="s">
        <v>63</v>
      </c>
      <c r="B331" s="48" t="s">
        <v>103</v>
      </c>
      <c r="C331" s="37">
        <v>46242</v>
      </c>
      <c r="D331" s="34" t="s">
        <v>19</v>
      </c>
      <c r="E331" s="41">
        <v>1979</v>
      </c>
      <c r="F331" s="33">
        <v>0.40723799999999999</v>
      </c>
      <c r="G331" s="35">
        <v>8.1662799999999994E-2</v>
      </c>
    </row>
    <row r="332" spans="1:7" x14ac:dyDescent="0.3">
      <c r="A332" s="36" t="s">
        <v>63</v>
      </c>
      <c r="B332" s="48" t="s">
        <v>103</v>
      </c>
      <c r="C332" s="37">
        <v>46242</v>
      </c>
      <c r="D332" s="34" t="s">
        <v>20</v>
      </c>
      <c r="E332" s="41">
        <v>2245</v>
      </c>
      <c r="F332" s="33">
        <v>0.44565500000000002</v>
      </c>
      <c r="G332" s="35">
        <v>8.9242699999999994E-2</v>
      </c>
    </row>
    <row r="333" spans="1:7" x14ac:dyDescent="0.3">
      <c r="A333" s="36" t="s">
        <v>63</v>
      </c>
      <c r="B333" s="48" t="s">
        <v>103</v>
      </c>
      <c r="C333" s="37">
        <v>46242</v>
      </c>
      <c r="D333" s="34" t="s">
        <v>34</v>
      </c>
      <c r="E333" s="41">
        <v>1145</v>
      </c>
      <c r="F333" s="33">
        <v>0.28156700000000001</v>
      </c>
      <c r="G333" s="35">
        <v>8.1516099999999994E-2</v>
      </c>
    </row>
    <row r="334" spans="1:7" x14ac:dyDescent="0.3">
      <c r="A334" s="36" t="s">
        <v>63</v>
      </c>
      <c r="B334" s="48" t="s">
        <v>103</v>
      </c>
      <c r="C334" s="37">
        <v>46242</v>
      </c>
      <c r="D334" s="34" t="s">
        <v>21</v>
      </c>
      <c r="E334" s="41">
        <v>2984</v>
      </c>
      <c r="F334" s="33">
        <v>0.42464800000000003</v>
      </c>
      <c r="G334" s="35">
        <v>8.65345E-2</v>
      </c>
    </row>
    <row r="335" spans="1:7" x14ac:dyDescent="0.3">
      <c r="A335" s="36" t="s">
        <v>63</v>
      </c>
      <c r="B335" s="48" t="s">
        <v>103</v>
      </c>
      <c r="C335" s="37">
        <v>46242</v>
      </c>
      <c r="D335" s="34" t="s">
        <v>22</v>
      </c>
      <c r="E335" s="41">
        <v>1992</v>
      </c>
      <c r="F335" s="33">
        <v>0.37770399999999998</v>
      </c>
      <c r="G335" s="35">
        <v>0.104974</v>
      </c>
    </row>
    <row r="336" spans="1:7" x14ac:dyDescent="0.3">
      <c r="A336" s="36" t="s">
        <v>63</v>
      </c>
      <c r="B336" s="48" t="s">
        <v>103</v>
      </c>
      <c r="C336" s="37">
        <v>46242</v>
      </c>
      <c r="D336" s="34" t="s">
        <v>23</v>
      </c>
      <c r="E336" s="41">
        <v>1328</v>
      </c>
      <c r="F336" s="33">
        <v>0.42462699999999998</v>
      </c>
      <c r="G336" s="35">
        <v>0.13869799999999999</v>
      </c>
    </row>
    <row r="337" spans="1:7" x14ac:dyDescent="0.3">
      <c r="A337" s="36" t="s">
        <v>63</v>
      </c>
      <c r="B337" s="48" t="s">
        <v>103</v>
      </c>
      <c r="C337" s="37">
        <v>46242</v>
      </c>
      <c r="D337" s="34" t="s">
        <v>24</v>
      </c>
      <c r="E337" s="41">
        <v>2725</v>
      </c>
      <c r="F337" s="33">
        <v>0.174926</v>
      </c>
      <c r="G337" s="35">
        <v>5.6090300000000003E-2</v>
      </c>
    </row>
    <row r="338" spans="1:7" x14ac:dyDescent="0.3">
      <c r="A338" s="36" t="s">
        <v>63</v>
      </c>
      <c r="B338" s="48" t="s">
        <v>103</v>
      </c>
      <c r="C338" s="37">
        <v>46242</v>
      </c>
      <c r="D338" s="34" t="s">
        <v>25</v>
      </c>
      <c r="E338" s="41">
        <v>1108</v>
      </c>
      <c r="F338" s="33">
        <v>0.17077700000000001</v>
      </c>
      <c r="G338" s="35">
        <v>4.3160200000000003E-2</v>
      </c>
    </row>
    <row r="339" spans="1:7" x14ac:dyDescent="0.3">
      <c r="A339" s="36" t="s">
        <v>63</v>
      </c>
      <c r="B339" s="48" t="s">
        <v>103</v>
      </c>
      <c r="C339" s="37">
        <v>46242</v>
      </c>
      <c r="D339" s="34" t="s">
        <v>26</v>
      </c>
      <c r="E339" s="41">
        <v>2406</v>
      </c>
      <c r="F339" s="33">
        <v>0.17474799999999999</v>
      </c>
      <c r="G339" s="35">
        <v>5.5523200000000002E-2</v>
      </c>
    </row>
    <row r="340" spans="1:7" x14ac:dyDescent="0.3">
      <c r="A340" s="36" t="s">
        <v>63</v>
      </c>
      <c r="B340" s="48" t="s">
        <v>103</v>
      </c>
      <c r="C340" s="37">
        <v>46242</v>
      </c>
      <c r="D340" s="34" t="s">
        <v>27</v>
      </c>
      <c r="E340" s="41">
        <v>1994</v>
      </c>
      <c r="F340" s="33">
        <v>0.33553899999999998</v>
      </c>
      <c r="G340" s="35">
        <v>8.0594700000000005E-2</v>
      </c>
    </row>
    <row r="341" spans="1:7" x14ac:dyDescent="0.3">
      <c r="A341" s="36" t="s">
        <v>63</v>
      </c>
      <c r="B341" s="48" t="s">
        <v>103</v>
      </c>
      <c r="C341" s="37">
        <v>46242</v>
      </c>
      <c r="D341" s="34" t="s">
        <v>28</v>
      </c>
      <c r="E341" s="41">
        <v>1075</v>
      </c>
      <c r="F341" s="33">
        <v>0.501197</v>
      </c>
      <c r="G341" s="35">
        <v>0.118765</v>
      </c>
    </row>
    <row r="342" spans="1:7" x14ac:dyDescent="0.3">
      <c r="A342" s="36" t="s">
        <v>63</v>
      </c>
      <c r="B342" s="48" t="s">
        <v>103</v>
      </c>
      <c r="C342" s="37">
        <v>46242</v>
      </c>
      <c r="D342" s="34" t="s">
        <v>29</v>
      </c>
      <c r="E342" s="41">
        <v>1623</v>
      </c>
      <c r="F342" s="33">
        <v>0.39379799999999998</v>
      </c>
      <c r="G342" s="35">
        <v>7.8585799999999997E-2</v>
      </c>
    </row>
    <row r="343" spans="1:7" x14ac:dyDescent="0.3">
      <c r="A343" s="36" t="s">
        <v>63</v>
      </c>
      <c r="B343" s="48" t="s">
        <v>103</v>
      </c>
      <c r="C343" s="37">
        <v>46242</v>
      </c>
      <c r="D343" s="34" t="s">
        <v>30</v>
      </c>
      <c r="E343" s="41">
        <v>1003</v>
      </c>
      <c r="F343" s="33">
        <v>0.53888800000000003</v>
      </c>
      <c r="G343" s="35">
        <v>0.11252</v>
      </c>
    </row>
    <row r="344" spans="1:7" x14ac:dyDescent="0.3">
      <c r="A344" s="36" t="s">
        <v>63</v>
      </c>
      <c r="B344" s="48" t="s">
        <v>102</v>
      </c>
      <c r="C344" s="37">
        <v>46242</v>
      </c>
      <c r="D344" s="34" t="s">
        <v>14</v>
      </c>
      <c r="E344" s="41">
        <v>4250</v>
      </c>
      <c r="F344" s="33">
        <v>0.499662</v>
      </c>
      <c r="G344" s="35">
        <v>0.13658699999999999</v>
      </c>
    </row>
    <row r="345" spans="1:7" x14ac:dyDescent="0.3">
      <c r="A345" s="36" t="s">
        <v>63</v>
      </c>
      <c r="B345" s="48" t="s">
        <v>102</v>
      </c>
      <c r="C345" s="37">
        <v>46242</v>
      </c>
      <c r="D345" s="34" t="s">
        <v>15</v>
      </c>
      <c r="E345" s="41">
        <v>4013</v>
      </c>
      <c r="F345" s="33">
        <v>0.39092500000000002</v>
      </c>
      <c r="G345" s="35">
        <v>9.9597900000000003E-2</v>
      </c>
    </row>
    <row r="346" spans="1:7" x14ac:dyDescent="0.3">
      <c r="A346" s="36" t="s">
        <v>63</v>
      </c>
      <c r="B346" s="48" t="s">
        <v>102</v>
      </c>
      <c r="C346" s="37">
        <v>46242</v>
      </c>
      <c r="D346" s="34" t="s">
        <v>16</v>
      </c>
      <c r="E346" s="41">
        <v>3278</v>
      </c>
      <c r="F346" s="33">
        <v>0.46836800000000001</v>
      </c>
      <c r="G346" s="35">
        <v>0.10427599999999999</v>
      </c>
    </row>
    <row r="347" spans="1:7" x14ac:dyDescent="0.3">
      <c r="A347" s="36" t="s">
        <v>63</v>
      </c>
      <c r="B347" s="48" t="s">
        <v>102</v>
      </c>
      <c r="C347" s="37">
        <v>46242</v>
      </c>
      <c r="D347" s="34" t="s">
        <v>17</v>
      </c>
      <c r="E347" s="41">
        <v>3575</v>
      </c>
      <c r="F347" s="33">
        <v>0.48782999999999999</v>
      </c>
      <c r="G347" s="35">
        <v>9.9588999999999997E-2</v>
      </c>
    </row>
    <row r="348" spans="1:7" x14ac:dyDescent="0.3">
      <c r="A348" s="36" t="s">
        <v>63</v>
      </c>
      <c r="B348" s="48" t="s">
        <v>102</v>
      </c>
      <c r="C348" s="37">
        <v>46242</v>
      </c>
      <c r="D348" s="34" t="s">
        <v>18</v>
      </c>
      <c r="E348" s="41">
        <v>3902</v>
      </c>
      <c r="F348" s="33">
        <v>0.38157099999999999</v>
      </c>
      <c r="G348" s="35">
        <v>9.0749499999999997E-2</v>
      </c>
    </row>
    <row r="349" spans="1:7" x14ac:dyDescent="0.3">
      <c r="A349" s="36" t="s">
        <v>63</v>
      </c>
      <c r="B349" s="48" t="s">
        <v>102</v>
      </c>
      <c r="C349" s="37">
        <v>46242</v>
      </c>
      <c r="D349" s="34" t="s">
        <v>19</v>
      </c>
      <c r="E349" s="41">
        <v>3468</v>
      </c>
      <c r="F349" s="33">
        <v>0.43530799999999997</v>
      </c>
      <c r="G349" s="35">
        <v>8.7284600000000004E-2</v>
      </c>
    </row>
    <row r="350" spans="1:7" x14ac:dyDescent="0.3">
      <c r="A350" s="36" t="s">
        <v>63</v>
      </c>
      <c r="B350" s="48" t="s">
        <v>102</v>
      </c>
      <c r="C350" s="37">
        <v>46242</v>
      </c>
      <c r="D350" s="34" t="s">
        <v>20</v>
      </c>
      <c r="E350" s="41">
        <v>3519</v>
      </c>
      <c r="F350" s="33">
        <v>0.41318700000000003</v>
      </c>
      <c r="G350" s="35">
        <v>8.2780800000000002E-2</v>
      </c>
    </row>
    <row r="351" spans="1:7" x14ac:dyDescent="0.3">
      <c r="A351" s="36" t="s">
        <v>63</v>
      </c>
      <c r="B351" s="48" t="s">
        <v>102</v>
      </c>
      <c r="C351" s="37">
        <v>46242</v>
      </c>
      <c r="D351" s="34" t="s">
        <v>34</v>
      </c>
      <c r="E351" s="41">
        <v>2130</v>
      </c>
      <c r="F351" s="33">
        <v>0.25536300000000001</v>
      </c>
      <c r="G351" s="35">
        <v>7.3986300000000005E-2</v>
      </c>
    </row>
    <row r="352" spans="1:7" x14ac:dyDescent="0.3">
      <c r="A352" s="36" t="s">
        <v>63</v>
      </c>
      <c r="B352" s="48" t="s">
        <v>102</v>
      </c>
      <c r="C352" s="37">
        <v>46242</v>
      </c>
      <c r="D352" s="34" t="s">
        <v>21</v>
      </c>
      <c r="E352" s="41">
        <v>4973</v>
      </c>
      <c r="F352" s="33">
        <v>0.45008999999999999</v>
      </c>
      <c r="G352" s="35">
        <v>9.1700000000000004E-2</v>
      </c>
    </row>
    <row r="353" spans="1:7" x14ac:dyDescent="0.3">
      <c r="A353" s="36" t="s">
        <v>63</v>
      </c>
      <c r="B353" s="48" t="s">
        <v>102</v>
      </c>
      <c r="C353" s="37">
        <v>46242</v>
      </c>
      <c r="D353" s="34" t="s">
        <v>22</v>
      </c>
      <c r="E353" s="41">
        <v>3766</v>
      </c>
      <c r="F353" s="33">
        <v>0.39692499999999997</v>
      </c>
      <c r="G353" s="35">
        <v>0.110336</v>
      </c>
    </row>
    <row r="354" spans="1:7" x14ac:dyDescent="0.3">
      <c r="A354" s="36" t="s">
        <v>63</v>
      </c>
      <c r="B354" s="48" t="s">
        <v>102</v>
      </c>
      <c r="C354" s="37">
        <v>46242</v>
      </c>
      <c r="D354" s="34" t="s">
        <v>23</v>
      </c>
      <c r="E354" s="41">
        <v>2002</v>
      </c>
      <c r="F354" s="33">
        <v>0.193358</v>
      </c>
      <c r="G354" s="35">
        <v>6.3104099999999996E-2</v>
      </c>
    </row>
    <row r="355" spans="1:7" x14ac:dyDescent="0.3">
      <c r="A355" s="36" t="s">
        <v>63</v>
      </c>
      <c r="B355" s="48" t="s">
        <v>102</v>
      </c>
      <c r="C355" s="37">
        <v>46242</v>
      </c>
      <c r="D355" s="34" t="s">
        <v>24</v>
      </c>
      <c r="E355" s="41">
        <v>4266</v>
      </c>
      <c r="F355" s="33">
        <v>0.31382900000000002</v>
      </c>
      <c r="G355" s="35">
        <v>0.100622</v>
      </c>
    </row>
    <row r="356" spans="1:7" x14ac:dyDescent="0.3">
      <c r="A356" s="36" t="s">
        <v>63</v>
      </c>
      <c r="B356" s="48" t="s">
        <v>102</v>
      </c>
      <c r="C356" s="37">
        <v>46242</v>
      </c>
      <c r="D356" s="34" t="s">
        <v>25</v>
      </c>
      <c r="E356" s="41">
        <v>2182</v>
      </c>
      <c r="F356" s="33">
        <v>0.13646</v>
      </c>
      <c r="G356" s="35">
        <v>3.44975E-2</v>
      </c>
    </row>
    <row r="357" spans="1:7" x14ac:dyDescent="0.3">
      <c r="A357" s="36" t="s">
        <v>63</v>
      </c>
      <c r="B357" s="48" t="s">
        <v>102</v>
      </c>
      <c r="C357" s="37">
        <v>46242</v>
      </c>
      <c r="D357" s="34" t="s">
        <v>26</v>
      </c>
      <c r="E357" s="41">
        <v>4106</v>
      </c>
      <c r="F357" s="33">
        <v>0.21410299999999999</v>
      </c>
      <c r="G357" s="35">
        <v>6.8046899999999994E-2</v>
      </c>
    </row>
    <row r="358" spans="1:7" x14ac:dyDescent="0.3">
      <c r="A358" s="36" t="s">
        <v>63</v>
      </c>
      <c r="B358" s="48" t="s">
        <v>102</v>
      </c>
      <c r="C358" s="37">
        <v>46242</v>
      </c>
      <c r="D358" s="34" t="s">
        <v>27</v>
      </c>
      <c r="E358" s="41">
        <v>3478</v>
      </c>
      <c r="F358" s="33">
        <v>0.36802800000000002</v>
      </c>
      <c r="G358" s="35">
        <v>8.8501300000000005E-2</v>
      </c>
    </row>
    <row r="359" spans="1:7" x14ac:dyDescent="0.3">
      <c r="A359" s="36" t="s">
        <v>63</v>
      </c>
      <c r="B359" s="48" t="s">
        <v>102</v>
      </c>
      <c r="C359" s="37">
        <v>46242</v>
      </c>
      <c r="D359" s="34" t="s">
        <v>28</v>
      </c>
      <c r="E359" s="41">
        <v>2379</v>
      </c>
      <c r="F359" s="33">
        <v>0.316606</v>
      </c>
      <c r="G359" s="35">
        <v>7.4974899999999997E-2</v>
      </c>
    </row>
    <row r="360" spans="1:7" x14ac:dyDescent="0.3">
      <c r="A360" s="36" t="s">
        <v>63</v>
      </c>
      <c r="B360" s="48" t="s">
        <v>102</v>
      </c>
      <c r="C360" s="37">
        <v>46242</v>
      </c>
      <c r="D360" s="34" t="s">
        <v>29</v>
      </c>
      <c r="E360" s="41">
        <v>3003</v>
      </c>
      <c r="F360" s="33">
        <v>0.31798100000000001</v>
      </c>
      <c r="G360" s="35">
        <v>6.3462599999999994E-2</v>
      </c>
    </row>
    <row r="361" spans="1:7" x14ac:dyDescent="0.3">
      <c r="A361" s="36" t="s">
        <v>63</v>
      </c>
      <c r="B361" s="48" t="s">
        <v>102</v>
      </c>
      <c r="C361" s="37">
        <v>46242</v>
      </c>
      <c r="D361" s="34" t="s">
        <v>30</v>
      </c>
      <c r="E361" s="41">
        <v>2431</v>
      </c>
      <c r="F361" s="33">
        <v>0.48693700000000001</v>
      </c>
      <c r="G361" s="35">
        <v>0.10168199999999999</v>
      </c>
    </row>
    <row r="362" spans="1:7" x14ac:dyDescent="0.3">
      <c r="A362" s="36" t="s">
        <v>63</v>
      </c>
      <c r="B362" s="48" t="s">
        <v>104</v>
      </c>
      <c r="C362" s="37">
        <v>46242</v>
      </c>
      <c r="D362" s="34" t="s">
        <v>14</v>
      </c>
      <c r="E362" s="41">
        <v>4425</v>
      </c>
      <c r="F362" s="33">
        <v>0.48222399999999999</v>
      </c>
      <c r="G362" s="35">
        <v>0.135518</v>
      </c>
    </row>
    <row r="363" spans="1:7" x14ac:dyDescent="0.3">
      <c r="A363" s="36" t="s">
        <v>63</v>
      </c>
      <c r="B363" s="48" t="s">
        <v>104</v>
      </c>
      <c r="C363" s="37">
        <v>46242</v>
      </c>
      <c r="D363" s="34" t="s">
        <v>15</v>
      </c>
      <c r="E363" s="41">
        <v>4008</v>
      </c>
      <c r="F363" s="33">
        <v>0.43496099999999999</v>
      </c>
      <c r="G363" s="35">
        <v>0.114574</v>
      </c>
    </row>
    <row r="364" spans="1:7" x14ac:dyDescent="0.3">
      <c r="A364" s="36" t="s">
        <v>63</v>
      </c>
      <c r="B364" s="48" t="s">
        <v>104</v>
      </c>
      <c r="C364" s="37">
        <v>46242</v>
      </c>
      <c r="D364" s="34" t="s">
        <v>16</v>
      </c>
      <c r="E364" s="41">
        <v>3145</v>
      </c>
      <c r="F364" s="33">
        <v>0.48401</v>
      </c>
      <c r="G364" s="35">
        <v>0.113509</v>
      </c>
    </row>
    <row r="365" spans="1:7" x14ac:dyDescent="0.3">
      <c r="A365" s="36" t="s">
        <v>63</v>
      </c>
      <c r="B365" s="48" t="s">
        <v>104</v>
      </c>
      <c r="C365" s="37">
        <v>46242</v>
      </c>
      <c r="D365" s="34" t="s">
        <v>17</v>
      </c>
      <c r="E365" s="41">
        <v>3620</v>
      </c>
      <c r="F365" s="33">
        <v>0.51928300000000005</v>
      </c>
      <c r="G365" s="35">
        <v>0.102715</v>
      </c>
    </row>
    <row r="366" spans="1:7" x14ac:dyDescent="0.3">
      <c r="A366" s="36" t="s">
        <v>63</v>
      </c>
      <c r="B366" s="48" t="s">
        <v>104</v>
      </c>
      <c r="C366" s="37">
        <v>46242</v>
      </c>
      <c r="D366" s="34" t="s">
        <v>18</v>
      </c>
      <c r="E366" s="41">
        <v>3451</v>
      </c>
      <c r="F366" s="33">
        <v>0.28758899999999998</v>
      </c>
      <c r="G366" s="35">
        <v>6.8395600000000001E-2</v>
      </c>
    </row>
    <row r="367" spans="1:7" x14ac:dyDescent="0.3">
      <c r="A367" s="36" t="s">
        <v>63</v>
      </c>
      <c r="B367" s="48" t="s">
        <v>104</v>
      </c>
      <c r="C367" s="37">
        <v>46242</v>
      </c>
      <c r="D367" s="34" t="s">
        <v>19</v>
      </c>
      <c r="E367" s="41">
        <v>3099</v>
      </c>
      <c r="F367" s="33">
        <v>0.462119</v>
      </c>
      <c r="G367" s="35">
        <v>9.7178799999999996E-2</v>
      </c>
    </row>
    <row r="368" spans="1:7" x14ac:dyDescent="0.3">
      <c r="A368" s="36" t="s">
        <v>63</v>
      </c>
      <c r="B368" s="48" t="s">
        <v>104</v>
      </c>
      <c r="C368" s="37">
        <v>46242</v>
      </c>
      <c r="D368" s="34" t="s">
        <v>20</v>
      </c>
      <c r="E368" s="41">
        <v>3076</v>
      </c>
      <c r="F368" s="33">
        <v>0.42457699999999998</v>
      </c>
      <c r="G368" s="35">
        <v>8.8813299999999998E-2</v>
      </c>
    </row>
    <row r="369" spans="1:7" x14ac:dyDescent="0.3">
      <c r="A369" s="36" t="s">
        <v>63</v>
      </c>
      <c r="B369" s="48" t="s">
        <v>104</v>
      </c>
      <c r="C369" s="37">
        <v>46242</v>
      </c>
      <c r="D369" s="34" t="s">
        <v>34</v>
      </c>
      <c r="E369" s="41">
        <v>2000</v>
      </c>
      <c r="F369" s="33">
        <v>0.231267</v>
      </c>
      <c r="G369" s="35">
        <v>7.0090899999999998E-2</v>
      </c>
    </row>
    <row r="370" spans="1:7" x14ac:dyDescent="0.3">
      <c r="A370" s="36" t="s">
        <v>63</v>
      </c>
      <c r="B370" s="48" t="s">
        <v>104</v>
      </c>
      <c r="C370" s="37">
        <v>46242</v>
      </c>
      <c r="D370" s="34" t="s">
        <v>21</v>
      </c>
      <c r="E370" s="41">
        <v>5467</v>
      </c>
      <c r="F370" s="33">
        <v>0.52926799999999996</v>
      </c>
      <c r="G370" s="35">
        <v>0.10294300000000001</v>
      </c>
    </row>
    <row r="371" spans="1:7" x14ac:dyDescent="0.3">
      <c r="A371" s="36" t="s">
        <v>63</v>
      </c>
      <c r="B371" s="48" t="s">
        <v>104</v>
      </c>
      <c r="C371" s="37">
        <v>46242</v>
      </c>
      <c r="D371" s="34" t="s">
        <v>22</v>
      </c>
      <c r="E371" s="41">
        <v>4120</v>
      </c>
      <c r="F371" s="33">
        <v>0.391957</v>
      </c>
      <c r="G371" s="35">
        <v>0.106457</v>
      </c>
    </row>
    <row r="372" spans="1:7" x14ac:dyDescent="0.3">
      <c r="A372" s="36" t="s">
        <v>63</v>
      </c>
      <c r="B372" s="48" t="s">
        <v>104</v>
      </c>
      <c r="C372" s="37">
        <v>46242</v>
      </c>
      <c r="D372" s="34" t="s">
        <v>23</v>
      </c>
      <c r="E372" s="41">
        <v>2054</v>
      </c>
      <c r="F372" s="33">
        <v>0.45885799999999999</v>
      </c>
      <c r="G372" s="35">
        <v>0.15055499999999999</v>
      </c>
    </row>
    <row r="373" spans="1:7" x14ac:dyDescent="0.3">
      <c r="A373" s="36" t="s">
        <v>63</v>
      </c>
      <c r="B373" s="48" t="s">
        <v>104</v>
      </c>
      <c r="C373" s="37">
        <v>46242</v>
      </c>
      <c r="D373" s="34" t="s">
        <v>24</v>
      </c>
      <c r="E373" s="41">
        <v>4755</v>
      </c>
      <c r="F373" s="33">
        <v>0.219692</v>
      </c>
      <c r="G373" s="35">
        <v>6.7661299999999994E-2</v>
      </c>
    </row>
    <row r="374" spans="1:7" x14ac:dyDescent="0.3">
      <c r="A374" s="36" t="s">
        <v>63</v>
      </c>
      <c r="B374" s="48" t="s">
        <v>104</v>
      </c>
      <c r="C374" s="37">
        <v>46242</v>
      </c>
      <c r="D374" s="34" t="s">
        <v>25</v>
      </c>
      <c r="E374" s="41">
        <v>2136</v>
      </c>
      <c r="F374" s="33">
        <v>0.17380200000000001</v>
      </c>
      <c r="G374" s="35">
        <v>4.1760899999999997E-2</v>
      </c>
    </row>
    <row r="375" spans="1:7" x14ac:dyDescent="0.3">
      <c r="A375" s="36" t="s">
        <v>63</v>
      </c>
      <c r="B375" s="48" t="s">
        <v>104</v>
      </c>
      <c r="C375" s="37">
        <v>46242</v>
      </c>
      <c r="D375" s="34" t="s">
        <v>26</v>
      </c>
      <c r="E375" s="41">
        <v>4251</v>
      </c>
      <c r="F375" s="33">
        <v>0.18208099999999999</v>
      </c>
      <c r="G375" s="35">
        <v>5.8534200000000002E-2</v>
      </c>
    </row>
    <row r="376" spans="1:7" x14ac:dyDescent="0.3">
      <c r="A376" s="36" t="s">
        <v>63</v>
      </c>
      <c r="B376" s="48" t="s">
        <v>104</v>
      </c>
      <c r="C376" s="37">
        <v>46242</v>
      </c>
      <c r="D376" s="34" t="s">
        <v>27</v>
      </c>
      <c r="E376" s="41">
        <v>3625</v>
      </c>
      <c r="F376" s="33">
        <v>0.47998299999999999</v>
      </c>
      <c r="G376" s="35">
        <v>0.108922</v>
      </c>
    </row>
    <row r="377" spans="1:7" x14ac:dyDescent="0.3">
      <c r="A377" s="36" t="s">
        <v>63</v>
      </c>
      <c r="B377" s="48" t="s">
        <v>104</v>
      </c>
      <c r="C377" s="37">
        <v>46242</v>
      </c>
      <c r="D377" s="34" t="s">
        <v>28</v>
      </c>
      <c r="E377" s="41">
        <v>2174</v>
      </c>
      <c r="F377" s="33">
        <v>0.39772299999999999</v>
      </c>
      <c r="G377" s="35">
        <v>8.9244299999999999E-2</v>
      </c>
    </row>
    <row r="378" spans="1:7" x14ac:dyDescent="0.3">
      <c r="A378" s="36" t="s">
        <v>63</v>
      </c>
      <c r="B378" s="48" t="s">
        <v>104</v>
      </c>
      <c r="C378" s="37">
        <v>46242</v>
      </c>
      <c r="D378" s="34" t="s">
        <v>29</v>
      </c>
      <c r="E378" s="41">
        <v>2927</v>
      </c>
      <c r="F378" s="33">
        <v>0.36677399999999999</v>
      </c>
      <c r="G378" s="35">
        <v>7.5941999999999996E-2</v>
      </c>
    </row>
    <row r="379" spans="1:7" x14ac:dyDescent="0.3">
      <c r="A379" s="36" t="s">
        <v>63</v>
      </c>
      <c r="B379" s="48" t="s">
        <v>104</v>
      </c>
      <c r="C379" s="37">
        <v>46242</v>
      </c>
      <c r="D379" s="34" t="s">
        <v>30</v>
      </c>
      <c r="E379" s="41">
        <v>2407</v>
      </c>
      <c r="F379" s="33">
        <v>0.45352300000000001</v>
      </c>
      <c r="G379" s="35">
        <v>9.1211E-2</v>
      </c>
    </row>
    <row r="380" spans="1:7" x14ac:dyDescent="0.3">
      <c r="A380" s="36" t="s">
        <v>63</v>
      </c>
      <c r="B380" s="48" t="s">
        <v>105</v>
      </c>
      <c r="C380" s="37">
        <v>46242</v>
      </c>
      <c r="D380" s="34" t="s">
        <v>14</v>
      </c>
      <c r="E380" s="41">
        <v>3155</v>
      </c>
      <c r="F380" s="33">
        <v>0.57739700000000005</v>
      </c>
      <c r="G380" s="35">
        <v>0.16231799999999999</v>
      </c>
    </row>
    <row r="381" spans="1:7" x14ac:dyDescent="0.3">
      <c r="A381" s="36" t="s">
        <v>63</v>
      </c>
      <c r="B381" s="48" t="s">
        <v>105</v>
      </c>
      <c r="C381" s="37">
        <v>46242</v>
      </c>
      <c r="D381" s="34" t="s">
        <v>15</v>
      </c>
      <c r="E381" s="41">
        <v>2891</v>
      </c>
      <c r="F381" s="33">
        <v>0.43059700000000001</v>
      </c>
      <c r="G381" s="35">
        <v>0.113423</v>
      </c>
    </row>
    <row r="382" spans="1:7" x14ac:dyDescent="0.3">
      <c r="A382" s="36" t="s">
        <v>63</v>
      </c>
      <c r="B382" s="48" t="s">
        <v>105</v>
      </c>
      <c r="C382" s="37">
        <v>46242</v>
      </c>
      <c r="D382" s="34" t="s">
        <v>16</v>
      </c>
      <c r="E382" s="41">
        <v>2299</v>
      </c>
      <c r="F382" s="33">
        <v>0.52703900000000004</v>
      </c>
      <c r="G382" s="35">
        <v>0.123679</v>
      </c>
    </row>
    <row r="383" spans="1:7" x14ac:dyDescent="0.3">
      <c r="A383" s="36" t="s">
        <v>63</v>
      </c>
      <c r="B383" s="48" t="s">
        <v>105</v>
      </c>
      <c r="C383" s="37">
        <v>46242</v>
      </c>
      <c r="D383" s="34" t="s">
        <v>17</v>
      </c>
      <c r="E383" s="41">
        <v>2738</v>
      </c>
      <c r="F383" s="33">
        <v>0.51810599999999996</v>
      </c>
      <c r="G383" s="35">
        <v>0.102448</v>
      </c>
    </row>
    <row r="384" spans="1:7" x14ac:dyDescent="0.3">
      <c r="A384" s="36" t="s">
        <v>63</v>
      </c>
      <c r="B384" s="48" t="s">
        <v>105</v>
      </c>
      <c r="C384" s="37">
        <v>46242</v>
      </c>
      <c r="D384" s="34" t="s">
        <v>18</v>
      </c>
      <c r="E384" s="41">
        <v>2642</v>
      </c>
      <c r="F384" s="33">
        <v>0.35040900000000003</v>
      </c>
      <c r="G384" s="35">
        <v>8.33541E-2</v>
      </c>
    </row>
    <row r="385" spans="1:7" x14ac:dyDescent="0.3">
      <c r="A385" s="36" t="s">
        <v>63</v>
      </c>
      <c r="B385" s="48" t="s">
        <v>105</v>
      </c>
      <c r="C385" s="37">
        <v>46242</v>
      </c>
      <c r="D385" s="34" t="s">
        <v>19</v>
      </c>
      <c r="E385" s="41">
        <v>2543</v>
      </c>
      <c r="F385" s="33">
        <v>0.40422599999999997</v>
      </c>
      <c r="G385" s="35">
        <v>8.4992899999999996E-2</v>
      </c>
    </row>
    <row r="386" spans="1:7" x14ac:dyDescent="0.3">
      <c r="A386" s="36" t="s">
        <v>63</v>
      </c>
      <c r="B386" s="48" t="s">
        <v>105</v>
      </c>
      <c r="C386" s="37">
        <v>46242</v>
      </c>
      <c r="D386" s="34" t="s">
        <v>20</v>
      </c>
      <c r="E386" s="41">
        <v>2798</v>
      </c>
      <c r="F386" s="33">
        <v>0.40842800000000001</v>
      </c>
      <c r="G386" s="35">
        <v>8.5418400000000005E-2</v>
      </c>
    </row>
    <row r="387" spans="1:7" x14ac:dyDescent="0.3">
      <c r="A387" s="36" t="s">
        <v>63</v>
      </c>
      <c r="B387" s="48" t="s">
        <v>105</v>
      </c>
      <c r="C387" s="37">
        <v>46242</v>
      </c>
      <c r="D387" s="34" t="s">
        <v>34</v>
      </c>
      <c r="E387" s="41">
        <v>1503</v>
      </c>
      <c r="F387" s="33">
        <v>0.235595</v>
      </c>
      <c r="G387" s="35">
        <v>7.1409100000000003E-2</v>
      </c>
    </row>
    <row r="388" spans="1:7" x14ac:dyDescent="0.3">
      <c r="A388" s="36" t="s">
        <v>63</v>
      </c>
      <c r="B388" s="48" t="s">
        <v>105</v>
      </c>
      <c r="C388" s="37">
        <v>46242</v>
      </c>
      <c r="D388" s="34" t="s">
        <v>21</v>
      </c>
      <c r="E388" s="41">
        <v>4385</v>
      </c>
      <c r="F388" s="33">
        <v>0.48657400000000001</v>
      </c>
      <c r="G388" s="35">
        <v>9.4610299999999994E-2</v>
      </c>
    </row>
    <row r="389" spans="1:7" x14ac:dyDescent="0.3">
      <c r="A389" s="36" t="s">
        <v>63</v>
      </c>
      <c r="B389" s="48" t="s">
        <v>105</v>
      </c>
      <c r="C389" s="37">
        <v>46242</v>
      </c>
      <c r="D389" s="34" t="s">
        <v>22</v>
      </c>
      <c r="E389" s="41">
        <v>3444</v>
      </c>
      <c r="F389" s="33">
        <v>0.32663300000000001</v>
      </c>
      <c r="G389" s="35">
        <v>8.8690500000000005E-2</v>
      </c>
    </row>
    <row r="390" spans="1:7" x14ac:dyDescent="0.3">
      <c r="A390" s="36" t="s">
        <v>63</v>
      </c>
      <c r="B390" s="48" t="s">
        <v>105</v>
      </c>
      <c r="C390" s="37">
        <v>46242</v>
      </c>
      <c r="D390" s="34" t="s">
        <v>23</v>
      </c>
      <c r="E390" s="41">
        <v>1629</v>
      </c>
      <c r="F390" s="33">
        <v>0.244034</v>
      </c>
      <c r="G390" s="35">
        <v>8.0064999999999997E-2</v>
      </c>
    </row>
    <row r="391" spans="1:7" x14ac:dyDescent="0.3">
      <c r="A391" s="36" t="s">
        <v>63</v>
      </c>
      <c r="B391" s="48" t="s">
        <v>105</v>
      </c>
      <c r="C391" s="37">
        <v>46242</v>
      </c>
      <c r="D391" s="34" t="s">
        <v>24</v>
      </c>
      <c r="E391" s="41">
        <v>4006</v>
      </c>
      <c r="F391" s="33">
        <v>0.24411099999999999</v>
      </c>
      <c r="G391" s="35">
        <v>7.5211600000000003E-2</v>
      </c>
    </row>
    <row r="392" spans="1:7" x14ac:dyDescent="0.3">
      <c r="A392" s="36" t="s">
        <v>63</v>
      </c>
      <c r="B392" s="48" t="s">
        <v>105</v>
      </c>
      <c r="C392" s="37">
        <v>46242</v>
      </c>
      <c r="D392" s="34" t="s">
        <v>25</v>
      </c>
      <c r="E392" s="41">
        <v>1586</v>
      </c>
      <c r="F392" s="33">
        <v>0.17731</v>
      </c>
      <c r="G392" s="35">
        <v>4.2629300000000002E-2</v>
      </c>
    </row>
    <row r="393" spans="1:7" x14ac:dyDescent="0.3">
      <c r="A393" s="36" t="s">
        <v>63</v>
      </c>
      <c r="B393" s="48" t="s">
        <v>105</v>
      </c>
      <c r="C393" s="37">
        <v>46242</v>
      </c>
      <c r="D393" s="34" t="s">
        <v>26</v>
      </c>
      <c r="E393" s="41">
        <v>3716</v>
      </c>
      <c r="F393" s="33">
        <v>0.28298299999999998</v>
      </c>
      <c r="G393" s="35">
        <v>9.0974100000000002E-2</v>
      </c>
    </row>
    <row r="394" spans="1:7" x14ac:dyDescent="0.3">
      <c r="A394" s="36" t="s">
        <v>63</v>
      </c>
      <c r="B394" s="48" t="s">
        <v>105</v>
      </c>
      <c r="C394" s="37">
        <v>46242</v>
      </c>
      <c r="D394" s="34" t="s">
        <v>27</v>
      </c>
      <c r="E394" s="41">
        <v>3103</v>
      </c>
      <c r="F394" s="33">
        <v>0.43031399999999997</v>
      </c>
      <c r="G394" s="35">
        <v>9.7637399999999999E-2</v>
      </c>
    </row>
    <row r="395" spans="1:7" x14ac:dyDescent="0.3">
      <c r="A395" s="36" t="s">
        <v>63</v>
      </c>
      <c r="B395" s="48" t="s">
        <v>105</v>
      </c>
      <c r="C395" s="37">
        <v>46242</v>
      </c>
      <c r="D395" s="34" t="s">
        <v>28</v>
      </c>
      <c r="E395" s="41">
        <v>1700</v>
      </c>
      <c r="F395" s="33">
        <v>0.414939</v>
      </c>
      <c r="G395" s="35">
        <v>9.3091800000000002E-2</v>
      </c>
    </row>
    <row r="396" spans="1:7" x14ac:dyDescent="0.3">
      <c r="A396" s="36" t="s">
        <v>63</v>
      </c>
      <c r="B396" s="48" t="s">
        <v>105</v>
      </c>
      <c r="C396" s="37">
        <v>46242</v>
      </c>
      <c r="D396" s="34" t="s">
        <v>29</v>
      </c>
      <c r="E396" s="41">
        <v>2090</v>
      </c>
      <c r="F396" s="33">
        <v>0.37871700000000003</v>
      </c>
      <c r="G396" s="35">
        <v>7.8429700000000005E-2</v>
      </c>
    </row>
    <row r="397" spans="1:7" x14ac:dyDescent="0.3">
      <c r="A397" s="36" t="s">
        <v>63</v>
      </c>
      <c r="B397" s="48" t="s">
        <v>105</v>
      </c>
      <c r="C397" s="37">
        <v>46242</v>
      </c>
      <c r="D397" s="34" t="s">
        <v>30</v>
      </c>
      <c r="E397" s="41">
        <v>1605</v>
      </c>
      <c r="F397" s="33">
        <v>0.47492499999999999</v>
      </c>
      <c r="G397" s="35">
        <v>9.5510700000000004E-2</v>
      </c>
    </row>
    <row r="398" spans="1:7" x14ac:dyDescent="0.3">
      <c r="A398" s="36" t="s">
        <v>63</v>
      </c>
      <c r="B398" s="48" t="s">
        <v>106</v>
      </c>
      <c r="C398" s="37">
        <v>46242</v>
      </c>
      <c r="D398" s="34" t="s">
        <v>14</v>
      </c>
      <c r="E398" s="41">
        <v>2662</v>
      </c>
      <c r="F398" s="33">
        <v>0.561473</v>
      </c>
      <c r="G398" s="35">
        <v>0.14718300000000001</v>
      </c>
    </row>
    <row r="399" spans="1:7" x14ac:dyDescent="0.3">
      <c r="A399" s="36" t="s">
        <v>63</v>
      </c>
      <c r="B399" s="48" t="s">
        <v>106</v>
      </c>
      <c r="C399" s="37">
        <v>46242</v>
      </c>
      <c r="D399" s="34" t="s">
        <v>15</v>
      </c>
      <c r="E399" s="41">
        <v>2629</v>
      </c>
      <c r="F399" s="33">
        <v>0.443971</v>
      </c>
      <c r="G399" s="35">
        <v>0.11015900000000001</v>
      </c>
    </row>
    <row r="400" spans="1:7" x14ac:dyDescent="0.3">
      <c r="A400" s="36" t="s">
        <v>63</v>
      </c>
      <c r="B400" s="48" t="s">
        <v>106</v>
      </c>
      <c r="C400" s="37">
        <v>46242</v>
      </c>
      <c r="D400" s="34" t="s">
        <v>16</v>
      </c>
      <c r="E400" s="41">
        <v>2240</v>
      </c>
      <c r="F400" s="33">
        <v>0.55237000000000003</v>
      </c>
      <c r="G400" s="35">
        <v>0.12182999999999999</v>
      </c>
    </row>
    <row r="401" spans="1:7" x14ac:dyDescent="0.3">
      <c r="A401" s="36" t="s">
        <v>63</v>
      </c>
      <c r="B401" s="48" t="s">
        <v>106</v>
      </c>
      <c r="C401" s="37">
        <v>46242</v>
      </c>
      <c r="D401" s="34" t="s">
        <v>17</v>
      </c>
      <c r="E401" s="41">
        <v>2930</v>
      </c>
      <c r="F401" s="33">
        <v>0.54814499999999999</v>
      </c>
      <c r="G401" s="35">
        <v>0.114913</v>
      </c>
    </row>
    <row r="402" spans="1:7" x14ac:dyDescent="0.3">
      <c r="A402" s="36" t="s">
        <v>63</v>
      </c>
      <c r="B402" s="48" t="s">
        <v>106</v>
      </c>
      <c r="C402" s="37">
        <v>46242</v>
      </c>
      <c r="D402" s="34" t="s">
        <v>18</v>
      </c>
      <c r="E402" s="41">
        <v>2571</v>
      </c>
      <c r="F402" s="33">
        <v>0.29398000000000002</v>
      </c>
      <c r="G402" s="35">
        <v>6.6564499999999999E-2</v>
      </c>
    </row>
    <row r="403" spans="1:7" x14ac:dyDescent="0.3">
      <c r="A403" s="36" t="s">
        <v>63</v>
      </c>
      <c r="B403" s="48" t="s">
        <v>106</v>
      </c>
      <c r="C403" s="37">
        <v>46242</v>
      </c>
      <c r="D403" s="34" t="s">
        <v>19</v>
      </c>
      <c r="E403" s="41">
        <v>2621</v>
      </c>
      <c r="F403" s="33">
        <v>0.385986</v>
      </c>
      <c r="G403" s="35">
        <v>7.8905500000000003E-2</v>
      </c>
    </row>
    <row r="404" spans="1:7" x14ac:dyDescent="0.3">
      <c r="A404" s="36" t="s">
        <v>63</v>
      </c>
      <c r="B404" s="48" t="s">
        <v>106</v>
      </c>
      <c r="C404" s="37">
        <v>46242</v>
      </c>
      <c r="D404" s="34" t="s">
        <v>20</v>
      </c>
      <c r="E404" s="41">
        <v>2728</v>
      </c>
      <c r="F404" s="33">
        <v>0.44007600000000002</v>
      </c>
      <c r="G404" s="35">
        <v>9.0508500000000006E-2</v>
      </c>
    </row>
    <row r="405" spans="1:7" x14ac:dyDescent="0.3">
      <c r="A405" s="36" t="s">
        <v>63</v>
      </c>
      <c r="B405" s="48" t="s">
        <v>106</v>
      </c>
      <c r="C405" s="37">
        <v>46242</v>
      </c>
      <c r="D405" s="34" t="s">
        <v>34</v>
      </c>
      <c r="E405" s="41">
        <v>1628</v>
      </c>
      <c r="F405" s="33">
        <v>0.285381</v>
      </c>
      <c r="G405" s="35">
        <v>8.6932999999999996E-2</v>
      </c>
    </row>
    <row r="406" spans="1:7" x14ac:dyDescent="0.3">
      <c r="A406" s="36" t="s">
        <v>63</v>
      </c>
      <c r="B406" s="48" t="s">
        <v>106</v>
      </c>
      <c r="C406" s="37">
        <v>46242</v>
      </c>
      <c r="D406" s="34" t="s">
        <v>21</v>
      </c>
      <c r="E406" s="41">
        <v>4872</v>
      </c>
      <c r="F406" s="33">
        <v>0.48413299999999998</v>
      </c>
      <c r="G406" s="35">
        <v>9.6400299999999994E-2</v>
      </c>
    </row>
    <row r="407" spans="1:7" x14ac:dyDescent="0.3">
      <c r="A407" s="36" t="s">
        <v>63</v>
      </c>
      <c r="B407" s="48" t="s">
        <v>106</v>
      </c>
      <c r="C407" s="37">
        <v>46242</v>
      </c>
      <c r="D407" s="34" t="s">
        <v>22</v>
      </c>
      <c r="E407" s="41">
        <v>3464</v>
      </c>
      <c r="F407" s="33">
        <v>0.43481999999999998</v>
      </c>
      <c r="G407" s="35">
        <v>0.12692300000000001</v>
      </c>
    </row>
    <row r="408" spans="1:7" x14ac:dyDescent="0.3">
      <c r="A408" s="36" t="s">
        <v>63</v>
      </c>
      <c r="B408" s="48" t="s">
        <v>106</v>
      </c>
      <c r="C408" s="37">
        <v>46242</v>
      </c>
      <c r="D408" s="34" t="s">
        <v>23</v>
      </c>
      <c r="E408" s="41">
        <v>1503</v>
      </c>
      <c r="F408" s="33">
        <v>0.27046399999999998</v>
      </c>
      <c r="G408" s="35">
        <v>8.3149500000000001E-2</v>
      </c>
    </row>
    <row r="409" spans="1:7" x14ac:dyDescent="0.3">
      <c r="A409" s="36" t="s">
        <v>63</v>
      </c>
      <c r="B409" s="48" t="s">
        <v>106</v>
      </c>
      <c r="C409" s="37">
        <v>46242</v>
      </c>
      <c r="D409" s="34" t="s">
        <v>24</v>
      </c>
      <c r="E409" s="41">
        <v>3813</v>
      </c>
      <c r="F409" s="33">
        <v>0.22234200000000001</v>
      </c>
      <c r="G409" s="35">
        <v>6.7073199999999999E-2</v>
      </c>
    </row>
    <row r="410" spans="1:7" x14ac:dyDescent="0.3">
      <c r="A410" s="36" t="s">
        <v>63</v>
      </c>
      <c r="B410" s="48" t="s">
        <v>106</v>
      </c>
      <c r="C410" s="37">
        <v>46242</v>
      </c>
      <c r="D410" s="34" t="s">
        <v>25</v>
      </c>
      <c r="E410" s="41">
        <v>1642</v>
      </c>
      <c r="F410" s="33">
        <v>0.49094700000000002</v>
      </c>
      <c r="G410" s="35">
        <v>0.11973200000000001</v>
      </c>
    </row>
    <row r="411" spans="1:7" x14ac:dyDescent="0.3">
      <c r="A411" s="36" t="s">
        <v>63</v>
      </c>
      <c r="B411" s="48" t="s">
        <v>106</v>
      </c>
      <c r="C411" s="37">
        <v>46242</v>
      </c>
      <c r="D411" s="34" t="s">
        <v>26</v>
      </c>
      <c r="E411" s="41">
        <v>3703</v>
      </c>
      <c r="F411" s="33">
        <v>0.19323199999999999</v>
      </c>
      <c r="G411" s="35">
        <v>6.5538899999999997E-2</v>
      </c>
    </row>
    <row r="412" spans="1:7" x14ac:dyDescent="0.3">
      <c r="A412" s="36" t="s">
        <v>63</v>
      </c>
      <c r="B412" s="48" t="s">
        <v>106</v>
      </c>
      <c r="C412" s="37">
        <v>46242</v>
      </c>
      <c r="D412" s="34" t="s">
        <v>27</v>
      </c>
      <c r="E412" s="41">
        <v>3377</v>
      </c>
      <c r="F412" s="33">
        <v>0.26088499999999998</v>
      </c>
      <c r="G412" s="35">
        <v>6.1878799999999998E-2</v>
      </c>
    </row>
    <row r="413" spans="1:7" x14ac:dyDescent="0.3">
      <c r="A413" s="36" t="s">
        <v>63</v>
      </c>
      <c r="B413" s="48" t="s">
        <v>106</v>
      </c>
      <c r="C413" s="37">
        <v>46242</v>
      </c>
      <c r="D413" s="34" t="s">
        <v>28</v>
      </c>
      <c r="E413" s="41">
        <v>1705</v>
      </c>
      <c r="F413" s="33">
        <v>0.51904099999999997</v>
      </c>
      <c r="G413" s="35">
        <v>0.123903</v>
      </c>
    </row>
    <row r="414" spans="1:7" x14ac:dyDescent="0.3">
      <c r="A414" s="36" t="s">
        <v>63</v>
      </c>
      <c r="B414" s="48" t="s">
        <v>106</v>
      </c>
      <c r="C414" s="37">
        <v>46242</v>
      </c>
      <c r="D414" s="34" t="s">
        <v>29</v>
      </c>
      <c r="E414" s="41">
        <v>2023</v>
      </c>
      <c r="F414" s="33">
        <v>0.37871700000000003</v>
      </c>
      <c r="G414" s="35">
        <v>7.8429700000000005E-2</v>
      </c>
    </row>
    <row r="415" spans="1:7" x14ac:dyDescent="0.3">
      <c r="A415" s="36" t="s">
        <v>63</v>
      </c>
      <c r="B415" s="48" t="s">
        <v>106</v>
      </c>
      <c r="C415" s="37">
        <v>46242</v>
      </c>
      <c r="D415" s="34" t="s">
        <v>30</v>
      </c>
      <c r="E415" s="41">
        <v>1701</v>
      </c>
      <c r="F415" s="33">
        <v>0.55320800000000003</v>
      </c>
      <c r="G415" s="35">
        <v>0.11802799999999999</v>
      </c>
    </row>
    <row r="416" spans="1:7" x14ac:dyDescent="0.3">
      <c r="A416" s="36" t="s">
        <v>63</v>
      </c>
      <c r="B416" s="48" t="s">
        <v>107</v>
      </c>
      <c r="C416" s="37">
        <v>46242</v>
      </c>
      <c r="D416" s="34" t="s">
        <v>14</v>
      </c>
      <c r="E416" s="41">
        <v>2564</v>
      </c>
      <c r="F416" s="33">
        <v>0.56651200000000002</v>
      </c>
      <c r="G416" s="35">
        <v>0.15919700000000001</v>
      </c>
    </row>
    <row r="417" spans="1:7" x14ac:dyDescent="0.3">
      <c r="A417" s="36" t="s">
        <v>63</v>
      </c>
      <c r="B417" s="48" t="s">
        <v>107</v>
      </c>
      <c r="C417" s="37">
        <v>46242</v>
      </c>
      <c r="D417" s="34" t="s">
        <v>15</v>
      </c>
      <c r="E417" s="41">
        <v>2161</v>
      </c>
      <c r="F417" s="33">
        <v>0.48776599999999998</v>
      </c>
      <c r="G417" s="35">
        <v>0.128466</v>
      </c>
    </row>
    <row r="418" spans="1:7" x14ac:dyDescent="0.3">
      <c r="A418" s="36" t="s">
        <v>63</v>
      </c>
      <c r="B418" s="48" t="s">
        <v>107</v>
      </c>
      <c r="C418" s="37">
        <v>46242</v>
      </c>
      <c r="D418" s="34" t="s">
        <v>16</v>
      </c>
      <c r="E418" s="41">
        <v>1587</v>
      </c>
      <c r="F418" s="33">
        <v>0.47037000000000001</v>
      </c>
      <c r="G418" s="35">
        <v>0.1103</v>
      </c>
    </row>
    <row r="419" spans="1:7" x14ac:dyDescent="0.3">
      <c r="A419" s="36" t="s">
        <v>63</v>
      </c>
      <c r="B419" s="48" t="s">
        <v>107</v>
      </c>
      <c r="C419" s="37">
        <v>46242</v>
      </c>
      <c r="D419" s="34" t="s">
        <v>17</v>
      </c>
      <c r="E419" s="41">
        <v>1818</v>
      </c>
      <c r="F419" s="33">
        <v>0.58029200000000003</v>
      </c>
      <c r="G419" s="35">
        <v>0.114796</v>
      </c>
    </row>
    <row r="420" spans="1:7" x14ac:dyDescent="0.3">
      <c r="A420" s="36" t="s">
        <v>63</v>
      </c>
      <c r="B420" s="48" t="s">
        <v>107</v>
      </c>
      <c r="C420" s="37">
        <v>46242</v>
      </c>
      <c r="D420" s="34" t="s">
        <v>18</v>
      </c>
      <c r="E420" s="41">
        <v>1939</v>
      </c>
      <c r="F420" s="33">
        <v>0.29561399999999999</v>
      </c>
      <c r="G420" s="35">
        <v>7.0275799999999999E-2</v>
      </c>
    </row>
    <row r="421" spans="1:7" x14ac:dyDescent="0.3">
      <c r="A421" s="36" t="s">
        <v>63</v>
      </c>
      <c r="B421" s="48" t="s">
        <v>107</v>
      </c>
      <c r="C421" s="37">
        <v>46242</v>
      </c>
      <c r="D421" s="34" t="s">
        <v>19</v>
      </c>
      <c r="E421" s="41">
        <v>1679</v>
      </c>
      <c r="F421" s="33">
        <v>0.42550399999999999</v>
      </c>
      <c r="G421" s="35">
        <v>8.9453500000000005E-2</v>
      </c>
    </row>
    <row r="422" spans="1:7" x14ac:dyDescent="0.3">
      <c r="A422" s="36" t="s">
        <v>63</v>
      </c>
      <c r="B422" s="48" t="s">
        <v>107</v>
      </c>
      <c r="C422" s="37">
        <v>46242</v>
      </c>
      <c r="D422" s="34" t="s">
        <v>20</v>
      </c>
      <c r="E422" s="41">
        <v>1796</v>
      </c>
      <c r="F422" s="33">
        <v>0.39746500000000001</v>
      </c>
      <c r="G422" s="35">
        <v>8.3117800000000006E-2</v>
      </c>
    </row>
    <row r="423" spans="1:7" x14ac:dyDescent="0.3">
      <c r="A423" s="36" t="s">
        <v>63</v>
      </c>
      <c r="B423" s="48" t="s">
        <v>107</v>
      </c>
      <c r="C423" s="37">
        <v>46242</v>
      </c>
      <c r="D423" s="34" t="s">
        <v>34</v>
      </c>
      <c r="E423" s="41">
        <v>1147</v>
      </c>
      <c r="F423" s="33">
        <v>0.22221299999999999</v>
      </c>
      <c r="G423" s="35">
        <v>6.7343E-2</v>
      </c>
    </row>
    <row r="424" spans="1:7" x14ac:dyDescent="0.3">
      <c r="A424" s="36" t="s">
        <v>63</v>
      </c>
      <c r="B424" s="48" t="s">
        <v>107</v>
      </c>
      <c r="C424" s="37">
        <v>46242</v>
      </c>
      <c r="D424" s="34" t="s">
        <v>21</v>
      </c>
      <c r="E424" s="41">
        <v>3324</v>
      </c>
      <c r="F424" s="33">
        <v>0.43684299999999998</v>
      </c>
      <c r="G424" s="35">
        <v>8.4972099999999995E-2</v>
      </c>
    </row>
    <row r="425" spans="1:7" x14ac:dyDescent="0.3">
      <c r="A425" s="36" t="s">
        <v>63</v>
      </c>
      <c r="B425" s="48" t="s">
        <v>107</v>
      </c>
      <c r="C425" s="37">
        <v>46242</v>
      </c>
      <c r="D425" s="34" t="s">
        <v>22</v>
      </c>
      <c r="E425" s="41">
        <v>2112</v>
      </c>
      <c r="F425" s="33">
        <v>0.396287</v>
      </c>
      <c r="G425" s="35">
        <v>0.107642</v>
      </c>
    </row>
    <row r="426" spans="1:7" x14ac:dyDescent="0.3">
      <c r="A426" s="36" t="s">
        <v>63</v>
      </c>
      <c r="B426" s="48" t="s">
        <v>107</v>
      </c>
      <c r="C426" s="37">
        <v>46242</v>
      </c>
      <c r="D426" s="34" t="s">
        <v>23</v>
      </c>
      <c r="E426" s="41">
        <v>1259</v>
      </c>
      <c r="F426" s="33">
        <v>0.215197</v>
      </c>
      <c r="G426" s="35">
        <v>7.0586399999999994E-2</v>
      </c>
    </row>
    <row r="427" spans="1:7" x14ac:dyDescent="0.3">
      <c r="A427" s="36" t="s">
        <v>63</v>
      </c>
      <c r="B427" s="48" t="s">
        <v>107</v>
      </c>
      <c r="C427" s="37">
        <v>46242</v>
      </c>
      <c r="D427" s="34" t="s">
        <v>24</v>
      </c>
      <c r="E427" s="41">
        <v>2856</v>
      </c>
      <c r="F427" s="33">
        <v>0.19991300000000001</v>
      </c>
      <c r="G427" s="35">
        <v>6.1593500000000002E-2</v>
      </c>
    </row>
    <row r="428" spans="1:7" x14ac:dyDescent="0.3">
      <c r="A428" s="36" t="s">
        <v>63</v>
      </c>
      <c r="B428" s="48" t="s">
        <v>107</v>
      </c>
      <c r="C428" s="37">
        <v>46242</v>
      </c>
      <c r="D428" s="34" t="s">
        <v>25</v>
      </c>
      <c r="E428" s="41">
        <v>1151</v>
      </c>
      <c r="F428" s="33">
        <v>0.21311099999999999</v>
      </c>
      <c r="G428" s="35">
        <v>5.1241000000000002E-2</v>
      </c>
    </row>
    <row r="429" spans="1:7" x14ac:dyDescent="0.3">
      <c r="A429" s="36" t="s">
        <v>63</v>
      </c>
      <c r="B429" s="48" t="s">
        <v>107</v>
      </c>
      <c r="C429" s="37">
        <v>46242</v>
      </c>
      <c r="D429" s="34" t="s">
        <v>26</v>
      </c>
      <c r="E429" s="41">
        <v>2416</v>
      </c>
      <c r="F429" s="33">
        <v>0.18479499999999999</v>
      </c>
      <c r="G429" s="35">
        <v>5.9408500000000003E-2</v>
      </c>
    </row>
    <row r="430" spans="1:7" x14ac:dyDescent="0.3">
      <c r="A430" s="36" t="s">
        <v>63</v>
      </c>
      <c r="B430" s="48" t="s">
        <v>107</v>
      </c>
      <c r="C430" s="37">
        <v>46242</v>
      </c>
      <c r="D430" s="34" t="s">
        <v>27</v>
      </c>
      <c r="E430" s="41">
        <v>2273</v>
      </c>
      <c r="F430" s="33">
        <v>0.34870800000000002</v>
      </c>
      <c r="G430" s="35">
        <v>7.9068100000000002E-2</v>
      </c>
    </row>
    <row r="431" spans="1:7" x14ac:dyDescent="0.3">
      <c r="A431" s="36" t="s">
        <v>63</v>
      </c>
      <c r="B431" s="48" t="s">
        <v>107</v>
      </c>
      <c r="C431" s="37">
        <v>46242</v>
      </c>
      <c r="D431" s="34" t="s">
        <v>28</v>
      </c>
      <c r="E431" s="41">
        <v>1105</v>
      </c>
      <c r="F431" s="33">
        <v>0.46557199999999999</v>
      </c>
      <c r="G431" s="35">
        <v>0.104514</v>
      </c>
    </row>
    <row r="432" spans="1:7" x14ac:dyDescent="0.3">
      <c r="A432" s="36" t="s">
        <v>63</v>
      </c>
      <c r="B432" s="48" t="s">
        <v>107</v>
      </c>
      <c r="C432" s="37">
        <v>46242</v>
      </c>
      <c r="D432" s="34" t="s">
        <v>29</v>
      </c>
      <c r="E432" s="41">
        <v>1521</v>
      </c>
      <c r="F432" s="33">
        <v>0.40725299999999998</v>
      </c>
      <c r="G432" s="35">
        <v>8.4299100000000002E-2</v>
      </c>
    </row>
    <row r="433" spans="1:7" x14ac:dyDescent="0.3">
      <c r="A433" s="36" t="s">
        <v>63</v>
      </c>
      <c r="B433" s="48" t="s">
        <v>107</v>
      </c>
      <c r="C433" s="37">
        <v>46242</v>
      </c>
      <c r="D433" s="34" t="s">
        <v>30</v>
      </c>
      <c r="E433" s="41">
        <v>1002</v>
      </c>
      <c r="F433" s="33">
        <v>0.53174200000000005</v>
      </c>
      <c r="G433" s="35">
        <v>0.10696600000000001</v>
      </c>
    </row>
    <row r="434" spans="1:7" x14ac:dyDescent="0.3">
      <c r="A434" s="36" t="s">
        <v>63</v>
      </c>
      <c r="B434" s="48" t="s">
        <v>108</v>
      </c>
      <c r="C434" s="37">
        <v>46242</v>
      </c>
      <c r="D434" s="34" t="s">
        <v>14</v>
      </c>
      <c r="E434" s="41">
        <v>2032</v>
      </c>
      <c r="F434" s="33">
        <v>0.55515800000000004</v>
      </c>
      <c r="G434" s="35">
        <v>0.140682</v>
      </c>
    </row>
    <row r="435" spans="1:7" x14ac:dyDescent="0.3">
      <c r="A435" s="36" t="s">
        <v>63</v>
      </c>
      <c r="B435" s="48" t="s">
        <v>108</v>
      </c>
      <c r="C435" s="37">
        <v>46242</v>
      </c>
      <c r="D435" s="34" t="s">
        <v>15</v>
      </c>
      <c r="E435" s="41">
        <v>1851</v>
      </c>
      <c r="F435" s="33">
        <v>0.393627</v>
      </c>
      <c r="G435" s="35">
        <v>9.4086199999999995E-2</v>
      </c>
    </row>
    <row r="436" spans="1:7" x14ac:dyDescent="0.3">
      <c r="A436" s="36" t="s">
        <v>63</v>
      </c>
      <c r="B436" s="48" t="s">
        <v>108</v>
      </c>
      <c r="C436" s="37">
        <v>46242</v>
      </c>
      <c r="D436" s="34" t="s">
        <v>16</v>
      </c>
      <c r="E436" s="41">
        <v>1543</v>
      </c>
      <c r="F436" s="33">
        <v>0.51980000000000004</v>
      </c>
      <c r="G436" s="35">
        <v>0.10842499999999999</v>
      </c>
    </row>
    <row r="437" spans="1:7" x14ac:dyDescent="0.3">
      <c r="A437" s="36" t="s">
        <v>63</v>
      </c>
      <c r="B437" s="48" t="s">
        <v>108</v>
      </c>
      <c r="C437" s="37">
        <v>46242</v>
      </c>
      <c r="D437" s="34" t="s">
        <v>17</v>
      </c>
      <c r="E437" s="41">
        <v>1904</v>
      </c>
      <c r="F437" s="33">
        <v>0.44204700000000002</v>
      </c>
      <c r="G437" s="35">
        <v>9.6364099999999994E-2</v>
      </c>
    </row>
    <row r="438" spans="1:7" x14ac:dyDescent="0.3">
      <c r="A438" s="36" t="s">
        <v>63</v>
      </c>
      <c r="B438" s="48" t="s">
        <v>108</v>
      </c>
      <c r="C438" s="37">
        <v>46242</v>
      </c>
      <c r="D438" s="34" t="s">
        <v>18</v>
      </c>
      <c r="E438" s="41">
        <v>1932</v>
      </c>
      <c r="F438" s="33">
        <v>0.29561399999999999</v>
      </c>
      <c r="G438" s="35">
        <v>7.0275799999999999E-2</v>
      </c>
    </row>
    <row r="439" spans="1:7" x14ac:dyDescent="0.3">
      <c r="A439" s="36" t="s">
        <v>63</v>
      </c>
      <c r="B439" s="48" t="s">
        <v>108</v>
      </c>
      <c r="C439" s="37">
        <v>46242</v>
      </c>
      <c r="D439" s="34" t="s">
        <v>19</v>
      </c>
      <c r="E439" s="41">
        <v>1704</v>
      </c>
      <c r="F439" s="33">
        <v>0.39001000000000002</v>
      </c>
      <c r="G439" s="35">
        <v>7.57322E-2</v>
      </c>
    </row>
    <row r="440" spans="1:7" x14ac:dyDescent="0.3">
      <c r="A440" s="36" t="s">
        <v>63</v>
      </c>
      <c r="B440" s="48" t="s">
        <v>108</v>
      </c>
      <c r="C440" s="37">
        <v>46242</v>
      </c>
      <c r="D440" s="34" t="s">
        <v>20</v>
      </c>
      <c r="E440" s="41">
        <v>1864</v>
      </c>
      <c r="F440" s="33">
        <v>0.44247199999999998</v>
      </c>
      <c r="G440" s="35">
        <v>8.6677000000000004E-2</v>
      </c>
    </row>
    <row r="441" spans="1:7" x14ac:dyDescent="0.3">
      <c r="A441" s="36" t="s">
        <v>63</v>
      </c>
      <c r="B441" s="48" t="s">
        <v>108</v>
      </c>
      <c r="C441" s="37">
        <v>46242</v>
      </c>
      <c r="D441" s="34" t="s">
        <v>34</v>
      </c>
      <c r="E441" s="41">
        <v>1004</v>
      </c>
      <c r="F441" s="33">
        <v>0.24021700000000001</v>
      </c>
      <c r="G441" s="35">
        <v>6.9356699999999993E-2</v>
      </c>
    </row>
    <row r="442" spans="1:7" x14ac:dyDescent="0.3">
      <c r="A442" s="36" t="s">
        <v>63</v>
      </c>
      <c r="B442" s="48" t="s">
        <v>108</v>
      </c>
      <c r="C442" s="37">
        <v>46242</v>
      </c>
      <c r="D442" s="34" t="s">
        <v>21</v>
      </c>
      <c r="E442" s="41">
        <v>3265</v>
      </c>
      <c r="F442" s="33">
        <v>0.42774800000000002</v>
      </c>
      <c r="G442" s="35">
        <v>8.9605099999999993E-2</v>
      </c>
    </row>
    <row r="443" spans="1:7" x14ac:dyDescent="0.3">
      <c r="A443" s="36" t="s">
        <v>63</v>
      </c>
      <c r="B443" s="48" t="s">
        <v>108</v>
      </c>
      <c r="C443" s="37">
        <v>46242</v>
      </c>
      <c r="D443" s="34" t="s">
        <v>22</v>
      </c>
      <c r="E443" s="41">
        <v>2185</v>
      </c>
      <c r="F443" s="33">
        <v>0.373276</v>
      </c>
      <c r="G443" s="35">
        <v>0.111995</v>
      </c>
    </row>
    <row r="444" spans="1:7" x14ac:dyDescent="0.3">
      <c r="A444" s="36" t="s">
        <v>63</v>
      </c>
      <c r="B444" s="48" t="s">
        <v>108</v>
      </c>
      <c r="C444" s="37">
        <v>46242</v>
      </c>
      <c r="D444" s="34" t="s">
        <v>23</v>
      </c>
      <c r="E444" s="41">
        <v>1097</v>
      </c>
      <c r="F444" s="33">
        <v>0.417854</v>
      </c>
      <c r="G444" s="35">
        <v>0.12665100000000001</v>
      </c>
    </row>
    <row r="445" spans="1:7" x14ac:dyDescent="0.3">
      <c r="A445" s="36" t="s">
        <v>63</v>
      </c>
      <c r="B445" s="48" t="s">
        <v>108</v>
      </c>
      <c r="C445" s="37">
        <v>46242</v>
      </c>
      <c r="D445" s="34" t="s">
        <v>24</v>
      </c>
      <c r="E445" s="41">
        <v>2729</v>
      </c>
      <c r="F445" s="33">
        <v>0.18465300000000001</v>
      </c>
      <c r="G445" s="35">
        <v>5.7549400000000001E-2</v>
      </c>
    </row>
    <row r="446" spans="1:7" x14ac:dyDescent="0.3">
      <c r="A446" s="36" t="s">
        <v>63</v>
      </c>
      <c r="B446" s="48" t="s">
        <v>108</v>
      </c>
      <c r="C446" s="37">
        <v>46242</v>
      </c>
      <c r="D446" s="34" t="s">
        <v>25</v>
      </c>
      <c r="E446" s="41">
        <v>1063</v>
      </c>
      <c r="F446" s="33">
        <v>0.17080200000000001</v>
      </c>
      <c r="G446" s="35">
        <v>4.3830000000000001E-2</v>
      </c>
    </row>
    <row r="447" spans="1:7" x14ac:dyDescent="0.3">
      <c r="A447" s="36" t="s">
        <v>63</v>
      </c>
      <c r="B447" s="48" t="s">
        <v>108</v>
      </c>
      <c r="C447" s="37">
        <v>46242</v>
      </c>
      <c r="D447" s="34" t="s">
        <v>26</v>
      </c>
      <c r="E447" s="41">
        <v>2275</v>
      </c>
      <c r="F447" s="33">
        <v>0.25070900000000002</v>
      </c>
      <c r="G447" s="35">
        <v>8.3557000000000006E-2</v>
      </c>
    </row>
    <row r="448" spans="1:7" x14ac:dyDescent="0.3">
      <c r="A448" s="36" t="s">
        <v>63</v>
      </c>
      <c r="B448" s="48" t="s">
        <v>108</v>
      </c>
      <c r="C448" s="37">
        <v>46242</v>
      </c>
      <c r="D448" s="34" t="s">
        <v>27</v>
      </c>
      <c r="E448" s="41">
        <v>2267</v>
      </c>
      <c r="F448" s="33">
        <v>0.33150099999999999</v>
      </c>
      <c r="G448" s="35">
        <v>8.4053900000000001E-2</v>
      </c>
    </row>
    <row r="449" spans="1:7" x14ac:dyDescent="0.3">
      <c r="A449" s="36" t="s">
        <v>63</v>
      </c>
      <c r="B449" s="48" t="s">
        <v>108</v>
      </c>
      <c r="C449" s="37">
        <v>46242</v>
      </c>
      <c r="D449" s="34" t="s">
        <v>28</v>
      </c>
      <c r="E449" s="41">
        <v>1343</v>
      </c>
      <c r="F449" s="33">
        <v>0.36375299999999999</v>
      </c>
      <c r="G449" s="35">
        <v>9.2755599999999994E-2</v>
      </c>
    </row>
    <row r="450" spans="1:7" x14ac:dyDescent="0.3">
      <c r="A450" s="36" t="s">
        <v>63</v>
      </c>
      <c r="B450" s="48" t="s">
        <v>108</v>
      </c>
      <c r="C450" s="37">
        <v>46242</v>
      </c>
      <c r="D450" s="34" t="s">
        <v>29</v>
      </c>
      <c r="E450" s="41">
        <v>1392</v>
      </c>
      <c r="F450" s="33">
        <v>0.40725299999999998</v>
      </c>
      <c r="G450" s="35">
        <v>8.4299100000000002E-2</v>
      </c>
    </row>
    <row r="451" spans="1:7" x14ac:dyDescent="0.3">
      <c r="A451" s="36" t="s">
        <v>63</v>
      </c>
      <c r="B451" s="48" t="s">
        <v>108</v>
      </c>
      <c r="C451" s="37">
        <v>46242</v>
      </c>
      <c r="D451" s="34" t="s">
        <v>30</v>
      </c>
      <c r="E451" s="41">
        <v>1206</v>
      </c>
      <c r="F451" s="33">
        <v>0.45145600000000002</v>
      </c>
      <c r="G451" s="35">
        <v>0.100788</v>
      </c>
    </row>
    <row r="452" spans="1:7" x14ac:dyDescent="0.3">
      <c r="A452" s="36" t="s">
        <v>57</v>
      </c>
      <c r="B452" s="47" t="s">
        <v>64</v>
      </c>
      <c r="C452" s="37">
        <v>46244</v>
      </c>
      <c r="D452" s="34" t="s">
        <v>14</v>
      </c>
      <c r="E452" s="41">
        <v>2617</v>
      </c>
      <c r="F452" s="33">
        <v>0.51635399999999998</v>
      </c>
      <c r="G452" s="35">
        <v>0.145202</v>
      </c>
    </row>
    <row r="453" spans="1:7" x14ac:dyDescent="0.3">
      <c r="A453" s="36" t="s">
        <v>57</v>
      </c>
      <c r="B453" s="47" t="s">
        <v>64</v>
      </c>
      <c r="C453" s="37">
        <v>46244</v>
      </c>
      <c r="D453" s="34" t="s">
        <v>15</v>
      </c>
      <c r="E453" s="41">
        <v>2140</v>
      </c>
      <c r="F453" s="33">
        <v>0.53041499999999997</v>
      </c>
      <c r="G453" s="35">
        <v>0.13970399999999999</v>
      </c>
    </row>
    <row r="454" spans="1:7" x14ac:dyDescent="0.3">
      <c r="A454" s="36" t="s">
        <v>57</v>
      </c>
      <c r="B454" s="47" t="s">
        <v>64</v>
      </c>
      <c r="C454" s="37">
        <v>46244</v>
      </c>
      <c r="D454" s="34" t="s">
        <v>16</v>
      </c>
      <c r="E454" s="41">
        <v>1369</v>
      </c>
      <c r="F454" s="33">
        <v>0.60772400000000004</v>
      </c>
      <c r="G454" s="35">
        <v>0.142537</v>
      </c>
    </row>
    <row r="455" spans="1:7" x14ac:dyDescent="0.3">
      <c r="A455" s="36" t="s">
        <v>57</v>
      </c>
      <c r="B455" s="47" t="s">
        <v>64</v>
      </c>
      <c r="C455" s="37">
        <v>46244</v>
      </c>
      <c r="D455" s="34" t="s">
        <v>17</v>
      </c>
      <c r="E455" s="41">
        <v>1760</v>
      </c>
      <c r="F455" s="33">
        <v>0.573071</v>
      </c>
      <c r="G455" s="35">
        <v>0.11326600000000001</v>
      </c>
    </row>
    <row r="456" spans="1:7" x14ac:dyDescent="0.3">
      <c r="A456" s="36" t="s">
        <v>57</v>
      </c>
      <c r="B456" s="47" t="s">
        <v>64</v>
      </c>
      <c r="C456" s="37">
        <v>46244</v>
      </c>
      <c r="D456" s="34" t="s">
        <v>18</v>
      </c>
      <c r="E456" s="41">
        <v>1807</v>
      </c>
      <c r="F456" s="33">
        <v>0.44016699999999997</v>
      </c>
      <c r="G456" s="35">
        <v>0.10468</v>
      </c>
    </row>
    <row r="457" spans="1:7" x14ac:dyDescent="0.3">
      <c r="A457" s="36" t="s">
        <v>57</v>
      </c>
      <c r="B457" s="47" t="s">
        <v>64</v>
      </c>
      <c r="C457" s="37">
        <v>46244</v>
      </c>
      <c r="D457" s="34" t="s">
        <v>19</v>
      </c>
      <c r="E457" s="41">
        <v>1350</v>
      </c>
      <c r="F457" s="33">
        <v>0.68363499999999999</v>
      </c>
      <c r="G457" s="35">
        <v>0.14379</v>
      </c>
    </row>
    <row r="458" spans="1:7" x14ac:dyDescent="0.3">
      <c r="A458" s="36" t="s">
        <v>57</v>
      </c>
      <c r="B458" s="47" t="s">
        <v>64</v>
      </c>
      <c r="C458" s="37">
        <v>46244</v>
      </c>
      <c r="D458" s="34" t="s">
        <v>20</v>
      </c>
      <c r="E458" s="41">
        <v>1165</v>
      </c>
      <c r="F458" s="33">
        <v>0.68407899999999999</v>
      </c>
      <c r="G458" s="35">
        <v>0.14311299999999999</v>
      </c>
    </row>
    <row r="459" spans="1:7" x14ac:dyDescent="0.3">
      <c r="A459" s="36" t="s">
        <v>57</v>
      </c>
      <c r="B459" s="47" t="s">
        <v>64</v>
      </c>
      <c r="C459" s="37">
        <v>46244</v>
      </c>
      <c r="D459" s="34" t="s">
        <v>34</v>
      </c>
      <c r="E459" s="41">
        <v>1255</v>
      </c>
      <c r="F459" s="33">
        <v>0.23006199999999999</v>
      </c>
      <c r="G459" s="35">
        <v>6.9675000000000001E-2</v>
      </c>
    </row>
    <row r="460" spans="1:7" x14ac:dyDescent="0.3">
      <c r="A460" s="36" t="s">
        <v>57</v>
      </c>
      <c r="B460" s="47" t="s">
        <v>64</v>
      </c>
      <c r="C460" s="37">
        <v>46244</v>
      </c>
      <c r="D460" s="34" t="s">
        <v>21</v>
      </c>
      <c r="E460" s="41">
        <v>1866</v>
      </c>
      <c r="F460" s="33">
        <v>0.62954500000000002</v>
      </c>
      <c r="G460" s="35">
        <v>0.122422</v>
      </c>
    </row>
    <row r="461" spans="1:7" x14ac:dyDescent="0.3">
      <c r="A461" s="36" t="s">
        <v>57</v>
      </c>
      <c r="B461" s="47" t="s">
        <v>64</v>
      </c>
      <c r="C461" s="37">
        <v>46244</v>
      </c>
      <c r="D461" s="34" t="s">
        <v>22</v>
      </c>
      <c r="E461" s="41">
        <v>2103</v>
      </c>
      <c r="F461" s="33">
        <v>0.47446700000000003</v>
      </c>
      <c r="G461" s="35">
        <v>0.12889400000000001</v>
      </c>
    </row>
    <row r="462" spans="1:7" x14ac:dyDescent="0.3">
      <c r="A462" s="36" t="s">
        <v>57</v>
      </c>
      <c r="B462" s="47" t="s">
        <v>64</v>
      </c>
      <c r="C462" s="37">
        <v>46244</v>
      </c>
      <c r="D462" s="34" t="s">
        <v>23</v>
      </c>
      <c r="E462" s="41">
        <v>1637</v>
      </c>
      <c r="F462" s="33">
        <v>0.421072</v>
      </c>
      <c r="G462" s="35">
        <v>0.13805799999999999</v>
      </c>
    </row>
    <row r="463" spans="1:7" x14ac:dyDescent="0.3">
      <c r="A463" s="36" t="s">
        <v>57</v>
      </c>
      <c r="B463" s="47" t="s">
        <v>64</v>
      </c>
      <c r="C463" s="37">
        <v>46244</v>
      </c>
      <c r="D463" s="34" t="s">
        <v>24</v>
      </c>
      <c r="E463" s="41">
        <v>2879</v>
      </c>
      <c r="F463" s="33">
        <v>0.46968599999999999</v>
      </c>
      <c r="G463" s="35">
        <v>0.14469499999999999</v>
      </c>
    </row>
    <row r="464" spans="1:7" x14ac:dyDescent="0.3">
      <c r="A464" s="36" t="s">
        <v>57</v>
      </c>
      <c r="B464" s="47" t="s">
        <v>64</v>
      </c>
      <c r="C464" s="37">
        <v>46244</v>
      </c>
      <c r="D464" s="34" t="s">
        <v>25</v>
      </c>
      <c r="E464" s="41">
        <v>1182</v>
      </c>
      <c r="F464" s="33">
        <v>0.19611799999999999</v>
      </c>
      <c r="G464" s="35">
        <v>4.7153599999999997E-2</v>
      </c>
    </row>
    <row r="465" spans="1:7" x14ac:dyDescent="0.3">
      <c r="A465" s="36" t="s">
        <v>57</v>
      </c>
      <c r="B465" s="47" t="s">
        <v>64</v>
      </c>
      <c r="C465" s="37">
        <v>46244</v>
      </c>
      <c r="D465" s="34" t="s">
        <v>26</v>
      </c>
      <c r="E465" s="41">
        <v>2147</v>
      </c>
      <c r="F465" s="33">
        <v>0.32267400000000002</v>
      </c>
      <c r="G465" s="35">
        <v>0.103725</v>
      </c>
    </row>
    <row r="466" spans="1:7" x14ac:dyDescent="0.3">
      <c r="A466" s="36" t="s">
        <v>57</v>
      </c>
      <c r="B466" s="47" t="s">
        <v>64</v>
      </c>
      <c r="C466" s="37">
        <v>46244</v>
      </c>
      <c r="D466" s="34" t="s">
        <v>27</v>
      </c>
      <c r="E466" s="41">
        <v>1528</v>
      </c>
      <c r="F466" s="33">
        <v>0.65305100000000005</v>
      </c>
      <c r="G466" s="35">
        <v>0.14813200000000001</v>
      </c>
    </row>
    <row r="467" spans="1:7" x14ac:dyDescent="0.3">
      <c r="A467" s="36" t="s">
        <v>57</v>
      </c>
      <c r="B467" s="47" t="s">
        <v>64</v>
      </c>
      <c r="C467" s="37">
        <v>46244</v>
      </c>
      <c r="D467" s="34" t="s">
        <v>28</v>
      </c>
      <c r="E467" s="41">
        <v>1543</v>
      </c>
      <c r="F467" s="33">
        <v>0.40624300000000002</v>
      </c>
      <c r="G467" s="35">
        <v>9.1163099999999997E-2</v>
      </c>
    </row>
    <row r="468" spans="1:7" x14ac:dyDescent="0.3">
      <c r="A468" s="36" t="s">
        <v>57</v>
      </c>
      <c r="B468" s="47" t="s">
        <v>64</v>
      </c>
      <c r="C468" s="37">
        <v>46244</v>
      </c>
      <c r="D468" s="34" t="s">
        <v>29</v>
      </c>
      <c r="E468" s="41">
        <v>1128</v>
      </c>
      <c r="F468" s="33">
        <v>0.53908</v>
      </c>
      <c r="G468" s="35">
        <v>0.11161600000000001</v>
      </c>
    </row>
    <row r="469" spans="1:7" x14ac:dyDescent="0.3">
      <c r="A469" s="36" t="s">
        <v>57</v>
      </c>
      <c r="B469" s="47" t="s">
        <v>64</v>
      </c>
      <c r="C469" s="37">
        <v>46244</v>
      </c>
      <c r="D469" s="34" t="s">
        <v>30</v>
      </c>
      <c r="E469" s="41">
        <v>1005</v>
      </c>
      <c r="F469" s="33">
        <v>0.41388999999999998</v>
      </c>
      <c r="G469" s="35">
        <v>8.3233199999999993E-2</v>
      </c>
    </row>
    <row r="470" spans="1:7" x14ac:dyDescent="0.3">
      <c r="A470" s="36" t="s">
        <v>57</v>
      </c>
      <c r="B470" s="47" t="s">
        <v>64</v>
      </c>
      <c r="C470" s="37">
        <v>46245</v>
      </c>
      <c r="D470" s="34" t="s">
        <v>14</v>
      </c>
      <c r="E470" s="41">
        <v>1450</v>
      </c>
      <c r="F470" s="33">
        <v>0.211371</v>
      </c>
      <c r="G470" s="35">
        <v>5.9408799999999998E-2</v>
      </c>
    </row>
    <row r="471" spans="1:7" x14ac:dyDescent="0.3">
      <c r="A471" s="36" t="s">
        <v>57</v>
      </c>
      <c r="B471" s="47" t="s">
        <v>64</v>
      </c>
      <c r="C471" s="37">
        <v>46245</v>
      </c>
      <c r="D471" s="34" t="s">
        <v>15</v>
      </c>
      <c r="E471" s="41">
        <v>1215</v>
      </c>
      <c r="F471" s="33">
        <v>0.29737599999999997</v>
      </c>
      <c r="G471" s="35">
        <v>7.8345899999999996E-2</v>
      </c>
    </row>
    <row r="472" spans="1:7" x14ac:dyDescent="0.3">
      <c r="A472" s="36" t="s">
        <v>57</v>
      </c>
      <c r="B472" s="47" t="s">
        <v>64</v>
      </c>
      <c r="C472" s="37">
        <v>46245</v>
      </c>
      <c r="D472" s="34" t="s">
        <v>16</v>
      </c>
      <c r="E472" s="41">
        <v>1002</v>
      </c>
      <c r="F472" s="33">
        <v>0.40363500000000002</v>
      </c>
      <c r="G472" s="35">
        <v>9.4695399999999999E-2</v>
      </c>
    </row>
    <row r="473" spans="1:7" x14ac:dyDescent="0.3">
      <c r="A473" s="36" t="s">
        <v>57</v>
      </c>
      <c r="B473" s="47" t="s">
        <v>64</v>
      </c>
      <c r="C473" s="37">
        <v>46245</v>
      </c>
      <c r="D473" s="34" t="s">
        <v>17</v>
      </c>
      <c r="E473" s="41">
        <v>1709</v>
      </c>
      <c r="F473" s="33">
        <v>0.55846799999999996</v>
      </c>
      <c r="G473" s="35">
        <v>0.110303</v>
      </c>
    </row>
    <row r="474" spans="1:7" x14ac:dyDescent="0.3">
      <c r="A474" s="36" t="s">
        <v>57</v>
      </c>
      <c r="B474" s="47" t="s">
        <v>64</v>
      </c>
      <c r="C474" s="37">
        <v>46245</v>
      </c>
      <c r="D474" s="34" t="s">
        <v>18</v>
      </c>
      <c r="E474" s="41">
        <v>1275</v>
      </c>
      <c r="F474" s="33">
        <v>0.25397599999999998</v>
      </c>
      <c r="G474" s="35">
        <v>6.0416400000000002E-2</v>
      </c>
    </row>
    <row r="475" spans="1:7" x14ac:dyDescent="0.3">
      <c r="A475" s="36" t="s">
        <v>57</v>
      </c>
      <c r="B475" s="47" t="s">
        <v>64</v>
      </c>
      <c r="C475" s="37">
        <v>46245</v>
      </c>
      <c r="D475" s="34" t="s">
        <v>19</v>
      </c>
      <c r="E475" s="41">
        <v>1315</v>
      </c>
      <c r="F475" s="33">
        <v>0.28124500000000002</v>
      </c>
      <c r="G475" s="35">
        <v>5.91297E-2</v>
      </c>
    </row>
    <row r="476" spans="1:7" x14ac:dyDescent="0.3">
      <c r="A476" s="36" t="s">
        <v>57</v>
      </c>
      <c r="B476" s="47" t="s">
        <v>64</v>
      </c>
      <c r="C476" s="37">
        <v>46245</v>
      </c>
      <c r="D476" s="34" t="s">
        <v>20</v>
      </c>
      <c r="E476" s="41">
        <v>1278</v>
      </c>
      <c r="F476" s="33">
        <v>0.32504899999999998</v>
      </c>
      <c r="G476" s="35">
        <v>6.8007200000000004E-2</v>
      </c>
    </row>
    <row r="477" spans="1:7" x14ac:dyDescent="0.3">
      <c r="A477" s="36" t="s">
        <v>57</v>
      </c>
      <c r="B477" s="47" t="s">
        <v>64</v>
      </c>
      <c r="C477" s="37">
        <v>46245</v>
      </c>
      <c r="D477" s="34" t="s">
        <v>34</v>
      </c>
      <c r="E477" s="41">
        <v>1254</v>
      </c>
      <c r="F477" s="33">
        <v>0.19009200000000001</v>
      </c>
      <c r="G477" s="35">
        <v>5.76237E-2</v>
      </c>
    </row>
    <row r="478" spans="1:7" x14ac:dyDescent="0.3">
      <c r="A478" s="36" t="s">
        <v>57</v>
      </c>
      <c r="B478" s="47" t="s">
        <v>64</v>
      </c>
      <c r="C478" s="37">
        <v>46245</v>
      </c>
      <c r="D478" s="34" t="s">
        <v>21</v>
      </c>
      <c r="E478" s="41">
        <v>2370</v>
      </c>
      <c r="F478" s="33">
        <v>0.45987800000000001</v>
      </c>
      <c r="G478" s="35">
        <v>8.9464500000000002E-2</v>
      </c>
    </row>
    <row r="479" spans="1:7" x14ac:dyDescent="0.3">
      <c r="A479" s="36" t="s">
        <v>57</v>
      </c>
      <c r="B479" s="47" t="s">
        <v>64</v>
      </c>
      <c r="C479" s="37">
        <v>46245</v>
      </c>
      <c r="D479" s="34" t="s">
        <v>22</v>
      </c>
      <c r="E479" s="41">
        <v>1442</v>
      </c>
      <c r="F479" s="33">
        <v>0.25839000000000001</v>
      </c>
      <c r="G479" s="35">
        <v>7.0241100000000001E-2</v>
      </c>
    </row>
    <row r="480" spans="1:7" x14ac:dyDescent="0.3">
      <c r="A480" s="36" t="s">
        <v>57</v>
      </c>
      <c r="B480" s="47" t="s">
        <v>64</v>
      </c>
      <c r="C480" s="37">
        <v>46245</v>
      </c>
      <c r="D480" s="34" t="s">
        <v>23</v>
      </c>
      <c r="E480" s="41">
        <v>1349</v>
      </c>
      <c r="F480" s="33">
        <v>0.21721099999999999</v>
      </c>
      <c r="G480" s="35">
        <v>7.1229399999999998E-2</v>
      </c>
    </row>
    <row r="481" spans="1:7" x14ac:dyDescent="0.3">
      <c r="A481" s="36" t="s">
        <v>57</v>
      </c>
      <c r="B481" s="47" t="s">
        <v>64</v>
      </c>
      <c r="C481" s="37">
        <v>46245</v>
      </c>
      <c r="D481" s="34" t="s">
        <v>24</v>
      </c>
      <c r="E481" s="41">
        <v>2077</v>
      </c>
      <c r="F481" s="33">
        <v>0.32391500000000001</v>
      </c>
      <c r="G481" s="35">
        <v>9.9747299999999997E-2</v>
      </c>
    </row>
    <row r="482" spans="1:7" x14ac:dyDescent="0.3">
      <c r="A482" s="36" t="s">
        <v>57</v>
      </c>
      <c r="B482" s="47" t="s">
        <v>64</v>
      </c>
      <c r="C482" s="37">
        <v>46245</v>
      </c>
      <c r="D482" s="34" t="s">
        <v>25</v>
      </c>
      <c r="E482" s="41">
        <v>1287</v>
      </c>
      <c r="F482" s="33">
        <v>0.20449800000000001</v>
      </c>
      <c r="G482" s="35">
        <v>4.92053E-2</v>
      </c>
    </row>
    <row r="483" spans="1:7" x14ac:dyDescent="0.3">
      <c r="A483" s="36" t="s">
        <v>57</v>
      </c>
      <c r="B483" s="47" t="s">
        <v>64</v>
      </c>
      <c r="C483" s="37">
        <v>46245</v>
      </c>
      <c r="D483" s="34" t="s">
        <v>26</v>
      </c>
      <c r="E483" s="41">
        <v>1378</v>
      </c>
      <c r="F483" s="33">
        <v>0.201596</v>
      </c>
      <c r="G483" s="35">
        <v>6.48228E-2</v>
      </c>
    </row>
    <row r="484" spans="1:7" x14ac:dyDescent="0.3">
      <c r="A484" s="36" t="s">
        <v>57</v>
      </c>
      <c r="B484" s="47" t="s">
        <v>64</v>
      </c>
      <c r="C484" s="37">
        <v>46245</v>
      </c>
      <c r="D484" s="34" t="s">
        <v>27</v>
      </c>
      <c r="E484" s="41">
        <v>1071</v>
      </c>
      <c r="F484" s="33">
        <v>0.398816</v>
      </c>
      <c r="G484" s="35">
        <v>9.04861E-2</v>
      </c>
    </row>
    <row r="485" spans="1:7" x14ac:dyDescent="0.3">
      <c r="A485" s="36" t="s">
        <v>57</v>
      </c>
      <c r="B485" s="47" t="s">
        <v>64</v>
      </c>
      <c r="C485" s="37">
        <v>46245</v>
      </c>
      <c r="D485" s="34" t="s">
        <v>28</v>
      </c>
      <c r="E485" s="41">
        <v>1096</v>
      </c>
      <c r="F485" s="33">
        <v>0.245283</v>
      </c>
      <c r="G485" s="35">
        <v>5.4997999999999998E-2</v>
      </c>
    </row>
    <row r="486" spans="1:7" x14ac:dyDescent="0.3">
      <c r="A486" s="36" t="s">
        <v>57</v>
      </c>
      <c r="B486" s="47" t="s">
        <v>64</v>
      </c>
      <c r="C486" s="37">
        <v>46245</v>
      </c>
      <c r="D486" s="34" t="s">
        <v>29</v>
      </c>
      <c r="E486" s="41">
        <v>1023</v>
      </c>
      <c r="F486" s="33">
        <v>0.228965</v>
      </c>
      <c r="G486" s="35">
        <v>4.7409600000000003E-2</v>
      </c>
    </row>
    <row r="487" spans="1:7" x14ac:dyDescent="0.3">
      <c r="A487" s="36" t="s">
        <v>57</v>
      </c>
      <c r="B487" s="47" t="s">
        <v>64</v>
      </c>
      <c r="C487" s="37">
        <v>46245</v>
      </c>
      <c r="D487" s="34" t="s">
        <v>30</v>
      </c>
      <c r="E487" s="41">
        <v>1292</v>
      </c>
      <c r="F487" s="33">
        <v>0.28336299999999998</v>
      </c>
      <c r="G487" s="35">
        <v>5.6996400000000003E-2</v>
      </c>
    </row>
    <row r="488" spans="1:7" x14ac:dyDescent="0.3">
      <c r="A488" s="36" t="s">
        <v>58</v>
      </c>
      <c r="B488" s="47" t="s">
        <v>152</v>
      </c>
      <c r="C488" s="37">
        <v>46246</v>
      </c>
      <c r="D488" s="34" t="s">
        <v>14</v>
      </c>
      <c r="E488" s="41">
        <v>2307</v>
      </c>
      <c r="F488" s="33">
        <v>1.38632</v>
      </c>
      <c r="G488" s="35">
        <v>0.38811499999999999</v>
      </c>
    </row>
    <row r="489" spans="1:7" x14ac:dyDescent="0.3">
      <c r="A489" s="36" t="s">
        <v>58</v>
      </c>
      <c r="B489" s="47" t="s">
        <v>152</v>
      </c>
      <c r="C489" s="37">
        <v>46246</v>
      </c>
      <c r="D489" s="34" t="s">
        <v>15</v>
      </c>
      <c r="E489" s="41">
        <v>1827</v>
      </c>
      <c r="F489" s="33">
        <v>1.8897699999999999</v>
      </c>
      <c r="G489" s="35">
        <v>0.497166</v>
      </c>
    </row>
    <row r="490" spans="1:7" x14ac:dyDescent="0.3">
      <c r="A490" s="36" t="s">
        <v>58</v>
      </c>
      <c r="B490" s="47" t="s">
        <v>152</v>
      </c>
      <c r="C490" s="37">
        <v>46246</v>
      </c>
      <c r="D490" s="34" t="s">
        <v>16</v>
      </c>
      <c r="E490" s="41">
        <v>1033</v>
      </c>
      <c r="F490" s="33">
        <v>0.35547800000000002</v>
      </c>
      <c r="G490" s="35">
        <v>8.3168000000000006E-2</v>
      </c>
    </row>
    <row r="491" spans="1:7" x14ac:dyDescent="0.3">
      <c r="A491" s="36" t="s">
        <v>58</v>
      </c>
      <c r="B491" s="47" t="s">
        <v>152</v>
      </c>
      <c r="C491" s="37">
        <v>46246</v>
      </c>
      <c r="D491" s="34" t="s">
        <v>17</v>
      </c>
      <c r="E491" s="41">
        <v>2055</v>
      </c>
      <c r="F491" s="33">
        <v>1.86354</v>
      </c>
      <c r="G491" s="35">
        <v>0.37180600000000003</v>
      </c>
    </row>
    <row r="492" spans="1:7" x14ac:dyDescent="0.3">
      <c r="A492" s="36" t="s">
        <v>58</v>
      </c>
      <c r="B492" s="47" t="s">
        <v>152</v>
      </c>
      <c r="C492" s="37">
        <v>46246</v>
      </c>
      <c r="D492" s="34" t="s">
        <v>18</v>
      </c>
      <c r="E492" s="41">
        <v>1449</v>
      </c>
      <c r="F492" s="33">
        <v>1.19241</v>
      </c>
      <c r="G492" s="35">
        <v>0.282858</v>
      </c>
    </row>
    <row r="493" spans="1:7" x14ac:dyDescent="0.3">
      <c r="A493" s="36" t="s">
        <v>58</v>
      </c>
      <c r="B493" s="47" t="s">
        <v>152</v>
      </c>
      <c r="C493" s="37">
        <v>46246</v>
      </c>
      <c r="D493" s="34" t="s">
        <v>19</v>
      </c>
      <c r="E493" s="41">
        <v>1508</v>
      </c>
      <c r="F493" s="33">
        <v>1.6486099999999999</v>
      </c>
      <c r="G493" s="35">
        <v>0.34601500000000002</v>
      </c>
    </row>
    <row r="494" spans="1:7" x14ac:dyDescent="0.3">
      <c r="A494" s="36" t="s">
        <v>58</v>
      </c>
      <c r="B494" s="47" t="s">
        <v>152</v>
      </c>
      <c r="C494" s="37">
        <v>46246</v>
      </c>
      <c r="D494" s="34" t="s">
        <v>20</v>
      </c>
      <c r="E494" s="41">
        <v>1515</v>
      </c>
      <c r="F494" s="33">
        <v>1.7868200000000001</v>
      </c>
      <c r="G494" s="35">
        <v>0.37444699999999997</v>
      </c>
    </row>
    <row r="495" spans="1:7" x14ac:dyDescent="0.3">
      <c r="A495" s="36" t="s">
        <v>58</v>
      </c>
      <c r="B495" s="47" t="s">
        <v>152</v>
      </c>
      <c r="C495" s="37">
        <v>46246</v>
      </c>
      <c r="D495" s="34" t="s">
        <v>34</v>
      </c>
      <c r="E495" s="41">
        <v>1003</v>
      </c>
      <c r="F495" s="33">
        <v>1.48909</v>
      </c>
      <c r="G495" s="35">
        <v>0.45335999999999999</v>
      </c>
    </row>
    <row r="496" spans="1:7" x14ac:dyDescent="0.3">
      <c r="A496" s="36" t="s">
        <v>58</v>
      </c>
      <c r="B496" s="47" t="s">
        <v>152</v>
      </c>
      <c r="C496" s="37">
        <v>46246</v>
      </c>
      <c r="D496" s="34" t="s">
        <v>21</v>
      </c>
      <c r="E496" s="41">
        <v>2505</v>
      </c>
      <c r="F496" s="33">
        <v>1.2868900000000001</v>
      </c>
      <c r="G496" s="35">
        <v>0.25094</v>
      </c>
    </row>
    <row r="497" spans="1:7" x14ac:dyDescent="0.3">
      <c r="A497" s="36" t="s">
        <v>58</v>
      </c>
      <c r="B497" s="47" t="s">
        <v>152</v>
      </c>
      <c r="C497" s="37">
        <v>46246</v>
      </c>
      <c r="D497" s="34" t="s">
        <v>22</v>
      </c>
      <c r="E497" s="41">
        <v>1676</v>
      </c>
      <c r="F497" s="33">
        <v>1.04637</v>
      </c>
      <c r="G497" s="35">
        <v>0.28419699999999998</v>
      </c>
    </row>
    <row r="498" spans="1:7" x14ac:dyDescent="0.3">
      <c r="A498" s="36" t="s">
        <v>58</v>
      </c>
      <c r="B498" s="47" t="s">
        <v>152</v>
      </c>
      <c r="C498" s="37">
        <v>46246</v>
      </c>
      <c r="D498" s="34" t="s">
        <v>23</v>
      </c>
      <c r="E498" s="41">
        <v>1631</v>
      </c>
      <c r="F498" s="33">
        <v>0.71558299999999997</v>
      </c>
      <c r="G498" s="35">
        <v>0.23394899999999999</v>
      </c>
    </row>
    <row r="499" spans="1:7" x14ac:dyDescent="0.3">
      <c r="A499" s="36" t="s">
        <v>58</v>
      </c>
      <c r="B499" s="47" t="s">
        <v>152</v>
      </c>
      <c r="C499" s="37">
        <v>46246</v>
      </c>
      <c r="D499" s="34" t="s">
        <v>24</v>
      </c>
      <c r="E499" s="41">
        <v>2110</v>
      </c>
      <c r="F499" s="33">
        <v>0.24426</v>
      </c>
      <c r="G499" s="35">
        <v>7.5109499999999996E-2</v>
      </c>
    </row>
    <row r="500" spans="1:7" x14ac:dyDescent="0.3">
      <c r="A500" s="36" t="s">
        <v>58</v>
      </c>
      <c r="B500" s="47" t="s">
        <v>152</v>
      </c>
      <c r="C500" s="37">
        <v>46246</v>
      </c>
      <c r="D500" s="34" t="s">
        <v>25</v>
      </c>
      <c r="E500" s="41">
        <v>1110</v>
      </c>
      <c r="F500" s="33">
        <v>0.48643700000000001</v>
      </c>
      <c r="G500" s="35">
        <v>0.117161</v>
      </c>
    </row>
    <row r="501" spans="1:7" x14ac:dyDescent="0.3">
      <c r="A501" s="36" t="s">
        <v>58</v>
      </c>
      <c r="B501" s="47" t="s">
        <v>152</v>
      </c>
      <c r="C501" s="37">
        <v>46246</v>
      </c>
      <c r="D501" s="34" t="s">
        <v>26</v>
      </c>
      <c r="E501" s="41">
        <v>1812</v>
      </c>
      <c r="F501" s="33">
        <v>0.18232300000000001</v>
      </c>
      <c r="G501" s="35">
        <v>5.8665799999999997E-2</v>
      </c>
    </row>
    <row r="502" spans="1:7" x14ac:dyDescent="0.3">
      <c r="A502" s="36" t="s">
        <v>58</v>
      </c>
      <c r="B502" s="47" t="s">
        <v>152</v>
      </c>
      <c r="C502" s="37">
        <v>46246</v>
      </c>
      <c r="D502" s="34" t="s">
        <v>27</v>
      </c>
      <c r="E502" s="41">
        <v>1092</v>
      </c>
      <c r="F502" s="33">
        <v>0.56030800000000003</v>
      </c>
      <c r="G502" s="35">
        <v>0.12754699999999999</v>
      </c>
    </row>
    <row r="503" spans="1:7" x14ac:dyDescent="0.3">
      <c r="A503" s="36" t="s">
        <v>58</v>
      </c>
      <c r="B503" s="47" t="s">
        <v>152</v>
      </c>
      <c r="C503" s="37">
        <v>46246</v>
      </c>
      <c r="D503" s="34" t="s">
        <v>28</v>
      </c>
      <c r="E503" s="41">
        <v>1305</v>
      </c>
      <c r="F503" s="33">
        <v>0.42638799999999999</v>
      </c>
      <c r="G503" s="35">
        <v>9.6200999999999995E-2</v>
      </c>
    </row>
    <row r="504" spans="1:7" x14ac:dyDescent="0.3">
      <c r="A504" s="36" t="s">
        <v>58</v>
      </c>
      <c r="B504" s="47" t="s">
        <v>152</v>
      </c>
      <c r="C504" s="37">
        <v>46246</v>
      </c>
      <c r="D504" s="34" t="s">
        <v>29</v>
      </c>
      <c r="E504" s="41">
        <v>1194</v>
      </c>
      <c r="F504" s="33">
        <v>3.2829299999999999</v>
      </c>
      <c r="G504" s="35">
        <v>0.68048699999999995</v>
      </c>
    </row>
    <row r="505" spans="1:7" x14ac:dyDescent="0.3">
      <c r="A505" s="36" t="s">
        <v>58</v>
      </c>
      <c r="B505" s="47" t="s">
        <v>152</v>
      </c>
      <c r="C505" s="37">
        <v>46246</v>
      </c>
      <c r="D505" s="34" t="s">
        <v>30</v>
      </c>
      <c r="E505" s="41">
        <v>1381</v>
      </c>
      <c r="F505" s="33">
        <v>1.6857899999999999</v>
      </c>
      <c r="G505" s="35">
        <v>0.343221</v>
      </c>
    </row>
    <row r="506" spans="1:7" x14ac:dyDescent="0.3">
      <c r="A506" s="41" t="s">
        <v>57</v>
      </c>
      <c r="B506" s="48" t="s">
        <v>64</v>
      </c>
      <c r="C506" s="37">
        <v>46246</v>
      </c>
      <c r="D506" s="34" t="s">
        <v>14</v>
      </c>
      <c r="E506" s="41">
        <v>2036</v>
      </c>
      <c r="F506" s="33">
        <v>0.362371</v>
      </c>
      <c r="G506" s="35">
        <v>0.1021</v>
      </c>
    </row>
    <row r="507" spans="1:7" x14ac:dyDescent="0.3">
      <c r="A507" s="41" t="s">
        <v>57</v>
      </c>
      <c r="B507" s="48" t="s">
        <v>64</v>
      </c>
      <c r="C507" s="37">
        <v>46246</v>
      </c>
      <c r="D507" s="34" t="s">
        <v>15</v>
      </c>
      <c r="E507" s="41">
        <v>1654</v>
      </c>
      <c r="F507" s="33">
        <v>0.48143200000000003</v>
      </c>
      <c r="G507" s="35">
        <v>0.126891</v>
      </c>
    </row>
    <row r="508" spans="1:7" x14ac:dyDescent="0.3">
      <c r="A508" s="41" t="s">
        <v>57</v>
      </c>
      <c r="B508" s="48" t="s">
        <v>64</v>
      </c>
      <c r="C508" s="37">
        <v>46246</v>
      </c>
      <c r="D508" s="34" t="s">
        <v>16</v>
      </c>
      <c r="E508" s="41">
        <v>1137</v>
      </c>
      <c r="F508" s="33">
        <v>0.64936700000000003</v>
      </c>
      <c r="G508" s="35">
        <v>0.152672</v>
      </c>
    </row>
    <row r="509" spans="1:7" x14ac:dyDescent="0.3">
      <c r="A509" s="41" t="s">
        <v>57</v>
      </c>
      <c r="B509" s="48" t="s">
        <v>64</v>
      </c>
      <c r="C509" s="37">
        <v>46246</v>
      </c>
      <c r="D509" s="34" t="s">
        <v>17</v>
      </c>
      <c r="E509" s="41">
        <v>2178</v>
      </c>
      <c r="F509" s="33">
        <v>0.72898399999999997</v>
      </c>
      <c r="G509" s="35">
        <v>0.144092</v>
      </c>
    </row>
    <row r="510" spans="1:7" x14ac:dyDescent="0.3">
      <c r="A510" s="41" t="s">
        <v>57</v>
      </c>
      <c r="B510" s="48" t="s">
        <v>64</v>
      </c>
      <c r="C510" s="37">
        <v>46246</v>
      </c>
      <c r="D510" s="34" t="s">
        <v>18</v>
      </c>
      <c r="E510" s="41">
        <v>1790</v>
      </c>
      <c r="F510" s="33">
        <v>0.94400899999999999</v>
      </c>
      <c r="G510" s="35">
        <v>0.224774</v>
      </c>
    </row>
    <row r="511" spans="1:7" x14ac:dyDescent="0.3">
      <c r="A511" s="41" t="s">
        <v>57</v>
      </c>
      <c r="B511" s="48" t="s">
        <v>64</v>
      </c>
      <c r="C511" s="37">
        <v>46246</v>
      </c>
      <c r="D511" s="34" t="s">
        <v>19</v>
      </c>
      <c r="E511" s="41">
        <v>1983</v>
      </c>
      <c r="F511" s="33">
        <v>1.21502</v>
      </c>
      <c r="G511" s="35">
        <v>0.25578600000000001</v>
      </c>
    </row>
    <row r="512" spans="1:7" x14ac:dyDescent="0.3">
      <c r="A512" s="41" t="s">
        <v>57</v>
      </c>
      <c r="B512" s="48" t="s">
        <v>64</v>
      </c>
      <c r="C512" s="37">
        <v>46246</v>
      </c>
      <c r="D512" s="34" t="s">
        <v>20</v>
      </c>
      <c r="E512" s="41">
        <v>1908</v>
      </c>
      <c r="F512" s="33">
        <v>1.3784799999999999</v>
      </c>
      <c r="G512" s="35">
        <v>0.28981800000000002</v>
      </c>
    </row>
    <row r="513" spans="1:7" x14ac:dyDescent="0.3">
      <c r="A513" s="41" t="s">
        <v>57</v>
      </c>
      <c r="B513" s="48" t="s">
        <v>64</v>
      </c>
      <c r="C513" s="37">
        <v>46246</v>
      </c>
      <c r="D513" s="34" t="s">
        <v>34</v>
      </c>
      <c r="E513" s="41">
        <v>1131</v>
      </c>
      <c r="F513" s="33">
        <v>0.55193000000000003</v>
      </c>
      <c r="G513" s="35">
        <v>0.16748499999999999</v>
      </c>
    </row>
    <row r="514" spans="1:7" x14ac:dyDescent="0.3">
      <c r="A514" s="41" t="s">
        <v>57</v>
      </c>
      <c r="B514" s="48" t="s">
        <v>64</v>
      </c>
      <c r="C514" s="37">
        <v>46246</v>
      </c>
      <c r="D514" s="34" t="s">
        <v>21</v>
      </c>
      <c r="E514" s="41">
        <v>3124</v>
      </c>
      <c r="F514" s="33">
        <v>0.64809700000000003</v>
      </c>
      <c r="G514" s="35">
        <v>0.12609200000000001</v>
      </c>
    </row>
    <row r="515" spans="1:7" x14ac:dyDescent="0.3">
      <c r="A515" s="41" t="s">
        <v>57</v>
      </c>
      <c r="B515" s="48" t="s">
        <v>64</v>
      </c>
      <c r="C515" s="37">
        <v>46246</v>
      </c>
      <c r="D515" s="34" t="s">
        <v>22</v>
      </c>
      <c r="E515" s="41">
        <v>2106</v>
      </c>
      <c r="F515" s="33">
        <v>0.50193200000000004</v>
      </c>
      <c r="G515" s="35">
        <v>0.136105</v>
      </c>
    </row>
    <row r="516" spans="1:7" x14ac:dyDescent="0.3">
      <c r="A516" s="41" t="s">
        <v>57</v>
      </c>
      <c r="B516" s="48" t="s">
        <v>64</v>
      </c>
      <c r="C516" s="37">
        <v>46246</v>
      </c>
      <c r="D516" s="34" t="s">
        <v>23</v>
      </c>
      <c r="E516" s="41">
        <v>1002</v>
      </c>
      <c r="F516" s="33">
        <v>0.35624400000000001</v>
      </c>
      <c r="G516" s="35">
        <v>0.11713899999999999</v>
      </c>
    </row>
    <row r="517" spans="1:7" x14ac:dyDescent="0.3">
      <c r="A517" s="41" t="s">
        <v>57</v>
      </c>
      <c r="B517" s="48" t="s">
        <v>64</v>
      </c>
      <c r="C517" s="37">
        <v>46246</v>
      </c>
      <c r="D517" s="34" t="s">
        <v>24</v>
      </c>
      <c r="E517" s="41">
        <v>2341</v>
      </c>
      <c r="F517" s="33">
        <v>0.16528000000000001</v>
      </c>
      <c r="G517" s="35">
        <v>5.0965499999999997E-2</v>
      </c>
    </row>
    <row r="518" spans="1:7" x14ac:dyDescent="0.3">
      <c r="A518" s="41" t="s">
        <v>57</v>
      </c>
      <c r="B518" s="48" t="s">
        <v>64</v>
      </c>
      <c r="C518" s="37">
        <v>46246</v>
      </c>
      <c r="D518" s="34" t="s">
        <v>25</v>
      </c>
      <c r="E518" s="41">
        <v>1095</v>
      </c>
      <c r="F518" s="33">
        <v>0.41456799999999999</v>
      </c>
      <c r="G518" s="35">
        <v>9.9886199999999994E-2</v>
      </c>
    </row>
    <row r="519" spans="1:7" x14ac:dyDescent="0.3">
      <c r="A519" s="41" t="s">
        <v>57</v>
      </c>
      <c r="B519" s="48" t="s">
        <v>64</v>
      </c>
      <c r="C519" s="37">
        <v>46246</v>
      </c>
      <c r="D519" s="34" t="s">
        <v>26</v>
      </c>
      <c r="E519" s="41">
        <v>1895</v>
      </c>
      <c r="F519" s="33">
        <v>0.13086600000000001</v>
      </c>
      <c r="G519" s="35">
        <v>4.2027099999999998E-2</v>
      </c>
    </row>
    <row r="520" spans="1:7" x14ac:dyDescent="0.3">
      <c r="A520" s="41" t="s">
        <v>57</v>
      </c>
      <c r="B520" s="48" t="s">
        <v>64</v>
      </c>
      <c r="C520" s="37">
        <v>46246</v>
      </c>
      <c r="D520" s="34" t="s">
        <v>27</v>
      </c>
      <c r="E520" s="41">
        <v>1591</v>
      </c>
      <c r="F520" s="33">
        <v>0.51427400000000001</v>
      </c>
      <c r="G520" s="35">
        <v>0.1166</v>
      </c>
    </row>
    <row r="521" spans="1:7" x14ac:dyDescent="0.3">
      <c r="A521" s="41" t="s">
        <v>57</v>
      </c>
      <c r="B521" s="48" t="s">
        <v>64</v>
      </c>
      <c r="C521" s="37">
        <v>46246</v>
      </c>
      <c r="D521" s="34" t="s">
        <v>28</v>
      </c>
      <c r="E521" s="41">
        <v>1029</v>
      </c>
      <c r="F521" s="33">
        <v>0.28022999999999998</v>
      </c>
      <c r="G521" s="35">
        <v>6.2857700000000002E-2</v>
      </c>
    </row>
    <row r="522" spans="1:7" x14ac:dyDescent="0.3">
      <c r="A522" s="41" t="s">
        <v>57</v>
      </c>
      <c r="B522" s="48" t="s">
        <v>64</v>
      </c>
      <c r="C522" s="37">
        <v>46246</v>
      </c>
      <c r="D522" s="34" t="s">
        <v>29</v>
      </c>
      <c r="E522" s="41">
        <v>1274</v>
      </c>
      <c r="F522" s="33">
        <v>0.68439300000000003</v>
      </c>
      <c r="G522" s="35">
        <v>0.14205200000000001</v>
      </c>
    </row>
    <row r="523" spans="1:7" x14ac:dyDescent="0.3">
      <c r="A523" s="41" t="s">
        <v>57</v>
      </c>
      <c r="B523" s="48" t="s">
        <v>64</v>
      </c>
      <c r="C523" s="37">
        <v>46246</v>
      </c>
      <c r="D523" s="34" t="s">
        <v>30</v>
      </c>
      <c r="E523" s="41">
        <v>1459</v>
      </c>
      <c r="F523" s="33">
        <v>0.53029599999999999</v>
      </c>
      <c r="G523" s="35">
        <v>0.106762</v>
      </c>
    </row>
    <row r="524" spans="1:7" x14ac:dyDescent="0.3">
      <c r="A524" s="41" t="s">
        <v>63</v>
      </c>
      <c r="B524" s="48" t="s">
        <v>128</v>
      </c>
      <c r="C524" s="37">
        <v>46245</v>
      </c>
      <c r="D524" s="34" t="s">
        <v>14</v>
      </c>
      <c r="E524" s="41">
        <v>2385</v>
      </c>
      <c r="F524" s="33">
        <v>0.64593299999999998</v>
      </c>
      <c r="G524" s="35">
        <v>0.181585</v>
      </c>
    </row>
    <row r="525" spans="1:7" x14ac:dyDescent="0.3">
      <c r="A525" s="41" t="s">
        <v>63</v>
      </c>
      <c r="B525" s="48" t="s">
        <v>128</v>
      </c>
      <c r="C525" s="37">
        <v>46245</v>
      </c>
      <c r="D525" s="34" t="s">
        <v>15</v>
      </c>
      <c r="E525" s="41">
        <v>2319</v>
      </c>
      <c r="F525" s="33">
        <v>0.48036200000000001</v>
      </c>
      <c r="G525" s="35">
        <v>0.12651499999999999</v>
      </c>
    </row>
    <row r="526" spans="1:7" x14ac:dyDescent="0.3">
      <c r="A526" s="41" t="s">
        <v>63</v>
      </c>
      <c r="B526" s="48" t="s">
        <v>128</v>
      </c>
      <c r="C526" s="37">
        <v>46245</v>
      </c>
      <c r="D526" s="34" t="s">
        <v>16</v>
      </c>
      <c r="E526" s="41">
        <v>1804</v>
      </c>
      <c r="F526" s="33">
        <v>0.43161100000000002</v>
      </c>
      <c r="G526" s="35">
        <v>0.101214</v>
      </c>
    </row>
    <row r="527" spans="1:7" x14ac:dyDescent="0.3">
      <c r="A527" s="41" t="s">
        <v>63</v>
      </c>
      <c r="B527" s="48" t="s">
        <v>128</v>
      </c>
      <c r="C527" s="37">
        <v>46245</v>
      </c>
      <c r="D527" s="34" t="s">
        <v>17</v>
      </c>
      <c r="E527" s="41">
        <v>2032</v>
      </c>
      <c r="F527" s="33">
        <v>0.581202</v>
      </c>
      <c r="G527" s="35">
        <v>0.114914</v>
      </c>
    </row>
    <row r="528" spans="1:7" x14ac:dyDescent="0.3">
      <c r="A528" s="41" t="s">
        <v>63</v>
      </c>
      <c r="B528" s="48" t="s">
        <v>128</v>
      </c>
      <c r="C528" s="37">
        <v>46245</v>
      </c>
      <c r="D528" s="34" t="s">
        <v>18</v>
      </c>
      <c r="E528" s="41">
        <v>2008</v>
      </c>
      <c r="F528" s="33">
        <v>0.25587500000000002</v>
      </c>
      <c r="G528" s="35">
        <v>6.0851799999999998E-2</v>
      </c>
    </row>
    <row r="529" spans="1:7" x14ac:dyDescent="0.3">
      <c r="A529" s="41" t="s">
        <v>63</v>
      </c>
      <c r="B529" s="48" t="s">
        <v>128</v>
      </c>
      <c r="C529" s="37">
        <v>46245</v>
      </c>
      <c r="D529" s="34" t="s">
        <v>19</v>
      </c>
      <c r="E529" s="41">
        <v>1539</v>
      </c>
      <c r="F529" s="33">
        <v>0.42202099999999998</v>
      </c>
      <c r="G529" s="35">
        <v>8.8715500000000003E-2</v>
      </c>
    </row>
    <row r="530" spans="1:7" x14ac:dyDescent="0.3">
      <c r="A530" s="41" t="s">
        <v>63</v>
      </c>
      <c r="B530" s="48" t="s">
        <v>128</v>
      </c>
      <c r="C530" s="37">
        <v>46245</v>
      </c>
      <c r="D530" s="34" t="s">
        <v>20</v>
      </c>
      <c r="E530" s="41">
        <v>1549</v>
      </c>
      <c r="F530" s="33">
        <v>0.44111099999999998</v>
      </c>
      <c r="G530" s="35">
        <v>9.2252799999999996E-2</v>
      </c>
    </row>
    <row r="531" spans="1:7" x14ac:dyDescent="0.3">
      <c r="A531" s="41" t="s">
        <v>63</v>
      </c>
      <c r="B531" s="48" t="s">
        <v>128</v>
      </c>
      <c r="C531" s="37">
        <v>46245</v>
      </c>
      <c r="D531" s="34" t="s">
        <v>34</v>
      </c>
      <c r="E531" s="41">
        <v>1005</v>
      </c>
      <c r="F531" s="33">
        <v>0.227497</v>
      </c>
      <c r="G531" s="35">
        <v>6.8921399999999994E-2</v>
      </c>
    </row>
    <row r="532" spans="1:7" x14ac:dyDescent="0.3">
      <c r="A532" s="41" t="s">
        <v>63</v>
      </c>
      <c r="B532" s="48" t="s">
        <v>128</v>
      </c>
      <c r="C532" s="37">
        <v>46245</v>
      </c>
      <c r="D532" s="34" t="s">
        <v>21</v>
      </c>
      <c r="E532" s="41">
        <v>3324</v>
      </c>
      <c r="F532" s="33">
        <v>0.50098699999999996</v>
      </c>
      <c r="G532" s="35">
        <v>9.7444600000000006E-2</v>
      </c>
    </row>
    <row r="533" spans="1:7" x14ac:dyDescent="0.3">
      <c r="A533" s="41" t="s">
        <v>63</v>
      </c>
      <c r="B533" s="48" t="s">
        <v>128</v>
      </c>
      <c r="C533" s="37">
        <v>46245</v>
      </c>
      <c r="D533" s="34" t="s">
        <v>22</v>
      </c>
      <c r="E533" s="41">
        <v>2342</v>
      </c>
      <c r="F533" s="33">
        <v>0.41564200000000001</v>
      </c>
      <c r="G533" s="35">
        <v>0.112913</v>
      </c>
    </row>
    <row r="534" spans="1:7" x14ac:dyDescent="0.3">
      <c r="A534" s="41" t="s">
        <v>63</v>
      </c>
      <c r="B534" s="48" t="s">
        <v>128</v>
      </c>
      <c r="C534" s="37">
        <v>46245</v>
      </c>
      <c r="D534" s="34" t="s">
        <v>23</v>
      </c>
      <c r="E534" s="41">
        <v>1194</v>
      </c>
      <c r="F534" s="33">
        <v>0.39593200000000001</v>
      </c>
      <c r="G534" s="35">
        <v>0.12980900000000001</v>
      </c>
    </row>
    <row r="535" spans="1:7" x14ac:dyDescent="0.3">
      <c r="A535" s="41" t="s">
        <v>63</v>
      </c>
      <c r="B535" s="48" t="s">
        <v>128</v>
      </c>
      <c r="C535" s="37">
        <v>46245</v>
      </c>
      <c r="D535" s="34" t="s">
        <v>24</v>
      </c>
      <c r="E535" s="41">
        <v>2819</v>
      </c>
      <c r="F535" s="33">
        <v>0.29527199999999998</v>
      </c>
      <c r="G535" s="35">
        <v>9.0941300000000003E-2</v>
      </c>
    </row>
    <row r="536" spans="1:7" x14ac:dyDescent="0.3">
      <c r="A536" s="41" t="s">
        <v>63</v>
      </c>
      <c r="B536" s="48" t="s">
        <v>128</v>
      </c>
      <c r="C536" s="37">
        <v>46245</v>
      </c>
      <c r="D536" s="34" t="s">
        <v>25</v>
      </c>
      <c r="E536" s="41">
        <v>1097</v>
      </c>
      <c r="F536" s="33">
        <v>0.21635299999999999</v>
      </c>
      <c r="G536" s="35">
        <v>5.2024399999999998E-2</v>
      </c>
    </row>
    <row r="537" spans="1:7" x14ac:dyDescent="0.3">
      <c r="A537" s="41" t="s">
        <v>63</v>
      </c>
      <c r="B537" s="48" t="s">
        <v>128</v>
      </c>
      <c r="C537" s="37">
        <v>46245</v>
      </c>
      <c r="D537" s="34" t="s">
        <v>26</v>
      </c>
      <c r="E537" s="41">
        <v>2388</v>
      </c>
      <c r="F537" s="33">
        <v>0.26457900000000001</v>
      </c>
      <c r="G537" s="35">
        <v>8.5066900000000001E-2</v>
      </c>
    </row>
    <row r="538" spans="1:7" x14ac:dyDescent="0.3">
      <c r="A538" s="41" t="s">
        <v>63</v>
      </c>
      <c r="B538" s="48" t="s">
        <v>128</v>
      </c>
      <c r="C538" s="37">
        <v>46245</v>
      </c>
      <c r="D538" s="34" t="s">
        <v>27</v>
      </c>
      <c r="E538" s="41">
        <v>2348</v>
      </c>
      <c r="F538" s="33">
        <v>0.36505599999999999</v>
      </c>
      <c r="G538" s="35">
        <v>8.2788899999999999E-2</v>
      </c>
    </row>
    <row r="539" spans="1:7" x14ac:dyDescent="0.3">
      <c r="A539" s="41" t="s">
        <v>63</v>
      </c>
      <c r="B539" s="48" t="s">
        <v>128</v>
      </c>
      <c r="C539" s="37">
        <v>46245</v>
      </c>
      <c r="D539" s="34" t="s">
        <v>28</v>
      </c>
      <c r="E539" s="41">
        <v>1127</v>
      </c>
      <c r="F539" s="33">
        <v>0.56964700000000001</v>
      </c>
      <c r="G539" s="35">
        <v>0.127854</v>
      </c>
    </row>
    <row r="540" spans="1:7" x14ac:dyDescent="0.3">
      <c r="A540" s="41" t="s">
        <v>63</v>
      </c>
      <c r="B540" s="48" t="s">
        <v>128</v>
      </c>
      <c r="C540" s="37">
        <v>46245</v>
      </c>
      <c r="D540" s="34" t="s">
        <v>29</v>
      </c>
      <c r="E540" s="41">
        <v>1630</v>
      </c>
      <c r="F540" s="33">
        <v>0.36154799999999998</v>
      </c>
      <c r="G540" s="35">
        <v>7.4840400000000001E-2</v>
      </c>
    </row>
    <row r="541" spans="1:7" x14ac:dyDescent="0.3">
      <c r="A541" s="41" t="s">
        <v>63</v>
      </c>
      <c r="B541" s="48" t="s">
        <v>128</v>
      </c>
      <c r="C541" s="37">
        <v>46245</v>
      </c>
      <c r="D541" s="34" t="s">
        <v>30</v>
      </c>
      <c r="E541" s="41">
        <v>1236</v>
      </c>
      <c r="F541" s="33">
        <v>0.44673600000000002</v>
      </c>
      <c r="G541" s="35">
        <v>8.9858099999999996E-2</v>
      </c>
    </row>
    <row r="542" spans="1:7" x14ac:dyDescent="0.3">
      <c r="A542" s="41" t="s">
        <v>63</v>
      </c>
      <c r="B542" s="48" t="s">
        <v>129</v>
      </c>
      <c r="C542" s="37">
        <v>46245</v>
      </c>
      <c r="D542" s="34" t="s">
        <v>14</v>
      </c>
      <c r="E542" s="41">
        <v>2139</v>
      </c>
      <c r="F542" s="33">
        <v>0.49287599999999998</v>
      </c>
      <c r="G542" s="35">
        <v>0.139321</v>
      </c>
    </row>
    <row r="543" spans="1:7" x14ac:dyDescent="0.3">
      <c r="A543" s="41" t="s">
        <v>63</v>
      </c>
      <c r="B543" s="48" t="s">
        <v>129</v>
      </c>
      <c r="C543" s="37">
        <v>46245</v>
      </c>
      <c r="D543" s="34" t="s">
        <v>15</v>
      </c>
      <c r="E543" s="41">
        <v>2032</v>
      </c>
      <c r="F543" s="33">
        <v>0.44449100000000002</v>
      </c>
      <c r="G543" s="35">
        <v>0.117545</v>
      </c>
    </row>
    <row r="544" spans="1:7" x14ac:dyDescent="0.3">
      <c r="A544" s="41" t="s">
        <v>63</v>
      </c>
      <c r="B544" s="48" t="s">
        <v>129</v>
      </c>
      <c r="C544" s="37">
        <v>46245</v>
      </c>
      <c r="D544" s="34" t="s">
        <v>16</v>
      </c>
      <c r="E544" s="41">
        <v>1473</v>
      </c>
      <c r="F544" s="33">
        <v>0.44498199999999999</v>
      </c>
      <c r="G544" s="35">
        <v>0.104574</v>
      </c>
    </row>
    <row r="545" spans="1:7" x14ac:dyDescent="0.3">
      <c r="A545" s="41" t="s">
        <v>63</v>
      </c>
      <c r="B545" s="48" t="s">
        <v>129</v>
      </c>
      <c r="C545" s="37">
        <v>46245</v>
      </c>
      <c r="D545" s="34" t="s">
        <v>17</v>
      </c>
      <c r="E545" s="41">
        <v>2045</v>
      </c>
      <c r="F545" s="33">
        <v>0.478385</v>
      </c>
      <c r="G545" s="35">
        <v>9.4275100000000001E-2</v>
      </c>
    </row>
    <row r="546" spans="1:7" x14ac:dyDescent="0.3">
      <c r="A546" s="41" t="s">
        <v>63</v>
      </c>
      <c r="B546" s="48" t="s">
        <v>129</v>
      </c>
      <c r="C546" s="37">
        <v>46245</v>
      </c>
      <c r="D546" s="34" t="s">
        <v>18</v>
      </c>
      <c r="E546" s="41">
        <v>1623</v>
      </c>
      <c r="F546" s="33">
        <v>0.26277800000000001</v>
      </c>
      <c r="G546" s="35">
        <v>6.2501000000000001E-2</v>
      </c>
    </row>
    <row r="547" spans="1:7" x14ac:dyDescent="0.3">
      <c r="A547" s="41" t="s">
        <v>63</v>
      </c>
      <c r="B547" s="48" t="s">
        <v>129</v>
      </c>
      <c r="C547" s="37">
        <v>46245</v>
      </c>
      <c r="D547" s="34" t="s">
        <v>19</v>
      </c>
      <c r="E547" s="41">
        <v>1512</v>
      </c>
      <c r="F547" s="33">
        <v>0.38041599999999998</v>
      </c>
      <c r="G547" s="35">
        <v>7.9848799999999998E-2</v>
      </c>
    </row>
    <row r="548" spans="1:7" x14ac:dyDescent="0.3">
      <c r="A548" s="41" t="s">
        <v>63</v>
      </c>
      <c r="B548" s="48" t="s">
        <v>129</v>
      </c>
      <c r="C548" s="37">
        <v>46245</v>
      </c>
      <c r="D548" s="34" t="s">
        <v>20</v>
      </c>
      <c r="E548" s="41">
        <v>1449</v>
      </c>
      <c r="F548" s="33">
        <v>0.36266999999999999</v>
      </c>
      <c r="G548" s="35">
        <v>7.5657000000000002E-2</v>
      </c>
    </row>
    <row r="549" spans="1:7" x14ac:dyDescent="0.3">
      <c r="A549" s="41" t="s">
        <v>63</v>
      </c>
      <c r="B549" s="48" t="s">
        <v>129</v>
      </c>
      <c r="C549" s="37">
        <v>46245</v>
      </c>
      <c r="D549" s="34" t="s">
        <v>34</v>
      </c>
      <c r="E549" s="41">
        <v>1003</v>
      </c>
      <c r="F549" s="33">
        <v>0.200599</v>
      </c>
      <c r="G549" s="35">
        <v>6.0470700000000002E-2</v>
      </c>
    </row>
    <row r="550" spans="1:7" x14ac:dyDescent="0.3">
      <c r="A550" s="41" t="s">
        <v>63</v>
      </c>
      <c r="B550" s="48" t="s">
        <v>129</v>
      </c>
      <c r="C550" s="37">
        <v>46245</v>
      </c>
      <c r="D550" s="34" t="s">
        <v>21</v>
      </c>
      <c r="E550" s="41">
        <v>3413</v>
      </c>
      <c r="F550" s="33">
        <v>0.12015099999999999</v>
      </c>
      <c r="G550" s="35">
        <v>2.3031800000000002E-2</v>
      </c>
    </row>
    <row r="551" spans="1:7" x14ac:dyDescent="0.3">
      <c r="A551" s="41" t="s">
        <v>63</v>
      </c>
      <c r="B551" s="48" t="s">
        <v>129</v>
      </c>
      <c r="C551" s="37">
        <v>46245</v>
      </c>
      <c r="D551" s="34" t="s">
        <v>22</v>
      </c>
      <c r="E551" s="41">
        <v>2104</v>
      </c>
      <c r="F551" s="33">
        <v>0.419124</v>
      </c>
      <c r="G551" s="35">
        <v>0.113219</v>
      </c>
    </row>
    <row r="552" spans="1:7" x14ac:dyDescent="0.3">
      <c r="A552" s="41" t="s">
        <v>63</v>
      </c>
      <c r="B552" s="48" t="s">
        <v>129</v>
      </c>
      <c r="C552" s="37">
        <v>46245</v>
      </c>
      <c r="D552" s="34" t="s">
        <v>23</v>
      </c>
      <c r="E552" s="41">
        <v>1192</v>
      </c>
      <c r="F552" s="33">
        <v>0.17225799999999999</v>
      </c>
      <c r="G552" s="35">
        <v>5.6920999999999999E-2</v>
      </c>
    </row>
    <row r="553" spans="1:7" x14ac:dyDescent="0.3">
      <c r="A553" s="41" t="s">
        <v>63</v>
      </c>
      <c r="B553" s="48" t="s">
        <v>129</v>
      </c>
      <c r="C553" s="37">
        <v>46245</v>
      </c>
      <c r="D553" s="34" t="s">
        <v>24</v>
      </c>
      <c r="E553" s="41">
        <v>2707</v>
      </c>
      <c r="F553" s="33">
        <v>0.23776900000000001</v>
      </c>
      <c r="G553" s="35">
        <v>7.3652999999999996E-2</v>
      </c>
    </row>
    <row r="554" spans="1:7" x14ac:dyDescent="0.3">
      <c r="A554" s="41" t="s">
        <v>63</v>
      </c>
      <c r="B554" s="48" t="s">
        <v>129</v>
      </c>
      <c r="C554" s="37">
        <v>46245</v>
      </c>
      <c r="D554" s="34" t="s">
        <v>25</v>
      </c>
      <c r="E554" s="41">
        <v>1087</v>
      </c>
      <c r="F554" s="33">
        <v>0.117384</v>
      </c>
      <c r="G554" s="35">
        <v>2.7749900000000001E-2</v>
      </c>
    </row>
    <row r="555" spans="1:7" x14ac:dyDescent="0.3">
      <c r="A555" s="41" t="s">
        <v>63</v>
      </c>
      <c r="B555" s="48" t="s">
        <v>129</v>
      </c>
      <c r="C555" s="37">
        <v>46245</v>
      </c>
      <c r="D555" s="34" t="s">
        <v>26</v>
      </c>
      <c r="E555" s="41">
        <v>1982</v>
      </c>
      <c r="F555" s="33">
        <v>0.23655599999999999</v>
      </c>
      <c r="G555" s="35">
        <v>7.5517899999999999E-2</v>
      </c>
    </row>
    <row r="556" spans="1:7" x14ac:dyDescent="0.3">
      <c r="A556" s="41" t="s">
        <v>63</v>
      </c>
      <c r="B556" s="48" t="s">
        <v>129</v>
      </c>
      <c r="C556" s="37">
        <v>46245</v>
      </c>
      <c r="D556" s="34" t="s">
        <v>27</v>
      </c>
      <c r="E556" s="41">
        <v>2504</v>
      </c>
      <c r="F556" s="33">
        <v>0.31652599999999997</v>
      </c>
      <c r="G556" s="35">
        <v>7.1810499999999999E-2</v>
      </c>
    </row>
    <row r="557" spans="1:7" x14ac:dyDescent="0.3">
      <c r="A557" s="41" t="s">
        <v>63</v>
      </c>
      <c r="B557" s="48" t="s">
        <v>129</v>
      </c>
      <c r="C557" s="37">
        <v>46245</v>
      </c>
      <c r="D557" s="34" t="s">
        <v>28</v>
      </c>
      <c r="E557" s="41">
        <v>1302</v>
      </c>
      <c r="F557" s="33">
        <v>0.48486299999999999</v>
      </c>
      <c r="G557" s="35">
        <v>0.108611</v>
      </c>
    </row>
    <row r="558" spans="1:7" x14ac:dyDescent="0.3">
      <c r="A558" s="41" t="s">
        <v>63</v>
      </c>
      <c r="B558" s="48" t="s">
        <v>129</v>
      </c>
      <c r="C558" s="37">
        <v>46245</v>
      </c>
      <c r="D558" s="34" t="s">
        <v>29</v>
      </c>
      <c r="E558" s="41">
        <v>1437</v>
      </c>
      <c r="F558" s="33">
        <v>0.37018499999999999</v>
      </c>
      <c r="G558" s="35">
        <v>7.6890200000000006E-2</v>
      </c>
    </row>
    <row r="559" spans="1:7" x14ac:dyDescent="0.3">
      <c r="A559" s="41" t="s">
        <v>63</v>
      </c>
      <c r="B559" s="48" t="s">
        <v>129</v>
      </c>
      <c r="C559" s="37">
        <v>46245</v>
      </c>
      <c r="D559" s="34" t="s">
        <v>30</v>
      </c>
      <c r="E559" s="41">
        <v>1204</v>
      </c>
      <c r="F559" s="33">
        <v>0.45980399999999999</v>
      </c>
      <c r="G559" s="35">
        <v>9.22037E-2</v>
      </c>
    </row>
    <row r="560" spans="1:7" x14ac:dyDescent="0.3">
      <c r="A560" s="41" t="s">
        <v>63</v>
      </c>
      <c r="B560" s="48" t="s">
        <v>130</v>
      </c>
      <c r="C560" s="37">
        <v>46245</v>
      </c>
      <c r="D560" s="34" t="s">
        <v>14</v>
      </c>
      <c r="E560" s="41">
        <v>1962</v>
      </c>
      <c r="F560" s="33">
        <v>0.58545000000000003</v>
      </c>
      <c r="G560" s="35">
        <v>0.14530899999999999</v>
      </c>
    </row>
    <row r="561" spans="1:7" x14ac:dyDescent="0.3">
      <c r="A561" s="41" t="s">
        <v>63</v>
      </c>
      <c r="B561" s="48" t="s">
        <v>130</v>
      </c>
      <c r="C561" s="37">
        <v>46245</v>
      </c>
      <c r="D561" s="34" t="s">
        <v>15</v>
      </c>
      <c r="E561" s="41">
        <v>1901</v>
      </c>
      <c r="F561" s="33">
        <v>0.44188899999999998</v>
      </c>
      <c r="G561" s="35">
        <v>0.104199</v>
      </c>
    </row>
    <row r="562" spans="1:7" x14ac:dyDescent="0.3">
      <c r="A562" s="41" t="s">
        <v>63</v>
      </c>
      <c r="B562" s="48" t="s">
        <v>130</v>
      </c>
      <c r="C562" s="37">
        <v>46245</v>
      </c>
      <c r="D562" s="34" t="s">
        <v>16</v>
      </c>
      <c r="E562" s="41">
        <v>1589</v>
      </c>
      <c r="F562" s="33">
        <v>0.44498199999999999</v>
      </c>
      <c r="G562" s="35">
        <v>0.104574</v>
      </c>
    </row>
    <row r="563" spans="1:7" x14ac:dyDescent="0.3">
      <c r="A563" s="41" t="s">
        <v>63</v>
      </c>
      <c r="B563" s="48" t="s">
        <v>130</v>
      </c>
      <c r="C563" s="37">
        <v>46245</v>
      </c>
      <c r="D563" s="34" t="s">
        <v>17</v>
      </c>
      <c r="E563" s="41">
        <v>2021</v>
      </c>
      <c r="F563" s="33">
        <v>0.50049299999999997</v>
      </c>
      <c r="G563" s="35">
        <v>0.11082400000000001</v>
      </c>
    </row>
    <row r="564" spans="1:7" x14ac:dyDescent="0.3">
      <c r="A564" s="41" t="s">
        <v>63</v>
      </c>
      <c r="B564" s="48" t="s">
        <v>130</v>
      </c>
      <c r="C564" s="37">
        <v>46245</v>
      </c>
      <c r="D564" s="34" t="s">
        <v>18</v>
      </c>
      <c r="E564" s="41">
        <v>1852</v>
      </c>
      <c r="F564" s="33">
        <v>0.28481600000000001</v>
      </c>
      <c r="G564" s="35">
        <v>6.0860400000000002E-2</v>
      </c>
    </row>
    <row r="565" spans="1:7" x14ac:dyDescent="0.3">
      <c r="A565" s="41" t="s">
        <v>63</v>
      </c>
      <c r="B565" s="48" t="s">
        <v>130</v>
      </c>
      <c r="C565" s="37">
        <v>46245</v>
      </c>
      <c r="D565" s="34" t="s">
        <v>19</v>
      </c>
      <c r="E565" s="41">
        <v>1716</v>
      </c>
      <c r="F565" s="33">
        <v>0.422234</v>
      </c>
      <c r="G565" s="35">
        <v>8.2743399999999995E-2</v>
      </c>
    </row>
    <row r="566" spans="1:7" x14ac:dyDescent="0.3">
      <c r="A566" s="41" t="s">
        <v>63</v>
      </c>
      <c r="B566" s="48" t="s">
        <v>130</v>
      </c>
      <c r="C566" s="37">
        <v>46245</v>
      </c>
      <c r="D566" s="34" t="s">
        <v>20</v>
      </c>
      <c r="E566" s="41">
        <v>1586</v>
      </c>
      <c r="F566" s="33">
        <v>0.44955299999999998</v>
      </c>
      <c r="G566" s="35">
        <v>8.9280399999999996E-2</v>
      </c>
    </row>
    <row r="567" spans="1:7" x14ac:dyDescent="0.3">
      <c r="A567" s="41" t="s">
        <v>63</v>
      </c>
      <c r="B567" s="48" t="s">
        <v>130</v>
      </c>
      <c r="C567" s="37">
        <v>46245</v>
      </c>
      <c r="D567" s="34" t="s">
        <v>34</v>
      </c>
      <c r="E567" s="41">
        <v>1078</v>
      </c>
      <c r="F567" s="33">
        <v>0.197274</v>
      </c>
      <c r="G567" s="35">
        <v>5.8390299999999999E-2</v>
      </c>
    </row>
    <row r="568" spans="1:7" x14ac:dyDescent="0.3">
      <c r="A568" s="41" t="s">
        <v>63</v>
      </c>
      <c r="B568" s="48" t="s">
        <v>130</v>
      </c>
      <c r="C568" s="37">
        <v>46245</v>
      </c>
      <c r="D568" s="34" t="s">
        <v>21</v>
      </c>
      <c r="E568" s="41">
        <v>2950</v>
      </c>
      <c r="F568" s="33">
        <v>0.44993100000000003</v>
      </c>
      <c r="G568" s="35">
        <v>9.2964400000000003E-2</v>
      </c>
    </row>
    <row r="569" spans="1:7" x14ac:dyDescent="0.3">
      <c r="A569" s="41" t="s">
        <v>63</v>
      </c>
      <c r="B569" s="48" t="s">
        <v>130</v>
      </c>
      <c r="C569" s="37">
        <v>46245</v>
      </c>
      <c r="D569" s="34" t="s">
        <v>22</v>
      </c>
      <c r="E569" s="41">
        <v>2249</v>
      </c>
      <c r="F569" s="33">
        <v>0.32510899999999998</v>
      </c>
      <c r="G569" s="35">
        <v>0.100443</v>
      </c>
    </row>
    <row r="570" spans="1:7" x14ac:dyDescent="0.3">
      <c r="A570" s="41" t="s">
        <v>63</v>
      </c>
      <c r="B570" s="48" t="s">
        <v>130</v>
      </c>
      <c r="C570" s="37">
        <v>46245</v>
      </c>
      <c r="D570" s="34" t="s">
        <v>23</v>
      </c>
      <c r="E570" s="41">
        <v>1036</v>
      </c>
      <c r="F570" s="33">
        <v>0.426286</v>
      </c>
      <c r="G570" s="35">
        <v>0.125246</v>
      </c>
    </row>
    <row r="571" spans="1:7" x14ac:dyDescent="0.3">
      <c r="A571" s="41" t="s">
        <v>63</v>
      </c>
      <c r="B571" s="48" t="s">
        <v>130</v>
      </c>
      <c r="C571" s="37">
        <v>46245</v>
      </c>
      <c r="D571" s="34" t="s">
        <v>24</v>
      </c>
      <c r="E571" s="41">
        <v>2528</v>
      </c>
      <c r="F571" s="33">
        <v>0.21379200000000001</v>
      </c>
      <c r="G571" s="35">
        <v>6.4461099999999993E-2</v>
      </c>
    </row>
    <row r="572" spans="1:7" x14ac:dyDescent="0.3">
      <c r="A572" s="41" t="s">
        <v>63</v>
      </c>
      <c r="B572" s="48" t="s">
        <v>130</v>
      </c>
      <c r="C572" s="37">
        <v>46245</v>
      </c>
      <c r="D572" s="34" t="s">
        <v>25</v>
      </c>
      <c r="E572" s="41">
        <v>1139</v>
      </c>
      <c r="F572" s="33">
        <v>0.24654300000000001</v>
      </c>
      <c r="G572" s="35">
        <v>6.1871500000000003E-2</v>
      </c>
    </row>
    <row r="573" spans="1:7" x14ac:dyDescent="0.3">
      <c r="A573" s="41" t="s">
        <v>63</v>
      </c>
      <c r="B573" s="48" t="s">
        <v>130</v>
      </c>
      <c r="C573" s="37">
        <v>46245</v>
      </c>
      <c r="D573" s="34" t="s">
        <v>26</v>
      </c>
      <c r="E573" s="41">
        <v>2220</v>
      </c>
      <c r="F573" s="33">
        <v>0.25879200000000002</v>
      </c>
      <c r="G573" s="35">
        <v>8.9482599999999995E-2</v>
      </c>
    </row>
    <row r="574" spans="1:7" x14ac:dyDescent="0.3">
      <c r="A574" s="41" t="s">
        <v>63</v>
      </c>
      <c r="B574" s="48" t="s">
        <v>130</v>
      </c>
      <c r="C574" s="37">
        <v>46245</v>
      </c>
      <c r="D574" s="34" t="s">
        <v>27</v>
      </c>
      <c r="E574" s="41">
        <v>2152</v>
      </c>
      <c r="F574" s="33">
        <v>0.32092999999999999</v>
      </c>
      <c r="G574" s="35">
        <v>8.0658499999999994E-2</v>
      </c>
    </row>
    <row r="575" spans="1:7" x14ac:dyDescent="0.3">
      <c r="A575" s="41" t="s">
        <v>63</v>
      </c>
      <c r="B575" s="48" t="s">
        <v>130</v>
      </c>
      <c r="C575" s="37">
        <v>46245</v>
      </c>
      <c r="D575" s="34" t="s">
        <v>28</v>
      </c>
      <c r="E575" s="41">
        <v>1003</v>
      </c>
      <c r="F575" s="33">
        <v>0.43876799999999999</v>
      </c>
      <c r="G575" s="35">
        <v>0.112343</v>
      </c>
    </row>
    <row r="576" spans="1:7" x14ac:dyDescent="0.3">
      <c r="A576" s="41" t="s">
        <v>63</v>
      </c>
      <c r="B576" s="48" t="s">
        <v>130</v>
      </c>
      <c r="C576" s="37">
        <v>46245</v>
      </c>
      <c r="D576" s="34" t="s">
        <v>29</v>
      </c>
      <c r="E576" s="41">
        <v>1510</v>
      </c>
      <c r="F576" s="33">
        <v>0.37018499999999999</v>
      </c>
      <c r="G576" s="35">
        <v>7.6890200000000006E-2</v>
      </c>
    </row>
    <row r="577" spans="1:7" x14ac:dyDescent="0.3">
      <c r="A577" s="41" t="s">
        <v>63</v>
      </c>
      <c r="B577" s="48" t="s">
        <v>130</v>
      </c>
      <c r="C577" s="37">
        <v>46245</v>
      </c>
      <c r="D577" s="34" t="s">
        <v>30</v>
      </c>
      <c r="E577" s="41">
        <v>1227</v>
      </c>
      <c r="F577" s="33">
        <v>0.43123899999999998</v>
      </c>
      <c r="G577" s="35">
        <v>9.7492599999999999E-2</v>
      </c>
    </row>
    <row r="578" spans="1:7" x14ac:dyDescent="0.3">
      <c r="A578" s="41" t="s">
        <v>63</v>
      </c>
      <c r="B578" s="48" t="s">
        <v>156</v>
      </c>
      <c r="C578" s="37">
        <v>46246</v>
      </c>
      <c r="D578" s="34" t="s">
        <v>14</v>
      </c>
      <c r="E578" s="41">
        <v>2455</v>
      </c>
      <c r="F578" s="33">
        <v>0.55891500000000005</v>
      </c>
      <c r="G578" s="35">
        <v>0.15717400000000001</v>
      </c>
    </row>
    <row r="579" spans="1:7" x14ac:dyDescent="0.3">
      <c r="A579" s="41" t="s">
        <v>63</v>
      </c>
      <c r="B579" s="48" t="s">
        <v>156</v>
      </c>
      <c r="C579" s="37">
        <v>46246</v>
      </c>
      <c r="D579" s="34" t="s">
        <v>15</v>
      </c>
      <c r="E579" s="41">
        <v>2236</v>
      </c>
      <c r="F579" s="33">
        <v>0.43404999999999999</v>
      </c>
      <c r="G579" s="35">
        <v>0.114352</v>
      </c>
    </row>
    <row r="580" spans="1:7" x14ac:dyDescent="0.3">
      <c r="A580" s="41" t="s">
        <v>63</v>
      </c>
      <c r="B580" s="48" t="s">
        <v>156</v>
      </c>
      <c r="C580" s="37">
        <v>46246</v>
      </c>
      <c r="D580" s="34" t="s">
        <v>16</v>
      </c>
      <c r="E580" s="41">
        <v>1643</v>
      </c>
      <c r="F580" s="33">
        <v>0.46439900000000001</v>
      </c>
      <c r="G580" s="35">
        <v>0.108926</v>
      </c>
    </row>
    <row r="581" spans="1:7" x14ac:dyDescent="0.3">
      <c r="A581" s="41" t="s">
        <v>63</v>
      </c>
      <c r="B581" s="48" t="s">
        <v>156</v>
      </c>
      <c r="C581" s="37">
        <v>46246</v>
      </c>
      <c r="D581" s="34" t="s">
        <v>17</v>
      </c>
      <c r="E581" s="41">
        <v>1958</v>
      </c>
      <c r="F581" s="33">
        <v>0.63461900000000004</v>
      </c>
      <c r="G581" s="35">
        <v>0.12556100000000001</v>
      </c>
    </row>
    <row r="582" spans="1:7" x14ac:dyDescent="0.3">
      <c r="A582" s="41" t="s">
        <v>63</v>
      </c>
      <c r="B582" s="48" t="s">
        <v>156</v>
      </c>
      <c r="C582" s="37">
        <v>46246</v>
      </c>
      <c r="D582" s="34" t="s">
        <v>18</v>
      </c>
      <c r="E582" s="41">
        <v>1826</v>
      </c>
      <c r="F582" s="33">
        <v>0.26075799999999999</v>
      </c>
      <c r="G582" s="35">
        <v>6.2025799999999999E-2</v>
      </c>
    </row>
    <row r="583" spans="1:7" x14ac:dyDescent="0.3">
      <c r="A583" s="41" t="s">
        <v>63</v>
      </c>
      <c r="B583" s="48" t="s">
        <v>156</v>
      </c>
      <c r="C583" s="37">
        <v>46246</v>
      </c>
      <c r="D583" s="34" t="s">
        <v>19</v>
      </c>
      <c r="E583" s="41">
        <v>1675</v>
      </c>
      <c r="F583" s="33">
        <v>0.43622300000000003</v>
      </c>
      <c r="G583" s="35">
        <v>9.17211E-2</v>
      </c>
    </row>
    <row r="584" spans="1:7" x14ac:dyDescent="0.3">
      <c r="A584" s="41" t="s">
        <v>63</v>
      </c>
      <c r="B584" s="48" t="s">
        <v>156</v>
      </c>
      <c r="C584" s="37">
        <v>46246</v>
      </c>
      <c r="D584" s="34" t="s">
        <v>20</v>
      </c>
      <c r="E584" s="41">
        <v>1755</v>
      </c>
      <c r="F584" s="33">
        <v>0.43544100000000002</v>
      </c>
      <c r="G584" s="35">
        <v>9.1064300000000001E-2</v>
      </c>
    </row>
    <row r="585" spans="1:7" x14ac:dyDescent="0.3">
      <c r="A585" s="41" t="s">
        <v>63</v>
      </c>
      <c r="B585" s="48" t="s">
        <v>156</v>
      </c>
      <c r="C585" s="37">
        <v>46246</v>
      </c>
      <c r="D585" s="34" t="s">
        <v>34</v>
      </c>
      <c r="E585" s="41">
        <v>1002</v>
      </c>
      <c r="F585" s="33">
        <v>0.30501899999999998</v>
      </c>
      <c r="G585" s="35">
        <v>9.2486100000000002E-2</v>
      </c>
    </row>
    <row r="586" spans="1:7" x14ac:dyDescent="0.3">
      <c r="A586" s="41" t="s">
        <v>63</v>
      </c>
      <c r="B586" s="48" t="s">
        <v>156</v>
      </c>
      <c r="C586" s="37">
        <v>46246</v>
      </c>
      <c r="D586" s="34" t="s">
        <v>21</v>
      </c>
      <c r="E586" s="41">
        <v>2843</v>
      </c>
      <c r="F586" s="33">
        <v>0.47946800000000001</v>
      </c>
      <c r="G586" s="35">
        <v>9.3262200000000003E-2</v>
      </c>
    </row>
    <row r="587" spans="1:7" x14ac:dyDescent="0.3">
      <c r="A587" s="41" t="s">
        <v>63</v>
      </c>
      <c r="B587" s="48" t="s">
        <v>156</v>
      </c>
      <c r="C587" s="37">
        <v>46246</v>
      </c>
      <c r="D587" s="34" t="s">
        <v>22</v>
      </c>
      <c r="E587" s="41">
        <v>2263</v>
      </c>
      <c r="F587" s="33">
        <v>0.52340200000000003</v>
      </c>
      <c r="G587" s="35">
        <v>0.142179</v>
      </c>
    </row>
    <row r="588" spans="1:7" x14ac:dyDescent="0.3">
      <c r="A588" s="41" t="s">
        <v>63</v>
      </c>
      <c r="B588" s="48" t="s">
        <v>156</v>
      </c>
      <c r="C588" s="37">
        <v>46246</v>
      </c>
      <c r="D588" s="34" t="s">
        <v>23</v>
      </c>
      <c r="E588" s="41">
        <v>1276</v>
      </c>
      <c r="F588" s="33">
        <v>0.498776</v>
      </c>
      <c r="G588" s="35">
        <v>0.16361000000000001</v>
      </c>
    </row>
    <row r="589" spans="1:7" x14ac:dyDescent="0.3">
      <c r="A589" s="41" t="s">
        <v>63</v>
      </c>
      <c r="B589" s="48" t="s">
        <v>156</v>
      </c>
      <c r="C589" s="37">
        <v>46246</v>
      </c>
      <c r="D589" s="34" t="s">
        <v>24</v>
      </c>
      <c r="E589" s="41">
        <v>2390</v>
      </c>
      <c r="F589" s="33">
        <v>0.20551900000000001</v>
      </c>
      <c r="G589" s="35">
        <v>6.3297999999999993E-2</v>
      </c>
    </row>
    <row r="590" spans="1:7" x14ac:dyDescent="0.3">
      <c r="A590" s="41" t="s">
        <v>63</v>
      </c>
      <c r="B590" s="48" t="s">
        <v>156</v>
      </c>
      <c r="C590" s="37">
        <v>46246</v>
      </c>
      <c r="D590" s="34" t="s">
        <v>25</v>
      </c>
      <c r="E590" s="41">
        <v>1050</v>
      </c>
      <c r="F590" s="33">
        <v>0.230655</v>
      </c>
      <c r="G590" s="35">
        <v>5.54628E-2</v>
      </c>
    </row>
    <row r="591" spans="1:7" x14ac:dyDescent="0.3">
      <c r="A591" s="41" t="s">
        <v>63</v>
      </c>
      <c r="B591" s="48" t="s">
        <v>156</v>
      </c>
      <c r="C591" s="37">
        <v>46246</v>
      </c>
      <c r="D591" s="34" t="s">
        <v>26</v>
      </c>
      <c r="E591" s="41">
        <v>2388</v>
      </c>
      <c r="F591" s="33">
        <v>0.21137600000000001</v>
      </c>
      <c r="G591" s="35">
        <v>6.7938499999999999E-2</v>
      </c>
    </row>
    <row r="592" spans="1:7" x14ac:dyDescent="0.3">
      <c r="A592" s="41" t="s">
        <v>63</v>
      </c>
      <c r="B592" s="48" t="s">
        <v>156</v>
      </c>
      <c r="C592" s="37">
        <v>46246</v>
      </c>
      <c r="D592" s="34" t="s">
        <v>27</v>
      </c>
      <c r="E592" s="41">
        <v>2175</v>
      </c>
      <c r="F592" s="33">
        <v>0.35617700000000002</v>
      </c>
      <c r="G592" s="35">
        <v>8.0817399999999998E-2</v>
      </c>
    </row>
    <row r="593" spans="1:7" x14ac:dyDescent="0.3">
      <c r="A593" s="41" t="s">
        <v>63</v>
      </c>
      <c r="B593" s="48" t="s">
        <v>156</v>
      </c>
      <c r="C593" s="37">
        <v>46246</v>
      </c>
      <c r="D593" s="34" t="s">
        <v>28</v>
      </c>
      <c r="E593" s="41">
        <v>1182</v>
      </c>
      <c r="F593" s="33">
        <v>0.50630200000000003</v>
      </c>
      <c r="G593" s="35">
        <v>0.11373999999999999</v>
      </c>
    </row>
    <row r="594" spans="1:7" x14ac:dyDescent="0.3">
      <c r="A594" s="41" t="s">
        <v>63</v>
      </c>
      <c r="B594" s="48" t="s">
        <v>156</v>
      </c>
      <c r="C594" s="37">
        <v>46246</v>
      </c>
      <c r="D594" s="34" t="s">
        <v>29</v>
      </c>
      <c r="E594" s="41">
        <v>1511</v>
      </c>
      <c r="F594" s="33">
        <v>0.367724</v>
      </c>
      <c r="G594" s="35">
        <v>7.6160400000000003E-2</v>
      </c>
    </row>
    <row r="595" spans="1:7" x14ac:dyDescent="0.3">
      <c r="A595" s="41" t="s">
        <v>63</v>
      </c>
      <c r="B595" s="48" t="s">
        <v>156</v>
      </c>
      <c r="C595" s="37">
        <v>46246</v>
      </c>
      <c r="D595" s="34" t="s">
        <v>30</v>
      </c>
      <c r="E595" s="41">
        <v>1045</v>
      </c>
      <c r="F595" s="33">
        <v>0.47634500000000002</v>
      </c>
      <c r="G595" s="35">
        <v>9.5844299999999993E-2</v>
      </c>
    </row>
    <row r="596" spans="1:7" x14ac:dyDescent="0.3">
      <c r="A596" s="41" t="s">
        <v>63</v>
      </c>
      <c r="B596" s="48" t="s">
        <v>131</v>
      </c>
      <c r="C596" s="37">
        <v>46245</v>
      </c>
      <c r="D596" s="34" t="s">
        <v>14</v>
      </c>
      <c r="E596" s="41">
        <v>2538</v>
      </c>
      <c r="F596" s="33">
        <v>0.69997100000000001</v>
      </c>
      <c r="G596" s="35">
        <v>0.19674</v>
      </c>
    </row>
    <row r="597" spans="1:7" x14ac:dyDescent="0.3">
      <c r="A597" s="41" t="s">
        <v>63</v>
      </c>
      <c r="B597" s="48" t="s">
        <v>131</v>
      </c>
      <c r="C597" s="37">
        <v>46245</v>
      </c>
      <c r="D597" s="34" t="s">
        <v>15</v>
      </c>
      <c r="E597" s="41">
        <v>2459</v>
      </c>
      <c r="F597" s="33">
        <v>0.46595999999999999</v>
      </c>
      <c r="G597" s="35">
        <v>0.12274500000000001</v>
      </c>
    </row>
    <row r="598" spans="1:7" x14ac:dyDescent="0.3">
      <c r="A598" s="41" t="s">
        <v>63</v>
      </c>
      <c r="B598" s="48" t="s">
        <v>131</v>
      </c>
      <c r="C598" s="37">
        <v>46245</v>
      </c>
      <c r="D598" s="34" t="s">
        <v>16</v>
      </c>
      <c r="E598" s="41">
        <v>1674</v>
      </c>
      <c r="F598" s="33">
        <v>0.50656800000000002</v>
      </c>
      <c r="G598" s="35">
        <v>0.118807</v>
      </c>
    </row>
    <row r="599" spans="1:7" x14ac:dyDescent="0.3">
      <c r="A599" s="41" t="s">
        <v>63</v>
      </c>
      <c r="B599" s="48" t="s">
        <v>131</v>
      </c>
      <c r="C599" s="37">
        <v>46245</v>
      </c>
      <c r="D599" s="34" t="s">
        <v>17</v>
      </c>
      <c r="E599" s="41">
        <v>1964</v>
      </c>
      <c r="F599" s="33">
        <v>0.59270599999999996</v>
      </c>
      <c r="G599" s="35">
        <v>0.1172</v>
      </c>
    </row>
    <row r="600" spans="1:7" x14ac:dyDescent="0.3">
      <c r="A600" s="41" t="s">
        <v>63</v>
      </c>
      <c r="B600" s="48" t="s">
        <v>131</v>
      </c>
      <c r="C600" s="37">
        <v>46245</v>
      </c>
      <c r="D600" s="34" t="s">
        <v>18</v>
      </c>
      <c r="E600" s="41">
        <v>1967</v>
      </c>
      <c r="F600" s="33">
        <v>0.312002</v>
      </c>
      <c r="G600" s="35">
        <v>7.4209300000000006E-2</v>
      </c>
    </row>
    <row r="601" spans="1:7" x14ac:dyDescent="0.3">
      <c r="A601" s="41" t="s">
        <v>63</v>
      </c>
      <c r="B601" s="48" t="s">
        <v>131</v>
      </c>
      <c r="C601" s="37">
        <v>46245</v>
      </c>
      <c r="D601" s="34" t="s">
        <v>19</v>
      </c>
      <c r="E601" s="41">
        <v>1589</v>
      </c>
      <c r="F601" s="33">
        <v>0.45899600000000002</v>
      </c>
      <c r="G601" s="35">
        <v>9.6522200000000002E-2</v>
      </c>
    </row>
    <row r="602" spans="1:7" x14ac:dyDescent="0.3">
      <c r="A602" s="41" t="s">
        <v>63</v>
      </c>
      <c r="B602" s="48" t="s">
        <v>131</v>
      </c>
      <c r="C602" s="37">
        <v>46245</v>
      </c>
      <c r="D602" s="34" t="s">
        <v>20</v>
      </c>
      <c r="E602" s="41">
        <v>1563</v>
      </c>
      <c r="F602" s="33">
        <v>0.544682</v>
      </c>
      <c r="G602" s="35">
        <v>0.11393499999999999</v>
      </c>
    </row>
    <row r="603" spans="1:7" x14ac:dyDescent="0.3">
      <c r="A603" s="41" t="s">
        <v>63</v>
      </c>
      <c r="B603" s="48" t="s">
        <v>131</v>
      </c>
      <c r="C603" s="37">
        <v>46245</v>
      </c>
      <c r="D603" s="34" t="s">
        <v>34</v>
      </c>
      <c r="E603" s="41">
        <v>1004</v>
      </c>
      <c r="F603" s="33">
        <v>0.24451200000000001</v>
      </c>
      <c r="G603" s="35">
        <v>7.4092500000000006E-2</v>
      </c>
    </row>
    <row r="604" spans="1:7" x14ac:dyDescent="0.3">
      <c r="A604" s="41" t="s">
        <v>63</v>
      </c>
      <c r="B604" s="48" t="s">
        <v>131</v>
      </c>
      <c r="C604" s="37">
        <v>46245</v>
      </c>
      <c r="D604" s="34" t="s">
        <v>21</v>
      </c>
      <c r="E604" s="41">
        <v>2862</v>
      </c>
      <c r="F604" s="33">
        <v>0.52680300000000002</v>
      </c>
      <c r="G604" s="35">
        <v>0.102477</v>
      </c>
    </row>
    <row r="605" spans="1:7" x14ac:dyDescent="0.3">
      <c r="A605" s="41" t="s">
        <v>63</v>
      </c>
      <c r="B605" s="48" t="s">
        <v>131</v>
      </c>
      <c r="C605" s="37">
        <v>46245</v>
      </c>
      <c r="D605" s="34" t="s">
        <v>22</v>
      </c>
      <c r="E605" s="41">
        <v>2502</v>
      </c>
      <c r="F605" s="33">
        <v>0.55495499999999998</v>
      </c>
      <c r="G605" s="35">
        <v>0.15076500000000001</v>
      </c>
    </row>
    <row r="606" spans="1:7" x14ac:dyDescent="0.3">
      <c r="A606" s="41" t="s">
        <v>63</v>
      </c>
      <c r="B606" s="48" t="s">
        <v>131</v>
      </c>
      <c r="C606" s="37">
        <v>46245</v>
      </c>
      <c r="D606" s="34" t="s">
        <v>23</v>
      </c>
      <c r="E606" s="41">
        <v>1199</v>
      </c>
      <c r="F606" s="33">
        <v>0.57575900000000002</v>
      </c>
      <c r="G606" s="35">
        <v>0.18892700000000001</v>
      </c>
    </row>
    <row r="607" spans="1:7" x14ac:dyDescent="0.3">
      <c r="A607" s="41" t="s">
        <v>63</v>
      </c>
      <c r="B607" s="48" t="s">
        <v>131</v>
      </c>
      <c r="C607" s="37">
        <v>46245</v>
      </c>
      <c r="D607" s="34" t="s">
        <v>24</v>
      </c>
      <c r="E607" s="41">
        <v>2708</v>
      </c>
      <c r="F607" s="33">
        <v>0.26341199999999998</v>
      </c>
      <c r="G607" s="35">
        <v>8.1164200000000006E-2</v>
      </c>
    </row>
    <row r="608" spans="1:7" x14ac:dyDescent="0.3">
      <c r="A608" s="41" t="s">
        <v>63</v>
      </c>
      <c r="B608" s="48" t="s">
        <v>131</v>
      </c>
      <c r="C608" s="37">
        <v>46245</v>
      </c>
      <c r="D608" s="34" t="s">
        <v>25</v>
      </c>
      <c r="E608" s="41">
        <v>1063</v>
      </c>
      <c r="F608" s="33">
        <v>0.24019599999999999</v>
      </c>
      <c r="G608" s="35">
        <v>5.7769899999999999E-2</v>
      </c>
    </row>
    <row r="609" spans="1:7" x14ac:dyDescent="0.3">
      <c r="A609" s="41" t="s">
        <v>63</v>
      </c>
      <c r="B609" s="48" t="s">
        <v>131</v>
      </c>
      <c r="C609" s="37">
        <v>46245</v>
      </c>
      <c r="D609" s="34" t="s">
        <v>26</v>
      </c>
      <c r="E609" s="41">
        <v>2238</v>
      </c>
      <c r="F609" s="33">
        <v>0.22983100000000001</v>
      </c>
      <c r="G609" s="35">
        <v>7.3891100000000001E-2</v>
      </c>
    </row>
    <row r="610" spans="1:7" x14ac:dyDescent="0.3">
      <c r="A610" s="41" t="s">
        <v>63</v>
      </c>
      <c r="B610" s="48" t="s">
        <v>131</v>
      </c>
      <c r="C610" s="37">
        <v>46245</v>
      </c>
      <c r="D610" s="34" t="s">
        <v>27</v>
      </c>
      <c r="E610" s="41">
        <v>2198</v>
      </c>
      <c r="F610" s="33">
        <v>0.35157699999999997</v>
      </c>
      <c r="G610" s="35">
        <v>7.9759300000000005E-2</v>
      </c>
    </row>
    <row r="611" spans="1:7" x14ac:dyDescent="0.3">
      <c r="A611" s="41" t="s">
        <v>63</v>
      </c>
      <c r="B611" s="48" t="s">
        <v>131</v>
      </c>
      <c r="C611" s="37">
        <v>46245</v>
      </c>
      <c r="D611" s="34" t="s">
        <v>28</v>
      </c>
      <c r="E611" s="41">
        <v>1239</v>
      </c>
      <c r="F611" s="33">
        <v>0.52923500000000001</v>
      </c>
      <c r="G611" s="35">
        <v>0.118798</v>
      </c>
    </row>
    <row r="612" spans="1:7" x14ac:dyDescent="0.3">
      <c r="A612" s="41" t="s">
        <v>63</v>
      </c>
      <c r="B612" s="48" t="s">
        <v>131</v>
      </c>
      <c r="C612" s="37">
        <v>46245</v>
      </c>
      <c r="D612" s="34" t="s">
        <v>29</v>
      </c>
      <c r="E612" s="41">
        <v>1721</v>
      </c>
      <c r="F612" s="33">
        <v>0.45143299999999997</v>
      </c>
      <c r="G612" s="35">
        <v>9.3463500000000005E-2</v>
      </c>
    </row>
    <row r="613" spans="1:7" x14ac:dyDescent="0.3">
      <c r="A613" s="41" t="s">
        <v>63</v>
      </c>
      <c r="B613" s="48" t="s">
        <v>131</v>
      </c>
      <c r="C613" s="37">
        <v>46245</v>
      </c>
      <c r="D613" s="34" t="s">
        <v>30</v>
      </c>
      <c r="E613" s="41">
        <v>1405</v>
      </c>
      <c r="F613" s="33">
        <v>0.53590700000000002</v>
      </c>
      <c r="G613" s="35">
        <v>0.107811</v>
      </c>
    </row>
    <row r="614" spans="1:7" x14ac:dyDescent="0.3">
      <c r="A614" s="41" t="s">
        <v>63</v>
      </c>
      <c r="B614" s="48" t="s">
        <v>132</v>
      </c>
      <c r="C614" s="37">
        <v>46245</v>
      </c>
      <c r="D614" s="34" t="s">
        <v>14</v>
      </c>
      <c r="E614" s="41">
        <v>2216</v>
      </c>
      <c r="F614" s="33">
        <v>0.54661599999999999</v>
      </c>
      <c r="G614" s="35">
        <v>0.15504499999999999</v>
      </c>
    </row>
    <row r="615" spans="1:7" x14ac:dyDescent="0.3">
      <c r="A615" s="41" t="s">
        <v>63</v>
      </c>
      <c r="B615" s="48" t="s">
        <v>132</v>
      </c>
      <c r="C615" s="37">
        <v>46245</v>
      </c>
      <c r="D615" s="34" t="s">
        <v>15</v>
      </c>
      <c r="E615" s="41">
        <v>2211</v>
      </c>
      <c r="F615" s="33">
        <v>0.47216799999999998</v>
      </c>
      <c r="G615" s="35">
        <v>0.12520300000000001</v>
      </c>
    </row>
    <row r="616" spans="1:7" x14ac:dyDescent="0.3">
      <c r="A616" s="41" t="s">
        <v>63</v>
      </c>
      <c r="B616" s="48" t="s">
        <v>132</v>
      </c>
      <c r="C616" s="37">
        <v>46245</v>
      </c>
      <c r="D616" s="34" t="s">
        <v>16</v>
      </c>
      <c r="E616" s="41">
        <v>1665</v>
      </c>
      <c r="F616" s="33">
        <v>0.417495</v>
      </c>
      <c r="G616" s="35">
        <v>9.8415000000000002E-2</v>
      </c>
    </row>
    <row r="617" spans="1:7" x14ac:dyDescent="0.3">
      <c r="A617" s="41" t="s">
        <v>63</v>
      </c>
      <c r="B617" s="48" t="s">
        <v>132</v>
      </c>
      <c r="C617" s="37">
        <v>46245</v>
      </c>
      <c r="D617" s="34" t="s">
        <v>17</v>
      </c>
      <c r="E617" s="41">
        <v>1901</v>
      </c>
      <c r="F617" s="33">
        <v>0.47767500000000002</v>
      </c>
      <c r="G617" s="35">
        <v>9.3883099999999997E-2</v>
      </c>
    </row>
    <row r="618" spans="1:7" x14ac:dyDescent="0.3">
      <c r="A618" s="41" t="s">
        <v>63</v>
      </c>
      <c r="B618" s="48" t="s">
        <v>132</v>
      </c>
      <c r="C618" s="37">
        <v>46245</v>
      </c>
      <c r="D618" s="34" t="s">
        <v>18</v>
      </c>
      <c r="E618" s="41">
        <v>1966</v>
      </c>
      <c r="F618" s="33">
        <v>0.27741399999999999</v>
      </c>
      <c r="G618" s="35">
        <v>6.6127400000000003E-2</v>
      </c>
    </row>
    <row r="619" spans="1:7" x14ac:dyDescent="0.3">
      <c r="A619" s="41" t="s">
        <v>63</v>
      </c>
      <c r="B619" s="48" t="s">
        <v>132</v>
      </c>
      <c r="C619" s="37">
        <v>46245</v>
      </c>
      <c r="D619" s="34" t="s">
        <v>19</v>
      </c>
      <c r="E619" s="41">
        <v>1519</v>
      </c>
      <c r="F619" s="33">
        <v>0.44321899999999997</v>
      </c>
      <c r="G619" s="35">
        <v>9.3189900000000006E-2</v>
      </c>
    </row>
    <row r="620" spans="1:7" x14ac:dyDescent="0.3">
      <c r="A620" s="41" t="s">
        <v>63</v>
      </c>
      <c r="B620" s="48" t="s">
        <v>132</v>
      </c>
      <c r="C620" s="37">
        <v>46245</v>
      </c>
      <c r="D620" s="34" t="s">
        <v>20</v>
      </c>
      <c r="E620" s="41">
        <v>1471</v>
      </c>
      <c r="F620" s="33">
        <v>0.536694</v>
      </c>
      <c r="G620" s="35">
        <v>0.112083</v>
      </c>
    </row>
    <row r="621" spans="1:7" x14ac:dyDescent="0.3">
      <c r="A621" s="41" t="s">
        <v>63</v>
      </c>
      <c r="B621" s="48" t="s">
        <v>132</v>
      </c>
      <c r="C621" s="37">
        <v>46245</v>
      </c>
      <c r="D621" s="34" t="s">
        <v>34</v>
      </c>
      <c r="E621" s="41">
        <v>1075</v>
      </c>
      <c r="F621" s="33">
        <v>0.25842799999999999</v>
      </c>
      <c r="G621" s="35">
        <v>7.7899399999999994E-2</v>
      </c>
    </row>
    <row r="622" spans="1:7" x14ac:dyDescent="0.3">
      <c r="A622" s="41" t="s">
        <v>63</v>
      </c>
      <c r="B622" s="48" t="s">
        <v>132</v>
      </c>
      <c r="C622" s="37">
        <v>46245</v>
      </c>
      <c r="D622" s="34" t="s">
        <v>21</v>
      </c>
      <c r="E622" s="41">
        <v>2632</v>
      </c>
      <c r="F622" s="33">
        <v>0.23228499999999999</v>
      </c>
      <c r="G622" s="35">
        <v>4.5185700000000002E-2</v>
      </c>
    </row>
    <row r="623" spans="1:7" x14ac:dyDescent="0.3">
      <c r="A623" s="41" t="s">
        <v>63</v>
      </c>
      <c r="B623" s="48" t="s">
        <v>132</v>
      </c>
      <c r="C623" s="37">
        <v>46245</v>
      </c>
      <c r="D623" s="34" t="s">
        <v>22</v>
      </c>
      <c r="E623" s="41">
        <v>2230</v>
      </c>
      <c r="F623" s="33">
        <v>0.49068299999999998</v>
      </c>
      <c r="G623" s="35">
        <v>0.13217400000000001</v>
      </c>
    </row>
    <row r="624" spans="1:7" x14ac:dyDescent="0.3">
      <c r="A624" s="41" t="s">
        <v>63</v>
      </c>
      <c r="B624" s="48" t="s">
        <v>132</v>
      </c>
      <c r="C624" s="37">
        <v>46245</v>
      </c>
      <c r="D624" s="34" t="s">
        <v>23</v>
      </c>
      <c r="E624" s="41">
        <v>1045</v>
      </c>
      <c r="F624" s="33">
        <v>0.21654300000000001</v>
      </c>
      <c r="G624" s="35">
        <v>7.1738499999999997E-2</v>
      </c>
    </row>
    <row r="625" spans="1:7" x14ac:dyDescent="0.3">
      <c r="A625" s="41" t="s">
        <v>63</v>
      </c>
      <c r="B625" s="48" t="s">
        <v>132</v>
      </c>
      <c r="C625" s="37">
        <v>46245</v>
      </c>
      <c r="D625" s="34" t="s">
        <v>24</v>
      </c>
      <c r="E625" s="41">
        <v>2191</v>
      </c>
      <c r="F625" s="33">
        <v>0.31936300000000001</v>
      </c>
      <c r="G625" s="35">
        <v>9.8980499999999999E-2</v>
      </c>
    </row>
    <row r="626" spans="1:7" x14ac:dyDescent="0.3">
      <c r="A626" s="41" t="s">
        <v>63</v>
      </c>
      <c r="B626" s="48" t="s">
        <v>132</v>
      </c>
      <c r="C626" s="37">
        <v>46245</v>
      </c>
      <c r="D626" s="34" t="s">
        <v>25</v>
      </c>
      <c r="E626" s="41">
        <v>1027</v>
      </c>
      <c r="F626" s="33">
        <v>0.17457500000000001</v>
      </c>
      <c r="G626" s="35">
        <v>4.1752299999999999E-2</v>
      </c>
    </row>
    <row r="627" spans="1:7" x14ac:dyDescent="0.3">
      <c r="A627" s="41" t="s">
        <v>63</v>
      </c>
      <c r="B627" s="48" t="s">
        <v>132</v>
      </c>
      <c r="C627" s="37">
        <v>46245</v>
      </c>
      <c r="D627" s="34" t="s">
        <v>26</v>
      </c>
      <c r="E627" s="41">
        <v>2038</v>
      </c>
      <c r="F627" s="33">
        <v>0.21984100000000001</v>
      </c>
      <c r="G627" s="35">
        <v>7.0038900000000001E-2</v>
      </c>
    </row>
    <row r="628" spans="1:7" x14ac:dyDescent="0.3">
      <c r="A628" s="41" t="s">
        <v>63</v>
      </c>
      <c r="B628" s="48" t="s">
        <v>132</v>
      </c>
      <c r="C628" s="37">
        <v>46245</v>
      </c>
      <c r="D628" s="34" t="s">
        <v>27</v>
      </c>
      <c r="E628" s="41">
        <v>1994</v>
      </c>
      <c r="F628" s="33">
        <v>0.19936000000000001</v>
      </c>
      <c r="G628" s="35">
        <v>4.55343E-2</v>
      </c>
    </row>
    <row r="629" spans="1:7" x14ac:dyDescent="0.3">
      <c r="A629" s="41" t="s">
        <v>63</v>
      </c>
      <c r="B629" s="48" t="s">
        <v>132</v>
      </c>
      <c r="C629" s="37">
        <v>46245</v>
      </c>
      <c r="D629" s="34" t="s">
        <v>28</v>
      </c>
      <c r="E629" s="41">
        <v>1005</v>
      </c>
      <c r="F629" s="33">
        <v>0.26792700000000003</v>
      </c>
      <c r="G629" s="35">
        <v>5.9843399999999998E-2</v>
      </c>
    </row>
    <row r="630" spans="1:7" x14ac:dyDescent="0.3">
      <c r="A630" s="41" t="s">
        <v>63</v>
      </c>
      <c r="B630" s="48" t="s">
        <v>132</v>
      </c>
      <c r="C630" s="37">
        <v>46245</v>
      </c>
      <c r="D630" s="34" t="s">
        <v>29</v>
      </c>
      <c r="E630" s="41">
        <v>1719</v>
      </c>
      <c r="F630" s="33">
        <v>0.38500800000000002</v>
      </c>
      <c r="G630" s="35">
        <v>8.0166000000000001E-2</v>
      </c>
    </row>
    <row r="631" spans="1:7" x14ac:dyDescent="0.3">
      <c r="A631" s="41" t="s">
        <v>63</v>
      </c>
      <c r="B631" s="48" t="s">
        <v>132</v>
      </c>
      <c r="C631" s="37">
        <v>46245</v>
      </c>
      <c r="D631" s="34" t="s">
        <v>30</v>
      </c>
      <c r="E631" s="41">
        <v>1176</v>
      </c>
      <c r="F631" s="33">
        <v>0.45577899999999999</v>
      </c>
      <c r="G631" s="35">
        <v>9.1156100000000004E-2</v>
      </c>
    </row>
    <row r="632" spans="1:7" x14ac:dyDescent="0.3">
      <c r="A632" s="41" t="s">
        <v>63</v>
      </c>
      <c r="B632" s="48" t="s">
        <v>133</v>
      </c>
      <c r="C632" s="37">
        <v>46245</v>
      </c>
      <c r="D632" s="34" t="s">
        <v>14</v>
      </c>
      <c r="E632" s="41">
        <v>1896</v>
      </c>
      <c r="F632" s="33">
        <v>0.73990800000000001</v>
      </c>
      <c r="G632" s="35">
        <v>0.20802999999999999</v>
      </c>
    </row>
    <row r="633" spans="1:7" x14ac:dyDescent="0.3">
      <c r="A633" s="41" t="s">
        <v>63</v>
      </c>
      <c r="B633" s="48" t="s">
        <v>133</v>
      </c>
      <c r="C633" s="37">
        <v>46245</v>
      </c>
      <c r="D633" s="34" t="s">
        <v>15</v>
      </c>
      <c r="E633" s="41">
        <v>2085</v>
      </c>
      <c r="F633" s="33">
        <v>0.52351599999999998</v>
      </c>
      <c r="G633" s="35">
        <v>0.13792099999999999</v>
      </c>
    </row>
    <row r="634" spans="1:7" x14ac:dyDescent="0.3">
      <c r="A634" s="41" t="s">
        <v>63</v>
      </c>
      <c r="B634" s="48" t="s">
        <v>133</v>
      </c>
      <c r="C634" s="37">
        <v>46245</v>
      </c>
      <c r="D634" s="34" t="s">
        <v>16</v>
      </c>
      <c r="E634" s="41">
        <v>1683</v>
      </c>
      <c r="F634" s="33">
        <v>0.47475299999999998</v>
      </c>
      <c r="G634" s="35">
        <v>0.111329</v>
      </c>
    </row>
    <row r="635" spans="1:7" x14ac:dyDescent="0.3">
      <c r="A635" s="41" t="s">
        <v>63</v>
      </c>
      <c r="B635" s="48" t="s">
        <v>133</v>
      </c>
      <c r="C635" s="37">
        <v>46245</v>
      </c>
      <c r="D635" s="34" t="s">
        <v>17</v>
      </c>
      <c r="E635" s="41">
        <v>2001</v>
      </c>
      <c r="F635" s="33">
        <v>0.56546600000000002</v>
      </c>
      <c r="G635" s="35">
        <v>0.111805</v>
      </c>
    </row>
    <row r="636" spans="1:7" x14ac:dyDescent="0.3">
      <c r="A636" s="41" t="s">
        <v>63</v>
      </c>
      <c r="B636" s="48" t="s">
        <v>133</v>
      </c>
      <c r="C636" s="37">
        <v>46245</v>
      </c>
      <c r="D636" s="34" t="s">
        <v>18</v>
      </c>
      <c r="E636" s="41">
        <v>2062</v>
      </c>
      <c r="F636" s="33">
        <v>0.23252100000000001</v>
      </c>
      <c r="G636" s="35">
        <v>5.5301599999999999E-2</v>
      </c>
    </row>
    <row r="637" spans="1:7" x14ac:dyDescent="0.3">
      <c r="A637" s="41" t="s">
        <v>63</v>
      </c>
      <c r="B637" s="48" t="s">
        <v>133</v>
      </c>
      <c r="C637" s="37">
        <v>46245</v>
      </c>
      <c r="D637" s="34" t="s">
        <v>19</v>
      </c>
      <c r="E637" s="41">
        <v>1596</v>
      </c>
      <c r="F637" s="33">
        <v>0.39438099999999998</v>
      </c>
      <c r="G637" s="35">
        <v>8.2907800000000004E-2</v>
      </c>
    </row>
    <row r="638" spans="1:7" x14ac:dyDescent="0.3">
      <c r="A638" s="41" t="s">
        <v>63</v>
      </c>
      <c r="B638" s="48" t="s">
        <v>133</v>
      </c>
      <c r="C638" s="37">
        <v>46245</v>
      </c>
      <c r="D638" s="34" t="s">
        <v>20</v>
      </c>
      <c r="E638" s="41">
        <v>1522</v>
      </c>
      <c r="F638" s="33">
        <v>0.40736699999999998</v>
      </c>
      <c r="G638" s="35">
        <v>8.5178599999999993E-2</v>
      </c>
    </row>
    <row r="639" spans="1:7" x14ac:dyDescent="0.3">
      <c r="A639" s="41" t="s">
        <v>63</v>
      </c>
      <c r="B639" s="48" t="s">
        <v>133</v>
      </c>
      <c r="C639" s="37">
        <v>46245</v>
      </c>
      <c r="D639" s="34" t="s">
        <v>34</v>
      </c>
      <c r="E639" s="41">
        <v>1051</v>
      </c>
      <c r="F639" s="33">
        <v>0.23259199999999999</v>
      </c>
      <c r="G639" s="35">
        <v>7.0458099999999996E-2</v>
      </c>
    </row>
    <row r="640" spans="1:7" x14ac:dyDescent="0.3">
      <c r="A640" s="41" t="s">
        <v>63</v>
      </c>
      <c r="B640" s="48" t="s">
        <v>133</v>
      </c>
      <c r="C640" s="37">
        <v>46245</v>
      </c>
      <c r="D640" s="34" t="s">
        <v>21</v>
      </c>
      <c r="E640" s="41">
        <v>3031</v>
      </c>
      <c r="F640" s="33">
        <v>0.54395899999999997</v>
      </c>
      <c r="G640" s="35">
        <v>0.10575900000000001</v>
      </c>
    </row>
    <row r="641" spans="1:7" x14ac:dyDescent="0.3">
      <c r="A641" s="41" t="s">
        <v>63</v>
      </c>
      <c r="B641" s="48" t="s">
        <v>133</v>
      </c>
      <c r="C641" s="37">
        <v>46245</v>
      </c>
      <c r="D641" s="34" t="s">
        <v>22</v>
      </c>
      <c r="E641" s="41">
        <v>2042</v>
      </c>
      <c r="F641" s="33">
        <v>0.49671900000000002</v>
      </c>
      <c r="G641" s="35">
        <v>0.13489799999999999</v>
      </c>
    </row>
    <row r="642" spans="1:7" x14ac:dyDescent="0.3">
      <c r="A642" s="41" t="s">
        <v>63</v>
      </c>
      <c r="B642" s="48" t="s">
        <v>133</v>
      </c>
      <c r="C642" s="37">
        <v>46245</v>
      </c>
      <c r="D642" s="34" t="s">
        <v>23</v>
      </c>
      <c r="E642" s="41">
        <v>1118</v>
      </c>
      <c r="F642" s="33">
        <v>0.36133900000000002</v>
      </c>
      <c r="G642" s="35">
        <v>0.118544</v>
      </c>
    </row>
    <row r="643" spans="1:7" x14ac:dyDescent="0.3">
      <c r="A643" s="41" t="s">
        <v>63</v>
      </c>
      <c r="B643" s="48" t="s">
        <v>133</v>
      </c>
      <c r="C643" s="37">
        <v>46245</v>
      </c>
      <c r="D643" s="34" t="s">
        <v>24</v>
      </c>
      <c r="E643" s="41">
        <v>2336</v>
      </c>
      <c r="F643" s="33">
        <v>0.185832</v>
      </c>
      <c r="G643" s="35">
        <v>5.7234899999999998E-2</v>
      </c>
    </row>
    <row r="644" spans="1:7" x14ac:dyDescent="0.3">
      <c r="A644" s="41" t="s">
        <v>63</v>
      </c>
      <c r="B644" s="48" t="s">
        <v>133</v>
      </c>
      <c r="C644" s="37">
        <v>46245</v>
      </c>
      <c r="D644" s="34" t="s">
        <v>25</v>
      </c>
      <c r="E644" s="41">
        <v>1003</v>
      </c>
      <c r="F644" s="33">
        <v>0.347692</v>
      </c>
      <c r="G644" s="35">
        <v>8.3616700000000002E-2</v>
      </c>
    </row>
    <row r="645" spans="1:7" x14ac:dyDescent="0.3">
      <c r="A645" s="41" t="s">
        <v>63</v>
      </c>
      <c r="B645" s="48" t="s">
        <v>133</v>
      </c>
      <c r="C645" s="37">
        <v>46245</v>
      </c>
      <c r="D645" s="34" t="s">
        <v>26</v>
      </c>
      <c r="E645" s="41">
        <v>1995</v>
      </c>
      <c r="F645" s="33">
        <v>0.28189399999999998</v>
      </c>
      <c r="G645" s="35">
        <v>9.0622499999999995E-2</v>
      </c>
    </row>
    <row r="646" spans="1:7" x14ac:dyDescent="0.3">
      <c r="A646" s="41" t="s">
        <v>63</v>
      </c>
      <c r="B646" s="48" t="s">
        <v>133</v>
      </c>
      <c r="C646" s="37">
        <v>46245</v>
      </c>
      <c r="D646" s="34" t="s">
        <v>27</v>
      </c>
      <c r="E646" s="41">
        <v>2073</v>
      </c>
      <c r="F646" s="33">
        <v>0.38163799999999998</v>
      </c>
      <c r="G646" s="35">
        <v>8.6526599999999995E-2</v>
      </c>
    </row>
    <row r="647" spans="1:7" x14ac:dyDescent="0.3">
      <c r="A647" s="41" t="s">
        <v>63</v>
      </c>
      <c r="B647" s="48" t="s">
        <v>133</v>
      </c>
      <c r="C647" s="37">
        <v>46245</v>
      </c>
      <c r="D647" s="34" t="s">
        <v>28</v>
      </c>
      <c r="E647" s="41">
        <v>1263</v>
      </c>
      <c r="F647" s="33">
        <v>0.48612899999999998</v>
      </c>
      <c r="G647" s="35">
        <v>0.10904700000000001</v>
      </c>
    </row>
    <row r="648" spans="1:7" x14ac:dyDescent="0.3">
      <c r="A648" s="41" t="s">
        <v>63</v>
      </c>
      <c r="B648" s="48" t="s">
        <v>133</v>
      </c>
      <c r="C648" s="37">
        <v>46245</v>
      </c>
      <c r="D648" s="34" t="s">
        <v>29</v>
      </c>
      <c r="E648" s="41">
        <v>1530</v>
      </c>
      <c r="F648" s="33">
        <v>0.38460699999999998</v>
      </c>
      <c r="G648" s="35">
        <v>7.9613299999999998E-2</v>
      </c>
    </row>
    <row r="649" spans="1:7" x14ac:dyDescent="0.3">
      <c r="A649" s="41" t="s">
        <v>63</v>
      </c>
      <c r="B649" s="48" t="s">
        <v>133</v>
      </c>
      <c r="C649" s="37">
        <v>46245</v>
      </c>
      <c r="D649" s="34" t="s">
        <v>30</v>
      </c>
      <c r="E649" s="41">
        <v>1215</v>
      </c>
      <c r="F649" s="33">
        <v>0.43243999999999999</v>
      </c>
      <c r="G649" s="35">
        <v>8.6989200000000003E-2</v>
      </c>
    </row>
    <row r="650" spans="1:7" x14ac:dyDescent="0.3">
      <c r="A650" s="41" t="s">
        <v>63</v>
      </c>
      <c r="B650" s="48" t="s">
        <v>157</v>
      </c>
      <c r="C650" s="37">
        <v>46246</v>
      </c>
      <c r="D650" s="34" t="s">
        <v>14</v>
      </c>
      <c r="E650" s="41">
        <v>2348</v>
      </c>
      <c r="F650" s="33">
        <v>0.54677100000000001</v>
      </c>
      <c r="G650" s="35">
        <v>0.15378</v>
      </c>
    </row>
    <row r="651" spans="1:7" x14ac:dyDescent="0.3">
      <c r="A651" s="41" t="s">
        <v>63</v>
      </c>
      <c r="B651" s="48" t="s">
        <v>157</v>
      </c>
      <c r="C651" s="37">
        <v>46246</v>
      </c>
      <c r="D651" s="34" t="s">
        <v>15</v>
      </c>
      <c r="E651" s="41">
        <v>2176</v>
      </c>
      <c r="F651" s="33">
        <v>0.46421200000000001</v>
      </c>
      <c r="G651" s="35">
        <v>0.122298</v>
      </c>
    </row>
    <row r="652" spans="1:7" x14ac:dyDescent="0.3">
      <c r="A652" s="41" t="s">
        <v>63</v>
      </c>
      <c r="B652" s="48" t="s">
        <v>157</v>
      </c>
      <c r="C652" s="37">
        <v>46246</v>
      </c>
      <c r="D652" s="34" t="s">
        <v>16</v>
      </c>
      <c r="E652" s="41">
        <v>1567</v>
      </c>
      <c r="F652" s="33">
        <v>0.46888000000000002</v>
      </c>
      <c r="G652" s="35">
        <v>0.11</v>
      </c>
    </row>
    <row r="653" spans="1:7" x14ac:dyDescent="0.3">
      <c r="A653" s="41" t="s">
        <v>63</v>
      </c>
      <c r="B653" s="48" t="s">
        <v>157</v>
      </c>
      <c r="C653" s="37">
        <v>46246</v>
      </c>
      <c r="D653" s="34" t="s">
        <v>17</v>
      </c>
      <c r="E653" s="41">
        <v>1880</v>
      </c>
      <c r="F653" s="33">
        <v>0.58531599999999995</v>
      </c>
      <c r="G653" s="35">
        <v>0.11579100000000001</v>
      </c>
    </row>
    <row r="654" spans="1:7" x14ac:dyDescent="0.3">
      <c r="A654" s="41" t="s">
        <v>63</v>
      </c>
      <c r="B654" s="48" t="s">
        <v>157</v>
      </c>
      <c r="C654" s="37">
        <v>46246</v>
      </c>
      <c r="D654" s="34" t="s">
        <v>18</v>
      </c>
      <c r="E654" s="41">
        <v>1717</v>
      </c>
      <c r="F654" s="33">
        <v>0.29761900000000002</v>
      </c>
      <c r="G654" s="35">
        <v>7.0785699999999993E-2</v>
      </c>
    </row>
    <row r="655" spans="1:7" x14ac:dyDescent="0.3">
      <c r="A655" s="41" t="s">
        <v>63</v>
      </c>
      <c r="B655" s="48" t="s">
        <v>157</v>
      </c>
      <c r="C655" s="37">
        <v>46246</v>
      </c>
      <c r="D655" s="34" t="s">
        <v>19</v>
      </c>
      <c r="E655" s="41">
        <v>1730</v>
      </c>
      <c r="F655" s="33">
        <v>0.46961199999999997</v>
      </c>
      <c r="G655" s="35">
        <v>9.8766300000000001E-2</v>
      </c>
    </row>
    <row r="656" spans="1:7" x14ac:dyDescent="0.3">
      <c r="A656" s="41" t="s">
        <v>63</v>
      </c>
      <c r="B656" s="48" t="s">
        <v>157</v>
      </c>
      <c r="C656" s="37">
        <v>46246</v>
      </c>
      <c r="D656" s="34" t="s">
        <v>20</v>
      </c>
      <c r="E656" s="41">
        <v>1802</v>
      </c>
      <c r="F656" s="33">
        <v>0.53190300000000001</v>
      </c>
      <c r="G656" s="35">
        <v>0.111232</v>
      </c>
    </row>
    <row r="657" spans="1:7" x14ac:dyDescent="0.3">
      <c r="A657" s="41" t="s">
        <v>63</v>
      </c>
      <c r="B657" s="48" t="s">
        <v>157</v>
      </c>
      <c r="C657" s="37">
        <v>46246</v>
      </c>
      <c r="D657" s="34" t="s">
        <v>34</v>
      </c>
      <c r="E657" s="41">
        <v>1005</v>
      </c>
      <c r="F657" s="33">
        <v>0.28840100000000002</v>
      </c>
      <c r="G657" s="35">
        <v>8.7373300000000001E-2</v>
      </c>
    </row>
    <row r="658" spans="1:7" x14ac:dyDescent="0.3">
      <c r="A658" s="41" t="s">
        <v>63</v>
      </c>
      <c r="B658" s="48" t="s">
        <v>157</v>
      </c>
      <c r="C658" s="37">
        <v>46246</v>
      </c>
      <c r="D658" s="34" t="s">
        <v>21</v>
      </c>
      <c r="E658" s="41">
        <v>2969</v>
      </c>
      <c r="F658" s="33">
        <v>0.499108</v>
      </c>
      <c r="G658" s="35">
        <v>9.7145800000000004E-2</v>
      </c>
    </row>
    <row r="659" spans="1:7" x14ac:dyDescent="0.3">
      <c r="A659" s="41" t="s">
        <v>63</v>
      </c>
      <c r="B659" s="48" t="s">
        <v>157</v>
      </c>
      <c r="C659" s="37">
        <v>46246</v>
      </c>
      <c r="D659" s="34" t="s">
        <v>22</v>
      </c>
      <c r="E659" s="41">
        <v>2565</v>
      </c>
      <c r="F659" s="33">
        <v>0.51789600000000002</v>
      </c>
      <c r="G659" s="35">
        <v>0.140738</v>
      </c>
    </row>
    <row r="660" spans="1:7" x14ac:dyDescent="0.3">
      <c r="A660" s="41" t="s">
        <v>63</v>
      </c>
      <c r="B660" s="48" t="s">
        <v>157</v>
      </c>
      <c r="C660" s="37">
        <v>46246</v>
      </c>
      <c r="D660" s="34" t="s">
        <v>23</v>
      </c>
      <c r="E660" s="41">
        <v>1170</v>
      </c>
      <c r="F660" s="33">
        <v>0.43598399999999998</v>
      </c>
      <c r="G660" s="35">
        <v>0.14308499999999999</v>
      </c>
    </row>
    <row r="661" spans="1:7" x14ac:dyDescent="0.3">
      <c r="A661" s="41" t="s">
        <v>63</v>
      </c>
      <c r="B661" s="48" t="s">
        <v>157</v>
      </c>
      <c r="C661" s="37">
        <v>46246</v>
      </c>
      <c r="D661" s="34" t="s">
        <v>24</v>
      </c>
      <c r="E661" s="41">
        <v>2354</v>
      </c>
      <c r="F661" s="33">
        <v>0.179782</v>
      </c>
      <c r="G661" s="35">
        <v>5.5398599999999999E-2</v>
      </c>
    </row>
    <row r="662" spans="1:7" x14ac:dyDescent="0.3">
      <c r="A662" s="41" t="s">
        <v>63</v>
      </c>
      <c r="B662" s="48" t="s">
        <v>157</v>
      </c>
      <c r="C662" s="37">
        <v>46246</v>
      </c>
      <c r="D662" s="34" t="s">
        <v>25</v>
      </c>
      <c r="E662" s="41">
        <v>1008</v>
      </c>
      <c r="F662" s="33">
        <v>0.209753</v>
      </c>
      <c r="G662" s="35">
        <v>5.0472500000000003E-2</v>
      </c>
    </row>
    <row r="663" spans="1:7" x14ac:dyDescent="0.3">
      <c r="A663" s="41" t="s">
        <v>63</v>
      </c>
      <c r="B663" s="48" t="s">
        <v>157</v>
      </c>
      <c r="C663" s="37">
        <v>46246</v>
      </c>
      <c r="D663" s="34" t="s">
        <v>26</v>
      </c>
      <c r="E663" s="41">
        <v>2394</v>
      </c>
      <c r="F663" s="33">
        <v>0.20902899999999999</v>
      </c>
      <c r="G663" s="35">
        <v>6.7221799999999998E-2</v>
      </c>
    </row>
    <row r="664" spans="1:7" x14ac:dyDescent="0.3">
      <c r="A664" s="41" t="s">
        <v>63</v>
      </c>
      <c r="B664" s="48" t="s">
        <v>157</v>
      </c>
      <c r="C664" s="37">
        <v>46246</v>
      </c>
      <c r="D664" s="34" t="s">
        <v>27</v>
      </c>
      <c r="E664" s="41">
        <v>2680</v>
      </c>
      <c r="F664" s="33">
        <v>0.32789000000000001</v>
      </c>
      <c r="G664" s="35">
        <v>7.4444999999999997E-2</v>
      </c>
    </row>
    <row r="665" spans="1:7" x14ac:dyDescent="0.3">
      <c r="A665" s="41" t="s">
        <v>63</v>
      </c>
      <c r="B665" s="48" t="s">
        <v>157</v>
      </c>
      <c r="C665" s="37">
        <v>46246</v>
      </c>
      <c r="D665" s="34" t="s">
        <v>28</v>
      </c>
      <c r="E665" s="41">
        <v>1414</v>
      </c>
      <c r="F665" s="33">
        <v>0.61062700000000003</v>
      </c>
      <c r="G665" s="35">
        <v>0.13713400000000001</v>
      </c>
    </row>
    <row r="666" spans="1:7" x14ac:dyDescent="0.3">
      <c r="A666" s="41" t="s">
        <v>63</v>
      </c>
      <c r="B666" s="48" t="s">
        <v>157</v>
      </c>
      <c r="C666" s="37">
        <v>46246</v>
      </c>
      <c r="D666" s="34" t="s">
        <v>29</v>
      </c>
      <c r="E666" s="41">
        <v>1417</v>
      </c>
      <c r="F666" s="33">
        <v>0.35574600000000001</v>
      </c>
      <c r="G666" s="35">
        <v>7.3671600000000004E-2</v>
      </c>
    </row>
    <row r="667" spans="1:7" x14ac:dyDescent="0.3">
      <c r="A667" s="41" t="s">
        <v>63</v>
      </c>
      <c r="B667" s="48" t="s">
        <v>157</v>
      </c>
      <c r="C667" s="37">
        <v>46246</v>
      </c>
      <c r="D667" s="34" t="s">
        <v>30</v>
      </c>
      <c r="E667" s="41">
        <v>1059</v>
      </c>
      <c r="F667" s="33">
        <v>0.50414300000000001</v>
      </c>
      <c r="G667" s="35">
        <v>0.10145899999999999</v>
      </c>
    </row>
    <row r="668" spans="1:7" x14ac:dyDescent="0.3">
      <c r="A668" s="41" t="s">
        <v>63</v>
      </c>
      <c r="B668" s="48" t="s">
        <v>158</v>
      </c>
      <c r="C668" s="37">
        <v>46245</v>
      </c>
      <c r="D668" s="34" t="s">
        <v>14</v>
      </c>
      <c r="E668" s="41">
        <v>1686</v>
      </c>
      <c r="F668" s="33">
        <v>0.23603099999999999</v>
      </c>
      <c r="G668" s="35">
        <v>6.6376599999999994E-2</v>
      </c>
    </row>
    <row r="669" spans="1:7" x14ac:dyDescent="0.3">
      <c r="A669" s="41" t="s">
        <v>63</v>
      </c>
      <c r="B669" s="48" t="s">
        <v>158</v>
      </c>
      <c r="C669" s="37">
        <v>46245</v>
      </c>
      <c r="D669" s="34" t="s">
        <v>15</v>
      </c>
      <c r="E669" s="41">
        <v>1429</v>
      </c>
      <c r="F669" s="33">
        <v>0.31043999999999999</v>
      </c>
      <c r="G669" s="35">
        <v>8.1778699999999996E-2</v>
      </c>
    </row>
    <row r="670" spans="1:7" x14ac:dyDescent="0.3">
      <c r="A670" s="41" t="s">
        <v>63</v>
      </c>
      <c r="B670" s="48" t="s">
        <v>158</v>
      </c>
      <c r="C670" s="37">
        <v>46245</v>
      </c>
      <c r="D670" s="34" t="s">
        <v>16</v>
      </c>
      <c r="E670" s="41">
        <v>1219</v>
      </c>
      <c r="F670" s="33">
        <v>0.35947299999999999</v>
      </c>
      <c r="G670" s="35">
        <v>8.4297800000000006E-2</v>
      </c>
    </row>
    <row r="671" spans="1:7" x14ac:dyDescent="0.3">
      <c r="A671" s="41" t="s">
        <v>63</v>
      </c>
      <c r="B671" s="48" t="s">
        <v>158</v>
      </c>
      <c r="C671" s="37">
        <v>46245</v>
      </c>
      <c r="D671" s="34" t="s">
        <v>17</v>
      </c>
      <c r="E671" s="41">
        <v>1555</v>
      </c>
      <c r="F671" s="33">
        <v>0.35539700000000002</v>
      </c>
      <c r="G671" s="35">
        <v>7.0301799999999998E-2</v>
      </c>
    </row>
    <row r="672" spans="1:7" x14ac:dyDescent="0.3">
      <c r="A672" s="41" t="s">
        <v>63</v>
      </c>
      <c r="B672" s="48" t="s">
        <v>158</v>
      </c>
      <c r="C672" s="37">
        <v>46245</v>
      </c>
      <c r="D672" s="34" t="s">
        <v>18</v>
      </c>
      <c r="E672" s="41">
        <v>1577</v>
      </c>
      <c r="F672" s="33">
        <v>0.23039799999999999</v>
      </c>
      <c r="G672" s="35">
        <v>5.4779300000000003E-2</v>
      </c>
    </row>
    <row r="673" spans="1:7" x14ac:dyDescent="0.3">
      <c r="A673" s="41" t="s">
        <v>63</v>
      </c>
      <c r="B673" s="48" t="s">
        <v>158</v>
      </c>
      <c r="C673" s="37">
        <v>46245</v>
      </c>
      <c r="D673" s="34" t="s">
        <v>19</v>
      </c>
      <c r="E673" s="41">
        <v>1707</v>
      </c>
      <c r="F673" s="33">
        <v>0.29862</v>
      </c>
      <c r="G673" s="35">
        <v>6.2764899999999998E-2</v>
      </c>
    </row>
    <row r="674" spans="1:7" x14ac:dyDescent="0.3">
      <c r="A674" s="41" t="s">
        <v>63</v>
      </c>
      <c r="B674" s="48" t="s">
        <v>158</v>
      </c>
      <c r="C674" s="37">
        <v>46245</v>
      </c>
      <c r="D674" s="34" t="s">
        <v>20</v>
      </c>
      <c r="E674" s="41">
        <v>1620</v>
      </c>
      <c r="F674" s="33">
        <v>0.31660899999999997</v>
      </c>
      <c r="G674" s="35">
        <v>6.6205399999999998E-2</v>
      </c>
    </row>
    <row r="675" spans="1:7" x14ac:dyDescent="0.3">
      <c r="A675" s="41" t="s">
        <v>63</v>
      </c>
      <c r="B675" s="48" t="s">
        <v>158</v>
      </c>
      <c r="C675" s="37">
        <v>46245</v>
      </c>
      <c r="D675" s="34" t="s">
        <v>34</v>
      </c>
      <c r="E675" s="41">
        <v>1086</v>
      </c>
      <c r="F675" s="33">
        <v>0.17760999999999999</v>
      </c>
      <c r="G675" s="35">
        <v>5.3806699999999999E-2</v>
      </c>
    </row>
    <row r="676" spans="1:7" x14ac:dyDescent="0.3">
      <c r="A676" s="41" t="s">
        <v>63</v>
      </c>
      <c r="B676" s="48" t="s">
        <v>158</v>
      </c>
      <c r="C676" s="37">
        <v>46245</v>
      </c>
      <c r="D676" s="34" t="s">
        <v>21</v>
      </c>
      <c r="E676" s="41">
        <v>2811</v>
      </c>
      <c r="F676" s="33">
        <v>0.44070599999999999</v>
      </c>
      <c r="G676" s="35">
        <v>8.5721500000000006E-2</v>
      </c>
    </row>
    <row r="677" spans="1:7" x14ac:dyDescent="0.3">
      <c r="A677" s="41" t="s">
        <v>63</v>
      </c>
      <c r="B677" s="48" t="s">
        <v>158</v>
      </c>
      <c r="C677" s="37">
        <v>46245</v>
      </c>
      <c r="D677" s="34" t="s">
        <v>22</v>
      </c>
      <c r="E677" s="41">
        <v>1428</v>
      </c>
      <c r="F677" s="33">
        <v>0.27465800000000001</v>
      </c>
      <c r="G677" s="35">
        <v>7.4579599999999996E-2</v>
      </c>
    </row>
    <row r="678" spans="1:7" x14ac:dyDescent="0.3">
      <c r="A678" s="41" t="s">
        <v>63</v>
      </c>
      <c r="B678" s="48" t="s">
        <v>158</v>
      </c>
      <c r="C678" s="37">
        <v>46245</v>
      </c>
      <c r="D678" s="34" t="s">
        <v>23</v>
      </c>
      <c r="E678" s="41">
        <v>1303</v>
      </c>
      <c r="F678" s="33">
        <v>0.34468399999999999</v>
      </c>
      <c r="G678" s="35">
        <v>0.113124</v>
      </c>
    </row>
    <row r="679" spans="1:7" x14ac:dyDescent="0.3">
      <c r="A679" s="41" t="s">
        <v>63</v>
      </c>
      <c r="B679" s="48" t="s">
        <v>158</v>
      </c>
      <c r="C679" s="37">
        <v>46245</v>
      </c>
      <c r="D679" s="34" t="s">
        <v>24</v>
      </c>
      <c r="E679" s="41">
        <v>2032</v>
      </c>
      <c r="F679" s="33">
        <v>0.21449599999999999</v>
      </c>
      <c r="G679" s="35">
        <v>6.61027E-2</v>
      </c>
    </row>
    <row r="680" spans="1:7" x14ac:dyDescent="0.3">
      <c r="A680" s="41" t="s">
        <v>63</v>
      </c>
      <c r="B680" s="48" t="s">
        <v>158</v>
      </c>
      <c r="C680" s="37">
        <v>46245</v>
      </c>
      <c r="D680" s="34" t="s">
        <v>25</v>
      </c>
      <c r="E680" s="41">
        <v>1005</v>
      </c>
      <c r="F680" s="33">
        <v>0.29615900000000001</v>
      </c>
      <c r="G680" s="35">
        <v>7.1340799999999996E-2</v>
      </c>
    </row>
    <row r="681" spans="1:7" x14ac:dyDescent="0.3">
      <c r="A681" s="41" t="s">
        <v>63</v>
      </c>
      <c r="B681" s="48" t="s">
        <v>158</v>
      </c>
      <c r="C681" s="37">
        <v>46245</v>
      </c>
      <c r="D681" s="34" t="s">
        <v>26</v>
      </c>
      <c r="E681" s="41">
        <v>1311</v>
      </c>
      <c r="F681" s="33">
        <v>0.17169300000000001</v>
      </c>
      <c r="G681" s="35">
        <v>5.5196099999999998E-2</v>
      </c>
    </row>
    <row r="682" spans="1:7" x14ac:dyDescent="0.3">
      <c r="A682" s="41" t="s">
        <v>63</v>
      </c>
      <c r="B682" s="48" t="s">
        <v>158</v>
      </c>
      <c r="C682" s="37">
        <v>46245</v>
      </c>
      <c r="D682" s="34" t="s">
        <v>27</v>
      </c>
      <c r="E682" s="41">
        <v>1446</v>
      </c>
      <c r="F682" s="33">
        <v>0.35167100000000001</v>
      </c>
      <c r="G682" s="35">
        <v>7.9771400000000006E-2</v>
      </c>
    </row>
    <row r="683" spans="1:7" x14ac:dyDescent="0.3">
      <c r="A683" s="41" t="s">
        <v>63</v>
      </c>
      <c r="B683" s="48" t="s">
        <v>158</v>
      </c>
      <c r="C683" s="37">
        <v>46245</v>
      </c>
      <c r="D683" s="34" t="s">
        <v>28</v>
      </c>
      <c r="E683" s="41">
        <v>1107</v>
      </c>
      <c r="F683" s="33">
        <v>0.300813</v>
      </c>
      <c r="G683" s="35">
        <v>6.7468299999999995E-2</v>
      </c>
    </row>
    <row r="684" spans="1:7" x14ac:dyDescent="0.3">
      <c r="A684" s="41" t="s">
        <v>63</v>
      </c>
      <c r="B684" s="48" t="s">
        <v>158</v>
      </c>
      <c r="C684" s="37">
        <v>46245</v>
      </c>
      <c r="D684" s="34" t="s">
        <v>29</v>
      </c>
      <c r="E684" s="41">
        <v>1194</v>
      </c>
      <c r="F684" s="33">
        <v>0.29922399999999999</v>
      </c>
      <c r="G684" s="35">
        <v>6.19643E-2</v>
      </c>
    </row>
    <row r="685" spans="1:7" x14ac:dyDescent="0.3">
      <c r="A685" s="41" t="s">
        <v>63</v>
      </c>
      <c r="B685" s="48" t="s">
        <v>158</v>
      </c>
      <c r="C685" s="37">
        <v>46245</v>
      </c>
      <c r="D685" s="34" t="s">
        <v>30</v>
      </c>
      <c r="E685" s="41">
        <v>1110</v>
      </c>
      <c r="F685" s="33">
        <v>0.321635</v>
      </c>
      <c r="G685" s="35">
        <v>6.4709199999999995E-2</v>
      </c>
    </row>
    <row r="686" spans="1:7" x14ac:dyDescent="0.3">
      <c r="A686" s="41" t="s">
        <v>63</v>
      </c>
      <c r="B686" s="48" t="s">
        <v>159</v>
      </c>
      <c r="C686" s="37">
        <v>46245</v>
      </c>
      <c r="D686" s="34" t="s">
        <v>14</v>
      </c>
      <c r="E686" s="41">
        <v>2160</v>
      </c>
      <c r="F686" s="33">
        <v>0.25851800000000003</v>
      </c>
      <c r="G686" s="35">
        <v>7.2721099999999997E-2</v>
      </c>
    </row>
    <row r="687" spans="1:7" x14ac:dyDescent="0.3">
      <c r="A687" s="41" t="s">
        <v>63</v>
      </c>
      <c r="B687" s="48" t="s">
        <v>159</v>
      </c>
      <c r="C687" s="37">
        <v>46245</v>
      </c>
      <c r="D687" s="34" t="s">
        <v>15</v>
      </c>
      <c r="E687" s="41">
        <v>1893</v>
      </c>
      <c r="F687" s="33">
        <v>0.37066399999999999</v>
      </c>
      <c r="G687" s="35">
        <v>9.7640299999999999E-2</v>
      </c>
    </row>
    <row r="688" spans="1:7" x14ac:dyDescent="0.3">
      <c r="A688" s="41" t="s">
        <v>63</v>
      </c>
      <c r="B688" s="48" t="s">
        <v>159</v>
      </c>
      <c r="C688" s="37">
        <v>46245</v>
      </c>
      <c r="D688" s="34" t="s">
        <v>16</v>
      </c>
      <c r="E688" s="41">
        <v>1209</v>
      </c>
      <c r="F688" s="33">
        <v>0.35478100000000001</v>
      </c>
      <c r="G688" s="35">
        <v>8.3202799999999993E-2</v>
      </c>
    </row>
    <row r="689" spans="1:7" x14ac:dyDescent="0.3">
      <c r="A689" s="41" t="s">
        <v>63</v>
      </c>
      <c r="B689" s="48" t="s">
        <v>159</v>
      </c>
      <c r="C689" s="37">
        <v>46245</v>
      </c>
      <c r="D689" s="34" t="s">
        <v>17</v>
      </c>
      <c r="E689" s="41">
        <v>1803</v>
      </c>
      <c r="F689" s="33">
        <v>0.395152</v>
      </c>
      <c r="G689" s="35">
        <v>7.8171699999999997E-2</v>
      </c>
    </row>
    <row r="690" spans="1:7" x14ac:dyDescent="0.3">
      <c r="A690" s="41" t="s">
        <v>63</v>
      </c>
      <c r="B690" s="48" t="s">
        <v>159</v>
      </c>
      <c r="C690" s="37">
        <v>46245</v>
      </c>
      <c r="D690" s="34" t="s">
        <v>18</v>
      </c>
      <c r="E690" s="41">
        <v>1757</v>
      </c>
      <c r="F690" s="33">
        <v>0.21223900000000001</v>
      </c>
      <c r="G690" s="35">
        <v>5.0476E-2</v>
      </c>
    </row>
    <row r="691" spans="1:7" x14ac:dyDescent="0.3">
      <c r="A691" s="41" t="s">
        <v>63</v>
      </c>
      <c r="B691" s="48" t="s">
        <v>159</v>
      </c>
      <c r="C691" s="37">
        <v>46245</v>
      </c>
      <c r="D691" s="34" t="s">
        <v>19</v>
      </c>
      <c r="E691" s="41">
        <v>1755</v>
      </c>
      <c r="F691" s="33">
        <v>0.317135</v>
      </c>
      <c r="G691" s="35">
        <v>6.6685400000000006E-2</v>
      </c>
    </row>
    <row r="692" spans="1:7" x14ac:dyDescent="0.3">
      <c r="A692" s="41" t="s">
        <v>63</v>
      </c>
      <c r="B692" s="48" t="s">
        <v>159</v>
      </c>
      <c r="C692" s="37">
        <v>46245</v>
      </c>
      <c r="D692" s="34" t="s">
        <v>20</v>
      </c>
      <c r="E692" s="41">
        <v>1723</v>
      </c>
      <c r="F692" s="33">
        <v>0.29980299999999999</v>
      </c>
      <c r="G692" s="35">
        <v>6.2706399999999995E-2</v>
      </c>
    </row>
    <row r="693" spans="1:7" x14ac:dyDescent="0.3">
      <c r="A693" s="41" t="s">
        <v>63</v>
      </c>
      <c r="B693" s="48" t="s">
        <v>159</v>
      </c>
      <c r="C693" s="37">
        <v>46245</v>
      </c>
      <c r="D693" s="34" t="s">
        <v>34</v>
      </c>
      <c r="E693" s="41">
        <v>1005</v>
      </c>
      <c r="F693" s="33">
        <v>0.17078399999999999</v>
      </c>
      <c r="G693" s="35">
        <v>5.1755799999999998E-2</v>
      </c>
    </row>
    <row r="694" spans="1:7" x14ac:dyDescent="0.3">
      <c r="A694" s="41" t="s">
        <v>63</v>
      </c>
      <c r="B694" s="48" t="s">
        <v>159</v>
      </c>
      <c r="C694" s="37">
        <v>46245</v>
      </c>
      <c r="D694" s="34" t="s">
        <v>21</v>
      </c>
      <c r="E694" s="41">
        <v>2922</v>
      </c>
      <c r="F694" s="33">
        <v>0.42992399999999997</v>
      </c>
      <c r="G694" s="35">
        <v>8.3665799999999999E-2</v>
      </c>
    </row>
    <row r="695" spans="1:7" x14ac:dyDescent="0.3">
      <c r="A695" s="41" t="s">
        <v>63</v>
      </c>
      <c r="B695" s="48" t="s">
        <v>159</v>
      </c>
      <c r="C695" s="37">
        <v>46245</v>
      </c>
      <c r="D695" s="34" t="s">
        <v>22</v>
      </c>
      <c r="E695" s="41">
        <v>1612</v>
      </c>
      <c r="F695" s="33">
        <v>0.28850300000000001</v>
      </c>
      <c r="G695" s="35">
        <v>7.8345600000000001E-2</v>
      </c>
    </row>
    <row r="696" spans="1:7" x14ac:dyDescent="0.3">
      <c r="A696" s="41" t="s">
        <v>63</v>
      </c>
      <c r="B696" s="48" t="s">
        <v>159</v>
      </c>
      <c r="C696" s="37">
        <v>46245</v>
      </c>
      <c r="D696" s="34" t="s">
        <v>23</v>
      </c>
      <c r="E696" s="41">
        <v>1376</v>
      </c>
      <c r="F696" s="33">
        <v>0.38151099999999999</v>
      </c>
      <c r="G696" s="35">
        <v>0.12529399999999999</v>
      </c>
    </row>
    <row r="697" spans="1:7" x14ac:dyDescent="0.3">
      <c r="A697" s="41" t="s">
        <v>63</v>
      </c>
      <c r="B697" s="48" t="s">
        <v>159</v>
      </c>
      <c r="C697" s="37">
        <v>46245</v>
      </c>
      <c r="D697" s="34" t="s">
        <v>24</v>
      </c>
      <c r="E697" s="41">
        <v>2334</v>
      </c>
      <c r="F697" s="33">
        <v>0.214696</v>
      </c>
      <c r="G697" s="35">
        <v>6.6133700000000004E-2</v>
      </c>
    </row>
    <row r="698" spans="1:7" x14ac:dyDescent="0.3">
      <c r="A698" s="41" t="s">
        <v>63</v>
      </c>
      <c r="B698" s="48" t="s">
        <v>159</v>
      </c>
      <c r="C698" s="37">
        <v>46245</v>
      </c>
      <c r="D698" s="34" t="s">
        <v>25</v>
      </c>
      <c r="E698" s="41">
        <v>1162</v>
      </c>
      <c r="F698" s="33">
        <v>0.20059199999999999</v>
      </c>
      <c r="G698" s="35">
        <v>4.8247999999999999E-2</v>
      </c>
    </row>
    <row r="699" spans="1:7" x14ac:dyDescent="0.3">
      <c r="A699" s="41" t="s">
        <v>63</v>
      </c>
      <c r="B699" s="48" t="s">
        <v>159</v>
      </c>
      <c r="C699" s="37">
        <v>46245</v>
      </c>
      <c r="D699" s="34" t="s">
        <v>26</v>
      </c>
      <c r="E699" s="41">
        <v>1378</v>
      </c>
      <c r="F699" s="33">
        <v>0.17598800000000001</v>
      </c>
      <c r="G699" s="35">
        <v>5.6594600000000002E-2</v>
      </c>
    </row>
    <row r="700" spans="1:7" x14ac:dyDescent="0.3">
      <c r="A700" s="41" t="s">
        <v>63</v>
      </c>
      <c r="B700" s="48" t="s">
        <v>159</v>
      </c>
      <c r="C700" s="37">
        <v>46245</v>
      </c>
      <c r="D700" s="34" t="s">
        <v>27</v>
      </c>
      <c r="E700" s="41">
        <v>1262</v>
      </c>
      <c r="F700" s="33">
        <v>0.27875299999999997</v>
      </c>
      <c r="G700" s="35">
        <v>6.3267400000000001E-2</v>
      </c>
    </row>
    <row r="701" spans="1:7" x14ac:dyDescent="0.3">
      <c r="A701" s="41" t="s">
        <v>63</v>
      </c>
      <c r="B701" s="48" t="s">
        <v>159</v>
      </c>
      <c r="C701" s="37">
        <v>46245</v>
      </c>
      <c r="D701" s="34" t="s">
        <v>28</v>
      </c>
      <c r="E701" s="41">
        <v>1090</v>
      </c>
      <c r="F701" s="33">
        <v>0.28165800000000002</v>
      </c>
      <c r="G701" s="35">
        <v>6.3240699999999997E-2</v>
      </c>
    </row>
    <row r="702" spans="1:7" x14ac:dyDescent="0.3">
      <c r="A702" s="41" t="s">
        <v>63</v>
      </c>
      <c r="B702" s="48" t="s">
        <v>159</v>
      </c>
      <c r="C702" s="37">
        <v>46245</v>
      </c>
      <c r="D702" s="34" t="s">
        <v>29</v>
      </c>
      <c r="E702" s="41">
        <v>1479</v>
      </c>
      <c r="F702" s="33">
        <v>0.373226</v>
      </c>
      <c r="G702" s="35">
        <v>7.7298900000000004E-2</v>
      </c>
    </row>
    <row r="703" spans="1:7" x14ac:dyDescent="0.3">
      <c r="A703" s="41" t="s">
        <v>63</v>
      </c>
      <c r="B703" s="48" t="s">
        <v>159</v>
      </c>
      <c r="C703" s="37">
        <v>46245</v>
      </c>
      <c r="D703" s="34" t="s">
        <v>30</v>
      </c>
      <c r="E703" s="41">
        <v>1430</v>
      </c>
      <c r="F703" s="33">
        <v>0.35239300000000001</v>
      </c>
      <c r="G703" s="35">
        <v>7.0878499999999997E-2</v>
      </c>
    </row>
    <row r="704" spans="1:7" x14ac:dyDescent="0.3">
      <c r="A704" s="41" t="s">
        <v>63</v>
      </c>
      <c r="B704" s="48" t="s">
        <v>160</v>
      </c>
      <c r="C704" s="37">
        <v>46245</v>
      </c>
      <c r="D704" s="34" t="s">
        <v>14</v>
      </c>
      <c r="E704" s="41">
        <v>2359</v>
      </c>
      <c r="F704" s="33">
        <v>0.339503</v>
      </c>
      <c r="G704" s="35">
        <v>9.5462199999999997E-2</v>
      </c>
    </row>
    <row r="705" spans="1:7" x14ac:dyDescent="0.3">
      <c r="A705" s="41" t="s">
        <v>63</v>
      </c>
      <c r="B705" s="48" t="s">
        <v>160</v>
      </c>
      <c r="C705" s="37">
        <v>46245</v>
      </c>
      <c r="D705" s="34" t="s">
        <v>15</v>
      </c>
      <c r="E705" s="41">
        <v>1901</v>
      </c>
      <c r="F705" s="33">
        <v>0.40394999999999998</v>
      </c>
      <c r="G705" s="35">
        <v>0.106374</v>
      </c>
    </row>
    <row r="706" spans="1:7" x14ac:dyDescent="0.3">
      <c r="A706" s="41" t="s">
        <v>63</v>
      </c>
      <c r="B706" s="48" t="s">
        <v>160</v>
      </c>
      <c r="C706" s="37">
        <v>46245</v>
      </c>
      <c r="D706" s="34" t="s">
        <v>16</v>
      </c>
      <c r="E706" s="41">
        <v>1216</v>
      </c>
      <c r="F706" s="33">
        <v>0.37232599999999999</v>
      </c>
      <c r="G706" s="35">
        <v>8.73414E-2</v>
      </c>
    </row>
    <row r="707" spans="1:7" x14ac:dyDescent="0.3">
      <c r="A707" s="41" t="s">
        <v>63</v>
      </c>
      <c r="B707" s="48" t="s">
        <v>160</v>
      </c>
      <c r="C707" s="37">
        <v>46245</v>
      </c>
      <c r="D707" s="34" t="s">
        <v>17</v>
      </c>
      <c r="E707" s="41">
        <v>2161</v>
      </c>
      <c r="F707" s="33">
        <v>0.42272399999999999</v>
      </c>
      <c r="G707" s="35">
        <v>8.3608100000000005E-2</v>
      </c>
    </row>
    <row r="708" spans="1:7" x14ac:dyDescent="0.3">
      <c r="A708" s="41" t="s">
        <v>63</v>
      </c>
      <c r="B708" s="48" t="s">
        <v>160</v>
      </c>
      <c r="C708" s="37">
        <v>46245</v>
      </c>
      <c r="D708" s="34" t="s">
        <v>18</v>
      </c>
      <c r="E708" s="41">
        <v>1660</v>
      </c>
      <c r="F708" s="33">
        <v>0.21842900000000001</v>
      </c>
      <c r="G708" s="35">
        <v>5.1942799999999997E-2</v>
      </c>
    </row>
    <row r="709" spans="1:7" x14ac:dyDescent="0.3">
      <c r="A709" s="41" t="s">
        <v>63</v>
      </c>
      <c r="B709" s="48" t="s">
        <v>160</v>
      </c>
      <c r="C709" s="37">
        <v>46245</v>
      </c>
      <c r="D709" s="34" t="s">
        <v>19</v>
      </c>
      <c r="E709" s="41">
        <v>1978</v>
      </c>
      <c r="F709" s="33">
        <v>0.32136999999999999</v>
      </c>
      <c r="G709" s="35">
        <v>6.75761E-2</v>
      </c>
    </row>
    <row r="710" spans="1:7" x14ac:dyDescent="0.3">
      <c r="A710" s="41" t="s">
        <v>63</v>
      </c>
      <c r="B710" s="48" t="s">
        <v>160</v>
      </c>
      <c r="C710" s="37">
        <v>46245</v>
      </c>
      <c r="D710" s="34" t="s">
        <v>20</v>
      </c>
      <c r="E710" s="41">
        <v>1943</v>
      </c>
      <c r="F710" s="33">
        <v>0.31383499999999998</v>
      </c>
      <c r="G710" s="35">
        <v>6.5645099999999998E-2</v>
      </c>
    </row>
    <row r="711" spans="1:7" x14ac:dyDescent="0.3">
      <c r="A711" s="41" t="s">
        <v>63</v>
      </c>
      <c r="B711" s="48" t="s">
        <v>160</v>
      </c>
      <c r="C711" s="37">
        <v>46245</v>
      </c>
      <c r="D711" s="34" t="s">
        <v>34</v>
      </c>
      <c r="E711" s="41">
        <v>1004</v>
      </c>
      <c r="F711" s="33">
        <v>0.19739699999999999</v>
      </c>
      <c r="G711" s="35">
        <v>5.9809800000000003E-2</v>
      </c>
    </row>
    <row r="712" spans="1:7" x14ac:dyDescent="0.3">
      <c r="A712" s="41" t="s">
        <v>63</v>
      </c>
      <c r="B712" s="48" t="s">
        <v>160</v>
      </c>
      <c r="C712" s="37">
        <v>46245</v>
      </c>
      <c r="D712" s="34" t="s">
        <v>21</v>
      </c>
      <c r="E712" s="41">
        <v>2885</v>
      </c>
      <c r="F712" s="33">
        <v>0.44058199999999997</v>
      </c>
      <c r="G712" s="35">
        <v>8.5730700000000007E-2</v>
      </c>
    </row>
    <row r="713" spans="1:7" x14ac:dyDescent="0.3">
      <c r="A713" s="41" t="s">
        <v>63</v>
      </c>
      <c r="B713" s="48" t="s">
        <v>160</v>
      </c>
      <c r="C713" s="37">
        <v>46245</v>
      </c>
      <c r="D713" s="34" t="s">
        <v>22</v>
      </c>
      <c r="E713" s="41">
        <v>1770</v>
      </c>
      <c r="F713" s="33">
        <v>0.36197499999999999</v>
      </c>
      <c r="G713" s="35">
        <v>9.8294599999999996E-2</v>
      </c>
    </row>
    <row r="714" spans="1:7" x14ac:dyDescent="0.3">
      <c r="A714" s="41" t="s">
        <v>63</v>
      </c>
      <c r="B714" s="48" t="s">
        <v>160</v>
      </c>
      <c r="C714" s="37">
        <v>46245</v>
      </c>
      <c r="D714" s="34" t="s">
        <v>23</v>
      </c>
      <c r="E714" s="41">
        <v>1436</v>
      </c>
      <c r="F714" s="33">
        <v>0.24033099999999999</v>
      </c>
      <c r="G714" s="35">
        <v>7.8871999999999998E-2</v>
      </c>
    </row>
    <row r="715" spans="1:7" x14ac:dyDescent="0.3">
      <c r="A715" s="41" t="s">
        <v>63</v>
      </c>
      <c r="B715" s="48" t="s">
        <v>160</v>
      </c>
      <c r="C715" s="37">
        <v>46245</v>
      </c>
      <c r="D715" s="34" t="s">
        <v>24</v>
      </c>
      <c r="E715" s="41">
        <v>2317</v>
      </c>
      <c r="F715" s="33">
        <v>0.20446600000000001</v>
      </c>
      <c r="G715" s="35">
        <v>6.2923300000000001E-2</v>
      </c>
    </row>
    <row r="716" spans="1:7" x14ac:dyDescent="0.3">
      <c r="A716" s="41" t="s">
        <v>63</v>
      </c>
      <c r="B716" s="48" t="s">
        <v>160</v>
      </c>
      <c r="C716" s="37">
        <v>46245</v>
      </c>
      <c r="D716" s="34" t="s">
        <v>25</v>
      </c>
      <c r="E716" s="41">
        <v>1173</v>
      </c>
      <c r="F716" s="33">
        <v>0.225748</v>
      </c>
      <c r="G716" s="35">
        <v>5.4283999999999999E-2</v>
      </c>
    </row>
    <row r="717" spans="1:7" x14ac:dyDescent="0.3">
      <c r="A717" s="41" t="s">
        <v>63</v>
      </c>
      <c r="B717" s="48" t="s">
        <v>160</v>
      </c>
      <c r="C717" s="37">
        <v>46245</v>
      </c>
      <c r="D717" s="34" t="s">
        <v>26</v>
      </c>
      <c r="E717" s="41">
        <v>1611</v>
      </c>
      <c r="F717" s="33">
        <v>0.138596</v>
      </c>
      <c r="G717" s="35">
        <v>4.4565599999999997E-2</v>
      </c>
    </row>
    <row r="718" spans="1:7" x14ac:dyDescent="0.3">
      <c r="A718" s="41" t="s">
        <v>63</v>
      </c>
      <c r="B718" s="48" t="s">
        <v>160</v>
      </c>
      <c r="C718" s="37">
        <v>46245</v>
      </c>
      <c r="D718" s="34" t="s">
        <v>27</v>
      </c>
      <c r="E718" s="41">
        <v>1209</v>
      </c>
      <c r="F718" s="33">
        <v>0.297456</v>
      </c>
      <c r="G718" s="35">
        <v>6.7505700000000002E-2</v>
      </c>
    </row>
    <row r="719" spans="1:7" x14ac:dyDescent="0.3">
      <c r="A719" s="41" t="s">
        <v>63</v>
      </c>
      <c r="B719" s="48" t="s">
        <v>160</v>
      </c>
      <c r="C719" s="37">
        <v>46245</v>
      </c>
      <c r="D719" s="34" t="s">
        <v>28</v>
      </c>
      <c r="E719" s="41">
        <v>1102</v>
      </c>
      <c r="F719" s="33">
        <v>0.25417099999999998</v>
      </c>
      <c r="G719" s="35">
        <v>5.7056700000000002E-2</v>
      </c>
    </row>
    <row r="720" spans="1:7" x14ac:dyDescent="0.3">
      <c r="A720" s="41" t="s">
        <v>63</v>
      </c>
      <c r="B720" s="48" t="s">
        <v>160</v>
      </c>
      <c r="C720" s="37">
        <v>46245</v>
      </c>
      <c r="D720" s="34" t="s">
        <v>29</v>
      </c>
      <c r="E720" s="41">
        <v>1418</v>
      </c>
      <c r="F720" s="33">
        <v>0.30664599999999997</v>
      </c>
      <c r="G720" s="35">
        <v>6.3473199999999994E-2</v>
      </c>
    </row>
    <row r="721" spans="1:7" x14ac:dyDescent="0.3">
      <c r="A721" s="41" t="s">
        <v>63</v>
      </c>
      <c r="B721" s="48" t="s">
        <v>160</v>
      </c>
      <c r="C721" s="37">
        <v>46245</v>
      </c>
      <c r="D721" s="34" t="s">
        <v>30</v>
      </c>
      <c r="E721" s="41">
        <v>1788</v>
      </c>
      <c r="F721" s="33">
        <v>0.39618300000000001</v>
      </c>
      <c r="G721" s="35">
        <v>7.9699099999999995E-2</v>
      </c>
    </row>
    <row r="722" spans="1:7" x14ac:dyDescent="0.3">
      <c r="A722" s="41" t="s">
        <v>63</v>
      </c>
      <c r="B722" s="48" t="s">
        <v>161</v>
      </c>
      <c r="C722" s="37">
        <v>46246</v>
      </c>
      <c r="D722" s="34" t="s">
        <v>14</v>
      </c>
      <c r="E722" s="41">
        <v>1812</v>
      </c>
      <c r="F722" s="33">
        <v>0.35864800000000002</v>
      </c>
      <c r="G722" s="35">
        <v>9.4151200000000004E-2</v>
      </c>
    </row>
    <row r="723" spans="1:7" x14ac:dyDescent="0.3">
      <c r="A723" s="41" t="s">
        <v>63</v>
      </c>
      <c r="B723" s="48" t="s">
        <v>161</v>
      </c>
      <c r="C723" s="37">
        <v>46246</v>
      </c>
      <c r="D723" s="34" t="s">
        <v>15</v>
      </c>
      <c r="E723" s="41">
        <v>1624</v>
      </c>
      <c r="F723" s="33">
        <v>0.34329999999999999</v>
      </c>
      <c r="G723" s="35">
        <v>8.3500699999999997E-2</v>
      </c>
    </row>
    <row r="724" spans="1:7" x14ac:dyDescent="0.3">
      <c r="A724" s="41" t="s">
        <v>63</v>
      </c>
      <c r="B724" s="48" t="s">
        <v>161</v>
      </c>
      <c r="C724" s="37">
        <v>46246</v>
      </c>
      <c r="D724" s="34" t="s">
        <v>16</v>
      </c>
      <c r="E724" s="41">
        <v>1364</v>
      </c>
      <c r="F724" s="33">
        <v>0.46888000000000002</v>
      </c>
      <c r="G724" s="35">
        <v>0.11</v>
      </c>
    </row>
    <row r="725" spans="1:7" x14ac:dyDescent="0.3">
      <c r="A725" s="41" t="s">
        <v>63</v>
      </c>
      <c r="B725" s="48" t="s">
        <v>161</v>
      </c>
      <c r="C725" s="37">
        <v>46246</v>
      </c>
      <c r="D725" s="34" t="s">
        <v>17</v>
      </c>
      <c r="E725" s="41">
        <v>1792</v>
      </c>
      <c r="F725" s="33">
        <v>0.58531599999999995</v>
      </c>
      <c r="G725" s="35">
        <v>0.11579100000000001</v>
      </c>
    </row>
    <row r="726" spans="1:7" x14ac:dyDescent="0.3">
      <c r="A726" s="41" t="s">
        <v>63</v>
      </c>
      <c r="B726" s="48" t="s">
        <v>161</v>
      </c>
      <c r="C726" s="37">
        <v>46246</v>
      </c>
      <c r="D726" s="34" t="s">
        <v>18</v>
      </c>
      <c r="E726" s="41">
        <v>1878</v>
      </c>
      <c r="F726" s="33">
        <v>0.16364400000000001</v>
      </c>
      <c r="G726" s="35">
        <v>3.3919999999999999E-2</v>
      </c>
    </row>
    <row r="727" spans="1:7" x14ac:dyDescent="0.3">
      <c r="A727" s="41" t="s">
        <v>63</v>
      </c>
      <c r="B727" s="48" t="s">
        <v>161</v>
      </c>
      <c r="C727" s="37">
        <v>46246</v>
      </c>
      <c r="D727" s="34" t="s">
        <v>19</v>
      </c>
      <c r="E727" s="41">
        <v>1834</v>
      </c>
      <c r="F727" s="33">
        <v>0.46961199999999997</v>
      </c>
      <c r="G727" s="35">
        <v>9.8766300000000001E-2</v>
      </c>
    </row>
    <row r="728" spans="1:7" x14ac:dyDescent="0.3">
      <c r="A728" s="41" t="s">
        <v>63</v>
      </c>
      <c r="B728" s="48" t="s">
        <v>161</v>
      </c>
      <c r="C728" s="37">
        <v>46246</v>
      </c>
      <c r="D728" s="34" t="s">
        <v>20</v>
      </c>
      <c r="E728" s="41">
        <v>1727</v>
      </c>
      <c r="F728" s="33">
        <v>0.32391799999999998</v>
      </c>
      <c r="G728" s="35">
        <v>6.0721600000000001E-2</v>
      </c>
    </row>
    <row r="729" spans="1:7" x14ac:dyDescent="0.3">
      <c r="A729" s="41" t="s">
        <v>63</v>
      </c>
      <c r="B729" s="48" t="s">
        <v>161</v>
      </c>
      <c r="C729" s="37">
        <v>46246</v>
      </c>
      <c r="D729" s="34" t="s">
        <v>34</v>
      </c>
      <c r="E729" s="41">
        <v>1059</v>
      </c>
      <c r="F729" s="33">
        <v>0.226912</v>
      </c>
      <c r="G729" s="35">
        <v>6.0845000000000003E-2</v>
      </c>
    </row>
    <row r="730" spans="1:7" x14ac:dyDescent="0.3">
      <c r="A730" s="41" t="s">
        <v>63</v>
      </c>
      <c r="B730" s="48" t="s">
        <v>161</v>
      </c>
      <c r="C730" s="37">
        <v>46246</v>
      </c>
      <c r="D730" s="34" t="s">
        <v>21</v>
      </c>
      <c r="E730" s="41">
        <v>2613</v>
      </c>
      <c r="F730" s="33">
        <v>0.36061500000000002</v>
      </c>
      <c r="G730" s="35">
        <v>7.9269400000000004E-2</v>
      </c>
    </row>
    <row r="731" spans="1:7" x14ac:dyDescent="0.3">
      <c r="A731" s="41" t="s">
        <v>63</v>
      </c>
      <c r="B731" s="48" t="s">
        <v>161</v>
      </c>
      <c r="C731" s="37">
        <v>46246</v>
      </c>
      <c r="D731" s="34" t="s">
        <v>22</v>
      </c>
      <c r="E731" s="41">
        <v>1736</v>
      </c>
      <c r="F731" s="33">
        <v>0.29386699999999999</v>
      </c>
      <c r="G731" s="35">
        <v>8.3243899999999996E-2</v>
      </c>
    </row>
    <row r="732" spans="1:7" x14ac:dyDescent="0.3">
      <c r="A732" s="41" t="s">
        <v>63</v>
      </c>
      <c r="B732" s="48" t="s">
        <v>161</v>
      </c>
      <c r="C732" s="37">
        <v>46246</v>
      </c>
      <c r="D732" s="34" t="s">
        <v>23</v>
      </c>
      <c r="E732" s="41">
        <v>1003</v>
      </c>
      <c r="F732" s="33">
        <v>0.23644599999999999</v>
      </c>
      <c r="G732" s="35">
        <v>7.6467800000000002E-2</v>
      </c>
    </row>
    <row r="733" spans="1:7" x14ac:dyDescent="0.3">
      <c r="A733" s="41" t="s">
        <v>63</v>
      </c>
      <c r="B733" s="48" t="s">
        <v>161</v>
      </c>
      <c r="C733" s="37">
        <v>46246</v>
      </c>
      <c r="D733" s="34" t="s">
        <v>24</v>
      </c>
      <c r="E733" s="41">
        <v>1514</v>
      </c>
      <c r="F733" s="33">
        <v>0.25357099999999999</v>
      </c>
      <c r="G733" s="35">
        <v>8.6459300000000003E-2</v>
      </c>
    </row>
    <row r="734" spans="1:7" x14ac:dyDescent="0.3">
      <c r="A734" s="41" t="s">
        <v>63</v>
      </c>
      <c r="B734" s="48" t="s">
        <v>161</v>
      </c>
      <c r="C734" s="37">
        <v>46246</v>
      </c>
      <c r="D734" s="34" t="s">
        <v>25</v>
      </c>
      <c r="E734" s="41">
        <v>1060</v>
      </c>
      <c r="F734" s="33">
        <v>0.15177499999999999</v>
      </c>
      <c r="G734" s="35">
        <v>4.16908E-2</v>
      </c>
    </row>
    <row r="735" spans="1:7" x14ac:dyDescent="0.3">
      <c r="A735" s="41" t="s">
        <v>63</v>
      </c>
      <c r="B735" s="48" t="s">
        <v>161</v>
      </c>
      <c r="C735" s="37">
        <v>46246</v>
      </c>
      <c r="D735" s="34" t="s">
        <v>26</v>
      </c>
      <c r="E735" s="41">
        <v>1612</v>
      </c>
      <c r="F735" s="33">
        <v>0.18143899999999999</v>
      </c>
      <c r="G735" s="35">
        <v>5.5553499999999999E-2</v>
      </c>
    </row>
    <row r="736" spans="1:7" x14ac:dyDescent="0.3">
      <c r="A736" s="41" t="s">
        <v>63</v>
      </c>
      <c r="B736" s="48" t="s">
        <v>161</v>
      </c>
      <c r="C736" s="37">
        <v>46246</v>
      </c>
      <c r="D736" s="34" t="s">
        <v>27</v>
      </c>
      <c r="E736" s="41">
        <v>1281</v>
      </c>
      <c r="F736" s="33">
        <v>0.29200999999999999</v>
      </c>
      <c r="G736" s="35">
        <v>7.7029700000000006E-2</v>
      </c>
    </row>
    <row r="737" spans="1:7" x14ac:dyDescent="0.3">
      <c r="A737" s="41" t="s">
        <v>63</v>
      </c>
      <c r="B737" s="48" t="s">
        <v>161</v>
      </c>
      <c r="C737" s="37">
        <v>46246</v>
      </c>
      <c r="D737" s="34" t="s">
        <v>28</v>
      </c>
      <c r="E737" s="41">
        <v>1082</v>
      </c>
      <c r="F737" s="33">
        <v>0.23838000000000001</v>
      </c>
      <c r="G737" s="35">
        <v>6.1297200000000003E-2</v>
      </c>
    </row>
    <row r="738" spans="1:7" x14ac:dyDescent="0.3">
      <c r="A738" s="41" t="s">
        <v>63</v>
      </c>
      <c r="B738" s="48" t="s">
        <v>161</v>
      </c>
      <c r="C738" s="37">
        <v>46246</v>
      </c>
      <c r="D738" s="34" t="s">
        <v>29</v>
      </c>
      <c r="E738" s="41">
        <v>1431</v>
      </c>
      <c r="F738" s="33">
        <v>0.35574600000000001</v>
      </c>
      <c r="G738" s="35">
        <v>7.3671600000000004E-2</v>
      </c>
    </row>
    <row r="739" spans="1:7" x14ac:dyDescent="0.3">
      <c r="A739" s="41" t="s">
        <v>63</v>
      </c>
      <c r="B739" s="48" t="s">
        <v>161</v>
      </c>
      <c r="C739" s="37">
        <v>46246</v>
      </c>
      <c r="D739" s="34" t="s">
        <v>30</v>
      </c>
      <c r="E739" s="41">
        <v>1486</v>
      </c>
      <c r="F739" s="33">
        <v>0.35761399999999999</v>
      </c>
      <c r="G739" s="35">
        <v>7.8656400000000001E-2</v>
      </c>
    </row>
    <row r="740" spans="1:7" x14ac:dyDescent="0.3">
      <c r="A740" s="41" t="s">
        <v>63</v>
      </c>
      <c r="B740" s="48" t="s">
        <v>134</v>
      </c>
      <c r="C740" s="37">
        <v>46245</v>
      </c>
      <c r="D740" s="34" t="s">
        <v>14</v>
      </c>
      <c r="E740" s="41">
        <v>2365</v>
      </c>
      <c r="F740" s="33">
        <v>0.47478999999999999</v>
      </c>
      <c r="G740" s="35">
        <v>0.13347899999999999</v>
      </c>
    </row>
    <row r="741" spans="1:7" x14ac:dyDescent="0.3">
      <c r="A741" s="41" t="s">
        <v>63</v>
      </c>
      <c r="B741" s="48" t="s">
        <v>134</v>
      </c>
      <c r="C741" s="37">
        <v>46245</v>
      </c>
      <c r="D741" s="34" t="s">
        <v>15</v>
      </c>
      <c r="E741" s="41">
        <v>1794</v>
      </c>
      <c r="F741" s="33">
        <v>0.51187700000000003</v>
      </c>
      <c r="G741" s="35">
        <v>0.13488800000000001</v>
      </c>
    </row>
    <row r="742" spans="1:7" x14ac:dyDescent="0.3">
      <c r="A742" s="41" t="s">
        <v>63</v>
      </c>
      <c r="B742" s="48" t="s">
        <v>134</v>
      </c>
      <c r="C742" s="37">
        <v>46245</v>
      </c>
      <c r="D742" s="34" t="s">
        <v>16</v>
      </c>
      <c r="E742" s="41">
        <v>1001</v>
      </c>
      <c r="F742" s="33">
        <v>0.56062400000000001</v>
      </c>
      <c r="G742" s="35">
        <v>0.13152700000000001</v>
      </c>
    </row>
    <row r="743" spans="1:7" x14ac:dyDescent="0.3">
      <c r="A743" s="41" t="s">
        <v>63</v>
      </c>
      <c r="B743" s="48" t="s">
        <v>134</v>
      </c>
      <c r="C743" s="37">
        <v>46245</v>
      </c>
      <c r="D743" s="34" t="s">
        <v>17</v>
      </c>
      <c r="E743" s="41">
        <v>1623</v>
      </c>
      <c r="F743" s="33">
        <v>0.43410199999999999</v>
      </c>
      <c r="G743" s="35">
        <v>8.5828100000000004E-2</v>
      </c>
    </row>
    <row r="744" spans="1:7" x14ac:dyDescent="0.3">
      <c r="A744" s="41" t="s">
        <v>63</v>
      </c>
      <c r="B744" s="48" t="s">
        <v>134</v>
      </c>
      <c r="C744" s="37">
        <v>46245</v>
      </c>
      <c r="D744" s="34" t="s">
        <v>18</v>
      </c>
      <c r="E744" s="41">
        <v>1298</v>
      </c>
      <c r="F744" s="33">
        <v>0.37738500000000003</v>
      </c>
      <c r="G744" s="35">
        <v>8.9770000000000003E-2</v>
      </c>
    </row>
    <row r="745" spans="1:7" x14ac:dyDescent="0.3">
      <c r="A745" s="41" t="s">
        <v>63</v>
      </c>
      <c r="B745" s="48" t="s">
        <v>134</v>
      </c>
      <c r="C745" s="37">
        <v>46245</v>
      </c>
      <c r="D745" s="34" t="s">
        <v>19</v>
      </c>
      <c r="E745" s="41">
        <v>1152</v>
      </c>
      <c r="F745" s="33">
        <v>0.57615300000000003</v>
      </c>
      <c r="G745" s="35">
        <v>0.121161</v>
      </c>
    </row>
    <row r="746" spans="1:7" x14ac:dyDescent="0.3">
      <c r="A746" s="41" t="s">
        <v>63</v>
      </c>
      <c r="B746" s="48" t="s">
        <v>134</v>
      </c>
      <c r="C746" s="37">
        <v>46245</v>
      </c>
      <c r="D746" s="34" t="s">
        <v>20</v>
      </c>
      <c r="E746" s="41">
        <v>1037</v>
      </c>
      <c r="F746" s="33">
        <v>0.58007799999999998</v>
      </c>
      <c r="G746" s="35">
        <v>0.121346</v>
      </c>
    </row>
    <row r="747" spans="1:7" x14ac:dyDescent="0.3">
      <c r="A747" s="41" t="s">
        <v>63</v>
      </c>
      <c r="B747" s="48" t="s">
        <v>134</v>
      </c>
      <c r="C747" s="37">
        <v>46245</v>
      </c>
      <c r="D747" s="34" t="s">
        <v>34</v>
      </c>
      <c r="E747" s="41">
        <v>1238</v>
      </c>
      <c r="F747" s="33">
        <v>0.21996299999999999</v>
      </c>
      <c r="G747" s="35">
        <v>6.6624699999999995E-2</v>
      </c>
    </row>
    <row r="748" spans="1:7" x14ac:dyDescent="0.3">
      <c r="A748" s="41" t="s">
        <v>63</v>
      </c>
      <c r="B748" s="48" t="s">
        <v>134</v>
      </c>
      <c r="C748" s="37">
        <v>46245</v>
      </c>
      <c r="D748" s="34" t="s">
        <v>21</v>
      </c>
      <c r="E748" s="41">
        <v>1963</v>
      </c>
      <c r="F748" s="33">
        <v>0.55201299999999998</v>
      </c>
      <c r="G748" s="35">
        <v>0.107331</v>
      </c>
    </row>
    <row r="749" spans="1:7" x14ac:dyDescent="0.3">
      <c r="A749" s="41" t="s">
        <v>63</v>
      </c>
      <c r="B749" s="48" t="s">
        <v>134</v>
      </c>
      <c r="C749" s="37">
        <v>46245</v>
      </c>
      <c r="D749" s="34" t="s">
        <v>22</v>
      </c>
      <c r="E749" s="41">
        <v>2056</v>
      </c>
      <c r="F749" s="33">
        <v>0.352099</v>
      </c>
      <c r="G749" s="35">
        <v>9.5616199999999998E-2</v>
      </c>
    </row>
    <row r="750" spans="1:7" x14ac:dyDescent="0.3">
      <c r="A750" s="41" t="s">
        <v>63</v>
      </c>
      <c r="B750" s="48" t="s">
        <v>134</v>
      </c>
      <c r="C750" s="37">
        <v>46245</v>
      </c>
      <c r="D750" s="34" t="s">
        <v>23</v>
      </c>
      <c r="E750" s="41">
        <v>1672</v>
      </c>
      <c r="F750" s="33">
        <v>0.37148199999999998</v>
      </c>
      <c r="G750" s="35">
        <v>0.121811</v>
      </c>
    </row>
    <row r="751" spans="1:7" x14ac:dyDescent="0.3">
      <c r="A751" s="41" t="s">
        <v>63</v>
      </c>
      <c r="B751" s="48" t="s">
        <v>134</v>
      </c>
      <c r="C751" s="37">
        <v>46245</v>
      </c>
      <c r="D751" s="34" t="s">
        <v>24</v>
      </c>
      <c r="E751" s="41">
        <v>2539</v>
      </c>
      <c r="F751" s="33">
        <v>0.35958499999999999</v>
      </c>
      <c r="G751" s="35">
        <v>0.110737</v>
      </c>
    </row>
    <row r="752" spans="1:7" x14ac:dyDescent="0.3">
      <c r="A752" s="41" t="s">
        <v>63</v>
      </c>
      <c r="B752" s="48" t="s">
        <v>134</v>
      </c>
      <c r="C752" s="37">
        <v>46245</v>
      </c>
      <c r="D752" s="34" t="s">
        <v>25</v>
      </c>
      <c r="E752" s="41">
        <v>1143</v>
      </c>
      <c r="F752" s="33">
        <v>0.239338</v>
      </c>
      <c r="G752" s="35">
        <v>5.7532100000000003E-2</v>
      </c>
    </row>
    <row r="753" spans="1:7" x14ac:dyDescent="0.3">
      <c r="A753" s="41" t="s">
        <v>63</v>
      </c>
      <c r="B753" s="48" t="s">
        <v>134</v>
      </c>
      <c r="C753" s="37">
        <v>46245</v>
      </c>
      <c r="D753" s="34" t="s">
        <v>26</v>
      </c>
      <c r="E753" s="41">
        <v>2126</v>
      </c>
      <c r="F753" s="33">
        <v>0.33723999999999998</v>
      </c>
      <c r="G753" s="35">
        <v>0.108422</v>
      </c>
    </row>
    <row r="754" spans="1:7" x14ac:dyDescent="0.3">
      <c r="A754" s="41" t="s">
        <v>63</v>
      </c>
      <c r="B754" s="48" t="s">
        <v>134</v>
      </c>
      <c r="C754" s="37">
        <v>46245</v>
      </c>
      <c r="D754" s="34" t="s">
        <v>27</v>
      </c>
      <c r="E754" s="41">
        <v>1522</v>
      </c>
      <c r="F754" s="33">
        <v>0.57413099999999995</v>
      </c>
      <c r="G754" s="35">
        <v>0.130158</v>
      </c>
    </row>
    <row r="755" spans="1:7" x14ac:dyDescent="0.3">
      <c r="A755" s="41" t="s">
        <v>63</v>
      </c>
      <c r="B755" s="48" t="s">
        <v>134</v>
      </c>
      <c r="C755" s="37">
        <v>46245</v>
      </c>
      <c r="D755" s="34" t="s">
        <v>28</v>
      </c>
      <c r="E755" s="41">
        <v>1547</v>
      </c>
      <c r="F755" s="33">
        <v>0.49929699999999999</v>
      </c>
      <c r="G755" s="35">
        <v>0.112082</v>
      </c>
    </row>
    <row r="756" spans="1:7" x14ac:dyDescent="0.3">
      <c r="A756" s="41" t="s">
        <v>63</v>
      </c>
      <c r="B756" s="48" t="s">
        <v>134</v>
      </c>
      <c r="C756" s="37">
        <v>46245</v>
      </c>
      <c r="D756" s="34" t="s">
        <v>29</v>
      </c>
      <c r="E756" s="41">
        <v>1073</v>
      </c>
      <c r="F756" s="33">
        <v>0.42072199999999998</v>
      </c>
      <c r="G756" s="35">
        <v>8.7061399999999997E-2</v>
      </c>
    </row>
    <row r="757" spans="1:7" x14ac:dyDescent="0.3">
      <c r="A757" s="41" t="s">
        <v>63</v>
      </c>
      <c r="B757" s="48" t="s">
        <v>134</v>
      </c>
      <c r="C757" s="37">
        <v>46245</v>
      </c>
      <c r="D757" s="34" t="s">
        <v>30</v>
      </c>
      <c r="E757" s="41">
        <v>1121</v>
      </c>
      <c r="F757" s="33">
        <v>0.43172300000000002</v>
      </c>
      <c r="G757" s="35">
        <v>8.6823600000000001E-2</v>
      </c>
    </row>
    <row r="758" spans="1:7" x14ac:dyDescent="0.3">
      <c r="A758" s="41" t="s">
        <v>63</v>
      </c>
      <c r="B758" s="48" t="s">
        <v>137</v>
      </c>
      <c r="C758" s="37">
        <v>46245</v>
      </c>
      <c r="D758" s="34" t="s">
        <v>14</v>
      </c>
      <c r="E758" s="41">
        <v>2126</v>
      </c>
      <c r="F758" s="33">
        <v>0.48974200000000001</v>
      </c>
      <c r="G758" s="35">
        <v>0.137686</v>
      </c>
    </row>
    <row r="759" spans="1:7" x14ac:dyDescent="0.3">
      <c r="A759" s="41" t="s">
        <v>63</v>
      </c>
      <c r="B759" s="48" t="s">
        <v>137</v>
      </c>
      <c r="C759" s="37">
        <v>46245</v>
      </c>
      <c r="D759" s="34" t="s">
        <v>15</v>
      </c>
      <c r="E759" s="41">
        <v>1831</v>
      </c>
      <c r="F759" s="33">
        <v>0.50505</v>
      </c>
      <c r="G759" s="35">
        <v>0.13303000000000001</v>
      </c>
    </row>
    <row r="760" spans="1:7" x14ac:dyDescent="0.3">
      <c r="A760" s="41" t="s">
        <v>63</v>
      </c>
      <c r="B760" s="48" t="s">
        <v>137</v>
      </c>
      <c r="C760" s="37">
        <v>46245</v>
      </c>
      <c r="D760" s="34" t="s">
        <v>16</v>
      </c>
      <c r="E760" s="41">
        <v>1259</v>
      </c>
      <c r="F760" s="33">
        <v>0.47675800000000002</v>
      </c>
      <c r="G760" s="35">
        <v>0.111835</v>
      </c>
    </row>
    <row r="761" spans="1:7" x14ac:dyDescent="0.3">
      <c r="A761" s="41" t="s">
        <v>63</v>
      </c>
      <c r="B761" s="48" t="s">
        <v>137</v>
      </c>
      <c r="C761" s="37">
        <v>46245</v>
      </c>
      <c r="D761" s="34" t="s">
        <v>17</v>
      </c>
      <c r="E761" s="41">
        <v>1485</v>
      </c>
      <c r="F761" s="33">
        <v>0.493784</v>
      </c>
      <c r="G761" s="35">
        <v>9.7624900000000001E-2</v>
      </c>
    </row>
    <row r="762" spans="1:7" x14ac:dyDescent="0.3">
      <c r="A762" s="41" t="s">
        <v>63</v>
      </c>
      <c r="B762" s="48" t="s">
        <v>137</v>
      </c>
      <c r="C762" s="37">
        <v>46245</v>
      </c>
      <c r="D762" s="34" t="s">
        <v>18</v>
      </c>
      <c r="E762" s="41">
        <v>1386</v>
      </c>
      <c r="F762" s="33">
        <v>0.33268900000000001</v>
      </c>
      <c r="G762" s="35">
        <v>7.9132800000000003E-2</v>
      </c>
    </row>
    <row r="763" spans="1:7" x14ac:dyDescent="0.3">
      <c r="A763" s="41" t="s">
        <v>63</v>
      </c>
      <c r="B763" s="48" t="s">
        <v>137</v>
      </c>
      <c r="C763" s="37">
        <v>46245</v>
      </c>
      <c r="D763" s="34" t="s">
        <v>19</v>
      </c>
      <c r="E763" s="41">
        <v>1130</v>
      </c>
      <c r="F763" s="33">
        <v>0.46600799999999998</v>
      </c>
      <c r="G763" s="35">
        <v>9.80235E-2</v>
      </c>
    </row>
    <row r="764" spans="1:7" x14ac:dyDescent="0.3">
      <c r="A764" s="41" t="s">
        <v>63</v>
      </c>
      <c r="B764" s="48" t="s">
        <v>137</v>
      </c>
      <c r="C764" s="37">
        <v>46245</v>
      </c>
      <c r="D764" s="34" t="s">
        <v>20</v>
      </c>
      <c r="E764" s="41">
        <v>1106</v>
      </c>
      <c r="F764" s="33">
        <v>0.49461899999999998</v>
      </c>
      <c r="G764" s="35">
        <v>0.103464</v>
      </c>
    </row>
    <row r="765" spans="1:7" x14ac:dyDescent="0.3">
      <c r="A765" s="41" t="s">
        <v>63</v>
      </c>
      <c r="B765" s="48" t="s">
        <v>137</v>
      </c>
      <c r="C765" s="37">
        <v>46245</v>
      </c>
      <c r="D765" s="34" t="s">
        <v>34</v>
      </c>
      <c r="E765" s="41">
        <v>1331</v>
      </c>
      <c r="F765" s="33">
        <v>0.244757</v>
      </c>
      <c r="G765" s="35">
        <v>7.4161099999999994E-2</v>
      </c>
    </row>
    <row r="766" spans="1:7" x14ac:dyDescent="0.3">
      <c r="A766" s="41" t="s">
        <v>63</v>
      </c>
      <c r="B766" s="48" t="s">
        <v>137</v>
      </c>
      <c r="C766" s="37">
        <v>46245</v>
      </c>
      <c r="D766" s="34" t="s">
        <v>21</v>
      </c>
      <c r="E766" s="41">
        <v>1845</v>
      </c>
      <c r="F766" s="33">
        <v>0.52579100000000001</v>
      </c>
      <c r="G766" s="35">
        <v>0.10224</v>
      </c>
    </row>
    <row r="767" spans="1:7" x14ac:dyDescent="0.3">
      <c r="A767" s="41" t="s">
        <v>63</v>
      </c>
      <c r="B767" s="48" t="s">
        <v>137</v>
      </c>
      <c r="C767" s="37">
        <v>46245</v>
      </c>
      <c r="D767" s="34" t="s">
        <v>22</v>
      </c>
      <c r="E767" s="41">
        <v>1721</v>
      </c>
      <c r="F767" s="33">
        <v>0.352551</v>
      </c>
      <c r="G767" s="35">
        <v>9.5748100000000003E-2</v>
      </c>
    </row>
    <row r="768" spans="1:7" x14ac:dyDescent="0.3">
      <c r="A768" s="41" t="s">
        <v>63</v>
      </c>
      <c r="B768" s="48" t="s">
        <v>137</v>
      </c>
      <c r="C768" s="37">
        <v>46245</v>
      </c>
      <c r="D768" s="34" t="s">
        <v>23</v>
      </c>
      <c r="E768" s="41">
        <v>1567</v>
      </c>
      <c r="F768" s="33">
        <v>0.44954699999999997</v>
      </c>
      <c r="G768" s="35">
        <v>0.147393</v>
      </c>
    </row>
    <row r="769" spans="1:7" x14ac:dyDescent="0.3">
      <c r="A769" s="41" t="s">
        <v>63</v>
      </c>
      <c r="B769" s="48" t="s">
        <v>137</v>
      </c>
      <c r="C769" s="37">
        <v>46245</v>
      </c>
      <c r="D769" s="34" t="s">
        <v>24</v>
      </c>
      <c r="E769" s="41">
        <v>2351</v>
      </c>
      <c r="F769" s="33">
        <v>0.32375900000000002</v>
      </c>
      <c r="G769" s="35">
        <v>9.9718899999999999E-2</v>
      </c>
    </row>
    <row r="770" spans="1:7" x14ac:dyDescent="0.3">
      <c r="A770" s="41" t="s">
        <v>63</v>
      </c>
      <c r="B770" s="48" t="s">
        <v>137</v>
      </c>
      <c r="C770" s="37">
        <v>46245</v>
      </c>
      <c r="D770" s="34" t="s">
        <v>25</v>
      </c>
      <c r="E770" s="41">
        <v>1120</v>
      </c>
      <c r="F770" s="33">
        <v>0.28159499999999998</v>
      </c>
      <c r="G770" s="35">
        <v>6.7692199999999994E-2</v>
      </c>
    </row>
    <row r="771" spans="1:7" x14ac:dyDescent="0.3">
      <c r="A771" s="41" t="s">
        <v>63</v>
      </c>
      <c r="B771" s="48" t="s">
        <v>137</v>
      </c>
      <c r="C771" s="37">
        <v>46245</v>
      </c>
      <c r="D771" s="34" t="s">
        <v>26</v>
      </c>
      <c r="E771" s="41">
        <v>1852</v>
      </c>
      <c r="F771" s="33">
        <v>0.348329</v>
      </c>
      <c r="G771" s="35">
        <v>0.112027</v>
      </c>
    </row>
    <row r="772" spans="1:7" x14ac:dyDescent="0.3">
      <c r="A772" s="41" t="s">
        <v>63</v>
      </c>
      <c r="B772" s="48" t="s">
        <v>137</v>
      </c>
      <c r="C772" s="37">
        <v>46245</v>
      </c>
      <c r="D772" s="34" t="s">
        <v>27</v>
      </c>
      <c r="E772" s="41">
        <v>1351</v>
      </c>
      <c r="F772" s="33">
        <v>0.61059399999999997</v>
      </c>
      <c r="G772" s="35">
        <v>0.13844999999999999</v>
      </c>
    </row>
    <row r="773" spans="1:7" x14ac:dyDescent="0.3">
      <c r="A773" s="41" t="s">
        <v>63</v>
      </c>
      <c r="B773" s="48" t="s">
        <v>137</v>
      </c>
      <c r="C773" s="37">
        <v>46245</v>
      </c>
      <c r="D773" s="34" t="s">
        <v>28</v>
      </c>
      <c r="E773" s="41">
        <v>1308</v>
      </c>
      <c r="F773" s="33">
        <v>0.43242999999999998</v>
      </c>
      <c r="G773" s="35">
        <v>9.7030599999999995E-2</v>
      </c>
    </row>
    <row r="774" spans="1:7" x14ac:dyDescent="0.3">
      <c r="A774" s="41" t="s">
        <v>63</v>
      </c>
      <c r="B774" s="48" t="s">
        <v>137</v>
      </c>
      <c r="C774" s="37">
        <v>46245</v>
      </c>
      <c r="D774" s="34" t="s">
        <v>29</v>
      </c>
      <c r="E774" s="41">
        <v>1196</v>
      </c>
      <c r="F774" s="33">
        <v>0.39591999999999999</v>
      </c>
      <c r="G774" s="35">
        <v>8.1948599999999996E-2</v>
      </c>
    </row>
    <row r="775" spans="1:7" x14ac:dyDescent="0.3">
      <c r="A775" s="41" t="s">
        <v>63</v>
      </c>
      <c r="B775" s="48" t="s">
        <v>137</v>
      </c>
      <c r="C775" s="37">
        <v>46245</v>
      </c>
      <c r="D775" s="34" t="s">
        <v>30</v>
      </c>
      <c r="E775" s="41">
        <v>1003</v>
      </c>
      <c r="F775" s="33">
        <v>0.365234</v>
      </c>
      <c r="G775" s="35">
        <v>7.3456400000000005E-2</v>
      </c>
    </row>
    <row r="776" spans="1:7" x14ac:dyDescent="0.3">
      <c r="A776" s="41" t="s">
        <v>63</v>
      </c>
      <c r="B776" s="48" t="s">
        <v>138</v>
      </c>
      <c r="C776" s="37">
        <v>46245</v>
      </c>
      <c r="D776" s="34" t="s">
        <v>14</v>
      </c>
      <c r="E776" s="41">
        <v>1932</v>
      </c>
      <c r="F776" s="33">
        <v>0.46178799999999998</v>
      </c>
      <c r="G776" s="35">
        <v>0.12984799999999999</v>
      </c>
    </row>
    <row r="777" spans="1:7" x14ac:dyDescent="0.3">
      <c r="A777" s="41" t="s">
        <v>63</v>
      </c>
      <c r="B777" s="48" t="s">
        <v>138</v>
      </c>
      <c r="C777" s="37">
        <v>46245</v>
      </c>
      <c r="D777" s="34" t="s">
        <v>15</v>
      </c>
      <c r="E777" s="41">
        <v>1648</v>
      </c>
      <c r="F777" s="33">
        <v>0.45823799999999998</v>
      </c>
      <c r="G777" s="35">
        <v>0.120729</v>
      </c>
    </row>
    <row r="778" spans="1:7" x14ac:dyDescent="0.3">
      <c r="A778" s="41" t="s">
        <v>63</v>
      </c>
      <c r="B778" s="48" t="s">
        <v>138</v>
      </c>
      <c r="C778" s="37">
        <v>46245</v>
      </c>
      <c r="D778" s="34" t="s">
        <v>16</v>
      </c>
      <c r="E778" s="41">
        <v>1204</v>
      </c>
      <c r="F778" s="33">
        <v>0.44695000000000001</v>
      </c>
      <c r="G778" s="35">
        <v>0.10484</v>
      </c>
    </row>
    <row r="779" spans="1:7" x14ac:dyDescent="0.3">
      <c r="A779" s="41" t="s">
        <v>63</v>
      </c>
      <c r="B779" s="48" t="s">
        <v>138</v>
      </c>
      <c r="C779" s="37">
        <v>46245</v>
      </c>
      <c r="D779" s="34" t="s">
        <v>17</v>
      </c>
      <c r="E779" s="41">
        <v>1675</v>
      </c>
      <c r="F779" s="33">
        <v>0.430647</v>
      </c>
      <c r="G779" s="35">
        <v>8.5158300000000006E-2</v>
      </c>
    </row>
    <row r="780" spans="1:7" x14ac:dyDescent="0.3">
      <c r="A780" s="41" t="s">
        <v>63</v>
      </c>
      <c r="B780" s="48" t="s">
        <v>138</v>
      </c>
      <c r="C780" s="37">
        <v>46245</v>
      </c>
      <c r="D780" s="34" t="s">
        <v>18</v>
      </c>
      <c r="E780" s="41">
        <v>1384</v>
      </c>
      <c r="F780" s="33">
        <v>0.28395599999999999</v>
      </c>
      <c r="G780" s="35">
        <v>6.7535499999999998E-2</v>
      </c>
    </row>
    <row r="781" spans="1:7" x14ac:dyDescent="0.3">
      <c r="A781" s="41" t="s">
        <v>63</v>
      </c>
      <c r="B781" s="48" t="s">
        <v>138</v>
      </c>
      <c r="C781" s="37">
        <v>46245</v>
      </c>
      <c r="D781" s="34" t="s">
        <v>19</v>
      </c>
      <c r="E781" s="41">
        <v>1209</v>
      </c>
      <c r="F781" s="33">
        <v>0.39530500000000002</v>
      </c>
      <c r="G781" s="35">
        <v>8.3150699999999994E-2</v>
      </c>
    </row>
    <row r="782" spans="1:7" x14ac:dyDescent="0.3">
      <c r="A782" s="41" t="s">
        <v>63</v>
      </c>
      <c r="B782" s="48" t="s">
        <v>138</v>
      </c>
      <c r="C782" s="37">
        <v>46245</v>
      </c>
      <c r="D782" s="34" t="s">
        <v>20</v>
      </c>
      <c r="E782" s="41">
        <v>1011</v>
      </c>
      <c r="F782" s="33">
        <v>0.437282</v>
      </c>
      <c r="G782" s="35">
        <v>9.1481900000000005E-2</v>
      </c>
    </row>
    <row r="783" spans="1:7" x14ac:dyDescent="0.3">
      <c r="A783" s="41" t="s">
        <v>63</v>
      </c>
      <c r="B783" s="48" t="s">
        <v>138</v>
      </c>
      <c r="C783" s="37">
        <v>46245</v>
      </c>
      <c r="D783" s="34" t="s">
        <v>34</v>
      </c>
      <c r="E783" s="41">
        <v>1267</v>
      </c>
      <c r="F783" s="33">
        <v>0.31335200000000002</v>
      </c>
      <c r="G783" s="35">
        <v>9.4975599999999993E-2</v>
      </c>
    </row>
    <row r="784" spans="1:7" x14ac:dyDescent="0.3">
      <c r="A784" s="41" t="s">
        <v>63</v>
      </c>
      <c r="B784" s="48" t="s">
        <v>138</v>
      </c>
      <c r="C784" s="37">
        <v>46245</v>
      </c>
      <c r="D784" s="34" t="s">
        <v>21</v>
      </c>
      <c r="E784" s="41">
        <v>2216</v>
      </c>
      <c r="F784" s="33">
        <v>0.49553799999999998</v>
      </c>
      <c r="G784" s="35">
        <v>9.6340499999999996E-2</v>
      </c>
    </row>
    <row r="785" spans="1:7" x14ac:dyDescent="0.3">
      <c r="A785" s="41" t="s">
        <v>63</v>
      </c>
      <c r="B785" s="48" t="s">
        <v>138</v>
      </c>
      <c r="C785" s="37">
        <v>46245</v>
      </c>
      <c r="D785" s="34" t="s">
        <v>22</v>
      </c>
      <c r="E785" s="41">
        <v>1819</v>
      </c>
      <c r="F785" s="33">
        <v>0.31882199999999999</v>
      </c>
      <c r="G785" s="35">
        <v>8.6580799999999999E-2</v>
      </c>
    </row>
    <row r="786" spans="1:7" x14ac:dyDescent="0.3">
      <c r="A786" s="41" t="s">
        <v>63</v>
      </c>
      <c r="B786" s="48" t="s">
        <v>138</v>
      </c>
      <c r="C786" s="37">
        <v>46245</v>
      </c>
      <c r="D786" s="34" t="s">
        <v>23</v>
      </c>
      <c r="E786" s="41">
        <v>1420</v>
      </c>
      <c r="F786" s="33">
        <v>0.35280600000000001</v>
      </c>
      <c r="G786" s="35">
        <v>0.115662</v>
      </c>
    </row>
    <row r="787" spans="1:7" x14ac:dyDescent="0.3">
      <c r="A787" s="41" t="s">
        <v>63</v>
      </c>
      <c r="B787" s="48" t="s">
        <v>138</v>
      </c>
      <c r="C787" s="37">
        <v>46245</v>
      </c>
      <c r="D787" s="34" t="s">
        <v>24</v>
      </c>
      <c r="E787" s="41">
        <v>2129</v>
      </c>
      <c r="F787" s="33">
        <v>0.32616299999999998</v>
      </c>
      <c r="G787" s="35">
        <v>0.10045</v>
      </c>
    </row>
    <row r="788" spans="1:7" x14ac:dyDescent="0.3">
      <c r="A788" s="41" t="s">
        <v>63</v>
      </c>
      <c r="B788" s="48" t="s">
        <v>138</v>
      </c>
      <c r="C788" s="37">
        <v>46245</v>
      </c>
      <c r="D788" s="34" t="s">
        <v>25</v>
      </c>
      <c r="E788" s="41">
        <v>1368</v>
      </c>
      <c r="F788" s="33">
        <v>0.26663900000000001</v>
      </c>
      <c r="G788" s="35">
        <v>6.4111500000000002E-2</v>
      </c>
    </row>
    <row r="789" spans="1:7" x14ac:dyDescent="0.3">
      <c r="A789" s="41" t="s">
        <v>63</v>
      </c>
      <c r="B789" s="48" t="s">
        <v>138</v>
      </c>
      <c r="C789" s="37">
        <v>46245</v>
      </c>
      <c r="D789" s="34" t="s">
        <v>26</v>
      </c>
      <c r="E789" s="41">
        <v>1874</v>
      </c>
      <c r="F789" s="33">
        <v>0.38208199999999998</v>
      </c>
      <c r="G789" s="35">
        <v>0.12284</v>
      </c>
    </row>
    <row r="790" spans="1:7" x14ac:dyDescent="0.3">
      <c r="A790" s="41" t="s">
        <v>63</v>
      </c>
      <c r="B790" s="48" t="s">
        <v>138</v>
      </c>
      <c r="C790" s="37">
        <v>46245</v>
      </c>
      <c r="D790" s="34" t="s">
        <v>27</v>
      </c>
      <c r="E790" s="41">
        <v>1405</v>
      </c>
      <c r="F790" s="33">
        <v>0.56033999999999995</v>
      </c>
      <c r="G790" s="35">
        <v>0.127054</v>
      </c>
    </row>
    <row r="791" spans="1:7" x14ac:dyDescent="0.3">
      <c r="A791" s="41" t="s">
        <v>63</v>
      </c>
      <c r="B791" s="48" t="s">
        <v>138</v>
      </c>
      <c r="C791" s="37">
        <v>46245</v>
      </c>
      <c r="D791" s="34" t="s">
        <v>28</v>
      </c>
      <c r="E791" s="41">
        <v>1056</v>
      </c>
      <c r="F791" s="33">
        <v>0.36146299999999998</v>
      </c>
      <c r="G791" s="35">
        <v>8.1136399999999997E-2</v>
      </c>
    </row>
    <row r="792" spans="1:7" x14ac:dyDescent="0.3">
      <c r="A792" s="41" t="s">
        <v>63</v>
      </c>
      <c r="B792" s="48" t="s">
        <v>138</v>
      </c>
      <c r="C792" s="37">
        <v>46245</v>
      </c>
      <c r="D792" s="34" t="s">
        <v>29</v>
      </c>
      <c r="E792" s="41">
        <v>1223</v>
      </c>
      <c r="F792" s="33">
        <v>0.36522100000000002</v>
      </c>
      <c r="G792" s="35">
        <v>7.5615100000000005E-2</v>
      </c>
    </row>
    <row r="793" spans="1:7" x14ac:dyDescent="0.3">
      <c r="A793" s="41" t="s">
        <v>63</v>
      </c>
      <c r="B793" s="48" t="s">
        <v>138</v>
      </c>
      <c r="C793" s="37">
        <v>46245</v>
      </c>
      <c r="D793" s="34" t="s">
        <v>30</v>
      </c>
      <c r="E793" s="41">
        <v>1003</v>
      </c>
      <c r="F793" s="33">
        <v>0.361711</v>
      </c>
      <c r="G793" s="35">
        <v>7.2772400000000001E-2</v>
      </c>
    </row>
    <row r="794" spans="1:7" x14ac:dyDescent="0.3">
      <c r="A794" s="41" t="s">
        <v>63</v>
      </c>
      <c r="B794" s="48" t="s">
        <v>162</v>
      </c>
      <c r="C794" s="37">
        <v>46246</v>
      </c>
      <c r="D794" s="34" t="s">
        <v>14</v>
      </c>
      <c r="E794" s="41">
        <v>1678</v>
      </c>
      <c r="F794" s="33">
        <v>0.48893999999999999</v>
      </c>
      <c r="G794" s="35">
        <v>0.13750599999999999</v>
      </c>
    </row>
    <row r="795" spans="1:7" x14ac:dyDescent="0.3">
      <c r="A795" s="41" t="s">
        <v>63</v>
      </c>
      <c r="B795" s="48" t="s">
        <v>162</v>
      </c>
      <c r="C795" s="37">
        <v>46246</v>
      </c>
      <c r="D795" s="34" t="s">
        <v>15</v>
      </c>
      <c r="E795" s="41">
        <v>1426</v>
      </c>
      <c r="F795" s="33">
        <v>0.46409400000000001</v>
      </c>
      <c r="G795" s="35">
        <v>0.122299</v>
      </c>
    </row>
    <row r="796" spans="1:7" x14ac:dyDescent="0.3">
      <c r="A796" s="41" t="s">
        <v>63</v>
      </c>
      <c r="B796" s="48" t="s">
        <v>162</v>
      </c>
      <c r="C796" s="37">
        <v>46246</v>
      </c>
      <c r="D796" s="34" t="s">
        <v>16</v>
      </c>
      <c r="E796" s="41">
        <v>1166</v>
      </c>
      <c r="F796" s="33">
        <v>0.435087</v>
      </c>
      <c r="G796" s="35">
        <v>0.102075</v>
      </c>
    </row>
    <row r="797" spans="1:7" x14ac:dyDescent="0.3">
      <c r="A797" s="41" t="s">
        <v>63</v>
      </c>
      <c r="B797" s="48" t="s">
        <v>162</v>
      </c>
      <c r="C797" s="37">
        <v>46246</v>
      </c>
      <c r="D797" s="34" t="s">
        <v>17</v>
      </c>
      <c r="E797" s="41">
        <v>1446</v>
      </c>
      <c r="F797" s="33">
        <v>0.47777799999999998</v>
      </c>
      <c r="G797" s="35">
        <v>9.4541600000000003E-2</v>
      </c>
    </row>
    <row r="798" spans="1:7" x14ac:dyDescent="0.3">
      <c r="A798" s="41" t="s">
        <v>63</v>
      </c>
      <c r="B798" s="48" t="s">
        <v>162</v>
      </c>
      <c r="C798" s="37">
        <v>46246</v>
      </c>
      <c r="D798" s="34" t="s">
        <v>18</v>
      </c>
      <c r="E798" s="41">
        <v>1175</v>
      </c>
      <c r="F798" s="33">
        <v>0.26622299999999999</v>
      </c>
      <c r="G798" s="35">
        <v>6.3335900000000001E-2</v>
      </c>
    </row>
    <row r="799" spans="1:7" x14ac:dyDescent="0.3">
      <c r="A799" s="41" t="s">
        <v>63</v>
      </c>
      <c r="B799" s="48" t="s">
        <v>162</v>
      </c>
      <c r="C799" s="37">
        <v>46246</v>
      </c>
      <c r="D799" s="34" t="s">
        <v>19</v>
      </c>
      <c r="E799" s="41">
        <v>1147</v>
      </c>
      <c r="F799" s="33">
        <v>0.414607</v>
      </c>
      <c r="G799" s="35">
        <v>8.7235800000000002E-2</v>
      </c>
    </row>
    <row r="800" spans="1:7" x14ac:dyDescent="0.3">
      <c r="A800" s="41" t="s">
        <v>63</v>
      </c>
      <c r="B800" s="48" t="s">
        <v>162</v>
      </c>
      <c r="C800" s="37">
        <v>46246</v>
      </c>
      <c r="D800" s="34" t="s">
        <v>20</v>
      </c>
      <c r="E800" s="41">
        <v>1051</v>
      </c>
      <c r="F800" s="33">
        <v>0.44212400000000002</v>
      </c>
      <c r="G800" s="35">
        <v>9.2520699999999997E-2</v>
      </c>
    </row>
    <row r="801" spans="1:7" x14ac:dyDescent="0.3">
      <c r="A801" s="41" t="s">
        <v>63</v>
      </c>
      <c r="B801" s="48" t="s">
        <v>162</v>
      </c>
      <c r="C801" s="37">
        <v>46246</v>
      </c>
      <c r="D801" s="34" t="s">
        <v>34</v>
      </c>
      <c r="E801" s="41">
        <v>1151</v>
      </c>
      <c r="F801" s="33">
        <v>0.242585</v>
      </c>
      <c r="G801" s="35">
        <v>7.3554599999999998E-2</v>
      </c>
    </row>
    <row r="802" spans="1:7" x14ac:dyDescent="0.3">
      <c r="A802" s="41" t="s">
        <v>63</v>
      </c>
      <c r="B802" s="48" t="s">
        <v>162</v>
      </c>
      <c r="C802" s="37">
        <v>46246</v>
      </c>
      <c r="D802" s="34" t="s">
        <v>21</v>
      </c>
      <c r="E802" s="41">
        <v>1953</v>
      </c>
      <c r="F802" s="33">
        <v>0.52327400000000002</v>
      </c>
      <c r="G802" s="35">
        <v>0.101781</v>
      </c>
    </row>
    <row r="803" spans="1:7" x14ac:dyDescent="0.3">
      <c r="A803" s="41" t="s">
        <v>63</v>
      </c>
      <c r="B803" s="48" t="s">
        <v>162</v>
      </c>
      <c r="C803" s="37">
        <v>46246</v>
      </c>
      <c r="D803" s="34" t="s">
        <v>22</v>
      </c>
      <c r="E803" s="41">
        <v>1572</v>
      </c>
      <c r="F803" s="33">
        <v>0.36042400000000002</v>
      </c>
      <c r="G803" s="35">
        <v>9.7908700000000001E-2</v>
      </c>
    </row>
    <row r="804" spans="1:7" x14ac:dyDescent="0.3">
      <c r="A804" s="41" t="s">
        <v>63</v>
      </c>
      <c r="B804" s="48" t="s">
        <v>162</v>
      </c>
      <c r="C804" s="37">
        <v>46246</v>
      </c>
      <c r="D804" s="34" t="s">
        <v>23</v>
      </c>
      <c r="E804" s="41">
        <v>1264</v>
      </c>
      <c r="F804" s="33">
        <v>0.349188</v>
      </c>
      <c r="G804" s="35">
        <v>0.114511</v>
      </c>
    </row>
    <row r="805" spans="1:7" x14ac:dyDescent="0.3">
      <c r="A805" s="41" t="s">
        <v>63</v>
      </c>
      <c r="B805" s="48" t="s">
        <v>162</v>
      </c>
      <c r="C805" s="37">
        <v>46246</v>
      </c>
      <c r="D805" s="34" t="s">
        <v>24</v>
      </c>
      <c r="E805" s="41">
        <v>1753</v>
      </c>
      <c r="F805" s="33">
        <v>0.30294900000000002</v>
      </c>
      <c r="G805" s="35">
        <v>9.3338400000000002E-2</v>
      </c>
    </row>
    <row r="806" spans="1:7" x14ac:dyDescent="0.3">
      <c r="A806" s="41" t="s">
        <v>63</v>
      </c>
      <c r="B806" s="48" t="s">
        <v>162</v>
      </c>
      <c r="C806" s="37">
        <v>46246</v>
      </c>
      <c r="D806" s="34" t="s">
        <v>25</v>
      </c>
      <c r="E806" s="41">
        <v>1142</v>
      </c>
      <c r="F806" s="33">
        <v>0.29338199999999998</v>
      </c>
      <c r="G806" s="35">
        <v>7.0546300000000006E-2</v>
      </c>
    </row>
    <row r="807" spans="1:7" x14ac:dyDescent="0.3">
      <c r="A807" s="41" t="s">
        <v>63</v>
      </c>
      <c r="B807" s="48" t="s">
        <v>162</v>
      </c>
      <c r="C807" s="37">
        <v>46246</v>
      </c>
      <c r="D807" s="34" t="s">
        <v>26</v>
      </c>
      <c r="E807" s="41">
        <v>1448</v>
      </c>
      <c r="F807" s="33">
        <v>0.43177399999999999</v>
      </c>
      <c r="G807" s="35">
        <v>0.13891100000000001</v>
      </c>
    </row>
    <row r="808" spans="1:7" x14ac:dyDescent="0.3">
      <c r="A808" s="41" t="s">
        <v>63</v>
      </c>
      <c r="B808" s="48" t="s">
        <v>162</v>
      </c>
      <c r="C808" s="37">
        <v>46246</v>
      </c>
      <c r="D808" s="34" t="s">
        <v>27</v>
      </c>
      <c r="E808" s="41">
        <v>1254</v>
      </c>
      <c r="F808" s="33">
        <v>0.54694299999999996</v>
      </c>
      <c r="G808" s="35">
        <v>0.124066</v>
      </c>
    </row>
    <row r="809" spans="1:7" x14ac:dyDescent="0.3">
      <c r="A809" s="41" t="s">
        <v>63</v>
      </c>
      <c r="B809" s="48" t="s">
        <v>162</v>
      </c>
      <c r="C809" s="37">
        <v>46246</v>
      </c>
      <c r="D809" s="34" t="s">
        <v>28</v>
      </c>
      <c r="E809" s="41">
        <v>1015</v>
      </c>
      <c r="F809" s="33">
        <v>0.41905300000000001</v>
      </c>
      <c r="G809" s="35">
        <v>9.4061800000000001E-2</v>
      </c>
    </row>
    <row r="810" spans="1:7" x14ac:dyDescent="0.3">
      <c r="A810" s="41" t="s">
        <v>63</v>
      </c>
      <c r="B810" s="48" t="s">
        <v>162</v>
      </c>
      <c r="C810" s="37">
        <v>46246</v>
      </c>
      <c r="D810" s="34" t="s">
        <v>29</v>
      </c>
      <c r="E810" s="41">
        <v>1183</v>
      </c>
      <c r="F810" s="33">
        <v>0.40120899999999998</v>
      </c>
      <c r="G810" s="35">
        <v>8.3087800000000003E-2</v>
      </c>
    </row>
    <row r="811" spans="1:7" x14ac:dyDescent="0.3">
      <c r="A811" s="41" t="s">
        <v>63</v>
      </c>
      <c r="B811" s="48" t="s">
        <v>162</v>
      </c>
      <c r="C811" s="37">
        <v>46246</v>
      </c>
      <c r="D811" s="34" t="s">
        <v>30</v>
      </c>
      <c r="E811" s="41">
        <v>1002</v>
      </c>
      <c r="F811" s="33">
        <v>0.43513600000000002</v>
      </c>
      <c r="G811" s="35">
        <v>8.7566599999999994E-2</v>
      </c>
    </row>
    <row r="812" spans="1:7" x14ac:dyDescent="0.3">
      <c r="A812" s="41" t="s">
        <v>63</v>
      </c>
      <c r="B812" s="48" t="s">
        <v>135</v>
      </c>
      <c r="C812" s="37">
        <v>46245</v>
      </c>
      <c r="D812" s="34" t="s">
        <v>14</v>
      </c>
      <c r="E812" s="41">
        <v>1729</v>
      </c>
      <c r="F812" s="33">
        <v>0.27206599999999997</v>
      </c>
      <c r="G812" s="35">
        <v>7.6504100000000005E-2</v>
      </c>
    </row>
    <row r="813" spans="1:7" x14ac:dyDescent="0.3">
      <c r="A813" s="41" t="s">
        <v>63</v>
      </c>
      <c r="B813" s="48" t="s">
        <v>135</v>
      </c>
      <c r="C813" s="37">
        <v>46245</v>
      </c>
      <c r="D813" s="34" t="s">
        <v>15</v>
      </c>
      <c r="E813" s="41">
        <v>1287</v>
      </c>
      <c r="F813" s="33">
        <v>0.29014299999999998</v>
      </c>
      <c r="G813" s="35">
        <v>7.6466599999999996E-2</v>
      </c>
    </row>
    <row r="814" spans="1:7" x14ac:dyDescent="0.3">
      <c r="A814" s="41" t="s">
        <v>63</v>
      </c>
      <c r="B814" s="48" t="s">
        <v>135</v>
      </c>
      <c r="C814" s="37">
        <v>46245</v>
      </c>
      <c r="D814" s="34" t="s">
        <v>16</v>
      </c>
      <c r="E814" s="41">
        <v>1224</v>
      </c>
      <c r="F814" s="33">
        <v>0.39331700000000003</v>
      </c>
      <c r="G814" s="35">
        <v>9.2281699999999994E-2</v>
      </c>
    </row>
    <row r="815" spans="1:7" x14ac:dyDescent="0.3">
      <c r="A815" s="41" t="s">
        <v>63</v>
      </c>
      <c r="B815" s="48" t="s">
        <v>135</v>
      </c>
      <c r="C815" s="37">
        <v>46245</v>
      </c>
      <c r="D815" s="34" t="s">
        <v>17</v>
      </c>
      <c r="E815" s="41">
        <v>1546</v>
      </c>
      <c r="F815" s="33">
        <v>0.38747199999999998</v>
      </c>
      <c r="G815" s="35">
        <v>7.6756900000000003E-2</v>
      </c>
    </row>
    <row r="816" spans="1:7" x14ac:dyDescent="0.3">
      <c r="A816" s="41" t="s">
        <v>63</v>
      </c>
      <c r="B816" s="48" t="s">
        <v>135</v>
      </c>
      <c r="C816" s="37">
        <v>46245</v>
      </c>
      <c r="D816" s="34" t="s">
        <v>18</v>
      </c>
      <c r="E816" s="41">
        <v>1417</v>
      </c>
      <c r="F816" s="33">
        <v>0.19647999999999999</v>
      </c>
      <c r="G816" s="35">
        <v>4.6718000000000003E-2</v>
      </c>
    </row>
    <row r="817" spans="1:7" x14ac:dyDescent="0.3">
      <c r="A817" s="41" t="s">
        <v>63</v>
      </c>
      <c r="B817" s="48" t="s">
        <v>135</v>
      </c>
      <c r="C817" s="37">
        <v>46245</v>
      </c>
      <c r="D817" s="34" t="s">
        <v>19</v>
      </c>
      <c r="E817" s="41">
        <v>1292</v>
      </c>
      <c r="F817" s="33">
        <v>0.52198199999999995</v>
      </c>
      <c r="G817" s="35">
        <v>0.109517</v>
      </c>
    </row>
    <row r="818" spans="1:7" x14ac:dyDescent="0.3">
      <c r="A818" s="41" t="s">
        <v>63</v>
      </c>
      <c r="B818" s="48" t="s">
        <v>135</v>
      </c>
      <c r="C818" s="37">
        <v>46245</v>
      </c>
      <c r="D818" s="34" t="s">
        <v>20</v>
      </c>
      <c r="E818" s="41">
        <v>1192</v>
      </c>
      <c r="F818" s="33">
        <v>0.31654399999999999</v>
      </c>
      <c r="G818" s="35">
        <v>6.6189700000000004E-2</v>
      </c>
    </row>
    <row r="819" spans="1:7" x14ac:dyDescent="0.3">
      <c r="A819" s="41" t="s">
        <v>63</v>
      </c>
      <c r="B819" s="48" t="s">
        <v>135</v>
      </c>
      <c r="C819" s="37">
        <v>46245</v>
      </c>
      <c r="D819" s="34" t="s">
        <v>34</v>
      </c>
      <c r="E819" s="41">
        <v>1133</v>
      </c>
      <c r="F819" s="33">
        <v>0.198407</v>
      </c>
      <c r="G819" s="35">
        <v>6.0118100000000001E-2</v>
      </c>
    </row>
    <row r="820" spans="1:7" x14ac:dyDescent="0.3">
      <c r="A820" s="41" t="s">
        <v>63</v>
      </c>
      <c r="B820" s="48" t="s">
        <v>135</v>
      </c>
      <c r="C820" s="37">
        <v>46245</v>
      </c>
      <c r="D820" s="34" t="s">
        <v>21</v>
      </c>
      <c r="E820" s="41">
        <v>2048</v>
      </c>
      <c r="F820" s="33">
        <v>0.57077599999999995</v>
      </c>
      <c r="G820" s="35">
        <v>0.111293</v>
      </c>
    </row>
    <row r="821" spans="1:7" x14ac:dyDescent="0.3">
      <c r="A821" s="41" t="s">
        <v>63</v>
      </c>
      <c r="B821" s="48" t="s">
        <v>135</v>
      </c>
      <c r="C821" s="37">
        <v>46245</v>
      </c>
      <c r="D821" s="34" t="s">
        <v>22</v>
      </c>
      <c r="E821" s="41">
        <v>1353</v>
      </c>
      <c r="F821" s="33">
        <v>0.288995</v>
      </c>
      <c r="G821" s="35">
        <v>7.8518400000000002E-2</v>
      </c>
    </row>
    <row r="822" spans="1:7" x14ac:dyDescent="0.3">
      <c r="A822" s="41" t="s">
        <v>63</v>
      </c>
      <c r="B822" s="48" t="s">
        <v>135</v>
      </c>
      <c r="C822" s="37">
        <v>46245</v>
      </c>
      <c r="D822" s="34" t="s">
        <v>23</v>
      </c>
      <c r="E822" s="41">
        <v>1458</v>
      </c>
      <c r="F822" s="33">
        <v>0.227017</v>
      </c>
      <c r="G822" s="35">
        <v>7.4515700000000004E-2</v>
      </c>
    </row>
    <row r="823" spans="1:7" x14ac:dyDescent="0.3">
      <c r="A823" s="41" t="s">
        <v>63</v>
      </c>
      <c r="B823" s="48" t="s">
        <v>135</v>
      </c>
      <c r="C823" s="37">
        <v>46245</v>
      </c>
      <c r="D823" s="34" t="s">
        <v>24</v>
      </c>
      <c r="E823" s="41">
        <v>2035</v>
      </c>
      <c r="F823" s="33">
        <v>0.214695</v>
      </c>
      <c r="G823" s="35">
        <v>6.6109899999999999E-2</v>
      </c>
    </row>
    <row r="824" spans="1:7" x14ac:dyDescent="0.3">
      <c r="A824" s="41" t="s">
        <v>63</v>
      </c>
      <c r="B824" s="48" t="s">
        <v>135</v>
      </c>
      <c r="C824" s="37">
        <v>46245</v>
      </c>
      <c r="D824" s="34" t="s">
        <v>25</v>
      </c>
      <c r="E824" s="41">
        <v>1025</v>
      </c>
      <c r="F824" s="33">
        <v>0.231985</v>
      </c>
      <c r="G824" s="35">
        <v>5.58868E-2</v>
      </c>
    </row>
    <row r="825" spans="1:7" x14ac:dyDescent="0.3">
      <c r="A825" s="41" t="s">
        <v>63</v>
      </c>
      <c r="B825" s="48" t="s">
        <v>135</v>
      </c>
      <c r="C825" s="37">
        <v>46245</v>
      </c>
      <c r="D825" s="34" t="s">
        <v>26</v>
      </c>
      <c r="E825" s="41">
        <v>1284</v>
      </c>
      <c r="F825" s="33">
        <v>0.19952</v>
      </c>
      <c r="G825" s="35">
        <v>6.4153100000000005E-2</v>
      </c>
    </row>
    <row r="826" spans="1:7" x14ac:dyDescent="0.3">
      <c r="A826" s="41" t="s">
        <v>63</v>
      </c>
      <c r="B826" s="48" t="s">
        <v>135</v>
      </c>
      <c r="C826" s="37">
        <v>46245</v>
      </c>
      <c r="D826" s="34" t="s">
        <v>27</v>
      </c>
      <c r="E826" s="41">
        <v>1005</v>
      </c>
      <c r="F826" s="33">
        <v>0.36130299999999999</v>
      </c>
      <c r="G826" s="35">
        <v>8.2003500000000007E-2</v>
      </c>
    </row>
    <row r="827" spans="1:7" x14ac:dyDescent="0.3">
      <c r="A827" s="41" t="s">
        <v>63</v>
      </c>
      <c r="B827" s="48" t="s">
        <v>135</v>
      </c>
      <c r="C827" s="37">
        <v>46245</v>
      </c>
      <c r="D827" s="34" t="s">
        <v>28</v>
      </c>
      <c r="E827" s="41">
        <v>1015</v>
      </c>
      <c r="F827" s="33">
        <v>0.21158199999999999</v>
      </c>
      <c r="G827" s="35">
        <v>4.7496700000000003E-2</v>
      </c>
    </row>
    <row r="828" spans="1:7" x14ac:dyDescent="0.3">
      <c r="A828" s="41" t="s">
        <v>63</v>
      </c>
      <c r="B828" s="48" t="s">
        <v>135</v>
      </c>
      <c r="C828" s="37">
        <v>46245</v>
      </c>
      <c r="D828" s="34" t="s">
        <v>29</v>
      </c>
      <c r="E828" s="41">
        <v>1168</v>
      </c>
      <c r="F828" s="33">
        <v>0.300956</v>
      </c>
      <c r="G828" s="35">
        <v>6.2354600000000003E-2</v>
      </c>
    </row>
    <row r="829" spans="1:7" x14ac:dyDescent="0.3">
      <c r="A829" s="41" t="s">
        <v>63</v>
      </c>
      <c r="B829" s="48" t="s">
        <v>135</v>
      </c>
      <c r="C829" s="37">
        <v>46245</v>
      </c>
      <c r="D829" s="34" t="s">
        <v>30</v>
      </c>
      <c r="E829" s="41">
        <v>1263</v>
      </c>
      <c r="F829" s="33">
        <v>0.46798499999999998</v>
      </c>
      <c r="G829" s="35">
        <v>9.4406900000000002E-2</v>
      </c>
    </row>
    <row r="830" spans="1:7" x14ac:dyDescent="0.3">
      <c r="A830" s="41" t="s">
        <v>63</v>
      </c>
      <c r="B830" s="48" t="s">
        <v>139</v>
      </c>
      <c r="C830" s="37">
        <v>46245</v>
      </c>
      <c r="D830" s="34" t="s">
        <v>25</v>
      </c>
      <c r="E830" s="41">
        <v>1003</v>
      </c>
      <c r="F830" s="33">
        <v>0.23594699999999999</v>
      </c>
      <c r="G830" s="35">
        <v>5.4762499999999999E-2</v>
      </c>
    </row>
    <row r="831" spans="1:7" x14ac:dyDescent="0.3">
      <c r="A831" s="41" t="s">
        <v>63</v>
      </c>
      <c r="B831" s="48" t="s">
        <v>139</v>
      </c>
      <c r="C831" s="37">
        <v>46245</v>
      </c>
      <c r="D831" s="34" t="s">
        <v>34</v>
      </c>
      <c r="E831" s="41">
        <v>1102</v>
      </c>
      <c r="F831" s="33">
        <v>0.21417900000000001</v>
      </c>
      <c r="G831" s="35">
        <v>6.6183400000000003E-2</v>
      </c>
    </row>
    <row r="832" spans="1:7" x14ac:dyDescent="0.3">
      <c r="A832" s="41" t="s">
        <v>63</v>
      </c>
      <c r="B832" s="48" t="s">
        <v>139</v>
      </c>
      <c r="C832" s="37">
        <v>46245</v>
      </c>
      <c r="D832" s="34" t="s">
        <v>16</v>
      </c>
      <c r="E832" s="41">
        <v>1145</v>
      </c>
      <c r="F832" s="33">
        <v>0.33857700000000002</v>
      </c>
      <c r="G832" s="35">
        <v>8.4584500000000007E-2</v>
      </c>
    </row>
    <row r="833" spans="1:7" x14ac:dyDescent="0.3">
      <c r="A833" s="41" t="s">
        <v>63</v>
      </c>
      <c r="B833" s="48" t="s">
        <v>139</v>
      </c>
      <c r="C833" s="37">
        <v>46245</v>
      </c>
      <c r="D833" s="34" t="s">
        <v>28</v>
      </c>
      <c r="E833" s="41">
        <v>1162</v>
      </c>
      <c r="F833" s="33">
        <v>0.21158199999999999</v>
      </c>
      <c r="G833" s="35">
        <v>4.7496700000000003E-2</v>
      </c>
    </row>
    <row r="834" spans="1:7" x14ac:dyDescent="0.3">
      <c r="A834" s="41" t="s">
        <v>63</v>
      </c>
      <c r="B834" s="48" t="s">
        <v>139</v>
      </c>
      <c r="C834" s="37">
        <v>46245</v>
      </c>
      <c r="D834" s="34" t="s">
        <v>20</v>
      </c>
      <c r="E834" s="41">
        <v>1236</v>
      </c>
      <c r="F834" s="33">
        <v>0.284049</v>
      </c>
      <c r="G834" s="35">
        <v>6.1347899999999997E-2</v>
      </c>
    </row>
    <row r="835" spans="1:7" x14ac:dyDescent="0.3">
      <c r="A835" s="41" t="s">
        <v>63</v>
      </c>
      <c r="B835" s="48" t="s">
        <v>139</v>
      </c>
      <c r="C835" s="37">
        <v>46245</v>
      </c>
      <c r="D835" s="34" t="s">
        <v>29</v>
      </c>
      <c r="E835" s="41">
        <v>1249</v>
      </c>
      <c r="F835" s="33">
        <v>0.24942300000000001</v>
      </c>
      <c r="G835" s="35">
        <v>5.4318400000000003E-2</v>
      </c>
    </row>
    <row r="836" spans="1:7" x14ac:dyDescent="0.3">
      <c r="A836" s="41" t="s">
        <v>63</v>
      </c>
      <c r="B836" s="48" t="s">
        <v>139</v>
      </c>
      <c r="C836" s="37">
        <v>46245</v>
      </c>
      <c r="D836" s="34" t="s">
        <v>23</v>
      </c>
      <c r="E836" s="41">
        <v>1301</v>
      </c>
      <c r="F836" s="33">
        <v>0.253776</v>
      </c>
      <c r="G836" s="35">
        <v>8.5800899999999999E-2</v>
      </c>
    </row>
    <row r="837" spans="1:7" x14ac:dyDescent="0.3">
      <c r="A837" s="41" t="s">
        <v>63</v>
      </c>
      <c r="B837" s="48" t="s">
        <v>139</v>
      </c>
      <c r="C837" s="37">
        <v>46245</v>
      </c>
      <c r="D837" s="34" t="s">
        <v>15</v>
      </c>
      <c r="E837" s="41">
        <v>1333</v>
      </c>
      <c r="F837" s="33">
        <v>0.54901</v>
      </c>
      <c r="G837" s="35">
        <v>0.152257</v>
      </c>
    </row>
    <row r="838" spans="1:7" x14ac:dyDescent="0.3">
      <c r="A838" s="41" t="s">
        <v>63</v>
      </c>
      <c r="B838" s="48" t="s">
        <v>139</v>
      </c>
      <c r="C838" s="37">
        <v>46245</v>
      </c>
      <c r="D838" s="34" t="s">
        <v>19</v>
      </c>
      <c r="E838" s="41">
        <v>1358</v>
      </c>
      <c r="F838" s="33">
        <v>0.27177000000000001</v>
      </c>
      <c r="G838" s="35">
        <v>5.95259E-2</v>
      </c>
    </row>
    <row r="839" spans="1:7" x14ac:dyDescent="0.3">
      <c r="A839" s="41" t="s">
        <v>63</v>
      </c>
      <c r="B839" s="48" t="s">
        <v>139</v>
      </c>
      <c r="C839" s="37">
        <v>46245</v>
      </c>
      <c r="D839" s="34" t="s">
        <v>27</v>
      </c>
      <c r="E839" s="41">
        <v>1366</v>
      </c>
      <c r="F839" s="33">
        <v>0.31492399999999998</v>
      </c>
      <c r="G839" s="35">
        <v>6.7834000000000005E-2</v>
      </c>
    </row>
    <row r="840" spans="1:7" x14ac:dyDescent="0.3">
      <c r="A840" s="41" t="s">
        <v>63</v>
      </c>
      <c r="B840" s="48" t="s">
        <v>139</v>
      </c>
      <c r="C840" s="37">
        <v>46245</v>
      </c>
      <c r="D840" s="34" t="s">
        <v>26</v>
      </c>
      <c r="E840" s="41">
        <v>1423</v>
      </c>
      <c r="F840" s="33">
        <v>0.15012700000000001</v>
      </c>
      <c r="G840" s="35">
        <v>4.7119899999999999E-2</v>
      </c>
    </row>
    <row r="841" spans="1:7" x14ac:dyDescent="0.3">
      <c r="A841" s="41" t="s">
        <v>63</v>
      </c>
      <c r="B841" s="48" t="s">
        <v>139</v>
      </c>
      <c r="C841" s="37">
        <v>46245</v>
      </c>
      <c r="D841" s="34" t="s">
        <v>18</v>
      </c>
      <c r="E841" s="41">
        <v>1460</v>
      </c>
      <c r="F841" s="33">
        <v>0.20166500000000001</v>
      </c>
      <c r="G841" s="35">
        <v>5.0853000000000002E-2</v>
      </c>
    </row>
    <row r="842" spans="1:7" x14ac:dyDescent="0.3">
      <c r="A842" s="41" t="s">
        <v>63</v>
      </c>
      <c r="B842" s="48" t="s">
        <v>139</v>
      </c>
      <c r="C842" s="37">
        <v>46245</v>
      </c>
      <c r="D842" s="34" t="s">
        <v>30</v>
      </c>
      <c r="E842" s="41">
        <v>1594</v>
      </c>
      <c r="F842" s="33">
        <v>0.34706599999999999</v>
      </c>
      <c r="G842" s="35">
        <v>6.6649399999999998E-2</v>
      </c>
    </row>
    <row r="843" spans="1:7" x14ac:dyDescent="0.3">
      <c r="A843" s="41" t="s">
        <v>63</v>
      </c>
      <c r="B843" s="48" t="s">
        <v>139</v>
      </c>
      <c r="C843" s="37">
        <v>46245</v>
      </c>
      <c r="D843" s="34" t="s">
        <v>14</v>
      </c>
      <c r="E843" s="41">
        <v>1747</v>
      </c>
      <c r="F843" s="33">
        <v>0.182897</v>
      </c>
      <c r="G843" s="35">
        <v>5.4035199999999999E-2</v>
      </c>
    </row>
    <row r="844" spans="1:7" x14ac:dyDescent="0.3">
      <c r="A844" s="41" t="s">
        <v>63</v>
      </c>
      <c r="B844" s="48" t="s">
        <v>139</v>
      </c>
      <c r="C844" s="37">
        <v>46245</v>
      </c>
      <c r="D844" s="34" t="s">
        <v>22</v>
      </c>
      <c r="E844" s="41">
        <v>1777</v>
      </c>
      <c r="F844" s="33">
        <v>0.27105200000000002</v>
      </c>
      <c r="G844" s="35">
        <v>7.0106100000000005E-2</v>
      </c>
    </row>
    <row r="845" spans="1:7" x14ac:dyDescent="0.3">
      <c r="A845" s="41" t="s">
        <v>63</v>
      </c>
      <c r="B845" s="48" t="s">
        <v>139</v>
      </c>
      <c r="C845" s="37">
        <v>46245</v>
      </c>
      <c r="D845" s="34" t="s">
        <v>24</v>
      </c>
      <c r="E845" s="41">
        <v>1821</v>
      </c>
      <c r="F845" s="33">
        <v>0.19298299999999999</v>
      </c>
      <c r="G845" s="35">
        <v>5.8369299999999999E-2</v>
      </c>
    </row>
    <row r="846" spans="1:7" x14ac:dyDescent="0.3">
      <c r="A846" s="41" t="s">
        <v>63</v>
      </c>
      <c r="B846" s="48" t="s">
        <v>139</v>
      </c>
      <c r="C846" s="37">
        <v>46245</v>
      </c>
      <c r="D846" s="34" t="s">
        <v>17</v>
      </c>
      <c r="E846" s="41">
        <v>1964</v>
      </c>
      <c r="F846" s="33">
        <v>0.37069600000000003</v>
      </c>
      <c r="G846" s="35">
        <v>7.0191799999999999E-2</v>
      </c>
    </row>
    <row r="847" spans="1:7" x14ac:dyDescent="0.3">
      <c r="A847" s="41" t="s">
        <v>63</v>
      </c>
      <c r="B847" s="48" t="s">
        <v>139</v>
      </c>
      <c r="C847" s="37">
        <v>46245</v>
      </c>
      <c r="D847" s="34" t="s">
        <v>21</v>
      </c>
      <c r="E847" s="41">
        <v>2482</v>
      </c>
      <c r="F847" s="33">
        <v>0.41563099999999997</v>
      </c>
      <c r="G847" s="35">
        <v>7.7917100000000003E-2</v>
      </c>
    </row>
    <row r="848" spans="1:7" x14ac:dyDescent="0.3">
      <c r="A848" s="41" t="s">
        <v>63</v>
      </c>
      <c r="B848" s="48" t="s">
        <v>140</v>
      </c>
      <c r="C848" s="37">
        <v>46245</v>
      </c>
      <c r="D848" s="34" t="s">
        <v>16</v>
      </c>
      <c r="E848" s="41">
        <v>1004</v>
      </c>
      <c r="F848" s="33">
        <v>0.47324699999999997</v>
      </c>
      <c r="G848" s="35">
        <v>0.109863</v>
      </c>
    </row>
    <row r="849" spans="1:7" x14ac:dyDescent="0.3">
      <c r="A849" s="41" t="s">
        <v>63</v>
      </c>
      <c r="B849" s="48" t="s">
        <v>140</v>
      </c>
      <c r="C849" s="37">
        <v>46245</v>
      </c>
      <c r="D849" s="34" t="s">
        <v>29</v>
      </c>
      <c r="E849" s="41">
        <v>1053</v>
      </c>
      <c r="F849" s="33">
        <v>0.41830400000000001</v>
      </c>
      <c r="G849" s="35">
        <v>8.6969099999999994E-2</v>
      </c>
    </row>
    <row r="850" spans="1:7" x14ac:dyDescent="0.3">
      <c r="A850" s="41" t="s">
        <v>63</v>
      </c>
      <c r="B850" s="48" t="s">
        <v>140</v>
      </c>
      <c r="C850" s="37">
        <v>46245</v>
      </c>
      <c r="D850" s="34" t="s">
        <v>15</v>
      </c>
      <c r="E850" s="41">
        <v>1100</v>
      </c>
      <c r="F850" s="33">
        <v>0.38794000000000001</v>
      </c>
      <c r="G850" s="35">
        <v>0.103297</v>
      </c>
    </row>
    <row r="851" spans="1:7" x14ac:dyDescent="0.3">
      <c r="A851" s="41" t="s">
        <v>63</v>
      </c>
      <c r="B851" s="48" t="s">
        <v>140</v>
      </c>
      <c r="C851" s="37">
        <v>46245</v>
      </c>
      <c r="D851" s="34" t="s">
        <v>25</v>
      </c>
      <c r="E851" s="41">
        <v>1111</v>
      </c>
      <c r="F851" s="33">
        <v>0.237763</v>
      </c>
      <c r="G851" s="35">
        <v>5.9915700000000002E-2</v>
      </c>
    </row>
    <row r="852" spans="1:7" x14ac:dyDescent="0.3">
      <c r="A852" s="41" t="s">
        <v>63</v>
      </c>
      <c r="B852" s="48" t="s">
        <v>140</v>
      </c>
      <c r="C852" s="37">
        <v>46245</v>
      </c>
      <c r="D852" s="34" t="s">
        <v>28</v>
      </c>
      <c r="E852" s="41">
        <v>1113</v>
      </c>
      <c r="F852" s="33">
        <v>0.41351300000000002</v>
      </c>
      <c r="G852" s="35">
        <v>9.42162E-2</v>
      </c>
    </row>
    <row r="853" spans="1:7" x14ac:dyDescent="0.3">
      <c r="A853" s="41" t="s">
        <v>63</v>
      </c>
      <c r="B853" s="48" t="s">
        <v>140</v>
      </c>
      <c r="C853" s="37">
        <v>46245</v>
      </c>
      <c r="D853" s="34" t="s">
        <v>23</v>
      </c>
      <c r="E853" s="41">
        <v>1180</v>
      </c>
      <c r="F853" s="33">
        <v>0.20420099999999999</v>
      </c>
      <c r="G853" s="35">
        <v>7.0372500000000004E-2</v>
      </c>
    </row>
    <row r="854" spans="1:7" x14ac:dyDescent="0.3">
      <c r="A854" s="41" t="s">
        <v>63</v>
      </c>
      <c r="B854" s="48" t="s">
        <v>140</v>
      </c>
      <c r="C854" s="37">
        <v>46245</v>
      </c>
      <c r="D854" s="34" t="s">
        <v>34</v>
      </c>
      <c r="E854" s="41">
        <v>1206</v>
      </c>
      <c r="F854" s="33">
        <v>0.21417900000000001</v>
      </c>
      <c r="G854" s="35">
        <v>6.6183400000000003E-2</v>
      </c>
    </row>
    <row r="855" spans="1:7" x14ac:dyDescent="0.3">
      <c r="A855" s="41" t="s">
        <v>63</v>
      </c>
      <c r="B855" s="48" t="s">
        <v>140</v>
      </c>
      <c r="C855" s="37">
        <v>46245</v>
      </c>
      <c r="D855" s="34" t="s">
        <v>18</v>
      </c>
      <c r="E855" s="41">
        <v>1222</v>
      </c>
      <c r="F855" s="33">
        <v>0.30455500000000002</v>
      </c>
      <c r="G855" s="35">
        <v>7.0540099999999994E-2</v>
      </c>
    </row>
    <row r="856" spans="1:7" x14ac:dyDescent="0.3">
      <c r="A856" s="41" t="s">
        <v>63</v>
      </c>
      <c r="B856" s="48" t="s">
        <v>140</v>
      </c>
      <c r="C856" s="37">
        <v>46245</v>
      </c>
      <c r="D856" s="34" t="s">
        <v>19</v>
      </c>
      <c r="E856" s="41">
        <v>1233</v>
      </c>
      <c r="F856" s="33">
        <v>0.53724400000000005</v>
      </c>
      <c r="G856" s="35">
        <v>0.109545</v>
      </c>
    </row>
    <row r="857" spans="1:7" x14ac:dyDescent="0.3">
      <c r="A857" s="41" t="s">
        <v>63</v>
      </c>
      <c r="B857" s="48" t="s">
        <v>140</v>
      </c>
      <c r="C857" s="37">
        <v>46245</v>
      </c>
      <c r="D857" s="34" t="s">
        <v>20</v>
      </c>
      <c r="E857" s="41">
        <v>1241</v>
      </c>
      <c r="F857" s="33">
        <v>0.698967</v>
      </c>
      <c r="G857" s="35">
        <v>0.141239</v>
      </c>
    </row>
    <row r="858" spans="1:7" x14ac:dyDescent="0.3">
      <c r="A858" s="41" t="s">
        <v>63</v>
      </c>
      <c r="B858" s="48" t="s">
        <v>140</v>
      </c>
      <c r="C858" s="37">
        <v>46245</v>
      </c>
      <c r="D858" s="34" t="s">
        <v>27</v>
      </c>
      <c r="E858" s="41">
        <v>1276</v>
      </c>
      <c r="F858" s="33">
        <v>0.46389799999999998</v>
      </c>
      <c r="G858" s="35">
        <v>0.108349</v>
      </c>
    </row>
    <row r="859" spans="1:7" x14ac:dyDescent="0.3">
      <c r="A859" s="41" t="s">
        <v>63</v>
      </c>
      <c r="B859" s="48" t="s">
        <v>140</v>
      </c>
      <c r="C859" s="37">
        <v>46245</v>
      </c>
      <c r="D859" s="34" t="s">
        <v>30</v>
      </c>
      <c r="E859" s="41">
        <v>1295</v>
      </c>
      <c r="F859" s="33">
        <v>1.42056</v>
      </c>
      <c r="G859" s="35">
        <v>0.28700599999999998</v>
      </c>
    </row>
    <row r="860" spans="1:7" x14ac:dyDescent="0.3">
      <c r="A860" s="41" t="s">
        <v>63</v>
      </c>
      <c r="B860" s="48" t="s">
        <v>140</v>
      </c>
      <c r="C860" s="37">
        <v>46245</v>
      </c>
      <c r="D860" s="34" t="s">
        <v>14</v>
      </c>
      <c r="E860" s="41">
        <v>1329</v>
      </c>
      <c r="F860" s="33">
        <v>0.40732299999999999</v>
      </c>
      <c r="G860" s="35">
        <v>0.117493</v>
      </c>
    </row>
    <row r="861" spans="1:7" x14ac:dyDescent="0.3">
      <c r="A861" s="41" t="s">
        <v>63</v>
      </c>
      <c r="B861" s="48" t="s">
        <v>140</v>
      </c>
      <c r="C861" s="37">
        <v>46245</v>
      </c>
      <c r="D861" s="34" t="s">
        <v>26</v>
      </c>
      <c r="E861" s="41">
        <v>1346</v>
      </c>
      <c r="F861" s="33">
        <v>0.35156399999999999</v>
      </c>
      <c r="G861" s="35">
        <v>0.107654</v>
      </c>
    </row>
    <row r="862" spans="1:7" x14ac:dyDescent="0.3">
      <c r="A862" s="41" t="s">
        <v>63</v>
      </c>
      <c r="B862" s="48" t="s">
        <v>140</v>
      </c>
      <c r="C862" s="37">
        <v>46245</v>
      </c>
      <c r="D862" s="34" t="s">
        <v>22</v>
      </c>
      <c r="E862" s="41">
        <v>1674</v>
      </c>
      <c r="F862" s="33">
        <v>0.27619899999999997</v>
      </c>
      <c r="G862" s="35">
        <v>7.3335300000000006E-2</v>
      </c>
    </row>
    <row r="863" spans="1:7" x14ac:dyDescent="0.3">
      <c r="A863" s="41" t="s">
        <v>63</v>
      </c>
      <c r="B863" s="48" t="s">
        <v>140</v>
      </c>
      <c r="C863" s="37">
        <v>46245</v>
      </c>
      <c r="D863" s="34" t="s">
        <v>17</v>
      </c>
      <c r="E863" s="41">
        <v>1677</v>
      </c>
      <c r="F863" s="33">
        <v>0.95342700000000002</v>
      </c>
      <c r="G863" s="35">
        <v>0.18822800000000001</v>
      </c>
    </row>
    <row r="864" spans="1:7" x14ac:dyDescent="0.3">
      <c r="A864" s="41" t="s">
        <v>63</v>
      </c>
      <c r="B864" s="48" t="s">
        <v>140</v>
      </c>
      <c r="C864" s="37">
        <v>46245</v>
      </c>
      <c r="D864" s="34" t="s">
        <v>24</v>
      </c>
      <c r="E864" s="41">
        <v>1911</v>
      </c>
      <c r="F864" s="33">
        <v>0.25583400000000001</v>
      </c>
      <c r="G864" s="35">
        <v>8.3779199999999998E-2</v>
      </c>
    </row>
    <row r="865" spans="1:7" x14ac:dyDescent="0.3">
      <c r="A865" s="41" t="s">
        <v>63</v>
      </c>
      <c r="B865" s="48" t="s">
        <v>140</v>
      </c>
      <c r="C865" s="37">
        <v>46245</v>
      </c>
      <c r="D865" s="34" t="s">
        <v>21</v>
      </c>
      <c r="E865" s="41">
        <v>2300</v>
      </c>
      <c r="F865" s="33">
        <v>0.56240000000000001</v>
      </c>
      <c r="G865" s="35">
        <v>0.113203</v>
      </c>
    </row>
    <row r="866" spans="1:7" x14ac:dyDescent="0.3">
      <c r="A866" s="41" t="s">
        <v>63</v>
      </c>
      <c r="B866" s="48" t="s">
        <v>163</v>
      </c>
      <c r="C866" s="37">
        <v>46246</v>
      </c>
      <c r="D866" s="34" t="s">
        <v>14</v>
      </c>
      <c r="E866" s="41">
        <v>2036</v>
      </c>
      <c r="F866" s="33">
        <v>0.48893999999999999</v>
      </c>
      <c r="G866" s="35">
        <v>0.13750599999999999</v>
      </c>
    </row>
    <row r="867" spans="1:7" x14ac:dyDescent="0.3">
      <c r="A867" s="41" t="s">
        <v>63</v>
      </c>
      <c r="B867" s="48" t="s">
        <v>163</v>
      </c>
      <c r="C867" s="37">
        <v>46246</v>
      </c>
      <c r="D867" s="34" t="s">
        <v>15</v>
      </c>
      <c r="E867" s="41">
        <v>1654</v>
      </c>
      <c r="F867" s="33">
        <v>0.91455299999999995</v>
      </c>
      <c r="G867" s="35">
        <v>0.23045199999999999</v>
      </c>
    </row>
    <row r="868" spans="1:7" x14ac:dyDescent="0.3">
      <c r="A868" s="41" t="s">
        <v>63</v>
      </c>
      <c r="B868" s="48" t="s">
        <v>163</v>
      </c>
      <c r="C868" s="37">
        <v>46246</v>
      </c>
      <c r="D868" s="34" t="s">
        <v>16</v>
      </c>
      <c r="E868" s="41">
        <v>1137</v>
      </c>
      <c r="F868" s="33">
        <v>0.41677799999999998</v>
      </c>
      <c r="G868" s="35">
        <v>9.4250500000000001E-2</v>
      </c>
    </row>
    <row r="869" spans="1:7" x14ac:dyDescent="0.3">
      <c r="A869" s="41" t="s">
        <v>63</v>
      </c>
      <c r="B869" s="48" t="s">
        <v>163</v>
      </c>
      <c r="C869" s="37">
        <v>46246</v>
      </c>
      <c r="D869" s="34" t="s">
        <v>17</v>
      </c>
      <c r="E869" s="41">
        <v>2178</v>
      </c>
      <c r="F869" s="33">
        <v>0.41347800000000001</v>
      </c>
      <c r="G869" s="35">
        <v>8.5338399999999995E-2</v>
      </c>
    </row>
    <row r="870" spans="1:7" x14ac:dyDescent="0.3">
      <c r="A870" s="41" t="s">
        <v>63</v>
      </c>
      <c r="B870" s="48" t="s">
        <v>163</v>
      </c>
      <c r="C870" s="37">
        <v>46246</v>
      </c>
      <c r="D870" s="34" t="s">
        <v>18</v>
      </c>
      <c r="E870" s="41">
        <v>1790</v>
      </c>
      <c r="F870" s="33">
        <v>0.28914099999999998</v>
      </c>
      <c r="G870" s="35">
        <v>6.7369799999999994E-2</v>
      </c>
    </row>
    <row r="871" spans="1:7" x14ac:dyDescent="0.3">
      <c r="A871" s="41" t="s">
        <v>63</v>
      </c>
      <c r="B871" s="48" t="s">
        <v>163</v>
      </c>
      <c r="C871" s="37">
        <v>46246</v>
      </c>
      <c r="D871" s="34" t="s">
        <v>19</v>
      </c>
      <c r="E871" s="41">
        <v>1983</v>
      </c>
      <c r="F871" s="33">
        <v>0.44439200000000001</v>
      </c>
      <c r="G871" s="35">
        <v>9.2895699999999998E-2</v>
      </c>
    </row>
    <row r="872" spans="1:7" x14ac:dyDescent="0.3">
      <c r="A872" s="41" t="s">
        <v>63</v>
      </c>
      <c r="B872" s="48" t="s">
        <v>163</v>
      </c>
      <c r="C872" s="37">
        <v>46246</v>
      </c>
      <c r="D872" s="34" t="s">
        <v>20</v>
      </c>
      <c r="E872" s="41">
        <v>1908</v>
      </c>
      <c r="F872" s="33">
        <v>0.34362500000000001</v>
      </c>
      <c r="G872" s="35">
        <v>7.2266700000000003E-2</v>
      </c>
    </row>
    <row r="873" spans="1:7" x14ac:dyDescent="0.3">
      <c r="A873" s="41" t="s">
        <v>63</v>
      </c>
      <c r="B873" s="48" t="s">
        <v>163</v>
      </c>
      <c r="C873" s="37">
        <v>46246</v>
      </c>
      <c r="D873" s="34" t="s">
        <v>34</v>
      </c>
      <c r="E873" s="41">
        <v>1131</v>
      </c>
      <c r="F873" s="33">
        <v>0.21276300000000001</v>
      </c>
      <c r="G873" s="35">
        <v>6.6497399999999998E-2</v>
      </c>
    </row>
    <row r="874" spans="1:7" x14ac:dyDescent="0.3">
      <c r="A874" s="41" t="s">
        <v>63</v>
      </c>
      <c r="B874" s="48" t="s">
        <v>163</v>
      </c>
      <c r="C874" s="37">
        <v>46246</v>
      </c>
      <c r="D874" s="34" t="s">
        <v>21</v>
      </c>
      <c r="E874" s="41">
        <v>3124</v>
      </c>
      <c r="F874" s="33">
        <v>0.52111399999999997</v>
      </c>
      <c r="G874" s="35">
        <v>0.101732</v>
      </c>
    </row>
    <row r="875" spans="1:7" x14ac:dyDescent="0.3">
      <c r="A875" s="41" t="s">
        <v>63</v>
      </c>
      <c r="B875" s="48" t="s">
        <v>163</v>
      </c>
      <c r="C875" s="37">
        <v>46246</v>
      </c>
      <c r="D875" s="34" t="s">
        <v>22</v>
      </c>
      <c r="E875" s="41">
        <v>2106</v>
      </c>
      <c r="F875" s="33">
        <v>0.28700199999999998</v>
      </c>
      <c r="G875" s="35">
        <v>8.2809099999999997E-2</v>
      </c>
    </row>
    <row r="876" spans="1:7" x14ac:dyDescent="0.3">
      <c r="A876" s="41" t="s">
        <v>63</v>
      </c>
      <c r="B876" s="48" t="s">
        <v>163</v>
      </c>
      <c r="C876" s="37">
        <v>46246</v>
      </c>
      <c r="D876" s="34" t="s">
        <v>23</v>
      </c>
      <c r="E876" s="41">
        <v>1002</v>
      </c>
      <c r="F876" s="33">
        <v>0.411939</v>
      </c>
      <c r="G876" s="35">
        <v>0.12675500000000001</v>
      </c>
    </row>
    <row r="877" spans="1:7" x14ac:dyDescent="0.3">
      <c r="A877" s="41" t="s">
        <v>63</v>
      </c>
      <c r="B877" s="48" t="s">
        <v>163</v>
      </c>
      <c r="C877" s="37">
        <v>46246</v>
      </c>
      <c r="D877" s="34" t="s">
        <v>24</v>
      </c>
      <c r="E877" s="41">
        <v>2341</v>
      </c>
      <c r="F877" s="33">
        <v>0.21904699999999999</v>
      </c>
      <c r="G877" s="35">
        <v>6.4852499999999993E-2</v>
      </c>
    </row>
    <row r="878" spans="1:7" x14ac:dyDescent="0.3">
      <c r="A878" s="41" t="s">
        <v>63</v>
      </c>
      <c r="B878" s="48" t="s">
        <v>163</v>
      </c>
      <c r="C878" s="37">
        <v>46246</v>
      </c>
      <c r="D878" s="34" t="s">
        <v>25</v>
      </c>
      <c r="E878" s="41">
        <v>1095</v>
      </c>
      <c r="F878" s="33">
        <v>0.24135499999999999</v>
      </c>
      <c r="G878" s="35">
        <v>5.7526300000000002E-2</v>
      </c>
    </row>
    <row r="879" spans="1:7" x14ac:dyDescent="0.3">
      <c r="A879" s="41" t="s">
        <v>63</v>
      </c>
      <c r="B879" s="48" t="s">
        <v>163</v>
      </c>
      <c r="C879" s="37">
        <v>46246</v>
      </c>
      <c r="D879" s="34" t="s">
        <v>26</v>
      </c>
      <c r="E879" s="41">
        <v>1895</v>
      </c>
      <c r="F879" s="33">
        <v>0.17096500000000001</v>
      </c>
      <c r="G879" s="35">
        <v>5.8447199999999998E-2</v>
      </c>
    </row>
    <row r="880" spans="1:7" x14ac:dyDescent="0.3">
      <c r="A880" s="41" t="s">
        <v>63</v>
      </c>
      <c r="B880" s="48" t="s">
        <v>163</v>
      </c>
      <c r="C880" s="37">
        <v>46246</v>
      </c>
      <c r="D880" s="34" t="s">
        <v>27</v>
      </c>
      <c r="E880" s="41">
        <v>1591</v>
      </c>
      <c r="F880" s="33">
        <v>0.337507</v>
      </c>
      <c r="G880" s="35">
        <v>7.7844700000000003E-2</v>
      </c>
    </row>
    <row r="881" spans="1:7" x14ac:dyDescent="0.3">
      <c r="A881" s="41" t="s">
        <v>63</v>
      </c>
      <c r="B881" s="48" t="s">
        <v>163</v>
      </c>
      <c r="C881" s="37">
        <v>46246</v>
      </c>
      <c r="D881" s="34" t="s">
        <v>28</v>
      </c>
      <c r="E881" s="41">
        <v>1029</v>
      </c>
      <c r="F881" s="33">
        <v>0.45597500000000002</v>
      </c>
      <c r="G881" s="35">
        <v>0.105598</v>
      </c>
    </row>
    <row r="882" spans="1:7" x14ac:dyDescent="0.3">
      <c r="A882" s="41" t="s">
        <v>63</v>
      </c>
      <c r="B882" s="48" t="s">
        <v>163</v>
      </c>
      <c r="C882" s="37">
        <v>46246</v>
      </c>
      <c r="D882" s="34" t="s">
        <v>29</v>
      </c>
      <c r="E882" s="41">
        <v>1274</v>
      </c>
      <c r="F882" s="33">
        <v>0.31540200000000002</v>
      </c>
      <c r="G882" s="35">
        <v>6.2736799999999995E-2</v>
      </c>
    </row>
    <row r="883" spans="1:7" x14ac:dyDescent="0.3">
      <c r="A883" s="41" t="s">
        <v>63</v>
      </c>
      <c r="B883" s="48" t="s">
        <v>163</v>
      </c>
      <c r="C883" s="37">
        <v>46246</v>
      </c>
      <c r="D883" s="34" t="s">
        <v>30</v>
      </c>
      <c r="E883" s="41">
        <v>1459</v>
      </c>
      <c r="F883" s="33">
        <v>0.78098199999999995</v>
      </c>
      <c r="G883" s="35">
        <v>0.16389999999999999</v>
      </c>
    </row>
    <row r="884" spans="1:7" x14ac:dyDescent="0.3">
      <c r="A884" s="41" t="s">
        <v>63</v>
      </c>
      <c r="B884" s="48" t="s">
        <v>136</v>
      </c>
      <c r="C884" s="37">
        <v>46246</v>
      </c>
      <c r="D884" s="34" t="s">
        <v>14</v>
      </c>
      <c r="E884" s="41">
        <v>2075</v>
      </c>
      <c r="F884" s="33">
        <v>0.61073299999999997</v>
      </c>
      <c r="G884" s="35">
        <v>0.17188100000000001</v>
      </c>
    </row>
    <row r="885" spans="1:7" x14ac:dyDescent="0.3">
      <c r="A885" s="41" t="s">
        <v>63</v>
      </c>
      <c r="B885" s="48" t="s">
        <v>136</v>
      </c>
      <c r="C885" s="37">
        <v>46246</v>
      </c>
      <c r="D885" s="34" t="s">
        <v>15</v>
      </c>
      <c r="E885" s="41">
        <v>1803</v>
      </c>
      <c r="F885" s="33">
        <v>0.836808</v>
      </c>
      <c r="G885" s="35">
        <v>0.22062999999999999</v>
      </c>
    </row>
    <row r="886" spans="1:7" x14ac:dyDescent="0.3">
      <c r="A886" s="41" t="s">
        <v>63</v>
      </c>
      <c r="B886" s="48" t="s">
        <v>136</v>
      </c>
      <c r="C886" s="37">
        <v>46246</v>
      </c>
      <c r="D886" s="34" t="s">
        <v>16</v>
      </c>
      <c r="E886" s="41">
        <v>1248</v>
      </c>
      <c r="F886" s="33">
        <v>0.422099</v>
      </c>
      <c r="G886" s="35">
        <v>9.8858100000000004E-2</v>
      </c>
    </row>
    <row r="887" spans="1:7" x14ac:dyDescent="0.3">
      <c r="A887" s="41" t="s">
        <v>63</v>
      </c>
      <c r="B887" s="48" t="s">
        <v>136</v>
      </c>
      <c r="C887" s="37">
        <v>46246</v>
      </c>
      <c r="D887" s="34" t="s">
        <v>17</v>
      </c>
      <c r="E887" s="41">
        <v>1814</v>
      </c>
      <c r="F887" s="33">
        <v>0.42316799999999999</v>
      </c>
      <c r="G887" s="35">
        <v>8.3366099999999999E-2</v>
      </c>
    </row>
    <row r="888" spans="1:7" x14ac:dyDescent="0.3">
      <c r="A888" s="41" t="s">
        <v>63</v>
      </c>
      <c r="B888" s="48" t="s">
        <v>136</v>
      </c>
      <c r="C888" s="37">
        <v>46246</v>
      </c>
      <c r="D888" s="34" t="s">
        <v>18</v>
      </c>
      <c r="E888" s="41">
        <v>1407</v>
      </c>
      <c r="F888" s="33">
        <v>0.59568299999999996</v>
      </c>
      <c r="G888" s="35">
        <v>0.14131199999999999</v>
      </c>
    </row>
    <row r="889" spans="1:7" x14ac:dyDescent="0.3">
      <c r="A889" s="41" t="s">
        <v>63</v>
      </c>
      <c r="B889" s="48" t="s">
        <v>136</v>
      </c>
      <c r="C889" s="37">
        <v>46246</v>
      </c>
      <c r="D889" s="34" t="s">
        <v>19</v>
      </c>
      <c r="E889" s="41">
        <v>1521</v>
      </c>
      <c r="F889" s="33">
        <v>1.4746300000000001</v>
      </c>
      <c r="G889" s="35">
        <v>0.30990099999999998</v>
      </c>
    </row>
    <row r="890" spans="1:7" x14ac:dyDescent="0.3">
      <c r="A890" s="41" t="s">
        <v>63</v>
      </c>
      <c r="B890" s="48" t="s">
        <v>136</v>
      </c>
      <c r="C890" s="37">
        <v>46246</v>
      </c>
      <c r="D890" s="34" t="s">
        <v>20</v>
      </c>
      <c r="E890" s="41">
        <v>1511</v>
      </c>
      <c r="F890" s="33">
        <v>0.77268899999999996</v>
      </c>
      <c r="G890" s="35">
        <v>0.16123699999999999</v>
      </c>
    </row>
    <row r="891" spans="1:7" x14ac:dyDescent="0.3">
      <c r="A891" s="41" t="s">
        <v>63</v>
      </c>
      <c r="B891" s="48" t="s">
        <v>136</v>
      </c>
      <c r="C891" s="37">
        <v>46246</v>
      </c>
      <c r="D891" s="34" t="s">
        <v>34</v>
      </c>
      <c r="E891" s="41">
        <v>1089</v>
      </c>
      <c r="F891" s="33">
        <v>0.31725700000000001</v>
      </c>
      <c r="G891" s="35">
        <v>9.5367800000000003E-2</v>
      </c>
    </row>
    <row r="892" spans="1:7" x14ac:dyDescent="0.3">
      <c r="A892" s="41" t="s">
        <v>63</v>
      </c>
      <c r="B892" s="48" t="s">
        <v>136</v>
      </c>
      <c r="C892" s="37">
        <v>46246</v>
      </c>
      <c r="D892" s="34" t="s">
        <v>21</v>
      </c>
      <c r="E892" s="41">
        <v>2360</v>
      </c>
      <c r="F892" s="33">
        <v>0.52617499999999995</v>
      </c>
      <c r="G892" s="35">
        <v>0.10256999999999999</v>
      </c>
    </row>
    <row r="893" spans="1:7" x14ac:dyDescent="0.3">
      <c r="A893" s="41" t="s">
        <v>63</v>
      </c>
      <c r="B893" s="48" t="s">
        <v>136</v>
      </c>
      <c r="C893" s="37">
        <v>46246</v>
      </c>
      <c r="D893" s="34" t="s">
        <v>22</v>
      </c>
      <c r="E893" s="41">
        <v>1402</v>
      </c>
      <c r="F893" s="33">
        <v>0.29166399999999998</v>
      </c>
      <c r="G893" s="35">
        <v>7.8948299999999999E-2</v>
      </c>
    </row>
    <row r="894" spans="1:7" x14ac:dyDescent="0.3">
      <c r="A894" s="41" t="s">
        <v>63</v>
      </c>
      <c r="B894" s="48" t="s">
        <v>136</v>
      </c>
      <c r="C894" s="37">
        <v>46246</v>
      </c>
      <c r="D894" s="34" t="s">
        <v>23</v>
      </c>
      <c r="E894" s="41">
        <v>1537</v>
      </c>
      <c r="F894" s="33">
        <v>0.41604099999999999</v>
      </c>
      <c r="G894" s="35">
        <v>0.13688900000000001</v>
      </c>
    </row>
    <row r="895" spans="1:7" x14ac:dyDescent="0.3">
      <c r="A895" s="41" t="s">
        <v>63</v>
      </c>
      <c r="B895" s="48" t="s">
        <v>136</v>
      </c>
      <c r="C895" s="37">
        <v>46246</v>
      </c>
      <c r="D895" s="34" t="s">
        <v>24</v>
      </c>
      <c r="E895" s="41">
        <v>2059</v>
      </c>
      <c r="F895" s="33">
        <v>0.18245900000000001</v>
      </c>
      <c r="G895" s="35">
        <v>5.6480700000000002E-2</v>
      </c>
    </row>
    <row r="896" spans="1:7" x14ac:dyDescent="0.3">
      <c r="A896" s="41" t="s">
        <v>63</v>
      </c>
      <c r="B896" s="48" t="s">
        <v>136</v>
      </c>
      <c r="C896" s="37">
        <v>46246</v>
      </c>
      <c r="D896" s="34" t="s">
        <v>25</v>
      </c>
      <c r="E896" s="41">
        <v>1004</v>
      </c>
      <c r="F896" s="33">
        <v>0.27812900000000002</v>
      </c>
      <c r="G896" s="35">
        <v>6.7163399999999998E-2</v>
      </c>
    </row>
    <row r="897" spans="1:7" x14ac:dyDescent="0.3">
      <c r="A897" s="41" t="s">
        <v>63</v>
      </c>
      <c r="B897" s="48" t="s">
        <v>136</v>
      </c>
      <c r="C897" s="37">
        <v>46246</v>
      </c>
      <c r="D897" s="34" t="s">
        <v>26</v>
      </c>
      <c r="E897" s="41">
        <v>1310</v>
      </c>
      <c r="F897" s="33">
        <v>0.19995299999999999</v>
      </c>
      <c r="G897" s="35">
        <v>6.3817100000000002E-2</v>
      </c>
    </row>
    <row r="898" spans="1:7" x14ac:dyDescent="0.3">
      <c r="A898" s="41" t="s">
        <v>63</v>
      </c>
      <c r="B898" s="48" t="s">
        <v>136</v>
      </c>
      <c r="C898" s="37">
        <v>46246</v>
      </c>
      <c r="D898" s="34" t="s">
        <v>27</v>
      </c>
      <c r="E898" s="41">
        <v>1089</v>
      </c>
      <c r="F898" s="33">
        <v>0.31719000000000003</v>
      </c>
      <c r="G898" s="35">
        <v>7.1652800000000003E-2</v>
      </c>
    </row>
    <row r="899" spans="1:7" x14ac:dyDescent="0.3">
      <c r="A899" s="41" t="s">
        <v>63</v>
      </c>
      <c r="B899" s="48" t="s">
        <v>136</v>
      </c>
      <c r="C899" s="37">
        <v>46246</v>
      </c>
      <c r="D899" s="34" t="s">
        <v>28</v>
      </c>
      <c r="E899" s="41">
        <v>1192</v>
      </c>
      <c r="F899" s="33">
        <v>0.25763000000000003</v>
      </c>
      <c r="G899" s="35">
        <v>5.7515700000000003E-2</v>
      </c>
    </row>
    <row r="900" spans="1:7" x14ac:dyDescent="0.3">
      <c r="A900" s="41" t="s">
        <v>63</v>
      </c>
      <c r="B900" s="48" t="s">
        <v>136</v>
      </c>
      <c r="C900" s="37">
        <v>46246</v>
      </c>
      <c r="D900" s="34" t="s">
        <v>29</v>
      </c>
      <c r="E900" s="41">
        <v>1386</v>
      </c>
      <c r="F900" s="33">
        <v>0.59838199999999997</v>
      </c>
      <c r="G900" s="35">
        <v>0.12384299999999999</v>
      </c>
    </row>
    <row r="901" spans="1:7" x14ac:dyDescent="0.3">
      <c r="A901" s="41" t="s">
        <v>63</v>
      </c>
      <c r="B901" s="48" t="s">
        <v>136</v>
      </c>
      <c r="C901" s="37">
        <v>46246</v>
      </c>
      <c r="D901" s="34" t="s">
        <v>30</v>
      </c>
      <c r="E901" s="41">
        <v>1283</v>
      </c>
      <c r="F901" s="33">
        <v>0.69742000000000004</v>
      </c>
      <c r="G901" s="35">
        <v>0.139793</v>
      </c>
    </row>
    <row r="902" spans="1:7" x14ac:dyDescent="0.3">
      <c r="A902" s="41" t="s">
        <v>63</v>
      </c>
      <c r="B902" s="48" t="s">
        <v>141</v>
      </c>
      <c r="C902" s="37">
        <v>46246</v>
      </c>
      <c r="D902" s="34" t="s">
        <v>14</v>
      </c>
      <c r="E902" s="41">
        <v>2683</v>
      </c>
      <c r="F902" s="33">
        <v>0.30937199999999998</v>
      </c>
      <c r="G902" s="35">
        <v>9.1898800000000003E-2</v>
      </c>
    </row>
    <row r="903" spans="1:7" x14ac:dyDescent="0.3">
      <c r="A903" s="41" t="s">
        <v>63</v>
      </c>
      <c r="B903" s="48" t="s">
        <v>141</v>
      </c>
      <c r="C903" s="37">
        <v>46246</v>
      </c>
      <c r="D903" s="34" t="s">
        <v>15</v>
      </c>
      <c r="E903" s="41">
        <v>2170</v>
      </c>
      <c r="F903" s="33">
        <v>0.42722700000000002</v>
      </c>
      <c r="G903" s="35">
        <v>0.116392</v>
      </c>
    </row>
    <row r="904" spans="1:7" x14ac:dyDescent="0.3">
      <c r="A904" s="41" t="s">
        <v>63</v>
      </c>
      <c r="B904" s="48" t="s">
        <v>141</v>
      </c>
      <c r="C904" s="37">
        <v>46246</v>
      </c>
      <c r="D904" s="34" t="s">
        <v>16</v>
      </c>
      <c r="E904" s="41">
        <v>1203</v>
      </c>
      <c r="F904" s="33">
        <v>0.29200599999999999</v>
      </c>
      <c r="G904" s="35">
        <v>6.90138E-2</v>
      </c>
    </row>
    <row r="905" spans="1:7" x14ac:dyDescent="0.3">
      <c r="A905" s="41" t="s">
        <v>63</v>
      </c>
      <c r="B905" s="48" t="s">
        <v>141</v>
      </c>
      <c r="C905" s="37">
        <v>46246</v>
      </c>
      <c r="D905" s="34" t="s">
        <v>17</v>
      </c>
      <c r="E905" s="41">
        <v>1833</v>
      </c>
      <c r="F905" s="33">
        <v>0.42316799999999999</v>
      </c>
      <c r="G905" s="35">
        <v>8.3366099999999999E-2</v>
      </c>
    </row>
    <row r="906" spans="1:7" x14ac:dyDescent="0.3">
      <c r="A906" s="41" t="s">
        <v>63</v>
      </c>
      <c r="B906" s="48" t="s">
        <v>141</v>
      </c>
      <c r="C906" s="37">
        <v>46246</v>
      </c>
      <c r="D906" s="34" t="s">
        <v>18</v>
      </c>
      <c r="E906" s="41">
        <v>1435</v>
      </c>
      <c r="F906" s="33">
        <v>0.59568299999999996</v>
      </c>
      <c r="G906" s="35">
        <v>0.14131199999999999</v>
      </c>
    </row>
    <row r="907" spans="1:7" x14ac:dyDescent="0.3">
      <c r="A907" s="41" t="s">
        <v>63</v>
      </c>
      <c r="B907" s="48" t="s">
        <v>141</v>
      </c>
      <c r="C907" s="37">
        <v>46246</v>
      </c>
      <c r="D907" s="34" t="s">
        <v>19</v>
      </c>
      <c r="E907" s="41">
        <v>1512</v>
      </c>
      <c r="F907" s="33">
        <v>0.90618900000000002</v>
      </c>
      <c r="G907" s="35">
        <v>0.18437700000000001</v>
      </c>
    </row>
    <row r="908" spans="1:7" x14ac:dyDescent="0.3">
      <c r="A908" s="41" t="s">
        <v>63</v>
      </c>
      <c r="B908" s="48" t="s">
        <v>141</v>
      </c>
      <c r="C908" s="37">
        <v>46246</v>
      </c>
      <c r="D908" s="34" t="s">
        <v>20</v>
      </c>
      <c r="E908" s="41">
        <v>1582</v>
      </c>
      <c r="F908" s="33">
        <v>0.71550499999999995</v>
      </c>
      <c r="G908" s="35">
        <v>0.143758</v>
      </c>
    </row>
    <row r="909" spans="1:7" x14ac:dyDescent="0.3">
      <c r="A909" s="41" t="s">
        <v>63</v>
      </c>
      <c r="B909" s="48" t="s">
        <v>141</v>
      </c>
      <c r="C909" s="37">
        <v>46246</v>
      </c>
      <c r="D909" s="34" t="s">
        <v>34</v>
      </c>
      <c r="E909" s="41">
        <v>1288</v>
      </c>
      <c r="F909" s="33">
        <v>0.19472</v>
      </c>
      <c r="G909" s="35">
        <v>5.5112000000000001E-2</v>
      </c>
    </row>
    <row r="910" spans="1:7" x14ac:dyDescent="0.3">
      <c r="A910" s="41" t="s">
        <v>63</v>
      </c>
      <c r="B910" s="48" t="s">
        <v>141</v>
      </c>
      <c r="C910" s="37">
        <v>46246</v>
      </c>
      <c r="D910" s="34" t="s">
        <v>21</v>
      </c>
      <c r="E910" s="41">
        <v>2445</v>
      </c>
      <c r="F910" s="33">
        <v>0.47140700000000002</v>
      </c>
      <c r="G910" s="35">
        <v>9.4234799999999994E-2</v>
      </c>
    </row>
    <row r="911" spans="1:7" x14ac:dyDescent="0.3">
      <c r="A911" s="41" t="s">
        <v>63</v>
      </c>
      <c r="B911" s="48" t="s">
        <v>141</v>
      </c>
      <c r="C911" s="37">
        <v>46246</v>
      </c>
      <c r="D911" s="34" t="s">
        <v>22</v>
      </c>
      <c r="E911" s="41">
        <v>1467</v>
      </c>
      <c r="F911" s="33">
        <v>0.37695400000000001</v>
      </c>
      <c r="G911" s="35">
        <v>9.6904500000000005E-2</v>
      </c>
    </row>
    <row r="912" spans="1:7" x14ac:dyDescent="0.3">
      <c r="A912" s="41" t="s">
        <v>63</v>
      </c>
      <c r="B912" s="48" t="s">
        <v>141</v>
      </c>
      <c r="C912" s="37">
        <v>46246</v>
      </c>
      <c r="D912" s="34" t="s">
        <v>23</v>
      </c>
      <c r="E912" s="41">
        <v>1713</v>
      </c>
      <c r="F912" s="33">
        <v>0.31794600000000001</v>
      </c>
      <c r="G912" s="35">
        <v>0.113223</v>
      </c>
    </row>
    <row r="913" spans="1:7" x14ac:dyDescent="0.3">
      <c r="A913" s="41" t="s">
        <v>63</v>
      </c>
      <c r="B913" s="48" t="s">
        <v>141</v>
      </c>
      <c r="C913" s="37">
        <v>46246</v>
      </c>
      <c r="D913" s="34" t="s">
        <v>24</v>
      </c>
      <c r="E913" s="41">
        <v>2497</v>
      </c>
      <c r="F913" s="33">
        <v>0.21368899999999999</v>
      </c>
      <c r="G913" s="35">
        <v>7.1075200000000005E-2</v>
      </c>
    </row>
    <row r="914" spans="1:7" x14ac:dyDescent="0.3">
      <c r="A914" s="41" t="s">
        <v>63</v>
      </c>
      <c r="B914" s="48" t="s">
        <v>141</v>
      </c>
      <c r="C914" s="37">
        <v>46246</v>
      </c>
      <c r="D914" s="34" t="s">
        <v>25</v>
      </c>
      <c r="E914" s="41">
        <v>1107</v>
      </c>
      <c r="F914" s="33">
        <v>0.20857899999999999</v>
      </c>
      <c r="G914" s="35">
        <v>5.2473800000000001E-2</v>
      </c>
    </row>
    <row r="915" spans="1:7" x14ac:dyDescent="0.3">
      <c r="A915" s="41" t="s">
        <v>63</v>
      </c>
      <c r="B915" s="48" t="s">
        <v>141</v>
      </c>
      <c r="C915" s="37">
        <v>46246</v>
      </c>
      <c r="D915" s="34" t="s">
        <v>26</v>
      </c>
      <c r="E915" s="41">
        <v>1580</v>
      </c>
      <c r="F915" s="33">
        <v>0.23075100000000001</v>
      </c>
      <c r="G915" s="35">
        <v>6.8616499999999997E-2</v>
      </c>
    </row>
    <row r="916" spans="1:7" x14ac:dyDescent="0.3">
      <c r="A916" s="41" t="s">
        <v>63</v>
      </c>
      <c r="B916" s="48" t="s">
        <v>141</v>
      </c>
      <c r="C916" s="37">
        <v>46246</v>
      </c>
      <c r="D916" s="34" t="s">
        <v>27</v>
      </c>
      <c r="E916" s="41">
        <v>1002</v>
      </c>
      <c r="F916" s="33">
        <v>0.44911200000000001</v>
      </c>
      <c r="G916" s="35">
        <v>0.103433</v>
      </c>
    </row>
    <row r="917" spans="1:7" x14ac:dyDescent="0.3">
      <c r="A917" s="41" t="s">
        <v>63</v>
      </c>
      <c r="B917" s="48" t="s">
        <v>141</v>
      </c>
      <c r="C917" s="37">
        <v>46246</v>
      </c>
      <c r="D917" s="34" t="s">
        <v>28</v>
      </c>
      <c r="E917" s="41">
        <v>1155</v>
      </c>
      <c r="F917" s="33">
        <v>0.55079199999999995</v>
      </c>
      <c r="G917" s="35">
        <v>0.122629</v>
      </c>
    </row>
    <row r="918" spans="1:7" x14ac:dyDescent="0.3">
      <c r="A918" s="41" t="s">
        <v>63</v>
      </c>
      <c r="B918" s="48" t="s">
        <v>141</v>
      </c>
      <c r="C918" s="37">
        <v>46246</v>
      </c>
      <c r="D918" s="34" t="s">
        <v>29</v>
      </c>
      <c r="E918" s="41">
        <v>1417</v>
      </c>
      <c r="F918" s="33">
        <v>0.30549100000000001</v>
      </c>
      <c r="G918" s="35">
        <v>6.4800499999999997E-2</v>
      </c>
    </row>
    <row r="919" spans="1:7" x14ac:dyDescent="0.3">
      <c r="A919" s="41" t="s">
        <v>63</v>
      </c>
      <c r="B919" s="48" t="s">
        <v>141</v>
      </c>
      <c r="C919" s="37">
        <v>46246</v>
      </c>
      <c r="D919" s="34" t="s">
        <v>30</v>
      </c>
      <c r="E919" s="41">
        <v>1247</v>
      </c>
      <c r="F919" s="33">
        <v>0.67066300000000001</v>
      </c>
      <c r="G919" s="35">
        <v>0.132188</v>
      </c>
    </row>
    <row r="920" spans="1:7" x14ac:dyDescent="0.3">
      <c r="A920" s="41" t="s">
        <v>63</v>
      </c>
      <c r="B920" s="48" t="s">
        <v>142</v>
      </c>
      <c r="C920" s="37">
        <v>46246</v>
      </c>
      <c r="D920" s="34" t="s">
        <v>14</v>
      </c>
      <c r="E920" s="41">
        <v>1842</v>
      </c>
      <c r="F920" s="33">
        <v>1.5818099999999999</v>
      </c>
      <c r="G920" s="35">
        <v>0.44534899999999999</v>
      </c>
    </row>
    <row r="921" spans="1:7" x14ac:dyDescent="0.3">
      <c r="A921" s="41" t="s">
        <v>63</v>
      </c>
      <c r="B921" s="48" t="s">
        <v>142</v>
      </c>
      <c r="C921" s="37">
        <v>46246</v>
      </c>
      <c r="D921" s="34" t="s">
        <v>15</v>
      </c>
      <c r="E921" s="41">
        <v>1455</v>
      </c>
      <c r="F921" s="33">
        <v>1.7665500000000001</v>
      </c>
      <c r="G921" s="35">
        <v>0.46729300000000001</v>
      </c>
    </row>
    <row r="922" spans="1:7" x14ac:dyDescent="0.3">
      <c r="A922" s="41" t="s">
        <v>63</v>
      </c>
      <c r="B922" s="48" t="s">
        <v>142</v>
      </c>
      <c r="C922" s="37">
        <v>46246</v>
      </c>
      <c r="D922" s="34" t="s">
        <v>16</v>
      </c>
      <c r="E922" s="41">
        <v>1004</v>
      </c>
      <c r="F922" s="33">
        <v>0.50111099999999997</v>
      </c>
      <c r="G922" s="35">
        <v>0.117565</v>
      </c>
    </row>
    <row r="923" spans="1:7" x14ac:dyDescent="0.3">
      <c r="A923" s="41" t="s">
        <v>63</v>
      </c>
      <c r="B923" s="48" t="s">
        <v>142</v>
      </c>
      <c r="C923" s="37">
        <v>46246</v>
      </c>
      <c r="D923" s="34" t="s">
        <v>17</v>
      </c>
      <c r="E923" s="41">
        <v>2030</v>
      </c>
      <c r="F923" s="33">
        <v>0.70398400000000005</v>
      </c>
      <c r="G923" s="35">
        <v>0.13963500000000001</v>
      </c>
    </row>
    <row r="924" spans="1:7" x14ac:dyDescent="0.3">
      <c r="A924" s="41" t="s">
        <v>63</v>
      </c>
      <c r="B924" s="48" t="s">
        <v>142</v>
      </c>
      <c r="C924" s="37">
        <v>46246</v>
      </c>
      <c r="D924" s="34" t="s">
        <v>18</v>
      </c>
      <c r="E924" s="41">
        <v>1268</v>
      </c>
      <c r="F924" s="33">
        <v>1.62218</v>
      </c>
      <c r="G924" s="35">
        <v>0.38552599999999998</v>
      </c>
    </row>
    <row r="925" spans="1:7" x14ac:dyDescent="0.3">
      <c r="A925" s="41" t="s">
        <v>63</v>
      </c>
      <c r="B925" s="48" t="s">
        <v>142</v>
      </c>
      <c r="C925" s="37">
        <v>46246</v>
      </c>
      <c r="D925" s="34" t="s">
        <v>19</v>
      </c>
      <c r="E925" s="41">
        <v>1477</v>
      </c>
      <c r="F925" s="33">
        <v>1.74108</v>
      </c>
      <c r="G925" s="35">
        <v>0.36779699999999999</v>
      </c>
    </row>
    <row r="926" spans="1:7" x14ac:dyDescent="0.3">
      <c r="A926" s="41" t="s">
        <v>63</v>
      </c>
      <c r="B926" s="48" t="s">
        <v>142</v>
      </c>
      <c r="C926" s="37">
        <v>46246</v>
      </c>
      <c r="D926" s="34" t="s">
        <v>20</v>
      </c>
      <c r="E926" s="41">
        <v>1456</v>
      </c>
      <c r="F926" s="33">
        <v>1.5929199999999999</v>
      </c>
      <c r="G926" s="35">
        <v>0.33326</v>
      </c>
    </row>
    <row r="927" spans="1:7" x14ac:dyDescent="0.3">
      <c r="A927" s="41" t="s">
        <v>63</v>
      </c>
      <c r="B927" s="48" t="s">
        <v>142</v>
      </c>
      <c r="C927" s="37">
        <v>46246</v>
      </c>
      <c r="D927" s="34" t="s">
        <v>34</v>
      </c>
      <c r="E927" s="41">
        <v>1071</v>
      </c>
      <c r="F927" s="33">
        <v>0.68545500000000004</v>
      </c>
      <c r="G927" s="35">
        <v>0.20788699999999999</v>
      </c>
    </row>
    <row r="928" spans="1:7" x14ac:dyDescent="0.3">
      <c r="A928" s="41" t="s">
        <v>63</v>
      </c>
      <c r="B928" s="48" t="s">
        <v>142</v>
      </c>
      <c r="C928" s="37">
        <v>46246</v>
      </c>
      <c r="D928" s="34" t="s">
        <v>21</v>
      </c>
      <c r="E928" s="41">
        <v>2477</v>
      </c>
      <c r="F928" s="33">
        <v>0.71321500000000004</v>
      </c>
      <c r="G928" s="35">
        <v>0.13899900000000001</v>
      </c>
    </row>
    <row r="929" spans="1:7" x14ac:dyDescent="0.3">
      <c r="A929" s="41" t="s">
        <v>63</v>
      </c>
      <c r="B929" s="48" t="s">
        <v>142</v>
      </c>
      <c r="C929" s="37">
        <v>46246</v>
      </c>
      <c r="D929" s="34" t="s">
        <v>22</v>
      </c>
      <c r="E929" s="41">
        <v>1664</v>
      </c>
      <c r="F929" s="33">
        <v>1.2822</v>
      </c>
      <c r="G929" s="35">
        <v>0.34958600000000001</v>
      </c>
    </row>
    <row r="930" spans="1:7" x14ac:dyDescent="0.3">
      <c r="A930" s="41" t="s">
        <v>63</v>
      </c>
      <c r="B930" s="48" t="s">
        <v>142</v>
      </c>
      <c r="C930" s="37">
        <v>46246</v>
      </c>
      <c r="D930" s="34" t="s">
        <v>23</v>
      </c>
      <c r="E930" s="41">
        <v>1378</v>
      </c>
      <c r="F930" s="33">
        <v>0.29906199999999999</v>
      </c>
      <c r="G930" s="35">
        <v>9.82402E-2</v>
      </c>
    </row>
    <row r="931" spans="1:7" x14ac:dyDescent="0.3">
      <c r="A931" s="41" t="s">
        <v>63</v>
      </c>
      <c r="B931" s="48" t="s">
        <v>142</v>
      </c>
      <c r="C931" s="37">
        <v>46246</v>
      </c>
      <c r="D931" s="34" t="s">
        <v>24</v>
      </c>
      <c r="E931" s="41">
        <v>1864</v>
      </c>
      <c r="F931" s="33">
        <v>0.340582</v>
      </c>
      <c r="G931" s="35">
        <v>0.104976</v>
      </c>
    </row>
    <row r="932" spans="1:7" x14ac:dyDescent="0.3">
      <c r="A932" s="41" t="s">
        <v>63</v>
      </c>
      <c r="B932" s="48" t="s">
        <v>142</v>
      </c>
      <c r="C932" s="37">
        <v>46246</v>
      </c>
      <c r="D932" s="34" t="s">
        <v>25</v>
      </c>
      <c r="E932" s="41">
        <v>1127</v>
      </c>
      <c r="F932" s="33">
        <v>0.30177900000000002</v>
      </c>
      <c r="G932" s="35">
        <v>7.2733400000000004E-2</v>
      </c>
    </row>
    <row r="933" spans="1:7" x14ac:dyDescent="0.3">
      <c r="A933" s="41" t="s">
        <v>63</v>
      </c>
      <c r="B933" s="48" t="s">
        <v>142</v>
      </c>
      <c r="C933" s="37">
        <v>46246</v>
      </c>
      <c r="D933" s="34" t="s">
        <v>26</v>
      </c>
      <c r="E933" s="41">
        <v>1616</v>
      </c>
      <c r="F933" s="33">
        <v>0.18582799999999999</v>
      </c>
      <c r="G933" s="35">
        <v>5.9869100000000001E-2</v>
      </c>
    </row>
    <row r="934" spans="1:7" x14ac:dyDescent="0.3">
      <c r="A934" s="41" t="s">
        <v>63</v>
      </c>
      <c r="B934" s="48" t="s">
        <v>142</v>
      </c>
      <c r="C934" s="37">
        <v>46246</v>
      </c>
      <c r="D934" s="34" t="s">
        <v>27</v>
      </c>
      <c r="E934" s="41">
        <v>1186</v>
      </c>
      <c r="F934" s="33">
        <v>0.55137800000000003</v>
      </c>
      <c r="G934" s="35">
        <v>0.12540499999999999</v>
      </c>
    </row>
    <row r="935" spans="1:7" x14ac:dyDescent="0.3">
      <c r="A935" s="41" t="s">
        <v>63</v>
      </c>
      <c r="B935" s="48" t="s">
        <v>142</v>
      </c>
      <c r="C935" s="37">
        <v>46246</v>
      </c>
      <c r="D935" s="34" t="s">
        <v>28</v>
      </c>
      <c r="E935" s="41">
        <v>1114</v>
      </c>
      <c r="F935" s="33">
        <v>0.25556699999999999</v>
      </c>
      <c r="G935" s="35">
        <v>5.7430799999999997E-2</v>
      </c>
    </row>
    <row r="936" spans="1:7" x14ac:dyDescent="0.3">
      <c r="A936" s="41" t="s">
        <v>63</v>
      </c>
      <c r="B936" s="48" t="s">
        <v>142</v>
      </c>
      <c r="C936" s="37">
        <v>46246</v>
      </c>
      <c r="D936" s="34" t="s">
        <v>29</v>
      </c>
      <c r="E936" s="41">
        <v>1155</v>
      </c>
      <c r="F936" s="33">
        <v>0.59922799999999998</v>
      </c>
      <c r="G936" s="35">
        <v>0.124347</v>
      </c>
    </row>
    <row r="937" spans="1:7" x14ac:dyDescent="0.3">
      <c r="A937" s="41" t="s">
        <v>63</v>
      </c>
      <c r="B937" s="48" t="s">
        <v>142</v>
      </c>
      <c r="C937" s="37">
        <v>46246</v>
      </c>
      <c r="D937" s="34" t="s">
        <v>30</v>
      </c>
      <c r="E937" s="41">
        <v>1362</v>
      </c>
      <c r="F937" s="33">
        <v>0.78241700000000003</v>
      </c>
      <c r="G937" s="35">
        <v>0.15779799999999999</v>
      </c>
    </row>
    <row r="938" spans="1:7" x14ac:dyDescent="0.3">
      <c r="A938" s="41" t="s">
        <v>63</v>
      </c>
      <c r="B938" s="48" t="s">
        <v>164</v>
      </c>
      <c r="C938" s="37">
        <v>46246</v>
      </c>
      <c r="D938" s="34" t="s">
        <v>14</v>
      </c>
      <c r="E938" s="41">
        <v>1683</v>
      </c>
      <c r="F938" s="33">
        <v>0.28791800000000001</v>
      </c>
      <c r="G938" s="35">
        <v>8.0959900000000001E-2</v>
      </c>
    </row>
    <row r="939" spans="1:7" x14ac:dyDescent="0.3">
      <c r="A939" s="41" t="s">
        <v>63</v>
      </c>
      <c r="B939" s="48" t="s">
        <v>164</v>
      </c>
      <c r="C939" s="37">
        <v>46246</v>
      </c>
      <c r="D939" s="34" t="s">
        <v>15</v>
      </c>
      <c r="E939" s="41">
        <v>1542</v>
      </c>
      <c r="F939" s="33">
        <v>0.37459399999999998</v>
      </c>
      <c r="G939" s="35">
        <v>9.8652500000000004E-2</v>
      </c>
    </row>
    <row r="940" spans="1:7" x14ac:dyDescent="0.3">
      <c r="A940" s="41" t="s">
        <v>63</v>
      </c>
      <c r="B940" s="48" t="s">
        <v>164</v>
      </c>
      <c r="C940" s="37">
        <v>46246</v>
      </c>
      <c r="D940" s="34" t="s">
        <v>16</v>
      </c>
      <c r="E940" s="41">
        <v>1003</v>
      </c>
      <c r="F940" s="33">
        <v>0.38369700000000001</v>
      </c>
      <c r="G940" s="35">
        <v>9.0057999999999999E-2</v>
      </c>
    </row>
    <row r="941" spans="1:7" x14ac:dyDescent="0.3">
      <c r="A941" s="41" t="s">
        <v>63</v>
      </c>
      <c r="B941" s="48" t="s">
        <v>164</v>
      </c>
      <c r="C941" s="37">
        <v>46246</v>
      </c>
      <c r="D941" s="34" t="s">
        <v>17</v>
      </c>
      <c r="E941" s="41">
        <v>2037</v>
      </c>
      <c r="F941" s="33">
        <v>0.45769599999999999</v>
      </c>
      <c r="G941" s="35">
        <v>9.0551999999999994E-2</v>
      </c>
    </row>
    <row r="942" spans="1:7" x14ac:dyDescent="0.3">
      <c r="A942" s="41" t="s">
        <v>63</v>
      </c>
      <c r="B942" s="48" t="s">
        <v>164</v>
      </c>
      <c r="C942" s="37">
        <v>46246</v>
      </c>
      <c r="D942" s="34" t="s">
        <v>18</v>
      </c>
      <c r="E942" s="41">
        <v>1376</v>
      </c>
      <c r="F942" s="33">
        <v>0.24545800000000001</v>
      </c>
      <c r="G942" s="35">
        <v>5.8411200000000003E-2</v>
      </c>
    </row>
    <row r="943" spans="1:7" x14ac:dyDescent="0.3">
      <c r="A943" s="41" t="s">
        <v>63</v>
      </c>
      <c r="B943" s="48" t="s">
        <v>164</v>
      </c>
      <c r="C943" s="37">
        <v>46246</v>
      </c>
      <c r="D943" s="34" t="s">
        <v>19</v>
      </c>
      <c r="E943" s="41">
        <v>1716</v>
      </c>
      <c r="F943" s="33">
        <v>0.33059899999999998</v>
      </c>
      <c r="G943" s="35">
        <v>6.9513400000000003E-2</v>
      </c>
    </row>
    <row r="944" spans="1:7" x14ac:dyDescent="0.3">
      <c r="A944" s="41" t="s">
        <v>63</v>
      </c>
      <c r="B944" s="48" t="s">
        <v>164</v>
      </c>
      <c r="C944" s="37">
        <v>46246</v>
      </c>
      <c r="D944" s="34" t="s">
        <v>20</v>
      </c>
      <c r="E944" s="41">
        <v>1710</v>
      </c>
      <c r="F944" s="33">
        <v>0.40410600000000002</v>
      </c>
      <c r="G944" s="35">
        <v>8.4524000000000002E-2</v>
      </c>
    </row>
    <row r="945" spans="1:7" x14ac:dyDescent="0.3">
      <c r="A945" s="41" t="s">
        <v>63</v>
      </c>
      <c r="B945" s="48" t="s">
        <v>164</v>
      </c>
      <c r="C945" s="37">
        <v>46246</v>
      </c>
      <c r="D945" s="34" t="s">
        <v>34</v>
      </c>
      <c r="E945" s="41">
        <v>1163</v>
      </c>
      <c r="F945" s="33">
        <v>0.20267299999999999</v>
      </c>
      <c r="G945" s="35">
        <v>6.1436400000000002E-2</v>
      </c>
    </row>
    <row r="946" spans="1:7" x14ac:dyDescent="0.3">
      <c r="A946" s="41" t="s">
        <v>63</v>
      </c>
      <c r="B946" s="48" t="s">
        <v>164</v>
      </c>
      <c r="C946" s="37">
        <v>46246</v>
      </c>
      <c r="D946" s="34" t="s">
        <v>21</v>
      </c>
      <c r="E946" s="41">
        <v>2627</v>
      </c>
      <c r="F946" s="33">
        <v>0.35921599999999998</v>
      </c>
      <c r="G946" s="35">
        <v>6.98965E-2</v>
      </c>
    </row>
    <row r="947" spans="1:7" x14ac:dyDescent="0.3">
      <c r="A947" s="41" t="s">
        <v>63</v>
      </c>
      <c r="B947" s="48" t="s">
        <v>164</v>
      </c>
      <c r="C947" s="37">
        <v>46246</v>
      </c>
      <c r="D947" s="34" t="s">
        <v>22</v>
      </c>
      <c r="E947" s="41">
        <v>1493</v>
      </c>
      <c r="F947" s="33">
        <v>0.34558699999999998</v>
      </c>
      <c r="G947" s="35">
        <v>9.3879599999999994E-2</v>
      </c>
    </row>
    <row r="948" spans="1:7" x14ac:dyDescent="0.3">
      <c r="A948" s="41" t="s">
        <v>63</v>
      </c>
      <c r="B948" s="48" t="s">
        <v>164</v>
      </c>
      <c r="C948" s="37">
        <v>46246</v>
      </c>
      <c r="D948" s="34" t="s">
        <v>23</v>
      </c>
      <c r="E948" s="41">
        <v>1093</v>
      </c>
      <c r="F948" s="33">
        <v>0.328629</v>
      </c>
      <c r="G948" s="35">
        <v>0.10785699999999999</v>
      </c>
    </row>
    <row r="949" spans="1:7" x14ac:dyDescent="0.3">
      <c r="A949" s="41" t="s">
        <v>63</v>
      </c>
      <c r="B949" s="48" t="s">
        <v>164</v>
      </c>
      <c r="C949" s="37">
        <v>46246</v>
      </c>
      <c r="D949" s="34" t="s">
        <v>24</v>
      </c>
      <c r="E949" s="41">
        <v>1769</v>
      </c>
      <c r="F949" s="33">
        <v>0.23980599999999999</v>
      </c>
      <c r="G949" s="35">
        <v>7.3883699999999997E-2</v>
      </c>
    </row>
    <row r="950" spans="1:7" x14ac:dyDescent="0.3">
      <c r="A950" s="41" t="s">
        <v>63</v>
      </c>
      <c r="B950" s="48" t="s">
        <v>164</v>
      </c>
      <c r="C950" s="37">
        <v>46246</v>
      </c>
      <c r="D950" s="34" t="s">
        <v>25</v>
      </c>
      <c r="E950" s="41">
        <v>1062</v>
      </c>
      <c r="F950" s="33">
        <v>0.20179</v>
      </c>
      <c r="G950" s="35">
        <v>4.8508799999999998E-2</v>
      </c>
    </row>
    <row r="951" spans="1:7" x14ac:dyDescent="0.3">
      <c r="A951" s="41" t="s">
        <v>63</v>
      </c>
      <c r="B951" s="48" t="s">
        <v>164</v>
      </c>
      <c r="C951" s="37">
        <v>46246</v>
      </c>
      <c r="D951" s="34" t="s">
        <v>26</v>
      </c>
      <c r="E951" s="41">
        <v>1622</v>
      </c>
      <c r="F951" s="33">
        <v>0.193277</v>
      </c>
      <c r="G951" s="35">
        <v>6.21506E-2</v>
      </c>
    </row>
    <row r="952" spans="1:7" x14ac:dyDescent="0.3">
      <c r="A952" s="41" t="s">
        <v>63</v>
      </c>
      <c r="B952" s="48" t="s">
        <v>164</v>
      </c>
      <c r="C952" s="37">
        <v>46246</v>
      </c>
      <c r="D952" s="34" t="s">
        <v>27</v>
      </c>
      <c r="E952" s="41">
        <v>1489</v>
      </c>
      <c r="F952" s="33">
        <v>0.27049299999999998</v>
      </c>
      <c r="G952" s="35">
        <v>6.13748E-2</v>
      </c>
    </row>
    <row r="953" spans="1:7" x14ac:dyDescent="0.3">
      <c r="A953" s="41" t="s">
        <v>63</v>
      </c>
      <c r="B953" s="48" t="s">
        <v>164</v>
      </c>
      <c r="C953" s="37">
        <v>46246</v>
      </c>
      <c r="D953" s="34" t="s">
        <v>28</v>
      </c>
      <c r="E953" s="41">
        <v>1456</v>
      </c>
      <c r="F953" s="33">
        <v>0.23838899999999999</v>
      </c>
      <c r="G953" s="35">
        <v>5.3503700000000001E-2</v>
      </c>
    </row>
    <row r="954" spans="1:7" x14ac:dyDescent="0.3">
      <c r="A954" s="41" t="s">
        <v>63</v>
      </c>
      <c r="B954" s="48" t="s">
        <v>164</v>
      </c>
      <c r="C954" s="37">
        <v>46246</v>
      </c>
      <c r="D954" s="34" t="s">
        <v>29</v>
      </c>
      <c r="E954" s="41">
        <v>1192</v>
      </c>
      <c r="F954" s="33">
        <v>0.31917299999999998</v>
      </c>
      <c r="G954" s="35">
        <v>6.6100599999999995E-2</v>
      </c>
    </row>
    <row r="955" spans="1:7" x14ac:dyDescent="0.3">
      <c r="A955" s="41" t="s">
        <v>63</v>
      </c>
      <c r="B955" s="48" t="s">
        <v>164</v>
      </c>
      <c r="C955" s="37">
        <v>46246</v>
      </c>
      <c r="D955" s="34" t="s">
        <v>30</v>
      </c>
      <c r="E955" s="41">
        <v>1261</v>
      </c>
      <c r="F955" s="33">
        <v>0.39015899999999998</v>
      </c>
      <c r="G955" s="35">
        <v>7.8531599999999993E-2</v>
      </c>
    </row>
    <row r="956" spans="1:7" x14ac:dyDescent="0.3">
      <c r="A956" s="41" t="s">
        <v>63</v>
      </c>
      <c r="B956" s="48" t="s">
        <v>145</v>
      </c>
      <c r="C956" s="37">
        <v>46246</v>
      </c>
      <c r="D956" s="34" t="s">
        <v>14</v>
      </c>
      <c r="E956" s="41">
        <v>2560</v>
      </c>
      <c r="F956" s="33">
        <v>0.43761499999999998</v>
      </c>
      <c r="G956" s="35">
        <v>0.123062</v>
      </c>
    </row>
    <row r="957" spans="1:7" x14ac:dyDescent="0.3">
      <c r="A957" s="41" t="s">
        <v>63</v>
      </c>
      <c r="B957" s="48" t="s">
        <v>145</v>
      </c>
      <c r="C957" s="37">
        <v>46246</v>
      </c>
      <c r="D957" s="34" t="s">
        <v>15</v>
      </c>
      <c r="E957" s="41">
        <v>2050</v>
      </c>
      <c r="F957" s="33">
        <v>0.50001200000000001</v>
      </c>
      <c r="G957" s="35">
        <v>0.131749</v>
      </c>
    </row>
    <row r="958" spans="1:7" x14ac:dyDescent="0.3">
      <c r="A958" s="41" t="s">
        <v>63</v>
      </c>
      <c r="B958" s="48" t="s">
        <v>145</v>
      </c>
      <c r="C958" s="37">
        <v>46246</v>
      </c>
      <c r="D958" s="34" t="s">
        <v>16</v>
      </c>
      <c r="E958" s="41">
        <v>1004</v>
      </c>
      <c r="F958" s="33">
        <v>0.396677</v>
      </c>
      <c r="G958" s="35">
        <v>9.3064800000000003E-2</v>
      </c>
    </row>
    <row r="959" spans="1:7" x14ac:dyDescent="0.3">
      <c r="A959" s="41" t="s">
        <v>63</v>
      </c>
      <c r="B959" s="48" t="s">
        <v>145</v>
      </c>
      <c r="C959" s="37">
        <v>46246</v>
      </c>
      <c r="D959" s="34" t="s">
        <v>17</v>
      </c>
      <c r="E959" s="41">
        <v>1927</v>
      </c>
      <c r="F959" s="33">
        <v>0.42604999999999998</v>
      </c>
      <c r="G959" s="35">
        <v>8.4276400000000001E-2</v>
      </c>
    </row>
    <row r="960" spans="1:7" x14ac:dyDescent="0.3">
      <c r="A960" s="41" t="s">
        <v>63</v>
      </c>
      <c r="B960" s="48" t="s">
        <v>145</v>
      </c>
      <c r="C960" s="37">
        <v>46246</v>
      </c>
      <c r="D960" s="34" t="s">
        <v>18</v>
      </c>
      <c r="E960" s="41">
        <v>1648</v>
      </c>
      <c r="F960" s="33">
        <v>0.23693500000000001</v>
      </c>
      <c r="G960" s="35">
        <v>5.6362200000000001E-2</v>
      </c>
    </row>
    <row r="961" spans="1:7" x14ac:dyDescent="0.3">
      <c r="A961" s="41" t="s">
        <v>63</v>
      </c>
      <c r="B961" s="48" t="s">
        <v>145</v>
      </c>
      <c r="C961" s="37">
        <v>46246</v>
      </c>
      <c r="D961" s="34" t="s">
        <v>19</v>
      </c>
      <c r="E961" s="41">
        <v>1785</v>
      </c>
      <c r="F961" s="33">
        <v>0.30307200000000001</v>
      </c>
      <c r="G961" s="35">
        <v>6.3706200000000004E-2</v>
      </c>
    </row>
    <row r="962" spans="1:7" x14ac:dyDescent="0.3">
      <c r="A962" s="41" t="s">
        <v>63</v>
      </c>
      <c r="B962" s="48" t="s">
        <v>145</v>
      </c>
      <c r="C962" s="37">
        <v>46246</v>
      </c>
      <c r="D962" s="34" t="s">
        <v>20</v>
      </c>
      <c r="E962" s="41">
        <v>1632</v>
      </c>
      <c r="F962" s="33">
        <v>0.29898000000000002</v>
      </c>
      <c r="G962" s="35">
        <v>6.2529699999999994E-2</v>
      </c>
    </row>
    <row r="963" spans="1:7" x14ac:dyDescent="0.3">
      <c r="A963" s="41" t="s">
        <v>63</v>
      </c>
      <c r="B963" s="48" t="s">
        <v>145</v>
      </c>
      <c r="C963" s="37">
        <v>46246</v>
      </c>
      <c r="D963" s="34" t="s">
        <v>34</v>
      </c>
      <c r="E963" s="41">
        <v>1124</v>
      </c>
      <c r="F963" s="33">
        <v>0.23336999999999999</v>
      </c>
      <c r="G963" s="35">
        <v>7.0697200000000002E-2</v>
      </c>
    </row>
    <row r="964" spans="1:7" x14ac:dyDescent="0.3">
      <c r="A964" s="41" t="s">
        <v>63</v>
      </c>
      <c r="B964" s="48" t="s">
        <v>145</v>
      </c>
      <c r="C964" s="37">
        <v>46246</v>
      </c>
      <c r="D964" s="34" t="s">
        <v>21</v>
      </c>
      <c r="E964" s="41">
        <v>2293</v>
      </c>
      <c r="F964" s="33">
        <v>0.50419899999999995</v>
      </c>
      <c r="G964" s="35">
        <v>9.8090200000000002E-2</v>
      </c>
    </row>
    <row r="965" spans="1:7" x14ac:dyDescent="0.3">
      <c r="A965" s="41" t="s">
        <v>63</v>
      </c>
      <c r="B965" s="48" t="s">
        <v>145</v>
      </c>
      <c r="C965" s="37">
        <v>46246</v>
      </c>
      <c r="D965" s="34" t="s">
        <v>22</v>
      </c>
      <c r="E965" s="41">
        <v>2004</v>
      </c>
      <c r="F965" s="33">
        <v>0.36100599999999999</v>
      </c>
      <c r="G965" s="35">
        <v>9.8004800000000003E-2</v>
      </c>
    </row>
    <row r="966" spans="1:7" x14ac:dyDescent="0.3">
      <c r="A966" s="41" t="s">
        <v>63</v>
      </c>
      <c r="B966" s="48" t="s">
        <v>145</v>
      </c>
      <c r="C966" s="37">
        <v>46246</v>
      </c>
      <c r="D966" s="34" t="s">
        <v>23</v>
      </c>
      <c r="E966" s="41">
        <v>1517</v>
      </c>
      <c r="F966" s="33">
        <v>0.55817000000000005</v>
      </c>
      <c r="G966" s="35">
        <v>0.18329200000000001</v>
      </c>
    </row>
    <row r="967" spans="1:7" x14ac:dyDescent="0.3">
      <c r="A967" s="41" t="s">
        <v>63</v>
      </c>
      <c r="B967" s="48" t="s">
        <v>145</v>
      </c>
      <c r="C967" s="37">
        <v>46246</v>
      </c>
      <c r="D967" s="34" t="s">
        <v>24</v>
      </c>
      <c r="E967" s="41">
        <v>1909</v>
      </c>
      <c r="F967" s="33">
        <v>0.181394</v>
      </c>
      <c r="G967" s="35">
        <v>5.5835000000000003E-2</v>
      </c>
    </row>
    <row r="968" spans="1:7" x14ac:dyDescent="0.3">
      <c r="A968" s="41" t="s">
        <v>63</v>
      </c>
      <c r="B968" s="48" t="s">
        <v>145</v>
      </c>
      <c r="C968" s="37">
        <v>46246</v>
      </c>
      <c r="D968" s="34" t="s">
        <v>25</v>
      </c>
      <c r="E968" s="41">
        <v>1010</v>
      </c>
      <c r="F968" s="33">
        <v>0.23325399999999999</v>
      </c>
      <c r="G968" s="35">
        <v>5.60755E-2</v>
      </c>
    </row>
    <row r="969" spans="1:7" x14ac:dyDescent="0.3">
      <c r="A969" s="41" t="s">
        <v>63</v>
      </c>
      <c r="B969" s="48" t="s">
        <v>145</v>
      </c>
      <c r="C969" s="37">
        <v>46246</v>
      </c>
      <c r="D969" s="34" t="s">
        <v>26</v>
      </c>
      <c r="E969" s="41">
        <v>1846</v>
      </c>
      <c r="F969" s="33">
        <v>0.15140600000000001</v>
      </c>
      <c r="G969" s="35">
        <v>4.8649299999999999E-2</v>
      </c>
    </row>
    <row r="970" spans="1:7" x14ac:dyDescent="0.3">
      <c r="A970" s="41" t="s">
        <v>63</v>
      </c>
      <c r="B970" s="48" t="s">
        <v>145</v>
      </c>
      <c r="C970" s="37">
        <v>46246</v>
      </c>
      <c r="D970" s="34" t="s">
        <v>27</v>
      </c>
      <c r="E970" s="41">
        <v>1168</v>
      </c>
      <c r="F970" s="33">
        <v>0.32158199999999998</v>
      </c>
      <c r="G970" s="35">
        <v>7.2941400000000003E-2</v>
      </c>
    </row>
    <row r="971" spans="1:7" x14ac:dyDescent="0.3">
      <c r="A971" s="41" t="s">
        <v>63</v>
      </c>
      <c r="B971" s="48" t="s">
        <v>145</v>
      </c>
      <c r="C971" s="37">
        <v>46246</v>
      </c>
      <c r="D971" s="34" t="s">
        <v>28</v>
      </c>
      <c r="E971" s="41">
        <v>1397</v>
      </c>
      <c r="F971" s="33">
        <v>0.30777500000000002</v>
      </c>
      <c r="G971" s="35">
        <v>6.9066799999999998E-2</v>
      </c>
    </row>
    <row r="972" spans="1:7" x14ac:dyDescent="0.3">
      <c r="A972" s="41" t="s">
        <v>63</v>
      </c>
      <c r="B972" s="48" t="s">
        <v>145</v>
      </c>
      <c r="C972" s="37">
        <v>46246</v>
      </c>
      <c r="D972" s="34" t="s">
        <v>29</v>
      </c>
      <c r="E972" s="41">
        <v>1221</v>
      </c>
      <c r="F972" s="33">
        <v>0.29533199999999998</v>
      </c>
      <c r="G972" s="35">
        <v>6.1141300000000003E-2</v>
      </c>
    </row>
    <row r="973" spans="1:7" x14ac:dyDescent="0.3">
      <c r="A973" s="41" t="s">
        <v>63</v>
      </c>
      <c r="B973" s="48" t="s">
        <v>145</v>
      </c>
      <c r="C973" s="37">
        <v>46246</v>
      </c>
      <c r="D973" s="34" t="s">
        <v>30</v>
      </c>
      <c r="E973" s="41">
        <v>1444</v>
      </c>
      <c r="F973" s="33">
        <v>0.38087300000000002</v>
      </c>
      <c r="G973" s="35">
        <v>7.6615100000000005E-2</v>
      </c>
    </row>
    <row r="974" spans="1:7" x14ac:dyDescent="0.3">
      <c r="A974" s="41" t="s">
        <v>63</v>
      </c>
      <c r="B974" s="48" t="s">
        <v>146</v>
      </c>
      <c r="C974" s="37">
        <v>46246</v>
      </c>
      <c r="D974" s="34" t="s">
        <v>14</v>
      </c>
      <c r="E974" s="41">
        <v>2389</v>
      </c>
      <c r="F974" s="33">
        <v>0.36908299999999999</v>
      </c>
      <c r="G974" s="35">
        <v>0.103765</v>
      </c>
    </row>
    <row r="975" spans="1:7" x14ac:dyDescent="0.3">
      <c r="A975" s="41" t="s">
        <v>63</v>
      </c>
      <c r="B975" s="48" t="s">
        <v>146</v>
      </c>
      <c r="C975" s="37">
        <v>46246</v>
      </c>
      <c r="D975" s="34" t="s">
        <v>15</v>
      </c>
      <c r="E975" s="41">
        <v>1852</v>
      </c>
      <c r="F975" s="33">
        <v>0.38283699999999998</v>
      </c>
      <c r="G975" s="35">
        <v>0.100854</v>
      </c>
    </row>
    <row r="976" spans="1:7" x14ac:dyDescent="0.3">
      <c r="A976" s="41" t="s">
        <v>63</v>
      </c>
      <c r="B976" s="48" t="s">
        <v>146</v>
      </c>
      <c r="C976" s="37">
        <v>46246</v>
      </c>
      <c r="D976" s="34" t="s">
        <v>16</v>
      </c>
      <c r="E976" s="41">
        <v>1102</v>
      </c>
      <c r="F976" s="33">
        <v>0.37531599999999998</v>
      </c>
      <c r="G976" s="35">
        <v>8.8076299999999996E-2</v>
      </c>
    </row>
    <row r="977" spans="1:7" x14ac:dyDescent="0.3">
      <c r="A977" s="41" t="s">
        <v>63</v>
      </c>
      <c r="B977" s="48" t="s">
        <v>146</v>
      </c>
      <c r="C977" s="37">
        <v>46246</v>
      </c>
      <c r="D977" s="34" t="s">
        <v>17</v>
      </c>
      <c r="E977" s="41">
        <v>1773</v>
      </c>
      <c r="F977" s="33">
        <v>0.41708800000000001</v>
      </c>
      <c r="G977" s="35">
        <v>8.2510200000000006E-2</v>
      </c>
    </row>
    <row r="978" spans="1:7" x14ac:dyDescent="0.3">
      <c r="A978" s="41" t="s">
        <v>63</v>
      </c>
      <c r="B978" s="48" t="s">
        <v>146</v>
      </c>
      <c r="C978" s="37">
        <v>46246</v>
      </c>
      <c r="D978" s="34" t="s">
        <v>18</v>
      </c>
      <c r="E978" s="41">
        <v>1550</v>
      </c>
      <c r="F978" s="33">
        <v>0.255467</v>
      </c>
      <c r="G978" s="35">
        <v>6.0779399999999997E-2</v>
      </c>
    </row>
    <row r="979" spans="1:7" x14ac:dyDescent="0.3">
      <c r="A979" s="41" t="s">
        <v>63</v>
      </c>
      <c r="B979" s="48" t="s">
        <v>146</v>
      </c>
      <c r="C979" s="37">
        <v>46246</v>
      </c>
      <c r="D979" s="34" t="s">
        <v>19</v>
      </c>
      <c r="E979" s="41">
        <v>1648</v>
      </c>
      <c r="F979" s="33">
        <v>0.34635100000000002</v>
      </c>
      <c r="G979" s="35">
        <v>7.2812100000000005E-2</v>
      </c>
    </row>
    <row r="980" spans="1:7" x14ac:dyDescent="0.3">
      <c r="A980" s="41" t="s">
        <v>63</v>
      </c>
      <c r="B980" s="48" t="s">
        <v>146</v>
      </c>
      <c r="C980" s="37">
        <v>46246</v>
      </c>
      <c r="D980" s="34" t="s">
        <v>20</v>
      </c>
      <c r="E980" s="41">
        <v>1831</v>
      </c>
      <c r="F980" s="33">
        <v>0.32270199999999999</v>
      </c>
      <c r="G980" s="35">
        <v>6.7503099999999996E-2</v>
      </c>
    </row>
    <row r="981" spans="1:7" x14ac:dyDescent="0.3">
      <c r="A981" s="41" t="s">
        <v>63</v>
      </c>
      <c r="B981" s="48" t="s">
        <v>146</v>
      </c>
      <c r="C981" s="37">
        <v>46246</v>
      </c>
      <c r="D981" s="34" t="s">
        <v>34</v>
      </c>
      <c r="E981" s="41">
        <v>1130</v>
      </c>
      <c r="F981" s="33">
        <v>0.19698099999999999</v>
      </c>
      <c r="G981" s="35">
        <v>5.9698500000000002E-2</v>
      </c>
    </row>
    <row r="982" spans="1:7" x14ac:dyDescent="0.3">
      <c r="A982" s="41" t="s">
        <v>63</v>
      </c>
      <c r="B982" s="48" t="s">
        <v>146</v>
      </c>
      <c r="C982" s="37">
        <v>46246</v>
      </c>
      <c r="D982" s="34" t="s">
        <v>21</v>
      </c>
      <c r="E982" s="41">
        <v>2471</v>
      </c>
      <c r="F982" s="33">
        <v>0.47091100000000002</v>
      </c>
      <c r="G982" s="35">
        <v>9.1606199999999999E-2</v>
      </c>
    </row>
    <row r="983" spans="1:7" x14ac:dyDescent="0.3">
      <c r="A983" s="41" t="s">
        <v>63</v>
      </c>
      <c r="B983" s="48" t="s">
        <v>146</v>
      </c>
      <c r="C983" s="37">
        <v>46246</v>
      </c>
      <c r="D983" s="34" t="s">
        <v>22</v>
      </c>
      <c r="E983" s="41">
        <v>1690</v>
      </c>
      <c r="F983" s="33">
        <v>0.34836</v>
      </c>
      <c r="G983" s="35">
        <v>9.4600500000000004E-2</v>
      </c>
    </row>
    <row r="984" spans="1:7" x14ac:dyDescent="0.3">
      <c r="A984" s="41" t="s">
        <v>63</v>
      </c>
      <c r="B984" s="48" t="s">
        <v>146</v>
      </c>
      <c r="C984" s="37">
        <v>46246</v>
      </c>
      <c r="D984" s="34" t="s">
        <v>23</v>
      </c>
      <c r="E984" s="41">
        <v>1393</v>
      </c>
      <c r="F984" s="33">
        <v>0.37065799999999999</v>
      </c>
      <c r="G984" s="35">
        <v>0.121674</v>
      </c>
    </row>
    <row r="985" spans="1:7" x14ac:dyDescent="0.3">
      <c r="A985" s="41" t="s">
        <v>63</v>
      </c>
      <c r="B985" s="48" t="s">
        <v>146</v>
      </c>
      <c r="C985" s="37">
        <v>46246</v>
      </c>
      <c r="D985" s="34" t="s">
        <v>24</v>
      </c>
      <c r="E985" s="41">
        <v>2068</v>
      </c>
      <c r="F985" s="33">
        <v>0.14955399999999999</v>
      </c>
      <c r="G985" s="35">
        <v>4.6043800000000003E-2</v>
      </c>
    </row>
    <row r="986" spans="1:7" x14ac:dyDescent="0.3">
      <c r="A986" s="41" t="s">
        <v>63</v>
      </c>
      <c r="B986" s="48" t="s">
        <v>146</v>
      </c>
      <c r="C986" s="37">
        <v>46246</v>
      </c>
      <c r="D986" s="34" t="s">
        <v>25</v>
      </c>
      <c r="E986" s="41">
        <v>1002</v>
      </c>
      <c r="F986" s="33">
        <v>0.27395599999999998</v>
      </c>
      <c r="G986" s="35">
        <v>6.5919000000000005E-2</v>
      </c>
    </row>
    <row r="987" spans="1:7" x14ac:dyDescent="0.3">
      <c r="A987" s="41" t="s">
        <v>63</v>
      </c>
      <c r="B987" s="48" t="s">
        <v>146</v>
      </c>
      <c r="C987" s="37">
        <v>46246</v>
      </c>
      <c r="D987" s="34" t="s">
        <v>26</v>
      </c>
      <c r="E987" s="41">
        <v>1657</v>
      </c>
      <c r="F987" s="33">
        <v>0.16448399999999999</v>
      </c>
      <c r="G987" s="35">
        <v>5.2883899999999998E-2</v>
      </c>
    </row>
    <row r="988" spans="1:7" x14ac:dyDescent="0.3">
      <c r="A988" s="41" t="s">
        <v>63</v>
      </c>
      <c r="B988" s="48" t="s">
        <v>146</v>
      </c>
      <c r="C988" s="37">
        <v>46246</v>
      </c>
      <c r="D988" s="34" t="s">
        <v>27</v>
      </c>
      <c r="E988" s="41">
        <v>1201</v>
      </c>
      <c r="F988" s="33">
        <v>0.31583499999999998</v>
      </c>
      <c r="G988" s="35">
        <v>7.1655099999999999E-2</v>
      </c>
    </row>
    <row r="989" spans="1:7" x14ac:dyDescent="0.3">
      <c r="A989" s="41" t="s">
        <v>63</v>
      </c>
      <c r="B989" s="48" t="s">
        <v>146</v>
      </c>
      <c r="C989" s="37">
        <v>46246</v>
      </c>
      <c r="D989" s="34" t="s">
        <v>28</v>
      </c>
      <c r="E989" s="41">
        <v>1028</v>
      </c>
      <c r="F989" s="33">
        <v>0.25137799999999999</v>
      </c>
      <c r="G989" s="35">
        <v>5.6391299999999998E-2</v>
      </c>
    </row>
    <row r="990" spans="1:7" x14ac:dyDescent="0.3">
      <c r="A990" s="41" t="s">
        <v>63</v>
      </c>
      <c r="B990" s="48" t="s">
        <v>146</v>
      </c>
      <c r="C990" s="37">
        <v>46246</v>
      </c>
      <c r="D990" s="34" t="s">
        <v>29</v>
      </c>
      <c r="E990" s="41">
        <v>1381</v>
      </c>
      <c r="F990" s="33">
        <v>0.27266600000000002</v>
      </c>
      <c r="G990" s="35">
        <v>5.6464399999999998E-2</v>
      </c>
    </row>
    <row r="991" spans="1:7" x14ac:dyDescent="0.3">
      <c r="A991" s="41" t="s">
        <v>63</v>
      </c>
      <c r="B991" s="48" t="s">
        <v>146</v>
      </c>
      <c r="C991" s="37">
        <v>46246</v>
      </c>
      <c r="D991" s="34" t="s">
        <v>30</v>
      </c>
      <c r="E991" s="41">
        <v>1182</v>
      </c>
      <c r="F991" s="33">
        <v>0.42752400000000002</v>
      </c>
      <c r="G991" s="35">
        <v>8.6021799999999995E-2</v>
      </c>
    </row>
    <row r="992" spans="1:7" x14ac:dyDescent="0.3">
      <c r="A992" s="41" t="s">
        <v>63</v>
      </c>
      <c r="B992" s="48" t="s">
        <v>147</v>
      </c>
      <c r="C992" s="37">
        <v>46246</v>
      </c>
      <c r="D992" s="34" t="s">
        <v>14</v>
      </c>
      <c r="E992" s="41">
        <v>2191</v>
      </c>
      <c r="F992" s="33">
        <v>0.37225799999999998</v>
      </c>
      <c r="G992" s="35">
        <v>0.10466399999999999</v>
      </c>
    </row>
    <row r="993" spans="1:7" x14ac:dyDescent="0.3">
      <c r="A993" s="41" t="s">
        <v>63</v>
      </c>
      <c r="B993" s="48" t="s">
        <v>147</v>
      </c>
      <c r="C993" s="37">
        <v>46246</v>
      </c>
      <c r="D993" s="34" t="s">
        <v>15</v>
      </c>
      <c r="E993" s="41">
        <v>1695</v>
      </c>
      <c r="F993" s="33">
        <v>0.403167</v>
      </c>
      <c r="G993" s="35">
        <v>0.106201</v>
      </c>
    </row>
    <row r="994" spans="1:7" x14ac:dyDescent="0.3">
      <c r="A994" s="41" t="s">
        <v>63</v>
      </c>
      <c r="B994" s="48" t="s">
        <v>147</v>
      </c>
      <c r="C994" s="37">
        <v>46246</v>
      </c>
      <c r="D994" s="34" t="s">
        <v>16</v>
      </c>
      <c r="E994" s="41">
        <v>1029</v>
      </c>
      <c r="F994" s="33">
        <v>0.37919599999999998</v>
      </c>
      <c r="G994" s="35">
        <v>8.8974700000000004E-2</v>
      </c>
    </row>
    <row r="995" spans="1:7" x14ac:dyDescent="0.3">
      <c r="A995" s="41" t="s">
        <v>63</v>
      </c>
      <c r="B995" s="48" t="s">
        <v>147</v>
      </c>
      <c r="C995" s="37">
        <v>46246</v>
      </c>
      <c r="D995" s="34" t="s">
        <v>17</v>
      </c>
      <c r="E995" s="41">
        <v>1965</v>
      </c>
      <c r="F995" s="33">
        <v>0.388349</v>
      </c>
      <c r="G995" s="35">
        <v>7.6811900000000002E-2</v>
      </c>
    </row>
    <row r="996" spans="1:7" x14ac:dyDescent="0.3">
      <c r="A996" s="41" t="s">
        <v>63</v>
      </c>
      <c r="B996" s="48" t="s">
        <v>147</v>
      </c>
      <c r="C996" s="37">
        <v>46246</v>
      </c>
      <c r="D996" s="34" t="s">
        <v>18</v>
      </c>
      <c r="E996" s="41">
        <v>1636</v>
      </c>
      <c r="F996" s="33">
        <v>0.21632599999999999</v>
      </c>
      <c r="G996" s="35">
        <v>5.1457299999999997E-2</v>
      </c>
    </row>
    <row r="997" spans="1:7" x14ac:dyDescent="0.3">
      <c r="A997" s="41" t="s">
        <v>63</v>
      </c>
      <c r="B997" s="48" t="s">
        <v>147</v>
      </c>
      <c r="C997" s="37">
        <v>46246</v>
      </c>
      <c r="D997" s="34" t="s">
        <v>19</v>
      </c>
      <c r="E997" s="41">
        <v>1715</v>
      </c>
      <c r="F997" s="33">
        <v>0.31617299999999998</v>
      </c>
      <c r="G997" s="35">
        <v>6.6485299999999997E-2</v>
      </c>
    </row>
    <row r="998" spans="1:7" x14ac:dyDescent="0.3">
      <c r="A998" s="41" t="s">
        <v>63</v>
      </c>
      <c r="B998" s="48" t="s">
        <v>147</v>
      </c>
      <c r="C998" s="37">
        <v>46246</v>
      </c>
      <c r="D998" s="34" t="s">
        <v>20</v>
      </c>
      <c r="E998" s="41">
        <v>1687</v>
      </c>
      <c r="F998" s="33">
        <v>0.35856399999999999</v>
      </c>
      <c r="G998" s="35">
        <v>7.49697E-2</v>
      </c>
    </row>
    <row r="999" spans="1:7" x14ac:dyDescent="0.3">
      <c r="A999" s="41" t="s">
        <v>63</v>
      </c>
      <c r="B999" s="48" t="s">
        <v>147</v>
      </c>
      <c r="C999" s="37">
        <v>46246</v>
      </c>
      <c r="D999" s="34" t="s">
        <v>34</v>
      </c>
      <c r="E999" s="41">
        <v>1007</v>
      </c>
      <c r="F999" s="33">
        <v>0.21589</v>
      </c>
      <c r="G999" s="35">
        <v>6.5395499999999995E-2</v>
      </c>
    </row>
    <row r="1000" spans="1:7" x14ac:dyDescent="0.3">
      <c r="A1000" s="41" t="s">
        <v>63</v>
      </c>
      <c r="B1000" s="48" t="s">
        <v>147</v>
      </c>
      <c r="C1000" s="37">
        <v>46246</v>
      </c>
      <c r="D1000" s="34" t="s">
        <v>21</v>
      </c>
      <c r="E1000" s="41">
        <v>2559</v>
      </c>
      <c r="F1000" s="33">
        <v>0.43557200000000001</v>
      </c>
      <c r="G1000" s="35">
        <v>8.4743100000000002E-2</v>
      </c>
    </row>
    <row r="1001" spans="1:7" x14ac:dyDescent="0.3">
      <c r="A1001" s="41" t="s">
        <v>63</v>
      </c>
      <c r="B1001" s="48" t="s">
        <v>147</v>
      </c>
      <c r="C1001" s="37">
        <v>46246</v>
      </c>
      <c r="D1001" s="34" t="s">
        <v>22</v>
      </c>
      <c r="E1001" s="41">
        <v>1960</v>
      </c>
      <c r="F1001" s="33">
        <v>0.37569200000000003</v>
      </c>
      <c r="G1001" s="35">
        <v>0.102023</v>
      </c>
    </row>
    <row r="1002" spans="1:7" x14ac:dyDescent="0.3">
      <c r="A1002" s="41" t="s">
        <v>63</v>
      </c>
      <c r="B1002" s="48" t="s">
        <v>147</v>
      </c>
      <c r="C1002" s="37">
        <v>46246</v>
      </c>
      <c r="D1002" s="34" t="s">
        <v>23</v>
      </c>
      <c r="E1002" s="41">
        <v>1278</v>
      </c>
      <c r="F1002" s="33">
        <v>0.43094399999999999</v>
      </c>
      <c r="G1002" s="35">
        <v>0.14143</v>
      </c>
    </row>
    <row r="1003" spans="1:7" x14ac:dyDescent="0.3">
      <c r="A1003" s="41" t="s">
        <v>63</v>
      </c>
      <c r="B1003" s="48" t="s">
        <v>147</v>
      </c>
      <c r="C1003" s="37">
        <v>46246</v>
      </c>
      <c r="D1003" s="34" t="s">
        <v>24</v>
      </c>
      <c r="E1003" s="41">
        <v>2164</v>
      </c>
      <c r="F1003" s="33">
        <v>0.141343</v>
      </c>
      <c r="G1003" s="35">
        <v>4.3519099999999998E-2</v>
      </c>
    </row>
    <row r="1004" spans="1:7" x14ac:dyDescent="0.3">
      <c r="A1004" s="41" t="s">
        <v>63</v>
      </c>
      <c r="B1004" s="48" t="s">
        <v>147</v>
      </c>
      <c r="C1004" s="37">
        <v>46246</v>
      </c>
      <c r="D1004" s="34" t="s">
        <v>25</v>
      </c>
      <c r="E1004" s="41">
        <v>1036</v>
      </c>
      <c r="F1004" s="33">
        <v>0.31674000000000002</v>
      </c>
      <c r="G1004" s="35">
        <v>7.6238600000000004E-2</v>
      </c>
    </row>
    <row r="1005" spans="1:7" x14ac:dyDescent="0.3">
      <c r="A1005" s="41" t="s">
        <v>63</v>
      </c>
      <c r="B1005" s="48" t="s">
        <v>147</v>
      </c>
      <c r="C1005" s="37">
        <v>46246</v>
      </c>
      <c r="D1005" s="34" t="s">
        <v>26</v>
      </c>
      <c r="E1005" s="41">
        <v>1663</v>
      </c>
      <c r="F1005" s="33">
        <v>0.134521</v>
      </c>
      <c r="G1005" s="35">
        <v>4.3235999999999997E-2</v>
      </c>
    </row>
    <row r="1006" spans="1:7" x14ac:dyDescent="0.3">
      <c r="A1006" s="41" t="s">
        <v>63</v>
      </c>
      <c r="B1006" s="48" t="s">
        <v>147</v>
      </c>
      <c r="C1006" s="37">
        <v>46246</v>
      </c>
      <c r="D1006" s="34" t="s">
        <v>27</v>
      </c>
      <c r="E1006" s="41">
        <v>1160</v>
      </c>
      <c r="F1006" s="33">
        <v>0.31430399999999997</v>
      </c>
      <c r="G1006" s="35">
        <v>7.1301799999999999E-2</v>
      </c>
    </row>
    <row r="1007" spans="1:7" x14ac:dyDescent="0.3">
      <c r="A1007" s="41" t="s">
        <v>63</v>
      </c>
      <c r="B1007" s="48" t="s">
        <v>147</v>
      </c>
      <c r="C1007" s="37">
        <v>46246</v>
      </c>
      <c r="D1007" s="34" t="s">
        <v>28</v>
      </c>
      <c r="E1007" s="41">
        <v>1113</v>
      </c>
      <c r="F1007" s="33">
        <v>0.29616500000000001</v>
      </c>
      <c r="G1007" s="35">
        <v>6.6450200000000001E-2</v>
      </c>
    </row>
    <row r="1008" spans="1:7" x14ac:dyDescent="0.3">
      <c r="A1008" s="41" t="s">
        <v>63</v>
      </c>
      <c r="B1008" s="48" t="s">
        <v>147</v>
      </c>
      <c r="C1008" s="37">
        <v>46246</v>
      </c>
      <c r="D1008" s="34" t="s">
        <v>29</v>
      </c>
      <c r="E1008" s="41">
        <v>1210</v>
      </c>
      <c r="F1008" s="33">
        <v>0.29637000000000002</v>
      </c>
      <c r="G1008" s="35">
        <v>6.1366299999999999E-2</v>
      </c>
    </row>
    <row r="1009" spans="1:7" x14ac:dyDescent="0.3">
      <c r="A1009" s="41" t="s">
        <v>63</v>
      </c>
      <c r="B1009" s="48" t="s">
        <v>147</v>
      </c>
      <c r="C1009" s="37">
        <v>46246</v>
      </c>
      <c r="D1009" s="34" t="s">
        <v>30</v>
      </c>
      <c r="E1009" s="41">
        <v>1321</v>
      </c>
      <c r="F1009" s="33">
        <v>0.38237900000000002</v>
      </c>
      <c r="G1009" s="35">
        <v>7.6910900000000004E-2</v>
      </c>
    </row>
    <row r="1010" spans="1:7" x14ac:dyDescent="0.3">
      <c r="A1010" s="41" t="s">
        <v>63</v>
      </c>
      <c r="B1010" s="48" t="s">
        <v>165</v>
      </c>
      <c r="C1010" s="37">
        <v>46246</v>
      </c>
      <c r="D1010" s="34" t="s">
        <v>14</v>
      </c>
      <c r="E1010" s="41">
        <v>2527</v>
      </c>
      <c r="F1010" s="33">
        <v>0.39891100000000002</v>
      </c>
      <c r="G1010" s="35">
        <v>0.121493</v>
      </c>
    </row>
    <row r="1011" spans="1:7" x14ac:dyDescent="0.3">
      <c r="A1011" s="41" t="s">
        <v>63</v>
      </c>
      <c r="B1011" s="48" t="s">
        <v>165</v>
      </c>
      <c r="C1011" s="37">
        <v>46246</v>
      </c>
      <c r="D1011" s="34" t="s">
        <v>15</v>
      </c>
      <c r="E1011" s="41">
        <v>2167</v>
      </c>
      <c r="F1011" s="33">
        <v>0.46268300000000001</v>
      </c>
      <c r="G1011" s="35">
        <v>0.12789</v>
      </c>
    </row>
    <row r="1012" spans="1:7" x14ac:dyDescent="0.3">
      <c r="A1012" s="41" t="s">
        <v>63</v>
      </c>
      <c r="B1012" s="48" t="s">
        <v>165</v>
      </c>
      <c r="C1012" s="37">
        <v>46246</v>
      </c>
      <c r="D1012" s="34" t="s">
        <v>16</v>
      </c>
      <c r="E1012" s="41">
        <v>1004</v>
      </c>
      <c r="F1012" s="33">
        <v>0.421323</v>
      </c>
      <c r="G1012" s="35">
        <v>0.100045</v>
      </c>
    </row>
    <row r="1013" spans="1:7" x14ac:dyDescent="0.3">
      <c r="A1013" s="41" t="s">
        <v>63</v>
      </c>
      <c r="B1013" s="48" t="s">
        <v>165</v>
      </c>
      <c r="C1013" s="37">
        <v>46246</v>
      </c>
      <c r="D1013" s="34" t="s">
        <v>17</v>
      </c>
      <c r="E1013" s="41">
        <v>2108</v>
      </c>
      <c r="F1013" s="33">
        <v>0.45769599999999999</v>
      </c>
      <c r="G1013" s="35">
        <v>9.0551999999999994E-2</v>
      </c>
    </row>
    <row r="1014" spans="1:7" x14ac:dyDescent="0.3">
      <c r="A1014" s="41" t="s">
        <v>63</v>
      </c>
      <c r="B1014" s="48" t="s">
        <v>165</v>
      </c>
      <c r="C1014" s="37">
        <v>46246</v>
      </c>
      <c r="D1014" s="34" t="s">
        <v>18</v>
      </c>
      <c r="E1014" s="41">
        <v>1583</v>
      </c>
      <c r="F1014" s="33">
        <v>0.203433</v>
      </c>
      <c r="G1014" s="35">
        <v>4.7329799999999998E-2</v>
      </c>
    </row>
    <row r="1015" spans="1:7" x14ac:dyDescent="0.3">
      <c r="A1015" s="41" t="s">
        <v>63</v>
      </c>
      <c r="B1015" s="48" t="s">
        <v>165</v>
      </c>
      <c r="C1015" s="37">
        <v>46246</v>
      </c>
      <c r="D1015" s="34" t="s">
        <v>19</v>
      </c>
      <c r="E1015" s="41">
        <v>1931</v>
      </c>
      <c r="F1015" s="33">
        <v>0.33059899999999998</v>
      </c>
      <c r="G1015" s="35">
        <v>6.9513400000000003E-2</v>
      </c>
    </row>
    <row r="1016" spans="1:7" x14ac:dyDescent="0.3">
      <c r="A1016" s="41" t="s">
        <v>63</v>
      </c>
      <c r="B1016" s="48" t="s">
        <v>165</v>
      </c>
      <c r="C1016" s="37">
        <v>46246</v>
      </c>
      <c r="D1016" s="34" t="s">
        <v>20</v>
      </c>
      <c r="E1016" s="41">
        <v>1887</v>
      </c>
      <c r="F1016" s="33">
        <v>0.396534</v>
      </c>
      <c r="G1016" s="35">
        <v>7.8763899999999998E-2</v>
      </c>
    </row>
    <row r="1017" spans="1:7" x14ac:dyDescent="0.3">
      <c r="A1017" s="41" t="s">
        <v>63</v>
      </c>
      <c r="B1017" s="48" t="s">
        <v>165</v>
      </c>
      <c r="C1017" s="37">
        <v>46246</v>
      </c>
      <c r="D1017" s="34" t="s">
        <v>34</v>
      </c>
      <c r="E1017" s="41">
        <v>1073</v>
      </c>
      <c r="F1017" s="33">
        <v>0.190972</v>
      </c>
      <c r="G1017" s="35">
        <v>5.27853E-2</v>
      </c>
    </row>
    <row r="1018" spans="1:7" x14ac:dyDescent="0.3">
      <c r="A1018" s="41" t="s">
        <v>63</v>
      </c>
      <c r="B1018" s="48" t="s">
        <v>165</v>
      </c>
      <c r="C1018" s="37">
        <v>46246</v>
      </c>
      <c r="D1018" s="34" t="s">
        <v>21</v>
      </c>
      <c r="E1018" s="41">
        <v>2758</v>
      </c>
      <c r="F1018" s="33">
        <v>0.49648700000000001</v>
      </c>
      <c r="G1018" s="35">
        <v>0.100312</v>
      </c>
    </row>
    <row r="1019" spans="1:7" x14ac:dyDescent="0.3">
      <c r="A1019" s="41" t="s">
        <v>63</v>
      </c>
      <c r="B1019" s="48" t="s">
        <v>165</v>
      </c>
      <c r="C1019" s="37">
        <v>46246</v>
      </c>
      <c r="D1019" s="34" t="s">
        <v>22</v>
      </c>
      <c r="E1019" s="41">
        <v>2226</v>
      </c>
      <c r="F1019" s="33">
        <v>0.27875</v>
      </c>
      <c r="G1019" s="35">
        <v>7.0153599999999997E-2</v>
      </c>
    </row>
    <row r="1020" spans="1:7" x14ac:dyDescent="0.3">
      <c r="A1020" s="41" t="s">
        <v>63</v>
      </c>
      <c r="B1020" s="48" t="s">
        <v>165</v>
      </c>
      <c r="C1020" s="37">
        <v>46246</v>
      </c>
      <c r="D1020" s="34" t="s">
        <v>23</v>
      </c>
      <c r="E1020" s="41">
        <v>1402</v>
      </c>
      <c r="F1020" s="33">
        <v>0.351775</v>
      </c>
      <c r="G1020" s="35">
        <v>0.12987599999999999</v>
      </c>
    </row>
    <row r="1021" spans="1:7" x14ac:dyDescent="0.3">
      <c r="A1021" s="41" t="s">
        <v>63</v>
      </c>
      <c r="B1021" s="48" t="s">
        <v>165</v>
      </c>
      <c r="C1021" s="37">
        <v>46246</v>
      </c>
      <c r="D1021" s="34" t="s">
        <v>24</v>
      </c>
      <c r="E1021" s="41">
        <v>2182</v>
      </c>
      <c r="F1021" s="33">
        <v>0.13330800000000001</v>
      </c>
      <c r="G1021" s="35">
        <v>4.5813899999999998E-2</v>
      </c>
    </row>
    <row r="1022" spans="1:7" x14ac:dyDescent="0.3">
      <c r="A1022" s="41" t="s">
        <v>63</v>
      </c>
      <c r="B1022" s="48" t="s">
        <v>165</v>
      </c>
      <c r="C1022" s="37">
        <v>46246</v>
      </c>
      <c r="D1022" s="34" t="s">
        <v>25</v>
      </c>
      <c r="E1022" s="41">
        <v>1092</v>
      </c>
      <c r="F1022" s="33">
        <v>0.26752399999999998</v>
      </c>
      <c r="G1022" s="35">
        <v>6.8503900000000006E-2</v>
      </c>
    </row>
    <row r="1023" spans="1:7" x14ac:dyDescent="0.3">
      <c r="A1023" s="41" t="s">
        <v>63</v>
      </c>
      <c r="B1023" s="48" t="s">
        <v>165</v>
      </c>
      <c r="C1023" s="37">
        <v>46246</v>
      </c>
      <c r="D1023" s="34" t="s">
        <v>26</v>
      </c>
      <c r="E1023" s="41">
        <v>2017</v>
      </c>
      <c r="F1023" s="33">
        <v>0.25748700000000002</v>
      </c>
      <c r="G1023" s="35">
        <v>7.4466000000000004E-2</v>
      </c>
    </row>
    <row r="1024" spans="1:7" x14ac:dyDescent="0.3">
      <c r="A1024" s="41" t="s">
        <v>63</v>
      </c>
      <c r="B1024" s="48" t="s">
        <v>165</v>
      </c>
      <c r="C1024" s="37">
        <v>46246</v>
      </c>
      <c r="D1024" s="34" t="s">
        <v>27</v>
      </c>
      <c r="E1024" s="41">
        <v>1479</v>
      </c>
      <c r="F1024" s="33">
        <v>0.28928199999999998</v>
      </c>
      <c r="G1024" s="35">
        <v>6.6886100000000004E-2</v>
      </c>
    </row>
    <row r="1025" spans="1:7" x14ac:dyDescent="0.3">
      <c r="A1025" s="41" t="s">
        <v>63</v>
      </c>
      <c r="B1025" s="48" t="s">
        <v>165</v>
      </c>
      <c r="C1025" s="37">
        <v>46246</v>
      </c>
      <c r="D1025" s="34" t="s">
        <v>28</v>
      </c>
      <c r="E1025" s="41">
        <v>1072</v>
      </c>
      <c r="F1025" s="33">
        <v>0.27339799999999997</v>
      </c>
      <c r="G1025" s="35">
        <v>6.0473499999999999E-2</v>
      </c>
    </row>
    <row r="1026" spans="1:7" x14ac:dyDescent="0.3">
      <c r="A1026" s="41" t="s">
        <v>63</v>
      </c>
      <c r="B1026" s="48" t="s">
        <v>165</v>
      </c>
      <c r="C1026" s="37">
        <v>46246</v>
      </c>
      <c r="D1026" s="34" t="s">
        <v>29</v>
      </c>
      <c r="E1026" s="41">
        <v>1425</v>
      </c>
      <c r="F1026" s="33">
        <v>0.30196200000000001</v>
      </c>
      <c r="G1026" s="35">
        <v>6.4735600000000004E-2</v>
      </c>
    </row>
    <row r="1027" spans="1:7" x14ac:dyDescent="0.3">
      <c r="A1027" s="41" t="s">
        <v>63</v>
      </c>
      <c r="B1027" s="48" t="s">
        <v>165</v>
      </c>
      <c r="C1027" s="37">
        <v>46246</v>
      </c>
      <c r="D1027" s="34" t="s">
        <v>30</v>
      </c>
      <c r="E1027" s="41">
        <v>1442</v>
      </c>
      <c r="F1027" s="33">
        <v>0.43193900000000002</v>
      </c>
      <c r="G1027" s="35">
        <v>8.3982000000000001E-2</v>
      </c>
    </row>
    <row r="1028" spans="1:7" x14ac:dyDescent="0.3">
      <c r="A1028" s="41" t="s">
        <v>57</v>
      </c>
      <c r="B1028" s="48" t="str">
        <f t="shared" ref="B1028:B1045" si="0">IF($A1028="Daily", "n/a", "")</f>
        <v>n/a</v>
      </c>
      <c r="C1028" s="37">
        <v>46247</v>
      </c>
      <c r="D1028" s="34" t="s">
        <v>14</v>
      </c>
      <c r="E1028" s="41">
        <v>2333</v>
      </c>
      <c r="F1028" s="33">
        <v>0.40513300000000002</v>
      </c>
      <c r="G1028" s="35">
        <v>0.113922</v>
      </c>
    </row>
    <row r="1029" spans="1:7" x14ac:dyDescent="0.3">
      <c r="A1029" s="41" t="s">
        <v>57</v>
      </c>
      <c r="B1029" s="48" t="str">
        <f t="shared" si="0"/>
        <v>n/a</v>
      </c>
      <c r="C1029" s="37">
        <v>46247</v>
      </c>
      <c r="D1029" s="34" t="s">
        <v>15</v>
      </c>
      <c r="E1029" s="41">
        <v>1823</v>
      </c>
      <c r="F1029" s="33">
        <v>0.45545999999999998</v>
      </c>
      <c r="G1029" s="35">
        <v>0.120023</v>
      </c>
    </row>
    <row r="1030" spans="1:7" x14ac:dyDescent="0.3">
      <c r="A1030" s="41" t="s">
        <v>57</v>
      </c>
      <c r="B1030" s="48" t="str">
        <f t="shared" si="0"/>
        <v>n/a</v>
      </c>
      <c r="C1030" s="37">
        <v>46247</v>
      </c>
      <c r="D1030" s="34" t="s">
        <v>16</v>
      </c>
      <c r="E1030" s="41">
        <v>1149</v>
      </c>
      <c r="F1030" s="33">
        <v>0.37745299999999998</v>
      </c>
      <c r="G1030" s="35">
        <v>8.8552900000000004E-2</v>
      </c>
    </row>
    <row r="1031" spans="1:7" x14ac:dyDescent="0.3">
      <c r="A1031" s="41" t="s">
        <v>57</v>
      </c>
      <c r="B1031" s="48" t="str">
        <f t="shared" si="0"/>
        <v>n/a</v>
      </c>
      <c r="C1031" s="37">
        <v>46247</v>
      </c>
      <c r="D1031" s="34" t="s">
        <v>17</v>
      </c>
      <c r="E1031" s="41">
        <v>1864</v>
      </c>
      <c r="F1031" s="33">
        <v>0.450706</v>
      </c>
      <c r="G1031" s="35">
        <v>8.9120500000000005E-2</v>
      </c>
    </row>
    <row r="1032" spans="1:7" x14ac:dyDescent="0.3">
      <c r="A1032" s="41" t="s">
        <v>57</v>
      </c>
      <c r="B1032" s="48" t="str">
        <f t="shared" si="0"/>
        <v>n/a</v>
      </c>
      <c r="C1032" s="37">
        <v>46247</v>
      </c>
      <c r="D1032" s="34" t="s">
        <v>18</v>
      </c>
      <c r="E1032" s="41">
        <v>1421</v>
      </c>
      <c r="F1032" s="33">
        <v>0.21718199999999999</v>
      </c>
      <c r="G1032" s="35">
        <v>5.1662399999999997E-2</v>
      </c>
    </row>
    <row r="1033" spans="1:7" x14ac:dyDescent="0.3">
      <c r="A1033" s="41" t="s">
        <v>57</v>
      </c>
      <c r="B1033" s="48" t="str">
        <f t="shared" si="0"/>
        <v>n/a</v>
      </c>
      <c r="C1033" s="37">
        <v>46247</v>
      </c>
      <c r="D1033" s="34" t="s">
        <v>19</v>
      </c>
      <c r="E1033" s="41">
        <v>1542</v>
      </c>
      <c r="F1033" s="33">
        <v>0.35380299999999998</v>
      </c>
      <c r="G1033" s="35">
        <v>7.4387800000000004E-2</v>
      </c>
    </row>
    <row r="1034" spans="1:7" x14ac:dyDescent="0.3">
      <c r="A1034" s="41" t="s">
        <v>57</v>
      </c>
      <c r="B1034" s="48" t="str">
        <f t="shared" si="0"/>
        <v>n/a</v>
      </c>
      <c r="C1034" s="37">
        <v>46247</v>
      </c>
      <c r="D1034" s="34" t="s">
        <v>20</v>
      </c>
      <c r="E1034" s="41">
        <v>1458</v>
      </c>
      <c r="F1034" s="33">
        <v>0.35374899999999998</v>
      </c>
      <c r="G1034" s="35">
        <v>7.3980000000000004E-2</v>
      </c>
    </row>
    <row r="1035" spans="1:7" x14ac:dyDescent="0.3">
      <c r="A1035" s="41" t="s">
        <v>57</v>
      </c>
      <c r="B1035" s="48" t="str">
        <f t="shared" si="0"/>
        <v>n/a</v>
      </c>
      <c r="C1035" s="37">
        <v>46247</v>
      </c>
      <c r="D1035" s="34" t="s">
        <v>34</v>
      </c>
      <c r="E1035" s="41">
        <v>1092</v>
      </c>
      <c r="F1035" s="33">
        <v>0.18215500000000001</v>
      </c>
      <c r="G1035" s="35">
        <v>5.5200300000000001E-2</v>
      </c>
    </row>
    <row r="1036" spans="1:7" x14ac:dyDescent="0.3">
      <c r="A1036" s="41" t="s">
        <v>57</v>
      </c>
      <c r="B1036" s="48" t="str">
        <f t="shared" si="0"/>
        <v>n/a</v>
      </c>
      <c r="C1036" s="37">
        <v>46247</v>
      </c>
      <c r="D1036" s="34" t="s">
        <v>21</v>
      </c>
      <c r="E1036" s="41">
        <v>2428</v>
      </c>
      <c r="F1036" s="33">
        <v>0.53639599999999998</v>
      </c>
      <c r="G1036" s="35">
        <v>0.10433099999999999</v>
      </c>
    </row>
    <row r="1037" spans="1:7" x14ac:dyDescent="0.3">
      <c r="A1037" s="41" t="s">
        <v>57</v>
      </c>
      <c r="B1037" s="48" t="str">
        <f t="shared" si="0"/>
        <v>n/a</v>
      </c>
      <c r="C1037" s="37">
        <v>46247</v>
      </c>
      <c r="D1037" s="34" t="s">
        <v>22</v>
      </c>
      <c r="E1037" s="41">
        <v>1369</v>
      </c>
      <c r="F1037" s="33">
        <v>0.38875100000000001</v>
      </c>
      <c r="G1037" s="35">
        <v>0.105559</v>
      </c>
    </row>
    <row r="1038" spans="1:7" x14ac:dyDescent="0.3">
      <c r="A1038" s="41" t="s">
        <v>57</v>
      </c>
      <c r="B1038" s="48" t="str">
        <f t="shared" si="0"/>
        <v>n/a</v>
      </c>
      <c r="C1038" s="37">
        <v>46247</v>
      </c>
      <c r="D1038" s="34" t="s">
        <v>23</v>
      </c>
      <c r="E1038" s="41">
        <v>1535</v>
      </c>
      <c r="F1038" s="33">
        <v>0.38173400000000002</v>
      </c>
      <c r="G1038" s="35">
        <v>0.12531</v>
      </c>
    </row>
    <row r="1039" spans="1:7" x14ac:dyDescent="0.3">
      <c r="A1039" s="41" t="s">
        <v>57</v>
      </c>
      <c r="B1039" s="48" t="str">
        <f t="shared" si="0"/>
        <v>n/a</v>
      </c>
      <c r="C1039" s="37">
        <v>46247</v>
      </c>
      <c r="D1039" s="34" t="s">
        <v>24</v>
      </c>
      <c r="E1039" s="41">
        <v>2256</v>
      </c>
      <c r="F1039" s="33">
        <v>0.18396000000000001</v>
      </c>
      <c r="G1039" s="35">
        <v>5.6661400000000001E-2</v>
      </c>
    </row>
    <row r="1040" spans="1:7" x14ac:dyDescent="0.3">
      <c r="A1040" s="41" t="s">
        <v>57</v>
      </c>
      <c r="B1040" s="48" t="str">
        <f t="shared" si="0"/>
        <v>n/a</v>
      </c>
      <c r="C1040" s="37">
        <v>46247</v>
      </c>
      <c r="D1040" s="34" t="s">
        <v>25</v>
      </c>
      <c r="E1040" s="41">
        <v>1052</v>
      </c>
      <c r="F1040" s="33">
        <v>0.36312100000000003</v>
      </c>
      <c r="G1040" s="35">
        <v>8.7344000000000005E-2</v>
      </c>
    </row>
    <row r="1041" spans="1:7" x14ac:dyDescent="0.3">
      <c r="A1041" s="41" t="s">
        <v>57</v>
      </c>
      <c r="B1041" s="48" t="str">
        <f t="shared" si="0"/>
        <v>n/a</v>
      </c>
      <c r="C1041" s="37">
        <v>46247</v>
      </c>
      <c r="D1041" s="34" t="s">
        <v>26</v>
      </c>
      <c r="E1041" s="41">
        <v>1292</v>
      </c>
      <c r="F1041" s="33">
        <v>0.13841200000000001</v>
      </c>
      <c r="G1041" s="35">
        <v>4.45136E-2</v>
      </c>
    </row>
    <row r="1042" spans="1:7" x14ac:dyDescent="0.3">
      <c r="A1042" s="41" t="s">
        <v>57</v>
      </c>
      <c r="B1042" s="48" t="str">
        <f t="shared" si="0"/>
        <v>n/a</v>
      </c>
      <c r="C1042" s="37">
        <v>46247</v>
      </c>
      <c r="D1042" s="34" t="s">
        <v>27</v>
      </c>
      <c r="E1042" s="41">
        <v>1004</v>
      </c>
      <c r="F1042" s="33">
        <v>0.30528899999999998</v>
      </c>
      <c r="G1042" s="35">
        <v>6.9248599999999993E-2</v>
      </c>
    </row>
    <row r="1043" spans="1:7" x14ac:dyDescent="0.3">
      <c r="A1043" s="41" t="s">
        <v>57</v>
      </c>
      <c r="B1043" s="48" t="str">
        <f t="shared" si="0"/>
        <v>n/a</v>
      </c>
      <c r="C1043" s="37">
        <v>46247</v>
      </c>
      <c r="D1043" s="34" t="s">
        <v>28</v>
      </c>
      <c r="E1043" s="41">
        <v>1172</v>
      </c>
      <c r="F1043" s="33">
        <v>0.25225700000000001</v>
      </c>
      <c r="G1043" s="35">
        <v>5.6595100000000002E-2</v>
      </c>
    </row>
    <row r="1044" spans="1:7" x14ac:dyDescent="0.3">
      <c r="A1044" s="41" t="s">
        <v>57</v>
      </c>
      <c r="B1044" s="48" t="str">
        <f t="shared" si="0"/>
        <v>n/a</v>
      </c>
      <c r="C1044" s="37">
        <v>46247</v>
      </c>
      <c r="D1044" s="34" t="s">
        <v>29</v>
      </c>
      <c r="E1044" s="41">
        <v>1341</v>
      </c>
      <c r="F1044" s="33">
        <v>0.310336</v>
      </c>
      <c r="G1044" s="35">
        <v>6.4263700000000007E-2</v>
      </c>
    </row>
    <row r="1045" spans="1:7" x14ac:dyDescent="0.3">
      <c r="A1045" s="41" t="s">
        <v>57</v>
      </c>
      <c r="B1045" s="48" t="str">
        <f t="shared" si="0"/>
        <v>n/a</v>
      </c>
      <c r="C1045" s="37">
        <v>46247</v>
      </c>
      <c r="D1045" s="34" t="s">
        <v>30</v>
      </c>
      <c r="E1045" s="41">
        <v>1133</v>
      </c>
      <c r="F1045" s="33">
        <v>0.37191999999999997</v>
      </c>
      <c r="G1045" s="35">
        <v>7.4805800000000006E-2</v>
      </c>
    </row>
    <row r="1046" spans="1:7" x14ac:dyDescent="0.3">
      <c r="A1046" s="41" t="s">
        <v>58</v>
      </c>
      <c r="B1046" s="48" t="s">
        <v>182</v>
      </c>
      <c r="C1046" s="37">
        <v>46248</v>
      </c>
      <c r="D1046" s="34" t="s">
        <v>14</v>
      </c>
      <c r="E1046" s="41">
        <v>1484</v>
      </c>
      <c r="F1046" s="33">
        <v>0.51471900000000004</v>
      </c>
      <c r="G1046" s="35">
        <v>0.144732</v>
      </c>
    </row>
    <row r="1047" spans="1:7" x14ac:dyDescent="0.3">
      <c r="A1047" s="41" t="s">
        <v>58</v>
      </c>
      <c r="B1047" s="48" t="s">
        <v>182</v>
      </c>
      <c r="C1047" s="37">
        <v>46248</v>
      </c>
      <c r="D1047" s="34" t="s">
        <v>15</v>
      </c>
      <c r="E1047" s="41">
        <v>1290</v>
      </c>
      <c r="F1047" s="33">
        <v>0.51744500000000004</v>
      </c>
      <c r="G1047" s="35">
        <v>0.13630500000000001</v>
      </c>
    </row>
    <row r="1048" spans="1:7" x14ac:dyDescent="0.3">
      <c r="A1048" s="41" t="s">
        <v>58</v>
      </c>
      <c r="B1048" s="48" t="s">
        <v>182</v>
      </c>
      <c r="C1048" s="37">
        <v>46248</v>
      </c>
      <c r="D1048" s="34" t="s">
        <v>16</v>
      </c>
      <c r="E1048" s="41">
        <v>1093</v>
      </c>
      <c r="F1048" s="33">
        <v>0.50374699999999994</v>
      </c>
      <c r="G1048" s="35">
        <v>0.11812</v>
      </c>
    </row>
    <row r="1049" spans="1:7" x14ac:dyDescent="0.3">
      <c r="A1049" s="41" t="s">
        <v>58</v>
      </c>
      <c r="B1049" s="48" t="s">
        <v>182</v>
      </c>
      <c r="C1049" s="37">
        <v>46248</v>
      </c>
      <c r="D1049" s="34" t="s">
        <v>17</v>
      </c>
      <c r="E1049" s="41">
        <v>1834</v>
      </c>
      <c r="F1049" s="33">
        <v>0.473553</v>
      </c>
      <c r="G1049" s="35">
        <v>9.3615100000000007E-2</v>
      </c>
    </row>
    <row r="1050" spans="1:7" x14ac:dyDescent="0.3">
      <c r="A1050" s="41" t="s">
        <v>58</v>
      </c>
      <c r="B1050" s="48" t="s">
        <v>182</v>
      </c>
      <c r="C1050" s="37">
        <v>46248</v>
      </c>
      <c r="D1050" s="34" t="s">
        <v>18</v>
      </c>
      <c r="E1050" s="41">
        <v>1247</v>
      </c>
      <c r="F1050" s="33">
        <v>0.30589699999999997</v>
      </c>
      <c r="G1050" s="35">
        <v>7.2731000000000004E-2</v>
      </c>
    </row>
    <row r="1051" spans="1:7" x14ac:dyDescent="0.3">
      <c r="A1051" s="41" t="s">
        <v>58</v>
      </c>
      <c r="B1051" s="48" t="s">
        <v>182</v>
      </c>
      <c r="C1051" s="37">
        <v>46248</v>
      </c>
      <c r="D1051" s="34" t="s">
        <v>19</v>
      </c>
      <c r="E1051" s="41">
        <v>1230</v>
      </c>
      <c r="F1051" s="33">
        <v>0.41856599999999999</v>
      </c>
      <c r="G1051" s="35">
        <v>8.8034799999999996E-2</v>
      </c>
    </row>
    <row r="1052" spans="1:7" x14ac:dyDescent="0.3">
      <c r="A1052" s="41" t="s">
        <v>58</v>
      </c>
      <c r="B1052" s="48" t="s">
        <v>182</v>
      </c>
      <c r="C1052" s="37">
        <v>46248</v>
      </c>
      <c r="D1052" s="34" t="s">
        <v>20</v>
      </c>
      <c r="E1052" s="41">
        <v>1058</v>
      </c>
      <c r="F1052" s="33">
        <v>0.45166299999999998</v>
      </c>
      <c r="G1052" s="35">
        <v>9.4480400000000006E-2</v>
      </c>
    </row>
    <row r="1053" spans="1:7" x14ac:dyDescent="0.3">
      <c r="A1053" s="41" t="s">
        <v>58</v>
      </c>
      <c r="B1053" s="48" t="s">
        <v>182</v>
      </c>
      <c r="C1053" s="37">
        <v>46248</v>
      </c>
      <c r="D1053" s="34" t="s">
        <v>34</v>
      </c>
      <c r="E1053" s="41">
        <v>1367</v>
      </c>
      <c r="F1053" s="33">
        <v>0.21645600000000001</v>
      </c>
      <c r="G1053" s="35">
        <v>6.5588999999999995E-2</v>
      </c>
    </row>
    <row r="1054" spans="1:7" x14ac:dyDescent="0.3">
      <c r="A1054" s="41" t="s">
        <v>58</v>
      </c>
      <c r="B1054" s="48" t="s">
        <v>182</v>
      </c>
      <c r="C1054" s="37">
        <v>46248</v>
      </c>
      <c r="D1054" s="34" t="s">
        <v>21</v>
      </c>
      <c r="E1054" s="41">
        <v>1961</v>
      </c>
      <c r="F1054" s="33">
        <v>0.61155000000000004</v>
      </c>
      <c r="G1054" s="35">
        <v>0.118918</v>
      </c>
    </row>
    <row r="1055" spans="1:7" x14ac:dyDescent="0.3">
      <c r="A1055" s="41" t="s">
        <v>58</v>
      </c>
      <c r="B1055" s="48" t="s">
        <v>182</v>
      </c>
      <c r="C1055" s="37">
        <v>46248</v>
      </c>
      <c r="D1055" s="34" t="s">
        <v>22</v>
      </c>
      <c r="E1055" s="41">
        <v>2148</v>
      </c>
      <c r="F1055" s="33">
        <v>0.393646</v>
      </c>
      <c r="G1055" s="35">
        <v>0.106936</v>
      </c>
    </row>
    <row r="1056" spans="1:7" x14ac:dyDescent="0.3">
      <c r="A1056" s="41" t="s">
        <v>58</v>
      </c>
      <c r="B1056" s="48" t="s">
        <v>182</v>
      </c>
      <c r="C1056" s="37">
        <v>46248</v>
      </c>
      <c r="D1056" s="34" t="s">
        <v>23</v>
      </c>
      <c r="E1056" s="41">
        <v>1200</v>
      </c>
      <c r="F1056" s="33">
        <v>0.30959999999999999</v>
      </c>
      <c r="G1056" s="35">
        <v>0.10154299999999999</v>
      </c>
    </row>
    <row r="1057" spans="1:7" x14ac:dyDescent="0.3">
      <c r="A1057" s="41" t="s">
        <v>58</v>
      </c>
      <c r="B1057" s="48" t="s">
        <v>182</v>
      </c>
      <c r="C1057" s="37">
        <v>46248</v>
      </c>
      <c r="D1057" s="34" t="s">
        <v>24</v>
      </c>
      <c r="E1057" s="41">
        <v>1803</v>
      </c>
      <c r="F1057" s="33">
        <v>0.483261</v>
      </c>
      <c r="G1057" s="35">
        <v>0.14886199999999999</v>
      </c>
    </row>
    <row r="1058" spans="1:7" x14ac:dyDescent="0.3">
      <c r="A1058" s="41" t="s">
        <v>58</v>
      </c>
      <c r="B1058" s="48" t="s">
        <v>182</v>
      </c>
      <c r="C1058" s="37">
        <v>46248</v>
      </c>
      <c r="D1058" s="34" t="s">
        <v>25</v>
      </c>
      <c r="E1058" s="41">
        <v>1195</v>
      </c>
      <c r="F1058" s="33">
        <v>0.25312800000000002</v>
      </c>
      <c r="G1058" s="35">
        <v>6.0905500000000001E-2</v>
      </c>
    </row>
    <row r="1059" spans="1:7" x14ac:dyDescent="0.3">
      <c r="A1059" s="41" t="s">
        <v>58</v>
      </c>
      <c r="B1059" s="48" t="s">
        <v>182</v>
      </c>
      <c r="C1059" s="37">
        <v>46248</v>
      </c>
      <c r="D1059" s="34" t="s">
        <v>26</v>
      </c>
      <c r="E1059" s="41">
        <v>1999</v>
      </c>
      <c r="F1059" s="33">
        <v>0.38802900000000001</v>
      </c>
      <c r="G1059" s="35">
        <v>0.12475700000000001</v>
      </c>
    </row>
    <row r="1060" spans="1:7" x14ac:dyDescent="0.3">
      <c r="A1060" s="41" t="s">
        <v>58</v>
      </c>
      <c r="B1060" s="48" t="s">
        <v>182</v>
      </c>
      <c r="C1060" s="37">
        <v>46248</v>
      </c>
      <c r="D1060" s="34" t="s">
        <v>27</v>
      </c>
      <c r="E1060" s="41">
        <v>1502</v>
      </c>
      <c r="F1060" s="33">
        <v>0.505027</v>
      </c>
      <c r="G1060" s="35">
        <v>0.114513</v>
      </c>
    </row>
    <row r="1061" spans="1:7" x14ac:dyDescent="0.3">
      <c r="A1061" s="41" t="s">
        <v>58</v>
      </c>
      <c r="B1061" s="48" t="s">
        <v>182</v>
      </c>
      <c r="C1061" s="37">
        <v>46248</v>
      </c>
      <c r="D1061" s="34" t="s">
        <v>28</v>
      </c>
      <c r="E1061" s="41">
        <v>1436</v>
      </c>
      <c r="F1061" s="33">
        <v>0.45906400000000003</v>
      </c>
      <c r="G1061" s="35">
        <v>0.103034</v>
      </c>
    </row>
    <row r="1062" spans="1:7" x14ac:dyDescent="0.3">
      <c r="A1062" s="41" t="s">
        <v>58</v>
      </c>
      <c r="B1062" s="48" t="s">
        <v>182</v>
      </c>
      <c r="C1062" s="37">
        <v>46248</v>
      </c>
      <c r="D1062" s="34" t="s">
        <v>29</v>
      </c>
      <c r="E1062" s="41">
        <v>1000</v>
      </c>
      <c r="F1062" s="33">
        <v>0.46846599999999999</v>
      </c>
      <c r="G1062" s="35">
        <v>9.6959400000000001E-2</v>
      </c>
    </row>
    <row r="1063" spans="1:7" x14ac:dyDescent="0.3">
      <c r="A1063" s="41" t="s">
        <v>58</v>
      </c>
      <c r="B1063" s="48" t="s">
        <v>182</v>
      </c>
      <c r="C1063" s="37">
        <v>46248</v>
      </c>
      <c r="D1063" s="34" t="s">
        <v>30</v>
      </c>
      <c r="E1063" s="41">
        <v>1119</v>
      </c>
      <c r="F1063" s="33">
        <v>0.44700499999999999</v>
      </c>
      <c r="G1063" s="35">
        <v>8.9905399999999996E-2</v>
      </c>
    </row>
    <row r="1064" spans="1:7" x14ac:dyDescent="0.3">
      <c r="A1064" s="41" t="s">
        <v>57</v>
      </c>
      <c r="B1064" s="48" t="str">
        <f t="shared" ref="B1064:B1127" si="1">IF($A1064="Daily", "n/a", "")</f>
        <v>n/a</v>
      </c>
      <c r="C1064" s="37">
        <v>46248</v>
      </c>
      <c r="D1064" s="34" t="s">
        <v>14</v>
      </c>
      <c r="E1064" s="41">
        <v>1899</v>
      </c>
      <c r="F1064" s="33">
        <v>0.43187500000000001</v>
      </c>
      <c r="G1064" s="35">
        <v>0.12145400000000001</v>
      </c>
    </row>
    <row r="1065" spans="1:7" x14ac:dyDescent="0.3">
      <c r="A1065" s="41" t="s">
        <v>57</v>
      </c>
      <c r="B1065" s="48" t="str">
        <f t="shared" si="1"/>
        <v>n/a</v>
      </c>
      <c r="C1065" s="37">
        <v>46248</v>
      </c>
      <c r="D1065" s="34" t="s">
        <v>15</v>
      </c>
      <c r="E1065" s="41">
        <v>1509</v>
      </c>
      <c r="F1065" s="33">
        <v>0.40726699999999999</v>
      </c>
      <c r="G1065" s="35">
        <v>0.107267</v>
      </c>
    </row>
    <row r="1066" spans="1:7" x14ac:dyDescent="0.3">
      <c r="A1066" s="41" t="s">
        <v>57</v>
      </c>
      <c r="B1066" s="48" t="str">
        <f t="shared" si="1"/>
        <v>n/a</v>
      </c>
      <c r="C1066" s="37">
        <v>46248</v>
      </c>
      <c r="D1066" s="34" t="s">
        <v>16</v>
      </c>
      <c r="E1066" s="41">
        <v>1159</v>
      </c>
      <c r="F1066" s="33">
        <v>0.44434699999999999</v>
      </c>
      <c r="G1066" s="35">
        <v>0.10422099999999999</v>
      </c>
    </row>
    <row r="1067" spans="1:7" x14ac:dyDescent="0.3">
      <c r="A1067" s="41" t="s">
        <v>57</v>
      </c>
      <c r="B1067" s="48" t="str">
        <f t="shared" si="1"/>
        <v>n/a</v>
      </c>
      <c r="C1067" s="37">
        <v>46248</v>
      </c>
      <c r="D1067" s="34" t="s">
        <v>17</v>
      </c>
      <c r="E1067" s="41">
        <v>1721</v>
      </c>
      <c r="F1067" s="33">
        <v>0.458926</v>
      </c>
      <c r="G1067" s="35">
        <v>9.0715000000000004E-2</v>
      </c>
    </row>
    <row r="1068" spans="1:7" x14ac:dyDescent="0.3">
      <c r="A1068" s="41" t="s">
        <v>57</v>
      </c>
      <c r="B1068" s="48" t="str">
        <f t="shared" si="1"/>
        <v>n/a</v>
      </c>
      <c r="C1068" s="37">
        <v>46248</v>
      </c>
      <c r="D1068" s="34" t="s">
        <v>18</v>
      </c>
      <c r="E1068" s="41">
        <v>1370</v>
      </c>
      <c r="F1068" s="33">
        <v>0.29020200000000002</v>
      </c>
      <c r="G1068" s="35">
        <v>6.9010299999999997E-2</v>
      </c>
    </row>
    <row r="1069" spans="1:7" x14ac:dyDescent="0.3">
      <c r="A1069" s="41" t="s">
        <v>57</v>
      </c>
      <c r="B1069" s="48" t="str">
        <f t="shared" si="1"/>
        <v>n/a</v>
      </c>
      <c r="C1069" s="37">
        <v>46248</v>
      </c>
      <c r="D1069" s="34" t="s">
        <v>19</v>
      </c>
      <c r="E1069" s="41">
        <v>1316</v>
      </c>
      <c r="F1069" s="33">
        <v>0.482379</v>
      </c>
      <c r="G1069" s="35">
        <v>0.101456</v>
      </c>
    </row>
    <row r="1070" spans="1:7" x14ac:dyDescent="0.3">
      <c r="A1070" s="41" t="s">
        <v>57</v>
      </c>
      <c r="B1070" s="48" t="str">
        <f t="shared" si="1"/>
        <v>n/a</v>
      </c>
      <c r="C1070" s="37">
        <v>46248</v>
      </c>
      <c r="D1070" s="34" t="s">
        <v>20</v>
      </c>
      <c r="E1070" s="41">
        <v>1162</v>
      </c>
      <c r="F1070" s="33">
        <v>0.50386299999999995</v>
      </c>
      <c r="G1070" s="35">
        <v>0.10539</v>
      </c>
    </row>
    <row r="1071" spans="1:7" x14ac:dyDescent="0.3">
      <c r="A1071" s="41" t="s">
        <v>57</v>
      </c>
      <c r="B1071" s="48" t="str">
        <f t="shared" si="1"/>
        <v>n/a</v>
      </c>
      <c r="C1071" s="37">
        <v>46248</v>
      </c>
      <c r="D1071" s="34" t="s">
        <v>34</v>
      </c>
      <c r="E1071" s="41">
        <v>1310</v>
      </c>
      <c r="F1071" s="33">
        <v>0.26705099999999998</v>
      </c>
      <c r="G1071" s="35">
        <v>8.0909599999999998E-2</v>
      </c>
    </row>
    <row r="1072" spans="1:7" x14ac:dyDescent="0.3">
      <c r="A1072" s="41" t="s">
        <v>57</v>
      </c>
      <c r="B1072" s="48" t="str">
        <f t="shared" si="1"/>
        <v>n/a</v>
      </c>
      <c r="C1072" s="37">
        <v>46248</v>
      </c>
      <c r="D1072" s="34" t="s">
        <v>21</v>
      </c>
      <c r="E1072" s="41">
        <v>2288</v>
      </c>
      <c r="F1072" s="33">
        <v>0.45082499999999998</v>
      </c>
      <c r="G1072" s="35">
        <v>8.7667900000000007E-2</v>
      </c>
    </row>
    <row r="1073" spans="1:7" x14ac:dyDescent="0.3">
      <c r="A1073" s="41" t="s">
        <v>57</v>
      </c>
      <c r="B1073" s="48" t="str">
        <f t="shared" si="1"/>
        <v>n/a</v>
      </c>
      <c r="C1073" s="37">
        <v>46248</v>
      </c>
      <c r="D1073" s="34" t="s">
        <v>22</v>
      </c>
      <c r="E1073" s="41">
        <v>1848</v>
      </c>
      <c r="F1073" s="33">
        <v>0.33244299999999999</v>
      </c>
      <c r="G1073" s="35">
        <v>9.0296399999999999E-2</v>
      </c>
    </row>
    <row r="1074" spans="1:7" x14ac:dyDescent="0.3">
      <c r="A1074" s="41" t="s">
        <v>57</v>
      </c>
      <c r="B1074" s="48" t="str">
        <f t="shared" si="1"/>
        <v>n/a</v>
      </c>
      <c r="C1074" s="37">
        <v>46248</v>
      </c>
      <c r="D1074" s="34" t="s">
        <v>23</v>
      </c>
      <c r="E1074" s="41">
        <v>1451</v>
      </c>
      <c r="F1074" s="33">
        <v>0.36969099999999999</v>
      </c>
      <c r="G1074" s="35">
        <v>0.121264</v>
      </c>
    </row>
    <row r="1075" spans="1:7" x14ac:dyDescent="0.3">
      <c r="A1075" s="41" t="s">
        <v>57</v>
      </c>
      <c r="B1075" s="48" t="str">
        <f t="shared" si="1"/>
        <v>n/a</v>
      </c>
      <c r="C1075" s="37">
        <v>46248</v>
      </c>
      <c r="D1075" s="34" t="s">
        <v>24</v>
      </c>
      <c r="E1075" s="41">
        <v>2023</v>
      </c>
      <c r="F1075" s="33">
        <v>0.29422399999999999</v>
      </c>
      <c r="G1075" s="35">
        <v>9.0599100000000002E-2</v>
      </c>
    </row>
    <row r="1076" spans="1:7" x14ac:dyDescent="0.3">
      <c r="A1076" s="41" t="s">
        <v>57</v>
      </c>
      <c r="B1076" s="48" t="str">
        <f t="shared" si="1"/>
        <v>n/a</v>
      </c>
      <c r="C1076" s="37">
        <v>46248</v>
      </c>
      <c r="D1076" s="34" t="s">
        <v>25</v>
      </c>
      <c r="E1076" s="41">
        <v>1341</v>
      </c>
      <c r="F1076" s="33">
        <v>0.284999</v>
      </c>
      <c r="G1076" s="35">
        <v>6.8542400000000003E-2</v>
      </c>
    </row>
    <row r="1077" spans="1:7" x14ac:dyDescent="0.3">
      <c r="A1077" s="41" t="s">
        <v>57</v>
      </c>
      <c r="B1077" s="48" t="str">
        <f t="shared" si="1"/>
        <v>n/a</v>
      </c>
      <c r="C1077" s="37">
        <v>46248</v>
      </c>
      <c r="D1077" s="34" t="s">
        <v>26</v>
      </c>
      <c r="E1077" s="41">
        <v>1721</v>
      </c>
      <c r="F1077" s="33">
        <v>0.37112299999999998</v>
      </c>
      <c r="G1077" s="35">
        <v>0.11930399999999999</v>
      </c>
    </row>
    <row r="1078" spans="1:7" x14ac:dyDescent="0.3">
      <c r="A1078" s="41" t="s">
        <v>57</v>
      </c>
      <c r="B1078" s="48" t="str">
        <f t="shared" si="1"/>
        <v>n/a</v>
      </c>
      <c r="C1078" s="37">
        <v>46248</v>
      </c>
      <c r="D1078" s="34" t="s">
        <v>27</v>
      </c>
      <c r="E1078" s="41">
        <v>1333</v>
      </c>
      <c r="F1078" s="33">
        <v>0.444878</v>
      </c>
      <c r="G1078" s="35">
        <v>0.100879</v>
      </c>
    </row>
    <row r="1079" spans="1:7" x14ac:dyDescent="0.3">
      <c r="A1079" s="41" t="s">
        <v>57</v>
      </c>
      <c r="B1079" s="48" t="str">
        <f t="shared" si="1"/>
        <v>n/a</v>
      </c>
      <c r="C1079" s="37">
        <v>46248</v>
      </c>
      <c r="D1079" s="34" t="s">
        <v>28</v>
      </c>
      <c r="E1079" s="41">
        <v>1002</v>
      </c>
      <c r="F1079" s="33">
        <v>0.43327399999999999</v>
      </c>
      <c r="G1079" s="35">
        <v>9.7245799999999993E-2</v>
      </c>
    </row>
    <row r="1080" spans="1:7" x14ac:dyDescent="0.3">
      <c r="A1080" s="41" t="s">
        <v>57</v>
      </c>
      <c r="B1080" s="48" t="str">
        <f t="shared" si="1"/>
        <v>n/a</v>
      </c>
      <c r="C1080" s="37">
        <v>46248</v>
      </c>
      <c r="D1080" s="34" t="s">
        <v>29</v>
      </c>
      <c r="E1080" s="41">
        <v>1083</v>
      </c>
      <c r="F1080" s="33">
        <v>0.37295600000000001</v>
      </c>
      <c r="G1080" s="35">
        <v>7.7229000000000006E-2</v>
      </c>
    </row>
    <row r="1081" spans="1:7" x14ac:dyDescent="0.3">
      <c r="A1081" s="41" t="s">
        <v>57</v>
      </c>
      <c r="B1081" s="48" t="str">
        <f t="shared" si="1"/>
        <v>n/a</v>
      </c>
      <c r="C1081" s="37">
        <v>46248</v>
      </c>
      <c r="D1081" s="34" t="s">
        <v>30</v>
      </c>
      <c r="E1081" s="41">
        <v>1311</v>
      </c>
      <c r="F1081" s="33">
        <v>0.39763100000000001</v>
      </c>
      <c r="G1081" s="35">
        <v>7.9971700000000007E-2</v>
      </c>
    </row>
    <row r="1082" spans="1:7" x14ac:dyDescent="0.3">
      <c r="A1082" s="41" t="s">
        <v>57</v>
      </c>
      <c r="B1082" s="48" t="s">
        <v>188</v>
      </c>
      <c r="C1082" s="37">
        <v>46251</v>
      </c>
      <c r="D1082" s="34" t="s">
        <v>14</v>
      </c>
      <c r="E1082" s="41">
        <v>2066</v>
      </c>
      <c r="F1082" s="33">
        <v>0.50405199999999994</v>
      </c>
      <c r="G1082" s="35">
        <v>0.14171300000000001</v>
      </c>
    </row>
    <row r="1083" spans="1:7" x14ac:dyDescent="0.3">
      <c r="A1083" s="41" t="s">
        <v>57</v>
      </c>
      <c r="B1083" s="48" t="s">
        <v>188</v>
      </c>
      <c r="C1083" s="37">
        <v>46251</v>
      </c>
      <c r="D1083" s="34" t="s">
        <v>15</v>
      </c>
      <c r="E1083" s="41">
        <v>1635</v>
      </c>
      <c r="F1083" s="33">
        <v>0.42883700000000002</v>
      </c>
      <c r="G1083" s="35">
        <v>0.112932</v>
      </c>
    </row>
    <row r="1084" spans="1:7" x14ac:dyDescent="0.3">
      <c r="A1084" s="41" t="s">
        <v>57</v>
      </c>
      <c r="B1084" s="48" t="s">
        <v>188</v>
      </c>
      <c r="C1084" s="37">
        <v>46251</v>
      </c>
      <c r="D1084" s="34" t="s">
        <v>16</v>
      </c>
      <c r="E1084" s="41">
        <v>1376</v>
      </c>
      <c r="F1084" s="33">
        <v>0.58386400000000005</v>
      </c>
      <c r="G1084" s="35">
        <v>0.136906</v>
      </c>
    </row>
    <row r="1085" spans="1:7" x14ac:dyDescent="0.3">
      <c r="A1085" s="41" t="s">
        <v>57</v>
      </c>
      <c r="B1085" s="48" t="s">
        <v>188</v>
      </c>
      <c r="C1085" s="37">
        <v>46251</v>
      </c>
      <c r="D1085" s="34" t="s">
        <v>17</v>
      </c>
      <c r="E1085" s="41">
        <v>1683</v>
      </c>
      <c r="F1085" s="33">
        <v>0.61798799999999998</v>
      </c>
      <c r="G1085" s="35">
        <v>0.122215</v>
      </c>
    </row>
    <row r="1086" spans="1:7" x14ac:dyDescent="0.3">
      <c r="A1086" s="41" t="s">
        <v>57</v>
      </c>
      <c r="B1086" s="48" t="s">
        <v>188</v>
      </c>
      <c r="C1086" s="37">
        <v>46251</v>
      </c>
      <c r="D1086" s="34" t="s">
        <v>18</v>
      </c>
      <c r="E1086" s="41">
        <v>1548</v>
      </c>
      <c r="F1086" s="33">
        <v>0.39536300000000002</v>
      </c>
      <c r="G1086" s="35">
        <v>9.4000600000000004E-2</v>
      </c>
    </row>
    <row r="1087" spans="1:7" x14ac:dyDescent="0.3">
      <c r="A1087" s="41" t="s">
        <v>57</v>
      </c>
      <c r="B1087" s="48" t="s">
        <v>188</v>
      </c>
      <c r="C1087" s="37">
        <v>46251</v>
      </c>
      <c r="D1087" s="34" t="s">
        <v>19</v>
      </c>
      <c r="E1087" s="41">
        <v>1307</v>
      </c>
      <c r="F1087" s="33">
        <v>0.546041</v>
      </c>
      <c r="G1087" s="35">
        <v>0.114838</v>
      </c>
    </row>
    <row r="1088" spans="1:7" x14ac:dyDescent="0.3">
      <c r="A1088" s="41" t="s">
        <v>57</v>
      </c>
      <c r="B1088" s="48" t="s">
        <v>188</v>
      </c>
      <c r="C1088" s="37">
        <v>46251</v>
      </c>
      <c r="D1088" s="34" t="s">
        <v>20</v>
      </c>
      <c r="E1088" s="41">
        <v>1264</v>
      </c>
      <c r="F1088" s="33">
        <v>0.53737500000000005</v>
      </c>
      <c r="G1088" s="35">
        <v>0.112399</v>
      </c>
    </row>
    <row r="1089" spans="1:7" x14ac:dyDescent="0.3">
      <c r="A1089" s="41" t="s">
        <v>57</v>
      </c>
      <c r="B1089" s="48" t="s">
        <v>188</v>
      </c>
      <c r="C1089" s="37">
        <v>46251</v>
      </c>
      <c r="D1089" s="34" t="s">
        <v>34</v>
      </c>
      <c r="E1089" s="41">
        <v>1286</v>
      </c>
      <c r="F1089" s="33">
        <v>0.27073900000000001</v>
      </c>
      <c r="G1089" s="35">
        <v>8.2005300000000003E-2</v>
      </c>
    </row>
    <row r="1090" spans="1:7" x14ac:dyDescent="0.3">
      <c r="A1090" s="41" t="s">
        <v>57</v>
      </c>
      <c r="B1090" s="48" t="s">
        <v>188</v>
      </c>
      <c r="C1090" s="37">
        <v>46251</v>
      </c>
      <c r="D1090" s="34" t="s">
        <v>21</v>
      </c>
      <c r="E1090" s="41">
        <v>1808</v>
      </c>
      <c r="F1090" s="33">
        <v>0.57258699999999996</v>
      </c>
      <c r="G1090" s="35">
        <v>0.111369</v>
      </c>
    </row>
    <row r="1091" spans="1:7" x14ac:dyDescent="0.3">
      <c r="A1091" s="41" t="s">
        <v>57</v>
      </c>
      <c r="B1091" s="48" t="s">
        <v>188</v>
      </c>
      <c r="C1091" s="37">
        <v>46251</v>
      </c>
      <c r="D1091" s="34" t="s">
        <v>22</v>
      </c>
      <c r="E1091" s="41">
        <v>1982</v>
      </c>
      <c r="F1091" s="33">
        <v>0.42099999999999999</v>
      </c>
      <c r="G1091" s="35">
        <v>0.11437</v>
      </c>
    </row>
    <row r="1092" spans="1:7" x14ac:dyDescent="0.3">
      <c r="A1092" s="41" t="s">
        <v>57</v>
      </c>
      <c r="B1092" s="48" t="s">
        <v>188</v>
      </c>
      <c r="C1092" s="37">
        <v>46251</v>
      </c>
      <c r="D1092" s="34" t="s">
        <v>23</v>
      </c>
      <c r="E1092" s="41">
        <v>1566</v>
      </c>
      <c r="F1092" s="33">
        <v>0.55238900000000002</v>
      </c>
      <c r="G1092" s="35">
        <v>0.18115400000000001</v>
      </c>
    </row>
    <row r="1093" spans="1:7" x14ac:dyDescent="0.3">
      <c r="A1093" s="41" t="s">
        <v>57</v>
      </c>
      <c r="B1093" s="48" t="s">
        <v>188</v>
      </c>
      <c r="C1093" s="37">
        <v>46251</v>
      </c>
      <c r="D1093" s="34" t="s">
        <v>24</v>
      </c>
      <c r="E1093" s="41">
        <v>2127</v>
      </c>
      <c r="F1093" s="33">
        <v>0.26756999999999997</v>
      </c>
      <c r="G1093" s="35">
        <v>8.2367899999999994E-2</v>
      </c>
    </row>
    <row r="1094" spans="1:7" x14ac:dyDescent="0.3">
      <c r="A1094" s="41" t="s">
        <v>57</v>
      </c>
      <c r="B1094" s="48" t="s">
        <v>188</v>
      </c>
      <c r="C1094" s="37">
        <v>46251</v>
      </c>
      <c r="D1094" s="34" t="s">
        <v>25</v>
      </c>
      <c r="E1094" s="41">
        <v>1002</v>
      </c>
      <c r="F1094" s="33">
        <v>0.38618400000000003</v>
      </c>
      <c r="G1094" s="35">
        <v>9.2931299999999994E-2</v>
      </c>
    </row>
    <row r="1095" spans="1:7" x14ac:dyDescent="0.3">
      <c r="A1095" s="41" t="s">
        <v>57</v>
      </c>
      <c r="B1095" s="48" t="s">
        <v>188</v>
      </c>
      <c r="C1095" s="37">
        <v>46251</v>
      </c>
      <c r="D1095" s="34" t="s">
        <v>26</v>
      </c>
      <c r="E1095" s="41">
        <v>2055</v>
      </c>
      <c r="F1095" s="33">
        <v>0.32248500000000002</v>
      </c>
      <c r="G1095" s="35">
        <v>0.10366599999999999</v>
      </c>
    </row>
    <row r="1096" spans="1:7" x14ac:dyDescent="0.3">
      <c r="A1096" s="41" t="s">
        <v>57</v>
      </c>
      <c r="B1096" s="48" t="s">
        <v>188</v>
      </c>
      <c r="C1096" s="37">
        <v>46251</v>
      </c>
      <c r="D1096" s="34" t="s">
        <v>27</v>
      </c>
      <c r="E1096" s="41">
        <v>1202</v>
      </c>
      <c r="F1096" s="33">
        <v>0.69558200000000003</v>
      </c>
      <c r="G1096" s="35">
        <v>0.157753</v>
      </c>
    </row>
    <row r="1097" spans="1:7" x14ac:dyDescent="0.3">
      <c r="A1097" s="41" t="s">
        <v>57</v>
      </c>
      <c r="B1097" s="48" t="s">
        <v>188</v>
      </c>
      <c r="C1097" s="37">
        <v>46251</v>
      </c>
      <c r="D1097" s="34" t="s">
        <v>28</v>
      </c>
      <c r="E1097" s="41">
        <v>1272</v>
      </c>
      <c r="F1097" s="33">
        <v>0.47101700000000002</v>
      </c>
      <c r="G1097" s="35">
        <v>0.10573200000000001</v>
      </c>
    </row>
    <row r="1098" spans="1:7" x14ac:dyDescent="0.3">
      <c r="A1098" s="41" t="s">
        <v>57</v>
      </c>
      <c r="B1098" s="48" t="s">
        <v>188</v>
      </c>
      <c r="C1098" s="37">
        <v>46251</v>
      </c>
      <c r="D1098" s="34" t="s">
        <v>29</v>
      </c>
      <c r="E1098" s="41">
        <v>1086</v>
      </c>
      <c r="F1098" s="33">
        <v>0.43622499999999997</v>
      </c>
      <c r="G1098" s="35">
        <v>9.0280200000000005E-2</v>
      </c>
    </row>
    <row r="1099" spans="1:7" x14ac:dyDescent="0.3">
      <c r="A1099" s="41" t="s">
        <v>57</v>
      </c>
      <c r="B1099" s="48" t="s">
        <v>188</v>
      </c>
      <c r="C1099" s="37">
        <v>46251</v>
      </c>
      <c r="D1099" s="34" t="s">
        <v>30</v>
      </c>
      <c r="E1099" s="41">
        <v>1096</v>
      </c>
      <c r="F1099" s="33">
        <v>0.553342</v>
      </c>
      <c r="G1099" s="35">
        <v>0.111315</v>
      </c>
    </row>
    <row r="1100" spans="1:7" x14ac:dyDescent="0.3">
      <c r="A1100" s="41" t="s">
        <v>57</v>
      </c>
      <c r="B1100" s="48" t="s">
        <v>189</v>
      </c>
      <c r="C1100" s="37">
        <v>46251</v>
      </c>
      <c r="D1100" s="34" t="s">
        <v>14</v>
      </c>
      <c r="E1100" s="41">
        <v>2625</v>
      </c>
      <c r="F1100" s="33">
        <v>0.32448399999999999</v>
      </c>
      <c r="G1100" s="35">
        <v>9.1342800000000002E-2</v>
      </c>
    </row>
    <row r="1101" spans="1:7" x14ac:dyDescent="0.3">
      <c r="A1101" s="41" t="s">
        <v>57</v>
      </c>
      <c r="B1101" s="48" t="s">
        <v>189</v>
      </c>
      <c r="C1101" s="37">
        <v>46251</v>
      </c>
      <c r="D1101" s="34" t="s">
        <v>15</v>
      </c>
      <c r="E1101" s="41">
        <v>1923</v>
      </c>
      <c r="F1101" s="33">
        <v>0.430589</v>
      </c>
      <c r="G1101" s="35">
        <v>0.113538</v>
      </c>
    </row>
    <row r="1102" spans="1:7" x14ac:dyDescent="0.3">
      <c r="A1102" s="41" t="s">
        <v>57</v>
      </c>
      <c r="B1102" s="48" t="s">
        <v>189</v>
      </c>
      <c r="C1102" s="37">
        <v>46251</v>
      </c>
      <c r="D1102" s="34" t="s">
        <v>16</v>
      </c>
      <c r="E1102" s="41">
        <v>1599</v>
      </c>
      <c r="F1102" s="33">
        <v>0.51976599999999995</v>
      </c>
      <c r="G1102" s="35">
        <v>0.122027</v>
      </c>
    </row>
    <row r="1103" spans="1:7" x14ac:dyDescent="0.3">
      <c r="A1103" s="41" t="s">
        <v>57</v>
      </c>
      <c r="B1103" s="48" t="s">
        <v>189</v>
      </c>
      <c r="C1103" s="37">
        <v>46251</v>
      </c>
      <c r="D1103" s="34" t="s">
        <v>17</v>
      </c>
      <c r="E1103" s="41">
        <v>1668</v>
      </c>
      <c r="F1103" s="33">
        <v>0.59371300000000005</v>
      </c>
      <c r="G1103" s="35">
        <v>0.117408</v>
      </c>
    </row>
    <row r="1104" spans="1:7" x14ac:dyDescent="0.3">
      <c r="A1104" s="41" t="s">
        <v>57</v>
      </c>
      <c r="B1104" s="48" t="s">
        <v>189</v>
      </c>
      <c r="C1104" s="37">
        <v>46251</v>
      </c>
      <c r="D1104" s="34" t="s">
        <v>18</v>
      </c>
      <c r="E1104" s="41">
        <v>1653</v>
      </c>
      <c r="F1104" s="33">
        <v>0.36810799999999999</v>
      </c>
      <c r="G1104" s="35">
        <v>8.7630100000000002E-2</v>
      </c>
    </row>
    <row r="1105" spans="1:7" x14ac:dyDescent="0.3">
      <c r="A1105" s="41" t="s">
        <v>57</v>
      </c>
      <c r="B1105" s="48" t="s">
        <v>189</v>
      </c>
      <c r="C1105" s="37">
        <v>46251</v>
      </c>
      <c r="D1105" s="34" t="s">
        <v>19</v>
      </c>
      <c r="E1105" s="41">
        <v>1321</v>
      </c>
      <c r="F1105" s="33">
        <v>0.57203800000000005</v>
      </c>
      <c r="G1105" s="35">
        <v>0.12042600000000001</v>
      </c>
    </row>
    <row r="1106" spans="1:7" x14ac:dyDescent="0.3">
      <c r="A1106" s="41" t="s">
        <v>57</v>
      </c>
      <c r="B1106" s="48" t="s">
        <v>189</v>
      </c>
      <c r="C1106" s="37">
        <v>46251</v>
      </c>
      <c r="D1106" s="34" t="s">
        <v>20</v>
      </c>
      <c r="E1106" s="41">
        <v>1153</v>
      </c>
      <c r="F1106" s="33">
        <v>0.52254199999999995</v>
      </c>
      <c r="G1106" s="35">
        <v>0.109412</v>
      </c>
    </row>
    <row r="1107" spans="1:7" x14ac:dyDescent="0.3">
      <c r="A1107" s="41" t="s">
        <v>57</v>
      </c>
      <c r="B1107" s="48" t="s">
        <v>189</v>
      </c>
      <c r="C1107" s="37">
        <v>46251</v>
      </c>
      <c r="D1107" s="34" t="s">
        <v>34</v>
      </c>
      <c r="E1107" s="41">
        <v>1555</v>
      </c>
      <c r="F1107" s="33">
        <v>0.28472399999999998</v>
      </c>
      <c r="G1107" s="35">
        <v>8.6307800000000004E-2</v>
      </c>
    </row>
    <row r="1108" spans="1:7" x14ac:dyDescent="0.3">
      <c r="A1108" s="41" t="s">
        <v>57</v>
      </c>
      <c r="B1108" s="48" t="s">
        <v>189</v>
      </c>
      <c r="C1108" s="37">
        <v>46251</v>
      </c>
      <c r="D1108" s="34" t="s">
        <v>21</v>
      </c>
      <c r="E1108" s="41">
        <v>1686</v>
      </c>
      <c r="F1108" s="33">
        <v>0.51975700000000002</v>
      </c>
      <c r="G1108" s="35">
        <v>0.101156</v>
      </c>
    </row>
    <row r="1109" spans="1:7" x14ac:dyDescent="0.3">
      <c r="A1109" s="41" t="s">
        <v>57</v>
      </c>
      <c r="B1109" s="48" t="s">
        <v>189</v>
      </c>
      <c r="C1109" s="37">
        <v>46251</v>
      </c>
      <c r="D1109" s="34" t="s">
        <v>22</v>
      </c>
      <c r="E1109" s="41">
        <v>1987</v>
      </c>
      <c r="F1109" s="33">
        <v>0.380083</v>
      </c>
      <c r="G1109" s="35">
        <v>0.103313</v>
      </c>
    </row>
    <row r="1110" spans="1:7" x14ac:dyDescent="0.3">
      <c r="A1110" s="41" t="s">
        <v>57</v>
      </c>
      <c r="B1110" s="48" t="s">
        <v>189</v>
      </c>
      <c r="C1110" s="37">
        <v>46251</v>
      </c>
      <c r="D1110" s="34" t="s">
        <v>23</v>
      </c>
      <c r="E1110" s="41">
        <v>2293</v>
      </c>
      <c r="F1110" s="33">
        <v>0.38328200000000001</v>
      </c>
      <c r="G1110" s="35">
        <v>0.125803</v>
      </c>
    </row>
    <row r="1111" spans="1:7" x14ac:dyDescent="0.3">
      <c r="A1111" s="41" t="s">
        <v>57</v>
      </c>
      <c r="B1111" s="48" t="s">
        <v>189</v>
      </c>
      <c r="C1111" s="37">
        <v>46251</v>
      </c>
      <c r="D1111" s="34" t="s">
        <v>24</v>
      </c>
      <c r="E1111" s="41">
        <v>2471</v>
      </c>
      <c r="F1111" s="33">
        <v>0.30921300000000002</v>
      </c>
      <c r="G1111" s="35">
        <v>9.5219700000000004E-2</v>
      </c>
    </row>
    <row r="1112" spans="1:7" x14ac:dyDescent="0.3">
      <c r="A1112" s="41" t="s">
        <v>57</v>
      </c>
      <c r="B1112" s="48" t="s">
        <v>189</v>
      </c>
      <c r="C1112" s="37">
        <v>46251</v>
      </c>
      <c r="D1112" s="34" t="s">
        <v>25</v>
      </c>
      <c r="E1112" s="41">
        <v>1172</v>
      </c>
      <c r="F1112" s="33">
        <v>0.32364399999999999</v>
      </c>
      <c r="G1112" s="35">
        <v>7.7815700000000002E-2</v>
      </c>
    </row>
    <row r="1113" spans="1:7" x14ac:dyDescent="0.3">
      <c r="A1113" s="41" t="s">
        <v>57</v>
      </c>
      <c r="B1113" s="48" t="s">
        <v>189</v>
      </c>
      <c r="C1113" s="37">
        <v>46251</v>
      </c>
      <c r="D1113" s="34" t="s">
        <v>26</v>
      </c>
      <c r="E1113" s="41">
        <v>1845</v>
      </c>
      <c r="F1113" s="33">
        <v>0.27182600000000001</v>
      </c>
      <c r="G1113" s="35">
        <v>8.7448100000000001E-2</v>
      </c>
    </row>
    <row r="1114" spans="1:7" x14ac:dyDescent="0.3">
      <c r="A1114" s="41" t="s">
        <v>57</v>
      </c>
      <c r="B1114" s="48" t="s">
        <v>189</v>
      </c>
      <c r="C1114" s="37">
        <v>46251</v>
      </c>
      <c r="D1114" s="34" t="s">
        <v>27</v>
      </c>
      <c r="E1114" s="41">
        <v>1001</v>
      </c>
      <c r="F1114" s="33">
        <v>0.60282599999999997</v>
      </c>
      <c r="G1114" s="35">
        <v>0.13685900000000001</v>
      </c>
    </row>
    <row r="1115" spans="1:7" x14ac:dyDescent="0.3">
      <c r="A1115" s="41" t="s">
        <v>57</v>
      </c>
      <c r="B1115" s="48" t="s">
        <v>189</v>
      </c>
      <c r="C1115" s="37">
        <v>46251</v>
      </c>
      <c r="D1115" s="34" t="s">
        <v>28</v>
      </c>
      <c r="E1115" s="41">
        <v>1416</v>
      </c>
      <c r="F1115" s="33">
        <v>0.42255999999999999</v>
      </c>
      <c r="G1115" s="35">
        <v>9.4866400000000004E-2</v>
      </c>
    </row>
    <row r="1116" spans="1:7" x14ac:dyDescent="0.3">
      <c r="A1116" s="41" t="s">
        <v>57</v>
      </c>
      <c r="B1116" s="48" t="s">
        <v>189</v>
      </c>
      <c r="C1116" s="37">
        <v>46251</v>
      </c>
      <c r="D1116" s="34" t="s">
        <v>29</v>
      </c>
      <c r="E1116" s="41">
        <v>1280</v>
      </c>
      <c r="F1116" s="33">
        <v>0.35569499999999998</v>
      </c>
      <c r="G1116" s="35">
        <v>7.3693800000000004E-2</v>
      </c>
    </row>
    <row r="1117" spans="1:7" x14ac:dyDescent="0.3">
      <c r="A1117" s="41" t="s">
        <v>57</v>
      </c>
      <c r="B1117" s="48" t="s">
        <v>189</v>
      </c>
      <c r="C1117" s="37">
        <v>46251</v>
      </c>
      <c r="D1117" s="34" t="s">
        <v>30</v>
      </c>
      <c r="E1117" s="41">
        <v>1111</v>
      </c>
      <c r="F1117" s="33">
        <v>0.58288700000000004</v>
      </c>
      <c r="G1117" s="35">
        <v>0.117351</v>
      </c>
    </row>
    <row r="1118" spans="1:7" x14ac:dyDescent="0.3">
      <c r="A1118" s="41" t="s">
        <v>57</v>
      </c>
      <c r="B1118" s="48" t="str">
        <f t="shared" si="1"/>
        <v>n/a</v>
      </c>
      <c r="C1118" s="37">
        <v>46251</v>
      </c>
      <c r="D1118" s="34" t="s">
        <v>14</v>
      </c>
      <c r="E1118" s="41">
        <v>2242</v>
      </c>
      <c r="F1118" s="33">
        <v>0.398567</v>
      </c>
      <c r="G1118" s="35">
        <v>0.11214499999999999</v>
      </c>
    </row>
    <row r="1119" spans="1:7" x14ac:dyDescent="0.3">
      <c r="A1119" s="41" t="s">
        <v>57</v>
      </c>
      <c r="B1119" s="48" t="str">
        <f t="shared" si="1"/>
        <v>n/a</v>
      </c>
      <c r="C1119" s="37">
        <v>46251</v>
      </c>
      <c r="D1119" s="34" t="s">
        <v>15</v>
      </c>
      <c r="E1119" s="41">
        <v>1709</v>
      </c>
      <c r="F1119" s="33">
        <v>0.36160999999999999</v>
      </c>
      <c r="G1119" s="35">
        <v>9.5325900000000005E-2</v>
      </c>
    </row>
    <row r="1120" spans="1:7" x14ac:dyDescent="0.3">
      <c r="A1120" s="41" t="s">
        <v>57</v>
      </c>
      <c r="B1120" s="48" t="str">
        <f t="shared" si="1"/>
        <v>n/a</v>
      </c>
      <c r="C1120" s="37">
        <v>46251</v>
      </c>
      <c r="D1120" s="34" t="s">
        <v>16</v>
      </c>
      <c r="E1120" s="41">
        <v>1583</v>
      </c>
      <c r="F1120" s="33">
        <v>0.48918</v>
      </c>
      <c r="G1120" s="35">
        <v>0.114796</v>
      </c>
    </row>
    <row r="1121" spans="1:7" x14ac:dyDescent="0.3">
      <c r="A1121" s="41" t="s">
        <v>57</v>
      </c>
      <c r="B1121" s="48" t="str">
        <f t="shared" si="1"/>
        <v>n/a</v>
      </c>
      <c r="C1121" s="37">
        <v>46251</v>
      </c>
      <c r="D1121" s="34" t="s">
        <v>17</v>
      </c>
      <c r="E1121" s="41">
        <v>1974</v>
      </c>
      <c r="F1121" s="33">
        <v>0.52810699999999999</v>
      </c>
      <c r="G1121" s="35">
        <v>0.104508</v>
      </c>
    </row>
    <row r="1122" spans="1:7" x14ac:dyDescent="0.3">
      <c r="A1122" s="41" t="s">
        <v>57</v>
      </c>
      <c r="B1122" s="48" t="str">
        <f t="shared" si="1"/>
        <v>n/a</v>
      </c>
      <c r="C1122" s="37">
        <v>46251</v>
      </c>
      <c r="D1122" s="34" t="s">
        <v>18</v>
      </c>
      <c r="E1122" s="41">
        <v>1672</v>
      </c>
      <c r="F1122" s="33">
        <v>0.35497099999999998</v>
      </c>
      <c r="G1122" s="35">
        <v>8.4469199999999994E-2</v>
      </c>
    </row>
    <row r="1123" spans="1:7" x14ac:dyDescent="0.3">
      <c r="A1123" s="41" t="s">
        <v>57</v>
      </c>
      <c r="B1123" s="48" t="str">
        <f t="shared" si="1"/>
        <v>n/a</v>
      </c>
      <c r="C1123" s="37">
        <v>46251</v>
      </c>
      <c r="D1123" s="34" t="s">
        <v>19</v>
      </c>
      <c r="E1123" s="41">
        <v>1670</v>
      </c>
      <c r="F1123" s="33">
        <v>0.53395000000000004</v>
      </c>
      <c r="G1123" s="35">
        <v>0.11239</v>
      </c>
    </row>
    <row r="1124" spans="1:7" x14ac:dyDescent="0.3">
      <c r="A1124" s="41" t="s">
        <v>57</v>
      </c>
      <c r="B1124" s="48" t="str">
        <f t="shared" si="1"/>
        <v>n/a</v>
      </c>
      <c r="C1124" s="37">
        <v>46251</v>
      </c>
      <c r="D1124" s="34" t="s">
        <v>20</v>
      </c>
      <c r="E1124" s="41">
        <v>1457</v>
      </c>
      <c r="F1124" s="33">
        <v>0.51797000000000004</v>
      </c>
      <c r="G1124" s="35">
        <v>0.108448</v>
      </c>
    </row>
    <row r="1125" spans="1:7" x14ac:dyDescent="0.3">
      <c r="A1125" s="41" t="s">
        <v>57</v>
      </c>
      <c r="B1125" s="48" t="str">
        <f t="shared" si="1"/>
        <v>n/a</v>
      </c>
      <c r="C1125" s="37">
        <v>46251</v>
      </c>
      <c r="D1125" s="34" t="s">
        <v>34</v>
      </c>
      <c r="E1125" s="41">
        <v>1754</v>
      </c>
      <c r="F1125" s="33">
        <v>0.29023500000000002</v>
      </c>
      <c r="G1125" s="35">
        <v>8.7974200000000002E-2</v>
      </c>
    </row>
    <row r="1126" spans="1:7" x14ac:dyDescent="0.3">
      <c r="A1126" s="41" t="s">
        <v>57</v>
      </c>
      <c r="B1126" s="48" t="str">
        <f t="shared" si="1"/>
        <v>n/a</v>
      </c>
      <c r="C1126" s="37">
        <v>46251</v>
      </c>
      <c r="D1126" s="34" t="s">
        <v>21</v>
      </c>
      <c r="E1126" s="41">
        <v>1608</v>
      </c>
      <c r="F1126" s="33">
        <v>0.48822300000000002</v>
      </c>
      <c r="G1126" s="35">
        <v>9.5040399999999997E-2</v>
      </c>
    </row>
    <row r="1127" spans="1:7" x14ac:dyDescent="0.3">
      <c r="A1127" s="41" t="s">
        <v>57</v>
      </c>
      <c r="B1127" s="48" t="str">
        <f t="shared" si="1"/>
        <v>n/a</v>
      </c>
      <c r="C1127" s="37">
        <v>46251</v>
      </c>
      <c r="D1127" s="34" t="s">
        <v>22</v>
      </c>
      <c r="E1127" s="41">
        <v>2311</v>
      </c>
      <c r="F1127" s="33">
        <v>0.34321800000000002</v>
      </c>
      <c r="G1127" s="35">
        <v>9.3296199999999996E-2</v>
      </c>
    </row>
    <row r="1128" spans="1:7" x14ac:dyDescent="0.3">
      <c r="A1128" s="41" t="s">
        <v>57</v>
      </c>
      <c r="B1128" s="48" t="str">
        <f t="shared" ref="B1128:B1135" si="2">IF($A1128="Daily", "n/a", "")</f>
        <v>n/a</v>
      </c>
      <c r="C1128" s="37">
        <v>46251</v>
      </c>
      <c r="D1128" s="34" t="s">
        <v>23</v>
      </c>
      <c r="E1128" s="41">
        <v>1723</v>
      </c>
      <c r="F1128" s="33">
        <v>0.35619899999999999</v>
      </c>
      <c r="G1128" s="35">
        <v>0.116948</v>
      </c>
    </row>
    <row r="1129" spans="1:7" x14ac:dyDescent="0.3">
      <c r="A1129" s="41" t="s">
        <v>57</v>
      </c>
      <c r="B1129" s="48" t="str">
        <f t="shared" si="2"/>
        <v>n/a</v>
      </c>
      <c r="C1129" s="37">
        <v>46251</v>
      </c>
      <c r="D1129" s="34" t="s">
        <v>24</v>
      </c>
      <c r="E1129" s="41">
        <v>2320</v>
      </c>
      <c r="F1129" s="33">
        <v>0.31590299999999999</v>
      </c>
      <c r="G1129" s="35">
        <v>9.7337800000000002E-2</v>
      </c>
    </row>
    <row r="1130" spans="1:7" x14ac:dyDescent="0.3">
      <c r="A1130" s="41" t="s">
        <v>57</v>
      </c>
      <c r="B1130" s="48" t="str">
        <f t="shared" si="2"/>
        <v>n/a</v>
      </c>
      <c r="C1130" s="37">
        <v>46251</v>
      </c>
      <c r="D1130" s="34" t="s">
        <v>25</v>
      </c>
      <c r="E1130" s="41">
        <v>1012</v>
      </c>
      <c r="F1130" s="33">
        <v>0.39032899999999998</v>
      </c>
      <c r="G1130" s="35">
        <v>9.3941499999999997E-2</v>
      </c>
    </row>
    <row r="1131" spans="1:7" x14ac:dyDescent="0.3">
      <c r="A1131" s="41" t="s">
        <v>57</v>
      </c>
      <c r="B1131" s="48" t="str">
        <f t="shared" si="2"/>
        <v>n/a</v>
      </c>
      <c r="C1131" s="37">
        <v>46251</v>
      </c>
      <c r="D1131" s="34" t="s">
        <v>26</v>
      </c>
      <c r="E1131" s="41">
        <v>2552</v>
      </c>
      <c r="F1131" s="33">
        <v>0.28678700000000001</v>
      </c>
      <c r="G1131" s="35">
        <v>9.2274499999999995E-2</v>
      </c>
    </row>
    <row r="1132" spans="1:7" x14ac:dyDescent="0.3">
      <c r="A1132" s="41" t="s">
        <v>57</v>
      </c>
      <c r="B1132" s="48" t="str">
        <f t="shared" si="2"/>
        <v>n/a</v>
      </c>
      <c r="C1132" s="37">
        <v>46251</v>
      </c>
      <c r="D1132" s="34" t="s">
        <v>27</v>
      </c>
      <c r="E1132" s="41">
        <v>1035</v>
      </c>
      <c r="F1132" s="33">
        <v>0.57278499999999999</v>
      </c>
      <c r="G1132" s="35">
        <v>0.13004399999999999</v>
      </c>
    </row>
    <row r="1133" spans="1:7" x14ac:dyDescent="0.3">
      <c r="A1133" s="41" t="s">
        <v>57</v>
      </c>
      <c r="B1133" s="48" t="str">
        <f t="shared" si="2"/>
        <v>n/a</v>
      </c>
      <c r="C1133" s="37">
        <v>46251</v>
      </c>
      <c r="D1133" s="34" t="s">
        <v>28</v>
      </c>
      <c r="E1133" s="41">
        <v>1272</v>
      </c>
      <c r="F1133" s="33">
        <v>0.42932599999999999</v>
      </c>
      <c r="G1133" s="35">
        <v>9.6414600000000003E-2</v>
      </c>
    </row>
    <row r="1134" spans="1:7" x14ac:dyDescent="0.3">
      <c r="A1134" s="41" t="s">
        <v>57</v>
      </c>
      <c r="B1134" s="48" t="str">
        <f t="shared" si="2"/>
        <v>n/a</v>
      </c>
      <c r="C1134" s="37">
        <v>46251</v>
      </c>
      <c r="D1134" s="34" t="s">
        <v>29</v>
      </c>
      <c r="E1134" s="41">
        <v>1004</v>
      </c>
      <c r="F1134" s="33">
        <v>0.33120699999999997</v>
      </c>
      <c r="G1134" s="35">
        <v>6.8599099999999996E-2</v>
      </c>
    </row>
    <row r="1135" spans="1:7" x14ac:dyDescent="0.3">
      <c r="A1135" s="41" t="s">
        <v>57</v>
      </c>
      <c r="B1135" s="48" t="str">
        <f t="shared" si="2"/>
        <v>n/a</v>
      </c>
      <c r="C1135" s="37">
        <v>46251</v>
      </c>
      <c r="D1135" s="34" t="s">
        <v>30</v>
      </c>
      <c r="E1135" s="41">
        <v>1423</v>
      </c>
      <c r="F1135" s="33">
        <v>0.59777599999999997</v>
      </c>
      <c r="G1135" s="35">
        <v>0.12032900000000001</v>
      </c>
    </row>
    <row r="1136" spans="1:7" x14ac:dyDescent="0.3">
      <c r="A1136" s="41" t="s">
        <v>57</v>
      </c>
      <c r="B1136" s="48" t="s">
        <v>64</v>
      </c>
      <c r="C1136" s="37">
        <v>46252</v>
      </c>
      <c r="D1136" s="34" t="s">
        <v>14</v>
      </c>
      <c r="E1136" s="41">
        <v>2683</v>
      </c>
      <c r="F1136" s="33">
        <v>0.41292200000000001</v>
      </c>
      <c r="G1136" s="35">
        <v>0.116243</v>
      </c>
    </row>
    <row r="1137" spans="1:7" x14ac:dyDescent="0.3">
      <c r="A1137" s="41" t="s">
        <v>57</v>
      </c>
      <c r="B1137" s="48" t="s">
        <v>64</v>
      </c>
      <c r="C1137" s="37">
        <v>46252</v>
      </c>
      <c r="D1137" s="34" t="s">
        <v>15</v>
      </c>
      <c r="E1137" s="41">
        <v>2063</v>
      </c>
      <c r="F1137" s="33">
        <v>0.435645</v>
      </c>
      <c r="G1137" s="35">
        <v>0.114894</v>
      </c>
    </row>
    <row r="1138" spans="1:7" x14ac:dyDescent="0.3">
      <c r="A1138" s="41" t="s">
        <v>57</v>
      </c>
      <c r="B1138" s="48" t="s">
        <v>64</v>
      </c>
      <c r="C1138" s="37">
        <v>46252</v>
      </c>
      <c r="D1138" s="34" t="s">
        <v>16</v>
      </c>
      <c r="E1138" s="41">
        <v>1393</v>
      </c>
      <c r="F1138" s="33">
        <v>0.51256000000000002</v>
      </c>
      <c r="G1138" s="35">
        <v>0.12031799999999999</v>
      </c>
    </row>
    <row r="1139" spans="1:7" x14ac:dyDescent="0.3">
      <c r="A1139" s="41" t="s">
        <v>57</v>
      </c>
      <c r="B1139" s="48" t="s">
        <v>64</v>
      </c>
      <c r="C1139" s="37">
        <v>46252</v>
      </c>
      <c r="D1139" s="34" t="s">
        <v>17</v>
      </c>
      <c r="E1139" s="41">
        <v>1839</v>
      </c>
      <c r="F1139" s="33">
        <v>0.64675400000000005</v>
      </c>
      <c r="G1139" s="35">
        <v>0.12797800000000001</v>
      </c>
    </row>
    <row r="1140" spans="1:7" x14ac:dyDescent="0.3">
      <c r="A1140" s="41" t="s">
        <v>57</v>
      </c>
      <c r="B1140" s="48" t="s">
        <v>64</v>
      </c>
      <c r="C1140" s="37">
        <v>46252</v>
      </c>
      <c r="D1140" s="34" t="s">
        <v>18</v>
      </c>
      <c r="E1140" s="41">
        <v>1875</v>
      </c>
      <c r="F1140" s="33">
        <v>0.367645</v>
      </c>
      <c r="G1140" s="35">
        <v>8.7530300000000005E-2</v>
      </c>
    </row>
    <row r="1141" spans="1:7" x14ac:dyDescent="0.3">
      <c r="A1141" s="41" t="s">
        <v>57</v>
      </c>
      <c r="B1141" s="48" t="s">
        <v>64</v>
      </c>
      <c r="C1141" s="37">
        <v>46252</v>
      </c>
      <c r="D1141" s="34" t="s">
        <v>19</v>
      </c>
      <c r="E1141" s="41">
        <v>1426</v>
      </c>
      <c r="F1141" s="33">
        <v>0.55123200000000006</v>
      </c>
      <c r="G1141" s="35">
        <v>0.11608300000000001</v>
      </c>
    </row>
    <row r="1142" spans="1:7" x14ac:dyDescent="0.3">
      <c r="A1142" s="41" t="s">
        <v>57</v>
      </c>
      <c r="B1142" s="48" t="s">
        <v>64</v>
      </c>
      <c r="C1142" s="37">
        <v>46252</v>
      </c>
      <c r="D1142" s="34" t="s">
        <v>20</v>
      </c>
      <c r="E1142" s="41">
        <v>1230</v>
      </c>
      <c r="F1142" s="33">
        <v>0.63231000000000004</v>
      </c>
      <c r="G1142" s="35">
        <v>0.13243199999999999</v>
      </c>
    </row>
    <row r="1143" spans="1:7" x14ac:dyDescent="0.3">
      <c r="A1143" s="41" t="s">
        <v>57</v>
      </c>
      <c r="B1143" s="48" t="s">
        <v>64</v>
      </c>
      <c r="C1143" s="37">
        <v>46252</v>
      </c>
      <c r="D1143" s="34" t="s">
        <v>34</v>
      </c>
      <c r="E1143" s="41">
        <v>1745</v>
      </c>
      <c r="F1143" s="33">
        <v>0.232436</v>
      </c>
      <c r="G1143" s="35">
        <v>7.0449899999999996E-2</v>
      </c>
    </row>
    <row r="1144" spans="1:7" x14ac:dyDescent="0.3">
      <c r="A1144" s="41" t="s">
        <v>57</v>
      </c>
      <c r="B1144" s="48" t="s">
        <v>64</v>
      </c>
      <c r="C1144" s="37">
        <v>46252</v>
      </c>
      <c r="D1144" s="34" t="s">
        <v>21</v>
      </c>
      <c r="E1144" s="41">
        <v>2642</v>
      </c>
      <c r="F1144" s="33">
        <v>0.49119800000000002</v>
      </c>
      <c r="G1144" s="35">
        <v>9.5622499999999999E-2</v>
      </c>
    </row>
    <row r="1145" spans="1:7" x14ac:dyDescent="0.3">
      <c r="A1145" s="41" t="s">
        <v>57</v>
      </c>
      <c r="B1145" s="48" t="s">
        <v>64</v>
      </c>
      <c r="C1145" s="37">
        <v>46252</v>
      </c>
      <c r="D1145" s="34" t="s">
        <v>22</v>
      </c>
      <c r="E1145" s="41">
        <v>2179</v>
      </c>
      <c r="F1145" s="33">
        <v>0.34789900000000001</v>
      </c>
      <c r="G1145" s="35">
        <v>9.45627E-2</v>
      </c>
    </row>
    <row r="1146" spans="1:7" x14ac:dyDescent="0.3">
      <c r="A1146" s="41" t="s">
        <v>57</v>
      </c>
      <c r="B1146" s="48" t="s">
        <v>64</v>
      </c>
      <c r="C1146" s="37">
        <v>46252</v>
      </c>
      <c r="D1146" s="34" t="s">
        <v>23</v>
      </c>
      <c r="E1146" s="41">
        <v>2320</v>
      </c>
      <c r="F1146" s="33">
        <v>0.41121099999999999</v>
      </c>
      <c r="G1146" s="35">
        <v>0.135014</v>
      </c>
    </row>
    <row r="1147" spans="1:7" x14ac:dyDescent="0.3">
      <c r="A1147" s="41" t="s">
        <v>57</v>
      </c>
      <c r="B1147" s="48" t="s">
        <v>64</v>
      </c>
      <c r="C1147" s="37">
        <v>46252</v>
      </c>
      <c r="D1147" s="34" t="s">
        <v>24</v>
      </c>
      <c r="E1147" s="41">
        <v>2710</v>
      </c>
      <c r="F1147" s="33">
        <v>0.29681299999999999</v>
      </c>
      <c r="G1147" s="35">
        <v>9.1429200000000002E-2</v>
      </c>
    </row>
    <row r="1148" spans="1:7" x14ac:dyDescent="0.3">
      <c r="A1148" s="41" t="s">
        <v>57</v>
      </c>
      <c r="B1148" s="48" t="s">
        <v>64</v>
      </c>
      <c r="C1148" s="37">
        <v>46252</v>
      </c>
      <c r="D1148" s="34" t="s">
        <v>25</v>
      </c>
      <c r="E1148" s="41">
        <v>1379</v>
      </c>
      <c r="F1148" s="33">
        <v>0.35791400000000001</v>
      </c>
      <c r="G1148" s="35">
        <v>8.6167999999999995E-2</v>
      </c>
    </row>
    <row r="1149" spans="1:7" x14ac:dyDescent="0.3">
      <c r="A1149" s="41" t="s">
        <v>57</v>
      </c>
      <c r="B1149" s="48" t="s">
        <v>64</v>
      </c>
      <c r="C1149" s="37">
        <v>46252</v>
      </c>
      <c r="D1149" s="34" t="s">
        <v>26</v>
      </c>
      <c r="E1149" s="41">
        <v>2429</v>
      </c>
      <c r="F1149" s="33">
        <v>0.27052700000000002</v>
      </c>
      <c r="G1149" s="35">
        <v>8.7048399999999998E-2</v>
      </c>
    </row>
    <row r="1150" spans="1:7" x14ac:dyDescent="0.3">
      <c r="A1150" s="41" t="s">
        <v>57</v>
      </c>
      <c r="B1150" s="48" t="s">
        <v>64</v>
      </c>
      <c r="C1150" s="37">
        <v>46252</v>
      </c>
      <c r="D1150" s="34" t="s">
        <v>27</v>
      </c>
      <c r="E1150" s="41">
        <v>1937</v>
      </c>
      <c r="F1150" s="33">
        <v>0.48827100000000001</v>
      </c>
      <c r="G1150" s="35">
        <v>0.110857</v>
      </c>
    </row>
    <row r="1151" spans="1:7" x14ac:dyDescent="0.3">
      <c r="A1151" s="41" t="s">
        <v>57</v>
      </c>
      <c r="B1151" s="48" t="s">
        <v>64</v>
      </c>
      <c r="C1151" s="37">
        <v>46252</v>
      </c>
      <c r="D1151" s="34" t="s">
        <v>28</v>
      </c>
      <c r="E1151" s="41">
        <v>1290</v>
      </c>
      <c r="F1151" s="33">
        <v>0.54166199999999998</v>
      </c>
      <c r="G1151" s="35">
        <v>0.121682</v>
      </c>
    </row>
    <row r="1152" spans="1:7" x14ac:dyDescent="0.3">
      <c r="A1152" s="41" t="s">
        <v>57</v>
      </c>
      <c r="B1152" s="48" t="s">
        <v>64</v>
      </c>
      <c r="C1152" s="37">
        <v>46252</v>
      </c>
      <c r="D1152" s="34" t="s">
        <v>29</v>
      </c>
      <c r="E1152" s="41">
        <v>1192</v>
      </c>
      <c r="F1152" s="33">
        <v>0.41064200000000001</v>
      </c>
      <c r="G1152" s="35">
        <v>8.5094100000000006E-2</v>
      </c>
    </row>
    <row r="1153" spans="1:7" x14ac:dyDescent="0.3">
      <c r="A1153" s="41" t="s">
        <v>57</v>
      </c>
      <c r="B1153" s="48" t="s">
        <v>64</v>
      </c>
      <c r="C1153" s="37">
        <v>46252</v>
      </c>
      <c r="D1153" s="34" t="s">
        <v>30</v>
      </c>
      <c r="E1153" s="41">
        <v>1004</v>
      </c>
      <c r="F1153" s="33">
        <v>0.69097900000000001</v>
      </c>
      <c r="G1153" s="35">
        <v>0.13900999999999999</v>
      </c>
    </row>
    <row r="1154" spans="1:7" x14ac:dyDescent="0.3">
      <c r="A1154" s="41" t="s">
        <v>57</v>
      </c>
      <c r="B1154" s="48" t="s">
        <v>64</v>
      </c>
      <c r="C1154" s="37">
        <v>46253</v>
      </c>
      <c r="D1154" s="34" t="s">
        <v>14</v>
      </c>
      <c r="E1154" s="41">
        <v>1878</v>
      </c>
      <c r="F1154" s="33">
        <v>0.316361</v>
      </c>
      <c r="G1154" s="35">
        <v>8.9035699999999995E-2</v>
      </c>
    </row>
    <row r="1155" spans="1:7" x14ac:dyDescent="0.3">
      <c r="A1155" s="41" t="s">
        <v>57</v>
      </c>
      <c r="B1155" s="48" t="s">
        <v>64</v>
      </c>
      <c r="C1155" s="37">
        <v>46253</v>
      </c>
      <c r="D1155" s="34" t="s">
        <v>15</v>
      </c>
      <c r="E1155" s="41">
        <v>1341</v>
      </c>
      <c r="F1155" s="33">
        <v>0.54754100000000006</v>
      </c>
      <c r="G1155" s="35">
        <v>0.144426</v>
      </c>
    </row>
    <row r="1156" spans="1:7" x14ac:dyDescent="0.3">
      <c r="A1156" s="41" t="s">
        <v>57</v>
      </c>
      <c r="B1156" s="48" t="s">
        <v>64</v>
      </c>
      <c r="C1156" s="37">
        <v>46253</v>
      </c>
      <c r="D1156" s="34" t="s">
        <v>16</v>
      </c>
      <c r="E1156" s="41">
        <v>1363</v>
      </c>
      <c r="F1156" s="33">
        <v>0.62712800000000002</v>
      </c>
      <c r="G1156" s="35">
        <v>0.14702699999999999</v>
      </c>
    </row>
    <row r="1157" spans="1:7" x14ac:dyDescent="0.3">
      <c r="A1157" s="41" t="s">
        <v>57</v>
      </c>
      <c r="B1157" s="48" t="s">
        <v>64</v>
      </c>
      <c r="C1157" s="37">
        <v>46253</v>
      </c>
      <c r="D1157" s="34" t="s">
        <v>17</v>
      </c>
      <c r="E1157" s="41">
        <v>2232</v>
      </c>
      <c r="F1157" s="33">
        <v>0.85533700000000001</v>
      </c>
      <c r="G1157" s="35">
        <v>0.16939599999999999</v>
      </c>
    </row>
    <row r="1158" spans="1:7" x14ac:dyDescent="0.3">
      <c r="A1158" s="41" t="s">
        <v>57</v>
      </c>
      <c r="B1158" s="48" t="s">
        <v>64</v>
      </c>
      <c r="C1158" s="37">
        <v>46253</v>
      </c>
      <c r="D1158" s="34" t="s">
        <v>18</v>
      </c>
      <c r="E1158" s="41">
        <v>1281</v>
      </c>
      <c r="F1158" s="33">
        <v>0.56932799999999995</v>
      </c>
      <c r="G1158" s="35">
        <v>0.13553999999999999</v>
      </c>
    </row>
    <row r="1159" spans="1:7" x14ac:dyDescent="0.3">
      <c r="A1159" s="41" t="s">
        <v>57</v>
      </c>
      <c r="B1159" s="48" t="s">
        <v>64</v>
      </c>
      <c r="C1159" s="37">
        <v>46253</v>
      </c>
      <c r="D1159" s="34" t="s">
        <v>19</v>
      </c>
      <c r="E1159" s="41">
        <v>1204</v>
      </c>
      <c r="F1159" s="33">
        <v>0.68071800000000005</v>
      </c>
      <c r="G1159" s="35">
        <v>0.143265</v>
      </c>
    </row>
    <row r="1160" spans="1:7" x14ac:dyDescent="0.3">
      <c r="A1160" s="41" t="s">
        <v>57</v>
      </c>
      <c r="B1160" s="48" t="s">
        <v>64</v>
      </c>
      <c r="C1160" s="37">
        <v>46253</v>
      </c>
      <c r="D1160" s="34" t="s">
        <v>20</v>
      </c>
      <c r="E1160" s="41">
        <v>1119</v>
      </c>
      <c r="F1160" s="33">
        <v>0.77260399999999996</v>
      </c>
      <c r="G1160" s="35">
        <v>0.16206999999999999</v>
      </c>
    </row>
    <row r="1161" spans="1:7" x14ac:dyDescent="0.3">
      <c r="A1161" s="41" t="s">
        <v>57</v>
      </c>
      <c r="B1161" s="48" t="s">
        <v>64</v>
      </c>
      <c r="C1161" s="37">
        <v>46253</v>
      </c>
      <c r="D1161" s="34" t="s">
        <v>34</v>
      </c>
      <c r="E1161" s="41">
        <v>1676</v>
      </c>
      <c r="F1161" s="33">
        <v>0.364568</v>
      </c>
      <c r="G1161" s="35">
        <v>0.11058999999999999</v>
      </c>
    </row>
    <row r="1162" spans="1:7" x14ac:dyDescent="0.3">
      <c r="A1162" s="41" t="s">
        <v>57</v>
      </c>
      <c r="B1162" s="48" t="s">
        <v>64</v>
      </c>
      <c r="C1162" s="37">
        <v>46253</v>
      </c>
      <c r="D1162" s="34" t="s">
        <v>21</v>
      </c>
      <c r="E1162" s="41">
        <v>2728</v>
      </c>
      <c r="F1162" s="33">
        <v>0.50004999999999999</v>
      </c>
      <c r="G1162" s="35">
        <v>9.7254199999999999E-2</v>
      </c>
    </row>
    <row r="1163" spans="1:7" x14ac:dyDescent="0.3">
      <c r="A1163" s="41" t="s">
        <v>57</v>
      </c>
      <c r="B1163" s="48" t="s">
        <v>64</v>
      </c>
      <c r="C1163" s="37">
        <v>46253</v>
      </c>
      <c r="D1163" s="34" t="s">
        <v>22</v>
      </c>
      <c r="E1163" s="41">
        <v>2567</v>
      </c>
      <c r="F1163" s="33">
        <v>0.43534499999999998</v>
      </c>
      <c r="G1163" s="35">
        <v>0.11839</v>
      </c>
    </row>
    <row r="1164" spans="1:7" x14ac:dyDescent="0.3">
      <c r="A1164" s="41" t="s">
        <v>57</v>
      </c>
      <c r="B1164" s="48" t="s">
        <v>64</v>
      </c>
      <c r="C1164" s="37">
        <v>46253</v>
      </c>
      <c r="D1164" s="34" t="s">
        <v>23</v>
      </c>
      <c r="E1164" s="41">
        <v>2200</v>
      </c>
      <c r="F1164" s="33">
        <v>0.25521100000000002</v>
      </c>
      <c r="G1164" s="35">
        <v>8.3699099999999999E-2</v>
      </c>
    </row>
    <row r="1165" spans="1:7" x14ac:dyDescent="0.3">
      <c r="A1165" s="41" t="s">
        <v>57</v>
      </c>
      <c r="B1165" s="48" t="s">
        <v>64</v>
      </c>
      <c r="C1165" s="37">
        <v>46253</v>
      </c>
      <c r="D1165" s="34" t="s">
        <v>24</v>
      </c>
      <c r="E1165" s="41">
        <v>2204</v>
      </c>
      <c r="F1165" s="33">
        <v>0.33561400000000002</v>
      </c>
      <c r="G1165" s="35">
        <v>0.10334599999999999</v>
      </c>
    </row>
    <row r="1166" spans="1:7" x14ac:dyDescent="0.3">
      <c r="A1166" s="41" t="s">
        <v>57</v>
      </c>
      <c r="B1166" s="48" t="s">
        <v>64</v>
      </c>
      <c r="C1166" s="37">
        <v>46253</v>
      </c>
      <c r="D1166" s="34" t="s">
        <v>25</v>
      </c>
      <c r="E1166" s="41">
        <v>1168</v>
      </c>
      <c r="F1166" s="33">
        <v>0.37372</v>
      </c>
      <c r="G1166" s="35">
        <v>8.9939000000000005E-2</v>
      </c>
    </row>
    <row r="1167" spans="1:7" x14ac:dyDescent="0.3">
      <c r="A1167" s="41" t="s">
        <v>57</v>
      </c>
      <c r="B1167" s="48" t="s">
        <v>64</v>
      </c>
      <c r="C1167" s="37">
        <v>46253</v>
      </c>
      <c r="D1167" s="34" t="s">
        <v>26</v>
      </c>
      <c r="E1167" s="41">
        <v>2462</v>
      </c>
      <c r="F1167" s="33">
        <v>0.26011400000000001</v>
      </c>
      <c r="G1167" s="35">
        <v>8.3743399999999996E-2</v>
      </c>
    </row>
    <row r="1168" spans="1:7" x14ac:dyDescent="0.3">
      <c r="A1168" s="41" t="s">
        <v>57</v>
      </c>
      <c r="B1168" s="48" t="s">
        <v>64</v>
      </c>
      <c r="C1168" s="37">
        <v>46253</v>
      </c>
      <c r="D1168" s="34" t="s">
        <v>27</v>
      </c>
      <c r="E1168" s="41">
        <v>1860</v>
      </c>
      <c r="F1168" s="33">
        <v>0.45804299999999998</v>
      </c>
      <c r="G1168" s="35">
        <v>0.103865</v>
      </c>
    </row>
    <row r="1169" spans="1:7" x14ac:dyDescent="0.3">
      <c r="A1169" s="41" t="s">
        <v>57</v>
      </c>
      <c r="B1169" s="48" t="s">
        <v>64</v>
      </c>
      <c r="C1169" s="37">
        <v>46253</v>
      </c>
      <c r="D1169" s="34" t="s">
        <v>28</v>
      </c>
      <c r="E1169" s="41">
        <v>1001</v>
      </c>
      <c r="F1169" s="33">
        <v>0.97526599999999997</v>
      </c>
      <c r="G1169" s="35">
        <v>0.21911</v>
      </c>
    </row>
    <row r="1170" spans="1:7" x14ac:dyDescent="0.3">
      <c r="A1170" s="41" t="s">
        <v>57</v>
      </c>
      <c r="B1170" s="48" t="s">
        <v>64</v>
      </c>
      <c r="C1170" s="37">
        <v>46253</v>
      </c>
      <c r="D1170" s="34" t="s">
        <v>29</v>
      </c>
      <c r="E1170" s="41">
        <v>1072</v>
      </c>
      <c r="F1170" s="33">
        <v>0.63518399999999997</v>
      </c>
      <c r="G1170" s="35">
        <v>0.13173699999999999</v>
      </c>
    </row>
    <row r="1171" spans="1:7" x14ac:dyDescent="0.3">
      <c r="A1171" s="41" t="s">
        <v>57</v>
      </c>
      <c r="B1171" s="48" t="s">
        <v>64</v>
      </c>
      <c r="C1171" s="37">
        <v>46253</v>
      </c>
      <c r="D1171" s="34" t="s">
        <v>30</v>
      </c>
      <c r="E1171" s="41">
        <v>1449</v>
      </c>
      <c r="F1171" s="33">
        <v>0.84810600000000003</v>
      </c>
      <c r="G1171" s="35">
        <v>0.17069999999999999</v>
      </c>
    </row>
    <row r="1172" spans="1:7" x14ac:dyDescent="0.3">
      <c r="A1172" s="41" t="s">
        <v>58</v>
      </c>
      <c r="B1172" s="48" t="s">
        <v>196</v>
      </c>
      <c r="C1172" s="37">
        <v>46254</v>
      </c>
      <c r="D1172" s="34" t="s">
        <v>14</v>
      </c>
      <c r="E1172" s="41">
        <v>1328</v>
      </c>
      <c r="F1172" s="33">
        <v>0.47842299999999999</v>
      </c>
      <c r="G1172" s="35">
        <v>0.13820099999999999</v>
      </c>
    </row>
    <row r="1173" spans="1:7" x14ac:dyDescent="0.3">
      <c r="A1173" s="41" t="s">
        <v>58</v>
      </c>
      <c r="B1173" s="48" t="s">
        <v>196</v>
      </c>
      <c r="C1173" s="37">
        <v>46254</v>
      </c>
      <c r="D1173" s="34" t="s">
        <v>15</v>
      </c>
      <c r="E1173" s="41">
        <v>1182</v>
      </c>
      <c r="F1173" s="33">
        <v>0.35516199999999998</v>
      </c>
      <c r="G1173" s="35">
        <v>0.103743</v>
      </c>
    </row>
    <row r="1174" spans="1:7" x14ac:dyDescent="0.3">
      <c r="A1174" s="41" t="s">
        <v>58</v>
      </c>
      <c r="B1174" s="48" t="s">
        <v>196</v>
      </c>
      <c r="C1174" s="37">
        <v>46254</v>
      </c>
      <c r="D1174" s="34" t="s">
        <v>16</v>
      </c>
      <c r="E1174" s="41">
        <v>1201</v>
      </c>
      <c r="F1174" s="33">
        <v>0.48769600000000002</v>
      </c>
      <c r="G1174" s="35">
        <v>0.14836299999999999</v>
      </c>
    </row>
    <row r="1175" spans="1:7" x14ac:dyDescent="0.3">
      <c r="A1175" s="41" t="s">
        <v>58</v>
      </c>
      <c r="B1175" s="48" t="s">
        <v>196</v>
      </c>
      <c r="C1175" s="37">
        <v>46254</v>
      </c>
      <c r="D1175" s="34" t="s">
        <v>17</v>
      </c>
      <c r="E1175" s="41">
        <v>1837</v>
      </c>
      <c r="F1175" s="33">
        <v>0.78428100000000001</v>
      </c>
      <c r="G1175" s="35">
        <v>0.135772</v>
      </c>
    </row>
    <row r="1176" spans="1:7" x14ac:dyDescent="0.3">
      <c r="A1176" s="41" t="s">
        <v>58</v>
      </c>
      <c r="B1176" s="48" t="s">
        <v>196</v>
      </c>
      <c r="C1176" s="37">
        <v>46254</v>
      </c>
      <c r="D1176" s="34" t="s">
        <v>18</v>
      </c>
      <c r="E1176" s="41">
        <v>1393</v>
      </c>
      <c r="F1176" s="33">
        <v>0.67780200000000002</v>
      </c>
      <c r="G1176" s="35">
        <v>0.225942</v>
      </c>
    </row>
    <row r="1177" spans="1:7" x14ac:dyDescent="0.3">
      <c r="A1177" s="41" t="s">
        <v>58</v>
      </c>
      <c r="B1177" s="48" t="s">
        <v>196</v>
      </c>
      <c r="C1177" s="37">
        <v>46254</v>
      </c>
      <c r="D1177" s="34" t="s">
        <v>19</v>
      </c>
      <c r="E1177" s="41">
        <v>1231</v>
      </c>
      <c r="F1177" s="33">
        <v>0.68079699999999999</v>
      </c>
      <c r="G1177" s="35">
        <v>0.191411</v>
      </c>
    </row>
    <row r="1178" spans="1:7" x14ac:dyDescent="0.3">
      <c r="A1178" s="41" t="s">
        <v>58</v>
      </c>
      <c r="B1178" s="48" t="s">
        <v>196</v>
      </c>
      <c r="C1178" s="37">
        <v>46254</v>
      </c>
      <c r="D1178" s="34" t="s">
        <v>20</v>
      </c>
      <c r="E1178" s="41">
        <v>1231</v>
      </c>
      <c r="F1178" s="33">
        <v>0.44479999999999997</v>
      </c>
      <c r="G1178" s="35">
        <v>0.12119000000000001</v>
      </c>
    </row>
    <row r="1179" spans="1:7" x14ac:dyDescent="0.3">
      <c r="A1179" s="41" t="s">
        <v>58</v>
      </c>
      <c r="B1179" s="48" t="s">
        <v>196</v>
      </c>
      <c r="C1179" s="37">
        <v>46254</v>
      </c>
      <c r="D1179" s="34" t="s">
        <v>34</v>
      </c>
      <c r="E1179" s="41">
        <v>1360</v>
      </c>
      <c r="F1179" s="33">
        <v>0.22284399999999999</v>
      </c>
      <c r="G1179" s="35">
        <v>8.7346900000000005E-2</v>
      </c>
    </row>
    <row r="1180" spans="1:7" x14ac:dyDescent="0.3">
      <c r="A1180" s="41" t="s">
        <v>58</v>
      </c>
      <c r="B1180" s="48" t="s">
        <v>196</v>
      </c>
      <c r="C1180" s="37">
        <v>46254</v>
      </c>
      <c r="D1180" s="34" t="s">
        <v>21</v>
      </c>
      <c r="E1180" s="41">
        <v>2042</v>
      </c>
    </row>
    <row r="1181" spans="1:7" x14ac:dyDescent="0.3">
      <c r="A1181" s="41" t="s">
        <v>58</v>
      </c>
      <c r="B1181" s="48" t="s">
        <v>196</v>
      </c>
      <c r="C1181" s="37">
        <v>46254</v>
      </c>
      <c r="D1181" s="34" t="s">
        <v>22</v>
      </c>
      <c r="E1181" s="41">
        <v>1529</v>
      </c>
      <c r="F1181" s="33">
        <v>0.305641</v>
      </c>
      <c r="G1181" s="35">
        <v>7.4232000000000006E-2</v>
      </c>
    </row>
    <row r="1182" spans="1:7" x14ac:dyDescent="0.3">
      <c r="A1182" s="41" t="s">
        <v>58</v>
      </c>
      <c r="B1182" s="48" t="s">
        <v>196</v>
      </c>
      <c r="C1182" s="37">
        <v>46254</v>
      </c>
      <c r="D1182" s="34" t="s">
        <v>23</v>
      </c>
      <c r="E1182" s="41">
        <v>1005</v>
      </c>
      <c r="F1182" s="33">
        <v>0.17479500000000001</v>
      </c>
      <c r="G1182" s="35">
        <v>5.0874000000000003E-2</v>
      </c>
    </row>
    <row r="1183" spans="1:7" x14ac:dyDescent="0.3">
      <c r="A1183" s="41" t="s">
        <v>58</v>
      </c>
      <c r="B1183" s="48" t="s">
        <v>196</v>
      </c>
      <c r="C1183" s="37">
        <v>46254</v>
      </c>
      <c r="D1183" s="34" t="s">
        <v>24</v>
      </c>
      <c r="E1183" s="41">
        <v>1227</v>
      </c>
      <c r="F1183" s="33">
        <v>0.73821899999999996</v>
      </c>
      <c r="G1183" s="35">
        <v>0.17729300000000001</v>
      </c>
    </row>
    <row r="1184" spans="1:7" x14ac:dyDescent="0.3">
      <c r="A1184" s="41" t="s">
        <v>58</v>
      </c>
      <c r="B1184" s="48" t="s">
        <v>196</v>
      </c>
      <c r="C1184" s="37">
        <v>46254</v>
      </c>
      <c r="D1184" s="34" t="s">
        <v>25</v>
      </c>
      <c r="E1184" s="41">
        <v>1276</v>
      </c>
    </row>
    <row r="1185" spans="1:7" x14ac:dyDescent="0.3">
      <c r="A1185" s="41" t="s">
        <v>58</v>
      </c>
      <c r="B1185" s="48" t="s">
        <v>196</v>
      </c>
      <c r="C1185" s="37">
        <v>46254</v>
      </c>
      <c r="D1185" s="34" t="s">
        <v>26</v>
      </c>
      <c r="E1185" s="41">
        <v>1231</v>
      </c>
      <c r="F1185" s="33">
        <v>0.26401200000000002</v>
      </c>
      <c r="G1185" s="35">
        <v>8.7435600000000002E-2</v>
      </c>
    </row>
    <row r="1186" spans="1:7" x14ac:dyDescent="0.3">
      <c r="A1186" s="41" t="s">
        <v>58</v>
      </c>
      <c r="B1186" s="48" t="s">
        <v>196</v>
      </c>
      <c r="C1186" s="37">
        <v>46254</v>
      </c>
      <c r="D1186" s="34" t="s">
        <v>27</v>
      </c>
      <c r="E1186" s="41">
        <v>1162</v>
      </c>
    </row>
    <row r="1187" spans="1:7" x14ac:dyDescent="0.3">
      <c r="A1187" s="41" t="s">
        <v>58</v>
      </c>
      <c r="B1187" s="48" t="s">
        <v>196</v>
      </c>
      <c r="C1187" s="37">
        <v>46254</v>
      </c>
      <c r="D1187" s="34" t="s">
        <v>28</v>
      </c>
      <c r="E1187" s="41">
        <v>1006</v>
      </c>
    </row>
    <row r="1188" spans="1:7" x14ac:dyDescent="0.3">
      <c r="A1188" s="41" t="s">
        <v>58</v>
      </c>
      <c r="B1188" s="48" t="s">
        <v>196</v>
      </c>
      <c r="C1188" s="37">
        <v>46254</v>
      </c>
      <c r="D1188" s="34" t="s">
        <v>29</v>
      </c>
      <c r="E1188" s="41">
        <v>1122</v>
      </c>
      <c r="F1188" s="33">
        <v>0.75259699999999996</v>
      </c>
      <c r="G1188" s="35">
        <v>0.18034800000000001</v>
      </c>
    </row>
    <row r="1189" spans="1:7" x14ac:dyDescent="0.3">
      <c r="A1189" s="41" t="s">
        <v>58</v>
      </c>
      <c r="B1189" s="48" t="s">
        <v>196</v>
      </c>
      <c r="C1189" s="37">
        <v>46254</v>
      </c>
      <c r="D1189" s="34" t="s">
        <v>30</v>
      </c>
      <c r="E1189" s="41">
        <v>1580</v>
      </c>
      <c r="F1189" s="33">
        <v>1.07755</v>
      </c>
      <c r="G1189" s="35">
        <v>0.186723</v>
      </c>
    </row>
    <row r="1190" spans="1:7" x14ac:dyDescent="0.3">
      <c r="A1190" s="41" t="s">
        <v>57</v>
      </c>
      <c r="B1190" s="48" t="s">
        <v>64</v>
      </c>
      <c r="C1190" s="37">
        <v>46254</v>
      </c>
      <c r="D1190" s="34" t="s">
        <v>14</v>
      </c>
      <c r="E1190" s="41">
        <v>2669</v>
      </c>
      <c r="F1190" s="33">
        <v>0.33675300000000002</v>
      </c>
      <c r="G1190" s="35">
        <v>9.47881E-2</v>
      </c>
    </row>
    <row r="1191" spans="1:7" x14ac:dyDescent="0.3">
      <c r="A1191" s="41" t="s">
        <v>57</v>
      </c>
      <c r="B1191" s="48" t="s">
        <v>64</v>
      </c>
      <c r="C1191" s="37">
        <v>46254</v>
      </c>
      <c r="D1191" s="34" t="s">
        <v>15</v>
      </c>
      <c r="E1191" s="41">
        <v>1844</v>
      </c>
      <c r="F1191" s="33">
        <v>0.42295199999999999</v>
      </c>
      <c r="G1191" s="35">
        <v>0.111508</v>
      </c>
    </row>
    <row r="1192" spans="1:7" x14ac:dyDescent="0.3">
      <c r="A1192" s="41" t="s">
        <v>57</v>
      </c>
      <c r="B1192" s="48" t="s">
        <v>64</v>
      </c>
      <c r="C1192" s="37">
        <v>46254</v>
      </c>
      <c r="D1192" s="34" t="s">
        <v>16</v>
      </c>
      <c r="E1192" s="41">
        <v>1520</v>
      </c>
      <c r="F1192" s="33">
        <v>0.56128500000000003</v>
      </c>
      <c r="G1192" s="35">
        <v>0.13175400000000001</v>
      </c>
    </row>
    <row r="1193" spans="1:7" x14ac:dyDescent="0.3">
      <c r="A1193" s="41" t="s">
        <v>57</v>
      </c>
      <c r="B1193" s="48" t="s">
        <v>64</v>
      </c>
      <c r="C1193" s="37">
        <v>46254</v>
      </c>
      <c r="D1193" s="34" t="s">
        <v>17</v>
      </c>
      <c r="E1193" s="41">
        <v>2138</v>
      </c>
      <c r="F1193" s="33">
        <v>0.60257000000000005</v>
      </c>
      <c r="G1193" s="35">
        <v>0.119186</v>
      </c>
    </row>
    <row r="1194" spans="1:7" x14ac:dyDescent="0.3">
      <c r="A1194" s="41" t="s">
        <v>57</v>
      </c>
      <c r="B1194" s="48" t="s">
        <v>64</v>
      </c>
      <c r="C1194" s="37">
        <v>46254</v>
      </c>
      <c r="D1194" s="34" t="s">
        <v>18</v>
      </c>
      <c r="E1194" s="41">
        <v>1505</v>
      </c>
      <c r="F1194" s="33">
        <v>0.36153600000000002</v>
      </c>
      <c r="G1194" s="35">
        <v>8.6050100000000004E-2</v>
      </c>
    </row>
    <row r="1195" spans="1:7" x14ac:dyDescent="0.3">
      <c r="A1195" s="41" t="s">
        <v>57</v>
      </c>
      <c r="B1195" s="48" t="s">
        <v>64</v>
      </c>
      <c r="C1195" s="37">
        <v>46254</v>
      </c>
      <c r="D1195" s="34" t="s">
        <v>19</v>
      </c>
      <c r="E1195" s="41">
        <v>1292</v>
      </c>
      <c r="F1195" s="33">
        <v>0.56686300000000001</v>
      </c>
      <c r="G1195" s="35">
        <v>0.119339</v>
      </c>
    </row>
    <row r="1196" spans="1:7" x14ac:dyDescent="0.3">
      <c r="A1196" s="41" t="s">
        <v>57</v>
      </c>
      <c r="B1196" s="48" t="s">
        <v>64</v>
      </c>
      <c r="C1196" s="37">
        <v>46254</v>
      </c>
      <c r="D1196" s="34" t="s">
        <v>20</v>
      </c>
      <c r="E1196" s="41">
        <v>1251</v>
      </c>
      <c r="F1196" s="33">
        <v>0.60177599999999998</v>
      </c>
      <c r="G1196" s="35">
        <v>0.12601200000000001</v>
      </c>
    </row>
    <row r="1197" spans="1:7" x14ac:dyDescent="0.3">
      <c r="A1197" s="41" t="s">
        <v>57</v>
      </c>
      <c r="B1197" s="48" t="s">
        <v>64</v>
      </c>
      <c r="C1197" s="37">
        <v>46254</v>
      </c>
      <c r="D1197" s="34" t="s">
        <v>34</v>
      </c>
      <c r="E1197" s="41">
        <v>1582</v>
      </c>
      <c r="F1197" s="33">
        <v>0.36660300000000001</v>
      </c>
      <c r="G1197" s="35">
        <v>0.111093</v>
      </c>
    </row>
    <row r="1198" spans="1:7" x14ac:dyDescent="0.3">
      <c r="A1198" s="41" t="s">
        <v>57</v>
      </c>
      <c r="B1198" s="48" t="s">
        <v>64</v>
      </c>
      <c r="C1198" s="37">
        <v>46254</v>
      </c>
      <c r="D1198" s="34" t="s">
        <v>21</v>
      </c>
      <c r="E1198" s="41">
        <v>2078</v>
      </c>
      <c r="F1198" s="33">
        <v>0.51666800000000002</v>
      </c>
      <c r="G1198" s="35">
        <v>0.100517</v>
      </c>
    </row>
    <row r="1199" spans="1:7" x14ac:dyDescent="0.3">
      <c r="A1199" s="41" t="s">
        <v>57</v>
      </c>
      <c r="B1199" s="48" t="s">
        <v>64</v>
      </c>
      <c r="C1199" s="37">
        <v>46254</v>
      </c>
      <c r="D1199" s="34" t="s">
        <v>22</v>
      </c>
      <c r="E1199" s="41">
        <v>2247</v>
      </c>
      <c r="F1199" s="33">
        <v>0.34465499999999999</v>
      </c>
      <c r="G1199" s="35">
        <v>9.3672500000000006E-2</v>
      </c>
    </row>
    <row r="1200" spans="1:7" x14ac:dyDescent="0.3">
      <c r="A1200" s="41" t="s">
        <v>57</v>
      </c>
      <c r="B1200" s="48" t="s">
        <v>64</v>
      </c>
      <c r="C1200" s="37">
        <v>46254</v>
      </c>
      <c r="D1200" s="34" t="s">
        <v>23</v>
      </c>
      <c r="E1200" s="41">
        <v>2565</v>
      </c>
      <c r="F1200" s="33">
        <v>0.38963799999999998</v>
      </c>
      <c r="G1200" s="35">
        <v>0.127884</v>
      </c>
    </row>
    <row r="1201" spans="1:7" x14ac:dyDescent="0.3">
      <c r="A1201" s="41" t="s">
        <v>57</v>
      </c>
      <c r="B1201" s="48" t="s">
        <v>64</v>
      </c>
      <c r="C1201" s="37">
        <v>46254</v>
      </c>
      <c r="D1201" s="34" t="s">
        <v>24</v>
      </c>
      <c r="E1201" s="41">
        <v>3016</v>
      </c>
      <c r="F1201" s="33">
        <v>0.294182</v>
      </c>
      <c r="G1201" s="35">
        <v>9.0604199999999996E-2</v>
      </c>
    </row>
    <row r="1202" spans="1:7" x14ac:dyDescent="0.3">
      <c r="A1202" s="41" t="s">
        <v>57</v>
      </c>
      <c r="B1202" s="48" t="s">
        <v>64</v>
      </c>
      <c r="C1202" s="37">
        <v>46254</v>
      </c>
      <c r="D1202" s="34" t="s">
        <v>25</v>
      </c>
      <c r="E1202" s="41">
        <v>1005</v>
      </c>
      <c r="F1202" s="33">
        <v>0.44411400000000001</v>
      </c>
      <c r="G1202" s="35">
        <v>0.107061</v>
      </c>
    </row>
    <row r="1203" spans="1:7" x14ac:dyDescent="0.3">
      <c r="A1203" s="41" t="s">
        <v>57</v>
      </c>
      <c r="B1203" s="48" t="s">
        <v>64</v>
      </c>
      <c r="C1203" s="37">
        <v>46254</v>
      </c>
      <c r="D1203" s="34" t="s">
        <v>26</v>
      </c>
      <c r="E1203" s="41">
        <v>2289</v>
      </c>
      <c r="F1203" s="33">
        <v>0.26846599999999998</v>
      </c>
      <c r="G1203" s="35">
        <v>8.6382500000000001E-2</v>
      </c>
    </row>
    <row r="1204" spans="1:7" x14ac:dyDescent="0.3">
      <c r="A1204" s="41" t="s">
        <v>57</v>
      </c>
      <c r="B1204" s="48" t="s">
        <v>64</v>
      </c>
      <c r="C1204" s="37">
        <v>46254</v>
      </c>
      <c r="D1204" s="34" t="s">
        <v>27</v>
      </c>
      <c r="E1204" s="41">
        <v>1318</v>
      </c>
      <c r="F1204" s="33">
        <v>0.59123899999999996</v>
      </c>
      <c r="G1204" s="35">
        <v>0.13422300000000001</v>
      </c>
    </row>
    <row r="1205" spans="1:7" x14ac:dyDescent="0.3">
      <c r="A1205" s="41" t="s">
        <v>57</v>
      </c>
      <c r="B1205" s="48" t="s">
        <v>64</v>
      </c>
      <c r="C1205" s="37">
        <v>46254</v>
      </c>
      <c r="D1205" s="34" t="s">
        <v>28</v>
      </c>
      <c r="E1205" s="41">
        <v>1358</v>
      </c>
      <c r="F1205" s="33">
        <v>0.41948200000000002</v>
      </c>
      <c r="G1205" s="35">
        <v>9.4141199999999994E-2</v>
      </c>
    </row>
    <row r="1206" spans="1:7" x14ac:dyDescent="0.3">
      <c r="A1206" s="41" t="s">
        <v>57</v>
      </c>
      <c r="B1206" s="48" t="s">
        <v>64</v>
      </c>
      <c r="C1206" s="37">
        <v>46254</v>
      </c>
      <c r="D1206" s="34" t="s">
        <v>29</v>
      </c>
      <c r="E1206" s="41">
        <v>1110</v>
      </c>
      <c r="F1206" s="33">
        <v>0.36768699999999999</v>
      </c>
      <c r="G1206" s="35">
        <v>7.6168700000000006E-2</v>
      </c>
    </row>
    <row r="1207" spans="1:7" x14ac:dyDescent="0.3">
      <c r="A1207" s="41" t="s">
        <v>57</v>
      </c>
      <c r="B1207" s="48" t="s">
        <v>64</v>
      </c>
      <c r="C1207" s="37">
        <v>46254</v>
      </c>
      <c r="D1207" s="34" t="s">
        <v>30</v>
      </c>
      <c r="E1207" s="41">
        <v>1379</v>
      </c>
      <c r="F1207" s="33">
        <v>0.51057799999999998</v>
      </c>
      <c r="G1207" s="35">
        <v>0.102744</v>
      </c>
    </row>
    <row r="1208" spans="1:7" x14ac:dyDescent="0.3">
      <c r="A1208" s="41" t="s">
        <v>63</v>
      </c>
      <c r="B1208" s="48" t="s">
        <v>204</v>
      </c>
      <c r="C1208" s="37">
        <v>46253</v>
      </c>
      <c r="D1208" s="34" t="s">
        <v>23</v>
      </c>
      <c r="E1208" s="41">
        <v>1003</v>
      </c>
      <c r="F1208" s="33">
        <v>0.167577</v>
      </c>
      <c r="G1208" s="35">
        <v>5.49744E-2</v>
      </c>
    </row>
    <row r="1209" spans="1:7" x14ac:dyDescent="0.3">
      <c r="A1209" s="41" t="s">
        <v>63</v>
      </c>
      <c r="B1209" s="48" t="s">
        <v>205</v>
      </c>
      <c r="C1209" s="37">
        <v>46253</v>
      </c>
      <c r="D1209" s="34" t="s">
        <v>23</v>
      </c>
      <c r="E1209" s="41">
        <v>1001</v>
      </c>
      <c r="F1209" s="33">
        <v>0.123311</v>
      </c>
      <c r="G1209" s="35">
        <v>4.0463199999999998E-2</v>
      </c>
    </row>
    <row r="1210" spans="1:7" x14ac:dyDescent="0.3">
      <c r="A1210" s="41" t="s">
        <v>63</v>
      </c>
      <c r="B1210" s="48" t="s">
        <v>206</v>
      </c>
      <c r="C1210" s="37">
        <v>46253</v>
      </c>
      <c r="D1210" s="34" t="s">
        <v>23</v>
      </c>
      <c r="E1210" s="41">
        <v>1001</v>
      </c>
      <c r="F1210" s="33">
        <v>0.108927</v>
      </c>
      <c r="G1210" s="35">
        <v>3.5765900000000003E-2</v>
      </c>
    </row>
    <row r="1211" spans="1:7" x14ac:dyDescent="0.3">
      <c r="A1211" s="41" t="s">
        <v>63</v>
      </c>
      <c r="B1211" s="48" t="s">
        <v>207</v>
      </c>
      <c r="C1211" s="37">
        <v>46253</v>
      </c>
      <c r="D1211" s="34" t="s">
        <v>23</v>
      </c>
      <c r="E1211" s="41">
        <v>1002</v>
      </c>
      <c r="F1211" s="33">
        <v>0.12937699999999999</v>
      </c>
      <c r="G1211" s="35">
        <v>4.24275E-2</v>
      </c>
    </row>
    <row r="1212" spans="1:7" x14ac:dyDescent="0.3">
      <c r="A1212" s="41" t="s">
        <v>63</v>
      </c>
      <c r="B1212" s="48" t="s">
        <v>208</v>
      </c>
      <c r="C1212" s="37">
        <v>46253</v>
      </c>
      <c r="D1212" s="34" t="s">
        <v>23</v>
      </c>
      <c r="E1212" s="41">
        <v>1003</v>
      </c>
      <c r="F1212" s="33">
        <v>0.16467300000000001</v>
      </c>
      <c r="G1212" s="35">
        <v>5.4067200000000003E-2</v>
      </c>
    </row>
    <row r="1213" spans="1:7" x14ac:dyDescent="0.3">
      <c r="A1213" s="41" t="s">
        <v>63</v>
      </c>
      <c r="B1213" s="48" t="s">
        <v>209</v>
      </c>
      <c r="C1213" s="37">
        <v>46253</v>
      </c>
      <c r="D1213" s="34" t="s">
        <v>23</v>
      </c>
      <c r="E1213" s="41">
        <v>1002</v>
      </c>
      <c r="F1213" s="33">
        <v>0.10671700000000001</v>
      </c>
      <c r="G1213" s="35">
        <v>3.5031E-2</v>
      </c>
    </row>
    <row r="1214" spans="1:7" x14ac:dyDescent="0.3">
      <c r="A1214" s="41" t="s">
        <v>58</v>
      </c>
      <c r="B1214" s="48" t="s">
        <v>211</v>
      </c>
      <c r="C1214" s="37">
        <v>46255</v>
      </c>
      <c r="D1214" s="34" t="s">
        <v>14</v>
      </c>
      <c r="E1214" s="41">
        <v>2068</v>
      </c>
      <c r="F1214" s="33">
        <v>1.5907100000000001</v>
      </c>
      <c r="G1214" s="35">
        <v>0.44679999999999997</v>
      </c>
    </row>
    <row r="1215" spans="1:7" x14ac:dyDescent="0.3">
      <c r="A1215" s="41" t="s">
        <v>58</v>
      </c>
      <c r="B1215" s="48" t="s">
        <v>211</v>
      </c>
      <c r="C1215" s="37">
        <v>46255</v>
      </c>
      <c r="D1215" s="34" t="s">
        <v>15</v>
      </c>
      <c r="E1215" s="41">
        <v>1530</v>
      </c>
      <c r="F1215" s="33">
        <v>1.1907099999999999</v>
      </c>
      <c r="G1215" s="35">
        <v>0.31342799999999998</v>
      </c>
    </row>
    <row r="1216" spans="1:7" x14ac:dyDescent="0.3">
      <c r="A1216" s="41" t="s">
        <v>58</v>
      </c>
      <c r="B1216" s="48" t="s">
        <v>211</v>
      </c>
      <c r="C1216" s="37">
        <v>46255</v>
      </c>
      <c r="D1216" s="34" t="s">
        <v>16</v>
      </c>
      <c r="E1216" s="41">
        <v>1377</v>
      </c>
      <c r="F1216" s="33">
        <v>2.0541399999999999</v>
      </c>
      <c r="G1216" s="35">
        <v>0.48058699999999999</v>
      </c>
    </row>
    <row r="1217" spans="1:7" x14ac:dyDescent="0.3">
      <c r="A1217" s="41" t="s">
        <v>58</v>
      </c>
      <c r="B1217" s="48" t="s">
        <v>211</v>
      </c>
      <c r="C1217" s="37">
        <v>46255</v>
      </c>
      <c r="D1217" s="34" t="s">
        <v>17</v>
      </c>
      <c r="E1217" s="41">
        <v>1741</v>
      </c>
      <c r="F1217" s="33">
        <v>0.88993599999999995</v>
      </c>
      <c r="G1217" s="35">
        <v>0.17687</v>
      </c>
    </row>
    <row r="1218" spans="1:7" x14ac:dyDescent="0.3">
      <c r="A1218" s="41" t="s">
        <v>58</v>
      </c>
      <c r="B1218" s="48" t="s">
        <v>211</v>
      </c>
      <c r="C1218" s="37">
        <v>46255</v>
      </c>
      <c r="D1218" s="34" t="s">
        <v>18</v>
      </c>
      <c r="E1218" s="41">
        <v>1392</v>
      </c>
      <c r="F1218" s="33">
        <v>8.08371</v>
      </c>
      <c r="G1218" s="35">
        <v>1.8996200000000001</v>
      </c>
    </row>
    <row r="1219" spans="1:7" x14ac:dyDescent="0.3">
      <c r="A1219" s="41" t="s">
        <v>58</v>
      </c>
      <c r="B1219" s="48" t="s">
        <v>211</v>
      </c>
      <c r="C1219" s="37">
        <v>46255</v>
      </c>
      <c r="D1219" s="34" t="s">
        <v>19</v>
      </c>
      <c r="E1219" s="41">
        <v>1397</v>
      </c>
      <c r="F1219" s="33">
        <v>1.7896399999999999</v>
      </c>
      <c r="G1219" s="35">
        <v>0.37706400000000001</v>
      </c>
    </row>
    <row r="1220" spans="1:7" x14ac:dyDescent="0.3">
      <c r="A1220" s="41" t="s">
        <v>58</v>
      </c>
      <c r="B1220" s="48" t="s">
        <v>211</v>
      </c>
      <c r="C1220" s="37">
        <v>46255</v>
      </c>
      <c r="D1220" s="34" t="s">
        <v>20</v>
      </c>
      <c r="E1220" s="41">
        <v>1108</v>
      </c>
      <c r="F1220" s="33">
        <v>1.59856</v>
      </c>
      <c r="G1220" s="35">
        <v>0.33344099999999999</v>
      </c>
    </row>
    <row r="1221" spans="1:7" x14ac:dyDescent="0.3">
      <c r="A1221" s="41" t="s">
        <v>58</v>
      </c>
      <c r="B1221" s="48" t="s">
        <v>211</v>
      </c>
      <c r="C1221" s="37">
        <v>46255</v>
      </c>
      <c r="D1221" s="34" t="s">
        <v>34</v>
      </c>
      <c r="E1221" s="41">
        <v>1497</v>
      </c>
      <c r="F1221" s="33">
        <v>1.0263100000000001</v>
      </c>
      <c r="G1221" s="35">
        <v>0.31339099999999998</v>
      </c>
    </row>
    <row r="1222" spans="1:7" x14ac:dyDescent="0.3">
      <c r="A1222" s="41" t="s">
        <v>58</v>
      </c>
      <c r="B1222" s="48" t="s">
        <v>211</v>
      </c>
      <c r="C1222" s="37">
        <v>46255</v>
      </c>
      <c r="D1222" s="34" t="s">
        <v>21</v>
      </c>
      <c r="E1222" s="41">
        <v>2089</v>
      </c>
      <c r="F1222" s="33">
        <v>2.2855599999999998</v>
      </c>
      <c r="G1222" s="35">
        <v>0.446185</v>
      </c>
    </row>
    <row r="1223" spans="1:7" x14ac:dyDescent="0.3">
      <c r="A1223" s="41" t="s">
        <v>58</v>
      </c>
      <c r="B1223" s="48" t="s">
        <v>211</v>
      </c>
      <c r="C1223" s="37">
        <v>46255</v>
      </c>
      <c r="D1223" s="34" t="s">
        <v>22</v>
      </c>
      <c r="E1223" s="41">
        <v>2116</v>
      </c>
      <c r="F1223" s="33">
        <v>0.46966799999999997</v>
      </c>
      <c r="G1223" s="35">
        <v>0.12848799999999999</v>
      </c>
    </row>
    <row r="1224" spans="1:7" x14ac:dyDescent="0.3">
      <c r="A1224" s="41" t="s">
        <v>58</v>
      </c>
      <c r="B1224" s="48" t="s">
        <v>211</v>
      </c>
      <c r="C1224" s="37">
        <v>46255</v>
      </c>
      <c r="D1224" s="34" t="s">
        <v>23</v>
      </c>
      <c r="E1224" s="41">
        <v>2119</v>
      </c>
      <c r="F1224" s="33">
        <v>0.49752600000000002</v>
      </c>
      <c r="G1224" s="35">
        <v>0.162659</v>
      </c>
    </row>
    <row r="1225" spans="1:7" x14ac:dyDescent="0.3">
      <c r="A1225" s="41" t="s">
        <v>58</v>
      </c>
      <c r="B1225" s="48" t="s">
        <v>211</v>
      </c>
      <c r="C1225" s="37">
        <v>46255</v>
      </c>
      <c r="D1225" s="34" t="s">
        <v>24</v>
      </c>
      <c r="E1225" s="41">
        <v>1987</v>
      </c>
      <c r="F1225" s="33">
        <v>1.77268</v>
      </c>
      <c r="G1225" s="35">
        <v>0.54729899999999998</v>
      </c>
    </row>
    <row r="1226" spans="1:7" x14ac:dyDescent="0.3">
      <c r="A1226" s="41" t="s">
        <v>58</v>
      </c>
      <c r="B1226" s="48" t="s">
        <v>211</v>
      </c>
      <c r="C1226" s="37">
        <v>46255</v>
      </c>
      <c r="D1226" s="34" t="s">
        <v>25</v>
      </c>
      <c r="E1226" s="41">
        <v>1001</v>
      </c>
      <c r="F1226" s="33">
        <v>2.5088200000000001</v>
      </c>
      <c r="G1226" s="35">
        <v>0.59784999999999999</v>
      </c>
    </row>
    <row r="1227" spans="1:7" x14ac:dyDescent="0.3">
      <c r="A1227" s="41" t="s">
        <v>58</v>
      </c>
      <c r="B1227" s="48" t="s">
        <v>211</v>
      </c>
      <c r="C1227" s="37">
        <v>46255</v>
      </c>
      <c r="D1227" s="34" t="s">
        <v>26</v>
      </c>
      <c r="E1227" s="41">
        <v>2188</v>
      </c>
      <c r="F1227" s="33">
        <v>0.362595</v>
      </c>
      <c r="G1227" s="35">
        <v>0.1172</v>
      </c>
    </row>
    <row r="1228" spans="1:7" x14ac:dyDescent="0.3">
      <c r="A1228" s="41" t="s">
        <v>58</v>
      </c>
      <c r="B1228" s="48" t="s">
        <v>211</v>
      </c>
      <c r="C1228" s="37">
        <v>46255</v>
      </c>
      <c r="D1228" s="34" t="s">
        <v>27</v>
      </c>
      <c r="E1228" s="41">
        <v>1553</v>
      </c>
      <c r="F1228" s="33">
        <v>2.2913700000000001</v>
      </c>
      <c r="G1228" s="35">
        <v>0.523312</v>
      </c>
    </row>
    <row r="1229" spans="1:7" x14ac:dyDescent="0.3">
      <c r="A1229" s="41" t="s">
        <v>58</v>
      </c>
      <c r="B1229" s="48" t="s">
        <v>211</v>
      </c>
      <c r="C1229" s="37">
        <v>46255</v>
      </c>
      <c r="D1229" s="34" t="s">
        <v>28</v>
      </c>
      <c r="E1229" s="41">
        <v>1129</v>
      </c>
      <c r="F1229" s="33">
        <v>0.80725199999999997</v>
      </c>
      <c r="G1229" s="35">
        <v>0.18199100000000001</v>
      </c>
    </row>
    <row r="1230" spans="1:7" x14ac:dyDescent="0.3">
      <c r="A1230" s="41" t="s">
        <v>58</v>
      </c>
      <c r="B1230" s="48" t="s">
        <v>211</v>
      </c>
      <c r="C1230" s="37">
        <v>46255</v>
      </c>
      <c r="D1230" s="34" t="s">
        <v>29</v>
      </c>
      <c r="E1230" s="41">
        <v>1103</v>
      </c>
      <c r="F1230" s="33">
        <v>5.1357900000000001</v>
      </c>
      <c r="G1230" s="35">
        <v>1.04112</v>
      </c>
    </row>
    <row r="1231" spans="1:7" x14ac:dyDescent="0.3">
      <c r="A1231" s="41" t="s">
        <v>58</v>
      </c>
      <c r="B1231" s="48" t="s">
        <v>211</v>
      </c>
      <c r="C1231" s="37">
        <v>46255</v>
      </c>
      <c r="D1231" s="34" t="s">
        <v>30</v>
      </c>
      <c r="E1231" s="41">
        <v>1157</v>
      </c>
      <c r="F1231" s="33">
        <v>1.5247200000000001</v>
      </c>
      <c r="G1231" s="35">
        <v>0.30777700000000002</v>
      </c>
    </row>
    <row r="1232" spans="1:7" x14ac:dyDescent="0.3">
      <c r="A1232" s="41" t="s">
        <v>57</v>
      </c>
      <c r="B1232" s="48" t="str">
        <f t="shared" ref="B1232:B1249" si="3">IF($A1232="Daily", "n/a", "")</f>
        <v>n/a</v>
      </c>
      <c r="C1232" s="37">
        <v>46255</v>
      </c>
      <c r="D1232" s="34" t="s">
        <v>14</v>
      </c>
      <c r="E1232" s="41">
        <v>1897</v>
      </c>
      <c r="F1232" s="33">
        <v>0.38606699999999999</v>
      </c>
      <c r="G1232" s="35">
        <v>0.108658</v>
      </c>
    </row>
    <row r="1233" spans="1:7" x14ac:dyDescent="0.3">
      <c r="A1233" s="41" t="s">
        <v>57</v>
      </c>
      <c r="B1233" s="48" t="str">
        <f t="shared" si="3"/>
        <v>n/a</v>
      </c>
      <c r="C1233" s="37">
        <v>46255</v>
      </c>
      <c r="D1233" s="34" t="s">
        <v>15</v>
      </c>
      <c r="E1233" s="41">
        <v>1522</v>
      </c>
      <c r="F1233" s="33">
        <v>0.41974</v>
      </c>
      <c r="G1233" s="35">
        <v>0.110641</v>
      </c>
    </row>
    <row r="1234" spans="1:7" x14ac:dyDescent="0.3">
      <c r="A1234" s="41" t="s">
        <v>57</v>
      </c>
      <c r="B1234" s="48" t="str">
        <f t="shared" si="3"/>
        <v>n/a</v>
      </c>
      <c r="C1234" s="37">
        <v>46255</v>
      </c>
      <c r="D1234" s="34" t="s">
        <v>16</v>
      </c>
      <c r="E1234" s="41">
        <v>1230</v>
      </c>
      <c r="F1234" s="33">
        <v>0.54217400000000004</v>
      </c>
      <c r="G1234" s="35">
        <v>0.127246</v>
      </c>
    </row>
    <row r="1235" spans="1:7" x14ac:dyDescent="0.3">
      <c r="A1235" s="41" t="s">
        <v>57</v>
      </c>
      <c r="B1235" s="48" t="str">
        <f t="shared" si="3"/>
        <v>n/a</v>
      </c>
      <c r="C1235" s="37">
        <v>46255</v>
      </c>
      <c r="D1235" s="34" t="s">
        <v>17</v>
      </c>
      <c r="E1235" s="41">
        <v>1890</v>
      </c>
      <c r="F1235" s="33">
        <v>0.55751899999999999</v>
      </c>
      <c r="G1235" s="35">
        <v>0.110322</v>
      </c>
    </row>
    <row r="1236" spans="1:7" x14ac:dyDescent="0.3">
      <c r="A1236" s="41" t="s">
        <v>57</v>
      </c>
      <c r="B1236" s="48" t="str">
        <f t="shared" si="3"/>
        <v>n/a</v>
      </c>
      <c r="C1236" s="37">
        <v>46255</v>
      </c>
      <c r="D1236" s="34" t="s">
        <v>18</v>
      </c>
      <c r="E1236" s="41">
        <v>1323</v>
      </c>
      <c r="F1236" s="33">
        <v>0.322826</v>
      </c>
      <c r="G1236" s="35">
        <v>7.68263E-2</v>
      </c>
    </row>
    <row r="1237" spans="1:7" x14ac:dyDescent="0.3">
      <c r="A1237" s="41" t="s">
        <v>57</v>
      </c>
      <c r="B1237" s="48" t="str">
        <f t="shared" si="3"/>
        <v>n/a</v>
      </c>
      <c r="C1237" s="37">
        <v>46255</v>
      </c>
      <c r="D1237" s="34" t="s">
        <v>19</v>
      </c>
      <c r="E1237" s="41">
        <v>1384</v>
      </c>
      <c r="F1237" s="33">
        <v>0.49721900000000002</v>
      </c>
      <c r="G1237" s="35">
        <v>0.104654</v>
      </c>
    </row>
    <row r="1238" spans="1:7" x14ac:dyDescent="0.3">
      <c r="A1238" s="41" t="s">
        <v>57</v>
      </c>
      <c r="B1238" s="48" t="str">
        <f t="shared" si="3"/>
        <v>n/a</v>
      </c>
      <c r="C1238" s="37">
        <v>46255</v>
      </c>
      <c r="D1238" s="34" t="s">
        <v>20</v>
      </c>
      <c r="E1238" s="41">
        <v>1162</v>
      </c>
      <c r="F1238" s="33">
        <v>0.50142600000000004</v>
      </c>
      <c r="G1238" s="35">
        <v>0.104958</v>
      </c>
    </row>
    <row r="1239" spans="1:7" x14ac:dyDescent="0.3">
      <c r="A1239" s="41" t="s">
        <v>57</v>
      </c>
      <c r="B1239" s="48" t="str">
        <f t="shared" si="3"/>
        <v>n/a</v>
      </c>
      <c r="C1239" s="37">
        <v>46255</v>
      </c>
      <c r="D1239" s="34" t="s">
        <v>34</v>
      </c>
      <c r="E1239" s="41">
        <v>1377</v>
      </c>
      <c r="F1239" s="33">
        <v>0.26933200000000002</v>
      </c>
      <c r="G1239" s="35">
        <v>8.1655400000000003E-2</v>
      </c>
    </row>
    <row r="1240" spans="1:7" x14ac:dyDescent="0.3">
      <c r="A1240" s="41" t="s">
        <v>57</v>
      </c>
      <c r="B1240" s="48" t="str">
        <f t="shared" si="3"/>
        <v>n/a</v>
      </c>
      <c r="C1240" s="37">
        <v>46255</v>
      </c>
      <c r="D1240" s="34" t="s">
        <v>21</v>
      </c>
      <c r="E1240" s="41">
        <v>1973</v>
      </c>
      <c r="F1240" s="33">
        <v>0.49700800000000001</v>
      </c>
      <c r="G1240" s="35">
        <v>9.6756599999999998E-2</v>
      </c>
    </row>
    <row r="1241" spans="1:7" x14ac:dyDescent="0.3">
      <c r="A1241" s="41" t="s">
        <v>57</v>
      </c>
      <c r="B1241" s="48" t="str">
        <f t="shared" si="3"/>
        <v>n/a</v>
      </c>
      <c r="C1241" s="37">
        <v>46255</v>
      </c>
      <c r="D1241" s="34" t="s">
        <v>22</v>
      </c>
      <c r="E1241" s="41">
        <v>2366</v>
      </c>
      <c r="F1241" s="33">
        <v>0.36167700000000003</v>
      </c>
      <c r="G1241" s="35">
        <v>9.8345600000000005E-2</v>
      </c>
    </row>
    <row r="1242" spans="1:7" x14ac:dyDescent="0.3">
      <c r="A1242" s="41" t="s">
        <v>57</v>
      </c>
      <c r="B1242" s="48" t="str">
        <f t="shared" si="3"/>
        <v>n/a</v>
      </c>
      <c r="C1242" s="37">
        <v>46255</v>
      </c>
      <c r="D1242" s="34" t="s">
        <v>23</v>
      </c>
      <c r="E1242" s="41">
        <v>1760</v>
      </c>
      <c r="F1242" s="33">
        <v>0.45647900000000002</v>
      </c>
      <c r="G1242" s="35">
        <v>0.14977499999999999</v>
      </c>
    </row>
    <row r="1243" spans="1:7" x14ac:dyDescent="0.3">
      <c r="A1243" s="41" t="s">
        <v>57</v>
      </c>
      <c r="B1243" s="48" t="str">
        <f t="shared" si="3"/>
        <v>n/a</v>
      </c>
      <c r="C1243" s="37">
        <v>46255</v>
      </c>
      <c r="D1243" s="34" t="s">
        <v>24</v>
      </c>
      <c r="E1243" s="41">
        <v>2180</v>
      </c>
      <c r="F1243" s="33">
        <v>0.35242400000000002</v>
      </c>
      <c r="G1243" s="35">
        <v>0.108616</v>
      </c>
    </row>
    <row r="1244" spans="1:7" x14ac:dyDescent="0.3">
      <c r="A1244" s="41" t="s">
        <v>57</v>
      </c>
      <c r="B1244" s="48" t="str">
        <f t="shared" si="3"/>
        <v>n/a</v>
      </c>
      <c r="C1244" s="37">
        <v>46255</v>
      </c>
      <c r="D1244" s="34" t="s">
        <v>25</v>
      </c>
      <c r="E1244" s="41">
        <v>1126</v>
      </c>
      <c r="F1244" s="33">
        <v>0.26023600000000002</v>
      </c>
      <c r="G1244" s="35">
        <v>6.2629799999999999E-2</v>
      </c>
    </row>
    <row r="1245" spans="1:7" x14ac:dyDescent="0.3">
      <c r="A1245" s="41" t="s">
        <v>57</v>
      </c>
      <c r="B1245" s="48" t="str">
        <f t="shared" si="3"/>
        <v>n/a</v>
      </c>
      <c r="C1245" s="37">
        <v>46255</v>
      </c>
      <c r="D1245" s="34" t="s">
        <v>26</v>
      </c>
      <c r="E1245" s="41">
        <v>2314</v>
      </c>
      <c r="F1245" s="33">
        <v>0.32979599999999998</v>
      </c>
      <c r="G1245" s="35">
        <v>0.106111</v>
      </c>
    </row>
    <row r="1246" spans="1:7" x14ac:dyDescent="0.3">
      <c r="A1246" s="41" t="s">
        <v>57</v>
      </c>
      <c r="B1246" s="48" t="str">
        <f t="shared" si="3"/>
        <v>n/a</v>
      </c>
      <c r="C1246" s="37">
        <v>46255</v>
      </c>
      <c r="D1246" s="34" t="s">
        <v>27</v>
      </c>
      <c r="E1246" s="41">
        <v>1361</v>
      </c>
      <c r="F1246" s="33">
        <v>0.51904700000000004</v>
      </c>
      <c r="G1246" s="35">
        <v>0.11781</v>
      </c>
    </row>
    <row r="1247" spans="1:7" x14ac:dyDescent="0.3">
      <c r="A1247" s="41" t="s">
        <v>57</v>
      </c>
      <c r="B1247" s="48" t="str">
        <f t="shared" si="3"/>
        <v>n/a</v>
      </c>
      <c r="C1247" s="37">
        <v>46255</v>
      </c>
      <c r="D1247" s="34" t="s">
        <v>28</v>
      </c>
      <c r="E1247" s="41">
        <v>1192</v>
      </c>
      <c r="F1247" s="33">
        <v>0.453818</v>
      </c>
      <c r="G1247" s="35">
        <v>0.10198699999999999</v>
      </c>
    </row>
    <row r="1248" spans="1:7" x14ac:dyDescent="0.3">
      <c r="A1248" s="41" t="s">
        <v>57</v>
      </c>
      <c r="B1248" s="48" t="str">
        <f t="shared" si="3"/>
        <v>n/a</v>
      </c>
      <c r="C1248" s="37">
        <v>46255</v>
      </c>
      <c r="D1248" s="34" t="s">
        <v>29</v>
      </c>
      <c r="E1248" s="41">
        <v>1007</v>
      </c>
      <c r="F1248" s="33">
        <v>0.41626400000000002</v>
      </c>
      <c r="G1248" s="35">
        <v>8.6207000000000006E-2</v>
      </c>
    </row>
    <row r="1249" spans="1:7" x14ac:dyDescent="0.3">
      <c r="A1249" s="41" t="s">
        <v>57</v>
      </c>
      <c r="B1249" s="48" t="str">
        <f t="shared" si="3"/>
        <v>n/a</v>
      </c>
      <c r="C1249" s="37">
        <v>46255</v>
      </c>
      <c r="D1249" s="34" t="s">
        <v>30</v>
      </c>
      <c r="E1249" s="41">
        <v>1104</v>
      </c>
      <c r="F1249" s="33">
        <v>0.466804</v>
      </c>
      <c r="G1249" s="35">
        <v>9.3972299999999995E-2</v>
      </c>
    </row>
    <row r="1250" spans="1:7" x14ac:dyDescent="0.3">
      <c r="A1250" s="41" t="s">
        <v>63</v>
      </c>
      <c r="B1250" s="48" t="s">
        <v>216</v>
      </c>
      <c r="C1250" s="37">
        <v>46255</v>
      </c>
      <c r="D1250" s="34" t="s">
        <v>14</v>
      </c>
      <c r="E1250" s="41">
        <v>1958</v>
      </c>
      <c r="F1250" s="33">
        <v>0.33082699999999998</v>
      </c>
      <c r="G1250" s="35">
        <v>9.3121099999999998E-2</v>
      </c>
    </row>
    <row r="1251" spans="1:7" x14ac:dyDescent="0.3">
      <c r="A1251" s="41" t="s">
        <v>63</v>
      </c>
      <c r="B1251" s="48" t="s">
        <v>216</v>
      </c>
      <c r="C1251" s="37">
        <v>46255</v>
      </c>
      <c r="D1251" s="34" t="s">
        <v>15</v>
      </c>
      <c r="E1251" s="41">
        <v>1496</v>
      </c>
      <c r="F1251" s="33">
        <v>0.39394699999999999</v>
      </c>
      <c r="G1251" s="35">
        <v>0.103864</v>
      </c>
    </row>
    <row r="1252" spans="1:7" x14ac:dyDescent="0.3">
      <c r="A1252" s="41" t="s">
        <v>63</v>
      </c>
      <c r="B1252" s="48" t="s">
        <v>216</v>
      </c>
      <c r="C1252" s="37">
        <v>46255</v>
      </c>
      <c r="D1252" s="34" t="s">
        <v>16</v>
      </c>
      <c r="E1252" s="41">
        <v>1371</v>
      </c>
      <c r="F1252" s="33">
        <v>0.49240200000000001</v>
      </c>
      <c r="G1252" s="35">
        <v>0.115601</v>
      </c>
    </row>
    <row r="1253" spans="1:7" x14ac:dyDescent="0.3">
      <c r="A1253" s="41" t="s">
        <v>63</v>
      </c>
      <c r="B1253" s="48" t="s">
        <v>216</v>
      </c>
      <c r="C1253" s="37">
        <v>46255</v>
      </c>
      <c r="D1253" s="34" t="s">
        <v>17</v>
      </c>
      <c r="E1253" s="41">
        <v>1845</v>
      </c>
      <c r="F1253" s="33">
        <v>0.601742</v>
      </c>
      <c r="G1253" s="35">
        <v>0.11905499999999999</v>
      </c>
    </row>
    <row r="1254" spans="1:7" x14ac:dyDescent="0.3">
      <c r="A1254" s="41" t="s">
        <v>63</v>
      </c>
      <c r="B1254" s="48" t="s">
        <v>216</v>
      </c>
      <c r="C1254" s="37">
        <v>46255</v>
      </c>
      <c r="D1254" s="34" t="s">
        <v>18</v>
      </c>
      <c r="E1254" s="41">
        <v>1396</v>
      </c>
      <c r="F1254" s="33">
        <v>0.30510199999999998</v>
      </c>
      <c r="G1254" s="35">
        <v>7.2619500000000003E-2</v>
      </c>
    </row>
    <row r="1255" spans="1:7" x14ac:dyDescent="0.3">
      <c r="A1255" s="41" t="s">
        <v>63</v>
      </c>
      <c r="B1255" s="48" t="s">
        <v>216</v>
      </c>
      <c r="C1255" s="37">
        <v>46255</v>
      </c>
      <c r="D1255" s="34" t="s">
        <v>19</v>
      </c>
      <c r="E1255" s="41">
        <v>1382</v>
      </c>
      <c r="F1255" s="33">
        <v>0.50143899999999997</v>
      </c>
      <c r="G1255" s="35">
        <v>0.105596</v>
      </c>
    </row>
    <row r="1256" spans="1:7" x14ac:dyDescent="0.3">
      <c r="A1256" s="41" t="s">
        <v>63</v>
      </c>
      <c r="B1256" s="48" t="s">
        <v>216</v>
      </c>
      <c r="C1256" s="37">
        <v>46255</v>
      </c>
      <c r="D1256" s="34" t="s">
        <v>20</v>
      </c>
      <c r="E1256" s="41">
        <v>1115</v>
      </c>
      <c r="F1256" s="33">
        <v>0.49408400000000002</v>
      </c>
      <c r="G1256" s="35">
        <v>0.10345</v>
      </c>
    </row>
    <row r="1257" spans="1:7" x14ac:dyDescent="0.3">
      <c r="A1257" s="41" t="s">
        <v>63</v>
      </c>
      <c r="B1257" s="48" t="s">
        <v>216</v>
      </c>
      <c r="C1257" s="37">
        <v>46255</v>
      </c>
      <c r="D1257" s="34" t="s">
        <v>34</v>
      </c>
      <c r="E1257" s="41">
        <v>1498</v>
      </c>
      <c r="F1257" s="33">
        <v>0.28099800000000003</v>
      </c>
      <c r="G1257" s="35">
        <v>8.5202E-2</v>
      </c>
    </row>
    <row r="1258" spans="1:7" x14ac:dyDescent="0.3">
      <c r="A1258" s="41" t="s">
        <v>63</v>
      </c>
      <c r="B1258" s="48" t="s">
        <v>216</v>
      </c>
      <c r="C1258" s="37">
        <v>46255</v>
      </c>
      <c r="D1258" s="34" t="s">
        <v>21</v>
      </c>
      <c r="E1258" s="41">
        <v>2132</v>
      </c>
      <c r="F1258" s="33">
        <v>0.49568499999999999</v>
      </c>
      <c r="G1258" s="35">
        <v>9.6510299999999993E-2</v>
      </c>
    </row>
    <row r="1259" spans="1:7" x14ac:dyDescent="0.3">
      <c r="A1259" s="41" t="s">
        <v>63</v>
      </c>
      <c r="B1259" s="48" t="s">
        <v>216</v>
      </c>
      <c r="C1259" s="37">
        <v>46255</v>
      </c>
      <c r="D1259" s="34" t="s">
        <v>22</v>
      </c>
      <c r="E1259" s="41">
        <v>1965</v>
      </c>
      <c r="F1259" s="33">
        <v>0.39345400000000003</v>
      </c>
      <c r="G1259" s="35">
        <v>0.106964</v>
      </c>
    </row>
    <row r="1260" spans="1:7" x14ac:dyDescent="0.3">
      <c r="A1260" s="41" t="s">
        <v>63</v>
      </c>
      <c r="B1260" s="48" t="s">
        <v>216</v>
      </c>
      <c r="C1260" s="37">
        <v>46255</v>
      </c>
      <c r="D1260" s="34" t="s">
        <v>23</v>
      </c>
      <c r="E1260" s="41">
        <v>1755</v>
      </c>
      <c r="F1260" s="33">
        <v>0.426867</v>
      </c>
      <c r="G1260" s="35">
        <v>0.14013600000000001</v>
      </c>
    </row>
    <row r="1261" spans="1:7" x14ac:dyDescent="0.3">
      <c r="A1261" s="41" t="s">
        <v>63</v>
      </c>
      <c r="B1261" s="48" t="s">
        <v>216</v>
      </c>
      <c r="C1261" s="37">
        <v>46255</v>
      </c>
      <c r="D1261" s="34" t="s">
        <v>24</v>
      </c>
      <c r="E1261" s="41">
        <v>2088</v>
      </c>
      <c r="F1261" s="33">
        <v>0.30718299999999998</v>
      </c>
      <c r="G1261" s="35">
        <v>9.4645499999999994E-2</v>
      </c>
    </row>
    <row r="1262" spans="1:7" x14ac:dyDescent="0.3">
      <c r="A1262" s="41" t="s">
        <v>63</v>
      </c>
      <c r="B1262" s="48" t="s">
        <v>216</v>
      </c>
      <c r="C1262" s="37">
        <v>46255</v>
      </c>
      <c r="D1262" s="34" t="s">
        <v>25</v>
      </c>
      <c r="E1262" s="41">
        <v>1091</v>
      </c>
      <c r="F1262" s="33">
        <v>0.32910200000000001</v>
      </c>
      <c r="G1262" s="35">
        <v>7.9194000000000001E-2</v>
      </c>
    </row>
    <row r="1263" spans="1:7" x14ac:dyDescent="0.3">
      <c r="A1263" s="41" t="s">
        <v>63</v>
      </c>
      <c r="B1263" s="48" t="s">
        <v>216</v>
      </c>
      <c r="C1263" s="37">
        <v>46255</v>
      </c>
      <c r="D1263" s="34" t="s">
        <v>26</v>
      </c>
      <c r="E1263" s="41">
        <v>1914</v>
      </c>
      <c r="F1263" s="33">
        <v>0.30376599999999998</v>
      </c>
      <c r="G1263" s="35">
        <v>9.7724900000000003E-2</v>
      </c>
    </row>
    <row r="1264" spans="1:7" x14ac:dyDescent="0.3">
      <c r="A1264" s="41" t="s">
        <v>63</v>
      </c>
      <c r="B1264" s="48" t="s">
        <v>216</v>
      </c>
      <c r="C1264" s="37">
        <v>46255</v>
      </c>
      <c r="D1264" s="34" t="s">
        <v>27</v>
      </c>
      <c r="E1264" s="41">
        <v>2163</v>
      </c>
      <c r="F1264" s="33">
        <v>0.44899299999999998</v>
      </c>
      <c r="G1264" s="35">
        <v>0.101935</v>
      </c>
    </row>
    <row r="1265" spans="1:7" x14ac:dyDescent="0.3">
      <c r="A1265" s="41" t="s">
        <v>63</v>
      </c>
      <c r="B1265" s="48" t="s">
        <v>216</v>
      </c>
      <c r="C1265" s="37">
        <v>46255</v>
      </c>
      <c r="D1265" s="34" t="s">
        <v>28</v>
      </c>
      <c r="E1265" s="41">
        <v>1887</v>
      </c>
      <c r="F1265" s="33">
        <v>0.38950400000000002</v>
      </c>
      <c r="G1265" s="35">
        <v>8.74809E-2</v>
      </c>
    </row>
    <row r="1266" spans="1:7" x14ac:dyDescent="0.3">
      <c r="A1266" s="41" t="s">
        <v>63</v>
      </c>
      <c r="B1266" s="48" t="s">
        <v>216</v>
      </c>
      <c r="C1266" s="37">
        <v>46255</v>
      </c>
      <c r="D1266" s="34" t="s">
        <v>29</v>
      </c>
      <c r="E1266" s="41">
        <v>1002</v>
      </c>
      <c r="F1266" s="33">
        <v>0.33208100000000002</v>
      </c>
      <c r="G1266" s="35">
        <v>6.8804900000000002E-2</v>
      </c>
    </row>
    <row r="1267" spans="1:7" x14ac:dyDescent="0.3">
      <c r="A1267" s="41" t="s">
        <v>63</v>
      </c>
      <c r="B1267" s="48" t="s">
        <v>216</v>
      </c>
      <c r="C1267" s="37">
        <v>46255</v>
      </c>
      <c r="D1267" s="34" t="s">
        <v>30</v>
      </c>
      <c r="E1267" s="41">
        <v>1126</v>
      </c>
      <c r="F1267" s="33">
        <v>0.53193999999999997</v>
      </c>
      <c r="G1267" s="35">
        <v>0.10709299999999999</v>
      </c>
    </row>
    <row r="1268" spans="1:7" x14ac:dyDescent="0.3">
      <c r="B1268" s="48" t="str">
        <f t="shared" ref="B1268:B1319" si="4">IF($A1268="Daily", "n/a", "")</f>
        <v/>
      </c>
    </row>
    <row r="1269" spans="1:7" x14ac:dyDescent="0.3">
      <c r="B1269" s="48" t="str">
        <f t="shared" si="4"/>
        <v/>
      </c>
    </row>
    <row r="1270" spans="1:7" x14ac:dyDescent="0.3">
      <c r="B1270" s="48" t="str">
        <f t="shared" si="4"/>
        <v/>
      </c>
    </row>
    <row r="1271" spans="1:7" x14ac:dyDescent="0.3">
      <c r="B1271" s="48" t="str">
        <f t="shared" si="4"/>
        <v/>
      </c>
    </row>
    <row r="1272" spans="1:7" x14ac:dyDescent="0.3">
      <c r="B1272" s="48" t="str">
        <f t="shared" si="4"/>
        <v/>
      </c>
    </row>
    <row r="1273" spans="1:7" x14ac:dyDescent="0.3">
      <c r="B1273" s="48" t="str">
        <f t="shared" si="4"/>
        <v/>
      </c>
    </row>
    <row r="1274" spans="1:7" x14ac:dyDescent="0.3">
      <c r="B1274" s="48" t="str">
        <f t="shared" si="4"/>
        <v/>
      </c>
    </row>
    <row r="1275" spans="1:7" x14ac:dyDescent="0.3">
      <c r="B1275" s="48" t="str">
        <f t="shared" si="4"/>
        <v/>
      </c>
    </row>
    <row r="1276" spans="1:7" x14ac:dyDescent="0.3">
      <c r="B1276" s="48" t="str">
        <f t="shared" si="4"/>
        <v/>
      </c>
    </row>
    <row r="1277" spans="1:7" x14ac:dyDescent="0.3">
      <c r="B1277" s="48" t="str">
        <f t="shared" si="4"/>
        <v/>
      </c>
    </row>
    <row r="1278" spans="1:7" x14ac:dyDescent="0.3">
      <c r="B1278" s="48" t="str">
        <f t="shared" si="4"/>
        <v/>
      </c>
    </row>
    <row r="1279" spans="1:7" x14ac:dyDescent="0.3">
      <c r="B1279" s="48" t="str">
        <f t="shared" si="4"/>
        <v/>
      </c>
    </row>
    <row r="1280" spans="1:7" x14ac:dyDescent="0.3">
      <c r="B1280" s="48" t="str">
        <f t="shared" si="4"/>
        <v/>
      </c>
    </row>
    <row r="1281" spans="2:2" x14ac:dyDescent="0.3">
      <c r="B1281" s="48" t="str">
        <f t="shared" si="4"/>
        <v/>
      </c>
    </row>
    <row r="1282" spans="2:2" x14ac:dyDescent="0.3">
      <c r="B1282" s="48" t="str">
        <f t="shared" si="4"/>
        <v/>
      </c>
    </row>
    <row r="1283" spans="2:2" x14ac:dyDescent="0.3">
      <c r="B1283" s="48" t="str">
        <f t="shared" si="4"/>
        <v/>
      </c>
    </row>
    <row r="1284" spans="2:2" x14ac:dyDescent="0.3">
      <c r="B1284" s="48" t="str">
        <f t="shared" si="4"/>
        <v/>
      </c>
    </row>
    <row r="1285" spans="2:2" x14ac:dyDescent="0.3">
      <c r="B1285" s="48" t="str">
        <f t="shared" si="4"/>
        <v/>
      </c>
    </row>
    <row r="1286" spans="2:2" x14ac:dyDescent="0.3">
      <c r="B1286" s="48" t="str">
        <f t="shared" si="4"/>
        <v/>
      </c>
    </row>
    <row r="1287" spans="2:2" x14ac:dyDescent="0.3">
      <c r="B1287" s="48" t="str">
        <f t="shared" si="4"/>
        <v/>
      </c>
    </row>
    <row r="1288" spans="2:2" x14ac:dyDescent="0.3">
      <c r="B1288" s="48" t="str">
        <f t="shared" si="4"/>
        <v/>
      </c>
    </row>
    <row r="1289" spans="2:2" x14ac:dyDescent="0.3">
      <c r="B1289" s="48" t="str">
        <f t="shared" si="4"/>
        <v/>
      </c>
    </row>
    <row r="1290" spans="2:2" x14ac:dyDescent="0.3">
      <c r="B1290" s="48" t="str">
        <f t="shared" si="4"/>
        <v/>
      </c>
    </row>
    <row r="1291" spans="2:2" x14ac:dyDescent="0.3">
      <c r="B1291" s="48" t="str">
        <f t="shared" si="4"/>
        <v/>
      </c>
    </row>
    <row r="1292" spans="2:2" x14ac:dyDescent="0.3">
      <c r="B1292" s="48" t="str">
        <f t="shared" si="4"/>
        <v/>
      </c>
    </row>
    <row r="1293" spans="2:2" x14ac:dyDescent="0.3">
      <c r="B1293" s="48" t="str">
        <f t="shared" si="4"/>
        <v/>
      </c>
    </row>
    <row r="1294" spans="2:2" x14ac:dyDescent="0.3">
      <c r="B1294" s="48" t="str">
        <f t="shared" si="4"/>
        <v/>
      </c>
    </row>
    <row r="1295" spans="2:2" x14ac:dyDescent="0.3">
      <c r="B1295" s="48" t="str">
        <f t="shared" si="4"/>
        <v/>
      </c>
    </row>
    <row r="1296" spans="2:2" x14ac:dyDescent="0.3">
      <c r="B1296" s="48" t="str">
        <f t="shared" si="4"/>
        <v/>
      </c>
    </row>
    <row r="1297" spans="2:2" x14ac:dyDescent="0.3">
      <c r="B1297" s="48" t="str">
        <f t="shared" si="4"/>
        <v/>
      </c>
    </row>
    <row r="1298" spans="2:2" x14ac:dyDescent="0.3">
      <c r="B1298" s="48" t="str">
        <f t="shared" si="4"/>
        <v/>
      </c>
    </row>
    <row r="1299" spans="2:2" x14ac:dyDescent="0.3">
      <c r="B1299" s="48" t="str">
        <f t="shared" si="4"/>
        <v/>
      </c>
    </row>
    <row r="1300" spans="2:2" x14ac:dyDescent="0.3">
      <c r="B1300" s="48" t="str">
        <f t="shared" si="4"/>
        <v/>
      </c>
    </row>
    <row r="1301" spans="2:2" x14ac:dyDescent="0.3">
      <c r="B1301" s="48" t="str">
        <f t="shared" si="4"/>
        <v/>
      </c>
    </row>
    <row r="1302" spans="2:2" x14ac:dyDescent="0.3">
      <c r="B1302" s="48" t="str">
        <f t="shared" si="4"/>
        <v/>
      </c>
    </row>
    <row r="1303" spans="2:2" x14ac:dyDescent="0.3">
      <c r="B1303" s="48" t="str">
        <f t="shared" si="4"/>
        <v/>
      </c>
    </row>
    <row r="1304" spans="2:2" x14ac:dyDescent="0.3">
      <c r="B1304" s="48" t="str">
        <f t="shared" si="4"/>
        <v/>
      </c>
    </row>
    <row r="1305" spans="2:2" x14ac:dyDescent="0.3">
      <c r="B1305" s="48" t="str">
        <f t="shared" si="4"/>
        <v/>
      </c>
    </row>
    <row r="1306" spans="2:2" x14ac:dyDescent="0.3">
      <c r="B1306" s="48" t="str">
        <f t="shared" si="4"/>
        <v/>
      </c>
    </row>
    <row r="1307" spans="2:2" x14ac:dyDescent="0.3">
      <c r="B1307" s="48" t="str">
        <f t="shared" si="4"/>
        <v/>
      </c>
    </row>
    <row r="1308" spans="2:2" x14ac:dyDescent="0.3">
      <c r="B1308" s="48" t="str">
        <f t="shared" si="4"/>
        <v/>
      </c>
    </row>
    <row r="1309" spans="2:2" x14ac:dyDescent="0.3">
      <c r="B1309" s="48" t="str">
        <f t="shared" si="4"/>
        <v/>
      </c>
    </row>
    <row r="1310" spans="2:2" x14ac:dyDescent="0.3">
      <c r="B1310" s="48" t="str">
        <f t="shared" si="4"/>
        <v/>
      </c>
    </row>
    <row r="1311" spans="2:2" x14ac:dyDescent="0.3">
      <c r="B1311" s="48" t="str">
        <f t="shared" si="4"/>
        <v/>
      </c>
    </row>
    <row r="1312" spans="2:2" x14ac:dyDescent="0.3">
      <c r="B1312" s="48" t="str">
        <f t="shared" si="4"/>
        <v/>
      </c>
    </row>
    <row r="1313" spans="2:2" x14ac:dyDescent="0.3">
      <c r="B1313" s="48" t="str">
        <f t="shared" si="4"/>
        <v/>
      </c>
    </row>
    <row r="1314" spans="2:2" x14ac:dyDescent="0.3">
      <c r="B1314" s="48" t="str">
        <f t="shared" si="4"/>
        <v/>
      </c>
    </row>
    <row r="1315" spans="2:2" x14ac:dyDescent="0.3">
      <c r="B1315" s="48" t="str">
        <f t="shared" si="4"/>
        <v/>
      </c>
    </row>
    <row r="1316" spans="2:2" x14ac:dyDescent="0.3">
      <c r="B1316" s="48" t="str">
        <f t="shared" si="4"/>
        <v/>
      </c>
    </row>
    <row r="1317" spans="2:2" x14ac:dyDescent="0.3">
      <c r="B1317" s="48" t="str">
        <f t="shared" si="4"/>
        <v/>
      </c>
    </row>
    <row r="1318" spans="2:2" x14ac:dyDescent="0.3">
      <c r="B1318" s="48" t="str">
        <f t="shared" si="4"/>
        <v/>
      </c>
    </row>
    <row r="1319" spans="2:2" x14ac:dyDescent="0.3">
      <c r="B1319" s="48" t="str">
        <f t="shared" si="4"/>
        <v/>
      </c>
    </row>
    <row r="1320" spans="2:2" x14ac:dyDescent="0.3">
      <c r="B1320" s="48" t="str">
        <f t="shared" ref="B1320:B1383" si="5">IF($A1320="Daily", "n/a", "")</f>
        <v/>
      </c>
    </row>
    <row r="1321" spans="2:2" x14ac:dyDescent="0.3">
      <c r="B1321" s="48" t="str">
        <f t="shared" si="5"/>
        <v/>
      </c>
    </row>
    <row r="1322" spans="2:2" x14ac:dyDescent="0.3">
      <c r="B1322" s="48" t="str">
        <f t="shared" si="5"/>
        <v/>
      </c>
    </row>
    <row r="1323" spans="2:2" x14ac:dyDescent="0.3">
      <c r="B1323" s="48" t="str">
        <f t="shared" si="5"/>
        <v/>
      </c>
    </row>
    <row r="1324" spans="2:2" x14ac:dyDescent="0.3">
      <c r="B1324" s="48" t="str">
        <f t="shared" si="5"/>
        <v/>
      </c>
    </row>
    <row r="1325" spans="2:2" x14ac:dyDescent="0.3">
      <c r="B1325" s="48" t="str">
        <f t="shared" si="5"/>
        <v/>
      </c>
    </row>
    <row r="1326" spans="2:2" x14ac:dyDescent="0.3">
      <c r="B1326" s="48" t="str">
        <f t="shared" si="5"/>
        <v/>
      </c>
    </row>
    <row r="1327" spans="2:2" x14ac:dyDescent="0.3">
      <c r="B1327" s="48" t="str">
        <f t="shared" si="5"/>
        <v/>
      </c>
    </row>
    <row r="1328" spans="2:2" x14ac:dyDescent="0.3">
      <c r="B1328" s="48" t="str">
        <f t="shared" si="5"/>
        <v/>
      </c>
    </row>
    <row r="1329" spans="2:2" x14ac:dyDescent="0.3">
      <c r="B1329" s="48" t="str">
        <f t="shared" si="5"/>
        <v/>
      </c>
    </row>
    <row r="1330" spans="2:2" x14ac:dyDescent="0.3">
      <c r="B1330" s="48" t="str">
        <f t="shared" si="5"/>
        <v/>
      </c>
    </row>
    <row r="1331" spans="2:2" x14ac:dyDescent="0.3">
      <c r="B1331" s="48" t="str">
        <f t="shared" si="5"/>
        <v/>
      </c>
    </row>
    <row r="1332" spans="2:2" x14ac:dyDescent="0.3">
      <c r="B1332" s="48" t="str">
        <f t="shared" si="5"/>
        <v/>
      </c>
    </row>
    <row r="1333" spans="2:2" x14ac:dyDescent="0.3">
      <c r="B1333" s="48" t="str">
        <f t="shared" si="5"/>
        <v/>
      </c>
    </row>
    <row r="1334" spans="2:2" x14ac:dyDescent="0.3">
      <c r="B1334" s="48" t="str">
        <f t="shared" si="5"/>
        <v/>
      </c>
    </row>
    <row r="1335" spans="2:2" x14ac:dyDescent="0.3">
      <c r="B1335" s="48" t="str">
        <f t="shared" si="5"/>
        <v/>
      </c>
    </row>
    <row r="1336" spans="2:2" x14ac:dyDescent="0.3">
      <c r="B1336" s="48" t="str">
        <f t="shared" si="5"/>
        <v/>
      </c>
    </row>
    <row r="1337" spans="2:2" x14ac:dyDescent="0.3">
      <c r="B1337" s="48" t="str">
        <f t="shared" si="5"/>
        <v/>
      </c>
    </row>
    <row r="1338" spans="2:2" x14ac:dyDescent="0.3">
      <c r="B1338" s="48" t="str">
        <f t="shared" si="5"/>
        <v/>
      </c>
    </row>
    <row r="1339" spans="2:2" x14ac:dyDescent="0.3">
      <c r="B1339" s="48" t="str">
        <f t="shared" si="5"/>
        <v/>
      </c>
    </row>
    <row r="1340" spans="2:2" x14ac:dyDescent="0.3">
      <c r="B1340" s="48" t="str">
        <f t="shared" si="5"/>
        <v/>
      </c>
    </row>
    <row r="1341" spans="2:2" x14ac:dyDescent="0.3">
      <c r="B1341" s="48" t="str">
        <f t="shared" si="5"/>
        <v/>
      </c>
    </row>
    <row r="1342" spans="2:2" x14ac:dyDescent="0.3">
      <c r="B1342" s="48" t="str">
        <f t="shared" si="5"/>
        <v/>
      </c>
    </row>
    <row r="1343" spans="2:2" x14ac:dyDescent="0.3">
      <c r="B1343" s="48" t="str">
        <f t="shared" si="5"/>
        <v/>
      </c>
    </row>
    <row r="1344" spans="2:2" x14ac:dyDescent="0.3">
      <c r="B1344" s="48" t="str">
        <f t="shared" si="5"/>
        <v/>
      </c>
    </row>
    <row r="1345" spans="2:2" x14ac:dyDescent="0.3">
      <c r="B1345" s="48" t="str">
        <f t="shared" si="5"/>
        <v/>
      </c>
    </row>
    <row r="1346" spans="2:2" x14ac:dyDescent="0.3">
      <c r="B1346" s="48" t="str">
        <f t="shared" si="5"/>
        <v/>
      </c>
    </row>
    <row r="1347" spans="2:2" x14ac:dyDescent="0.3">
      <c r="B1347" s="48" t="str">
        <f t="shared" si="5"/>
        <v/>
      </c>
    </row>
    <row r="1348" spans="2:2" x14ac:dyDescent="0.3">
      <c r="B1348" s="48" t="str">
        <f t="shared" si="5"/>
        <v/>
      </c>
    </row>
    <row r="1349" spans="2:2" x14ac:dyDescent="0.3">
      <c r="B1349" s="48" t="str">
        <f t="shared" si="5"/>
        <v/>
      </c>
    </row>
    <row r="1350" spans="2:2" x14ac:dyDescent="0.3">
      <c r="B1350" s="48" t="str">
        <f t="shared" si="5"/>
        <v/>
      </c>
    </row>
    <row r="1351" spans="2:2" x14ac:dyDescent="0.3">
      <c r="B1351" s="48" t="str">
        <f t="shared" si="5"/>
        <v/>
      </c>
    </row>
    <row r="1352" spans="2:2" x14ac:dyDescent="0.3">
      <c r="B1352" s="48" t="str">
        <f t="shared" si="5"/>
        <v/>
      </c>
    </row>
    <row r="1353" spans="2:2" x14ac:dyDescent="0.3">
      <c r="B1353" s="48" t="str">
        <f t="shared" si="5"/>
        <v/>
      </c>
    </row>
    <row r="1354" spans="2:2" x14ac:dyDescent="0.3">
      <c r="B1354" s="48" t="str">
        <f t="shared" si="5"/>
        <v/>
      </c>
    </row>
    <row r="1355" spans="2:2" x14ac:dyDescent="0.3">
      <c r="B1355" s="48" t="str">
        <f t="shared" si="5"/>
        <v/>
      </c>
    </row>
    <row r="1356" spans="2:2" x14ac:dyDescent="0.3">
      <c r="B1356" s="48" t="str">
        <f t="shared" si="5"/>
        <v/>
      </c>
    </row>
    <row r="1357" spans="2:2" x14ac:dyDescent="0.3">
      <c r="B1357" s="48" t="str">
        <f t="shared" si="5"/>
        <v/>
      </c>
    </row>
    <row r="1358" spans="2:2" x14ac:dyDescent="0.3">
      <c r="B1358" s="48" t="str">
        <f t="shared" si="5"/>
        <v/>
      </c>
    </row>
    <row r="1359" spans="2:2" x14ac:dyDescent="0.3">
      <c r="B1359" s="48" t="str">
        <f t="shared" si="5"/>
        <v/>
      </c>
    </row>
    <row r="1360" spans="2:2" x14ac:dyDescent="0.3">
      <c r="B1360" s="48" t="str">
        <f t="shared" si="5"/>
        <v/>
      </c>
    </row>
    <row r="1361" spans="2:2" x14ac:dyDescent="0.3">
      <c r="B1361" s="48" t="str">
        <f t="shared" si="5"/>
        <v/>
      </c>
    </row>
    <row r="1362" spans="2:2" x14ac:dyDescent="0.3">
      <c r="B1362" s="48" t="str">
        <f t="shared" si="5"/>
        <v/>
      </c>
    </row>
    <row r="1363" spans="2:2" x14ac:dyDescent="0.3">
      <c r="B1363" s="48" t="str">
        <f t="shared" si="5"/>
        <v/>
      </c>
    </row>
    <row r="1364" spans="2:2" x14ac:dyDescent="0.3">
      <c r="B1364" s="48" t="str">
        <f t="shared" si="5"/>
        <v/>
      </c>
    </row>
    <row r="1365" spans="2:2" x14ac:dyDescent="0.3">
      <c r="B1365" s="48" t="str">
        <f t="shared" si="5"/>
        <v/>
      </c>
    </row>
    <row r="1366" spans="2:2" x14ac:dyDescent="0.3">
      <c r="B1366" s="48" t="str">
        <f t="shared" si="5"/>
        <v/>
      </c>
    </row>
    <row r="1367" spans="2:2" x14ac:dyDescent="0.3">
      <c r="B1367" s="48" t="str">
        <f t="shared" si="5"/>
        <v/>
      </c>
    </row>
    <row r="1368" spans="2:2" x14ac:dyDescent="0.3">
      <c r="B1368" s="48" t="str">
        <f t="shared" si="5"/>
        <v/>
      </c>
    </row>
    <row r="1369" spans="2:2" x14ac:dyDescent="0.3">
      <c r="B1369" s="48" t="str">
        <f t="shared" si="5"/>
        <v/>
      </c>
    </row>
    <row r="1370" spans="2:2" x14ac:dyDescent="0.3">
      <c r="B1370" s="48" t="str">
        <f t="shared" si="5"/>
        <v/>
      </c>
    </row>
    <row r="1371" spans="2:2" x14ac:dyDescent="0.3">
      <c r="B1371" s="48" t="str">
        <f t="shared" si="5"/>
        <v/>
      </c>
    </row>
    <row r="1372" spans="2:2" x14ac:dyDescent="0.3">
      <c r="B1372" s="48" t="str">
        <f t="shared" si="5"/>
        <v/>
      </c>
    </row>
    <row r="1373" spans="2:2" x14ac:dyDescent="0.3">
      <c r="B1373" s="48" t="str">
        <f t="shared" si="5"/>
        <v/>
      </c>
    </row>
    <row r="1374" spans="2:2" x14ac:dyDescent="0.3">
      <c r="B1374" s="48" t="str">
        <f t="shared" si="5"/>
        <v/>
      </c>
    </row>
    <row r="1375" spans="2:2" x14ac:dyDescent="0.3">
      <c r="B1375" s="48" t="str">
        <f t="shared" si="5"/>
        <v/>
      </c>
    </row>
    <row r="1376" spans="2:2" x14ac:dyDescent="0.3">
      <c r="B1376" s="48" t="str">
        <f t="shared" si="5"/>
        <v/>
      </c>
    </row>
    <row r="1377" spans="2:2" x14ac:dyDescent="0.3">
      <c r="B1377" s="48" t="str">
        <f t="shared" si="5"/>
        <v/>
      </c>
    </row>
    <row r="1378" spans="2:2" x14ac:dyDescent="0.3">
      <c r="B1378" s="48" t="str">
        <f t="shared" si="5"/>
        <v/>
      </c>
    </row>
    <row r="1379" spans="2:2" x14ac:dyDescent="0.3">
      <c r="B1379" s="48" t="str">
        <f t="shared" si="5"/>
        <v/>
      </c>
    </row>
    <row r="1380" spans="2:2" x14ac:dyDescent="0.3">
      <c r="B1380" s="48" t="str">
        <f t="shared" si="5"/>
        <v/>
      </c>
    </row>
    <row r="1381" spans="2:2" x14ac:dyDescent="0.3">
      <c r="B1381" s="48" t="str">
        <f t="shared" si="5"/>
        <v/>
      </c>
    </row>
    <row r="1382" spans="2:2" x14ac:dyDescent="0.3">
      <c r="B1382" s="48" t="str">
        <f t="shared" si="5"/>
        <v/>
      </c>
    </row>
    <row r="1383" spans="2:2" x14ac:dyDescent="0.3">
      <c r="B1383" s="48" t="str">
        <f t="shared" si="5"/>
        <v/>
      </c>
    </row>
    <row r="1384" spans="2:2" x14ac:dyDescent="0.3">
      <c r="B1384" s="48" t="str">
        <f t="shared" ref="B1384:B1447" si="6">IF($A1384="Daily", "n/a", "")</f>
        <v/>
      </c>
    </row>
    <row r="1385" spans="2:2" x14ac:dyDescent="0.3">
      <c r="B1385" s="48" t="str">
        <f t="shared" si="6"/>
        <v/>
      </c>
    </row>
    <row r="1386" spans="2:2" x14ac:dyDescent="0.3">
      <c r="B1386" s="48" t="str">
        <f t="shared" si="6"/>
        <v/>
      </c>
    </row>
    <row r="1387" spans="2:2" x14ac:dyDescent="0.3">
      <c r="B1387" s="48" t="str">
        <f t="shared" si="6"/>
        <v/>
      </c>
    </row>
    <row r="1388" spans="2:2" x14ac:dyDescent="0.3">
      <c r="B1388" s="48" t="str">
        <f t="shared" si="6"/>
        <v/>
      </c>
    </row>
    <row r="1389" spans="2:2" x14ac:dyDescent="0.3">
      <c r="B1389" s="48" t="str">
        <f t="shared" si="6"/>
        <v/>
      </c>
    </row>
    <row r="1390" spans="2:2" x14ac:dyDescent="0.3">
      <c r="B1390" s="48" t="str">
        <f t="shared" si="6"/>
        <v/>
      </c>
    </row>
    <row r="1391" spans="2:2" x14ac:dyDescent="0.3">
      <c r="B1391" s="48" t="str">
        <f t="shared" si="6"/>
        <v/>
      </c>
    </row>
    <row r="1392" spans="2:2" x14ac:dyDescent="0.3">
      <c r="B1392" s="48" t="str">
        <f t="shared" si="6"/>
        <v/>
      </c>
    </row>
    <row r="1393" spans="2:2" x14ac:dyDescent="0.3">
      <c r="B1393" s="48" t="str">
        <f t="shared" si="6"/>
        <v/>
      </c>
    </row>
    <row r="1394" spans="2:2" x14ac:dyDescent="0.3">
      <c r="B1394" s="48" t="str">
        <f t="shared" si="6"/>
        <v/>
      </c>
    </row>
    <row r="1395" spans="2:2" x14ac:dyDescent="0.3">
      <c r="B1395" s="48" t="str">
        <f t="shared" si="6"/>
        <v/>
      </c>
    </row>
    <row r="1396" spans="2:2" x14ac:dyDescent="0.3">
      <c r="B1396" s="48" t="str">
        <f t="shared" si="6"/>
        <v/>
      </c>
    </row>
    <row r="1397" spans="2:2" x14ac:dyDescent="0.3">
      <c r="B1397" s="48" t="str">
        <f t="shared" si="6"/>
        <v/>
      </c>
    </row>
    <row r="1398" spans="2:2" x14ac:dyDescent="0.3">
      <c r="B1398" s="48" t="str">
        <f t="shared" si="6"/>
        <v/>
      </c>
    </row>
    <row r="1399" spans="2:2" x14ac:dyDescent="0.3">
      <c r="B1399" s="48" t="str">
        <f t="shared" si="6"/>
        <v/>
      </c>
    </row>
    <row r="1400" spans="2:2" x14ac:dyDescent="0.3">
      <c r="B1400" s="48" t="str">
        <f t="shared" si="6"/>
        <v/>
      </c>
    </row>
    <row r="1401" spans="2:2" x14ac:dyDescent="0.3">
      <c r="B1401" s="48" t="str">
        <f t="shared" si="6"/>
        <v/>
      </c>
    </row>
    <row r="1402" spans="2:2" x14ac:dyDescent="0.3">
      <c r="B1402" s="48" t="str">
        <f t="shared" si="6"/>
        <v/>
      </c>
    </row>
    <row r="1403" spans="2:2" x14ac:dyDescent="0.3">
      <c r="B1403" s="48" t="str">
        <f t="shared" si="6"/>
        <v/>
      </c>
    </row>
    <row r="1404" spans="2:2" x14ac:dyDescent="0.3">
      <c r="B1404" s="48" t="str">
        <f t="shared" si="6"/>
        <v/>
      </c>
    </row>
    <row r="1405" spans="2:2" x14ac:dyDescent="0.3">
      <c r="B1405" s="48" t="str">
        <f t="shared" si="6"/>
        <v/>
      </c>
    </row>
    <row r="1406" spans="2:2" x14ac:dyDescent="0.3">
      <c r="B1406" s="48" t="str">
        <f t="shared" si="6"/>
        <v/>
      </c>
    </row>
    <row r="1407" spans="2:2" x14ac:dyDescent="0.3">
      <c r="B1407" s="48" t="str">
        <f t="shared" si="6"/>
        <v/>
      </c>
    </row>
    <row r="1408" spans="2:2" x14ac:dyDescent="0.3">
      <c r="B1408" s="48" t="str">
        <f t="shared" si="6"/>
        <v/>
      </c>
    </row>
    <row r="1409" spans="2:2" x14ac:dyDescent="0.3">
      <c r="B1409" s="48" t="str">
        <f t="shared" si="6"/>
        <v/>
      </c>
    </row>
    <row r="1410" spans="2:2" x14ac:dyDescent="0.3">
      <c r="B1410" s="48" t="str">
        <f t="shared" si="6"/>
        <v/>
      </c>
    </row>
    <row r="1411" spans="2:2" x14ac:dyDescent="0.3">
      <c r="B1411" s="48" t="str">
        <f t="shared" si="6"/>
        <v/>
      </c>
    </row>
    <row r="1412" spans="2:2" x14ac:dyDescent="0.3">
      <c r="B1412" s="48" t="str">
        <f t="shared" si="6"/>
        <v/>
      </c>
    </row>
    <row r="1413" spans="2:2" x14ac:dyDescent="0.3">
      <c r="B1413" s="48" t="str">
        <f t="shared" si="6"/>
        <v/>
      </c>
    </row>
    <row r="1414" spans="2:2" x14ac:dyDescent="0.3">
      <c r="B1414" s="48" t="str">
        <f t="shared" si="6"/>
        <v/>
      </c>
    </row>
    <row r="1415" spans="2:2" x14ac:dyDescent="0.3">
      <c r="B1415" s="48" t="str">
        <f t="shared" si="6"/>
        <v/>
      </c>
    </row>
    <row r="1416" spans="2:2" x14ac:dyDescent="0.3">
      <c r="B1416" s="48" t="str">
        <f t="shared" si="6"/>
        <v/>
      </c>
    </row>
    <row r="1417" spans="2:2" x14ac:dyDescent="0.3">
      <c r="B1417" s="48" t="str">
        <f t="shared" si="6"/>
        <v/>
      </c>
    </row>
    <row r="1418" spans="2:2" x14ac:dyDescent="0.3">
      <c r="B1418" s="48" t="str">
        <f t="shared" si="6"/>
        <v/>
      </c>
    </row>
    <row r="1419" spans="2:2" x14ac:dyDescent="0.3">
      <c r="B1419" s="48" t="str">
        <f t="shared" si="6"/>
        <v/>
      </c>
    </row>
    <row r="1420" spans="2:2" x14ac:dyDescent="0.3">
      <c r="B1420" s="48" t="str">
        <f t="shared" si="6"/>
        <v/>
      </c>
    </row>
    <row r="1421" spans="2:2" x14ac:dyDescent="0.3">
      <c r="B1421" s="48" t="str">
        <f t="shared" si="6"/>
        <v/>
      </c>
    </row>
    <row r="1422" spans="2:2" x14ac:dyDescent="0.3">
      <c r="B1422" s="48" t="str">
        <f t="shared" si="6"/>
        <v/>
      </c>
    </row>
    <row r="1423" spans="2:2" x14ac:dyDescent="0.3">
      <c r="B1423" s="48" t="str">
        <f t="shared" si="6"/>
        <v/>
      </c>
    </row>
    <row r="1424" spans="2:2" x14ac:dyDescent="0.3">
      <c r="B1424" s="48" t="str">
        <f t="shared" si="6"/>
        <v/>
      </c>
    </row>
    <row r="1425" spans="2:2" x14ac:dyDescent="0.3">
      <c r="B1425" s="48" t="str">
        <f t="shared" si="6"/>
        <v/>
      </c>
    </row>
    <row r="1426" spans="2:2" x14ac:dyDescent="0.3">
      <c r="B1426" s="48" t="str">
        <f t="shared" si="6"/>
        <v/>
      </c>
    </row>
    <row r="1427" spans="2:2" x14ac:dyDescent="0.3">
      <c r="B1427" s="48" t="str">
        <f t="shared" si="6"/>
        <v/>
      </c>
    </row>
    <row r="1428" spans="2:2" x14ac:dyDescent="0.3">
      <c r="B1428" s="48" t="str">
        <f t="shared" si="6"/>
        <v/>
      </c>
    </row>
    <row r="1429" spans="2:2" x14ac:dyDescent="0.3">
      <c r="B1429" s="48" t="str">
        <f t="shared" si="6"/>
        <v/>
      </c>
    </row>
    <row r="1430" spans="2:2" x14ac:dyDescent="0.3">
      <c r="B1430" s="48" t="str">
        <f t="shared" si="6"/>
        <v/>
      </c>
    </row>
    <row r="1431" spans="2:2" x14ac:dyDescent="0.3">
      <c r="B1431" s="48" t="str">
        <f t="shared" si="6"/>
        <v/>
      </c>
    </row>
    <row r="1432" spans="2:2" x14ac:dyDescent="0.3">
      <c r="B1432" s="48" t="str">
        <f t="shared" si="6"/>
        <v/>
      </c>
    </row>
    <row r="1433" spans="2:2" x14ac:dyDescent="0.3">
      <c r="B1433" s="48" t="str">
        <f t="shared" si="6"/>
        <v/>
      </c>
    </row>
    <row r="1434" spans="2:2" x14ac:dyDescent="0.3">
      <c r="B1434" s="48" t="str">
        <f t="shared" si="6"/>
        <v/>
      </c>
    </row>
    <row r="1435" spans="2:2" x14ac:dyDescent="0.3">
      <c r="B1435" s="48" t="str">
        <f t="shared" si="6"/>
        <v/>
      </c>
    </row>
    <row r="1436" spans="2:2" x14ac:dyDescent="0.3">
      <c r="B1436" s="48" t="str">
        <f t="shared" si="6"/>
        <v/>
      </c>
    </row>
    <row r="1437" spans="2:2" x14ac:dyDescent="0.3">
      <c r="B1437" s="48" t="str">
        <f t="shared" si="6"/>
        <v/>
      </c>
    </row>
    <row r="1438" spans="2:2" x14ac:dyDescent="0.3">
      <c r="B1438" s="48" t="str">
        <f t="shared" si="6"/>
        <v/>
      </c>
    </row>
    <row r="1439" spans="2:2" x14ac:dyDescent="0.3">
      <c r="B1439" s="48" t="str">
        <f t="shared" si="6"/>
        <v/>
      </c>
    </row>
    <row r="1440" spans="2:2" x14ac:dyDescent="0.3">
      <c r="B1440" s="48" t="str">
        <f t="shared" si="6"/>
        <v/>
      </c>
    </row>
    <row r="1441" spans="2:2" x14ac:dyDescent="0.3">
      <c r="B1441" s="48" t="str">
        <f t="shared" si="6"/>
        <v/>
      </c>
    </row>
    <row r="1442" spans="2:2" x14ac:dyDescent="0.3">
      <c r="B1442" s="48" t="str">
        <f t="shared" si="6"/>
        <v/>
      </c>
    </row>
    <row r="1443" spans="2:2" x14ac:dyDescent="0.3">
      <c r="B1443" s="48" t="str">
        <f t="shared" si="6"/>
        <v/>
      </c>
    </row>
    <row r="1444" spans="2:2" x14ac:dyDescent="0.3">
      <c r="B1444" s="48" t="str">
        <f t="shared" si="6"/>
        <v/>
      </c>
    </row>
    <row r="1445" spans="2:2" x14ac:dyDescent="0.3">
      <c r="B1445" s="48" t="str">
        <f t="shared" si="6"/>
        <v/>
      </c>
    </row>
    <row r="1446" spans="2:2" x14ac:dyDescent="0.3">
      <c r="B1446" s="48" t="str">
        <f t="shared" si="6"/>
        <v/>
      </c>
    </row>
    <row r="1447" spans="2:2" x14ac:dyDescent="0.3">
      <c r="B1447" s="48" t="str">
        <f t="shared" si="6"/>
        <v/>
      </c>
    </row>
    <row r="1448" spans="2:2" x14ac:dyDescent="0.3">
      <c r="B1448" s="48" t="str">
        <f t="shared" ref="B1448:B1511" si="7">IF($A1448="Daily", "n/a", "")</f>
        <v/>
      </c>
    </row>
    <row r="1449" spans="2:2" x14ac:dyDescent="0.3">
      <c r="B1449" s="48" t="str">
        <f t="shared" si="7"/>
        <v/>
      </c>
    </row>
    <row r="1450" spans="2:2" x14ac:dyDescent="0.3">
      <c r="B1450" s="48" t="str">
        <f t="shared" si="7"/>
        <v/>
      </c>
    </row>
    <row r="1451" spans="2:2" x14ac:dyDescent="0.3">
      <c r="B1451" s="48" t="str">
        <f t="shared" si="7"/>
        <v/>
      </c>
    </row>
    <row r="1452" spans="2:2" x14ac:dyDescent="0.3">
      <c r="B1452" s="48" t="str">
        <f t="shared" si="7"/>
        <v/>
      </c>
    </row>
    <row r="1453" spans="2:2" x14ac:dyDescent="0.3">
      <c r="B1453" s="48" t="str">
        <f t="shared" si="7"/>
        <v/>
      </c>
    </row>
    <row r="1454" spans="2:2" x14ac:dyDescent="0.3">
      <c r="B1454" s="48" t="str">
        <f t="shared" si="7"/>
        <v/>
      </c>
    </row>
    <row r="1455" spans="2:2" x14ac:dyDescent="0.3">
      <c r="B1455" s="48" t="str">
        <f t="shared" si="7"/>
        <v/>
      </c>
    </row>
    <row r="1456" spans="2:2" x14ac:dyDescent="0.3">
      <c r="B1456" s="48" t="str">
        <f t="shared" si="7"/>
        <v/>
      </c>
    </row>
    <row r="1457" spans="2:2" x14ac:dyDescent="0.3">
      <c r="B1457" s="48" t="str">
        <f t="shared" si="7"/>
        <v/>
      </c>
    </row>
    <row r="1458" spans="2:2" x14ac:dyDescent="0.3">
      <c r="B1458" s="48" t="str">
        <f t="shared" si="7"/>
        <v/>
      </c>
    </row>
    <row r="1459" spans="2:2" x14ac:dyDescent="0.3">
      <c r="B1459" s="48" t="str">
        <f t="shared" si="7"/>
        <v/>
      </c>
    </row>
    <row r="1460" spans="2:2" x14ac:dyDescent="0.3">
      <c r="B1460" s="48" t="str">
        <f t="shared" si="7"/>
        <v/>
      </c>
    </row>
    <row r="1461" spans="2:2" x14ac:dyDescent="0.3">
      <c r="B1461" s="48" t="str">
        <f t="shared" si="7"/>
        <v/>
      </c>
    </row>
    <row r="1462" spans="2:2" x14ac:dyDescent="0.3">
      <c r="B1462" s="48" t="str">
        <f t="shared" si="7"/>
        <v/>
      </c>
    </row>
    <row r="1463" spans="2:2" x14ac:dyDescent="0.3">
      <c r="B1463" s="48" t="str">
        <f t="shared" si="7"/>
        <v/>
      </c>
    </row>
    <row r="1464" spans="2:2" x14ac:dyDescent="0.3">
      <c r="B1464" s="48" t="str">
        <f t="shared" si="7"/>
        <v/>
      </c>
    </row>
    <row r="1465" spans="2:2" x14ac:dyDescent="0.3">
      <c r="B1465" s="48" t="str">
        <f t="shared" si="7"/>
        <v/>
      </c>
    </row>
    <row r="1466" spans="2:2" x14ac:dyDescent="0.3">
      <c r="B1466" s="48" t="str">
        <f t="shared" si="7"/>
        <v/>
      </c>
    </row>
    <row r="1467" spans="2:2" x14ac:dyDescent="0.3">
      <c r="B1467" s="48" t="str">
        <f t="shared" si="7"/>
        <v/>
      </c>
    </row>
    <row r="1468" spans="2:2" x14ac:dyDescent="0.3">
      <c r="B1468" s="48" t="str">
        <f t="shared" si="7"/>
        <v/>
      </c>
    </row>
    <row r="1469" spans="2:2" x14ac:dyDescent="0.3">
      <c r="B1469" s="48" t="str">
        <f t="shared" si="7"/>
        <v/>
      </c>
    </row>
    <row r="1470" spans="2:2" x14ac:dyDescent="0.3">
      <c r="B1470" s="48" t="str">
        <f t="shared" si="7"/>
        <v/>
      </c>
    </row>
    <row r="1471" spans="2:2" x14ac:dyDescent="0.3">
      <c r="B1471" s="48" t="str">
        <f t="shared" si="7"/>
        <v/>
      </c>
    </row>
    <row r="1472" spans="2:2" x14ac:dyDescent="0.3">
      <c r="B1472" s="48" t="str">
        <f t="shared" si="7"/>
        <v/>
      </c>
    </row>
    <row r="1473" spans="2:2" x14ac:dyDescent="0.3">
      <c r="B1473" s="48" t="str">
        <f t="shared" si="7"/>
        <v/>
      </c>
    </row>
    <row r="1474" spans="2:2" x14ac:dyDescent="0.3">
      <c r="B1474" s="48" t="str">
        <f t="shared" si="7"/>
        <v/>
      </c>
    </row>
    <row r="1475" spans="2:2" x14ac:dyDescent="0.3">
      <c r="B1475" s="48" t="str">
        <f t="shared" si="7"/>
        <v/>
      </c>
    </row>
    <row r="1476" spans="2:2" x14ac:dyDescent="0.3">
      <c r="B1476" s="48" t="str">
        <f t="shared" si="7"/>
        <v/>
      </c>
    </row>
    <row r="1477" spans="2:2" x14ac:dyDescent="0.3">
      <c r="B1477" s="48" t="str">
        <f t="shared" si="7"/>
        <v/>
      </c>
    </row>
    <row r="1478" spans="2:2" x14ac:dyDescent="0.3">
      <c r="B1478" s="48" t="str">
        <f t="shared" si="7"/>
        <v/>
      </c>
    </row>
    <row r="1479" spans="2:2" x14ac:dyDescent="0.3">
      <c r="B1479" s="48" t="str">
        <f t="shared" si="7"/>
        <v/>
      </c>
    </row>
    <row r="1480" spans="2:2" x14ac:dyDescent="0.3">
      <c r="B1480" s="48" t="str">
        <f t="shared" si="7"/>
        <v/>
      </c>
    </row>
    <row r="1481" spans="2:2" x14ac:dyDescent="0.3">
      <c r="B1481" s="48" t="str">
        <f t="shared" si="7"/>
        <v/>
      </c>
    </row>
    <row r="1482" spans="2:2" x14ac:dyDescent="0.3">
      <c r="B1482" s="48" t="str">
        <f t="shared" si="7"/>
        <v/>
      </c>
    </row>
    <row r="1483" spans="2:2" x14ac:dyDescent="0.3">
      <c r="B1483" s="48" t="str">
        <f t="shared" si="7"/>
        <v/>
      </c>
    </row>
    <row r="1484" spans="2:2" x14ac:dyDescent="0.3">
      <c r="B1484" s="48" t="str">
        <f t="shared" si="7"/>
        <v/>
      </c>
    </row>
    <row r="1485" spans="2:2" x14ac:dyDescent="0.3">
      <c r="B1485" s="48" t="str">
        <f t="shared" si="7"/>
        <v/>
      </c>
    </row>
    <row r="1486" spans="2:2" x14ac:dyDescent="0.3">
      <c r="B1486" s="48" t="str">
        <f t="shared" si="7"/>
        <v/>
      </c>
    </row>
    <row r="1487" spans="2:2" x14ac:dyDescent="0.3">
      <c r="B1487" s="48" t="str">
        <f t="shared" si="7"/>
        <v/>
      </c>
    </row>
    <row r="1488" spans="2:2" x14ac:dyDescent="0.3">
      <c r="B1488" s="48" t="str">
        <f t="shared" si="7"/>
        <v/>
      </c>
    </row>
    <row r="1489" spans="2:2" x14ac:dyDescent="0.3">
      <c r="B1489" s="48" t="str">
        <f t="shared" si="7"/>
        <v/>
      </c>
    </row>
    <row r="1490" spans="2:2" x14ac:dyDescent="0.3">
      <c r="B1490" s="48" t="str">
        <f t="shared" si="7"/>
        <v/>
      </c>
    </row>
    <row r="1491" spans="2:2" x14ac:dyDescent="0.3">
      <c r="B1491" s="48" t="str">
        <f t="shared" si="7"/>
        <v/>
      </c>
    </row>
    <row r="1492" spans="2:2" x14ac:dyDescent="0.3">
      <c r="B1492" s="48" t="str">
        <f t="shared" si="7"/>
        <v/>
      </c>
    </row>
    <row r="1493" spans="2:2" x14ac:dyDescent="0.3">
      <c r="B1493" s="48" t="str">
        <f t="shared" si="7"/>
        <v/>
      </c>
    </row>
    <row r="1494" spans="2:2" x14ac:dyDescent="0.3">
      <c r="B1494" s="48" t="str">
        <f t="shared" si="7"/>
        <v/>
      </c>
    </row>
    <row r="1495" spans="2:2" x14ac:dyDescent="0.3">
      <c r="B1495" s="48" t="str">
        <f t="shared" si="7"/>
        <v/>
      </c>
    </row>
    <row r="1496" spans="2:2" x14ac:dyDescent="0.3">
      <c r="B1496" s="48" t="str">
        <f t="shared" si="7"/>
        <v/>
      </c>
    </row>
    <row r="1497" spans="2:2" x14ac:dyDescent="0.3">
      <c r="B1497" s="48" t="str">
        <f t="shared" si="7"/>
        <v/>
      </c>
    </row>
    <row r="1498" spans="2:2" x14ac:dyDescent="0.3">
      <c r="B1498" s="48" t="str">
        <f t="shared" si="7"/>
        <v/>
      </c>
    </row>
    <row r="1499" spans="2:2" x14ac:dyDescent="0.3">
      <c r="B1499" s="48" t="str">
        <f t="shared" si="7"/>
        <v/>
      </c>
    </row>
    <row r="1500" spans="2:2" x14ac:dyDescent="0.3">
      <c r="B1500" s="48" t="str">
        <f t="shared" si="7"/>
        <v/>
      </c>
    </row>
    <row r="1501" spans="2:2" x14ac:dyDescent="0.3">
      <c r="B1501" s="48" t="str">
        <f t="shared" si="7"/>
        <v/>
      </c>
    </row>
    <row r="1502" spans="2:2" x14ac:dyDescent="0.3">
      <c r="B1502" s="48" t="str">
        <f t="shared" si="7"/>
        <v/>
      </c>
    </row>
    <row r="1503" spans="2:2" x14ac:dyDescent="0.3">
      <c r="B1503" s="48" t="str">
        <f t="shared" si="7"/>
        <v/>
      </c>
    </row>
    <row r="1504" spans="2:2" x14ac:dyDescent="0.3">
      <c r="B1504" s="48" t="str">
        <f t="shared" si="7"/>
        <v/>
      </c>
    </row>
    <row r="1505" spans="2:2" x14ac:dyDescent="0.3">
      <c r="B1505" s="48" t="str">
        <f t="shared" si="7"/>
        <v/>
      </c>
    </row>
    <row r="1506" spans="2:2" x14ac:dyDescent="0.3">
      <c r="B1506" s="48" t="str">
        <f t="shared" si="7"/>
        <v/>
      </c>
    </row>
    <row r="1507" spans="2:2" x14ac:dyDescent="0.3">
      <c r="B1507" s="48" t="str">
        <f t="shared" si="7"/>
        <v/>
      </c>
    </row>
    <row r="1508" spans="2:2" x14ac:dyDescent="0.3">
      <c r="B1508" s="48" t="str">
        <f t="shared" si="7"/>
        <v/>
      </c>
    </row>
    <row r="1509" spans="2:2" x14ac:dyDescent="0.3">
      <c r="B1509" s="48" t="str">
        <f t="shared" si="7"/>
        <v/>
      </c>
    </row>
    <row r="1510" spans="2:2" x14ac:dyDescent="0.3">
      <c r="B1510" s="48" t="str">
        <f t="shared" si="7"/>
        <v/>
      </c>
    </row>
    <row r="1511" spans="2:2" x14ac:dyDescent="0.3">
      <c r="B1511" s="48" t="str">
        <f t="shared" si="7"/>
        <v/>
      </c>
    </row>
    <row r="1512" spans="2:2" x14ac:dyDescent="0.3">
      <c r="B1512" s="48" t="str">
        <f t="shared" ref="B1512:B1575" si="8">IF($A1512="Daily", "n/a", "")</f>
        <v/>
      </c>
    </row>
    <row r="1513" spans="2:2" x14ac:dyDescent="0.3">
      <c r="B1513" s="48" t="str">
        <f t="shared" si="8"/>
        <v/>
      </c>
    </row>
    <row r="1514" spans="2:2" x14ac:dyDescent="0.3">
      <c r="B1514" s="48" t="str">
        <f t="shared" si="8"/>
        <v/>
      </c>
    </row>
    <row r="1515" spans="2:2" x14ac:dyDescent="0.3">
      <c r="B1515" s="48" t="str">
        <f t="shared" si="8"/>
        <v/>
      </c>
    </row>
    <row r="1516" spans="2:2" x14ac:dyDescent="0.3">
      <c r="B1516" s="48" t="str">
        <f t="shared" si="8"/>
        <v/>
      </c>
    </row>
    <row r="1517" spans="2:2" x14ac:dyDescent="0.3">
      <c r="B1517" s="48" t="str">
        <f t="shared" si="8"/>
        <v/>
      </c>
    </row>
    <row r="1518" spans="2:2" x14ac:dyDescent="0.3">
      <c r="B1518" s="48" t="str">
        <f t="shared" si="8"/>
        <v/>
      </c>
    </row>
    <row r="1519" spans="2:2" x14ac:dyDescent="0.3">
      <c r="B1519" s="48" t="str">
        <f t="shared" si="8"/>
        <v/>
      </c>
    </row>
    <row r="1520" spans="2:2" x14ac:dyDescent="0.3">
      <c r="B1520" s="48" t="str">
        <f t="shared" si="8"/>
        <v/>
      </c>
    </row>
    <row r="1521" spans="2:2" x14ac:dyDescent="0.3">
      <c r="B1521" s="48" t="str">
        <f t="shared" si="8"/>
        <v/>
      </c>
    </row>
    <row r="1522" spans="2:2" x14ac:dyDescent="0.3">
      <c r="B1522" s="48" t="str">
        <f t="shared" si="8"/>
        <v/>
      </c>
    </row>
    <row r="1523" spans="2:2" x14ac:dyDescent="0.3">
      <c r="B1523" s="48" t="str">
        <f t="shared" si="8"/>
        <v/>
      </c>
    </row>
    <row r="1524" spans="2:2" x14ac:dyDescent="0.3">
      <c r="B1524" s="48" t="str">
        <f t="shared" si="8"/>
        <v/>
      </c>
    </row>
    <row r="1525" spans="2:2" x14ac:dyDescent="0.3">
      <c r="B1525" s="48" t="str">
        <f t="shared" si="8"/>
        <v/>
      </c>
    </row>
    <row r="1526" spans="2:2" x14ac:dyDescent="0.3">
      <c r="B1526" s="48" t="str">
        <f t="shared" si="8"/>
        <v/>
      </c>
    </row>
    <row r="1527" spans="2:2" x14ac:dyDescent="0.3">
      <c r="B1527" s="48" t="str">
        <f t="shared" si="8"/>
        <v/>
      </c>
    </row>
    <row r="1528" spans="2:2" x14ac:dyDescent="0.3">
      <c r="B1528" s="48" t="str">
        <f t="shared" si="8"/>
        <v/>
      </c>
    </row>
    <row r="1529" spans="2:2" x14ac:dyDescent="0.3">
      <c r="B1529" s="48" t="str">
        <f t="shared" si="8"/>
        <v/>
      </c>
    </row>
    <row r="1530" spans="2:2" x14ac:dyDescent="0.3">
      <c r="B1530" s="48" t="str">
        <f t="shared" si="8"/>
        <v/>
      </c>
    </row>
    <row r="1531" spans="2:2" x14ac:dyDescent="0.3">
      <c r="B1531" s="48" t="str">
        <f t="shared" si="8"/>
        <v/>
      </c>
    </row>
    <row r="1532" spans="2:2" x14ac:dyDescent="0.3">
      <c r="B1532" s="48" t="str">
        <f t="shared" si="8"/>
        <v/>
      </c>
    </row>
    <row r="1533" spans="2:2" x14ac:dyDescent="0.3">
      <c r="B1533" s="48" t="str">
        <f t="shared" si="8"/>
        <v/>
      </c>
    </row>
    <row r="1534" spans="2:2" x14ac:dyDescent="0.3">
      <c r="B1534" s="48" t="str">
        <f t="shared" si="8"/>
        <v/>
      </c>
    </row>
    <row r="1535" spans="2:2" x14ac:dyDescent="0.3">
      <c r="B1535" s="48" t="str">
        <f t="shared" si="8"/>
        <v/>
      </c>
    </row>
    <row r="1536" spans="2:2" x14ac:dyDescent="0.3">
      <c r="B1536" s="48" t="str">
        <f t="shared" si="8"/>
        <v/>
      </c>
    </row>
    <row r="1537" spans="2:2" x14ac:dyDescent="0.3">
      <c r="B1537" s="48" t="str">
        <f t="shared" si="8"/>
        <v/>
      </c>
    </row>
    <row r="1538" spans="2:2" x14ac:dyDescent="0.3">
      <c r="B1538" s="48" t="str">
        <f t="shared" si="8"/>
        <v/>
      </c>
    </row>
    <row r="1539" spans="2:2" x14ac:dyDescent="0.3">
      <c r="B1539" s="48" t="str">
        <f t="shared" si="8"/>
        <v/>
      </c>
    </row>
    <row r="1540" spans="2:2" x14ac:dyDescent="0.3">
      <c r="B1540" s="48" t="str">
        <f t="shared" si="8"/>
        <v/>
      </c>
    </row>
    <row r="1541" spans="2:2" x14ac:dyDescent="0.3">
      <c r="B1541" s="48" t="str">
        <f t="shared" si="8"/>
        <v/>
      </c>
    </row>
    <row r="1542" spans="2:2" x14ac:dyDescent="0.3">
      <c r="B1542" s="48" t="str">
        <f t="shared" si="8"/>
        <v/>
      </c>
    </row>
    <row r="1543" spans="2:2" x14ac:dyDescent="0.3">
      <c r="B1543" s="48" t="str">
        <f t="shared" si="8"/>
        <v/>
      </c>
    </row>
    <row r="1544" spans="2:2" x14ac:dyDescent="0.3">
      <c r="B1544" s="48" t="str">
        <f t="shared" si="8"/>
        <v/>
      </c>
    </row>
    <row r="1545" spans="2:2" x14ac:dyDescent="0.3">
      <c r="B1545" s="48" t="str">
        <f t="shared" si="8"/>
        <v/>
      </c>
    </row>
    <row r="1546" spans="2:2" x14ac:dyDescent="0.3">
      <c r="B1546" s="48" t="str">
        <f t="shared" si="8"/>
        <v/>
      </c>
    </row>
    <row r="1547" spans="2:2" x14ac:dyDescent="0.3">
      <c r="B1547" s="48" t="str">
        <f t="shared" si="8"/>
        <v/>
      </c>
    </row>
    <row r="1548" spans="2:2" x14ac:dyDescent="0.3">
      <c r="B1548" s="48" t="str">
        <f t="shared" si="8"/>
        <v/>
      </c>
    </row>
    <row r="1549" spans="2:2" x14ac:dyDescent="0.3">
      <c r="B1549" s="48" t="str">
        <f t="shared" si="8"/>
        <v/>
      </c>
    </row>
    <row r="1550" spans="2:2" x14ac:dyDescent="0.3">
      <c r="B1550" s="48" t="str">
        <f t="shared" si="8"/>
        <v/>
      </c>
    </row>
    <row r="1551" spans="2:2" x14ac:dyDescent="0.3">
      <c r="B1551" s="48" t="str">
        <f t="shared" si="8"/>
        <v/>
      </c>
    </row>
    <row r="1552" spans="2:2" x14ac:dyDescent="0.3">
      <c r="B1552" s="48" t="str">
        <f t="shared" si="8"/>
        <v/>
      </c>
    </row>
    <row r="1553" spans="2:2" x14ac:dyDescent="0.3">
      <c r="B1553" s="48" t="str">
        <f t="shared" si="8"/>
        <v/>
      </c>
    </row>
    <row r="1554" spans="2:2" x14ac:dyDescent="0.3">
      <c r="B1554" s="48" t="str">
        <f t="shared" si="8"/>
        <v/>
      </c>
    </row>
    <row r="1555" spans="2:2" x14ac:dyDescent="0.3">
      <c r="B1555" s="48" t="str">
        <f t="shared" si="8"/>
        <v/>
      </c>
    </row>
    <row r="1556" spans="2:2" x14ac:dyDescent="0.3">
      <c r="B1556" s="48" t="str">
        <f t="shared" si="8"/>
        <v/>
      </c>
    </row>
    <row r="1557" spans="2:2" x14ac:dyDescent="0.3">
      <c r="B1557" s="48" t="str">
        <f t="shared" si="8"/>
        <v/>
      </c>
    </row>
    <row r="1558" spans="2:2" x14ac:dyDescent="0.3">
      <c r="B1558" s="48" t="str">
        <f t="shared" si="8"/>
        <v/>
      </c>
    </row>
    <row r="1559" spans="2:2" x14ac:dyDescent="0.3">
      <c r="B1559" s="48" t="str">
        <f t="shared" si="8"/>
        <v/>
      </c>
    </row>
    <row r="1560" spans="2:2" x14ac:dyDescent="0.3">
      <c r="B1560" s="48" t="str">
        <f t="shared" si="8"/>
        <v/>
      </c>
    </row>
    <row r="1561" spans="2:2" x14ac:dyDescent="0.3">
      <c r="B1561" s="48" t="str">
        <f t="shared" si="8"/>
        <v/>
      </c>
    </row>
    <row r="1562" spans="2:2" x14ac:dyDescent="0.3">
      <c r="B1562" s="48" t="str">
        <f t="shared" si="8"/>
        <v/>
      </c>
    </row>
    <row r="1563" spans="2:2" x14ac:dyDescent="0.3">
      <c r="B1563" s="48" t="str">
        <f t="shared" si="8"/>
        <v/>
      </c>
    </row>
    <row r="1564" spans="2:2" x14ac:dyDescent="0.3">
      <c r="B1564" s="48" t="str">
        <f t="shared" si="8"/>
        <v/>
      </c>
    </row>
    <row r="1565" spans="2:2" x14ac:dyDescent="0.3">
      <c r="B1565" s="48" t="str">
        <f t="shared" si="8"/>
        <v/>
      </c>
    </row>
    <row r="1566" spans="2:2" x14ac:dyDescent="0.3">
      <c r="B1566" s="48" t="str">
        <f t="shared" si="8"/>
        <v/>
      </c>
    </row>
    <row r="1567" spans="2:2" x14ac:dyDescent="0.3">
      <c r="B1567" s="48" t="str">
        <f t="shared" si="8"/>
        <v/>
      </c>
    </row>
    <row r="1568" spans="2:2" x14ac:dyDescent="0.3">
      <c r="B1568" s="48" t="str">
        <f t="shared" si="8"/>
        <v/>
      </c>
    </row>
    <row r="1569" spans="2:2" x14ac:dyDescent="0.3">
      <c r="B1569" s="48" t="str">
        <f t="shared" si="8"/>
        <v/>
      </c>
    </row>
    <row r="1570" spans="2:2" x14ac:dyDescent="0.3">
      <c r="B1570" s="48" t="str">
        <f t="shared" si="8"/>
        <v/>
      </c>
    </row>
    <row r="1571" spans="2:2" x14ac:dyDescent="0.3">
      <c r="B1571" s="48" t="str">
        <f t="shared" si="8"/>
        <v/>
      </c>
    </row>
    <row r="1572" spans="2:2" x14ac:dyDescent="0.3">
      <c r="B1572" s="48" t="str">
        <f t="shared" si="8"/>
        <v/>
      </c>
    </row>
    <row r="1573" spans="2:2" x14ac:dyDescent="0.3">
      <c r="B1573" s="48" t="str">
        <f t="shared" si="8"/>
        <v/>
      </c>
    </row>
    <row r="1574" spans="2:2" x14ac:dyDescent="0.3">
      <c r="B1574" s="48" t="str">
        <f t="shared" si="8"/>
        <v/>
      </c>
    </row>
    <row r="1575" spans="2:2" x14ac:dyDescent="0.3">
      <c r="B1575" s="48" t="str">
        <f t="shared" si="8"/>
        <v/>
      </c>
    </row>
    <row r="1576" spans="2:2" x14ac:dyDescent="0.3">
      <c r="B1576" s="48" t="str">
        <f t="shared" ref="B1576:B1639" si="9">IF($A1576="Daily", "n/a", "")</f>
        <v/>
      </c>
    </row>
    <row r="1577" spans="2:2" x14ac:dyDescent="0.3">
      <c r="B1577" s="48" t="str">
        <f t="shared" si="9"/>
        <v/>
      </c>
    </row>
    <row r="1578" spans="2:2" x14ac:dyDescent="0.3">
      <c r="B1578" s="48" t="str">
        <f t="shared" si="9"/>
        <v/>
      </c>
    </row>
    <row r="1579" spans="2:2" x14ac:dyDescent="0.3">
      <c r="B1579" s="48" t="str">
        <f t="shared" si="9"/>
        <v/>
      </c>
    </row>
    <row r="1580" spans="2:2" x14ac:dyDescent="0.3">
      <c r="B1580" s="48" t="str">
        <f t="shared" si="9"/>
        <v/>
      </c>
    </row>
    <row r="1581" spans="2:2" x14ac:dyDescent="0.3">
      <c r="B1581" s="48" t="str">
        <f t="shared" si="9"/>
        <v/>
      </c>
    </row>
    <row r="1582" spans="2:2" x14ac:dyDescent="0.3">
      <c r="B1582" s="48" t="str">
        <f t="shared" si="9"/>
        <v/>
      </c>
    </row>
    <row r="1583" spans="2:2" x14ac:dyDescent="0.3">
      <c r="B1583" s="48" t="str">
        <f t="shared" si="9"/>
        <v/>
      </c>
    </row>
    <row r="1584" spans="2:2" x14ac:dyDescent="0.3">
      <c r="B1584" s="48" t="str">
        <f t="shared" si="9"/>
        <v/>
      </c>
    </row>
    <row r="1585" spans="2:2" x14ac:dyDescent="0.3">
      <c r="B1585" s="48" t="str">
        <f t="shared" si="9"/>
        <v/>
      </c>
    </row>
    <row r="1586" spans="2:2" x14ac:dyDescent="0.3">
      <c r="B1586" s="48" t="str">
        <f t="shared" si="9"/>
        <v/>
      </c>
    </row>
    <row r="1587" spans="2:2" x14ac:dyDescent="0.3">
      <c r="B1587" s="48" t="str">
        <f t="shared" si="9"/>
        <v/>
      </c>
    </row>
    <row r="1588" spans="2:2" x14ac:dyDescent="0.3">
      <c r="B1588" s="48" t="str">
        <f t="shared" si="9"/>
        <v/>
      </c>
    </row>
    <row r="1589" spans="2:2" x14ac:dyDescent="0.3">
      <c r="B1589" s="48" t="str">
        <f t="shared" si="9"/>
        <v/>
      </c>
    </row>
    <row r="1590" spans="2:2" x14ac:dyDescent="0.3">
      <c r="B1590" s="48" t="str">
        <f t="shared" si="9"/>
        <v/>
      </c>
    </row>
    <row r="1591" spans="2:2" x14ac:dyDescent="0.3">
      <c r="B1591" s="48" t="str">
        <f t="shared" si="9"/>
        <v/>
      </c>
    </row>
    <row r="1592" spans="2:2" x14ac:dyDescent="0.3">
      <c r="B1592" s="48" t="str">
        <f t="shared" si="9"/>
        <v/>
      </c>
    </row>
    <row r="1593" spans="2:2" x14ac:dyDescent="0.3">
      <c r="B1593" s="48" t="str">
        <f t="shared" si="9"/>
        <v/>
      </c>
    </row>
    <row r="1594" spans="2:2" x14ac:dyDescent="0.3">
      <c r="B1594" s="48" t="str">
        <f t="shared" si="9"/>
        <v/>
      </c>
    </row>
    <row r="1595" spans="2:2" x14ac:dyDescent="0.3">
      <c r="B1595" s="48" t="str">
        <f t="shared" si="9"/>
        <v/>
      </c>
    </row>
    <row r="1596" spans="2:2" x14ac:dyDescent="0.3">
      <c r="B1596" s="48" t="str">
        <f t="shared" si="9"/>
        <v/>
      </c>
    </row>
    <row r="1597" spans="2:2" x14ac:dyDescent="0.3">
      <c r="B1597" s="48" t="str">
        <f t="shared" si="9"/>
        <v/>
      </c>
    </row>
    <row r="1598" spans="2:2" x14ac:dyDescent="0.3">
      <c r="B1598" s="48" t="str">
        <f t="shared" si="9"/>
        <v/>
      </c>
    </row>
    <row r="1599" spans="2:2" x14ac:dyDescent="0.3">
      <c r="B1599" s="48" t="str">
        <f t="shared" si="9"/>
        <v/>
      </c>
    </row>
    <row r="1600" spans="2:2" x14ac:dyDescent="0.3">
      <c r="B1600" s="48" t="str">
        <f t="shared" si="9"/>
        <v/>
      </c>
    </row>
    <row r="1601" spans="2:2" x14ac:dyDescent="0.3">
      <c r="B1601" s="48" t="str">
        <f t="shared" si="9"/>
        <v/>
      </c>
    </row>
    <row r="1602" spans="2:2" x14ac:dyDescent="0.3">
      <c r="B1602" s="48" t="str">
        <f t="shared" si="9"/>
        <v/>
      </c>
    </row>
    <row r="1603" spans="2:2" x14ac:dyDescent="0.3">
      <c r="B1603" s="48" t="str">
        <f t="shared" si="9"/>
        <v/>
      </c>
    </row>
    <row r="1604" spans="2:2" x14ac:dyDescent="0.3">
      <c r="B1604" s="48" t="str">
        <f t="shared" si="9"/>
        <v/>
      </c>
    </row>
    <row r="1605" spans="2:2" x14ac:dyDescent="0.3">
      <c r="B1605" s="48" t="str">
        <f t="shared" si="9"/>
        <v/>
      </c>
    </row>
    <row r="1606" spans="2:2" x14ac:dyDescent="0.3">
      <c r="B1606" s="48" t="str">
        <f t="shared" si="9"/>
        <v/>
      </c>
    </row>
    <row r="1607" spans="2:2" x14ac:dyDescent="0.3">
      <c r="B1607" s="48" t="str">
        <f t="shared" si="9"/>
        <v/>
      </c>
    </row>
    <row r="1608" spans="2:2" x14ac:dyDescent="0.3">
      <c r="B1608" s="48" t="str">
        <f t="shared" si="9"/>
        <v/>
      </c>
    </row>
    <row r="1609" spans="2:2" x14ac:dyDescent="0.3">
      <c r="B1609" s="48" t="str">
        <f t="shared" si="9"/>
        <v/>
      </c>
    </row>
    <row r="1610" spans="2:2" x14ac:dyDescent="0.3">
      <c r="B1610" s="48" t="str">
        <f t="shared" si="9"/>
        <v/>
      </c>
    </row>
    <row r="1611" spans="2:2" x14ac:dyDescent="0.3">
      <c r="B1611" s="48" t="str">
        <f t="shared" si="9"/>
        <v/>
      </c>
    </row>
    <row r="1612" spans="2:2" x14ac:dyDescent="0.3">
      <c r="B1612" s="48" t="str">
        <f t="shared" si="9"/>
        <v/>
      </c>
    </row>
    <row r="1613" spans="2:2" x14ac:dyDescent="0.3">
      <c r="B1613" s="48" t="str">
        <f t="shared" si="9"/>
        <v/>
      </c>
    </row>
    <row r="1614" spans="2:2" x14ac:dyDescent="0.3">
      <c r="B1614" s="48" t="str">
        <f t="shared" si="9"/>
        <v/>
      </c>
    </row>
    <row r="1615" spans="2:2" x14ac:dyDescent="0.3">
      <c r="B1615" s="48" t="str">
        <f t="shared" si="9"/>
        <v/>
      </c>
    </row>
    <row r="1616" spans="2:2" x14ac:dyDescent="0.3">
      <c r="B1616" s="48" t="str">
        <f t="shared" si="9"/>
        <v/>
      </c>
    </row>
    <row r="1617" spans="2:2" x14ac:dyDescent="0.3">
      <c r="B1617" s="48" t="str">
        <f t="shared" si="9"/>
        <v/>
      </c>
    </row>
    <row r="1618" spans="2:2" x14ac:dyDescent="0.3">
      <c r="B1618" s="48" t="str">
        <f t="shared" si="9"/>
        <v/>
      </c>
    </row>
    <row r="1619" spans="2:2" x14ac:dyDescent="0.3">
      <c r="B1619" s="48" t="str">
        <f t="shared" si="9"/>
        <v/>
      </c>
    </row>
    <row r="1620" spans="2:2" x14ac:dyDescent="0.3">
      <c r="B1620" s="48" t="str">
        <f t="shared" si="9"/>
        <v/>
      </c>
    </row>
    <row r="1621" spans="2:2" x14ac:dyDescent="0.3">
      <c r="B1621" s="48" t="str">
        <f t="shared" si="9"/>
        <v/>
      </c>
    </row>
    <row r="1622" spans="2:2" x14ac:dyDescent="0.3">
      <c r="B1622" s="48" t="str">
        <f t="shared" si="9"/>
        <v/>
      </c>
    </row>
    <row r="1623" spans="2:2" x14ac:dyDescent="0.3">
      <c r="B1623" s="48" t="str">
        <f t="shared" si="9"/>
        <v/>
      </c>
    </row>
    <row r="1624" spans="2:2" x14ac:dyDescent="0.3">
      <c r="B1624" s="48" t="str">
        <f t="shared" si="9"/>
        <v/>
      </c>
    </row>
    <row r="1625" spans="2:2" x14ac:dyDescent="0.3">
      <c r="B1625" s="48" t="str">
        <f t="shared" si="9"/>
        <v/>
      </c>
    </row>
    <row r="1626" spans="2:2" x14ac:dyDescent="0.3">
      <c r="B1626" s="48" t="str">
        <f t="shared" si="9"/>
        <v/>
      </c>
    </row>
    <row r="1627" spans="2:2" x14ac:dyDescent="0.3">
      <c r="B1627" s="48" t="str">
        <f t="shared" si="9"/>
        <v/>
      </c>
    </row>
    <row r="1628" spans="2:2" x14ac:dyDescent="0.3">
      <c r="B1628" s="48" t="str">
        <f t="shared" si="9"/>
        <v/>
      </c>
    </row>
    <row r="1629" spans="2:2" x14ac:dyDescent="0.3">
      <c r="B1629" s="48" t="str">
        <f t="shared" si="9"/>
        <v/>
      </c>
    </row>
    <row r="1630" spans="2:2" x14ac:dyDescent="0.3">
      <c r="B1630" s="48" t="str">
        <f t="shared" si="9"/>
        <v/>
      </c>
    </row>
    <row r="1631" spans="2:2" x14ac:dyDescent="0.3">
      <c r="B1631" s="48" t="str">
        <f t="shared" si="9"/>
        <v/>
      </c>
    </row>
    <row r="1632" spans="2:2" x14ac:dyDescent="0.3">
      <c r="B1632" s="48" t="str">
        <f t="shared" si="9"/>
        <v/>
      </c>
    </row>
    <row r="1633" spans="2:2" x14ac:dyDescent="0.3">
      <c r="B1633" s="48" t="str">
        <f t="shared" si="9"/>
        <v/>
      </c>
    </row>
    <row r="1634" spans="2:2" x14ac:dyDescent="0.3">
      <c r="B1634" s="48" t="str">
        <f t="shared" si="9"/>
        <v/>
      </c>
    </row>
    <row r="1635" spans="2:2" x14ac:dyDescent="0.3">
      <c r="B1635" s="48" t="str">
        <f t="shared" si="9"/>
        <v/>
      </c>
    </row>
    <row r="1636" spans="2:2" x14ac:dyDescent="0.3">
      <c r="B1636" s="48" t="str">
        <f t="shared" si="9"/>
        <v/>
      </c>
    </row>
    <row r="1637" spans="2:2" x14ac:dyDescent="0.3">
      <c r="B1637" s="48" t="str">
        <f t="shared" si="9"/>
        <v/>
      </c>
    </row>
    <row r="1638" spans="2:2" x14ac:dyDescent="0.3">
      <c r="B1638" s="48" t="str">
        <f t="shared" si="9"/>
        <v/>
      </c>
    </row>
    <row r="1639" spans="2:2" x14ac:dyDescent="0.3">
      <c r="B1639" s="48" t="str">
        <f t="shared" si="9"/>
        <v/>
      </c>
    </row>
    <row r="1640" spans="2:2" x14ac:dyDescent="0.3">
      <c r="B1640" s="48" t="str">
        <f t="shared" ref="B1640:B1703" si="10">IF($A1640="Daily", "n/a", "")</f>
        <v/>
      </c>
    </row>
    <row r="1641" spans="2:2" x14ac:dyDescent="0.3">
      <c r="B1641" s="48" t="str">
        <f t="shared" si="10"/>
        <v/>
      </c>
    </row>
    <row r="1642" spans="2:2" x14ac:dyDescent="0.3">
      <c r="B1642" s="48" t="str">
        <f t="shared" si="10"/>
        <v/>
      </c>
    </row>
    <row r="1643" spans="2:2" x14ac:dyDescent="0.3">
      <c r="B1643" s="48" t="str">
        <f t="shared" si="10"/>
        <v/>
      </c>
    </row>
    <row r="1644" spans="2:2" x14ac:dyDescent="0.3">
      <c r="B1644" s="48" t="str">
        <f t="shared" si="10"/>
        <v/>
      </c>
    </row>
    <row r="1645" spans="2:2" x14ac:dyDescent="0.3">
      <c r="B1645" s="48" t="str">
        <f t="shared" si="10"/>
        <v/>
      </c>
    </row>
    <row r="1646" spans="2:2" x14ac:dyDescent="0.3">
      <c r="B1646" s="48" t="str">
        <f t="shared" si="10"/>
        <v/>
      </c>
    </row>
    <row r="1647" spans="2:2" x14ac:dyDescent="0.3">
      <c r="B1647" s="48" t="str">
        <f t="shared" si="10"/>
        <v/>
      </c>
    </row>
    <row r="1648" spans="2:2" x14ac:dyDescent="0.3">
      <c r="B1648" s="48" t="str">
        <f t="shared" si="10"/>
        <v/>
      </c>
    </row>
    <row r="1649" spans="2:2" x14ac:dyDescent="0.3">
      <c r="B1649" s="48" t="str">
        <f t="shared" si="10"/>
        <v/>
      </c>
    </row>
    <row r="1650" spans="2:2" x14ac:dyDescent="0.3">
      <c r="B1650" s="48" t="str">
        <f t="shared" si="10"/>
        <v/>
      </c>
    </row>
    <row r="1651" spans="2:2" x14ac:dyDescent="0.3">
      <c r="B1651" s="48" t="str">
        <f t="shared" si="10"/>
        <v/>
      </c>
    </row>
    <row r="1652" spans="2:2" x14ac:dyDescent="0.3">
      <c r="B1652" s="48" t="str">
        <f t="shared" si="10"/>
        <v/>
      </c>
    </row>
    <row r="1653" spans="2:2" x14ac:dyDescent="0.3">
      <c r="B1653" s="48" t="str">
        <f t="shared" si="10"/>
        <v/>
      </c>
    </row>
    <row r="1654" spans="2:2" x14ac:dyDescent="0.3">
      <c r="B1654" s="48" t="str">
        <f t="shared" si="10"/>
        <v/>
      </c>
    </row>
    <row r="1655" spans="2:2" x14ac:dyDescent="0.3">
      <c r="B1655" s="48" t="str">
        <f t="shared" si="10"/>
        <v/>
      </c>
    </row>
    <row r="1656" spans="2:2" x14ac:dyDescent="0.3">
      <c r="B1656" s="48" t="str">
        <f t="shared" si="10"/>
        <v/>
      </c>
    </row>
    <row r="1657" spans="2:2" x14ac:dyDescent="0.3">
      <c r="B1657" s="48" t="str">
        <f t="shared" si="10"/>
        <v/>
      </c>
    </row>
    <row r="1658" spans="2:2" x14ac:dyDescent="0.3">
      <c r="B1658" s="48" t="str">
        <f t="shared" si="10"/>
        <v/>
      </c>
    </row>
    <row r="1659" spans="2:2" x14ac:dyDescent="0.3">
      <c r="B1659" s="48" t="str">
        <f t="shared" si="10"/>
        <v/>
      </c>
    </row>
    <row r="1660" spans="2:2" x14ac:dyDescent="0.3">
      <c r="B1660" s="48" t="str">
        <f t="shared" si="10"/>
        <v/>
      </c>
    </row>
    <row r="1661" spans="2:2" x14ac:dyDescent="0.3">
      <c r="B1661" s="48" t="str">
        <f t="shared" si="10"/>
        <v/>
      </c>
    </row>
    <row r="1662" spans="2:2" x14ac:dyDescent="0.3">
      <c r="B1662" s="48" t="str">
        <f t="shared" si="10"/>
        <v/>
      </c>
    </row>
    <row r="1663" spans="2:2" x14ac:dyDescent="0.3">
      <c r="B1663" s="48" t="str">
        <f t="shared" si="10"/>
        <v/>
      </c>
    </row>
    <row r="1664" spans="2:2" x14ac:dyDescent="0.3">
      <c r="B1664" s="48" t="str">
        <f t="shared" si="10"/>
        <v/>
      </c>
    </row>
    <row r="1665" spans="2:2" x14ac:dyDescent="0.3">
      <c r="B1665" s="48" t="str">
        <f t="shared" si="10"/>
        <v/>
      </c>
    </row>
    <row r="1666" spans="2:2" x14ac:dyDescent="0.3">
      <c r="B1666" s="48" t="str">
        <f t="shared" si="10"/>
        <v/>
      </c>
    </row>
    <row r="1667" spans="2:2" x14ac:dyDescent="0.3">
      <c r="B1667" s="48" t="str">
        <f t="shared" si="10"/>
        <v/>
      </c>
    </row>
    <row r="1668" spans="2:2" x14ac:dyDescent="0.3">
      <c r="B1668" s="48" t="str">
        <f t="shared" si="10"/>
        <v/>
      </c>
    </row>
    <row r="1669" spans="2:2" x14ac:dyDescent="0.3">
      <c r="B1669" s="48" t="str">
        <f t="shared" si="10"/>
        <v/>
      </c>
    </row>
    <row r="1670" spans="2:2" x14ac:dyDescent="0.3">
      <c r="B1670" s="48" t="str">
        <f t="shared" si="10"/>
        <v/>
      </c>
    </row>
    <row r="1671" spans="2:2" x14ac:dyDescent="0.3">
      <c r="B1671" s="48" t="str">
        <f t="shared" si="10"/>
        <v/>
      </c>
    </row>
    <row r="1672" spans="2:2" x14ac:dyDescent="0.3">
      <c r="B1672" s="48" t="str">
        <f t="shared" si="10"/>
        <v/>
      </c>
    </row>
    <row r="1673" spans="2:2" x14ac:dyDescent="0.3">
      <c r="B1673" s="48" t="str">
        <f t="shared" si="10"/>
        <v/>
      </c>
    </row>
    <row r="1674" spans="2:2" x14ac:dyDescent="0.3">
      <c r="B1674" s="48" t="str">
        <f t="shared" si="10"/>
        <v/>
      </c>
    </row>
    <row r="1675" spans="2:2" x14ac:dyDescent="0.3">
      <c r="B1675" s="48" t="str">
        <f t="shared" si="10"/>
        <v/>
      </c>
    </row>
    <row r="1676" spans="2:2" x14ac:dyDescent="0.3">
      <c r="B1676" s="48" t="str">
        <f t="shared" si="10"/>
        <v/>
      </c>
    </row>
    <row r="1677" spans="2:2" x14ac:dyDescent="0.3">
      <c r="B1677" s="48" t="str">
        <f t="shared" si="10"/>
        <v/>
      </c>
    </row>
    <row r="1678" spans="2:2" x14ac:dyDescent="0.3">
      <c r="B1678" s="48" t="str">
        <f t="shared" si="10"/>
        <v/>
      </c>
    </row>
    <row r="1679" spans="2:2" x14ac:dyDescent="0.3">
      <c r="B1679" s="48" t="str">
        <f t="shared" si="10"/>
        <v/>
      </c>
    </row>
    <row r="1680" spans="2:2" x14ac:dyDescent="0.3">
      <c r="B1680" s="48" t="str">
        <f t="shared" si="10"/>
        <v/>
      </c>
    </row>
    <row r="1681" spans="2:2" x14ac:dyDescent="0.3">
      <c r="B1681" s="48" t="str">
        <f t="shared" si="10"/>
        <v/>
      </c>
    </row>
    <row r="1682" spans="2:2" x14ac:dyDescent="0.3">
      <c r="B1682" s="48" t="str">
        <f t="shared" si="10"/>
        <v/>
      </c>
    </row>
    <row r="1683" spans="2:2" x14ac:dyDescent="0.3">
      <c r="B1683" s="48" t="str">
        <f t="shared" si="10"/>
        <v/>
      </c>
    </row>
    <row r="1684" spans="2:2" x14ac:dyDescent="0.3">
      <c r="B1684" s="48" t="str">
        <f t="shared" si="10"/>
        <v/>
      </c>
    </row>
    <row r="1685" spans="2:2" x14ac:dyDescent="0.3">
      <c r="B1685" s="48" t="str">
        <f t="shared" si="10"/>
        <v/>
      </c>
    </row>
    <row r="1686" spans="2:2" x14ac:dyDescent="0.3">
      <c r="B1686" s="48" t="str">
        <f t="shared" si="10"/>
        <v/>
      </c>
    </row>
    <row r="1687" spans="2:2" x14ac:dyDescent="0.3">
      <c r="B1687" s="48" t="str">
        <f t="shared" si="10"/>
        <v/>
      </c>
    </row>
    <row r="1688" spans="2:2" x14ac:dyDescent="0.3">
      <c r="B1688" s="48" t="str">
        <f t="shared" si="10"/>
        <v/>
      </c>
    </row>
    <row r="1689" spans="2:2" x14ac:dyDescent="0.3">
      <c r="B1689" s="48" t="str">
        <f t="shared" si="10"/>
        <v/>
      </c>
    </row>
    <row r="1690" spans="2:2" x14ac:dyDescent="0.3">
      <c r="B1690" s="48" t="str">
        <f t="shared" si="10"/>
        <v/>
      </c>
    </row>
    <row r="1691" spans="2:2" x14ac:dyDescent="0.3">
      <c r="B1691" s="48" t="str">
        <f t="shared" si="10"/>
        <v/>
      </c>
    </row>
    <row r="1692" spans="2:2" x14ac:dyDescent="0.3">
      <c r="B1692" s="48" t="str">
        <f t="shared" si="10"/>
        <v/>
      </c>
    </row>
    <row r="1693" spans="2:2" x14ac:dyDescent="0.3">
      <c r="B1693" s="48" t="str">
        <f t="shared" si="10"/>
        <v/>
      </c>
    </row>
    <row r="1694" spans="2:2" x14ac:dyDescent="0.3">
      <c r="B1694" s="48" t="str">
        <f t="shared" si="10"/>
        <v/>
      </c>
    </row>
    <row r="1695" spans="2:2" x14ac:dyDescent="0.3">
      <c r="B1695" s="48" t="str">
        <f t="shared" si="10"/>
        <v/>
      </c>
    </row>
    <row r="1696" spans="2:2" x14ac:dyDescent="0.3">
      <c r="B1696" s="48" t="str">
        <f t="shared" si="10"/>
        <v/>
      </c>
    </row>
    <row r="1697" spans="2:2" x14ac:dyDescent="0.3">
      <c r="B1697" s="48" t="str">
        <f t="shared" si="10"/>
        <v/>
      </c>
    </row>
    <row r="1698" spans="2:2" x14ac:dyDescent="0.3">
      <c r="B1698" s="48" t="str">
        <f t="shared" si="10"/>
        <v/>
      </c>
    </row>
    <row r="1699" spans="2:2" x14ac:dyDescent="0.3">
      <c r="B1699" s="48" t="str">
        <f t="shared" si="10"/>
        <v/>
      </c>
    </row>
    <row r="1700" spans="2:2" x14ac:dyDescent="0.3">
      <c r="B1700" s="48" t="str">
        <f t="shared" si="10"/>
        <v/>
      </c>
    </row>
    <row r="1701" spans="2:2" x14ac:dyDescent="0.3">
      <c r="B1701" s="48" t="str">
        <f t="shared" si="10"/>
        <v/>
      </c>
    </row>
    <row r="1702" spans="2:2" x14ac:dyDescent="0.3">
      <c r="B1702" s="48" t="str">
        <f t="shared" si="10"/>
        <v/>
      </c>
    </row>
    <row r="1703" spans="2:2" x14ac:dyDescent="0.3">
      <c r="B1703" s="48" t="str">
        <f t="shared" si="10"/>
        <v/>
      </c>
    </row>
    <row r="1704" spans="2:2" x14ac:dyDescent="0.3">
      <c r="B1704" s="48" t="str">
        <f t="shared" ref="B1704:B1767" si="11">IF($A1704="Daily", "n/a", "")</f>
        <v/>
      </c>
    </row>
    <row r="1705" spans="2:2" x14ac:dyDescent="0.3">
      <c r="B1705" s="48" t="str">
        <f t="shared" si="11"/>
        <v/>
      </c>
    </row>
    <row r="1706" spans="2:2" x14ac:dyDescent="0.3">
      <c r="B1706" s="48" t="str">
        <f t="shared" si="11"/>
        <v/>
      </c>
    </row>
    <row r="1707" spans="2:2" x14ac:dyDescent="0.3">
      <c r="B1707" s="48" t="str">
        <f t="shared" si="11"/>
        <v/>
      </c>
    </row>
    <row r="1708" spans="2:2" x14ac:dyDescent="0.3">
      <c r="B1708" s="48" t="str">
        <f t="shared" si="11"/>
        <v/>
      </c>
    </row>
    <row r="1709" spans="2:2" x14ac:dyDescent="0.3">
      <c r="B1709" s="48" t="str">
        <f t="shared" si="11"/>
        <v/>
      </c>
    </row>
    <row r="1710" spans="2:2" x14ac:dyDescent="0.3">
      <c r="B1710" s="48" t="str">
        <f t="shared" si="11"/>
        <v/>
      </c>
    </row>
    <row r="1711" spans="2:2" x14ac:dyDescent="0.3">
      <c r="B1711" s="48" t="str">
        <f t="shared" si="11"/>
        <v/>
      </c>
    </row>
    <row r="1712" spans="2:2" x14ac:dyDescent="0.3">
      <c r="B1712" s="48" t="str">
        <f t="shared" si="11"/>
        <v/>
      </c>
    </row>
    <row r="1713" spans="2:2" x14ac:dyDescent="0.3">
      <c r="B1713" s="48" t="str">
        <f t="shared" si="11"/>
        <v/>
      </c>
    </row>
    <row r="1714" spans="2:2" x14ac:dyDescent="0.3">
      <c r="B1714" s="48" t="str">
        <f t="shared" si="11"/>
        <v/>
      </c>
    </row>
    <row r="1715" spans="2:2" x14ac:dyDescent="0.3">
      <c r="B1715" s="48" t="str">
        <f t="shared" si="11"/>
        <v/>
      </c>
    </row>
    <row r="1716" spans="2:2" x14ac:dyDescent="0.3">
      <c r="B1716" s="48" t="str">
        <f t="shared" si="11"/>
        <v/>
      </c>
    </row>
    <row r="1717" spans="2:2" x14ac:dyDescent="0.3">
      <c r="B1717" s="48" t="str">
        <f t="shared" si="11"/>
        <v/>
      </c>
    </row>
    <row r="1718" spans="2:2" x14ac:dyDescent="0.3">
      <c r="B1718" s="48" t="str">
        <f t="shared" si="11"/>
        <v/>
      </c>
    </row>
    <row r="1719" spans="2:2" x14ac:dyDescent="0.3">
      <c r="B1719" s="48" t="str">
        <f t="shared" si="11"/>
        <v/>
      </c>
    </row>
    <row r="1720" spans="2:2" x14ac:dyDescent="0.3">
      <c r="B1720" s="48" t="str">
        <f t="shared" si="11"/>
        <v/>
      </c>
    </row>
    <row r="1721" spans="2:2" x14ac:dyDescent="0.3">
      <c r="B1721" s="48" t="str">
        <f t="shared" si="11"/>
        <v/>
      </c>
    </row>
    <row r="1722" spans="2:2" x14ac:dyDescent="0.3">
      <c r="B1722" s="48" t="str">
        <f t="shared" si="11"/>
        <v/>
      </c>
    </row>
    <row r="1723" spans="2:2" x14ac:dyDescent="0.3">
      <c r="B1723" s="48" t="str">
        <f t="shared" si="11"/>
        <v/>
      </c>
    </row>
    <row r="1724" spans="2:2" x14ac:dyDescent="0.3">
      <c r="B1724" s="48" t="str">
        <f t="shared" si="11"/>
        <v/>
      </c>
    </row>
    <row r="1725" spans="2:2" x14ac:dyDescent="0.3">
      <c r="B1725" s="48" t="str">
        <f t="shared" si="11"/>
        <v/>
      </c>
    </row>
    <row r="1726" spans="2:2" x14ac:dyDescent="0.3">
      <c r="B1726" s="48" t="str">
        <f t="shared" si="11"/>
        <v/>
      </c>
    </row>
    <row r="1727" spans="2:2" x14ac:dyDescent="0.3">
      <c r="B1727" s="48" t="str">
        <f t="shared" si="11"/>
        <v/>
      </c>
    </row>
    <row r="1728" spans="2:2" x14ac:dyDescent="0.3">
      <c r="B1728" s="48" t="str">
        <f t="shared" si="11"/>
        <v/>
      </c>
    </row>
    <row r="1729" spans="2:2" x14ac:dyDescent="0.3">
      <c r="B1729" s="48" t="str">
        <f t="shared" si="11"/>
        <v/>
      </c>
    </row>
    <row r="1730" spans="2:2" x14ac:dyDescent="0.3">
      <c r="B1730" s="48" t="str">
        <f t="shared" si="11"/>
        <v/>
      </c>
    </row>
    <row r="1731" spans="2:2" x14ac:dyDescent="0.3">
      <c r="B1731" s="48" t="str">
        <f t="shared" si="11"/>
        <v/>
      </c>
    </row>
    <row r="1732" spans="2:2" x14ac:dyDescent="0.3">
      <c r="B1732" s="48" t="str">
        <f t="shared" si="11"/>
        <v/>
      </c>
    </row>
    <row r="1733" spans="2:2" x14ac:dyDescent="0.3">
      <c r="B1733" s="48" t="str">
        <f t="shared" si="11"/>
        <v/>
      </c>
    </row>
    <row r="1734" spans="2:2" x14ac:dyDescent="0.3">
      <c r="B1734" s="48" t="str">
        <f t="shared" si="11"/>
        <v/>
      </c>
    </row>
    <row r="1735" spans="2:2" x14ac:dyDescent="0.3">
      <c r="B1735" s="48" t="str">
        <f t="shared" si="11"/>
        <v/>
      </c>
    </row>
    <row r="1736" spans="2:2" x14ac:dyDescent="0.3">
      <c r="B1736" s="48" t="str">
        <f t="shared" si="11"/>
        <v/>
      </c>
    </row>
    <row r="1737" spans="2:2" x14ac:dyDescent="0.3">
      <c r="B1737" s="48" t="str">
        <f t="shared" si="11"/>
        <v/>
      </c>
    </row>
    <row r="1738" spans="2:2" x14ac:dyDescent="0.3">
      <c r="B1738" s="48" t="str">
        <f t="shared" si="11"/>
        <v/>
      </c>
    </row>
    <row r="1739" spans="2:2" x14ac:dyDescent="0.3">
      <c r="B1739" s="48" t="str">
        <f t="shared" si="11"/>
        <v/>
      </c>
    </row>
    <row r="1740" spans="2:2" x14ac:dyDescent="0.3">
      <c r="B1740" s="48" t="str">
        <f t="shared" si="11"/>
        <v/>
      </c>
    </row>
    <row r="1741" spans="2:2" x14ac:dyDescent="0.3">
      <c r="B1741" s="48" t="str">
        <f t="shared" si="11"/>
        <v/>
      </c>
    </row>
    <row r="1742" spans="2:2" x14ac:dyDescent="0.3">
      <c r="B1742" s="48" t="str">
        <f t="shared" si="11"/>
        <v/>
      </c>
    </row>
    <row r="1743" spans="2:2" x14ac:dyDescent="0.3">
      <c r="B1743" s="48" t="str">
        <f t="shared" si="11"/>
        <v/>
      </c>
    </row>
    <row r="1744" spans="2:2" x14ac:dyDescent="0.3">
      <c r="B1744" s="48" t="str">
        <f t="shared" si="11"/>
        <v/>
      </c>
    </row>
    <row r="1745" spans="2:2" x14ac:dyDescent="0.3">
      <c r="B1745" s="48" t="str">
        <f t="shared" si="11"/>
        <v/>
      </c>
    </row>
    <row r="1746" spans="2:2" x14ac:dyDescent="0.3">
      <c r="B1746" s="48" t="str">
        <f t="shared" si="11"/>
        <v/>
      </c>
    </row>
    <row r="1747" spans="2:2" x14ac:dyDescent="0.3">
      <c r="B1747" s="48" t="str">
        <f t="shared" si="11"/>
        <v/>
      </c>
    </row>
    <row r="1748" spans="2:2" x14ac:dyDescent="0.3">
      <c r="B1748" s="48" t="str">
        <f t="shared" si="11"/>
        <v/>
      </c>
    </row>
    <row r="1749" spans="2:2" x14ac:dyDescent="0.3">
      <c r="B1749" s="48" t="str">
        <f t="shared" si="11"/>
        <v/>
      </c>
    </row>
    <row r="1750" spans="2:2" x14ac:dyDescent="0.3">
      <c r="B1750" s="48" t="str">
        <f t="shared" si="11"/>
        <v/>
      </c>
    </row>
    <row r="1751" spans="2:2" x14ac:dyDescent="0.3">
      <c r="B1751" s="48" t="str">
        <f t="shared" si="11"/>
        <v/>
      </c>
    </row>
    <row r="1752" spans="2:2" x14ac:dyDescent="0.3">
      <c r="B1752" s="48" t="str">
        <f t="shared" si="11"/>
        <v/>
      </c>
    </row>
    <row r="1753" spans="2:2" x14ac:dyDescent="0.3">
      <c r="B1753" s="48" t="str">
        <f t="shared" si="11"/>
        <v/>
      </c>
    </row>
    <row r="1754" spans="2:2" x14ac:dyDescent="0.3">
      <c r="B1754" s="48" t="str">
        <f t="shared" si="11"/>
        <v/>
      </c>
    </row>
    <row r="1755" spans="2:2" x14ac:dyDescent="0.3">
      <c r="B1755" s="48" t="str">
        <f t="shared" si="11"/>
        <v/>
      </c>
    </row>
    <row r="1756" spans="2:2" x14ac:dyDescent="0.3">
      <c r="B1756" s="48" t="str">
        <f t="shared" si="11"/>
        <v/>
      </c>
    </row>
    <row r="1757" spans="2:2" x14ac:dyDescent="0.3">
      <c r="B1757" s="48" t="str">
        <f t="shared" si="11"/>
        <v/>
      </c>
    </row>
    <row r="1758" spans="2:2" x14ac:dyDescent="0.3">
      <c r="B1758" s="48" t="str">
        <f t="shared" si="11"/>
        <v/>
      </c>
    </row>
    <row r="1759" spans="2:2" x14ac:dyDescent="0.3">
      <c r="B1759" s="48" t="str">
        <f t="shared" si="11"/>
        <v/>
      </c>
    </row>
    <row r="1760" spans="2:2" x14ac:dyDescent="0.3">
      <c r="B1760" s="48" t="str">
        <f t="shared" si="11"/>
        <v/>
      </c>
    </row>
    <row r="1761" spans="2:2" x14ac:dyDescent="0.3">
      <c r="B1761" s="48" t="str">
        <f t="shared" si="11"/>
        <v/>
      </c>
    </row>
    <row r="1762" spans="2:2" x14ac:dyDescent="0.3">
      <c r="B1762" s="48" t="str">
        <f t="shared" si="11"/>
        <v/>
      </c>
    </row>
    <row r="1763" spans="2:2" x14ac:dyDescent="0.3">
      <c r="B1763" s="48" t="str">
        <f t="shared" si="11"/>
        <v/>
      </c>
    </row>
    <row r="1764" spans="2:2" x14ac:dyDescent="0.3">
      <c r="B1764" s="48" t="str">
        <f t="shared" si="11"/>
        <v/>
      </c>
    </row>
    <row r="1765" spans="2:2" x14ac:dyDescent="0.3">
      <c r="B1765" s="48" t="str">
        <f t="shared" si="11"/>
        <v/>
      </c>
    </row>
    <row r="1766" spans="2:2" x14ac:dyDescent="0.3">
      <c r="B1766" s="48" t="str">
        <f t="shared" si="11"/>
        <v/>
      </c>
    </row>
    <row r="1767" spans="2:2" x14ac:dyDescent="0.3">
      <c r="B1767" s="48" t="str">
        <f t="shared" si="11"/>
        <v/>
      </c>
    </row>
    <row r="1768" spans="2:2" x14ac:dyDescent="0.3">
      <c r="B1768" s="48" t="str">
        <f t="shared" ref="B1768:B1831" si="12">IF($A1768="Daily", "n/a", "")</f>
        <v/>
      </c>
    </row>
    <row r="1769" spans="2:2" x14ac:dyDescent="0.3">
      <c r="B1769" s="48" t="str">
        <f t="shared" si="12"/>
        <v/>
      </c>
    </row>
    <row r="1770" spans="2:2" x14ac:dyDescent="0.3">
      <c r="B1770" s="48" t="str">
        <f t="shared" si="12"/>
        <v/>
      </c>
    </row>
    <row r="1771" spans="2:2" x14ac:dyDescent="0.3">
      <c r="B1771" s="48" t="str">
        <f t="shared" si="12"/>
        <v/>
      </c>
    </row>
    <row r="1772" spans="2:2" x14ac:dyDescent="0.3">
      <c r="B1772" s="48" t="str">
        <f t="shared" si="12"/>
        <v/>
      </c>
    </row>
    <row r="1773" spans="2:2" x14ac:dyDescent="0.3">
      <c r="B1773" s="48" t="str">
        <f t="shared" si="12"/>
        <v/>
      </c>
    </row>
    <row r="1774" spans="2:2" x14ac:dyDescent="0.3">
      <c r="B1774" s="48" t="str">
        <f t="shared" si="12"/>
        <v/>
      </c>
    </row>
    <row r="1775" spans="2:2" x14ac:dyDescent="0.3">
      <c r="B1775" s="48" t="str">
        <f t="shared" si="12"/>
        <v/>
      </c>
    </row>
    <row r="1776" spans="2:2" x14ac:dyDescent="0.3">
      <c r="B1776" s="48" t="str">
        <f t="shared" si="12"/>
        <v/>
      </c>
    </row>
    <row r="1777" spans="2:2" x14ac:dyDescent="0.3">
      <c r="B1777" s="48" t="str">
        <f t="shared" si="12"/>
        <v/>
      </c>
    </row>
    <row r="1778" spans="2:2" x14ac:dyDescent="0.3">
      <c r="B1778" s="48" t="str">
        <f t="shared" si="12"/>
        <v/>
      </c>
    </row>
    <row r="1779" spans="2:2" x14ac:dyDescent="0.3">
      <c r="B1779" s="48" t="str">
        <f t="shared" si="12"/>
        <v/>
      </c>
    </row>
    <row r="1780" spans="2:2" x14ac:dyDescent="0.3">
      <c r="B1780" s="48" t="str">
        <f t="shared" si="12"/>
        <v/>
      </c>
    </row>
    <row r="1781" spans="2:2" x14ac:dyDescent="0.3">
      <c r="B1781" s="48" t="str">
        <f t="shared" si="12"/>
        <v/>
      </c>
    </row>
    <row r="1782" spans="2:2" x14ac:dyDescent="0.3">
      <c r="B1782" s="48" t="str">
        <f t="shared" si="12"/>
        <v/>
      </c>
    </row>
    <row r="1783" spans="2:2" x14ac:dyDescent="0.3">
      <c r="B1783" s="48" t="str">
        <f t="shared" si="12"/>
        <v/>
      </c>
    </row>
    <row r="1784" spans="2:2" x14ac:dyDescent="0.3">
      <c r="B1784" s="48" t="str">
        <f t="shared" si="12"/>
        <v/>
      </c>
    </row>
    <row r="1785" spans="2:2" x14ac:dyDescent="0.3">
      <c r="B1785" s="48" t="str">
        <f t="shared" si="12"/>
        <v/>
      </c>
    </row>
    <row r="1786" spans="2:2" x14ac:dyDescent="0.3">
      <c r="B1786" s="48" t="str">
        <f t="shared" si="12"/>
        <v/>
      </c>
    </row>
    <row r="1787" spans="2:2" x14ac:dyDescent="0.3">
      <c r="B1787" s="48" t="str">
        <f t="shared" si="12"/>
        <v/>
      </c>
    </row>
    <row r="1788" spans="2:2" x14ac:dyDescent="0.3">
      <c r="B1788" s="48" t="str">
        <f t="shared" si="12"/>
        <v/>
      </c>
    </row>
    <row r="1789" spans="2:2" x14ac:dyDescent="0.3">
      <c r="B1789" s="48" t="str">
        <f t="shared" si="12"/>
        <v/>
      </c>
    </row>
    <row r="1790" spans="2:2" x14ac:dyDescent="0.3">
      <c r="B1790" s="48" t="str">
        <f t="shared" si="12"/>
        <v/>
      </c>
    </row>
    <row r="1791" spans="2:2" x14ac:dyDescent="0.3">
      <c r="B1791" s="48" t="str">
        <f t="shared" si="12"/>
        <v/>
      </c>
    </row>
    <row r="1792" spans="2:2" x14ac:dyDescent="0.3">
      <c r="B1792" s="48" t="str">
        <f t="shared" si="12"/>
        <v/>
      </c>
    </row>
    <row r="1793" spans="2:2" x14ac:dyDescent="0.3">
      <c r="B1793" s="48" t="str">
        <f t="shared" si="12"/>
        <v/>
      </c>
    </row>
    <row r="1794" spans="2:2" x14ac:dyDescent="0.3">
      <c r="B1794" s="48" t="str">
        <f t="shared" si="12"/>
        <v/>
      </c>
    </row>
    <row r="1795" spans="2:2" x14ac:dyDescent="0.3">
      <c r="B1795" s="48" t="str">
        <f t="shared" si="12"/>
        <v/>
      </c>
    </row>
    <row r="1796" spans="2:2" x14ac:dyDescent="0.3">
      <c r="B1796" s="48" t="str">
        <f t="shared" si="12"/>
        <v/>
      </c>
    </row>
    <row r="1797" spans="2:2" x14ac:dyDescent="0.3">
      <c r="B1797" s="48" t="str">
        <f t="shared" si="12"/>
        <v/>
      </c>
    </row>
    <row r="1798" spans="2:2" x14ac:dyDescent="0.3">
      <c r="B1798" s="48" t="str">
        <f t="shared" si="12"/>
        <v/>
      </c>
    </row>
    <row r="1799" spans="2:2" x14ac:dyDescent="0.3">
      <c r="B1799" s="48" t="str">
        <f t="shared" si="12"/>
        <v/>
      </c>
    </row>
    <row r="1800" spans="2:2" x14ac:dyDescent="0.3">
      <c r="B1800" s="48" t="str">
        <f t="shared" si="12"/>
        <v/>
      </c>
    </row>
    <row r="1801" spans="2:2" x14ac:dyDescent="0.3">
      <c r="B1801" s="48" t="str">
        <f t="shared" si="12"/>
        <v/>
      </c>
    </row>
    <row r="1802" spans="2:2" x14ac:dyDescent="0.3">
      <c r="B1802" s="48" t="str">
        <f t="shared" si="12"/>
        <v/>
      </c>
    </row>
    <row r="1803" spans="2:2" x14ac:dyDescent="0.3">
      <c r="B1803" s="48" t="str">
        <f t="shared" si="12"/>
        <v/>
      </c>
    </row>
    <row r="1804" spans="2:2" x14ac:dyDescent="0.3">
      <c r="B1804" s="48" t="str">
        <f t="shared" si="12"/>
        <v/>
      </c>
    </row>
    <row r="1805" spans="2:2" x14ac:dyDescent="0.3">
      <c r="B1805" s="48" t="str">
        <f t="shared" si="12"/>
        <v/>
      </c>
    </row>
    <row r="1806" spans="2:2" x14ac:dyDescent="0.3">
      <c r="B1806" s="48" t="str">
        <f t="shared" si="12"/>
        <v/>
      </c>
    </row>
    <row r="1807" spans="2:2" x14ac:dyDescent="0.3">
      <c r="B1807" s="48" t="str">
        <f t="shared" si="12"/>
        <v/>
      </c>
    </row>
    <row r="1808" spans="2:2" x14ac:dyDescent="0.3">
      <c r="B1808" s="48" t="str">
        <f t="shared" si="12"/>
        <v/>
      </c>
    </row>
    <row r="1809" spans="2:2" x14ac:dyDescent="0.3">
      <c r="B1809" s="48" t="str">
        <f t="shared" si="12"/>
        <v/>
      </c>
    </row>
    <row r="1810" spans="2:2" x14ac:dyDescent="0.3">
      <c r="B1810" s="48" t="str">
        <f t="shared" si="12"/>
        <v/>
      </c>
    </row>
    <row r="1811" spans="2:2" x14ac:dyDescent="0.3">
      <c r="B1811" s="48" t="str">
        <f t="shared" si="12"/>
        <v/>
      </c>
    </row>
    <row r="1812" spans="2:2" x14ac:dyDescent="0.3">
      <c r="B1812" s="48" t="str">
        <f t="shared" si="12"/>
        <v/>
      </c>
    </row>
    <row r="1813" spans="2:2" x14ac:dyDescent="0.3">
      <c r="B1813" s="48" t="str">
        <f t="shared" si="12"/>
        <v/>
      </c>
    </row>
    <row r="1814" spans="2:2" x14ac:dyDescent="0.3">
      <c r="B1814" s="48" t="str">
        <f t="shared" si="12"/>
        <v/>
      </c>
    </row>
    <row r="1815" spans="2:2" x14ac:dyDescent="0.3">
      <c r="B1815" s="48" t="str">
        <f t="shared" si="12"/>
        <v/>
      </c>
    </row>
    <row r="1816" spans="2:2" x14ac:dyDescent="0.3">
      <c r="B1816" s="48" t="str">
        <f t="shared" si="12"/>
        <v/>
      </c>
    </row>
    <row r="1817" spans="2:2" x14ac:dyDescent="0.3">
      <c r="B1817" s="48" t="str">
        <f t="shared" si="12"/>
        <v/>
      </c>
    </row>
    <row r="1818" spans="2:2" x14ac:dyDescent="0.3">
      <c r="B1818" s="48" t="str">
        <f t="shared" si="12"/>
        <v/>
      </c>
    </row>
    <row r="1819" spans="2:2" x14ac:dyDescent="0.3">
      <c r="B1819" s="48" t="str">
        <f t="shared" si="12"/>
        <v/>
      </c>
    </row>
    <row r="1820" spans="2:2" x14ac:dyDescent="0.3">
      <c r="B1820" s="48" t="str">
        <f t="shared" si="12"/>
        <v/>
      </c>
    </row>
    <row r="1821" spans="2:2" x14ac:dyDescent="0.3">
      <c r="B1821" s="48" t="str">
        <f t="shared" si="12"/>
        <v/>
      </c>
    </row>
    <row r="1822" spans="2:2" x14ac:dyDescent="0.3">
      <c r="B1822" s="48" t="str">
        <f t="shared" si="12"/>
        <v/>
      </c>
    </row>
    <row r="1823" spans="2:2" x14ac:dyDescent="0.3">
      <c r="B1823" s="48" t="str">
        <f t="shared" si="12"/>
        <v/>
      </c>
    </row>
    <row r="1824" spans="2:2" x14ac:dyDescent="0.3">
      <c r="B1824" s="48" t="str">
        <f t="shared" si="12"/>
        <v/>
      </c>
    </row>
    <row r="1825" spans="2:2" x14ac:dyDescent="0.3">
      <c r="B1825" s="48" t="str">
        <f t="shared" si="12"/>
        <v/>
      </c>
    </row>
    <row r="1826" spans="2:2" x14ac:dyDescent="0.3">
      <c r="B1826" s="48" t="str">
        <f t="shared" si="12"/>
        <v/>
      </c>
    </row>
    <row r="1827" spans="2:2" x14ac:dyDescent="0.3">
      <c r="B1827" s="48" t="str">
        <f t="shared" si="12"/>
        <v/>
      </c>
    </row>
    <row r="1828" spans="2:2" x14ac:dyDescent="0.3">
      <c r="B1828" s="48" t="str">
        <f t="shared" si="12"/>
        <v/>
      </c>
    </row>
    <row r="1829" spans="2:2" x14ac:dyDescent="0.3">
      <c r="B1829" s="48" t="str">
        <f t="shared" si="12"/>
        <v/>
      </c>
    </row>
    <row r="1830" spans="2:2" x14ac:dyDescent="0.3">
      <c r="B1830" s="48" t="str">
        <f t="shared" si="12"/>
        <v/>
      </c>
    </row>
    <row r="1831" spans="2:2" x14ac:dyDescent="0.3">
      <c r="B1831" s="48" t="str">
        <f t="shared" si="12"/>
        <v/>
      </c>
    </row>
    <row r="1832" spans="2:2" x14ac:dyDescent="0.3">
      <c r="B1832" s="48" t="str">
        <f t="shared" ref="B1832:B1895" si="13">IF($A1832="Daily", "n/a", "")</f>
        <v/>
      </c>
    </row>
    <row r="1833" spans="2:2" x14ac:dyDescent="0.3">
      <c r="B1833" s="48" t="str">
        <f t="shared" si="13"/>
        <v/>
      </c>
    </row>
    <row r="1834" spans="2:2" x14ac:dyDescent="0.3">
      <c r="B1834" s="48" t="str">
        <f t="shared" si="13"/>
        <v/>
      </c>
    </row>
    <row r="1835" spans="2:2" x14ac:dyDescent="0.3">
      <c r="B1835" s="48" t="str">
        <f t="shared" si="13"/>
        <v/>
      </c>
    </row>
    <row r="1836" spans="2:2" x14ac:dyDescent="0.3">
      <c r="B1836" s="48" t="str">
        <f t="shared" si="13"/>
        <v/>
      </c>
    </row>
    <row r="1837" spans="2:2" x14ac:dyDescent="0.3">
      <c r="B1837" s="48" t="str">
        <f t="shared" si="13"/>
        <v/>
      </c>
    </row>
    <row r="1838" spans="2:2" x14ac:dyDescent="0.3">
      <c r="B1838" s="48" t="str">
        <f t="shared" si="13"/>
        <v/>
      </c>
    </row>
    <row r="1839" spans="2:2" x14ac:dyDescent="0.3">
      <c r="B1839" s="48" t="str">
        <f t="shared" si="13"/>
        <v/>
      </c>
    </row>
    <row r="1840" spans="2:2" x14ac:dyDescent="0.3">
      <c r="B1840" s="48" t="str">
        <f t="shared" si="13"/>
        <v/>
      </c>
    </row>
    <row r="1841" spans="2:2" x14ac:dyDescent="0.3">
      <c r="B1841" s="48" t="str">
        <f t="shared" si="13"/>
        <v/>
      </c>
    </row>
    <row r="1842" spans="2:2" x14ac:dyDescent="0.3">
      <c r="B1842" s="48" t="str">
        <f t="shared" si="13"/>
        <v/>
      </c>
    </row>
    <row r="1843" spans="2:2" x14ac:dyDescent="0.3">
      <c r="B1843" s="48" t="str">
        <f t="shared" si="13"/>
        <v/>
      </c>
    </row>
    <row r="1844" spans="2:2" x14ac:dyDescent="0.3">
      <c r="B1844" s="48" t="str">
        <f t="shared" si="13"/>
        <v/>
      </c>
    </row>
    <row r="1845" spans="2:2" x14ac:dyDescent="0.3">
      <c r="B1845" s="48" t="str">
        <f t="shared" si="13"/>
        <v/>
      </c>
    </row>
    <row r="1846" spans="2:2" x14ac:dyDescent="0.3">
      <c r="B1846" s="48" t="str">
        <f t="shared" si="13"/>
        <v/>
      </c>
    </row>
    <row r="1847" spans="2:2" x14ac:dyDescent="0.3">
      <c r="B1847" s="48" t="str">
        <f t="shared" si="13"/>
        <v/>
      </c>
    </row>
    <row r="1848" spans="2:2" x14ac:dyDescent="0.3">
      <c r="B1848" s="48" t="str">
        <f t="shared" si="13"/>
        <v/>
      </c>
    </row>
    <row r="1849" spans="2:2" x14ac:dyDescent="0.3">
      <c r="B1849" s="48" t="str">
        <f t="shared" si="13"/>
        <v/>
      </c>
    </row>
    <row r="1850" spans="2:2" x14ac:dyDescent="0.3">
      <c r="B1850" s="48" t="str">
        <f t="shared" si="13"/>
        <v/>
      </c>
    </row>
    <row r="1851" spans="2:2" x14ac:dyDescent="0.3">
      <c r="B1851" s="48" t="str">
        <f t="shared" si="13"/>
        <v/>
      </c>
    </row>
    <row r="1852" spans="2:2" x14ac:dyDescent="0.3">
      <c r="B1852" s="48" t="str">
        <f t="shared" si="13"/>
        <v/>
      </c>
    </row>
    <row r="1853" spans="2:2" x14ac:dyDescent="0.3">
      <c r="B1853" s="48" t="str">
        <f t="shared" si="13"/>
        <v/>
      </c>
    </row>
    <row r="1854" spans="2:2" x14ac:dyDescent="0.3">
      <c r="B1854" s="48" t="str">
        <f t="shared" si="13"/>
        <v/>
      </c>
    </row>
    <row r="1855" spans="2:2" x14ac:dyDescent="0.3">
      <c r="B1855" s="48" t="str">
        <f t="shared" si="13"/>
        <v/>
      </c>
    </row>
    <row r="1856" spans="2:2" x14ac:dyDescent="0.3">
      <c r="B1856" s="48" t="str">
        <f t="shared" si="13"/>
        <v/>
      </c>
    </row>
    <row r="1857" spans="2:2" x14ac:dyDescent="0.3">
      <c r="B1857" s="48" t="str">
        <f t="shared" si="13"/>
        <v/>
      </c>
    </row>
    <row r="1858" spans="2:2" x14ac:dyDescent="0.3">
      <c r="B1858" s="48" t="str">
        <f t="shared" si="13"/>
        <v/>
      </c>
    </row>
    <row r="1859" spans="2:2" x14ac:dyDescent="0.3">
      <c r="B1859" s="48" t="str">
        <f t="shared" si="13"/>
        <v/>
      </c>
    </row>
    <row r="1860" spans="2:2" x14ac:dyDescent="0.3">
      <c r="B1860" s="48" t="str">
        <f t="shared" si="13"/>
        <v/>
      </c>
    </row>
    <row r="1861" spans="2:2" x14ac:dyDescent="0.3">
      <c r="B1861" s="48" t="str">
        <f t="shared" si="13"/>
        <v/>
      </c>
    </row>
    <row r="1862" spans="2:2" x14ac:dyDescent="0.3">
      <c r="B1862" s="48" t="str">
        <f t="shared" si="13"/>
        <v/>
      </c>
    </row>
    <row r="1863" spans="2:2" x14ac:dyDescent="0.3">
      <c r="B1863" s="48" t="str">
        <f t="shared" si="13"/>
        <v/>
      </c>
    </row>
    <row r="1864" spans="2:2" x14ac:dyDescent="0.3">
      <c r="B1864" s="48" t="str">
        <f t="shared" si="13"/>
        <v/>
      </c>
    </row>
    <row r="1865" spans="2:2" x14ac:dyDescent="0.3">
      <c r="B1865" s="48" t="str">
        <f t="shared" si="13"/>
        <v/>
      </c>
    </row>
    <row r="1866" spans="2:2" x14ac:dyDescent="0.3">
      <c r="B1866" s="48" t="str">
        <f t="shared" si="13"/>
        <v/>
      </c>
    </row>
    <row r="1867" spans="2:2" x14ac:dyDescent="0.3">
      <c r="B1867" s="48" t="str">
        <f t="shared" si="13"/>
        <v/>
      </c>
    </row>
    <row r="1868" spans="2:2" x14ac:dyDescent="0.3">
      <c r="B1868" s="48" t="str">
        <f t="shared" si="13"/>
        <v/>
      </c>
    </row>
    <row r="1869" spans="2:2" x14ac:dyDescent="0.3">
      <c r="B1869" s="48" t="str">
        <f t="shared" si="13"/>
        <v/>
      </c>
    </row>
    <row r="1870" spans="2:2" x14ac:dyDescent="0.3">
      <c r="B1870" s="48" t="str">
        <f t="shared" si="13"/>
        <v/>
      </c>
    </row>
    <row r="1871" spans="2:2" x14ac:dyDescent="0.3">
      <c r="B1871" s="48" t="str">
        <f t="shared" si="13"/>
        <v/>
      </c>
    </row>
    <row r="1872" spans="2:2" x14ac:dyDescent="0.3">
      <c r="B1872" s="48" t="str">
        <f t="shared" si="13"/>
        <v/>
      </c>
    </row>
    <row r="1873" spans="2:2" x14ac:dyDescent="0.3">
      <c r="B1873" s="48" t="str">
        <f t="shared" si="13"/>
        <v/>
      </c>
    </row>
    <row r="1874" spans="2:2" x14ac:dyDescent="0.3">
      <c r="B1874" s="48" t="str">
        <f t="shared" si="13"/>
        <v/>
      </c>
    </row>
    <row r="1875" spans="2:2" x14ac:dyDescent="0.3">
      <c r="B1875" s="48" t="str">
        <f t="shared" si="13"/>
        <v/>
      </c>
    </row>
    <row r="1876" spans="2:2" x14ac:dyDescent="0.3">
      <c r="B1876" s="48" t="str">
        <f t="shared" si="13"/>
        <v/>
      </c>
    </row>
    <row r="1877" spans="2:2" x14ac:dyDescent="0.3">
      <c r="B1877" s="48" t="str">
        <f t="shared" si="13"/>
        <v/>
      </c>
    </row>
    <row r="1878" spans="2:2" x14ac:dyDescent="0.3">
      <c r="B1878" s="48" t="str">
        <f t="shared" si="13"/>
        <v/>
      </c>
    </row>
    <row r="1879" spans="2:2" x14ac:dyDescent="0.3">
      <c r="B1879" s="48" t="str">
        <f t="shared" si="13"/>
        <v/>
      </c>
    </row>
    <row r="1880" spans="2:2" x14ac:dyDescent="0.3">
      <c r="B1880" s="48" t="str">
        <f t="shared" si="13"/>
        <v/>
      </c>
    </row>
    <row r="1881" spans="2:2" x14ac:dyDescent="0.3">
      <c r="B1881" s="48" t="str">
        <f t="shared" si="13"/>
        <v/>
      </c>
    </row>
    <row r="1882" spans="2:2" x14ac:dyDescent="0.3">
      <c r="B1882" s="48" t="str">
        <f t="shared" si="13"/>
        <v/>
      </c>
    </row>
    <row r="1883" spans="2:2" x14ac:dyDescent="0.3">
      <c r="B1883" s="48" t="str">
        <f t="shared" si="13"/>
        <v/>
      </c>
    </row>
    <row r="1884" spans="2:2" x14ac:dyDescent="0.3">
      <c r="B1884" s="48" t="str">
        <f t="shared" si="13"/>
        <v/>
      </c>
    </row>
    <row r="1885" spans="2:2" x14ac:dyDescent="0.3">
      <c r="B1885" s="48" t="str">
        <f t="shared" si="13"/>
        <v/>
      </c>
    </row>
    <row r="1886" spans="2:2" x14ac:dyDescent="0.3">
      <c r="B1886" s="48" t="str">
        <f t="shared" si="13"/>
        <v/>
      </c>
    </row>
    <row r="1887" spans="2:2" x14ac:dyDescent="0.3">
      <c r="B1887" s="48" t="str">
        <f t="shared" si="13"/>
        <v/>
      </c>
    </row>
    <row r="1888" spans="2:2" x14ac:dyDescent="0.3">
      <c r="B1888" s="48" t="str">
        <f t="shared" si="13"/>
        <v/>
      </c>
    </row>
    <row r="1889" spans="2:2" x14ac:dyDescent="0.3">
      <c r="B1889" s="48" t="str">
        <f t="shared" si="13"/>
        <v/>
      </c>
    </row>
    <row r="1890" spans="2:2" x14ac:dyDescent="0.3">
      <c r="B1890" s="48" t="str">
        <f t="shared" si="13"/>
        <v/>
      </c>
    </row>
    <row r="1891" spans="2:2" x14ac:dyDescent="0.3">
      <c r="B1891" s="48" t="str">
        <f t="shared" si="13"/>
        <v/>
      </c>
    </row>
    <row r="1892" spans="2:2" x14ac:dyDescent="0.3">
      <c r="B1892" s="48" t="str">
        <f t="shared" si="13"/>
        <v/>
      </c>
    </row>
    <row r="1893" spans="2:2" x14ac:dyDescent="0.3">
      <c r="B1893" s="48" t="str">
        <f t="shared" si="13"/>
        <v/>
      </c>
    </row>
    <row r="1894" spans="2:2" x14ac:dyDescent="0.3">
      <c r="B1894" s="48" t="str">
        <f t="shared" si="13"/>
        <v/>
      </c>
    </row>
    <row r="1895" spans="2:2" x14ac:dyDescent="0.3">
      <c r="B1895" s="48" t="str">
        <f t="shared" si="13"/>
        <v/>
      </c>
    </row>
    <row r="1896" spans="2:2" x14ac:dyDescent="0.3">
      <c r="B1896" s="48" t="str">
        <f t="shared" ref="B1896:B1959" si="14">IF($A1896="Daily", "n/a", "")</f>
        <v/>
      </c>
    </row>
    <row r="1897" spans="2:2" x14ac:dyDescent="0.3">
      <c r="B1897" s="48" t="str">
        <f t="shared" si="14"/>
        <v/>
      </c>
    </row>
    <row r="1898" spans="2:2" x14ac:dyDescent="0.3">
      <c r="B1898" s="48" t="str">
        <f t="shared" si="14"/>
        <v/>
      </c>
    </row>
    <row r="1899" spans="2:2" x14ac:dyDescent="0.3">
      <c r="B1899" s="48" t="str">
        <f t="shared" si="14"/>
        <v/>
      </c>
    </row>
    <row r="1900" spans="2:2" x14ac:dyDescent="0.3">
      <c r="B1900" s="48" t="str">
        <f t="shared" si="14"/>
        <v/>
      </c>
    </row>
    <row r="1901" spans="2:2" x14ac:dyDescent="0.3">
      <c r="B1901" s="48" t="str">
        <f t="shared" si="14"/>
        <v/>
      </c>
    </row>
    <row r="1902" spans="2:2" x14ac:dyDescent="0.3">
      <c r="B1902" s="48" t="str">
        <f t="shared" si="14"/>
        <v/>
      </c>
    </row>
    <row r="1903" spans="2:2" x14ac:dyDescent="0.3">
      <c r="B1903" s="48" t="str">
        <f t="shared" si="14"/>
        <v/>
      </c>
    </row>
    <row r="1904" spans="2:2" x14ac:dyDescent="0.3">
      <c r="B1904" s="48" t="str">
        <f t="shared" si="14"/>
        <v/>
      </c>
    </row>
    <row r="1905" spans="2:2" x14ac:dyDescent="0.3">
      <c r="B1905" s="48" t="str">
        <f t="shared" si="14"/>
        <v/>
      </c>
    </row>
    <row r="1906" spans="2:2" x14ac:dyDescent="0.3">
      <c r="B1906" s="48" t="str">
        <f t="shared" si="14"/>
        <v/>
      </c>
    </row>
    <row r="1907" spans="2:2" x14ac:dyDescent="0.3">
      <c r="B1907" s="48" t="str">
        <f t="shared" si="14"/>
        <v/>
      </c>
    </row>
    <row r="1908" spans="2:2" x14ac:dyDescent="0.3">
      <c r="B1908" s="48" t="str">
        <f t="shared" si="14"/>
        <v/>
      </c>
    </row>
    <row r="1909" spans="2:2" x14ac:dyDescent="0.3">
      <c r="B1909" s="48" t="str">
        <f t="shared" si="14"/>
        <v/>
      </c>
    </row>
    <row r="1910" spans="2:2" x14ac:dyDescent="0.3">
      <c r="B1910" s="48" t="str">
        <f t="shared" si="14"/>
        <v/>
      </c>
    </row>
    <row r="1911" spans="2:2" x14ac:dyDescent="0.3">
      <c r="B1911" s="48" t="str">
        <f t="shared" si="14"/>
        <v/>
      </c>
    </row>
    <row r="1912" spans="2:2" x14ac:dyDescent="0.3">
      <c r="B1912" s="48" t="str">
        <f t="shared" si="14"/>
        <v/>
      </c>
    </row>
    <row r="1913" spans="2:2" x14ac:dyDescent="0.3">
      <c r="B1913" s="48" t="str">
        <f t="shared" si="14"/>
        <v/>
      </c>
    </row>
    <row r="1914" spans="2:2" x14ac:dyDescent="0.3">
      <c r="B1914" s="48" t="str">
        <f t="shared" si="14"/>
        <v/>
      </c>
    </row>
    <row r="1915" spans="2:2" x14ac:dyDescent="0.3">
      <c r="B1915" s="48" t="str">
        <f t="shared" si="14"/>
        <v/>
      </c>
    </row>
    <row r="1916" spans="2:2" x14ac:dyDescent="0.3">
      <c r="B1916" s="48" t="str">
        <f t="shared" si="14"/>
        <v/>
      </c>
    </row>
    <row r="1917" spans="2:2" x14ac:dyDescent="0.3">
      <c r="B1917" s="48" t="str">
        <f t="shared" si="14"/>
        <v/>
      </c>
    </row>
    <row r="1918" spans="2:2" x14ac:dyDescent="0.3">
      <c r="B1918" s="48" t="str">
        <f t="shared" si="14"/>
        <v/>
      </c>
    </row>
    <row r="1919" spans="2:2" x14ac:dyDescent="0.3">
      <c r="B1919" s="48" t="str">
        <f t="shared" si="14"/>
        <v/>
      </c>
    </row>
    <row r="1920" spans="2:2" x14ac:dyDescent="0.3">
      <c r="B1920" s="48" t="str">
        <f t="shared" si="14"/>
        <v/>
      </c>
    </row>
    <row r="1921" spans="2:2" x14ac:dyDescent="0.3">
      <c r="B1921" s="48" t="str">
        <f t="shared" si="14"/>
        <v/>
      </c>
    </row>
    <row r="1922" spans="2:2" x14ac:dyDescent="0.3">
      <c r="B1922" s="48" t="str">
        <f t="shared" si="14"/>
        <v/>
      </c>
    </row>
    <row r="1923" spans="2:2" x14ac:dyDescent="0.3">
      <c r="B1923" s="48" t="str">
        <f t="shared" si="14"/>
        <v/>
      </c>
    </row>
    <row r="1924" spans="2:2" x14ac:dyDescent="0.3">
      <c r="B1924" s="48" t="str">
        <f t="shared" si="14"/>
        <v/>
      </c>
    </row>
    <row r="1925" spans="2:2" x14ac:dyDescent="0.3">
      <c r="B1925" s="48" t="str">
        <f t="shared" si="14"/>
        <v/>
      </c>
    </row>
    <row r="1926" spans="2:2" x14ac:dyDescent="0.3">
      <c r="B1926" s="48" t="str">
        <f t="shared" si="14"/>
        <v/>
      </c>
    </row>
    <row r="1927" spans="2:2" x14ac:dyDescent="0.3">
      <c r="B1927" s="48" t="str">
        <f t="shared" si="14"/>
        <v/>
      </c>
    </row>
    <row r="1928" spans="2:2" x14ac:dyDescent="0.3">
      <c r="B1928" s="48" t="str">
        <f t="shared" si="14"/>
        <v/>
      </c>
    </row>
    <row r="1929" spans="2:2" x14ac:dyDescent="0.3">
      <c r="B1929" s="48" t="str">
        <f t="shared" si="14"/>
        <v/>
      </c>
    </row>
    <row r="1930" spans="2:2" x14ac:dyDescent="0.3">
      <c r="B1930" s="48" t="str">
        <f t="shared" si="14"/>
        <v/>
      </c>
    </row>
    <row r="1931" spans="2:2" x14ac:dyDescent="0.3">
      <c r="B1931" s="48" t="str">
        <f t="shared" si="14"/>
        <v/>
      </c>
    </row>
    <row r="1932" spans="2:2" x14ac:dyDescent="0.3">
      <c r="B1932" s="48" t="str">
        <f t="shared" si="14"/>
        <v/>
      </c>
    </row>
    <row r="1933" spans="2:2" x14ac:dyDescent="0.3">
      <c r="B1933" s="48" t="str">
        <f t="shared" si="14"/>
        <v/>
      </c>
    </row>
    <row r="1934" spans="2:2" x14ac:dyDescent="0.3">
      <c r="B1934" s="48" t="str">
        <f t="shared" si="14"/>
        <v/>
      </c>
    </row>
    <row r="1935" spans="2:2" x14ac:dyDescent="0.3">
      <c r="B1935" s="48" t="str">
        <f t="shared" si="14"/>
        <v/>
      </c>
    </row>
    <row r="1936" spans="2:2" x14ac:dyDescent="0.3">
      <c r="B1936" s="48" t="str">
        <f t="shared" si="14"/>
        <v/>
      </c>
    </row>
    <row r="1937" spans="2:2" x14ac:dyDescent="0.3">
      <c r="B1937" s="48" t="str">
        <f t="shared" si="14"/>
        <v/>
      </c>
    </row>
    <row r="1938" spans="2:2" x14ac:dyDescent="0.3">
      <c r="B1938" s="48" t="str">
        <f t="shared" si="14"/>
        <v/>
      </c>
    </row>
    <row r="1939" spans="2:2" x14ac:dyDescent="0.3">
      <c r="B1939" s="48" t="str">
        <f t="shared" si="14"/>
        <v/>
      </c>
    </row>
    <row r="1940" spans="2:2" x14ac:dyDescent="0.3">
      <c r="B1940" s="48" t="str">
        <f t="shared" si="14"/>
        <v/>
      </c>
    </row>
    <row r="1941" spans="2:2" x14ac:dyDescent="0.3">
      <c r="B1941" s="48" t="str">
        <f t="shared" si="14"/>
        <v/>
      </c>
    </row>
    <row r="1942" spans="2:2" x14ac:dyDescent="0.3">
      <c r="B1942" s="48" t="str">
        <f t="shared" si="14"/>
        <v/>
      </c>
    </row>
    <row r="1943" spans="2:2" x14ac:dyDescent="0.3">
      <c r="B1943" s="48" t="str">
        <f t="shared" si="14"/>
        <v/>
      </c>
    </row>
    <row r="1944" spans="2:2" x14ac:dyDescent="0.3">
      <c r="B1944" s="48" t="str">
        <f t="shared" si="14"/>
        <v/>
      </c>
    </row>
    <row r="1945" spans="2:2" x14ac:dyDescent="0.3">
      <c r="B1945" s="48" t="str">
        <f t="shared" si="14"/>
        <v/>
      </c>
    </row>
    <row r="1946" spans="2:2" x14ac:dyDescent="0.3">
      <c r="B1946" s="48" t="str">
        <f t="shared" si="14"/>
        <v/>
      </c>
    </row>
    <row r="1947" spans="2:2" x14ac:dyDescent="0.3">
      <c r="B1947" s="48" t="str">
        <f t="shared" si="14"/>
        <v/>
      </c>
    </row>
    <row r="1948" spans="2:2" x14ac:dyDescent="0.3">
      <c r="B1948" s="48" t="str">
        <f t="shared" si="14"/>
        <v/>
      </c>
    </row>
    <row r="1949" spans="2:2" x14ac:dyDescent="0.3">
      <c r="B1949" s="48" t="str">
        <f t="shared" si="14"/>
        <v/>
      </c>
    </row>
    <row r="1950" spans="2:2" x14ac:dyDescent="0.3">
      <c r="B1950" s="48" t="str">
        <f t="shared" si="14"/>
        <v/>
      </c>
    </row>
    <row r="1951" spans="2:2" x14ac:dyDescent="0.3">
      <c r="B1951" s="48" t="str">
        <f t="shared" si="14"/>
        <v/>
      </c>
    </row>
    <row r="1952" spans="2:2" x14ac:dyDescent="0.3">
      <c r="B1952" s="48" t="str">
        <f t="shared" si="14"/>
        <v/>
      </c>
    </row>
    <row r="1953" spans="2:2" x14ac:dyDescent="0.3">
      <c r="B1953" s="48" t="str">
        <f t="shared" si="14"/>
        <v/>
      </c>
    </row>
    <row r="1954" spans="2:2" x14ac:dyDescent="0.3">
      <c r="B1954" s="48" t="str">
        <f t="shared" si="14"/>
        <v/>
      </c>
    </row>
    <row r="1955" spans="2:2" x14ac:dyDescent="0.3">
      <c r="B1955" s="48" t="str">
        <f t="shared" si="14"/>
        <v/>
      </c>
    </row>
    <row r="1956" spans="2:2" x14ac:dyDescent="0.3">
      <c r="B1956" s="48" t="str">
        <f t="shared" si="14"/>
        <v/>
      </c>
    </row>
    <row r="1957" spans="2:2" x14ac:dyDescent="0.3">
      <c r="B1957" s="48" t="str">
        <f t="shared" si="14"/>
        <v/>
      </c>
    </row>
    <row r="1958" spans="2:2" x14ac:dyDescent="0.3">
      <c r="B1958" s="48" t="str">
        <f t="shared" si="14"/>
        <v/>
      </c>
    </row>
    <row r="1959" spans="2:2" x14ac:dyDescent="0.3">
      <c r="B1959" s="48" t="str">
        <f t="shared" si="14"/>
        <v/>
      </c>
    </row>
    <row r="1960" spans="2:2" x14ac:dyDescent="0.3">
      <c r="B1960" s="48" t="str">
        <f t="shared" ref="B1960:B2023" si="15">IF($A1960="Daily", "n/a", "")</f>
        <v/>
      </c>
    </row>
    <row r="1961" spans="2:2" x14ac:dyDescent="0.3">
      <c r="B1961" s="48" t="str">
        <f t="shared" si="15"/>
        <v/>
      </c>
    </row>
    <row r="1962" spans="2:2" x14ac:dyDescent="0.3">
      <c r="B1962" s="48" t="str">
        <f t="shared" si="15"/>
        <v/>
      </c>
    </row>
    <row r="1963" spans="2:2" x14ac:dyDescent="0.3">
      <c r="B1963" s="48" t="str">
        <f t="shared" si="15"/>
        <v/>
      </c>
    </row>
    <row r="1964" spans="2:2" x14ac:dyDescent="0.3">
      <c r="B1964" s="48" t="str">
        <f t="shared" si="15"/>
        <v/>
      </c>
    </row>
    <row r="1965" spans="2:2" x14ac:dyDescent="0.3">
      <c r="B1965" s="48" t="str">
        <f t="shared" si="15"/>
        <v/>
      </c>
    </row>
    <row r="1966" spans="2:2" x14ac:dyDescent="0.3">
      <c r="B1966" s="48" t="str">
        <f t="shared" si="15"/>
        <v/>
      </c>
    </row>
    <row r="1967" spans="2:2" x14ac:dyDescent="0.3">
      <c r="B1967" s="48" t="str">
        <f t="shared" si="15"/>
        <v/>
      </c>
    </row>
    <row r="1968" spans="2:2" x14ac:dyDescent="0.3">
      <c r="B1968" s="48" t="str">
        <f t="shared" si="15"/>
        <v/>
      </c>
    </row>
    <row r="1969" spans="2:2" x14ac:dyDescent="0.3">
      <c r="B1969" s="48" t="str">
        <f t="shared" si="15"/>
        <v/>
      </c>
    </row>
    <row r="1970" spans="2:2" x14ac:dyDescent="0.3">
      <c r="B1970" s="48" t="str">
        <f t="shared" si="15"/>
        <v/>
      </c>
    </row>
    <row r="1971" spans="2:2" x14ac:dyDescent="0.3">
      <c r="B1971" s="48" t="str">
        <f t="shared" si="15"/>
        <v/>
      </c>
    </row>
    <row r="1972" spans="2:2" x14ac:dyDescent="0.3">
      <c r="B1972" s="48" t="str">
        <f t="shared" si="15"/>
        <v/>
      </c>
    </row>
    <row r="1973" spans="2:2" x14ac:dyDescent="0.3">
      <c r="B1973" s="48" t="str">
        <f t="shared" si="15"/>
        <v/>
      </c>
    </row>
    <row r="1974" spans="2:2" x14ac:dyDescent="0.3">
      <c r="B1974" s="48" t="str">
        <f t="shared" si="15"/>
        <v/>
      </c>
    </row>
    <row r="1975" spans="2:2" x14ac:dyDescent="0.3">
      <c r="B1975" s="48" t="str">
        <f t="shared" si="15"/>
        <v/>
      </c>
    </row>
    <row r="1976" spans="2:2" x14ac:dyDescent="0.3">
      <c r="B1976" s="48" t="str">
        <f t="shared" si="15"/>
        <v/>
      </c>
    </row>
    <row r="1977" spans="2:2" x14ac:dyDescent="0.3">
      <c r="B1977" s="48" t="str">
        <f t="shared" si="15"/>
        <v/>
      </c>
    </row>
    <row r="1978" spans="2:2" x14ac:dyDescent="0.3">
      <c r="B1978" s="48" t="str">
        <f t="shared" si="15"/>
        <v/>
      </c>
    </row>
    <row r="1979" spans="2:2" x14ac:dyDescent="0.3">
      <c r="B1979" s="48" t="str">
        <f t="shared" si="15"/>
        <v/>
      </c>
    </row>
    <row r="1980" spans="2:2" x14ac:dyDescent="0.3">
      <c r="B1980" s="48" t="str">
        <f t="shared" si="15"/>
        <v/>
      </c>
    </row>
    <row r="1981" spans="2:2" x14ac:dyDescent="0.3">
      <c r="B1981" s="48" t="str">
        <f t="shared" si="15"/>
        <v/>
      </c>
    </row>
    <row r="1982" spans="2:2" x14ac:dyDescent="0.3">
      <c r="B1982" s="48" t="str">
        <f t="shared" si="15"/>
        <v/>
      </c>
    </row>
    <row r="1983" spans="2:2" x14ac:dyDescent="0.3">
      <c r="B1983" s="48" t="str">
        <f t="shared" si="15"/>
        <v/>
      </c>
    </row>
    <row r="1984" spans="2:2" x14ac:dyDescent="0.3">
      <c r="B1984" s="48" t="str">
        <f t="shared" si="15"/>
        <v/>
      </c>
    </row>
    <row r="1985" spans="2:2" x14ac:dyDescent="0.3">
      <c r="B1985" s="48" t="str">
        <f t="shared" si="15"/>
        <v/>
      </c>
    </row>
    <row r="1986" spans="2:2" x14ac:dyDescent="0.3">
      <c r="B1986" s="48" t="str">
        <f t="shared" si="15"/>
        <v/>
      </c>
    </row>
    <row r="1987" spans="2:2" x14ac:dyDescent="0.3">
      <c r="B1987" s="48" t="str">
        <f t="shared" si="15"/>
        <v/>
      </c>
    </row>
    <row r="1988" spans="2:2" x14ac:dyDescent="0.3">
      <c r="B1988" s="48" t="str">
        <f t="shared" si="15"/>
        <v/>
      </c>
    </row>
    <row r="1989" spans="2:2" x14ac:dyDescent="0.3">
      <c r="B1989" s="48" t="str">
        <f t="shared" si="15"/>
        <v/>
      </c>
    </row>
    <row r="1990" spans="2:2" x14ac:dyDescent="0.3">
      <c r="B1990" s="48" t="str">
        <f t="shared" si="15"/>
        <v/>
      </c>
    </row>
    <row r="1991" spans="2:2" x14ac:dyDescent="0.3">
      <c r="B1991" s="48" t="str">
        <f t="shared" si="15"/>
        <v/>
      </c>
    </row>
    <row r="1992" spans="2:2" x14ac:dyDescent="0.3">
      <c r="B1992" s="48" t="str">
        <f t="shared" si="15"/>
        <v/>
      </c>
    </row>
    <row r="1993" spans="2:2" x14ac:dyDescent="0.3">
      <c r="B1993" s="48" t="str">
        <f t="shared" si="15"/>
        <v/>
      </c>
    </row>
    <row r="1994" spans="2:2" x14ac:dyDescent="0.3">
      <c r="B1994" s="48" t="str">
        <f t="shared" si="15"/>
        <v/>
      </c>
    </row>
    <row r="1995" spans="2:2" x14ac:dyDescent="0.3">
      <c r="B1995" s="48" t="str">
        <f t="shared" si="15"/>
        <v/>
      </c>
    </row>
    <row r="1996" spans="2:2" x14ac:dyDescent="0.3">
      <c r="B1996" s="48" t="str">
        <f t="shared" si="15"/>
        <v/>
      </c>
    </row>
    <row r="1997" spans="2:2" x14ac:dyDescent="0.3">
      <c r="B1997" s="48" t="str">
        <f t="shared" si="15"/>
        <v/>
      </c>
    </row>
    <row r="1998" spans="2:2" x14ac:dyDescent="0.3">
      <c r="B1998" s="48" t="str">
        <f t="shared" si="15"/>
        <v/>
      </c>
    </row>
    <row r="1999" spans="2:2" x14ac:dyDescent="0.3">
      <c r="B1999" s="48" t="str">
        <f t="shared" si="15"/>
        <v/>
      </c>
    </row>
    <row r="2000" spans="2:2" x14ac:dyDescent="0.3">
      <c r="B2000" s="48" t="str">
        <f t="shared" si="15"/>
        <v/>
      </c>
    </row>
    <row r="2001" spans="2:2" x14ac:dyDescent="0.3">
      <c r="B2001" s="48" t="str">
        <f t="shared" si="15"/>
        <v/>
      </c>
    </row>
    <row r="2002" spans="2:2" x14ac:dyDescent="0.3">
      <c r="B2002" s="48" t="str">
        <f t="shared" si="15"/>
        <v/>
      </c>
    </row>
    <row r="2003" spans="2:2" x14ac:dyDescent="0.3">
      <c r="B2003" s="48" t="str">
        <f t="shared" si="15"/>
        <v/>
      </c>
    </row>
    <row r="2004" spans="2:2" x14ac:dyDescent="0.3">
      <c r="B2004" s="48" t="str">
        <f t="shared" si="15"/>
        <v/>
      </c>
    </row>
    <row r="2005" spans="2:2" x14ac:dyDescent="0.3">
      <c r="B2005" s="48" t="str">
        <f t="shared" si="15"/>
        <v/>
      </c>
    </row>
    <row r="2006" spans="2:2" x14ac:dyDescent="0.3">
      <c r="B2006" s="48" t="str">
        <f t="shared" si="15"/>
        <v/>
      </c>
    </row>
    <row r="2007" spans="2:2" x14ac:dyDescent="0.3">
      <c r="B2007" s="48" t="str">
        <f t="shared" si="15"/>
        <v/>
      </c>
    </row>
    <row r="2008" spans="2:2" x14ac:dyDescent="0.3">
      <c r="B2008" s="48" t="str">
        <f t="shared" si="15"/>
        <v/>
      </c>
    </row>
    <row r="2009" spans="2:2" x14ac:dyDescent="0.3">
      <c r="B2009" s="48" t="str">
        <f t="shared" si="15"/>
        <v/>
      </c>
    </row>
    <row r="2010" spans="2:2" x14ac:dyDescent="0.3">
      <c r="B2010" s="48" t="str">
        <f t="shared" si="15"/>
        <v/>
      </c>
    </row>
    <row r="2011" spans="2:2" x14ac:dyDescent="0.3">
      <c r="B2011" s="48" t="str">
        <f t="shared" si="15"/>
        <v/>
      </c>
    </row>
    <row r="2012" spans="2:2" x14ac:dyDescent="0.3">
      <c r="B2012" s="48" t="str">
        <f t="shared" si="15"/>
        <v/>
      </c>
    </row>
    <row r="2013" spans="2:2" x14ac:dyDescent="0.3">
      <c r="B2013" s="48" t="str">
        <f t="shared" si="15"/>
        <v/>
      </c>
    </row>
    <row r="2014" spans="2:2" x14ac:dyDescent="0.3">
      <c r="B2014" s="48" t="str">
        <f t="shared" si="15"/>
        <v/>
      </c>
    </row>
    <row r="2015" spans="2:2" x14ac:dyDescent="0.3">
      <c r="B2015" s="48" t="str">
        <f t="shared" si="15"/>
        <v/>
      </c>
    </row>
    <row r="2016" spans="2:2" x14ac:dyDescent="0.3">
      <c r="B2016" s="48" t="str">
        <f t="shared" si="15"/>
        <v/>
      </c>
    </row>
    <row r="2017" spans="2:2" x14ac:dyDescent="0.3">
      <c r="B2017" s="48" t="str">
        <f t="shared" si="15"/>
        <v/>
      </c>
    </row>
    <row r="2018" spans="2:2" x14ac:dyDescent="0.3">
      <c r="B2018" s="48" t="str">
        <f t="shared" si="15"/>
        <v/>
      </c>
    </row>
    <row r="2019" spans="2:2" x14ac:dyDescent="0.3">
      <c r="B2019" s="48" t="str">
        <f t="shared" si="15"/>
        <v/>
      </c>
    </row>
    <row r="2020" spans="2:2" x14ac:dyDescent="0.3">
      <c r="B2020" s="48" t="str">
        <f t="shared" si="15"/>
        <v/>
      </c>
    </row>
    <row r="2021" spans="2:2" x14ac:dyDescent="0.3">
      <c r="B2021" s="48" t="str">
        <f t="shared" si="15"/>
        <v/>
      </c>
    </row>
    <row r="2022" spans="2:2" x14ac:dyDescent="0.3">
      <c r="B2022" s="48" t="str">
        <f t="shared" si="15"/>
        <v/>
      </c>
    </row>
    <row r="2023" spans="2:2" x14ac:dyDescent="0.3">
      <c r="B2023" s="48" t="str">
        <f t="shared" si="15"/>
        <v/>
      </c>
    </row>
    <row r="2024" spans="2:2" x14ac:dyDescent="0.3">
      <c r="B2024" s="48" t="str">
        <f t="shared" ref="B2024:B2087" si="16">IF($A2024="Daily", "n/a", "")</f>
        <v/>
      </c>
    </row>
    <row r="2025" spans="2:2" x14ac:dyDescent="0.3">
      <c r="B2025" s="48" t="str">
        <f t="shared" si="16"/>
        <v/>
      </c>
    </row>
    <row r="2026" spans="2:2" x14ac:dyDescent="0.3">
      <c r="B2026" s="48" t="str">
        <f t="shared" si="16"/>
        <v/>
      </c>
    </row>
    <row r="2027" spans="2:2" x14ac:dyDescent="0.3">
      <c r="B2027" s="48" t="str">
        <f t="shared" si="16"/>
        <v/>
      </c>
    </row>
    <row r="2028" spans="2:2" x14ac:dyDescent="0.3">
      <c r="B2028" s="48" t="str">
        <f t="shared" si="16"/>
        <v/>
      </c>
    </row>
    <row r="2029" spans="2:2" x14ac:dyDescent="0.3">
      <c r="B2029" s="48" t="str">
        <f t="shared" si="16"/>
        <v/>
      </c>
    </row>
    <row r="2030" spans="2:2" x14ac:dyDescent="0.3">
      <c r="B2030" s="48" t="str">
        <f t="shared" si="16"/>
        <v/>
      </c>
    </row>
    <row r="2031" spans="2:2" x14ac:dyDescent="0.3">
      <c r="B2031" s="48" t="str">
        <f t="shared" si="16"/>
        <v/>
      </c>
    </row>
    <row r="2032" spans="2:2" x14ac:dyDescent="0.3">
      <c r="B2032" s="48" t="str">
        <f t="shared" si="16"/>
        <v/>
      </c>
    </row>
    <row r="2033" spans="2:2" x14ac:dyDescent="0.3">
      <c r="B2033" s="48" t="str">
        <f t="shared" si="16"/>
        <v/>
      </c>
    </row>
    <row r="2034" spans="2:2" x14ac:dyDescent="0.3">
      <c r="B2034" s="48" t="str">
        <f t="shared" si="16"/>
        <v/>
      </c>
    </row>
    <row r="2035" spans="2:2" x14ac:dyDescent="0.3">
      <c r="B2035" s="48" t="str">
        <f t="shared" si="16"/>
        <v/>
      </c>
    </row>
    <row r="2036" spans="2:2" x14ac:dyDescent="0.3">
      <c r="B2036" s="48" t="str">
        <f t="shared" si="16"/>
        <v/>
      </c>
    </row>
    <row r="2037" spans="2:2" x14ac:dyDescent="0.3">
      <c r="B2037" s="48" t="str">
        <f t="shared" si="16"/>
        <v/>
      </c>
    </row>
    <row r="2038" spans="2:2" x14ac:dyDescent="0.3">
      <c r="B2038" s="48" t="str">
        <f t="shared" si="16"/>
        <v/>
      </c>
    </row>
    <row r="2039" spans="2:2" x14ac:dyDescent="0.3">
      <c r="B2039" s="48" t="str">
        <f t="shared" si="16"/>
        <v/>
      </c>
    </row>
    <row r="2040" spans="2:2" x14ac:dyDescent="0.3">
      <c r="B2040" s="48" t="str">
        <f t="shared" si="16"/>
        <v/>
      </c>
    </row>
    <row r="2041" spans="2:2" x14ac:dyDescent="0.3">
      <c r="B2041" s="48" t="str">
        <f t="shared" si="16"/>
        <v/>
      </c>
    </row>
    <row r="2042" spans="2:2" x14ac:dyDescent="0.3">
      <c r="B2042" s="48" t="str">
        <f t="shared" si="16"/>
        <v/>
      </c>
    </row>
    <row r="2043" spans="2:2" x14ac:dyDescent="0.3">
      <c r="B2043" s="48" t="str">
        <f t="shared" si="16"/>
        <v/>
      </c>
    </row>
    <row r="2044" spans="2:2" x14ac:dyDescent="0.3">
      <c r="B2044" s="48" t="str">
        <f t="shared" si="16"/>
        <v/>
      </c>
    </row>
    <row r="2045" spans="2:2" x14ac:dyDescent="0.3">
      <c r="B2045" s="48" t="str">
        <f t="shared" si="16"/>
        <v/>
      </c>
    </row>
    <row r="2046" spans="2:2" x14ac:dyDescent="0.3">
      <c r="B2046" s="48" t="str">
        <f t="shared" si="16"/>
        <v/>
      </c>
    </row>
    <row r="2047" spans="2:2" x14ac:dyDescent="0.3">
      <c r="B2047" s="48" t="str">
        <f t="shared" si="16"/>
        <v/>
      </c>
    </row>
    <row r="2048" spans="2:2" x14ac:dyDescent="0.3">
      <c r="B2048" s="48" t="str">
        <f t="shared" si="16"/>
        <v/>
      </c>
    </row>
    <row r="2049" spans="2:2" x14ac:dyDescent="0.3">
      <c r="B2049" s="48" t="str">
        <f t="shared" si="16"/>
        <v/>
      </c>
    </row>
    <row r="2050" spans="2:2" x14ac:dyDescent="0.3">
      <c r="B2050" s="48" t="str">
        <f t="shared" si="16"/>
        <v/>
      </c>
    </row>
    <row r="2051" spans="2:2" x14ac:dyDescent="0.3">
      <c r="B2051" s="48" t="str">
        <f t="shared" si="16"/>
        <v/>
      </c>
    </row>
    <row r="2052" spans="2:2" x14ac:dyDescent="0.3">
      <c r="B2052" s="48" t="str">
        <f t="shared" si="16"/>
        <v/>
      </c>
    </row>
    <row r="2053" spans="2:2" x14ac:dyDescent="0.3">
      <c r="B2053" s="48" t="str">
        <f t="shared" si="16"/>
        <v/>
      </c>
    </row>
    <row r="2054" spans="2:2" x14ac:dyDescent="0.3">
      <c r="B2054" s="48" t="str">
        <f t="shared" si="16"/>
        <v/>
      </c>
    </row>
    <row r="2055" spans="2:2" x14ac:dyDescent="0.3">
      <c r="B2055" s="48" t="str">
        <f t="shared" si="16"/>
        <v/>
      </c>
    </row>
    <row r="2056" spans="2:2" x14ac:dyDescent="0.3">
      <c r="B2056" s="48" t="str">
        <f t="shared" si="16"/>
        <v/>
      </c>
    </row>
    <row r="2057" spans="2:2" x14ac:dyDescent="0.3">
      <c r="B2057" s="48" t="str">
        <f t="shared" si="16"/>
        <v/>
      </c>
    </row>
    <row r="2058" spans="2:2" x14ac:dyDescent="0.3">
      <c r="B2058" s="48" t="str">
        <f t="shared" si="16"/>
        <v/>
      </c>
    </row>
    <row r="2059" spans="2:2" x14ac:dyDescent="0.3">
      <c r="B2059" s="48" t="str">
        <f t="shared" si="16"/>
        <v/>
      </c>
    </row>
    <row r="2060" spans="2:2" x14ac:dyDescent="0.3">
      <c r="B2060" s="48" t="str">
        <f t="shared" si="16"/>
        <v/>
      </c>
    </row>
    <row r="2061" spans="2:2" x14ac:dyDescent="0.3">
      <c r="B2061" s="48" t="str">
        <f t="shared" si="16"/>
        <v/>
      </c>
    </row>
    <row r="2062" spans="2:2" x14ac:dyDescent="0.3">
      <c r="B2062" s="48" t="str">
        <f t="shared" si="16"/>
        <v/>
      </c>
    </row>
    <row r="2063" spans="2:2" x14ac:dyDescent="0.3">
      <c r="B2063" s="48" t="str">
        <f t="shared" si="16"/>
        <v/>
      </c>
    </row>
    <row r="2064" spans="2:2" x14ac:dyDescent="0.3">
      <c r="B2064" s="48" t="str">
        <f t="shared" si="16"/>
        <v/>
      </c>
    </row>
    <row r="2065" spans="2:2" x14ac:dyDescent="0.3">
      <c r="B2065" s="48" t="str">
        <f t="shared" si="16"/>
        <v/>
      </c>
    </row>
    <row r="2066" spans="2:2" x14ac:dyDescent="0.3">
      <c r="B2066" s="48" t="str">
        <f t="shared" si="16"/>
        <v/>
      </c>
    </row>
    <row r="2067" spans="2:2" x14ac:dyDescent="0.3">
      <c r="B2067" s="48" t="str">
        <f t="shared" si="16"/>
        <v/>
      </c>
    </row>
    <row r="2068" spans="2:2" x14ac:dyDescent="0.3">
      <c r="B2068" s="48" t="str">
        <f t="shared" si="16"/>
        <v/>
      </c>
    </row>
    <row r="2069" spans="2:2" x14ac:dyDescent="0.3">
      <c r="B2069" s="48" t="str">
        <f t="shared" si="16"/>
        <v/>
      </c>
    </row>
    <row r="2070" spans="2:2" x14ac:dyDescent="0.3">
      <c r="B2070" s="48" t="str">
        <f t="shared" si="16"/>
        <v/>
      </c>
    </row>
    <row r="2071" spans="2:2" x14ac:dyDescent="0.3">
      <c r="B2071" s="48" t="str">
        <f t="shared" si="16"/>
        <v/>
      </c>
    </row>
    <row r="2072" spans="2:2" x14ac:dyDescent="0.3">
      <c r="B2072" s="48" t="str">
        <f t="shared" si="16"/>
        <v/>
      </c>
    </row>
    <row r="2073" spans="2:2" x14ac:dyDescent="0.3">
      <c r="B2073" s="48" t="str">
        <f t="shared" si="16"/>
        <v/>
      </c>
    </row>
    <row r="2074" spans="2:2" x14ac:dyDescent="0.3">
      <c r="B2074" s="48" t="str">
        <f t="shared" si="16"/>
        <v/>
      </c>
    </row>
    <row r="2075" spans="2:2" x14ac:dyDescent="0.3">
      <c r="B2075" s="48" t="str">
        <f t="shared" si="16"/>
        <v/>
      </c>
    </row>
    <row r="2076" spans="2:2" x14ac:dyDescent="0.3">
      <c r="B2076" s="48" t="str">
        <f t="shared" si="16"/>
        <v/>
      </c>
    </row>
    <row r="2077" spans="2:2" x14ac:dyDescent="0.3">
      <c r="B2077" s="48" t="str">
        <f t="shared" si="16"/>
        <v/>
      </c>
    </row>
    <row r="2078" spans="2:2" x14ac:dyDescent="0.3">
      <c r="B2078" s="48" t="str">
        <f t="shared" si="16"/>
        <v/>
      </c>
    </row>
    <row r="2079" spans="2:2" x14ac:dyDescent="0.3">
      <c r="B2079" s="48" t="str">
        <f t="shared" si="16"/>
        <v/>
      </c>
    </row>
    <row r="2080" spans="2:2" x14ac:dyDescent="0.3">
      <c r="B2080" s="48" t="str">
        <f t="shared" si="16"/>
        <v/>
      </c>
    </row>
    <row r="2081" spans="2:2" x14ac:dyDescent="0.3">
      <c r="B2081" s="48" t="str">
        <f t="shared" si="16"/>
        <v/>
      </c>
    </row>
    <row r="2082" spans="2:2" x14ac:dyDescent="0.3">
      <c r="B2082" s="48" t="str">
        <f t="shared" si="16"/>
        <v/>
      </c>
    </row>
    <row r="2083" spans="2:2" x14ac:dyDescent="0.3">
      <c r="B2083" s="48" t="str">
        <f t="shared" si="16"/>
        <v/>
      </c>
    </row>
    <row r="2084" spans="2:2" x14ac:dyDescent="0.3">
      <c r="B2084" s="48" t="str">
        <f t="shared" si="16"/>
        <v/>
      </c>
    </row>
    <row r="2085" spans="2:2" x14ac:dyDescent="0.3">
      <c r="B2085" s="48" t="str">
        <f t="shared" si="16"/>
        <v/>
      </c>
    </row>
    <row r="2086" spans="2:2" x14ac:dyDescent="0.3">
      <c r="B2086" s="48" t="str">
        <f t="shared" si="16"/>
        <v/>
      </c>
    </row>
    <row r="2087" spans="2:2" x14ac:dyDescent="0.3">
      <c r="B2087" s="48" t="str">
        <f t="shared" si="16"/>
        <v/>
      </c>
    </row>
    <row r="2088" spans="2:2" x14ac:dyDescent="0.3">
      <c r="B2088" s="48" t="str">
        <f t="shared" ref="B2088:B2151" si="17">IF($A2088="Daily", "n/a", "")</f>
        <v/>
      </c>
    </row>
    <row r="2089" spans="2:2" x14ac:dyDescent="0.3">
      <c r="B2089" s="48" t="str">
        <f t="shared" si="17"/>
        <v/>
      </c>
    </row>
    <row r="2090" spans="2:2" x14ac:dyDescent="0.3">
      <c r="B2090" s="48" t="str">
        <f t="shared" si="17"/>
        <v/>
      </c>
    </row>
    <row r="2091" spans="2:2" x14ac:dyDescent="0.3">
      <c r="B2091" s="48" t="str">
        <f t="shared" si="17"/>
        <v/>
      </c>
    </row>
    <row r="2092" spans="2:2" x14ac:dyDescent="0.3">
      <c r="B2092" s="48" t="str">
        <f t="shared" si="17"/>
        <v/>
      </c>
    </row>
    <row r="2093" spans="2:2" x14ac:dyDescent="0.3">
      <c r="B2093" s="48" t="str">
        <f t="shared" si="17"/>
        <v/>
      </c>
    </row>
    <row r="2094" spans="2:2" x14ac:dyDescent="0.3">
      <c r="B2094" s="48" t="str">
        <f t="shared" si="17"/>
        <v/>
      </c>
    </row>
    <row r="2095" spans="2:2" x14ac:dyDescent="0.3">
      <c r="B2095" s="48" t="str">
        <f t="shared" si="17"/>
        <v/>
      </c>
    </row>
    <row r="2096" spans="2:2" x14ac:dyDescent="0.3">
      <c r="B2096" s="48" t="str">
        <f t="shared" si="17"/>
        <v/>
      </c>
    </row>
    <row r="2097" spans="2:2" x14ac:dyDescent="0.3">
      <c r="B2097" s="48" t="str">
        <f t="shared" si="17"/>
        <v/>
      </c>
    </row>
    <row r="2098" spans="2:2" x14ac:dyDescent="0.3">
      <c r="B2098" s="48" t="str">
        <f t="shared" si="17"/>
        <v/>
      </c>
    </row>
    <row r="2099" spans="2:2" x14ac:dyDescent="0.3">
      <c r="B2099" s="48" t="str">
        <f t="shared" si="17"/>
        <v/>
      </c>
    </row>
    <row r="2100" spans="2:2" x14ac:dyDescent="0.3">
      <c r="B2100" s="48" t="str">
        <f t="shared" si="17"/>
        <v/>
      </c>
    </row>
    <row r="2101" spans="2:2" x14ac:dyDescent="0.3">
      <c r="B2101" s="48" t="str">
        <f t="shared" si="17"/>
        <v/>
      </c>
    </row>
    <row r="2102" spans="2:2" x14ac:dyDescent="0.3">
      <c r="B2102" s="48" t="str">
        <f t="shared" si="17"/>
        <v/>
      </c>
    </row>
    <row r="2103" spans="2:2" x14ac:dyDescent="0.3">
      <c r="B2103" s="48" t="str">
        <f t="shared" si="17"/>
        <v/>
      </c>
    </row>
    <row r="2104" spans="2:2" x14ac:dyDescent="0.3">
      <c r="B2104" s="48" t="str">
        <f t="shared" si="17"/>
        <v/>
      </c>
    </row>
    <row r="2105" spans="2:2" x14ac:dyDescent="0.3">
      <c r="B2105" s="48" t="str">
        <f t="shared" si="17"/>
        <v/>
      </c>
    </row>
    <row r="2106" spans="2:2" x14ac:dyDescent="0.3">
      <c r="B2106" s="48" t="str">
        <f t="shared" si="17"/>
        <v/>
      </c>
    </row>
    <row r="2107" spans="2:2" x14ac:dyDescent="0.3">
      <c r="B2107" s="48" t="str">
        <f t="shared" si="17"/>
        <v/>
      </c>
    </row>
    <row r="2108" spans="2:2" x14ac:dyDescent="0.3">
      <c r="B2108" s="48" t="str">
        <f t="shared" si="17"/>
        <v/>
      </c>
    </row>
    <row r="2109" spans="2:2" x14ac:dyDescent="0.3">
      <c r="B2109" s="48" t="str">
        <f t="shared" si="17"/>
        <v/>
      </c>
    </row>
    <row r="2110" spans="2:2" x14ac:dyDescent="0.3">
      <c r="B2110" s="48" t="str">
        <f t="shared" si="17"/>
        <v/>
      </c>
    </row>
    <row r="2111" spans="2:2" x14ac:dyDescent="0.3">
      <c r="B2111" s="48" t="str">
        <f t="shared" si="17"/>
        <v/>
      </c>
    </row>
    <row r="2112" spans="2:2" x14ac:dyDescent="0.3">
      <c r="B2112" s="48" t="str">
        <f t="shared" si="17"/>
        <v/>
      </c>
    </row>
    <row r="2113" spans="2:2" x14ac:dyDescent="0.3">
      <c r="B2113" s="48" t="str">
        <f t="shared" si="17"/>
        <v/>
      </c>
    </row>
    <row r="2114" spans="2:2" x14ac:dyDescent="0.3">
      <c r="B2114" s="48" t="str">
        <f t="shared" si="17"/>
        <v/>
      </c>
    </row>
    <row r="2115" spans="2:2" x14ac:dyDescent="0.3">
      <c r="B2115" s="48" t="str">
        <f t="shared" si="17"/>
        <v/>
      </c>
    </row>
    <row r="2116" spans="2:2" x14ac:dyDescent="0.3">
      <c r="B2116" s="48" t="str">
        <f t="shared" si="17"/>
        <v/>
      </c>
    </row>
    <row r="2117" spans="2:2" x14ac:dyDescent="0.3">
      <c r="B2117" s="48" t="str">
        <f t="shared" si="17"/>
        <v/>
      </c>
    </row>
    <row r="2118" spans="2:2" x14ac:dyDescent="0.3">
      <c r="B2118" s="48" t="str">
        <f t="shared" si="17"/>
        <v/>
      </c>
    </row>
    <row r="2119" spans="2:2" x14ac:dyDescent="0.3">
      <c r="B2119" s="48" t="str">
        <f t="shared" si="17"/>
        <v/>
      </c>
    </row>
    <row r="2120" spans="2:2" x14ac:dyDescent="0.3">
      <c r="B2120" s="48" t="str">
        <f t="shared" si="17"/>
        <v/>
      </c>
    </row>
    <row r="2121" spans="2:2" x14ac:dyDescent="0.3">
      <c r="B2121" s="48" t="str">
        <f t="shared" si="17"/>
        <v/>
      </c>
    </row>
    <row r="2122" spans="2:2" x14ac:dyDescent="0.3">
      <c r="B2122" s="48" t="str">
        <f t="shared" si="17"/>
        <v/>
      </c>
    </row>
    <row r="2123" spans="2:2" x14ac:dyDescent="0.3">
      <c r="B2123" s="48" t="str">
        <f t="shared" si="17"/>
        <v/>
      </c>
    </row>
    <row r="2124" spans="2:2" x14ac:dyDescent="0.3">
      <c r="B2124" s="48" t="str">
        <f t="shared" si="17"/>
        <v/>
      </c>
    </row>
    <row r="2125" spans="2:2" x14ac:dyDescent="0.3">
      <c r="B2125" s="48" t="str">
        <f t="shared" si="17"/>
        <v/>
      </c>
    </row>
    <row r="2126" spans="2:2" x14ac:dyDescent="0.3">
      <c r="B2126" s="48" t="str">
        <f t="shared" si="17"/>
        <v/>
      </c>
    </row>
    <row r="2127" spans="2:2" x14ac:dyDescent="0.3">
      <c r="B2127" s="48" t="str">
        <f t="shared" si="17"/>
        <v/>
      </c>
    </row>
    <row r="2128" spans="2:2" x14ac:dyDescent="0.3">
      <c r="B2128" s="48" t="str">
        <f t="shared" si="17"/>
        <v/>
      </c>
    </row>
    <row r="2129" spans="2:2" x14ac:dyDescent="0.3">
      <c r="B2129" s="48" t="str">
        <f t="shared" si="17"/>
        <v/>
      </c>
    </row>
    <row r="2130" spans="2:2" x14ac:dyDescent="0.3">
      <c r="B2130" s="48" t="str">
        <f t="shared" si="17"/>
        <v/>
      </c>
    </row>
    <row r="2131" spans="2:2" x14ac:dyDescent="0.3">
      <c r="B2131" s="48" t="str">
        <f t="shared" si="17"/>
        <v/>
      </c>
    </row>
    <row r="2132" spans="2:2" x14ac:dyDescent="0.3">
      <c r="B2132" s="48" t="str">
        <f t="shared" si="17"/>
        <v/>
      </c>
    </row>
    <row r="2133" spans="2:2" x14ac:dyDescent="0.3">
      <c r="B2133" s="48" t="str">
        <f t="shared" si="17"/>
        <v/>
      </c>
    </row>
    <row r="2134" spans="2:2" x14ac:dyDescent="0.3">
      <c r="B2134" s="48" t="str">
        <f t="shared" si="17"/>
        <v/>
      </c>
    </row>
    <row r="2135" spans="2:2" x14ac:dyDescent="0.3">
      <c r="B2135" s="48" t="str">
        <f t="shared" si="17"/>
        <v/>
      </c>
    </row>
    <row r="2136" spans="2:2" x14ac:dyDescent="0.3">
      <c r="B2136" s="48" t="str">
        <f t="shared" si="17"/>
        <v/>
      </c>
    </row>
    <row r="2137" spans="2:2" x14ac:dyDescent="0.3">
      <c r="B2137" s="48" t="str">
        <f t="shared" si="17"/>
        <v/>
      </c>
    </row>
    <row r="2138" spans="2:2" x14ac:dyDescent="0.3">
      <c r="B2138" s="48" t="str">
        <f t="shared" si="17"/>
        <v/>
      </c>
    </row>
    <row r="2139" spans="2:2" x14ac:dyDescent="0.3">
      <c r="B2139" s="48" t="str">
        <f t="shared" si="17"/>
        <v/>
      </c>
    </row>
    <row r="2140" spans="2:2" x14ac:dyDescent="0.3">
      <c r="B2140" s="48" t="str">
        <f t="shared" si="17"/>
        <v/>
      </c>
    </row>
    <row r="2141" spans="2:2" x14ac:dyDescent="0.3">
      <c r="B2141" s="48" t="str">
        <f t="shared" si="17"/>
        <v/>
      </c>
    </row>
    <row r="2142" spans="2:2" x14ac:dyDescent="0.3">
      <c r="B2142" s="48" t="str">
        <f t="shared" si="17"/>
        <v/>
      </c>
    </row>
    <row r="2143" spans="2:2" x14ac:dyDescent="0.3">
      <c r="B2143" s="48" t="str">
        <f t="shared" si="17"/>
        <v/>
      </c>
    </row>
    <row r="2144" spans="2:2" x14ac:dyDescent="0.3">
      <c r="B2144" s="48" t="str">
        <f t="shared" si="17"/>
        <v/>
      </c>
    </row>
    <row r="2145" spans="2:2" x14ac:dyDescent="0.3">
      <c r="B2145" s="48" t="str">
        <f t="shared" si="17"/>
        <v/>
      </c>
    </row>
    <row r="2146" spans="2:2" x14ac:dyDescent="0.3">
      <c r="B2146" s="48" t="str">
        <f t="shared" si="17"/>
        <v/>
      </c>
    </row>
    <row r="2147" spans="2:2" x14ac:dyDescent="0.3">
      <c r="B2147" s="48" t="str">
        <f t="shared" si="17"/>
        <v/>
      </c>
    </row>
    <row r="2148" spans="2:2" x14ac:dyDescent="0.3">
      <c r="B2148" s="48" t="str">
        <f t="shared" si="17"/>
        <v/>
      </c>
    </row>
    <row r="2149" spans="2:2" x14ac:dyDescent="0.3">
      <c r="B2149" s="48" t="str">
        <f t="shared" si="17"/>
        <v/>
      </c>
    </row>
    <row r="2150" spans="2:2" x14ac:dyDescent="0.3">
      <c r="B2150" s="48" t="str">
        <f t="shared" si="17"/>
        <v/>
      </c>
    </row>
    <row r="2151" spans="2:2" x14ac:dyDescent="0.3">
      <c r="B2151" s="48" t="str">
        <f t="shared" si="17"/>
        <v/>
      </c>
    </row>
    <row r="2152" spans="2:2" x14ac:dyDescent="0.3">
      <c r="B2152" s="48" t="str">
        <f t="shared" ref="B2152:B2215" si="18">IF($A2152="Daily", "n/a", "")</f>
        <v/>
      </c>
    </row>
    <row r="2153" spans="2:2" x14ac:dyDescent="0.3">
      <c r="B2153" s="48" t="str">
        <f t="shared" si="18"/>
        <v/>
      </c>
    </row>
    <row r="2154" spans="2:2" x14ac:dyDescent="0.3">
      <c r="B2154" s="48" t="str">
        <f t="shared" si="18"/>
        <v/>
      </c>
    </row>
    <row r="2155" spans="2:2" x14ac:dyDescent="0.3">
      <c r="B2155" s="48" t="str">
        <f t="shared" si="18"/>
        <v/>
      </c>
    </row>
    <row r="2156" spans="2:2" x14ac:dyDescent="0.3">
      <c r="B2156" s="48" t="str">
        <f t="shared" si="18"/>
        <v/>
      </c>
    </row>
    <row r="2157" spans="2:2" x14ac:dyDescent="0.3">
      <c r="B2157" s="48" t="str">
        <f t="shared" si="18"/>
        <v/>
      </c>
    </row>
    <row r="2158" spans="2:2" x14ac:dyDescent="0.3">
      <c r="B2158" s="48" t="str">
        <f t="shared" si="18"/>
        <v/>
      </c>
    </row>
    <row r="2159" spans="2:2" x14ac:dyDescent="0.3">
      <c r="B2159" s="48" t="str">
        <f t="shared" si="18"/>
        <v/>
      </c>
    </row>
    <row r="2160" spans="2:2" x14ac:dyDescent="0.3">
      <c r="B2160" s="48" t="str">
        <f t="shared" si="18"/>
        <v/>
      </c>
    </row>
    <row r="2161" spans="2:2" x14ac:dyDescent="0.3">
      <c r="B2161" s="48" t="str">
        <f t="shared" si="18"/>
        <v/>
      </c>
    </row>
    <row r="2162" spans="2:2" x14ac:dyDescent="0.3">
      <c r="B2162" s="48" t="str">
        <f t="shared" si="18"/>
        <v/>
      </c>
    </row>
    <row r="2163" spans="2:2" x14ac:dyDescent="0.3">
      <c r="B2163" s="48" t="str">
        <f t="shared" si="18"/>
        <v/>
      </c>
    </row>
    <row r="2164" spans="2:2" x14ac:dyDescent="0.3">
      <c r="B2164" s="48" t="str">
        <f t="shared" si="18"/>
        <v/>
      </c>
    </row>
    <row r="2165" spans="2:2" x14ac:dyDescent="0.3">
      <c r="B2165" s="48" t="str">
        <f t="shared" si="18"/>
        <v/>
      </c>
    </row>
    <row r="2166" spans="2:2" x14ac:dyDescent="0.3">
      <c r="B2166" s="48" t="str">
        <f t="shared" si="18"/>
        <v/>
      </c>
    </row>
    <row r="2167" spans="2:2" x14ac:dyDescent="0.3">
      <c r="B2167" s="48" t="str">
        <f t="shared" si="18"/>
        <v/>
      </c>
    </row>
    <row r="2168" spans="2:2" x14ac:dyDescent="0.3">
      <c r="B2168" s="48" t="str">
        <f t="shared" si="18"/>
        <v/>
      </c>
    </row>
    <row r="2169" spans="2:2" x14ac:dyDescent="0.3">
      <c r="B2169" s="48" t="str">
        <f t="shared" si="18"/>
        <v/>
      </c>
    </row>
    <row r="2170" spans="2:2" x14ac:dyDescent="0.3">
      <c r="B2170" s="48" t="str">
        <f t="shared" si="18"/>
        <v/>
      </c>
    </row>
    <row r="2171" spans="2:2" x14ac:dyDescent="0.3">
      <c r="B2171" s="48" t="str">
        <f t="shared" si="18"/>
        <v/>
      </c>
    </row>
    <row r="2172" spans="2:2" x14ac:dyDescent="0.3">
      <c r="B2172" s="48" t="str">
        <f t="shared" si="18"/>
        <v/>
      </c>
    </row>
    <row r="2173" spans="2:2" x14ac:dyDescent="0.3">
      <c r="B2173" s="48" t="str">
        <f t="shared" si="18"/>
        <v/>
      </c>
    </row>
    <row r="2174" spans="2:2" x14ac:dyDescent="0.3">
      <c r="B2174" s="48" t="str">
        <f t="shared" si="18"/>
        <v/>
      </c>
    </row>
    <row r="2175" spans="2:2" x14ac:dyDescent="0.3">
      <c r="B2175" s="48" t="str">
        <f t="shared" si="18"/>
        <v/>
      </c>
    </row>
    <row r="2176" spans="2:2" x14ac:dyDescent="0.3">
      <c r="B2176" s="48" t="str">
        <f t="shared" si="18"/>
        <v/>
      </c>
    </row>
    <row r="2177" spans="2:2" x14ac:dyDescent="0.3">
      <c r="B2177" s="48" t="str">
        <f t="shared" si="18"/>
        <v/>
      </c>
    </row>
    <row r="2178" spans="2:2" x14ac:dyDescent="0.3">
      <c r="B2178" s="48" t="str">
        <f t="shared" si="18"/>
        <v/>
      </c>
    </row>
    <row r="2179" spans="2:2" x14ac:dyDescent="0.3">
      <c r="B2179" s="48" t="str">
        <f t="shared" si="18"/>
        <v/>
      </c>
    </row>
    <row r="2180" spans="2:2" x14ac:dyDescent="0.3">
      <c r="B2180" s="48" t="str">
        <f t="shared" si="18"/>
        <v/>
      </c>
    </row>
    <row r="2181" spans="2:2" x14ac:dyDescent="0.3">
      <c r="B2181" s="48" t="str">
        <f t="shared" si="18"/>
        <v/>
      </c>
    </row>
    <row r="2182" spans="2:2" x14ac:dyDescent="0.3">
      <c r="B2182" s="48" t="str">
        <f t="shared" si="18"/>
        <v/>
      </c>
    </row>
    <row r="2183" spans="2:2" x14ac:dyDescent="0.3">
      <c r="B2183" s="48" t="str">
        <f t="shared" si="18"/>
        <v/>
      </c>
    </row>
    <row r="2184" spans="2:2" x14ac:dyDescent="0.3">
      <c r="B2184" s="48" t="str">
        <f t="shared" si="18"/>
        <v/>
      </c>
    </row>
    <row r="2185" spans="2:2" x14ac:dyDescent="0.3">
      <c r="B2185" s="48" t="str">
        <f t="shared" si="18"/>
        <v/>
      </c>
    </row>
    <row r="2186" spans="2:2" x14ac:dyDescent="0.3">
      <c r="B2186" s="48" t="str">
        <f t="shared" si="18"/>
        <v/>
      </c>
    </row>
    <row r="2187" spans="2:2" x14ac:dyDescent="0.3">
      <c r="B2187" s="48" t="str">
        <f t="shared" si="18"/>
        <v/>
      </c>
    </row>
    <row r="2188" spans="2:2" x14ac:dyDescent="0.3">
      <c r="B2188" s="48" t="str">
        <f t="shared" si="18"/>
        <v/>
      </c>
    </row>
    <row r="2189" spans="2:2" x14ac:dyDescent="0.3">
      <c r="B2189" s="48" t="str">
        <f t="shared" si="18"/>
        <v/>
      </c>
    </row>
    <row r="2190" spans="2:2" x14ac:dyDescent="0.3">
      <c r="B2190" s="48" t="str">
        <f t="shared" si="18"/>
        <v/>
      </c>
    </row>
    <row r="2191" spans="2:2" x14ac:dyDescent="0.3">
      <c r="B2191" s="48" t="str">
        <f t="shared" si="18"/>
        <v/>
      </c>
    </row>
    <row r="2192" spans="2:2" x14ac:dyDescent="0.3">
      <c r="B2192" s="48" t="str">
        <f t="shared" si="18"/>
        <v/>
      </c>
    </row>
    <row r="2193" spans="2:2" x14ac:dyDescent="0.3">
      <c r="B2193" s="48" t="str">
        <f t="shared" si="18"/>
        <v/>
      </c>
    </row>
    <row r="2194" spans="2:2" x14ac:dyDescent="0.3">
      <c r="B2194" s="48" t="str">
        <f t="shared" si="18"/>
        <v/>
      </c>
    </row>
    <row r="2195" spans="2:2" x14ac:dyDescent="0.3">
      <c r="B2195" s="48" t="str">
        <f t="shared" si="18"/>
        <v/>
      </c>
    </row>
    <row r="2196" spans="2:2" x14ac:dyDescent="0.3">
      <c r="B2196" s="48" t="str">
        <f t="shared" si="18"/>
        <v/>
      </c>
    </row>
    <row r="2197" spans="2:2" x14ac:dyDescent="0.3">
      <c r="B2197" s="48" t="str">
        <f t="shared" si="18"/>
        <v/>
      </c>
    </row>
    <row r="2198" spans="2:2" x14ac:dyDescent="0.3">
      <c r="B2198" s="48" t="str">
        <f t="shared" si="18"/>
        <v/>
      </c>
    </row>
    <row r="2199" spans="2:2" x14ac:dyDescent="0.3">
      <c r="B2199" s="48" t="str">
        <f t="shared" si="18"/>
        <v/>
      </c>
    </row>
    <row r="2200" spans="2:2" x14ac:dyDescent="0.3">
      <c r="B2200" s="48" t="str">
        <f t="shared" si="18"/>
        <v/>
      </c>
    </row>
    <row r="2201" spans="2:2" x14ac:dyDescent="0.3">
      <c r="B2201" s="48" t="str">
        <f t="shared" si="18"/>
        <v/>
      </c>
    </row>
    <row r="2202" spans="2:2" x14ac:dyDescent="0.3">
      <c r="B2202" s="48" t="str">
        <f t="shared" si="18"/>
        <v/>
      </c>
    </row>
    <row r="2203" spans="2:2" x14ac:dyDescent="0.3">
      <c r="B2203" s="48" t="str">
        <f t="shared" si="18"/>
        <v/>
      </c>
    </row>
    <row r="2204" spans="2:2" x14ac:dyDescent="0.3">
      <c r="B2204" s="48" t="str">
        <f t="shared" si="18"/>
        <v/>
      </c>
    </row>
    <row r="2205" spans="2:2" x14ac:dyDescent="0.3">
      <c r="B2205" s="48" t="str">
        <f t="shared" si="18"/>
        <v/>
      </c>
    </row>
    <row r="2206" spans="2:2" x14ac:dyDescent="0.3">
      <c r="B2206" s="48" t="str">
        <f t="shared" si="18"/>
        <v/>
      </c>
    </row>
    <row r="2207" spans="2:2" x14ac:dyDescent="0.3">
      <c r="B2207" s="48" t="str">
        <f t="shared" si="18"/>
        <v/>
      </c>
    </row>
    <row r="2208" spans="2:2" x14ac:dyDescent="0.3">
      <c r="B2208" s="48" t="str">
        <f t="shared" si="18"/>
        <v/>
      </c>
    </row>
    <row r="2209" spans="2:2" x14ac:dyDescent="0.3">
      <c r="B2209" s="48" t="str">
        <f t="shared" si="18"/>
        <v/>
      </c>
    </row>
    <row r="2210" spans="2:2" x14ac:dyDescent="0.3">
      <c r="B2210" s="48" t="str">
        <f t="shared" si="18"/>
        <v/>
      </c>
    </row>
    <row r="2211" spans="2:2" x14ac:dyDescent="0.3">
      <c r="B2211" s="48" t="str">
        <f t="shared" si="18"/>
        <v/>
      </c>
    </row>
    <row r="2212" spans="2:2" x14ac:dyDescent="0.3">
      <c r="B2212" s="48" t="str">
        <f t="shared" si="18"/>
        <v/>
      </c>
    </row>
    <row r="2213" spans="2:2" x14ac:dyDescent="0.3">
      <c r="B2213" s="48" t="str">
        <f t="shared" si="18"/>
        <v/>
      </c>
    </row>
    <row r="2214" spans="2:2" x14ac:dyDescent="0.3">
      <c r="B2214" s="48" t="str">
        <f t="shared" si="18"/>
        <v/>
      </c>
    </row>
    <row r="2215" spans="2:2" x14ac:dyDescent="0.3">
      <c r="B2215" s="48" t="str">
        <f t="shared" si="18"/>
        <v/>
      </c>
    </row>
    <row r="2216" spans="2:2" x14ac:dyDescent="0.3">
      <c r="B2216" s="48" t="str">
        <f t="shared" ref="B2216:B2279" si="19">IF($A2216="Daily", "n/a", "")</f>
        <v/>
      </c>
    </row>
    <row r="2217" spans="2:2" x14ac:dyDescent="0.3">
      <c r="B2217" s="48" t="str">
        <f t="shared" si="19"/>
        <v/>
      </c>
    </row>
    <row r="2218" spans="2:2" x14ac:dyDescent="0.3">
      <c r="B2218" s="48" t="str">
        <f t="shared" si="19"/>
        <v/>
      </c>
    </row>
    <row r="2219" spans="2:2" x14ac:dyDescent="0.3">
      <c r="B2219" s="48" t="str">
        <f t="shared" si="19"/>
        <v/>
      </c>
    </row>
    <row r="2220" spans="2:2" x14ac:dyDescent="0.3">
      <c r="B2220" s="48" t="str">
        <f t="shared" si="19"/>
        <v/>
      </c>
    </row>
    <row r="2221" spans="2:2" x14ac:dyDescent="0.3">
      <c r="B2221" s="48" t="str">
        <f t="shared" si="19"/>
        <v/>
      </c>
    </row>
    <row r="2222" spans="2:2" x14ac:dyDescent="0.3">
      <c r="B2222" s="48" t="str">
        <f t="shared" si="19"/>
        <v/>
      </c>
    </row>
    <row r="2223" spans="2:2" x14ac:dyDescent="0.3">
      <c r="B2223" s="48" t="str">
        <f t="shared" si="19"/>
        <v/>
      </c>
    </row>
    <row r="2224" spans="2:2" x14ac:dyDescent="0.3">
      <c r="B2224" s="48" t="str">
        <f t="shared" si="19"/>
        <v/>
      </c>
    </row>
    <row r="2225" spans="2:2" x14ac:dyDescent="0.3">
      <c r="B2225" s="48" t="str">
        <f t="shared" si="19"/>
        <v/>
      </c>
    </row>
    <row r="2226" spans="2:2" x14ac:dyDescent="0.3">
      <c r="B2226" s="48" t="str">
        <f t="shared" si="19"/>
        <v/>
      </c>
    </row>
    <row r="2227" spans="2:2" x14ac:dyDescent="0.3">
      <c r="B2227" s="48" t="str">
        <f t="shared" si="19"/>
        <v/>
      </c>
    </row>
    <row r="2228" spans="2:2" x14ac:dyDescent="0.3">
      <c r="B2228" s="48" t="str">
        <f t="shared" si="19"/>
        <v/>
      </c>
    </row>
    <row r="2229" spans="2:2" x14ac:dyDescent="0.3">
      <c r="B2229" s="48" t="str">
        <f t="shared" si="19"/>
        <v/>
      </c>
    </row>
    <row r="2230" spans="2:2" x14ac:dyDescent="0.3">
      <c r="B2230" s="48" t="str">
        <f t="shared" si="19"/>
        <v/>
      </c>
    </row>
    <row r="2231" spans="2:2" x14ac:dyDescent="0.3">
      <c r="B2231" s="48" t="str">
        <f t="shared" si="19"/>
        <v/>
      </c>
    </row>
    <row r="2232" spans="2:2" x14ac:dyDescent="0.3">
      <c r="B2232" s="48" t="str">
        <f t="shared" si="19"/>
        <v/>
      </c>
    </row>
    <row r="2233" spans="2:2" x14ac:dyDescent="0.3">
      <c r="B2233" s="48" t="str">
        <f t="shared" si="19"/>
        <v/>
      </c>
    </row>
    <row r="2234" spans="2:2" x14ac:dyDescent="0.3">
      <c r="B2234" s="48" t="str">
        <f t="shared" si="19"/>
        <v/>
      </c>
    </row>
    <row r="2235" spans="2:2" x14ac:dyDescent="0.3">
      <c r="B2235" s="48" t="str">
        <f t="shared" si="19"/>
        <v/>
      </c>
    </row>
    <row r="2236" spans="2:2" x14ac:dyDescent="0.3">
      <c r="B2236" s="48" t="str">
        <f t="shared" si="19"/>
        <v/>
      </c>
    </row>
    <row r="2237" spans="2:2" x14ac:dyDescent="0.3">
      <c r="B2237" s="48" t="str">
        <f t="shared" si="19"/>
        <v/>
      </c>
    </row>
    <row r="2238" spans="2:2" x14ac:dyDescent="0.3">
      <c r="B2238" s="48" t="str">
        <f t="shared" si="19"/>
        <v/>
      </c>
    </row>
    <row r="2239" spans="2:2" x14ac:dyDescent="0.3">
      <c r="B2239" s="48" t="str">
        <f t="shared" si="19"/>
        <v/>
      </c>
    </row>
    <row r="2240" spans="2:2" x14ac:dyDescent="0.3">
      <c r="B2240" s="48" t="str">
        <f t="shared" si="19"/>
        <v/>
      </c>
    </row>
    <row r="2241" spans="2:2" x14ac:dyDescent="0.3">
      <c r="B2241" s="48" t="str">
        <f t="shared" si="19"/>
        <v/>
      </c>
    </row>
    <row r="2242" spans="2:2" x14ac:dyDescent="0.3">
      <c r="B2242" s="48" t="str">
        <f t="shared" si="19"/>
        <v/>
      </c>
    </row>
    <row r="2243" spans="2:2" x14ac:dyDescent="0.3">
      <c r="B2243" s="48" t="str">
        <f t="shared" si="19"/>
        <v/>
      </c>
    </row>
    <row r="2244" spans="2:2" x14ac:dyDescent="0.3">
      <c r="B2244" s="48" t="str">
        <f t="shared" si="19"/>
        <v/>
      </c>
    </row>
    <row r="2245" spans="2:2" x14ac:dyDescent="0.3">
      <c r="B2245" s="48" t="str">
        <f t="shared" si="19"/>
        <v/>
      </c>
    </row>
    <row r="2246" spans="2:2" x14ac:dyDescent="0.3">
      <c r="B2246" s="48" t="str">
        <f t="shared" si="19"/>
        <v/>
      </c>
    </row>
    <row r="2247" spans="2:2" x14ac:dyDescent="0.3">
      <c r="B2247" s="48" t="str">
        <f t="shared" si="19"/>
        <v/>
      </c>
    </row>
    <row r="2248" spans="2:2" x14ac:dyDescent="0.3">
      <c r="B2248" s="48" t="str">
        <f t="shared" si="19"/>
        <v/>
      </c>
    </row>
    <row r="2249" spans="2:2" x14ac:dyDescent="0.3">
      <c r="B2249" s="48" t="str">
        <f t="shared" si="19"/>
        <v/>
      </c>
    </row>
    <row r="2250" spans="2:2" x14ac:dyDescent="0.3">
      <c r="B2250" s="48" t="str">
        <f t="shared" si="19"/>
        <v/>
      </c>
    </row>
    <row r="2251" spans="2:2" x14ac:dyDescent="0.3">
      <c r="B2251" s="48" t="str">
        <f t="shared" si="19"/>
        <v/>
      </c>
    </row>
    <row r="2252" spans="2:2" x14ac:dyDescent="0.3">
      <c r="B2252" s="48" t="str">
        <f t="shared" si="19"/>
        <v/>
      </c>
    </row>
    <row r="2253" spans="2:2" x14ac:dyDescent="0.3">
      <c r="B2253" s="48" t="str">
        <f t="shared" si="19"/>
        <v/>
      </c>
    </row>
    <row r="2254" spans="2:2" x14ac:dyDescent="0.3">
      <c r="B2254" s="48" t="str">
        <f t="shared" si="19"/>
        <v/>
      </c>
    </row>
    <row r="2255" spans="2:2" x14ac:dyDescent="0.3">
      <c r="B2255" s="48" t="str">
        <f t="shared" si="19"/>
        <v/>
      </c>
    </row>
    <row r="2256" spans="2:2" x14ac:dyDescent="0.3">
      <c r="B2256" s="48" t="str">
        <f t="shared" si="19"/>
        <v/>
      </c>
    </row>
    <row r="2257" spans="2:2" x14ac:dyDescent="0.3">
      <c r="B2257" s="48" t="str">
        <f t="shared" si="19"/>
        <v/>
      </c>
    </row>
    <row r="2258" spans="2:2" x14ac:dyDescent="0.3">
      <c r="B2258" s="48" t="str">
        <f t="shared" si="19"/>
        <v/>
      </c>
    </row>
    <row r="2259" spans="2:2" x14ac:dyDescent="0.3">
      <c r="B2259" s="48" t="str">
        <f t="shared" si="19"/>
        <v/>
      </c>
    </row>
    <row r="2260" spans="2:2" x14ac:dyDescent="0.3">
      <c r="B2260" s="48" t="str">
        <f t="shared" si="19"/>
        <v/>
      </c>
    </row>
    <row r="2261" spans="2:2" x14ac:dyDescent="0.3">
      <c r="B2261" s="48" t="str">
        <f t="shared" si="19"/>
        <v/>
      </c>
    </row>
    <row r="2262" spans="2:2" x14ac:dyDescent="0.3">
      <c r="B2262" s="48" t="str">
        <f t="shared" si="19"/>
        <v/>
      </c>
    </row>
    <row r="2263" spans="2:2" x14ac:dyDescent="0.3">
      <c r="B2263" s="48" t="str">
        <f t="shared" si="19"/>
        <v/>
      </c>
    </row>
    <row r="2264" spans="2:2" x14ac:dyDescent="0.3">
      <c r="B2264" s="48" t="str">
        <f t="shared" si="19"/>
        <v/>
      </c>
    </row>
    <row r="2265" spans="2:2" x14ac:dyDescent="0.3">
      <c r="B2265" s="48" t="str">
        <f t="shared" si="19"/>
        <v/>
      </c>
    </row>
    <row r="2266" spans="2:2" x14ac:dyDescent="0.3">
      <c r="B2266" s="48" t="str">
        <f t="shared" si="19"/>
        <v/>
      </c>
    </row>
    <row r="2267" spans="2:2" x14ac:dyDescent="0.3">
      <c r="B2267" s="48" t="str">
        <f t="shared" si="19"/>
        <v/>
      </c>
    </row>
    <row r="2268" spans="2:2" x14ac:dyDescent="0.3">
      <c r="B2268" s="48" t="str">
        <f t="shared" si="19"/>
        <v/>
      </c>
    </row>
    <row r="2269" spans="2:2" x14ac:dyDescent="0.3">
      <c r="B2269" s="48" t="str">
        <f t="shared" si="19"/>
        <v/>
      </c>
    </row>
    <row r="2270" spans="2:2" x14ac:dyDescent="0.3">
      <c r="B2270" s="48" t="str">
        <f t="shared" si="19"/>
        <v/>
      </c>
    </row>
    <row r="2271" spans="2:2" x14ac:dyDescent="0.3">
      <c r="B2271" s="48" t="str">
        <f t="shared" si="19"/>
        <v/>
      </c>
    </row>
    <row r="2272" spans="2:2" x14ac:dyDescent="0.3">
      <c r="B2272" s="48" t="str">
        <f t="shared" si="19"/>
        <v/>
      </c>
    </row>
    <row r="2273" spans="2:2" x14ac:dyDescent="0.3">
      <c r="B2273" s="48" t="str">
        <f t="shared" si="19"/>
        <v/>
      </c>
    </row>
    <row r="2274" spans="2:2" x14ac:dyDescent="0.3">
      <c r="B2274" s="48" t="str">
        <f t="shared" si="19"/>
        <v/>
      </c>
    </row>
    <row r="2275" spans="2:2" x14ac:dyDescent="0.3">
      <c r="B2275" s="48" t="str">
        <f t="shared" si="19"/>
        <v/>
      </c>
    </row>
    <row r="2276" spans="2:2" x14ac:dyDescent="0.3">
      <c r="B2276" s="48" t="str">
        <f t="shared" si="19"/>
        <v/>
      </c>
    </row>
    <row r="2277" spans="2:2" x14ac:dyDescent="0.3">
      <c r="B2277" s="48" t="str">
        <f t="shared" si="19"/>
        <v/>
      </c>
    </row>
    <row r="2278" spans="2:2" x14ac:dyDescent="0.3">
      <c r="B2278" s="48" t="str">
        <f t="shared" si="19"/>
        <v/>
      </c>
    </row>
    <row r="2279" spans="2:2" x14ac:dyDescent="0.3">
      <c r="B2279" s="48" t="str">
        <f t="shared" si="19"/>
        <v/>
      </c>
    </row>
    <row r="2280" spans="2:2" x14ac:dyDescent="0.3">
      <c r="B2280" s="48" t="str">
        <f t="shared" ref="B2280:B2343" si="20">IF($A2280="Daily", "n/a", "")</f>
        <v/>
      </c>
    </row>
    <row r="2281" spans="2:2" x14ac:dyDescent="0.3">
      <c r="B2281" s="48" t="str">
        <f t="shared" si="20"/>
        <v/>
      </c>
    </row>
    <row r="2282" spans="2:2" x14ac:dyDescent="0.3">
      <c r="B2282" s="48" t="str">
        <f t="shared" si="20"/>
        <v/>
      </c>
    </row>
    <row r="2283" spans="2:2" x14ac:dyDescent="0.3">
      <c r="B2283" s="48" t="str">
        <f t="shared" si="20"/>
        <v/>
      </c>
    </row>
    <row r="2284" spans="2:2" x14ac:dyDescent="0.3">
      <c r="B2284" s="48" t="str">
        <f t="shared" si="20"/>
        <v/>
      </c>
    </row>
    <row r="2285" spans="2:2" x14ac:dyDescent="0.3">
      <c r="B2285" s="48" t="str">
        <f t="shared" si="20"/>
        <v/>
      </c>
    </row>
    <row r="2286" spans="2:2" x14ac:dyDescent="0.3">
      <c r="B2286" s="48" t="str">
        <f t="shared" si="20"/>
        <v/>
      </c>
    </row>
    <row r="2287" spans="2:2" x14ac:dyDescent="0.3">
      <c r="B2287" s="48" t="str">
        <f t="shared" si="20"/>
        <v/>
      </c>
    </row>
    <row r="2288" spans="2:2" x14ac:dyDescent="0.3">
      <c r="B2288" s="48" t="str">
        <f t="shared" si="20"/>
        <v/>
      </c>
    </row>
    <row r="2289" spans="2:2" x14ac:dyDescent="0.3">
      <c r="B2289" s="48" t="str">
        <f t="shared" si="20"/>
        <v/>
      </c>
    </row>
    <row r="2290" spans="2:2" x14ac:dyDescent="0.3">
      <c r="B2290" s="48" t="str">
        <f t="shared" si="20"/>
        <v/>
      </c>
    </row>
    <row r="2291" spans="2:2" x14ac:dyDescent="0.3">
      <c r="B2291" s="48" t="str">
        <f t="shared" si="20"/>
        <v/>
      </c>
    </row>
    <row r="2292" spans="2:2" x14ac:dyDescent="0.3">
      <c r="B2292" s="48" t="str">
        <f t="shared" si="20"/>
        <v/>
      </c>
    </row>
    <row r="2293" spans="2:2" x14ac:dyDescent="0.3">
      <c r="B2293" s="48" t="str">
        <f t="shared" si="20"/>
        <v/>
      </c>
    </row>
    <row r="2294" spans="2:2" x14ac:dyDescent="0.3">
      <c r="B2294" s="48" t="str">
        <f t="shared" si="20"/>
        <v/>
      </c>
    </row>
    <row r="2295" spans="2:2" x14ac:dyDescent="0.3">
      <c r="B2295" s="48" t="str">
        <f t="shared" si="20"/>
        <v/>
      </c>
    </row>
    <row r="2296" spans="2:2" x14ac:dyDescent="0.3">
      <c r="B2296" s="48" t="str">
        <f t="shared" si="20"/>
        <v/>
      </c>
    </row>
    <row r="2297" spans="2:2" x14ac:dyDescent="0.3">
      <c r="B2297" s="48" t="str">
        <f t="shared" si="20"/>
        <v/>
      </c>
    </row>
    <row r="2298" spans="2:2" x14ac:dyDescent="0.3">
      <c r="B2298" s="48" t="str">
        <f t="shared" si="20"/>
        <v/>
      </c>
    </row>
    <row r="2299" spans="2:2" x14ac:dyDescent="0.3">
      <c r="B2299" s="48" t="str">
        <f t="shared" si="20"/>
        <v/>
      </c>
    </row>
    <row r="2300" spans="2:2" x14ac:dyDescent="0.3">
      <c r="B2300" s="48" t="str">
        <f t="shared" si="20"/>
        <v/>
      </c>
    </row>
    <row r="2301" spans="2:2" x14ac:dyDescent="0.3">
      <c r="B2301" s="48" t="str">
        <f t="shared" si="20"/>
        <v/>
      </c>
    </row>
    <row r="2302" spans="2:2" x14ac:dyDescent="0.3">
      <c r="B2302" s="48" t="str">
        <f t="shared" si="20"/>
        <v/>
      </c>
    </row>
    <row r="2303" spans="2:2" x14ac:dyDescent="0.3">
      <c r="B2303" s="48" t="str">
        <f t="shared" si="20"/>
        <v/>
      </c>
    </row>
    <row r="2304" spans="2:2" x14ac:dyDescent="0.3">
      <c r="B2304" s="48" t="str">
        <f t="shared" si="20"/>
        <v/>
      </c>
    </row>
    <row r="2305" spans="2:2" x14ac:dyDescent="0.3">
      <c r="B2305" s="48" t="str">
        <f t="shared" si="20"/>
        <v/>
      </c>
    </row>
    <row r="2306" spans="2:2" x14ac:dyDescent="0.3">
      <c r="B2306" s="48" t="str">
        <f t="shared" si="20"/>
        <v/>
      </c>
    </row>
    <row r="2307" spans="2:2" x14ac:dyDescent="0.3">
      <c r="B2307" s="48" t="str">
        <f t="shared" si="20"/>
        <v/>
      </c>
    </row>
    <row r="2308" spans="2:2" x14ac:dyDescent="0.3">
      <c r="B2308" s="48" t="str">
        <f t="shared" si="20"/>
        <v/>
      </c>
    </row>
    <row r="2309" spans="2:2" x14ac:dyDescent="0.3">
      <c r="B2309" s="48" t="str">
        <f t="shared" si="20"/>
        <v/>
      </c>
    </row>
    <row r="2310" spans="2:2" x14ac:dyDescent="0.3">
      <c r="B2310" s="48" t="str">
        <f t="shared" si="20"/>
        <v/>
      </c>
    </row>
    <row r="2311" spans="2:2" x14ac:dyDescent="0.3">
      <c r="B2311" s="48" t="str">
        <f t="shared" si="20"/>
        <v/>
      </c>
    </row>
    <row r="2312" spans="2:2" x14ac:dyDescent="0.3">
      <c r="B2312" s="48" t="str">
        <f t="shared" si="20"/>
        <v/>
      </c>
    </row>
    <row r="2313" spans="2:2" x14ac:dyDescent="0.3">
      <c r="B2313" s="48" t="str">
        <f t="shared" si="20"/>
        <v/>
      </c>
    </row>
    <row r="2314" spans="2:2" x14ac:dyDescent="0.3">
      <c r="B2314" s="48" t="str">
        <f t="shared" si="20"/>
        <v/>
      </c>
    </row>
    <row r="2315" spans="2:2" x14ac:dyDescent="0.3">
      <c r="B2315" s="48" t="str">
        <f t="shared" si="20"/>
        <v/>
      </c>
    </row>
    <row r="2316" spans="2:2" x14ac:dyDescent="0.3">
      <c r="B2316" s="48" t="str">
        <f t="shared" si="20"/>
        <v/>
      </c>
    </row>
    <row r="2317" spans="2:2" x14ac:dyDescent="0.3">
      <c r="B2317" s="48" t="str">
        <f t="shared" si="20"/>
        <v/>
      </c>
    </row>
    <row r="2318" spans="2:2" x14ac:dyDescent="0.3">
      <c r="B2318" s="48" t="str">
        <f t="shared" si="20"/>
        <v/>
      </c>
    </row>
    <row r="2319" spans="2:2" x14ac:dyDescent="0.3">
      <c r="B2319" s="48" t="str">
        <f t="shared" si="20"/>
        <v/>
      </c>
    </row>
    <row r="2320" spans="2:2" x14ac:dyDescent="0.3">
      <c r="B2320" s="48" t="str">
        <f t="shared" si="20"/>
        <v/>
      </c>
    </row>
    <row r="2321" spans="2:2" x14ac:dyDescent="0.3">
      <c r="B2321" s="48" t="str">
        <f t="shared" si="20"/>
        <v/>
      </c>
    </row>
    <row r="2322" spans="2:2" x14ac:dyDescent="0.3">
      <c r="B2322" s="48" t="str">
        <f t="shared" si="20"/>
        <v/>
      </c>
    </row>
    <row r="2323" spans="2:2" x14ac:dyDescent="0.3">
      <c r="B2323" s="48" t="str">
        <f t="shared" si="20"/>
        <v/>
      </c>
    </row>
    <row r="2324" spans="2:2" x14ac:dyDescent="0.3">
      <c r="B2324" s="48" t="str">
        <f t="shared" si="20"/>
        <v/>
      </c>
    </row>
    <row r="2325" spans="2:2" x14ac:dyDescent="0.3">
      <c r="B2325" s="48" t="str">
        <f t="shared" si="20"/>
        <v/>
      </c>
    </row>
    <row r="2326" spans="2:2" x14ac:dyDescent="0.3">
      <c r="B2326" s="48" t="str">
        <f t="shared" si="20"/>
        <v/>
      </c>
    </row>
    <row r="2327" spans="2:2" x14ac:dyDescent="0.3">
      <c r="B2327" s="48" t="str">
        <f t="shared" si="20"/>
        <v/>
      </c>
    </row>
    <row r="2328" spans="2:2" x14ac:dyDescent="0.3">
      <c r="B2328" s="48" t="str">
        <f t="shared" si="20"/>
        <v/>
      </c>
    </row>
    <row r="2329" spans="2:2" x14ac:dyDescent="0.3">
      <c r="B2329" s="48" t="str">
        <f t="shared" si="20"/>
        <v/>
      </c>
    </row>
    <row r="2330" spans="2:2" x14ac:dyDescent="0.3">
      <c r="B2330" s="48" t="str">
        <f t="shared" si="20"/>
        <v/>
      </c>
    </row>
    <row r="2331" spans="2:2" x14ac:dyDescent="0.3">
      <c r="B2331" s="48" t="str">
        <f t="shared" si="20"/>
        <v/>
      </c>
    </row>
    <row r="2332" spans="2:2" x14ac:dyDescent="0.3">
      <c r="B2332" s="48" t="str">
        <f t="shared" si="20"/>
        <v/>
      </c>
    </row>
    <row r="2333" spans="2:2" x14ac:dyDescent="0.3">
      <c r="B2333" s="48" t="str">
        <f t="shared" si="20"/>
        <v/>
      </c>
    </row>
    <row r="2334" spans="2:2" x14ac:dyDescent="0.3">
      <c r="B2334" s="48" t="str">
        <f t="shared" si="20"/>
        <v/>
      </c>
    </row>
    <row r="2335" spans="2:2" x14ac:dyDescent="0.3">
      <c r="B2335" s="48" t="str">
        <f t="shared" si="20"/>
        <v/>
      </c>
    </row>
    <row r="2336" spans="2:2" x14ac:dyDescent="0.3">
      <c r="B2336" s="48" t="str">
        <f t="shared" si="20"/>
        <v/>
      </c>
    </row>
    <row r="2337" spans="2:2" x14ac:dyDescent="0.3">
      <c r="B2337" s="48" t="str">
        <f t="shared" si="20"/>
        <v/>
      </c>
    </row>
    <row r="2338" spans="2:2" x14ac:dyDescent="0.3">
      <c r="B2338" s="48" t="str">
        <f t="shared" si="20"/>
        <v/>
      </c>
    </row>
    <row r="2339" spans="2:2" x14ac:dyDescent="0.3">
      <c r="B2339" s="48" t="str">
        <f t="shared" si="20"/>
        <v/>
      </c>
    </row>
    <row r="2340" spans="2:2" x14ac:dyDescent="0.3">
      <c r="B2340" s="48" t="str">
        <f t="shared" si="20"/>
        <v/>
      </c>
    </row>
    <row r="2341" spans="2:2" x14ac:dyDescent="0.3">
      <c r="B2341" s="48" t="str">
        <f t="shared" si="20"/>
        <v/>
      </c>
    </row>
    <row r="2342" spans="2:2" x14ac:dyDescent="0.3">
      <c r="B2342" s="48" t="str">
        <f t="shared" si="20"/>
        <v/>
      </c>
    </row>
    <row r="2343" spans="2:2" x14ac:dyDescent="0.3">
      <c r="B2343" s="48" t="str">
        <f t="shared" si="20"/>
        <v/>
      </c>
    </row>
    <row r="2344" spans="2:2" x14ac:dyDescent="0.3">
      <c r="B2344" s="48" t="str">
        <f t="shared" ref="B2344:B2407" si="21">IF($A2344="Daily", "n/a", "")</f>
        <v/>
      </c>
    </row>
    <row r="2345" spans="2:2" x14ac:dyDescent="0.3">
      <c r="B2345" s="48" t="str">
        <f t="shared" si="21"/>
        <v/>
      </c>
    </row>
    <row r="2346" spans="2:2" x14ac:dyDescent="0.3">
      <c r="B2346" s="48" t="str">
        <f t="shared" si="21"/>
        <v/>
      </c>
    </row>
    <row r="2347" spans="2:2" x14ac:dyDescent="0.3">
      <c r="B2347" s="48" t="str">
        <f t="shared" si="21"/>
        <v/>
      </c>
    </row>
    <row r="2348" spans="2:2" x14ac:dyDescent="0.3">
      <c r="B2348" s="48" t="str">
        <f t="shared" si="21"/>
        <v/>
      </c>
    </row>
    <row r="2349" spans="2:2" x14ac:dyDescent="0.3">
      <c r="B2349" s="48" t="str">
        <f t="shared" si="21"/>
        <v/>
      </c>
    </row>
    <row r="2350" spans="2:2" x14ac:dyDescent="0.3">
      <c r="B2350" s="48" t="str">
        <f t="shared" si="21"/>
        <v/>
      </c>
    </row>
    <row r="2351" spans="2:2" x14ac:dyDescent="0.3">
      <c r="B2351" s="48" t="str">
        <f t="shared" si="21"/>
        <v/>
      </c>
    </row>
    <row r="2352" spans="2:2" x14ac:dyDescent="0.3">
      <c r="B2352" s="48" t="str">
        <f t="shared" si="21"/>
        <v/>
      </c>
    </row>
    <row r="2353" spans="2:2" x14ac:dyDescent="0.3">
      <c r="B2353" s="48" t="str">
        <f t="shared" si="21"/>
        <v/>
      </c>
    </row>
    <row r="2354" spans="2:2" x14ac:dyDescent="0.3">
      <c r="B2354" s="48" t="str">
        <f t="shared" si="21"/>
        <v/>
      </c>
    </row>
    <row r="2355" spans="2:2" x14ac:dyDescent="0.3">
      <c r="B2355" s="48" t="str">
        <f t="shared" si="21"/>
        <v/>
      </c>
    </row>
    <row r="2356" spans="2:2" x14ac:dyDescent="0.3">
      <c r="B2356" s="48" t="str">
        <f t="shared" si="21"/>
        <v/>
      </c>
    </row>
    <row r="2357" spans="2:2" x14ac:dyDescent="0.3">
      <c r="B2357" s="48" t="str">
        <f t="shared" si="21"/>
        <v/>
      </c>
    </row>
    <row r="2358" spans="2:2" x14ac:dyDescent="0.3">
      <c r="B2358" s="48" t="str">
        <f t="shared" si="21"/>
        <v/>
      </c>
    </row>
    <row r="2359" spans="2:2" x14ac:dyDescent="0.3">
      <c r="B2359" s="48" t="str">
        <f t="shared" si="21"/>
        <v/>
      </c>
    </row>
    <row r="2360" spans="2:2" x14ac:dyDescent="0.3">
      <c r="B2360" s="48" t="str">
        <f t="shared" si="21"/>
        <v/>
      </c>
    </row>
    <row r="2361" spans="2:2" x14ac:dyDescent="0.3">
      <c r="B2361" s="48" t="str">
        <f t="shared" si="21"/>
        <v/>
      </c>
    </row>
    <row r="2362" spans="2:2" x14ac:dyDescent="0.3">
      <c r="B2362" s="48" t="str">
        <f t="shared" si="21"/>
        <v/>
      </c>
    </row>
    <row r="2363" spans="2:2" x14ac:dyDescent="0.3">
      <c r="B2363" s="48" t="str">
        <f t="shared" si="21"/>
        <v/>
      </c>
    </row>
    <row r="2364" spans="2:2" x14ac:dyDescent="0.3">
      <c r="B2364" s="48" t="str">
        <f t="shared" si="21"/>
        <v/>
      </c>
    </row>
    <row r="2365" spans="2:2" x14ac:dyDescent="0.3">
      <c r="B2365" s="48" t="str">
        <f t="shared" si="21"/>
        <v/>
      </c>
    </row>
    <row r="2366" spans="2:2" x14ac:dyDescent="0.3">
      <c r="B2366" s="48" t="str">
        <f t="shared" si="21"/>
        <v/>
      </c>
    </row>
    <row r="2367" spans="2:2" x14ac:dyDescent="0.3">
      <c r="B2367" s="48" t="str">
        <f t="shared" si="21"/>
        <v/>
      </c>
    </row>
    <row r="2368" spans="2:2" x14ac:dyDescent="0.3">
      <c r="B2368" s="48" t="str">
        <f t="shared" si="21"/>
        <v/>
      </c>
    </row>
    <row r="2369" spans="2:2" x14ac:dyDescent="0.3">
      <c r="B2369" s="48" t="str">
        <f t="shared" si="21"/>
        <v/>
      </c>
    </row>
    <row r="2370" spans="2:2" x14ac:dyDescent="0.3">
      <c r="B2370" s="48" t="str">
        <f t="shared" si="21"/>
        <v/>
      </c>
    </row>
    <row r="2371" spans="2:2" x14ac:dyDescent="0.3">
      <c r="B2371" s="48" t="str">
        <f t="shared" si="21"/>
        <v/>
      </c>
    </row>
    <row r="2372" spans="2:2" x14ac:dyDescent="0.3">
      <c r="B2372" s="48" t="str">
        <f t="shared" si="21"/>
        <v/>
      </c>
    </row>
    <row r="2373" spans="2:2" x14ac:dyDescent="0.3">
      <c r="B2373" s="48" t="str">
        <f t="shared" si="21"/>
        <v/>
      </c>
    </row>
    <row r="2374" spans="2:2" x14ac:dyDescent="0.3">
      <c r="B2374" s="48" t="str">
        <f t="shared" si="21"/>
        <v/>
      </c>
    </row>
    <row r="2375" spans="2:2" x14ac:dyDescent="0.3">
      <c r="B2375" s="48" t="str">
        <f t="shared" si="21"/>
        <v/>
      </c>
    </row>
    <row r="2376" spans="2:2" x14ac:dyDescent="0.3">
      <c r="B2376" s="48" t="str">
        <f t="shared" si="21"/>
        <v/>
      </c>
    </row>
    <row r="2377" spans="2:2" x14ac:dyDescent="0.3">
      <c r="B2377" s="48" t="str">
        <f t="shared" si="21"/>
        <v/>
      </c>
    </row>
    <row r="2378" spans="2:2" x14ac:dyDescent="0.3">
      <c r="B2378" s="48" t="str">
        <f t="shared" si="21"/>
        <v/>
      </c>
    </row>
    <row r="2379" spans="2:2" x14ac:dyDescent="0.3">
      <c r="B2379" s="48" t="str">
        <f t="shared" si="21"/>
        <v/>
      </c>
    </row>
    <row r="2380" spans="2:2" x14ac:dyDescent="0.3">
      <c r="B2380" s="48" t="str">
        <f t="shared" si="21"/>
        <v/>
      </c>
    </row>
    <row r="2381" spans="2:2" x14ac:dyDescent="0.3">
      <c r="B2381" s="48" t="str">
        <f t="shared" si="21"/>
        <v/>
      </c>
    </row>
    <row r="2382" spans="2:2" x14ac:dyDescent="0.3">
      <c r="B2382" s="48" t="str">
        <f t="shared" si="21"/>
        <v/>
      </c>
    </row>
    <row r="2383" spans="2:2" x14ac:dyDescent="0.3">
      <c r="B2383" s="48" t="str">
        <f t="shared" si="21"/>
        <v/>
      </c>
    </row>
    <row r="2384" spans="2:2" x14ac:dyDescent="0.3">
      <c r="B2384" s="48" t="str">
        <f t="shared" si="21"/>
        <v/>
      </c>
    </row>
    <row r="2385" spans="2:2" x14ac:dyDescent="0.3">
      <c r="B2385" s="48" t="str">
        <f t="shared" si="21"/>
        <v/>
      </c>
    </row>
    <row r="2386" spans="2:2" x14ac:dyDescent="0.3">
      <c r="B2386" s="48" t="str">
        <f t="shared" si="21"/>
        <v/>
      </c>
    </row>
    <row r="2387" spans="2:2" x14ac:dyDescent="0.3">
      <c r="B2387" s="48" t="str">
        <f t="shared" si="21"/>
        <v/>
      </c>
    </row>
    <row r="2388" spans="2:2" x14ac:dyDescent="0.3">
      <c r="B2388" s="48" t="str">
        <f t="shared" si="21"/>
        <v/>
      </c>
    </row>
    <row r="2389" spans="2:2" x14ac:dyDescent="0.3">
      <c r="B2389" s="48" t="str">
        <f t="shared" si="21"/>
        <v/>
      </c>
    </row>
    <row r="2390" spans="2:2" x14ac:dyDescent="0.3">
      <c r="B2390" s="48" t="str">
        <f t="shared" si="21"/>
        <v/>
      </c>
    </row>
    <row r="2391" spans="2:2" x14ac:dyDescent="0.3">
      <c r="B2391" s="48" t="str">
        <f t="shared" si="21"/>
        <v/>
      </c>
    </row>
    <row r="2392" spans="2:2" x14ac:dyDescent="0.3">
      <c r="B2392" s="48" t="str">
        <f t="shared" si="21"/>
        <v/>
      </c>
    </row>
    <row r="2393" spans="2:2" x14ac:dyDescent="0.3">
      <c r="B2393" s="48" t="str">
        <f t="shared" si="21"/>
        <v/>
      </c>
    </row>
    <row r="2394" spans="2:2" x14ac:dyDescent="0.3">
      <c r="B2394" s="48" t="str">
        <f t="shared" si="21"/>
        <v/>
      </c>
    </row>
    <row r="2395" spans="2:2" x14ac:dyDescent="0.3">
      <c r="B2395" s="48" t="str">
        <f t="shared" si="21"/>
        <v/>
      </c>
    </row>
    <row r="2396" spans="2:2" x14ac:dyDescent="0.3">
      <c r="B2396" s="48" t="str">
        <f t="shared" si="21"/>
        <v/>
      </c>
    </row>
    <row r="2397" spans="2:2" x14ac:dyDescent="0.3">
      <c r="B2397" s="48" t="str">
        <f t="shared" si="21"/>
        <v/>
      </c>
    </row>
    <row r="2398" spans="2:2" x14ac:dyDescent="0.3">
      <c r="B2398" s="48" t="str">
        <f t="shared" si="21"/>
        <v/>
      </c>
    </row>
    <row r="2399" spans="2:2" x14ac:dyDescent="0.3">
      <c r="B2399" s="48" t="str">
        <f t="shared" si="21"/>
        <v/>
      </c>
    </row>
    <row r="2400" spans="2:2" x14ac:dyDescent="0.3">
      <c r="B2400" s="48" t="str">
        <f t="shared" si="21"/>
        <v/>
      </c>
    </row>
    <row r="2401" spans="2:2" x14ac:dyDescent="0.3">
      <c r="B2401" s="48" t="str">
        <f t="shared" si="21"/>
        <v/>
      </c>
    </row>
    <row r="2402" spans="2:2" x14ac:dyDescent="0.3">
      <c r="B2402" s="48" t="str">
        <f t="shared" si="21"/>
        <v/>
      </c>
    </row>
    <row r="2403" spans="2:2" x14ac:dyDescent="0.3">
      <c r="B2403" s="48" t="str">
        <f t="shared" si="21"/>
        <v/>
      </c>
    </row>
    <row r="2404" spans="2:2" x14ac:dyDescent="0.3">
      <c r="B2404" s="48" t="str">
        <f t="shared" si="21"/>
        <v/>
      </c>
    </row>
    <row r="2405" spans="2:2" x14ac:dyDescent="0.3">
      <c r="B2405" s="48" t="str">
        <f t="shared" si="21"/>
        <v/>
      </c>
    </row>
    <row r="2406" spans="2:2" x14ac:dyDescent="0.3">
      <c r="B2406" s="48" t="str">
        <f t="shared" si="21"/>
        <v/>
      </c>
    </row>
    <row r="2407" spans="2:2" x14ac:dyDescent="0.3">
      <c r="B2407" s="48" t="str">
        <f t="shared" si="21"/>
        <v/>
      </c>
    </row>
    <row r="2408" spans="2:2" x14ac:dyDescent="0.3">
      <c r="B2408" s="48" t="str">
        <f t="shared" ref="B2408:B2471" si="22">IF($A2408="Daily", "n/a", "")</f>
        <v/>
      </c>
    </row>
    <row r="2409" spans="2:2" x14ac:dyDescent="0.3">
      <c r="B2409" s="48" t="str">
        <f t="shared" si="22"/>
        <v/>
      </c>
    </row>
    <row r="2410" spans="2:2" x14ac:dyDescent="0.3">
      <c r="B2410" s="48" t="str">
        <f t="shared" si="22"/>
        <v/>
      </c>
    </row>
    <row r="2411" spans="2:2" x14ac:dyDescent="0.3">
      <c r="B2411" s="48" t="str">
        <f t="shared" si="22"/>
        <v/>
      </c>
    </row>
    <row r="2412" spans="2:2" x14ac:dyDescent="0.3">
      <c r="B2412" s="48" t="str">
        <f t="shared" si="22"/>
        <v/>
      </c>
    </row>
    <row r="2413" spans="2:2" x14ac:dyDescent="0.3">
      <c r="B2413" s="48" t="str">
        <f t="shared" si="22"/>
        <v/>
      </c>
    </row>
    <row r="2414" spans="2:2" x14ac:dyDescent="0.3">
      <c r="B2414" s="48" t="str">
        <f t="shared" si="22"/>
        <v/>
      </c>
    </row>
    <row r="2415" spans="2:2" x14ac:dyDescent="0.3">
      <c r="B2415" s="48" t="str">
        <f t="shared" si="22"/>
        <v/>
      </c>
    </row>
    <row r="2416" spans="2:2" x14ac:dyDescent="0.3">
      <c r="B2416" s="48" t="str">
        <f t="shared" si="22"/>
        <v/>
      </c>
    </row>
    <row r="2417" spans="2:2" x14ac:dyDescent="0.3">
      <c r="B2417" s="48" t="str">
        <f t="shared" si="22"/>
        <v/>
      </c>
    </row>
    <row r="2418" spans="2:2" x14ac:dyDescent="0.3">
      <c r="B2418" s="48" t="str">
        <f t="shared" si="22"/>
        <v/>
      </c>
    </row>
    <row r="2419" spans="2:2" x14ac:dyDescent="0.3">
      <c r="B2419" s="48" t="str">
        <f t="shared" si="22"/>
        <v/>
      </c>
    </row>
    <row r="2420" spans="2:2" x14ac:dyDescent="0.3">
      <c r="B2420" s="48" t="str">
        <f t="shared" si="22"/>
        <v/>
      </c>
    </row>
    <row r="2421" spans="2:2" x14ac:dyDescent="0.3">
      <c r="B2421" s="48" t="str">
        <f t="shared" si="22"/>
        <v/>
      </c>
    </row>
    <row r="2422" spans="2:2" x14ac:dyDescent="0.3">
      <c r="B2422" s="48" t="str">
        <f t="shared" si="22"/>
        <v/>
      </c>
    </row>
    <row r="2423" spans="2:2" x14ac:dyDescent="0.3">
      <c r="B2423" s="48" t="str">
        <f t="shared" si="22"/>
        <v/>
      </c>
    </row>
    <row r="2424" spans="2:2" x14ac:dyDescent="0.3">
      <c r="B2424" s="48" t="str">
        <f t="shared" si="22"/>
        <v/>
      </c>
    </row>
    <row r="2425" spans="2:2" x14ac:dyDescent="0.3">
      <c r="B2425" s="48" t="str">
        <f t="shared" si="22"/>
        <v/>
      </c>
    </row>
    <row r="2426" spans="2:2" x14ac:dyDescent="0.3">
      <c r="B2426" s="48" t="str">
        <f t="shared" si="22"/>
        <v/>
      </c>
    </row>
    <row r="2427" spans="2:2" x14ac:dyDescent="0.3">
      <c r="B2427" s="48" t="str">
        <f t="shared" si="22"/>
        <v/>
      </c>
    </row>
    <row r="2428" spans="2:2" x14ac:dyDescent="0.3">
      <c r="B2428" s="48" t="str">
        <f t="shared" si="22"/>
        <v/>
      </c>
    </row>
    <row r="2429" spans="2:2" x14ac:dyDescent="0.3">
      <c r="B2429" s="48" t="str">
        <f t="shared" si="22"/>
        <v/>
      </c>
    </row>
    <row r="2430" spans="2:2" x14ac:dyDescent="0.3">
      <c r="B2430" s="48" t="str">
        <f t="shared" si="22"/>
        <v/>
      </c>
    </row>
    <row r="2431" spans="2:2" x14ac:dyDescent="0.3">
      <c r="B2431" s="48" t="str">
        <f t="shared" si="22"/>
        <v/>
      </c>
    </row>
    <row r="2432" spans="2:2" x14ac:dyDescent="0.3">
      <c r="B2432" s="48" t="str">
        <f t="shared" si="22"/>
        <v/>
      </c>
    </row>
    <row r="2433" spans="2:2" x14ac:dyDescent="0.3">
      <c r="B2433" s="48" t="str">
        <f t="shared" si="22"/>
        <v/>
      </c>
    </row>
    <row r="2434" spans="2:2" x14ac:dyDescent="0.3">
      <c r="B2434" s="48" t="str">
        <f t="shared" si="22"/>
        <v/>
      </c>
    </row>
    <row r="2435" spans="2:2" x14ac:dyDescent="0.3">
      <c r="B2435" s="48" t="str">
        <f t="shared" si="22"/>
        <v/>
      </c>
    </row>
    <row r="2436" spans="2:2" x14ac:dyDescent="0.3">
      <c r="B2436" s="48" t="str">
        <f t="shared" si="22"/>
        <v/>
      </c>
    </row>
    <row r="2437" spans="2:2" x14ac:dyDescent="0.3">
      <c r="B2437" s="48" t="str">
        <f t="shared" si="22"/>
        <v/>
      </c>
    </row>
    <row r="2438" spans="2:2" x14ac:dyDescent="0.3">
      <c r="B2438" s="48" t="str">
        <f t="shared" si="22"/>
        <v/>
      </c>
    </row>
    <row r="2439" spans="2:2" x14ac:dyDescent="0.3">
      <c r="B2439" s="48" t="str">
        <f t="shared" si="22"/>
        <v/>
      </c>
    </row>
    <row r="2440" spans="2:2" x14ac:dyDescent="0.3">
      <c r="B2440" s="48" t="str">
        <f t="shared" si="22"/>
        <v/>
      </c>
    </row>
    <row r="2441" spans="2:2" x14ac:dyDescent="0.3">
      <c r="B2441" s="48" t="str">
        <f t="shared" si="22"/>
        <v/>
      </c>
    </row>
    <row r="2442" spans="2:2" x14ac:dyDescent="0.3">
      <c r="B2442" s="48" t="str">
        <f t="shared" si="22"/>
        <v/>
      </c>
    </row>
    <row r="2443" spans="2:2" x14ac:dyDescent="0.3">
      <c r="B2443" s="48" t="str">
        <f t="shared" si="22"/>
        <v/>
      </c>
    </row>
    <row r="2444" spans="2:2" x14ac:dyDescent="0.3">
      <c r="B2444" s="48" t="str">
        <f t="shared" si="22"/>
        <v/>
      </c>
    </row>
    <row r="2445" spans="2:2" x14ac:dyDescent="0.3">
      <c r="B2445" s="48" t="str">
        <f t="shared" si="22"/>
        <v/>
      </c>
    </row>
    <row r="2446" spans="2:2" x14ac:dyDescent="0.3">
      <c r="B2446" s="48" t="str">
        <f t="shared" si="22"/>
        <v/>
      </c>
    </row>
    <row r="2447" spans="2:2" x14ac:dyDescent="0.3">
      <c r="B2447" s="48" t="str">
        <f t="shared" si="22"/>
        <v/>
      </c>
    </row>
    <row r="2448" spans="2:2" x14ac:dyDescent="0.3">
      <c r="B2448" s="48" t="str">
        <f t="shared" si="22"/>
        <v/>
      </c>
    </row>
    <row r="2449" spans="2:2" x14ac:dyDescent="0.3">
      <c r="B2449" s="48" t="str">
        <f t="shared" si="22"/>
        <v/>
      </c>
    </row>
    <row r="2450" spans="2:2" x14ac:dyDescent="0.3">
      <c r="B2450" s="48" t="str">
        <f t="shared" si="22"/>
        <v/>
      </c>
    </row>
    <row r="2451" spans="2:2" x14ac:dyDescent="0.3">
      <c r="B2451" s="48" t="str">
        <f t="shared" si="22"/>
        <v/>
      </c>
    </row>
    <row r="2452" spans="2:2" x14ac:dyDescent="0.3">
      <c r="B2452" s="48" t="str">
        <f t="shared" si="22"/>
        <v/>
      </c>
    </row>
    <row r="2453" spans="2:2" x14ac:dyDescent="0.3">
      <c r="B2453" s="48" t="str">
        <f t="shared" si="22"/>
        <v/>
      </c>
    </row>
    <row r="2454" spans="2:2" x14ac:dyDescent="0.3">
      <c r="B2454" s="48" t="str">
        <f t="shared" si="22"/>
        <v/>
      </c>
    </row>
    <row r="2455" spans="2:2" x14ac:dyDescent="0.3">
      <c r="B2455" s="48" t="str">
        <f t="shared" si="22"/>
        <v/>
      </c>
    </row>
    <row r="2456" spans="2:2" x14ac:dyDescent="0.3">
      <c r="B2456" s="48" t="str">
        <f t="shared" si="22"/>
        <v/>
      </c>
    </row>
    <row r="2457" spans="2:2" x14ac:dyDescent="0.3">
      <c r="B2457" s="48" t="str">
        <f t="shared" si="22"/>
        <v/>
      </c>
    </row>
    <row r="2458" spans="2:2" x14ac:dyDescent="0.3">
      <c r="B2458" s="48" t="str">
        <f t="shared" si="22"/>
        <v/>
      </c>
    </row>
    <row r="2459" spans="2:2" x14ac:dyDescent="0.3">
      <c r="B2459" s="48" t="str">
        <f t="shared" si="22"/>
        <v/>
      </c>
    </row>
    <row r="2460" spans="2:2" x14ac:dyDescent="0.3">
      <c r="B2460" s="48" t="str">
        <f t="shared" si="22"/>
        <v/>
      </c>
    </row>
    <row r="2461" spans="2:2" x14ac:dyDescent="0.3">
      <c r="B2461" s="48" t="str">
        <f t="shared" si="22"/>
        <v/>
      </c>
    </row>
    <row r="2462" spans="2:2" x14ac:dyDescent="0.3">
      <c r="B2462" s="48" t="str">
        <f t="shared" si="22"/>
        <v/>
      </c>
    </row>
    <row r="2463" spans="2:2" x14ac:dyDescent="0.3">
      <c r="B2463" s="48" t="str">
        <f t="shared" si="22"/>
        <v/>
      </c>
    </row>
    <row r="2464" spans="2:2" x14ac:dyDescent="0.3">
      <c r="B2464" s="48" t="str">
        <f t="shared" si="22"/>
        <v/>
      </c>
    </row>
    <row r="2465" spans="2:2" x14ac:dyDescent="0.3">
      <c r="B2465" s="48" t="str">
        <f t="shared" si="22"/>
        <v/>
      </c>
    </row>
    <row r="2466" spans="2:2" x14ac:dyDescent="0.3">
      <c r="B2466" s="48" t="str">
        <f t="shared" si="22"/>
        <v/>
      </c>
    </row>
    <row r="2467" spans="2:2" x14ac:dyDescent="0.3">
      <c r="B2467" s="48" t="str">
        <f t="shared" si="22"/>
        <v/>
      </c>
    </row>
    <row r="2468" spans="2:2" x14ac:dyDescent="0.3">
      <c r="B2468" s="48" t="str">
        <f t="shared" si="22"/>
        <v/>
      </c>
    </row>
    <row r="2469" spans="2:2" x14ac:dyDescent="0.3">
      <c r="B2469" s="48" t="str">
        <f t="shared" si="22"/>
        <v/>
      </c>
    </row>
    <row r="2470" spans="2:2" x14ac:dyDescent="0.3">
      <c r="B2470" s="48" t="str">
        <f t="shared" si="22"/>
        <v/>
      </c>
    </row>
    <row r="2471" spans="2:2" x14ac:dyDescent="0.3">
      <c r="B2471" s="48" t="str">
        <f t="shared" si="22"/>
        <v/>
      </c>
    </row>
    <row r="2472" spans="2:2" x14ac:dyDescent="0.3">
      <c r="B2472" s="48" t="str">
        <f t="shared" ref="B2472:B2535" si="23">IF($A2472="Daily", "n/a", "")</f>
        <v/>
      </c>
    </row>
    <row r="2473" spans="2:2" x14ac:dyDescent="0.3">
      <c r="B2473" s="48" t="str">
        <f t="shared" si="23"/>
        <v/>
      </c>
    </row>
    <row r="2474" spans="2:2" x14ac:dyDescent="0.3">
      <c r="B2474" s="48" t="str">
        <f t="shared" si="23"/>
        <v/>
      </c>
    </row>
    <row r="2475" spans="2:2" x14ac:dyDescent="0.3">
      <c r="B2475" s="48" t="str">
        <f t="shared" si="23"/>
        <v/>
      </c>
    </row>
    <row r="2476" spans="2:2" x14ac:dyDescent="0.3">
      <c r="B2476" s="48" t="str">
        <f t="shared" si="23"/>
        <v/>
      </c>
    </row>
    <row r="2477" spans="2:2" x14ac:dyDescent="0.3">
      <c r="B2477" s="48" t="str">
        <f t="shared" si="23"/>
        <v/>
      </c>
    </row>
    <row r="2478" spans="2:2" x14ac:dyDescent="0.3">
      <c r="B2478" s="48" t="str">
        <f t="shared" si="23"/>
        <v/>
      </c>
    </row>
    <row r="2479" spans="2:2" x14ac:dyDescent="0.3">
      <c r="B2479" s="48" t="str">
        <f t="shared" si="23"/>
        <v/>
      </c>
    </row>
    <row r="2480" spans="2:2" x14ac:dyDescent="0.3">
      <c r="B2480" s="48" t="str">
        <f t="shared" si="23"/>
        <v/>
      </c>
    </row>
    <row r="2481" spans="2:2" x14ac:dyDescent="0.3">
      <c r="B2481" s="48" t="str">
        <f t="shared" si="23"/>
        <v/>
      </c>
    </row>
    <row r="2482" spans="2:2" x14ac:dyDescent="0.3">
      <c r="B2482" s="48" t="str">
        <f t="shared" si="23"/>
        <v/>
      </c>
    </row>
    <row r="2483" spans="2:2" x14ac:dyDescent="0.3">
      <c r="B2483" s="48" t="str">
        <f t="shared" si="23"/>
        <v/>
      </c>
    </row>
    <row r="2484" spans="2:2" x14ac:dyDescent="0.3">
      <c r="B2484" s="48" t="str">
        <f t="shared" si="23"/>
        <v/>
      </c>
    </row>
    <row r="2485" spans="2:2" x14ac:dyDescent="0.3">
      <c r="B2485" s="48" t="str">
        <f t="shared" si="23"/>
        <v/>
      </c>
    </row>
    <row r="2486" spans="2:2" x14ac:dyDescent="0.3">
      <c r="B2486" s="48" t="str">
        <f t="shared" si="23"/>
        <v/>
      </c>
    </row>
    <row r="2487" spans="2:2" x14ac:dyDescent="0.3">
      <c r="B2487" s="48" t="str">
        <f t="shared" si="23"/>
        <v/>
      </c>
    </row>
    <row r="2488" spans="2:2" x14ac:dyDescent="0.3">
      <c r="B2488" s="48" t="str">
        <f t="shared" si="23"/>
        <v/>
      </c>
    </row>
    <row r="2489" spans="2:2" x14ac:dyDescent="0.3">
      <c r="B2489" s="48" t="str">
        <f t="shared" si="23"/>
        <v/>
      </c>
    </row>
    <row r="2490" spans="2:2" x14ac:dyDescent="0.3">
      <c r="B2490" s="48" t="str">
        <f t="shared" si="23"/>
        <v/>
      </c>
    </row>
    <row r="2491" spans="2:2" x14ac:dyDescent="0.3">
      <c r="B2491" s="48" t="str">
        <f t="shared" si="23"/>
        <v/>
      </c>
    </row>
    <row r="2492" spans="2:2" x14ac:dyDescent="0.3">
      <c r="B2492" s="48" t="str">
        <f t="shared" si="23"/>
        <v/>
      </c>
    </row>
    <row r="2493" spans="2:2" x14ac:dyDescent="0.3">
      <c r="B2493" s="48" t="str">
        <f t="shared" si="23"/>
        <v/>
      </c>
    </row>
    <row r="2494" spans="2:2" x14ac:dyDescent="0.3">
      <c r="B2494" s="48" t="str">
        <f t="shared" si="23"/>
        <v/>
      </c>
    </row>
    <row r="2495" spans="2:2" x14ac:dyDescent="0.3">
      <c r="B2495" s="48" t="str">
        <f t="shared" si="23"/>
        <v/>
      </c>
    </row>
    <row r="2496" spans="2:2" x14ac:dyDescent="0.3">
      <c r="B2496" s="48" t="str">
        <f t="shared" si="23"/>
        <v/>
      </c>
    </row>
    <row r="2497" spans="2:2" x14ac:dyDescent="0.3">
      <c r="B2497" s="48" t="str">
        <f t="shared" si="23"/>
        <v/>
      </c>
    </row>
    <row r="2498" spans="2:2" x14ac:dyDescent="0.3">
      <c r="B2498" s="48" t="str">
        <f t="shared" si="23"/>
        <v/>
      </c>
    </row>
    <row r="2499" spans="2:2" x14ac:dyDescent="0.3">
      <c r="B2499" s="48" t="str">
        <f t="shared" si="23"/>
        <v/>
      </c>
    </row>
    <row r="2500" spans="2:2" x14ac:dyDescent="0.3">
      <c r="B2500" s="48" t="str">
        <f t="shared" si="23"/>
        <v/>
      </c>
    </row>
    <row r="2501" spans="2:2" x14ac:dyDescent="0.3">
      <c r="B2501" s="48" t="str">
        <f t="shared" si="23"/>
        <v/>
      </c>
    </row>
    <row r="2502" spans="2:2" x14ac:dyDescent="0.3">
      <c r="B2502" s="48" t="str">
        <f t="shared" si="23"/>
        <v/>
      </c>
    </row>
    <row r="2503" spans="2:2" x14ac:dyDescent="0.3">
      <c r="B2503" s="48" t="str">
        <f t="shared" si="23"/>
        <v/>
      </c>
    </row>
    <row r="2504" spans="2:2" x14ac:dyDescent="0.3">
      <c r="B2504" s="48" t="str">
        <f t="shared" si="23"/>
        <v/>
      </c>
    </row>
    <row r="2505" spans="2:2" x14ac:dyDescent="0.3">
      <c r="B2505" s="48" t="str">
        <f t="shared" si="23"/>
        <v/>
      </c>
    </row>
    <row r="2506" spans="2:2" x14ac:dyDescent="0.3">
      <c r="B2506" s="48" t="str">
        <f t="shared" si="23"/>
        <v/>
      </c>
    </row>
    <row r="2507" spans="2:2" x14ac:dyDescent="0.3">
      <c r="B2507" s="48" t="str">
        <f t="shared" si="23"/>
        <v/>
      </c>
    </row>
    <row r="2508" spans="2:2" x14ac:dyDescent="0.3">
      <c r="B2508" s="48" t="str">
        <f t="shared" si="23"/>
        <v/>
      </c>
    </row>
    <row r="2509" spans="2:2" x14ac:dyDescent="0.3">
      <c r="B2509" s="48" t="str">
        <f t="shared" si="23"/>
        <v/>
      </c>
    </row>
    <row r="2510" spans="2:2" x14ac:dyDescent="0.3">
      <c r="B2510" s="48" t="str">
        <f t="shared" si="23"/>
        <v/>
      </c>
    </row>
    <row r="2511" spans="2:2" x14ac:dyDescent="0.3">
      <c r="B2511" s="48" t="str">
        <f t="shared" si="23"/>
        <v/>
      </c>
    </row>
    <row r="2512" spans="2:2" x14ac:dyDescent="0.3">
      <c r="B2512" s="48" t="str">
        <f t="shared" si="23"/>
        <v/>
      </c>
    </row>
    <row r="2513" spans="2:2" x14ac:dyDescent="0.3">
      <c r="B2513" s="48" t="str">
        <f t="shared" si="23"/>
        <v/>
      </c>
    </row>
    <row r="2514" spans="2:2" x14ac:dyDescent="0.3">
      <c r="B2514" s="48" t="str">
        <f t="shared" si="23"/>
        <v/>
      </c>
    </row>
    <row r="2515" spans="2:2" x14ac:dyDescent="0.3">
      <c r="B2515" s="48" t="str">
        <f t="shared" si="23"/>
        <v/>
      </c>
    </row>
    <row r="2516" spans="2:2" x14ac:dyDescent="0.3">
      <c r="B2516" s="48" t="str">
        <f t="shared" si="23"/>
        <v/>
      </c>
    </row>
    <row r="2517" spans="2:2" x14ac:dyDescent="0.3">
      <c r="B2517" s="48" t="str">
        <f t="shared" si="23"/>
        <v/>
      </c>
    </row>
    <row r="2518" spans="2:2" x14ac:dyDescent="0.3">
      <c r="B2518" s="48" t="str">
        <f t="shared" si="23"/>
        <v/>
      </c>
    </row>
    <row r="2519" spans="2:2" x14ac:dyDescent="0.3">
      <c r="B2519" s="48" t="str">
        <f t="shared" si="23"/>
        <v/>
      </c>
    </row>
    <row r="2520" spans="2:2" x14ac:dyDescent="0.3">
      <c r="B2520" s="48" t="str">
        <f t="shared" si="23"/>
        <v/>
      </c>
    </row>
    <row r="2521" spans="2:2" x14ac:dyDescent="0.3">
      <c r="B2521" s="48" t="str">
        <f t="shared" si="23"/>
        <v/>
      </c>
    </row>
    <row r="2522" spans="2:2" x14ac:dyDescent="0.3">
      <c r="B2522" s="48" t="str">
        <f t="shared" si="23"/>
        <v/>
      </c>
    </row>
    <row r="2523" spans="2:2" x14ac:dyDescent="0.3">
      <c r="B2523" s="48" t="str">
        <f t="shared" si="23"/>
        <v/>
      </c>
    </row>
    <row r="2524" spans="2:2" x14ac:dyDescent="0.3">
      <c r="B2524" s="48" t="str">
        <f t="shared" si="23"/>
        <v/>
      </c>
    </row>
    <row r="2525" spans="2:2" x14ac:dyDescent="0.3">
      <c r="B2525" s="48" t="str">
        <f t="shared" si="23"/>
        <v/>
      </c>
    </row>
    <row r="2526" spans="2:2" x14ac:dyDescent="0.3">
      <c r="B2526" s="48" t="str">
        <f t="shared" si="23"/>
        <v/>
      </c>
    </row>
    <row r="2527" spans="2:2" x14ac:dyDescent="0.3">
      <c r="B2527" s="48" t="str">
        <f t="shared" si="23"/>
        <v/>
      </c>
    </row>
    <row r="2528" spans="2:2" x14ac:dyDescent="0.3">
      <c r="B2528" s="48" t="str">
        <f t="shared" si="23"/>
        <v/>
      </c>
    </row>
    <row r="2529" spans="2:2" x14ac:dyDescent="0.3">
      <c r="B2529" s="48" t="str">
        <f t="shared" si="23"/>
        <v/>
      </c>
    </row>
    <row r="2530" spans="2:2" x14ac:dyDescent="0.3">
      <c r="B2530" s="48" t="str">
        <f t="shared" si="23"/>
        <v/>
      </c>
    </row>
    <row r="2531" spans="2:2" x14ac:dyDescent="0.3">
      <c r="B2531" s="48" t="str">
        <f t="shared" si="23"/>
        <v/>
      </c>
    </row>
    <row r="2532" spans="2:2" x14ac:dyDescent="0.3">
      <c r="B2532" s="48" t="str">
        <f t="shared" si="23"/>
        <v/>
      </c>
    </row>
    <row r="2533" spans="2:2" x14ac:dyDescent="0.3">
      <c r="B2533" s="48" t="str">
        <f t="shared" si="23"/>
        <v/>
      </c>
    </row>
    <row r="2534" spans="2:2" x14ac:dyDescent="0.3">
      <c r="B2534" s="48" t="str">
        <f t="shared" si="23"/>
        <v/>
      </c>
    </row>
    <row r="2535" spans="2:2" x14ac:dyDescent="0.3">
      <c r="B2535" s="48" t="str">
        <f t="shared" si="23"/>
        <v/>
      </c>
    </row>
    <row r="2536" spans="2:2" x14ac:dyDescent="0.3">
      <c r="B2536" s="48" t="str">
        <f t="shared" ref="B2536:B2599" si="24">IF($A2536="Daily", "n/a", "")</f>
        <v/>
      </c>
    </row>
    <row r="2537" spans="2:2" x14ac:dyDescent="0.3">
      <c r="B2537" s="48" t="str">
        <f t="shared" si="24"/>
        <v/>
      </c>
    </row>
    <row r="2538" spans="2:2" x14ac:dyDescent="0.3">
      <c r="B2538" s="48" t="str">
        <f t="shared" si="24"/>
        <v/>
      </c>
    </row>
    <row r="2539" spans="2:2" x14ac:dyDescent="0.3">
      <c r="B2539" s="48" t="str">
        <f t="shared" si="24"/>
        <v/>
      </c>
    </row>
    <row r="2540" spans="2:2" x14ac:dyDescent="0.3">
      <c r="B2540" s="48" t="str">
        <f t="shared" si="24"/>
        <v/>
      </c>
    </row>
    <row r="2541" spans="2:2" x14ac:dyDescent="0.3">
      <c r="B2541" s="48" t="str">
        <f t="shared" si="24"/>
        <v/>
      </c>
    </row>
    <row r="2542" spans="2:2" x14ac:dyDescent="0.3">
      <c r="B2542" s="48" t="str">
        <f t="shared" si="24"/>
        <v/>
      </c>
    </row>
    <row r="2543" spans="2:2" x14ac:dyDescent="0.3">
      <c r="B2543" s="48" t="str">
        <f t="shared" si="24"/>
        <v/>
      </c>
    </row>
    <row r="2544" spans="2:2" x14ac:dyDescent="0.3">
      <c r="B2544" s="48" t="str">
        <f t="shared" si="24"/>
        <v/>
      </c>
    </row>
    <row r="2545" spans="2:2" x14ac:dyDescent="0.3">
      <c r="B2545" s="48" t="str">
        <f t="shared" si="24"/>
        <v/>
      </c>
    </row>
    <row r="2546" spans="2:2" x14ac:dyDescent="0.3">
      <c r="B2546" s="48" t="str">
        <f t="shared" si="24"/>
        <v/>
      </c>
    </row>
    <row r="2547" spans="2:2" x14ac:dyDescent="0.3">
      <c r="B2547" s="48" t="str">
        <f t="shared" si="24"/>
        <v/>
      </c>
    </row>
    <row r="2548" spans="2:2" x14ac:dyDescent="0.3">
      <c r="B2548" s="48" t="str">
        <f t="shared" si="24"/>
        <v/>
      </c>
    </row>
    <row r="2549" spans="2:2" x14ac:dyDescent="0.3">
      <c r="B2549" s="48" t="str">
        <f t="shared" si="24"/>
        <v/>
      </c>
    </row>
    <row r="2550" spans="2:2" x14ac:dyDescent="0.3">
      <c r="B2550" s="48" t="str">
        <f t="shared" si="24"/>
        <v/>
      </c>
    </row>
    <row r="2551" spans="2:2" x14ac:dyDescent="0.3">
      <c r="B2551" s="48" t="str">
        <f t="shared" si="24"/>
        <v/>
      </c>
    </row>
    <row r="2552" spans="2:2" x14ac:dyDescent="0.3">
      <c r="B2552" s="48" t="str">
        <f t="shared" si="24"/>
        <v/>
      </c>
    </row>
    <row r="2553" spans="2:2" x14ac:dyDescent="0.3">
      <c r="B2553" s="48" t="str">
        <f t="shared" si="24"/>
        <v/>
      </c>
    </row>
    <row r="2554" spans="2:2" x14ac:dyDescent="0.3">
      <c r="B2554" s="48" t="str">
        <f t="shared" si="24"/>
        <v/>
      </c>
    </row>
    <row r="2555" spans="2:2" x14ac:dyDescent="0.3">
      <c r="B2555" s="48" t="str">
        <f t="shared" si="24"/>
        <v/>
      </c>
    </row>
    <row r="2556" spans="2:2" x14ac:dyDescent="0.3">
      <c r="B2556" s="48" t="str">
        <f t="shared" si="24"/>
        <v/>
      </c>
    </row>
    <row r="2557" spans="2:2" x14ac:dyDescent="0.3">
      <c r="B2557" s="48" t="str">
        <f t="shared" si="24"/>
        <v/>
      </c>
    </row>
    <row r="2558" spans="2:2" x14ac:dyDescent="0.3">
      <c r="B2558" s="48" t="str">
        <f t="shared" si="24"/>
        <v/>
      </c>
    </row>
    <row r="2559" spans="2:2" x14ac:dyDescent="0.3">
      <c r="B2559" s="48" t="str">
        <f t="shared" si="24"/>
        <v/>
      </c>
    </row>
    <row r="2560" spans="2:2" x14ac:dyDescent="0.3">
      <c r="B2560" s="48" t="str">
        <f t="shared" si="24"/>
        <v/>
      </c>
    </row>
    <row r="2561" spans="2:2" x14ac:dyDescent="0.3">
      <c r="B2561" s="48" t="str">
        <f t="shared" si="24"/>
        <v/>
      </c>
    </row>
    <row r="2562" spans="2:2" x14ac:dyDescent="0.3">
      <c r="B2562" s="48" t="str">
        <f t="shared" si="24"/>
        <v/>
      </c>
    </row>
    <row r="2563" spans="2:2" x14ac:dyDescent="0.3">
      <c r="B2563" s="48" t="str">
        <f t="shared" si="24"/>
        <v/>
      </c>
    </row>
    <row r="2564" spans="2:2" x14ac:dyDescent="0.3">
      <c r="B2564" s="48" t="str">
        <f t="shared" si="24"/>
        <v/>
      </c>
    </row>
    <row r="2565" spans="2:2" x14ac:dyDescent="0.3">
      <c r="B2565" s="48" t="str">
        <f t="shared" si="24"/>
        <v/>
      </c>
    </row>
    <row r="2566" spans="2:2" x14ac:dyDescent="0.3">
      <c r="B2566" s="48" t="str">
        <f t="shared" si="24"/>
        <v/>
      </c>
    </row>
    <row r="2567" spans="2:2" x14ac:dyDescent="0.3">
      <c r="B2567" s="48" t="str">
        <f t="shared" si="24"/>
        <v/>
      </c>
    </row>
    <row r="2568" spans="2:2" x14ac:dyDescent="0.3">
      <c r="B2568" s="48" t="str">
        <f t="shared" si="24"/>
        <v/>
      </c>
    </row>
    <row r="2569" spans="2:2" x14ac:dyDescent="0.3">
      <c r="B2569" s="48" t="str">
        <f t="shared" si="24"/>
        <v/>
      </c>
    </row>
    <row r="2570" spans="2:2" x14ac:dyDescent="0.3">
      <c r="B2570" s="48" t="str">
        <f t="shared" si="24"/>
        <v/>
      </c>
    </row>
    <row r="2571" spans="2:2" x14ac:dyDescent="0.3">
      <c r="B2571" s="48" t="str">
        <f t="shared" si="24"/>
        <v/>
      </c>
    </row>
    <row r="2572" spans="2:2" x14ac:dyDescent="0.3">
      <c r="B2572" s="48" t="str">
        <f t="shared" si="24"/>
        <v/>
      </c>
    </row>
    <row r="2573" spans="2:2" x14ac:dyDescent="0.3">
      <c r="B2573" s="48" t="str">
        <f t="shared" si="24"/>
        <v/>
      </c>
    </row>
    <row r="2574" spans="2:2" x14ac:dyDescent="0.3">
      <c r="B2574" s="48" t="str">
        <f t="shared" si="24"/>
        <v/>
      </c>
    </row>
    <row r="2575" spans="2:2" x14ac:dyDescent="0.3">
      <c r="B2575" s="48" t="str">
        <f t="shared" si="24"/>
        <v/>
      </c>
    </row>
    <row r="2576" spans="2:2" x14ac:dyDescent="0.3">
      <c r="B2576" s="48" t="str">
        <f t="shared" si="24"/>
        <v/>
      </c>
    </row>
    <row r="2577" spans="2:2" x14ac:dyDescent="0.3">
      <c r="B2577" s="48" t="str">
        <f t="shared" si="24"/>
        <v/>
      </c>
    </row>
    <row r="2578" spans="2:2" x14ac:dyDescent="0.3">
      <c r="B2578" s="48" t="str">
        <f t="shared" si="24"/>
        <v/>
      </c>
    </row>
    <row r="2579" spans="2:2" x14ac:dyDescent="0.3">
      <c r="B2579" s="48" t="str">
        <f t="shared" si="24"/>
        <v/>
      </c>
    </row>
    <row r="2580" spans="2:2" x14ac:dyDescent="0.3">
      <c r="B2580" s="48" t="str">
        <f t="shared" si="24"/>
        <v/>
      </c>
    </row>
    <row r="2581" spans="2:2" x14ac:dyDescent="0.3">
      <c r="B2581" s="48" t="str">
        <f t="shared" si="24"/>
        <v/>
      </c>
    </row>
    <row r="2582" spans="2:2" x14ac:dyDescent="0.3">
      <c r="B2582" s="48" t="str">
        <f t="shared" si="24"/>
        <v/>
      </c>
    </row>
    <row r="2583" spans="2:2" x14ac:dyDescent="0.3">
      <c r="B2583" s="48" t="str">
        <f t="shared" si="24"/>
        <v/>
      </c>
    </row>
    <row r="2584" spans="2:2" x14ac:dyDescent="0.3">
      <c r="B2584" s="48" t="str">
        <f t="shared" si="24"/>
        <v/>
      </c>
    </row>
    <row r="2585" spans="2:2" x14ac:dyDescent="0.3">
      <c r="B2585" s="48" t="str">
        <f t="shared" si="24"/>
        <v/>
      </c>
    </row>
    <row r="2586" spans="2:2" x14ac:dyDescent="0.3">
      <c r="B2586" s="48" t="str">
        <f t="shared" si="24"/>
        <v/>
      </c>
    </row>
    <row r="2587" spans="2:2" x14ac:dyDescent="0.3">
      <c r="B2587" s="48" t="str">
        <f t="shared" si="24"/>
        <v/>
      </c>
    </row>
    <row r="2588" spans="2:2" x14ac:dyDescent="0.3">
      <c r="B2588" s="48" t="str">
        <f t="shared" si="24"/>
        <v/>
      </c>
    </row>
    <row r="2589" spans="2:2" x14ac:dyDescent="0.3">
      <c r="B2589" s="48" t="str">
        <f t="shared" si="24"/>
        <v/>
      </c>
    </row>
    <row r="2590" spans="2:2" x14ac:dyDescent="0.3">
      <c r="B2590" s="48" t="str">
        <f t="shared" si="24"/>
        <v/>
      </c>
    </row>
    <row r="2591" spans="2:2" x14ac:dyDescent="0.3">
      <c r="B2591" s="48" t="str">
        <f t="shared" si="24"/>
        <v/>
      </c>
    </row>
    <row r="2592" spans="2:2" x14ac:dyDescent="0.3">
      <c r="B2592" s="48" t="str">
        <f t="shared" si="24"/>
        <v/>
      </c>
    </row>
    <row r="2593" spans="2:2" x14ac:dyDescent="0.3">
      <c r="B2593" s="48" t="str">
        <f t="shared" si="24"/>
        <v/>
      </c>
    </row>
    <row r="2594" spans="2:2" x14ac:dyDescent="0.3">
      <c r="B2594" s="48" t="str">
        <f t="shared" si="24"/>
        <v/>
      </c>
    </row>
    <row r="2595" spans="2:2" x14ac:dyDescent="0.3">
      <c r="B2595" s="48" t="str">
        <f t="shared" si="24"/>
        <v/>
      </c>
    </row>
    <row r="2596" spans="2:2" x14ac:dyDescent="0.3">
      <c r="B2596" s="48" t="str">
        <f t="shared" si="24"/>
        <v/>
      </c>
    </row>
    <row r="2597" spans="2:2" x14ac:dyDescent="0.3">
      <c r="B2597" s="48" t="str">
        <f t="shared" si="24"/>
        <v/>
      </c>
    </row>
    <row r="2598" spans="2:2" x14ac:dyDescent="0.3">
      <c r="B2598" s="48" t="str">
        <f t="shared" si="24"/>
        <v/>
      </c>
    </row>
    <row r="2599" spans="2:2" x14ac:dyDescent="0.3">
      <c r="B2599" s="48" t="str">
        <f t="shared" si="24"/>
        <v/>
      </c>
    </row>
    <row r="2600" spans="2:2" x14ac:dyDescent="0.3">
      <c r="B2600" s="48" t="str">
        <f t="shared" ref="B2600:B2663" si="25">IF($A2600="Daily", "n/a", "")</f>
        <v/>
      </c>
    </row>
    <row r="2601" spans="2:2" x14ac:dyDescent="0.3">
      <c r="B2601" s="48" t="str">
        <f t="shared" si="25"/>
        <v/>
      </c>
    </row>
    <row r="2602" spans="2:2" x14ac:dyDescent="0.3">
      <c r="B2602" s="48" t="str">
        <f t="shared" si="25"/>
        <v/>
      </c>
    </row>
    <row r="2603" spans="2:2" x14ac:dyDescent="0.3">
      <c r="B2603" s="48" t="str">
        <f t="shared" si="25"/>
        <v/>
      </c>
    </row>
    <row r="2604" spans="2:2" x14ac:dyDescent="0.3">
      <c r="B2604" s="48" t="str">
        <f t="shared" si="25"/>
        <v/>
      </c>
    </row>
    <row r="2605" spans="2:2" x14ac:dyDescent="0.3">
      <c r="B2605" s="48" t="str">
        <f t="shared" si="25"/>
        <v/>
      </c>
    </row>
    <row r="2606" spans="2:2" x14ac:dyDescent="0.3">
      <c r="B2606" s="48" t="str">
        <f t="shared" si="25"/>
        <v/>
      </c>
    </row>
    <row r="2607" spans="2:2" x14ac:dyDescent="0.3">
      <c r="B2607" s="48" t="str">
        <f t="shared" si="25"/>
        <v/>
      </c>
    </row>
    <row r="2608" spans="2:2" x14ac:dyDescent="0.3">
      <c r="B2608" s="48" t="str">
        <f t="shared" si="25"/>
        <v/>
      </c>
    </row>
    <row r="2609" spans="2:2" x14ac:dyDescent="0.3">
      <c r="B2609" s="48" t="str">
        <f t="shared" si="25"/>
        <v/>
      </c>
    </row>
    <row r="2610" spans="2:2" x14ac:dyDescent="0.3">
      <c r="B2610" s="48" t="str">
        <f t="shared" si="25"/>
        <v/>
      </c>
    </row>
    <row r="2611" spans="2:2" x14ac:dyDescent="0.3">
      <c r="B2611" s="48" t="str">
        <f t="shared" si="25"/>
        <v/>
      </c>
    </row>
    <row r="2612" spans="2:2" x14ac:dyDescent="0.3">
      <c r="B2612" s="48" t="str">
        <f t="shared" si="25"/>
        <v/>
      </c>
    </row>
    <row r="2613" spans="2:2" x14ac:dyDescent="0.3">
      <c r="B2613" s="48" t="str">
        <f t="shared" si="25"/>
        <v/>
      </c>
    </row>
    <row r="2614" spans="2:2" x14ac:dyDescent="0.3">
      <c r="B2614" s="48" t="str">
        <f t="shared" si="25"/>
        <v/>
      </c>
    </row>
    <row r="2615" spans="2:2" x14ac:dyDescent="0.3">
      <c r="B2615" s="48" t="str">
        <f t="shared" si="25"/>
        <v/>
      </c>
    </row>
    <row r="2616" spans="2:2" x14ac:dyDescent="0.3">
      <c r="B2616" s="48" t="str">
        <f t="shared" si="25"/>
        <v/>
      </c>
    </row>
    <row r="2617" spans="2:2" x14ac:dyDescent="0.3">
      <c r="B2617" s="48" t="str">
        <f t="shared" si="25"/>
        <v/>
      </c>
    </row>
    <row r="2618" spans="2:2" x14ac:dyDescent="0.3">
      <c r="B2618" s="48" t="str">
        <f t="shared" si="25"/>
        <v/>
      </c>
    </row>
    <row r="2619" spans="2:2" x14ac:dyDescent="0.3">
      <c r="B2619" s="48" t="str">
        <f t="shared" si="25"/>
        <v/>
      </c>
    </row>
    <row r="2620" spans="2:2" x14ac:dyDescent="0.3">
      <c r="B2620" s="48" t="str">
        <f t="shared" si="25"/>
        <v/>
      </c>
    </row>
    <row r="2621" spans="2:2" x14ac:dyDescent="0.3">
      <c r="B2621" s="48" t="str">
        <f t="shared" si="25"/>
        <v/>
      </c>
    </row>
    <row r="2622" spans="2:2" x14ac:dyDescent="0.3">
      <c r="B2622" s="48" t="str">
        <f t="shared" si="25"/>
        <v/>
      </c>
    </row>
    <row r="2623" spans="2:2" x14ac:dyDescent="0.3">
      <c r="B2623" s="48" t="str">
        <f t="shared" si="25"/>
        <v/>
      </c>
    </row>
    <row r="2624" spans="2:2" x14ac:dyDescent="0.3">
      <c r="B2624" s="48" t="str">
        <f t="shared" si="25"/>
        <v/>
      </c>
    </row>
    <row r="2625" spans="2:2" x14ac:dyDescent="0.3">
      <c r="B2625" s="48" t="str">
        <f t="shared" si="25"/>
        <v/>
      </c>
    </row>
    <row r="2626" spans="2:2" x14ac:dyDescent="0.3">
      <c r="B2626" s="48" t="str">
        <f t="shared" si="25"/>
        <v/>
      </c>
    </row>
    <row r="2627" spans="2:2" x14ac:dyDescent="0.3">
      <c r="B2627" s="48" t="str">
        <f t="shared" si="25"/>
        <v/>
      </c>
    </row>
    <row r="2628" spans="2:2" x14ac:dyDescent="0.3">
      <c r="B2628" s="48" t="str">
        <f t="shared" si="25"/>
        <v/>
      </c>
    </row>
    <row r="2629" spans="2:2" x14ac:dyDescent="0.3">
      <c r="B2629" s="48" t="str">
        <f t="shared" si="25"/>
        <v/>
      </c>
    </row>
    <row r="2630" spans="2:2" x14ac:dyDescent="0.3">
      <c r="B2630" s="48" t="str">
        <f t="shared" si="25"/>
        <v/>
      </c>
    </row>
    <row r="2631" spans="2:2" x14ac:dyDescent="0.3">
      <c r="B2631" s="48" t="str">
        <f t="shared" si="25"/>
        <v/>
      </c>
    </row>
    <row r="2632" spans="2:2" x14ac:dyDescent="0.3">
      <c r="B2632" s="48" t="str">
        <f t="shared" si="25"/>
        <v/>
      </c>
    </row>
    <row r="2633" spans="2:2" x14ac:dyDescent="0.3">
      <c r="B2633" s="48" t="str">
        <f t="shared" si="25"/>
        <v/>
      </c>
    </row>
    <row r="2634" spans="2:2" x14ac:dyDescent="0.3">
      <c r="B2634" s="48" t="str">
        <f t="shared" si="25"/>
        <v/>
      </c>
    </row>
    <row r="2635" spans="2:2" x14ac:dyDescent="0.3">
      <c r="B2635" s="48" t="str">
        <f t="shared" si="25"/>
        <v/>
      </c>
    </row>
    <row r="2636" spans="2:2" x14ac:dyDescent="0.3">
      <c r="B2636" s="48" t="str">
        <f t="shared" si="25"/>
        <v/>
      </c>
    </row>
    <row r="2637" spans="2:2" x14ac:dyDescent="0.3">
      <c r="B2637" s="48" t="str">
        <f t="shared" si="25"/>
        <v/>
      </c>
    </row>
    <row r="2638" spans="2:2" x14ac:dyDescent="0.3">
      <c r="B2638" s="48" t="str">
        <f t="shared" si="25"/>
        <v/>
      </c>
    </row>
    <row r="2639" spans="2:2" x14ac:dyDescent="0.3">
      <c r="B2639" s="48" t="str">
        <f t="shared" si="25"/>
        <v/>
      </c>
    </row>
    <row r="2640" spans="2:2" x14ac:dyDescent="0.3">
      <c r="B2640" s="48" t="str">
        <f t="shared" si="25"/>
        <v/>
      </c>
    </row>
    <row r="2641" spans="2:2" x14ac:dyDescent="0.3">
      <c r="B2641" s="48" t="str">
        <f t="shared" si="25"/>
        <v/>
      </c>
    </row>
    <row r="2642" spans="2:2" x14ac:dyDescent="0.3">
      <c r="B2642" s="48" t="str">
        <f t="shared" si="25"/>
        <v/>
      </c>
    </row>
    <row r="2643" spans="2:2" x14ac:dyDescent="0.3">
      <c r="B2643" s="48" t="str">
        <f t="shared" si="25"/>
        <v/>
      </c>
    </row>
    <row r="2644" spans="2:2" x14ac:dyDescent="0.3">
      <c r="B2644" s="48" t="str">
        <f t="shared" si="25"/>
        <v/>
      </c>
    </row>
    <row r="2645" spans="2:2" x14ac:dyDescent="0.3">
      <c r="B2645" s="48" t="str">
        <f t="shared" si="25"/>
        <v/>
      </c>
    </row>
    <row r="2646" spans="2:2" x14ac:dyDescent="0.3">
      <c r="B2646" s="48" t="str">
        <f t="shared" si="25"/>
        <v/>
      </c>
    </row>
    <row r="2647" spans="2:2" x14ac:dyDescent="0.3">
      <c r="B2647" s="48" t="str">
        <f t="shared" si="25"/>
        <v/>
      </c>
    </row>
    <row r="2648" spans="2:2" x14ac:dyDescent="0.3">
      <c r="B2648" s="48" t="str">
        <f t="shared" si="25"/>
        <v/>
      </c>
    </row>
    <row r="2649" spans="2:2" x14ac:dyDescent="0.3">
      <c r="B2649" s="48" t="str">
        <f t="shared" si="25"/>
        <v/>
      </c>
    </row>
    <row r="2650" spans="2:2" x14ac:dyDescent="0.3">
      <c r="B2650" s="48" t="str">
        <f t="shared" si="25"/>
        <v/>
      </c>
    </row>
    <row r="2651" spans="2:2" x14ac:dyDescent="0.3">
      <c r="B2651" s="48" t="str">
        <f t="shared" si="25"/>
        <v/>
      </c>
    </row>
    <row r="2652" spans="2:2" x14ac:dyDescent="0.3">
      <c r="B2652" s="48" t="str">
        <f t="shared" si="25"/>
        <v/>
      </c>
    </row>
    <row r="2653" spans="2:2" x14ac:dyDescent="0.3">
      <c r="B2653" s="48" t="str">
        <f t="shared" si="25"/>
        <v/>
      </c>
    </row>
    <row r="2654" spans="2:2" x14ac:dyDescent="0.3">
      <c r="B2654" s="48" t="str">
        <f t="shared" si="25"/>
        <v/>
      </c>
    </row>
    <row r="2655" spans="2:2" x14ac:dyDescent="0.3">
      <c r="B2655" s="48" t="str">
        <f t="shared" si="25"/>
        <v/>
      </c>
    </row>
    <row r="2656" spans="2:2" x14ac:dyDescent="0.3">
      <c r="B2656" s="48" t="str">
        <f t="shared" si="25"/>
        <v/>
      </c>
    </row>
    <row r="2657" spans="2:2" x14ac:dyDescent="0.3">
      <c r="B2657" s="48" t="str">
        <f t="shared" si="25"/>
        <v/>
      </c>
    </row>
    <row r="2658" spans="2:2" x14ac:dyDescent="0.3">
      <c r="B2658" s="48" t="str">
        <f t="shared" si="25"/>
        <v/>
      </c>
    </row>
    <row r="2659" spans="2:2" x14ac:dyDescent="0.3">
      <c r="B2659" s="48" t="str">
        <f t="shared" si="25"/>
        <v/>
      </c>
    </row>
    <row r="2660" spans="2:2" x14ac:dyDescent="0.3">
      <c r="B2660" s="48" t="str">
        <f t="shared" si="25"/>
        <v/>
      </c>
    </row>
    <row r="2661" spans="2:2" x14ac:dyDescent="0.3">
      <c r="B2661" s="48" t="str">
        <f t="shared" si="25"/>
        <v/>
      </c>
    </row>
    <row r="2662" spans="2:2" x14ac:dyDescent="0.3">
      <c r="B2662" s="48" t="str">
        <f t="shared" si="25"/>
        <v/>
      </c>
    </row>
    <row r="2663" spans="2:2" x14ac:dyDescent="0.3">
      <c r="B2663" s="48" t="str">
        <f t="shared" si="25"/>
        <v/>
      </c>
    </row>
    <row r="2664" spans="2:2" x14ac:dyDescent="0.3">
      <c r="B2664" s="48" t="str">
        <f t="shared" ref="B2664:B2727" si="26">IF($A2664="Daily", "n/a", "")</f>
        <v/>
      </c>
    </row>
    <row r="2665" spans="2:2" x14ac:dyDescent="0.3">
      <c r="B2665" s="48" t="str">
        <f t="shared" si="26"/>
        <v/>
      </c>
    </row>
    <row r="2666" spans="2:2" x14ac:dyDescent="0.3">
      <c r="B2666" s="48" t="str">
        <f t="shared" si="26"/>
        <v/>
      </c>
    </row>
    <row r="2667" spans="2:2" x14ac:dyDescent="0.3">
      <c r="B2667" s="48" t="str">
        <f t="shared" si="26"/>
        <v/>
      </c>
    </row>
    <row r="2668" spans="2:2" x14ac:dyDescent="0.3">
      <c r="B2668" s="48" t="str">
        <f t="shared" si="26"/>
        <v/>
      </c>
    </row>
    <row r="2669" spans="2:2" x14ac:dyDescent="0.3">
      <c r="B2669" s="48" t="str">
        <f t="shared" si="26"/>
        <v/>
      </c>
    </row>
    <row r="2670" spans="2:2" x14ac:dyDescent="0.3">
      <c r="B2670" s="48" t="str">
        <f t="shared" si="26"/>
        <v/>
      </c>
    </row>
    <row r="2671" spans="2:2" x14ac:dyDescent="0.3">
      <c r="B2671" s="48" t="str">
        <f t="shared" si="26"/>
        <v/>
      </c>
    </row>
    <row r="2672" spans="2:2" x14ac:dyDescent="0.3">
      <c r="B2672" s="48" t="str">
        <f t="shared" si="26"/>
        <v/>
      </c>
    </row>
    <row r="2673" spans="2:2" x14ac:dyDescent="0.3">
      <c r="B2673" s="48" t="str">
        <f t="shared" si="26"/>
        <v/>
      </c>
    </row>
    <row r="2674" spans="2:2" x14ac:dyDescent="0.3">
      <c r="B2674" s="48" t="str">
        <f t="shared" si="26"/>
        <v/>
      </c>
    </row>
    <row r="2675" spans="2:2" x14ac:dyDescent="0.3">
      <c r="B2675" s="48" t="str">
        <f t="shared" si="26"/>
        <v/>
      </c>
    </row>
    <row r="2676" spans="2:2" x14ac:dyDescent="0.3">
      <c r="B2676" s="48" t="str">
        <f t="shared" si="26"/>
        <v/>
      </c>
    </row>
    <row r="2677" spans="2:2" x14ac:dyDescent="0.3">
      <c r="B2677" s="48" t="str">
        <f t="shared" si="26"/>
        <v/>
      </c>
    </row>
    <row r="2678" spans="2:2" x14ac:dyDescent="0.3">
      <c r="B2678" s="48" t="str">
        <f t="shared" si="26"/>
        <v/>
      </c>
    </row>
    <row r="2679" spans="2:2" x14ac:dyDescent="0.3">
      <c r="B2679" s="48" t="str">
        <f t="shared" si="26"/>
        <v/>
      </c>
    </row>
    <row r="2680" spans="2:2" x14ac:dyDescent="0.3">
      <c r="B2680" s="48" t="str">
        <f t="shared" si="26"/>
        <v/>
      </c>
    </row>
    <row r="2681" spans="2:2" x14ac:dyDescent="0.3">
      <c r="B2681" s="48" t="str">
        <f t="shared" si="26"/>
        <v/>
      </c>
    </row>
    <row r="2682" spans="2:2" x14ac:dyDescent="0.3">
      <c r="B2682" s="48" t="str">
        <f t="shared" si="26"/>
        <v/>
      </c>
    </row>
    <row r="2683" spans="2:2" x14ac:dyDescent="0.3">
      <c r="B2683" s="48" t="str">
        <f t="shared" si="26"/>
        <v/>
      </c>
    </row>
    <row r="2684" spans="2:2" x14ac:dyDescent="0.3">
      <c r="B2684" s="48" t="str">
        <f t="shared" si="26"/>
        <v/>
      </c>
    </row>
    <row r="2685" spans="2:2" x14ac:dyDescent="0.3">
      <c r="B2685" s="48" t="str">
        <f t="shared" si="26"/>
        <v/>
      </c>
    </row>
    <row r="2686" spans="2:2" x14ac:dyDescent="0.3">
      <c r="B2686" s="48" t="str">
        <f t="shared" si="26"/>
        <v/>
      </c>
    </row>
    <row r="2687" spans="2:2" x14ac:dyDescent="0.3">
      <c r="B2687" s="48" t="str">
        <f t="shared" si="26"/>
        <v/>
      </c>
    </row>
    <row r="2688" spans="2:2" x14ac:dyDescent="0.3">
      <c r="B2688" s="48" t="str">
        <f t="shared" si="26"/>
        <v/>
      </c>
    </row>
    <row r="2689" spans="2:2" x14ac:dyDescent="0.3">
      <c r="B2689" s="48" t="str">
        <f t="shared" si="26"/>
        <v/>
      </c>
    </row>
    <row r="2690" spans="2:2" x14ac:dyDescent="0.3">
      <c r="B2690" s="48" t="str">
        <f t="shared" si="26"/>
        <v/>
      </c>
    </row>
    <row r="2691" spans="2:2" x14ac:dyDescent="0.3">
      <c r="B2691" s="48" t="str">
        <f t="shared" si="26"/>
        <v/>
      </c>
    </row>
    <row r="2692" spans="2:2" x14ac:dyDescent="0.3">
      <c r="B2692" s="48" t="str">
        <f t="shared" si="26"/>
        <v/>
      </c>
    </row>
    <row r="2693" spans="2:2" x14ac:dyDescent="0.3">
      <c r="B2693" s="48" t="str">
        <f t="shared" si="26"/>
        <v/>
      </c>
    </row>
    <row r="2694" spans="2:2" x14ac:dyDescent="0.3">
      <c r="B2694" s="48" t="str">
        <f t="shared" si="26"/>
        <v/>
      </c>
    </row>
    <row r="2695" spans="2:2" x14ac:dyDescent="0.3">
      <c r="B2695" s="48" t="str">
        <f t="shared" si="26"/>
        <v/>
      </c>
    </row>
    <row r="2696" spans="2:2" x14ac:dyDescent="0.3">
      <c r="B2696" s="48" t="str">
        <f t="shared" si="26"/>
        <v/>
      </c>
    </row>
    <row r="2697" spans="2:2" x14ac:dyDescent="0.3">
      <c r="B2697" s="48" t="str">
        <f t="shared" si="26"/>
        <v/>
      </c>
    </row>
    <row r="2698" spans="2:2" x14ac:dyDescent="0.3">
      <c r="B2698" s="48" t="str">
        <f t="shared" si="26"/>
        <v/>
      </c>
    </row>
    <row r="2699" spans="2:2" x14ac:dyDescent="0.3">
      <c r="B2699" s="48" t="str">
        <f t="shared" si="26"/>
        <v/>
      </c>
    </row>
    <row r="2700" spans="2:2" x14ac:dyDescent="0.3">
      <c r="B2700" s="48" t="str">
        <f t="shared" si="26"/>
        <v/>
      </c>
    </row>
    <row r="2701" spans="2:2" x14ac:dyDescent="0.3">
      <c r="B2701" s="48" t="str">
        <f t="shared" si="26"/>
        <v/>
      </c>
    </row>
    <row r="2702" spans="2:2" x14ac:dyDescent="0.3">
      <c r="B2702" s="48" t="str">
        <f t="shared" si="26"/>
        <v/>
      </c>
    </row>
    <row r="2703" spans="2:2" x14ac:dyDescent="0.3">
      <c r="B2703" s="48" t="str">
        <f t="shared" si="26"/>
        <v/>
      </c>
    </row>
    <row r="2704" spans="2:2" x14ac:dyDescent="0.3">
      <c r="B2704" s="48" t="str">
        <f t="shared" si="26"/>
        <v/>
      </c>
    </row>
    <row r="2705" spans="2:2" x14ac:dyDescent="0.3">
      <c r="B2705" s="48" t="str">
        <f t="shared" si="26"/>
        <v/>
      </c>
    </row>
    <row r="2706" spans="2:2" x14ac:dyDescent="0.3">
      <c r="B2706" s="48" t="str">
        <f t="shared" si="26"/>
        <v/>
      </c>
    </row>
    <row r="2707" spans="2:2" x14ac:dyDescent="0.3">
      <c r="B2707" s="48" t="str">
        <f t="shared" si="26"/>
        <v/>
      </c>
    </row>
    <row r="2708" spans="2:2" x14ac:dyDescent="0.3">
      <c r="B2708" s="48" t="str">
        <f t="shared" si="26"/>
        <v/>
      </c>
    </row>
    <row r="2709" spans="2:2" x14ac:dyDescent="0.3">
      <c r="B2709" s="48" t="str">
        <f t="shared" si="26"/>
        <v/>
      </c>
    </row>
    <row r="2710" spans="2:2" x14ac:dyDescent="0.3">
      <c r="B2710" s="48" t="str">
        <f t="shared" si="26"/>
        <v/>
      </c>
    </row>
    <row r="2711" spans="2:2" x14ac:dyDescent="0.3">
      <c r="B2711" s="48" t="str">
        <f t="shared" si="26"/>
        <v/>
      </c>
    </row>
    <row r="2712" spans="2:2" x14ac:dyDescent="0.3">
      <c r="B2712" s="48" t="str">
        <f t="shared" si="26"/>
        <v/>
      </c>
    </row>
    <row r="2713" spans="2:2" x14ac:dyDescent="0.3">
      <c r="B2713" s="48" t="str">
        <f t="shared" si="26"/>
        <v/>
      </c>
    </row>
    <row r="2714" spans="2:2" x14ac:dyDescent="0.3">
      <c r="B2714" s="48" t="str">
        <f t="shared" si="26"/>
        <v/>
      </c>
    </row>
    <row r="2715" spans="2:2" x14ac:dyDescent="0.3">
      <c r="B2715" s="48" t="str">
        <f t="shared" si="26"/>
        <v/>
      </c>
    </row>
    <row r="2716" spans="2:2" x14ac:dyDescent="0.3">
      <c r="B2716" s="48" t="str">
        <f t="shared" si="26"/>
        <v/>
      </c>
    </row>
    <row r="2717" spans="2:2" x14ac:dyDescent="0.3">
      <c r="B2717" s="48" t="str">
        <f t="shared" si="26"/>
        <v/>
      </c>
    </row>
    <row r="2718" spans="2:2" x14ac:dyDescent="0.3">
      <c r="B2718" s="48" t="str">
        <f t="shared" si="26"/>
        <v/>
      </c>
    </row>
    <row r="2719" spans="2:2" x14ac:dyDescent="0.3">
      <c r="B2719" s="48" t="str">
        <f t="shared" si="26"/>
        <v/>
      </c>
    </row>
    <row r="2720" spans="2:2" x14ac:dyDescent="0.3">
      <c r="B2720" s="48" t="str">
        <f t="shared" si="26"/>
        <v/>
      </c>
    </row>
    <row r="2721" spans="2:2" x14ac:dyDescent="0.3">
      <c r="B2721" s="48" t="str">
        <f t="shared" si="26"/>
        <v/>
      </c>
    </row>
    <row r="2722" spans="2:2" x14ac:dyDescent="0.3">
      <c r="B2722" s="48" t="str">
        <f t="shared" si="26"/>
        <v/>
      </c>
    </row>
    <row r="2723" spans="2:2" x14ac:dyDescent="0.3">
      <c r="B2723" s="48" t="str">
        <f t="shared" si="26"/>
        <v/>
      </c>
    </row>
    <row r="2724" spans="2:2" x14ac:dyDescent="0.3">
      <c r="B2724" s="48" t="str">
        <f t="shared" si="26"/>
        <v/>
      </c>
    </row>
    <row r="2725" spans="2:2" x14ac:dyDescent="0.3">
      <c r="B2725" s="48" t="str">
        <f t="shared" si="26"/>
        <v/>
      </c>
    </row>
    <row r="2726" spans="2:2" x14ac:dyDescent="0.3">
      <c r="B2726" s="48" t="str">
        <f t="shared" si="26"/>
        <v/>
      </c>
    </row>
    <row r="2727" spans="2:2" x14ac:dyDescent="0.3">
      <c r="B2727" s="48" t="str">
        <f t="shared" si="26"/>
        <v/>
      </c>
    </row>
    <row r="2728" spans="2:2" x14ac:dyDescent="0.3">
      <c r="B2728" s="48" t="str">
        <f t="shared" ref="B2728:B2791" si="27">IF($A2728="Daily", "n/a", "")</f>
        <v/>
      </c>
    </row>
    <row r="2729" spans="2:2" x14ac:dyDescent="0.3">
      <c r="B2729" s="48" t="str">
        <f t="shared" si="27"/>
        <v/>
      </c>
    </row>
    <row r="2730" spans="2:2" x14ac:dyDescent="0.3">
      <c r="B2730" s="48" t="str">
        <f t="shared" si="27"/>
        <v/>
      </c>
    </row>
    <row r="2731" spans="2:2" x14ac:dyDescent="0.3">
      <c r="B2731" s="48" t="str">
        <f t="shared" si="27"/>
        <v/>
      </c>
    </row>
    <row r="2732" spans="2:2" x14ac:dyDescent="0.3">
      <c r="B2732" s="48" t="str">
        <f t="shared" si="27"/>
        <v/>
      </c>
    </row>
    <row r="2733" spans="2:2" x14ac:dyDescent="0.3">
      <c r="B2733" s="48" t="str">
        <f t="shared" si="27"/>
        <v/>
      </c>
    </row>
    <row r="2734" spans="2:2" x14ac:dyDescent="0.3">
      <c r="B2734" s="48" t="str">
        <f t="shared" si="27"/>
        <v/>
      </c>
    </row>
    <row r="2735" spans="2:2" x14ac:dyDescent="0.3">
      <c r="B2735" s="48" t="str">
        <f t="shared" si="27"/>
        <v/>
      </c>
    </row>
    <row r="2736" spans="2:2" x14ac:dyDescent="0.3">
      <c r="B2736" s="48" t="str">
        <f t="shared" si="27"/>
        <v/>
      </c>
    </row>
    <row r="2737" spans="2:2" x14ac:dyDescent="0.3">
      <c r="B2737" s="48" t="str">
        <f t="shared" si="27"/>
        <v/>
      </c>
    </row>
    <row r="2738" spans="2:2" x14ac:dyDescent="0.3">
      <c r="B2738" s="48" t="str">
        <f t="shared" si="27"/>
        <v/>
      </c>
    </row>
    <row r="2739" spans="2:2" x14ac:dyDescent="0.3">
      <c r="B2739" s="48" t="str">
        <f t="shared" si="27"/>
        <v/>
      </c>
    </row>
    <row r="2740" spans="2:2" x14ac:dyDescent="0.3">
      <c r="B2740" s="48" t="str">
        <f t="shared" si="27"/>
        <v/>
      </c>
    </row>
    <row r="2741" spans="2:2" x14ac:dyDescent="0.3">
      <c r="B2741" s="48" t="str">
        <f t="shared" si="27"/>
        <v/>
      </c>
    </row>
    <row r="2742" spans="2:2" x14ac:dyDescent="0.3">
      <c r="B2742" s="48" t="str">
        <f t="shared" si="27"/>
        <v/>
      </c>
    </row>
    <row r="2743" spans="2:2" x14ac:dyDescent="0.3">
      <c r="B2743" s="48" t="str">
        <f t="shared" si="27"/>
        <v/>
      </c>
    </row>
    <row r="2744" spans="2:2" x14ac:dyDescent="0.3">
      <c r="B2744" s="48" t="str">
        <f t="shared" si="27"/>
        <v/>
      </c>
    </row>
    <row r="2745" spans="2:2" x14ac:dyDescent="0.3">
      <c r="B2745" s="48" t="str">
        <f t="shared" si="27"/>
        <v/>
      </c>
    </row>
    <row r="2746" spans="2:2" x14ac:dyDescent="0.3">
      <c r="B2746" s="48" t="str">
        <f t="shared" si="27"/>
        <v/>
      </c>
    </row>
    <row r="2747" spans="2:2" x14ac:dyDescent="0.3">
      <c r="B2747" s="48" t="str">
        <f t="shared" si="27"/>
        <v/>
      </c>
    </row>
    <row r="2748" spans="2:2" x14ac:dyDescent="0.3">
      <c r="B2748" s="48" t="str">
        <f t="shared" si="27"/>
        <v/>
      </c>
    </row>
    <row r="2749" spans="2:2" x14ac:dyDescent="0.3">
      <c r="B2749" s="48" t="str">
        <f t="shared" si="27"/>
        <v/>
      </c>
    </row>
    <row r="2750" spans="2:2" x14ac:dyDescent="0.3">
      <c r="B2750" s="48" t="str">
        <f t="shared" si="27"/>
        <v/>
      </c>
    </row>
    <row r="2751" spans="2:2" x14ac:dyDescent="0.3">
      <c r="B2751" s="48" t="str">
        <f t="shared" si="27"/>
        <v/>
      </c>
    </row>
    <row r="2752" spans="2:2" x14ac:dyDescent="0.3">
      <c r="B2752" s="48" t="str">
        <f t="shared" si="27"/>
        <v/>
      </c>
    </row>
    <row r="2753" spans="2:2" x14ac:dyDescent="0.3">
      <c r="B2753" s="48" t="str">
        <f t="shared" si="27"/>
        <v/>
      </c>
    </row>
    <row r="2754" spans="2:2" x14ac:dyDescent="0.3">
      <c r="B2754" s="48" t="str">
        <f t="shared" si="27"/>
        <v/>
      </c>
    </row>
    <row r="2755" spans="2:2" x14ac:dyDescent="0.3">
      <c r="B2755" s="48" t="str">
        <f t="shared" si="27"/>
        <v/>
      </c>
    </row>
    <row r="2756" spans="2:2" x14ac:dyDescent="0.3">
      <c r="B2756" s="48" t="str">
        <f t="shared" si="27"/>
        <v/>
      </c>
    </row>
    <row r="2757" spans="2:2" x14ac:dyDescent="0.3">
      <c r="B2757" s="48" t="str">
        <f t="shared" si="27"/>
        <v/>
      </c>
    </row>
    <row r="2758" spans="2:2" x14ac:dyDescent="0.3">
      <c r="B2758" s="48" t="str">
        <f t="shared" si="27"/>
        <v/>
      </c>
    </row>
    <row r="2759" spans="2:2" x14ac:dyDescent="0.3">
      <c r="B2759" s="48" t="str">
        <f t="shared" si="27"/>
        <v/>
      </c>
    </row>
    <row r="2760" spans="2:2" x14ac:dyDescent="0.3">
      <c r="B2760" s="48" t="str">
        <f t="shared" si="27"/>
        <v/>
      </c>
    </row>
    <row r="2761" spans="2:2" x14ac:dyDescent="0.3">
      <c r="B2761" s="48" t="str">
        <f t="shared" si="27"/>
        <v/>
      </c>
    </row>
    <row r="2762" spans="2:2" x14ac:dyDescent="0.3">
      <c r="B2762" s="48" t="str">
        <f t="shared" si="27"/>
        <v/>
      </c>
    </row>
    <row r="2763" spans="2:2" x14ac:dyDescent="0.3">
      <c r="B2763" s="48" t="str">
        <f t="shared" si="27"/>
        <v/>
      </c>
    </row>
    <row r="2764" spans="2:2" x14ac:dyDescent="0.3">
      <c r="B2764" s="48" t="str">
        <f t="shared" si="27"/>
        <v/>
      </c>
    </row>
    <row r="2765" spans="2:2" x14ac:dyDescent="0.3">
      <c r="B2765" s="48" t="str">
        <f t="shared" si="27"/>
        <v/>
      </c>
    </row>
    <row r="2766" spans="2:2" x14ac:dyDescent="0.3">
      <c r="B2766" s="48" t="str">
        <f t="shared" si="27"/>
        <v/>
      </c>
    </row>
    <row r="2767" spans="2:2" x14ac:dyDescent="0.3">
      <c r="B2767" s="48" t="str">
        <f t="shared" si="27"/>
        <v/>
      </c>
    </row>
    <row r="2768" spans="2:2" x14ac:dyDescent="0.3">
      <c r="B2768" s="48" t="str">
        <f t="shared" si="27"/>
        <v/>
      </c>
    </row>
    <row r="2769" spans="2:2" x14ac:dyDescent="0.3">
      <c r="B2769" s="48" t="str">
        <f t="shared" si="27"/>
        <v/>
      </c>
    </row>
    <row r="2770" spans="2:2" x14ac:dyDescent="0.3">
      <c r="B2770" s="48" t="str">
        <f t="shared" si="27"/>
        <v/>
      </c>
    </row>
    <row r="2771" spans="2:2" x14ac:dyDescent="0.3">
      <c r="B2771" s="48" t="str">
        <f t="shared" si="27"/>
        <v/>
      </c>
    </row>
    <row r="2772" spans="2:2" x14ac:dyDescent="0.3">
      <c r="B2772" s="48" t="str">
        <f t="shared" si="27"/>
        <v/>
      </c>
    </row>
    <row r="2773" spans="2:2" x14ac:dyDescent="0.3">
      <c r="B2773" s="48" t="str">
        <f t="shared" si="27"/>
        <v/>
      </c>
    </row>
    <row r="2774" spans="2:2" x14ac:dyDescent="0.3">
      <c r="B2774" s="48" t="str">
        <f t="shared" si="27"/>
        <v/>
      </c>
    </row>
    <row r="2775" spans="2:2" x14ac:dyDescent="0.3">
      <c r="B2775" s="48" t="str">
        <f t="shared" si="27"/>
        <v/>
      </c>
    </row>
    <row r="2776" spans="2:2" x14ac:dyDescent="0.3">
      <c r="B2776" s="48" t="str">
        <f t="shared" si="27"/>
        <v/>
      </c>
    </row>
    <row r="2777" spans="2:2" x14ac:dyDescent="0.3">
      <c r="B2777" s="48" t="str">
        <f t="shared" si="27"/>
        <v/>
      </c>
    </row>
    <row r="2778" spans="2:2" x14ac:dyDescent="0.3">
      <c r="B2778" s="48" t="str">
        <f t="shared" si="27"/>
        <v/>
      </c>
    </row>
    <row r="2779" spans="2:2" x14ac:dyDescent="0.3">
      <c r="B2779" s="48" t="str">
        <f t="shared" si="27"/>
        <v/>
      </c>
    </row>
    <row r="2780" spans="2:2" x14ac:dyDescent="0.3">
      <c r="B2780" s="48" t="str">
        <f t="shared" si="27"/>
        <v/>
      </c>
    </row>
    <row r="2781" spans="2:2" x14ac:dyDescent="0.3">
      <c r="B2781" s="48" t="str">
        <f t="shared" si="27"/>
        <v/>
      </c>
    </row>
    <row r="2782" spans="2:2" x14ac:dyDescent="0.3">
      <c r="B2782" s="48" t="str">
        <f t="shared" si="27"/>
        <v/>
      </c>
    </row>
    <row r="2783" spans="2:2" x14ac:dyDescent="0.3">
      <c r="B2783" s="48" t="str">
        <f t="shared" si="27"/>
        <v/>
      </c>
    </row>
    <row r="2784" spans="2:2" x14ac:dyDescent="0.3">
      <c r="B2784" s="48" t="str">
        <f t="shared" si="27"/>
        <v/>
      </c>
    </row>
    <row r="2785" spans="2:2" x14ac:dyDescent="0.3">
      <c r="B2785" s="48" t="str">
        <f t="shared" si="27"/>
        <v/>
      </c>
    </row>
    <row r="2786" spans="2:2" x14ac:dyDescent="0.3">
      <c r="B2786" s="48" t="str">
        <f t="shared" si="27"/>
        <v/>
      </c>
    </row>
    <row r="2787" spans="2:2" x14ac:dyDescent="0.3">
      <c r="B2787" s="48" t="str">
        <f t="shared" si="27"/>
        <v/>
      </c>
    </row>
    <row r="2788" spans="2:2" x14ac:dyDescent="0.3">
      <c r="B2788" s="48" t="str">
        <f t="shared" si="27"/>
        <v/>
      </c>
    </row>
    <row r="2789" spans="2:2" x14ac:dyDescent="0.3">
      <c r="B2789" s="48" t="str">
        <f t="shared" si="27"/>
        <v/>
      </c>
    </row>
    <row r="2790" spans="2:2" x14ac:dyDescent="0.3">
      <c r="B2790" s="48" t="str">
        <f t="shared" si="27"/>
        <v/>
      </c>
    </row>
    <row r="2791" spans="2:2" x14ac:dyDescent="0.3">
      <c r="B2791" s="48" t="str">
        <f t="shared" si="27"/>
        <v/>
      </c>
    </row>
    <row r="2792" spans="2:2" x14ac:dyDescent="0.3">
      <c r="B2792" s="48" t="str">
        <f t="shared" ref="B2792:B2855" si="28">IF($A2792="Daily", "n/a", "")</f>
        <v/>
      </c>
    </row>
    <row r="2793" spans="2:2" x14ac:dyDescent="0.3">
      <c r="B2793" s="48" t="str">
        <f t="shared" si="28"/>
        <v/>
      </c>
    </row>
    <row r="2794" spans="2:2" x14ac:dyDescent="0.3">
      <c r="B2794" s="48" t="str">
        <f t="shared" si="28"/>
        <v/>
      </c>
    </row>
    <row r="2795" spans="2:2" x14ac:dyDescent="0.3">
      <c r="B2795" s="48" t="str">
        <f t="shared" si="28"/>
        <v/>
      </c>
    </row>
    <row r="2796" spans="2:2" x14ac:dyDescent="0.3">
      <c r="B2796" s="48" t="str">
        <f t="shared" si="28"/>
        <v/>
      </c>
    </row>
    <row r="2797" spans="2:2" x14ac:dyDescent="0.3">
      <c r="B2797" s="48" t="str">
        <f t="shared" si="28"/>
        <v/>
      </c>
    </row>
    <row r="2798" spans="2:2" x14ac:dyDescent="0.3">
      <c r="B2798" s="48" t="str">
        <f t="shared" si="28"/>
        <v/>
      </c>
    </row>
    <row r="2799" spans="2:2" x14ac:dyDescent="0.3">
      <c r="B2799" s="48" t="str">
        <f t="shared" si="28"/>
        <v/>
      </c>
    </row>
    <row r="2800" spans="2:2" x14ac:dyDescent="0.3">
      <c r="B2800" s="48" t="str">
        <f t="shared" si="28"/>
        <v/>
      </c>
    </row>
    <row r="2801" spans="2:2" x14ac:dyDescent="0.3">
      <c r="B2801" s="48" t="str">
        <f t="shared" si="28"/>
        <v/>
      </c>
    </row>
    <row r="2802" spans="2:2" x14ac:dyDescent="0.3">
      <c r="B2802" s="48" t="str">
        <f t="shared" si="28"/>
        <v/>
      </c>
    </row>
    <row r="2803" spans="2:2" x14ac:dyDescent="0.3">
      <c r="B2803" s="48" t="str">
        <f t="shared" si="28"/>
        <v/>
      </c>
    </row>
    <row r="2804" spans="2:2" x14ac:dyDescent="0.3">
      <c r="B2804" s="48" t="str">
        <f t="shared" si="28"/>
        <v/>
      </c>
    </row>
    <row r="2805" spans="2:2" x14ac:dyDescent="0.3">
      <c r="B2805" s="48" t="str">
        <f t="shared" si="28"/>
        <v/>
      </c>
    </row>
    <row r="2806" spans="2:2" x14ac:dyDescent="0.3">
      <c r="B2806" s="48" t="str">
        <f t="shared" si="28"/>
        <v/>
      </c>
    </row>
    <row r="2807" spans="2:2" x14ac:dyDescent="0.3">
      <c r="B2807" s="48" t="str">
        <f t="shared" si="28"/>
        <v/>
      </c>
    </row>
    <row r="2808" spans="2:2" x14ac:dyDescent="0.3">
      <c r="B2808" s="48" t="str">
        <f t="shared" si="28"/>
        <v/>
      </c>
    </row>
    <row r="2809" spans="2:2" x14ac:dyDescent="0.3">
      <c r="B2809" s="48" t="str">
        <f t="shared" si="28"/>
        <v/>
      </c>
    </row>
    <row r="2810" spans="2:2" x14ac:dyDescent="0.3">
      <c r="B2810" s="48" t="str">
        <f t="shared" si="28"/>
        <v/>
      </c>
    </row>
    <row r="2811" spans="2:2" x14ac:dyDescent="0.3">
      <c r="B2811" s="48" t="str">
        <f t="shared" si="28"/>
        <v/>
      </c>
    </row>
    <row r="2812" spans="2:2" x14ac:dyDescent="0.3">
      <c r="B2812" s="48" t="str">
        <f t="shared" si="28"/>
        <v/>
      </c>
    </row>
    <row r="2813" spans="2:2" x14ac:dyDescent="0.3">
      <c r="B2813" s="48" t="str">
        <f t="shared" si="28"/>
        <v/>
      </c>
    </row>
    <row r="2814" spans="2:2" x14ac:dyDescent="0.3">
      <c r="B2814" s="48" t="str">
        <f t="shared" si="28"/>
        <v/>
      </c>
    </row>
    <row r="2815" spans="2:2" x14ac:dyDescent="0.3">
      <c r="B2815" s="48" t="str">
        <f t="shared" si="28"/>
        <v/>
      </c>
    </row>
    <row r="2816" spans="2:2" x14ac:dyDescent="0.3">
      <c r="B2816" s="48" t="str">
        <f t="shared" si="28"/>
        <v/>
      </c>
    </row>
    <row r="2817" spans="2:2" x14ac:dyDescent="0.3">
      <c r="B2817" s="48" t="str">
        <f t="shared" si="28"/>
        <v/>
      </c>
    </row>
    <row r="2818" spans="2:2" x14ac:dyDescent="0.3">
      <c r="B2818" s="48" t="str">
        <f t="shared" si="28"/>
        <v/>
      </c>
    </row>
    <row r="2819" spans="2:2" x14ac:dyDescent="0.3">
      <c r="B2819" s="48" t="str">
        <f t="shared" si="28"/>
        <v/>
      </c>
    </row>
    <row r="2820" spans="2:2" x14ac:dyDescent="0.3">
      <c r="B2820" s="48" t="str">
        <f t="shared" si="28"/>
        <v/>
      </c>
    </row>
    <row r="2821" spans="2:2" x14ac:dyDescent="0.3">
      <c r="B2821" s="48" t="str">
        <f t="shared" si="28"/>
        <v/>
      </c>
    </row>
    <row r="2822" spans="2:2" x14ac:dyDescent="0.3">
      <c r="B2822" s="48" t="str">
        <f t="shared" si="28"/>
        <v/>
      </c>
    </row>
    <row r="2823" spans="2:2" x14ac:dyDescent="0.3">
      <c r="B2823" s="48" t="str">
        <f t="shared" si="28"/>
        <v/>
      </c>
    </row>
    <row r="2824" spans="2:2" x14ac:dyDescent="0.3">
      <c r="B2824" s="48" t="str">
        <f t="shared" si="28"/>
        <v/>
      </c>
    </row>
    <row r="2825" spans="2:2" x14ac:dyDescent="0.3">
      <c r="B2825" s="48" t="str">
        <f t="shared" si="28"/>
        <v/>
      </c>
    </row>
    <row r="2826" spans="2:2" x14ac:dyDescent="0.3">
      <c r="B2826" s="48" t="str">
        <f t="shared" si="28"/>
        <v/>
      </c>
    </row>
    <row r="2827" spans="2:2" x14ac:dyDescent="0.3">
      <c r="B2827" s="48" t="str">
        <f t="shared" si="28"/>
        <v/>
      </c>
    </row>
    <row r="2828" spans="2:2" x14ac:dyDescent="0.3">
      <c r="B2828" s="48" t="str">
        <f t="shared" si="28"/>
        <v/>
      </c>
    </row>
    <row r="2829" spans="2:2" x14ac:dyDescent="0.3">
      <c r="B2829" s="48" t="str">
        <f t="shared" si="28"/>
        <v/>
      </c>
    </row>
    <row r="2830" spans="2:2" x14ac:dyDescent="0.3">
      <c r="B2830" s="48" t="str">
        <f t="shared" si="28"/>
        <v/>
      </c>
    </row>
    <row r="2831" spans="2:2" x14ac:dyDescent="0.3">
      <c r="B2831" s="48" t="str">
        <f t="shared" si="28"/>
        <v/>
      </c>
    </row>
    <row r="2832" spans="2:2" x14ac:dyDescent="0.3">
      <c r="B2832" s="48" t="str">
        <f t="shared" si="28"/>
        <v/>
      </c>
    </row>
    <row r="2833" spans="2:2" x14ac:dyDescent="0.3">
      <c r="B2833" s="48" t="str">
        <f t="shared" si="28"/>
        <v/>
      </c>
    </row>
    <row r="2834" spans="2:2" x14ac:dyDescent="0.3">
      <c r="B2834" s="48" t="str">
        <f t="shared" si="28"/>
        <v/>
      </c>
    </row>
    <row r="2835" spans="2:2" x14ac:dyDescent="0.3">
      <c r="B2835" s="48" t="str">
        <f t="shared" si="28"/>
        <v/>
      </c>
    </row>
    <row r="2836" spans="2:2" x14ac:dyDescent="0.3">
      <c r="B2836" s="48" t="str">
        <f t="shared" si="28"/>
        <v/>
      </c>
    </row>
    <row r="2837" spans="2:2" x14ac:dyDescent="0.3">
      <c r="B2837" s="48" t="str">
        <f t="shared" si="28"/>
        <v/>
      </c>
    </row>
    <row r="2838" spans="2:2" x14ac:dyDescent="0.3">
      <c r="B2838" s="48" t="str">
        <f t="shared" si="28"/>
        <v/>
      </c>
    </row>
    <row r="2839" spans="2:2" x14ac:dyDescent="0.3">
      <c r="B2839" s="48" t="str">
        <f t="shared" si="28"/>
        <v/>
      </c>
    </row>
    <row r="2840" spans="2:2" x14ac:dyDescent="0.3">
      <c r="B2840" s="48" t="str">
        <f t="shared" si="28"/>
        <v/>
      </c>
    </row>
    <row r="2841" spans="2:2" x14ac:dyDescent="0.3">
      <c r="B2841" s="48" t="str">
        <f t="shared" si="28"/>
        <v/>
      </c>
    </row>
    <row r="2842" spans="2:2" x14ac:dyDescent="0.3">
      <c r="B2842" s="48" t="str">
        <f t="shared" si="28"/>
        <v/>
      </c>
    </row>
    <row r="2843" spans="2:2" x14ac:dyDescent="0.3">
      <c r="B2843" s="48" t="str">
        <f t="shared" si="28"/>
        <v/>
      </c>
    </row>
    <row r="2844" spans="2:2" x14ac:dyDescent="0.3">
      <c r="B2844" s="48" t="str">
        <f t="shared" si="28"/>
        <v/>
      </c>
    </row>
    <row r="2845" spans="2:2" x14ac:dyDescent="0.3">
      <c r="B2845" s="48" t="str">
        <f t="shared" si="28"/>
        <v/>
      </c>
    </row>
    <row r="2846" spans="2:2" x14ac:dyDescent="0.3">
      <c r="B2846" s="48" t="str">
        <f t="shared" si="28"/>
        <v/>
      </c>
    </row>
    <row r="2847" spans="2:2" x14ac:dyDescent="0.3">
      <c r="B2847" s="48" t="str">
        <f t="shared" si="28"/>
        <v/>
      </c>
    </row>
    <row r="2848" spans="2:2" x14ac:dyDescent="0.3">
      <c r="B2848" s="48" t="str">
        <f t="shared" si="28"/>
        <v/>
      </c>
    </row>
    <row r="2849" spans="2:2" x14ac:dyDescent="0.3">
      <c r="B2849" s="48" t="str">
        <f t="shared" si="28"/>
        <v/>
      </c>
    </row>
    <row r="2850" spans="2:2" x14ac:dyDescent="0.3">
      <c r="B2850" s="48" t="str">
        <f t="shared" si="28"/>
        <v/>
      </c>
    </row>
    <row r="2851" spans="2:2" x14ac:dyDescent="0.3">
      <c r="B2851" s="48" t="str">
        <f t="shared" si="28"/>
        <v/>
      </c>
    </row>
    <row r="2852" spans="2:2" x14ac:dyDescent="0.3">
      <c r="B2852" s="48" t="str">
        <f t="shared" si="28"/>
        <v/>
      </c>
    </row>
    <row r="2853" spans="2:2" x14ac:dyDescent="0.3">
      <c r="B2853" s="48" t="str">
        <f t="shared" si="28"/>
        <v/>
      </c>
    </row>
    <row r="2854" spans="2:2" x14ac:dyDescent="0.3">
      <c r="B2854" s="48" t="str">
        <f t="shared" si="28"/>
        <v/>
      </c>
    </row>
    <row r="2855" spans="2:2" x14ac:dyDescent="0.3">
      <c r="B2855" s="48" t="str">
        <f t="shared" si="28"/>
        <v/>
      </c>
    </row>
    <row r="2856" spans="2:2" x14ac:dyDescent="0.3">
      <c r="B2856" s="48" t="str">
        <f t="shared" ref="B2856:B2919" si="29">IF($A2856="Daily", "n/a", "")</f>
        <v/>
      </c>
    </row>
    <row r="2857" spans="2:2" x14ac:dyDescent="0.3">
      <c r="B2857" s="48" t="str">
        <f t="shared" si="29"/>
        <v/>
      </c>
    </row>
    <row r="2858" spans="2:2" x14ac:dyDescent="0.3">
      <c r="B2858" s="48" t="str">
        <f t="shared" si="29"/>
        <v/>
      </c>
    </row>
    <row r="2859" spans="2:2" x14ac:dyDescent="0.3">
      <c r="B2859" s="48" t="str">
        <f t="shared" si="29"/>
        <v/>
      </c>
    </row>
    <row r="2860" spans="2:2" x14ac:dyDescent="0.3">
      <c r="B2860" s="48" t="str">
        <f t="shared" si="29"/>
        <v/>
      </c>
    </row>
    <row r="2861" spans="2:2" x14ac:dyDescent="0.3">
      <c r="B2861" s="48" t="str">
        <f t="shared" si="29"/>
        <v/>
      </c>
    </row>
    <row r="2862" spans="2:2" x14ac:dyDescent="0.3">
      <c r="B2862" s="48" t="str">
        <f t="shared" si="29"/>
        <v/>
      </c>
    </row>
    <row r="2863" spans="2:2" x14ac:dyDescent="0.3">
      <c r="B2863" s="48" t="str">
        <f t="shared" si="29"/>
        <v/>
      </c>
    </row>
    <row r="2864" spans="2:2" x14ac:dyDescent="0.3">
      <c r="B2864" s="48" t="str">
        <f t="shared" si="29"/>
        <v/>
      </c>
    </row>
    <row r="2865" spans="2:2" x14ac:dyDescent="0.3">
      <c r="B2865" s="48" t="str">
        <f t="shared" si="29"/>
        <v/>
      </c>
    </row>
    <row r="2866" spans="2:2" x14ac:dyDescent="0.3">
      <c r="B2866" s="48" t="str">
        <f t="shared" si="29"/>
        <v/>
      </c>
    </row>
    <row r="2867" spans="2:2" x14ac:dyDescent="0.3">
      <c r="B2867" s="48" t="str">
        <f t="shared" si="29"/>
        <v/>
      </c>
    </row>
    <row r="2868" spans="2:2" x14ac:dyDescent="0.3">
      <c r="B2868" s="48" t="str">
        <f t="shared" si="29"/>
        <v/>
      </c>
    </row>
    <row r="2869" spans="2:2" x14ac:dyDescent="0.3">
      <c r="B2869" s="48" t="str">
        <f t="shared" si="29"/>
        <v/>
      </c>
    </row>
    <row r="2870" spans="2:2" x14ac:dyDescent="0.3">
      <c r="B2870" s="48" t="str">
        <f t="shared" si="29"/>
        <v/>
      </c>
    </row>
    <row r="2871" spans="2:2" x14ac:dyDescent="0.3">
      <c r="B2871" s="48" t="str">
        <f t="shared" si="29"/>
        <v/>
      </c>
    </row>
    <row r="2872" spans="2:2" x14ac:dyDescent="0.3">
      <c r="B2872" s="48" t="str">
        <f t="shared" si="29"/>
        <v/>
      </c>
    </row>
    <row r="2873" spans="2:2" x14ac:dyDescent="0.3">
      <c r="B2873" s="48" t="str">
        <f t="shared" si="29"/>
        <v/>
      </c>
    </row>
    <row r="2874" spans="2:2" x14ac:dyDescent="0.3">
      <c r="B2874" s="48" t="str">
        <f t="shared" si="29"/>
        <v/>
      </c>
    </row>
    <row r="2875" spans="2:2" x14ac:dyDescent="0.3">
      <c r="B2875" s="48" t="str">
        <f t="shared" si="29"/>
        <v/>
      </c>
    </row>
    <row r="2876" spans="2:2" x14ac:dyDescent="0.3">
      <c r="B2876" s="48" t="str">
        <f t="shared" si="29"/>
        <v/>
      </c>
    </row>
    <row r="2877" spans="2:2" x14ac:dyDescent="0.3">
      <c r="B2877" s="48" t="str">
        <f t="shared" si="29"/>
        <v/>
      </c>
    </row>
    <row r="2878" spans="2:2" x14ac:dyDescent="0.3">
      <c r="B2878" s="48" t="str">
        <f t="shared" si="29"/>
        <v/>
      </c>
    </row>
    <row r="2879" spans="2:2" x14ac:dyDescent="0.3">
      <c r="B2879" s="48" t="str">
        <f t="shared" si="29"/>
        <v/>
      </c>
    </row>
    <row r="2880" spans="2:2" x14ac:dyDescent="0.3">
      <c r="B2880" s="48" t="str">
        <f t="shared" si="29"/>
        <v/>
      </c>
    </row>
    <row r="2881" spans="2:2" x14ac:dyDescent="0.3">
      <c r="B2881" s="48" t="str">
        <f t="shared" si="29"/>
        <v/>
      </c>
    </row>
    <row r="2882" spans="2:2" x14ac:dyDescent="0.3">
      <c r="B2882" s="48" t="str">
        <f t="shared" si="29"/>
        <v/>
      </c>
    </row>
    <row r="2883" spans="2:2" x14ac:dyDescent="0.3">
      <c r="B2883" s="48" t="str">
        <f t="shared" si="29"/>
        <v/>
      </c>
    </row>
    <row r="2884" spans="2:2" x14ac:dyDescent="0.3">
      <c r="B2884" s="48" t="str">
        <f t="shared" si="29"/>
        <v/>
      </c>
    </row>
    <row r="2885" spans="2:2" x14ac:dyDescent="0.3">
      <c r="B2885" s="48" t="str">
        <f t="shared" si="29"/>
        <v/>
      </c>
    </row>
    <row r="2886" spans="2:2" x14ac:dyDescent="0.3">
      <c r="B2886" s="48" t="str">
        <f t="shared" si="29"/>
        <v/>
      </c>
    </row>
    <row r="2887" spans="2:2" x14ac:dyDescent="0.3">
      <c r="B2887" s="48" t="str">
        <f t="shared" si="29"/>
        <v/>
      </c>
    </row>
    <row r="2888" spans="2:2" x14ac:dyDescent="0.3">
      <c r="B2888" s="48" t="str">
        <f t="shared" si="29"/>
        <v/>
      </c>
    </row>
    <row r="2889" spans="2:2" x14ac:dyDescent="0.3">
      <c r="B2889" s="48" t="str">
        <f t="shared" si="29"/>
        <v/>
      </c>
    </row>
    <row r="2890" spans="2:2" x14ac:dyDescent="0.3">
      <c r="B2890" s="48" t="str">
        <f t="shared" si="29"/>
        <v/>
      </c>
    </row>
    <row r="2891" spans="2:2" x14ac:dyDescent="0.3">
      <c r="B2891" s="48" t="str">
        <f t="shared" si="29"/>
        <v/>
      </c>
    </row>
    <row r="2892" spans="2:2" x14ac:dyDescent="0.3">
      <c r="B2892" s="48" t="str">
        <f t="shared" si="29"/>
        <v/>
      </c>
    </row>
    <row r="2893" spans="2:2" x14ac:dyDescent="0.3">
      <c r="B2893" s="48" t="str">
        <f t="shared" si="29"/>
        <v/>
      </c>
    </row>
    <row r="2894" spans="2:2" x14ac:dyDescent="0.3">
      <c r="B2894" s="48" t="str">
        <f t="shared" si="29"/>
        <v/>
      </c>
    </row>
    <row r="2895" spans="2:2" x14ac:dyDescent="0.3">
      <c r="B2895" s="48" t="str">
        <f t="shared" si="29"/>
        <v/>
      </c>
    </row>
    <row r="2896" spans="2:2" x14ac:dyDescent="0.3">
      <c r="B2896" s="48" t="str">
        <f t="shared" si="29"/>
        <v/>
      </c>
    </row>
    <row r="2897" spans="2:2" x14ac:dyDescent="0.3">
      <c r="B2897" s="48" t="str">
        <f t="shared" si="29"/>
        <v/>
      </c>
    </row>
    <row r="2898" spans="2:2" x14ac:dyDescent="0.3">
      <c r="B2898" s="48" t="str">
        <f t="shared" si="29"/>
        <v/>
      </c>
    </row>
    <row r="2899" spans="2:2" x14ac:dyDescent="0.3">
      <c r="B2899" s="48" t="str">
        <f t="shared" si="29"/>
        <v/>
      </c>
    </row>
    <row r="2900" spans="2:2" x14ac:dyDescent="0.3">
      <c r="B2900" s="48" t="str">
        <f t="shared" si="29"/>
        <v/>
      </c>
    </row>
    <row r="2901" spans="2:2" x14ac:dyDescent="0.3">
      <c r="B2901" s="48" t="str">
        <f t="shared" si="29"/>
        <v/>
      </c>
    </row>
    <row r="2902" spans="2:2" x14ac:dyDescent="0.3">
      <c r="B2902" s="48" t="str">
        <f t="shared" si="29"/>
        <v/>
      </c>
    </row>
    <row r="2903" spans="2:2" x14ac:dyDescent="0.3">
      <c r="B2903" s="48" t="str">
        <f t="shared" si="29"/>
        <v/>
      </c>
    </row>
    <row r="2904" spans="2:2" x14ac:dyDescent="0.3">
      <c r="B2904" s="48" t="str">
        <f t="shared" si="29"/>
        <v/>
      </c>
    </row>
    <row r="2905" spans="2:2" x14ac:dyDescent="0.3">
      <c r="B2905" s="48" t="str">
        <f t="shared" si="29"/>
        <v/>
      </c>
    </row>
    <row r="2906" spans="2:2" x14ac:dyDescent="0.3">
      <c r="B2906" s="48" t="str">
        <f t="shared" si="29"/>
        <v/>
      </c>
    </row>
    <row r="2907" spans="2:2" x14ac:dyDescent="0.3">
      <c r="B2907" s="48" t="str">
        <f t="shared" si="29"/>
        <v/>
      </c>
    </row>
    <row r="2908" spans="2:2" x14ac:dyDescent="0.3">
      <c r="B2908" s="48" t="str">
        <f t="shared" si="29"/>
        <v/>
      </c>
    </row>
    <row r="2909" spans="2:2" x14ac:dyDescent="0.3">
      <c r="B2909" s="48" t="str">
        <f t="shared" si="29"/>
        <v/>
      </c>
    </row>
    <row r="2910" spans="2:2" x14ac:dyDescent="0.3">
      <c r="B2910" s="48" t="str">
        <f t="shared" si="29"/>
        <v/>
      </c>
    </row>
    <row r="2911" spans="2:2" x14ac:dyDescent="0.3">
      <c r="B2911" s="48" t="str">
        <f t="shared" si="29"/>
        <v/>
      </c>
    </row>
    <row r="2912" spans="2:2" x14ac:dyDescent="0.3">
      <c r="B2912" s="48" t="str">
        <f t="shared" si="29"/>
        <v/>
      </c>
    </row>
    <row r="2913" spans="2:2" x14ac:dyDescent="0.3">
      <c r="B2913" s="48" t="str">
        <f t="shared" si="29"/>
        <v/>
      </c>
    </row>
    <row r="2914" spans="2:2" x14ac:dyDescent="0.3">
      <c r="B2914" s="48" t="str">
        <f t="shared" si="29"/>
        <v/>
      </c>
    </row>
    <row r="2915" spans="2:2" x14ac:dyDescent="0.3">
      <c r="B2915" s="48" t="str">
        <f t="shared" si="29"/>
        <v/>
      </c>
    </row>
    <row r="2916" spans="2:2" x14ac:dyDescent="0.3">
      <c r="B2916" s="48" t="str">
        <f t="shared" si="29"/>
        <v/>
      </c>
    </row>
    <row r="2917" spans="2:2" x14ac:dyDescent="0.3">
      <c r="B2917" s="48" t="str">
        <f t="shared" si="29"/>
        <v/>
      </c>
    </row>
    <row r="2918" spans="2:2" x14ac:dyDescent="0.3">
      <c r="B2918" s="48" t="str">
        <f t="shared" si="29"/>
        <v/>
      </c>
    </row>
    <row r="2919" spans="2:2" x14ac:dyDescent="0.3">
      <c r="B2919" s="48" t="str">
        <f t="shared" si="29"/>
        <v/>
      </c>
    </row>
    <row r="2920" spans="2:2" x14ac:dyDescent="0.3">
      <c r="B2920" s="48" t="str">
        <f t="shared" ref="B2920:B2983" si="30">IF($A2920="Daily", "n/a", "")</f>
        <v/>
      </c>
    </row>
    <row r="2921" spans="2:2" x14ac:dyDescent="0.3">
      <c r="B2921" s="48" t="str">
        <f t="shared" si="30"/>
        <v/>
      </c>
    </row>
    <row r="2922" spans="2:2" x14ac:dyDescent="0.3">
      <c r="B2922" s="48" t="str">
        <f t="shared" si="30"/>
        <v/>
      </c>
    </row>
    <row r="2923" spans="2:2" x14ac:dyDescent="0.3">
      <c r="B2923" s="48" t="str">
        <f t="shared" si="30"/>
        <v/>
      </c>
    </row>
    <row r="2924" spans="2:2" x14ac:dyDescent="0.3">
      <c r="B2924" s="48" t="str">
        <f t="shared" si="30"/>
        <v/>
      </c>
    </row>
    <row r="2925" spans="2:2" x14ac:dyDescent="0.3">
      <c r="B2925" s="48" t="str">
        <f t="shared" si="30"/>
        <v/>
      </c>
    </row>
    <row r="2926" spans="2:2" x14ac:dyDescent="0.3">
      <c r="B2926" s="48" t="str">
        <f t="shared" si="30"/>
        <v/>
      </c>
    </row>
    <row r="2927" spans="2:2" x14ac:dyDescent="0.3">
      <c r="B2927" s="48" t="str">
        <f t="shared" si="30"/>
        <v/>
      </c>
    </row>
    <row r="2928" spans="2:2" x14ac:dyDescent="0.3">
      <c r="B2928" s="48" t="str">
        <f t="shared" si="30"/>
        <v/>
      </c>
    </row>
    <row r="2929" spans="2:2" x14ac:dyDescent="0.3">
      <c r="B2929" s="48" t="str">
        <f t="shared" si="30"/>
        <v/>
      </c>
    </row>
    <row r="2930" spans="2:2" x14ac:dyDescent="0.3">
      <c r="B2930" s="48" t="str">
        <f t="shared" si="30"/>
        <v/>
      </c>
    </row>
    <row r="2931" spans="2:2" x14ac:dyDescent="0.3">
      <c r="B2931" s="48" t="str">
        <f t="shared" si="30"/>
        <v/>
      </c>
    </row>
    <row r="2932" spans="2:2" x14ac:dyDescent="0.3">
      <c r="B2932" s="48" t="str">
        <f t="shared" si="30"/>
        <v/>
      </c>
    </row>
    <row r="2933" spans="2:2" x14ac:dyDescent="0.3">
      <c r="B2933" s="48" t="str">
        <f t="shared" si="30"/>
        <v/>
      </c>
    </row>
    <row r="2934" spans="2:2" x14ac:dyDescent="0.3">
      <c r="B2934" s="48" t="str">
        <f t="shared" si="30"/>
        <v/>
      </c>
    </row>
    <row r="2935" spans="2:2" x14ac:dyDescent="0.3">
      <c r="B2935" s="48" t="str">
        <f t="shared" si="30"/>
        <v/>
      </c>
    </row>
    <row r="2936" spans="2:2" x14ac:dyDescent="0.3">
      <c r="B2936" s="48" t="str">
        <f t="shared" si="30"/>
        <v/>
      </c>
    </row>
    <row r="2937" spans="2:2" x14ac:dyDescent="0.3">
      <c r="B2937" s="48" t="str">
        <f t="shared" si="30"/>
        <v/>
      </c>
    </row>
    <row r="2938" spans="2:2" x14ac:dyDescent="0.3">
      <c r="B2938" s="48" t="str">
        <f t="shared" si="30"/>
        <v/>
      </c>
    </row>
    <row r="2939" spans="2:2" x14ac:dyDescent="0.3">
      <c r="B2939" s="48" t="str">
        <f t="shared" si="30"/>
        <v/>
      </c>
    </row>
    <row r="2940" spans="2:2" x14ac:dyDescent="0.3">
      <c r="B2940" s="48" t="str">
        <f t="shared" si="30"/>
        <v/>
      </c>
    </row>
    <row r="2941" spans="2:2" x14ac:dyDescent="0.3">
      <c r="B2941" s="48" t="str">
        <f t="shared" si="30"/>
        <v/>
      </c>
    </row>
    <row r="2942" spans="2:2" x14ac:dyDescent="0.3">
      <c r="B2942" s="48" t="str">
        <f t="shared" si="30"/>
        <v/>
      </c>
    </row>
    <row r="2943" spans="2:2" x14ac:dyDescent="0.3">
      <c r="B2943" s="48" t="str">
        <f t="shared" si="30"/>
        <v/>
      </c>
    </row>
    <row r="2944" spans="2:2" x14ac:dyDescent="0.3">
      <c r="B2944" s="48" t="str">
        <f t="shared" si="30"/>
        <v/>
      </c>
    </row>
    <row r="2945" spans="2:2" x14ac:dyDescent="0.3">
      <c r="B2945" s="48" t="str">
        <f t="shared" si="30"/>
        <v/>
      </c>
    </row>
    <row r="2946" spans="2:2" x14ac:dyDescent="0.3">
      <c r="B2946" s="48" t="str">
        <f t="shared" si="30"/>
        <v/>
      </c>
    </row>
    <row r="2947" spans="2:2" x14ac:dyDescent="0.3">
      <c r="B2947" s="48" t="str">
        <f t="shared" si="30"/>
        <v/>
      </c>
    </row>
    <row r="2948" spans="2:2" x14ac:dyDescent="0.3">
      <c r="B2948" s="48" t="str">
        <f t="shared" si="30"/>
        <v/>
      </c>
    </row>
    <row r="2949" spans="2:2" x14ac:dyDescent="0.3">
      <c r="B2949" s="48" t="str">
        <f t="shared" si="30"/>
        <v/>
      </c>
    </row>
    <row r="2950" spans="2:2" x14ac:dyDescent="0.3">
      <c r="B2950" s="48" t="str">
        <f t="shared" si="30"/>
        <v/>
      </c>
    </row>
    <row r="2951" spans="2:2" x14ac:dyDescent="0.3">
      <c r="B2951" s="48" t="str">
        <f t="shared" si="30"/>
        <v/>
      </c>
    </row>
    <row r="2952" spans="2:2" x14ac:dyDescent="0.3">
      <c r="B2952" s="48" t="str">
        <f t="shared" si="30"/>
        <v/>
      </c>
    </row>
    <row r="2953" spans="2:2" x14ac:dyDescent="0.3">
      <c r="B2953" s="48" t="str">
        <f t="shared" si="30"/>
        <v/>
      </c>
    </row>
    <row r="2954" spans="2:2" x14ac:dyDescent="0.3">
      <c r="B2954" s="48" t="str">
        <f t="shared" si="30"/>
        <v/>
      </c>
    </row>
    <row r="2955" spans="2:2" x14ac:dyDescent="0.3">
      <c r="B2955" s="48" t="str">
        <f t="shared" si="30"/>
        <v/>
      </c>
    </row>
    <row r="2956" spans="2:2" x14ac:dyDescent="0.3">
      <c r="B2956" s="48" t="str">
        <f t="shared" si="30"/>
        <v/>
      </c>
    </row>
    <row r="2957" spans="2:2" x14ac:dyDescent="0.3">
      <c r="B2957" s="48" t="str">
        <f t="shared" si="30"/>
        <v/>
      </c>
    </row>
    <row r="2958" spans="2:2" x14ac:dyDescent="0.3">
      <c r="B2958" s="48" t="str">
        <f t="shared" si="30"/>
        <v/>
      </c>
    </row>
    <row r="2959" spans="2:2" x14ac:dyDescent="0.3">
      <c r="B2959" s="48" t="str">
        <f t="shared" si="30"/>
        <v/>
      </c>
    </row>
    <row r="2960" spans="2:2" x14ac:dyDescent="0.3">
      <c r="B2960" s="48" t="str">
        <f t="shared" si="30"/>
        <v/>
      </c>
    </row>
    <row r="2961" spans="2:2" x14ac:dyDescent="0.3">
      <c r="B2961" s="48" t="str">
        <f t="shared" si="30"/>
        <v/>
      </c>
    </row>
    <row r="2962" spans="2:2" x14ac:dyDescent="0.3">
      <c r="B2962" s="48" t="str">
        <f t="shared" si="30"/>
        <v/>
      </c>
    </row>
    <row r="2963" spans="2:2" x14ac:dyDescent="0.3">
      <c r="B2963" s="48" t="str">
        <f t="shared" si="30"/>
        <v/>
      </c>
    </row>
    <row r="2964" spans="2:2" x14ac:dyDescent="0.3">
      <c r="B2964" s="48" t="str">
        <f t="shared" si="30"/>
        <v/>
      </c>
    </row>
    <row r="2965" spans="2:2" x14ac:dyDescent="0.3">
      <c r="B2965" s="48" t="str">
        <f t="shared" si="30"/>
        <v/>
      </c>
    </row>
    <row r="2966" spans="2:2" x14ac:dyDescent="0.3">
      <c r="B2966" s="48" t="str">
        <f t="shared" si="30"/>
        <v/>
      </c>
    </row>
    <row r="2967" spans="2:2" x14ac:dyDescent="0.3">
      <c r="B2967" s="48" t="str">
        <f t="shared" si="30"/>
        <v/>
      </c>
    </row>
    <row r="2968" spans="2:2" x14ac:dyDescent="0.3">
      <c r="B2968" s="48" t="str">
        <f t="shared" si="30"/>
        <v/>
      </c>
    </row>
    <row r="2969" spans="2:2" x14ac:dyDescent="0.3">
      <c r="B2969" s="48" t="str">
        <f t="shared" si="30"/>
        <v/>
      </c>
    </row>
    <row r="2970" spans="2:2" x14ac:dyDescent="0.3">
      <c r="B2970" s="48" t="str">
        <f t="shared" si="30"/>
        <v/>
      </c>
    </row>
    <row r="2971" spans="2:2" x14ac:dyDescent="0.3">
      <c r="B2971" s="48" t="str">
        <f t="shared" si="30"/>
        <v/>
      </c>
    </row>
    <row r="2972" spans="2:2" x14ac:dyDescent="0.3">
      <c r="B2972" s="48" t="str">
        <f t="shared" si="30"/>
        <v/>
      </c>
    </row>
    <row r="2973" spans="2:2" x14ac:dyDescent="0.3">
      <c r="B2973" s="48" t="str">
        <f t="shared" si="30"/>
        <v/>
      </c>
    </row>
    <row r="2974" spans="2:2" x14ac:dyDescent="0.3">
      <c r="B2974" s="48" t="str">
        <f t="shared" si="30"/>
        <v/>
      </c>
    </row>
    <row r="2975" spans="2:2" x14ac:dyDescent="0.3">
      <c r="B2975" s="48" t="str">
        <f t="shared" si="30"/>
        <v/>
      </c>
    </row>
    <row r="2976" spans="2:2" x14ac:dyDescent="0.3">
      <c r="B2976" s="48" t="str">
        <f t="shared" si="30"/>
        <v/>
      </c>
    </row>
    <row r="2977" spans="2:2" x14ac:dyDescent="0.3">
      <c r="B2977" s="48" t="str">
        <f t="shared" si="30"/>
        <v/>
      </c>
    </row>
    <row r="2978" spans="2:2" x14ac:dyDescent="0.3">
      <c r="B2978" s="48" t="str">
        <f t="shared" si="30"/>
        <v/>
      </c>
    </row>
    <row r="2979" spans="2:2" x14ac:dyDescent="0.3">
      <c r="B2979" s="48" t="str">
        <f t="shared" si="30"/>
        <v/>
      </c>
    </row>
    <row r="2980" spans="2:2" x14ac:dyDescent="0.3">
      <c r="B2980" s="48" t="str">
        <f t="shared" si="30"/>
        <v/>
      </c>
    </row>
    <row r="2981" spans="2:2" x14ac:dyDescent="0.3">
      <c r="B2981" s="48" t="str">
        <f t="shared" si="30"/>
        <v/>
      </c>
    </row>
    <row r="2982" spans="2:2" x14ac:dyDescent="0.3">
      <c r="B2982" s="48" t="str">
        <f t="shared" si="30"/>
        <v/>
      </c>
    </row>
    <row r="2983" spans="2:2" x14ac:dyDescent="0.3">
      <c r="B2983" s="48" t="str">
        <f t="shared" si="30"/>
        <v/>
      </c>
    </row>
    <row r="2984" spans="2:2" x14ac:dyDescent="0.3">
      <c r="B2984" s="48" t="str">
        <f t="shared" ref="B2984:B3047" si="31">IF($A2984="Daily", "n/a", "")</f>
        <v/>
      </c>
    </row>
    <row r="2985" spans="2:2" x14ac:dyDescent="0.3">
      <c r="B2985" s="48" t="str">
        <f t="shared" si="31"/>
        <v/>
      </c>
    </row>
    <row r="2986" spans="2:2" x14ac:dyDescent="0.3">
      <c r="B2986" s="48" t="str">
        <f t="shared" si="31"/>
        <v/>
      </c>
    </row>
    <row r="2987" spans="2:2" x14ac:dyDescent="0.3">
      <c r="B2987" s="48" t="str">
        <f t="shared" si="31"/>
        <v/>
      </c>
    </row>
    <row r="2988" spans="2:2" x14ac:dyDescent="0.3">
      <c r="B2988" s="48" t="str">
        <f t="shared" si="31"/>
        <v/>
      </c>
    </row>
    <row r="2989" spans="2:2" x14ac:dyDescent="0.3">
      <c r="B2989" s="48" t="str">
        <f t="shared" si="31"/>
        <v/>
      </c>
    </row>
    <row r="2990" spans="2:2" x14ac:dyDescent="0.3">
      <c r="B2990" s="48" t="str">
        <f t="shared" si="31"/>
        <v/>
      </c>
    </row>
    <row r="2991" spans="2:2" x14ac:dyDescent="0.3">
      <c r="B2991" s="48" t="str">
        <f t="shared" si="31"/>
        <v/>
      </c>
    </row>
    <row r="2992" spans="2:2" x14ac:dyDescent="0.3">
      <c r="B2992" s="48" t="str">
        <f t="shared" si="31"/>
        <v/>
      </c>
    </row>
    <row r="2993" spans="2:2" x14ac:dyDescent="0.3">
      <c r="B2993" s="48" t="str">
        <f t="shared" si="31"/>
        <v/>
      </c>
    </row>
    <row r="2994" spans="2:2" x14ac:dyDescent="0.3">
      <c r="B2994" s="48" t="str">
        <f t="shared" si="31"/>
        <v/>
      </c>
    </row>
    <row r="2995" spans="2:2" x14ac:dyDescent="0.3">
      <c r="B2995" s="48" t="str">
        <f t="shared" si="31"/>
        <v/>
      </c>
    </row>
    <row r="2996" spans="2:2" x14ac:dyDescent="0.3">
      <c r="B2996" s="48" t="str">
        <f t="shared" si="31"/>
        <v/>
      </c>
    </row>
    <row r="2997" spans="2:2" x14ac:dyDescent="0.3">
      <c r="B2997" s="48" t="str">
        <f t="shared" si="31"/>
        <v/>
      </c>
    </row>
    <row r="2998" spans="2:2" x14ac:dyDescent="0.3">
      <c r="B2998" s="48" t="str">
        <f t="shared" si="31"/>
        <v/>
      </c>
    </row>
    <row r="2999" spans="2:2" x14ac:dyDescent="0.3">
      <c r="B2999" s="48" t="str">
        <f t="shared" si="31"/>
        <v/>
      </c>
    </row>
    <row r="3000" spans="2:2" x14ac:dyDescent="0.3">
      <c r="B3000" s="48" t="str">
        <f t="shared" si="31"/>
        <v/>
      </c>
    </row>
    <row r="3001" spans="2:2" x14ac:dyDescent="0.3">
      <c r="B3001" s="48" t="str">
        <f t="shared" si="31"/>
        <v/>
      </c>
    </row>
    <row r="3002" spans="2:2" x14ac:dyDescent="0.3">
      <c r="B3002" s="48" t="str">
        <f t="shared" si="31"/>
        <v/>
      </c>
    </row>
    <row r="3003" spans="2:2" x14ac:dyDescent="0.3">
      <c r="B3003" s="48" t="str">
        <f t="shared" si="31"/>
        <v/>
      </c>
    </row>
    <row r="3004" spans="2:2" x14ac:dyDescent="0.3">
      <c r="B3004" s="48" t="str">
        <f t="shared" si="31"/>
        <v/>
      </c>
    </row>
    <row r="3005" spans="2:2" x14ac:dyDescent="0.3">
      <c r="B3005" s="48" t="str">
        <f t="shared" si="31"/>
        <v/>
      </c>
    </row>
    <row r="3006" spans="2:2" x14ac:dyDescent="0.3">
      <c r="B3006" s="48" t="str">
        <f t="shared" si="31"/>
        <v/>
      </c>
    </row>
    <row r="3007" spans="2:2" x14ac:dyDescent="0.3">
      <c r="B3007" s="48" t="str">
        <f t="shared" si="31"/>
        <v/>
      </c>
    </row>
    <row r="3008" spans="2:2" x14ac:dyDescent="0.3">
      <c r="B3008" s="48" t="str">
        <f t="shared" si="31"/>
        <v/>
      </c>
    </row>
    <row r="3009" spans="2:2" x14ac:dyDescent="0.3">
      <c r="B3009" s="48" t="str">
        <f t="shared" si="31"/>
        <v/>
      </c>
    </row>
    <row r="3010" spans="2:2" x14ac:dyDescent="0.3">
      <c r="B3010" s="48" t="str">
        <f t="shared" si="31"/>
        <v/>
      </c>
    </row>
    <row r="3011" spans="2:2" x14ac:dyDescent="0.3">
      <c r="B3011" s="48" t="str">
        <f t="shared" si="31"/>
        <v/>
      </c>
    </row>
    <row r="3012" spans="2:2" x14ac:dyDescent="0.3">
      <c r="B3012" s="48" t="str">
        <f t="shared" si="31"/>
        <v/>
      </c>
    </row>
    <row r="3013" spans="2:2" x14ac:dyDescent="0.3">
      <c r="B3013" s="48" t="str">
        <f t="shared" si="31"/>
        <v/>
      </c>
    </row>
    <row r="3014" spans="2:2" x14ac:dyDescent="0.3">
      <c r="B3014" s="48" t="str">
        <f t="shared" si="31"/>
        <v/>
      </c>
    </row>
    <row r="3015" spans="2:2" x14ac:dyDescent="0.3">
      <c r="B3015" s="48" t="str">
        <f t="shared" si="31"/>
        <v/>
      </c>
    </row>
    <row r="3016" spans="2:2" x14ac:dyDescent="0.3">
      <c r="B3016" s="48" t="str">
        <f t="shared" si="31"/>
        <v/>
      </c>
    </row>
    <row r="3017" spans="2:2" x14ac:dyDescent="0.3">
      <c r="B3017" s="48" t="str">
        <f t="shared" si="31"/>
        <v/>
      </c>
    </row>
    <row r="3018" spans="2:2" x14ac:dyDescent="0.3">
      <c r="B3018" s="48" t="str">
        <f t="shared" si="31"/>
        <v/>
      </c>
    </row>
    <row r="3019" spans="2:2" x14ac:dyDescent="0.3">
      <c r="B3019" s="48" t="str">
        <f t="shared" si="31"/>
        <v/>
      </c>
    </row>
    <row r="3020" spans="2:2" x14ac:dyDescent="0.3">
      <c r="B3020" s="48" t="str">
        <f t="shared" si="31"/>
        <v/>
      </c>
    </row>
    <row r="3021" spans="2:2" x14ac:dyDescent="0.3">
      <c r="B3021" s="48" t="str">
        <f t="shared" si="31"/>
        <v/>
      </c>
    </row>
    <row r="3022" spans="2:2" x14ac:dyDescent="0.3">
      <c r="B3022" s="48" t="str">
        <f t="shared" si="31"/>
        <v/>
      </c>
    </row>
    <row r="3023" spans="2:2" x14ac:dyDescent="0.3">
      <c r="B3023" s="48" t="str">
        <f t="shared" si="31"/>
        <v/>
      </c>
    </row>
    <row r="3024" spans="2:2" x14ac:dyDescent="0.3">
      <c r="B3024" s="48" t="str">
        <f t="shared" si="31"/>
        <v/>
      </c>
    </row>
    <row r="3025" spans="2:2" x14ac:dyDescent="0.3">
      <c r="B3025" s="48" t="str">
        <f t="shared" si="31"/>
        <v/>
      </c>
    </row>
    <row r="3026" spans="2:2" x14ac:dyDescent="0.3">
      <c r="B3026" s="48" t="str">
        <f t="shared" si="31"/>
        <v/>
      </c>
    </row>
    <row r="3027" spans="2:2" x14ac:dyDescent="0.3">
      <c r="B3027" s="48" t="str">
        <f t="shared" si="31"/>
        <v/>
      </c>
    </row>
    <row r="3028" spans="2:2" x14ac:dyDescent="0.3">
      <c r="B3028" s="48" t="str">
        <f t="shared" si="31"/>
        <v/>
      </c>
    </row>
    <row r="3029" spans="2:2" x14ac:dyDescent="0.3">
      <c r="B3029" s="48" t="str">
        <f t="shared" si="31"/>
        <v/>
      </c>
    </row>
    <row r="3030" spans="2:2" x14ac:dyDescent="0.3">
      <c r="B3030" s="48" t="str">
        <f t="shared" si="31"/>
        <v/>
      </c>
    </row>
    <row r="3031" spans="2:2" x14ac:dyDescent="0.3">
      <c r="B3031" s="48" t="str">
        <f t="shared" si="31"/>
        <v/>
      </c>
    </row>
    <row r="3032" spans="2:2" x14ac:dyDescent="0.3">
      <c r="B3032" s="48" t="str">
        <f t="shared" si="31"/>
        <v/>
      </c>
    </row>
    <row r="3033" spans="2:2" x14ac:dyDescent="0.3">
      <c r="B3033" s="48" t="str">
        <f t="shared" si="31"/>
        <v/>
      </c>
    </row>
    <row r="3034" spans="2:2" x14ac:dyDescent="0.3">
      <c r="B3034" s="48" t="str">
        <f t="shared" si="31"/>
        <v/>
      </c>
    </row>
    <row r="3035" spans="2:2" x14ac:dyDescent="0.3">
      <c r="B3035" s="48" t="str">
        <f t="shared" si="31"/>
        <v/>
      </c>
    </row>
    <row r="3036" spans="2:2" x14ac:dyDescent="0.3">
      <c r="B3036" s="48" t="str">
        <f t="shared" si="31"/>
        <v/>
      </c>
    </row>
    <row r="3037" spans="2:2" x14ac:dyDescent="0.3">
      <c r="B3037" s="48" t="str">
        <f t="shared" si="31"/>
        <v/>
      </c>
    </row>
    <row r="3038" spans="2:2" x14ac:dyDescent="0.3">
      <c r="B3038" s="48" t="str">
        <f t="shared" si="31"/>
        <v/>
      </c>
    </row>
    <row r="3039" spans="2:2" x14ac:dyDescent="0.3">
      <c r="B3039" s="48" t="str">
        <f t="shared" si="31"/>
        <v/>
      </c>
    </row>
    <row r="3040" spans="2:2" x14ac:dyDescent="0.3">
      <c r="B3040" s="48" t="str">
        <f t="shared" si="31"/>
        <v/>
      </c>
    </row>
    <row r="3041" spans="2:2" x14ac:dyDescent="0.3">
      <c r="B3041" s="48" t="str">
        <f t="shared" si="31"/>
        <v/>
      </c>
    </row>
    <row r="3042" spans="2:2" x14ac:dyDescent="0.3">
      <c r="B3042" s="48" t="str">
        <f t="shared" si="31"/>
        <v/>
      </c>
    </row>
    <row r="3043" spans="2:2" x14ac:dyDescent="0.3">
      <c r="B3043" s="48" t="str">
        <f t="shared" si="31"/>
        <v/>
      </c>
    </row>
    <row r="3044" spans="2:2" x14ac:dyDescent="0.3">
      <c r="B3044" s="48" t="str">
        <f t="shared" si="31"/>
        <v/>
      </c>
    </row>
    <row r="3045" spans="2:2" x14ac:dyDescent="0.3">
      <c r="B3045" s="48" t="str">
        <f t="shared" si="31"/>
        <v/>
      </c>
    </row>
    <row r="3046" spans="2:2" x14ac:dyDescent="0.3">
      <c r="B3046" s="48" t="str">
        <f t="shared" si="31"/>
        <v/>
      </c>
    </row>
    <row r="3047" spans="2:2" x14ac:dyDescent="0.3">
      <c r="B3047" s="48" t="str">
        <f t="shared" si="31"/>
        <v/>
      </c>
    </row>
    <row r="3048" spans="2:2" x14ac:dyDescent="0.3">
      <c r="B3048" s="48" t="str">
        <f t="shared" ref="B3048:B3116" si="32">IF($A3048="Daily", "n/a", "")</f>
        <v/>
      </c>
    </row>
    <row r="3049" spans="2:2" x14ac:dyDescent="0.3">
      <c r="B3049" s="48" t="str">
        <f t="shared" si="32"/>
        <v/>
      </c>
    </row>
    <row r="3050" spans="2:2" x14ac:dyDescent="0.3">
      <c r="B3050" s="48" t="str">
        <f t="shared" si="32"/>
        <v/>
      </c>
    </row>
    <row r="3051" spans="2:2" x14ac:dyDescent="0.3">
      <c r="B3051" s="48" t="str">
        <f t="shared" si="32"/>
        <v/>
      </c>
    </row>
    <row r="3052" spans="2:2" x14ac:dyDescent="0.3">
      <c r="B3052" s="48" t="str">
        <f t="shared" si="32"/>
        <v/>
      </c>
    </row>
    <row r="3053" spans="2:2" x14ac:dyDescent="0.3">
      <c r="B3053" s="48" t="str">
        <f t="shared" si="32"/>
        <v/>
      </c>
    </row>
    <row r="3054" spans="2:2" x14ac:dyDescent="0.3">
      <c r="B3054" s="48" t="str">
        <f t="shared" si="32"/>
        <v/>
      </c>
    </row>
    <row r="3055" spans="2:2" x14ac:dyDescent="0.3">
      <c r="B3055" s="48" t="str">
        <f t="shared" si="32"/>
        <v/>
      </c>
    </row>
    <row r="3056" spans="2:2" x14ac:dyDescent="0.3">
      <c r="B3056" s="48" t="str">
        <f t="shared" si="32"/>
        <v/>
      </c>
    </row>
    <row r="3057" spans="2:2" x14ac:dyDescent="0.3">
      <c r="B3057" s="48" t="str">
        <f t="shared" si="32"/>
        <v/>
      </c>
    </row>
    <row r="3058" spans="2:2" x14ac:dyDescent="0.3">
      <c r="B3058" s="48" t="str">
        <f t="shared" si="32"/>
        <v/>
      </c>
    </row>
    <row r="3059" spans="2:2" x14ac:dyDescent="0.3">
      <c r="B3059" s="48" t="str">
        <f t="shared" si="32"/>
        <v/>
      </c>
    </row>
    <row r="3060" spans="2:2" x14ac:dyDescent="0.3">
      <c r="B3060" s="48" t="str">
        <f t="shared" si="32"/>
        <v/>
      </c>
    </row>
    <row r="3061" spans="2:2" x14ac:dyDescent="0.3">
      <c r="B3061" s="48" t="str">
        <f t="shared" si="32"/>
        <v/>
      </c>
    </row>
    <row r="3062" spans="2:2" x14ac:dyDescent="0.3">
      <c r="B3062" s="48" t="str">
        <f t="shared" si="32"/>
        <v/>
      </c>
    </row>
    <row r="3063" spans="2:2" x14ac:dyDescent="0.3">
      <c r="B3063" s="48" t="str">
        <f t="shared" si="32"/>
        <v/>
      </c>
    </row>
    <row r="3064" spans="2:2" x14ac:dyDescent="0.3">
      <c r="B3064" s="48" t="str">
        <f t="shared" si="32"/>
        <v/>
      </c>
    </row>
    <row r="3065" spans="2:2" x14ac:dyDescent="0.3">
      <c r="B3065" s="48" t="str">
        <f t="shared" si="32"/>
        <v/>
      </c>
    </row>
    <row r="3066" spans="2:2" x14ac:dyDescent="0.3">
      <c r="B3066" s="48" t="str">
        <f t="shared" si="32"/>
        <v/>
      </c>
    </row>
    <row r="3067" spans="2:2" x14ac:dyDescent="0.3">
      <c r="B3067" s="48" t="str">
        <f t="shared" si="32"/>
        <v/>
      </c>
    </row>
    <row r="3068" spans="2:2" x14ac:dyDescent="0.3">
      <c r="B3068" s="48" t="str">
        <f t="shared" si="32"/>
        <v/>
      </c>
    </row>
    <row r="3069" spans="2:2" x14ac:dyDescent="0.3">
      <c r="B3069" s="48" t="str">
        <f t="shared" si="32"/>
        <v/>
      </c>
    </row>
    <row r="3070" spans="2:2" x14ac:dyDescent="0.3">
      <c r="B3070" s="48" t="str">
        <f t="shared" si="32"/>
        <v/>
      </c>
    </row>
    <row r="3071" spans="2:2" x14ac:dyDescent="0.3">
      <c r="B3071" s="48" t="str">
        <f t="shared" si="32"/>
        <v/>
      </c>
    </row>
    <row r="3072" spans="2:2" x14ac:dyDescent="0.3">
      <c r="B3072" s="48" t="str">
        <f t="shared" si="32"/>
        <v/>
      </c>
    </row>
    <row r="3073" spans="2:2" x14ac:dyDescent="0.3">
      <c r="B3073" s="48" t="str">
        <f t="shared" si="32"/>
        <v/>
      </c>
    </row>
    <row r="3074" spans="2:2" x14ac:dyDescent="0.3">
      <c r="B3074" s="48" t="str">
        <f t="shared" si="32"/>
        <v/>
      </c>
    </row>
    <row r="3075" spans="2:2" x14ac:dyDescent="0.3">
      <c r="B3075" s="48" t="str">
        <f t="shared" si="32"/>
        <v/>
      </c>
    </row>
    <row r="3076" spans="2:2" x14ac:dyDescent="0.3">
      <c r="B3076" s="48" t="str">
        <f t="shared" si="32"/>
        <v/>
      </c>
    </row>
    <row r="3077" spans="2:2" x14ac:dyDescent="0.3">
      <c r="B3077" s="48" t="str">
        <f t="shared" si="32"/>
        <v/>
      </c>
    </row>
    <row r="3078" spans="2:2" x14ac:dyDescent="0.3">
      <c r="B3078" s="48" t="str">
        <f t="shared" si="32"/>
        <v/>
      </c>
    </row>
    <row r="3079" spans="2:2" x14ac:dyDescent="0.3">
      <c r="B3079" s="48" t="str">
        <f t="shared" si="32"/>
        <v/>
      </c>
    </row>
    <row r="3080" spans="2:2" x14ac:dyDescent="0.3">
      <c r="B3080" s="48" t="str">
        <f t="shared" si="32"/>
        <v/>
      </c>
    </row>
    <row r="3081" spans="2:2" x14ac:dyDescent="0.3">
      <c r="B3081" s="48" t="str">
        <f t="shared" si="32"/>
        <v/>
      </c>
    </row>
    <row r="3082" spans="2:2" x14ac:dyDescent="0.3">
      <c r="B3082" s="48" t="str">
        <f t="shared" si="32"/>
        <v/>
      </c>
    </row>
    <row r="3083" spans="2:2" x14ac:dyDescent="0.3">
      <c r="B3083" s="48" t="str">
        <f t="shared" si="32"/>
        <v/>
      </c>
    </row>
    <row r="3084" spans="2:2" x14ac:dyDescent="0.3">
      <c r="B3084" s="48" t="str">
        <f t="shared" si="32"/>
        <v/>
      </c>
    </row>
    <row r="3085" spans="2:2" x14ac:dyDescent="0.3">
      <c r="B3085" s="48" t="str">
        <f t="shared" si="32"/>
        <v/>
      </c>
    </row>
    <row r="3086" spans="2:2" x14ac:dyDescent="0.3">
      <c r="B3086" s="48" t="str">
        <f t="shared" si="32"/>
        <v/>
      </c>
    </row>
    <row r="3087" spans="2:2" x14ac:dyDescent="0.3">
      <c r="B3087" s="48" t="str">
        <f t="shared" si="32"/>
        <v/>
      </c>
    </row>
    <row r="3088" spans="2:2" x14ac:dyDescent="0.3">
      <c r="B3088" s="48" t="str">
        <f t="shared" si="32"/>
        <v/>
      </c>
    </row>
    <row r="3089" spans="2:2" x14ac:dyDescent="0.3">
      <c r="B3089" s="48" t="str">
        <f t="shared" si="32"/>
        <v/>
      </c>
    </row>
    <row r="3090" spans="2:2" x14ac:dyDescent="0.3">
      <c r="B3090" s="48" t="str">
        <f t="shared" si="32"/>
        <v/>
      </c>
    </row>
    <row r="3091" spans="2:2" x14ac:dyDescent="0.3">
      <c r="B3091" s="48" t="str">
        <f t="shared" si="32"/>
        <v/>
      </c>
    </row>
    <row r="3092" spans="2:2" x14ac:dyDescent="0.3">
      <c r="B3092" s="48" t="str">
        <f t="shared" si="32"/>
        <v/>
      </c>
    </row>
    <row r="3093" spans="2:2" x14ac:dyDescent="0.3">
      <c r="B3093" s="48" t="str">
        <f t="shared" si="32"/>
        <v/>
      </c>
    </row>
    <row r="3094" spans="2:2" x14ac:dyDescent="0.3">
      <c r="B3094" s="48" t="str">
        <f t="shared" si="32"/>
        <v/>
      </c>
    </row>
    <row r="3095" spans="2:2" x14ac:dyDescent="0.3">
      <c r="B3095" s="48" t="str">
        <f t="shared" si="32"/>
        <v/>
      </c>
    </row>
    <row r="3096" spans="2:2" x14ac:dyDescent="0.3">
      <c r="B3096" s="48" t="str">
        <f t="shared" si="32"/>
        <v/>
      </c>
    </row>
    <row r="3097" spans="2:2" x14ac:dyDescent="0.3">
      <c r="B3097" s="48" t="str">
        <f t="shared" si="32"/>
        <v/>
      </c>
    </row>
    <row r="3098" spans="2:2" x14ac:dyDescent="0.3">
      <c r="B3098" s="48" t="str">
        <f t="shared" si="32"/>
        <v/>
      </c>
    </row>
    <row r="3099" spans="2:2" x14ac:dyDescent="0.3">
      <c r="B3099" s="48" t="str">
        <f t="shared" si="32"/>
        <v/>
      </c>
    </row>
    <row r="3100" spans="2:2" x14ac:dyDescent="0.3">
      <c r="B3100" s="48" t="str">
        <f t="shared" si="32"/>
        <v/>
      </c>
    </row>
    <row r="3101" spans="2:2" x14ac:dyDescent="0.3">
      <c r="B3101" s="48" t="str">
        <f t="shared" si="32"/>
        <v/>
      </c>
    </row>
    <row r="3102" spans="2:2" x14ac:dyDescent="0.3">
      <c r="B3102" s="48" t="str">
        <f t="shared" si="32"/>
        <v/>
      </c>
    </row>
    <row r="3103" spans="2:2" x14ac:dyDescent="0.3">
      <c r="B3103" s="48" t="str">
        <f t="shared" si="32"/>
        <v/>
      </c>
    </row>
    <row r="3104" spans="2:2" x14ac:dyDescent="0.3">
      <c r="B3104" s="48" t="str">
        <f t="shared" si="32"/>
        <v/>
      </c>
    </row>
    <row r="3105" spans="2:2" x14ac:dyDescent="0.3">
      <c r="B3105" s="48" t="str">
        <f t="shared" si="32"/>
        <v/>
      </c>
    </row>
    <row r="3106" spans="2:2" x14ac:dyDescent="0.3">
      <c r="B3106" s="48" t="str">
        <f t="shared" si="32"/>
        <v/>
      </c>
    </row>
    <row r="3107" spans="2:2" x14ac:dyDescent="0.3">
      <c r="B3107" s="48" t="str">
        <f t="shared" si="32"/>
        <v/>
      </c>
    </row>
    <row r="3108" spans="2:2" x14ac:dyDescent="0.3">
      <c r="B3108" s="48" t="str">
        <f t="shared" si="32"/>
        <v/>
      </c>
    </row>
    <row r="3109" spans="2:2" x14ac:dyDescent="0.3">
      <c r="B3109" s="48" t="str">
        <f t="shared" si="32"/>
        <v/>
      </c>
    </row>
    <row r="3110" spans="2:2" x14ac:dyDescent="0.3">
      <c r="B3110" s="48" t="str">
        <f t="shared" si="32"/>
        <v/>
      </c>
    </row>
    <row r="3111" spans="2:2" x14ac:dyDescent="0.3">
      <c r="B3111" s="48" t="str">
        <f t="shared" si="32"/>
        <v/>
      </c>
    </row>
    <row r="3112" spans="2:2" x14ac:dyDescent="0.3">
      <c r="B3112" s="48" t="str">
        <f t="shared" si="32"/>
        <v/>
      </c>
    </row>
    <row r="3113" spans="2:2" x14ac:dyDescent="0.3">
      <c r="B3113" s="48" t="str">
        <f t="shared" si="32"/>
        <v/>
      </c>
    </row>
    <row r="3114" spans="2:2" x14ac:dyDescent="0.3">
      <c r="B3114" s="48" t="str">
        <f t="shared" si="32"/>
        <v/>
      </c>
    </row>
    <row r="3115" spans="2:2" x14ac:dyDescent="0.3">
      <c r="B3115" s="48" t="str">
        <f t="shared" si="32"/>
        <v/>
      </c>
    </row>
    <row r="3116" spans="2:2" x14ac:dyDescent="0.3">
      <c r="B3116" s="48" t="str">
        <f t="shared" si="32"/>
        <v/>
      </c>
    </row>
  </sheetData>
  <mergeCells count="12">
    <mergeCell ref="H7:M7"/>
    <mergeCell ref="H19:J19"/>
    <mergeCell ref="H18:J18"/>
    <mergeCell ref="A1:E1"/>
    <mergeCell ref="F1:G1"/>
    <mergeCell ref="H14:M15"/>
    <mergeCell ref="H10:M10"/>
    <mergeCell ref="H9:M9"/>
    <mergeCell ref="H8:M8"/>
    <mergeCell ref="H11:M11"/>
    <mergeCell ref="H12:M12"/>
    <mergeCell ref="H13:M13"/>
  </mergeCells>
  <phoneticPr fontId="38" type="noConversion"/>
  <conditionalFormatting sqref="A3:G9961">
    <cfRule type="expression" dxfId="5" priority="7">
      <formula>EXACT($A3, "Daily")</formula>
    </cfRule>
    <cfRule type="expression" dxfId="4" priority="8">
      <formula>EXACT($A3, "Error")</formula>
    </cfRule>
    <cfRule type="expression" dxfId="3" priority="9">
      <formula>EXACT($A3, "Trial")</formula>
    </cfRule>
  </conditionalFormatting>
  <pageMargins left="0.75" right="0.75" top="1" bottom="1" header="0.511811023622047" footer="0.511811023622047"/>
  <pageSetup paperSize="9" orientation="portrait" horizontalDpi="300" verticalDpi="300"/>
  <tableParts count="1">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DE9D9"/>
  </sheetPr>
  <dimension ref="A1:CT650"/>
  <sheetViews>
    <sheetView showZeros="0" zoomScale="70" zoomScaleNormal="70" workbookViewId="0">
      <pane ySplit="1" topLeftCell="A2" activePane="bottomLeft" state="frozen"/>
      <selection activeCell="U16" sqref="U16:AA16"/>
      <selection pane="bottomLeft" activeCell="I5" sqref="I5"/>
    </sheetView>
  </sheetViews>
  <sheetFormatPr defaultColWidth="8.6640625" defaultRowHeight="40.049999999999997" customHeight="1" x14ac:dyDescent="0.3"/>
  <cols>
    <col min="1" max="1" width="10.77734375" style="20" customWidth="1"/>
    <col min="2" max="2" width="15.77734375" style="48" customWidth="1"/>
    <col min="3" max="3" width="15.77734375" style="112" customWidth="1"/>
    <col min="4" max="4" width="15.77734375" style="21" customWidth="1"/>
    <col min="5" max="5" width="12.77734375" style="23" customWidth="1"/>
    <col min="6" max="6" width="12.77734375" style="29" customWidth="1"/>
    <col min="7" max="7" width="15.77734375" style="24" customWidth="1"/>
    <col min="8" max="8" width="100.77734375" style="53" customWidth="1"/>
    <col min="9" max="10" width="100.77734375" style="20" customWidth="1"/>
    <col min="11" max="11" width="15" style="20" customWidth="1"/>
    <col min="12" max="12" width="18.77734375" style="25" customWidth="1"/>
    <col min="13" max="14" width="18.77734375" style="24" hidden="1" customWidth="1"/>
    <col min="15" max="16" width="18.77734375" style="29" hidden="1" customWidth="1"/>
    <col min="17" max="22" width="15" style="20" customWidth="1"/>
    <col min="23" max="24" width="15" style="20" hidden="1" customWidth="1"/>
    <col min="25" max="25" width="8.6640625" style="20"/>
    <col min="26" max="26" width="8.6640625" style="22" customWidth="1"/>
    <col min="27" max="94" width="8.6640625" style="20"/>
    <col min="95" max="96" width="15" style="20" customWidth="1"/>
    <col min="97" max="16384" width="8.6640625" style="20"/>
  </cols>
  <sheetData>
    <row r="1" spans="1:98" s="122" customFormat="1" ht="40.049999999999997" customHeight="1" thickBot="1" x14ac:dyDescent="0.35">
      <c r="A1" s="58" t="s">
        <v>61</v>
      </c>
      <c r="B1" s="79" t="s">
        <v>190</v>
      </c>
      <c r="C1" s="117" t="s">
        <v>31</v>
      </c>
      <c r="D1" s="64" t="s">
        <v>41</v>
      </c>
      <c r="E1" s="64" t="s">
        <v>42</v>
      </c>
      <c r="F1" s="65" t="s">
        <v>53</v>
      </c>
      <c r="G1" s="66" t="s">
        <v>168</v>
      </c>
      <c r="H1" s="118" t="s">
        <v>39</v>
      </c>
      <c r="I1" s="119" t="s">
        <v>219</v>
      </c>
      <c r="J1" s="123" t="s">
        <v>220</v>
      </c>
      <c r="K1" s="69" t="s">
        <v>174</v>
      </c>
      <c r="L1" s="67" t="s">
        <v>170</v>
      </c>
      <c r="M1" s="69" t="s">
        <v>175</v>
      </c>
      <c r="N1" s="69" t="s">
        <v>176</v>
      </c>
      <c r="O1" s="63" t="s">
        <v>173</v>
      </c>
      <c r="P1" s="63" t="s">
        <v>177</v>
      </c>
      <c r="Q1" s="63" t="s">
        <v>121</v>
      </c>
      <c r="R1" s="63" t="s">
        <v>122</v>
      </c>
      <c r="S1" s="63" t="s">
        <v>123</v>
      </c>
      <c r="T1" s="63" t="s">
        <v>124</v>
      </c>
      <c r="U1" s="63" t="s">
        <v>125</v>
      </c>
      <c r="V1" s="63" t="s">
        <v>126</v>
      </c>
      <c r="W1" s="120" t="s">
        <v>111</v>
      </c>
      <c r="X1" s="120"/>
      <c r="Y1" s="121" t="s">
        <v>120</v>
      </c>
      <c r="Z1" s="121"/>
      <c r="AA1" s="121"/>
      <c r="AB1" s="121"/>
      <c r="AC1" s="121"/>
      <c r="AD1" s="121"/>
      <c r="AE1" s="121"/>
      <c r="AF1" s="121"/>
      <c r="AG1" s="121"/>
      <c r="AH1" s="121"/>
      <c r="AI1" s="121"/>
      <c r="AJ1" s="121"/>
      <c r="AK1" s="121"/>
      <c r="AL1" s="121"/>
      <c r="AM1" s="121"/>
      <c r="CQ1" s="120" t="s">
        <v>111</v>
      </c>
      <c r="CR1" s="120"/>
    </row>
    <row r="2" spans="1:98" ht="40.049999999999997" customHeight="1" x14ac:dyDescent="0.3">
      <c r="A2" s="45" t="str" cm="1">
        <f t="array" ref="A2:C78">_xlfn.CHOOSECOLS(_xlfn.UNIQUE(Log!$A3:$C3000),1, 2, 3)</f>
        <v>Daily</v>
      </c>
      <c r="B2" s="80" t="str">
        <v>n/a</v>
      </c>
      <c r="C2" s="78">
        <v>46228</v>
      </c>
      <c r="D2" s="15">
        <v>23.5</v>
      </c>
      <c r="E2" s="16">
        <v>0.85833333333333328</v>
      </c>
      <c r="F2" s="29" t="s">
        <v>51</v>
      </c>
      <c r="G2" s="17">
        <v>1000</v>
      </c>
      <c r="H2" s="113" t="s">
        <v>85</v>
      </c>
      <c r="I2" s="113"/>
      <c r="J2" s="113"/>
      <c r="K2" s="7"/>
      <c r="L2" s="18"/>
      <c r="M2" s="17"/>
      <c r="N2" s="17"/>
      <c r="O2" s="68"/>
      <c r="P2" s="68"/>
      <c r="Q2" s="6"/>
      <c r="R2" s="6"/>
      <c r="S2" s="6"/>
      <c r="T2" s="6"/>
      <c r="U2" s="6"/>
      <c r="V2" s="6"/>
      <c r="W2" s="6">
        <v>0.4150363317865432</v>
      </c>
      <c r="X2" s="6">
        <v>9.9319293039443104E-2</v>
      </c>
      <c r="Z2" s="20"/>
      <c r="CQ2" s="6">
        <v>0.4150363317865432</v>
      </c>
      <c r="CR2" s="6">
        <v>9.9319293039443104E-2</v>
      </c>
      <c r="CT2" s="26" t="s">
        <v>112</v>
      </c>
    </row>
    <row r="3" spans="1:98" ht="40.049999999999997" customHeight="1" x14ac:dyDescent="0.3">
      <c r="A3" s="45" t="str">
        <v>Daily</v>
      </c>
      <c r="B3" s="80" t="str">
        <v>n/a</v>
      </c>
      <c r="C3" s="78">
        <v>46230</v>
      </c>
      <c r="D3" s="15">
        <v>23.5</v>
      </c>
      <c r="E3" s="16">
        <v>0.60138888888888886</v>
      </c>
      <c r="F3" s="29" t="s">
        <v>51</v>
      </c>
      <c r="G3" s="17">
        <v>1000</v>
      </c>
      <c r="H3" s="113" t="s">
        <v>40</v>
      </c>
      <c r="I3" s="113"/>
      <c r="J3" s="113"/>
      <c r="K3" s="7"/>
      <c r="L3" s="18"/>
      <c r="M3" s="17"/>
      <c r="N3" s="17"/>
      <c r="O3" s="68"/>
      <c r="P3" s="68"/>
      <c r="Q3" s="6"/>
      <c r="R3" s="6"/>
      <c r="S3" s="6"/>
      <c r="T3" s="6"/>
      <c r="U3" s="6"/>
      <c r="V3" s="6"/>
      <c r="W3" s="6">
        <v>0.4150363317865432</v>
      </c>
      <c r="X3" s="6">
        <v>9.9319293039443104E-2</v>
      </c>
      <c r="CQ3" s="6">
        <v>0.4150363317865432</v>
      </c>
      <c r="CR3" s="6">
        <v>9.9319293039443104E-2</v>
      </c>
      <c r="CT3" s="29" t="s">
        <v>113</v>
      </c>
    </row>
    <row r="4" spans="1:98" ht="40.049999999999997" customHeight="1" x14ac:dyDescent="0.3">
      <c r="A4" s="45" t="str">
        <v>Daily</v>
      </c>
      <c r="B4" s="80" t="str">
        <v>n/a</v>
      </c>
      <c r="C4" s="78">
        <v>46231</v>
      </c>
      <c r="D4" s="15">
        <v>24.5</v>
      </c>
      <c r="E4" s="16">
        <v>0.50694444444444442</v>
      </c>
      <c r="F4" s="29" t="s">
        <v>52</v>
      </c>
      <c r="G4" s="17">
        <v>1000</v>
      </c>
      <c r="H4" s="113" t="s">
        <v>55</v>
      </c>
      <c r="I4" s="113"/>
      <c r="J4" s="113"/>
      <c r="K4" s="7"/>
      <c r="L4" s="18"/>
      <c r="M4" s="17"/>
      <c r="N4" s="17"/>
      <c r="O4" s="68"/>
      <c r="P4" s="68"/>
      <c r="Q4" s="6"/>
      <c r="R4" s="6"/>
      <c r="S4" s="6"/>
      <c r="T4" s="6"/>
      <c r="U4" s="6"/>
      <c r="V4" s="6"/>
      <c r="W4" s="6">
        <v>0.4150363317865432</v>
      </c>
      <c r="X4" s="6">
        <v>9.9319293039443104E-2</v>
      </c>
      <c r="CQ4" s="6">
        <v>0.4150363317865432</v>
      </c>
      <c r="CR4" s="6">
        <v>9.9319293039443104E-2</v>
      </c>
    </row>
    <row r="5" spans="1:98" ht="40.049999999999997" customHeight="1" x14ac:dyDescent="0.3">
      <c r="A5" s="45" t="str">
        <v>Daily</v>
      </c>
      <c r="B5" s="80" t="str">
        <v>n/a</v>
      </c>
      <c r="C5" s="78">
        <v>46232</v>
      </c>
      <c r="D5" s="15">
        <v>25.5</v>
      </c>
      <c r="E5" s="16">
        <v>0.82291666666666663</v>
      </c>
      <c r="F5" s="29" t="s">
        <v>51</v>
      </c>
      <c r="G5" s="17">
        <v>1000</v>
      </c>
      <c r="H5" s="113" t="s">
        <v>43</v>
      </c>
      <c r="I5" s="113"/>
      <c r="J5" s="113"/>
      <c r="K5" s="7"/>
      <c r="L5" s="18"/>
      <c r="M5" s="17"/>
      <c r="N5" s="17"/>
      <c r="O5" s="68"/>
      <c r="P5" s="68"/>
      <c r="Q5" s="6"/>
      <c r="R5" s="6"/>
      <c r="S5" s="6"/>
      <c r="T5" s="6"/>
      <c r="U5" s="6"/>
      <c r="V5" s="6"/>
      <c r="W5" s="6">
        <v>0.4150363317865432</v>
      </c>
      <c r="X5" s="6">
        <v>9.9319293039443104E-2</v>
      </c>
      <c r="CQ5" s="6">
        <v>0.4150363317865432</v>
      </c>
      <c r="CR5" s="6">
        <v>9.9319293039443104E-2</v>
      </c>
    </row>
    <row r="6" spans="1:98" ht="40.049999999999997" customHeight="1" x14ac:dyDescent="0.3">
      <c r="A6" s="45" t="str">
        <v>Daily</v>
      </c>
      <c r="B6" s="80" t="str">
        <v>n/a</v>
      </c>
      <c r="C6" s="78">
        <v>46233</v>
      </c>
      <c r="D6" s="15">
        <v>24.5</v>
      </c>
      <c r="E6" s="16">
        <v>0.53333333333333333</v>
      </c>
      <c r="F6" s="29" t="s">
        <v>51</v>
      </c>
      <c r="G6" s="17">
        <v>1000</v>
      </c>
      <c r="H6" s="113" t="s">
        <v>44</v>
      </c>
      <c r="I6" s="113"/>
      <c r="J6" s="113"/>
      <c r="K6" s="7"/>
      <c r="L6" s="18"/>
      <c r="M6" s="17"/>
      <c r="N6" s="17"/>
      <c r="O6" s="68"/>
      <c r="P6" s="68"/>
      <c r="Q6" s="6"/>
      <c r="R6" s="6"/>
      <c r="S6" s="6"/>
      <c r="T6" s="6"/>
      <c r="U6" s="6"/>
      <c r="V6" s="6"/>
      <c r="W6" s="6">
        <v>0.4150363317865432</v>
      </c>
      <c r="X6" s="6">
        <v>9.9319293039443104E-2</v>
      </c>
      <c r="CQ6" s="6">
        <v>0.4150363317865432</v>
      </c>
      <c r="CR6" s="6">
        <v>9.9319293039443104E-2</v>
      </c>
    </row>
    <row r="7" spans="1:98" ht="40.049999999999997" customHeight="1" x14ac:dyDescent="0.3">
      <c r="A7" s="45" t="str">
        <v>Error</v>
      </c>
      <c r="B7" s="80" t="str">
        <v>31/07-error1</v>
      </c>
      <c r="C7" s="78">
        <v>46234</v>
      </c>
      <c r="D7" s="15">
        <v>23.5</v>
      </c>
      <c r="E7" s="16">
        <v>0.85833333333333328</v>
      </c>
      <c r="F7" s="29" t="s">
        <v>54</v>
      </c>
      <c r="G7" s="17">
        <v>1000</v>
      </c>
      <c r="H7" s="53" t="s">
        <v>155</v>
      </c>
      <c r="I7" s="53" t="s">
        <v>45</v>
      </c>
      <c r="J7" s="53"/>
      <c r="K7" s="7"/>
      <c r="L7" s="18"/>
      <c r="M7" s="17"/>
      <c r="N7" s="17"/>
      <c r="O7" s="68"/>
      <c r="P7" s="68"/>
      <c r="Q7" s="6"/>
      <c r="R7" s="6"/>
      <c r="S7" s="6"/>
      <c r="T7" s="6"/>
      <c r="U7" s="6"/>
      <c r="V7" s="6"/>
      <c r="W7" s="6">
        <v>0.4150363317865432</v>
      </c>
      <c r="X7" s="6">
        <v>9.9319293039443104E-2</v>
      </c>
      <c r="CQ7" s="6">
        <v>0.4150363317865432</v>
      </c>
      <c r="CR7" s="6">
        <v>9.9319293039443104E-2</v>
      </c>
    </row>
    <row r="8" spans="1:98" ht="40.049999999999997" customHeight="1" x14ac:dyDescent="0.3">
      <c r="A8" s="45" t="str">
        <v>Error</v>
      </c>
      <c r="B8" s="80" t="str">
        <v>31/07-error2</v>
      </c>
      <c r="C8" s="78">
        <v>46234</v>
      </c>
      <c r="D8" s="15">
        <v>23.5</v>
      </c>
      <c r="E8" s="16">
        <v>0.60138888888888886</v>
      </c>
      <c r="F8" s="29" t="s">
        <v>54</v>
      </c>
      <c r="G8" s="17">
        <v>1000</v>
      </c>
      <c r="I8" s="54" t="s">
        <v>87</v>
      </c>
      <c r="J8" s="54"/>
      <c r="K8" s="7"/>
      <c r="L8" s="18"/>
      <c r="M8" s="17"/>
      <c r="N8" s="17"/>
      <c r="O8" s="68"/>
      <c r="P8" s="68"/>
      <c r="Q8" s="6"/>
      <c r="R8" s="6"/>
      <c r="S8" s="6"/>
      <c r="T8" s="6"/>
      <c r="U8" s="6"/>
      <c r="V8" s="6"/>
      <c r="W8" s="6">
        <v>0.4150363317865432</v>
      </c>
      <c r="X8" s="6">
        <v>9.9319293039443104E-2</v>
      </c>
      <c r="Z8" s="20"/>
      <c r="AA8" s="22"/>
      <c r="CQ8" s="6">
        <v>0.4150363317865432</v>
      </c>
      <c r="CR8" s="6">
        <v>9.9319293039443104E-2</v>
      </c>
    </row>
    <row r="9" spans="1:98" ht="40.049999999999997" customHeight="1" x14ac:dyDescent="0.3">
      <c r="A9" s="45" t="str">
        <v>Daily</v>
      </c>
      <c r="B9" s="80" t="str">
        <v>n/a</v>
      </c>
      <c r="C9" s="78">
        <v>46234</v>
      </c>
      <c r="D9" s="15">
        <v>24.5</v>
      </c>
      <c r="E9" s="16">
        <v>0.58333333333333337</v>
      </c>
      <c r="F9" s="29" t="s">
        <v>54</v>
      </c>
      <c r="G9" s="17">
        <v>1500</v>
      </c>
      <c r="H9" s="113" t="s">
        <v>153</v>
      </c>
      <c r="I9" s="114"/>
      <c r="J9" s="114"/>
      <c r="K9" s="7"/>
      <c r="L9" s="18"/>
      <c r="M9" s="17"/>
      <c r="N9" s="17"/>
      <c r="O9" s="68"/>
      <c r="P9" s="68"/>
      <c r="Q9" s="6"/>
      <c r="R9" s="6"/>
      <c r="S9" s="6"/>
      <c r="T9" s="6"/>
      <c r="U9" s="6"/>
      <c r="V9" s="6"/>
      <c r="W9" s="6">
        <v>0.4150363317865432</v>
      </c>
      <c r="X9" s="6">
        <v>9.9319293039443104E-2</v>
      </c>
      <c r="Z9" s="20"/>
      <c r="AA9" s="22"/>
      <c r="CQ9" s="6">
        <v>0.4150363317865432</v>
      </c>
      <c r="CR9" s="6">
        <v>9.9319293039443104E-2</v>
      </c>
    </row>
    <row r="10" spans="1:98" ht="40.049999999999997" customHeight="1" x14ac:dyDescent="0.3">
      <c r="A10" s="45" t="str">
        <v>Daily</v>
      </c>
      <c r="B10" s="80" t="str">
        <v>n/a</v>
      </c>
      <c r="C10" s="78">
        <v>46235</v>
      </c>
      <c r="D10" s="15">
        <v>24</v>
      </c>
      <c r="E10" s="16">
        <v>0.74097222222222225</v>
      </c>
      <c r="F10" s="29" t="s">
        <v>54</v>
      </c>
      <c r="G10" s="17">
        <v>1500</v>
      </c>
      <c r="H10" s="113" t="s">
        <v>46</v>
      </c>
      <c r="I10" s="113"/>
      <c r="J10" s="113"/>
      <c r="K10" s="7"/>
      <c r="L10" s="18"/>
      <c r="M10" s="17"/>
      <c r="N10" s="17"/>
      <c r="O10" s="68"/>
      <c r="P10" s="68"/>
      <c r="Q10" s="6"/>
      <c r="R10" s="6"/>
      <c r="S10" s="6"/>
      <c r="T10" s="6"/>
      <c r="U10" s="6"/>
      <c r="V10" s="6"/>
      <c r="W10" s="6">
        <v>0.4150363317865432</v>
      </c>
      <c r="X10" s="6">
        <v>9.9319293039443104E-2</v>
      </c>
      <c r="Z10" s="20"/>
      <c r="AA10" s="22"/>
      <c r="CQ10" s="6">
        <v>0.4150363317865432</v>
      </c>
      <c r="CR10" s="6">
        <v>9.9319293039443104E-2</v>
      </c>
    </row>
    <row r="11" spans="1:98" ht="40.049999999999997" customHeight="1" x14ac:dyDescent="0.3">
      <c r="A11" s="45" t="str">
        <v>Error</v>
      </c>
      <c r="B11" s="80" t="str">
        <v>03/08-error1</v>
      </c>
      <c r="C11" s="78">
        <v>46237</v>
      </c>
      <c r="D11" s="15">
        <v>24.5</v>
      </c>
      <c r="E11" s="16">
        <v>0.50694444444444442</v>
      </c>
      <c r="F11" s="29" t="s">
        <v>54</v>
      </c>
      <c r="G11" s="17">
        <v>1000</v>
      </c>
      <c r="H11" s="53" t="s">
        <v>47</v>
      </c>
      <c r="I11" s="53" t="s">
        <v>50</v>
      </c>
      <c r="J11" s="53"/>
      <c r="K11" s="18"/>
      <c r="L11" s="18"/>
      <c r="M11" s="17"/>
      <c r="N11" s="17"/>
      <c r="O11" s="68"/>
      <c r="P11" s="68"/>
      <c r="Q11" s="6"/>
      <c r="R11" s="6"/>
      <c r="S11" s="6"/>
      <c r="T11" s="6"/>
      <c r="U11" s="6"/>
      <c r="V11" s="6"/>
      <c r="W11" s="6">
        <v>0.4150363317865432</v>
      </c>
      <c r="X11" s="6">
        <v>9.9319293039443104E-2</v>
      </c>
      <c r="Z11" s="20"/>
      <c r="AA11" s="22"/>
      <c r="CQ11" s="6">
        <v>0.4150363317865432</v>
      </c>
      <c r="CR11" s="6">
        <v>9.9319293039443104E-2</v>
      </c>
    </row>
    <row r="12" spans="1:98" ht="40.049999999999997" customHeight="1" x14ac:dyDescent="0.3">
      <c r="A12" s="45" t="str">
        <v>Error</v>
      </c>
      <c r="B12" s="80" t="str">
        <v>03/08-error2</v>
      </c>
      <c r="C12" s="78">
        <v>46237</v>
      </c>
      <c r="D12" s="15">
        <v>25.5</v>
      </c>
      <c r="E12" s="16">
        <v>0.82291666666666663</v>
      </c>
      <c r="F12" s="29" t="s">
        <v>54</v>
      </c>
      <c r="G12" s="17">
        <v>1000</v>
      </c>
      <c r="H12" s="53" t="s">
        <v>48</v>
      </c>
      <c r="I12" s="53" t="s">
        <v>49</v>
      </c>
      <c r="J12" s="53"/>
      <c r="K12" s="7"/>
      <c r="L12" s="18"/>
      <c r="M12" s="17"/>
      <c r="N12" s="17"/>
      <c r="O12" s="68"/>
      <c r="P12" s="68"/>
      <c r="Q12" s="6"/>
      <c r="R12" s="6"/>
      <c r="S12" s="6"/>
      <c r="T12" s="6"/>
      <c r="U12" s="6"/>
      <c r="V12" s="6"/>
      <c r="W12" s="6">
        <v>0.4150363317865432</v>
      </c>
      <c r="X12" s="6">
        <v>9.9319293039443104E-2</v>
      </c>
      <c r="Z12" s="20"/>
      <c r="AA12" s="22"/>
      <c r="CQ12" s="6">
        <v>0.4150363317865432</v>
      </c>
      <c r="CR12" s="6">
        <v>9.9319293039443104E-2</v>
      </c>
    </row>
    <row r="13" spans="1:98" ht="40.049999999999997" customHeight="1" x14ac:dyDescent="0.3">
      <c r="A13" s="45" t="str">
        <v>Daily</v>
      </c>
      <c r="B13" s="80" t="str">
        <v>n/a</v>
      </c>
      <c r="C13" s="78">
        <v>46237</v>
      </c>
      <c r="D13" s="15">
        <v>24</v>
      </c>
      <c r="E13" s="23">
        <v>0.46597222222222223</v>
      </c>
      <c r="F13" s="29" t="s">
        <v>51</v>
      </c>
      <c r="G13" s="17">
        <v>1000</v>
      </c>
      <c r="H13" s="114" t="s">
        <v>86</v>
      </c>
      <c r="I13" s="113"/>
      <c r="J13" s="113"/>
      <c r="K13" s="7"/>
      <c r="L13" s="18"/>
      <c r="M13" s="17"/>
      <c r="N13" s="17"/>
      <c r="O13" s="68"/>
      <c r="P13" s="68"/>
      <c r="Q13" s="6"/>
      <c r="R13" s="6"/>
      <c r="S13" s="6"/>
      <c r="T13" s="6"/>
      <c r="U13" s="6"/>
      <c r="V13" s="6"/>
      <c r="W13" s="6">
        <v>0.4150363317865432</v>
      </c>
      <c r="X13" s="6">
        <v>9.9319293039443104E-2</v>
      </c>
      <c r="Z13" s="20"/>
      <c r="AA13" s="22"/>
      <c r="AH13" s="62"/>
      <c r="CQ13" s="6">
        <v>0.4150363317865432</v>
      </c>
      <c r="CR13" s="6">
        <v>9.9319293039443104E-2</v>
      </c>
    </row>
    <row r="14" spans="1:98" ht="40.049999999999997" customHeight="1" x14ac:dyDescent="0.3">
      <c r="A14" s="45" t="str">
        <v>Daily</v>
      </c>
      <c r="B14" s="80" t="str">
        <v>n/a</v>
      </c>
      <c r="C14" s="78">
        <v>46238</v>
      </c>
      <c r="D14" s="15">
        <v>24.5</v>
      </c>
      <c r="E14" s="16">
        <v>0.52083333333333337</v>
      </c>
      <c r="F14" s="29" t="s">
        <v>51</v>
      </c>
      <c r="G14" s="17">
        <v>1000</v>
      </c>
      <c r="H14" s="113" t="s">
        <v>56</v>
      </c>
      <c r="I14" s="113"/>
      <c r="J14" s="113"/>
      <c r="K14" s="7"/>
      <c r="L14" s="18"/>
      <c r="M14" s="17"/>
      <c r="N14" s="17"/>
      <c r="O14" s="68"/>
      <c r="P14" s="68"/>
      <c r="Q14" s="6"/>
      <c r="R14" s="6"/>
      <c r="S14" s="6"/>
      <c r="T14" s="6"/>
      <c r="U14" s="6"/>
      <c r="V14" s="6"/>
      <c r="W14" s="6">
        <v>0.4150363317865432</v>
      </c>
      <c r="X14" s="6">
        <v>9.9319293039443104E-2</v>
      </c>
      <c r="AH14" s="62"/>
      <c r="CQ14" s="6">
        <v>0.4150363317865432</v>
      </c>
      <c r="CR14" s="6">
        <v>9.9319293039443104E-2</v>
      </c>
    </row>
    <row r="15" spans="1:98" ht="40.049999999999997" customHeight="1" x14ac:dyDescent="0.3">
      <c r="A15" s="45" t="str">
        <v>Daily</v>
      </c>
      <c r="B15" s="80" t="str">
        <v>n/a</v>
      </c>
      <c r="C15" s="78">
        <v>46239</v>
      </c>
      <c r="D15" s="15">
        <v>25</v>
      </c>
      <c r="E15" s="16">
        <v>0.59305555555555556</v>
      </c>
      <c r="F15" s="29" t="s">
        <v>51</v>
      </c>
      <c r="G15" s="17">
        <v>1000</v>
      </c>
      <c r="H15" s="113" t="s">
        <v>84</v>
      </c>
      <c r="I15" s="115"/>
      <c r="J15" s="115"/>
      <c r="K15" s="7"/>
      <c r="L15" s="18"/>
      <c r="M15" s="17"/>
      <c r="N15" s="17"/>
      <c r="O15" s="68"/>
      <c r="P15" s="68"/>
      <c r="Q15" s="6"/>
      <c r="R15" s="6"/>
      <c r="S15" s="6"/>
      <c r="T15" s="6"/>
      <c r="U15" s="6"/>
      <c r="V15" s="6"/>
      <c r="W15" s="6">
        <v>0.4150363317865432</v>
      </c>
      <c r="X15" s="6">
        <v>9.9319293039443104E-2</v>
      </c>
      <c r="CQ15" s="6">
        <v>0.4150363317865432</v>
      </c>
      <c r="CR15" s="6">
        <v>9.9319293039443104E-2</v>
      </c>
    </row>
    <row r="16" spans="1:98" ht="40.049999999999997" customHeight="1" x14ac:dyDescent="0.3">
      <c r="A16" s="45" t="str">
        <v>Daily</v>
      </c>
      <c r="B16" s="80" t="str">
        <v>n/a</v>
      </c>
      <c r="C16" s="78">
        <v>46240</v>
      </c>
      <c r="D16" s="15">
        <v>25</v>
      </c>
      <c r="E16" s="16">
        <v>0.47569444444444442</v>
      </c>
      <c r="F16" s="29" t="s">
        <v>51</v>
      </c>
      <c r="G16" s="17">
        <v>1000</v>
      </c>
      <c r="H16" s="113" t="s">
        <v>83</v>
      </c>
      <c r="I16" s="115"/>
      <c r="J16" s="115"/>
      <c r="K16" s="7"/>
      <c r="L16" s="18"/>
      <c r="M16" s="17"/>
      <c r="N16" s="17"/>
      <c r="O16" s="68"/>
      <c r="P16" s="68"/>
      <c r="Q16" s="6"/>
      <c r="R16" s="6"/>
      <c r="S16" s="6"/>
      <c r="T16" s="6"/>
      <c r="U16" s="6"/>
      <c r="V16" s="6"/>
      <c r="W16" s="6">
        <v>0.4150363317865432</v>
      </c>
      <c r="X16" s="6">
        <v>9.9319293039443104E-2</v>
      </c>
      <c r="CQ16" s="6">
        <v>0.4150363317865432</v>
      </c>
      <c r="CR16" s="6">
        <v>9.9319293039443104E-2</v>
      </c>
    </row>
    <row r="17" spans="1:96" ht="40.049999999999997" customHeight="1" x14ac:dyDescent="0.3">
      <c r="A17" s="45" t="str">
        <v>Trial</v>
      </c>
      <c r="B17" s="80" t="str">
        <v>shelf-baseline</v>
      </c>
      <c r="C17" s="78">
        <v>46240</v>
      </c>
      <c r="D17" s="15">
        <v>25</v>
      </c>
      <c r="E17" s="16">
        <v>0.64722222222222225</v>
      </c>
      <c r="F17" s="29" t="s">
        <v>51</v>
      </c>
      <c r="G17" s="17">
        <v>1000</v>
      </c>
      <c r="H17" s="56" t="s">
        <v>98</v>
      </c>
      <c r="I17" s="56" t="s">
        <v>97</v>
      </c>
      <c r="J17" s="56" t="s">
        <v>100</v>
      </c>
      <c r="K17" s="7"/>
      <c r="L17" s="18"/>
      <c r="M17" s="17"/>
      <c r="N17" s="17"/>
      <c r="O17" s="68"/>
      <c r="P17" s="68"/>
      <c r="Q17" s="6"/>
      <c r="R17" s="6"/>
      <c r="S17" s="6"/>
      <c r="T17" s="6"/>
      <c r="U17" s="6"/>
      <c r="V17" s="6"/>
      <c r="W17" s="6">
        <v>0.4150363317865432</v>
      </c>
      <c r="X17" s="6">
        <v>9.9319293039443104E-2</v>
      </c>
      <c r="Z17" s="20"/>
      <c r="CQ17" s="6">
        <v>0.4150363317865432</v>
      </c>
      <c r="CR17" s="6">
        <v>9.9319293039443104E-2</v>
      </c>
    </row>
    <row r="18" spans="1:96" ht="40.049999999999997" customHeight="1" x14ac:dyDescent="0.3">
      <c r="A18" s="45" t="str">
        <v>Trial</v>
      </c>
      <c r="B18" s="80" t="str">
        <v>shelf-trial</v>
      </c>
      <c r="C18" s="78">
        <v>46240</v>
      </c>
      <c r="D18" s="15">
        <v>25</v>
      </c>
      <c r="E18" s="16">
        <v>0.66041666666666665</v>
      </c>
      <c r="F18" s="29" t="s">
        <v>51</v>
      </c>
      <c r="G18" s="17">
        <v>1000</v>
      </c>
      <c r="H18" s="56"/>
      <c r="I18" s="56"/>
      <c r="J18" s="56"/>
      <c r="K18" s="7"/>
      <c r="L18" s="18"/>
      <c r="M18" s="17"/>
      <c r="N18" s="17"/>
      <c r="O18" s="68"/>
      <c r="P18" s="68"/>
      <c r="Q18" s="6"/>
      <c r="R18" s="6"/>
      <c r="S18" s="6"/>
      <c r="T18" s="6"/>
      <c r="U18" s="6"/>
      <c r="V18" s="6"/>
      <c r="W18" s="6">
        <v>0.4150363317865432</v>
      </c>
      <c r="X18" s="6">
        <v>9.9319293039443104E-2</v>
      </c>
      <c r="Z18" s="20"/>
      <c r="CQ18" s="6">
        <v>0.4150363317865432</v>
      </c>
      <c r="CR18" s="6">
        <v>9.9319293039443104E-2</v>
      </c>
    </row>
    <row r="19" spans="1:96" ht="40.049999999999997" customHeight="1" x14ac:dyDescent="0.3">
      <c r="A19" s="45" t="str">
        <v>Daily</v>
      </c>
      <c r="B19" s="80" t="str">
        <v>n/a</v>
      </c>
      <c r="C19" s="78">
        <v>46242</v>
      </c>
      <c r="D19" s="15">
        <v>24.5</v>
      </c>
      <c r="E19" s="16">
        <v>0.62361111111111112</v>
      </c>
      <c r="F19" s="29" t="s">
        <v>51</v>
      </c>
      <c r="G19" s="17">
        <v>1000</v>
      </c>
      <c r="H19" s="113" t="s">
        <v>99</v>
      </c>
      <c r="I19" s="113"/>
      <c r="J19" s="113"/>
      <c r="K19" s="7"/>
      <c r="L19" s="18"/>
      <c r="M19" s="17"/>
      <c r="N19" s="17"/>
      <c r="O19" s="68"/>
      <c r="P19" s="68"/>
      <c r="Q19" s="6"/>
      <c r="R19" s="6"/>
      <c r="S19" s="6"/>
      <c r="T19" s="6"/>
      <c r="U19" s="6"/>
      <c r="V19" s="6"/>
      <c r="W19" s="6">
        <v>0.4150363317865432</v>
      </c>
      <c r="X19" s="6">
        <v>9.9319293039443104E-2</v>
      </c>
      <c r="Z19" s="20"/>
      <c r="CQ19" s="6">
        <v>0.4150363317865432</v>
      </c>
      <c r="CR19" s="6">
        <v>9.9319293039443104E-2</v>
      </c>
    </row>
    <row r="20" spans="1:96" ht="40.049999999999997" customHeight="1" x14ac:dyDescent="0.3">
      <c r="A20" s="45" t="str">
        <v>Trial</v>
      </c>
      <c r="B20" s="80" t="str">
        <v>auto-stop-1000-base</v>
      </c>
      <c r="C20" s="78">
        <v>46242</v>
      </c>
      <c r="D20" s="15">
        <v>24.5</v>
      </c>
      <c r="E20" s="16">
        <v>0.62361111111111112</v>
      </c>
      <c r="F20" s="29" t="s">
        <v>51</v>
      </c>
      <c r="G20" s="17">
        <v>1000</v>
      </c>
      <c r="H20" s="56" t="s">
        <v>109</v>
      </c>
      <c r="I20" s="56" t="s">
        <v>101</v>
      </c>
      <c r="J20" s="56" t="s">
        <v>110</v>
      </c>
      <c r="K20" s="7"/>
      <c r="L20" s="18"/>
      <c r="M20" s="17"/>
      <c r="N20" s="17"/>
      <c r="O20" s="68"/>
      <c r="P20" s="68"/>
      <c r="Q20" s="6"/>
      <c r="R20" s="6"/>
      <c r="S20" s="6"/>
      <c r="T20" s="6"/>
      <c r="U20" s="6"/>
      <c r="V20" s="6"/>
      <c r="W20" s="6">
        <v>0.4150363317865432</v>
      </c>
      <c r="X20" s="6">
        <v>9.9319293039443104E-2</v>
      </c>
      <c r="Z20" s="20"/>
      <c r="CQ20" s="6">
        <v>0.4150363317865432</v>
      </c>
      <c r="CR20" s="6">
        <v>9.9319293039443104E-2</v>
      </c>
    </row>
    <row r="21" spans="1:96" ht="40.049999999999997" customHeight="1" x14ac:dyDescent="0.3">
      <c r="A21" s="45" t="str">
        <v>Trial</v>
      </c>
      <c r="B21" s="80" t="str">
        <v>auto-stop-2000-v1</v>
      </c>
      <c r="C21" s="78">
        <v>46242</v>
      </c>
      <c r="D21" s="15">
        <v>24.5</v>
      </c>
      <c r="E21" s="16">
        <v>0.63680555555555551</v>
      </c>
      <c r="F21" s="29" t="s">
        <v>51</v>
      </c>
      <c r="G21" s="17">
        <v>2000</v>
      </c>
      <c r="H21" s="56"/>
      <c r="I21" s="56"/>
      <c r="J21" s="56"/>
      <c r="K21" s="7"/>
      <c r="L21" s="18"/>
      <c r="M21" s="17"/>
      <c r="N21" s="17"/>
      <c r="O21" s="68"/>
      <c r="P21" s="68"/>
      <c r="Q21" s="6"/>
      <c r="R21" s="6"/>
      <c r="S21" s="6"/>
      <c r="T21" s="6"/>
      <c r="U21" s="6"/>
      <c r="V21" s="6"/>
      <c r="W21" s="6">
        <v>0.4150363317865432</v>
      </c>
      <c r="X21" s="6">
        <v>9.9319293039443104E-2</v>
      </c>
      <c r="Z21" s="20"/>
      <c r="CQ21" s="6">
        <v>0.4150363317865432</v>
      </c>
      <c r="CR21" s="6">
        <v>9.9319293039443104E-2</v>
      </c>
    </row>
    <row r="22" spans="1:96" ht="40.049999999999997" customHeight="1" x14ac:dyDescent="0.3">
      <c r="A22" s="45" t="str">
        <v>Trial</v>
      </c>
      <c r="B22" s="80" t="str">
        <v>auto-stop-2000-v2</v>
      </c>
      <c r="C22" s="78">
        <v>46242</v>
      </c>
      <c r="D22" s="15">
        <v>24.5</v>
      </c>
      <c r="E22" s="16">
        <v>0.65625</v>
      </c>
      <c r="F22" s="29" t="s">
        <v>51</v>
      </c>
      <c r="G22" s="17">
        <v>2000</v>
      </c>
      <c r="H22" s="56"/>
      <c r="I22" s="56"/>
      <c r="J22" s="56"/>
      <c r="K22" s="7"/>
      <c r="L22" s="18"/>
      <c r="M22" s="17"/>
      <c r="N22" s="17"/>
      <c r="O22" s="68"/>
      <c r="P22" s="68"/>
      <c r="Q22" s="6"/>
      <c r="R22" s="6"/>
      <c r="S22" s="6"/>
      <c r="T22" s="6"/>
      <c r="U22" s="6"/>
      <c r="V22" s="6"/>
      <c r="W22" s="6">
        <v>0.4150363317865432</v>
      </c>
      <c r="X22" s="6">
        <v>9.9319293039443104E-2</v>
      </c>
      <c r="Z22" s="20"/>
      <c r="CQ22" s="6">
        <v>0.4150363317865432</v>
      </c>
      <c r="CR22" s="6">
        <v>9.9319293039443104E-2</v>
      </c>
    </row>
    <row r="23" spans="1:96" ht="40.049999999999997" customHeight="1" x14ac:dyDescent="0.3">
      <c r="A23" s="45" t="str">
        <v>Trial</v>
      </c>
      <c r="B23" s="80" t="str">
        <v>auto-stop-1500-v1</v>
      </c>
      <c r="C23" s="78">
        <v>46242</v>
      </c>
      <c r="D23" s="15">
        <v>24.5</v>
      </c>
      <c r="E23" s="16">
        <v>0.65902777777777777</v>
      </c>
      <c r="F23" s="29" t="s">
        <v>51</v>
      </c>
      <c r="G23" s="17">
        <v>1500</v>
      </c>
      <c r="H23" s="56"/>
      <c r="I23" s="56"/>
      <c r="J23" s="56"/>
      <c r="K23" s="7"/>
      <c r="L23" s="18"/>
      <c r="M23" s="17"/>
      <c r="N23" s="17"/>
      <c r="O23" s="68"/>
      <c r="P23" s="68"/>
      <c r="Q23" s="6"/>
      <c r="R23" s="6"/>
      <c r="S23" s="6"/>
      <c r="T23" s="6"/>
      <c r="U23" s="6"/>
      <c r="V23" s="6"/>
      <c r="W23" s="6">
        <v>0.4150363317865432</v>
      </c>
      <c r="X23" s="6">
        <v>9.9319293039443104E-2</v>
      </c>
      <c r="Z23" s="20"/>
      <c r="CQ23" s="6">
        <v>0.4150363317865432</v>
      </c>
      <c r="CR23" s="6">
        <v>9.9319293039443104E-2</v>
      </c>
    </row>
    <row r="24" spans="1:96" ht="40.049999999999997" customHeight="1" x14ac:dyDescent="0.3">
      <c r="A24" s="45" t="str">
        <v>Trial</v>
      </c>
      <c r="B24" s="80" t="str">
        <v>auto-stop-1500-v2</v>
      </c>
      <c r="C24" s="78">
        <v>46242</v>
      </c>
      <c r="D24" s="15">
        <v>24.5</v>
      </c>
      <c r="E24" s="16">
        <v>0.65902777777777777</v>
      </c>
      <c r="F24" s="29" t="s">
        <v>51</v>
      </c>
      <c r="G24" s="17">
        <v>1500</v>
      </c>
      <c r="H24" s="56"/>
      <c r="I24" s="56"/>
      <c r="J24" s="56"/>
      <c r="K24" s="7"/>
      <c r="L24" s="18"/>
      <c r="M24" s="17"/>
      <c r="N24" s="17"/>
      <c r="O24" s="68"/>
      <c r="P24" s="68"/>
      <c r="Q24" s="6"/>
      <c r="R24" s="6"/>
      <c r="S24" s="6"/>
      <c r="T24" s="6"/>
      <c r="U24" s="6"/>
      <c r="V24" s="6"/>
      <c r="W24" s="6">
        <v>0.4150363317865432</v>
      </c>
      <c r="X24" s="6">
        <v>9.9319293039443104E-2</v>
      </c>
      <c r="CQ24" s="6">
        <v>0.4150363317865432</v>
      </c>
      <c r="CR24" s="6">
        <v>9.9319293039443104E-2</v>
      </c>
    </row>
    <row r="25" spans="1:96" ht="40.049999999999997" customHeight="1" x14ac:dyDescent="0.3">
      <c r="A25" s="45" t="str">
        <v>Trial</v>
      </c>
      <c r="B25" s="80" t="str">
        <v>auto-stop-1000-v2</v>
      </c>
      <c r="C25" s="78">
        <v>46242</v>
      </c>
      <c r="D25" s="15">
        <v>24.5</v>
      </c>
      <c r="E25" s="16">
        <v>0.65902777777777777</v>
      </c>
      <c r="F25" s="29" t="s">
        <v>51</v>
      </c>
      <c r="G25" s="17">
        <v>1000</v>
      </c>
      <c r="H25" s="56"/>
      <c r="I25" s="56"/>
      <c r="J25" s="56"/>
      <c r="K25" s="7"/>
      <c r="L25" s="18"/>
      <c r="M25" s="17"/>
      <c r="N25" s="17"/>
      <c r="O25" s="68"/>
      <c r="P25" s="68"/>
      <c r="Q25" s="6"/>
      <c r="R25" s="6"/>
      <c r="S25" s="6"/>
      <c r="T25" s="6"/>
      <c r="U25" s="6"/>
      <c r="V25" s="6"/>
      <c r="W25" s="6">
        <v>0.4150363317865432</v>
      </c>
      <c r="X25" s="6">
        <v>9.9319293039443104E-2</v>
      </c>
      <c r="CQ25" s="6">
        <v>0.4150363317865432</v>
      </c>
      <c r="CR25" s="6">
        <v>9.9319293039443104E-2</v>
      </c>
    </row>
    <row r="26" spans="1:96" ht="40.049999999999997" customHeight="1" x14ac:dyDescent="0.3">
      <c r="A26" s="45" t="str">
        <v>Trial</v>
      </c>
      <c r="B26" s="80" t="str">
        <v>auto-stop-1000-v3</v>
      </c>
      <c r="C26" s="78">
        <v>46242</v>
      </c>
      <c r="D26" s="15">
        <v>24.5</v>
      </c>
      <c r="E26" s="16">
        <v>0.68958333333333333</v>
      </c>
      <c r="F26" s="29" t="s">
        <v>51</v>
      </c>
      <c r="G26" s="17">
        <v>1000</v>
      </c>
      <c r="H26" s="56"/>
      <c r="I26" s="56"/>
      <c r="J26" s="56"/>
      <c r="K26" s="7"/>
      <c r="L26" s="18"/>
      <c r="M26" s="17"/>
      <c r="N26" s="17"/>
      <c r="O26" s="68"/>
      <c r="P26" s="68"/>
      <c r="Q26" s="6"/>
      <c r="R26" s="6"/>
      <c r="S26" s="6"/>
      <c r="T26" s="6"/>
      <c r="U26" s="6"/>
      <c r="V26" s="6"/>
      <c r="W26" s="6" t="s">
        <v>218</v>
      </c>
      <c r="X26" s="6" t="s">
        <v>218</v>
      </c>
      <c r="CQ26" s="6" t="s">
        <v>218</v>
      </c>
      <c r="CR26" s="6" t="s">
        <v>218</v>
      </c>
    </row>
    <row r="27" spans="1:96" ht="40.049999999999997" customHeight="1" x14ac:dyDescent="0.3">
      <c r="A27" s="45" t="str">
        <v>Daily</v>
      </c>
      <c r="B27" s="80" t="str">
        <v>n/a</v>
      </c>
      <c r="C27" s="78">
        <v>46244</v>
      </c>
      <c r="D27" s="15">
        <v>24</v>
      </c>
      <c r="E27" s="16">
        <v>0.52777777777777779</v>
      </c>
      <c r="F27" s="29" t="s">
        <v>114</v>
      </c>
      <c r="G27" s="17">
        <v>1000</v>
      </c>
      <c r="H27" s="113"/>
      <c r="I27" s="113"/>
      <c r="J27" s="113"/>
      <c r="K27" s="7"/>
      <c r="L27" s="18"/>
      <c r="M27" s="17"/>
      <c r="N27" s="17"/>
      <c r="O27" s="68"/>
      <c r="P27" s="68"/>
      <c r="Q27" s="6"/>
      <c r="R27" s="6"/>
      <c r="S27" s="6"/>
      <c r="T27" s="6"/>
      <c r="U27" s="6"/>
      <c r="V27" s="6"/>
      <c r="W27" s="6" t="s">
        <v>218</v>
      </c>
      <c r="X27" s="6" t="s">
        <v>218</v>
      </c>
      <c r="CQ27" s="6" t="s">
        <v>218</v>
      </c>
      <c r="CR27" s="6" t="s">
        <v>218</v>
      </c>
    </row>
    <row r="28" spans="1:96" ht="40.049999999999997" customHeight="1" x14ac:dyDescent="0.3">
      <c r="A28" s="45" t="str">
        <v>Daily</v>
      </c>
      <c r="B28" s="80" t="str">
        <v>n/a</v>
      </c>
      <c r="C28" s="78">
        <v>46245</v>
      </c>
      <c r="D28" s="15">
        <v>24</v>
      </c>
      <c r="E28" s="16">
        <v>0.42777777777777776</v>
      </c>
      <c r="F28" s="29" t="s">
        <v>115</v>
      </c>
      <c r="G28" s="17">
        <v>1000</v>
      </c>
      <c r="H28" s="115" t="s">
        <v>127</v>
      </c>
      <c r="I28" s="113"/>
      <c r="J28" s="113"/>
      <c r="K28" s="7"/>
      <c r="L28" s="18"/>
      <c r="M28" s="17"/>
      <c r="N28" s="17"/>
      <c r="O28" s="68"/>
      <c r="P28" s="68"/>
      <c r="Q28" s="6"/>
      <c r="R28" s="6"/>
      <c r="S28" s="6"/>
      <c r="T28" s="6"/>
      <c r="U28" s="6"/>
      <c r="V28" s="6"/>
      <c r="W28" s="6" t="s">
        <v>218</v>
      </c>
      <c r="X28" s="6" t="s">
        <v>218</v>
      </c>
      <c r="CQ28" s="6" t="s">
        <v>218</v>
      </c>
      <c r="CR28" s="6" t="s">
        <v>218</v>
      </c>
    </row>
    <row r="29" spans="1:96" ht="40.049999999999997" customHeight="1" x14ac:dyDescent="0.3">
      <c r="A29" s="45" t="str">
        <v>Error</v>
      </c>
      <c r="B29" s="80" t="str">
        <v>didn't-set-volume</v>
      </c>
      <c r="C29" s="78">
        <v>46246</v>
      </c>
      <c r="D29" s="15">
        <v>24.5</v>
      </c>
      <c r="E29" s="16">
        <v>0.45277777777777778</v>
      </c>
      <c r="F29" s="29" t="s">
        <v>117</v>
      </c>
      <c r="G29" s="17">
        <v>1000</v>
      </c>
      <c r="H29" s="59"/>
      <c r="I29" s="53" t="s">
        <v>154</v>
      </c>
      <c r="J29" s="53"/>
      <c r="K29" s="7"/>
      <c r="L29" s="18"/>
      <c r="M29" s="17"/>
      <c r="N29" s="17"/>
      <c r="O29" s="68"/>
      <c r="P29" s="68"/>
      <c r="Q29" s="6"/>
      <c r="R29" s="6"/>
      <c r="S29" s="6"/>
      <c r="T29" s="6"/>
      <c r="U29" s="6"/>
      <c r="V29" s="6"/>
      <c r="W29" s="6" t="s">
        <v>218</v>
      </c>
      <c r="X29" s="6" t="s">
        <v>218</v>
      </c>
      <c r="CQ29" s="6" t="s">
        <v>218</v>
      </c>
      <c r="CR29" s="6" t="s">
        <v>218</v>
      </c>
    </row>
    <row r="30" spans="1:96" ht="40.049999999999997" customHeight="1" x14ac:dyDescent="0.3">
      <c r="A30" s="45" t="str">
        <v>Daily</v>
      </c>
      <c r="B30" s="80" t="str">
        <v>n/a</v>
      </c>
      <c r="C30" s="78">
        <v>46246</v>
      </c>
      <c r="D30" s="15">
        <v>25</v>
      </c>
      <c r="E30" s="16">
        <v>0.61597222222222225</v>
      </c>
      <c r="F30" s="29" t="s">
        <v>118</v>
      </c>
      <c r="G30" s="17">
        <v>1000</v>
      </c>
      <c r="H30" s="115" t="s">
        <v>166</v>
      </c>
      <c r="I30" s="113"/>
      <c r="J30" s="113"/>
      <c r="K30" s="7"/>
      <c r="L30" s="18"/>
      <c r="M30" s="17"/>
      <c r="N30" s="17"/>
      <c r="O30" s="68"/>
      <c r="P30" s="68"/>
      <c r="Q30" s="6"/>
      <c r="R30" s="6"/>
      <c r="S30" s="6"/>
      <c r="T30" s="6"/>
      <c r="U30" s="6"/>
      <c r="V30" s="6"/>
      <c r="W30" s="6" t="s">
        <v>218</v>
      </c>
      <c r="X30" s="6" t="s">
        <v>218</v>
      </c>
      <c r="CQ30" s="6" t="s">
        <v>218</v>
      </c>
      <c r="CR30" s="6" t="s">
        <v>218</v>
      </c>
    </row>
    <row r="31" spans="1:96" ht="40.049999999999997" customHeight="1" x14ac:dyDescent="0.3">
      <c r="A31" s="45" t="str">
        <v>Trial</v>
      </c>
      <c r="B31" s="80" t="str">
        <v>Wand-Wave-A1</v>
      </c>
      <c r="C31" s="78">
        <v>46245</v>
      </c>
      <c r="D31" s="15">
        <v>24</v>
      </c>
      <c r="E31" s="16">
        <v>0.47361111111111109</v>
      </c>
      <c r="F31" s="29" t="s">
        <v>51</v>
      </c>
      <c r="G31" s="17">
        <v>1000</v>
      </c>
      <c r="H31" s="53" t="s">
        <v>172</v>
      </c>
      <c r="I31" s="56" t="s">
        <v>148</v>
      </c>
      <c r="J31" s="56" t="s">
        <v>171</v>
      </c>
      <c r="K31" s="60"/>
      <c r="L31" s="18"/>
      <c r="M31" s="17"/>
      <c r="N31" s="17"/>
      <c r="O31" s="68"/>
      <c r="P31" s="68"/>
      <c r="Q31" s="6"/>
      <c r="R31" s="6"/>
      <c r="S31" s="6"/>
      <c r="T31" s="6"/>
      <c r="U31" s="6"/>
      <c r="V31" s="6"/>
      <c r="W31" s="6" t="s">
        <v>218</v>
      </c>
      <c r="X31" s="6" t="s">
        <v>218</v>
      </c>
      <c r="CQ31" s="6" t="s">
        <v>218</v>
      </c>
      <c r="CR31" s="6" t="s">
        <v>218</v>
      </c>
    </row>
    <row r="32" spans="1:96" ht="40.049999999999997" customHeight="1" x14ac:dyDescent="0.3">
      <c r="A32" s="45" t="str">
        <v>Trial</v>
      </c>
      <c r="B32" s="80" t="str">
        <v>Wand-Wave-A2</v>
      </c>
      <c r="C32" s="78">
        <v>46245</v>
      </c>
      <c r="D32" s="15">
        <v>24</v>
      </c>
      <c r="E32" s="16">
        <v>0.48472222222222222</v>
      </c>
      <c r="F32" s="29" t="s">
        <v>51</v>
      </c>
      <c r="G32" s="17">
        <v>1000</v>
      </c>
      <c r="I32" s="60"/>
      <c r="J32" s="56"/>
      <c r="L32" s="18"/>
      <c r="M32" s="17"/>
      <c r="N32" s="17"/>
      <c r="O32" s="68"/>
      <c r="P32" s="68"/>
      <c r="Q32" s="6"/>
      <c r="R32" s="6"/>
      <c r="S32" s="6"/>
      <c r="T32" s="6"/>
      <c r="U32" s="6"/>
      <c r="V32" s="6"/>
      <c r="W32" s="6" t="s">
        <v>218</v>
      </c>
      <c r="X32" s="6" t="s">
        <v>218</v>
      </c>
      <c r="CQ32" s="6" t="s">
        <v>218</v>
      </c>
      <c r="CR32" s="6" t="s">
        <v>218</v>
      </c>
    </row>
    <row r="33" spans="1:96" ht="40.049999999999997" customHeight="1" x14ac:dyDescent="0.3">
      <c r="A33" s="45" t="str">
        <v>Trial</v>
      </c>
      <c r="B33" s="80" t="str">
        <v>Wand-Wave-A3</v>
      </c>
      <c r="C33" s="78">
        <v>46245</v>
      </c>
      <c r="D33" s="15">
        <v>24</v>
      </c>
      <c r="E33" s="16">
        <v>0.49513888888888891</v>
      </c>
      <c r="F33" s="29" t="s">
        <v>51</v>
      </c>
      <c r="G33" s="17">
        <v>1000</v>
      </c>
      <c r="I33" s="60"/>
      <c r="J33" s="56"/>
      <c r="L33" s="18"/>
      <c r="M33" s="17"/>
      <c r="N33" s="17"/>
      <c r="O33" s="68"/>
      <c r="P33" s="68"/>
      <c r="Q33" s="6"/>
      <c r="R33" s="6"/>
      <c r="S33" s="6"/>
      <c r="T33" s="6"/>
      <c r="U33" s="6"/>
      <c r="V33" s="6"/>
      <c r="W33" s="6" t="s">
        <v>218</v>
      </c>
      <c r="X33" s="6" t="s">
        <v>218</v>
      </c>
      <c r="CQ33" s="6" t="s">
        <v>218</v>
      </c>
      <c r="CR33" s="6" t="s">
        <v>218</v>
      </c>
    </row>
    <row r="34" spans="1:96" ht="40.049999999999997" customHeight="1" x14ac:dyDescent="0.3">
      <c r="A34" s="45" t="str">
        <v>Trial</v>
      </c>
      <c r="B34" s="80" t="str">
        <v>Wand-Wave-A4</v>
      </c>
      <c r="C34" s="78">
        <v>46246</v>
      </c>
      <c r="D34" s="15">
        <v>25</v>
      </c>
      <c r="E34" s="16">
        <v>0.46180555555555558</v>
      </c>
      <c r="F34" s="29" t="s">
        <v>51</v>
      </c>
      <c r="G34" s="17">
        <v>1000</v>
      </c>
      <c r="I34" s="61">
        <v>5.8333333333333334E-2</v>
      </c>
      <c r="J34" s="56"/>
      <c r="L34" s="18"/>
      <c r="M34" s="17"/>
      <c r="N34" s="17"/>
      <c r="O34" s="68"/>
      <c r="P34" s="68"/>
      <c r="Q34" s="6"/>
      <c r="R34" s="6"/>
      <c r="S34" s="6"/>
      <c r="T34" s="6"/>
      <c r="U34" s="6"/>
      <c r="V34" s="6"/>
      <c r="W34" s="6" t="s">
        <v>218</v>
      </c>
      <c r="X34" s="6" t="s">
        <v>218</v>
      </c>
      <c r="CQ34" s="6" t="s">
        <v>218</v>
      </c>
      <c r="CR34" s="6" t="s">
        <v>218</v>
      </c>
    </row>
    <row r="35" spans="1:96" ht="40.049999999999997" customHeight="1" x14ac:dyDescent="0.3">
      <c r="A35" s="45" t="str">
        <v>Trial</v>
      </c>
      <c r="B35" s="80" t="str">
        <v>Wand-Wave-B1</v>
      </c>
      <c r="C35" s="78">
        <v>46245</v>
      </c>
      <c r="D35" s="15">
        <v>24</v>
      </c>
      <c r="E35" s="16">
        <v>0.52152777777777781</v>
      </c>
      <c r="F35" s="29" t="s">
        <v>52</v>
      </c>
      <c r="G35" s="17">
        <v>1000</v>
      </c>
      <c r="I35" s="60"/>
      <c r="J35" s="113"/>
      <c r="L35" s="18"/>
      <c r="M35" s="17"/>
      <c r="N35" s="17"/>
      <c r="O35" s="68"/>
      <c r="P35" s="68"/>
      <c r="Q35" s="6"/>
      <c r="R35" s="6"/>
      <c r="S35" s="6"/>
      <c r="T35" s="6"/>
      <c r="U35" s="6"/>
      <c r="V35" s="6"/>
      <c r="W35" s="6" t="s">
        <v>218</v>
      </c>
      <c r="X35" s="6" t="s">
        <v>218</v>
      </c>
      <c r="CQ35" s="6" t="s">
        <v>218</v>
      </c>
      <c r="CR35" s="6" t="s">
        <v>218</v>
      </c>
    </row>
    <row r="36" spans="1:96" ht="40.049999999999997" customHeight="1" x14ac:dyDescent="0.3">
      <c r="A36" s="45" t="str">
        <v>Trial</v>
      </c>
      <c r="B36" s="80" t="str">
        <v>Wand-Wave-B2</v>
      </c>
      <c r="C36" s="78">
        <v>46245</v>
      </c>
      <c r="D36" s="15">
        <v>24</v>
      </c>
      <c r="E36" s="16">
        <v>0.52430555555555558</v>
      </c>
      <c r="F36" s="29" t="s">
        <v>52</v>
      </c>
      <c r="G36" s="17">
        <v>1000</v>
      </c>
      <c r="I36" s="60"/>
      <c r="J36" s="113"/>
      <c r="L36" s="18"/>
      <c r="M36" s="17"/>
      <c r="N36" s="17"/>
      <c r="O36" s="68"/>
      <c r="P36" s="68"/>
      <c r="Q36" s="6"/>
      <c r="R36" s="6"/>
      <c r="S36" s="6"/>
      <c r="T36" s="6"/>
      <c r="U36" s="6"/>
      <c r="V36" s="6"/>
      <c r="W36" s="6" t="s">
        <v>218</v>
      </c>
      <c r="X36" s="6" t="s">
        <v>218</v>
      </c>
      <c r="CQ36" s="6" t="s">
        <v>218</v>
      </c>
      <c r="CR36" s="6" t="s">
        <v>218</v>
      </c>
    </row>
    <row r="37" spans="1:96" ht="40.049999999999997" customHeight="1" x14ac:dyDescent="0.3">
      <c r="A37" s="45" t="str">
        <v>Trial</v>
      </c>
      <c r="B37" s="80" t="str">
        <v>Wand-Wave-B3</v>
      </c>
      <c r="C37" s="78">
        <v>46245</v>
      </c>
      <c r="D37" s="15">
        <v>24</v>
      </c>
      <c r="E37" s="16">
        <v>0.56666666666666665</v>
      </c>
      <c r="F37" s="29" t="s">
        <v>52</v>
      </c>
      <c r="G37" s="17">
        <v>1000</v>
      </c>
      <c r="I37" s="60"/>
      <c r="J37" s="113"/>
      <c r="L37" s="18"/>
      <c r="M37" s="17"/>
      <c r="N37" s="17"/>
      <c r="O37" s="68"/>
      <c r="P37" s="68"/>
      <c r="Q37" s="6"/>
      <c r="R37" s="6"/>
      <c r="S37" s="6"/>
      <c r="T37" s="6"/>
      <c r="U37" s="6"/>
      <c r="V37" s="6"/>
      <c r="W37" s="6" t="s">
        <v>218</v>
      </c>
      <c r="X37" s="6" t="s">
        <v>218</v>
      </c>
      <c r="CQ37" s="6" t="s">
        <v>218</v>
      </c>
      <c r="CR37" s="6" t="s">
        <v>218</v>
      </c>
    </row>
    <row r="38" spans="1:96" ht="40.049999999999997" customHeight="1" x14ac:dyDescent="0.3">
      <c r="A38" s="45" t="str">
        <v>Trial</v>
      </c>
      <c r="B38" s="80" t="str">
        <v>Wand-Wave-B4</v>
      </c>
      <c r="C38" s="78">
        <v>46246</v>
      </c>
      <c r="D38" s="15">
        <v>25</v>
      </c>
      <c r="E38" s="16">
        <v>0.46736111111111112</v>
      </c>
      <c r="F38" s="29" t="s">
        <v>52</v>
      </c>
      <c r="G38" s="17">
        <v>1000</v>
      </c>
      <c r="I38" s="61">
        <v>6.5972222222222224E-2</v>
      </c>
      <c r="J38" s="113"/>
      <c r="L38" s="18"/>
      <c r="M38" s="17"/>
      <c r="N38" s="17"/>
      <c r="O38" s="68"/>
      <c r="P38" s="68"/>
      <c r="Q38" s="6"/>
      <c r="R38" s="6"/>
      <c r="S38" s="6"/>
      <c r="T38" s="6"/>
      <c r="U38" s="6"/>
      <c r="V38" s="6"/>
      <c r="W38" s="6" t="s">
        <v>218</v>
      </c>
      <c r="X38" s="6" t="s">
        <v>218</v>
      </c>
      <c r="CQ38" s="6" t="s">
        <v>218</v>
      </c>
      <c r="CR38" s="6" t="s">
        <v>218</v>
      </c>
    </row>
    <row r="39" spans="1:96" ht="40.049999999999997" customHeight="1" x14ac:dyDescent="0.3">
      <c r="A39" s="45" t="str">
        <v>Trial</v>
      </c>
      <c r="B39" s="80" t="str">
        <v>Wand-Wave-C1</v>
      </c>
      <c r="C39" s="78">
        <v>46245</v>
      </c>
      <c r="D39" s="15">
        <v>24</v>
      </c>
      <c r="E39" s="16">
        <v>0.57430555555555551</v>
      </c>
      <c r="F39" s="29" t="s">
        <v>54</v>
      </c>
      <c r="G39" s="17">
        <v>1000</v>
      </c>
      <c r="I39" s="60"/>
      <c r="J39" s="113"/>
      <c r="L39" s="18"/>
      <c r="M39" s="17"/>
      <c r="N39" s="17"/>
      <c r="O39" s="68"/>
      <c r="P39" s="68"/>
      <c r="Q39" s="6"/>
      <c r="R39" s="6"/>
      <c r="S39" s="6"/>
      <c r="T39" s="6"/>
      <c r="U39" s="6"/>
      <c r="V39" s="6"/>
      <c r="W39" s="6" t="s">
        <v>218</v>
      </c>
      <c r="X39" s="6" t="s">
        <v>218</v>
      </c>
      <c r="CQ39" s="6" t="s">
        <v>218</v>
      </c>
      <c r="CR39" s="6" t="s">
        <v>218</v>
      </c>
    </row>
    <row r="40" spans="1:96" ht="40.049999999999997" customHeight="1" x14ac:dyDescent="0.3">
      <c r="A40" s="45" t="str">
        <v>Trial</v>
      </c>
      <c r="B40" s="80" t="str">
        <v>Wand-Wave-C2</v>
      </c>
      <c r="C40" s="78">
        <v>46245</v>
      </c>
      <c r="D40" s="15">
        <v>24</v>
      </c>
      <c r="E40" s="16">
        <v>0.57777777777777772</v>
      </c>
      <c r="F40" s="29" t="s">
        <v>54</v>
      </c>
      <c r="G40" s="17">
        <v>1000</v>
      </c>
      <c r="I40" s="60"/>
      <c r="J40" s="113"/>
      <c r="L40" s="18"/>
      <c r="M40" s="17"/>
      <c r="N40" s="17"/>
      <c r="O40" s="68"/>
      <c r="P40" s="68"/>
      <c r="Q40" s="6"/>
      <c r="R40" s="6"/>
      <c r="S40" s="6"/>
      <c r="T40" s="6"/>
      <c r="U40" s="6"/>
      <c r="V40" s="6"/>
      <c r="W40" s="6" t="s">
        <v>218</v>
      </c>
      <c r="X40" s="6" t="s">
        <v>218</v>
      </c>
      <c r="CQ40" s="6" t="s">
        <v>218</v>
      </c>
      <c r="CR40" s="6" t="s">
        <v>218</v>
      </c>
    </row>
    <row r="41" spans="1:96" ht="40.049999999999997" customHeight="1" x14ac:dyDescent="0.3">
      <c r="A41" s="45" t="str">
        <v>Trial</v>
      </c>
      <c r="B41" s="80" t="str">
        <v>Wand-Wave-C3</v>
      </c>
      <c r="C41" s="78">
        <v>46245</v>
      </c>
      <c r="D41" s="15">
        <v>24</v>
      </c>
      <c r="E41" s="16">
        <v>0.58263888888888893</v>
      </c>
      <c r="F41" s="29" t="s">
        <v>54</v>
      </c>
      <c r="G41" s="17">
        <v>1000</v>
      </c>
      <c r="I41" s="60"/>
      <c r="J41" s="113"/>
      <c r="L41" s="18"/>
      <c r="M41" s="17"/>
      <c r="N41" s="17"/>
      <c r="O41" s="68"/>
      <c r="P41" s="68"/>
      <c r="Q41" s="6"/>
      <c r="R41" s="6"/>
      <c r="S41" s="6"/>
      <c r="T41" s="6"/>
      <c r="U41" s="6"/>
      <c r="V41" s="6"/>
      <c r="W41" s="6" t="s">
        <v>218</v>
      </c>
      <c r="X41" s="6" t="s">
        <v>218</v>
      </c>
      <c r="CQ41" s="6" t="s">
        <v>218</v>
      </c>
      <c r="CR41" s="6" t="s">
        <v>218</v>
      </c>
    </row>
    <row r="42" spans="1:96" ht="40.049999999999997" customHeight="1" x14ac:dyDescent="0.3">
      <c r="A42" s="45" t="str">
        <v>Trial</v>
      </c>
      <c r="B42" s="80" t="str">
        <v>Wand-Wave-C4</v>
      </c>
      <c r="C42" s="78">
        <v>46246</v>
      </c>
      <c r="D42" s="15">
        <v>25</v>
      </c>
      <c r="E42" s="16">
        <v>0.56874999999999998</v>
      </c>
      <c r="F42" s="29" t="s">
        <v>54</v>
      </c>
      <c r="G42" s="17">
        <v>1000</v>
      </c>
      <c r="I42" s="61">
        <v>6.25E-2</v>
      </c>
      <c r="J42" s="113"/>
      <c r="L42" s="18"/>
      <c r="M42" s="17"/>
      <c r="N42" s="17"/>
      <c r="O42" s="68"/>
      <c r="P42" s="68"/>
      <c r="Q42" s="6"/>
      <c r="R42" s="6"/>
      <c r="S42" s="6"/>
      <c r="T42" s="6"/>
      <c r="U42" s="6"/>
      <c r="V42" s="6"/>
      <c r="W42" s="6" t="s">
        <v>218</v>
      </c>
      <c r="X42" s="6" t="s">
        <v>218</v>
      </c>
      <c r="CQ42" s="6" t="s">
        <v>218</v>
      </c>
      <c r="CR42" s="6" t="s">
        <v>218</v>
      </c>
    </row>
    <row r="43" spans="1:96" ht="40.049999999999997" customHeight="1" x14ac:dyDescent="0.3">
      <c r="A43" s="45" t="str">
        <v>Trial</v>
      </c>
      <c r="B43" s="80" t="str">
        <v>Wand-Wave-D1</v>
      </c>
      <c r="C43" s="78">
        <v>46245</v>
      </c>
      <c r="D43" s="15">
        <v>24</v>
      </c>
      <c r="E43" s="16">
        <v>0.58680555555555558</v>
      </c>
      <c r="F43" s="29" t="s">
        <v>114</v>
      </c>
      <c r="G43" s="17">
        <v>1000</v>
      </c>
      <c r="I43" s="60"/>
      <c r="J43" s="113"/>
      <c r="L43" s="18"/>
      <c r="M43" s="17"/>
      <c r="N43" s="17"/>
      <c r="O43" s="68"/>
      <c r="P43" s="68"/>
      <c r="Q43" s="6"/>
      <c r="R43" s="6"/>
      <c r="S43" s="6"/>
      <c r="T43" s="6"/>
      <c r="U43" s="6"/>
      <c r="V43" s="6"/>
      <c r="W43" s="6" t="s">
        <v>218</v>
      </c>
      <c r="X43" s="6" t="s">
        <v>218</v>
      </c>
      <c r="CQ43" s="6" t="s">
        <v>218</v>
      </c>
      <c r="CR43" s="6" t="s">
        <v>218</v>
      </c>
    </row>
    <row r="44" spans="1:96" ht="40.049999999999997" customHeight="1" x14ac:dyDescent="0.3">
      <c r="A44" s="45" t="str">
        <v>Trial</v>
      </c>
      <c r="B44" s="80" t="str">
        <v>Wand-Wave-D2</v>
      </c>
      <c r="C44" s="78">
        <v>46245</v>
      </c>
      <c r="D44" s="15">
        <v>24</v>
      </c>
      <c r="E44" s="16">
        <v>0.59027777777777779</v>
      </c>
      <c r="F44" s="29" t="s">
        <v>114</v>
      </c>
      <c r="G44" s="17">
        <v>1000</v>
      </c>
      <c r="I44" s="60"/>
      <c r="J44" s="113"/>
      <c r="L44" s="18"/>
      <c r="M44" s="17"/>
      <c r="N44" s="17"/>
      <c r="O44" s="68"/>
      <c r="P44" s="68"/>
      <c r="Q44" s="6"/>
      <c r="R44" s="6"/>
      <c r="S44" s="6"/>
      <c r="T44" s="6"/>
      <c r="U44" s="6"/>
      <c r="V44" s="6"/>
      <c r="W44" s="6" t="s">
        <v>218</v>
      </c>
      <c r="X44" s="6" t="s">
        <v>218</v>
      </c>
      <c r="CQ44" s="6" t="s">
        <v>218</v>
      </c>
      <c r="CR44" s="6" t="s">
        <v>218</v>
      </c>
    </row>
    <row r="45" spans="1:96" ht="40.049999999999997" customHeight="1" x14ac:dyDescent="0.3">
      <c r="A45" s="45" t="str">
        <v>Trial</v>
      </c>
      <c r="B45" s="80" t="str">
        <v>Wand-Wave-D3</v>
      </c>
      <c r="C45" s="78">
        <v>46245</v>
      </c>
      <c r="D45" s="15">
        <v>24</v>
      </c>
      <c r="E45" s="16">
        <v>0.59305555555555556</v>
      </c>
      <c r="F45" s="29" t="s">
        <v>114</v>
      </c>
      <c r="G45" s="17">
        <v>1000</v>
      </c>
      <c r="I45" s="60"/>
      <c r="J45" s="113"/>
      <c r="L45" s="18"/>
      <c r="M45" s="17"/>
      <c r="N45" s="17"/>
      <c r="O45" s="68"/>
      <c r="P45" s="68"/>
      <c r="Q45" s="6"/>
      <c r="R45" s="6"/>
      <c r="S45" s="6"/>
      <c r="T45" s="6"/>
      <c r="U45" s="6"/>
      <c r="V45" s="6"/>
      <c r="W45" s="6" t="s">
        <v>218</v>
      </c>
      <c r="X45" s="6" t="s">
        <v>218</v>
      </c>
      <c r="CQ45" s="6" t="s">
        <v>218</v>
      </c>
      <c r="CR45" s="6" t="s">
        <v>218</v>
      </c>
    </row>
    <row r="46" spans="1:96" ht="40.049999999999997" customHeight="1" x14ac:dyDescent="0.3">
      <c r="A46" s="45" t="str">
        <v>Trial</v>
      </c>
      <c r="B46" s="80" t="str">
        <v>Wand-Wave-D4</v>
      </c>
      <c r="C46" s="78">
        <v>46246</v>
      </c>
      <c r="D46" s="15">
        <v>25</v>
      </c>
      <c r="E46" s="16">
        <v>0.57430555555555551</v>
      </c>
      <c r="F46" s="29" t="s">
        <v>114</v>
      </c>
      <c r="G46" s="17">
        <v>1000</v>
      </c>
      <c r="I46" s="61">
        <v>3.4722222222222224E-2</v>
      </c>
      <c r="J46" s="113"/>
      <c r="L46" s="18"/>
      <c r="M46" s="17"/>
      <c r="N46" s="17"/>
      <c r="O46" s="68"/>
      <c r="P46" s="68"/>
      <c r="Q46" s="6"/>
      <c r="R46" s="6"/>
      <c r="S46" s="6"/>
      <c r="T46" s="6"/>
      <c r="U46" s="6"/>
      <c r="V46" s="6"/>
      <c r="W46" s="6" t="s">
        <v>218</v>
      </c>
      <c r="X46" s="6" t="s">
        <v>218</v>
      </c>
      <c r="CQ46" s="6" t="s">
        <v>218</v>
      </c>
      <c r="CR46" s="6" t="s">
        <v>218</v>
      </c>
    </row>
    <row r="47" spans="1:96" ht="40.049999999999997" customHeight="1" x14ac:dyDescent="0.3">
      <c r="A47" s="45" t="str">
        <v>Trial</v>
      </c>
      <c r="B47" s="80" t="str">
        <v>Wand-Wave-E1</v>
      </c>
      <c r="C47" s="78">
        <v>46245</v>
      </c>
      <c r="D47" s="15">
        <v>24</v>
      </c>
      <c r="E47" s="16">
        <v>0.59722222222222221</v>
      </c>
      <c r="F47" s="29" t="s">
        <v>115</v>
      </c>
      <c r="G47" s="17">
        <v>1000</v>
      </c>
      <c r="I47" s="60"/>
      <c r="J47" s="113"/>
      <c r="L47" s="18"/>
      <c r="M47" s="17"/>
      <c r="N47" s="17"/>
      <c r="O47" s="68"/>
      <c r="P47" s="68"/>
      <c r="Q47" s="6"/>
      <c r="R47" s="6"/>
      <c r="S47" s="6"/>
      <c r="T47" s="6"/>
      <c r="U47" s="6"/>
      <c r="V47" s="6"/>
      <c r="W47" s="6" t="s">
        <v>218</v>
      </c>
      <c r="X47" s="6" t="s">
        <v>218</v>
      </c>
      <c r="CQ47" s="6" t="s">
        <v>218</v>
      </c>
      <c r="CR47" s="6" t="s">
        <v>218</v>
      </c>
    </row>
    <row r="48" spans="1:96" ht="40.049999999999997" customHeight="1" x14ac:dyDescent="0.3">
      <c r="A48" s="45" t="str">
        <v>Trial</v>
      </c>
      <c r="B48" s="80" t="str">
        <v>Wand-Wave-E2</v>
      </c>
      <c r="C48" s="78">
        <v>46245</v>
      </c>
      <c r="D48" s="15">
        <v>24</v>
      </c>
      <c r="E48" s="16">
        <v>0.60138888888888886</v>
      </c>
      <c r="F48" s="29" t="s">
        <v>115</v>
      </c>
      <c r="G48" s="17">
        <v>1000</v>
      </c>
      <c r="I48" s="60"/>
      <c r="J48" s="113"/>
      <c r="L48" s="18"/>
      <c r="M48" s="17"/>
      <c r="N48" s="17"/>
      <c r="O48" s="68"/>
      <c r="P48" s="68"/>
      <c r="Q48" s="6"/>
      <c r="R48" s="6"/>
      <c r="S48" s="6"/>
      <c r="T48" s="6"/>
      <c r="U48" s="6"/>
      <c r="V48" s="6"/>
      <c r="W48" s="6" t="s">
        <v>218</v>
      </c>
      <c r="X48" s="6" t="s">
        <v>218</v>
      </c>
      <c r="CQ48" s="6" t="s">
        <v>218</v>
      </c>
      <c r="CR48" s="6" t="s">
        <v>218</v>
      </c>
    </row>
    <row r="49" spans="1:96" ht="40.049999999999997" customHeight="1" x14ac:dyDescent="0.3">
      <c r="A49" s="45" t="str">
        <v>Trial</v>
      </c>
      <c r="B49" s="80" t="str">
        <v>Wand-Wave-E3</v>
      </c>
      <c r="C49" s="78">
        <v>46245</v>
      </c>
      <c r="D49" s="15">
        <v>24</v>
      </c>
      <c r="E49" s="16">
        <v>0.60555555555555551</v>
      </c>
      <c r="F49" s="29" t="s">
        <v>115</v>
      </c>
      <c r="G49" s="17">
        <v>1000</v>
      </c>
      <c r="I49" s="60"/>
      <c r="J49" s="113"/>
      <c r="L49" s="18"/>
      <c r="M49" s="17"/>
      <c r="N49" s="17"/>
      <c r="O49" s="68"/>
      <c r="P49" s="68"/>
      <c r="Q49" s="6"/>
      <c r="R49" s="6"/>
      <c r="S49" s="6"/>
      <c r="T49" s="6"/>
      <c r="U49" s="6"/>
      <c r="V49" s="6"/>
      <c r="W49" s="6" t="s">
        <v>218</v>
      </c>
      <c r="X49" s="6" t="s">
        <v>218</v>
      </c>
      <c r="CQ49" s="6" t="s">
        <v>218</v>
      </c>
      <c r="CR49" s="6" t="s">
        <v>218</v>
      </c>
    </row>
    <row r="50" spans="1:96" ht="40.049999999999997" customHeight="1" x14ac:dyDescent="0.3">
      <c r="A50" s="45" t="str">
        <v>Trial</v>
      </c>
      <c r="B50" s="80" t="str">
        <v>Wand-Wave-E4</v>
      </c>
      <c r="C50" s="78">
        <v>46246</v>
      </c>
      <c r="D50" s="15">
        <v>25</v>
      </c>
      <c r="E50" s="16">
        <v>0.58125000000000004</v>
      </c>
      <c r="F50" s="29" t="s">
        <v>115</v>
      </c>
      <c r="G50" s="17">
        <v>1000</v>
      </c>
      <c r="I50" s="61">
        <v>4.6527777777777779E-2</v>
      </c>
      <c r="J50" s="113"/>
      <c r="L50" s="18"/>
      <c r="M50" s="17"/>
      <c r="N50" s="17"/>
      <c r="O50" s="68"/>
      <c r="P50" s="68"/>
      <c r="Q50" s="6"/>
      <c r="R50" s="6"/>
      <c r="S50" s="6"/>
      <c r="T50" s="6"/>
      <c r="U50" s="6"/>
      <c r="V50" s="6"/>
      <c r="W50" s="6" t="s">
        <v>218</v>
      </c>
      <c r="X50" s="6" t="s">
        <v>218</v>
      </c>
      <c r="CQ50" s="6" t="s">
        <v>218</v>
      </c>
      <c r="CR50" s="6" t="s">
        <v>218</v>
      </c>
    </row>
    <row r="51" spans="1:96" ht="40.049999999999997" customHeight="1" x14ac:dyDescent="0.3">
      <c r="A51" s="45" t="str">
        <v>Trial</v>
      </c>
      <c r="B51" s="80" t="str">
        <v>Wand-Wave-F1</v>
      </c>
      <c r="C51" s="78">
        <v>46246</v>
      </c>
      <c r="D51" s="15">
        <v>24.5</v>
      </c>
      <c r="E51" s="16">
        <v>0.46180555555555558</v>
      </c>
      <c r="F51" s="29" t="s">
        <v>117</v>
      </c>
      <c r="G51" s="17">
        <v>1000</v>
      </c>
      <c r="I51" s="60"/>
      <c r="J51" s="113"/>
      <c r="L51" s="18"/>
      <c r="M51" s="17"/>
      <c r="N51" s="17"/>
      <c r="O51" s="68"/>
      <c r="P51" s="68"/>
      <c r="Q51" s="6"/>
      <c r="R51" s="6"/>
      <c r="S51" s="6"/>
      <c r="T51" s="6"/>
      <c r="U51" s="6"/>
      <c r="V51" s="6"/>
      <c r="W51" s="6" t="s">
        <v>218</v>
      </c>
      <c r="X51" s="6" t="s">
        <v>218</v>
      </c>
      <c r="CQ51" s="6" t="s">
        <v>218</v>
      </c>
      <c r="CR51" s="6" t="s">
        <v>218</v>
      </c>
    </row>
    <row r="52" spans="1:96" ht="40.049999999999997" customHeight="1" x14ac:dyDescent="0.3">
      <c r="A52" s="45" t="str">
        <v>Trial</v>
      </c>
      <c r="B52" s="80" t="str">
        <v>Wand-Wave-F2</v>
      </c>
      <c r="C52" s="78">
        <v>46246</v>
      </c>
      <c r="D52" s="15">
        <v>24.5</v>
      </c>
      <c r="E52" s="16">
        <v>0.46736111111111112</v>
      </c>
      <c r="F52" s="29" t="s">
        <v>117</v>
      </c>
      <c r="G52" s="17">
        <v>1000</v>
      </c>
      <c r="I52" s="60"/>
      <c r="J52" s="113"/>
      <c r="L52" s="18"/>
      <c r="M52" s="17"/>
      <c r="N52" s="17"/>
      <c r="O52" s="68"/>
      <c r="P52" s="68"/>
      <c r="Q52" s="6"/>
      <c r="R52" s="6"/>
      <c r="S52" s="6"/>
      <c r="T52" s="6"/>
      <c r="U52" s="6"/>
      <c r="V52" s="6"/>
      <c r="W52" s="6" t="s">
        <v>218</v>
      </c>
      <c r="X52" s="6" t="s">
        <v>218</v>
      </c>
      <c r="CQ52" s="6" t="s">
        <v>218</v>
      </c>
      <c r="CR52" s="6" t="s">
        <v>218</v>
      </c>
    </row>
    <row r="53" spans="1:96" ht="40.049999999999997" customHeight="1" x14ac:dyDescent="0.3">
      <c r="A53" s="45" t="str">
        <v>Trial</v>
      </c>
      <c r="B53" s="80" t="str">
        <v>Wand-Wave-F3</v>
      </c>
      <c r="C53" s="78">
        <v>46246</v>
      </c>
      <c r="D53" s="15">
        <v>24.5</v>
      </c>
      <c r="E53" s="16">
        <v>0.53333333333333333</v>
      </c>
      <c r="F53" s="29" t="s">
        <v>117</v>
      </c>
      <c r="G53" s="17">
        <v>1000</v>
      </c>
      <c r="I53" s="61">
        <v>5.4166666666666669E-2</v>
      </c>
      <c r="J53" s="113"/>
      <c r="L53" s="18"/>
      <c r="M53" s="17"/>
      <c r="N53" s="17"/>
      <c r="O53" s="68"/>
      <c r="P53" s="68"/>
      <c r="Q53" s="6"/>
      <c r="R53" s="6"/>
      <c r="S53" s="6"/>
      <c r="T53" s="6"/>
      <c r="U53" s="6"/>
      <c r="V53" s="6"/>
      <c r="W53" s="6" t="s">
        <v>218</v>
      </c>
      <c r="X53" s="6" t="s">
        <v>218</v>
      </c>
      <c r="CQ53" s="6" t="s">
        <v>218</v>
      </c>
      <c r="CR53" s="6" t="s">
        <v>218</v>
      </c>
    </row>
    <row r="54" spans="1:96" ht="40.049999999999997" customHeight="1" x14ac:dyDescent="0.3">
      <c r="A54" s="45" t="str">
        <v>Trial</v>
      </c>
      <c r="B54" s="80" t="str">
        <v>Wand-Wave-F4</v>
      </c>
      <c r="C54" s="78">
        <v>46246</v>
      </c>
      <c r="D54" s="15">
        <v>25</v>
      </c>
      <c r="E54" s="16">
        <v>0.59166666666666667</v>
      </c>
      <c r="F54" s="29" t="s">
        <v>117</v>
      </c>
      <c r="G54" s="17">
        <v>1000</v>
      </c>
      <c r="I54" s="61">
        <v>5.347222222222222E-2</v>
      </c>
      <c r="J54" s="113"/>
      <c r="L54" s="18"/>
      <c r="M54" s="17"/>
      <c r="N54" s="17"/>
      <c r="O54" s="68"/>
      <c r="P54" s="68"/>
      <c r="Q54" s="6"/>
      <c r="R54" s="6"/>
      <c r="S54" s="6"/>
      <c r="T54" s="6"/>
      <c r="U54" s="6"/>
      <c r="V54" s="6"/>
      <c r="W54" s="6" t="s">
        <v>218</v>
      </c>
      <c r="X54" s="6" t="s">
        <v>218</v>
      </c>
      <c r="CQ54" s="6" t="s">
        <v>218</v>
      </c>
      <c r="CR54" s="6" t="s">
        <v>218</v>
      </c>
    </row>
    <row r="55" spans="1:96" ht="40.049999999999997" customHeight="1" x14ac:dyDescent="0.3">
      <c r="A55" s="45" t="str">
        <v>Trial</v>
      </c>
      <c r="B55" s="80" t="str">
        <v>Wand-Wave-G1</v>
      </c>
      <c r="C55" s="78">
        <v>46246</v>
      </c>
      <c r="D55" s="15">
        <v>25</v>
      </c>
      <c r="E55" s="16">
        <v>0.54027777777777775</v>
      </c>
      <c r="F55" s="29" t="s">
        <v>118</v>
      </c>
      <c r="G55" s="17">
        <v>1000</v>
      </c>
      <c r="I55" s="60"/>
      <c r="J55" s="113"/>
      <c r="L55" s="18"/>
      <c r="M55" s="17"/>
      <c r="N55" s="17"/>
      <c r="O55" s="68"/>
      <c r="P55" s="68"/>
      <c r="Q55" s="6"/>
      <c r="R55" s="6"/>
      <c r="S55" s="6"/>
      <c r="T55" s="6"/>
      <c r="U55" s="6"/>
      <c r="V55" s="6"/>
      <c r="W55" s="6" t="s">
        <v>218</v>
      </c>
      <c r="X55" s="6" t="s">
        <v>218</v>
      </c>
      <c r="CQ55" s="6" t="s">
        <v>218</v>
      </c>
      <c r="CR55" s="6" t="s">
        <v>218</v>
      </c>
    </row>
    <row r="56" spans="1:96" ht="40.049999999999997" customHeight="1" x14ac:dyDescent="0.3">
      <c r="A56" s="45" t="str">
        <v>Trial</v>
      </c>
      <c r="B56" s="80" t="str">
        <v>Wand-Wave-G2</v>
      </c>
      <c r="C56" s="112">
        <v>46246</v>
      </c>
      <c r="D56" s="15">
        <v>25</v>
      </c>
      <c r="E56" s="16">
        <v>0.54513888888888884</v>
      </c>
      <c r="F56" s="29" t="s">
        <v>118</v>
      </c>
      <c r="G56" s="17">
        <v>1000</v>
      </c>
      <c r="H56" s="113"/>
      <c r="I56" s="60"/>
      <c r="J56" s="113"/>
      <c r="L56" s="18"/>
      <c r="M56" s="17"/>
      <c r="N56" s="17"/>
      <c r="O56" s="68"/>
      <c r="P56" s="68"/>
      <c r="Q56" s="6"/>
      <c r="R56" s="6"/>
      <c r="S56" s="6"/>
      <c r="T56" s="6"/>
      <c r="U56" s="6"/>
      <c r="V56" s="6"/>
      <c r="W56" s="6" t="s">
        <v>218</v>
      </c>
      <c r="X56" s="6" t="s">
        <v>218</v>
      </c>
      <c r="CQ56" s="6" t="s">
        <v>218</v>
      </c>
      <c r="CR56" s="6" t="s">
        <v>218</v>
      </c>
    </row>
    <row r="57" spans="1:96" ht="40.049999999999997" customHeight="1" x14ac:dyDescent="0.3">
      <c r="A57" s="45" t="str">
        <v>Trial</v>
      </c>
      <c r="B57" s="80" t="str">
        <v>Wand-Wave-G3</v>
      </c>
      <c r="C57" s="112">
        <v>46246</v>
      </c>
      <c r="D57" s="15">
        <v>25</v>
      </c>
      <c r="E57" s="16">
        <v>0.55208333333333337</v>
      </c>
      <c r="F57" s="29" t="s">
        <v>118</v>
      </c>
      <c r="G57" s="17">
        <v>1000</v>
      </c>
      <c r="H57" s="113"/>
      <c r="I57" s="61">
        <v>5.347222222222222E-2</v>
      </c>
      <c r="J57" s="113"/>
      <c r="L57" s="18"/>
      <c r="M57" s="17"/>
      <c r="N57" s="17"/>
      <c r="O57" s="68"/>
      <c r="P57" s="68"/>
      <c r="Q57" s="6"/>
      <c r="R57" s="6"/>
      <c r="S57" s="6"/>
      <c r="T57" s="6"/>
      <c r="U57" s="6"/>
      <c r="V57" s="6"/>
      <c r="W57" s="6" t="s">
        <v>218</v>
      </c>
      <c r="X57" s="6" t="s">
        <v>218</v>
      </c>
      <c r="CQ57" s="6" t="s">
        <v>218</v>
      </c>
      <c r="CR57" s="6" t="s">
        <v>218</v>
      </c>
    </row>
    <row r="58" spans="1:96" ht="40.049999999999997" customHeight="1" x14ac:dyDescent="0.3">
      <c r="A58" s="45" t="str">
        <v>Trial</v>
      </c>
      <c r="B58" s="80" t="str">
        <v>Wand-Wave-G4</v>
      </c>
      <c r="C58" s="112">
        <v>46246</v>
      </c>
      <c r="D58" s="15">
        <v>25</v>
      </c>
      <c r="E58" s="16">
        <v>0.59791666666666665</v>
      </c>
      <c r="F58" s="29" t="s">
        <v>118</v>
      </c>
      <c r="G58" s="17">
        <v>1000</v>
      </c>
      <c r="H58" s="113"/>
      <c r="I58" s="61">
        <v>5.347222222222222E-2</v>
      </c>
      <c r="J58" s="113"/>
      <c r="L58" s="18"/>
      <c r="M58" s="17"/>
      <c r="N58" s="17"/>
      <c r="O58" s="68"/>
      <c r="P58" s="68"/>
      <c r="Q58" s="6"/>
      <c r="R58" s="6"/>
      <c r="S58" s="6"/>
      <c r="T58" s="6"/>
      <c r="U58" s="6"/>
      <c r="V58" s="6"/>
      <c r="W58" s="6" t="s">
        <v>218</v>
      </c>
      <c r="X58" s="6" t="s">
        <v>218</v>
      </c>
      <c r="CQ58" s="6" t="s">
        <v>218</v>
      </c>
      <c r="CR58" s="6" t="s">
        <v>218</v>
      </c>
    </row>
    <row r="59" spans="1:96" ht="40.049999999999997" customHeight="1" x14ac:dyDescent="0.3">
      <c r="A59" s="45" t="str">
        <v>Daily</v>
      </c>
      <c r="B59" s="80" t="str">
        <v>n/a</v>
      </c>
      <c r="C59" s="112">
        <v>46247</v>
      </c>
      <c r="D59" s="15">
        <v>25.5</v>
      </c>
      <c r="E59" s="16">
        <v>0.48402777777777778</v>
      </c>
      <c r="F59" s="29" t="s">
        <v>117</v>
      </c>
      <c r="G59" s="17">
        <v>1000</v>
      </c>
      <c r="H59" s="115" t="s">
        <v>167</v>
      </c>
      <c r="I59" s="113" t="s">
        <v>228</v>
      </c>
      <c r="J59" s="113"/>
      <c r="K59" s="7"/>
      <c r="L59" s="18"/>
      <c r="M59" s="17"/>
      <c r="N59" s="17"/>
      <c r="O59" s="68"/>
      <c r="P59" s="68"/>
      <c r="Q59" s="6"/>
      <c r="R59" s="6"/>
      <c r="S59" s="6"/>
      <c r="T59" s="6"/>
      <c r="U59" s="6"/>
      <c r="V59" s="6"/>
      <c r="W59" s="6" t="s">
        <v>218</v>
      </c>
      <c r="X59" s="6" t="s">
        <v>218</v>
      </c>
      <c r="CQ59" s="6" t="s">
        <v>218</v>
      </c>
      <c r="CR59" s="6" t="s">
        <v>218</v>
      </c>
    </row>
    <row r="60" spans="1:96" ht="40.049999999999997" customHeight="1" x14ac:dyDescent="0.3">
      <c r="A60" s="45" t="str">
        <v>Error</v>
      </c>
      <c r="B60" s="80" t="str">
        <v>cannot-set-volume</v>
      </c>
      <c r="C60" s="112">
        <v>46248</v>
      </c>
      <c r="D60" s="15">
        <v>25.5</v>
      </c>
      <c r="E60" s="16">
        <v>0.48055555555555557</v>
      </c>
      <c r="F60" s="29" t="s">
        <v>178</v>
      </c>
      <c r="G60" s="17">
        <v>1000</v>
      </c>
      <c r="H60" s="55" t="s">
        <v>179</v>
      </c>
      <c r="I60" s="81" t="s">
        <v>181</v>
      </c>
      <c r="J60" s="81" t="s">
        <v>182</v>
      </c>
      <c r="K60" s="7"/>
      <c r="L60" s="18"/>
      <c r="M60" s="17"/>
      <c r="N60" s="17"/>
      <c r="O60" s="68"/>
      <c r="P60" s="68"/>
      <c r="Q60" s="6"/>
      <c r="R60" s="6"/>
      <c r="S60" s="6"/>
      <c r="T60" s="6"/>
      <c r="U60" s="6"/>
      <c r="V60" s="6"/>
      <c r="W60" s="6" t="s">
        <v>218</v>
      </c>
      <c r="X60" s="6" t="s">
        <v>218</v>
      </c>
      <c r="CQ60" s="6" t="s">
        <v>218</v>
      </c>
      <c r="CR60" s="6" t="s">
        <v>218</v>
      </c>
    </row>
    <row r="61" spans="1:96" ht="40.049999999999997" customHeight="1" x14ac:dyDescent="0.3">
      <c r="A61" s="45" t="str">
        <v>Daily</v>
      </c>
      <c r="B61" s="80" t="str">
        <v>n/a</v>
      </c>
      <c r="C61" s="112">
        <v>46248</v>
      </c>
      <c r="D61" s="15">
        <v>25.5</v>
      </c>
      <c r="E61" s="16">
        <v>0.48055555555555557</v>
      </c>
      <c r="F61" s="29" t="s">
        <v>178</v>
      </c>
      <c r="G61" s="17">
        <v>1000</v>
      </c>
      <c r="H61" s="116" t="s">
        <v>183</v>
      </c>
      <c r="I61" s="113" t="s">
        <v>229</v>
      </c>
      <c r="J61" s="113"/>
      <c r="K61" s="7"/>
      <c r="L61" s="18"/>
      <c r="M61" s="17"/>
      <c r="N61" s="17"/>
      <c r="O61" s="68"/>
      <c r="P61" s="68"/>
      <c r="Q61" s="6"/>
      <c r="R61" s="6"/>
      <c r="S61" s="6"/>
      <c r="T61" s="6"/>
      <c r="U61" s="6"/>
      <c r="V61" s="6"/>
      <c r="W61" s="6" t="s">
        <v>218</v>
      </c>
      <c r="X61" s="6" t="s">
        <v>218</v>
      </c>
      <c r="CQ61" s="6" t="s">
        <v>218</v>
      </c>
      <c r="CR61" s="6" t="s">
        <v>218</v>
      </c>
    </row>
    <row r="62" spans="1:96" ht="40.049999999999997" customHeight="1" x14ac:dyDescent="0.3">
      <c r="A62" s="45" t="str">
        <v>Daily</v>
      </c>
      <c r="B62" s="80" t="str">
        <v>pre-calibrate-1</v>
      </c>
      <c r="C62" s="112">
        <v>46251</v>
      </c>
      <c r="D62" s="15">
        <v>25</v>
      </c>
      <c r="E62" s="16">
        <v>0.71805555555555556</v>
      </c>
      <c r="F62" s="29" t="s">
        <v>187</v>
      </c>
      <c r="G62" s="17">
        <v>1000</v>
      </c>
      <c r="H62" s="113" t="s">
        <v>193</v>
      </c>
      <c r="I62" s="113" t="s">
        <v>233</v>
      </c>
      <c r="J62" s="113"/>
      <c r="K62" s="7"/>
      <c r="L62" s="18"/>
      <c r="M62" s="17"/>
      <c r="N62" s="17"/>
      <c r="O62" s="68"/>
      <c r="P62" s="68"/>
      <c r="Q62" s="6"/>
      <c r="R62" s="6"/>
      <c r="S62" s="6"/>
      <c r="T62" s="6"/>
      <c r="U62" s="6"/>
      <c r="V62" s="6"/>
      <c r="W62" s="6" t="s">
        <v>218</v>
      </c>
      <c r="X62" s="6" t="s">
        <v>218</v>
      </c>
      <c r="CQ62" s="6" t="s">
        <v>218</v>
      </c>
      <c r="CR62" s="6" t="s">
        <v>218</v>
      </c>
    </row>
    <row r="63" spans="1:96" ht="40.049999999999997" customHeight="1" x14ac:dyDescent="0.3">
      <c r="A63" s="45" t="str">
        <v>Daily</v>
      </c>
      <c r="B63" s="80" t="str">
        <v>pre-calibrate-2</v>
      </c>
      <c r="C63" s="112">
        <v>46251</v>
      </c>
      <c r="D63" s="15">
        <v>25</v>
      </c>
      <c r="E63" s="16">
        <v>0.72569444444444442</v>
      </c>
      <c r="F63" s="29" t="s">
        <v>187</v>
      </c>
      <c r="G63" s="17">
        <v>1000</v>
      </c>
      <c r="H63" s="113" t="s">
        <v>191</v>
      </c>
      <c r="I63" s="113" t="s">
        <v>232</v>
      </c>
      <c r="J63" s="113"/>
      <c r="K63" s="7"/>
      <c r="L63" s="18"/>
      <c r="M63" s="17"/>
      <c r="N63" s="17"/>
      <c r="O63" s="68"/>
      <c r="P63" s="68"/>
      <c r="Q63" s="6"/>
      <c r="R63" s="6"/>
      <c r="S63" s="6"/>
      <c r="T63" s="6"/>
      <c r="U63" s="6"/>
      <c r="V63" s="6"/>
      <c r="W63" s="6" t="s">
        <v>218</v>
      </c>
      <c r="X63" s="6" t="s">
        <v>218</v>
      </c>
      <c r="CQ63" s="6" t="s">
        <v>218</v>
      </c>
      <c r="CR63" s="6" t="s">
        <v>218</v>
      </c>
    </row>
    <row r="64" spans="1:96" ht="40.049999999999997" customHeight="1" x14ac:dyDescent="0.3">
      <c r="A64" s="45" t="str">
        <v>Daily</v>
      </c>
      <c r="B64" s="80" t="str">
        <v>n/a</v>
      </c>
      <c r="C64" s="112">
        <v>46251</v>
      </c>
      <c r="D64" s="15">
        <v>25</v>
      </c>
      <c r="E64" s="16">
        <v>0.7319444444444444</v>
      </c>
      <c r="F64" s="29" t="s">
        <v>187</v>
      </c>
      <c r="G64" s="17">
        <v>1000</v>
      </c>
      <c r="H64" s="113" t="s">
        <v>192</v>
      </c>
      <c r="I64" s="113" t="s">
        <v>234</v>
      </c>
      <c r="J64" s="113"/>
      <c r="K64" s="7"/>
      <c r="L64" s="18"/>
      <c r="M64" s="17"/>
      <c r="N64" s="17"/>
      <c r="O64" s="68"/>
      <c r="P64" s="68"/>
      <c r="Q64" s="6"/>
      <c r="R64" s="6"/>
      <c r="S64" s="6"/>
      <c r="T64" s="6"/>
      <c r="U64" s="6"/>
      <c r="V64" s="6"/>
      <c r="W64" s="6" t="s">
        <v>218</v>
      </c>
      <c r="X64" s="6" t="s">
        <v>218</v>
      </c>
      <c r="CQ64" s="6" t="s">
        <v>218</v>
      </c>
      <c r="CR64" s="6" t="s">
        <v>218</v>
      </c>
    </row>
    <row r="65" spans="1:96" ht="40.049999999999997" customHeight="1" x14ac:dyDescent="0.3">
      <c r="A65" s="45" t="str">
        <v>Daily</v>
      </c>
      <c r="B65" s="80" t="str">
        <v>n/a</v>
      </c>
      <c r="C65" s="112">
        <v>46252</v>
      </c>
      <c r="D65" s="15">
        <v>25</v>
      </c>
      <c r="E65" s="16">
        <v>0.75416666666666665</v>
      </c>
      <c r="F65" s="29" t="s">
        <v>187</v>
      </c>
      <c r="G65" s="17">
        <v>1000</v>
      </c>
      <c r="H65" s="113" t="s">
        <v>194</v>
      </c>
      <c r="I65" s="113" t="s">
        <v>230</v>
      </c>
      <c r="J65" s="113"/>
      <c r="K65" s="7"/>
      <c r="L65" s="18"/>
      <c r="M65" s="17"/>
      <c r="N65" s="17"/>
      <c r="O65" s="68"/>
      <c r="P65" s="68"/>
      <c r="Q65" s="6"/>
      <c r="R65" s="6"/>
      <c r="S65" s="6"/>
      <c r="T65" s="6"/>
      <c r="U65" s="6"/>
      <c r="V65" s="6"/>
      <c r="W65" s="6" t="s">
        <v>218</v>
      </c>
      <c r="X65" s="6" t="s">
        <v>218</v>
      </c>
      <c r="CQ65" s="6" t="s">
        <v>218</v>
      </c>
      <c r="CR65" s="6" t="s">
        <v>218</v>
      </c>
    </row>
    <row r="66" spans="1:96" ht="40.049999999999997" customHeight="1" x14ac:dyDescent="0.3">
      <c r="A66" s="45" t="str">
        <v>Daily</v>
      </c>
      <c r="B66" s="80" t="str">
        <v>n/a</v>
      </c>
      <c r="C66" s="112">
        <v>46253</v>
      </c>
      <c r="D66" s="15">
        <v>24.5</v>
      </c>
      <c r="E66" s="16">
        <v>0.85138888888888886</v>
      </c>
      <c r="F66" s="29" t="s">
        <v>114</v>
      </c>
      <c r="G66" s="17">
        <v>1000</v>
      </c>
      <c r="H66" s="113" t="s">
        <v>198</v>
      </c>
      <c r="I66" s="113" t="s">
        <v>231</v>
      </c>
      <c r="J66" s="113"/>
      <c r="K66" s="7"/>
      <c r="L66" s="18"/>
      <c r="M66" s="17"/>
      <c r="N66" s="17"/>
      <c r="O66" s="68"/>
      <c r="P66" s="68"/>
      <c r="Q66" s="6"/>
      <c r="R66" s="6"/>
      <c r="S66" s="6"/>
      <c r="T66" s="6"/>
      <c r="U66" s="6"/>
      <c r="V66" s="6"/>
      <c r="W66" s="6" t="s">
        <v>218</v>
      </c>
      <c r="X66" s="6" t="s">
        <v>218</v>
      </c>
      <c r="CQ66" s="6" t="s">
        <v>218</v>
      </c>
      <c r="CR66" s="6" t="s">
        <v>218</v>
      </c>
    </row>
    <row r="67" spans="1:96" ht="40.049999999999997" customHeight="1" x14ac:dyDescent="0.3">
      <c r="A67" s="45" t="str">
        <v>Error</v>
      </c>
      <c r="B67" s="80" t="str">
        <v>20/08-error1</v>
      </c>
      <c r="C67" s="112">
        <v>46254</v>
      </c>
      <c r="D67" s="15">
        <v>24.5</v>
      </c>
      <c r="E67" s="16">
        <v>0.77361111111111114</v>
      </c>
      <c r="F67" s="29" t="s">
        <v>115</v>
      </c>
      <c r="G67" s="17">
        <v>1000</v>
      </c>
      <c r="H67" s="53" t="s">
        <v>195</v>
      </c>
      <c r="I67" s="53" t="s">
        <v>200</v>
      </c>
      <c r="J67" s="53" t="s">
        <v>196</v>
      </c>
      <c r="K67" s="7"/>
      <c r="L67" s="18"/>
      <c r="M67" s="17"/>
      <c r="N67" s="17"/>
      <c r="O67" s="68"/>
      <c r="P67" s="68"/>
      <c r="Q67" s="6"/>
      <c r="R67" s="6"/>
      <c r="S67" s="6"/>
      <c r="T67" s="6"/>
      <c r="U67" s="6"/>
      <c r="V67" s="6"/>
      <c r="W67" s="6" t="s">
        <v>218</v>
      </c>
      <c r="X67" s="6" t="s">
        <v>218</v>
      </c>
      <c r="CQ67" s="6" t="s">
        <v>218</v>
      </c>
      <c r="CR67" s="6" t="s">
        <v>218</v>
      </c>
    </row>
    <row r="68" spans="1:96" ht="40.049999999999997" customHeight="1" x14ac:dyDescent="0.3">
      <c r="A68" s="45" t="str">
        <v>Daily</v>
      </c>
      <c r="B68" s="80" t="str">
        <v>n/a</v>
      </c>
      <c r="C68" s="112">
        <v>46254</v>
      </c>
      <c r="D68" s="15">
        <v>24.5</v>
      </c>
      <c r="E68" s="16">
        <v>0.78680555555555554</v>
      </c>
      <c r="F68" s="29" t="s">
        <v>178</v>
      </c>
      <c r="G68" s="17">
        <v>1000</v>
      </c>
      <c r="H68" s="113" t="s">
        <v>199</v>
      </c>
      <c r="I68" s="113" t="s">
        <v>235</v>
      </c>
      <c r="J68" s="113"/>
      <c r="K68" s="7"/>
      <c r="L68" s="18"/>
      <c r="M68" s="17"/>
      <c r="N68" s="17"/>
      <c r="O68" s="68"/>
      <c r="P68" s="68"/>
      <c r="Q68" s="6"/>
      <c r="R68" s="6"/>
      <c r="S68" s="6"/>
      <c r="T68" s="6"/>
      <c r="U68" s="6"/>
      <c r="V68" s="6"/>
      <c r="W68" s="6" t="s">
        <v>218</v>
      </c>
      <c r="X68" s="6" t="s">
        <v>218</v>
      </c>
      <c r="CQ68" s="6" t="s">
        <v>218</v>
      </c>
      <c r="CR68" s="6" t="s">
        <v>218</v>
      </c>
    </row>
    <row r="69" spans="1:96" ht="40.049999999999997" customHeight="1" x14ac:dyDescent="0.3">
      <c r="A69" s="45" t="str">
        <v>Trial</v>
      </c>
      <c r="B69" s="80" t="str">
        <v>speed_cam11_slow_1</v>
      </c>
      <c r="C69" s="112">
        <v>46253</v>
      </c>
      <c r="D69" s="15">
        <v>24.5</v>
      </c>
      <c r="E69" s="16">
        <v>0.86041666666666672</v>
      </c>
      <c r="F69" s="29" t="s">
        <v>118</v>
      </c>
      <c r="G69" s="17">
        <v>1000</v>
      </c>
      <c r="I69" s="83" t="s">
        <v>214</v>
      </c>
      <c r="J69" s="83" t="s">
        <v>213</v>
      </c>
      <c r="K69" s="7"/>
      <c r="L69" s="18"/>
      <c r="M69" s="17"/>
      <c r="N69" s="17"/>
      <c r="O69" s="68"/>
      <c r="P69" s="68"/>
      <c r="Q69" s="6"/>
      <c r="R69" s="6"/>
      <c r="S69" s="6"/>
      <c r="T69" s="6"/>
      <c r="U69" s="6"/>
      <c r="V69" s="6"/>
      <c r="W69" s="6" t="s">
        <v>218</v>
      </c>
      <c r="X69" s="6" t="s">
        <v>218</v>
      </c>
      <c r="CQ69" s="6" t="s">
        <v>218</v>
      </c>
      <c r="CR69" s="6" t="s">
        <v>218</v>
      </c>
    </row>
    <row r="70" spans="1:96" ht="40.049999999999997" customHeight="1" x14ac:dyDescent="0.3">
      <c r="A70" s="45" t="str">
        <v>Trial</v>
      </c>
      <c r="B70" s="80" t="str">
        <v>speed_cam11_slow_2</v>
      </c>
      <c r="C70" s="112">
        <v>46253</v>
      </c>
      <c r="D70" s="15">
        <v>24.5</v>
      </c>
      <c r="E70" s="16">
        <v>0.86111111111111116</v>
      </c>
      <c r="F70" s="29" t="s">
        <v>118</v>
      </c>
      <c r="G70" s="17">
        <v>1000</v>
      </c>
      <c r="H70" s="113"/>
      <c r="I70" s="83" t="s">
        <v>215</v>
      </c>
      <c r="J70" s="113"/>
      <c r="K70" s="7"/>
      <c r="L70" s="18"/>
      <c r="M70" s="17"/>
      <c r="N70" s="17"/>
      <c r="O70" s="68"/>
      <c r="P70" s="68"/>
      <c r="Q70" s="6"/>
      <c r="R70" s="6"/>
      <c r="S70" s="6"/>
      <c r="T70" s="6"/>
      <c r="U70" s="6"/>
      <c r="V70" s="6"/>
      <c r="W70" s="6" t="s">
        <v>218</v>
      </c>
      <c r="X70" s="6" t="s">
        <v>218</v>
      </c>
      <c r="CQ70" s="6" t="s">
        <v>218</v>
      </c>
      <c r="CR70" s="6" t="s">
        <v>218</v>
      </c>
    </row>
    <row r="71" spans="1:96" ht="40.049999999999997" customHeight="1" x14ac:dyDescent="0.3">
      <c r="A71" s="45" t="str">
        <v>Trial</v>
      </c>
      <c r="B71" s="80" t="str">
        <v>speed_cam11_fast_1</v>
      </c>
      <c r="C71" s="112">
        <v>46253</v>
      </c>
      <c r="D71" s="15">
        <v>24.5</v>
      </c>
      <c r="E71" s="16">
        <v>0.86250000000000004</v>
      </c>
      <c r="F71" s="29" t="s">
        <v>118</v>
      </c>
      <c r="G71" s="17">
        <v>1000</v>
      </c>
      <c r="H71" s="113"/>
      <c r="I71" s="113"/>
      <c r="J71" s="113"/>
      <c r="K71" s="7"/>
      <c r="L71" s="18"/>
      <c r="M71" s="17"/>
      <c r="N71" s="17"/>
      <c r="O71" s="68"/>
      <c r="P71" s="68"/>
      <c r="Q71" s="6"/>
      <c r="R71" s="6"/>
      <c r="S71" s="6"/>
      <c r="T71" s="6"/>
      <c r="U71" s="6"/>
      <c r="V71" s="6"/>
      <c r="W71" s="6" t="s">
        <v>218</v>
      </c>
      <c r="X71" s="6" t="s">
        <v>218</v>
      </c>
      <c r="CQ71" s="6" t="s">
        <v>218</v>
      </c>
      <c r="CR71" s="6" t="s">
        <v>218</v>
      </c>
    </row>
    <row r="72" spans="1:96" ht="40.049999999999997" customHeight="1" x14ac:dyDescent="0.3">
      <c r="A72" s="45" t="str">
        <v>Trial</v>
      </c>
      <c r="B72" s="80" t="str">
        <v>speed_cam11_fast_2</v>
      </c>
      <c r="C72" s="112">
        <v>46253</v>
      </c>
      <c r="D72" s="15">
        <v>24.5</v>
      </c>
      <c r="E72" s="16">
        <v>0.86111111111111116</v>
      </c>
      <c r="F72" s="29" t="s">
        <v>118</v>
      </c>
      <c r="G72" s="17">
        <v>1000</v>
      </c>
      <c r="H72" s="113"/>
      <c r="I72" s="113"/>
      <c r="J72" s="113"/>
      <c r="K72" s="7"/>
      <c r="L72" s="18"/>
      <c r="M72" s="17"/>
      <c r="N72" s="17"/>
      <c r="O72" s="68"/>
      <c r="P72" s="68"/>
      <c r="Q72" s="6"/>
      <c r="R72" s="6"/>
      <c r="S72" s="6"/>
      <c r="T72" s="6"/>
      <c r="U72" s="6"/>
      <c r="V72" s="6"/>
      <c r="W72" s="6" t="s">
        <v>218</v>
      </c>
      <c r="X72" s="6" t="s">
        <v>218</v>
      </c>
      <c r="CQ72" s="6" t="s">
        <v>218</v>
      </c>
      <c r="CR72" s="6" t="s">
        <v>218</v>
      </c>
    </row>
    <row r="73" spans="1:96" ht="40.049999999999997" customHeight="1" x14ac:dyDescent="0.3">
      <c r="A73" s="45" t="str">
        <v>Trial</v>
      </c>
      <c r="B73" s="80" t="str">
        <v>speed_cam11_slow_3</v>
      </c>
      <c r="C73" s="112">
        <v>46253</v>
      </c>
      <c r="D73" s="15">
        <v>24.5</v>
      </c>
      <c r="E73" s="16">
        <v>0.8618055555555556</v>
      </c>
      <c r="F73" s="29" t="s">
        <v>118</v>
      </c>
      <c r="G73" s="17">
        <v>1000</v>
      </c>
      <c r="H73" s="113"/>
      <c r="I73" s="113"/>
      <c r="J73" s="113"/>
      <c r="K73" s="7"/>
      <c r="L73" s="18"/>
      <c r="M73" s="17"/>
      <c r="N73" s="17"/>
      <c r="O73" s="68"/>
      <c r="P73" s="68"/>
      <c r="Q73" s="6"/>
      <c r="R73" s="6"/>
      <c r="S73" s="6"/>
      <c r="T73" s="6"/>
      <c r="U73" s="6"/>
      <c r="V73" s="6"/>
      <c r="W73" s="6" t="s">
        <v>218</v>
      </c>
      <c r="X73" s="6" t="s">
        <v>218</v>
      </c>
      <c r="CQ73" s="6" t="s">
        <v>218</v>
      </c>
      <c r="CR73" s="6" t="s">
        <v>218</v>
      </c>
    </row>
    <row r="74" spans="1:96" ht="40.049999999999997" customHeight="1" x14ac:dyDescent="0.3">
      <c r="A74" s="45" t="str">
        <v>Trial</v>
      </c>
      <c r="B74" s="80" t="str">
        <v>speed_cam11_fast_3</v>
      </c>
      <c r="C74" s="112">
        <v>46253</v>
      </c>
      <c r="D74" s="15">
        <v>24.5</v>
      </c>
      <c r="E74" s="16">
        <v>0.86250000000000004</v>
      </c>
      <c r="F74" s="29" t="s">
        <v>118</v>
      </c>
      <c r="G74" s="17">
        <v>1000</v>
      </c>
      <c r="H74" s="113"/>
      <c r="I74" s="113"/>
      <c r="J74" s="113"/>
      <c r="K74" s="7"/>
      <c r="L74" s="18"/>
      <c r="M74" s="17"/>
      <c r="N74" s="17"/>
      <c r="O74" s="68"/>
      <c r="P74" s="68"/>
      <c r="Q74" s="6"/>
      <c r="R74" s="6"/>
      <c r="S74" s="6"/>
      <c r="T74" s="6"/>
      <c r="U74" s="6"/>
      <c r="V74" s="6"/>
      <c r="W74" s="6" t="s">
        <v>218</v>
      </c>
      <c r="X74" s="6" t="s">
        <v>218</v>
      </c>
      <c r="CQ74" s="6" t="s">
        <v>218</v>
      </c>
      <c r="CR74" s="6" t="s">
        <v>218</v>
      </c>
    </row>
    <row r="75" spans="1:96" ht="40.049999999999997" customHeight="1" x14ac:dyDescent="0.3">
      <c r="A75" s="45" t="str">
        <v>Error</v>
      </c>
      <c r="B75" s="80" t="str">
        <v>no-reset-grayscale-all</v>
      </c>
      <c r="C75" s="112">
        <v>46255</v>
      </c>
      <c r="D75" s="82">
        <v>0</v>
      </c>
      <c r="E75" s="16">
        <v>0.82291666666666663</v>
      </c>
      <c r="F75" s="29" t="s">
        <v>178</v>
      </c>
      <c r="G75" s="17">
        <v>1000</v>
      </c>
      <c r="H75" s="53" t="s">
        <v>201</v>
      </c>
      <c r="I75" s="53" t="s">
        <v>212</v>
      </c>
      <c r="J75" s="53" t="s">
        <v>237</v>
      </c>
      <c r="K75" s="7"/>
      <c r="L75" s="18"/>
      <c r="M75" s="17"/>
      <c r="N75" s="17"/>
      <c r="O75" s="68"/>
      <c r="P75" s="68"/>
      <c r="Q75" s="6"/>
      <c r="R75" s="6"/>
      <c r="S75" s="6"/>
      <c r="T75" s="6"/>
      <c r="U75" s="6"/>
      <c r="V75" s="6"/>
      <c r="W75" s="6" t="s">
        <v>218</v>
      </c>
      <c r="X75" s="6" t="s">
        <v>218</v>
      </c>
      <c r="CQ75" s="6" t="s">
        <v>218</v>
      </c>
      <c r="CR75" s="6" t="s">
        <v>218</v>
      </c>
    </row>
    <row r="76" spans="1:96" ht="40.049999999999997" customHeight="1" x14ac:dyDescent="0.3">
      <c r="A76" s="45" t="str">
        <v>Daily</v>
      </c>
      <c r="B76" s="80" t="str">
        <v>n/a</v>
      </c>
      <c r="C76" s="112">
        <v>46255</v>
      </c>
      <c r="D76" s="82">
        <v>0</v>
      </c>
      <c r="E76" s="16">
        <v>0.82986111111111116</v>
      </c>
      <c r="F76" s="29" t="s">
        <v>178</v>
      </c>
      <c r="G76" s="17">
        <v>1000</v>
      </c>
      <c r="H76" s="113" t="s">
        <v>210</v>
      </c>
      <c r="I76" s="113" t="s">
        <v>236</v>
      </c>
      <c r="J76" s="113"/>
      <c r="K76" s="7"/>
      <c r="L76" s="18"/>
      <c r="M76" s="17"/>
      <c r="N76" s="17"/>
      <c r="O76" s="68"/>
      <c r="P76" s="68"/>
      <c r="Q76" s="6"/>
      <c r="R76" s="6"/>
      <c r="S76" s="6"/>
      <c r="T76" s="6"/>
      <c r="U76" s="6"/>
      <c r="V76" s="6"/>
      <c r="W76" s="6" t="s">
        <v>218</v>
      </c>
      <c r="X76" s="6" t="s">
        <v>218</v>
      </c>
      <c r="CQ76" s="6" t="s">
        <v>218</v>
      </c>
      <c r="CR76" s="6" t="s">
        <v>218</v>
      </c>
    </row>
    <row r="77" spans="1:96" ht="40.049999999999997" customHeight="1" x14ac:dyDescent="0.3">
      <c r="A77" s="45" t="str">
        <v>Trial</v>
      </c>
      <c r="B77" s="80" t="str">
        <v>reflection-trial-2</v>
      </c>
      <c r="C77" s="112">
        <v>46255</v>
      </c>
      <c r="D77" s="82">
        <v>0</v>
      </c>
      <c r="E77" s="16">
        <v>0.84097222222222223</v>
      </c>
      <c r="F77" s="29" t="s">
        <v>178</v>
      </c>
      <c r="G77" s="17">
        <v>1000</v>
      </c>
      <c r="H77" s="53" t="s">
        <v>203</v>
      </c>
      <c r="I77" s="56" t="s">
        <v>202</v>
      </c>
      <c r="J77" s="113" t="s">
        <v>238</v>
      </c>
      <c r="K77" s="7"/>
      <c r="L77" s="18"/>
      <c r="M77" s="17"/>
      <c r="N77" s="17"/>
      <c r="O77" s="68"/>
      <c r="P77" s="68"/>
      <c r="Q77" s="6"/>
      <c r="R77" s="6"/>
      <c r="S77" s="6"/>
      <c r="T77" s="6"/>
      <c r="U77" s="6"/>
      <c r="V77" s="6"/>
      <c r="W77" s="6" t="s">
        <v>218</v>
      </c>
      <c r="X77" s="6" t="s">
        <v>218</v>
      </c>
      <c r="CQ77" s="6" t="s">
        <v>218</v>
      </c>
      <c r="CR77" s="6" t="s">
        <v>218</v>
      </c>
    </row>
    <row r="78" spans="1:96" ht="40.049999999999997" customHeight="1" x14ac:dyDescent="0.3">
      <c r="A78" s="45">
        <v>0</v>
      </c>
      <c r="B78" s="80" t="str">
        <v/>
      </c>
      <c r="C78" s="112">
        <v>0</v>
      </c>
      <c r="D78" s="15">
        <v>23</v>
      </c>
      <c r="E78" s="16">
        <v>0.67291666666666672</v>
      </c>
      <c r="F78" s="29" t="s">
        <v>114</v>
      </c>
      <c r="H78" s="113"/>
      <c r="I78" s="113"/>
      <c r="J78" s="113"/>
      <c r="K78" s="7"/>
      <c r="L78" s="18"/>
      <c r="M78" s="17"/>
      <c r="N78" s="17"/>
      <c r="O78" s="68"/>
      <c r="P78" s="68"/>
      <c r="Q78" s="6"/>
      <c r="R78" s="6"/>
      <c r="S78" s="6"/>
      <c r="T78" s="6"/>
      <c r="U78" s="6"/>
      <c r="V78" s="6"/>
      <c r="W78" s="6" t="s">
        <v>218</v>
      </c>
      <c r="X78" s="6" t="s">
        <v>218</v>
      </c>
      <c r="CQ78" s="6" t="s">
        <v>218</v>
      </c>
      <c r="CR78" s="6" t="s">
        <v>218</v>
      </c>
    </row>
    <row r="79" spans="1:96" ht="40.049999999999997" customHeight="1" x14ac:dyDescent="0.3">
      <c r="A79" s="45"/>
      <c r="B79" s="80"/>
      <c r="D79" s="15"/>
      <c r="E79" s="16"/>
      <c r="H79" s="113"/>
      <c r="I79" s="113"/>
      <c r="J79" s="113"/>
      <c r="K79" s="7"/>
      <c r="L79" s="18"/>
      <c r="M79" s="17"/>
      <c r="N79" s="17"/>
      <c r="O79" s="68"/>
      <c r="P79" s="68"/>
      <c r="Q79" s="6"/>
      <c r="R79" s="6"/>
      <c r="S79" s="6"/>
      <c r="T79" s="6"/>
      <c r="U79" s="6"/>
      <c r="V79" s="6"/>
      <c r="W79" s="6" t="s">
        <v>218</v>
      </c>
      <c r="X79" s="6" t="s">
        <v>218</v>
      </c>
      <c r="CQ79" s="6" t="s">
        <v>218</v>
      </c>
      <c r="CR79" s="6" t="s">
        <v>218</v>
      </c>
    </row>
    <row r="80" spans="1:96" ht="40.049999999999997" customHeight="1" x14ac:dyDescent="0.3">
      <c r="A80" s="45"/>
      <c r="B80" s="80"/>
      <c r="H80" s="113"/>
      <c r="I80" s="113"/>
      <c r="J80" s="113"/>
      <c r="K80" s="7"/>
      <c r="L80" s="18"/>
      <c r="M80" s="17"/>
      <c r="N80" s="17"/>
      <c r="O80" s="68"/>
      <c r="P80" s="68"/>
      <c r="Q80" s="6"/>
      <c r="R80" s="6"/>
      <c r="S80" s="6"/>
      <c r="T80" s="6"/>
      <c r="U80" s="6"/>
      <c r="V80" s="6"/>
      <c r="W80" s="6" t="s">
        <v>218</v>
      </c>
      <c r="X80" s="6" t="s">
        <v>218</v>
      </c>
      <c r="CQ80" s="6" t="s">
        <v>218</v>
      </c>
      <c r="CR80" s="6" t="s">
        <v>218</v>
      </c>
    </row>
    <row r="81" spans="1:96" ht="40.049999999999997" customHeight="1" x14ac:dyDescent="0.3">
      <c r="A81" s="45"/>
      <c r="B81" s="80"/>
      <c r="H81" s="113"/>
      <c r="I81" s="113"/>
      <c r="J81" s="113"/>
      <c r="K81" s="7"/>
      <c r="L81" s="18"/>
      <c r="M81" s="17"/>
      <c r="N81" s="17"/>
      <c r="O81" s="68"/>
      <c r="P81" s="68"/>
      <c r="Q81" s="6"/>
      <c r="R81" s="6"/>
      <c r="S81" s="6"/>
      <c r="T81" s="6"/>
      <c r="U81" s="6"/>
      <c r="V81" s="6"/>
      <c r="W81" s="6" t="s">
        <v>218</v>
      </c>
      <c r="X81" s="6" t="s">
        <v>218</v>
      </c>
      <c r="CQ81" s="6" t="s">
        <v>218</v>
      </c>
      <c r="CR81" s="6" t="s">
        <v>218</v>
      </c>
    </row>
    <row r="82" spans="1:96" ht="40.049999999999997" customHeight="1" x14ac:dyDescent="0.3">
      <c r="A82" s="45"/>
      <c r="B82" s="80"/>
      <c r="H82" s="113"/>
      <c r="I82" s="113"/>
      <c r="J82" s="113"/>
      <c r="K82" s="7"/>
      <c r="L82" s="18"/>
      <c r="M82" s="17"/>
      <c r="N82" s="17"/>
      <c r="O82" s="68"/>
      <c r="P82" s="68"/>
      <c r="Q82" s="6"/>
      <c r="R82" s="6"/>
      <c r="S82" s="6"/>
      <c r="T82" s="6"/>
      <c r="U82" s="6"/>
      <c r="V82" s="6"/>
      <c r="W82" s="6" t="s">
        <v>218</v>
      </c>
      <c r="X82" s="6" t="s">
        <v>218</v>
      </c>
      <c r="CQ82" s="6" t="s">
        <v>218</v>
      </c>
      <c r="CR82" s="6" t="s">
        <v>218</v>
      </c>
    </row>
    <row r="83" spans="1:96" ht="40.049999999999997" customHeight="1" x14ac:dyDescent="0.3">
      <c r="A83" s="45"/>
      <c r="B83" s="80"/>
      <c r="H83" s="113"/>
      <c r="I83" s="113"/>
      <c r="J83" s="113"/>
      <c r="K83" s="7"/>
      <c r="L83" s="18"/>
      <c r="M83" s="17"/>
      <c r="N83" s="17"/>
      <c r="O83" s="68"/>
      <c r="P83" s="68"/>
      <c r="Q83" s="6"/>
      <c r="R83" s="6"/>
      <c r="S83" s="6"/>
      <c r="T83" s="6"/>
      <c r="U83" s="6"/>
      <c r="V83" s="6"/>
      <c r="W83" s="6" t="s">
        <v>218</v>
      </c>
      <c r="X83" s="6" t="s">
        <v>218</v>
      </c>
      <c r="CQ83" s="6" t="s">
        <v>218</v>
      </c>
      <c r="CR83" s="6" t="s">
        <v>218</v>
      </c>
    </row>
    <row r="84" spans="1:96" ht="40.049999999999997" customHeight="1" x14ac:dyDescent="0.3">
      <c r="A84" s="45"/>
      <c r="B84" s="80"/>
      <c r="H84" s="113"/>
      <c r="I84" s="113"/>
      <c r="J84" s="113"/>
      <c r="K84" s="7"/>
      <c r="L84" s="18"/>
      <c r="M84" s="17"/>
      <c r="N84" s="17"/>
      <c r="O84" s="68"/>
      <c r="P84" s="68"/>
      <c r="Q84" s="6"/>
      <c r="R84" s="6"/>
      <c r="S84" s="6"/>
      <c r="T84" s="6"/>
      <c r="U84" s="6"/>
      <c r="V84" s="6"/>
      <c r="W84" s="6" t="s">
        <v>218</v>
      </c>
      <c r="X84" s="6" t="s">
        <v>218</v>
      </c>
      <c r="CQ84" s="6" t="s">
        <v>218</v>
      </c>
      <c r="CR84" s="6" t="s">
        <v>218</v>
      </c>
    </row>
    <row r="85" spans="1:96" ht="40.049999999999997" customHeight="1" x14ac:dyDescent="0.3">
      <c r="A85" s="45"/>
      <c r="B85" s="80"/>
      <c r="H85" s="113"/>
      <c r="I85" s="113"/>
      <c r="J85" s="113"/>
      <c r="K85" s="7"/>
      <c r="L85" s="18"/>
      <c r="M85" s="17"/>
      <c r="N85" s="17"/>
      <c r="O85" s="68"/>
      <c r="P85" s="68"/>
      <c r="Q85" s="6"/>
      <c r="R85" s="6"/>
      <c r="S85" s="6"/>
      <c r="T85" s="6"/>
      <c r="U85" s="6"/>
      <c r="V85" s="6"/>
      <c r="W85" s="6" t="s">
        <v>218</v>
      </c>
      <c r="X85" s="6" t="s">
        <v>218</v>
      </c>
      <c r="CQ85" s="6" t="s">
        <v>218</v>
      </c>
      <c r="CR85" s="6" t="s">
        <v>218</v>
      </c>
    </row>
    <row r="86" spans="1:96" ht="40.049999999999997" customHeight="1" x14ac:dyDescent="0.3">
      <c r="A86" s="45"/>
      <c r="B86" s="80"/>
      <c r="H86" s="113"/>
      <c r="I86" s="113"/>
      <c r="J86" s="113"/>
      <c r="K86" s="7"/>
      <c r="L86" s="18"/>
      <c r="M86" s="17"/>
      <c r="N86" s="17"/>
      <c r="O86" s="68"/>
      <c r="P86" s="68"/>
      <c r="Q86" s="6"/>
      <c r="R86" s="6"/>
      <c r="S86" s="6"/>
      <c r="T86" s="6"/>
      <c r="U86" s="6"/>
      <c r="V86" s="6"/>
      <c r="W86" s="6" t="s">
        <v>218</v>
      </c>
      <c r="X86" s="6" t="s">
        <v>218</v>
      </c>
      <c r="CQ86" s="6" t="s">
        <v>218</v>
      </c>
      <c r="CR86" s="6" t="s">
        <v>218</v>
      </c>
    </row>
    <row r="87" spans="1:96" ht="40.049999999999997" customHeight="1" x14ac:dyDescent="0.3">
      <c r="A87" s="45"/>
      <c r="B87" s="80"/>
      <c r="H87" s="113"/>
      <c r="I87" s="113"/>
      <c r="J87" s="113"/>
      <c r="K87" s="7"/>
      <c r="L87" s="18"/>
      <c r="M87" s="17"/>
      <c r="N87" s="17"/>
      <c r="O87" s="68"/>
      <c r="P87" s="68"/>
      <c r="Q87" s="6"/>
      <c r="R87" s="6"/>
      <c r="S87" s="6"/>
      <c r="T87" s="6"/>
      <c r="U87" s="6"/>
      <c r="V87" s="6"/>
      <c r="W87" s="6" t="s">
        <v>218</v>
      </c>
      <c r="X87" s="6" t="s">
        <v>218</v>
      </c>
      <c r="CQ87" s="6" t="s">
        <v>218</v>
      </c>
      <c r="CR87" s="6" t="s">
        <v>218</v>
      </c>
    </row>
    <row r="88" spans="1:96" ht="40.049999999999997" customHeight="1" x14ac:dyDescent="0.3">
      <c r="A88" s="45"/>
      <c r="B88" s="80"/>
      <c r="H88" s="113"/>
      <c r="I88" s="113"/>
      <c r="J88" s="113"/>
      <c r="K88" s="7"/>
      <c r="L88" s="18"/>
      <c r="M88" s="17"/>
      <c r="N88" s="17"/>
      <c r="O88" s="68"/>
      <c r="P88" s="68"/>
      <c r="Q88" s="6"/>
      <c r="R88" s="6"/>
      <c r="S88" s="6"/>
      <c r="T88" s="6"/>
      <c r="U88" s="6"/>
      <c r="V88" s="6"/>
      <c r="W88" s="6" t="s">
        <v>218</v>
      </c>
      <c r="X88" s="6" t="s">
        <v>218</v>
      </c>
      <c r="CQ88" s="6" t="s">
        <v>218</v>
      </c>
      <c r="CR88" s="6" t="s">
        <v>218</v>
      </c>
    </row>
    <row r="89" spans="1:96" ht="40.049999999999997" customHeight="1" x14ac:dyDescent="0.3">
      <c r="A89" s="45"/>
      <c r="B89" s="80"/>
      <c r="H89" s="113"/>
      <c r="I89" s="113"/>
      <c r="J89" s="113"/>
      <c r="K89" s="7"/>
      <c r="L89" s="18"/>
      <c r="M89" s="17"/>
      <c r="N89" s="17"/>
      <c r="O89" s="68"/>
      <c r="P89" s="68"/>
      <c r="Q89" s="6"/>
      <c r="R89" s="6"/>
      <c r="S89" s="6"/>
      <c r="T89" s="6"/>
      <c r="U89" s="6"/>
      <c r="V89" s="6"/>
      <c r="W89" s="6" t="s">
        <v>218</v>
      </c>
      <c r="X89" s="6" t="s">
        <v>218</v>
      </c>
      <c r="CQ89" s="6" t="s">
        <v>218</v>
      </c>
      <c r="CR89" s="6" t="s">
        <v>218</v>
      </c>
    </row>
    <row r="90" spans="1:96" ht="40.049999999999997" customHeight="1" x14ac:dyDescent="0.3">
      <c r="A90" s="45"/>
      <c r="B90" s="80"/>
      <c r="H90" s="113"/>
      <c r="I90" s="113"/>
      <c r="J90" s="113"/>
      <c r="K90" s="7"/>
      <c r="L90" s="18"/>
      <c r="M90" s="17"/>
      <c r="N90" s="17"/>
      <c r="O90" s="68"/>
      <c r="P90" s="68"/>
      <c r="Q90" s="6"/>
      <c r="R90" s="6"/>
      <c r="S90" s="6"/>
      <c r="T90" s="6"/>
      <c r="U90" s="6"/>
      <c r="V90" s="6"/>
      <c r="W90" s="6" t="s">
        <v>218</v>
      </c>
      <c r="X90" s="6" t="s">
        <v>218</v>
      </c>
      <c r="CQ90" s="6" t="s">
        <v>218</v>
      </c>
      <c r="CR90" s="6" t="s">
        <v>218</v>
      </c>
    </row>
    <row r="91" spans="1:96" ht="40.049999999999997" customHeight="1" x14ac:dyDescent="0.3">
      <c r="A91" s="45"/>
      <c r="B91" s="80"/>
      <c r="H91" s="113"/>
      <c r="I91" s="113"/>
      <c r="J91" s="113"/>
      <c r="K91" s="7"/>
      <c r="L91" s="18"/>
      <c r="M91" s="17"/>
      <c r="N91" s="17"/>
      <c r="O91" s="68"/>
      <c r="P91" s="68"/>
      <c r="Q91" s="6"/>
      <c r="R91" s="6"/>
      <c r="S91" s="6"/>
      <c r="T91" s="6"/>
      <c r="U91" s="6"/>
      <c r="V91" s="6"/>
      <c r="W91" s="6" t="s">
        <v>218</v>
      </c>
      <c r="X91" s="6" t="s">
        <v>218</v>
      </c>
      <c r="CQ91" s="6" t="s">
        <v>218</v>
      </c>
      <c r="CR91" s="6" t="s">
        <v>218</v>
      </c>
    </row>
    <row r="92" spans="1:96" ht="40.049999999999997" customHeight="1" x14ac:dyDescent="0.3">
      <c r="A92" s="45"/>
      <c r="B92" s="80"/>
      <c r="H92" s="113"/>
      <c r="I92" s="113"/>
      <c r="J92" s="113"/>
      <c r="K92" s="7"/>
      <c r="L92" s="18"/>
      <c r="M92" s="17"/>
      <c r="N92" s="17"/>
      <c r="O92" s="68"/>
      <c r="P92" s="68"/>
      <c r="Q92" s="6"/>
      <c r="R92" s="6"/>
      <c r="S92" s="6"/>
      <c r="T92" s="6"/>
      <c r="U92" s="6"/>
      <c r="V92" s="6"/>
      <c r="W92" s="6" t="s">
        <v>218</v>
      </c>
      <c r="X92" s="6" t="s">
        <v>218</v>
      </c>
      <c r="CQ92" s="6" t="s">
        <v>218</v>
      </c>
      <c r="CR92" s="6" t="s">
        <v>218</v>
      </c>
    </row>
    <row r="93" spans="1:96" ht="40.049999999999997" customHeight="1" x14ac:dyDescent="0.3">
      <c r="A93" s="45"/>
      <c r="B93" s="80"/>
      <c r="H93" s="113"/>
      <c r="I93" s="113"/>
      <c r="J93" s="113"/>
      <c r="K93" s="7"/>
      <c r="L93" s="18"/>
      <c r="M93" s="17"/>
      <c r="N93" s="17"/>
      <c r="O93" s="68"/>
      <c r="P93" s="68"/>
      <c r="Q93" s="6"/>
      <c r="R93" s="6"/>
      <c r="S93" s="6"/>
      <c r="T93" s="6"/>
      <c r="U93" s="6"/>
      <c r="V93" s="6"/>
      <c r="W93" s="6" t="s">
        <v>218</v>
      </c>
      <c r="X93" s="6" t="s">
        <v>218</v>
      </c>
      <c r="CQ93" s="6" t="s">
        <v>218</v>
      </c>
      <c r="CR93" s="6" t="s">
        <v>218</v>
      </c>
    </row>
    <row r="94" spans="1:96" ht="40.049999999999997" customHeight="1" x14ac:dyDescent="0.3">
      <c r="A94" s="45"/>
      <c r="B94" s="80"/>
      <c r="H94" s="113"/>
      <c r="I94" s="113"/>
      <c r="J94" s="113"/>
      <c r="K94" s="7"/>
      <c r="L94" s="18"/>
      <c r="M94" s="17"/>
      <c r="N94" s="17"/>
      <c r="O94" s="68"/>
      <c r="P94" s="68"/>
      <c r="Q94" s="6"/>
      <c r="R94" s="6"/>
      <c r="S94" s="6"/>
      <c r="T94" s="6"/>
      <c r="U94" s="6"/>
      <c r="V94" s="6"/>
      <c r="W94" s="6" t="s">
        <v>218</v>
      </c>
      <c r="X94" s="6" t="s">
        <v>218</v>
      </c>
      <c r="CQ94" s="6" t="s">
        <v>218</v>
      </c>
      <c r="CR94" s="6" t="s">
        <v>218</v>
      </c>
    </row>
    <row r="95" spans="1:96" ht="40.049999999999997" customHeight="1" x14ac:dyDescent="0.3">
      <c r="A95" s="45"/>
      <c r="B95" s="80"/>
      <c r="H95" s="113"/>
      <c r="I95" s="113"/>
      <c r="J95" s="113"/>
      <c r="K95" s="7"/>
      <c r="L95" s="18"/>
      <c r="M95" s="17"/>
      <c r="N95" s="17"/>
      <c r="O95" s="68"/>
      <c r="P95" s="68"/>
      <c r="Q95" s="6"/>
      <c r="R95" s="6"/>
      <c r="S95" s="6"/>
      <c r="T95" s="6"/>
      <c r="U95" s="6"/>
      <c r="V95" s="6"/>
      <c r="W95" s="6" t="s">
        <v>218</v>
      </c>
      <c r="X95" s="6" t="s">
        <v>218</v>
      </c>
      <c r="CQ95" s="6" t="s">
        <v>218</v>
      </c>
      <c r="CR95" s="6" t="s">
        <v>218</v>
      </c>
    </row>
    <row r="96" spans="1:96" ht="40.049999999999997" customHeight="1" x14ac:dyDescent="0.3">
      <c r="A96" s="45"/>
      <c r="B96" s="80"/>
      <c r="H96" s="113"/>
      <c r="I96" s="113"/>
      <c r="J96" s="113"/>
      <c r="K96" s="7"/>
      <c r="L96" s="18"/>
      <c r="M96" s="17"/>
      <c r="N96" s="17"/>
      <c r="O96" s="68"/>
      <c r="P96" s="68"/>
      <c r="Q96" s="6"/>
      <c r="R96" s="6"/>
      <c r="S96" s="6"/>
      <c r="T96" s="6"/>
      <c r="U96" s="6"/>
      <c r="V96" s="6"/>
      <c r="W96" s="6" t="s">
        <v>218</v>
      </c>
      <c r="X96" s="6" t="s">
        <v>218</v>
      </c>
      <c r="CQ96" s="6" t="s">
        <v>218</v>
      </c>
      <c r="CR96" s="6" t="s">
        <v>218</v>
      </c>
    </row>
    <row r="97" spans="1:96" ht="40.049999999999997" customHeight="1" x14ac:dyDescent="0.3">
      <c r="A97" s="45"/>
      <c r="B97" s="80"/>
      <c r="H97" s="113"/>
      <c r="I97" s="113"/>
      <c r="J97" s="113"/>
      <c r="K97" s="7"/>
      <c r="L97" s="18"/>
      <c r="M97" s="17"/>
      <c r="N97" s="17"/>
      <c r="O97" s="68"/>
      <c r="P97" s="68"/>
      <c r="Q97" s="6"/>
      <c r="R97" s="6"/>
      <c r="S97" s="6"/>
      <c r="T97" s="6"/>
      <c r="U97" s="6"/>
      <c r="V97" s="6"/>
      <c r="W97" s="6" t="s">
        <v>218</v>
      </c>
      <c r="X97" s="6" t="s">
        <v>218</v>
      </c>
      <c r="CQ97" s="6" t="s">
        <v>218</v>
      </c>
      <c r="CR97" s="6" t="s">
        <v>218</v>
      </c>
    </row>
    <row r="98" spans="1:96" ht="40.049999999999997" customHeight="1" x14ac:dyDescent="0.3">
      <c r="A98" s="45"/>
      <c r="B98" s="80"/>
      <c r="H98" s="113"/>
      <c r="I98" s="113"/>
      <c r="J98" s="113"/>
      <c r="K98" s="7"/>
      <c r="L98" s="18"/>
      <c r="M98" s="17"/>
      <c r="N98" s="17"/>
      <c r="O98" s="68"/>
      <c r="P98" s="68"/>
      <c r="Q98" s="6"/>
      <c r="R98" s="6"/>
      <c r="S98" s="6"/>
      <c r="T98" s="6"/>
      <c r="U98" s="6"/>
      <c r="V98" s="6"/>
      <c r="W98" s="6" t="s">
        <v>218</v>
      </c>
      <c r="X98" s="6" t="s">
        <v>218</v>
      </c>
      <c r="CQ98" s="6" t="s">
        <v>218</v>
      </c>
      <c r="CR98" s="6" t="s">
        <v>218</v>
      </c>
    </row>
    <row r="99" spans="1:96" ht="40.049999999999997" customHeight="1" x14ac:dyDescent="0.3">
      <c r="A99" s="45"/>
      <c r="B99" s="80"/>
      <c r="H99" s="113"/>
      <c r="I99" s="113"/>
      <c r="J99" s="113"/>
      <c r="K99" s="7"/>
      <c r="L99" s="18"/>
      <c r="M99" s="17"/>
      <c r="N99" s="17"/>
      <c r="O99" s="68"/>
      <c r="P99" s="68"/>
      <c r="Q99" s="6"/>
      <c r="R99" s="6"/>
      <c r="S99" s="6"/>
      <c r="T99" s="6"/>
      <c r="U99" s="6"/>
      <c r="V99" s="6"/>
      <c r="W99" s="6" t="s">
        <v>218</v>
      </c>
      <c r="X99" s="6" t="s">
        <v>218</v>
      </c>
      <c r="CQ99" s="6" t="s">
        <v>218</v>
      </c>
      <c r="CR99" s="6" t="s">
        <v>218</v>
      </c>
    </row>
    <row r="100" spans="1:96" ht="40.049999999999997" customHeight="1" x14ac:dyDescent="0.3">
      <c r="A100" s="45"/>
      <c r="B100" s="80"/>
      <c r="H100" s="113"/>
      <c r="I100" s="113"/>
      <c r="J100" s="113"/>
      <c r="K100" s="7"/>
      <c r="L100" s="18"/>
      <c r="M100" s="17"/>
      <c r="N100" s="17"/>
      <c r="O100" s="68"/>
      <c r="P100" s="68"/>
      <c r="Q100" s="6"/>
      <c r="R100" s="6"/>
      <c r="S100" s="6"/>
      <c r="T100" s="6"/>
      <c r="U100" s="6"/>
      <c r="V100" s="6"/>
      <c r="W100" s="6" t="s">
        <v>218</v>
      </c>
      <c r="X100" s="6" t="s">
        <v>218</v>
      </c>
      <c r="CQ100" s="6" t="s">
        <v>218</v>
      </c>
      <c r="CR100" s="6" t="s">
        <v>218</v>
      </c>
    </row>
    <row r="101" spans="1:96" ht="40.049999999999997" customHeight="1" x14ac:dyDescent="0.3">
      <c r="A101" s="45"/>
      <c r="B101" s="80"/>
      <c r="H101" s="113"/>
      <c r="I101" s="113"/>
      <c r="J101" s="113"/>
      <c r="K101" s="7"/>
      <c r="L101" s="18"/>
      <c r="M101" s="17"/>
      <c r="N101" s="17"/>
      <c r="O101" s="68"/>
      <c r="P101" s="68"/>
      <c r="Q101" s="6"/>
      <c r="R101" s="6"/>
      <c r="S101" s="6"/>
      <c r="T101" s="6"/>
      <c r="U101" s="6"/>
      <c r="V101" s="6"/>
      <c r="W101" s="6" t="s">
        <v>218</v>
      </c>
      <c r="X101" s="6" t="s">
        <v>218</v>
      </c>
      <c r="CQ101" s="6" t="s">
        <v>218</v>
      </c>
      <c r="CR101" s="6" t="s">
        <v>218</v>
      </c>
    </row>
    <row r="102" spans="1:96" ht="40.049999999999997" customHeight="1" x14ac:dyDescent="0.3">
      <c r="A102" s="45"/>
      <c r="B102" s="80"/>
      <c r="H102" s="113"/>
      <c r="I102" s="113"/>
      <c r="J102" s="113"/>
      <c r="K102" s="7"/>
      <c r="L102" s="18"/>
      <c r="M102" s="17"/>
      <c r="N102" s="17"/>
      <c r="O102" s="68"/>
      <c r="P102" s="68"/>
      <c r="Q102" s="6"/>
      <c r="R102" s="6"/>
      <c r="S102" s="6"/>
      <c r="T102" s="6"/>
      <c r="U102" s="6"/>
      <c r="V102" s="6"/>
      <c r="W102" s="6" t="s">
        <v>218</v>
      </c>
      <c r="X102" s="6" t="s">
        <v>218</v>
      </c>
      <c r="CQ102" s="6" t="s">
        <v>218</v>
      </c>
      <c r="CR102" s="6" t="s">
        <v>218</v>
      </c>
    </row>
    <row r="103" spans="1:96" ht="40.049999999999997" customHeight="1" x14ac:dyDescent="0.3">
      <c r="A103" s="45"/>
      <c r="B103" s="80"/>
      <c r="H103" s="113"/>
      <c r="I103" s="113"/>
      <c r="J103" s="113"/>
      <c r="K103" s="7"/>
      <c r="L103" s="18"/>
      <c r="M103" s="17"/>
      <c r="N103" s="17"/>
      <c r="O103" s="68"/>
      <c r="P103" s="68"/>
      <c r="Q103" s="6"/>
      <c r="R103" s="6"/>
      <c r="S103" s="6"/>
      <c r="T103" s="6"/>
      <c r="U103" s="6"/>
      <c r="V103" s="6"/>
      <c r="W103" s="6" t="s">
        <v>218</v>
      </c>
      <c r="X103" s="6" t="s">
        <v>218</v>
      </c>
      <c r="CQ103" s="6" t="s">
        <v>218</v>
      </c>
      <c r="CR103" s="6" t="s">
        <v>218</v>
      </c>
    </row>
    <row r="104" spans="1:96" ht="40.049999999999997" customHeight="1" x14ac:dyDescent="0.3">
      <c r="A104" s="45"/>
      <c r="B104" s="80"/>
      <c r="H104" s="113"/>
      <c r="I104" s="113"/>
      <c r="J104" s="113"/>
      <c r="K104" s="7"/>
      <c r="L104" s="18"/>
      <c r="M104" s="17"/>
      <c r="N104" s="17"/>
      <c r="O104" s="68"/>
      <c r="P104" s="68"/>
      <c r="Q104" s="6"/>
      <c r="R104" s="6"/>
      <c r="S104" s="6"/>
      <c r="T104" s="6"/>
      <c r="U104" s="6"/>
      <c r="V104" s="6"/>
      <c r="W104" s="6" t="s">
        <v>218</v>
      </c>
      <c r="X104" s="6" t="s">
        <v>218</v>
      </c>
      <c r="CQ104" s="6" t="s">
        <v>218</v>
      </c>
      <c r="CR104" s="6" t="s">
        <v>218</v>
      </c>
    </row>
    <row r="105" spans="1:96" ht="40.049999999999997" customHeight="1" x14ac:dyDescent="0.3">
      <c r="A105" s="45"/>
      <c r="B105" s="80"/>
      <c r="H105" s="113"/>
      <c r="I105" s="113"/>
      <c r="J105" s="113"/>
      <c r="K105" s="7"/>
      <c r="L105" s="18"/>
      <c r="M105" s="17"/>
      <c r="N105" s="17"/>
      <c r="O105" s="68"/>
      <c r="P105" s="68"/>
      <c r="Q105" s="6"/>
      <c r="R105" s="6"/>
      <c r="S105" s="6"/>
      <c r="T105" s="6"/>
      <c r="U105" s="6"/>
      <c r="V105" s="6"/>
      <c r="W105" s="6" t="s">
        <v>218</v>
      </c>
      <c r="X105" s="6" t="s">
        <v>218</v>
      </c>
      <c r="CQ105" s="6" t="s">
        <v>218</v>
      </c>
      <c r="CR105" s="6" t="s">
        <v>218</v>
      </c>
    </row>
    <row r="106" spans="1:96" ht="40.049999999999997" customHeight="1" x14ac:dyDescent="0.3">
      <c r="A106" s="45"/>
      <c r="B106" s="80"/>
      <c r="H106" s="113"/>
      <c r="I106" s="113"/>
      <c r="J106" s="113"/>
      <c r="K106" s="7"/>
      <c r="L106" s="18"/>
      <c r="M106" s="17"/>
      <c r="N106" s="17"/>
      <c r="O106" s="68"/>
      <c r="P106" s="68"/>
      <c r="Q106" s="6"/>
      <c r="R106" s="6"/>
      <c r="S106" s="6"/>
      <c r="T106" s="6"/>
      <c r="U106" s="6"/>
      <c r="V106" s="6"/>
      <c r="W106" s="6" t="s">
        <v>218</v>
      </c>
      <c r="X106" s="6" t="s">
        <v>218</v>
      </c>
      <c r="CQ106" s="6" t="s">
        <v>218</v>
      </c>
      <c r="CR106" s="6" t="s">
        <v>218</v>
      </c>
    </row>
    <row r="107" spans="1:96" ht="40.049999999999997" customHeight="1" x14ac:dyDescent="0.3">
      <c r="A107" s="45"/>
      <c r="B107" s="80"/>
      <c r="H107" s="113"/>
      <c r="I107" s="113"/>
      <c r="J107" s="113"/>
      <c r="K107" s="7"/>
      <c r="L107" s="18"/>
      <c r="M107" s="17"/>
      <c r="N107" s="17"/>
      <c r="O107" s="68"/>
      <c r="P107" s="68"/>
      <c r="Q107" s="6"/>
      <c r="R107" s="6"/>
      <c r="S107" s="6"/>
      <c r="T107" s="6"/>
      <c r="U107" s="6"/>
      <c r="V107" s="6"/>
      <c r="W107" s="6" t="s">
        <v>218</v>
      </c>
      <c r="X107" s="6" t="s">
        <v>218</v>
      </c>
      <c r="CQ107" s="6" t="s">
        <v>218</v>
      </c>
      <c r="CR107" s="6" t="s">
        <v>218</v>
      </c>
    </row>
    <row r="108" spans="1:96" ht="40.049999999999997" customHeight="1" x14ac:dyDescent="0.3">
      <c r="A108" s="45"/>
      <c r="B108" s="80"/>
      <c r="H108" s="113"/>
      <c r="I108" s="113"/>
      <c r="J108" s="113"/>
      <c r="K108" s="7"/>
      <c r="L108" s="18"/>
      <c r="M108" s="17"/>
      <c r="N108" s="17"/>
      <c r="O108" s="68"/>
      <c r="P108" s="68"/>
      <c r="Q108" s="6"/>
      <c r="R108" s="6"/>
      <c r="S108" s="6"/>
      <c r="T108" s="6"/>
      <c r="U108" s="6"/>
      <c r="V108" s="6"/>
      <c r="W108" s="6" t="s">
        <v>218</v>
      </c>
      <c r="X108" s="6" t="s">
        <v>218</v>
      </c>
      <c r="CQ108" s="6" t="s">
        <v>218</v>
      </c>
      <c r="CR108" s="6" t="s">
        <v>218</v>
      </c>
    </row>
    <row r="109" spans="1:96" ht="40.049999999999997" customHeight="1" x14ac:dyDescent="0.3">
      <c r="A109" s="45"/>
      <c r="B109" s="80"/>
      <c r="H109" s="113"/>
      <c r="I109" s="113"/>
      <c r="J109" s="113"/>
      <c r="K109" s="7"/>
      <c r="L109" s="18"/>
      <c r="M109" s="17"/>
      <c r="N109" s="17"/>
      <c r="O109" s="68"/>
      <c r="P109" s="68"/>
      <c r="Q109" s="6"/>
      <c r="R109" s="6"/>
      <c r="S109" s="6"/>
      <c r="T109" s="6"/>
      <c r="U109" s="6"/>
      <c r="V109" s="6"/>
      <c r="W109" s="6" t="s">
        <v>218</v>
      </c>
      <c r="X109" s="6" t="s">
        <v>218</v>
      </c>
      <c r="CQ109" s="6" t="s">
        <v>218</v>
      </c>
      <c r="CR109" s="6" t="s">
        <v>218</v>
      </c>
    </row>
    <row r="110" spans="1:96" ht="40.049999999999997" customHeight="1" x14ac:dyDescent="0.3">
      <c r="A110" s="45"/>
      <c r="B110" s="80"/>
      <c r="H110" s="113"/>
      <c r="I110" s="113"/>
      <c r="J110" s="113"/>
      <c r="K110" s="7"/>
      <c r="L110" s="18"/>
      <c r="M110" s="17"/>
      <c r="N110" s="17"/>
      <c r="O110" s="68"/>
      <c r="P110" s="68"/>
      <c r="Q110" s="6"/>
      <c r="R110" s="6"/>
      <c r="S110" s="6"/>
      <c r="T110" s="6"/>
      <c r="U110" s="6"/>
      <c r="V110" s="6"/>
      <c r="W110" s="6" t="s">
        <v>218</v>
      </c>
      <c r="X110" s="6" t="s">
        <v>218</v>
      </c>
      <c r="CQ110" s="6" t="s">
        <v>218</v>
      </c>
      <c r="CR110" s="6" t="s">
        <v>218</v>
      </c>
    </row>
    <row r="111" spans="1:96" ht="40.049999999999997" customHeight="1" x14ac:dyDescent="0.3">
      <c r="A111" s="45"/>
      <c r="B111" s="80"/>
      <c r="H111" s="113"/>
      <c r="I111" s="113"/>
      <c r="J111" s="113"/>
      <c r="K111" s="7"/>
      <c r="L111" s="18"/>
      <c r="M111" s="17"/>
      <c r="N111" s="17"/>
      <c r="O111" s="68"/>
      <c r="P111" s="68"/>
      <c r="Q111" s="6"/>
      <c r="R111" s="6"/>
      <c r="S111" s="6"/>
      <c r="T111" s="6"/>
      <c r="U111" s="6"/>
      <c r="V111" s="6"/>
      <c r="W111" s="6" t="s">
        <v>218</v>
      </c>
      <c r="X111" s="6" t="s">
        <v>218</v>
      </c>
      <c r="CQ111" s="6" t="s">
        <v>218</v>
      </c>
      <c r="CR111" s="6" t="s">
        <v>218</v>
      </c>
    </row>
    <row r="112" spans="1:96" ht="40.049999999999997" customHeight="1" x14ac:dyDescent="0.3">
      <c r="A112" s="45"/>
      <c r="B112" s="80"/>
      <c r="H112" s="113"/>
      <c r="I112" s="113"/>
      <c r="J112" s="113"/>
      <c r="K112" s="7"/>
      <c r="L112" s="18"/>
      <c r="M112" s="17"/>
      <c r="N112" s="17"/>
      <c r="O112" s="68"/>
      <c r="P112" s="68"/>
      <c r="Q112" s="6"/>
      <c r="R112" s="6"/>
      <c r="S112" s="6"/>
      <c r="T112" s="6"/>
      <c r="U112" s="6"/>
      <c r="V112" s="6"/>
      <c r="W112" s="6" t="s">
        <v>218</v>
      </c>
      <c r="X112" s="6" t="s">
        <v>218</v>
      </c>
      <c r="CQ112" s="6" t="s">
        <v>218</v>
      </c>
      <c r="CR112" s="6" t="s">
        <v>218</v>
      </c>
    </row>
    <row r="113" spans="1:96" ht="40.049999999999997" customHeight="1" x14ac:dyDescent="0.3">
      <c r="A113" s="45"/>
      <c r="B113" s="80"/>
      <c r="H113" s="113"/>
      <c r="I113" s="113"/>
      <c r="J113" s="113"/>
      <c r="K113" s="7"/>
      <c r="L113" s="18"/>
      <c r="M113" s="17"/>
      <c r="N113" s="17"/>
      <c r="O113" s="68"/>
      <c r="P113" s="68"/>
      <c r="Q113" s="6"/>
      <c r="R113" s="6"/>
      <c r="S113" s="6"/>
      <c r="T113" s="6"/>
      <c r="U113" s="6"/>
      <c r="V113" s="6"/>
      <c r="W113" s="6" t="s">
        <v>218</v>
      </c>
      <c r="X113" s="6" t="s">
        <v>218</v>
      </c>
      <c r="CQ113" s="6" t="s">
        <v>218</v>
      </c>
      <c r="CR113" s="6" t="s">
        <v>218</v>
      </c>
    </row>
    <row r="114" spans="1:96" ht="40.049999999999997" customHeight="1" x14ac:dyDescent="0.3">
      <c r="A114" s="45"/>
      <c r="B114" s="80"/>
      <c r="H114" s="113"/>
      <c r="I114" s="113"/>
      <c r="J114" s="113"/>
      <c r="K114" s="7"/>
      <c r="L114" s="18"/>
      <c r="M114" s="17"/>
      <c r="N114" s="17"/>
      <c r="O114" s="68"/>
      <c r="P114" s="68"/>
      <c r="Q114" s="6"/>
      <c r="R114" s="6"/>
      <c r="S114" s="6"/>
      <c r="T114" s="6"/>
      <c r="U114" s="6"/>
      <c r="V114" s="6"/>
      <c r="W114" s="6" t="s">
        <v>218</v>
      </c>
      <c r="X114" s="6" t="s">
        <v>218</v>
      </c>
      <c r="CQ114" s="6" t="s">
        <v>218</v>
      </c>
      <c r="CR114" s="6" t="s">
        <v>218</v>
      </c>
    </row>
    <row r="115" spans="1:96" ht="40.049999999999997" customHeight="1" x14ac:dyDescent="0.3">
      <c r="A115" s="45"/>
      <c r="B115" s="80"/>
      <c r="H115" s="113"/>
      <c r="I115" s="113"/>
      <c r="J115" s="113"/>
      <c r="K115" s="7"/>
      <c r="L115" s="18"/>
      <c r="M115" s="17"/>
      <c r="N115" s="17"/>
      <c r="O115" s="68"/>
      <c r="P115" s="68"/>
      <c r="Q115" s="6"/>
      <c r="R115" s="6"/>
      <c r="S115" s="6"/>
      <c r="T115" s="6"/>
      <c r="U115" s="6"/>
      <c r="V115" s="6"/>
      <c r="W115" s="6" t="s">
        <v>218</v>
      </c>
      <c r="X115" s="6" t="s">
        <v>218</v>
      </c>
      <c r="CQ115" s="6" t="s">
        <v>218</v>
      </c>
      <c r="CR115" s="6" t="s">
        <v>218</v>
      </c>
    </row>
    <row r="116" spans="1:96" ht="40.049999999999997" customHeight="1" x14ac:dyDescent="0.3">
      <c r="A116" s="45"/>
      <c r="B116" s="80"/>
      <c r="H116" s="113"/>
      <c r="I116" s="113"/>
      <c r="J116" s="113"/>
      <c r="K116" s="7"/>
      <c r="L116" s="18"/>
      <c r="M116" s="17"/>
      <c r="N116" s="17"/>
      <c r="O116" s="68"/>
      <c r="P116" s="68"/>
      <c r="Q116" s="6"/>
      <c r="R116" s="6"/>
      <c r="S116" s="6"/>
      <c r="T116" s="6"/>
      <c r="U116" s="6"/>
      <c r="V116" s="6"/>
      <c r="W116" s="6" t="s">
        <v>218</v>
      </c>
      <c r="X116" s="6" t="s">
        <v>218</v>
      </c>
      <c r="CQ116" s="6" t="s">
        <v>218</v>
      </c>
      <c r="CR116" s="6" t="s">
        <v>218</v>
      </c>
    </row>
    <row r="117" spans="1:96" ht="40.049999999999997" customHeight="1" x14ac:dyDescent="0.3">
      <c r="A117" s="45"/>
      <c r="B117" s="80"/>
      <c r="H117" s="113"/>
      <c r="I117" s="113"/>
      <c r="J117" s="113"/>
      <c r="K117" s="7"/>
      <c r="L117" s="18"/>
      <c r="M117" s="17"/>
      <c r="N117" s="17"/>
      <c r="O117" s="68"/>
      <c r="P117" s="68"/>
      <c r="Q117" s="6"/>
      <c r="R117" s="6"/>
      <c r="S117" s="6"/>
      <c r="T117" s="6"/>
      <c r="U117" s="6"/>
      <c r="V117" s="6"/>
      <c r="W117" s="6" t="s">
        <v>218</v>
      </c>
      <c r="X117" s="6" t="s">
        <v>218</v>
      </c>
      <c r="CQ117" s="6" t="s">
        <v>218</v>
      </c>
      <c r="CR117" s="6" t="s">
        <v>218</v>
      </c>
    </row>
    <row r="118" spans="1:96" ht="40.049999999999997" customHeight="1" x14ac:dyDescent="0.3">
      <c r="A118" s="45"/>
      <c r="B118" s="80"/>
      <c r="H118" s="113"/>
      <c r="I118" s="113"/>
      <c r="J118" s="113"/>
      <c r="K118" s="7"/>
      <c r="L118" s="18"/>
      <c r="M118" s="17"/>
      <c r="N118" s="17"/>
      <c r="O118" s="68"/>
      <c r="P118" s="68"/>
      <c r="Q118" s="6"/>
      <c r="R118" s="6"/>
      <c r="S118" s="6"/>
      <c r="T118" s="6"/>
      <c r="U118" s="6"/>
      <c r="V118" s="6"/>
      <c r="W118" s="6" t="s">
        <v>218</v>
      </c>
      <c r="X118" s="6" t="s">
        <v>218</v>
      </c>
      <c r="CQ118" s="6" t="s">
        <v>218</v>
      </c>
      <c r="CR118" s="6" t="s">
        <v>218</v>
      </c>
    </row>
    <row r="119" spans="1:96" ht="40.049999999999997" customHeight="1" x14ac:dyDescent="0.3">
      <c r="A119" s="45"/>
      <c r="B119" s="80"/>
      <c r="H119" s="113"/>
      <c r="I119" s="113"/>
      <c r="J119" s="113"/>
      <c r="K119" s="7"/>
      <c r="L119" s="18"/>
      <c r="M119" s="17"/>
      <c r="N119" s="17"/>
      <c r="O119" s="68"/>
      <c r="P119" s="68"/>
      <c r="Q119" s="6"/>
      <c r="R119" s="6"/>
      <c r="S119" s="6"/>
      <c r="T119" s="6"/>
      <c r="U119" s="6"/>
      <c r="V119" s="6"/>
      <c r="W119" s="6" t="s">
        <v>218</v>
      </c>
      <c r="X119" s="6" t="s">
        <v>218</v>
      </c>
      <c r="CQ119" s="6" t="s">
        <v>218</v>
      </c>
      <c r="CR119" s="6" t="s">
        <v>218</v>
      </c>
    </row>
    <row r="120" spans="1:96" ht="40.049999999999997" customHeight="1" x14ac:dyDescent="0.3">
      <c r="A120" s="45"/>
      <c r="B120" s="80"/>
      <c r="H120" s="113"/>
      <c r="I120" s="113"/>
      <c r="J120" s="113"/>
      <c r="K120" s="7"/>
      <c r="L120" s="18"/>
      <c r="M120" s="17"/>
      <c r="N120" s="17"/>
      <c r="O120" s="68"/>
      <c r="P120" s="68"/>
      <c r="Q120" s="6"/>
      <c r="R120" s="6"/>
      <c r="S120" s="6"/>
      <c r="T120" s="6"/>
      <c r="U120" s="6"/>
      <c r="V120" s="6"/>
      <c r="W120" s="6" t="s">
        <v>218</v>
      </c>
      <c r="X120" s="6" t="s">
        <v>218</v>
      </c>
      <c r="CQ120" s="6" t="s">
        <v>218</v>
      </c>
      <c r="CR120" s="6" t="s">
        <v>218</v>
      </c>
    </row>
    <row r="121" spans="1:96" ht="40.049999999999997" customHeight="1" x14ac:dyDescent="0.3">
      <c r="A121" s="45"/>
      <c r="B121" s="80"/>
      <c r="H121" s="113"/>
      <c r="I121" s="113"/>
      <c r="J121" s="113"/>
      <c r="K121" s="7"/>
      <c r="L121" s="18"/>
      <c r="M121" s="17"/>
      <c r="N121" s="17"/>
      <c r="O121" s="68"/>
      <c r="P121" s="68"/>
      <c r="Q121" s="6"/>
      <c r="R121" s="6"/>
      <c r="S121" s="6"/>
      <c r="T121" s="6"/>
      <c r="U121" s="6"/>
      <c r="V121" s="6"/>
      <c r="W121" s="6" t="s">
        <v>218</v>
      </c>
      <c r="X121" s="6" t="s">
        <v>218</v>
      </c>
      <c r="CQ121" s="6" t="s">
        <v>218</v>
      </c>
      <c r="CR121" s="6" t="s">
        <v>218</v>
      </c>
    </row>
    <row r="122" spans="1:96" ht="40.049999999999997" customHeight="1" x14ac:dyDescent="0.3">
      <c r="A122" s="45"/>
      <c r="B122" s="80"/>
      <c r="H122" s="113"/>
      <c r="I122" s="113"/>
      <c r="J122" s="113"/>
      <c r="K122" s="7"/>
      <c r="L122" s="18"/>
      <c r="M122" s="17"/>
      <c r="N122" s="17"/>
      <c r="O122" s="68"/>
      <c r="P122" s="68"/>
      <c r="Q122" s="6"/>
      <c r="R122" s="6"/>
      <c r="S122" s="6"/>
      <c r="T122" s="6"/>
      <c r="U122" s="6"/>
      <c r="V122" s="6"/>
      <c r="W122" s="6" t="s">
        <v>218</v>
      </c>
      <c r="X122" s="6" t="s">
        <v>218</v>
      </c>
      <c r="CQ122" s="6" t="s">
        <v>218</v>
      </c>
      <c r="CR122" s="6" t="s">
        <v>218</v>
      </c>
    </row>
    <row r="123" spans="1:96" ht="40.049999999999997" customHeight="1" x14ac:dyDescent="0.3">
      <c r="A123" s="45"/>
      <c r="B123" s="80"/>
      <c r="H123" s="113"/>
      <c r="I123" s="113"/>
      <c r="J123" s="113"/>
      <c r="K123" s="7"/>
      <c r="L123" s="18"/>
      <c r="M123" s="17"/>
      <c r="N123" s="17"/>
      <c r="O123" s="68"/>
      <c r="P123" s="68"/>
      <c r="Q123" s="6"/>
      <c r="R123" s="6"/>
      <c r="S123" s="6"/>
      <c r="T123" s="6"/>
      <c r="U123" s="6"/>
      <c r="V123" s="6"/>
      <c r="W123" s="6" t="s">
        <v>218</v>
      </c>
      <c r="X123" s="6" t="s">
        <v>218</v>
      </c>
      <c r="CQ123" s="6" t="s">
        <v>218</v>
      </c>
      <c r="CR123" s="6" t="s">
        <v>218</v>
      </c>
    </row>
    <row r="124" spans="1:96" ht="40.049999999999997" customHeight="1" x14ac:dyDescent="0.3">
      <c r="A124" s="45"/>
      <c r="B124" s="80"/>
      <c r="H124" s="113"/>
      <c r="I124" s="113"/>
      <c r="J124" s="113"/>
      <c r="K124" s="7"/>
      <c r="L124" s="18"/>
      <c r="M124" s="17"/>
      <c r="N124" s="17"/>
      <c r="O124" s="68"/>
      <c r="P124" s="68"/>
      <c r="Q124" s="6"/>
      <c r="R124" s="6"/>
      <c r="S124" s="6"/>
      <c r="T124" s="6"/>
      <c r="U124" s="6"/>
      <c r="V124" s="6"/>
      <c r="W124" s="6" t="s">
        <v>218</v>
      </c>
      <c r="X124" s="6" t="s">
        <v>218</v>
      </c>
      <c r="CQ124" s="6" t="s">
        <v>218</v>
      </c>
      <c r="CR124" s="6" t="s">
        <v>218</v>
      </c>
    </row>
    <row r="125" spans="1:96" ht="40.049999999999997" customHeight="1" x14ac:dyDescent="0.3">
      <c r="A125" s="45"/>
      <c r="B125" s="80"/>
      <c r="H125" s="113"/>
      <c r="I125" s="113"/>
      <c r="J125" s="113"/>
      <c r="K125" s="7"/>
      <c r="L125" s="18"/>
      <c r="M125" s="17"/>
      <c r="N125" s="17"/>
      <c r="O125" s="68"/>
      <c r="P125" s="68"/>
      <c r="Q125" s="6"/>
      <c r="R125" s="6"/>
      <c r="S125" s="6"/>
      <c r="T125" s="6"/>
      <c r="U125" s="6"/>
      <c r="V125" s="6"/>
      <c r="W125" s="6" t="s">
        <v>218</v>
      </c>
      <c r="X125" s="6" t="s">
        <v>218</v>
      </c>
      <c r="CQ125" s="6" t="s">
        <v>218</v>
      </c>
      <c r="CR125" s="6" t="s">
        <v>218</v>
      </c>
    </row>
    <row r="126" spans="1:96" ht="40.049999999999997" customHeight="1" x14ac:dyDescent="0.3">
      <c r="A126" s="45"/>
      <c r="B126" s="80"/>
      <c r="H126" s="113"/>
      <c r="I126" s="113"/>
      <c r="J126" s="113"/>
      <c r="K126" s="7"/>
      <c r="L126" s="18"/>
      <c r="M126" s="17"/>
      <c r="N126" s="17"/>
      <c r="O126" s="68"/>
      <c r="P126" s="68"/>
      <c r="Q126" s="6"/>
      <c r="R126" s="6"/>
      <c r="S126" s="6"/>
      <c r="T126" s="6"/>
      <c r="U126" s="6"/>
      <c r="V126" s="6"/>
      <c r="W126" s="6" t="s">
        <v>218</v>
      </c>
      <c r="X126" s="6" t="s">
        <v>218</v>
      </c>
      <c r="CQ126" s="6" t="s">
        <v>218</v>
      </c>
      <c r="CR126" s="6" t="s">
        <v>218</v>
      </c>
    </row>
    <row r="127" spans="1:96" ht="40.049999999999997" customHeight="1" x14ac:dyDescent="0.3">
      <c r="A127" s="45"/>
      <c r="B127" s="80"/>
      <c r="H127" s="113"/>
      <c r="I127" s="113"/>
      <c r="J127" s="113"/>
      <c r="K127" s="7"/>
      <c r="L127" s="18"/>
      <c r="M127" s="17"/>
      <c r="N127" s="17"/>
      <c r="O127" s="68"/>
      <c r="P127" s="68"/>
      <c r="Q127" s="6"/>
      <c r="R127" s="6"/>
      <c r="S127" s="6"/>
      <c r="T127" s="6"/>
      <c r="U127" s="6"/>
      <c r="V127" s="6"/>
      <c r="W127" s="6" t="s">
        <v>218</v>
      </c>
      <c r="X127" s="6" t="s">
        <v>218</v>
      </c>
      <c r="CQ127" s="6" t="s">
        <v>218</v>
      </c>
      <c r="CR127" s="6" t="s">
        <v>218</v>
      </c>
    </row>
    <row r="128" spans="1:96" ht="40.049999999999997" customHeight="1" x14ac:dyDescent="0.3">
      <c r="A128" s="45"/>
      <c r="B128" s="80"/>
      <c r="H128" s="113"/>
      <c r="I128" s="113"/>
      <c r="J128" s="113"/>
      <c r="K128" s="7"/>
      <c r="L128" s="18"/>
      <c r="M128" s="17"/>
      <c r="N128" s="17"/>
      <c r="O128" s="68"/>
      <c r="P128" s="68"/>
      <c r="Q128" s="6"/>
      <c r="R128" s="6"/>
      <c r="S128" s="6"/>
      <c r="T128" s="6"/>
      <c r="U128" s="6"/>
      <c r="V128" s="6"/>
      <c r="W128" s="6" t="s">
        <v>218</v>
      </c>
      <c r="X128" s="6" t="s">
        <v>218</v>
      </c>
      <c r="CQ128" s="6" t="s">
        <v>218</v>
      </c>
      <c r="CR128" s="6" t="s">
        <v>218</v>
      </c>
    </row>
    <row r="129" spans="1:96" ht="40.049999999999997" customHeight="1" x14ac:dyDescent="0.3">
      <c r="A129" s="45"/>
      <c r="B129" s="80"/>
      <c r="H129" s="113"/>
      <c r="I129" s="113"/>
      <c r="J129" s="113"/>
      <c r="K129" s="7"/>
      <c r="L129" s="18"/>
      <c r="M129" s="17"/>
      <c r="N129" s="17"/>
      <c r="O129" s="68"/>
      <c r="P129" s="68"/>
      <c r="Q129" s="6"/>
      <c r="R129" s="6"/>
      <c r="S129" s="6"/>
      <c r="T129" s="6"/>
      <c r="U129" s="6"/>
      <c r="V129" s="6"/>
      <c r="W129" s="6" t="s">
        <v>218</v>
      </c>
      <c r="X129" s="6" t="s">
        <v>218</v>
      </c>
      <c r="CQ129" s="6" t="s">
        <v>218</v>
      </c>
      <c r="CR129" s="6" t="s">
        <v>218</v>
      </c>
    </row>
    <row r="130" spans="1:96" ht="40.049999999999997" customHeight="1" x14ac:dyDescent="0.3">
      <c r="A130" s="45"/>
      <c r="B130" s="80"/>
      <c r="K130" s="7"/>
      <c r="L130" s="18"/>
      <c r="M130" s="17"/>
      <c r="N130" s="17"/>
      <c r="O130" s="68"/>
      <c r="P130" s="68"/>
      <c r="Q130" s="6"/>
      <c r="R130" s="6"/>
      <c r="S130" s="6"/>
      <c r="T130" s="6"/>
      <c r="U130" s="6"/>
      <c r="V130" s="6"/>
      <c r="W130" s="6" t="s">
        <v>218</v>
      </c>
      <c r="X130" s="6" t="s">
        <v>218</v>
      </c>
      <c r="CQ130" s="6" t="s">
        <v>218</v>
      </c>
      <c r="CR130" s="6" t="s">
        <v>218</v>
      </c>
    </row>
    <row r="131" spans="1:96" ht="40.049999999999997" customHeight="1" x14ac:dyDescent="0.3">
      <c r="A131" s="45"/>
      <c r="B131" s="80"/>
      <c r="K131" s="7"/>
      <c r="L131" s="18"/>
      <c r="M131" s="17"/>
      <c r="N131" s="17"/>
      <c r="O131" s="68"/>
      <c r="P131" s="68"/>
      <c r="Q131" s="6"/>
      <c r="R131" s="6"/>
      <c r="S131" s="6"/>
      <c r="T131" s="6"/>
      <c r="U131" s="6"/>
      <c r="V131" s="6"/>
      <c r="W131" s="6" t="s">
        <v>218</v>
      </c>
      <c r="X131" s="6" t="s">
        <v>218</v>
      </c>
      <c r="CQ131" s="6" t="s">
        <v>218</v>
      </c>
      <c r="CR131" s="6" t="s">
        <v>218</v>
      </c>
    </row>
    <row r="132" spans="1:96" ht="40.049999999999997" customHeight="1" x14ac:dyDescent="0.3">
      <c r="A132" s="45"/>
      <c r="B132" s="80"/>
      <c r="K132" s="7"/>
      <c r="L132" s="18"/>
      <c r="M132" s="17"/>
      <c r="N132" s="17"/>
      <c r="O132" s="68"/>
      <c r="P132" s="68"/>
      <c r="Q132" s="6"/>
      <c r="R132" s="6"/>
      <c r="S132" s="6"/>
      <c r="T132" s="6"/>
      <c r="U132" s="6"/>
      <c r="V132" s="6"/>
      <c r="W132" s="6" t="s">
        <v>218</v>
      </c>
      <c r="X132" s="6" t="s">
        <v>218</v>
      </c>
      <c r="CQ132" s="6" t="s">
        <v>218</v>
      </c>
      <c r="CR132" s="6" t="s">
        <v>218</v>
      </c>
    </row>
    <row r="133" spans="1:96" ht="40.049999999999997" customHeight="1" x14ac:dyDescent="0.3">
      <c r="A133" s="45"/>
      <c r="B133" s="80"/>
      <c r="K133" s="7"/>
      <c r="L133" s="18"/>
      <c r="M133" s="17"/>
      <c r="N133" s="17"/>
      <c r="O133" s="68"/>
      <c r="P133" s="68"/>
      <c r="Q133" s="6"/>
      <c r="R133" s="6"/>
      <c r="S133" s="6"/>
      <c r="T133" s="6"/>
      <c r="U133" s="6"/>
      <c r="V133" s="6"/>
      <c r="W133" s="6" t="s">
        <v>218</v>
      </c>
      <c r="X133" s="6" t="s">
        <v>218</v>
      </c>
      <c r="CQ133" s="6" t="s">
        <v>218</v>
      </c>
      <c r="CR133" s="6" t="s">
        <v>218</v>
      </c>
    </row>
    <row r="134" spans="1:96" ht="40.049999999999997" customHeight="1" x14ac:dyDescent="0.3">
      <c r="A134" s="45"/>
      <c r="B134" s="80"/>
      <c r="K134" s="7"/>
      <c r="L134" s="18"/>
      <c r="M134" s="17"/>
      <c r="N134" s="17"/>
      <c r="O134" s="68"/>
      <c r="P134" s="68"/>
      <c r="Q134" s="6"/>
      <c r="R134" s="6"/>
      <c r="S134" s="6"/>
      <c r="T134" s="6"/>
      <c r="U134" s="6"/>
      <c r="V134" s="6"/>
      <c r="W134" s="6" t="s">
        <v>218</v>
      </c>
      <c r="X134" s="6" t="s">
        <v>218</v>
      </c>
      <c r="CQ134" s="6" t="s">
        <v>218</v>
      </c>
      <c r="CR134" s="6" t="s">
        <v>218</v>
      </c>
    </row>
    <row r="135" spans="1:96" ht="40.049999999999997" customHeight="1" x14ac:dyDescent="0.3">
      <c r="A135" s="45"/>
      <c r="B135" s="80"/>
      <c r="H135" s="113"/>
      <c r="I135" s="113"/>
      <c r="J135" s="113"/>
      <c r="K135" s="7"/>
      <c r="L135" s="18"/>
      <c r="M135" s="17"/>
      <c r="N135" s="17"/>
      <c r="O135" s="68"/>
      <c r="P135" s="68"/>
      <c r="Q135" s="6"/>
      <c r="R135" s="6"/>
      <c r="S135" s="6"/>
      <c r="T135" s="6"/>
      <c r="U135" s="6"/>
      <c r="V135" s="6"/>
      <c r="W135" s="6" t="s">
        <v>218</v>
      </c>
      <c r="X135" s="6" t="s">
        <v>218</v>
      </c>
      <c r="CQ135" s="6" t="s">
        <v>218</v>
      </c>
      <c r="CR135" s="6" t="s">
        <v>218</v>
      </c>
    </row>
    <row r="136" spans="1:96" ht="40.049999999999997" customHeight="1" x14ac:dyDescent="0.3">
      <c r="A136" s="45"/>
      <c r="B136" s="80"/>
      <c r="H136" s="113"/>
      <c r="I136" s="113"/>
      <c r="J136" s="113"/>
      <c r="K136" s="7"/>
      <c r="L136" s="18"/>
      <c r="M136" s="17"/>
      <c r="N136" s="17"/>
      <c r="O136" s="68"/>
      <c r="P136" s="68"/>
      <c r="Q136" s="6"/>
      <c r="R136" s="6"/>
      <c r="S136" s="6"/>
      <c r="T136" s="6"/>
      <c r="U136" s="6"/>
      <c r="V136" s="6"/>
      <c r="W136" s="6" t="s">
        <v>218</v>
      </c>
      <c r="X136" s="6" t="s">
        <v>218</v>
      </c>
      <c r="CQ136" s="6" t="s">
        <v>218</v>
      </c>
      <c r="CR136" s="6" t="s">
        <v>218</v>
      </c>
    </row>
    <row r="137" spans="1:96" ht="40.049999999999997" customHeight="1" x14ac:dyDescent="0.3">
      <c r="A137" s="45"/>
      <c r="B137" s="80"/>
      <c r="H137" s="113"/>
      <c r="I137" s="113"/>
      <c r="J137" s="113"/>
      <c r="K137" s="7"/>
      <c r="L137" s="18"/>
      <c r="M137" s="17"/>
      <c r="N137" s="17"/>
      <c r="O137" s="68"/>
      <c r="P137" s="68"/>
      <c r="Q137" s="6"/>
      <c r="R137" s="6"/>
      <c r="S137" s="6"/>
      <c r="T137" s="6"/>
      <c r="U137" s="6"/>
      <c r="V137" s="6"/>
      <c r="W137" s="6" t="s">
        <v>218</v>
      </c>
      <c r="X137" s="6" t="s">
        <v>218</v>
      </c>
      <c r="CQ137" s="6" t="s">
        <v>218</v>
      </c>
      <c r="CR137" s="6" t="s">
        <v>218</v>
      </c>
    </row>
    <row r="138" spans="1:96" ht="40.049999999999997" customHeight="1" x14ac:dyDescent="0.3">
      <c r="A138" s="45"/>
      <c r="B138" s="80"/>
      <c r="H138" s="113"/>
      <c r="I138" s="113"/>
      <c r="J138" s="113"/>
      <c r="K138" s="7"/>
      <c r="L138" s="18"/>
      <c r="M138" s="17"/>
      <c r="N138" s="17"/>
      <c r="O138" s="68"/>
      <c r="P138" s="68"/>
      <c r="Q138" s="6"/>
      <c r="R138" s="6"/>
      <c r="S138" s="6"/>
      <c r="T138" s="6"/>
      <c r="U138" s="6"/>
      <c r="V138" s="6"/>
      <c r="W138" s="6" t="s">
        <v>218</v>
      </c>
      <c r="X138" s="6" t="s">
        <v>218</v>
      </c>
      <c r="CQ138" s="6" t="s">
        <v>218</v>
      </c>
      <c r="CR138" s="6" t="s">
        <v>218</v>
      </c>
    </row>
    <row r="139" spans="1:96" ht="40.049999999999997" customHeight="1" x14ac:dyDescent="0.3">
      <c r="A139" s="45"/>
      <c r="B139" s="80"/>
      <c r="H139" s="113"/>
      <c r="I139" s="113"/>
      <c r="J139" s="113"/>
      <c r="K139" s="7"/>
      <c r="L139" s="18"/>
      <c r="M139" s="17"/>
      <c r="N139" s="17"/>
      <c r="O139" s="68"/>
      <c r="P139" s="68"/>
      <c r="Q139" s="6"/>
      <c r="R139" s="6"/>
      <c r="S139" s="6"/>
      <c r="T139" s="6"/>
      <c r="U139" s="6"/>
      <c r="V139" s="6"/>
      <c r="W139" s="6" t="s">
        <v>218</v>
      </c>
      <c r="X139" s="6" t="s">
        <v>218</v>
      </c>
      <c r="CQ139" s="6" t="s">
        <v>218</v>
      </c>
      <c r="CR139" s="6" t="s">
        <v>218</v>
      </c>
    </row>
    <row r="140" spans="1:96" ht="40.049999999999997" customHeight="1" x14ac:dyDescent="0.3">
      <c r="A140" s="45"/>
      <c r="B140" s="80"/>
      <c r="H140" s="113"/>
      <c r="I140" s="113"/>
      <c r="J140" s="113"/>
      <c r="K140" s="7"/>
      <c r="L140" s="18"/>
      <c r="M140" s="17"/>
      <c r="N140" s="17"/>
      <c r="O140" s="68"/>
      <c r="P140" s="68"/>
      <c r="Q140" s="6"/>
      <c r="R140" s="6"/>
      <c r="S140" s="6"/>
      <c r="T140" s="6"/>
      <c r="U140" s="6"/>
      <c r="V140" s="6"/>
      <c r="W140" s="6" t="s">
        <v>218</v>
      </c>
      <c r="X140" s="6" t="s">
        <v>218</v>
      </c>
      <c r="CQ140" s="6" t="s">
        <v>218</v>
      </c>
      <c r="CR140" s="6" t="s">
        <v>218</v>
      </c>
    </row>
    <row r="141" spans="1:96" ht="40.049999999999997" customHeight="1" x14ac:dyDescent="0.3">
      <c r="A141" s="45"/>
      <c r="B141" s="80"/>
      <c r="H141" s="113"/>
      <c r="I141" s="113"/>
      <c r="J141" s="113"/>
      <c r="K141" s="7"/>
      <c r="L141" s="18"/>
      <c r="M141" s="17"/>
      <c r="N141" s="17"/>
      <c r="O141" s="68"/>
      <c r="P141" s="68"/>
      <c r="Q141" s="6"/>
      <c r="R141" s="6"/>
      <c r="S141" s="6"/>
      <c r="T141" s="6"/>
      <c r="U141" s="6"/>
      <c r="V141" s="6"/>
      <c r="W141" s="6" t="s">
        <v>218</v>
      </c>
      <c r="X141" s="6" t="s">
        <v>218</v>
      </c>
      <c r="CQ141" s="6" t="s">
        <v>218</v>
      </c>
      <c r="CR141" s="6" t="s">
        <v>218</v>
      </c>
    </row>
    <row r="142" spans="1:96" ht="40.049999999999997" customHeight="1" x14ac:dyDescent="0.3">
      <c r="A142" s="45"/>
      <c r="B142" s="80"/>
      <c r="H142" s="113"/>
      <c r="I142" s="113"/>
      <c r="J142" s="113"/>
      <c r="K142" s="7"/>
      <c r="L142" s="18"/>
      <c r="M142" s="17"/>
      <c r="N142" s="17"/>
      <c r="O142" s="68"/>
      <c r="P142" s="68"/>
      <c r="Q142" s="6"/>
      <c r="R142" s="6"/>
      <c r="S142" s="6"/>
      <c r="T142" s="6"/>
      <c r="U142" s="6"/>
      <c r="V142" s="6"/>
      <c r="W142" s="6" t="s">
        <v>218</v>
      </c>
      <c r="X142" s="6" t="s">
        <v>218</v>
      </c>
      <c r="CQ142" s="6" t="s">
        <v>218</v>
      </c>
      <c r="CR142" s="6" t="s">
        <v>218</v>
      </c>
    </row>
    <row r="143" spans="1:96" ht="40.049999999999997" customHeight="1" x14ac:dyDescent="0.3">
      <c r="A143" s="45"/>
      <c r="B143" s="80"/>
      <c r="H143" s="113"/>
      <c r="I143" s="113"/>
      <c r="J143" s="113"/>
      <c r="K143" s="7"/>
      <c r="L143" s="18"/>
      <c r="M143" s="17"/>
      <c r="N143" s="17"/>
      <c r="O143" s="68"/>
      <c r="P143" s="68"/>
      <c r="Q143" s="6"/>
      <c r="R143" s="6"/>
      <c r="S143" s="6"/>
      <c r="T143" s="6"/>
      <c r="U143" s="6"/>
      <c r="V143" s="6"/>
      <c r="W143" s="6" t="s">
        <v>218</v>
      </c>
      <c r="X143" s="6" t="s">
        <v>218</v>
      </c>
      <c r="CQ143" s="6" t="s">
        <v>218</v>
      </c>
      <c r="CR143" s="6" t="s">
        <v>218</v>
      </c>
    </row>
    <row r="144" spans="1:96" ht="40.049999999999997" customHeight="1" x14ac:dyDescent="0.3">
      <c r="A144" s="45"/>
      <c r="B144" s="80"/>
      <c r="H144" s="113"/>
      <c r="I144" s="113"/>
      <c r="J144" s="113"/>
      <c r="K144" s="7"/>
      <c r="L144" s="18"/>
      <c r="M144" s="17"/>
      <c r="N144" s="17"/>
      <c r="O144" s="68"/>
      <c r="P144" s="68"/>
      <c r="Q144" s="6"/>
      <c r="R144" s="6"/>
      <c r="S144" s="6"/>
      <c r="T144" s="6"/>
      <c r="U144" s="6"/>
      <c r="V144" s="6"/>
      <c r="W144" s="6" t="s">
        <v>218</v>
      </c>
      <c r="X144" s="6" t="s">
        <v>218</v>
      </c>
      <c r="CQ144" s="6" t="s">
        <v>218</v>
      </c>
      <c r="CR144" s="6" t="s">
        <v>218</v>
      </c>
    </row>
    <row r="145" spans="1:96" ht="40.049999999999997" customHeight="1" x14ac:dyDescent="0.3">
      <c r="A145" s="45"/>
      <c r="B145" s="80"/>
      <c r="H145" s="113"/>
      <c r="I145" s="113"/>
      <c r="J145" s="113"/>
      <c r="K145" s="7"/>
      <c r="L145" s="18"/>
      <c r="M145" s="17"/>
      <c r="N145" s="17"/>
      <c r="O145" s="68"/>
      <c r="P145" s="68"/>
      <c r="Q145" s="6"/>
      <c r="R145" s="6"/>
      <c r="S145" s="6"/>
      <c r="T145" s="6"/>
      <c r="U145" s="6"/>
      <c r="V145" s="6"/>
      <c r="W145" s="6" t="s">
        <v>218</v>
      </c>
      <c r="X145" s="6" t="s">
        <v>218</v>
      </c>
      <c r="CQ145" s="6" t="s">
        <v>218</v>
      </c>
      <c r="CR145" s="6" t="s">
        <v>218</v>
      </c>
    </row>
    <row r="146" spans="1:96" ht="40.049999999999997" customHeight="1" x14ac:dyDescent="0.3">
      <c r="A146" s="45"/>
      <c r="B146" s="80"/>
      <c r="H146" s="113"/>
      <c r="I146" s="113"/>
      <c r="J146" s="113"/>
      <c r="K146" s="7"/>
      <c r="L146" s="18"/>
      <c r="M146" s="17"/>
      <c r="N146" s="17"/>
      <c r="O146" s="68"/>
      <c r="P146" s="68"/>
      <c r="Q146" s="6"/>
      <c r="R146" s="6"/>
      <c r="S146" s="6"/>
      <c r="T146" s="6"/>
      <c r="U146" s="6"/>
      <c r="V146" s="6"/>
      <c r="W146" s="6" t="s">
        <v>218</v>
      </c>
      <c r="X146" s="6" t="s">
        <v>218</v>
      </c>
      <c r="CQ146" s="6" t="s">
        <v>218</v>
      </c>
      <c r="CR146" s="6" t="s">
        <v>218</v>
      </c>
    </row>
    <row r="147" spans="1:96" ht="40.049999999999997" customHeight="1" x14ac:dyDescent="0.3">
      <c r="A147" s="45"/>
      <c r="B147" s="80"/>
      <c r="H147" s="113"/>
      <c r="I147" s="113"/>
      <c r="J147" s="113"/>
      <c r="K147" s="7"/>
      <c r="L147" s="18"/>
      <c r="M147" s="17"/>
      <c r="N147" s="17"/>
      <c r="O147" s="68"/>
      <c r="P147" s="68"/>
      <c r="Q147" s="6"/>
      <c r="R147" s="6"/>
      <c r="S147" s="6"/>
      <c r="T147" s="6"/>
      <c r="U147" s="6"/>
      <c r="V147" s="6"/>
      <c r="W147" s="6" t="s">
        <v>218</v>
      </c>
      <c r="X147" s="6" t="s">
        <v>218</v>
      </c>
      <c r="CQ147" s="6" t="s">
        <v>218</v>
      </c>
      <c r="CR147" s="6" t="s">
        <v>218</v>
      </c>
    </row>
    <row r="148" spans="1:96" ht="40.049999999999997" customHeight="1" x14ac:dyDescent="0.3">
      <c r="A148" s="45"/>
      <c r="B148" s="80"/>
      <c r="H148" s="113"/>
      <c r="I148" s="113"/>
      <c r="J148" s="113"/>
      <c r="K148" s="7"/>
      <c r="L148" s="18"/>
      <c r="M148" s="17"/>
      <c r="N148" s="17"/>
      <c r="O148" s="68"/>
      <c r="P148" s="68"/>
      <c r="Q148" s="6"/>
      <c r="R148" s="6"/>
      <c r="S148" s="6"/>
      <c r="T148" s="6"/>
      <c r="U148" s="6"/>
      <c r="V148" s="6"/>
      <c r="W148" s="6" t="s">
        <v>218</v>
      </c>
      <c r="X148" s="6" t="s">
        <v>218</v>
      </c>
      <c r="CQ148" s="6" t="s">
        <v>218</v>
      </c>
      <c r="CR148" s="6" t="s">
        <v>218</v>
      </c>
    </row>
    <row r="149" spans="1:96" ht="40.049999999999997" customHeight="1" x14ac:dyDescent="0.3">
      <c r="A149" s="45"/>
      <c r="B149" s="80"/>
      <c r="H149" s="113"/>
      <c r="I149" s="113"/>
      <c r="J149" s="113"/>
      <c r="K149" s="7"/>
      <c r="L149" s="18"/>
      <c r="M149" s="17"/>
      <c r="N149" s="17"/>
      <c r="O149" s="68"/>
      <c r="P149" s="68"/>
      <c r="Q149" s="6"/>
      <c r="R149" s="6"/>
      <c r="S149" s="6"/>
      <c r="T149" s="6"/>
      <c r="U149" s="6"/>
      <c r="V149" s="6"/>
      <c r="W149" s="6" t="s">
        <v>218</v>
      </c>
      <c r="X149" s="6" t="s">
        <v>218</v>
      </c>
      <c r="CQ149" s="6" t="s">
        <v>218</v>
      </c>
      <c r="CR149" s="6" t="s">
        <v>218</v>
      </c>
    </row>
    <row r="150" spans="1:96" ht="40.049999999999997" customHeight="1" x14ac:dyDescent="0.3">
      <c r="A150" s="45"/>
      <c r="B150" s="80"/>
      <c r="H150" s="113"/>
      <c r="I150" s="113"/>
      <c r="J150" s="113"/>
      <c r="K150" s="7"/>
      <c r="L150" s="18"/>
      <c r="M150" s="17"/>
      <c r="N150" s="17"/>
      <c r="O150" s="68"/>
      <c r="P150" s="68"/>
      <c r="Q150" s="6"/>
      <c r="R150" s="6"/>
      <c r="S150" s="6"/>
      <c r="T150" s="6"/>
      <c r="U150" s="6"/>
      <c r="V150" s="6"/>
      <c r="W150" s="6" t="s">
        <v>218</v>
      </c>
      <c r="X150" s="6" t="s">
        <v>218</v>
      </c>
      <c r="CQ150" s="6" t="s">
        <v>218</v>
      </c>
      <c r="CR150" s="6" t="s">
        <v>218</v>
      </c>
    </row>
    <row r="151" spans="1:96" ht="40.049999999999997" customHeight="1" x14ac:dyDescent="0.3">
      <c r="A151" s="45"/>
      <c r="B151" s="80"/>
      <c r="H151" s="113"/>
      <c r="I151" s="113"/>
      <c r="J151" s="113"/>
      <c r="K151" s="7"/>
      <c r="L151" s="18"/>
      <c r="M151" s="17"/>
      <c r="N151" s="17"/>
      <c r="O151" s="68"/>
      <c r="P151" s="68"/>
      <c r="Q151" s="6"/>
      <c r="R151" s="6"/>
      <c r="S151" s="6"/>
      <c r="T151" s="6"/>
      <c r="U151" s="6"/>
      <c r="V151" s="6"/>
      <c r="W151" s="6" t="s">
        <v>218</v>
      </c>
      <c r="X151" s="6" t="s">
        <v>218</v>
      </c>
      <c r="CQ151" s="6" t="s">
        <v>218</v>
      </c>
      <c r="CR151" s="6" t="s">
        <v>218</v>
      </c>
    </row>
    <row r="152" spans="1:96" ht="40.049999999999997" customHeight="1" x14ac:dyDescent="0.3">
      <c r="A152" s="45"/>
      <c r="B152" s="80"/>
      <c r="H152" s="113"/>
      <c r="I152" s="113"/>
      <c r="J152" s="113"/>
      <c r="K152" s="7"/>
      <c r="L152" s="18"/>
      <c r="M152" s="17"/>
      <c r="N152" s="17"/>
      <c r="O152" s="68"/>
      <c r="P152" s="68"/>
      <c r="Q152" s="6"/>
      <c r="R152" s="6"/>
      <c r="S152" s="6"/>
      <c r="T152" s="6"/>
      <c r="U152" s="6"/>
      <c r="V152" s="6"/>
      <c r="W152" s="6" t="s">
        <v>218</v>
      </c>
      <c r="X152" s="6" t="s">
        <v>218</v>
      </c>
      <c r="CQ152" s="6" t="s">
        <v>218</v>
      </c>
      <c r="CR152" s="6" t="s">
        <v>218</v>
      </c>
    </row>
    <row r="153" spans="1:96" ht="40.049999999999997" customHeight="1" x14ac:dyDescent="0.3">
      <c r="A153" s="45"/>
      <c r="B153" s="80"/>
      <c r="H153" s="113"/>
      <c r="I153" s="113"/>
      <c r="J153" s="113"/>
      <c r="K153" s="7"/>
      <c r="L153" s="18"/>
      <c r="M153" s="17"/>
      <c r="N153" s="17"/>
      <c r="O153" s="68"/>
      <c r="P153" s="68"/>
      <c r="Q153" s="6"/>
      <c r="R153" s="6"/>
      <c r="S153" s="6"/>
      <c r="T153" s="6"/>
      <c r="U153" s="6"/>
      <c r="V153" s="6"/>
      <c r="W153" s="6" t="s">
        <v>218</v>
      </c>
      <c r="X153" s="6" t="s">
        <v>218</v>
      </c>
      <c r="CQ153" s="6" t="s">
        <v>218</v>
      </c>
      <c r="CR153" s="6" t="s">
        <v>218</v>
      </c>
    </row>
    <row r="154" spans="1:96" ht="40.049999999999997" customHeight="1" x14ac:dyDescent="0.3">
      <c r="A154" s="45"/>
      <c r="B154" s="80"/>
      <c r="H154" s="113"/>
      <c r="I154" s="113"/>
      <c r="J154" s="113"/>
      <c r="K154" s="7"/>
      <c r="L154" s="18"/>
      <c r="M154" s="17"/>
      <c r="N154" s="17"/>
      <c r="O154" s="68"/>
      <c r="P154" s="68"/>
      <c r="Q154" s="6"/>
      <c r="R154" s="6"/>
      <c r="S154" s="6"/>
      <c r="T154" s="6"/>
      <c r="U154" s="6"/>
      <c r="V154" s="6"/>
      <c r="W154" s="6" t="s">
        <v>218</v>
      </c>
      <c r="X154" s="6" t="s">
        <v>218</v>
      </c>
      <c r="CQ154" s="6" t="s">
        <v>218</v>
      </c>
      <c r="CR154" s="6" t="s">
        <v>218</v>
      </c>
    </row>
    <row r="155" spans="1:96" ht="40.049999999999997" customHeight="1" x14ac:dyDescent="0.3">
      <c r="A155" s="45"/>
      <c r="B155" s="80"/>
      <c r="H155" s="113"/>
      <c r="I155" s="113"/>
      <c r="J155" s="113"/>
      <c r="K155" s="7"/>
      <c r="L155" s="18"/>
      <c r="M155" s="17"/>
      <c r="N155" s="17"/>
      <c r="O155" s="68"/>
      <c r="P155" s="68"/>
      <c r="Q155" s="6"/>
      <c r="R155" s="6"/>
      <c r="S155" s="6"/>
      <c r="T155" s="6"/>
      <c r="U155" s="6"/>
      <c r="V155" s="6"/>
      <c r="W155" s="6" t="s">
        <v>218</v>
      </c>
      <c r="X155" s="6" t="s">
        <v>218</v>
      </c>
      <c r="CQ155" s="6" t="s">
        <v>218</v>
      </c>
      <c r="CR155" s="6" t="s">
        <v>218</v>
      </c>
    </row>
    <row r="156" spans="1:96" ht="40.049999999999997" customHeight="1" x14ac:dyDescent="0.3">
      <c r="A156" s="45"/>
      <c r="B156" s="80"/>
      <c r="H156" s="113"/>
      <c r="I156" s="113"/>
      <c r="J156" s="113"/>
      <c r="K156" s="7"/>
      <c r="L156" s="18"/>
      <c r="M156" s="17"/>
      <c r="N156" s="17"/>
      <c r="O156" s="68"/>
      <c r="P156" s="68"/>
      <c r="Q156" s="6"/>
      <c r="R156" s="6"/>
      <c r="S156" s="6"/>
      <c r="T156" s="6"/>
      <c r="U156" s="6"/>
      <c r="V156" s="6"/>
      <c r="W156" s="6" t="s">
        <v>218</v>
      </c>
      <c r="X156" s="6" t="s">
        <v>218</v>
      </c>
      <c r="CQ156" s="6" t="s">
        <v>218</v>
      </c>
      <c r="CR156" s="6" t="s">
        <v>218</v>
      </c>
    </row>
    <row r="157" spans="1:96" ht="40.049999999999997" customHeight="1" x14ac:dyDescent="0.3">
      <c r="A157" s="45"/>
      <c r="B157" s="80"/>
      <c r="H157" s="113"/>
      <c r="I157" s="113"/>
      <c r="J157" s="113"/>
      <c r="K157" s="7"/>
      <c r="L157" s="18"/>
      <c r="M157" s="17"/>
      <c r="N157" s="17"/>
      <c r="O157" s="68"/>
      <c r="P157" s="68"/>
      <c r="Q157" s="6"/>
      <c r="R157" s="6"/>
      <c r="S157" s="6"/>
      <c r="T157" s="6"/>
      <c r="U157" s="6"/>
      <c r="V157" s="6"/>
      <c r="W157" s="6" t="s">
        <v>218</v>
      </c>
      <c r="X157" s="6" t="s">
        <v>218</v>
      </c>
      <c r="CQ157" s="6" t="s">
        <v>218</v>
      </c>
      <c r="CR157" s="6" t="s">
        <v>218</v>
      </c>
    </row>
    <row r="158" spans="1:96" ht="40.049999999999997" customHeight="1" x14ac:dyDescent="0.3">
      <c r="A158" s="45"/>
      <c r="B158" s="80"/>
      <c r="H158" s="113"/>
      <c r="I158" s="113"/>
      <c r="J158" s="113"/>
      <c r="K158" s="7"/>
      <c r="L158" s="18"/>
      <c r="M158" s="17"/>
      <c r="N158" s="17"/>
      <c r="O158" s="68"/>
      <c r="P158" s="68"/>
      <c r="Q158" s="6"/>
      <c r="R158" s="6"/>
      <c r="S158" s="6"/>
      <c r="T158" s="6"/>
      <c r="U158" s="6"/>
      <c r="V158" s="6"/>
      <c r="W158" s="6" t="s">
        <v>218</v>
      </c>
      <c r="X158" s="6" t="s">
        <v>218</v>
      </c>
      <c r="CQ158" s="6" t="s">
        <v>218</v>
      </c>
      <c r="CR158" s="6" t="s">
        <v>218</v>
      </c>
    </row>
    <row r="159" spans="1:96" ht="40.049999999999997" customHeight="1" x14ac:dyDescent="0.3">
      <c r="A159" s="45"/>
      <c r="B159" s="80"/>
      <c r="H159" s="113"/>
      <c r="I159" s="113"/>
      <c r="J159" s="113"/>
      <c r="K159" s="7"/>
      <c r="L159" s="18"/>
      <c r="M159" s="17"/>
      <c r="N159" s="17"/>
      <c r="O159" s="68"/>
      <c r="P159" s="68"/>
      <c r="Q159" s="6"/>
      <c r="R159" s="6"/>
      <c r="S159" s="6"/>
      <c r="T159" s="6"/>
      <c r="U159" s="6"/>
      <c r="V159" s="6"/>
      <c r="W159" s="6" t="s">
        <v>218</v>
      </c>
      <c r="X159" s="6" t="s">
        <v>218</v>
      </c>
      <c r="CQ159" s="6" t="s">
        <v>218</v>
      </c>
      <c r="CR159" s="6" t="s">
        <v>218</v>
      </c>
    </row>
    <row r="160" spans="1:96" ht="40.049999999999997" customHeight="1" x14ac:dyDescent="0.3">
      <c r="A160" s="45"/>
      <c r="B160" s="80"/>
      <c r="H160" s="113"/>
      <c r="I160" s="113"/>
      <c r="J160" s="113"/>
      <c r="K160" s="7"/>
      <c r="L160" s="18"/>
      <c r="M160" s="17"/>
      <c r="N160" s="17"/>
      <c r="O160" s="68"/>
      <c r="P160" s="68"/>
      <c r="Q160" s="6"/>
      <c r="R160" s="6"/>
      <c r="S160" s="6"/>
      <c r="T160" s="6"/>
      <c r="U160" s="6"/>
      <c r="V160" s="6"/>
      <c r="W160" s="6" t="s">
        <v>218</v>
      </c>
      <c r="X160" s="6" t="s">
        <v>218</v>
      </c>
      <c r="CQ160" s="6" t="s">
        <v>218</v>
      </c>
      <c r="CR160" s="6" t="s">
        <v>218</v>
      </c>
    </row>
    <row r="161" spans="1:96" ht="40.049999999999997" customHeight="1" x14ac:dyDescent="0.3">
      <c r="A161" s="45"/>
      <c r="B161" s="80"/>
      <c r="H161" s="113"/>
      <c r="I161" s="113"/>
      <c r="J161" s="113"/>
      <c r="K161" s="7"/>
      <c r="L161" s="18"/>
      <c r="M161" s="17"/>
      <c r="N161" s="17"/>
      <c r="O161" s="68"/>
      <c r="P161" s="68"/>
      <c r="Q161" s="6"/>
      <c r="R161" s="6"/>
      <c r="S161" s="6"/>
      <c r="T161" s="6"/>
      <c r="U161" s="6"/>
      <c r="V161" s="6"/>
      <c r="W161" s="6" t="s">
        <v>218</v>
      </c>
      <c r="X161" s="6" t="s">
        <v>218</v>
      </c>
      <c r="CQ161" s="6" t="s">
        <v>218</v>
      </c>
      <c r="CR161" s="6" t="s">
        <v>218</v>
      </c>
    </row>
    <row r="162" spans="1:96" ht="40.049999999999997" customHeight="1" x14ac:dyDescent="0.3">
      <c r="A162" s="45"/>
      <c r="B162" s="80"/>
      <c r="H162" s="113"/>
      <c r="I162" s="113"/>
      <c r="J162" s="113"/>
      <c r="K162" s="7"/>
      <c r="L162" s="18"/>
      <c r="M162" s="17"/>
      <c r="N162" s="17"/>
      <c r="O162" s="68"/>
      <c r="P162" s="68"/>
      <c r="Q162" s="6"/>
      <c r="R162" s="6"/>
      <c r="S162" s="6"/>
      <c r="T162" s="6"/>
      <c r="U162" s="6"/>
      <c r="V162" s="6"/>
      <c r="W162" s="6" t="s">
        <v>218</v>
      </c>
      <c r="X162" s="6" t="s">
        <v>218</v>
      </c>
      <c r="CQ162" s="6" t="s">
        <v>218</v>
      </c>
      <c r="CR162" s="6" t="s">
        <v>218</v>
      </c>
    </row>
    <row r="163" spans="1:96" ht="40.049999999999997" customHeight="1" x14ac:dyDescent="0.3">
      <c r="A163" s="45"/>
      <c r="B163" s="80"/>
      <c r="H163" s="113"/>
      <c r="I163" s="113"/>
      <c r="J163" s="113"/>
      <c r="K163" s="7"/>
      <c r="L163" s="18"/>
      <c r="M163" s="17"/>
      <c r="N163" s="17"/>
      <c r="O163" s="68"/>
      <c r="P163" s="68"/>
      <c r="Q163" s="6"/>
      <c r="R163" s="6"/>
      <c r="S163" s="6"/>
      <c r="T163" s="6"/>
      <c r="U163" s="6"/>
      <c r="V163" s="6"/>
      <c r="W163" s="6" t="s">
        <v>218</v>
      </c>
      <c r="X163" s="6" t="s">
        <v>218</v>
      </c>
      <c r="CQ163" s="6" t="s">
        <v>218</v>
      </c>
      <c r="CR163" s="6" t="s">
        <v>218</v>
      </c>
    </row>
    <row r="164" spans="1:96" ht="40.049999999999997" customHeight="1" x14ac:dyDescent="0.3">
      <c r="A164" s="45"/>
      <c r="B164" s="80"/>
      <c r="H164" s="113"/>
      <c r="I164" s="113"/>
      <c r="J164" s="113"/>
      <c r="K164" s="7"/>
      <c r="L164" s="18"/>
      <c r="M164" s="17"/>
      <c r="N164" s="17"/>
      <c r="O164" s="68"/>
      <c r="P164" s="68"/>
      <c r="Q164" s="6"/>
      <c r="R164" s="6"/>
      <c r="S164" s="6"/>
      <c r="T164" s="6"/>
      <c r="U164" s="6"/>
      <c r="V164" s="6"/>
      <c r="W164" s="6" t="s">
        <v>218</v>
      </c>
      <c r="X164" s="6" t="s">
        <v>218</v>
      </c>
      <c r="CQ164" s="6" t="s">
        <v>218</v>
      </c>
      <c r="CR164" s="6" t="s">
        <v>218</v>
      </c>
    </row>
    <row r="165" spans="1:96" ht="40.049999999999997" customHeight="1" x14ac:dyDescent="0.3">
      <c r="A165" s="45"/>
      <c r="B165" s="80"/>
      <c r="H165" s="113"/>
      <c r="I165" s="113"/>
      <c r="J165" s="113"/>
      <c r="K165" s="7"/>
      <c r="L165" s="18"/>
      <c r="M165" s="17"/>
      <c r="N165" s="17"/>
      <c r="O165" s="68"/>
      <c r="P165" s="68"/>
      <c r="Q165" s="6"/>
      <c r="R165" s="6"/>
      <c r="S165" s="6"/>
      <c r="T165" s="6"/>
      <c r="U165" s="6"/>
      <c r="V165" s="6"/>
      <c r="W165" s="6" t="s">
        <v>218</v>
      </c>
      <c r="X165" s="6" t="s">
        <v>218</v>
      </c>
      <c r="CQ165" s="6" t="s">
        <v>218</v>
      </c>
      <c r="CR165" s="6" t="s">
        <v>218</v>
      </c>
    </row>
    <row r="166" spans="1:96" ht="40.049999999999997" customHeight="1" x14ac:dyDescent="0.3">
      <c r="A166" s="45"/>
      <c r="B166" s="80"/>
      <c r="H166" s="113"/>
      <c r="I166" s="113"/>
      <c r="J166" s="113"/>
      <c r="K166" s="7"/>
      <c r="L166" s="18"/>
      <c r="M166" s="17"/>
      <c r="N166" s="17"/>
      <c r="O166" s="68"/>
      <c r="P166" s="68"/>
      <c r="Q166" s="6"/>
      <c r="R166" s="6"/>
      <c r="S166" s="6"/>
      <c r="T166" s="6"/>
      <c r="U166" s="6"/>
      <c r="V166" s="6"/>
      <c r="W166" s="6" t="s">
        <v>218</v>
      </c>
      <c r="X166" s="6" t="s">
        <v>218</v>
      </c>
      <c r="CQ166" s="6" t="s">
        <v>218</v>
      </c>
      <c r="CR166" s="6" t="s">
        <v>218</v>
      </c>
    </row>
    <row r="167" spans="1:96" ht="40.049999999999997" customHeight="1" x14ac:dyDescent="0.3">
      <c r="A167" s="45"/>
      <c r="B167" s="80"/>
      <c r="H167" s="113"/>
      <c r="I167" s="113"/>
      <c r="J167" s="113"/>
      <c r="K167" s="7"/>
      <c r="L167" s="18"/>
      <c r="M167" s="17"/>
      <c r="N167" s="17"/>
      <c r="O167" s="68"/>
      <c r="P167" s="68"/>
      <c r="Q167" s="6"/>
      <c r="R167" s="6"/>
      <c r="S167" s="6"/>
      <c r="T167" s="6"/>
      <c r="U167" s="6"/>
      <c r="V167" s="6"/>
      <c r="W167" s="6" t="s">
        <v>218</v>
      </c>
      <c r="X167" s="6" t="s">
        <v>218</v>
      </c>
      <c r="CQ167" s="6" t="s">
        <v>218</v>
      </c>
      <c r="CR167" s="6" t="s">
        <v>218</v>
      </c>
    </row>
    <row r="168" spans="1:96" ht="40.049999999999997" customHeight="1" x14ac:dyDescent="0.3">
      <c r="A168" s="45"/>
      <c r="B168" s="80"/>
      <c r="H168" s="113"/>
      <c r="I168" s="113"/>
      <c r="J168" s="113"/>
      <c r="K168" s="7"/>
      <c r="L168" s="18"/>
      <c r="M168" s="17"/>
      <c r="N168" s="17"/>
      <c r="O168" s="68"/>
      <c r="P168" s="68"/>
      <c r="Q168" s="6"/>
      <c r="R168" s="6"/>
      <c r="S168" s="6"/>
      <c r="T168" s="6"/>
      <c r="U168" s="6"/>
      <c r="V168" s="6"/>
      <c r="W168" s="6" t="s">
        <v>218</v>
      </c>
      <c r="X168" s="6" t="s">
        <v>218</v>
      </c>
      <c r="CQ168" s="6" t="s">
        <v>218</v>
      </c>
      <c r="CR168" s="6" t="s">
        <v>218</v>
      </c>
    </row>
    <row r="169" spans="1:96" ht="40.049999999999997" customHeight="1" x14ac:dyDescent="0.3">
      <c r="A169" s="45"/>
      <c r="B169" s="80"/>
      <c r="H169" s="113"/>
      <c r="I169" s="113"/>
      <c r="J169" s="113"/>
      <c r="K169" s="7"/>
      <c r="L169" s="18"/>
      <c r="M169" s="17"/>
      <c r="N169" s="17"/>
      <c r="O169" s="68"/>
      <c r="P169" s="68"/>
      <c r="Q169" s="6"/>
      <c r="R169" s="6"/>
      <c r="S169" s="6"/>
      <c r="T169" s="6"/>
      <c r="U169" s="6"/>
      <c r="V169" s="6"/>
      <c r="W169" s="6" t="s">
        <v>218</v>
      </c>
      <c r="X169" s="6" t="s">
        <v>218</v>
      </c>
      <c r="CQ169" s="6" t="s">
        <v>218</v>
      </c>
      <c r="CR169" s="6" t="s">
        <v>218</v>
      </c>
    </row>
    <row r="170" spans="1:96" ht="40.049999999999997" customHeight="1" x14ac:dyDescent="0.3">
      <c r="A170" s="45"/>
      <c r="B170" s="80"/>
      <c r="H170" s="113"/>
      <c r="I170" s="113"/>
      <c r="J170" s="113"/>
      <c r="K170" s="7"/>
      <c r="L170" s="18"/>
      <c r="M170" s="17"/>
      <c r="N170" s="17"/>
      <c r="O170" s="68"/>
      <c r="P170" s="68"/>
      <c r="Q170" s="6"/>
      <c r="R170" s="6"/>
      <c r="S170" s="6"/>
      <c r="T170" s="6"/>
      <c r="U170" s="6"/>
      <c r="V170" s="6"/>
      <c r="W170" s="6" t="s">
        <v>218</v>
      </c>
      <c r="X170" s="6" t="s">
        <v>218</v>
      </c>
      <c r="CQ170" s="6" t="s">
        <v>218</v>
      </c>
      <c r="CR170" s="6" t="s">
        <v>218</v>
      </c>
    </row>
    <row r="171" spans="1:96" ht="40.049999999999997" customHeight="1" x14ac:dyDescent="0.3">
      <c r="A171" s="45"/>
      <c r="B171" s="80"/>
      <c r="H171" s="113"/>
      <c r="I171" s="113"/>
      <c r="J171" s="113"/>
      <c r="K171" s="7"/>
      <c r="L171" s="18"/>
      <c r="M171" s="17"/>
      <c r="N171" s="17"/>
      <c r="O171" s="68"/>
      <c r="P171" s="68"/>
      <c r="Q171" s="6"/>
      <c r="R171" s="6"/>
      <c r="S171" s="6"/>
      <c r="T171" s="6"/>
      <c r="U171" s="6"/>
      <c r="V171" s="6"/>
      <c r="W171" s="6" t="s">
        <v>218</v>
      </c>
      <c r="X171" s="6" t="s">
        <v>218</v>
      </c>
      <c r="CQ171" s="6" t="s">
        <v>218</v>
      </c>
      <c r="CR171" s="6" t="s">
        <v>218</v>
      </c>
    </row>
    <row r="172" spans="1:96" ht="40.049999999999997" customHeight="1" x14ac:dyDescent="0.3">
      <c r="A172" s="45"/>
      <c r="B172" s="80"/>
      <c r="H172" s="113"/>
      <c r="I172" s="113"/>
      <c r="J172" s="113"/>
      <c r="K172" s="7"/>
      <c r="L172" s="18"/>
      <c r="M172" s="17"/>
      <c r="N172" s="17"/>
      <c r="O172" s="68"/>
      <c r="P172" s="68"/>
      <c r="Q172" s="6"/>
      <c r="R172" s="6"/>
      <c r="S172" s="6"/>
      <c r="T172" s="6"/>
      <c r="U172" s="6"/>
      <c r="V172" s="6"/>
      <c r="W172" s="6" t="s">
        <v>218</v>
      </c>
      <c r="X172" s="6" t="s">
        <v>218</v>
      </c>
      <c r="CQ172" s="6" t="s">
        <v>218</v>
      </c>
      <c r="CR172" s="6" t="s">
        <v>218</v>
      </c>
    </row>
    <row r="173" spans="1:96" ht="40.049999999999997" customHeight="1" x14ac:dyDescent="0.3">
      <c r="A173" s="45"/>
      <c r="B173" s="80"/>
      <c r="H173" s="113"/>
      <c r="I173" s="113"/>
      <c r="J173" s="113"/>
      <c r="K173" s="7"/>
      <c r="L173" s="18"/>
      <c r="M173" s="17"/>
      <c r="N173" s="17"/>
      <c r="O173" s="68"/>
      <c r="P173" s="68"/>
      <c r="Q173" s="6"/>
      <c r="R173" s="6"/>
      <c r="S173" s="6"/>
      <c r="T173" s="6"/>
      <c r="U173" s="6"/>
      <c r="V173" s="6"/>
      <c r="W173" s="6" t="s">
        <v>218</v>
      </c>
      <c r="X173" s="6" t="s">
        <v>218</v>
      </c>
      <c r="CQ173" s="6" t="s">
        <v>218</v>
      </c>
      <c r="CR173" s="6" t="s">
        <v>218</v>
      </c>
    </row>
    <row r="174" spans="1:96" ht="40.049999999999997" customHeight="1" x14ac:dyDescent="0.3">
      <c r="A174" s="45"/>
      <c r="B174" s="80"/>
      <c r="H174" s="113"/>
      <c r="I174" s="113"/>
      <c r="J174" s="113"/>
      <c r="K174" s="7"/>
      <c r="L174" s="18"/>
      <c r="M174" s="17"/>
      <c r="N174" s="17"/>
      <c r="O174" s="68"/>
      <c r="P174" s="68"/>
      <c r="Q174" s="6"/>
      <c r="R174" s="6"/>
      <c r="S174" s="6"/>
      <c r="T174" s="6"/>
      <c r="U174" s="6"/>
      <c r="V174" s="6"/>
      <c r="W174" s="6" t="s">
        <v>218</v>
      </c>
      <c r="X174" s="6" t="s">
        <v>218</v>
      </c>
      <c r="CQ174" s="6" t="s">
        <v>218</v>
      </c>
      <c r="CR174" s="6" t="s">
        <v>218</v>
      </c>
    </row>
    <row r="175" spans="1:96" ht="40.049999999999997" customHeight="1" x14ac:dyDescent="0.3">
      <c r="A175" s="45"/>
      <c r="B175" s="80"/>
      <c r="H175" s="113"/>
      <c r="I175" s="113"/>
      <c r="J175" s="113"/>
      <c r="K175" s="7"/>
      <c r="L175" s="18"/>
      <c r="M175" s="17"/>
      <c r="N175" s="17"/>
      <c r="O175" s="68"/>
      <c r="P175" s="68"/>
      <c r="Q175" s="6"/>
      <c r="R175" s="6"/>
      <c r="S175" s="6"/>
      <c r="T175" s="6"/>
      <c r="U175" s="6"/>
      <c r="V175" s="6"/>
      <c r="W175" s="6" t="s">
        <v>218</v>
      </c>
      <c r="X175" s="6" t="s">
        <v>218</v>
      </c>
      <c r="CQ175" s="6" t="s">
        <v>218</v>
      </c>
      <c r="CR175" s="6" t="s">
        <v>218</v>
      </c>
    </row>
    <row r="176" spans="1:96" ht="40.049999999999997" customHeight="1" x14ac:dyDescent="0.3">
      <c r="A176" s="45"/>
      <c r="B176" s="80"/>
      <c r="H176" s="113"/>
      <c r="I176" s="113"/>
      <c r="J176" s="113"/>
      <c r="K176" s="7"/>
      <c r="L176" s="18"/>
      <c r="M176" s="17"/>
      <c r="N176" s="17"/>
      <c r="O176" s="68"/>
      <c r="P176" s="68"/>
      <c r="Q176" s="6"/>
      <c r="R176" s="6"/>
      <c r="S176" s="6"/>
      <c r="T176" s="6"/>
      <c r="U176" s="6"/>
      <c r="V176" s="6"/>
      <c r="W176" s="6" t="s">
        <v>218</v>
      </c>
      <c r="X176" s="6" t="s">
        <v>218</v>
      </c>
      <c r="CQ176" s="6" t="s">
        <v>218</v>
      </c>
      <c r="CR176" s="6" t="s">
        <v>218</v>
      </c>
    </row>
    <row r="177" spans="1:96" ht="40.049999999999997" customHeight="1" x14ac:dyDescent="0.3">
      <c r="A177" s="45"/>
      <c r="B177" s="80"/>
      <c r="H177" s="113"/>
      <c r="I177" s="113"/>
      <c r="J177" s="113"/>
      <c r="K177" s="7"/>
      <c r="L177" s="18"/>
      <c r="M177" s="17"/>
      <c r="N177" s="17"/>
      <c r="O177" s="68"/>
      <c r="P177" s="68"/>
      <c r="Q177" s="6"/>
      <c r="R177" s="6"/>
      <c r="S177" s="6"/>
      <c r="T177" s="6"/>
      <c r="U177" s="6"/>
      <c r="V177" s="6"/>
      <c r="W177" s="6" t="s">
        <v>218</v>
      </c>
      <c r="X177" s="6" t="s">
        <v>218</v>
      </c>
      <c r="CQ177" s="6" t="s">
        <v>218</v>
      </c>
      <c r="CR177" s="6" t="s">
        <v>218</v>
      </c>
    </row>
    <row r="178" spans="1:96" ht="40.049999999999997" customHeight="1" x14ac:dyDescent="0.3">
      <c r="A178" s="45"/>
      <c r="B178" s="80"/>
      <c r="H178" s="113"/>
      <c r="I178" s="113"/>
      <c r="J178" s="113"/>
      <c r="K178" s="7"/>
      <c r="L178" s="18"/>
      <c r="M178" s="17"/>
      <c r="N178" s="17"/>
      <c r="O178" s="68"/>
      <c r="P178" s="68"/>
      <c r="Q178" s="6"/>
      <c r="R178" s="6"/>
      <c r="S178" s="6"/>
      <c r="T178" s="6"/>
      <c r="U178" s="6"/>
      <c r="V178" s="6"/>
      <c r="W178" s="6" t="s">
        <v>218</v>
      </c>
      <c r="X178" s="6" t="s">
        <v>218</v>
      </c>
      <c r="CQ178" s="6" t="s">
        <v>218</v>
      </c>
      <c r="CR178" s="6" t="s">
        <v>218</v>
      </c>
    </row>
    <row r="179" spans="1:96" ht="40.049999999999997" customHeight="1" x14ac:dyDescent="0.3">
      <c r="A179" s="45"/>
      <c r="B179" s="80"/>
      <c r="H179" s="113"/>
      <c r="I179" s="113"/>
      <c r="J179" s="113"/>
      <c r="K179" s="7"/>
      <c r="L179" s="18"/>
      <c r="M179" s="17"/>
      <c r="N179" s="17"/>
      <c r="O179" s="68"/>
      <c r="P179" s="68"/>
      <c r="Q179" s="6"/>
      <c r="R179" s="6"/>
      <c r="S179" s="6"/>
      <c r="T179" s="6"/>
      <c r="U179" s="6"/>
      <c r="V179" s="6"/>
      <c r="W179" s="6" t="s">
        <v>218</v>
      </c>
      <c r="X179" s="6" t="s">
        <v>218</v>
      </c>
      <c r="CQ179" s="6" t="s">
        <v>218</v>
      </c>
      <c r="CR179" s="6" t="s">
        <v>218</v>
      </c>
    </row>
    <row r="180" spans="1:96" ht="40.049999999999997" customHeight="1" x14ac:dyDescent="0.3">
      <c r="A180" s="45"/>
      <c r="B180" s="80"/>
      <c r="H180" s="113"/>
      <c r="I180" s="113"/>
      <c r="J180" s="113"/>
      <c r="K180" s="7"/>
      <c r="L180" s="18"/>
      <c r="M180" s="17"/>
      <c r="N180" s="17"/>
      <c r="O180" s="68"/>
      <c r="P180" s="68"/>
      <c r="Q180" s="6"/>
      <c r="R180" s="6"/>
      <c r="S180" s="6"/>
      <c r="T180" s="6"/>
      <c r="U180" s="6"/>
      <c r="V180" s="6"/>
      <c r="W180" s="6" t="s">
        <v>218</v>
      </c>
      <c r="X180" s="6" t="s">
        <v>218</v>
      </c>
      <c r="CQ180" s="6" t="s">
        <v>218</v>
      </c>
      <c r="CR180" s="6" t="s">
        <v>218</v>
      </c>
    </row>
    <row r="181" spans="1:96" ht="40.049999999999997" customHeight="1" x14ac:dyDescent="0.3">
      <c r="A181" s="45"/>
      <c r="B181" s="80"/>
      <c r="H181" s="113"/>
      <c r="I181" s="113"/>
      <c r="J181" s="113"/>
      <c r="K181" s="7"/>
      <c r="L181" s="18"/>
      <c r="M181" s="17"/>
      <c r="N181" s="17"/>
      <c r="O181" s="68"/>
      <c r="P181" s="68"/>
      <c r="Q181" s="6"/>
      <c r="R181" s="6"/>
      <c r="S181" s="6"/>
      <c r="T181" s="6"/>
      <c r="U181" s="6"/>
      <c r="V181" s="6"/>
      <c r="W181" s="6" t="s">
        <v>218</v>
      </c>
      <c r="X181" s="6" t="s">
        <v>218</v>
      </c>
      <c r="CQ181" s="6" t="s">
        <v>218</v>
      </c>
      <c r="CR181" s="6" t="s">
        <v>218</v>
      </c>
    </row>
    <row r="182" spans="1:96" ht="40.049999999999997" customHeight="1" x14ac:dyDescent="0.3">
      <c r="A182" s="45"/>
      <c r="B182" s="80"/>
      <c r="H182" s="113"/>
      <c r="I182" s="113"/>
      <c r="J182" s="113"/>
      <c r="K182" s="7"/>
      <c r="L182" s="18"/>
      <c r="M182" s="17"/>
      <c r="N182" s="17"/>
      <c r="O182" s="68"/>
      <c r="P182" s="68"/>
      <c r="Q182" s="6"/>
      <c r="R182" s="6"/>
      <c r="S182" s="6"/>
      <c r="T182" s="6"/>
      <c r="U182" s="6"/>
      <c r="V182" s="6"/>
      <c r="W182" s="6" t="s">
        <v>218</v>
      </c>
      <c r="X182" s="6" t="s">
        <v>218</v>
      </c>
      <c r="CQ182" s="6" t="s">
        <v>218</v>
      </c>
      <c r="CR182" s="6" t="s">
        <v>218</v>
      </c>
    </row>
    <row r="183" spans="1:96" ht="40.049999999999997" customHeight="1" x14ac:dyDescent="0.3">
      <c r="A183" s="45"/>
      <c r="B183" s="80"/>
      <c r="H183" s="113"/>
      <c r="I183" s="113"/>
      <c r="J183" s="113"/>
      <c r="K183" s="7"/>
      <c r="L183" s="18"/>
      <c r="M183" s="17"/>
      <c r="N183" s="17"/>
      <c r="O183" s="68"/>
      <c r="P183" s="68"/>
      <c r="Q183" s="6"/>
      <c r="R183" s="6"/>
      <c r="S183" s="6"/>
      <c r="T183" s="6"/>
      <c r="U183" s="6"/>
      <c r="V183" s="6"/>
      <c r="W183" s="6" t="s">
        <v>218</v>
      </c>
      <c r="X183" s="6" t="s">
        <v>218</v>
      </c>
      <c r="CQ183" s="6" t="s">
        <v>218</v>
      </c>
      <c r="CR183" s="6" t="s">
        <v>218</v>
      </c>
    </row>
    <row r="184" spans="1:96" ht="40.049999999999997" customHeight="1" x14ac:dyDescent="0.3">
      <c r="A184" s="45"/>
      <c r="B184" s="80"/>
      <c r="H184" s="113"/>
      <c r="I184" s="113"/>
      <c r="J184" s="113"/>
      <c r="K184" s="7"/>
      <c r="L184" s="18"/>
      <c r="M184" s="17"/>
      <c r="N184" s="17"/>
      <c r="O184" s="68"/>
      <c r="P184" s="68"/>
      <c r="Q184" s="6"/>
      <c r="R184" s="6"/>
      <c r="S184" s="6"/>
      <c r="T184" s="6"/>
      <c r="U184" s="6"/>
      <c r="V184" s="6"/>
      <c r="W184" s="6" t="s">
        <v>218</v>
      </c>
      <c r="X184" s="6" t="s">
        <v>218</v>
      </c>
      <c r="CQ184" s="6" t="s">
        <v>218</v>
      </c>
      <c r="CR184" s="6" t="s">
        <v>218</v>
      </c>
    </row>
    <row r="185" spans="1:96" ht="40.049999999999997" customHeight="1" x14ac:dyDescent="0.3">
      <c r="A185" s="45"/>
      <c r="B185" s="80"/>
      <c r="H185" s="113"/>
      <c r="I185" s="113"/>
      <c r="J185" s="113"/>
      <c r="K185" s="7"/>
      <c r="L185" s="18"/>
      <c r="M185" s="17"/>
      <c r="N185" s="17"/>
      <c r="O185" s="68"/>
      <c r="P185" s="68"/>
      <c r="Q185" s="6"/>
      <c r="R185" s="6"/>
      <c r="S185" s="6"/>
      <c r="T185" s="6"/>
      <c r="U185" s="6"/>
      <c r="V185" s="6"/>
      <c r="W185" s="6" t="s">
        <v>218</v>
      </c>
      <c r="X185" s="6" t="s">
        <v>218</v>
      </c>
      <c r="CQ185" s="6" t="s">
        <v>218</v>
      </c>
      <c r="CR185" s="6" t="s">
        <v>218</v>
      </c>
    </row>
    <row r="186" spans="1:96" ht="40.049999999999997" customHeight="1" x14ac:dyDescent="0.3">
      <c r="A186" s="45"/>
      <c r="B186" s="80"/>
      <c r="H186" s="113"/>
      <c r="I186" s="113"/>
      <c r="J186" s="113"/>
      <c r="K186" s="7"/>
      <c r="L186" s="18"/>
      <c r="M186" s="17"/>
      <c r="N186" s="17"/>
      <c r="O186" s="68"/>
      <c r="P186" s="68"/>
      <c r="Q186" s="6"/>
      <c r="R186" s="6"/>
      <c r="S186" s="6"/>
      <c r="T186" s="6"/>
      <c r="U186" s="6"/>
      <c r="V186" s="6"/>
      <c r="W186" s="6" t="s">
        <v>218</v>
      </c>
      <c r="X186" s="6" t="s">
        <v>218</v>
      </c>
      <c r="CQ186" s="6" t="s">
        <v>218</v>
      </c>
      <c r="CR186" s="6" t="s">
        <v>218</v>
      </c>
    </row>
    <row r="187" spans="1:96" ht="40.049999999999997" customHeight="1" x14ac:dyDescent="0.3">
      <c r="A187" s="45"/>
      <c r="B187" s="80"/>
      <c r="H187" s="113"/>
      <c r="I187" s="113"/>
      <c r="J187" s="113"/>
      <c r="K187" s="7"/>
      <c r="L187" s="18"/>
      <c r="M187" s="17"/>
      <c r="N187" s="17"/>
      <c r="O187" s="68"/>
      <c r="P187" s="68"/>
      <c r="Q187" s="6"/>
      <c r="R187" s="6"/>
      <c r="S187" s="6"/>
      <c r="T187" s="6"/>
      <c r="U187" s="6"/>
      <c r="V187" s="6"/>
      <c r="W187" s="6" t="s">
        <v>218</v>
      </c>
      <c r="X187" s="6" t="s">
        <v>218</v>
      </c>
      <c r="CQ187" s="6" t="s">
        <v>218</v>
      </c>
      <c r="CR187" s="6" t="s">
        <v>218</v>
      </c>
    </row>
    <row r="188" spans="1:96" ht="40.049999999999997" customHeight="1" x14ac:dyDescent="0.3">
      <c r="A188" s="45"/>
      <c r="B188" s="80"/>
      <c r="H188" s="113"/>
      <c r="I188" s="113"/>
      <c r="J188" s="113"/>
      <c r="K188" s="7"/>
      <c r="L188" s="18"/>
      <c r="M188" s="17"/>
      <c r="N188" s="17"/>
      <c r="O188" s="68"/>
      <c r="P188" s="68"/>
      <c r="Q188" s="6"/>
      <c r="R188" s="6"/>
      <c r="S188" s="6"/>
      <c r="T188" s="6"/>
      <c r="U188" s="6"/>
      <c r="V188" s="6"/>
      <c r="W188" s="6" t="s">
        <v>218</v>
      </c>
      <c r="X188" s="6" t="s">
        <v>218</v>
      </c>
      <c r="CQ188" s="6" t="s">
        <v>218</v>
      </c>
      <c r="CR188" s="6" t="s">
        <v>218</v>
      </c>
    </row>
    <row r="189" spans="1:96" ht="40.049999999999997" customHeight="1" x14ac:dyDescent="0.3">
      <c r="A189" s="45"/>
      <c r="B189" s="80"/>
      <c r="H189" s="113"/>
      <c r="I189" s="113"/>
      <c r="J189" s="113"/>
      <c r="K189" s="7"/>
      <c r="L189" s="18"/>
      <c r="M189" s="17"/>
      <c r="N189" s="17"/>
      <c r="O189" s="68"/>
      <c r="P189" s="68"/>
      <c r="Q189" s="6"/>
      <c r="R189" s="6"/>
      <c r="S189" s="6"/>
      <c r="T189" s="6"/>
      <c r="U189" s="6"/>
      <c r="V189" s="6"/>
      <c r="W189" s="6" t="s">
        <v>218</v>
      </c>
      <c r="X189" s="6" t="s">
        <v>218</v>
      </c>
      <c r="CQ189" s="6" t="s">
        <v>218</v>
      </c>
      <c r="CR189" s="6" t="s">
        <v>218</v>
      </c>
    </row>
    <row r="190" spans="1:96" ht="40.049999999999997" customHeight="1" x14ac:dyDescent="0.3">
      <c r="A190" s="45"/>
      <c r="B190" s="80"/>
      <c r="H190" s="113"/>
      <c r="I190" s="113"/>
      <c r="J190" s="113"/>
      <c r="K190" s="7"/>
      <c r="L190" s="18"/>
      <c r="M190" s="17"/>
      <c r="N190" s="17"/>
      <c r="O190" s="68"/>
      <c r="P190" s="68"/>
      <c r="Q190" s="6"/>
      <c r="R190" s="6"/>
      <c r="S190" s="6"/>
      <c r="T190" s="6"/>
      <c r="U190" s="6"/>
      <c r="V190" s="6"/>
      <c r="W190" s="6" t="s">
        <v>218</v>
      </c>
      <c r="X190" s="6" t="s">
        <v>218</v>
      </c>
      <c r="CQ190" s="6" t="s">
        <v>218</v>
      </c>
      <c r="CR190" s="6" t="s">
        <v>218</v>
      </c>
    </row>
    <row r="191" spans="1:96" ht="40.049999999999997" customHeight="1" x14ac:dyDescent="0.3">
      <c r="A191" s="45"/>
      <c r="B191" s="80"/>
      <c r="H191" s="113"/>
      <c r="I191" s="113"/>
      <c r="J191" s="113"/>
      <c r="K191" s="7"/>
      <c r="L191" s="18"/>
      <c r="Q191" s="6"/>
      <c r="R191" s="6"/>
      <c r="S191" s="6"/>
      <c r="T191" s="6"/>
      <c r="U191" s="6"/>
      <c r="V191" s="6"/>
      <c r="W191" s="6" t="s">
        <v>218</v>
      </c>
      <c r="X191" s="6" t="s">
        <v>218</v>
      </c>
      <c r="CQ191" s="6" t="s">
        <v>218</v>
      </c>
      <c r="CR191" s="6" t="s">
        <v>218</v>
      </c>
    </row>
    <row r="192" spans="1:96" ht="40.049999999999997" customHeight="1" x14ac:dyDescent="0.3">
      <c r="A192" s="45"/>
      <c r="B192" s="80"/>
      <c r="H192" s="113"/>
      <c r="I192" s="113"/>
      <c r="J192" s="113"/>
      <c r="K192" s="7"/>
      <c r="L192" s="18"/>
      <c r="Q192" s="6"/>
      <c r="R192" s="6"/>
      <c r="S192" s="6"/>
      <c r="T192" s="6"/>
      <c r="U192" s="6"/>
      <c r="V192" s="6"/>
      <c r="W192" s="6" t="s">
        <v>218</v>
      </c>
      <c r="X192" s="6" t="s">
        <v>218</v>
      </c>
      <c r="CQ192" s="6" t="s">
        <v>218</v>
      </c>
      <c r="CR192" s="6" t="s">
        <v>218</v>
      </c>
    </row>
    <row r="193" spans="1:96" ht="40.049999999999997" customHeight="1" x14ac:dyDescent="0.3">
      <c r="A193" s="45"/>
      <c r="B193" s="80"/>
      <c r="H193" s="113"/>
      <c r="I193" s="113"/>
      <c r="J193" s="113"/>
      <c r="K193" s="7"/>
      <c r="L193" s="18"/>
      <c r="Q193" s="6"/>
      <c r="R193" s="6"/>
      <c r="S193" s="6"/>
      <c r="T193" s="6"/>
      <c r="U193" s="6"/>
      <c r="V193" s="6"/>
      <c r="W193" s="6" t="s">
        <v>218</v>
      </c>
      <c r="X193" s="6" t="s">
        <v>218</v>
      </c>
      <c r="CQ193" s="6" t="s">
        <v>218</v>
      </c>
      <c r="CR193" s="6" t="s">
        <v>218</v>
      </c>
    </row>
    <row r="194" spans="1:96" ht="40.049999999999997" customHeight="1" x14ac:dyDescent="0.3">
      <c r="A194" s="45"/>
      <c r="B194" s="80"/>
      <c r="H194" s="113"/>
      <c r="I194" s="113"/>
      <c r="J194" s="113"/>
      <c r="K194" s="7"/>
      <c r="L194" s="18"/>
      <c r="Q194" s="6"/>
      <c r="R194" s="6"/>
      <c r="S194" s="6"/>
      <c r="T194" s="6"/>
      <c r="U194" s="6"/>
      <c r="V194" s="6"/>
      <c r="W194" s="6" t="s">
        <v>218</v>
      </c>
      <c r="X194" s="6" t="s">
        <v>218</v>
      </c>
      <c r="CQ194" s="6" t="s">
        <v>218</v>
      </c>
      <c r="CR194" s="6" t="s">
        <v>218</v>
      </c>
    </row>
    <row r="195" spans="1:96" ht="40.049999999999997" customHeight="1" x14ac:dyDescent="0.3">
      <c r="A195" s="45"/>
      <c r="B195" s="80"/>
      <c r="H195" s="113"/>
      <c r="I195" s="113"/>
      <c r="J195" s="113"/>
      <c r="K195" s="7"/>
      <c r="L195" s="18"/>
      <c r="Q195" s="6"/>
      <c r="R195" s="6"/>
      <c r="S195" s="6"/>
      <c r="T195" s="6"/>
      <c r="U195" s="6"/>
      <c r="V195" s="6"/>
      <c r="W195" s="6" t="s">
        <v>218</v>
      </c>
      <c r="X195" s="6" t="s">
        <v>218</v>
      </c>
      <c r="CQ195" s="6" t="s">
        <v>218</v>
      </c>
      <c r="CR195" s="6" t="s">
        <v>218</v>
      </c>
    </row>
    <row r="196" spans="1:96" ht="40.049999999999997" customHeight="1" x14ac:dyDescent="0.3">
      <c r="A196" s="45"/>
      <c r="B196" s="80"/>
      <c r="H196" s="113"/>
      <c r="I196" s="113"/>
      <c r="J196" s="113"/>
      <c r="K196" s="7"/>
      <c r="L196" s="18"/>
      <c r="Q196" s="6"/>
      <c r="R196" s="6"/>
      <c r="S196" s="6"/>
      <c r="T196" s="6"/>
      <c r="U196" s="6"/>
      <c r="V196" s="6"/>
      <c r="W196" s="6" t="s">
        <v>218</v>
      </c>
      <c r="X196" s="6" t="s">
        <v>218</v>
      </c>
      <c r="CQ196" s="6" t="s">
        <v>218</v>
      </c>
      <c r="CR196" s="6" t="s">
        <v>218</v>
      </c>
    </row>
    <row r="197" spans="1:96" ht="40.049999999999997" customHeight="1" x14ac:dyDescent="0.3">
      <c r="A197" s="45"/>
      <c r="B197" s="80"/>
      <c r="H197" s="113"/>
      <c r="I197" s="113"/>
      <c r="J197" s="113"/>
      <c r="K197" s="7"/>
      <c r="L197" s="18"/>
      <c r="Q197" s="6"/>
      <c r="R197" s="6"/>
      <c r="S197" s="6"/>
      <c r="T197" s="6"/>
      <c r="U197" s="6"/>
      <c r="V197" s="6"/>
      <c r="W197" s="6" t="s">
        <v>218</v>
      </c>
      <c r="X197" s="6" t="s">
        <v>218</v>
      </c>
      <c r="CQ197" s="6" t="s">
        <v>218</v>
      </c>
      <c r="CR197" s="6" t="s">
        <v>218</v>
      </c>
    </row>
    <row r="198" spans="1:96" ht="40.049999999999997" customHeight="1" x14ac:dyDescent="0.3">
      <c r="A198" s="45"/>
      <c r="B198" s="80"/>
      <c r="H198" s="113"/>
      <c r="I198" s="113"/>
      <c r="J198" s="113"/>
      <c r="K198" s="7"/>
      <c r="L198" s="18"/>
      <c r="Q198" s="6"/>
      <c r="R198" s="6"/>
      <c r="S198" s="6"/>
      <c r="T198" s="6"/>
      <c r="U198" s="6"/>
      <c r="V198" s="6"/>
      <c r="W198" s="6" t="s">
        <v>218</v>
      </c>
      <c r="X198" s="6" t="s">
        <v>218</v>
      </c>
      <c r="CQ198" s="6" t="s">
        <v>218</v>
      </c>
      <c r="CR198" s="6" t="s">
        <v>218</v>
      </c>
    </row>
    <row r="199" spans="1:96" ht="40.049999999999997" customHeight="1" x14ac:dyDescent="0.3">
      <c r="A199" s="45"/>
      <c r="B199" s="80"/>
      <c r="H199" s="113"/>
      <c r="I199" s="113"/>
      <c r="J199" s="113"/>
      <c r="K199" s="7"/>
      <c r="L199" s="18"/>
      <c r="Q199" s="6"/>
      <c r="R199" s="6"/>
      <c r="S199" s="6"/>
      <c r="T199" s="6"/>
      <c r="U199" s="6"/>
      <c r="V199" s="6"/>
      <c r="W199" s="6" t="s">
        <v>218</v>
      </c>
      <c r="X199" s="6" t="s">
        <v>218</v>
      </c>
      <c r="CQ199" s="6" t="s">
        <v>218</v>
      </c>
      <c r="CR199" s="6" t="s">
        <v>218</v>
      </c>
    </row>
    <row r="200" spans="1:96" ht="40.049999999999997" customHeight="1" x14ac:dyDescent="0.3">
      <c r="A200" s="45"/>
      <c r="B200" s="80"/>
      <c r="H200" s="113"/>
      <c r="I200" s="113"/>
      <c r="J200" s="113"/>
      <c r="K200" s="7"/>
      <c r="L200" s="18"/>
      <c r="Q200" s="6"/>
      <c r="R200" s="6"/>
      <c r="S200" s="6"/>
      <c r="T200" s="6"/>
      <c r="U200" s="6"/>
      <c r="V200" s="6"/>
      <c r="W200" s="6" t="s">
        <v>218</v>
      </c>
      <c r="X200" s="6" t="s">
        <v>218</v>
      </c>
      <c r="CQ200" s="6" t="s">
        <v>218</v>
      </c>
      <c r="CR200" s="6" t="s">
        <v>218</v>
      </c>
    </row>
    <row r="201" spans="1:96" ht="40.049999999999997" customHeight="1" x14ac:dyDescent="0.3">
      <c r="A201" s="45"/>
      <c r="B201" s="80"/>
      <c r="H201" s="113"/>
      <c r="I201" s="113"/>
      <c r="J201" s="113"/>
      <c r="K201" s="7"/>
      <c r="L201" s="18"/>
      <c r="Q201" s="6"/>
      <c r="R201" s="6"/>
      <c r="S201" s="6"/>
      <c r="T201" s="6"/>
      <c r="U201" s="6"/>
      <c r="V201" s="6"/>
      <c r="W201" s="6" t="s">
        <v>218</v>
      </c>
      <c r="X201" s="6" t="s">
        <v>218</v>
      </c>
      <c r="CQ201" s="6" t="s">
        <v>218</v>
      </c>
      <c r="CR201" s="6" t="s">
        <v>218</v>
      </c>
    </row>
    <row r="202" spans="1:96" ht="40.049999999999997" customHeight="1" x14ac:dyDescent="0.3">
      <c r="A202" s="45"/>
      <c r="B202" s="80"/>
      <c r="H202" s="113"/>
      <c r="I202" s="113"/>
      <c r="J202" s="113"/>
      <c r="K202" s="7"/>
      <c r="L202" s="18"/>
      <c r="Q202" s="6"/>
      <c r="R202" s="6"/>
      <c r="S202" s="6"/>
      <c r="T202" s="6"/>
      <c r="U202" s="6"/>
      <c r="V202" s="6"/>
      <c r="W202" s="6" t="s">
        <v>218</v>
      </c>
      <c r="X202" s="6" t="s">
        <v>218</v>
      </c>
      <c r="CQ202" s="6" t="s">
        <v>218</v>
      </c>
      <c r="CR202" s="6" t="s">
        <v>218</v>
      </c>
    </row>
    <row r="203" spans="1:96" ht="40.049999999999997" customHeight="1" x14ac:dyDescent="0.3">
      <c r="A203" s="45"/>
      <c r="B203" s="80"/>
      <c r="H203" s="113"/>
      <c r="I203" s="113"/>
      <c r="J203" s="113"/>
      <c r="K203" s="7"/>
      <c r="L203" s="18"/>
      <c r="Q203" s="6"/>
      <c r="R203" s="6"/>
      <c r="S203" s="6"/>
      <c r="T203" s="6"/>
      <c r="U203" s="6"/>
      <c r="V203" s="6"/>
      <c r="W203" s="6" t="s">
        <v>218</v>
      </c>
      <c r="X203" s="6" t="s">
        <v>218</v>
      </c>
      <c r="CQ203" s="6" t="s">
        <v>218</v>
      </c>
      <c r="CR203" s="6" t="s">
        <v>218</v>
      </c>
    </row>
    <row r="204" spans="1:96" ht="40.049999999999997" customHeight="1" x14ac:dyDescent="0.3">
      <c r="A204" s="45"/>
      <c r="B204" s="80"/>
      <c r="H204" s="113"/>
      <c r="I204" s="113"/>
      <c r="J204" s="113"/>
      <c r="K204" s="7"/>
      <c r="L204" s="18"/>
      <c r="Q204" s="6"/>
      <c r="R204" s="6"/>
      <c r="S204" s="6"/>
      <c r="T204" s="6"/>
      <c r="U204" s="6"/>
      <c r="V204" s="6"/>
      <c r="W204" s="6" t="s">
        <v>218</v>
      </c>
      <c r="X204" s="6" t="s">
        <v>218</v>
      </c>
      <c r="CQ204" s="6" t="s">
        <v>218</v>
      </c>
      <c r="CR204" s="6" t="s">
        <v>218</v>
      </c>
    </row>
    <row r="205" spans="1:96" ht="40.049999999999997" customHeight="1" x14ac:dyDescent="0.3">
      <c r="A205" s="45"/>
      <c r="B205" s="80"/>
      <c r="H205" s="113"/>
      <c r="I205" s="113"/>
      <c r="J205" s="113"/>
      <c r="K205" s="7"/>
      <c r="L205" s="18"/>
      <c r="Q205" s="6"/>
      <c r="R205" s="6"/>
      <c r="S205" s="6"/>
      <c r="T205" s="6"/>
      <c r="U205" s="6"/>
      <c r="V205" s="6"/>
      <c r="W205" s="6" t="s">
        <v>218</v>
      </c>
      <c r="X205" s="6" t="s">
        <v>218</v>
      </c>
      <c r="CQ205" s="6" t="s">
        <v>218</v>
      </c>
      <c r="CR205" s="6" t="s">
        <v>218</v>
      </c>
    </row>
    <row r="206" spans="1:96" ht="40.049999999999997" customHeight="1" x14ac:dyDescent="0.3">
      <c r="A206" s="45"/>
      <c r="B206" s="80"/>
      <c r="H206" s="113"/>
      <c r="I206" s="113"/>
      <c r="J206" s="113"/>
      <c r="K206" s="7"/>
      <c r="L206" s="18"/>
      <c r="Q206" s="6"/>
      <c r="R206" s="6"/>
      <c r="S206" s="6"/>
      <c r="T206" s="6"/>
      <c r="U206" s="6"/>
      <c r="V206" s="6"/>
      <c r="W206" s="6" t="s">
        <v>218</v>
      </c>
      <c r="X206" s="6" t="s">
        <v>218</v>
      </c>
      <c r="CQ206" s="6" t="s">
        <v>218</v>
      </c>
      <c r="CR206" s="6" t="s">
        <v>218</v>
      </c>
    </row>
    <row r="207" spans="1:96" ht="40.049999999999997" customHeight="1" x14ac:dyDescent="0.3">
      <c r="A207" s="45"/>
      <c r="B207" s="80"/>
      <c r="H207" s="113"/>
      <c r="I207" s="113"/>
      <c r="J207" s="113"/>
      <c r="K207" s="7"/>
      <c r="L207" s="18"/>
      <c r="Q207" s="6"/>
      <c r="R207" s="6"/>
      <c r="S207" s="6"/>
      <c r="T207" s="6"/>
      <c r="U207" s="6"/>
      <c r="V207" s="6"/>
      <c r="W207" s="6" t="s">
        <v>218</v>
      </c>
      <c r="X207" s="6" t="s">
        <v>218</v>
      </c>
      <c r="CQ207" s="6" t="s">
        <v>218</v>
      </c>
      <c r="CR207" s="6" t="s">
        <v>218</v>
      </c>
    </row>
    <row r="208" spans="1:96" ht="40.049999999999997" customHeight="1" x14ac:dyDescent="0.3">
      <c r="A208" s="45"/>
      <c r="B208" s="80"/>
      <c r="H208" s="113"/>
      <c r="I208" s="113"/>
      <c r="J208" s="113"/>
      <c r="K208" s="7"/>
      <c r="L208" s="18"/>
      <c r="Q208" s="6"/>
      <c r="R208" s="6"/>
      <c r="S208" s="6"/>
      <c r="T208" s="6"/>
      <c r="U208" s="6"/>
      <c r="V208" s="6"/>
      <c r="W208" s="6" t="s">
        <v>218</v>
      </c>
      <c r="X208" s="6" t="s">
        <v>218</v>
      </c>
      <c r="CQ208" s="6" t="s">
        <v>218</v>
      </c>
      <c r="CR208" s="6" t="s">
        <v>218</v>
      </c>
    </row>
    <row r="209" spans="1:96" ht="40.049999999999997" customHeight="1" x14ac:dyDescent="0.3">
      <c r="A209" s="45"/>
      <c r="B209" s="80"/>
      <c r="H209" s="113"/>
      <c r="I209" s="113"/>
      <c r="J209" s="113"/>
      <c r="K209" s="7"/>
      <c r="L209" s="18"/>
      <c r="Q209" s="6"/>
      <c r="R209" s="6"/>
      <c r="S209" s="6"/>
      <c r="T209" s="6"/>
      <c r="U209" s="6"/>
      <c r="V209" s="6"/>
      <c r="W209" s="6" t="s">
        <v>218</v>
      </c>
      <c r="X209" s="6" t="s">
        <v>218</v>
      </c>
      <c r="CQ209" s="6" t="s">
        <v>218</v>
      </c>
      <c r="CR209" s="6" t="s">
        <v>218</v>
      </c>
    </row>
    <row r="210" spans="1:96" ht="40.049999999999997" customHeight="1" x14ac:dyDescent="0.3">
      <c r="A210" s="45"/>
      <c r="B210" s="80"/>
      <c r="H210" s="113"/>
      <c r="I210" s="113"/>
      <c r="J210" s="113"/>
      <c r="K210" s="7"/>
      <c r="L210" s="18"/>
      <c r="Q210" s="6"/>
      <c r="R210" s="6"/>
      <c r="S210" s="6"/>
      <c r="T210" s="6"/>
      <c r="U210" s="6"/>
      <c r="V210" s="6"/>
      <c r="W210" s="6" t="s">
        <v>218</v>
      </c>
      <c r="X210" s="6" t="s">
        <v>218</v>
      </c>
      <c r="CQ210" s="6" t="s">
        <v>218</v>
      </c>
      <c r="CR210" s="6" t="s">
        <v>218</v>
      </c>
    </row>
    <row r="211" spans="1:96" ht="40.049999999999997" customHeight="1" x14ac:dyDescent="0.3">
      <c r="A211" s="45"/>
      <c r="B211" s="80"/>
      <c r="H211" s="113"/>
      <c r="I211" s="113"/>
      <c r="J211" s="113"/>
      <c r="K211" s="7"/>
      <c r="L211" s="18"/>
      <c r="Q211" s="6"/>
      <c r="R211" s="6"/>
      <c r="S211" s="6"/>
      <c r="T211" s="6"/>
      <c r="U211" s="6"/>
      <c r="V211" s="6"/>
      <c r="W211" s="6" t="s">
        <v>218</v>
      </c>
      <c r="X211" s="6" t="s">
        <v>218</v>
      </c>
      <c r="CQ211" s="6" t="s">
        <v>218</v>
      </c>
      <c r="CR211" s="6" t="s">
        <v>218</v>
      </c>
    </row>
    <row r="212" spans="1:96" ht="40.049999999999997" customHeight="1" x14ac:dyDescent="0.3">
      <c r="A212" s="45"/>
      <c r="B212" s="80"/>
      <c r="H212" s="113"/>
      <c r="I212" s="113"/>
      <c r="J212" s="113"/>
      <c r="K212" s="7"/>
      <c r="L212" s="18"/>
      <c r="Q212" s="6"/>
      <c r="R212" s="6"/>
      <c r="S212" s="6"/>
      <c r="T212" s="6"/>
      <c r="U212" s="6"/>
      <c r="V212" s="6"/>
      <c r="W212" s="6" t="s">
        <v>218</v>
      </c>
      <c r="X212" s="6" t="s">
        <v>218</v>
      </c>
      <c r="CQ212" s="6" t="s">
        <v>218</v>
      </c>
      <c r="CR212" s="6" t="s">
        <v>218</v>
      </c>
    </row>
    <row r="213" spans="1:96" ht="40.049999999999997" customHeight="1" x14ac:dyDescent="0.3">
      <c r="A213" s="45"/>
      <c r="B213" s="80"/>
      <c r="H213" s="113"/>
      <c r="I213" s="113"/>
      <c r="J213" s="113"/>
      <c r="K213" s="7"/>
      <c r="L213" s="18"/>
      <c r="Q213" s="6"/>
      <c r="R213" s="6"/>
      <c r="S213" s="6"/>
      <c r="T213" s="6"/>
      <c r="U213" s="6"/>
      <c r="V213" s="6"/>
      <c r="W213" s="6" t="s">
        <v>218</v>
      </c>
      <c r="X213" s="6" t="s">
        <v>218</v>
      </c>
      <c r="CQ213" s="6" t="s">
        <v>218</v>
      </c>
      <c r="CR213" s="6" t="s">
        <v>218</v>
      </c>
    </row>
    <row r="214" spans="1:96" ht="40.049999999999997" customHeight="1" x14ac:dyDescent="0.3">
      <c r="A214" s="45"/>
      <c r="B214" s="80"/>
      <c r="H214" s="113"/>
      <c r="I214" s="113"/>
      <c r="J214" s="113"/>
      <c r="K214" s="7"/>
      <c r="L214" s="18"/>
      <c r="Q214" s="6"/>
      <c r="R214" s="6"/>
      <c r="S214" s="6"/>
      <c r="T214" s="6"/>
      <c r="U214" s="6"/>
      <c r="V214" s="6"/>
      <c r="W214" s="6" t="s">
        <v>218</v>
      </c>
      <c r="X214" s="6" t="s">
        <v>218</v>
      </c>
      <c r="CQ214" s="6" t="s">
        <v>218</v>
      </c>
      <c r="CR214" s="6" t="s">
        <v>218</v>
      </c>
    </row>
    <row r="215" spans="1:96" ht="40.049999999999997" customHeight="1" x14ac:dyDescent="0.3">
      <c r="A215" s="45"/>
      <c r="B215" s="80"/>
      <c r="H215" s="113"/>
      <c r="I215" s="113"/>
      <c r="J215" s="113"/>
      <c r="K215" s="7"/>
      <c r="L215" s="18"/>
      <c r="Q215" s="6"/>
      <c r="R215" s="6"/>
      <c r="S215" s="6"/>
      <c r="T215" s="6"/>
      <c r="U215" s="6"/>
      <c r="V215" s="6"/>
      <c r="W215" s="6" t="s">
        <v>218</v>
      </c>
      <c r="X215" s="6" t="s">
        <v>218</v>
      </c>
      <c r="CQ215" s="6" t="s">
        <v>218</v>
      </c>
      <c r="CR215" s="6" t="s">
        <v>218</v>
      </c>
    </row>
    <row r="216" spans="1:96" ht="40.049999999999997" customHeight="1" x14ac:dyDescent="0.3">
      <c r="A216" s="45"/>
      <c r="B216" s="80"/>
      <c r="H216" s="113"/>
      <c r="I216" s="113"/>
      <c r="J216" s="113"/>
      <c r="K216" s="7"/>
      <c r="L216" s="18"/>
      <c r="Q216" s="6"/>
      <c r="R216" s="6"/>
      <c r="S216" s="6"/>
      <c r="T216" s="6"/>
      <c r="U216" s="6"/>
      <c r="V216" s="6"/>
      <c r="W216" s="6" t="s">
        <v>218</v>
      </c>
      <c r="X216" s="6" t="s">
        <v>218</v>
      </c>
      <c r="CQ216" s="6" t="s">
        <v>218</v>
      </c>
      <c r="CR216" s="6" t="s">
        <v>218</v>
      </c>
    </row>
    <row r="217" spans="1:96" ht="40.049999999999997" customHeight="1" x14ac:dyDescent="0.3">
      <c r="A217" s="45"/>
      <c r="B217" s="80"/>
      <c r="H217" s="113"/>
      <c r="I217" s="113"/>
      <c r="J217" s="113"/>
      <c r="K217" s="7"/>
      <c r="L217" s="18"/>
      <c r="Q217" s="6"/>
      <c r="R217" s="6"/>
      <c r="S217" s="6"/>
      <c r="T217" s="6"/>
      <c r="U217" s="6"/>
      <c r="V217" s="6"/>
      <c r="W217" s="6" t="s">
        <v>218</v>
      </c>
      <c r="X217" s="6" t="s">
        <v>218</v>
      </c>
      <c r="CQ217" s="6" t="s">
        <v>218</v>
      </c>
      <c r="CR217" s="6" t="s">
        <v>218</v>
      </c>
    </row>
    <row r="218" spans="1:96" ht="40.049999999999997" customHeight="1" x14ac:dyDescent="0.3">
      <c r="A218" s="45"/>
      <c r="B218" s="80"/>
      <c r="H218" s="113"/>
      <c r="I218" s="113"/>
      <c r="J218" s="113"/>
      <c r="K218" s="7"/>
      <c r="L218" s="18"/>
      <c r="Q218" s="6"/>
      <c r="R218" s="6"/>
      <c r="S218" s="6"/>
      <c r="T218" s="6"/>
      <c r="U218" s="6"/>
      <c r="V218" s="6"/>
      <c r="W218" s="6" t="s">
        <v>218</v>
      </c>
      <c r="X218" s="6" t="s">
        <v>218</v>
      </c>
      <c r="CQ218" s="6" t="s">
        <v>218</v>
      </c>
      <c r="CR218" s="6" t="s">
        <v>218</v>
      </c>
    </row>
    <row r="219" spans="1:96" ht="40.049999999999997" customHeight="1" x14ac:dyDescent="0.3">
      <c r="A219" s="45"/>
      <c r="B219" s="80"/>
      <c r="H219" s="113"/>
      <c r="I219" s="113"/>
      <c r="J219" s="113"/>
      <c r="K219" s="7"/>
      <c r="L219" s="18"/>
      <c r="Q219" s="6"/>
      <c r="R219" s="6"/>
      <c r="S219" s="6"/>
      <c r="T219" s="6"/>
      <c r="U219" s="6"/>
      <c r="V219" s="6"/>
      <c r="W219" s="6" t="s">
        <v>218</v>
      </c>
      <c r="X219" s="6" t="s">
        <v>218</v>
      </c>
      <c r="CQ219" s="6" t="s">
        <v>218</v>
      </c>
      <c r="CR219" s="6" t="s">
        <v>218</v>
      </c>
    </row>
    <row r="220" spans="1:96" ht="40.049999999999997" customHeight="1" x14ac:dyDescent="0.3">
      <c r="A220" s="45"/>
      <c r="B220" s="80"/>
      <c r="H220" s="113"/>
      <c r="I220" s="113"/>
      <c r="J220" s="113"/>
      <c r="K220" s="7"/>
      <c r="L220" s="18"/>
      <c r="Q220" s="6"/>
      <c r="R220" s="6"/>
      <c r="S220" s="6"/>
      <c r="T220" s="6"/>
      <c r="U220" s="6"/>
      <c r="V220" s="6"/>
      <c r="W220" s="6" t="s">
        <v>218</v>
      </c>
      <c r="X220" s="6" t="s">
        <v>218</v>
      </c>
      <c r="CQ220" s="6" t="s">
        <v>218</v>
      </c>
      <c r="CR220" s="6" t="s">
        <v>218</v>
      </c>
    </row>
    <row r="221" spans="1:96" ht="40.049999999999997" customHeight="1" x14ac:dyDescent="0.3">
      <c r="A221" s="45"/>
      <c r="B221" s="80"/>
      <c r="H221" s="113"/>
      <c r="I221" s="113"/>
      <c r="J221" s="113"/>
      <c r="K221" s="7"/>
      <c r="L221" s="18"/>
      <c r="Q221" s="6"/>
      <c r="R221" s="6"/>
      <c r="S221" s="6"/>
      <c r="T221" s="6"/>
      <c r="U221" s="6"/>
      <c r="V221" s="6"/>
      <c r="W221" s="6" t="s">
        <v>218</v>
      </c>
      <c r="X221" s="6" t="s">
        <v>218</v>
      </c>
      <c r="CQ221" s="6" t="s">
        <v>218</v>
      </c>
      <c r="CR221" s="6" t="s">
        <v>218</v>
      </c>
    </row>
    <row r="222" spans="1:96" ht="40.049999999999997" customHeight="1" x14ac:dyDescent="0.3">
      <c r="A222" s="45"/>
      <c r="B222" s="80"/>
      <c r="H222" s="113"/>
      <c r="I222" s="113"/>
      <c r="J222" s="113"/>
      <c r="K222" s="7"/>
      <c r="L222" s="18"/>
      <c r="Q222" s="6"/>
      <c r="R222" s="6"/>
      <c r="S222" s="6"/>
      <c r="T222" s="6"/>
      <c r="U222" s="6"/>
      <c r="V222" s="6"/>
      <c r="W222" s="6" t="s">
        <v>218</v>
      </c>
      <c r="X222" s="6" t="s">
        <v>218</v>
      </c>
      <c r="CQ222" s="6" t="s">
        <v>218</v>
      </c>
      <c r="CR222" s="6" t="s">
        <v>218</v>
      </c>
    </row>
    <row r="223" spans="1:96" ht="40.049999999999997" customHeight="1" x14ac:dyDescent="0.3">
      <c r="A223" s="45"/>
      <c r="B223" s="80"/>
      <c r="H223" s="113"/>
      <c r="I223" s="113"/>
      <c r="J223" s="113"/>
      <c r="K223" s="7"/>
      <c r="L223" s="18"/>
      <c r="Q223" s="6"/>
      <c r="R223" s="6"/>
      <c r="S223" s="6"/>
      <c r="T223" s="6"/>
      <c r="U223" s="6"/>
      <c r="V223" s="6"/>
      <c r="W223" s="6" t="s">
        <v>218</v>
      </c>
      <c r="X223" s="6" t="s">
        <v>218</v>
      </c>
      <c r="CQ223" s="6" t="s">
        <v>218</v>
      </c>
      <c r="CR223" s="6" t="s">
        <v>218</v>
      </c>
    </row>
    <row r="224" spans="1:96" ht="40.049999999999997" customHeight="1" x14ac:dyDescent="0.3">
      <c r="A224" s="45"/>
      <c r="B224" s="80"/>
      <c r="H224" s="113"/>
      <c r="I224" s="113"/>
      <c r="J224" s="113"/>
      <c r="K224" s="7"/>
      <c r="L224" s="18"/>
      <c r="Q224" s="6"/>
      <c r="R224" s="6"/>
      <c r="S224" s="6"/>
      <c r="T224" s="6"/>
      <c r="U224" s="6"/>
      <c r="V224" s="6"/>
      <c r="W224" s="6" t="s">
        <v>218</v>
      </c>
      <c r="X224" s="6" t="s">
        <v>218</v>
      </c>
      <c r="CQ224" s="6" t="s">
        <v>218</v>
      </c>
      <c r="CR224" s="6" t="s">
        <v>218</v>
      </c>
    </row>
    <row r="225" spans="1:96" ht="40.049999999999997" customHeight="1" x14ac:dyDescent="0.3">
      <c r="A225" s="45"/>
      <c r="B225" s="80"/>
      <c r="H225" s="113"/>
      <c r="I225" s="113"/>
      <c r="J225" s="113"/>
      <c r="K225" s="7"/>
      <c r="L225" s="18"/>
      <c r="Q225" s="6"/>
      <c r="R225" s="6"/>
      <c r="S225" s="6"/>
      <c r="T225" s="6"/>
      <c r="U225" s="6"/>
      <c r="V225" s="6"/>
      <c r="W225" s="6" t="s">
        <v>218</v>
      </c>
      <c r="X225" s="6" t="s">
        <v>218</v>
      </c>
      <c r="CQ225" s="6" t="s">
        <v>218</v>
      </c>
      <c r="CR225" s="6" t="s">
        <v>218</v>
      </c>
    </row>
    <row r="226" spans="1:96" ht="40.049999999999997" customHeight="1" x14ac:dyDescent="0.3">
      <c r="A226" s="45"/>
      <c r="B226" s="80"/>
      <c r="H226" s="113"/>
      <c r="I226" s="113"/>
      <c r="J226" s="113"/>
      <c r="K226" s="7"/>
      <c r="L226" s="18"/>
      <c r="Q226" s="6"/>
      <c r="R226" s="6"/>
      <c r="S226" s="6"/>
      <c r="T226" s="6"/>
      <c r="U226" s="6"/>
      <c r="V226" s="6"/>
      <c r="W226" s="6" t="s">
        <v>218</v>
      </c>
      <c r="X226" s="6" t="s">
        <v>218</v>
      </c>
      <c r="CQ226" s="6" t="s">
        <v>218</v>
      </c>
      <c r="CR226" s="6" t="s">
        <v>218</v>
      </c>
    </row>
    <row r="227" spans="1:96" ht="40.049999999999997" customHeight="1" x14ac:dyDescent="0.3">
      <c r="A227" s="45"/>
      <c r="B227" s="80"/>
      <c r="H227" s="113"/>
      <c r="I227" s="113"/>
      <c r="J227" s="113"/>
      <c r="K227" s="7"/>
      <c r="L227" s="18"/>
      <c r="Q227" s="6"/>
      <c r="R227" s="6"/>
      <c r="S227" s="6"/>
      <c r="T227" s="6"/>
      <c r="U227" s="6"/>
      <c r="V227" s="6"/>
      <c r="W227" s="6" t="s">
        <v>218</v>
      </c>
      <c r="X227" s="6" t="s">
        <v>218</v>
      </c>
      <c r="CQ227" s="6" t="s">
        <v>218</v>
      </c>
      <c r="CR227" s="6" t="s">
        <v>218</v>
      </c>
    </row>
    <row r="228" spans="1:96" ht="40.049999999999997" customHeight="1" x14ac:dyDescent="0.3">
      <c r="A228" s="45"/>
      <c r="B228" s="80"/>
      <c r="H228" s="113"/>
      <c r="I228" s="113"/>
      <c r="J228" s="113"/>
      <c r="K228" s="7"/>
      <c r="L228" s="18"/>
      <c r="Q228" s="6"/>
      <c r="R228" s="6"/>
      <c r="S228" s="6"/>
      <c r="T228" s="6"/>
      <c r="U228" s="6"/>
      <c r="V228" s="6"/>
      <c r="W228" s="6" t="s">
        <v>218</v>
      </c>
      <c r="X228" s="6" t="s">
        <v>218</v>
      </c>
      <c r="CQ228" s="6" t="s">
        <v>218</v>
      </c>
      <c r="CR228" s="6" t="s">
        <v>218</v>
      </c>
    </row>
    <row r="229" spans="1:96" ht="40.049999999999997" customHeight="1" x14ac:dyDescent="0.3">
      <c r="A229" s="45"/>
      <c r="B229" s="80"/>
      <c r="H229" s="113"/>
      <c r="I229" s="113"/>
      <c r="J229" s="113"/>
      <c r="K229" s="7"/>
      <c r="L229" s="18"/>
      <c r="Q229" s="6"/>
      <c r="R229" s="6"/>
      <c r="S229" s="6"/>
      <c r="T229" s="6"/>
      <c r="U229" s="6"/>
      <c r="V229" s="6"/>
      <c r="W229" s="6" t="s">
        <v>218</v>
      </c>
      <c r="X229" s="6" t="s">
        <v>218</v>
      </c>
      <c r="CQ229" s="6" t="s">
        <v>218</v>
      </c>
      <c r="CR229" s="6" t="s">
        <v>218</v>
      </c>
    </row>
    <row r="230" spans="1:96" ht="40.049999999999997" customHeight="1" x14ac:dyDescent="0.3">
      <c r="A230" s="45"/>
      <c r="B230" s="80"/>
      <c r="H230" s="113"/>
      <c r="I230" s="113"/>
      <c r="J230" s="113"/>
      <c r="K230" s="7"/>
      <c r="L230" s="18"/>
      <c r="Q230" s="6"/>
      <c r="R230" s="6"/>
      <c r="S230" s="6"/>
      <c r="T230" s="6"/>
      <c r="U230" s="6"/>
      <c r="V230" s="6"/>
      <c r="W230" s="6" t="s">
        <v>218</v>
      </c>
      <c r="X230" s="6" t="s">
        <v>218</v>
      </c>
      <c r="CQ230" s="6" t="s">
        <v>218</v>
      </c>
      <c r="CR230" s="6" t="s">
        <v>218</v>
      </c>
    </row>
    <row r="231" spans="1:96" ht="40.049999999999997" customHeight="1" x14ac:dyDescent="0.3">
      <c r="A231" s="45"/>
      <c r="B231" s="80"/>
      <c r="H231" s="113"/>
      <c r="I231" s="113"/>
      <c r="J231" s="113"/>
      <c r="K231" s="7"/>
      <c r="L231" s="18"/>
      <c r="Q231" s="6"/>
      <c r="R231" s="6"/>
      <c r="S231" s="6"/>
      <c r="T231" s="6"/>
      <c r="U231" s="6"/>
      <c r="V231" s="6"/>
      <c r="W231" s="6" t="s">
        <v>218</v>
      </c>
      <c r="X231" s="6" t="s">
        <v>218</v>
      </c>
      <c r="CQ231" s="6" t="s">
        <v>218</v>
      </c>
      <c r="CR231" s="6" t="s">
        <v>218</v>
      </c>
    </row>
    <row r="232" spans="1:96" ht="40.049999999999997" customHeight="1" x14ac:dyDescent="0.3">
      <c r="A232" s="45"/>
      <c r="B232" s="80"/>
      <c r="H232" s="113"/>
      <c r="I232" s="113"/>
      <c r="J232" s="113"/>
      <c r="K232" s="7"/>
      <c r="L232" s="18"/>
      <c r="Q232" s="6"/>
      <c r="R232" s="6"/>
      <c r="S232" s="6"/>
      <c r="T232" s="6"/>
      <c r="U232" s="6"/>
      <c r="V232" s="6"/>
      <c r="W232" s="6" t="s">
        <v>218</v>
      </c>
      <c r="X232" s="6" t="s">
        <v>218</v>
      </c>
      <c r="CQ232" s="6" t="s">
        <v>218</v>
      </c>
      <c r="CR232" s="6" t="s">
        <v>218</v>
      </c>
    </row>
    <row r="233" spans="1:96" ht="40.049999999999997" customHeight="1" x14ac:dyDescent="0.3">
      <c r="A233" s="45"/>
      <c r="B233" s="80"/>
      <c r="H233" s="113"/>
      <c r="I233" s="113"/>
      <c r="J233" s="113"/>
      <c r="K233" s="7"/>
      <c r="L233" s="18"/>
      <c r="Q233" s="6"/>
      <c r="R233" s="6"/>
      <c r="S233" s="6"/>
      <c r="T233" s="6"/>
      <c r="U233" s="6"/>
      <c r="V233" s="6"/>
      <c r="W233" s="6" t="s">
        <v>218</v>
      </c>
      <c r="X233" s="6" t="s">
        <v>218</v>
      </c>
      <c r="CQ233" s="6" t="s">
        <v>218</v>
      </c>
      <c r="CR233" s="6" t="s">
        <v>218</v>
      </c>
    </row>
    <row r="234" spans="1:96" ht="40.049999999999997" customHeight="1" x14ac:dyDescent="0.3">
      <c r="A234" s="45"/>
      <c r="B234" s="80"/>
      <c r="H234" s="113"/>
      <c r="I234" s="113"/>
      <c r="J234" s="113"/>
      <c r="K234" s="7"/>
      <c r="L234" s="18"/>
      <c r="Q234" s="6"/>
      <c r="R234" s="6"/>
      <c r="S234" s="6"/>
      <c r="T234" s="6"/>
      <c r="U234" s="6"/>
      <c r="V234" s="6"/>
      <c r="W234" s="6" t="s">
        <v>218</v>
      </c>
      <c r="X234" s="6" t="s">
        <v>218</v>
      </c>
      <c r="CQ234" s="6" t="s">
        <v>218</v>
      </c>
      <c r="CR234" s="6" t="s">
        <v>218</v>
      </c>
    </row>
    <row r="235" spans="1:96" ht="40.049999999999997" customHeight="1" x14ac:dyDescent="0.3">
      <c r="A235" s="45"/>
      <c r="B235" s="80"/>
      <c r="H235" s="113"/>
      <c r="I235" s="113"/>
      <c r="J235" s="113"/>
      <c r="K235" s="7"/>
      <c r="L235" s="18"/>
      <c r="Q235" s="6"/>
      <c r="R235" s="6"/>
      <c r="S235" s="6"/>
      <c r="T235" s="6"/>
      <c r="U235" s="6"/>
      <c r="V235" s="6"/>
      <c r="W235" s="6"/>
      <c r="X235" s="6"/>
      <c r="CQ235" s="6"/>
      <c r="CR235" s="6"/>
    </row>
    <row r="236" spans="1:96" ht="40.049999999999997" customHeight="1" x14ac:dyDescent="0.3">
      <c r="A236" s="45"/>
      <c r="B236" s="80"/>
      <c r="H236" s="113"/>
      <c r="I236" s="113"/>
      <c r="J236" s="113"/>
      <c r="K236" s="7"/>
      <c r="L236" s="18"/>
      <c r="Q236" s="6"/>
      <c r="R236" s="6"/>
      <c r="S236" s="6"/>
      <c r="T236" s="6"/>
      <c r="U236" s="6"/>
      <c r="V236" s="6"/>
      <c r="W236" s="6"/>
      <c r="X236" s="6"/>
      <c r="CQ236" s="6"/>
      <c r="CR236" s="6"/>
    </row>
    <row r="237" spans="1:96" ht="40.049999999999997" customHeight="1" x14ac:dyDescent="0.3">
      <c r="A237" s="45"/>
      <c r="B237" s="80"/>
      <c r="H237" s="113"/>
      <c r="I237" s="113"/>
      <c r="J237" s="113"/>
      <c r="K237" s="7"/>
      <c r="L237" s="18"/>
      <c r="Q237" s="6"/>
      <c r="R237" s="6"/>
      <c r="S237" s="6"/>
      <c r="T237" s="6"/>
      <c r="U237" s="6"/>
      <c r="V237" s="6"/>
      <c r="W237" s="6"/>
      <c r="X237" s="6"/>
      <c r="CQ237" s="6"/>
      <c r="CR237" s="6"/>
    </row>
    <row r="238" spans="1:96" ht="40.049999999999997" customHeight="1" x14ac:dyDescent="0.3">
      <c r="A238" s="45"/>
      <c r="B238" s="80"/>
      <c r="H238" s="113"/>
      <c r="I238" s="113"/>
      <c r="J238" s="113"/>
      <c r="K238" s="7"/>
      <c r="L238" s="18"/>
      <c r="Q238" s="6"/>
      <c r="R238" s="6"/>
      <c r="S238" s="6"/>
      <c r="T238" s="6"/>
      <c r="U238" s="6"/>
      <c r="V238" s="6"/>
      <c r="W238" s="6"/>
      <c r="X238" s="6"/>
      <c r="CQ238" s="6"/>
      <c r="CR238" s="6"/>
    </row>
    <row r="239" spans="1:96" ht="40.049999999999997" customHeight="1" x14ac:dyDescent="0.3">
      <c r="A239" s="45"/>
      <c r="B239" s="80"/>
      <c r="H239" s="113"/>
      <c r="I239" s="113"/>
      <c r="J239" s="113"/>
      <c r="K239" s="7"/>
      <c r="L239" s="18"/>
      <c r="Q239" s="6"/>
      <c r="R239" s="6"/>
      <c r="S239" s="6"/>
      <c r="T239" s="6"/>
      <c r="U239" s="6"/>
      <c r="V239" s="6"/>
      <c r="W239" s="6"/>
      <c r="X239" s="6"/>
      <c r="CQ239" s="6"/>
      <c r="CR239" s="6"/>
    </row>
    <row r="240" spans="1:96" ht="40.049999999999997" customHeight="1" x14ac:dyDescent="0.3">
      <c r="A240" s="45"/>
      <c r="B240" s="80"/>
      <c r="H240" s="113"/>
      <c r="I240" s="113"/>
      <c r="J240" s="113"/>
      <c r="K240" s="7"/>
      <c r="L240" s="18"/>
      <c r="Q240" s="6"/>
      <c r="R240" s="6"/>
      <c r="S240" s="6"/>
      <c r="T240" s="6"/>
      <c r="U240" s="6"/>
      <c r="V240" s="6"/>
      <c r="W240" s="6"/>
      <c r="X240" s="6"/>
      <c r="CQ240" s="6"/>
      <c r="CR240" s="6"/>
    </row>
    <row r="241" spans="1:96" ht="40.049999999999997" customHeight="1" x14ac:dyDescent="0.3">
      <c r="A241" s="45"/>
      <c r="B241" s="80"/>
      <c r="H241" s="113"/>
      <c r="I241" s="113"/>
      <c r="J241" s="113"/>
      <c r="K241" s="7"/>
      <c r="L241" s="18"/>
      <c r="Q241" s="6"/>
      <c r="R241" s="6"/>
      <c r="S241" s="6"/>
      <c r="T241" s="6"/>
      <c r="U241" s="6"/>
      <c r="V241" s="6"/>
      <c r="W241" s="6"/>
      <c r="X241" s="6"/>
      <c r="CQ241" s="6"/>
      <c r="CR241" s="6"/>
    </row>
    <row r="242" spans="1:96" ht="40.049999999999997" customHeight="1" x14ac:dyDescent="0.3">
      <c r="A242" s="45"/>
      <c r="B242" s="80"/>
      <c r="H242" s="113"/>
      <c r="I242" s="113"/>
      <c r="J242" s="113"/>
      <c r="K242" s="7"/>
      <c r="L242" s="18"/>
      <c r="Q242" s="6"/>
      <c r="R242" s="6"/>
      <c r="S242" s="6"/>
      <c r="T242" s="6"/>
      <c r="U242" s="6"/>
      <c r="V242" s="6"/>
      <c r="W242" s="6"/>
      <c r="X242" s="6"/>
      <c r="CQ242" s="6"/>
      <c r="CR242" s="6"/>
    </row>
    <row r="243" spans="1:96" ht="40.049999999999997" customHeight="1" x14ac:dyDescent="0.3">
      <c r="A243" s="45"/>
      <c r="B243" s="80"/>
      <c r="H243" s="113"/>
      <c r="I243" s="113"/>
      <c r="J243" s="113"/>
      <c r="K243" s="7"/>
      <c r="L243" s="18"/>
      <c r="Q243" s="6"/>
      <c r="R243" s="6"/>
      <c r="S243" s="6"/>
      <c r="T243" s="6"/>
      <c r="U243" s="6"/>
      <c r="V243" s="6"/>
      <c r="W243" s="6"/>
      <c r="X243" s="6"/>
      <c r="CQ243" s="6"/>
      <c r="CR243" s="6"/>
    </row>
    <row r="244" spans="1:96" ht="40.049999999999997" customHeight="1" x14ac:dyDescent="0.3">
      <c r="A244" s="45"/>
      <c r="B244" s="80"/>
      <c r="H244" s="113"/>
      <c r="I244" s="113"/>
      <c r="J244" s="113"/>
      <c r="K244" s="7"/>
      <c r="L244" s="18"/>
      <c r="Q244" s="6"/>
      <c r="R244" s="6"/>
      <c r="S244" s="6"/>
      <c r="T244" s="6"/>
      <c r="U244" s="6"/>
      <c r="V244" s="6"/>
      <c r="W244" s="6"/>
      <c r="X244" s="6"/>
      <c r="CQ244" s="6"/>
      <c r="CR244" s="6"/>
    </row>
    <row r="245" spans="1:96" ht="40.049999999999997" customHeight="1" x14ac:dyDescent="0.3">
      <c r="A245" s="45"/>
      <c r="B245" s="80"/>
      <c r="H245" s="113"/>
      <c r="I245" s="113"/>
      <c r="J245" s="113"/>
      <c r="K245" s="7"/>
      <c r="L245" s="18"/>
      <c r="Q245" s="6"/>
      <c r="R245" s="6"/>
      <c r="S245" s="6"/>
      <c r="T245" s="6"/>
      <c r="U245" s="6"/>
      <c r="V245" s="6"/>
      <c r="W245" s="6"/>
      <c r="X245" s="6"/>
      <c r="CQ245" s="6"/>
      <c r="CR245" s="6"/>
    </row>
    <row r="246" spans="1:96" ht="40.049999999999997" customHeight="1" x14ac:dyDescent="0.3">
      <c r="A246" s="45"/>
      <c r="B246" s="80"/>
      <c r="H246" s="113"/>
      <c r="I246" s="113"/>
      <c r="J246" s="113"/>
      <c r="K246" s="7"/>
      <c r="L246" s="18"/>
      <c r="Q246" s="6"/>
      <c r="R246" s="6"/>
      <c r="S246" s="6"/>
      <c r="T246" s="6"/>
      <c r="U246" s="6"/>
      <c r="V246" s="6"/>
      <c r="W246" s="6"/>
      <c r="X246" s="6"/>
      <c r="CQ246" s="6"/>
      <c r="CR246" s="6"/>
    </row>
    <row r="247" spans="1:96" ht="40.049999999999997" customHeight="1" x14ac:dyDescent="0.3">
      <c r="B247" s="80"/>
      <c r="H247" s="113"/>
      <c r="I247" s="113"/>
      <c r="J247" s="113"/>
      <c r="K247" s="7"/>
      <c r="L247" s="18"/>
      <c r="Q247" s="6"/>
      <c r="R247" s="6"/>
      <c r="S247" s="6"/>
      <c r="T247" s="6"/>
      <c r="U247" s="6"/>
      <c r="V247" s="6"/>
      <c r="W247" s="6"/>
      <c r="X247" s="6"/>
      <c r="CQ247" s="6"/>
      <c r="CR247" s="6"/>
    </row>
    <row r="248" spans="1:96" ht="40.049999999999997" customHeight="1" x14ac:dyDescent="0.3">
      <c r="B248" s="80"/>
      <c r="H248" s="113"/>
      <c r="I248" s="113"/>
      <c r="J248" s="113"/>
      <c r="K248" s="7"/>
      <c r="L248" s="18"/>
      <c r="Q248" s="6"/>
      <c r="R248" s="6"/>
      <c r="S248" s="6"/>
      <c r="T248" s="6"/>
      <c r="U248" s="6"/>
      <c r="V248" s="6"/>
      <c r="W248" s="6"/>
      <c r="X248" s="6"/>
      <c r="CQ248" s="6"/>
      <c r="CR248" s="6"/>
    </row>
    <row r="249" spans="1:96" ht="40.049999999999997" customHeight="1" x14ac:dyDescent="0.3">
      <c r="B249" s="80"/>
      <c r="H249" s="113"/>
      <c r="I249" s="113"/>
      <c r="J249" s="113"/>
      <c r="K249" s="7"/>
      <c r="L249" s="18"/>
      <c r="Q249" s="6"/>
      <c r="R249" s="6"/>
      <c r="S249" s="6"/>
      <c r="T249" s="6"/>
      <c r="U249" s="6"/>
      <c r="V249" s="6"/>
      <c r="W249" s="6"/>
      <c r="X249" s="6"/>
      <c r="CQ249" s="6"/>
      <c r="CR249" s="6"/>
    </row>
    <row r="250" spans="1:96" ht="40.049999999999997" customHeight="1" x14ac:dyDescent="0.3">
      <c r="B250" s="80"/>
      <c r="H250" s="113"/>
      <c r="I250" s="113"/>
      <c r="J250" s="113"/>
      <c r="K250" s="7"/>
      <c r="L250" s="18"/>
      <c r="Q250" s="6"/>
      <c r="R250" s="6"/>
      <c r="S250" s="6"/>
      <c r="T250" s="6"/>
      <c r="U250" s="6"/>
      <c r="V250" s="6"/>
      <c r="W250" s="6"/>
      <c r="X250" s="6"/>
      <c r="CQ250" s="6"/>
      <c r="CR250" s="6"/>
    </row>
    <row r="251" spans="1:96" ht="40.049999999999997" customHeight="1" x14ac:dyDescent="0.3">
      <c r="B251" s="80"/>
      <c r="H251" s="113"/>
      <c r="I251" s="113"/>
      <c r="J251" s="113"/>
      <c r="K251" s="7"/>
      <c r="L251" s="18"/>
      <c r="Q251" s="6"/>
      <c r="R251" s="6"/>
      <c r="S251" s="6"/>
      <c r="T251" s="6"/>
      <c r="U251" s="6"/>
      <c r="V251" s="6"/>
      <c r="W251" s="6"/>
      <c r="X251" s="6"/>
      <c r="CQ251" s="6"/>
      <c r="CR251" s="6"/>
    </row>
    <row r="252" spans="1:96" ht="40.049999999999997" customHeight="1" x14ac:dyDescent="0.3">
      <c r="B252" s="80"/>
      <c r="H252" s="113"/>
      <c r="I252" s="113"/>
      <c r="J252" s="113"/>
      <c r="K252" s="7"/>
      <c r="L252" s="18"/>
      <c r="Q252" s="6"/>
      <c r="R252" s="6"/>
      <c r="S252" s="6"/>
      <c r="T252" s="6"/>
      <c r="U252" s="6"/>
      <c r="V252" s="6"/>
      <c r="W252" s="6"/>
      <c r="X252" s="6"/>
      <c r="CQ252" s="6"/>
      <c r="CR252" s="6"/>
    </row>
    <row r="253" spans="1:96" ht="40.049999999999997" customHeight="1" x14ac:dyDescent="0.3">
      <c r="B253" s="80"/>
      <c r="H253" s="113"/>
      <c r="I253" s="113"/>
      <c r="J253" s="113"/>
      <c r="K253" s="7"/>
      <c r="L253" s="18"/>
      <c r="Q253" s="6"/>
      <c r="R253" s="6"/>
      <c r="S253" s="6"/>
      <c r="T253" s="6"/>
      <c r="U253" s="6"/>
      <c r="V253" s="6"/>
      <c r="W253" s="6"/>
      <c r="X253" s="6"/>
      <c r="CQ253" s="6"/>
      <c r="CR253" s="6"/>
    </row>
    <row r="254" spans="1:96" ht="40.049999999999997" customHeight="1" x14ac:dyDescent="0.3">
      <c r="B254" s="80"/>
      <c r="H254" s="113"/>
      <c r="I254" s="113"/>
      <c r="J254" s="113"/>
      <c r="K254" s="7"/>
      <c r="L254" s="18"/>
      <c r="Q254" s="6"/>
      <c r="R254" s="6"/>
      <c r="S254" s="6"/>
      <c r="T254" s="6"/>
      <c r="U254" s="6"/>
      <c r="V254" s="6"/>
      <c r="W254" s="6"/>
      <c r="X254" s="6"/>
      <c r="CQ254" s="6"/>
      <c r="CR254" s="6"/>
    </row>
    <row r="255" spans="1:96" ht="40.049999999999997" customHeight="1" x14ac:dyDescent="0.3">
      <c r="B255" s="80"/>
      <c r="H255" s="113"/>
      <c r="I255" s="113"/>
      <c r="J255" s="113"/>
      <c r="K255" s="7"/>
      <c r="L255" s="18"/>
      <c r="Q255" s="6"/>
      <c r="R255" s="6"/>
      <c r="S255" s="6"/>
      <c r="T255" s="6"/>
      <c r="U255" s="6"/>
      <c r="V255" s="6"/>
      <c r="W255" s="6"/>
      <c r="X255" s="6"/>
      <c r="CQ255" s="6"/>
      <c r="CR255" s="6"/>
    </row>
    <row r="256" spans="1:96" ht="40.049999999999997" customHeight="1" x14ac:dyDescent="0.3">
      <c r="B256" s="80"/>
      <c r="H256" s="113"/>
      <c r="I256" s="113"/>
      <c r="J256" s="113"/>
      <c r="K256" s="7"/>
      <c r="L256" s="18"/>
      <c r="Q256" s="6"/>
      <c r="R256" s="6"/>
      <c r="S256" s="6"/>
      <c r="T256" s="6"/>
      <c r="U256" s="6"/>
      <c r="V256" s="6"/>
      <c r="W256" s="6"/>
      <c r="X256" s="6"/>
      <c r="CQ256" s="6"/>
      <c r="CR256" s="6"/>
    </row>
    <row r="257" spans="2:96" ht="40.049999999999997" customHeight="1" x14ac:dyDescent="0.3">
      <c r="B257" s="80"/>
      <c r="H257" s="113"/>
      <c r="I257" s="113"/>
      <c r="J257" s="113"/>
      <c r="K257" s="7"/>
      <c r="L257" s="18"/>
      <c r="Q257" s="6"/>
      <c r="R257" s="6"/>
      <c r="S257" s="6"/>
      <c r="T257" s="6"/>
      <c r="U257" s="6"/>
      <c r="V257" s="6"/>
      <c r="W257" s="6"/>
      <c r="X257" s="6"/>
      <c r="CQ257" s="6"/>
      <c r="CR257" s="6"/>
    </row>
    <row r="258" spans="2:96" ht="40.049999999999997" customHeight="1" x14ac:dyDescent="0.3">
      <c r="B258" s="80"/>
      <c r="H258" s="113"/>
      <c r="I258" s="113"/>
      <c r="J258" s="113"/>
      <c r="K258" s="7"/>
      <c r="L258" s="18"/>
      <c r="Q258" s="6"/>
      <c r="R258" s="6"/>
      <c r="S258" s="6"/>
      <c r="T258" s="6"/>
      <c r="U258" s="6"/>
      <c r="V258" s="6"/>
      <c r="W258" s="6"/>
      <c r="X258" s="6"/>
      <c r="CQ258" s="6"/>
      <c r="CR258" s="6"/>
    </row>
    <row r="259" spans="2:96" ht="40.049999999999997" customHeight="1" x14ac:dyDescent="0.3">
      <c r="B259" s="80"/>
      <c r="H259" s="113"/>
      <c r="I259" s="113"/>
      <c r="J259" s="113"/>
      <c r="K259" s="7"/>
      <c r="L259" s="18"/>
      <c r="Q259" s="6"/>
      <c r="R259" s="6"/>
      <c r="S259" s="6"/>
      <c r="T259" s="6"/>
      <c r="U259" s="6"/>
      <c r="V259" s="6"/>
      <c r="W259" s="6"/>
      <c r="X259" s="6"/>
      <c r="CQ259" s="6"/>
      <c r="CR259" s="6"/>
    </row>
    <row r="260" spans="2:96" ht="40.049999999999997" customHeight="1" x14ac:dyDescent="0.3">
      <c r="B260" s="80"/>
      <c r="H260" s="113"/>
      <c r="I260" s="113"/>
      <c r="J260" s="113"/>
      <c r="K260" s="7"/>
      <c r="L260" s="18"/>
      <c r="Q260" s="6"/>
      <c r="R260" s="6"/>
      <c r="S260" s="6"/>
      <c r="T260" s="6"/>
      <c r="U260" s="6"/>
      <c r="V260" s="6"/>
      <c r="W260" s="6"/>
      <c r="X260" s="6"/>
      <c r="CQ260" s="6"/>
      <c r="CR260" s="6"/>
    </row>
    <row r="261" spans="2:96" ht="40.049999999999997" customHeight="1" x14ac:dyDescent="0.3">
      <c r="B261" s="80"/>
      <c r="H261" s="113"/>
      <c r="I261" s="113"/>
      <c r="J261" s="113"/>
      <c r="K261" s="7"/>
      <c r="L261" s="18"/>
      <c r="Q261" s="6"/>
      <c r="R261" s="6"/>
      <c r="S261" s="6"/>
      <c r="T261" s="6"/>
      <c r="U261" s="6"/>
      <c r="V261" s="6"/>
      <c r="W261" s="6"/>
      <c r="X261" s="6"/>
      <c r="CQ261" s="6"/>
      <c r="CR261" s="6"/>
    </row>
    <row r="262" spans="2:96" ht="40.049999999999997" customHeight="1" x14ac:dyDescent="0.3">
      <c r="B262" s="80"/>
      <c r="H262" s="113"/>
      <c r="I262" s="113"/>
      <c r="J262" s="113"/>
      <c r="K262" s="7"/>
      <c r="L262" s="18"/>
      <c r="Q262" s="6"/>
      <c r="R262" s="6"/>
      <c r="S262" s="6"/>
      <c r="T262" s="6"/>
      <c r="U262" s="6"/>
      <c r="V262" s="6"/>
      <c r="W262" s="6"/>
      <c r="X262" s="6"/>
      <c r="CQ262" s="6"/>
      <c r="CR262" s="6"/>
    </row>
    <row r="263" spans="2:96" ht="40.049999999999997" customHeight="1" x14ac:dyDescent="0.3">
      <c r="B263" s="80"/>
      <c r="H263" s="113"/>
      <c r="I263" s="113"/>
      <c r="J263" s="113"/>
      <c r="K263" s="7"/>
      <c r="L263" s="18"/>
      <c r="Q263" s="6"/>
      <c r="R263" s="6"/>
      <c r="S263" s="6"/>
      <c r="T263" s="6"/>
      <c r="U263" s="6"/>
      <c r="V263" s="6"/>
      <c r="W263" s="6"/>
      <c r="X263" s="6"/>
      <c r="CQ263" s="6"/>
      <c r="CR263" s="6"/>
    </row>
    <row r="264" spans="2:96" ht="40.049999999999997" customHeight="1" x14ac:dyDescent="0.3">
      <c r="B264" s="80"/>
      <c r="H264" s="113"/>
      <c r="I264" s="113"/>
      <c r="J264" s="113"/>
      <c r="K264" s="7"/>
      <c r="L264" s="18"/>
      <c r="Q264" s="6"/>
      <c r="R264" s="6"/>
      <c r="S264" s="6"/>
      <c r="T264" s="6"/>
      <c r="U264" s="6"/>
      <c r="V264" s="6"/>
      <c r="W264" s="6"/>
      <c r="X264" s="6"/>
      <c r="CQ264" s="6"/>
      <c r="CR264" s="6"/>
    </row>
    <row r="265" spans="2:96" ht="40.049999999999997" customHeight="1" x14ac:dyDescent="0.3">
      <c r="B265" s="80"/>
      <c r="H265" s="113"/>
      <c r="I265" s="113"/>
      <c r="J265" s="113"/>
      <c r="K265" s="7"/>
      <c r="L265" s="18"/>
      <c r="Q265" s="6"/>
      <c r="R265" s="6"/>
      <c r="S265" s="6"/>
      <c r="T265" s="6"/>
      <c r="U265" s="6"/>
      <c r="V265" s="6"/>
      <c r="W265" s="6"/>
      <c r="X265" s="6"/>
      <c r="CQ265" s="6"/>
      <c r="CR265" s="6"/>
    </row>
    <row r="266" spans="2:96" ht="40.049999999999997" customHeight="1" x14ac:dyDescent="0.3">
      <c r="B266" s="80"/>
      <c r="H266" s="113"/>
      <c r="I266" s="113"/>
      <c r="J266" s="113"/>
      <c r="K266" s="7"/>
      <c r="L266" s="18"/>
      <c r="Q266" s="6"/>
      <c r="R266" s="6"/>
      <c r="S266" s="6"/>
      <c r="T266" s="6"/>
      <c r="U266" s="6"/>
      <c r="V266" s="6"/>
      <c r="W266" s="6"/>
      <c r="X266" s="6"/>
      <c r="CQ266" s="6"/>
      <c r="CR266" s="6"/>
    </row>
    <row r="267" spans="2:96" ht="40.049999999999997" customHeight="1" x14ac:dyDescent="0.3">
      <c r="B267" s="80"/>
      <c r="H267" s="113"/>
      <c r="I267" s="113"/>
      <c r="J267" s="113"/>
      <c r="K267" s="7"/>
      <c r="L267" s="18"/>
      <c r="Q267" s="6"/>
      <c r="R267" s="6"/>
      <c r="S267" s="6"/>
      <c r="T267" s="6"/>
      <c r="U267" s="6"/>
      <c r="V267" s="6"/>
      <c r="W267" s="6"/>
      <c r="X267" s="6"/>
      <c r="CQ267" s="6"/>
      <c r="CR267" s="6"/>
    </row>
    <row r="268" spans="2:96" ht="40.049999999999997" customHeight="1" x14ac:dyDescent="0.3">
      <c r="B268" s="80"/>
      <c r="H268" s="113"/>
      <c r="I268" s="113"/>
      <c r="J268" s="113"/>
      <c r="K268" s="7"/>
      <c r="L268" s="18"/>
      <c r="Q268" s="6"/>
      <c r="R268" s="6"/>
      <c r="S268" s="6"/>
      <c r="T268" s="6"/>
      <c r="U268" s="6"/>
      <c r="V268" s="6"/>
      <c r="W268" s="6"/>
      <c r="X268" s="6"/>
      <c r="CQ268" s="6"/>
      <c r="CR268" s="6"/>
    </row>
    <row r="269" spans="2:96" ht="40.049999999999997" customHeight="1" x14ac:dyDescent="0.3">
      <c r="B269" s="80"/>
      <c r="H269" s="113"/>
      <c r="I269" s="113"/>
      <c r="J269" s="113"/>
      <c r="K269" s="7"/>
      <c r="L269" s="18"/>
      <c r="Q269" s="6"/>
      <c r="R269" s="6"/>
      <c r="S269" s="6"/>
      <c r="T269" s="6"/>
      <c r="U269" s="6"/>
      <c r="V269" s="6"/>
      <c r="W269" s="6"/>
      <c r="X269" s="6"/>
      <c r="CQ269" s="6"/>
      <c r="CR269" s="6"/>
    </row>
    <row r="270" spans="2:96" ht="40.049999999999997" customHeight="1" x14ac:dyDescent="0.3">
      <c r="B270" s="80"/>
      <c r="H270" s="113"/>
      <c r="I270" s="113"/>
      <c r="J270" s="113"/>
      <c r="K270" s="7"/>
      <c r="L270" s="18"/>
      <c r="Q270" s="6"/>
      <c r="R270" s="6"/>
      <c r="S270" s="6"/>
      <c r="T270" s="6"/>
      <c r="U270" s="6"/>
      <c r="V270" s="6"/>
      <c r="W270" s="6"/>
      <c r="X270" s="6"/>
      <c r="CQ270" s="6"/>
      <c r="CR270" s="6"/>
    </row>
    <row r="271" spans="2:96" ht="40.049999999999997" customHeight="1" x14ac:dyDescent="0.3">
      <c r="B271" s="80"/>
      <c r="H271" s="113"/>
      <c r="I271" s="113"/>
      <c r="J271" s="113"/>
      <c r="K271" s="7"/>
      <c r="L271" s="18"/>
      <c r="Q271" s="6"/>
      <c r="R271" s="6"/>
      <c r="S271" s="6"/>
      <c r="T271" s="6"/>
      <c r="U271" s="6"/>
      <c r="V271" s="6"/>
      <c r="W271" s="6"/>
      <c r="X271" s="6"/>
      <c r="CQ271" s="6"/>
      <c r="CR271" s="6"/>
    </row>
    <row r="272" spans="2:96" ht="40.049999999999997" customHeight="1" x14ac:dyDescent="0.3">
      <c r="B272" s="80"/>
      <c r="H272" s="113"/>
      <c r="I272" s="113"/>
      <c r="J272" s="113"/>
      <c r="K272" s="7"/>
      <c r="L272" s="18"/>
      <c r="Q272" s="6"/>
      <c r="R272" s="6"/>
      <c r="S272" s="6"/>
      <c r="T272" s="6"/>
      <c r="U272" s="6"/>
      <c r="V272" s="6"/>
      <c r="W272" s="6"/>
      <c r="X272" s="6"/>
      <c r="CQ272" s="6"/>
      <c r="CR272" s="6"/>
    </row>
    <row r="273" spans="2:96" ht="40.049999999999997" customHeight="1" x14ac:dyDescent="0.3">
      <c r="B273" s="80"/>
      <c r="H273" s="113"/>
      <c r="I273" s="113"/>
      <c r="J273" s="113"/>
      <c r="K273" s="7"/>
      <c r="L273" s="18"/>
      <c r="Q273" s="6"/>
      <c r="R273" s="6"/>
      <c r="S273" s="6"/>
      <c r="T273" s="6"/>
      <c r="U273" s="6"/>
      <c r="V273" s="6"/>
      <c r="W273" s="6"/>
      <c r="X273" s="6"/>
      <c r="CQ273" s="6"/>
      <c r="CR273" s="6"/>
    </row>
    <row r="274" spans="2:96" ht="40.049999999999997" customHeight="1" x14ac:dyDescent="0.3">
      <c r="B274" s="80"/>
      <c r="H274" s="113"/>
      <c r="I274" s="113"/>
      <c r="J274" s="113"/>
      <c r="K274" s="7"/>
      <c r="L274" s="18"/>
      <c r="Q274" s="6"/>
      <c r="R274" s="6"/>
      <c r="S274" s="6"/>
      <c r="T274" s="6"/>
      <c r="U274" s="6"/>
      <c r="V274" s="6"/>
      <c r="W274" s="6"/>
      <c r="X274" s="6"/>
      <c r="CQ274" s="6"/>
      <c r="CR274" s="6"/>
    </row>
    <row r="275" spans="2:96" ht="40.049999999999997" customHeight="1" x14ac:dyDescent="0.3">
      <c r="B275" s="80"/>
      <c r="H275" s="113"/>
      <c r="I275" s="113"/>
      <c r="J275" s="113"/>
      <c r="K275" s="7"/>
      <c r="L275" s="18"/>
      <c r="Q275" s="6"/>
      <c r="R275" s="6"/>
      <c r="S275" s="6"/>
      <c r="T275" s="6"/>
      <c r="U275" s="6"/>
      <c r="V275" s="6"/>
      <c r="W275" s="6"/>
      <c r="X275" s="6"/>
      <c r="CQ275" s="6"/>
      <c r="CR275" s="6"/>
    </row>
    <row r="276" spans="2:96" ht="40.049999999999997" customHeight="1" x14ac:dyDescent="0.3">
      <c r="B276" s="80"/>
      <c r="H276" s="113"/>
      <c r="I276" s="113"/>
      <c r="J276" s="113"/>
      <c r="K276" s="7"/>
      <c r="L276" s="18"/>
      <c r="Q276" s="6"/>
      <c r="R276" s="6"/>
      <c r="S276" s="6"/>
      <c r="T276" s="6"/>
      <c r="U276" s="6"/>
      <c r="V276" s="6"/>
      <c r="W276" s="6"/>
      <c r="X276" s="6"/>
      <c r="CQ276" s="6"/>
      <c r="CR276" s="6"/>
    </row>
    <row r="277" spans="2:96" ht="40.049999999999997" customHeight="1" x14ac:dyDescent="0.3">
      <c r="B277" s="80"/>
      <c r="H277" s="113"/>
      <c r="I277" s="113"/>
      <c r="J277" s="113"/>
      <c r="K277" s="7"/>
      <c r="L277" s="18"/>
      <c r="Q277" s="6"/>
      <c r="R277" s="6"/>
      <c r="S277" s="6"/>
      <c r="T277" s="6"/>
      <c r="U277" s="6"/>
      <c r="V277" s="6"/>
      <c r="W277" s="6"/>
      <c r="X277" s="6"/>
      <c r="CQ277" s="6"/>
      <c r="CR277" s="6"/>
    </row>
    <row r="278" spans="2:96" ht="40.049999999999997" customHeight="1" x14ac:dyDescent="0.3">
      <c r="B278" s="80"/>
      <c r="H278" s="113"/>
      <c r="I278" s="113"/>
      <c r="J278" s="113"/>
      <c r="K278" s="7"/>
      <c r="L278" s="18"/>
      <c r="Q278" s="6"/>
      <c r="R278" s="6"/>
      <c r="S278" s="6"/>
      <c r="T278" s="6"/>
      <c r="U278" s="6"/>
      <c r="V278" s="6"/>
      <c r="W278" s="6"/>
      <c r="X278" s="6"/>
      <c r="CQ278" s="6"/>
      <c r="CR278" s="6"/>
    </row>
    <row r="279" spans="2:96" ht="40.049999999999997" customHeight="1" x14ac:dyDescent="0.3">
      <c r="B279" s="80"/>
      <c r="H279" s="113"/>
      <c r="I279" s="113"/>
      <c r="J279" s="113"/>
      <c r="K279" s="7"/>
      <c r="L279" s="18"/>
      <c r="Q279" s="6"/>
      <c r="R279" s="6"/>
      <c r="S279" s="6"/>
      <c r="T279" s="6"/>
      <c r="U279" s="6"/>
      <c r="V279" s="6"/>
      <c r="W279" s="6"/>
      <c r="X279" s="6"/>
      <c r="CQ279" s="6"/>
      <c r="CR279" s="6"/>
    </row>
    <row r="280" spans="2:96" ht="40.049999999999997" customHeight="1" x14ac:dyDescent="0.3">
      <c r="B280" s="80"/>
      <c r="H280" s="113"/>
      <c r="I280" s="113"/>
      <c r="J280" s="113"/>
      <c r="K280" s="7"/>
      <c r="L280" s="18"/>
      <c r="Q280" s="6"/>
      <c r="R280" s="6"/>
      <c r="S280" s="6"/>
      <c r="T280" s="6"/>
      <c r="U280" s="6"/>
      <c r="V280" s="6"/>
      <c r="W280" s="6"/>
      <c r="X280" s="6"/>
      <c r="CQ280" s="6"/>
      <c r="CR280" s="6"/>
    </row>
    <row r="281" spans="2:96" ht="40.049999999999997" customHeight="1" x14ac:dyDescent="0.3">
      <c r="B281" s="80"/>
      <c r="H281" s="113"/>
      <c r="I281" s="113"/>
      <c r="J281" s="113"/>
      <c r="K281" s="7"/>
      <c r="L281" s="18"/>
      <c r="Q281" s="6"/>
      <c r="R281" s="6"/>
      <c r="S281" s="6"/>
      <c r="T281" s="6"/>
      <c r="U281" s="6"/>
      <c r="V281" s="6"/>
      <c r="W281" s="6"/>
      <c r="X281" s="6"/>
      <c r="CQ281" s="6"/>
      <c r="CR281" s="6"/>
    </row>
    <row r="282" spans="2:96" ht="40.049999999999997" customHeight="1" x14ac:dyDescent="0.3">
      <c r="B282" s="80"/>
      <c r="H282" s="113"/>
      <c r="I282" s="113"/>
      <c r="J282" s="113"/>
      <c r="K282" s="7"/>
      <c r="L282" s="18"/>
      <c r="Q282" s="6"/>
      <c r="R282" s="6"/>
      <c r="S282" s="6"/>
      <c r="T282" s="6"/>
      <c r="U282" s="6"/>
      <c r="V282" s="6"/>
      <c r="W282" s="6"/>
      <c r="X282" s="6"/>
      <c r="CQ282" s="6"/>
      <c r="CR282" s="6"/>
    </row>
    <row r="283" spans="2:96" ht="40.049999999999997" customHeight="1" x14ac:dyDescent="0.3">
      <c r="B283" s="80"/>
      <c r="H283" s="113"/>
      <c r="I283" s="113"/>
      <c r="J283" s="113"/>
      <c r="K283" s="7"/>
      <c r="L283" s="18"/>
      <c r="Q283" s="6"/>
      <c r="R283" s="6"/>
      <c r="S283" s="6"/>
      <c r="T283" s="6"/>
      <c r="U283" s="6"/>
      <c r="V283" s="6"/>
      <c r="W283" s="6"/>
      <c r="X283" s="6"/>
      <c r="CQ283" s="6"/>
      <c r="CR283" s="6"/>
    </row>
    <row r="284" spans="2:96" ht="40.049999999999997" customHeight="1" x14ac:dyDescent="0.3">
      <c r="B284" s="80"/>
      <c r="H284" s="113"/>
      <c r="I284" s="113"/>
      <c r="J284" s="113"/>
      <c r="K284" s="7"/>
      <c r="L284" s="18"/>
      <c r="Q284" s="6"/>
      <c r="R284" s="6"/>
      <c r="S284" s="6"/>
      <c r="T284" s="6"/>
      <c r="U284" s="6"/>
      <c r="V284" s="6"/>
      <c r="W284" s="6"/>
      <c r="X284" s="6"/>
      <c r="CQ284" s="6"/>
      <c r="CR284" s="6"/>
    </row>
    <row r="285" spans="2:96" ht="40.049999999999997" customHeight="1" x14ac:dyDescent="0.3">
      <c r="B285" s="80"/>
      <c r="H285" s="113"/>
      <c r="I285" s="113"/>
      <c r="J285" s="113"/>
      <c r="K285" s="7"/>
      <c r="L285" s="18"/>
      <c r="Q285" s="6"/>
      <c r="R285" s="6"/>
      <c r="S285" s="6"/>
      <c r="T285" s="6"/>
      <c r="U285" s="6"/>
      <c r="V285" s="6"/>
      <c r="W285" s="6"/>
      <c r="X285" s="6"/>
      <c r="CQ285" s="6"/>
      <c r="CR285" s="6"/>
    </row>
    <row r="286" spans="2:96" ht="40.049999999999997" customHeight="1" x14ac:dyDescent="0.3">
      <c r="B286" s="80"/>
      <c r="H286" s="113"/>
      <c r="I286" s="113"/>
      <c r="J286" s="113"/>
      <c r="K286" s="7"/>
      <c r="L286" s="18"/>
      <c r="Q286" s="6"/>
      <c r="R286" s="6"/>
      <c r="S286" s="6"/>
      <c r="T286" s="6"/>
      <c r="U286" s="6"/>
      <c r="V286" s="6"/>
      <c r="W286" s="6"/>
      <c r="X286" s="6"/>
      <c r="CQ286" s="6"/>
      <c r="CR286" s="6"/>
    </row>
    <row r="287" spans="2:96" ht="40.049999999999997" customHeight="1" x14ac:dyDescent="0.3">
      <c r="B287" s="80"/>
      <c r="H287" s="113"/>
      <c r="I287" s="113"/>
      <c r="J287" s="113"/>
      <c r="K287" s="7"/>
      <c r="L287" s="18"/>
      <c r="Q287" s="6"/>
      <c r="R287" s="6"/>
      <c r="S287" s="6"/>
      <c r="T287" s="6"/>
      <c r="U287" s="6"/>
      <c r="V287" s="6"/>
      <c r="W287" s="6"/>
      <c r="X287" s="6"/>
      <c r="CQ287" s="6"/>
      <c r="CR287" s="6"/>
    </row>
    <row r="288" spans="2:96" ht="40.049999999999997" customHeight="1" x14ac:dyDescent="0.3">
      <c r="B288" s="80"/>
      <c r="H288" s="113"/>
      <c r="I288" s="113"/>
      <c r="J288" s="113"/>
      <c r="K288" s="7"/>
      <c r="L288" s="18"/>
      <c r="Q288" s="6"/>
      <c r="R288" s="6"/>
      <c r="S288" s="6"/>
      <c r="T288" s="6"/>
      <c r="U288" s="6"/>
      <c r="V288" s="6"/>
      <c r="W288" s="6"/>
      <c r="X288" s="6"/>
      <c r="CQ288" s="6"/>
      <c r="CR288" s="6"/>
    </row>
    <row r="289" spans="2:96" ht="40.049999999999997" customHeight="1" x14ac:dyDescent="0.3">
      <c r="B289" s="80"/>
      <c r="H289" s="113"/>
      <c r="I289" s="113"/>
      <c r="J289" s="113"/>
      <c r="K289" s="7"/>
      <c r="L289" s="18"/>
      <c r="Q289" s="6"/>
      <c r="R289" s="6"/>
      <c r="S289" s="6"/>
      <c r="T289" s="6"/>
      <c r="U289" s="6"/>
      <c r="V289" s="6"/>
      <c r="W289" s="6"/>
      <c r="X289" s="6"/>
      <c r="CQ289" s="6"/>
      <c r="CR289" s="6"/>
    </row>
    <row r="290" spans="2:96" ht="40.049999999999997" customHeight="1" x14ac:dyDescent="0.3">
      <c r="B290" s="80"/>
      <c r="H290" s="113"/>
      <c r="I290" s="113"/>
      <c r="J290" s="113"/>
      <c r="K290" s="7"/>
      <c r="L290" s="18"/>
      <c r="Q290" s="6"/>
      <c r="R290" s="6"/>
      <c r="S290" s="6"/>
      <c r="T290" s="6"/>
      <c r="U290" s="6"/>
      <c r="V290" s="6"/>
      <c r="W290" s="6"/>
      <c r="X290" s="6"/>
      <c r="CQ290" s="6"/>
      <c r="CR290" s="6"/>
    </row>
    <row r="291" spans="2:96" ht="40.049999999999997" customHeight="1" x14ac:dyDescent="0.3">
      <c r="B291" s="80"/>
      <c r="H291" s="113"/>
      <c r="I291" s="113"/>
      <c r="J291" s="113"/>
      <c r="K291" s="7"/>
      <c r="L291" s="18"/>
      <c r="Q291" s="6"/>
      <c r="R291" s="6"/>
      <c r="S291" s="6"/>
      <c r="T291" s="6"/>
      <c r="U291" s="6"/>
      <c r="V291" s="6"/>
      <c r="W291" s="6"/>
      <c r="X291" s="6"/>
      <c r="CQ291" s="6"/>
      <c r="CR291" s="6"/>
    </row>
    <row r="292" spans="2:96" ht="40.049999999999997" customHeight="1" x14ac:dyDescent="0.3">
      <c r="B292" s="80"/>
      <c r="H292" s="113"/>
      <c r="I292" s="113"/>
      <c r="J292" s="113"/>
      <c r="K292" s="7"/>
      <c r="L292" s="18"/>
      <c r="Q292" s="6"/>
      <c r="R292" s="6"/>
      <c r="S292" s="6"/>
      <c r="T292" s="6"/>
      <c r="U292" s="6"/>
      <c r="V292" s="6"/>
      <c r="W292" s="6"/>
      <c r="X292" s="6"/>
      <c r="CQ292" s="6"/>
      <c r="CR292" s="6"/>
    </row>
    <row r="293" spans="2:96" ht="40.049999999999997" customHeight="1" x14ac:dyDescent="0.3">
      <c r="B293" s="80"/>
      <c r="H293" s="113"/>
      <c r="I293" s="113"/>
      <c r="J293" s="113"/>
      <c r="K293" s="7"/>
      <c r="L293" s="18"/>
      <c r="Q293" s="6"/>
      <c r="R293" s="6"/>
      <c r="S293" s="6"/>
      <c r="T293" s="6"/>
      <c r="U293" s="6"/>
      <c r="V293" s="6"/>
      <c r="W293" s="6"/>
      <c r="X293" s="6"/>
      <c r="CQ293" s="6"/>
      <c r="CR293" s="6"/>
    </row>
    <row r="294" spans="2:96" ht="40.049999999999997" customHeight="1" x14ac:dyDescent="0.3">
      <c r="B294" s="80"/>
      <c r="H294" s="113"/>
      <c r="I294" s="113"/>
      <c r="J294" s="113"/>
      <c r="K294" s="7"/>
      <c r="L294" s="18"/>
      <c r="Q294" s="6"/>
      <c r="R294" s="6"/>
      <c r="S294" s="6"/>
      <c r="T294" s="6"/>
      <c r="U294" s="6"/>
      <c r="V294" s="6"/>
      <c r="W294" s="6"/>
      <c r="X294" s="6"/>
      <c r="CQ294" s="6"/>
      <c r="CR294" s="6"/>
    </row>
    <row r="295" spans="2:96" ht="40.049999999999997" customHeight="1" x14ac:dyDescent="0.3">
      <c r="B295" s="80"/>
      <c r="H295" s="113"/>
      <c r="I295" s="113"/>
      <c r="J295" s="113"/>
      <c r="K295" s="7"/>
      <c r="L295" s="18"/>
      <c r="Q295" s="6"/>
      <c r="R295" s="6"/>
      <c r="S295" s="6"/>
      <c r="T295" s="6"/>
      <c r="U295" s="6"/>
      <c r="V295" s="6"/>
      <c r="W295" s="6"/>
      <c r="X295" s="6"/>
      <c r="CQ295" s="6"/>
      <c r="CR295" s="6"/>
    </row>
    <row r="296" spans="2:96" ht="40.049999999999997" customHeight="1" x14ac:dyDescent="0.3">
      <c r="B296" s="80"/>
      <c r="H296" s="113"/>
      <c r="I296" s="113"/>
      <c r="J296" s="113"/>
      <c r="K296" s="7"/>
      <c r="L296" s="18"/>
      <c r="Q296" s="6"/>
      <c r="R296" s="6"/>
      <c r="S296" s="6"/>
      <c r="T296" s="6"/>
      <c r="U296" s="6"/>
      <c r="V296" s="6"/>
      <c r="W296" s="6"/>
      <c r="X296" s="6"/>
      <c r="CQ296" s="6"/>
      <c r="CR296" s="6"/>
    </row>
    <row r="297" spans="2:96" ht="40.049999999999997" customHeight="1" x14ac:dyDescent="0.3">
      <c r="B297" s="80"/>
      <c r="H297" s="113"/>
      <c r="I297" s="113"/>
      <c r="J297" s="113"/>
      <c r="K297" s="7"/>
      <c r="L297" s="18"/>
      <c r="Q297" s="6"/>
      <c r="R297" s="6"/>
      <c r="S297" s="6"/>
      <c r="T297" s="6"/>
      <c r="U297" s="6"/>
      <c r="V297" s="6"/>
      <c r="W297" s="6"/>
      <c r="X297" s="6"/>
      <c r="CQ297" s="6"/>
      <c r="CR297" s="6"/>
    </row>
    <row r="298" spans="2:96" ht="40.049999999999997" customHeight="1" x14ac:dyDescent="0.3">
      <c r="B298" s="80"/>
      <c r="H298" s="113"/>
      <c r="I298" s="113"/>
      <c r="J298" s="113"/>
      <c r="K298" s="7"/>
      <c r="L298" s="18"/>
      <c r="Q298" s="6"/>
      <c r="R298" s="6"/>
      <c r="S298" s="6"/>
      <c r="T298" s="6"/>
      <c r="U298" s="6"/>
      <c r="V298" s="6"/>
      <c r="W298" s="6"/>
      <c r="X298" s="6"/>
      <c r="CQ298" s="6"/>
      <c r="CR298" s="6"/>
    </row>
    <row r="299" spans="2:96" ht="40.049999999999997" customHeight="1" x14ac:dyDescent="0.3">
      <c r="B299" s="80"/>
      <c r="H299" s="113"/>
      <c r="I299" s="113"/>
      <c r="J299" s="113"/>
      <c r="K299" s="7"/>
      <c r="L299" s="18"/>
      <c r="Q299" s="6"/>
      <c r="R299" s="6"/>
      <c r="S299" s="6"/>
      <c r="T299" s="6"/>
      <c r="U299" s="6"/>
      <c r="V299" s="6"/>
      <c r="W299" s="6"/>
      <c r="X299" s="6"/>
      <c r="CQ299" s="6"/>
      <c r="CR299" s="6"/>
    </row>
    <row r="300" spans="2:96" ht="40.049999999999997" customHeight="1" x14ac:dyDescent="0.3">
      <c r="B300" s="80"/>
      <c r="H300" s="113"/>
      <c r="I300" s="113"/>
      <c r="J300" s="113"/>
      <c r="K300" s="7"/>
      <c r="L300" s="18"/>
      <c r="Q300" s="6"/>
      <c r="R300" s="6"/>
      <c r="S300" s="6"/>
      <c r="T300" s="6"/>
      <c r="U300" s="6"/>
      <c r="V300" s="6"/>
      <c r="W300" s="6"/>
      <c r="X300" s="6"/>
      <c r="CQ300" s="6"/>
      <c r="CR300" s="6"/>
    </row>
    <row r="301" spans="2:96" ht="40.049999999999997" customHeight="1" x14ac:dyDescent="0.3">
      <c r="B301" s="80"/>
      <c r="H301" s="113"/>
      <c r="I301" s="113"/>
      <c r="J301" s="113"/>
      <c r="K301" s="7"/>
      <c r="L301" s="18"/>
      <c r="Q301" s="6"/>
      <c r="R301" s="6"/>
      <c r="S301" s="6"/>
      <c r="T301" s="6"/>
      <c r="U301" s="6"/>
      <c r="V301" s="6"/>
      <c r="W301" s="6"/>
      <c r="X301" s="6"/>
      <c r="CQ301" s="6"/>
      <c r="CR301" s="6"/>
    </row>
    <row r="302" spans="2:96" ht="40.049999999999997" customHeight="1" x14ac:dyDescent="0.3">
      <c r="B302" s="80"/>
      <c r="H302" s="113"/>
      <c r="I302" s="113"/>
      <c r="J302" s="113"/>
      <c r="K302" s="7"/>
      <c r="L302" s="18"/>
      <c r="Q302" s="6"/>
      <c r="R302" s="6"/>
      <c r="S302" s="6"/>
      <c r="T302" s="6"/>
      <c r="U302" s="6"/>
      <c r="V302" s="6"/>
      <c r="W302" s="6"/>
      <c r="X302" s="6"/>
      <c r="CQ302" s="6"/>
      <c r="CR302" s="6"/>
    </row>
    <row r="303" spans="2:96" ht="40.049999999999997" customHeight="1" x14ac:dyDescent="0.3">
      <c r="B303" s="80"/>
      <c r="H303" s="113"/>
      <c r="I303" s="113"/>
      <c r="J303" s="113"/>
      <c r="K303" s="7"/>
      <c r="L303" s="18"/>
      <c r="Q303" s="6"/>
      <c r="R303" s="6"/>
      <c r="S303" s="6"/>
      <c r="T303" s="6"/>
      <c r="U303" s="6"/>
      <c r="V303" s="6"/>
      <c r="W303" s="6"/>
      <c r="X303" s="6"/>
      <c r="CQ303" s="6"/>
      <c r="CR303" s="6"/>
    </row>
    <row r="304" spans="2:96" ht="40.049999999999997" customHeight="1" x14ac:dyDescent="0.3">
      <c r="B304" s="80"/>
      <c r="H304" s="113"/>
      <c r="I304" s="113"/>
      <c r="J304" s="113"/>
      <c r="K304" s="7"/>
      <c r="L304" s="18"/>
      <c r="Q304" s="6"/>
      <c r="R304" s="6"/>
      <c r="S304" s="6"/>
      <c r="T304" s="6"/>
      <c r="U304" s="6"/>
      <c r="V304" s="6"/>
      <c r="W304" s="6"/>
      <c r="X304" s="6"/>
      <c r="CQ304" s="6"/>
      <c r="CR304" s="6"/>
    </row>
    <row r="305" spans="2:96" ht="40.049999999999997" customHeight="1" x14ac:dyDescent="0.3">
      <c r="B305" s="80"/>
      <c r="H305" s="113"/>
      <c r="I305" s="113"/>
      <c r="J305" s="113"/>
      <c r="K305" s="7"/>
      <c r="L305" s="18"/>
      <c r="Q305" s="6"/>
      <c r="R305" s="6"/>
      <c r="S305" s="6"/>
      <c r="T305" s="6"/>
      <c r="U305" s="6"/>
      <c r="V305" s="6"/>
      <c r="W305" s="6"/>
      <c r="X305" s="6"/>
      <c r="CQ305" s="6"/>
      <c r="CR305" s="6"/>
    </row>
    <row r="306" spans="2:96" ht="40.049999999999997" customHeight="1" x14ac:dyDescent="0.3">
      <c r="B306" s="80"/>
      <c r="H306" s="113"/>
      <c r="I306" s="113"/>
      <c r="J306" s="113"/>
      <c r="K306" s="7"/>
      <c r="L306" s="18"/>
      <c r="Q306" s="6"/>
      <c r="R306" s="6"/>
      <c r="S306" s="6"/>
      <c r="T306" s="6"/>
      <c r="U306" s="6"/>
      <c r="V306" s="6"/>
      <c r="W306" s="6"/>
      <c r="X306" s="6"/>
      <c r="CQ306" s="6"/>
      <c r="CR306" s="6"/>
    </row>
    <row r="307" spans="2:96" ht="40.049999999999997" customHeight="1" x14ac:dyDescent="0.3">
      <c r="B307" s="80"/>
      <c r="H307" s="113"/>
      <c r="I307" s="113"/>
      <c r="J307" s="113"/>
      <c r="K307" s="7"/>
      <c r="L307" s="18"/>
      <c r="Q307" s="6"/>
      <c r="R307" s="6"/>
      <c r="S307" s="6"/>
      <c r="T307" s="6"/>
      <c r="U307" s="6"/>
      <c r="V307" s="6"/>
      <c r="W307" s="6"/>
      <c r="X307" s="6"/>
      <c r="CQ307" s="6"/>
      <c r="CR307" s="6"/>
    </row>
    <row r="308" spans="2:96" ht="40.049999999999997" customHeight="1" x14ac:dyDescent="0.3">
      <c r="B308" s="80"/>
      <c r="H308" s="113"/>
      <c r="I308" s="113"/>
      <c r="J308" s="113"/>
      <c r="K308" s="7"/>
      <c r="L308" s="18"/>
      <c r="Q308" s="6"/>
      <c r="R308" s="6"/>
      <c r="S308" s="6"/>
      <c r="T308" s="6"/>
      <c r="U308" s="6"/>
      <c r="V308" s="6"/>
      <c r="W308" s="6"/>
      <c r="X308" s="6"/>
      <c r="CQ308" s="6"/>
      <c r="CR308" s="6"/>
    </row>
    <row r="309" spans="2:96" ht="40.049999999999997" customHeight="1" x14ac:dyDescent="0.3">
      <c r="B309" s="80"/>
      <c r="H309" s="113"/>
      <c r="I309" s="113"/>
      <c r="J309" s="113"/>
      <c r="K309" s="7"/>
      <c r="L309" s="18"/>
      <c r="Q309" s="6"/>
      <c r="R309" s="6"/>
      <c r="S309" s="6"/>
      <c r="T309" s="6"/>
      <c r="U309" s="6"/>
      <c r="V309" s="6"/>
      <c r="W309" s="6"/>
      <c r="X309" s="6"/>
      <c r="CQ309" s="6"/>
      <c r="CR309" s="6"/>
    </row>
    <row r="310" spans="2:96" ht="40.049999999999997" customHeight="1" x14ac:dyDescent="0.3">
      <c r="B310" s="80"/>
      <c r="H310" s="113"/>
      <c r="I310" s="113"/>
      <c r="J310" s="113"/>
      <c r="K310" s="7"/>
      <c r="L310" s="18"/>
      <c r="Q310" s="6"/>
      <c r="R310" s="6"/>
      <c r="S310" s="6"/>
      <c r="T310" s="6"/>
      <c r="U310" s="6"/>
      <c r="V310" s="6"/>
      <c r="W310" s="6"/>
      <c r="X310" s="6"/>
      <c r="CQ310" s="6"/>
      <c r="CR310" s="6"/>
    </row>
    <row r="311" spans="2:96" ht="40.049999999999997" customHeight="1" x14ac:dyDescent="0.3">
      <c r="B311" s="80"/>
      <c r="H311" s="113"/>
      <c r="I311" s="113"/>
      <c r="J311" s="113"/>
      <c r="K311" s="7"/>
      <c r="L311" s="18"/>
      <c r="Q311" s="6"/>
      <c r="R311" s="6"/>
      <c r="S311" s="6"/>
      <c r="T311" s="6"/>
      <c r="U311" s="6"/>
      <c r="V311" s="6"/>
      <c r="W311" s="6"/>
      <c r="X311" s="6"/>
      <c r="CQ311" s="6"/>
      <c r="CR311" s="6"/>
    </row>
    <row r="312" spans="2:96" ht="40.049999999999997" customHeight="1" x14ac:dyDescent="0.3">
      <c r="B312" s="80"/>
      <c r="H312" s="113"/>
      <c r="I312" s="113"/>
      <c r="J312" s="113"/>
      <c r="K312" s="7"/>
      <c r="L312" s="18"/>
      <c r="Q312" s="6"/>
      <c r="R312" s="6"/>
      <c r="S312" s="6"/>
      <c r="T312" s="6"/>
      <c r="U312" s="6"/>
      <c r="V312" s="6"/>
      <c r="W312" s="6"/>
      <c r="X312" s="6"/>
      <c r="CQ312" s="6"/>
      <c r="CR312" s="6"/>
    </row>
    <row r="313" spans="2:96" ht="40.049999999999997" customHeight="1" x14ac:dyDescent="0.3">
      <c r="B313" s="80"/>
      <c r="H313" s="113"/>
      <c r="I313" s="113"/>
      <c r="J313" s="113"/>
      <c r="K313" s="7"/>
      <c r="L313" s="18"/>
      <c r="Q313" s="6"/>
      <c r="R313" s="6"/>
      <c r="S313" s="6"/>
      <c r="T313" s="6"/>
      <c r="U313" s="6"/>
      <c r="V313" s="6"/>
      <c r="W313" s="6"/>
      <c r="X313" s="6"/>
      <c r="CQ313" s="6"/>
      <c r="CR313" s="6"/>
    </row>
    <row r="314" spans="2:96" ht="40.049999999999997" customHeight="1" x14ac:dyDescent="0.3">
      <c r="B314" s="80"/>
      <c r="H314" s="113"/>
      <c r="I314" s="113"/>
      <c r="J314" s="113"/>
      <c r="K314" s="7"/>
      <c r="L314" s="18"/>
      <c r="Q314" s="6"/>
      <c r="R314" s="6"/>
      <c r="S314" s="6"/>
      <c r="T314" s="6"/>
      <c r="U314" s="6"/>
      <c r="V314" s="6"/>
      <c r="W314" s="6"/>
      <c r="X314" s="6"/>
      <c r="CQ314" s="6"/>
      <c r="CR314" s="6"/>
    </row>
    <row r="315" spans="2:96" ht="40.049999999999997" customHeight="1" x14ac:dyDescent="0.3">
      <c r="B315" s="80"/>
      <c r="H315" s="113"/>
      <c r="I315" s="113"/>
      <c r="J315" s="113"/>
      <c r="K315" s="7"/>
      <c r="L315" s="18"/>
      <c r="Q315" s="6"/>
      <c r="R315" s="6"/>
      <c r="S315" s="6"/>
      <c r="T315" s="6"/>
      <c r="U315" s="6"/>
      <c r="V315" s="6"/>
      <c r="W315" s="6"/>
      <c r="X315" s="6"/>
      <c r="CQ315" s="6"/>
      <c r="CR315" s="6"/>
    </row>
    <row r="316" spans="2:96" ht="40.049999999999997" customHeight="1" x14ac:dyDescent="0.3">
      <c r="B316" s="80"/>
      <c r="H316" s="113"/>
      <c r="I316" s="113"/>
      <c r="J316" s="113"/>
      <c r="K316" s="7"/>
      <c r="L316" s="18"/>
      <c r="Q316" s="6"/>
      <c r="R316" s="6"/>
      <c r="S316" s="6"/>
      <c r="T316" s="6"/>
      <c r="U316" s="6"/>
      <c r="V316" s="6"/>
      <c r="W316" s="6"/>
      <c r="X316" s="6"/>
      <c r="CQ316" s="6"/>
      <c r="CR316" s="6"/>
    </row>
    <row r="317" spans="2:96" ht="40.049999999999997" customHeight="1" x14ac:dyDescent="0.3">
      <c r="B317" s="80"/>
      <c r="H317" s="113"/>
      <c r="I317" s="113"/>
      <c r="J317" s="113"/>
      <c r="K317" s="7"/>
      <c r="L317" s="18"/>
      <c r="Q317" s="6"/>
      <c r="R317" s="6"/>
      <c r="S317" s="6"/>
      <c r="T317" s="6"/>
      <c r="U317" s="6"/>
      <c r="V317" s="6"/>
      <c r="W317" s="6"/>
      <c r="X317" s="6"/>
      <c r="CQ317" s="6"/>
      <c r="CR317" s="6"/>
    </row>
    <row r="318" spans="2:96" ht="40.049999999999997" customHeight="1" x14ac:dyDescent="0.3">
      <c r="B318" s="80"/>
      <c r="H318" s="113"/>
      <c r="I318" s="113"/>
      <c r="J318" s="113"/>
      <c r="K318" s="7"/>
      <c r="L318" s="18"/>
      <c r="Q318" s="6"/>
      <c r="R318" s="6"/>
      <c r="S318" s="6"/>
      <c r="T318" s="6"/>
      <c r="U318" s="6"/>
      <c r="V318" s="6"/>
      <c r="W318" s="6"/>
      <c r="X318" s="6"/>
      <c r="CQ318" s="6"/>
      <c r="CR318" s="6"/>
    </row>
    <row r="319" spans="2:96" ht="40.049999999999997" customHeight="1" x14ac:dyDescent="0.3">
      <c r="B319" s="80"/>
      <c r="H319" s="113"/>
      <c r="I319" s="113"/>
      <c r="J319" s="113"/>
      <c r="K319" s="7"/>
      <c r="L319" s="18"/>
      <c r="Q319" s="6"/>
      <c r="R319" s="6"/>
      <c r="S319" s="6"/>
      <c r="T319" s="6"/>
      <c r="U319" s="6"/>
      <c r="V319" s="6"/>
      <c r="W319" s="6"/>
      <c r="X319" s="6"/>
      <c r="CQ319" s="6"/>
      <c r="CR319" s="6"/>
    </row>
    <row r="320" spans="2:96" ht="40.049999999999997" customHeight="1" x14ac:dyDescent="0.3">
      <c r="B320" s="80"/>
      <c r="H320" s="113"/>
      <c r="I320" s="113"/>
      <c r="J320" s="113"/>
      <c r="K320" s="7"/>
      <c r="L320" s="18"/>
      <c r="Q320" s="6"/>
      <c r="R320" s="6"/>
      <c r="S320" s="6"/>
      <c r="T320" s="6"/>
      <c r="U320" s="6"/>
      <c r="V320" s="6"/>
      <c r="W320" s="6"/>
      <c r="X320" s="6"/>
      <c r="CQ320" s="6"/>
      <c r="CR320" s="6"/>
    </row>
    <row r="321" spans="2:96" ht="40.049999999999997" customHeight="1" x14ac:dyDescent="0.3">
      <c r="B321" s="80"/>
      <c r="H321" s="113"/>
      <c r="I321" s="113"/>
      <c r="J321" s="113"/>
      <c r="K321" s="7"/>
      <c r="L321" s="18"/>
      <c r="Q321" s="6"/>
      <c r="R321" s="6"/>
      <c r="S321" s="6"/>
      <c r="T321" s="6"/>
      <c r="U321" s="6"/>
      <c r="V321" s="6"/>
      <c r="W321" s="6"/>
      <c r="X321" s="6"/>
      <c r="CQ321" s="6"/>
      <c r="CR321" s="6"/>
    </row>
    <row r="322" spans="2:96" ht="40.049999999999997" customHeight="1" x14ac:dyDescent="0.3">
      <c r="B322" s="80"/>
      <c r="H322" s="113"/>
      <c r="I322" s="113"/>
      <c r="J322" s="113"/>
      <c r="K322" s="7"/>
      <c r="L322" s="18"/>
      <c r="Q322" s="6"/>
      <c r="R322" s="6"/>
      <c r="S322" s="6"/>
      <c r="T322" s="6"/>
      <c r="U322" s="6"/>
      <c r="V322" s="6"/>
      <c r="W322" s="6"/>
      <c r="X322" s="6"/>
      <c r="CQ322" s="6"/>
      <c r="CR322" s="6"/>
    </row>
    <row r="323" spans="2:96" ht="40.049999999999997" customHeight="1" x14ac:dyDescent="0.3">
      <c r="B323" s="80"/>
      <c r="H323" s="113"/>
      <c r="I323" s="113"/>
      <c r="J323" s="113"/>
      <c r="K323" s="7"/>
      <c r="L323" s="18"/>
      <c r="Q323" s="6"/>
      <c r="R323" s="6"/>
      <c r="S323" s="6"/>
      <c r="T323" s="6"/>
      <c r="U323" s="6"/>
      <c r="V323" s="6"/>
      <c r="W323" s="6"/>
      <c r="X323" s="6"/>
      <c r="CQ323" s="6"/>
      <c r="CR323" s="6"/>
    </row>
    <row r="324" spans="2:96" ht="40.049999999999997" customHeight="1" x14ac:dyDescent="0.3">
      <c r="B324" s="80"/>
      <c r="H324" s="113"/>
      <c r="I324" s="113"/>
      <c r="J324" s="113"/>
      <c r="K324" s="7"/>
      <c r="L324" s="18"/>
      <c r="Q324" s="6"/>
      <c r="R324" s="6"/>
      <c r="S324" s="6"/>
      <c r="T324" s="6"/>
      <c r="U324" s="6"/>
      <c r="V324" s="6"/>
      <c r="W324" s="6"/>
      <c r="X324" s="6"/>
      <c r="CQ324" s="6"/>
      <c r="CR324" s="6"/>
    </row>
    <row r="325" spans="2:96" ht="40.049999999999997" customHeight="1" x14ac:dyDescent="0.3">
      <c r="B325" s="80"/>
      <c r="H325" s="113"/>
      <c r="I325" s="113"/>
      <c r="J325" s="113"/>
      <c r="K325" s="7"/>
      <c r="L325" s="18"/>
      <c r="Q325" s="6"/>
      <c r="R325" s="6"/>
      <c r="S325" s="6"/>
      <c r="T325" s="6"/>
      <c r="U325" s="6"/>
      <c r="V325" s="6"/>
      <c r="W325" s="6"/>
      <c r="X325" s="6"/>
      <c r="CQ325" s="6"/>
      <c r="CR325" s="6"/>
    </row>
    <row r="326" spans="2:96" ht="40.049999999999997" customHeight="1" x14ac:dyDescent="0.3">
      <c r="B326" s="80"/>
      <c r="H326" s="113"/>
      <c r="I326" s="113"/>
      <c r="J326" s="113"/>
      <c r="K326" s="7"/>
      <c r="L326" s="18"/>
      <c r="Q326" s="6"/>
      <c r="R326" s="6"/>
      <c r="S326" s="6"/>
      <c r="T326" s="6"/>
      <c r="U326" s="6"/>
      <c r="V326" s="6"/>
      <c r="W326" s="6"/>
      <c r="X326" s="6"/>
      <c r="CQ326" s="6"/>
      <c r="CR326" s="6"/>
    </row>
    <row r="327" spans="2:96" ht="40.049999999999997" customHeight="1" x14ac:dyDescent="0.3">
      <c r="B327" s="80"/>
      <c r="H327" s="113"/>
      <c r="I327" s="113"/>
      <c r="J327" s="113"/>
      <c r="K327" s="7"/>
      <c r="L327" s="18"/>
      <c r="Q327" s="6"/>
      <c r="R327" s="6"/>
      <c r="S327" s="6"/>
      <c r="T327" s="6"/>
      <c r="U327" s="6"/>
      <c r="V327" s="6"/>
      <c r="W327" s="6"/>
      <c r="X327" s="6"/>
      <c r="CQ327" s="6"/>
      <c r="CR327" s="6"/>
    </row>
    <row r="328" spans="2:96" ht="40.049999999999997" customHeight="1" x14ac:dyDescent="0.3">
      <c r="B328" s="80"/>
      <c r="H328" s="113"/>
      <c r="I328" s="113"/>
      <c r="J328" s="113"/>
      <c r="K328" s="7"/>
      <c r="L328" s="18"/>
      <c r="Q328" s="6"/>
      <c r="R328" s="6"/>
      <c r="S328" s="6"/>
      <c r="T328" s="6"/>
      <c r="U328" s="6"/>
      <c r="V328" s="6"/>
      <c r="W328" s="6"/>
      <c r="X328" s="6"/>
      <c r="CQ328" s="6"/>
      <c r="CR328" s="6"/>
    </row>
    <row r="329" spans="2:96" ht="40.049999999999997" customHeight="1" x14ac:dyDescent="0.3">
      <c r="B329" s="80"/>
      <c r="H329" s="113"/>
      <c r="I329" s="113"/>
      <c r="J329" s="113"/>
      <c r="K329" s="7"/>
      <c r="L329" s="18"/>
      <c r="Q329" s="6"/>
      <c r="R329" s="6"/>
      <c r="S329" s="6"/>
      <c r="T329" s="6"/>
      <c r="U329" s="6"/>
      <c r="V329" s="6"/>
      <c r="W329" s="6"/>
      <c r="X329" s="6"/>
      <c r="CQ329" s="6"/>
      <c r="CR329" s="6"/>
    </row>
    <row r="330" spans="2:96" ht="40.049999999999997" customHeight="1" x14ac:dyDescent="0.3">
      <c r="B330" s="80"/>
      <c r="H330" s="113"/>
      <c r="I330" s="113"/>
      <c r="J330" s="113"/>
      <c r="K330" s="7"/>
      <c r="L330" s="18"/>
      <c r="Q330" s="6"/>
      <c r="R330" s="6"/>
      <c r="S330" s="6"/>
      <c r="T330" s="6"/>
      <c r="U330" s="6"/>
      <c r="V330" s="6"/>
      <c r="W330" s="6"/>
      <c r="X330" s="6"/>
      <c r="CQ330" s="6"/>
      <c r="CR330" s="6"/>
    </row>
    <row r="331" spans="2:96" ht="40.049999999999997" customHeight="1" x14ac:dyDescent="0.3">
      <c r="B331" s="80"/>
      <c r="H331" s="113"/>
      <c r="I331" s="113"/>
      <c r="J331" s="113"/>
      <c r="K331" s="7"/>
      <c r="L331" s="18"/>
      <c r="Q331" s="6"/>
      <c r="R331" s="6"/>
      <c r="S331" s="6"/>
      <c r="T331" s="6"/>
      <c r="U331" s="6"/>
      <c r="V331" s="6"/>
      <c r="W331" s="6"/>
      <c r="X331" s="6"/>
      <c r="CQ331" s="6"/>
      <c r="CR331" s="6"/>
    </row>
    <row r="332" spans="2:96" ht="40.049999999999997" customHeight="1" x14ac:dyDescent="0.3">
      <c r="B332" s="80"/>
      <c r="H332" s="113"/>
      <c r="I332" s="113"/>
      <c r="J332" s="113"/>
      <c r="K332" s="7"/>
      <c r="L332" s="18"/>
      <c r="Q332" s="6"/>
      <c r="R332" s="6"/>
      <c r="S332" s="6"/>
      <c r="T332" s="6"/>
      <c r="U332" s="6"/>
      <c r="V332" s="6"/>
      <c r="W332" s="6"/>
      <c r="X332" s="6"/>
      <c r="CQ332" s="6"/>
      <c r="CR332" s="6"/>
    </row>
    <row r="333" spans="2:96" ht="40.049999999999997" customHeight="1" x14ac:dyDescent="0.3">
      <c r="B333" s="80"/>
      <c r="H333" s="113"/>
      <c r="I333" s="113"/>
      <c r="J333" s="113"/>
      <c r="K333" s="7"/>
      <c r="L333" s="18"/>
      <c r="Q333" s="6"/>
      <c r="R333" s="6"/>
      <c r="S333" s="6"/>
      <c r="T333" s="6"/>
      <c r="U333" s="6"/>
      <c r="V333" s="6"/>
      <c r="W333" s="6"/>
      <c r="X333" s="6"/>
      <c r="CQ333" s="6"/>
      <c r="CR333" s="6"/>
    </row>
    <row r="334" spans="2:96" ht="40.049999999999997" customHeight="1" x14ac:dyDescent="0.3">
      <c r="B334" s="80"/>
      <c r="H334" s="113"/>
      <c r="I334" s="113"/>
      <c r="J334" s="113"/>
      <c r="K334" s="7"/>
      <c r="L334" s="18"/>
      <c r="Q334" s="6"/>
      <c r="R334" s="6"/>
      <c r="S334" s="6"/>
      <c r="T334" s="6"/>
      <c r="U334" s="6"/>
      <c r="V334" s="6"/>
      <c r="W334" s="6"/>
      <c r="X334" s="6"/>
      <c r="CQ334" s="6"/>
      <c r="CR334" s="6"/>
    </row>
    <row r="335" spans="2:96" ht="40.049999999999997" customHeight="1" x14ac:dyDescent="0.3">
      <c r="B335" s="80"/>
      <c r="H335" s="113"/>
      <c r="I335" s="113"/>
      <c r="J335" s="113"/>
      <c r="K335" s="7"/>
      <c r="L335" s="18"/>
      <c r="Q335" s="6"/>
      <c r="R335" s="6"/>
      <c r="S335" s="6"/>
      <c r="T335" s="6"/>
      <c r="U335" s="6"/>
      <c r="V335" s="6"/>
      <c r="W335" s="6"/>
      <c r="X335" s="6"/>
      <c r="CQ335" s="6"/>
      <c r="CR335" s="6"/>
    </row>
    <row r="336" spans="2:96" ht="40.049999999999997" customHeight="1" x14ac:dyDescent="0.3">
      <c r="B336" s="80"/>
      <c r="H336" s="113"/>
      <c r="I336" s="113"/>
      <c r="J336" s="113"/>
      <c r="K336" s="7"/>
      <c r="L336" s="18"/>
      <c r="Q336" s="6"/>
      <c r="R336" s="6"/>
      <c r="S336" s="6"/>
      <c r="T336" s="6"/>
      <c r="U336" s="6"/>
      <c r="V336" s="6"/>
      <c r="W336" s="6"/>
      <c r="X336" s="6"/>
      <c r="CQ336" s="6"/>
      <c r="CR336" s="6"/>
    </row>
    <row r="337" spans="2:96" ht="40.049999999999997" customHeight="1" x14ac:dyDescent="0.3">
      <c r="B337" s="80"/>
      <c r="H337" s="113"/>
      <c r="I337" s="113"/>
      <c r="J337" s="113"/>
      <c r="K337" s="7"/>
      <c r="L337" s="18"/>
      <c r="Q337" s="6"/>
      <c r="R337" s="6"/>
      <c r="S337" s="6"/>
      <c r="T337" s="6"/>
      <c r="U337" s="6"/>
      <c r="V337" s="6"/>
      <c r="W337" s="6"/>
      <c r="X337" s="6"/>
      <c r="CQ337" s="6"/>
      <c r="CR337" s="6"/>
    </row>
    <row r="338" spans="2:96" ht="40.049999999999997" customHeight="1" x14ac:dyDescent="0.3">
      <c r="B338" s="80"/>
      <c r="H338" s="113"/>
      <c r="I338" s="113"/>
      <c r="J338" s="113"/>
      <c r="K338" s="7"/>
      <c r="L338" s="18"/>
      <c r="Q338" s="6"/>
      <c r="R338" s="6"/>
      <c r="S338" s="6"/>
      <c r="T338" s="6"/>
      <c r="U338" s="6"/>
      <c r="V338" s="6"/>
      <c r="W338" s="6"/>
      <c r="X338" s="6"/>
      <c r="CQ338" s="6"/>
      <c r="CR338" s="6"/>
    </row>
    <row r="339" spans="2:96" ht="40.049999999999997" customHeight="1" x14ac:dyDescent="0.3">
      <c r="B339" s="80"/>
      <c r="H339" s="113"/>
      <c r="I339" s="113"/>
      <c r="J339" s="113"/>
      <c r="K339" s="7"/>
      <c r="L339" s="18"/>
      <c r="Q339" s="6"/>
      <c r="R339" s="6"/>
      <c r="S339" s="6"/>
      <c r="T339" s="6"/>
      <c r="U339" s="6"/>
      <c r="V339" s="6"/>
      <c r="W339" s="6"/>
      <c r="X339" s="6"/>
      <c r="CQ339" s="6"/>
      <c r="CR339" s="6"/>
    </row>
    <row r="340" spans="2:96" ht="40.049999999999997" customHeight="1" x14ac:dyDescent="0.3">
      <c r="B340" s="80"/>
      <c r="H340" s="113"/>
      <c r="I340" s="113"/>
      <c r="J340" s="113"/>
      <c r="K340" s="7"/>
      <c r="L340" s="18"/>
      <c r="Q340" s="6"/>
      <c r="R340" s="6"/>
      <c r="S340" s="6"/>
      <c r="T340" s="6"/>
      <c r="U340" s="6"/>
      <c r="V340" s="6"/>
      <c r="W340" s="6"/>
      <c r="X340" s="6"/>
      <c r="CQ340" s="6"/>
      <c r="CR340" s="6"/>
    </row>
    <row r="341" spans="2:96" ht="40.049999999999997" customHeight="1" x14ac:dyDescent="0.3">
      <c r="B341" s="80"/>
      <c r="H341" s="113"/>
      <c r="I341" s="113"/>
      <c r="J341" s="113"/>
      <c r="K341" s="7"/>
      <c r="L341" s="18"/>
      <c r="Q341" s="6"/>
      <c r="R341" s="6"/>
      <c r="S341" s="6"/>
      <c r="T341" s="6"/>
      <c r="U341" s="6"/>
      <c r="V341" s="6"/>
      <c r="W341" s="6"/>
      <c r="X341" s="6"/>
      <c r="CQ341" s="6"/>
      <c r="CR341" s="6"/>
    </row>
    <row r="342" spans="2:96" ht="40.049999999999997" customHeight="1" x14ac:dyDescent="0.3">
      <c r="B342" s="80"/>
      <c r="H342" s="113"/>
      <c r="I342" s="113"/>
      <c r="J342" s="113"/>
      <c r="K342" s="7"/>
      <c r="L342" s="18"/>
      <c r="Q342" s="6"/>
      <c r="R342" s="6"/>
      <c r="S342" s="6"/>
      <c r="T342" s="6"/>
      <c r="U342" s="6"/>
      <c r="V342" s="6"/>
      <c r="W342" s="6"/>
      <c r="X342" s="6"/>
      <c r="CQ342" s="6"/>
      <c r="CR342" s="6"/>
    </row>
    <row r="343" spans="2:96" ht="40.049999999999997" customHeight="1" x14ac:dyDescent="0.3">
      <c r="B343" s="80"/>
      <c r="H343" s="113"/>
      <c r="I343" s="113"/>
      <c r="J343" s="113"/>
      <c r="K343" s="7"/>
      <c r="L343" s="18"/>
      <c r="Q343" s="6"/>
      <c r="R343" s="6"/>
      <c r="S343" s="6"/>
      <c r="T343" s="6"/>
      <c r="U343" s="6"/>
      <c r="V343" s="6"/>
      <c r="W343" s="6"/>
      <c r="X343" s="6"/>
      <c r="CQ343" s="6"/>
      <c r="CR343" s="6"/>
    </row>
    <row r="344" spans="2:96" ht="40.049999999999997" customHeight="1" x14ac:dyDescent="0.3">
      <c r="B344" s="80"/>
      <c r="H344" s="113"/>
      <c r="I344" s="113"/>
      <c r="J344" s="113"/>
      <c r="K344" s="7"/>
      <c r="L344" s="18"/>
      <c r="Q344" s="6"/>
      <c r="R344" s="6"/>
      <c r="S344" s="6"/>
      <c r="T344" s="6"/>
      <c r="U344" s="6"/>
      <c r="V344" s="6"/>
      <c r="W344" s="6"/>
      <c r="X344" s="6"/>
      <c r="CQ344" s="6"/>
      <c r="CR344" s="6"/>
    </row>
    <row r="345" spans="2:96" ht="40.049999999999997" customHeight="1" x14ac:dyDescent="0.3">
      <c r="B345" s="80"/>
      <c r="H345" s="113"/>
      <c r="I345" s="113"/>
      <c r="J345" s="113"/>
      <c r="K345" s="7"/>
      <c r="L345" s="18"/>
      <c r="Q345" s="6"/>
      <c r="R345" s="6"/>
      <c r="S345" s="6"/>
      <c r="T345" s="6"/>
      <c r="U345" s="6"/>
      <c r="V345" s="6"/>
      <c r="W345" s="6"/>
      <c r="X345" s="6"/>
      <c r="CQ345" s="6"/>
      <c r="CR345" s="6"/>
    </row>
    <row r="346" spans="2:96" ht="40.049999999999997" customHeight="1" x14ac:dyDescent="0.3">
      <c r="B346" s="80"/>
      <c r="H346" s="113"/>
      <c r="I346" s="113"/>
      <c r="J346" s="113"/>
      <c r="K346" s="7"/>
      <c r="L346" s="18"/>
      <c r="Q346" s="6"/>
      <c r="R346" s="6"/>
      <c r="S346" s="6"/>
      <c r="T346" s="6"/>
      <c r="U346" s="6"/>
      <c r="V346" s="6"/>
      <c r="W346" s="6"/>
      <c r="X346" s="6"/>
      <c r="CQ346" s="6"/>
      <c r="CR346" s="6"/>
    </row>
    <row r="347" spans="2:96" ht="40.049999999999997" customHeight="1" x14ac:dyDescent="0.3">
      <c r="B347" s="80"/>
      <c r="H347" s="113"/>
      <c r="I347" s="113"/>
      <c r="J347" s="113"/>
      <c r="K347" s="7"/>
      <c r="L347" s="18"/>
      <c r="Q347" s="6"/>
      <c r="R347" s="6"/>
      <c r="S347" s="6"/>
      <c r="T347" s="6"/>
      <c r="U347" s="6"/>
      <c r="V347" s="6"/>
      <c r="W347" s="6"/>
      <c r="X347" s="6"/>
      <c r="CQ347" s="6"/>
      <c r="CR347" s="6"/>
    </row>
    <row r="348" spans="2:96" ht="40.049999999999997" customHeight="1" x14ac:dyDescent="0.3">
      <c r="B348" s="80"/>
      <c r="H348" s="113"/>
      <c r="I348" s="113"/>
      <c r="J348" s="113"/>
      <c r="K348" s="7"/>
      <c r="L348" s="18"/>
      <c r="Q348" s="6"/>
      <c r="R348" s="6"/>
      <c r="S348" s="6"/>
      <c r="T348" s="6"/>
      <c r="U348" s="6"/>
      <c r="V348" s="6"/>
      <c r="W348" s="6"/>
      <c r="X348" s="6"/>
      <c r="CQ348" s="6"/>
      <c r="CR348" s="6"/>
    </row>
    <row r="349" spans="2:96" ht="40.049999999999997" customHeight="1" x14ac:dyDescent="0.3">
      <c r="B349" s="80"/>
      <c r="H349" s="113"/>
      <c r="I349" s="113"/>
      <c r="J349" s="113"/>
      <c r="K349" s="7"/>
      <c r="L349" s="18"/>
      <c r="Q349" s="6"/>
      <c r="R349" s="6"/>
      <c r="S349" s="6"/>
      <c r="T349" s="6"/>
      <c r="U349" s="6"/>
      <c r="V349" s="6"/>
      <c r="W349" s="6"/>
      <c r="X349" s="6"/>
      <c r="CQ349" s="6"/>
      <c r="CR349" s="6"/>
    </row>
    <row r="350" spans="2:96" ht="40.049999999999997" customHeight="1" x14ac:dyDescent="0.3">
      <c r="B350" s="80"/>
      <c r="H350" s="113"/>
      <c r="I350" s="113"/>
      <c r="J350" s="113"/>
      <c r="K350" s="7"/>
      <c r="L350" s="18"/>
      <c r="Q350" s="6"/>
      <c r="R350" s="6"/>
      <c r="S350" s="6"/>
      <c r="T350" s="6"/>
      <c r="U350" s="6"/>
      <c r="V350" s="6"/>
      <c r="W350" s="6"/>
      <c r="X350" s="6"/>
      <c r="CQ350" s="6"/>
      <c r="CR350" s="6"/>
    </row>
    <row r="351" spans="2:96" ht="40.049999999999997" customHeight="1" x14ac:dyDescent="0.3">
      <c r="B351" s="80"/>
      <c r="H351" s="113"/>
      <c r="I351" s="113"/>
      <c r="J351" s="113"/>
      <c r="K351" s="7"/>
      <c r="L351" s="18"/>
      <c r="Q351" s="6"/>
      <c r="R351" s="6"/>
      <c r="S351" s="6"/>
      <c r="T351" s="6"/>
      <c r="U351" s="6"/>
      <c r="V351" s="6"/>
      <c r="W351" s="6"/>
      <c r="X351" s="6"/>
      <c r="CQ351" s="6"/>
      <c r="CR351" s="6"/>
    </row>
    <row r="352" spans="2:96" ht="40.049999999999997" customHeight="1" x14ac:dyDescent="0.3">
      <c r="B352" s="80"/>
      <c r="H352" s="113"/>
      <c r="I352" s="113"/>
      <c r="J352" s="113"/>
      <c r="K352" s="7"/>
      <c r="L352" s="18"/>
      <c r="Q352" s="6"/>
      <c r="R352" s="6"/>
      <c r="S352" s="6"/>
      <c r="T352" s="6"/>
      <c r="U352" s="6"/>
      <c r="V352" s="6"/>
      <c r="W352" s="6"/>
      <c r="X352" s="6"/>
      <c r="CQ352" s="6"/>
      <c r="CR352" s="6"/>
    </row>
    <row r="353" spans="2:96" ht="40.049999999999997" customHeight="1" x14ac:dyDescent="0.3">
      <c r="B353" s="80"/>
      <c r="H353" s="113"/>
      <c r="I353" s="113"/>
      <c r="J353" s="113"/>
      <c r="K353" s="7"/>
      <c r="L353" s="18"/>
      <c r="Q353" s="6"/>
      <c r="R353" s="6"/>
      <c r="S353" s="6"/>
      <c r="T353" s="6"/>
      <c r="U353" s="6"/>
      <c r="V353" s="6"/>
      <c r="W353" s="6"/>
      <c r="X353" s="6"/>
      <c r="CQ353" s="6"/>
      <c r="CR353" s="6"/>
    </row>
    <row r="354" spans="2:96" ht="40.049999999999997" customHeight="1" x14ac:dyDescent="0.3">
      <c r="B354" s="80"/>
      <c r="H354" s="113"/>
      <c r="I354" s="113"/>
      <c r="J354" s="113"/>
      <c r="K354" s="7"/>
      <c r="L354" s="18"/>
      <c r="Q354" s="6"/>
      <c r="R354" s="6"/>
      <c r="S354" s="6"/>
      <c r="T354" s="6"/>
      <c r="U354" s="6"/>
      <c r="V354" s="6"/>
      <c r="W354" s="6"/>
      <c r="X354" s="6"/>
      <c r="CQ354" s="6"/>
      <c r="CR354" s="6"/>
    </row>
    <row r="355" spans="2:96" ht="40.049999999999997" customHeight="1" x14ac:dyDescent="0.3">
      <c r="B355" s="80"/>
      <c r="H355" s="113"/>
      <c r="I355" s="113"/>
      <c r="J355" s="113"/>
      <c r="K355" s="7"/>
      <c r="L355" s="18"/>
      <c r="Q355" s="6"/>
      <c r="R355" s="6"/>
      <c r="S355" s="6"/>
      <c r="T355" s="6"/>
      <c r="U355" s="6"/>
      <c r="V355" s="6"/>
      <c r="W355" s="6"/>
      <c r="X355" s="6"/>
      <c r="CQ355" s="6"/>
      <c r="CR355" s="6"/>
    </row>
    <row r="356" spans="2:96" ht="40.049999999999997" customHeight="1" x14ac:dyDescent="0.3">
      <c r="B356" s="80"/>
      <c r="H356" s="113"/>
      <c r="I356" s="113"/>
      <c r="J356" s="113"/>
      <c r="K356" s="7"/>
      <c r="L356" s="18"/>
      <c r="Q356" s="6"/>
      <c r="R356" s="6"/>
      <c r="S356" s="6"/>
      <c r="T356" s="6"/>
      <c r="U356" s="6"/>
      <c r="V356" s="6"/>
      <c r="W356" s="6"/>
      <c r="X356" s="6"/>
      <c r="CQ356" s="6"/>
      <c r="CR356" s="6"/>
    </row>
    <row r="357" spans="2:96" ht="40.049999999999997" customHeight="1" x14ac:dyDescent="0.3">
      <c r="B357" s="80"/>
      <c r="H357" s="113"/>
      <c r="I357" s="113"/>
      <c r="J357" s="113"/>
      <c r="K357" s="7"/>
      <c r="L357" s="18"/>
      <c r="Q357" s="6"/>
      <c r="R357" s="6"/>
      <c r="S357" s="6"/>
      <c r="T357" s="6"/>
      <c r="U357" s="6"/>
      <c r="V357" s="6"/>
      <c r="W357" s="6"/>
      <c r="X357" s="6"/>
      <c r="CQ357" s="6"/>
      <c r="CR357" s="6"/>
    </row>
    <row r="358" spans="2:96" ht="40.049999999999997" customHeight="1" x14ac:dyDescent="0.3">
      <c r="B358" s="80"/>
      <c r="H358" s="113"/>
      <c r="I358" s="113"/>
      <c r="J358" s="113"/>
      <c r="K358" s="7"/>
      <c r="L358" s="18"/>
      <c r="Q358" s="6"/>
      <c r="R358" s="6"/>
      <c r="S358" s="6"/>
      <c r="T358" s="6"/>
      <c r="U358" s="6"/>
      <c r="V358" s="6"/>
      <c r="W358" s="6"/>
      <c r="X358" s="6"/>
      <c r="CQ358" s="6"/>
      <c r="CR358" s="6"/>
    </row>
    <row r="359" spans="2:96" ht="40.049999999999997" customHeight="1" x14ac:dyDescent="0.3">
      <c r="B359" s="80"/>
      <c r="H359" s="113"/>
      <c r="I359" s="113"/>
      <c r="J359" s="113"/>
      <c r="K359" s="7"/>
      <c r="L359" s="18"/>
      <c r="Q359" s="6"/>
      <c r="R359" s="6"/>
      <c r="S359" s="6"/>
      <c r="T359" s="6"/>
      <c r="U359" s="6"/>
      <c r="V359" s="6"/>
      <c r="W359" s="6"/>
      <c r="X359" s="6"/>
      <c r="CQ359" s="6"/>
      <c r="CR359" s="6"/>
    </row>
    <row r="360" spans="2:96" ht="40.049999999999997" customHeight="1" x14ac:dyDescent="0.3">
      <c r="B360" s="80"/>
      <c r="H360" s="113"/>
      <c r="I360" s="113"/>
      <c r="J360" s="113"/>
      <c r="K360" s="7"/>
      <c r="L360" s="18"/>
      <c r="Q360" s="6"/>
      <c r="R360" s="6"/>
      <c r="S360" s="6"/>
      <c r="T360" s="6"/>
      <c r="U360" s="6"/>
      <c r="V360" s="6"/>
      <c r="W360" s="6"/>
      <c r="X360" s="6"/>
      <c r="CQ360" s="6"/>
      <c r="CR360" s="6"/>
    </row>
    <row r="361" spans="2:96" ht="40.049999999999997" customHeight="1" x14ac:dyDescent="0.3">
      <c r="B361" s="80"/>
      <c r="H361" s="113"/>
      <c r="I361" s="113"/>
      <c r="J361" s="113"/>
      <c r="K361" s="7"/>
      <c r="L361" s="18"/>
      <c r="Q361" s="6"/>
      <c r="R361" s="6"/>
      <c r="S361" s="6"/>
      <c r="T361" s="6"/>
      <c r="U361" s="6"/>
      <c r="V361" s="6"/>
      <c r="W361" s="6"/>
      <c r="X361" s="6"/>
      <c r="CQ361" s="6"/>
      <c r="CR361" s="6"/>
    </row>
    <row r="362" spans="2:96" ht="40.049999999999997" customHeight="1" x14ac:dyDescent="0.3">
      <c r="B362" s="80"/>
      <c r="H362" s="113"/>
      <c r="I362" s="113"/>
      <c r="J362" s="113"/>
      <c r="K362" s="7"/>
      <c r="L362" s="18"/>
      <c r="Q362" s="6"/>
      <c r="R362" s="6"/>
      <c r="S362" s="6"/>
      <c r="T362" s="6"/>
      <c r="U362" s="6"/>
      <c r="V362" s="6"/>
      <c r="W362" s="6"/>
      <c r="X362" s="6"/>
      <c r="CQ362" s="6"/>
      <c r="CR362" s="6"/>
    </row>
    <row r="363" spans="2:96" ht="40.049999999999997" customHeight="1" x14ac:dyDescent="0.3">
      <c r="B363" s="80"/>
      <c r="H363" s="113"/>
      <c r="I363" s="113"/>
      <c r="J363" s="113"/>
      <c r="K363" s="7"/>
      <c r="L363" s="18"/>
      <c r="Q363" s="6"/>
      <c r="R363" s="6"/>
      <c r="S363" s="6"/>
      <c r="T363" s="6"/>
      <c r="U363" s="6"/>
      <c r="V363" s="6"/>
      <c r="W363" s="6"/>
      <c r="X363" s="6"/>
      <c r="CQ363" s="6"/>
      <c r="CR363" s="6"/>
    </row>
    <row r="364" spans="2:96" ht="40.049999999999997" customHeight="1" x14ac:dyDescent="0.3">
      <c r="B364" s="80"/>
      <c r="H364" s="113"/>
      <c r="I364" s="113"/>
      <c r="J364" s="113"/>
      <c r="K364" s="7"/>
      <c r="L364" s="18"/>
      <c r="Q364" s="6"/>
      <c r="R364" s="6"/>
      <c r="S364" s="6"/>
      <c r="T364" s="6"/>
      <c r="U364" s="6"/>
      <c r="V364" s="6"/>
      <c r="W364" s="6"/>
      <c r="X364" s="6"/>
      <c r="CQ364" s="6"/>
      <c r="CR364" s="6"/>
    </row>
    <row r="365" spans="2:96" ht="40.049999999999997" customHeight="1" x14ac:dyDescent="0.3">
      <c r="B365" s="80"/>
      <c r="H365" s="113"/>
      <c r="I365" s="113"/>
      <c r="J365" s="113"/>
      <c r="K365" s="7"/>
      <c r="L365" s="18"/>
      <c r="Q365" s="6"/>
      <c r="R365" s="6"/>
      <c r="S365" s="6"/>
      <c r="T365" s="6"/>
      <c r="U365" s="6"/>
      <c r="V365" s="6"/>
      <c r="W365" s="6"/>
      <c r="X365" s="6"/>
      <c r="CQ365" s="6"/>
      <c r="CR365" s="6"/>
    </row>
    <row r="366" spans="2:96" ht="40.049999999999997" customHeight="1" x14ac:dyDescent="0.3">
      <c r="B366" s="80"/>
      <c r="H366" s="113"/>
      <c r="I366" s="113"/>
      <c r="J366" s="113"/>
      <c r="K366" s="7"/>
      <c r="L366" s="18"/>
      <c r="Q366" s="6"/>
      <c r="R366" s="6"/>
      <c r="S366" s="6"/>
      <c r="T366" s="6"/>
      <c r="U366" s="6"/>
      <c r="V366" s="6"/>
      <c r="W366" s="6"/>
      <c r="X366" s="6"/>
      <c r="CQ366" s="6"/>
      <c r="CR366" s="6"/>
    </row>
    <row r="367" spans="2:96" ht="40.049999999999997" customHeight="1" x14ac:dyDescent="0.3">
      <c r="B367" s="80"/>
      <c r="H367" s="113"/>
      <c r="I367" s="113"/>
      <c r="J367" s="113"/>
      <c r="K367" s="7"/>
      <c r="L367" s="18"/>
      <c r="Q367" s="6"/>
      <c r="R367" s="6"/>
      <c r="S367" s="6"/>
      <c r="T367" s="6"/>
      <c r="U367" s="6"/>
      <c r="V367" s="6"/>
      <c r="W367" s="6"/>
      <c r="X367" s="6"/>
      <c r="CQ367" s="6"/>
      <c r="CR367" s="6"/>
    </row>
    <row r="368" spans="2:96" ht="40.049999999999997" customHeight="1" x14ac:dyDescent="0.3">
      <c r="B368" s="80"/>
      <c r="H368" s="113"/>
      <c r="I368" s="113"/>
      <c r="J368" s="113"/>
      <c r="K368" s="7"/>
      <c r="L368" s="18"/>
      <c r="Q368" s="6"/>
      <c r="R368" s="6"/>
      <c r="S368" s="6"/>
      <c r="T368" s="6"/>
      <c r="U368" s="6"/>
      <c r="V368" s="6"/>
      <c r="W368" s="6"/>
      <c r="X368" s="6"/>
      <c r="CQ368" s="6"/>
      <c r="CR368" s="6"/>
    </row>
    <row r="369" spans="2:96" ht="40.049999999999997" customHeight="1" x14ac:dyDescent="0.3">
      <c r="B369" s="80"/>
      <c r="H369" s="113"/>
      <c r="I369" s="113"/>
      <c r="J369" s="113"/>
      <c r="K369" s="7"/>
      <c r="L369" s="18"/>
      <c r="Q369" s="6"/>
      <c r="R369" s="6"/>
      <c r="S369" s="6"/>
      <c r="T369" s="6"/>
      <c r="U369" s="6"/>
      <c r="V369" s="6"/>
      <c r="W369" s="6"/>
      <c r="X369" s="6"/>
      <c r="CQ369" s="6"/>
      <c r="CR369" s="6"/>
    </row>
    <row r="370" spans="2:96" ht="40.049999999999997" customHeight="1" x14ac:dyDescent="0.3">
      <c r="B370" s="80"/>
      <c r="H370" s="113"/>
      <c r="I370" s="113"/>
      <c r="J370" s="113"/>
      <c r="K370" s="7"/>
      <c r="L370" s="18"/>
      <c r="Q370" s="6"/>
      <c r="R370" s="6"/>
      <c r="S370" s="6"/>
      <c r="T370" s="6"/>
      <c r="U370" s="6"/>
      <c r="V370" s="6"/>
      <c r="W370" s="6"/>
      <c r="X370" s="6"/>
      <c r="CQ370" s="6"/>
      <c r="CR370" s="6"/>
    </row>
    <row r="371" spans="2:96" ht="40.049999999999997" customHeight="1" x14ac:dyDescent="0.3">
      <c r="B371" s="80"/>
      <c r="H371" s="113"/>
      <c r="I371" s="113"/>
      <c r="J371" s="113"/>
      <c r="K371" s="7"/>
      <c r="L371" s="18"/>
      <c r="Q371" s="6"/>
      <c r="R371" s="6"/>
      <c r="S371" s="6"/>
      <c r="T371" s="6"/>
      <c r="U371" s="6"/>
      <c r="V371" s="6"/>
      <c r="W371" s="6"/>
      <c r="X371" s="6"/>
      <c r="CQ371" s="6"/>
      <c r="CR371" s="6"/>
    </row>
    <row r="372" spans="2:96" ht="40.049999999999997" customHeight="1" x14ac:dyDescent="0.3">
      <c r="B372" s="80"/>
      <c r="H372" s="113"/>
      <c r="I372" s="113"/>
      <c r="J372" s="113"/>
      <c r="K372" s="7"/>
      <c r="L372" s="18"/>
      <c r="Q372" s="6"/>
      <c r="R372" s="6"/>
      <c r="S372" s="6"/>
      <c r="T372" s="6"/>
      <c r="U372" s="6"/>
      <c r="V372" s="6"/>
      <c r="W372" s="6"/>
      <c r="X372" s="6"/>
      <c r="CQ372" s="6"/>
      <c r="CR372" s="6"/>
    </row>
    <row r="373" spans="2:96" ht="40.049999999999997" customHeight="1" x14ac:dyDescent="0.3">
      <c r="B373" s="80"/>
      <c r="H373" s="113"/>
      <c r="I373" s="113"/>
      <c r="J373" s="113"/>
      <c r="K373" s="7"/>
      <c r="L373" s="18"/>
      <c r="Q373" s="6"/>
      <c r="R373" s="6"/>
      <c r="S373" s="6"/>
      <c r="T373" s="6"/>
      <c r="U373" s="6"/>
      <c r="V373" s="6"/>
      <c r="W373" s="6"/>
      <c r="X373" s="6"/>
      <c r="CQ373" s="6"/>
      <c r="CR373" s="6"/>
    </row>
    <row r="374" spans="2:96" ht="40.049999999999997" customHeight="1" x14ac:dyDescent="0.3">
      <c r="B374" s="80"/>
      <c r="H374" s="113"/>
      <c r="I374" s="113"/>
      <c r="J374" s="113"/>
      <c r="K374" s="7"/>
      <c r="L374" s="18"/>
      <c r="Q374" s="6"/>
      <c r="R374" s="6"/>
      <c r="S374" s="6"/>
      <c r="T374" s="6"/>
      <c r="U374" s="6"/>
      <c r="V374" s="6"/>
      <c r="W374" s="6"/>
      <c r="X374" s="6"/>
      <c r="CQ374" s="6"/>
      <c r="CR374" s="6"/>
    </row>
    <row r="375" spans="2:96" ht="40.049999999999997" customHeight="1" x14ac:dyDescent="0.3">
      <c r="B375" s="80"/>
      <c r="H375" s="113"/>
      <c r="I375" s="113"/>
      <c r="J375" s="113"/>
      <c r="K375" s="7"/>
      <c r="L375" s="18"/>
      <c r="Q375" s="6"/>
      <c r="R375" s="6"/>
      <c r="S375" s="6"/>
      <c r="T375" s="6"/>
      <c r="U375" s="6"/>
      <c r="V375" s="6"/>
      <c r="W375" s="6"/>
      <c r="X375" s="6"/>
      <c r="CQ375" s="6"/>
      <c r="CR375" s="6"/>
    </row>
    <row r="376" spans="2:96" ht="40.049999999999997" customHeight="1" x14ac:dyDescent="0.3">
      <c r="B376" s="80"/>
      <c r="H376" s="113"/>
      <c r="I376" s="113"/>
      <c r="J376" s="113"/>
      <c r="K376" s="7"/>
      <c r="L376" s="18"/>
      <c r="Q376" s="6"/>
      <c r="R376" s="6"/>
      <c r="S376" s="6"/>
      <c r="T376" s="6"/>
      <c r="U376" s="6"/>
      <c r="V376" s="6"/>
      <c r="W376" s="6"/>
      <c r="X376" s="6"/>
      <c r="CQ376" s="6"/>
      <c r="CR376" s="6"/>
    </row>
    <row r="377" spans="2:96" ht="40.049999999999997" customHeight="1" x14ac:dyDescent="0.3">
      <c r="B377" s="80"/>
      <c r="H377" s="113"/>
      <c r="I377" s="113"/>
      <c r="J377" s="113"/>
      <c r="K377" s="7"/>
      <c r="L377" s="18"/>
      <c r="Q377" s="6"/>
      <c r="R377" s="6"/>
      <c r="S377" s="6"/>
      <c r="T377" s="6"/>
      <c r="U377" s="6"/>
      <c r="V377" s="6"/>
      <c r="W377" s="6"/>
      <c r="X377" s="6"/>
      <c r="CQ377" s="6"/>
      <c r="CR377" s="6"/>
    </row>
    <row r="378" spans="2:96" ht="40.049999999999997" customHeight="1" x14ac:dyDescent="0.3">
      <c r="B378" s="80"/>
      <c r="H378" s="113"/>
      <c r="I378" s="113"/>
      <c r="J378" s="113"/>
      <c r="K378" s="7"/>
      <c r="L378" s="18"/>
      <c r="Q378" s="6"/>
      <c r="R378" s="6"/>
      <c r="S378" s="6"/>
      <c r="T378" s="6"/>
      <c r="U378" s="6"/>
      <c r="V378" s="6"/>
      <c r="W378" s="6"/>
      <c r="X378" s="6"/>
      <c r="CQ378" s="6"/>
      <c r="CR378" s="6"/>
    </row>
    <row r="379" spans="2:96" ht="40.049999999999997" customHeight="1" x14ac:dyDescent="0.3">
      <c r="B379" s="80"/>
      <c r="H379" s="113"/>
      <c r="I379" s="113"/>
      <c r="J379" s="113"/>
      <c r="K379" s="7"/>
      <c r="L379" s="18"/>
      <c r="Q379" s="6"/>
      <c r="R379" s="6"/>
      <c r="S379" s="6"/>
      <c r="T379" s="6"/>
      <c r="U379" s="6"/>
      <c r="V379" s="6"/>
      <c r="W379" s="6"/>
      <c r="X379" s="6"/>
      <c r="CQ379" s="6"/>
      <c r="CR379" s="6"/>
    </row>
    <row r="380" spans="2:96" ht="40.049999999999997" customHeight="1" x14ac:dyDescent="0.3">
      <c r="B380" s="80"/>
      <c r="H380" s="113"/>
      <c r="I380" s="113"/>
      <c r="J380" s="113"/>
      <c r="K380" s="7"/>
      <c r="L380" s="18"/>
      <c r="Q380" s="6"/>
      <c r="R380" s="6"/>
      <c r="S380" s="6"/>
      <c r="T380" s="6"/>
      <c r="U380" s="6"/>
      <c r="V380" s="6"/>
      <c r="W380" s="6"/>
      <c r="X380" s="6"/>
      <c r="CQ380" s="6"/>
      <c r="CR380" s="6"/>
    </row>
    <row r="381" spans="2:96" ht="40.049999999999997" customHeight="1" x14ac:dyDescent="0.3">
      <c r="B381" s="80"/>
      <c r="H381" s="113"/>
      <c r="I381" s="113"/>
      <c r="J381" s="113"/>
      <c r="K381" s="7"/>
      <c r="L381" s="18"/>
      <c r="Q381" s="6"/>
      <c r="R381" s="6"/>
      <c r="S381" s="6"/>
      <c r="T381" s="6"/>
      <c r="U381" s="6"/>
      <c r="V381" s="6"/>
      <c r="W381" s="6"/>
      <c r="X381" s="6"/>
      <c r="CQ381" s="6"/>
      <c r="CR381" s="6"/>
    </row>
    <row r="382" spans="2:96" ht="40.049999999999997" customHeight="1" x14ac:dyDescent="0.3">
      <c r="B382" s="80"/>
      <c r="H382" s="113"/>
      <c r="I382" s="113"/>
      <c r="J382" s="113"/>
      <c r="K382" s="7"/>
      <c r="L382" s="18"/>
      <c r="Q382" s="6"/>
      <c r="R382" s="6"/>
      <c r="S382" s="6"/>
      <c r="T382" s="6"/>
      <c r="U382" s="6"/>
      <c r="V382" s="6"/>
      <c r="W382" s="6"/>
      <c r="X382" s="6"/>
      <c r="CQ382" s="6"/>
      <c r="CR382" s="6"/>
    </row>
    <row r="383" spans="2:96" ht="40.049999999999997" customHeight="1" x14ac:dyDescent="0.3">
      <c r="B383" s="80"/>
      <c r="H383" s="113"/>
      <c r="I383" s="113"/>
      <c r="J383" s="113"/>
      <c r="K383" s="7"/>
      <c r="L383" s="18"/>
      <c r="Q383" s="6"/>
      <c r="R383" s="6"/>
      <c r="S383" s="6"/>
      <c r="T383" s="6"/>
      <c r="U383" s="6"/>
      <c r="V383" s="6"/>
      <c r="W383" s="6"/>
      <c r="X383" s="6"/>
      <c r="CQ383" s="6"/>
      <c r="CR383" s="6"/>
    </row>
    <row r="384" spans="2:96" ht="40.049999999999997" customHeight="1" x14ac:dyDescent="0.3">
      <c r="B384" s="80"/>
      <c r="H384" s="113"/>
      <c r="I384" s="113"/>
      <c r="J384" s="113"/>
      <c r="K384" s="7"/>
      <c r="L384" s="18"/>
      <c r="Q384" s="6"/>
      <c r="R384" s="6"/>
      <c r="S384" s="6"/>
      <c r="T384" s="6"/>
      <c r="U384" s="6"/>
      <c r="V384" s="6"/>
      <c r="W384" s="6"/>
      <c r="X384" s="6"/>
      <c r="CQ384" s="6"/>
      <c r="CR384" s="6"/>
    </row>
    <row r="385" spans="2:96" ht="40.049999999999997" customHeight="1" x14ac:dyDescent="0.3">
      <c r="B385" s="80"/>
      <c r="H385" s="113"/>
      <c r="I385" s="113"/>
      <c r="J385" s="113"/>
      <c r="K385" s="7"/>
      <c r="L385" s="18"/>
      <c r="Q385" s="6"/>
      <c r="R385" s="6"/>
      <c r="S385" s="6"/>
      <c r="T385" s="6"/>
      <c r="U385" s="6"/>
      <c r="V385" s="6"/>
      <c r="W385" s="6"/>
      <c r="X385" s="6"/>
      <c r="CQ385" s="6"/>
      <c r="CR385" s="6"/>
    </row>
    <row r="386" spans="2:96" ht="40.049999999999997" customHeight="1" x14ac:dyDescent="0.3">
      <c r="B386" s="80"/>
      <c r="H386" s="113"/>
      <c r="I386" s="113"/>
      <c r="J386" s="113"/>
      <c r="K386" s="7"/>
      <c r="L386" s="18"/>
      <c r="Q386" s="6"/>
      <c r="R386" s="6"/>
      <c r="S386" s="6"/>
      <c r="T386" s="6"/>
      <c r="U386" s="6"/>
      <c r="V386" s="6"/>
      <c r="W386" s="6"/>
      <c r="X386" s="6"/>
      <c r="CQ386" s="6"/>
      <c r="CR386" s="6"/>
    </row>
    <row r="387" spans="2:96" ht="40.049999999999997" customHeight="1" x14ac:dyDescent="0.3">
      <c r="B387" s="80"/>
      <c r="H387" s="113"/>
      <c r="I387" s="113"/>
      <c r="J387" s="113"/>
      <c r="K387" s="7"/>
      <c r="L387" s="18"/>
      <c r="Q387" s="6"/>
      <c r="R387" s="6"/>
      <c r="S387" s="6"/>
      <c r="T387" s="6"/>
      <c r="U387" s="6"/>
      <c r="V387" s="6"/>
      <c r="W387" s="6"/>
      <c r="X387" s="6"/>
      <c r="CQ387" s="6"/>
      <c r="CR387" s="6"/>
    </row>
    <row r="388" spans="2:96" ht="40.049999999999997" customHeight="1" x14ac:dyDescent="0.3">
      <c r="B388" s="80"/>
      <c r="H388" s="113"/>
      <c r="I388" s="113"/>
      <c r="J388" s="113"/>
      <c r="K388" s="7"/>
      <c r="L388" s="18"/>
      <c r="Q388" s="6"/>
      <c r="R388" s="6"/>
      <c r="S388" s="6"/>
      <c r="T388" s="6"/>
      <c r="U388" s="6"/>
      <c r="V388" s="6"/>
      <c r="W388" s="6"/>
      <c r="X388" s="6"/>
      <c r="CQ388" s="6"/>
      <c r="CR388" s="6"/>
    </row>
    <row r="389" spans="2:96" ht="40.049999999999997" customHeight="1" x14ac:dyDescent="0.3">
      <c r="B389" s="80"/>
      <c r="H389" s="113"/>
      <c r="I389" s="113"/>
      <c r="J389" s="113"/>
      <c r="K389" s="7"/>
      <c r="L389" s="18"/>
      <c r="Q389" s="6"/>
      <c r="R389" s="6"/>
      <c r="S389" s="6"/>
      <c r="T389" s="6"/>
      <c r="U389" s="6"/>
      <c r="V389" s="6"/>
      <c r="W389" s="6"/>
      <c r="X389" s="6"/>
      <c r="CQ389" s="6"/>
      <c r="CR389" s="6"/>
    </row>
    <row r="390" spans="2:96" ht="40.049999999999997" customHeight="1" x14ac:dyDescent="0.3">
      <c r="B390" s="80"/>
      <c r="H390" s="113"/>
      <c r="I390" s="113"/>
      <c r="J390" s="113"/>
      <c r="K390" s="7"/>
      <c r="L390" s="18"/>
      <c r="Q390" s="6"/>
      <c r="R390" s="6"/>
      <c r="S390" s="6"/>
      <c r="T390" s="6"/>
      <c r="U390" s="6"/>
      <c r="V390" s="6"/>
      <c r="W390" s="6"/>
      <c r="X390" s="6"/>
      <c r="CQ390" s="6"/>
      <c r="CR390" s="6"/>
    </row>
    <row r="391" spans="2:96" ht="40.049999999999997" customHeight="1" x14ac:dyDescent="0.3">
      <c r="B391" s="80"/>
      <c r="H391" s="113"/>
      <c r="I391" s="113"/>
      <c r="J391" s="113"/>
      <c r="K391" s="7"/>
      <c r="L391" s="18"/>
      <c r="Q391" s="6"/>
      <c r="R391" s="6"/>
      <c r="S391" s="6"/>
      <c r="T391" s="6"/>
      <c r="U391" s="6"/>
      <c r="V391" s="6"/>
      <c r="W391" s="6"/>
      <c r="X391" s="6"/>
      <c r="CQ391" s="6"/>
      <c r="CR391" s="6"/>
    </row>
    <row r="392" spans="2:96" ht="40.049999999999997" customHeight="1" x14ac:dyDescent="0.3">
      <c r="B392" s="80"/>
      <c r="H392" s="113"/>
      <c r="I392" s="113"/>
      <c r="J392" s="113"/>
      <c r="K392" s="7"/>
      <c r="L392" s="18"/>
      <c r="Q392" s="6"/>
      <c r="R392" s="6"/>
      <c r="S392" s="6"/>
      <c r="T392" s="6"/>
      <c r="U392" s="6"/>
      <c r="V392" s="6"/>
      <c r="W392" s="6"/>
      <c r="X392" s="6"/>
      <c r="CQ392" s="6"/>
      <c r="CR392" s="6"/>
    </row>
    <row r="393" spans="2:96" ht="40.049999999999997" customHeight="1" x14ac:dyDescent="0.3">
      <c r="B393" s="80"/>
      <c r="H393" s="113"/>
      <c r="I393" s="113"/>
      <c r="J393" s="113"/>
      <c r="K393" s="7"/>
      <c r="L393" s="18"/>
      <c r="Q393" s="6"/>
      <c r="R393" s="6"/>
      <c r="S393" s="6"/>
      <c r="T393" s="6"/>
      <c r="U393" s="6"/>
      <c r="V393" s="6"/>
      <c r="W393" s="6"/>
      <c r="X393" s="6"/>
      <c r="CQ393" s="6"/>
      <c r="CR393" s="6"/>
    </row>
    <row r="394" spans="2:96" ht="40.049999999999997" customHeight="1" x14ac:dyDescent="0.3">
      <c r="B394" s="80"/>
      <c r="H394" s="113"/>
      <c r="I394" s="113"/>
      <c r="J394" s="113"/>
      <c r="K394" s="7"/>
      <c r="L394" s="18"/>
      <c r="Q394" s="6"/>
      <c r="R394" s="6"/>
      <c r="S394" s="6"/>
      <c r="T394" s="6"/>
      <c r="U394" s="6"/>
      <c r="V394" s="6"/>
      <c r="W394" s="6"/>
      <c r="X394" s="6"/>
      <c r="CQ394" s="6"/>
      <c r="CR394" s="6"/>
    </row>
    <row r="395" spans="2:96" ht="40.049999999999997" customHeight="1" x14ac:dyDescent="0.3">
      <c r="B395" s="80"/>
      <c r="H395" s="113"/>
      <c r="I395" s="113"/>
      <c r="J395" s="113"/>
      <c r="K395" s="7"/>
      <c r="L395" s="18"/>
      <c r="Q395" s="6"/>
      <c r="R395" s="6"/>
      <c r="S395" s="6"/>
      <c r="T395" s="6"/>
      <c r="U395" s="6"/>
      <c r="V395" s="6"/>
      <c r="W395" s="6"/>
      <c r="X395" s="6"/>
      <c r="CQ395" s="6"/>
      <c r="CR395" s="6"/>
    </row>
    <row r="396" spans="2:96" ht="40.049999999999997" customHeight="1" x14ac:dyDescent="0.3">
      <c r="B396" s="80"/>
      <c r="H396" s="113"/>
      <c r="I396" s="113"/>
      <c r="J396" s="113"/>
      <c r="K396" s="7"/>
      <c r="L396" s="18"/>
      <c r="Q396" s="6"/>
      <c r="R396" s="6"/>
      <c r="S396" s="6"/>
      <c r="T396" s="6"/>
      <c r="U396" s="6"/>
      <c r="V396" s="6"/>
      <c r="W396" s="6"/>
      <c r="X396" s="6"/>
      <c r="CQ396" s="6"/>
      <c r="CR396" s="6"/>
    </row>
    <row r="397" spans="2:96" ht="40.049999999999997" customHeight="1" x14ac:dyDescent="0.3">
      <c r="B397" s="80"/>
      <c r="H397" s="113"/>
      <c r="I397" s="113"/>
      <c r="J397" s="113"/>
      <c r="K397" s="7"/>
      <c r="L397" s="18"/>
      <c r="Q397" s="6"/>
      <c r="R397" s="6"/>
      <c r="S397" s="6"/>
      <c r="T397" s="6"/>
      <c r="U397" s="6"/>
      <c r="V397" s="6"/>
      <c r="W397" s="6"/>
      <c r="X397" s="6"/>
      <c r="CQ397" s="6"/>
      <c r="CR397" s="6"/>
    </row>
    <row r="398" spans="2:96" ht="40.049999999999997" customHeight="1" x14ac:dyDescent="0.3">
      <c r="B398" s="80"/>
      <c r="H398" s="113"/>
      <c r="I398" s="113"/>
      <c r="J398" s="113"/>
      <c r="K398" s="7"/>
      <c r="L398" s="18"/>
      <c r="Q398" s="6"/>
      <c r="R398" s="6"/>
      <c r="S398" s="6"/>
      <c r="T398" s="6"/>
      <c r="U398" s="6"/>
      <c r="V398" s="6"/>
      <c r="W398" s="6"/>
      <c r="X398" s="6"/>
      <c r="CQ398" s="6"/>
      <c r="CR398" s="6"/>
    </row>
    <row r="399" spans="2:96" ht="40.049999999999997" customHeight="1" x14ac:dyDescent="0.3">
      <c r="B399" s="80"/>
      <c r="H399" s="113"/>
      <c r="I399" s="113"/>
      <c r="J399" s="113"/>
      <c r="K399" s="7"/>
      <c r="L399" s="18"/>
      <c r="Q399" s="6"/>
      <c r="R399" s="6"/>
      <c r="S399" s="6"/>
      <c r="T399" s="6"/>
      <c r="U399" s="6"/>
      <c r="V399" s="6"/>
      <c r="W399" s="6"/>
      <c r="X399" s="6"/>
      <c r="CQ399" s="6"/>
      <c r="CR399" s="6"/>
    </row>
    <row r="400" spans="2:96" ht="40.049999999999997" customHeight="1" x14ac:dyDescent="0.3">
      <c r="B400" s="80"/>
      <c r="H400" s="113"/>
      <c r="I400" s="113"/>
      <c r="J400" s="113"/>
      <c r="K400" s="7"/>
      <c r="L400" s="18"/>
      <c r="Q400" s="6"/>
      <c r="R400" s="6"/>
      <c r="S400" s="6"/>
      <c r="T400" s="6"/>
      <c r="U400" s="6"/>
      <c r="V400" s="6"/>
      <c r="W400" s="6"/>
      <c r="X400" s="6"/>
      <c r="CQ400" s="6"/>
      <c r="CR400" s="6"/>
    </row>
    <row r="401" spans="2:96" ht="40.049999999999997" customHeight="1" x14ac:dyDescent="0.3">
      <c r="B401" s="80"/>
      <c r="H401" s="113"/>
      <c r="I401" s="113"/>
      <c r="J401" s="113"/>
      <c r="K401" s="7"/>
      <c r="L401" s="18"/>
      <c r="Q401" s="6"/>
      <c r="R401" s="6"/>
      <c r="S401" s="6"/>
      <c r="T401" s="6"/>
      <c r="U401" s="6"/>
      <c r="V401" s="6"/>
      <c r="W401" s="6"/>
      <c r="X401" s="6"/>
      <c r="CQ401" s="6"/>
      <c r="CR401" s="6"/>
    </row>
    <row r="402" spans="2:96" ht="40.049999999999997" customHeight="1" x14ac:dyDescent="0.3">
      <c r="B402" s="80"/>
      <c r="H402" s="113"/>
      <c r="I402" s="113"/>
      <c r="J402" s="113"/>
      <c r="K402" s="7"/>
      <c r="L402" s="18"/>
      <c r="Q402" s="6"/>
      <c r="R402" s="6"/>
      <c r="S402" s="6"/>
      <c r="T402" s="6"/>
      <c r="U402" s="6"/>
      <c r="V402" s="6"/>
      <c r="W402" s="6"/>
      <c r="X402" s="6"/>
      <c r="CQ402" s="6"/>
      <c r="CR402" s="6"/>
    </row>
    <row r="403" spans="2:96" ht="40.049999999999997" customHeight="1" x14ac:dyDescent="0.3">
      <c r="B403" s="80"/>
      <c r="H403" s="113"/>
      <c r="I403" s="113"/>
      <c r="J403" s="113"/>
      <c r="K403" s="7"/>
      <c r="L403" s="18"/>
      <c r="Q403" s="6"/>
      <c r="R403" s="6"/>
      <c r="S403" s="6"/>
      <c r="T403" s="6"/>
      <c r="U403" s="6"/>
      <c r="V403" s="6"/>
      <c r="W403" s="6"/>
      <c r="X403" s="6"/>
      <c r="CQ403" s="6"/>
      <c r="CR403" s="6"/>
    </row>
    <row r="404" spans="2:96" ht="40.049999999999997" customHeight="1" x14ac:dyDescent="0.3">
      <c r="B404" s="80"/>
      <c r="H404" s="113"/>
      <c r="I404" s="113"/>
      <c r="J404" s="113"/>
      <c r="K404" s="7"/>
      <c r="L404" s="18"/>
      <c r="Q404" s="6"/>
      <c r="R404" s="6"/>
      <c r="S404" s="6"/>
      <c r="T404" s="6"/>
      <c r="U404" s="6"/>
      <c r="V404" s="6"/>
      <c r="W404" s="6"/>
      <c r="X404" s="6"/>
      <c r="CQ404" s="6"/>
      <c r="CR404" s="6"/>
    </row>
    <row r="405" spans="2:96" ht="40.049999999999997" customHeight="1" x14ac:dyDescent="0.3">
      <c r="B405" s="80"/>
      <c r="H405" s="113"/>
      <c r="I405" s="113"/>
      <c r="J405" s="113"/>
    </row>
    <row r="406" spans="2:96" ht="40.049999999999997" customHeight="1" x14ac:dyDescent="0.3">
      <c r="B406" s="80"/>
      <c r="H406" s="113"/>
      <c r="I406" s="113"/>
      <c r="J406" s="113"/>
    </row>
    <row r="407" spans="2:96" ht="40.049999999999997" customHeight="1" x14ac:dyDescent="0.3">
      <c r="B407" s="80"/>
      <c r="H407" s="113"/>
      <c r="I407" s="113"/>
      <c r="J407" s="113"/>
    </row>
    <row r="408" spans="2:96" ht="40.049999999999997" customHeight="1" x14ac:dyDescent="0.3">
      <c r="B408" s="80"/>
      <c r="H408" s="113"/>
      <c r="I408" s="113"/>
      <c r="J408" s="113"/>
    </row>
    <row r="409" spans="2:96" ht="40.049999999999997" customHeight="1" x14ac:dyDescent="0.3">
      <c r="B409" s="80"/>
      <c r="H409" s="113"/>
      <c r="I409" s="113"/>
      <c r="J409" s="113"/>
    </row>
    <row r="410" spans="2:96" ht="40.049999999999997" customHeight="1" x14ac:dyDescent="0.3">
      <c r="B410" s="80"/>
      <c r="H410" s="113"/>
      <c r="I410" s="113"/>
      <c r="J410" s="113"/>
    </row>
    <row r="411" spans="2:96" ht="40.049999999999997" customHeight="1" x14ac:dyDescent="0.3">
      <c r="B411" s="80"/>
      <c r="H411" s="113"/>
      <c r="I411" s="113"/>
      <c r="J411" s="113"/>
    </row>
    <row r="412" spans="2:96" ht="40.049999999999997" customHeight="1" x14ac:dyDescent="0.3">
      <c r="B412" s="80"/>
      <c r="H412" s="113"/>
      <c r="I412" s="113"/>
      <c r="J412" s="113"/>
    </row>
    <row r="413" spans="2:96" ht="40.049999999999997" customHeight="1" x14ac:dyDescent="0.3">
      <c r="B413" s="80"/>
      <c r="H413" s="113"/>
      <c r="I413" s="113"/>
      <c r="J413" s="113"/>
    </row>
    <row r="414" spans="2:96" ht="40.049999999999997" customHeight="1" x14ac:dyDescent="0.3">
      <c r="B414" s="80"/>
      <c r="H414" s="113"/>
      <c r="I414" s="113"/>
      <c r="J414" s="113"/>
    </row>
    <row r="415" spans="2:96" ht="40.049999999999997" customHeight="1" x14ac:dyDescent="0.3">
      <c r="B415" s="80"/>
      <c r="H415" s="113"/>
      <c r="I415" s="113"/>
      <c r="J415" s="113"/>
    </row>
    <row r="416" spans="2:96" ht="40.049999999999997" customHeight="1" x14ac:dyDescent="0.3">
      <c r="B416" s="80"/>
      <c r="H416" s="113"/>
      <c r="I416" s="113"/>
      <c r="J416" s="113"/>
    </row>
    <row r="417" spans="2:10" ht="40.049999999999997" customHeight="1" x14ac:dyDescent="0.3">
      <c r="B417" s="80"/>
      <c r="H417" s="113"/>
      <c r="I417" s="113"/>
      <c r="J417" s="113"/>
    </row>
    <row r="418" spans="2:10" ht="40.049999999999997" customHeight="1" x14ac:dyDescent="0.3">
      <c r="B418" s="80"/>
      <c r="H418" s="113"/>
      <c r="I418" s="113"/>
      <c r="J418" s="113"/>
    </row>
    <row r="419" spans="2:10" ht="40.049999999999997" customHeight="1" x14ac:dyDescent="0.3">
      <c r="B419" s="80"/>
      <c r="H419" s="113"/>
      <c r="I419" s="113"/>
      <c r="J419" s="113"/>
    </row>
    <row r="420" spans="2:10" ht="40.049999999999997" customHeight="1" x14ac:dyDescent="0.3">
      <c r="B420" s="80"/>
      <c r="H420" s="113"/>
      <c r="I420" s="113"/>
      <c r="J420" s="113"/>
    </row>
    <row r="421" spans="2:10" ht="40.049999999999997" customHeight="1" x14ac:dyDescent="0.3">
      <c r="B421" s="80"/>
      <c r="H421" s="113"/>
      <c r="I421" s="113"/>
      <c r="J421" s="113"/>
    </row>
    <row r="422" spans="2:10" ht="40.049999999999997" customHeight="1" x14ac:dyDescent="0.3">
      <c r="B422" s="80"/>
      <c r="H422" s="113"/>
      <c r="I422" s="113"/>
      <c r="J422" s="113"/>
    </row>
    <row r="423" spans="2:10" ht="40.049999999999997" customHeight="1" x14ac:dyDescent="0.3">
      <c r="B423" s="80"/>
      <c r="H423" s="113"/>
      <c r="I423" s="113"/>
      <c r="J423" s="113"/>
    </row>
    <row r="424" spans="2:10" ht="40.049999999999997" customHeight="1" x14ac:dyDescent="0.3">
      <c r="B424" s="80"/>
      <c r="H424" s="113"/>
      <c r="I424" s="113"/>
      <c r="J424" s="113"/>
    </row>
    <row r="425" spans="2:10" ht="40.049999999999997" customHeight="1" x14ac:dyDescent="0.3">
      <c r="B425" s="80"/>
      <c r="H425" s="113"/>
      <c r="I425" s="113"/>
      <c r="J425" s="113"/>
    </row>
    <row r="426" spans="2:10" ht="40.049999999999997" customHeight="1" x14ac:dyDescent="0.3">
      <c r="B426" s="80"/>
      <c r="H426" s="113"/>
      <c r="I426" s="113"/>
      <c r="J426" s="113"/>
    </row>
    <row r="427" spans="2:10" ht="40.049999999999997" customHeight="1" x14ac:dyDescent="0.3">
      <c r="B427" s="80"/>
      <c r="H427" s="113"/>
      <c r="I427" s="113"/>
      <c r="J427" s="113"/>
    </row>
    <row r="428" spans="2:10" ht="40.049999999999997" customHeight="1" x14ac:dyDescent="0.3">
      <c r="B428" s="80"/>
      <c r="H428" s="113"/>
      <c r="I428" s="113"/>
      <c r="J428" s="113"/>
    </row>
    <row r="429" spans="2:10" ht="40.049999999999997" customHeight="1" x14ac:dyDescent="0.3">
      <c r="B429" s="80"/>
      <c r="H429" s="113"/>
      <c r="I429" s="113"/>
      <c r="J429" s="113"/>
    </row>
    <row r="430" spans="2:10" ht="40.049999999999997" customHeight="1" x14ac:dyDescent="0.3">
      <c r="B430" s="80"/>
      <c r="H430" s="113"/>
      <c r="I430" s="113"/>
      <c r="J430" s="113"/>
    </row>
    <row r="431" spans="2:10" ht="40.049999999999997" customHeight="1" x14ac:dyDescent="0.3">
      <c r="B431" s="80"/>
      <c r="H431" s="113"/>
      <c r="I431" s="113"/>
      <c r="J431" s="113"/>
    </row>
    <row r="432" spans="2:10" ht="40.049999999999997" customHeight="1" x14ac:dyDescent="0.3">
      <c r="B432" s="80"/>
      <c r="H432" s="113"/>
      <c r="I432" s="113"/>
      <c r="J432" s="113"/>
    </row>
    <row r="433" spans="2:10" ht="40.049999999999997" customHeight="1" x14ac:dyDescent="0.3">
      <c r="B433" s="80"/>
      <c r="H433" s="113"/>
      <c r="I433" s="113"/>
      <c r="J433" s="113"/>
    </row>
    <row r="434" spans="2:10" ht="40.049999999999997" customHeight="1" x14ac:dyDescent="0.3">
      <c r="B434" s="80"/>
      <c r="H434" s="113"/>
      <c r="I434" s="113"/>
      <c r="J434" s="113"/>
    </row>
    <row r="435" spans="2:10" ht="40.049999999999997" customHeight="1" x14ac:dyDescent="0.3">
      <c r="B435" s="80"/>
      <c r="H435" s="113"/>
      <c r="I435" s="113"/>
      <c r="J435" s="113"/>
    </row>
    <row r="436" spans="2:10" ht="40.049999999999997" customHeight="1" x14ac:dyDescent="0.3">
      <c r="B436" s="80"/>
      <c r="H436" s="113"/>
      <c r="I436" s="113"/>
      <c r="J436" s="113"/>
    </row>
    <row r="437" spans="2:10" ht="40.049999999999997" customHeight="1" x14ac:dyDescent="0.3">
      <c r="B437" s="80"/>
      <c r="H437" s="113"/>
      <c r="I437" s="113"/>
      <c r="J437" s="113"/>
    </row>
    <row r="438" spans="2:10" ht="40.049999999999997" customHeight="1" x14ac:dyDescent="0.3">
      <c r="B438" s="80"/>
      <c r="H438" s="113"/>
      <c r="I438" s="113"/>
      <c r="J438" s="113"/>
    </row>
    <row r="439" spans="2:10" ht="40.049999999999997" customHeight="1" x14ac:dyDescent="0.3">
      <c r="B439" s="80"/>
      <c r="H439" s="113"/>
      <c r="I439" s="113"/>
      <c r="J439" s="113"/>
    </row>
    <row r="440" spans="2:10" ht="40.049999999999997" customHeight="1" x14ac:dyDescent="0.3">
      <c r="B440" s="80"/>
      <c r="H440" s="113"/>
      <c r="I440" s="113"/>
      <c r="J440" s="113"/>
    </row>
    <row r="441" spans="2:10" ht="40.049999999999997" customHeight="1" x14ac:dyDescent="0.3">
      <c r="B441" s="80"/>
      <c r="H441" s="113"/>
      <c r="I441" s="113"/>
      <c r="J441" s="113"/>
    </row>
    <row r="442" spans="2:10" ht="40.049999999999997" customHeight="1" x14ac:dyDescent="0.3">
      <c r="B442" s="80"/>
      <c r="H442" s="113"/>
      <c r="I442" s="113"/>
      <c r="J442" s="113"/>
    </row>
    <row r="443" spans="2:10" ht="40.049999999999997" customHeight="1" x14ac:dyDescent="0.3">
      <c r="B443" s="80"/>
      <c r="H443" s="113"/>
      <c r="I443" s="113"/>
      <c r="J443" s="113"/>
    </row>
    <row r="444" spans="2:10" ht="40.049999999999997" customHeight="1" x14ac:dyDescent="0.3">
      <c r="B444" s="80"/>
      <c r="H444" s="113"/>
      <c r="I444" s="113"/>
      <c r="J444" s="113"/>
    </row>
    <row r="445" spans="2:10" ht="40.049999999999997" customHeight="1" x14ac:dyDescent="0.3">
      <c r="B445" s="80"/>
      <c r="H445" s="113"/>
      <c r="I445" s="113"/>
      <c r="J445" s="113"/>
    </row>
    <row r="446" spans="2:10" ht="40.049999999999997" customHeight="1" x14ac:dyDescent="0.3">
      <c r="B446" s="80"/>
      <c r="H446" s="113"/>
      <c r="I446" s="113"/>
      <c r="J446" s="113"/>
    </row>
    <row r="447" spans="2:10" ht="40.049999999999997" customHeight="1" x14ac:dyDescent="0.3">
      <c r="B447" s="80"/>
      <c r="H447" s="113"/>
      <c r="I447" s="113"/>
      <c r="J447" s="113"/>
    </row>
    <row r="448" spans="2:10" ht="40.049999999999997" customHeight="1" x14ac:dyDescent="0.3">
      <c r="B448" s="80"/>
      <c r="H448" s="113"/>
      <c r="I448" s="113"/>
      <c r="J448" s="113"/>
    </row>
    <row r="449" spans="2:10" ht="40.049999999999997" customHeight="1" x14ac:dyDescent="0.3">
      <c r="B449" s="80"/>
      <c r="H449" s="113"/>
      <c r="I449" s="113"/>
      <c r="J449" s="113"/>
    </row>
    <row r="450" spans="2:10" ht="40.049999999999997" customHeight="1" x14ac:dyDescent="0.3">
      <c r="B450" s="80"/>
      <c r="H450" s="113"/>
      <c r="I450" s="113"/>
      <c r="J450" s="113"/>
    </row>
    <row r="451" spans="2:10" ht="40.049999999999997" customHeight="1" x14ac:dyDescent="0.3">
      <c r="B451" s="80"/>
      <c r="H451" s="113"/>
      <c r="I451" s="113"/>
      <c r="J451" s="113"/>
    </row>
    <row r="452" spans="2:10" ht="40.049999999999997" customHeight="1" x14ac:dyDescent="0.3">
      <c r="B452" s="80"/>
      <c r="H452" s="113"/>
      <c r="I452" s="113"/>
      <c r="J452" s="113"/>
    </row>
    <row r="453" spans="2:10" ht="40.049999999999997" customHeight="1" x14ac:dyDescent="0.3">
      <c r="B453" s="80"/>
      <c r="H453" s="113"/>
      <c r="I453" s="113"/>
      <c r="J453" s="113"/>
    </row>
    <row r="454" spans="2:10" ht="40.049999999999997" customHeight="1" x14ac:dyDescent="0.3">
      <c r="B454" s="80"/>
      <c r="H454" s="113"/>
      <c r="I454" s="113"/>
      <c r="J454" s="113"/>
    </row>
    <row r="455" spans="2:10" ht="40.049999999999997" customHeight="1" x14ac:dyDescent="0.3">
      <c r="B455" s="80"/>
      <c r="H455" s="113"/>
      <c r="I455" s="113"/>
      <c r="J455" s="113"/>
    </row>
    <row r="456" spans="2:10" ht="40.049999999999997" customHeight="1" x14ac:dyDescent="0.3">
      <c r="B456" s="80"/>
      <c r="H456" s="113"/>
      <c r="I456" s="113"/>
      <c r="J456" s="113"/>
    </row>
    <row r="457" spans="2:10" ht="40.049999999999997" customHeight="1" x14ac:dyDescent="0.3">
      <c r="B457" s="80"/>
      <c r="H457" s="113"/>
      <c r="I457" s="113"/>
      <c r="J457" s="113"/>
    </row>
    <row r="458" spans="2:10" ht="40.049999999999997" customHeight="1" x14ac:dyDescent="0.3">
      <c r="B458" s="80"/>
      <c r="H458" s="113"/>
      <c r="I458" s="113"/>
      <c r="J458" s="113"/>
    </row>
    <row r="459" spans="2:10" ht="40.049999999999997" customHeight="1" x14ac:dyDescent="0.3">
      <c r="B459" s="80"/>
      <c r="H459" s="113"/>
      <c r="I459" s="113"/>
      <c r="J459" s="113"/>
    </row>
    <row r="460" spans="2:10" ht="40.049999999999997" customHeight="1" x14ac:dyDescent="0.3">
      <c r="B460" s="80"/>
      <c r="H460" s="113"/>
      <c r="I460" s="113"/>
      <c r="J460" s="113"/>
    </row>
    <row r="461" spans="2:10" ht="40.049999999999997" customHeight="1" x14ac:dyDescent="0.3">
      <c r="B461" s="80"/>
      <c r="H461" s="113"/>
      <c r="I461" s="113"/>
      <c r="J461" s="113"/>
    </row>
    <row r="462" spans="2:10" ht="40.049999999999997" customHeight="1" x14ac:dyDescent="0.3">
      <c r="B462" s="80"/>
      <c r="H462" s="113"/>
      <c r="I462" s="113"/>
      <c r="J462" s="113"/>
    </row>
    <row r="463" spans="2:10" ht="40.049999999999997" customHeight="1" x14ac:dyDescent="0.3">
      <c r="B463" s="80"/>
      <c r="H463" s="113"/>
      <c r="I463" s="113"/>
      <c r="J463" s="113"/>
    </row>
    <row r="464" spans="2:10" ht="40.049999999999997" customHeight="1" x14ac:dyDescent="0.3">
      <c r="B464" s="80"/>
      <c r="H464" s="113"/>
      <c r="I464" s="113"/>
      <c r="J464" s="113"/>
    </row>
    <row r="465" spans="2:10" ht="40.049999999999997" customHeight="1" x14ac:dyDescent="0.3">
      <c r="B465" s="80"/>
      <c r="H465" s="113"/>
      <c r="I465" s="113"/>
      <c r="J465" s="113"/>
    </row>
    <row r="466" spans="2:10" ht="40.049999999999997" customHeight="1" x14ac:dyDescent="0.3">
      <c r="B466" s="80"/>
      <c r="H466" s="113"/>
      <c r="I466" s="113"/>
      <c r="J466" s="113"/>
    </row>
    <row r="467" spans="2:10" ht="40.049999999999997" customHeight="1" x14ac:dyDescent="0.3">
      <c r="B467" s="80"/>
      <c r="H467" s="113"/>
      <c r="I467" s="113"/>
      <c r="J467" s="113"/>
    </row>
    <row r="468" spans="2:10" ht="40.049999999999997" customHeight="1" x14ac:dyDescent="0.3">
      <c r="B468" s="80"/>
      <c r="H468" s="113"/>
      <c r="I468" s="113"/>
      <c r="J468" s="113"/>
    </row>
    <row r="469" spans="2:10" ht="40.049999999999997" customHeight="1" x14ac:dyDescent="0.3">
      <c r="B469" s="80"/>
      <c r="H469" s="113"/>
      <c r="I469" s="113"/>
      <c r="J469" s="113"/>
    </row>
    <row r="470" spans="2:10" ht="40.049999999999997" customHeight="1" x14ac:dyDescent="0.3">
      <c r="B470" s="80"/>
      <c r="H470" s="113"/>
      <c r="I470" s="113"/>
      <c r="J470" s="113"/>
    </row>
    <row r="471" spans="2:10" ht="40.049999999999997" customHeight="1" x14ac:dyDescent="0.3">
      <c r="B471" s="80"/>
      <c r="H471" s="113"/>
      <c r="I471" s="113"/>
      <c r="J471" s="113"/>
    </row>
    <row r="472" spans="2:10" ht="40.049999999999997" customHeight="1" x14ac:dyDescent="0.3">
      <c r="B472" s="80"/>
      <c r="H472" s="113"/>
      <c r="I472" s="113"/>
      <c r="J472" s="113"/>
    </row>
    <row r="473" spans="2:10" ht="40.049999999999997" customHeight="1" x14ac:dyDescent="0.3">
      <c r="B473" s="80"/>
      <c r="H473" s="113"/>
      <c r="I473" s="113"/>
      <c r="J473" s="113"/>
    </row>
    <row r="474" spans="2:10" ht="40.049999999999997" customHeight="1" x14ac:dyDescent="0.3">
      <c r="B474" s="80"/>
      <c r="H474" s="113"/>
      <c r="I474" s="113"/>
      <c r="J474" s="113"/>
    </row>
    <row r="475" spans="2:10" ht="40.049999999999997" customHeight="1" x14ac:dyDescent="0.3">
      <c r="B475" s="80"/>
      <c r="H475" s="113"/>
      <c r="I475" s="113"/>
      <c r="J475" s="113"/>
    </row>
    <row r="476" spans="2:10" ht="40.049999999999997" customHeight="1" x14ac:dyDescent="0.3">
      <c r="B476" s="80"/>
      <c r="H476" s="113"/>
      <c r="I476" s="113"/>
      <c r="J476" s="113"/>
    </row>
    <row r="477" spans="2:10" ht="40.049999999999997" customHeight="1" x14ac:dyDescent="0.3">
      <c r="B477" s="80"/>
      <c r="H477" s="113"/>
      <c r="I477" s="113"/>
      <c r="J477" s="113"/>
    </row>
    <row r="478" spans="2:10" ht="40.049999999999997" customHeight="1" x14ac:dyDescent="0.3">
      <c r="B478" s="80"/>
      <c r="H478" s="113"/>
      <c r="I478" s="113"/>
      <c r="J478" s="113"/>
    </row>
    <row r="479" spans="2:10" ht="40.049999999999997" customHeight="1" x14ac:dyDescent="0.3">
      <c r="B479" s="80"/>
      <c r="H479" s="113"/>
      <c r="I479" s="113"/>
      <c r="J479" s="113"/>
    </row>
    <row r="480" spans="2:10" ht="40.049999999999997" customHeight="1" x14ac:dyDescent="0.3">
      <c r="B480" s="80"/>
      <c r="H480" s="113"/>
      <c r="I480" s="113"/>
      <c r="J480" s="113"/>
    </row>
    <row r="481" spans="2:10" ht="40.049999999999997" customHeight="1" x14ac:dyDescent="0.3">
      <c r="B481" s="80"/>
      <c r="H481" s="113"/>
      <c r="I481" s="113"/>
      <c r="J481" s="113"/>
    </row>
    <row r="482" spans="2:10" ht="40.049999999999997" customHeight="1" x14ac:dyDescent="0.3">
      <c r="B482" s="80"/>
      <c r="H482" s="113"/>
      <c r="I482" s="113"/>
      <c r="J482" s="113"/>
    </row>
    <row r="483" spans="2:10" ht="40.049999999999997" customHeight="1" x14ac:dyDescent="0.3">
      <c r="B483" s="80"/>
      <c r="H483" s="113"/>
      <c r="I483" s="113"/>
      <c r="J483" s="113"/>
    </row>
    <row r="484" spans="2:10" ht="40.049999999999997" customHeight="1" x14ac:dyDescent="0.3">
      <c r="B484" s="80"/>
      <c r="H484" s="113"/>
      <c r="I484" s="113"/>
      <c r="J484" s="113"/>
    </row>
    <row r="485" spans="2:10" ht="40.049999999999997" customHeight="1" x14ac:dyDescent="0.3">
      <c r="B485" s="80"/>
      <c r="H485" s="113"/>
      <c r="I485" s="113"/>
      <c r="J485" s="113"/>
    </row>
    <row r="486" spans="2:10" ht="40.049999999999997" customHeight="1" x14ac:dyDescent="0.3">
      <c r="B486" s="80"/>
      <c r="H486" s="113"/>
      <c r="I486" s="113"/>
      <c r="J486" s="113"/>
    </row>
    <row r="487" spans="2:10" ht="40.049999999999997" customHeight="1" x14ac:dyDescent="0.3">
      <c r="B487" s="80"/>
      <c r="H487" s="113"/>
      <c r="I487" s="113"/>
      <c r="J487" s="113"/>
    </row>
    <row r="488" spans="2:10" ht="40.049999999999997" customHeight="1" x14ac:dyDescent="0.3">
      <c r="B488" s="80"/>
      <c r="H488" s="113"/>
      <c r="I488" s="113"/>
      <c r="J488" s="113"/>
    </row>
    <row r="489" spans="2:10" ht="40.049999999999997" customHeight="1" x14ac:dyDescent="0.3">
      <c r="B489" s="80"/>
      <c r="H489" s="113"/>
      <c r="I489" s="113"/>
      <c r="J489" s="113"/>
    </row>
    <row r="490" spans="2:10" ht="40.049999999999997" customHeight="1" x14ac:dyDescent="0.3">
      <c r="B490" s="80"/>
      <c r="H490" s="113"/>
      <c r="I490" s="113"/>
      <c r="J490" s="113"/>
    </row>
    <row r="491" spans="2:10" ht="40.049999999999997" customHeight="1" x14ac:dyDescent="0.3">
      <c r="B491" s="80"/>
      <c r="H491" s="113"/>
      <c r="I491" s="113"/>
      <c r="J491" s="113"/>
    </row>
    <row r="492" spans="2:10" ht="40.049999999999997" customHeight="1" x14ac:dyDescent="0.3">
      <c r="B492" s="80"/>
      <c r="H492" s="113"/>
      <c r="I492" s="113"/>
      <c r="J492" s="113"/>
    </row>
    <row r="493" spans="2:10" ht="40.049999999999997" customHeight="1" x14ac:dyDescent="0.3">
      <c r="B493" s="80"/>
      <c r="H493" s="113"/>
      <c r="I493" s="113"/>
      <c r="J493" s="113"/>
    </row>
    <row r="494" spans="2:10" ht="40.049999999999997" customHeight="1" x14ac:dyDescent="0.3">
      <c r="B494" s="80"/>
      <c r="H494" s="113"/>
      <c r="I494" s="113"/>
      <c r="J494" s="113"/>
    </row>
    <row r="495" spans="2:10" ht="40.049999999999997" customHeight="1" x14ac:dyDescent="0.3">
      <c r="B495" s="80"/>
      <c r="H495" s="113"/>
      <c r="I495" s="113"/>
      <c r="J495" s="113"/>
    </row>
    <row r="496" spans="2:10" ht="40.049999999999997" customHeight="1" x14ac:dyDescent="0.3">
      <c r="B496" s="80"/>
      <c r="H496" s="113"/>
      <c r="I496" s="113"/>
      <c r="J496" s="113"/>
    </row>
    <row r="497" spans="2:10" ht="40.049999999999997" customHeight="1" x14ac:dyDescent="0.3">
      <c r="B497" s="80"/>
      <c r="H497" s="113"/>
      <c r="I497" s="113"/>
      <c r="J497" s="113"/>
    </row>
    <row r="498" spans="2:10" ht="40.049999999999997" customHeight="1" x14ac:dyDescent="0.3">
      <c r="B498" s="80"/>
      <c r="H498" s="113"/>
      <c r="I498" s="113"/>
      <c r="J498" s="113"/>
    </row>
    <row r="499" spans="2:10" ht="40.049999999999997" customHeight="1" x14ac:dyDescent="0.3">
      <c r="B499" s="80"/>
      <c r="H499" s="113"/>
      <c r="I499" s="113"/>
      <c r="J499" s="113"/>
    </row>
    <row r="500" spans="2:10" ht="40.049999999999997" customHeight="1" x14ac:dyDescent="0.3">
      <c r="B500" s="80"/>
      <c r="H500" s="113"/>
      <c r="I500" s="113"/>
      <c r="J500" s="113"/>
    </row>
    <row r="501" spans="2:10" ht="40.049999999999997" customHeight="1" x14ac:dyDescent="0.3">
      <c r="B501" s="80"/>
      <c r="H501" s="113"/>
      <c r="I501" s="113"/>
      <c r="J501" s="113"/>
    </row>
    <row r="502" spans="2:10" ht="40.049999999999997" customHeight="1" x14ac:dyDescent="0.3">
      <c r="B502" s="80"/>
      <c r="H502" s="113"/>
      <c r="I502" s="113"/>
      <c r="J502" s="113"/>
    </row>
    <row r="503" spans="2:10" ht="40.049999999999997" customHeight="1" x14ac:dyDescent="0.3">
      <c r="B503" s="80"/>
      <c r="H503" s="113"/>
      <c r="I503" s="113"/>
      <c r="J503" s="113"/>
    </row>
    <row r="504" spans="2:10" ht="40.049999999999997" customHeight="1" x14ac:dyDescent="0.3">
      <c r="B504" s="80"/>
      <c r="H504" s="113"/>
      <c r="I504" s="113"/>
      <c r="J504" s="113"/>
    </row>
    <row r="505" spans="2:10" ht="40.049999999999997" customHeight="1" x14ac:dyDescent="0.3">
      <c r="B505" s="80"/>
      <c r="H505" s="113"/>
      <c r="I505" s="113"/>
      <c r="J505" s="113"/>
    </row>
    <row r="506" spans="2:10" ht="40.049999999999997" customHeight="1" x14ac:dyDescent="0.3">
      <c r="B506" s="80"/>
      <c r="H506" s="113"/>
      <c r="I506" s="113"/>
      <c r="J506" s="113"/>
    </row>
    <row r="507" spans="2:10" ht="40.049999999999997" customHeight="1" x14ac:dyDescent="0.3">
      <c r="B507" s="80"/>
      <c r="H507" s="113"/>
      <c r="I507" s="113"/>
      <c r="J507" s="113"/>
    </row>
    <row r="508" spans="2:10" ht="40.049999999999997" customHeight="1" x14ac:dyDescent="0.3">
      <c r="B508" s="80"/>
      <c r="H508" s="113"/>
      <c r="I508" s="113"/>
      <c r="J508" s="113"/>
    </row>
    <row r="509" spans="2:10" ht="40.049999999999997" customHeight="1" x14ac:dyDescent="0.3">
      <c r="B509" s="80"/>
      <c r="H509" s="113"/>
      <c r="I509" s="113"/>
      <c r="J509" s="113"/>
    </row>
    <row r="510" spans="2:10" ht="40.049999999999997" customHeight="1" x14ac:dyDescent="0.3">
      <c r="B510" s="80"/>
      <c r="H510" s="113"/>
      <c r="I510" s="113"/>
      <c r="J510" s="113"/>
    </row>
    <row r="511" spans="2:10" ht="40.049999999999997" customHeight="1" x14ac:dyDescent="0.3">
      <c r="B511" s="80"/>
      <c r="H511" s="113"/>
      <c r="I511" s="113"/>
      <c r="J511" s="113"/>
    </row>
    <row r="512" spans="2:10" ht="40.049999999999997" customHeight="1" x14ac:dyDescent="0.3">
      <c r="B512" s="80"/>
      <c r="H512" s="113"/>
      <c r="I512" s="113"/>
      <c r="J512" s="113"/>
    </row>
    <row r="513" spans="2:10" ht="40.049999999999997" customHeight="1" x14ac:dyDescent="0.3">
      <c r="B513" s="80"/>
      <c r="H513" s="113"/>
      <c r="I513" s="113"/>
      <c r="J513" s="113"/>
    </row>
    <row r="514" spans="2:10" ht="40.049999999999997" customHeight="1" x14ac:dyDescent="0.3">
      <c r="B514" s="80"/>
      <c r="H514" s="113"/>
      <c r="I514" s="113"/>
      <c r="J514" s="113"/>
    </row>
    <row r="515" spans="2:10" ht="40.049999999999997" customHeight="1" x14ac:dyDescent="0.3">
      <c r="B515" s="80"/>
      <c r="H515" s="113"/>
      <c r="I515" s="113"/>
      <c r="J515" s="113"/>
    </row>
    <row r="516" spans="2:10" ht="40.049999999999997" customHeight="1" x14ac:dyDescent="0.3">
      <c r="B516" s="80"/>
      <c r="H516" s="113"/>
      <c r="I516" s="113"/>
      <c r="J516" s="113"/>
    </row>
    <row r="517" spans="2:10" ht="40.049999999999997" customHeight="1" x14ac:dyDescent="0.3">
      <c r="B517" s="80"/>
      <c r="H517" s="113"/>
      <c r="I517" s="113"/>
      <c r="J517" s="113"/>
    </row>
    <row r="518" spans="2:10" ht="40.049999999999997" customHeight="1" x14ac:dyDescent="0.3">
      <c r="B518" s="80"/>
      <c r="H518" s="113"/>
      <c r="I518" s="113"/>
      <c r="J518" s="113"/>
    </row>
    <row r="519" spans="2:10" ht="40.049999999999997" customHeight="1" x14ac:dyDescent="0.3">
      <c r="B519" s="80"/>
      <c r="H519" s="113"/>
      <c r="I519" s="113"/>
      <c r="J519" s="113"/>
    </row>
    <row r="520" spans="2:10" ht="40.049999999999997" customHeight="1" x14ac:dyDescent="0.3">
      <c r="B520" s="80"/>
      <c r="H520" s="113"/>
      <c r="I520" s="113"/>
      <c r="J520" s="113"/>
    </row>
    <row r="521" spans="2:10" ht="40.049999999999997" customHeight="1" x14ac:dyDescent="0.3">
      <c r="B521" s="80"/>
      <c r="H521" s="113"/>
      <c r="I521" s="113"/>
      <c r="J521" s="113"/>
    </row>
    <row r="522" spans="2:10" ht="40.049999999999997" customHeight="1" x14ac:dyDescent="0.3">
      <c r="B522" s="80"/>
      <c r="H522" s="113"/>
      <c r="I522" s="113"/>
      <c r="J522" s="113"/>
    </row>
    <row r="523" spans="2:10" ht="40.049999999999997" customHeight="1" x14ac:dyDescent="0.3">
      <c r="B523" s="80"/>
      <c r="H523" s="113"/>
      <c r="I523" s="113"/>
      <c r="J523" s="113"/>
    </row>
    <row r="524" spans="2:10" ht="40.049999999999997" customHeight="1" x14ac:dyDescent="0.3">
      <c r="B524" s="80"/>
      <c r="H524" s="113"/>
      <c r="I524" s="113"/>
      <c r="J524" s="113"/>
    </row>
    <row r="525" spans="2:10" ht="40.049999999999997" customHeight="1" x14ac:dyDescent="0.3">
      <c r="B525" s="80"/>
      <c r="H525" s="113"/>
      <c r="I525" s="113"/>
      <c r="J525" s="113"/>
    </row>
    <row r="526" spans="2:10" ht="40.049999999999997" customHeight="1" x14ac:dyDescent="0.3">
      <c r="B526" s="80"/>
      <c r="H526" s="113"/>
      <c r="I526" s="113"/>
      <c r="J526" s="113"/>
    </row>
    <row r="527" spans="2:10" ht="40.049999999999997" customHeight="1" x14ac:dyDescent="0.3">
      <c r="B527" s="80"/>
      <c r="H527" s="113"/>
      <c r="I527" s="113"/>
      <c r="J527" s="113"/>
    </row>
    <row r="528" spans="2:10" ht="40.049999999999997" customHeight="1" x14ac:dyDescent="0.3">
      <c r="B528" s="80"/>
      <c r="H528" s="113"/>
      <c r="I528" s="113"/>
      <c r="J528" s="113"/>
    </row>
    <row r="529" spans="2:10" ht="40.049999999999997" customHeight="1" x14ac:dyDescent="0.3">
      <c r="B529" s="80"/>
      <c r="H529" s="113"/>
      <c r="I529" s="113"/>
      <c r="J529" s="113"/>
    </row>
    <row r="530" spans="2:10" ht="40.049999999999997" customHeight="1" x14ac:dyDescent="0.3">
      <c r="B530" s="80"/>
      <c r="H530" s="113"/>
      <c r="I530" s="113"/>
      <c r="J530" s="113"/>
    </row>
    <row r="531" spans="2:10" ht="40.049999999999997" customHeight="1" x14ac:dyDescent="0.3">
      <c r="B531" s="80"/>
      <c r="H531" s="113"/>
      <c r="I531" s="113"/>
      <c r="J531" s="113"/>
    </row>
    <row r="532" spans="2:10" ht="40.049999999999997" customHeight="1" x14ac:dyDescent="0.3">
      <c r="B532" s="80"/>
      <c r="H532" s="113"/>
      <c r="I532" s="113"/>
      <c r="J532" s="113"/>
    </row>
    <row r="533" spans="2:10" ht="40.049999999999997" customHeight="1" x14ac:dyDescent="0.3">
      <c r="B533" s="80"/>
      <c r="H533" s="113"/>
      <c r="I533" s="113"/>
      <c r="J533" s="113"/>
    </row>
    <row r="534" spans="2:10" ht="40.049999999999997" customHeight="1" x14ac:dyDescent="0.3">
      <c r="B534" s="80"/>
      <c r="H534" s="113"/>
      <c r="I534" s="113"/>
      <c r="J534" s="113"/>
    </row>
    <row r="535" spans="2:10" ht="40.049999999999997" customHeight="1" x14ac:dyDescent="0.3">
      <c r="B535" s="80"/>
      <c r="H535" s="113"/>
      <c r="I535" s="113"/>
      <c r="J535" s="113"/>
    </row>
    <row r="536" spans="2:10" ht="40.049999999999997" customHeight="1" x14ac:dyDescent="0.3">
      <c r="B536" s="80"/>
      <c r="H536" s="113"/>
      <c r="I536" s="113"/>
      <c r="J536" s="113"/>
    </row>
    <row r="537" spans="2:10" ht="40.049999999999997" customHeight="1" x14ac:dyDescent="0.3">
      <c r="B537" s="80"/>
      <c r="H537" s="113"/>
      <c r="I537" s="113"/>
      <c r="J537" s="113"/>
    </row>
    <row r="538" spans="2:10" ht="40.049999999999997" customHeight="1" x14ac:dyDescent="0.3">
      <c r="B538" s="80"/>
      <c r="H538" s="113"/>
      <c r="I538" s="113"/>
      <c r="J538" s="113"/>
    </row>
    <row r="539" spans="2:10" ht="40.049999999999997" customHeight="1" x14ac:dyDescent="0.3">
      <c r="B539" s="80"/>
      <c r="H539" s="113"/>
      <c r="I539" s="113"/>
      <c r="J539" s="113"/>
    </row>
    <row r="540" spans="2:10" ht="40.049999999999997" customHeight="1" x14ac:dyDescent="0.3">
      <c r="B540" s="80"/>
      <c r="H540" s="113"/>
      <c r="I540" s="113"/>
      <c r="J540" s="113"/>
    </row>
    <row r="541" spans="2:10" ht="40.049999999999997" customHeight="1" x14ac:dyDescent="0.3">
      <c r="B541" s="80"/>
      <c r="H541" s="113"/>
      <c r="I541" s="113"/>
      <c r="J541" s="113"/>
    </row>
    <row r="542" spans="2:10" ht="40.049999999999997" customHeight="1" x14ac:dyDescent="0.3">
      <c r="B542" s="80"/>
      <c r="H542" s="113"/>
      <c r="I542" s="113"/>
      <c r="J542" s="113"/>
    </row>
    <row r="543" spans="2:10" ht="40.049999999999997" customHeight="1" x14ac:dyDescent="0.3">
      <c r="B543" s="80"/>
      <c r="H543" s="113"/>
      <c r="I543" s="113"/>
      <c r="J543" s="113"/>
    </row>
    <row r="544" spans="2:10" ht="40.049999999999997" customHeight="1" x14ac:dyDescent="0.3">
      <c r="B544" s="80"/>
      <c r="H544" s="113"/>
      <c r="I544" s="113"/>
      <c r="J544" s="113"/>
    </row>
    <row r="545" spans="2:10" ht="40.049999999999997" customHeight="1" x14ac:dyDescent="0.3">
      <c r="B545" s="80"/>
      <c r="H545" s="113"/>
      <c r="I545" s="113"/>
      <c r="J545" s="113"/>
    </row>
    <row r="546" spans="2:10" ht="40.049999999999997" customHeight="1" x14ac:dyDescent="0.3">
      <c r="B546" s="80"/>
      <c r="H546" s="113"/>
      <c r="I546" s="113"/>
      <c r="J546" s="113"/>
    </row>
    <row r="547" spans="2:10" ht="40.049999999999997" customHeight="1" x14ac:dyDescent="0.3">
      <c r="B547" s="80"/>
      <c r="H547" s="113"/>
      <c r="I547" s="113"/>
      <c r="J547" s="113"/>
    </row>
    <row r="548" spans="2:10" ht="40.049999999999997" customHeight="1" x14ac:dyDescent="0.3">
      <c r="B548" s="80"/>
      <c r="H548" s="113"/>
      <c r="I548" s="113"/>
      <c r="J548" s="113"/>
    </row>
    <row r="549" spans="2:10" ht="40.049999999999997" customHeight="1" x14ac:dyDescent="0.3">
      <c r="B549" s="80"/>
      <c r="H549" s="113"/>
      <c r="I549" s="113"/>
      <c r="J549" s="113"/>
    </row>
    <row r="550" spans="2:10" ht="40.049999999999997" customHeight="1" x14ac:dyDescent="0.3">
      <c r="B550" s="80"/>
      <c r="H550" s="113"/>
      <c r="I550" s="113"/>
      <c r="J550" s="113"/>
    </row>
    <row r="551" spans="2:10" ht="40.049999999999997" customHeight="1" x14ac:dyDescent="0.3">
      <c r="B551" s="80"/>
      <c r="H551" s="113"/>
      <c r="I551" s="113"/>
      <c r="J551" s="113"/>
    </row>
    <row r="552" spans="2:10" ht="40.049999999999997" customHeight="1" x14ac:dyDescent="0.3">
      <c r="B552" s="80"/>
      <c r="H552" s="113"/>
      <c r="I552" s="113"/>
      <c r="J552" s="113"/>
    </row>
    <row r="553" spans="2:10" ht="40.049999999999997" customHeight="1" x14ac:dyDescent="0.3">
      <c r="B553" s="80"/>
      <c r="H553" s="113"/>
      <c r="I553" s="113"/>
      <c r="J553" s="113"/>
    </row>
    <row r="554" spans="2:10" ht="40.049999999999997" customHeight="1" x14ac:dyDescent="0.3">
      <c r="B554" s="80"/>
      <c r="H554" s="113"/>
      <c r="I554" s="113"/>
      <c r="J554" s="113"/>
    </row>
    <row r="555" spans="2:10" ht="40.049999999999997" customHeight="1" x14ac:dyDescent="0.3">
      <c r="B555" s="80"/>
      <c r="H555" s="113"/>
      <c r="I555" s="113"/>
      <c r="J555" s="113"/>
    </row>
    <row r="556" spans="2:10" ht="40.049999999999997" customHeight="1" x14ac:dyDescent="0.3">
      <c r="B556" s="80"/>
      <c r="H556" s="113"/>
      <c r="I556" s="113"/>
      <c r="J556" s="113"/>
    </row>
    <row r="557" spans="2:10" ht="40.049999999999997" customHeight="1" x14ac:dyDescent="0.3">
      <c r="B557" s="80"/>
      <c r="H557" s="113"/>
      <c r="I557" s="113"/>
      <c r="J557" s="113"/>
    </row>
    <row r="558" spans="2:10" ht="40.049999999999997" customHeight="1" x14ac:dyDescent="0.3">
      <c r="B558" s="80"/>
      <c r="H558" s="113"/>
      <c r="I558" s="113"/>
      <c r="J558" s="113"/>
    </row>
    <row r="559" spans="2:10" ht="40.049999999999997" customHeight="1" x14ac:dyDescent="0.3">
      <c r="B559" s="80"/>
      <c r="H559" s="113"/>
      <c r="I559" s="113"/>
      <c r="J559" s="113"/>
    </row>
    <row r="560" spans="2:10" ht="40.049999999999997" customHeight="1" x14ac:dyDescent="0.3">
      <c r="B560" s="80"/>
      <c r="H560" s="113"/>
      <c r="I560" s="113"/>
      <c r="J560" s="113"/>
    </row>
    <row r="561" spans="2:10" ht="40.049999999999997" customHeight="1" x14ac:dyDescent="0.3">
      <c r="B561" s="80"/>
      <c r="H561" s="113"/>
      <c r="I561" s="113"/>
      <c r="J561" s="113"/>
    </row>
    <row r="562" spans="2:10" ht="40.049999999999997" customHeight="1" x14ac:dyDescent="0.3">
      <c r="B562" s="80"/>
      <c r="H562" s="113"/>
      <c r="I562" s="113"/>
      <c r="J562" s="113"/>
    </row>
    <row r="563" spans="2:10" ht="40.049999999999997" customHeight="1" x14ac:dyDescent="0.3">
      <c r="B563" s="80"/>
      <c r="H563" s="113"/>
      <c r="I563" s="113"/>
      <c r="J563" s="113"/>
    </row>
    <row r="564" spans="2:10" ht="40.049999999999997" customHeight="1" x14ac:dyDescent="0.3">
      <c r="B564" s="80"/>
      <c r="H564" s="113"/>
      <c r="I564" s="113"/>
      <c r="J564" s="113"/>
    </row>
    <row r="565" spans="2:10" ht="40.049999999999997" customHeight="1" x14ac:dyDescent="0.3">
      <c r="B565" s="80"/>
      <c r="H565" s="113"/>
      <c r="I565" s="113"/>
      <c r="J565" s="113"/>
    </row>
    <row r="566" spans="2:10" ht="40.049999999999997" customHeight="1" x14ac:dyDescent="0.3">
      <c r="B566" s="80"/>
      <c r="H566" s="113"/>
      <c r="I566" s="113"/>
      <c r="J566" s="113"/>
    </row>
    <row r="567" spans="2:10" ht="40.049999999999997" customHeight="1" x14ac:dyDescent="0.3">
      <c r="B567" s="80"/>
      <c r="H567" s="113"/>
      <c r="I567" s="113"/>
      <c r="J567" s="113"/>
    </row>
    <row r="568" spans="2:10" ht="40.049999999999997" customHeight="1" x14ac:dyDescent="0.3">
      <c r="B568" s="80"/>
      <c r="H568" s="113"/>
      <c r="I568" s="113"/>
      <c r="J568" s="113"/>
    </row>
    <row r="569" spans="2:10" ht="40.049999999999997" customHeight="1" x14ac:dyDescent="0.3">
      <c r="B569" s="80"/>
      <c r="H569" s="113"/>
      <c r="I569" s="113"/>
      <c r="J569" s="113"/>
    </row>
    <row r="570" spans="2:10" ht="40.049999999999997" customHeight="1" x14ac:dyDescent="0.3">
      <c r="B570" s="80"/>
      <c r="H570" s="113"/>
      <c r="I570" s="113"/>
      <c r="J570" s="113"/>
    </row>
    <row r="571" spans="2:10" ht="40.049999999999997" customHeight="1" x14ac:dyDescent="0.3">
      <c r="B571" s="80"/>
      <c r="H571" s="113"/>
      <c r="I571" s="113"/>
      <c r="J571" s="113"/>
    </row>
    <row r="572" spans="2:10" ht="40.049999999999997" customHeight="1" x14ac:dyDescent="0.3">
      <c r="B572" s="80"/>
      <c r="H572" s="113"/>
      <c r="I572" s="113"/>
      <c r="J572" s="113"/>
    </row>
    <row r="573" spans="2:10" ht="40.049999999999997" customHeight="1" x14ac:dyDescent="0.3">
      <c r="B573" s="80"/>
      <c r="H573" s="113"/>
      <c r="I573" s="113"/>
      <c r="J573" s="113"/>
    </row>
    <row r="574" spans="2:10" ht="40.049999999999997" customHeight="1" x14ac:dyDescent="0.3">
      <c r="B574" s="80"/>
      <c r="H574" s="113"/>
      <c r="I574" s="113"/>
      <c r="J574" s="113"/>
    </row>
    <row r="575" spans="2:10" ht="40.049999999999997" customHeight="1" x14ac:dyDescent="0.3">
      <c r="B575" s="80"/>
      <c r="H575" s="113"/>
      <c r="I575" s="113"/>
      <c r="J575" s="113"/>
    </row>
    <row r="576" spans="2:10" ht="40.049999999999997" customHeight="1" x14ac:dyDescent="0.3">
      <c r="B576" s="80"/>
      <c r="H576" s="113"/>
      <c r="I576" s="113"/>
      <c r="J576" s="113"/>
    </row>
    <row r="577" spans="2:10" ht="40.049999999999997" customHeight="1" x14ac:dyDescent="0.3">
      <c r="B577" s="80"/>
      <c r="H577" s="113"/>
      <c r="I577" s="113"/>
      <c r="J577" s="113"/>
    </row>
    <row r="578" spans="2:10" ht="40.049999999999997" customHeight="1" x14ac:dyDescent="0.3">
      <c r="B578" s="80"/>
      <c r="H578" s="113"/>
      <c r="I578" s="113"/>
      <c r="J578" s="113"/>
    </row>
    <row r="579" spans="2:10" ht="40.049999999999997" customHeight="1" x14ac:dyDescent="0.3">
      <c r="B579" s="80"/>
      <c r="H579" s="113"/>
      <c r="I579" s="113"/>
      <c r="J579" s="113"/>
    </row>
    <row r="580" spans="2:10" ht="40.049999999999997" customHeight="1" x14ac:dyDescent="0.3">
      <c r="B580" s="80"/>
      <c r="H580" s="113"/>
      <c r="I580" s="113"/>
      <c r="J580" s="113"/>
    </row>
    <row r="581" spans="2:10" ht="40.049999999999997" customHeight="1" x14ac:dyDescent="0.3">
      <c r="B581" s="80"/>
      <c r="H581" s="113"/>
      <c r="I581" s="113"/>
      <c r="J581" s="113"/>
    </row>
    <row r="582" spans="2:10" ht="40.049999999999997" customHeight="1" x14ac:dyDescent="0.3">
      <c r="B582" s="80"/>
      <c r="H582" s="113"/>
      <c r="I582" s="113"/>
      <c r="J582" s="113"/>
    </row>
    <row r="583" spans="2:10" ht="40.049999999999997" customHeight="1" x14ac:dyDescent="0.3">
      <c r="B583" s="80"/>
      <c r="H583" s="113"/>
      <c r="I583" s="113"/>
      <c r="J583" s="113"/>
    </row>
    <row r="584" spans="2:10" ht="40.049999999999997" customHeight="1" x14ac:dyDescent="0.3">
      <c r="B584" s="80"/>
      <c r="H584" s="113"/>
      <c r="I584" s="113"/>
      <c r="J584" s="113"/>
    </row>
    <row r="585" spans="2:10" ht="40.049999999999997" customHeight="1" x14ac:dyDescent="0.3">
      <c r="B585" s="80"/>
      <c r="H585" s="113"/>
      <c r="I585" s="113"/>
      <c r="J585" s="113"/>
    </row>
    <row r="586" spans="2:10" ht="40.049999999999997" customHeight="1" x14ac:dyDescent="0.3">
      <c r="B586" s="80"/>
      <c r="H586" s="113"/>
      <c r="I586" s="113"/>
      <c r="J586" s="113"/>
    </row>
    <row r="587" spans="2:10" ht="40.049999999999997" customHeight="1" x14ac:dyDescent="0.3">
      <c r="B587" s="80"/>
      <c r="H587" s="113"/>
      <c r="I587" s="113"/>
      <c r="J587" s="113"/>
    </row>
    <row r="588" spans="2:10" ht="40.049999999999997" customHeight="1" x14ac:dyDescent="0.3">
      <c r="B588" s="80"/>
      <c r="H588" s="113"/>
      <c r="I588" s="113"/>
      <c r="J588" s="113"/>
    </row>
    <row r="589" spans="2:10" ht="40.049999999999997" customHeight="1" x14ac:dyDescent="0.3">
      <c r="B589" s="80"/>
      <c r="H589" s="113"/>
      <c r="I589" s="113"/>
      <c r="J589" s="113"/>
    </row>
    <row r="590" spans="2:10" ht="40.049999999999997" customHeight="1" x14ac:dyDescent="0.3">
      <c r="B590" s="80"/>
      <c r="H590" s="113"/>
      <c r="I590" s="113"/>
      <c r="J590" s="113"/>
    </row>
    <row r="591" spans="2:10" ht="40.049999999999997" customHeight="1" x14ac:dyDescent="0.3">
      <c r="B591" s="80"/>
      <c r="H591" s="113"/>
      <c r="I591" s="113"/>
      <c r="J591" s="113"/>
    </row>
    <row r="592" spans="2:10" ht="40.049999999999997" customHeight="1" x14ac:dyDescent="0.3">
      <c r="B592" s="80"/>
      <c r="H592" s="113"/>
      <c r="I592" s="113"/>
      <c r="J592" s="113"/>
    </row>
    <row r="593" spans="2:10" ht="40.049999999999997" customHeight="1" x14ac:dyDescent="0.3">
      <c r="B593" s="80"/>
      <c r="H593" s="113"/>
      <c r="I593" s="113"/>
      <c r="J593" s="113"/>
    </row>
    <row r="594" spans="2:10" ht="40.049999999999997" customHeight="1" x14ac:dyDescent="0.3">
      <c r="B594" s="80"/>
      <c r="H594" s="113"/>
      <c r="I594" s="113"/>
      <c r="J594" s="113"/>
    </row>
    <row r="595" spans="2:10" ht="40.049999999999997" customHeight="1" x14ac:dyDescent="0.3">
      <c r="B595" s="80"/>
      <c r="H595" s="113"/>
      <c r="I595" s="113"/>
      <c r="J595" s="113"/>
    </row>
    <row r="596" spans="2:10" ht="40.049999999999997" customHeight="1" x14ac:dyDescent="0.3">
      <c r="B596" s="80"/>
      <c r="H596" s="113"/>
      <c r="I596" s="113"/>
      <c r="J596" s="113"/>
    </row>
    <row r="597" spans="2:10" ht="40.049999999999997" customHeight="1" x14ac:dyDescent="0.3">
      <c r="B597" s="80"/>
      <c r="H597" s="113"/>
      <c r="I597" s="113"/>
      <c r="J597" s="113"/>
    </row>
    <row r="598" spans="2:10" ht="40.049999999999997" customHeight="1" x14ac:dyDescent="0.3">
      <c r="B598" s="80"/>
      <c r="H598" s="113"/>
      <c r="I598" s="113"/>
      <c r="J598" s="113"/>
    </row>
    <row r="599" spans="2:10" ht="40.049999999999997" customHeight="1" x14ac:dyDescent="0.3">
      <c r="B599" s="80"/>
      <c r="H599" s="113"/>
      <c r="I599" s="113"/>
      <c r="J599" s="113"/>
    </row>
    <row r="600" spans="2:10" ht="40.049999999999997" customHeight="1" x14ac:dyDescent="0.3">
      <c r="B600" s="80"/>
      <c r="H600" s="113"/>
      <c r="I600" s="113"/>
      <c r="J600" s="113"/>
    </row>
    <row r="601" spans="2:10" ht="40.049999999999997" customHeight="1" x14ac:dyDescent="0.3">
      <c r="B601" s="80"/>
      <c r="H601" s="113"/>
      <c r="I601" s="113"/>
      <c r="J601" s="113"/>
    </row>
    <row r="602" spans="2:10" ht="40.049999999999997" customHeight="1" x14ac:dyDescent="0.3">
      <c r="B602" s="80"/>
      <c r="H602" s="113"/>
      <c r="I602" s="113"/>
      <c r="J602" s="113"/>
    </row>
    <row r="603" spans="2:10" ht="40.049999999999997" customHeight="1" x14ac:dyDescent="0.3">
      <c r="B603" s="80"/>
      <c r="H603" s="113"/>
      <c r="I603" s="113"/>
      <c r="J603" s="113"/>
    </row>
    <row r="604" spans="2:10" ht="40.049999999999997" customHeight="1" x14ac:dyDescent="0.3">
      <c r="B604" s="80"/>
      <c r="H604" s="113"/>
      <c r="I604" s="113"/>
      <c r="J604" s="113"/>
    </row>
    <row r="605" spans="2:10" ht="40.049999999999997" customHeight="1" x14ac:dyDescent="0.3">
      <c r="B605" s="80"/>
      <c r="H605" s="113"/>
      <c r="I605" s="113"/>
      <c r="J605" s="113"/>
    </row>
    <row r="606" spans="2:10" ht="40.049999999999997" customHeight="1" x14ac:dyDescent="0.3">
      <c r="B606" s="80"/>
      <c r="H606" s="113"/>
      <c r="I606" s="113"/>
      <c r="J606" s="113"/>
    </row>
    <row r="607" spans="2:10" ht="40.049999999999997" customHeight="1" x14ac:dyDescent="0.3">
      <c r="B607" s="80"/>
      <c r="H607" s="113"/>
      <c r="I607" s="113"/>
      <c r="J607" s="113"/>
    </row>
    <row r="608" spans="2:10" ht="40.049999999999997" customHeight="1" x14ac:dyDescent="0.3">
      <c r="B608" s="80"/>
      <c r="H608" s="113"/>
      <c r="I608" s="113"/>
      <c r="J608" s="113"/>
    </row>
    <row r="609" spans="2:10" ht="40.049999999999997" customHeight="1" x14ac:dyDescent="0.3">
      <c r="B609" s="80"/>
      <c r="H609" s="113"/>
      <c r="I609" s="113"/>
      <c r="J609" s="113"/>
    </row>
    <row r="610" spans="2:10" ht="40.049999999999997" customHeight="1" x14ac:dyDescent="0.3">
      <c r="B610" s="80"/>
      <c r="H610" s="113"/>
      <c r="I610" s="113"/>
      <c r="J610" s="113"/>
    </row>
    <row r="611" spans="2:10" ht="40.049999999999997" customHeight="1" x14ac:dyDescent="0.3">
      <c r="B611" s="80"/>
      <c r="H611" s="113"/>
      <c r="I611" s="113"/>
      <c r="J611" s="113"/>
    </row>
    <row r="612" spans="2:10" ht="40.049999999999997" customHeight="1" x14ac:dyDescent="0.3">
      <c r="B612" s="80"/>
      <c r="H612" s="113"/>
      <c r="I612" s="113"/>
      <c r="J612" s="113"/>
    </row>
    <row r="613" spans="2:10" ht="40.049999999999997" customHeight="1" x14ac:dyDescent="0.3">
      <c r="B613" s="80"/>
      <c r="H613" s="113"/>
      <c r="I613" s="113"/>
      <c r="J613" s="113"/>
    </row>
    <row r="614" spans="2:10" ht="40.049999999999997" customHeight="1" x14ac:dyDescent="0.3">
      <c r="B614" s="80"/>
      <c r="H614" s="113"/>
      <c r="I614" s="113"/>
      <c r="J614" s="113"/>
    </row>
    <row r="615" spans="2:10" ht="40.049999999999997" customHeight="1" x14ac:dyDescent="0.3">
      <c r="B615" s="80"/>
      <c r="H615" s="113"/>
      <c r="I615" s="113"/>
      <c r="J615" s="113"/>
    </row>
    <row r="616" spans="2:10" ht="40.049999999999997" customHeight="1" x14ac:dyDescent="0.3">
      <c r="B616" s="80"/>
      <c r="H616" s="113"/>
      <c r="I616" s="113"/>
      <c r="J616" s="113"/>
    </row>
    <row r="617" spans="2:10" ht="40.049999999999997" customHeight="1" x14ac:dyDescent="0.3">
      <c r="B617" s="80"/>
      <c r="H617" s="113"/>
      <c r="I617" s="113"/>
      <c r="J617" s="113"/>
    </row>
    <row r="618" spans="2:10" ht="40.049999999999997" customHeight="1" x14ac:dyDescent="0.3">
      <c r="B618" s="80"/>
      <c r="H618" s="113"/>
      <c r="I618" s="113"/>
      <c r="J618" s="113"/>
    </row>
    <row r="619" spans="2:10" ht="40.049999999999997" customHeight="1" x14ac:dyDescent="0.3">
      <c r="B619" s="80"/>
      <c r="H619" s="113"/>
      <c r="I619" s="113"/>
      <c r="J619" s="113"/>
    </row>
    <row r="620" spans="2:10" ht="40.049999999999997" customHeight="1" x14ac:dyDescent="0.3">
      <c r="B620" s="80"/>
      <c r="H620" s="113"/>
      <c r="I620" s="113"/>
      <c r="J620" s="113"/>
    </row>
    <row r="621" spans="2:10" ht="40.049999999999997" customHeight="1" x14ac:dyDescent="0.3">
      <c r="B621" s="80"/>
      <c r="H621" s="113"/>
      <c r="I621" s="113"/>
      <c r="J621" s="113"/>
    </row>
    <row r="622" spans="2:10" ht="40.049999999999997" customHeight="1" x14ac:dyDescent="0.3">
      <c r="B622" s="80"/>
      <c r="H622" s="113"/>
      <c r="I622" s="113"/>
      <c r="J622" s="113"/>
    </row>
    <row r="623" spans="2:10" ht="40.049999999999997" customHeight="1" x14ac:dyDescent="0.3">
      <c r="B623" s="80"/>
      <c r="H623" s="113"/>
      <c r="I623" s="113"/>
      <c r="J623" s="113"/>
    </row>
    <row r="624" spans="2:10" ht="40.049999999999997" customHeight="1" x14ac:dyDescent="0.3">
      <c r="B624" s="80"/>
      <c r="H624" s="113"/>
      <c r="I624" s="113"/>
      <c r="J624" s="113"/>
    </row>
    <row r="625" spans="2:10" ht="40.049999999999997" customHeight="1" x14ac:dyDescent="0.3">
      <c r="B625" s="80"/>
      <c r="H625" s="113"/>
      <c r="I625" s="113"/>
      <c r="J625" s="113"/>
    </row>
    <row r="626" spans="2:10" ht="40.049999999999997" customHeight="1" x14ac:dyDescent="0.3">
      <c r="B626" s="80"/>
      <c r="H626" s="113"/>
      <c r="I626" s="113"/>
      <c r="J626" s="113"/>
    </row>
    <row r="627" spans="2:10" ht="40.049999999999997" customHeight="1" x14ac:dyDescent="0.3">
      <c r="B627" s="80"/>
      <c r="H627" s="113"/>
      <c r="I627" s="113"/>
      <c r="J627" s="113"/>
    </row>
    <row r="628" spans="2:10" ht="40.049999999999997" customHeight="1" x14ac:dyDescent="0.3">
      <c r="B628" s="80"/>
      <c r="H628" s="113"/>
      <c r="I628" s="113"/>
      <c r="J628" s="113"/>
    </row>
    <row r="629" spans="2:10" ht="40.049999999999997" customHeight="1" x14ac:dyDescent="0.3">
      <c r="B629" s="80"/>
      <c r="H629" s="113"/>
      <c r="I629" s="113"/>
      <c r="J629" s="113"/>
    </row>
    <row r="630" spans="2:10" ht="40.049999999999997" customHeight="1" x14ac:dyDescent="0.3">
      <c r="B630" s="80"/>
      <c r="H630" s="113"/>
      <c r="I630" s="113"/>
      <c r="J630" s="113"/>
    </row>
    <row r="631" spans="2:10" ht="40.049999999999997" customHeight="1" x14ac:dyDescent="0.3">
      <c r="B631" s="80"/>
      <c r="H631" s="113"/>
      <c r="I631" s="113"/>
      <c r="J631" s="113"/>
    </row>
    <row r="632" spans="2:10" ht="40.049999999999997" customHeight="1" x14ac:dyDescent="0.3">
      <c r="B632" s="80"/>
      <c r="H632" s="113"/>
      <c r="I632" s="113"/>
      <c r="J632" s="113"/>
    </row>
    <row r="633" spans="2:10" ht="40.049999999999997" customHeight="1" x14ac:dyDescent="0.3">
      <c r="B633" s="80"/>
      <c r="H633" s="113"/>
      <c r="I633" s="113"/>
      <c r="J633" s="113"/>
    </row>
    <row r="634" spans="2:10" ht="40.049999999999997" customHeight="1" x14ac:dyDescent="0.3">
      <c r="B634" s="80"/>
      <c r="H634" s="113"/>
      <c r="I634" s="113"/>
      <c r="J634" s="113"/>
    </row>
    <row r="635" spans="2:10" ht="40.049999999999997" customHeight="1" x14ac:dyDescent="0.3">
      <c r="B635" s="80"/>
      <c r="H635" s="113"/>
      <c r="I635" s="113"/>
      <c r="J635" s="113"/>
    </row>
    <row r="636" spans="2:10" ht="40.049999999999997" customHeight="1" x14ac:dyDescent="0.3">
      <c r="B636" s="80"/>
      <c r="H636" s="113"/>
      <c r="I636" s="113"/>
      <c r="J636" s="113"/>
    </row>
    <row r="637" spans="2:10" ht="40.049999999999997" customHeight="1" x14ac:dyDescent="0.3">
      <c r="B637" s="80"/>
      <c r="H637" s="113"/>
      <c r="I637" s="113"/>
      <c r="J637" s="113"/>
    </row>
    <row r="638" spans="2:10" ht="40.049999999999997" customHeight="1" x14ac:dyDescent="0.3">
      <c r="B638" s="80"/>
      <c r="H638" s="113"/>
      <c r="I638" s="113"/>
      <c r="J638" s="113"/>
    </row>
    <row r="639" spans="2:10" ht="40.049999999999997" customHeight="1" x14ac:dyDescent="0.3">
      <c r="B639" s="80"/>
      <c r="H639" s="113"/>
      <c r="I639" s="113"/>
      <c r="J639" s="113"/>
    </row>
    <row r="640" spans="2:10" ht="40.049999999999997" customHeight="1" x14ac:dyDescent="0.3">
      <c r="B640" s="80"/>
      <c r="H640" s="113"/>
      <c r="I640" s="113"/>
      <c r="J640" s="113"/>
    </row>
    <row r="641" spans="2:10" ht="40.049999999999997" customHeight="1" x14ac:dyDescent="0.3">
      <c r="B641" s="80"/>
      <c r="H641" s="113"/>
      <c r="I641" s="113"/>
      <c r="J641" s="113"/>
    </row>
    <row r="642" spans="2:10" ht="40.049999999999997" customHeight="1" x14ac:dyDescent="0.3">
      <c r="B642" s="80"/>
      <c r="H642" s="113"/>
      <c r="I642" s="113"/>
      <c r="J642" s="113"/>
    </row>
    <row r="643" spans="2:10" ht="40.049999999999997" customHeight="1" x14ac:dyDescent="0.3">
      <c r="B643" s="80"/>
      <c r="H643" s="113"/>
      <c r="I643" s="113"/>
      <c r="J643" s="113"/>
    </row>
    <row r="644" spans="2:10" ht="40.049999999999997" customHeight="1" x14ac:dyDescent="0.3">
      <c r="B644" s="80"/>
      <c r="H644" s="113"/>
      <c r="I644" s="113"/>
      <c r="J644" s="113"/>
    </row>
    <row r="645" spans="2:10" ht="40.049999999999997" customHeight="1" x14ac:dyDescent="0.3">
      <c r="B645" s="80"/>
      <c r="H645" s="113"/>
      <c r="I645" s="113"/>
      <c r="J645" s="113"/>
    </row>
    <row r="646" spans="2:10" ht="40.049999999999997" customHeight="1" x14ac:dyDescent="0.3">
      <c r="B646" s="80"/>
      <c r="H646" s="113"/>
      <c r="I646" s="113"/>
      <c r="J646" s="113"/>
    </row>
    <row r="647" spans="2:10" ht="40.049999999999997" customHeight="1" x14ac:dyDescent="0.3">
      <c r="B647" s="80"/>
      <c r="H647" s="113"/>
      <c r="I647" s="113"/>
      <c r="J647" s="113"/>
    </row>
    <row r="648" spans="2:10" ht="40.049999999999997" customHeight="1" x14ac:dyDescent="0.3">
      <c r="B648" s="80"/>
      <c r="H648" s="113"/>
      <c r="I648" s="113"/>
      <c r="J648" s="113"/>
    </row>
    <row r="649" spans="2:10" ht="40.049999999999997" customHeight="1" x14ac:dyDescent="0.3">
      <c r="B649" s="80"/>
      <c r="H649" s="113"/>
      <c r="I649" s="113"/>
      <c r="J649" s="113"/>
    </row>
    <row r="650" spans="2:10" ht="40.049999999999997" customHeight="1" x14ac:dyDescent="0.3">
      <c r="B650" s="80"/>
      <c r="H650" s="113"/>
      <c r="I650" s="113"/>
      <c r="J650" s="113"/>
    </row>
  </sheetData>
  <mergeCells count="3">
    <mergeCell ref="Y1:AM1"/>
    <mergeCell ref="CQ1:CR1"/>
    <mergeCell ref="W1:X1"/>
  </mergeCells>
  <conditionalFormatting sqref="A2:C9996">
    <cfRule type="expression" dxfId="2" priority="21">
      <formula>EXACT($A2, "Daily")</formula>
    </cfRule>
    <cfRule type="expression" dxfId="1" priority="22">
      <formula>EXACT($A2, "Error")</formula>
    </cfRule>
    <cfRule type="expression" dxfId="0" priority="23">
      <formula>EXACT($A2, "Trial")</formula>
    </cfRule>
  </conditionalFormatting>
  <conditionalFormatting sqref="K2:K10 K12:K30 K59:K157">
    <cfRule type="colorScale" priority="39">
      <colorScale>
        <cfvo type="min"/>
        <cfvo type="percentile" val="50"/>
        <cfvo type="max"/>
        <color rgb="FFF8696B"/>
        <color rgb="FFFFEB84"/>
        <color rgb="FF63BE7B"/>
      </colorScale>
    </cfRule>
  </conditionalFormatting>
  <conditionalFormatting sqref="L2:L157">
    <cfRule type="colorScale" priority="31">
      <colorScale>
        <cfvo type="min"/>
        <cfvo type="max"/>
        <color rgb="FFFF7128"/>
        <color rgb="FFFFEF9C"/>
      </colorScale>
    </cfRule>
  </conditionalFormatting>
  <conditionalFormatting sqref="M3:M41">
    <cfRule type="colorScale" priority="4">
      <colorScale>
        <cfvo type="min"/>
        <cfvo type="percentile" val="50"/>
        <cfvo type="max"/>
        <color rgb="FFF8696B"/>
        <color rgb="FFFFEB84"/>
        <color rgb="FF63BE7B"/>
      </colorScale>
    </cfRule>
  </conditionalFormatting>
  <conditionalFormatting sqref="M43:M49">
    <cfRule type="colorScale" priority="3">
      <colorScale>
        <cfvo type="min"/>
        <cfvo type="percentile" val="50"/>
        <cfvo type="max"/>
        <color rgb="FFF8696B"/>
        <color rgb="FFFFEB84"/>
        <color rgb="FF63BE7B"/>
      </colorScale>
    </cfRule>
  </conditionalFormatting>
  <conditionalFormatting sqref="N3:N41">
    <cfRule type="colorScale" priority="5">
      <colorScale>
        <cfvo type="min"/>
        <cfvo type="percentile" val="50"/>
        <cfvo type="max"/>
        <color rgb="FFF8696B"/>
        <color rgb="FFFFEB84"/>
        <color rgb="FF63BE7B"/>
      </colorScale>
    </cfRule>
  </conditionalFormatting>
  <conditionalFormatting sqref="N43:N49">
    <cfRule type="colorScale" priority="6">
      <colorScale>
        <cfvo type="min"/>
        <cfvo type="percentile" val="50"/>
        <cfvo type="max"/>
        <color rgb="FFF8696B"/>
        <color rgb="FFFFEB84"/>
        <color rgb="FF63BE7B"/>
      </colorScale>
    </cfRule>
  </conditionalFormatting>
  <conditionalFormatting sqref="Q2:Q157">
    <cfRule type="colorScale" priority="34">
      <colorScale>
        <cfvo type="min"/>
        <cfvo type="percentile" val="50"/>
        <cfvo type="max"/>
        <color rgb="FF63BE7B"/>
        <color rgb="FFFFEB84"/>
        <color rgb="FFF8696B"/>
      </colorScale>
    </cfRule>
  </conditionalFormatting>
  <conditionalFormatting sqref="R2:R157">
    <cfRule type="colorScale" priority="30">
      <colorScale>
        <cfvo type="min"/>
        <cfvo type="max"/>
        <color rgb="FFFFEF9C"/>
        <color rgb="FFFF7128"/>
      </colorScale>
    </cfRule>
  </conditionalFormatting>
  <conditionalFormatting sqref="S2:S157">
    <cfRule type="colorScale" priority="29">
      <colorScale>
        <cfvo type="min"/>
        <cfvo type="max"/>
        <color rgb="FFFFEF9C"/>
        <color rgb="FFFF7128"/>
      </colorScale>
    </cfRule>
  </conditionalFormatting>
  <conditionalFormatting sqref="T2:T157">
    <cfRule type="colorScale" priority="38">
      <colorScale>
        <cfvo type="min"/>
        <cfvo type="percentile" val="50"/>
        <cfvo type="max"/>
        <color rgb="FF63BE7B"/>
        <color rgb="FFFFEB84"/>
        <color rgb="FFF8696B"/>
      </colorScale>
    </cfRule>
  </conditionalFormatting>
  <conditionalFormatting sqref="U2:U157">
    <cfRule type="colorScale" priority="28">
      <colorScale>
        <cfvo type="min"/>
        <cfvo type="max"/>
        <color rgb="FFFFEF9C"/>
        <color rgb="FFFF7128"/>
      </colorScale>
    </cfRule>
  </conditionalFormatting>
  <conditionalFormatting sqref="V2:V157">
    <cfRule type="colorScale" priority="27">
      <colorScale>
        <cfvo type="min"/>
        <cfvo type="max"/>
        <color rgb="FFFFEF9C"/>
        <color rgb="FFFF7128"/>
      </colorScale>
    </cfRule>
  </conditionalFormatting>
  <conditionalFormatting sqref="K11">
    <cfRule type="colorScale" priority="2">
      <colorScale>
        <cfvo type="min"/>
        <cfvo type="max"/>
        <color rgb="FFFF7128"/>
        <color rgb="FFFFEF9C"/>
      </colorScale>
    </cfRule>
  </conditionalFormatting>
  <conditionalFormatting sqref="I60:J60">
    <cfRule type="colorScale" priority="1">
      <colorScale>
        <cfvo type="min"/>
        <cfvo type="max"/>
        <color rgb="FFFFEF9C"/>
        <color rgb="FFFF7128"/>
      </colorScale>
    </cfRule>
  </conditionalFormatting>
  <pageMargins left="0.75" right="0.75" top="1" bottom="1" header="0.511811023622047" footer="0.511811023622047"/>
  <pageSetup paperSize="9" orientation="portrait" horizontalDpi="300" verticalDpi="300"/>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r:uid="{F4BC56F2-84D9-4B3C-BB71-3376C10200A7}">
          <x14:formula1>
            <xm:f>'Data-Lists'!$F$3:$F$100</xm:f>
          </x14:formula1>
          <xm:sqref>F135:F1048576 F1:F129</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D3EA27-3CD1-45A1-8394-DF6C90BDCCC3}">
  <sheetPr>
    <tabColor theme="9" tint="0.59999389629810485"/>
  </sheetPr>
  <dimension ref="A1:Y25"/>
  <sheetViews>
    <sheetView showZeros="0" workbookViewId="0">
      <selection sqref="A1:XFD1"/>
    </sheetView>
  </sheetViews>
  <sheetFormatPr defaultRowHeight="14.4" x14ac:dyDescent="0.3"/>
  <cols>
    <col min="1" max="1" width="25.77734375" style="19" customWidth="1"/>
    <col min="2" max="2" width="8.88671875" style="136"/>
    <col min="3" max="20" width="6.77734375" style="137" customWidth="1"/>
    <col min="21" max="21" width="2.77734375" style="135" customWidth="1"/>
    <col min="22" max="22" width="8.88671875" style="28"/>
    <col min="23" max="25" width="10.77734375" style="135" customWidth="1"/>
    <col min="26" max="16384" width="8.88671875" style="135"/>
  </cols>
  <sheetData>
    <row r="1" spans="1:25" s="126" customFormat="1" ht="15" thickBot="1" x14ac:dyDescent="0.35">
      <c r="A1" s="124" t="s">
        <v>221</v>
      </c>
      <c r="B1" s="125"/>
      <c r="C1" s="125"/>
      <c r="D1" s="125"/>
      <c r="E1" s="125"/>
      <c r="F1" s="125"/>
      <c r="G1" s="125"/>
      <c r="H1" s="125"/>
      <c r="I1" s="125"/>
      <c r="J1" s="125"/>
      <c r="K1" s="125"/>
      <c r="L1" s="125"/>
      <c r="M1" s="125"/>
      <c r="N1" s="125"/>
      <c r="O1" s="125"/>
      <c r="P1" s="125"/>
      <c r="Q1" s="125"/>
      <c r="R1" s="125"/>
      <c r="S1" s="125"/>
      <c r="T1" s="125"/>
      <c r="V1" s="127"/>
    </row>
    <row r="2" spans="1:25" customFormat="1" ht="15" customHeight="1" x14ac:dyDescent="0.3">
      <c r="A2" s="128" t="s">
        <v>222</v>
      </c>
      <c r="B2" s="129"/>
      <c r="C2" s="130"/>
      <c r="D2" s="130"/>
      <c r="E2" s="130"/>
      <c r="F2" s="130">
        <v>12</v>
      </c>
      <c r="G2" s="130"/>
      <c r="H2" s="130">
        <v>1</v>
      </c>
      <c r="I2" s="130">
        <v>1</v>
      </c>
      <c r="J2" s="130">
        <v>4</v>
      </c>
      <c r="K2" s="130"/>
      <c r="L2" s="130">
        <v>7</v>
      </c>
      <c r="M2" s="130"/>
      <c r="N2" s="130"/>
      <c r="O2" s="130">
        <v>3</v>
      </c>
      <c r="P2" s="130">
        <v>8</v>
      </c>
      <c r="Q2" s="130"/>
      <c r="R2" s="130">
        <v>1</v>
      </c>
      <c r="S2" s="130"/>
      <c r="T2" s="130"/>
      <c r="V2" s="4"/>
    </row>
    <row r="3" spans="1:25" ht="26.4" x14ac:dyDescent="0.3">
      <c r="A3" s="131" t="s">
        <v>31</v>
      </c>
      <c r="B3" s="132" t="s">
        <v>223</v>
      </c>
      <c r="C3" s="133" t="str" cm="1">
        <f t="array" ref="C3:T3">LEFT(TRANSPOSE('[1]Data-Lists'!A4:A21), 3)</f>
        <v xml:space="preserve">#1 </v>
      </c>
      <c r="D3" s="133" t="str">
        <v xml:space="preserve">#2 </v>
      </c>
      <c r="E3" s="133" t="str">
        <v xml:space="preserve">#3 </v>
      </c>
      <c r="F3" s="133" t="str">
        <v xml:space="preserve">#4 </v>
      </c>
      <c r="G3" s="133" t="str">
        <v xml:space="preserve">#5 </v>
      </c>
      <c r="H3" s="133" t="str">
        <v xml:space="preserve">#6 </v>
      </c>
      <c r="I3" s="133" t="str">
        <v xml:space="preserve">#7 </v>
      </c>
      <c r="J3" s="134" t="str">
        <v xml:space="preserve">#8 </v>
      </c>
      <c r="K3" s="133" t="str">
        <v xml:space="preserve">#9 </v>
      </c>
      <c r="L3" s="133" t="str">
        <v>#10</v>
      </c>
      <c r="M3" s="133" t="str">
        <v>#11</v>
      </c>
      <c r="N3" s="133" t="str">
        <v>#12</v>
      </c>
      <c r="O3" s="134" t="str">
        <v>#13</v>
      </c>
      <c r="P3" s="133" t="str">
        <v>#14</v>
      </c>
      <c r="Q3" s="133" t="str">
        <v>#15</v>
      </c>
      <c r="R3" s="133" t="str">
        <v>#16</v>
      </c>
      <c r="S3" s="133" t="str">
        <v>#17</v>
      </c>
      <c r="T3" s="133" t="str">
        <v>#18</v>
      </c>
    </row>
    <row r="4" spans="1:25" x14ac:dyDescent="0.3">
      <c r="A4" s="5" cm="1">
        <f t="array" ref="A4:A25">_xlfn.UNIQUE(_xlfn._xlws.FILTER([1]Log!$C:$C, ([1]Log!$B:B="n/a") * ([1]Log!$A:$A="Daily")))</f>
        <v>46228</v>
      </c>
    </row>
    <row r="5" spans="1:25" x14ac:dyDescent="0.3">
      <c r="A5" s="19">
        <v>46230</v>
      </c>
      <c r="W5" s="138" t="s">
        <v>224</v>
      </c>
      <c r="X5" s="139"/>
    </row>
    <row r="6" spans="1:25" x14ac:dyDescent="0.3">
      <c r="A6" s="19">
        <v>46231</v>
      </c>
      <c r="V6" s="140" t="s">
        <v>225</v>
      </c>
      <c r="W6" s="141" t="s">
        <v>226</v>
      </c>
      <c r="X6" s="142"/>
      <c r="Y6" s="143"/>
    </row>
    <row r="7" spans="1:25" x14ac:dyDescent="0.3">
      <c r="A7" s="19">
        <v>46232</v>
      </c>
      <c r="V7" s="144"/>
      <c r="W7" s="141" t="s">
        <v>227</v>
      </c>
      <c r="X7" s="142"/>
      <c r="Y7" s="143"/>
    </row>
    <row r="8" spans="1:25" x14ac:dyDescent="0.3">
      <c r="A8" s="19">
        <v>46233</v>
      </c>
      <c r="W8" s="139"/>
      <c r="X8" s="139"/>
    </row>
    <row r="9" spans="1:25" x14ac:dyDescent="0.3">
      <c r="A9" s="19">
        <v>46234</v>
      </c>
      <c r="G9" s="145">
        <v>1</v>
      </c>
      <c r="I9" s="146">
        <v>2</v>
      </c>
      <c r="V9" s="147"/>
      <c r="X9" s="139"/>
    </row>
    <row r="10" spans="1:25" x14ac:dyDescent="0.3">
      <c r="A10" s="19">
        <v>46235</v>
      </c>
      <c r="X10" s="139"/>
    </row>
    <row r="11" spans="1:25" x14ac:dyDescent="0.3">
      <c r="A11" s="19">
        <v>46237</v>
      </c>
      <c r="F11" s="145">
        <v>1</v>
      </c>
      <c r="G11" s="145">
        <v>1</v>
      </c>
      <c r="W11" s="27"/>
      <c r="X11" s="139"/>
    </row>
    <row r="12" spans="1:25" x14ac:dyDescent="0.3">
      <c r="A12" s="19">
        <v>46238</v>
      </c>
    </row>
    <row r="13" spans="1:25" x14ac:dyDescent="0.3">
      <c r="A13" s="19">
        <v>46239</v>
      </c>
      <c r="V13" s="147"/>
    </row>
    <row r="14" spans="1:25" x14ac:dyDescent="0.3">
      <c r="A14" s="19">
        <v>46240</v>
      </c>
      <c r="V14" s="148" t="str" cm="1">
        <f t="array" ref="V14:V16">_xlfn.TEXTSPLIT("Note: Need to explore earlier: calibrations for relative errors!", , ":")</f>
        <v>Note</v>
      </c>
      <c r="W14" s="150"/>
    </row>
    <row r="15" spans="1:25" x14ac:dyDescent="0.3">
      <c r="A15" s="19">
        <v>46242</v>
      </c>
      <c r="G15" s="145">
        <v>1</v>
      </c>
      <c r="V15" s="149" t="str">
        <v xml:space="preserve"> Need to explore earlier</v>
      </c>
    </row>
    <row r="16" spans="1:25" x14ac:dyDescent="0.3">
      <c r="A16" s="19">
        <v>46244</v>
      </c>
      <c r="V16" s="149" t="str">
        <v xml:space="preserve"> calibrations for relative errors!</v>
      </c>
    </row>
    <row r="17" spans="1:22" x14ac:dyDescent="0.3">
      <c r="A17" s="19">
        <v>46245</v>
      </c>
      <c r="V17" s="151"/>
    </row>
    <row r="18" spans="1:22" x14ac:dyDescent="0.3">
      <c r="A18" s="19">
        <v>46246</v>
      </c>
    </row>
    <row r="19" spans="1:22" x14ac:dyDescent="0.3">
      <c r="A19" s="19">
        <v>46247</v>
      </c>
    </row>
    <row r="20" spans="1:22" x14ac:dyDescent="0.3">
      <c r="A20" s="19">
        <v>46248</v>
      </c>
    </row>
    <row r="21" spans="1:22" x14ac:dyDescent="0.3">
      <c r="A21" s="19">
        <v>46251</v>
      </c>
    </row>
    <row r="22" spans="1:22" x14ac:dyDescent="0.3">
      <c r="A22" s="19">
        <v>46252</v>
      </c>
    </row>
    <row r="23" spans="1:22" x14ac:dyDescent="0.3">
      <c r="A23" s="19">
        <v>46253</v>
      </c>
    </row>
    <row r="24" spans="1:22" x14ac:dyDescent="0.3">
      <c r="A24" s="19">
        <v>46254</v>
      </c>
    </row>
    <row r="25" spans="1:22" x14ac:dyDescent="0.3">
      <c r="A25" s="19">
        <v>46255</v>
      </c>
    </row>
  </sheetData>
  <mergeCells count="3">
    <mergeCell ref="A2:B2"/>
    <mergeCell ref="W6:Y6"/>
    <mergeCell ref="W7:Y7"/>
  </mergeCells>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C93C9DD-A91C-4AA4-A92F-8D95DCC4FB0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WIP</vt:lpstr>
      <vt:lpstr>Data-Lists</vt:lpstr>
      <vt:lpstr>Legend</vt:lpstr>
      <vt:lpstr>Log</vt:lpstr>
      <vt:lpstr>Sets</vt:lpstr>
      <vt:lpstr>Problem Cameras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description/>
  <cp:lastModifiedBy>Daniel Newby</cp:lastModifiedBy>
  <cp:revision>1</cp:revision>
  <dcterms:created xsi:type="dcterms:W3CDTF">2026-07-27T09:50:39Z</dcterms:created>
  <dcterms:modified xsi:type="dcterms:W3CDTF">2026-08-28T17:56:08Z</dcterms:modified>
  <dc:language>en-US</dc:language>
</cp:coreProperties>
</file>